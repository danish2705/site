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xr:revisionPtr revIDLastSave="0" documentId="8_{6F08761A-3901-470E-AE91-588929DB92ED}" xr6:coauthVersionLast="47" xr6:coauthVersionMax="47" xr10:uidLastSave="{00000000-0000-0000-0000-000000000000}"/>
  <bookViews>
    <workbookView xWindow="0" yWindow="0" windowWidth="16384" windowHeight="8192" tabRatio="500" firstSheet="7" activeTab="7" xr2:uid="{00000000-000D-0000-FFFF-FFFF00000000}"/>
  </bookViews>
  <sheets>
    <sheet name="README" sheetId="1" r:id="rId1"/>
    <sheet name="Trial_Requirements" sheetId="2" r:id="rId2"/>
    <sheet name="Region_Data" sheetId="3" r:id="rId3"/>
    <sheet name="Candidate_Sites" sheetId="4" r:id="rId4"/>
    <sheet name="Site_Evaluation" sheetId="5" r:id="rId5"/>
    <sheet name="Risk_Matrix" sheetId="6" r:id="rId6"/>
    <sheet name="Risk_Register" sheetId="7" r:id="rId7"/>
    <sheet name="Site_Ranking" sheetId="8" r:id="rId8"/>
  </sheets>
  <externalReferences>
    <externalReference r:id="rId9"/>
  </externalReferenc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21" i="8" l="1"/>
  <c r="H120" i="8"/>
  <c r="H119" i="8"/>
  <c r="H118" i="8"/>
  <c r="H117" i="8"/>
  <c r="H116" i="8"/>
  <c r="H115" i="8"/>
  <c r="H114" i="8"/>
  <c r="H113" i="8"/>
  <c r="H112" i="8"/>
  <c r="H111" i="8"/>
  <c r="H110" i="8"/>
  <c r="H109" i="8"/>
  <c r="H108" i="8"/>
  <c r="H107" i="8"/>
  <c r="H106" i="8"/>
  <c r="H105" i="8"/>
  <c r="H104" i="8"/>
  <c r="H103" i="8"/>
  <c r="H102" i="8"/>
  <c r="H101" i="8"/>
  <c r="H100" i="8"/>
  <c r="H99" i="8"/>
  <c r="H98" i="8"/>
  <c r="H97" i="8"/>
  <c r="H96" i="8"/>
  <c r="H95" i="8"/>
  <c r="H94" i="8"/>
  <c r="H93" i="8"/>
  <c r="H92" i="8"/>
  <c r="H91" i="8"/>
  <c r="H90" i="8"/>
  <c r="H89" i="8"/>
  <c r="H88" i="8"/>
  <c r="H87" i="8"/>
  <c r="H86" i="8"/>
  <c r="H85" i="8"/>
  <c r="H84" i="8"/>
  <c r="H83" i="8"/>
  <c r="H82" i="8"/>
  <c r="H81" i="8"/>
  <c r="H80" i="8"/>
  <c r="H79" i="8"/>
  <c r="H78" i="8"/>
  <c r="H77" i="8"/>
  <c r="H76" i="8"/>
  <c r="H75" i="8"/>
  <c r="H74" i="8"/>
  <c r="H73" i="8"/>
  <c r="H72" i="8"/>
  <c r="H71" i="8"/>
  <c r="H70" i="8"/>
  <c r="H69" i="8"/>
  <c r="H68" i="8"/>
  <c r="H67" i="8"/>
  <c r="H66" i="8"/>
  <c r="H65" i="8"/>
  <c r="H64" i="8"/>
  <c r="H63" i="8"/>
  <c r="H62" i="8"/>
  <c r="H61" i="8"/>
  <c r="H60" i="8"/>
  <c r="H59" i="8"/>
  <c r="H58" i="8"/>
  <c r="H57" i="8"/>
  <c r="H56" i="8"/>
  <c r="H55" i="8"/>
  <c r="H54" i="8"/>
  <c r="H53" i="8"/>
  <c r="H52" i="8"/>
  <c r="H51" i="8"/>
  <c r="H50" i="8"/>
  <c r="H49" i="8"/>
  <c r="H48" i="8"/>
  <c r="H47" i="8"/>
  <c r="H46" i="8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H32" i="8"/>
  <c r="H31" i="8"/>
  <c r="H30" i="8"/>
  <c r="H29" i="8"/>
  <c r="H28" i="8"/>
  <c r="H27" i="8"/>
  <c r="H26" i="8"/>
  <c r="H25" i="8"/>
  <c r="H24" i="8"/>
  <c r="H23" i="8"/>
  <c r="H22" i="8"/>
  <c r="H21" i="8"/>
  <c r="H20" i="8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H5" i="8"/>
  <c r="H4" i="8"/>
  <c r="H3" i="8"/>
  <c r="H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" i="8"/>
  <c r="I121" i="8"/>
  <c r="F121" i="8"/>
  <c r="I120" i="8"/>
  <c r="F120" i="8"/>
  <c r="I119" i="8"/>
  <c r="F119" i="8"/>
  <c r="I118" i="8"/>
  <c r="F118" i="8"/>
  <c r="I117" i="8"/>
  <c r="F117" i="8"/>
  <c r="I116" i="8"/>
  <c r="F116" i="8"/>
  <c r="I115" i="8"/>
  <c r="F115" i="8"/>
  <c r="I114" i="8"/>
  <c r="F114" i="8"/>
  <c r="I113" i="8"/>
  <c r="F113" i="8"/>
  <c r="I112" i="8"/>
  <c r="F112" i="8"/>
  <c r="I111" i="8"/>
  <c r="F111" i="8"/>
  <c r="I110" i="8"/>
  <c r="F110" i="8"/>
  <c r="I109" i="8"/>
  <c r="F109" i="8"/>
  <c r="I108" i="8"/>
  <c r="F108" i="8"/>
  <c r="I107" i="8"/>
  <c r="F107" i="8"/>
  <c r="I106" i="8"/>
  <c r="F106" i="8"/>
  <c r="I105" i="8"/>
  <c r="F105" i="8"/>
  <c r="I104" i="8"/>
  <c r="F104" i="8"/>
  <c r="I103" i="8"/>
  <c r="F103" i="8"/>
  <c r="I102" i="8"/>
  <c r="F102" i="8"/>
  <c r="I101" i="8"/>
  <c r="F101" i="8"/>
  <c r="I100" i="8"/>
  <c r="F100" i="8"/>
  <c r="I99" i="8"/>
  <c r="F99" i="8"/>
  <c r="I98" i="8"/>
  <c r="F98" i="8"/>
  <c r="I97" i="8"/>
  <c r="F97" i="8"/>
  <c r="I96" i="8"/>
  <c r="F96" i="8"/>
  <c r="I95" i="8"/>
  <c r="F95" i="8"/>
  <c r="I94" i="8"/>
  <c r="F94" i="8"/>
  <c r="I93" i="8"/>
  <c r="F93" i="8"/>
  <c r="I92" i="8"/>
  <c r="F92" i="8"/>
  <c r="I91" i="8"/>
  <c r="F91" i="8"/>
  <c r="I90" i="8"/>
  <c r="F90" i="8"/>
  <c r="I89" i="8"/>
  <c r="F89" i="8"/>
  <c r="I88" i="8"/>
  <c r="F88" i="8"/>
  <c r="I87" i="8"/>
  <c r="F87" i="8"/>
  <c r="I86" i="8"/>
  <c r="F86" i="8"/>
  <c r="I85" i="8"/>
  <c r="F85" i="8"/>
  <c r="I84" i="8"/>
  <c r="F84" i="8"/>
  <c r="I83" i="8"/>
  <c r="F83" i="8"/>
  <c r="I82" i="8"/>
  <c r="F82" i="8"/>
  <c r="I81" i="8"/>
  <c r="F81" i="8"/>
  <c r="I80" i="8"/>
  <c r="F80" i="8"/>
  <c r="I79" i="8"/>
  <c r="F79" i="8"/>
  <c r="I78" i="8"/>
  <c r="F78" i="8"/>
  <c r="I77" i="8"/>
  <c r="F77" i="8"/>
  <c r="I76" i="8"/>
  <c r="F76" i="8"/>
  <c r="I75" i="8"/>
  <c r="F75" i="8"/>
  <c r="I74" i="8"/>
  <c r="F74" i="8"/>
  <c r="I73" i="8"/>
  <c r="F73" i="8"/>
  <c r="I72" i="8"/>
  <c r="F72" i="8"/>
  <c r="I71" i="8"/>
  <c r="F71" i="8"/>
  <c r="I70" i="8"/>
  <c r="F70" i="8"/>
  <c r="I69" i="8"/>
  <c r="F69" i="8"/>
  <c r="I68" i="8"/>
  <c r="F68" i="8"/>
  <c r="I67" i="8"/>
  <c r="F67" i="8"/>
  <c r="I66" i="8"/>
  <c r="F66" i="8"/>
  <c r="I65" i="8"/>
  <c r="F65" i="8"/>
  <c r="I64" i="8"/>
  <c r="F64" i="8"/>
  <c r="I63" i="8"/>
  <c r="F63" i="8"/>
  <c r="I62" i="8"/>
  <c r="F62" i="8"/>
  <c r="I61" i="8"/>
  <c r="F61" i="8"/>
  <c r="I60" i="8"/>
  <c r="F60" i="8"/>
  <c r="I59" i="8"/>
  <c r="F59" i="8"/>
  <c r="I58" i="8"/>
  <c r="F58" i="8"/>
  <c r="I57" i="8"/>
  <c r="F57" i="8"/>
  <c r="I56" i="8"/>
  <c r="F56" i="8"/>
  <c r="I55" i="8"/>
  <c r="F55" i="8"/>
  <c r="I54" i="8"/>
  <c r="F54" i="8"/>
  <c r="I53" i="8"/>
  <c r="F53" i="8"/>
  <c r="I52" i="8"/>
  <c r="F52" i="8"/>
  <c r="I51" i="8"/>
  <c r="F51" i="8"/>
  <c r="I50" i="8"/>
  <c r="F50" i="8"/>
  <c r="I49" i="8"/>
  <c r="F49" i="8"/>
  <c r="I48" i="8"/>
  <c r="F48" i="8"/>
  <c r="I47" i="8"/>
  <c r="F47" i="8"/>
  <c r="I46" i="8"/>
  <c r="F46" i="8"/>
  <c r="I45" i="8"/>
  <c r="F45" i="8"/>
  <c r="I44" i="8"/>
  <c r="F44" i="8"/>
  <c r="I43" i="8"/>
  <c r="F43" i="8"/>
  <c r="I42" i="8"/>
  <c r="F42" i="8"/>
  <c r="I41" i="8"/>
  <c r="F41" i="8"/>
  <c r="I40" i="8"/>
  <c r="F40" i="8"/>
  <c r="I39" i="8"/>
  <c r="F39" i="8"/>
  <c r="I38" i="8"/>
  <c r="F38" i="8"/>
  <c r="I37" i="8"/>
  <c r="F37" i="8"/>
  <c r="I36" i="8"/>
  <c r="F36" i="8"/>
  <c r="I35" i="8"/>
  <c r="F35" i="8"/>
  <c r="I34" i="8"/>
  <c r="F34" i="8"/>
  <c r="I33" i="8"/>
  <c r="F33" i="8"/>
  <c r="I32" i="8"/>
  <c r="F32" i="8"/>
  <c r="I31" i="8"/>
  <c r="F31" i="8"/>
  <c r="I30" i="8"/>
  <c r="F30" i="8"/>
  <c r="I29" i="8"/>
  <c r="F29" i="8"/>
  <c r="I28" i="8"/>
  <c r="F28" i="8"/>
  <c r="I27" i="8"/>
  <c r="F27" i="8"/>
  <c r="I26" i="8"/>
  <c r="F26" i="8"/>
  <c r="I25" i="8"/>
  <c r="F25" i="8"/>
  <c r="I24" i="8"/>
  <c r="F24" i="8"/>
  <c r="I23" i="8"/>
  <c r="F23" i="8"/>
  <c r="I22" i="8"/>
  <c r="F22" i="8"/>
  <c r="I21" i="8"/>
  <c r="F21" i="8"/>
  <c r="I20" i="8"/>
  <c r="F20" i="8"/>
  <c r="I19" i="8"/>
  <c r="F19" i="8"/>
  <c r="I18" i="8"/>
  <c r="F18" i="8"/>
  <c r="I17" i="8"/>
  <c r="F17" i="8"/>
  <c r="I16" i="8"/>
  <c r="F16" i="8"/>
  <c r="I15" i="8"/>
  <c r="F15" i="8"/>
  <c r="I14" i="8"/>
  <c r="F14" i="8"/>
  <c r="I13" i="8"/>
  <c r="F13" i="8"/>
  <c r="I12" i="8"/>
  <c r="F12" i="8"/>
  <c r="I11" i="8"/>
  <c r="F11" i="8"/>
  <c r="I10" i="8"/>
  <c r="F10" i="8"/>
  <c r="I9" i="8"/>
  <c r="F9" i="8"/>
  <c r="I8" i="8"/>
  <c r="F8" i="8"/>
  <c r="I7" i="8"/>
  <c r="F7" i="8"/>
  <c r="I6" i="8"/>
  <c r="F6" i="8"/>
  <c r="I5" i="8"/>
  <c r="F5" i="8"/>
  <c r="I4" i="8"/>
  <c r="F4" i="8"/>
  <c r="I3" i="8"/>
  <c r="F3" i="8"/>
  <c r="I2" i="8"/>
  <c r="F2" i="8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763" i="7"/>
  <c r="G1762" i="7"/>
  <c r="G1761" i="7"/>
  <c r="G1760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G1424" i="7"/>
  <c r="G1423" i="7"/>
  <c r="G1422" i="7"/>
  <c r="G1421" i="7"/>
  <c r="G1420" i="7"/>
  <c r="G1419" i="7"/>
  <c r="G1418" i="7"/>
  <c r="G1417" i="7"/>
  <c r="G1416" i="7"/>
  <c r="G1415" i="7"/>
  <c r="G1414" i="7"/>
  <c r="G1413" i="7"/>
  <c r="G1412" i="7"/>
  <c r="G1411" i="7"/>
  <c r="G1410" i="7"/>
  <c r="G1409" i="7"/>
  <c r="G1408" i="7"/>
  <c r="G1407" i="7"/>
  <c r="G1406" i="7"/>
  <c r="G1405" i="7"/>
  <c r="G1404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1385" i="7"/>
  <c r="G1384" i="7"/>
  <c r="G1383" i="7"/>
  <c r="G1382" i="7"/>
  <c r="G1381" i="7"/>
  <c r="G1380" i="7"/>
  <c r="G1379" i="7"/>
  <c r="G1378" i="7"/>
  <c r="G1377" i="7"/>
  <c r="G1376" i="7"/>
  <c r="G1375" i="7"/>
  <c r="G1374" i="7"/>
  <c r="G1373" i="7"/>
  <c r="G1372" i="7"/>
  <c r="G1371" i="7"/>
  <c r="G1370" i="7"/>
  <c r="G1369" i="7"/>
  <c r="G1368" i="7"/>
  <c r="G1367" i="7"/>
  <c r="G1366" i="7"/>
  <c r="G1365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70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L1801" i="7"/>
  <c r="L1800" i="7"/>
  <c r="L1799" i="7"/>
  <c r="L1798" i="7"/>
  <c r="L1797" i="7"/>
  <c r="L1796" i="7"/>
  <c r="L1795" i="7"/>
  <c r="L1794" i="7"/>
  <c r="L1793" i="7"/>
  <c r="L1792" i="7"/>
  <c r="L1791" i="7"/>
  <c r="L1790" i="7"/>
  <c r="L1789" i="7"/>
  <c r="L1788" i="7"/>
  <c r="L1787" i="7"/>
  <c r="L1786" i="7"/>
  <c r="L1785" i="7"/>
  <c r="L1784" i="7"/>
  <c r="L1783" i="7"/>
  <c r="L1782" i="7"/>
  <c r="L1781" i="7"/>
  <c r="L1780" i="7"/>
  <c r="L1779" i="7"/>
  <c r="L1778" i="7"/>
  <c r="L1777" i="7"/>
  <c r="L1776" i="7"/>
  <c r="L1775" i="7"/>
  <c r="L1774" i="7"/>
  <c r="L1773" i="7"/>
  <c r="L1772" i="7"/>
  <c r="L1771" i="7"/>
  <c r="L1770" i="7"/>
  <c r="L1769" i="7"/>
  <c r="L1768" i="7"/>
  <c r="L1767" i="7"/>
  <c r="L1766" i="7"/>
  <c r="L1765" i="7"/>
  <c r="L1764" i="7"/>
  <c r="L1763" i="7"/>
  <c r="L1762" i="7"/>
  <c r="L1761" i="7"/>
  <c r="L1760" i="7"/>
  <c r="L1759" i="7"/>
  <c r="L1758" i="7"/>
  <c r="L1757" i="7"/>
  <c r="L1756" i="7"/>
  <c r="L1755" i="7"/>
  <c r="L1754" i="7"/>
  <c r="L1753" i="7"/>
  <c r="L1752" i="7"/>
  <c r="L1751" i="7"/>
  <c r="L1750" i="7"/>
  <c r="L1749" i="7"/>
  <c r="L1748" i="7"/>
  <c r="L1747" i="7"/>
  <c r="L1746" i="7"/>
  <c r="L1745" i="7"/>
  <c r="L1744" i="7"/>
  <c r="L1743" i="7"/>
  <c r="L1742" i="7"/>
  <c r="L1741" i="7"/>
  <c r="L1740" i="7"/>
  <c r="L1739" i="7"/>
  <c r="L1738" i="7"/>
  <c r="L1737" i="7"/>
  <c r="L1736" i="7"/>
  <c r="L1735" i="7"/>
  <c r="L1734" i="7"/>
  <c r="L1733" i="7"/>
  <c r="L1732" i="7"/>
  <c r="L1731" i="7"/>
  <c r="L1730" i="7"/>
  <c r="L1729" i="7"/>
  <c r="L1728" i="7"/>
  <c r="L1727" i="7"/>
  <c r="L1726" i="7"/>
  <c r="L1725" i="7"/>
  <c r="L1724" i="7"/>
  <c r="L1723" i="7"/>
  <c r="L1722" i="7"/>
  <c r="L1721" i="7"/>
  <c r="L1720" i="7"/>
  <c r="L1719" i="7"/>
  <c r="L1718" i="7"/>
  <c r="L1717" i="7"/>
  <c r="L1716" i="7"/>
  <c r="L1715" i="7"/>
  <c r="L1714" i="7"/>
  <c r="L1713" i="7"/>
  <c r="L1712" i="7"/>
  <c r="L1711" i="7"/>
  <c r="L1710" i="7"/>
  <c r="L1709" i="7"/>
  <c r="L1708" i="7"/>
  <c r="L1707" i="7"/>
  <c r="L1706" i="7"/>
  <c r="L1705" i="7"/>
  <c r="L1704" i="7"/>
  <c r="L1703" i="7"/>
  <c r="L1702" i="7"/>
  <c r="L1701" i="7"/>
  <c r="L1700" i="7"/>
  <c r="L1699" i="7"/>
  <c r="L1698" i="7"/>
  <c r="L1697" i="7"/>
  <c r="L1696" i="7"/>
  <c r="L1695" i="7"/>
  <c r="L1694" i="7"/>
  <c r="L1693" i="7"/>
  <c r="L1692" i="7"/>
  <c r="L1691" i="7"/>
  <c r="L1690" i="7"/>
  <c r="L1689" i="7"/>
  <c r="L1688" i="7"/>
  <c r="L1687" i="7"/>
  <c r="L1686" i="7"/>
  <c r="L1685" i="7"/>
  <c r="L1684" i="7"/>
  <c r="L1683" i="7"/>
  <c r="L1682" i="7"/>
  <c r="L1681" i="7"/>
  <c r="L1680" i="7"/>
  <c r="L1679" i="7"/>
  <c r="L1678" i="7"/>
  <c r="L1677" i="7"/>
  <c r="L1676" i="7"/>
  <c r="L1675" i="7"/>
  <c r="L1674" i="7"/>
  <c r="L1673" i="7"/>
  <c r="L1672" i="7"/>
  <c r="L1671" i="7"/>
  <c r="L1670" i="7"/>
  <c r="L1669" i="7"/>
  <c r="L1668" i="7"/>
  <c r="L1667" i="7"/>
  <c r="L1666" i="7"/>
  <c r="L1665" i="7"/>
  <c r="L1664" i="7"/>
  <c r="L1663" i="7"/>
  <c r="L1662" i="7"/>
  <c r="L1661" i="7"/>
  <c r="L1660" i="7"/>
  <c r="L1659" i="7"/>
  <c r="L1658" i="7"/>
  <c r="L1657" i="7"/>
  <c r="L1656" i="7"/>
  <c r="L1655" i="7"/>
  <c r="L1654" i="7"/>
  <c r="L1653" i="7"/>
  <c r="L1652" i="7"/>
  <c r="L1651" i="7"/>
  <c r="L1650" i="7"/>
  <c r="L1649" i="7"/>
  <c r="L1648" i="7"/>
  <c r="L1647" i="7"/>
  <c r="L1646" i="7"/>
  <c r="L1645" i="7"/>
  <c r="L1644" i="7"/>
  <c r="L1643" i="7"/>
  <c r="L1642" i="7"/>
  <c r="L1641" i="7"/>
  <c r="L1640" i="7"/>
  <c r="L1639" i="7"/>
  <c r="L1638" i="7"/>
  <c r="L1637" i="7"/>
  <c r="L1636" i="7"/>
  <c r="L1635" i="7"/>
  <c r="L1634" i="7"/>
  <c r="L1633" i="7"/>
  <c r="L1632" i="7"/>
  <c r="L1631" i="7"/>
  <c r="L1630" i="7"/>
  <c r="L1629" i="7"/>
  <c r="L1628" i="7"/>
  <c r="L1627" i="7"/>
  <c r="L1626" i="7"/>
  <c r="L1625" i="7"/>
  <c r="L1624" i="7"/>
  <c r="L1623" i="7"/>
  <c r="L1622" i="7"/>
  <c r="L1621" i="7"/>
  <c r="L1620" i="7"/>
  <c r="L1619" i="7"/>
  <c r="L1618" i="7"/>
  <c r="L1617" i="7"/>
  <c r="L1616" i="7"/>
  <c r="L1615" i="7"/>
  <c r="L1614" i="7"/>
  <c r="L1613" i="7"/>
  <c r="L1612" i="7"/>
  <c r="L1611" i="7"/>
  <c r="L1610" i="7"/>
  <c r="L1609" i="7"/>
  <c r="L1608" i="7"/>
  <c r="L1607" i="7"/>
  <c r="L1606" i="7"/>
  <c r="L1605" i="7"/>
  <c r="L1604" i="7"/>
  <c r="L1603" i="7"/>
  <c r="L1602" i="7"/>
  <c r="L1601" i="7"/>
  <c r="L1600" i="7"/>
  <c r="L1599" i="7"/>
  <c r="L1598" i="7"/>
  <c r="L1597" i="7"/>
  <c r="L1596" i="7"/>
  <c r="L1595" i="7"/>
  <c r="L1594" i="7"/>
  <c r="L1593" i="7"/>
  <c r="L1592" i="7"/>
  <c r="L1591" i="7"/>
  <c r="L1590" i="7"/>
  <c r="L1589" i="7"/>
  <c r="L1588" i="7"/>
  <c r="L1587" i="7"/>
  <c r="L1586" i="7"/>
  <c r="L1585" i="7"/>
  <c r="L1584" i="7"/>
  <c r="L1583" i="7"/>
  <c r="L1582" i="7"/>
  <c r="L1581" i="7"/>
  <c r="L1580" i="7"/>
  <c r="L1579" i="7"/>
  <c r="L1578" i="7"/>
  <c r="L1577" i="7"/>
  <c r="L1576" i="7"/>
  <c r="L1575" i="7"/>
  <c r="L1574" i="7"/>
  <c r="L1573" i="7"/>
  <c r="L1572" i="7"/>
  <c r="L1571" i="7"/>
  <c r="L1570" i="7"/>
  <c r="L1569" i="7"/>
  <c r="L1568" i="7"/>
  <c r="L1567" i="7"/>
  <c r="L1566" i="7"/>
  <c r="L1565" i="7"/>
  <c r="L1564" i="7"/>
  <c r="L1563" i="7"/>
  <c r="L1562" i="7"/>
  <c r="L1561" i="7"/>
  <c r="L1560" i="7"/>
  <c r="L1559" i="7"/>
  <c r="L1558" i="7"/>
  <c r="L1557" i="7"/>
  <c r="L1556" i="7"/>
  <c r="L1555" i="7"/>
  <c r="L1554" i="7"/>
  <c r="L1553" i="7"/>
  <c r="L1552" i="7"/>
  <c r="L1551" i="7"/>
  <c r="L1550" i="7"/>
  <c r="L1549" i="7"/>
  <c r="L1548" i="7"/>
  <c r="L1547" i="7"/>
  <c r="L1546" i="7"/>
  <c r="L1545" i="7"/>
  <c r="L1544" i="7"/>
  <c r="L1543" i="7"/>
  <c r="L1542" i="7"/>
  <c r="L1541" i="7"/>
  <c r="L1540" i="7"/>
  <c r="L1539" i="7"/>
  <c r="L1538" i="7"/>
  <c r="L1537" i="7"/>
  <c r="L1536" i="7"/>
  <c r="L1535" i="7"/>
  <c r="L1534" i="7"/>
  <c r="L1533" i="7"/>
  <c r="L1532" i="7"/>
  <c r="L1531" i="7"/>
  <c r="L1530" i="7"/>
  <c r="L1529" i="7"/>
  <c r="L1528" i="7"/>
  <c r="L1527" i="7"/>
  <c r="L1526" i="7"/>
  <c r="L1525" i="7"/>
  <c r="L1524" i="7"/>
  <c r="L1523" i="7"/>
  <c r="L1522" i="7"/>
  <c r="L1521" i="7"/>
  <c r="L1520" i="7"/>
  <c r="L1519" i="7"/>
  <c r="L1518" i="7"/>
  <c r="L1517" i="7"/>
  <c r="L1516" i="7"/>
  <c r="L1515" i="7"/>
  <c r="L1514" i="7"/>
  <c r="L1513" i="7"/>
  <c r="L1512" i="7"/>
  <c r="L1511" i="7"/>
  <c r="L1510" i="7"/>
  <c r="L1509" i="7"/>
  <c r="L1508" i="7"/>
  <c r="L1507" i="7"/>
  <c r="L1506" i="7"/>
  <c r="L1505" i="7"/>
  <c r="L1504" i="7"/>
  <c r="L1503" i="7"/>
  <c r="L1502" i="7"/>
  <c r="L1501" i="7"/>
  <c r="L1500" i="7"/>
  <c r="L1499" i="7"/>
  <c r="L1498" i="7"/>
  <c r="L1497" i="7"/>
  <c r="L1496" i="7"/>
  <c r="L1495" i="7"/>
  <c r="L1494" i="7"/>
  <c r="L1493" i="7"/>
  <c r="L1492" i="7"/>
  <c r="L1491" i="7"/>
  <c r="L1490" i="7"/>
  <c r="L1489" i="7"/>
  <c r="L1488" i="7"/>
  <c r="L1487" i="7"/>
  <c r="L1486" i="7"/>
  <c r="L1485" i="7"/>
  <c r="L1484" i="7"/>
  <c r="L1483" i="7"/>
  <c r="L1482" i="7"/>
  <c r="L1481" i="7"/>
  <c r="L1480" i="7"/>
  <c r="L1479" i="7"/>
  <c r="L1478" i="7"/>
  <c r="L1477" i="7"/>
  <c r="L1476" i="7"/>
  <c r="L1475" i="7"/>
  <c r="L1474" i="7"/>
  <c r="L1473" i="7"/>
  <c r="L1472" i="7"/>
  <c r="L1471" i="7"/>
  <c r="L1470" i="7"/>
  <c r="L1469" i="7"/>
  <c r="L1468" i="7"/>
  <c r="L1467" i="7"/>
  <c r="L1466" i="7"/>
  <c r="L1465" i="7"/>
  <c r="L1464" i="7"/>
  <c r="L1463" i="7"/>
  <c r="L1462" i="7"/>
  <c r="L1461" i="7"/>
  <c r="L1460" i="7"/>
  <c r="L1459" i="7"/>
  <c r="L1458" i="7"/>
  <c r="L1457" i="7"/>
  <c r="L1456" i="7"/>
  <c r="L1455" i="7"/>
  <c r="L1454" i="7"/>
  <c r="L1453" i="7"/>
  <c r="L1452" i="7"/>
  <c r="L1451" i="7"/>
  <c r="L1450" i="7"/>
  <c r="L1449" i="7"/>
  <c r="L1448" i="7"/>
  <c r="L1447" i="7"/>
  <c r="L1446" i="7"/>
  <c r="L1445" i="7"/>
  <c r="L1444" i="7"/>
  <c r="L1443" i="7"/>
  <c r="L1442" i="7"/>
  <c r="L1441" i="7"/>
  <c r="L1440" i="7"/>
  <c r="L1439" i="7"/>
  <c r="L1438" i="7"/>
  <c r="L1437" i="7"/>
  <c r="L1436" i="7"/>
  <c r="L1435" i="7"/>
  <c r="L1434" i="7"/>
  <c r="L1433" i="7"/>
  <c r="L1432" i="7"/>
  <c r="L1431" i="7"/>
  <c r="L1430" i="7"/>
  <c r="L1429" i="7"/>
  <c r="L1428" i="7"/>
  <c r="L1427" i="7"/>
  <c r="L1426" i="7"/>
  <c r="L1425" i="7"/>
  <c r="L1424" i="7"/>
  <c r="L1423" i="7"/>
  <c r="L1422" i="7"/>
  <c r="L1421" i="7"/>
  <c r="L1420" i="7"/>
  <c r="L1419" i="7"/>
  <c r="L1418" i="7"/>
  <c r="L1417" i="7"/>
  <c r="L1416" i="7"/>
  <c r="L1415" i="7"/>
  <c r="L1414" i="7"/>
  <c r="L1413" i="7"/>
  <c r="L1412" i="7"/>
  <c r="L1411" i="7"/>
  <c r="L1410" i="7"/>
  <c r="L1409" i="7"/>
  <c r="L1408" i="7"/>
  <c r="L1407" i="7"/>
  <c r="L1406" i="7"/>
  <c r="L1405" i="7"/>
  <c r="L1404" i="7"/>
  <c r="L1403" i="7"/>
  <c r="L1402" i="7"/>
  <c r="L1401" i="7"/>
  <c r="L1400" i="7"/>
  <c r="L1399" i="7"/>
  <c r="L1398" i="7"/>
  <c r="L1397" i="7"/>
  <c r="L1396" i="7"/>
  <c r="L1395" i="7"/>
  <c r="L1394" i="7"/>
  <c r="L1393" i="7"/>
  <c r="L1392" i="7"/>
  <c r="L1391" i="7"/>
  <c r="L1390" i="7"/>
  <c r="L1389" i="7"/>
  <c r="L1388" i="7"/>
  <c r="L1387" i="7"/>
  <c r="L1386" i="7"/>
  <c r="L1385" i="7"/>
  <c r="L1384" i="7"/>
  <c r="L1383" i="7"/>
  <c r="L1382" i="7"/>
  <c r="L1381" i="7"/>
  <c r="L1380" i="7"/>
  <c r="L1379" i="7"/>
  <c r="L1378" i="7"/>
  <c r="L1377" i="7"/>
  <c r="L1376" i="7"/>
  <c r="L1375" i="7"/>
  <c r="L1374" i="7"/>
  <c r="L1373" i="7"/>
  <c r="L1372" i="7"/>
  <c r="L1371" i="7"/>
  <c r="L1370" i="7"/>
  <c r="L1369" i="7"/>
  <c r="L1368" i="7"/>
  <c r="L1367" i="7"/>
  <c r="L1366" i="7"/>
  <c r="L1365" i="7"/>
  <c r="L1364" i="7"/>
  <c r="L1363" i="7"/>
  <c r="L1362" i="7"/>
  <c r="L1361" i="7"/>
  <c r="L1360" i="7"/>
  <c r="L1359" i="7"/>
  <c r="L1358" i="7"/>
  <c r="L1357" i="7"/>
  <c r="L1356" i="7"/>
  <c r="L1355" i="7"/>
  <c r="L1354" i="7"/>
  <c r="L1353" i="7"/>
  <c r="L1352" i="7"/>
  <c r="L1351" i="7"/>
  <c r="L1350" i="7"/>
  <c r="L1349" i="7"/>
  <c r="L1348" i="7"/>
  <c r="L1347" i="7"/>
  <c r="L1346" i="7"/>
  <c r="L1345" i="7"/>
  <c r="L1344" i="7"/>
  <c r="L1343" i="7"/>
  <c r="L1342" i="7"/>
  <c r="L1341" i="7"/>
  <c r="L1340" i="7"/>
  <c r="L1339" i="7"/>
  <c r="L1338" i="7"/>
  <c r="L1337" i="7"/>
  <c r="L1336" i="7"/>
  <c r="L1335" i="7"/>
  <c r="L1334" i="7"/>
  <c r="L1333" i="7"/>
  <c r="L1332" i="7"/>
  <c r="L1331" i="7"/>
  <c r="L1330" i="7"/>
  <c r="L1329" i="7"/>
  <c r="L1328" i="7"/>
  <c r="L1327" i="7"/>
  <c r="L1326" i="7"/>
  <c r="L1325" i="7"/>
  <c r="L1324" i="7"/>
  <c r="L1323" i="7"/>
  <c r="L1322" i="7"/>
  <c r="L1321" i="7"/>
  <c r="L1320" i="7"/>
  <c r="L1319" i="7"/>
  <c r="L1318" i="7"/>
  <c r="L1317" i="7"/>
  <c r="L1316" i="7"/>
  <c r="L1315" i="7"/>
  <c r="L1314" i="7"/>
  <c r="L1313" i="7"/>
  <c r="L1312" i="7"/>
  <c r="L1311" i="7"/>
  <c r="L1310" i="7"/>
  <c r="L1309" i="7"/>
  <c r="L1308" i="7"/>
  <c r="L1307" i="7"/>
  <c r="L1306" i="7"/>
  <c r="L1305" i="7"/>
  <c r="L1304" i="7"/>
  <c r="L1303" i="7"/>
  <c r="L1302" i="7"/>
  <c r="L1301" i="7"/>
  <c r="L1300" i="7"/>
  <c r="L1299" i="7"/>
  <c r="L1298" i="7"/>
  <c r="L1297" i="7"/>
  <c r="L1296" i="7"/>
  <c r="L1295" i="7"/>
  <c r="L1294" i="7"/>
  <c r="L1293" i="7"/>
  <c r="L1292" i="7"/>
  <c r="L1291" i="7"/>
  <c r="L1290" i="7"/>
  <c r="L1289" i="7"/>
  <c r="L1288" i="7"/>
  <c r="L1287" i="7"/>
  <c r="L1286" i="7"/>
  <c r="L1285" i="7"/>
  <c r="L1284" i="7"/>
  <c r="L1283" i="7"/>
  <c r="L1282" i="7"/>
  <c r="L1281" i="7"/>
  <c r="L1280" i="7"/>
  <c r="L1279" i="7"/>
  <c r="L1278" i="7"/>
  <c r="L1277" i="7"/>
  <c r="L1276" i="7"/>
  <c r="L1275" i="7"/>
  <c r="L1274" i="7"/>
  <c r="L1273" i="7"/>
  <c r="L1272" i="7"/>
  <c r="L1271" i="7"/>
  <c r="L1270" i="7"/>
  <c r="L1269" i="7"/>
  <c r="L1268" i="7"/>
  <c r="L1267" i="7"/>
  <c r="L1266" i="7"/>
  <c r="L1265" i="7"/>
  <c r="L1264" i="7"/>
  <c r="L1263" i="7"/>
  <c r="L1262" i="7"/>
  <c r="L1261" i="7"/>
  <c r="L1260" i="7"/>
  <c r="L1259" i="7"/>
  <c r="L1258" i="7"/>
  <c r="L1257" i="7"/>
  <c r="L1256" i="7"/>
  <c r="L1255" i="7"/>
  <c r="L1254" i="7"/>
  <c r="L1253" i="7"/>
  <c r="L1252" i="7"/>
  <c r="L1251" i="7"/>
  <c r="L1250" i="7"/>
  <c r="L1249" i="7"/>
  <c r="L1248" i="7"/>
  <c r="L1247" i="7"/>
  <c r="L1246" i="7"/>
  <c r="L1245" i="7"/>
  <c r="L1244" i="7"/>
  <c r="L1243" i="7"/>
  <c r="L1242" i="7"/>
  <c r="L1241" i="7"/>
  <c r="L1240" i="7"/>
  <c r="L1239" i="7"/>
  <c r="L1238" i="7"/>
  <c r="L1237" i="7"/>
  <c r="L1236" i="7"/>
  <c r="L1235" i="7"/>
  <c r="L1234" i="7"/>
  <c r="L1233" i="7"/>
  <c r="L1232" i="7"/>
  <c r="L1231" i="7"/>
  <c r="L1230" i="7"/>
  <c r="L1229" i="7"/>
  <c r="L1228" i="7"/>
  <c r="L1227" i="7"/>
  <c r="L1226" i="7"/>
  <c r="L1225" i="7"/>
  <c r="L1224" i="7"/>
  <c r="L1223" i="7"/>
  <c r="L1222" i="7"/>
  <c r="L1221" i="7"/>
  <c r="L1220" i="7"/>
  <c r="L1219" i="7"/>
  <c r="L1218" i="7"/>
  <c r="L1217" i="7"/>
  <c r="L1216" i="7"/>
  <c r="L1215" i="7"/>
  <c r="L1214" i="7"/>
  <c r="L1213" i="7"/>
  <c r="L1212" i="7"/>
  <c r="L1211" i="7"/>
  <c r="L1210" i="7"/>
  <c r="L1209" i="7"/>
  <c r="L1208" i="7"/>
  <c r="L1207" i="7"/>
  <c r="L1206" i="7"/>
  <c r="L1205" i="7"/>
  <c r="L1204" i="7"/>
  <c r="L1203" i="7"/>
  <c r="L1202" i="7"/>
  <c r="K301" i="5"/>
  <c r="K300" i="5"/>
  <c r="K299" i="5"/>
  <c r="K298" i="5"/>
  <c r="K297" i="5"/>
  <c r="K296" i="5"/>
  <c r="K295" i="5"/>
  <c r="K294" i="5"/>
  <c r="K293" i="5"/>
  <c r="K292" i="5"/>
  <c r="K291" i="5"/>
  <c r="K290" i="5"/>
  <c r="K289" i="5"/>
  <c r="K288" i="5"/>
  <c r="K287" i="5"/>
  <c r="K286" i="5"/>
  <c r="K285" i="5"/>
  <c r="K284" i="5"/>
  <c r="K283" i="5"/>
  <c r="K282" i="5"/>
  <c r="K281" i="5"/>
  <c r="K280" i="5"/>
  <c r="K279" i="5"/>
  <c r="K278" i="5"/>
  <c r="K277" i="5"/>
  <c r="K276" i="5"/>
  <c r="K275" i="5"/>
  <c r="K274" i="5"/>
  <c r="K273" i="5"/>
  <c r="K272" i="5"/>
  <c r="K271" i="5"/>
  <c r="K270" i="5"/>
  <c r="K269" i="5"/>
  <c r="K268" i="5"/>
  <c r="K267" i="5"/>
  <c r="K266" i="5"/>
  <c r="K265" i="5"/>
  <c r="K264" i="5"/>
  <c r="K263" i="5"/>
  <c r="K262" i="5"/>
  <c r="K261" i="5"/>
  <c r="K260" i="5"/>
  <c r="K259" i="5"/>
  <c r="K258" i="5"/>
  <c r="K257" i="5"/>
  <c r="K256" i="5"/>
  <c r="K255" i="5"/>
  <c r="K254" i="5"/>
  <c r="K253" i="5"/>
  <c r="K252" i="5"/>
  <c r="K251" i="5"/>
  <c r="K250" i="5"/>
  <c r="K249" i="5"/>
  <c r="K248" i="5"/>
  <c r="K247" i="5"/>
  <c r="K246" i="5"/>
  <c r="K245" i="5"/>
  <c r="K244" i="5"/>
  <c r="K243" i="5"/>
  <c r="K242" i="5"/>
  <c r="K241" i="5"/>
  <c r="K240" i="5"/>
  <c r="K239" i="5"/>
  <c r="K238" i="5"/>
  <c r="K237" i="5"/>
  <c r="K236" i="5"/>
  <c r="K235" i="5"/>
  <c r="K234" i="5"/>
  <c r="K233" i="5"/>
  <c r="K232" i="5"/>
  <c r="K231" i="5"/>
  <c r="K230" i="5"/>
  <c r="K229" i="5"/>
  <c r="K228" i="5"/>
  <c r="K227" i="5"/>
  <c r="K226" i="5"/>
  <c r="K225" i="5"/>
  <c r="K224" i="5"/>
  <c r="K223" i="5"/>
  <c r="K222" i="5"/>
  <c r="K221" i="5"/>
  <c r="K220" i="5"/>
  <c r="K219" i="5"/>
  <c r="K218" i="5"/>
  <c r="K217" i="5"/>
  <c r="K216" i="5"/>
  <c r="K215" i="5"/>
  <c r="K214" i="5"/>
  <c r="K213" i="5"/>
  <c r="K212" i="5"/>
  <c r="K211" i="5"/>
  <c r="K210" i="5"/>
  <c r="K209" i="5"/>
  <c r="K208" i="5"/>
  <c r="K207" i="5"/>
  <c r="K206" i="5"/>
  <c r="K205" i="5"/>
  <c r="K204" i="5"/>
  <c r="K203" i="5"/>
  <c r="K202" i="5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8" i="2"/>
  <c r="G1201" i="7"/>
  <c r="L1201" i="7" s="1"/>
  <c r="G1200" i="7"/>
  <c r="L1200" i="7" s="1"/>
  <c r="G1199" i="7"/>
  <c r="L1199" i="7" s="1"/>
  <c r="G1198" i="7"/>
  <c r="L1198" i="7" s="1"/>
  <c r="G1197" i="7"/>
  <c r="L1197" i="7" s="1"/>
  <c r="G1196" i="7"/>
  <c r="L1196" i="7" s="1"/>
  <c r="G1195" i="7"/>
  <c r="L1195" i="7" s="1"/>
  <c r="G1194" i="7"/>
  <c r="L1194" i="7" s="1"/>
  <c r="G1193" i="7"/>
  <c r="L1193" i="7" s="1"/>
  <c r="G1192" i="7"/>
  <c r="L1192" i="7" s="1"/>
  <c r="G1191" i="7"/>
  <c r="L1191" i="7" s="1"/>
  <c r="G1190" i="7"/>
  <c r="L1190" i="7" s="1"/>
  <c r="G1189" i="7"/>
  <c r="L1189" i="7" s="1"/>
  <c r="G1188" i="7"/>
  <c r="L1188" i="7" s="1"/>
  <c r="G1187" i="7"/>
  <c r="L1187" i="7" s="1"/>
  <c r="G1186" i="7"/>
  <c r="L1186" i="7" s="1"/>
  <c r="G1185" i="7"/>
  <c r="L1185" i="7" s="1"/>
  <c r="G1184" i="7"/>
  <c r="G1183" i="7"/>
  <c r="L1183" i="7" s="1"/>
  <c r="G1182" i="7"/>
  <c r="L1182" i="7" s="1"/>
  <c r="G1181" i="7"/>
  <c r="L1181" i="7" s="1"/>
  <c r="G1180" i="7"/>
  <c r="L1180" i="7" s="1"/>
  <c r="G1179" i="7"/>
  <c r="L1179" i="7" s="1"/>
  <c r="G1178" i="7"/>
  <c r="G1177" i="7"/>
  <c r="L1177" i="7" s="1"/>
  <c r="G1176" i="7"/>
  <c r="L1176" i="7" s="1"/>
  <c r="G1175" i="7"/>
  <c r="L1175" i="7" s="1"/>
  <c r="G1174" i="7"/>
  <c r="L1174" i="7" s="1"/>
  <c r="G1173" i="7"/>
  <c r="L1173" i="7" s="1"/>
  <c r="G1172" i="7"/>
  <c r="G1171" i="7"/>
  <c r="L1171" i="7" s="1"/>
  <c r="G1170" i="7"/>
  <c r="L1170" i="7" s="1"/>
  <c r="G1169" i="7"/>
  <c r="L1169" i="7" s="1"/>
  <c r="G1168" i="7"/>
  <c r="L1168" i="7" s="1"/>
  <c r="G1167" i="7"/>
  <c r="L1167" i="7" s="1"/>
  <c r="G1166" i="7"/>
  <c r="G1165" i="7"/>
  <c r="L1165" i="7" s="1"/>
  <c r="G1164" i="7"/>
  <c r="L1164" i="7" s="1"/>
  <c r="G1163" i="7"/>
  <c r="L1163" i="7" s="1"/>
  <c r="G1162" i="7"/>
  <c r="L1162" i="7" s="1"/>
  <c r="G1161" i="7"/>
  <c r="L1161" i="7" s="1"/>
  <c r="G1160" i="7"/>
  <c r="G1159" i="7"/>
  <c r="L1159" i="7" s="1"/>
  <c r="G1158" i="7"/>
  <c r="L1158" i="7" s="1"/>
  <c r="G1157" i="7"/>
  <c r="L1157" i="7" s="1"/>
  <c r="G1156" i="7"/>
  <c r="L1156" i="7" s="1"/>
  <c r="G1155" i="7"/>
  <c r="L1155" i="7" s="1"/>
  <c r="G1154" i="7"/>
  <c r="L1154" i="7" s="1"/>
  <c r="G1153" i="7"/>
  <c r="L1153" i="7" s="1"/>
  <c r="G1152" i="7"/>
  <c r="L1152" i="7" s="1"/>
  <c r="G1151" i="7"/>
  <c r="L1151" i="7" s="1"/>
  <c r="G1150" i="7"/>
  <c r="L1150" i="7" s="1"/>
  <c r="G1149" i="7"/>
  <c r="L1149" i="7" s="1"/>
  <c r="G1148" i="7"/>
  <c r="L1148" i="7" s="1"/>
  <c r="G1147" i="7"/>
  <c r="L1147" i="7" s="1"/>
  <c r="G1146" i="7"/>
  <c r="L1146" i="7" s="1"/>
  <c r="G1145" i="7"/>
  <c r="L1145" i="7" s="1"/>
  <c r="G1144" i="7"/>
  <c r="L1144" i="7" s="1"/>
  <c r="G1143" i="7"/>
  <c r="L1143" i="7" s="1"/>
  <c r="G1142" i="7"/>
  <c r="G1141" i="7"/>
  <c r="L1141" i="7" s="1"/>
  <c r="G1140" i="7"/>
  <c r="L1140" i="7" s="1"/>
  <c r="G1139" i="7"/>
  <c r="L1139" i="7" s="1"/>
  <c r="G1138" i="7"/>
  <c r="L1138" i="7" s="1"/>
  <c r="G1137" i="7"/>
  <c r="L1137" i="7" s="1"/>
  <c r="G1136" i="7"/>
  <c r="G1135" i="7"/>
  <c r="L1135" i="7" s="1"/>
  <c r="G1134" i="7"/>
  <c r="L1134" i="7" s="1"/>
  <c r="G1133" i="7"/>
  <c r="L1133" i="7" s="1"/>
  <c r="G1132" i="7"/>
  <c r="L1132" i="7" s="1"/>
  <c r="G1131" i="7"/>
  <c r="L1131" i="7" s="1"/>
  <c r="G1130" i="7"/>
  <c r="L1130" i="7" s="1"/>
  <c r="G1129" i="7"/>
  <c r="L1129" i="7" s="1"/>
  <c r="G1128" i="7"/>
  <c r="L1128" i="7" s="1"/>
  <c r="G1127" i="7"/>
  <c r="L1127" i="7" s="1"/>
  <c r="G1126" i="7"/>
  <c r="L1126" i="7" s="1"/>
  <c r="G1125" i="7"/>
  <c r="L1125" i="7" s="1"/>
  <c r="G1124" i="7"/>
  <c r="L1124" i="7" s="1"/>
  <c r="G1123" i="7"/>
  <c r="L1123" i="7" s="1"/>
  <c r="G1122" i="7"/>
  <c r="L1122" i="7" s="1"/>
  <c r="G1121" i="7"/>
  <c r="L1121" i="7" s="1"/>
  <c r="G1120" i="7"/>
  <c r="L1120" i="7" s="1"/>
  <c r="G1119" i="7"/>
  <c r="L1119" i="7" s="1"/>
  <c r="G1118" i="7"/>
  <c r="G1117" i="7"/>
  <c r="L1117" i="7" s="1"/>
  <c r="G1116" i="7"/>
  <c r="L1116" i="7" s="1"/>
  <c r="G1115" i="7"/>
  <c r="L1115" i="7" s="1"/>
  <c r="G1114" i="7"/>
  <c r="L1114" i="7" s="1"/>
  <c r="G1113" i="7"/>
  <c r="L1113" i="7" s="1"/>
  <c r="G1112" i="7"/>
  <c r="L1112" i="7" s="1"/>
  <c r="G1111" i="7"/>
  <c r="L1111" i="7" s="1"/>
  <c r="G1110" i="7"/>
  <c r="L1110" i="7" s="1"/>
  <c r="G1109" i="7"/>
  <c r="L1109" i="7" s="1"/>
  <c r="G1108" i="7"/>
  <c r="L1108" i="7" s="1"/>
  <c r="G1107" i="7"/>
  <c r="L1107" i="7" s="1"/>
  <c r="G1106" i="7"/>
  <c r="G1105" i="7"/>
  <c r="L1105" i="7" s="1"/>
  <c r="G1104" i="7"/>
  <c r="L1104" i="7" s="1"/>
  <c r="G1103" i="7"/>
  <c r="L1103" i="7" s="1"/>
  <c r="G1102" i="7"/>
  <c r="L1102" i="7" s="1"/>
  <c r="G1101" i="7"/>
  <c r="L1101" i="7" s="1"/>
  <c r="G1100" i="7"/>
  <c r="L1100" i="7" s="1"/>
  <c r="G1099" i="7"/>
  <c r="L1099" i="7" s="1"/>
  <c r="G1098" i="7"/>
  <c r="L1098" i="7" s="1"/>
  <c r="G1097" i="7"/>
  <c r="L1097" i="7" s="1"/>
  <c r="G1096" i="7"/>
  <c r="L1096" i="7" s="1"/>
  <c r="G1095" i="7"/>
  <c r="L1095" i="7" s="1"/>
  <c r="G1094" i="7"/>
  <c r="G1093" i="7"/>
  <c r="L1093" i="7" s="1"/>
  <c r="G1092" i="7"/>
  <c r="L1092" i="7" s="1"/>
  <c r="G1091" i="7"/>
  <c r="L1091" i="7" s="1"/>
  <c r="G1090" i="7"/>
  <c r="L1090" i="7" s="1"/>
  <c r="G1089" i="7"/>
  <c r="L1089" i="7" s="1"/>
  <c r="G1088" i="7"/>
  <c r="G1087" i="7"/>
  <c r="L1087" i="7" s="1"/>
  <c r="G1086" i="7"/>
  <c r="L1086" i="7" s="1"/>
  <c r="G1085" i="7"/>
  <c r="L1085" i="7" s="1"/>
  <c r="G1084" i="7"/>
  <c r="L1084" i="7" s="1"/>
  <c r="G1083" i="7"/>
  <c r="L1083" i="7" s="1"/>
  <c r="G1082" i="7"/>
  <c r="G1081" i="7"/>
  <c r="L1081" i="7" s="1"/>
  <c r="G1080" i="7"/>
  <c r="L1080" i="7" s="1"/>
  <c r="G1079" i="7"/>
  <c r="L1079" i="7" s="1"/>
  <c r="G1078" i="7"/>
  <c r="L1078" i="7" s="1"/>
  <c r="G1077" i="7"/>
  <c r="L1077" i="7" s="1"/>
  <c r="G1076" i="7"/>
  <c r="G1075" i="7"/>
  <c r="L1075" i="7" s="1"/>
  <c r="G1074" i="7"/>
  <c r="L1074" i="7" s="1"/>
  <c r="G1073" i="7"/>
  <c r="L1073" i="7" s="1"/>
  <c r="G1072" i="7"/>
  <c r="L1072" i="7" s="1"/>
  <c r="G1071" i="7"/>
  <c r="L1071" i="7" s="1"/>
  <c r="G1070" i="7"/>
  <c r="L1070" i="7" s="1"/>
  <c r="G1069" i="7"/>
  <c r="L1069" i="7" s="1"/>
  <c r="G1068" i="7"/>
  <c r="L1068" i="7" s="1"/>
  <c r="G1067" i="7"/>
  <c r="L1067" i="7" s="1"/>
  <c r="G1066" i="7"/>
  <c r="L1066" i="7" s="1"/>
  <c r="G1065" i="7"/>
  <c r="L1065" i="7" s="1"/>
  <c r="G1064" i="7"/>
  <c r="L1064" i="7" s="1"/>
  <c r="G1063" i="7"/>
  <c r="L1063" i="7" s="1"/>
  <c r="G1062" i="7"/>
  <c r="L1062" i="7" s="1"/>
  <c r="G1061" i="7"/>
  <c r="L1061" i="7" s="1"/>
  <c r="G1060" i="7"/>
  <c r="L1060" i="7" s="1"/>
  <c r="G1059" i="7"/>
  <c r="L1059" i="7" s="1"/>
  <c r="G1058" i="7"/>
  <c r="L1058" i="7" s="1"/>
  <c r="G1057" i="7"/>
  <c r="L1057" i="7" s="1"/>
  <c r="G1056" i="7"/>
  <c r="L1056" i="7" s="1"/>
  <c r="G1055" i="7"/>
  <c r="L1055" i="7" s="1"/>
  <c r="G1054" i="7"/>
  <c r="L1054" i="7" s="1"/>
  <c r="G1053" i="7"/>
  <c r="L1053" i="7" s="1"/>
  <c r="G1052" i="7"/>
  <c r="L1052" i="7" s="1"/>
  <c r="G1051" i="7"/>
  <c r="L1051" i="7" s="1"/>
  <c r="G1050" i="7"/>
  <c r="L1050" i="7" s="1"/>
  <c r="G1049" i="7"/>
  <c r="L1049" i="7" s="1"/>
  <c r="G1048" i="7"/>
  <c r="L1048" i="7" s="1"/>
  <c r="G1047" i="7"/>
  <c r="L1047" i="7" s="1"/>
  <c r="G1046" i="7"/>
  <c r="G1045" i="7"/>
  <c r="L1045" i="7" s="1"/>
  <c r="G1044" i="7"/>
  <c r="L1044" i="7" s="1"/>
  <c r="G1043" i="7"/>
  <c r="L1043" i="7" s="1"/>
  <c r="G1042" i="7"/>
  <c r="L1042" i="7" s="1"/>
  <c r="G1041" i="7"/>
  <c r="L1041" i="7" s="1"/>
  <c r="G1040" i="7"/>
  <c r="G1039" i="7"/>
  <c r="L1039" i="7" s="1"/>
  <c r="G1038" i="7"/>
  <c r="L1038" i="7" s="1"/>
  <c r="G1037" i="7"/>
  <c r="L1037" i="7" s="1"/>
  <c r="G1036" i="7"/>
  <c r="L1036" i="7" s="1"/>
  <c r="G1035" i="7"/>
  <c r="L1035" i="7" s="1"/>
  <c r="G1034" i="7"/>
  <c r="G1033" i="7"/>
  <c r="L1033" i="7" s="1"/>
  <c r="G1032" i="7"/>
  <c r="L1032" i="7" s="1"/>
  <c r="G1031" i="7"/>
  <c r="L1031" i="7" s="1"/>
  <c r="G1030" i="7"/>
  <c r="L1030" i="7" s="1"/>
  <c r="G1029" i="7"/>
  <c r="L1029" i="7" s="1"/>
  <c r="G1028" i="7"/>
  <c r="G1027" i="7"/>
  <c r="L1027" i="7" s="1"/>
  <c r="G1026" i="7"/>
  <c r="L1026" i="7" s="1"/>
  <c r="G1025" i="7"/>
  <c r="L1025" i="7" s="1"/>
  <c r="G1024" i="7"/>
  <c r="L1024" i="7" s="1"/>
  <c r="G1023" i="7"/>
  <c r="L1023" i="7" s="1"/>
  <c r="G1022" i="7"/>
  <c r="L1022" i="7" s="1"/>
  <c r="G1021" i="7"/>
  <c r="L1021" i="7" s="1"/>
  <c r="G1020" i="7"/>
  <c r="L1020" i="7" s="1"/>
  <c r="G1019" i="7"/>
  <c r="L1019" i="7" s="1"/>
  <c r="G1018" i="7"/>
  <c r="L1018" i="7" s="1"/>
  <c r="G1017" i="7"/>
  <c r="L1017" i="7" s="1"/>
  <c r="G1016" i="7"/>
  <c r="L1016" i="7" s="1"/>
  <c r="G1015" i="7"/>
  <c r="L1015" i="7" s="1"/>
  <c r="G1014" i="7"/>
  <c r="L1014" i="7" s="1"/>
  <c r="G1013" i="7"/>
  <c r="L1013" i="7" s="1"/>
  <c r="G1012" i="7"/>
  <c r="L1012" i="7" s="1"/>
  <c r="G1011" i="7"/>
  <c r="L1011" i="7" s="1"/>
  <c r="G1010" i="7"/>
  <c r="L1010" i="7" s="1"/>
  <c r="G1009" i="7"/>
  <c r="L1009" i="7" s="1"/>
  <c r="G1008" i="7"/>
  <c r="L1008" i="7" s="1"/>
  <c r="G1007" i="7"/>
  <c r="L1007" i="7" s="1"/>
  <c r="G1006" i="7"/>
  <c r="L1006" i="7" s="1"/>
  <c r="G1005" i="7"/>
  <c r="L1005" i="7" s="1"/>
  <c r="G1004" i="7"/>
  <c r="L1004" i="7" s="1"/>
  <c r="G1003" i="7"/>
  <c r="L1003" i="7" s="1"/>
  <c r="G1002" i="7"/>
  <c r="L1002" i="7" s="1"/>
  <c r="G1001" i="7"/>
  <c r="L1001" i="7" s="1"/>
  <c r="G1000" i="7"/>
  <c r="L1000" i="7" s="1"/>
  <c r="G999" i="7"/>
  <c r="L999" i="7" s="1"/>
  <c r="G998" i="7"/>
  <c r="G997" i="7"/>
  <c r="L997" i="7" s="1"/>
  <c r="G996" i="7"/>
  <c r="L996" i="7" s="1"/>
  <c r="G995" i="7"/>
  <c r="L995" i="7" s="1"/>
  <c r="G994" i="7"/>
  <c r="L994" i="7" s="1"/>
  <c r="G993" i="7"/>
  <c r="L993" i="7" s="1"/>
  <c r="G992" i="7"/>
  <c r="L992" i="7" s="1"/>
  <c r="G991" i="7"/>
  <c r="L991" i="7" s="1"/>
  <c r="G990" i="7"/>
  <c r="L990" i="7" s="1"/>
  <c r="G989" i="7"/>
  <c r="L989" i="7" s="1"/>
  <c r="G988" i="7"/>
  <c r="L988" i="7" s="1"/>
  <c r="G987" i="7"/>
  <c r="L987" i="7" s="1"/>
  <c r="G986" i="7"/>
  <c r="L986" i="7" s="1"/>
  <c r="G985" i="7"/>
  <c r="L985" i="7" s="1"/>
  <c r="G984" i="7"/>
  <c r="L984" i="7" s="1"/>
  <c r="G983" i="7"/>
  <c r="L983" i="7" s="1"/>
  <c r="G982" i="7"/>
  <c r="L982" i="7" s="1"/>
  <c r="G981" i="7"/>
  <c r="L981" i="7" s="1"/>
  <c r="G980" i="7"/>
  <c r="L980" i="7" s="1"/>
  <c r="G979" i="7"/>
  <c r="L979" i="7" s="1"/>
  <c r="G978" i="7"/>
  <c r="L978" i="7" s="1"/>
  <c r="G977" i="7"/>
  <c r="L977" i="7" s="1"/>
  <c r="G976" i="7"/>
  <c r="L976" i="7" s="1"/>
  <c r="G975" i="7"/>
  <c r="L975" i="7" s="1"/>
  <c r="G974" i="7"/>
  <c r="L974" i="7" s="1"/>
  <c r="G973" i="7"/>
  <c r="L973" i="7" s="1"/>
  <c r="G972" i="7"/>
  <c r="L972" i="7" s="1"/>
  <c r="G971" i="7"/>
  <c r="L971" i="7" s="1"/>
  <c r="G970" i="7"/>
  <c r="L970" i="7" s="1"/>
  <c r="G969" i="7"/>
  <c r="L969" i="7" s="1"/>
  <c r="G968" i="7"/>
  <c r="G967" i="7"/>
  <c r="L967" i="7" s="1"/>
  <c r="G966" i="7"/>
  <c r="L966" i="7" s="1"/>
  <c r="G965" i="7"/>
  <c r="L965" i="7" s="1"/>
  <c r="G964" i="7"/>
  <c r="L964" i="7" s="1"/>
  <c r="G963" i="7"/>
  <c r="L963" i="7" s="1"/>
  <c r="G962" i="7"/>
  <c r="L962" i="7" s="1"/>
  <c r="G961" i="7"/>
  <c r="L961" i="7" s="1"/>
  <c r="G960" i="7"/>
  <c r="L960" i="7" s="1"/>
  <c r="G959" i="7"/>
  <c r="L959" i="7" s="1"/>
  <c r="G958" i="7"/>
  <c r="L958" i="7" s="1"/>
  <c r="G957" i="7"/>
  <c r="L957" i="7" s="1"/>
  <c r="G956" i="7"/>
  <c r="L956" i="7" s="1"/>
  <c r="G955" i="7"/>
  <c r="L955" i="7" s="1"/>
  <c r="G954" i="7"/>
  <c r="L954" i="7" s="1"/>
  <c r="G953" i="7"/>
  <c r="L953" i="7" s="1"/>
  <c r="G952" i="7"/>
  <c r="L952" i="7" s="1"/>
  <c r="G951" i="7"/>
  <c r="L951" i="7" s="1"/>
  <c r="G950" i="7"/>
  <c r="L950" i="7" s="1"/>
  <c r="G949" i="7"/>
  <c r="L949" i="7" s="1"/>
  <c r="G948" i="7"/>
  <c r="L948" i="7" s="1"/>
  <c r="G947" i="7"/>
  <c r="L947" i="7" s="1"/>
  <c r="G946" i="7"/>
  <c r="L946" i="7" s="1"/>
  <c r="G945" i="7"/>
  <c r="L945" i="7" s="1"/>
  <c r="G944" i="7"/>
  <c r="G943" i="7"/>
  <c r="L943" i="7" s="1"/>
  <c r="G942" i="7"/>
  <c r="L942" i="7" s="1"/>
  <c r="G941" i="7"/>
  <c r="L941" i="7" s="1"/>
  <c r="G940" i="7"/>
  <c r="L940" i="7" s="1"/>
  <c r="G939" i="7"/>
  <c r="L939" i="7" s="1"/>
  <c r="G938" i="7"/>
  <c r="G937" i="7"/>
  <c r="L937" i="7" s="1"/>
  <c r="G936" i="7"/>
  <c r="L936" i="7" s="1"/>
  <c r="G935" i="7"/>
  <c r="L935" i="7" s="1"/>
  <c r="G934" i="7"/>
  <c r="L934" i="7" s="1"/>
  <c r="G933" i="7"/>
  <c r="L933" i="7" s="1"/>
  <c r="G932" i="7"/>
  <c r="L932" i="7" s="1"/>
  <c r="G931" i="7"/>
  <c r="L931" i="7" s="1"/>
  <c r="G930" i="7"/>
  <c r="L930" i="7" s="1"/>
  <c r="G929" i="7"/>
  <c r="L929" i="7" s="1"/>
  <c r="G928" i="7"/>
  <c r="L928" i="7" s="1"/>
  <c r="G927" i="7"/>
  <c r="L927" i="7" s="1"/>
  <c r="G926" i="7"/>
  <c r="L926" i="7" s="1"/>
  <c r="G925" i="7"/>
  <c r="L925" i="7" s="1"/>
  <c r="G924" i="7"/>
  <c r="L924" i="7" s="1"/>
  <c r="G923" i="7"/>
  <c r="L923" i="7" s="1"/>
  <c r="G922" i="7"/>
  <c r="L922" i="7" s="1"/>
  <c r="G921" i="7"/>
  <c r="L921" i="7" s="1"/>
  <c r="G920" i="7"/>
  <c r="G919" i="7"/>
  <c r="L919" i="7" s="1"/>
  <c r="G918" i="7"/>
  <c r="L918" i="7" s="1"/>
  <c r="G917" i="7"/>
  <c r="L917" i="7" s="1"/>
  <c r="G916" i="7"/>
  <c r="L916" i="7" s="1"/>
  <c r="G915" i="7"/>
  <c r="L915" i="7" s="1"/>
  <c r="G914" i="7"/>
  <c r="G913" i="7"/>
  <c r="L913" i="7" s="1"/>
  <c r="G912" i="7"/>
  <c r="L912" i="7" s="1"/>
  <c r="G911" i="7"/>
  <c r="L911" i="7" s="1"/>
  <c r="G910" i="7"/>
  <c r="L910" i="7" s="1"/>
  <c r="G909" i="7"/>
  <c r="L909" i="7" s="1"/>
  <c r="G908" i="7"/>
  <c r="G907" i="7"/>
  <c r="L907" i="7" s="1"/>
  <c r="G906" i="7"/>
  <c r="L906" i="7" s="1"/>
  <c r="G905" i="7"/>
  <c r="L905" i="7" s="1"/>
  <c r="G904" i="7"/>
  <c r="L904" i="7" s="1"/>
  <c r="G903" i="7"/>
  <c r="L903" i="7" s="1"/>
  <c r="G902" i="7"/>
  <c r="L902" i="7" s="1"/>
  <c r="G901" i="7"/>
  <c r="L901" i="7" s="1"/>
  <c r="G900" i="7"/>
  <c r="L900" i="7" s="1"/>
  <c r="G899" i="7"/>
  <c r="L899" i="7" s="1"/>
  <c r="G898" i="7"/>
  <c r="L898" i="7" s="1"/>
  <c r="G897" i="7"/>
  <c r="L897" i="7" s="1"/>
  <c r="G896" i="7"/>
  <c r="G895" i="7"/>
  <c r="L895" i="7" s="1"/>
  <c r="G894" i="7"/>
  <c r="L894" i="7" s="1"/>
  <c r="G893" i="7"/>
  <c r="L893" i="7" s="1"/>
  <c r="G892" i="7"/>
  <c r="L892" i="7" s="1"/>
  <c r="G891" i="7"/>
  <c r="L891" i="7" s="1"/>
  <c r="G890" i="7"/>
  <c r="G889" i="7"/>
  <c r="L889" i="7" s="1"/>
  <c r="G888" i="7"/>
  <c r="L888" i="7" s="1"/>
  <c r="G887" i="7"/>
  <c r="L887" i="7" s="1"/>
  <c r="G886" i="7"/>
  <c r="L886" i="7" s="1"/>
  <c r="G885" i="7"/>
  <c r="L885" i="7" s="1"/>
  <c r="G884" i="7"/>
  <c r="L884" i="7" s="1"/>
  <c r="G883" i="7"/>
  <c r="L883" i="7" s="1"/>
  <c r="G882" i="7"/>
  <c r="L882" i="7" s="1"/>
  <c r="G881" i="7"/>
  <c r="L881" i="7" s="1"/>
  <c r="G880" i="7"/>
  <c r="L880" i="7" s="1"/>
  <c r="G879" i="7"/>
  <c r="L879" i="7" s="1"/>
  <c r="G878" i="7"/>
  <c r="G877" i="7"/>
  <c r="L877" i="7" s="1"/>
  <c r="G876" i="7"/>
  <c r="L876" i="7" s="1"/>
  <c r="G875" i="7"/>
  <c r="L875" i="7" s="1"/>
  <c r="G874" i="7"/>
  <c r="L874" i="7" s="1"/>
  <c r="G873" i="7"/>
  <c r="L873" i="7" s="1"/>
  <c r="G872" i="7"/>
  <c r="L872" i="7" s="1"/>
  <c r="G871" i="7"/>
  <c r="L871" i="7" s="1"/>
  <c r="G870" i="7"/>
  <c r="L870" i="7" s="1"/>
  <c r="G869" i="7"/>
  <c r="L869" i="7" s="1"/>
  <c r="G868" i="7"/>
  <c r="L868" i="7" s="1"/>
  <c r="G867" i="7"/>
  <c r="L867" i="7" s="1"/>
  <c r="G866" i="7"/>
  <c r="G865" i="7"/>
  <c r="L865" i="7" s="1"/>
  <c r="G864" i="7"/>
  <c r="L864" i="7" s="1"/>
  <c r="G863" i="7"/>
  <c r="L863" i="7" s="1"/>
  <c r="G862" i="7"/>
  <c r="L862" i="7" s="1"/>
  <c r="G861" i="7"/>
  <c r="L861" i="7" s="1"/>
  <c r="G860" i="7"/>
  <c r="G859" i="7"/>
  <c r="L859" i="7" s="1"/>
  <c r="G858" i="7"/>
  <c r="L858" i="7" s="1"/>
  <c r="G857" i="7"/>
  <c r="L857" i="7" s="1"/>
  <c r="G856" i="7"/>
  <c r="L856" i="7" s="1"/>
  <c r="G855" i="7"/>
  <c r="L855" i="7" s="1"/>
  <c r="G854" i="7"/>
  <c r="G853" i="7"/>
  <c r="L853" i="7" s="1"/>
  <c r="G852" i="7"/>
  <c r="L852" i="7" s="1"/>
  <c r="G851" i="7"/>
  <c r="L851" i="7" s="1"/>
  <c r="G850" i="7"/>
  <c r="L850" i="7" s="1"/>
  <c r="G849" i="7"/>
  <c r="L849" i="7" s="1"/>
  <c r="G848" i="7"/>
  <c r="G847" i="7"/>
  <c r="L847" i="7" s="1"/>
  <c r="G846" i="7"/>
  <c r="L846" i="7" s="1"/>
  <c r="G845" i="7"/>
  <c r="L845" i="7" s="1"/>
  <c r="G844" i="7"/>
  <c r="L844" i="7" s="1"/>
  <c r="G843" i="7"/>
  <c r="L843" i="7" s="1"/>
  <c r="G842" i="7"/>
  <c r="G841" i="7"/>
  <c r="L841" i="7" s="1"/>
  <c r="G840" i="7"/>
  <c r="L840" i="7" s="1"/>
  <c r="G839" i="7"/>
  <c r="L839" i="7" s="1"/>
  <c r="G838" i="7"/>
  <c r="L838" i="7" s="1"/>
  <c r="G837" i="7"/>
  <c r="L837" i="7" s="1"/>
  <c r="G836" i="7"/>
  <c r="G835" i="7"/>
  <c r="L835" i="7" s="1"/>
  <c r="G834" i="7"/>
  <c r="L834" i="7" s="1"/>
  <c r="G833" i="7"/>
  <c r="L833" i="7" s="1"/>
  <c r="G832" i="7"/>
  <c r="L832" i="7" s="1"/>
  <c r="G831" i="7"/>
  <c r="L831" i="7" s="1"/>
  <c r="G830" i="7"/>
  <c r="G829" i="7"/>
  <c r="L829" i="7" s="1"/>
  <c r="G828" i="7"/>
  <c r="L828" i="7" s="1"/>
  <c r="G827" i="7"/>
  <c r="L827" i="7" s="1"/>
  <c r="G826" i="7"/>
  <c r="L826" i="7" s="1"/>
  <c r="G825" i="7"/>
  <c r="L825" i="7" s="1"/>
  <c r="G824" i="7"/>
  <c r="L824" i="7" s="1"/>
  <c r="G823" i="7"/>
  <c r="L823" i="7" s="1"/>
  <c r="G822" i="7"/>
  <c r="L822" i="7" s="1"/>
  <c r="G821" i="7"/>
  <c r="L821" i="7" s="1"/>
  <c r="G820" i="7"/>
  <c r="L820" i="7" s="1"/>
  <c r="G819" i="7"/>
  <c r="L819" i="7" s="1"/>
  <c r="G818" i="7"/>
  <c r="G817" i="7"/>
  <c r="L817" i="7" s="1"/>
  <c r="G816" i="7"/>
  <c r="L816" i="7" s="1"/>
  <c r="G815" i="7"/>
  <c r="L815" i="7" s="1"/>
  <c r="G814" i="7"/>
  <c r="L814" i="7" s="1"/>
  <c r="G813" i="7"/>
  <c r="L813" i="7" s="1"/>
  <c r="G812" i="7"/>
  <c r="L812" i="7" s="1"/>
  <c r="G811" i="7"/>
  <c r="L811" i="7" s="1"/>
  <c r="G810" i="7"/>
  <c r="L810" i="7" s="1"/>
  <c r="G809" i="7"/>
  <c r="L809" i="7" s="1"/>
  <c r="G808" i="7"/>
  <c r="L808" i="7" s="1"/>
  <c r="G807" i="7"/>
  <c r="L807" i="7" s="1"/>
  <c r="G806" i="7"/>
  <c r="G805" i="7"/>
  <c r="L805" i="7" s="1"/>
  <c r="G804" i="7"/>
  <c r="L804" i="7" s="1"/>
  <c r="G803" i="7"/>
  <c r="L803" i="7" s="1"/>
  <c r="G802" i="7"/>
  <c r="L802" i="7" s="1"/>
  <c r="G801" i="7"/>
  <c r="L801" i="7" s="1"/>
  <c r="G800" i="7"/>
  <c r="G799" i="7"/>
  <c r="L799" i="7" s="1"/>
  <c r="G798" i="7"/>
  <c r="L798" i="7" s="1"/>
  <c r="G797" i="7"/>
  <c r="L797" i="7" s="1"/>
  <c r="G796" i="7"/>
  <c r="L796" i="7" s="1"/>
  <c r="G795" i="7"/>
  <c r="L795" i="7" s="1"/>
  <c r="G794" i="7"/>
  <c r="L794" i="7" s="1"/>
  <c r="G793" i="7"/>
  <c r="L793" i="7" s="1"/>
  <c r="G792" i="7"/>
  <c r="L792" i="7" s="1"/>
  <c r="G791" i="7"/>
  <c r="L791" i="7" s="1"/>
  <c r="G790" i="7"/>
  <c r="L790" i="7" s="1"/>
  <c r="G789" i="7"/>
  <c r="L789" i="7" s="1"/>
  <c r="G788" i="7"/>
  <c r="G787" i="7"/>
  <c r="L787" i="7" s="1"/>
  <c r="G786" i="7"/>
  <c r="L786" i="7" s="1"/>
  <c r="G785" i="7"/>
  <c r="L785" i="7" s="1"/>
  <c r="G784" i="7"/>
  <c r="L784" i="7" s="1"/>
  <c r="G783" i="7"/>
  <c r="L783" i="7" s="1"/>
  <c r="G782" i="7"/>
  <c r="L782" i="7" s="1"/>
  <c r="G781" i="7"/>
  <c r="L781" i="7" s="1"/>
  <c r="G780" i="7"/>
  <c r="L780" i="7" s="1"/>
  <c r="G779" i="7"/>
  <c r="L779" i="7" s="1"/>
  <c r="G778" i="7"/>
  <c r="L778" i="7" s="1"/>
  <c r="G777" i="7"/>
  <c r="L777" i="7" s="1"/>
  <c r="G776" i="7"/>
  <c r="L776" i="7" s="1"/>
  <c r="G775" i="7"/>
  <c r="L775" i="7" s="1"/>
  <c r="G774" i="7"/>
  <c r="L774" i="7" s="1"/>
  <c r="G773" i="7"/>
  <c r="L773" i="7" s="1"/>
  <c r="G772" i="7"/>
  <c r="L772" i="7" s="1"/>
  <c r="G771" i="7"/>
  <c r="L771" i="7" s="1"/>
  <c r="G770" i="7"/>
  <c r="G769" i="7"/>
  <c r="L769" i="7" s="1"/>
  <c r="G768" i="7"/>
  <c r="L768" i="7" s="1"/>
  <c r="G767" i="7"/>
  <c r="L767" i="7" s="1"/>
  <c r="G766" i="7"/>
  <c r="L766" i="7" s="1"/>
  <c r="G765" i="7"/>
  <c r="L765" i="7" s="1"/>
  <c r="G764" i="7"/>
  <c r="L764" i="7" s="1"/>
  <c r="G763" i="7"/>
  <c r="L763" i="7" s="1"/>
  <c r="G762" i="7"/>
  <c r="L762" i="7" s="1"/>
  <c r="G761" i="7"/>
  <c r="L761" i="7" s="1"/>
  <c r="G760" i="7"/>
  <c r="L760" i="7" s="1"/>
  <c r="G759" i="7"/>
  <c r="L759" i="7" s="1"/>
  <c r="G758" i="7"/>
  <c r="L758" i="7" s="1"/>
  <c r="G757" i="7"/>
  <c r="L757" i="7" s="1"/>
  <c r="G756" i="7"/>
  <c r="L756" i="7" s="1"/>
  <c r="G755" i="7"/>
  <c r="L755" i="7" s="1"/>
  <c r="G754" i="7"/>
  <c r="L754" i="7" s="1"/>
  <c r="G753" i="7"/>
  <c r="L753" i="7" s="1"/>
  <c r="G752" i="7"/>
  <c r="L752" i="7" s="1"/>
  <c r="G751" i="7"/>
  <c r="L751" i="7" s="1"/>
  <c r="G750" i="7"/>
  <c r="L750" i="7" s="1"/>
  <c r="G749" i="7"/>
  <c r="L749" i="7" s="1"/>
  <c r="G748" i="7"/>
  <c r="L748" i="7" s="1"/>
  <c r="G747" i="7"/>
  <c r="L747" i="7" s="1"/>
  <c r="G746" i="7"/>
  <c r="L746" i="7" s="1"/>
  <c r="G745" i="7"/>
  <c r="L745" i="7" s="1"/>
  <c r="G744" i="7"/>
  <c r="L744" i="7" s="1"/>
  <c r="G743" i="7"/>
  <c r="L743" i="7" s="1"/>
  <c r="G742" i="7"/>
  <c r="L742" i="7" s="1"/>
  <c r="G741" i="7"/>
  <c r="L741" i="7" s="1"/>
  <c r="G740" i="7"/>
  <c r="L740" i="7" s="1"/>
  <c r="G739" i="7"/>
  <c r="L739" i="7" s="1"/>
  <c r="G738" i="7"/>
  <c r="L738" i="7" s="1"/>
  <c r="G737" i="7"/>
  <c r="L737" i="7" s="1"/>
  <c r="G736" i="7"/>
  <c r="L736" i="7" s="1"/>
  <c r="G735" i="7"/>
  <c r="L735" i="7" s="1"/>
  <c r="G734" i="7"/>
  <c r="L734" i="7" s="1"/>
  <c r="G733" i="7"/>
  <c r="L733" i="7" s="1"/>
  <c r="G732" i="7"/>
  <c r="L732" i="7" s="1"/>
  <c r="G731" i="7"/>
  <c r="L731" i="7" s="1"/>
  <c r="G730" i="7"/>
  <c r="L730" i="7" s="1"/>
  <c r="G729" i="7"/>
  <c r="L729" i="7" s="1"/>
  <c r="G728" i="7"/>
  <c r="L728" i="7" s="1"/>
  <c r="G727" i="7"/>
  <c r="L727" i="7" s="1"/>
  <c r="G726" i="7"/>
  <c r="L726" i="7" s="1"/>
  <c r="G725" i="7"/>
  <c r="L725" i="7" s="1"/>
  <c r="G724" i="7"/>
  <c r="L724" i="7" s="1"/>
  <c r="G723" i="7"/>
  <c r="L723" i="7" s="1"/>
  <c r="G722" i="7"/>
  <c r="G721" i="7"/>
  <c r="L721" i="7" s="1"/>
  <c r="G720" i="7"/>
  <c r="L720" i="7" s="1"/>
  <c r="G719" i="7"/>
  <c r="L719" i="7" s="1"/>
  <c r="G718" i="7"/>
  <c r="L718" i="7" s="1"/>
  <c r="G717" i="7"/>
  <c r="L717" i="7" s="1"/>
  <c r="G716" i="7"/>
  <c r="G715" i="7"/>
  <c r="L715" i="7" s="1"/>
  <c r="G714" i="7"/>
  <c r="L714" i="7" s="1"/>
  <c r="G713" i="7"/>
  <c r="L713" i="7" s="1"/>
  <c r="G712" i="7"/>
  <c r="L712" i="7" s="1"/>
  <c r="G711" i="7"/>
  <c r="L711" i="7" s="1"/>
  <c r="G710" i="7"/>
  <c r="G709" i="7"/>
  <c r="L709" i="7" s="1"/>
  <c r="G708" i="7"/>
  <c r="L708" i="7" s="1"/>
  <c r="G707" i="7"/>
  <c r="L707" i="7" s="1"/>
  <c r="G706" i="7"/>
  <c r="L706" i="7" s="1"/>
  <c r="G705" i="7"/>
  <c r="L705" i="7" s="1"/>
  <c r="G704" i="7"/>
  <c r="L704" i="7" s="1"/>
  <c r="G703" i="7"/>
  <c r="L703" i="7" s="1"/>
  <c r="G702" i="7"/>
  <c r="L702" i="7" s="1"/>
  <c r="G701" i="7"/>
  <c r="L701" i="7" s="1"/>
  <c r="G700" i="7"/>
  <c r="L700" i="7" s="1"/>
  <c r="G699" i="7"/>
  <c r="L699" i="7" s="1"/>
  <c r="G698" i="7"/>
  <c r="L698" i="7" s="1"/>
  <c r="G697" i="7"/>
  <c r="L697" i="7" s="1"/>
  <c r="G696" i="7"/>
  <c r="L696" i="7" s="1"/>
  <c r="G695" i="7"/>
  <c r="L695" i="7" s="1"/>
  <c r="G694" i="7"/>
  <c r="L694" i="7" s="1"/>
  <c r="G693" i="7"/>
  <c r="L693" i="7" s="1"/>
  <c r="G692" i="7"/>
  <c r="G691" i="7"/>
  <c r="L691" i="7" s="1"/>
  <c r="G690" i="7"/>
  <c r="L690" i="7" s="1"/>
  <c r="G689" i="7"/>
  <c r="L689" i="7" s="1"/>
  <c r="G688" i="7"/>
  <c r="L688" i="7" s="1"/>
  <c r="G687" i="7"/>
  <c r="L687" i="7" s="1"/>
  <c r="G686" i="7"/>
  <c r="L686" i="7" s="1"/>
  <c r="G685" i="7"/>
  <c r="L685" i="7" s="1"/>
  <c r="G684" i="7"/>
  <c r="L684" i="7" s="1"/>
  <c r="G683" i="7"/>
  <c r="L683" i="7" s="1"/>
  <c r="G682" i="7"/>
  <c r="L682" i="7" s="1"/>
  <c r="G681" i="7"/>
  <c r="L681" i="7" s="1"/>
  <c r="G680" i="7"/>
  <c r="G679" i="7"/>
  <c r="L679" i="7" s="1"/>
  <c r="G678" i="7"/>
  <c r="L678" i="7" s="1"/>
  <c r="G677" i="7"/>
  <c r="L677" i="7" s="1"/>
  <c r="G676" i="7"/>
  <c r="L676" i="7" s="1"/>
  <c r="G675" i="7"/>
  <c r="L675" i="7" s="1"/>
  <c r="G674" i="7"/>
  <c r="L674" i="7" s="1"/>
  <c r="G673" i="7"/>
  <c r="L673" i="7" s="1"/>
  <c r="G672" i="7"/>
  <c r="L672" i="7" s="1"/>
  <c r="G671" i="7"/>
  <c r="L671" i="7" s="1"/>
  <c r="G670" i="7"/>
  <c r="L670" i="7" s="1"/>
  <c r="G669" i="7"/>
  <c r="L669" i="7" s="1"/>
  <c r="G668" i="7"/>
  <c r="L668" i="7" s="1"/>
  <c r="G667" i="7"/>
  <c r="L667" i="7" s="1"/>
  <c r="G666" i="7"/>
  <c r="L666" i="7" s="1"/>
  <c r="G665" i="7"/>
  <c r="L665" i="7" s="1"/>
  <c r="G664" i="7"/>
  <c r="L664" i="7" s="1"/>
  <c r="G663" i="7"/>
  <c r="L663" i="7" s="1"/>
  <c r="G662" i="7"/>
  <c r="G661" i="7"/>
  <c r="L661" i="7" s="1"/>
  <c r="G660" i="7"/>
  <c r="L660" i="7" s="1"/>
  <c r="G659" i="7"/>
  <c r="L659" i="7" s="1"/>
  <c r="G658" i="7"/>
  <c r="L658" i="7" s="1"/>
  <c r="G657" i="7"/>
  <c r="L657" i="7" s="1"/>
  <c r="G656" i="7"/>
  <c r="G655" i="7"/>
  <c r="L655" i="7" s="1"/>
  <c r="G654" i="7"/>
  <c r="L654" i="7" s="1"/>
  <c r="G653" i="7"/>
  <c r="L653" i="7" s="1"/>
  <c r="G652" i="7"/>
  <c r="L652" i="7" s="1"/>
  <c r="G651" i="7"/>
  <c r="L651" i="7" s="1"/>
  <c r="G650" i="7"/>
  <c r="L650" i="7" s="1"/>
  <c r="G649" i="7"/>
  <c r="L649" i="7" s="1"/>
  <c r="G648" i="7"/>
  <c r="L648" i="7" s="1"/>
  <c r="G647" i="7"/>
  <c r="L647" i="7" s="1"/>
  <c r="G646" i="7"/>
  <c r="L646" i="7" s="1"/>
  <c r="G645" i="7"/>
  <c r="L645" i="7" s="1"/>
  <c r="G644" i="7"/>
  <c r="G643" i="7"/>
  <c r="L643" i="7" s="1"/>
  <c r="G642" i="7"/>
  <c r="L642" i="7" s="1"/>
  <c r="G641" i="7"/>
  <c r="L641" i="7" s="1"/>
  <c r="G640" i="7"/>
  <c r="L640" i="7" s="1"/>
  <c r="G639" i="7"/>
  <c r="L639" i="7" s="1"/>
  <c r="G638" i="7"/>
  <c r="L638" i="7" s="1"/>
  <c r="G637" i="7"/>
  <c r="L637" i="7" s="1"/>
  <c r="G636" i="7"/>
  <c r="L636" i="7" s="1"/>
  <c r="G635" i="7"/>
  <c r="L635" i="7" s="1"/>
  <c r="G634" i="7"/>
  <c r="L634" i="7" s="1"/>
  <c r="G633" i="7"/>
  <c r="L633" i="7" s="1"/>
  <c r="G632" i="7"/>
  <c r="G631" i="7"/>
  <c r="L631" i="7" s="1"/>
  <c r="G630" i="7"/>
  <c r="L630" i="7" s="1"/>
  <c r="G629" i="7"/>
  <c r="L629" i="7" s="1"/>
  <c r="G628" i="7"/>
  <c r="L628" i="7" s="1"/>
  <c r="G627" i="7"/>
  <c r="L627" i="7" s="1"/>
  <c r="G626" i="7"/>
  <c r="L626" i="7" s="1"/>
  <c r="G625" i="7"/>
  <c r="L625" i="7" s="1"/>
  <c r="G624" i="7"/>
  <c r="L624" i="7" s="1"/>
  <c r="G623" i="7"/>
  <c r="L623" i="7" s="1"/>
  <c r="G622" i="7"/>
  <c r="L622" i="7" s="1"/>
  <c r="G621" i="7"/>
  <c r="L621" i="7" s="1"/>
  <c r="G620" i="7"/>
  <c r="L620" i="7" s="1"/>
  <c r="G619" i="7"/>
  <c r="L619" i="7" s="1"/>
  <c r="G618" i="7"/>
  <c r="L618" i="7" s="1"/>
  <c r="G617" i="7"/>
  <c r="L617" i="7" s="1"/>
  <c r="G616" i="7"/>
  <c r="L616" i="7" s="1"/>
  <c r="G615" i="7"/>
  <c r="L615" i="7" s="1"/>
  <c r="G614" i="7"/>
  <c r="L614" i="7" s="1"/>
  <c r="G613" i="7"/>
  <c r="L613" i="7" s="1"/>
  <c r="G612" i="7"/>
  <c r="L612" i="7" s="1"/>
  <c r="G611" i="7"/>
  <c r="L611" i="7" s="1"/>
  <c r="G610" i="7"/>
  <c r="L610" i="7" s="1"/>
  <c r="G609" i="7"/>
  <c r="L609" i="7" s="1"/>
  <c r="G608" i="7"/>
  <c r="L608" i="7" s="1"/>
  <c r="G607" i="7"/>
  <c r="L607" i="7" s="1"/>
  <c r="G606" i="7"/>
  <c r="L606" i="7" s="1"/>
  <c r="G605" i="7"/>
  <c r="L605" i="7" s="1"/>
  <c r="G604" i="7"/>
  <c r="L604" i="7" s="1"/>
  <c r="G603" i="7"/>
  <c r="L603" i="7" s="1"/>
  <c r="G602" i="7"/>
  <c r="L602" i="7" s="1"/>
  <c r="G601" i="7"/>
  <c r="L601" i="7" s="1"/>
  <c r="G600" i="7"/>
  <c r="L600" i="7" s="1"/>
  <c r="G599" i="7"/>
  <c r="L599" i="7" s="1"/>
  <c r="G598" i="7"/>
  <c r="L598" i="7" s="1"/>
  <c r="G597" i="7"/>
  <c r="L597" i="7" s="1"/>
  <c r="G596" i="7"/>
  <c r="L596" i="7" s="1"/>
  <c r="G595" i="7"/>
  <c r="L595" i="7" s="1"/>
  <c r="G594" i="7"/>
  <c r="L594" i="7" s="1"/>
  <c r="G593" i="7"/>
  <c r="L593" i="7" s="1"/>
  <c r="G592" i="7"/>
  <c r="L592" i="7" s="1"/>
  <c r="G591" i="7"/>
  <c r="L591" i="7" s="1"/>
  <c r="G590" i="7"/>
  <c r="L590" i="7" s="1"/>
  <c r="G589" i="7"/>
  <c r="L589" i="7" s="1"/>
  <c r="G588" i="7"/>
  <c r="L588" i="7" s="1"/>
  <c r="G587" i="7"/>
  <c r="L587" i="7" s="1"/>
  <c r="G586" i="7"/>
  <c r="L586" i="7" s="1"/>
  <c r="G585" i="7"/>
  <c r="L585" i="7" s="1"/>
  <c r="G584" i="7"/>
  <c r="G583" i="7"/>
  <c r="L583" i="7" s="1"/>
  <c r="G582" i="7"/>
  <c r="L582" i="7" s="1"/>
  <c r="G581" i="7"/>
  <c r="L581" i="7" s="1"/>
  <c r="G580" i="7"/>
  <c r="L580" i="7" s="1"/>
  <c r="G579" i="7"/>
  <c r="L579" i="7" s="1"/>
  <c r="G578" i="7"/>
  <c r="L578" i="7" s="1"/>
  <c r="G577" i="7"/>
  <c r="L577" i="7" s="1"/>
  <c r="G576" i="7"/>
  <c r="L576" i="7" s="1"/>
  <c r="G575" i="7"/>
  <c r="L575" i="7" s="1"/>
  <c r="G574" i="7"/>
  <c r="L574" i="7" s="1"/>
  <c r="G573" i="7"/>
  <c r="L573" i="7" s="1"/>
  <c r="G572" i="7"/>
  <c r="G571" i="7"/>
  <c r="L571" i="7" s="1"/>
  <c r="G570" i="7"/>
  <c r="L570" i="7" s="1"/>
  <c r="G569" i="7"/>
  <c r="L569" i="7" s="1"/>
  <c r="G568" i="7"/>
  <c r="L568" i="7" s="1"/>
  <c r="G567" i="7"/>
  <c r="L567" i="7" s="1"/>
  <c r="G566" i="7"/>
  <c r="L566" i="7" s="1"/>
  <c r="G565" i="7"/>
  <c r="L565" i="7" s="1"/>
  <c r="G564" i="7"/>
  <c r="L564" i="7" s="1"/>
  <c r="G563" i="7"/>
  <c r="L563" i="7" s="1"/>
  <c r="G562" i="7"/>
  <c r="L562" i="7" s="1"/>
  <c r="G561" i="7"/>
  <c r="L561" i="7" s="1"/>
  <c r="G560" i="7"/>
  <c r="L560" i="7" s="1"/>
  <c r="G559" i="7"/>
  <c r="L559" i="7" s="1"/>
  <c r="G558" i="7"/>
  <c r="L558" i="7" s="1"/>
  <c r="G557" i="7"/>
  <c r="L557" i="7" s="1"/>
  <c r="G556" i="7"/>
  <c r="L556" i="7" s="1"/>
  <c r="G555" i="7"/>
  <c r="L555" i="7" s="1"/>
  <c r="G554" i="7"/>
  <c r="L554" i="7" s="1"/>
  <c r="G553" i="7"/>
  <c r="L553" i="7" s="1"/>
  <c r="G552" i="7"/>
  <c r="L552" i="7" s="1"/>
  <c r="G551" i="7"/>
  <c r="L551" i="7" s="1"/>
  <c r="G550" i="7"/>
  <c r="L550" i="7" s="1"/>
  <c r="G549" i="7"/>
  <c r="L549" i="7" s="1"/>
  <c r="G548" i="7"/>
  <c r="G547" i="7"/>
  <c r="L547" i="7" s="1"/>
  <c r="G546" i="7"/>
  <c r="L546" i="7" s="1"/>
  <c r="G545" i="7"/>
  <c r="L545" i="7" s="1"/>
  <c r="G544" i="7"/>
  <c r="L544" i="7" s="1"/>
  <c r="G543" i="7"/>
  <c r="L543" i="7" s="1"/>
  <c r="G542" i="7"/>
  <c r="L542" i="7" s="1"/>
  <c r="G541" i="7"/>
  <c r="L541" i="7" s="1"/>
  <c r="G540" i="7"/>
  <c r="L540" i="7" s="1"/>
  <c r="G539" i="7"/>
  <c r="L539" i="7" s="1"/>
  <c r="G538" i="7"/>
  <c r="L538" i="7" s="1"/>
  <c r="G537" i="7"/>
  <c r="L537" i="7" s="1"/>
  <c r="G536" i="7"/>
  <c r="G535" i="7"/>
  <c r="L535" i="7" s="1"/>
  <c r="G534" i="7"/>
  <c r="L534" i="7" s="1"/>
  <c r="G533" i="7"/>
  <c r="L533" i="7" s="1"/>
  <c r="G532" i="7"/>
  <c r="L532" i="7" s="1"/>
  <c r="G531" i="7"/>
  <c r="L531" i="7" s="1"/>
  <c r="G530" i="7"/>
  <c r="L530" i="7" s="1"/>
  <c r="G529" i="7"/>
  <c r="L529" i="7" s="1"/>
  <c r="G528" i="7"/>
  <c r="L528" i="7" s="1"/>
  <c r="G527" i="7"/>
  <c r="L527" i="7" s="1"/>
  <c r="G526" i="7"/>
  <c r="L526" i="7" s="1"/>
  <c r="G525" i="7"/>
  <c r="L525" i="7" s="1"/>
  <c r="G524" i="7"/>
  <c r="L524" i="7" s="1"/>
  <c r="G523" i="7"/>
  <c r="L523" i="7" s="1"/>
  <c r="G522" i="7"/>
  <c r="L522" i="7" s="1"/>
  <c r="G521" i="7"/>
  <c r="L521" i="7" s="1"/>
  <c r="G520" i="7"/>
  <c r="L520" i="7" s="1"/>
  <c r="G519" i="7"/>
  <c r="L519" i="7" s="1"/>
  <c r="G518" i="7"/>
  <c r="L518" i="7" s="1"/>
  <c r="G517" i="7"/>
  <c r="L517" i="7" s="1"/>
  <c r="G516" i="7"/>
  <c r="L516" i="7" s="1"/>
  <c r="G515" i="7"/>
  <c r="L515" i="7" s="1"/>
  <c r="G514" i="7"/>
  <c r="L514" i="7" s="1"/>
  <c r="G513" i="7"/>
  <c r="L513" i="7" s="1"/>
  <c r="G512" i="7"/>
  <c r="L512" i="7" s="1"/>
  <c r="G511" i="7"/>
  <c r="L511" i="7" s="1"/>
  <c r="G510" i="7"/>
  <c r="L510" i="7" s="1"/>
  <c r="G509" i="7"/>
  <c r="L509" i="7" s="1"/>
  <c r="G508" i="7"/>
  <c r="L508" i="7" s="1"/>
  <c r="G507" i="7"/>
  <c r="L507" i="7" s="1"/>
  <c r="G506" i="7"/>
  <c r="L506" i="7" s="1"/>
  <c r="G505" i="7"/>
  <c r="L505" i="7" s="1"/>
  <c r="G504" i="7"/>
  <c r="L504" i="7" s="1"/>
  <c r="G503" i="7"/>
  <c r="L503" i="7" s="1"/>
  <c r="G502" i="7"/>
  <c r="L502" i="7" s="1"/>
  <c r="G501" i="7"/>
  <c r="L501" i="7" s="1"/>
  <c r="G500" i="7"/>
  <c r="L500" i="7" s="1"/>
  <c r="G499" i="7"/>
  <c r="L499" i="7" s="1"/>
  <c r="G498" i="7"/>
  <c r="L498" i="7" s="1"/>
  <c r="G497" i="7"/>
  <c r="L497" i="7" s="1"/>
  <c r="G496" i="7"/>
  <c r="L496" i="7" s="1"/>
  <c r="G495" i="7"/>
  <c r="L495" i="7" s="1"/>
  <c r="G494" i="7"/>
  <c r="G493" i="7"/>
  <c r="L493" i="7" s="1"/>
  <c r="G492" i="7"/>
  <c r="L492" i="7" s="1"/>
  <c r="G491" i="7"/>
  <c r="L491" i="7" s="1"/>
  <c r="G490" i="7"/>
  <c r="L490" i="7" s="1"/>
  <c r="G489" i="7"/>
  <c r="L489" i="7" s="1"/>
  <c r="G488" i="7"/>
  <c r="G487" i="7"/>
  <c r="L487" i="7" s="1"/>
  <c r="G486" i="7"/>
  <c r="L486" i="7" s="1"/>
  <c r="G485" i="7"/>
  <c r="L485" i="7" s="1"/>
  <c r="G484" i="7"/>
  <c r="L484" i="7" s="1"/>
  <c r="G483" i="7"/>
  <c r="L483" i="7" s="1"/>
  <c r="G482" i="7"/>
  <c r="G481" i="7"/>
  <c r="L481" i="7" s="1"/>
  <c r="G480" i="7"/>
  <c r="L480" i="7" s="1"/>
  <c r="G479" i="7"/>
  <c r="L479" i="7" s="1"/>
  <c r="G478" i="7"/>
  <c r="L478" i="7" s="1"/>
  <c r="G477" i="7"/>
  <c r="L477" i="7" s="1"/>
  <c r="G476" i="7"/>
  <c r="L476" i="7" s="1"/>
  <c r="G475" i="7"/>
  <c r="L475" i="7" s="1"/>
  <c r="G474" i="7"/>
  <c r="L474" i="7" s="1"/>
  <c r="G473" i="7"/>
  <c r="L473" i="7" s="1"/>
  <c r="G472" i="7"/>
  <c r="L472" i="7" s="1"/>
  <c r="G471" i="7"/>
  <c r="L471" i="7" s="1"/>
  <c r="G470" i="7"/>
  <c r="L470" i="7" s="1"/>
  <c r="G469" i="7"/>
  <c r="L469" i="7" s="1"/>
  <c r="G468" i="7"/>
  <c r="L468" i="7" s="1"/>
  <c r="G467" i="7"/>
  <c r="L467" i="7" s="1"/>
  <c r="G466" i="7"/>
  <c r="L466" i="7" s="1"/>
  <c r="G465" i="7"/>
  <c r="L465" i="7" s="1"/>
  <c r="G464" i="7"/>
  <c r="G463" i="7"/>
  <c r="L463" i="7" s="1"/>
  <c r="G462" i="7"/>
  <c r="L462" i="7" s="1"/>
  <c r="G461" i="7"/>
  <c r="L461" i="7" s="1"/>
  <c r="G460" i="7"/>
  <c r="L460" i="7" s="1"/>
  <c r="G459" i="7"/>
  <c r="L459" i="7" s="1"/>
  <c r="G458" i="7"/>
  <c r="L458" i="7" s="1"/>
  <c r="G457" i="7"/>
  <c r="L457" i="7" s="1"/>
  <c r="G456" i="7"/>
  <c r="L456" i="7" s="1"/>
  <c r="G455" i="7"/>
  <c r="L455" i="7" s="1"/>
  <c r="G454" i="7"/>
  <c r="L454" i="7" s="1"/>
  <c r="G453" i="7"/>
  <c r="L453" i="7" s="1"/>
  <c r="G452" i="7"/>
  <c r="L452" i="7" s="1"/>
  <c r="G451" i="7"/>
  <c r="L451" i="7" s="1"/>
  <c r="G450" i="7"/>
  <c r="L450" i="7" s="1"/>
  <c r="G449" i="7"/>
  <c r="L449" i="7" s="1"/>
  <c r="G448" i="7"/>
  <c r="L448" i="7" s="1"/>
  <c r="G447" i="7"/>
  <c r="L447" i="7" s="1"/>
  <c r="G446" i="7"/>
  <c r="L446" i="7" s="1"/>
  <c r="G445" i="7"/>
  <c r="L445" i="7" s="1"/>
  <c r="G444" i="7"/>
  <c r="L444" i="7" s="1"/>
  <c r="G443" i="7"/>
  <c r="L443" i="7" s="1"/>
  <c r="G442" i="7"/>
  <c r="L442" i="7" s="1"/>
  <c r="G441" i="7"/>
  <c r="L441" i="7" s="1"/>
  <c r="G440" i="7"/>
  <c r="L440" i="7" s="1"/>
  <c r="G439" i="7"/>
  <c r="L439" i="7" s="1"/>
  <c r="G438" i="7"/>
  <c r="L438" i="7" s="1"/>
  <c r="G437" i="7"/>
  <c r="L437" i="7" s="1"/>
  <c r="G436" i="7"/>
  <c r="L436" i="7" s="1"/>
  <c r="G435" i="7"/>
  <c r="L435" i="7" s="1"/>
  <c r="G434" i="7"/>
  <c r="G433" i="7"/>
  <c r="L433" i="7" s="1"/>
  <c r="G432" i="7"/>
  <c r="L432" i="7" s="1"/>
  <c r="G431" i="7"/>
  <c r="L431" i="7" s="1"/>
  <c r="G430" i="7"/>
  <c r="L430" i="7" s="1"/>
  <c r="G429" i="7"/>
  <c r="L429" i="7" s="1"/>
  <c r="G428" i="7"/>
  <c r="L428" i="7" s="1"/>
  <c r="G427" i="7"/>
  <c r="L427" i="7" s="1"/>
  <c r="G426" i="7"/>
  <c r="L426" i="7" s="1"/>
  <c r="G425" i="7"/>
  <c r="L425" i="7" s="1"/>
  <c r="G424" i="7"/>
  <c r="L424" i="7" s="1"/>
  <c r="G423" i="7"/>
  <c r="L423" i="7" s="1"/>
  <c r="G422" i="7"/>
  <c r="G421" i="7"/>
  <c r="L421" i="7" s="1"/>
  <c r="G420" i="7"/>
  <c r="L420" i="7" s="1"/>
  <c r="G419" i="7"/>
  <c r="L419" i="7" s="1"/>
  <c r="G418" i="7"/>
  <c r="L418" i="7" s="1"/>
  <c r="G417" i="7"/>
  <c r="L417" i="7" s="1"/>
  <c r="G416" i="7"/>
  <c r="G415" i="7"/>
  <c r="L415" i="7" s="1"/>
  <c r="G414" i="7"/>
  <c r="L414" i="7" s="1"/>
  <c r="G413" i="7"/>
  <c r="L413" i="7" s="1"/>
  <c r="G412" i="7"/>
  <c r="L412" i="7" s="1"/>
  <c r="G411" i="7"/>
  <c r="L411" i="7" s="1"/>
  <c r="G410" i="7"/>
  <c r="L410" i="7" s="1"/>
  <c r="G409" i="7"/>
  <c r="L409" i="7" s="1"/>
  <c r="G408" i="7"/>
  <c r="L408" i="7" s="1"/>
  <c r="G407" i="7"/>
  <c r="L407" i="7" s="1"/>
  <c r="G406" i="7"/>
  <c r="L406" i="7" s="1"/>
  <c r="G405" i="7"/>
  <c r="L405" i="7" s="1"/>
  <c r="G404" i="7"/>
  <c r="L404" i="7" s="1"/>
  <c r="G403" i="7"/>
  <c r="L403" i="7" s="1"/>
  <c r="G402" i="7"/>
  <c r="L402" i="7" s="1"/>
  <c r="G401" i="7"/>
  <c r="L401" i="7" s="1"/>
  <c r="G400" i="7"/>
  <c r="L400" i="7" s="1"/>
  <c r="G399" i="7"/>
  <c r="L399" i="7" s="1"/>
  <c r="G398" i="7"/>
  <c r="G397" i="7"/>
  <c r="L397" i="7" s="1"/>
  <c r="G396" i="7"/>
  <c r="L396" i="7" s="1"/>
  <c r="G395" i="7"/>
  <c r="L395" i="7" s="1"/>
  <c r="G394" i="7"/>
  <c r="L394" i="7" s="1"/>
  <c r="G393" i="7"/>
  <c r="L393" i="7" s="1"/>
  <c r="G392" i="7"/>
  <c r="G391" i="7"/>
  <c r="L391" i="7" s="1"/>
  <c r="G390" i="7"/>
  <c r="L390" i="7" s="1"/>
  <c r="G389" i="7"/>
  <c r="L389" i="7" s="1"/>
  <c r="G388" i="7"/>
  <c r="L388" i="7" s="1"/>
  <c r="G387" i="7"/>
  <c r="L387" i="7" s="1"/>
  <c r="G386" i="7"/>
  <c r="L386" i="7" s="1"/>
  <c r="G385" i="7"/>
  <c r="L385" i="7" s="1"/>
  <c r="G384" i="7"/>
  <c r="L384" i="7" s="1"/>
  <c r="G383" i="7"/>
  <c r="L383" i="7" s="1"/>
  <c r="G382" i="7"/>
  <c r="L382" i="7" s="1"/>
  <c r="G381" i="7"/>
  <c r="L381" i="7" s="1"/>
  <c r="G380" i="7"/>
  <c r="L380" i="7" s="1"/>
  <c r="G379" i="7"/>
  <c r="L379" i="7" s="1"/>
  <c r="G378" i="7"/>
  <c r="L378" i="7" s="1"/>
  <c r="G377" i="7"/>
  <c r="L377" i="7" s="1"/>
  <c r="G376" i="7"/>
  <c r="L376" i="7" s="1"/>
  <c r="G375" i="7"/>
  <c r="L375" i="7" s="1"/>
  <c r="G374" i="7"/>
  <c r="L374" i="7" s="1"/>
  <c r="G373" i="7"/>
  <c r="L373" i="7" s="1"/>
  <c r="G372" i="7"/>
  <c r="L372" i="7" s="1"/>
  <c r="G371" i="7"/>
  <c r="L371" i="7" s="1"/>
  <c r="G370" i="7"/>
  <c r="L370" i="7" s="1"/>
  <c r="G369" i="7"/>
  <c r="L369" i="7" s="1"/>
  <c r="G368" i="7"/>
  <c r="G367" i="7"/>
  <c r="L367" i="7" s="1"/>
  <c r="G366" i="7"/>
  <c r="L366" i="7" s="1"/>
  <c r="G365" i="7"/>
  <c r="L365" i="7" s="1"/>
  <c r="G364" i="7"/>
  <c r="L364" i="7" s="1"/>
  <c r="G363" i="7"/>
  <c r="L363" i="7" s="1"/>
  <c r="G362" i="7"/>
  <c r="L362" i="7" s="1"/>
  <c r="G361" i="7"/>
  <c r="L361" i="7" s="1"/>
  <c r="G360" i="7"/>
  <c r="L360" i="7" s="1"/>
  <c r="G359" i="7"/>
  <c r="L359" i="7" s="1"/>
  <c r="G358" i="7"/>
  <c r="L358" i="7" s="1"/>
  <c r="G357" i="7"/>
  <c r="L357" i="7" s="1"/>
  <c r="G356" i="7"/>
  <c r="G355" i="7"/>
  <c r="L355" i="7" s="1"/>
  <c r="G354" i="7"/>
  <c r="L354" i="7" s="1"/>
  <c r="G353" i="7"/>
  <c r="L353" i="7" s="1"/>
  <c r="G352" i="7"/>
  <c r="L352" i="7" s="1"/>
  <c r="G351" i="7"/>
  <c r="L351" i="7" s="1"/>
  <c r="G350" i="7"/>
  <c r="L350" i="7" s="1"/>
  <c r="G349" i="7"/>
  <c r="L349" i="7" s="1"/>
  <c r="G348" i="7"/>
  <c r="L348" i="7" s="1"/>
  <c r="G347" i="7"/>
  <c r="L347" i="7" s="1"/>
  <c r="G346" i="7"/>
  <c r="L346" i="7" s="1"/>
  <c r="G345" i="7"/>
  <c r="L345" i="7" s="1"/>
  <c r="G344" i="7"/>
  <c r="L344" i="7" s="1"/>
  <c r="G343" i="7"/>
  <c r="L343" i="7" s="1"/>
  <c r="G342" i="7"/>
  <c r="L342" i="7" s="1"/>
  <c r="G341" i="7"/>
  <c r="L341" i="7" s="1"/>
  <c r="G340" i="7"/>
  <c r="L340" i="7" s="1"/>
  <c r="G339" i="7"/>
  <c r="L339" i="7" s="1"/>
  <c r="G338" i="7"/>
  <c r="L338" i="7" s="1"/>
  <c r="G337" i="7"/>
  <c r="L337" i="7" s="1"/>
  <c r="G336" i="7"/>
  <c r="L336" i="7" s="1"/>
  <c r="G335" i="7"/>
  <c r="L335" i="7" s="1"/>
  <c r="G334" i="7"/>
  <c r="L334" i="7" s="1"/>
  <c r="G333" i="7"/>
  <c r="L333" i="7" s="1"/>
  <c r="G332" i="7"/>
  <c r="L332" i="7" s="1"/>
  <c r="G331" i="7"/>
  <c r="L331" i="7" s="1"/>
  <c r="G330" i="7"/>
  <c r="L330" i="7" s="1"/>
  <c r="G329" i="7"/>
  <c r="L329" i="7" s="1"/>
  <c r="G328" i="7"/>
  <c r="L328" i="7" s="1"/>
  <c r="G327" i="7"/>
  <c r="L327" i="7" s="1"/>
  <c r="G326" i="7"/>
  <c r="G325" i="7"/>
  <c r="L325" i="7" s="1"/>
  <c r="G324" i="7"/>
  <c r="L324" i="7" s="1"/>
  <c r="G323" i="7"/>
  <c r="L323" i="7" s="1"/>
  <c r="G322" i="7"/>
  <c r="L322" i="7" s="1"/>
  <c r="G321" i="7"/>
  <c r="L321" i="7" s="1"/>
  <c r="G320" i="7"/>
  <c r="G319" i="7"/>
  <c r="L319" i="7" s="1"/>
  <c r="G318" i="7"/>
  <c r="L318" i="7" s="1"/>
  <c r="G317" i="7"/>
  <c r="L317" i="7" s="1"/>
  <c r="G316" i="7"/>
  <c r="L316" i="7" s="1"/>
  <c r="G315" i="7"/>
  <c r="L315" i="7" s="1"/>
  <c r="G314" i="7"/>
  <c r="L314" i="7" s="1"/>
  <c r="G313" i="7"/>
  <c r="L313" i="7" s="1"/>
  <c r="G312" i="7"/>
  <c r="L312" i="7" s="1"/>
  <c r="G311" i="7"/>
  <c r="L311" i="7" s="1"/>
  <c r="G310" i="7"/>
  <c r="L310" i="7" s="1"/>
  <c r="G309" i="7"/>
  <c r="L309" i="7" s="1"/>
  <c r="G308" i="7"/>
  <c r="L308" i="7" s="1"/>
  <c r="G307" i="7"/>
  <c r="L307" i="7" s="1"/>
  <c r="G306" i="7"/>
  <c r="L306" i="7" s="1"/>
  <c r="G305" i="7"/>
  <c r="L305" i="7" s="1"/>
  <c r="G304" i="7"/>
  <c r="L304" i="7" s="1"/>
  <c r="G303" i="7"/>
  <c r="L303" i="7" s="1"/>
  <c r="G302" i="7"/>
  <c r="L302" i="7" s="1"/>
  <c r="G301" i="7"/>
  <c r="L301" i="7" s="1"/>
  <c r="G300" i="7"/>
  <c r="L300" i="7" s="1"/>
  <c r="G299" i="7"/>
  <c r="L299" i="7" s="1"/>
  <c r="G298" i="7"/>
  <c r="L298" i="7" s="1"/>
  <c r="G297" i="7"/>
  <c r="L297" i="7" s="1"/>
  <c r="G296" i="7"/>
  <c r="G295" i="7"/>
  <c r="L295" i="7" s="1"/>
  <c r="G294" i="7"/>
  <c r="L294" i="7" s="1"/>
  <c r="G293" i="7"/>
  <c r="L293" i="7" s="1"/>
  <c r="G292" i="7"/>
  <c r="L292" i="7" s="1"/>
  <c r="G291" i="7"/>
  <c r="L291" i="7" s="1"/>
  <c r="G290" i="7"/>
  <c r="L290" i="7" s="1"/>
  <c r="G289" i="7"/>
  <c r="L289" i="7" s="1"/>
  <c r="G288" i="7"/>
  <c r="L288" i="7" s="1"/>
  <c r="G287" i="7"/>
  <c r="L287" i="7" s="1"/>
  <c r="G286" i="7"/>
  <c r="L286" i="7" s="1"/>
  <c r="G285" i="7"/>
  <c r="L285" i="7" s="1"/>
  <c r="G284" i="7"/>
  <c r="G283" i="7"/>
  <c r="L283" i="7" s="1"/>
  <c r="G282" i="7"/>
  <c r="L282" i="7" s="1"/>
  <c r="G281" i="7"/>
  <c r="L281" i="7" s="1"/>
  <c r="G280" i="7"/>
  <c r="L280" i="7" s="1"/>
  <c r="G279" i="7"/>
  <c r="L279" i="7" s="1"/>
  <c r="G278" i="7"/>
  <c r="L278" i="7" s="1"/>
  <c r="G277" i="7"/>
  <c r="L277" i="7" s="1"/>
  <c r="G276" i="7"/>
  <c r="L276" i="7" s="1"/>
  <c r="G275" i="7"/>
  <c r="L275" i="7" s="1"/>
  <c r="G274" i="7"/>
  <c r="L274" i="7" s="1"/>
  <c r="G273" i="7"/>
  <c r="L273" i="7" s="1"/>
  <c r="G272" i="7"/>
  <c r="L272" i="7" s="1"/>
  <c r="G271" i="7"/>
  <c r="L271" i="7" s="1"/>
  <c r="G270" i="7"/>
  <c r="L270" i="7" s="1"/>
  <c r="G269" i="7"/>
  <c r="L269" i="7" s="1"/>
  <c r="G268" i="7"/>
  <c r="L268" i="7" s="1"/>
  <c r="G267" i="7"/>
  <c r="L267" i="7" s="1"/>
  <c r="G266" i="7"/>
  <c r="G265" i="7"/>
  <c r="L265" i="7" s="1"/>
  <c r="G264" i="7"/>
  <c r="L264" i="7" s="1"/>
  <c r="G263" i="7"/>
  <c r="L263" i="7" s="1"/>
  <c r="G262" i="7"/>
  <c r="L262" i="7" s="1"/>
  <c r="G261" i="7"/>
  <c r="L261" i="7" s="1"/>
  <c r="G260" i="7"/>
  <c r="G259" i="7"/>
  <c r="L259" i="7" s="1"/>
  <c r="G258" i="7"/>
  <c r="L258" i="7" s="1"/>
  <c r="G257" i="7"/>
  <c r="L257" i="7" s="1"/>
  <c r="G256" i="7"/>
  <c r="L256" i="7" s="1"/>
  <c r="G255" i="7"/>
  <c r="L255" i="7" s="1"/>
  <c r="G254" i="7"/>
  <c r="G253" i="7"/>
  <c r="L253" i="7" s="1"/>
  <c r="G252" i="7"/>
  <c r="L252" i="7" s="1"/>
  <c r="G251" i="7"/>
  <c r="L251" i="7" s="1"/>
  <c r="G250" i="7"/>
  <c r="L250" i="7" s="1"/>
  <c r="G249" i="7"/>
  <c r="L249" i="7" s="1"/>
  <c r="G248" i="7"/>
  <c r="G247" i="7"/>
  <c r="L247" i="7" s="1"/>
  <c r="G246" i="7"/>
  <c r="L246" i="7" s="1"/>
  <c r="G245" i="7"/>
  <c r="L245" i="7" s="1"/>
  <c r="G244" i="7"/>
  <c r="L244" i="7" s="1"/>
  <c r="G243" i="7"/>
  <c r="L243" i="7" s="1"/>
  <c r="G242" i="7"/>
  <c r="G241" i="7"/>
  <c r="L241" i="7" s="1"/>
  <c r="G240" i="7"/>
  <c r="L240" i="7" s="1"/>
  <c r="G239" i="7"/>
  <c r="L239" i="7" s="1"/>
  <c r="G238" i="7"/>
  <c r="L238" i="7" s="1"/>
  <c r="G237" i="7"/>
  <c r="L237" i="7" s="1"/>
  <c r="G236" i="7"/>
  <c r="L236" i="7" s="1"/>
  <c r="G235" i="7"/>
  <c r="L235" i="7" s="1"/>
  <c r="G234" i="7"/>
  <c r="L234" i="7" s="1"/>
  <c r="G233" i="7"/>
  <c r="L233" i="7" s="1"/>
  <c r="G232" i="7"/>
  <c r="L232" i="7" s="1"/>
  <c r="G231" i="7"/>
  <c r="L231" i="7" s="1"/>
  <c r="G230" i="7"/>
  <c r="G229" i="7"/>
  <c r="L229" i="7" s="1"/>
  <c r="G228" i="7"/>
  <c r="L228" i="7" s="1"/>
  <c r="G227" i="7"/>
  <c r="L227" i="7" s="1"/>
  <c r="G226" i="7"/>
  <c r="L226" i="7" s="1"/>
  <c r="G225" i="7"/>
  <c r="L225" i="7" s="1"/>
  <c r="G224" i="7"/>
  <c r="G223" i="7"/>
  <c r="L223" i="7" s="1"/>
  <c r="G222" i="7"/>
  <c r="L222" i="7" s="1"/>
  <c r="G221" i="7"/>
  <c r="L221" i="7" s="1"/>
  <c r="G220" i="7"/>
  <c r="L220" i="7" s="1"/>
  <c r="G219" i="7"/>
  <c r="L219" i="7" s="1"/>
  <c r="G218" i="7"/>
  <c r="L218" i="7" s="1"/>
  <c r="G217" i="7"/>
  <c r="L217" i="7" s="1"/>
  <c r="G216" i="7"/>
  <c r="L216" i="7" s="1"/>
  <c r="G215" i="7"/>
  <c r="L215" i="7" s="1"/>
  <c r="G214" i="7"/>
  <c r="L214" i="7" s="1"/>
  <c r="G213" i="7"/>
  <c r="L213" i="7" s="1"/>
  <c r="G212" i="7"/>
  <c r="L212" i="7" s="1"/>
  <c r="G211" i="7"/>
  <c r="L211" i="7" s="1"/>
  <c r="G210" i="7"/>
  <c r="L210" i="7" s="1"/>
  <c r="G209" i="7"/>
  <c r="L209" i="7" s="1"/>
  <c r="G208" i="7"/>
  <c r="L208" i="7" s="1"/>
  <c r="G207" i="7"/>
  <c r="L207" i="7" s="1"/>
  <c r="G206" i="7"/>
  <c r="G205" i="7"/>
  <c r="L205" i="7" s="1"/>
  <c r="G204" i="7"/>
  <c r="L204" i="7" s="1"/>
  <c r="G203" i="7"/>
  <c r="L203" i="7" s="1"/>
  <c r="G202" i="7"/>
  <c r="L202" i="7" s="1"/>
  <c r="G201" i="7"/>
  <c r="L201" i="7" s="1"/>
  <c r="G200" i="7"/>
  <c r="G199" i="7"/>
  <c r="L199" i="7" s="1"/>
  <c r="G198" i="7"/>
  <c r="L198" i="7" s="1"/>
  <c r="G197" i="7"/>
  <c r="L197" i="7" s="1"/>
  <c r="G196" i="7"/>
  <c r="L196" i="7" s="1"/>
  <c r="G195" i="7"/>
  <c r="L195" i="7" s="1"/>
  <c r="G194" i="7"/>
  <c r="L194" i="7" s="1"/>
  <c r="G193" i="7"/>
  <c r="L193" i="7" s="1"/>
  <c r="G192" i="7"/>
  <c r="L192" i="7" s="1"/>
  <c r="G191" i="7"/>
  <c r="L191" i="7" s="1"/>
  <c r="G190" i="7"/>
  <c r="L190" i="7" s="1"/>
  <c r="G189" i="7"/>
  <c r="L189" i="7" s="1"/>
  <c r="G188" i="7"/>
  <c r="L188" i="7" s="1"/>
  <c r="G187" i="7"/>
  <c r="L187" i="7" s="1"/>
  <c r="G186" i="7"/>
  <c r="L186" i="7" s="1"/>
  <c r="G185" i="7"/>
  <c r="L185" i="7" s="1"/>
  <c r="G184" i="7"/>
  <c r="L184" i="7" s="1"/>
  <c r="G183" i="7"/>
  <c r="L183" i="7" s="1"/>
  <c r="G182" i="7"/>
  <c r="L182" i="7" s="1"/>
  <c r="G181" i="7"/>
  <c r="L181" i="7" s="1"/>
  <c r="G180" i="7"/>
  <c r="L180" i="7" s="1"/>
  <c r="G179" i="7"/>
  <c r="L179" i="7" s="1"/>
  <c r="G178" i="7"/>
  <c r="L178" i="7" s="1"/>
  <c r="G177" i="7"/>
  <c r="L177" i="7" s="1"/>
  <c r="G176" i="7"/>
  <c r="L176" i="7" s="1"/>
  <c r="G175" i="7"/>
  <c r="L175" i="7" s="1"/>
  <c r="G174" i="7"/>
  <c r="L174" i="7" s="1"/>
  <c r="G173" i="7"/>
  <c r="L173" i="7" s="1"/>
  <c r="G172" i="7"/>
  <c r="L172" i="7" s="1"/>
  <c r="G171" i="7"/>
  <c r="L171" i="7" s="1"/>
  <c r="G170" i="7"/>
  <c r="G169" i="7"/>
  <c r="L169" i="7" s="1"/>
  <c r="G168" i="7"/>
  <c r="L168" i="7" s="1"/>
  <c r="G167" i="7"/>
  <c r="L167" i="7" s="1"/>
  <c r="G166" i="7"/>
  <c r="L166" i="7" s="1"/>
  <c r="G165" i="7"/>
  <c r="L165" i="7" s="1"/>
  <c r="G164" i="7"/>
  <c r="L164" i="7" s="1"/>
  <c r="G163" i="7"/>
  <c r="L163" i="7" s="1"/>
  <c r="G162" i="7"/>
  <c r="L162" i="7" s="1"/>
  <c r="G161" i="7"/>
  <c r="L161" i="7" s="1"/>
  <c r="G160" i="7"/>
  <c r="L160" i="7" s="1"/>
  <c r="G159" i="7"/>
  <c r="L159" i="7" s="1"/>
  <c r="G158" i="7"/>
  <c r="L158" i="7" s="1"/>
  <c r="G157" i="7"/>
  <c r="L157" i="7" s="1"/>
  <c r="G156" i="7"/>
  <c r="L156" i="7" s="1"/>
  <c r="G155" i="7"/>
  <c r="L155" i="7" s="1"/>
  <c r="G154" i="7"/>
  <c r="L154" i="7" s="1"/>
  <c r="G153" i="7"/>
  <c r="L153" i="7" s="1"/>
  <c r="G152" i="7"/>
  <c r="L152" i="7" s="1"/>
  <c r="G151" i="7"/>
  <c r="L151" i="7" s="1"/>
  <c r="G150" i="7"/>
  <c r="L150" i="7" s="1"/>
  <c r="G149" i="7"/>
  <c r="L149" i="7" s="1"/>
  <c r="G148" i="7"/>
  <c r="L148" i="7" s="1"/>
  <c r="G147" i="7"/>
  <c r="L147" i="7" s="1"/>
  <c r="G146" i="7"/>
  <c r="G145" i="7"/>
  <c r="L145" i="7" s="1"/>
  <c r="G144" i="7"/>
  <c r="L144" i="7" s="1"/>
  <c r="G143" i="7"/>
  <c r="L143" i="7" s="1"/>
  <c r="G142" i="7"/>
  <c r="L142" i="7" s="1"/>
  <c r="G141" i="7"/>
  <c r="L141" i="7" s="1"/>
  <c r="G140" i="7"/>
  <c r="G139" i="7"/>
  <c r="L139" i="7" s="1"/>
  <c r="G138" i="7"/>
  <c r="L138" i="7" s="1"/>
  <c r="G137" i="7"/>
  <c r="L137" i="7" s="1"/>
  <c r="G136" i="7"/>
  <c r="L136" i="7" s="1"/>
  <c r="G135" i="7"/>
  <c r="L135" i="7" s="1"/>
  <c r="G134" i="7"/>
  <c r="G133" i="7"/>
  <c r="L133" i="7" s="1"/>
  <c r="G132" i="7"/>
  <c r="L132" i="7" s="1"/>
  <c r="G131" i="7"/>
  <c r="L131" i="7" s="1"/>
  <c r="G130" i="7"/>
  <c r="L130" i="7" s="1"/>
  <c r="G129" i="7"/>
  <c r="L129" i="7" s="1"/>
  <c r="G128" i="7"/>
  <c r="L128" i="7" s="1"/>
  <c r="G127" i="7"/>
  <c r="L127" i="7" s="1"/>
  <c r="G126" i="7"/>
  <c r="L126" i="7" s="1"/>
  <c r="G125" i="7"/>
  <c r="L125" i="7" s="1"/>
  <c r="G124" i="7"/>
  <c r="L124" i="7" s="1"/>
  <c r="G123" i="7"/>
  <c r="L123" i="7" s="1"/>
  <c r="G122" i="7"/>
  <c r="L122" i="7" s="1"/>
  <c r="G121" i="7"/>
  <c r="L121" i="7" s="1"/>
  <c r="G120" i="7"/>
  <c r="L120" i="7" s="1"/>
  <c r="G119" i="7"/>
  <c r="L119" i="7" s="1"/>
  <c r="G118" i="7"/>
  <c r="L118" i="7" s="1"/>
  <c r="G117" i="7"/>
  <c r="L117" i="7" s="1"/>
  <c r="G116" i="7"/>
  <c r="G115" i="7"/>
  <c r="L115" i="7" s="1"/>
  <c r="G114" i="7"/>
  <c r="L114" i="7" s="1"/>
  <c r="G113" i="7"/>
  <c r="L113" i="7" s="1"/>
  <c r="G112" i="7"/>
  <c r="L112" i="7" s="1"/>
  <c r="G111" i="7"/>
  <c r="L111" i="7" s="1"/>
  <c r="G110" i="7"/>
  <c r="G109" i="7"/>
  <c r="L109" i="7" s="1"/>
  <c r="G108" i="7"/>
  <c r="L108" i="7" s="1"/>
  <c r="G107" i="7"/>
  <c r="L107" i="7" s="1"/>
  <c r="G106" i="7"/>
  <c r="L106" i="7" s="1"/>
  <c r="G105" i="7"/>
  <c r="L105" i="7" s="1"/>
  <c r="G104" i="7"/>
  <c r="L104" i="7" s="1"/>
  <c r="G103" i="7"/>
  <c r="L103" i="7" s="1"/>
  <c r="G102" i="7"/>
  <c r="L102" i="7" s="1"/>
  <c r="G101" i="7"/>
  <c r="L101" i="7" s="1"/>
  <c r="G100" i="7"/>
  <c r="L100" i="7" s="1"/>
  <c r="G99" i="7"/>
  <c r="L99" i="7" s="1"/>
  <c r="G98" i="7"/>
  <c r="G97" i="7"/>
  <c r="L97" i="7" s="1"/>
  <c r="G96" i="7"/>
  <c r="L96" i="7" s="1"/>
  <c r="G95" i="7"/>
  <c r="L95" i="7" s="1"/>
  <c r="G94" i="7"/>
  <c r="L94" i="7" s="1"/>
  <c r="G93" i="7"/>
  <c r="L93" i="7" s="1"/>
  <c r="G92" i="7"/>
  <c r="L92" i="7" s="1"/>
  <c r="G91" i="7"/>
  <c r="L91" i="7" s="1"/>
  <c r="G90" i="7"/>
  <c r="L90" i="7" s="1"/>
  <c r="G89" i="7"/>
  <c r="L89" i="7" s="1"/>
  <c r="G88" i="7"/>
  <c r="L88" i="7" s="1"/>
  <c r="G87" i="7"/>
  <c r="L87" i="7" s="1"/>
  <c r="G86" i="7"/>
  <c r="L86" i="7" s="1"/>
  <c r="G85" i="7"/>
  <c r="L85" i="7" s="1"/>
  <c r="G84" i="7"/>
  <c r="L84" i="7" s="1"/>
  <c r="G83" i="7"/>
  <c r="L83" i="7" s="1"/>
  <c r="G82" i="7"/>
  <c r="L82" i="7" s="1"/>
  <c r="G81" i="7"/>
  <c r="L81" i="7" s="1"/>
  <c r="G80" i="7"/>
  <c r="L80" i="7" s="1"/>
  <c r="G79" i="7"/>
  <c r="L79" i="7" s="1"/>
  <c r="G78" i="7"/>
  <c r="L78" i="7" s="1"/>
  <c r="G77" i="7"/>
  <c r="L77" i="7" s="1"/>
  <c r="G76" i="7"/>
  <c r="L76" i="7" s="1"/>
  <c r="G75" i="7"/>
  <c r="L75" i="7" s="1"/>
  <c r="G74" i="7"/>
  <c r="L74" i="7" s="1"/>
  <c r="G73" i="7"/>
  <c r="L73" i="7" s="1"/>
  <c r="G72" i="7"/>
  <c r="L72" i="7" s="1"/>
  <c r="G71" i="7"/>
  <c r="L71" i="7" s="1"/>
  <c r="G70" i="7"/>
  <c r="L70" i="7" s="1"/>
  <c r="G69" i="7"/>
  <c r="L69" i="7" s="1"/>
  <c r="G68" i="7"/>
  <c r="G67" i="7"/>
  <c r="L67" i="7" s="1"/>
  <c r="G66" i="7"/>
  <c r="L66" i="7" s="1"/>
  <c r="G65" i="7"/>
  <c r="L65" i="7" s="1"/>
  <c r="G64" i="7"/>
  <c r="L64" i="7" s="1"/>
  <c r="G63" i="7"/>
  <c r="L63" i="7" s="1"/>
  <c r="G62" i="7"/>
  <c r="L62" i="7" s="1"/>
  <c r="G61" i="7"/>
  <c r="L61" i="7" s="1"/>
  <c r="G60" i="7"/>
  <c r="L60" i="7" s="1"/>
  <c r="G59" i="7"/>
  <c r="L59" i="7" s="1"/>
  <c r="G58" i="7"/>
  <c r="L58" i="7" s="1"/>
  <c r="G57" i="7"/>
  <c r="L57" i="7" s="1"/>
  <c r="G56" i="7"/>
  <c r="L56" i="7" s="1"/>
  <c r="G55" i="7"/>
  <c r="L55" i="7" s="1"/>
  <c r="G54" i="7"/>
  <c r="L54" i="7" s="1"/>
  <c r="G53" i="7"/>
  <c r="L53" i="7" s="1"/>
  <c r="G52" i="7"/>
  <c r="L52" i="7" s="1"/>
  <c r="G51" i="7"/>
  <c r="L51" i="7" s="1"/>
  <c r="G50" i="7"/>
  <c r="L50" i="7" s="1"/>
  <c r="G49" i="7"/>
  <c r="L49" i="7" s="1"/>
  <c r="G48" i="7"/>
  <c r="L48" i="7" s="1"/>
  <c r="G47" i="7"/>
  <c r="L47" i="7" s="1"/>
  <c r="G46" i="7"/>
  <c r="L46" i="7" s="1"/>
  <c r="G45" i="7"/>
  <c r="L45" i="7" s="1"/>
  <c r="G44" i="7"/>
  <c r="G43" i="7"/>
  <c r="L43" i="7" s="1"/>
  <c r="G42" i="7"/>
  <c r="L42" i="7" s="1"/>
  <c r="G41" i="7"/>
  <c r="L41" i="7" s="1"/>
  <c r="G40" i="7"/>
  <c r="L40" i="7" s="1"/>
  <c r="G39" i="7"/>
  <c r="L39" i="7" s="1"/>
  <c r="G38" i="7"/>
  <c r="G37" i="7"/>
  <c r="L37" i="7" s="1"/>
  <c r="G36" i="7"/>
  <c r="L36" i="7" s="1"/>
  <c r="G35" i="7"/>
  <c r="L35" i="7" s="1"/>
  <c r="G34" i="7"/>
  <c r="L34" i="7" s="1"/>
  <c r="G33" i="7"/>
  <c r="L33" i="7" s="1"/>
  <c r="G32" i="7"/>
  <c r="G31" i="7"/>
  <c r="L31" i="7" s="1"/>
  <c r="G30" i="7"/>
  <c r="L30" i="7" s="1"/>
  <c r="G29" i="7"/>
  <c r="L29" i="7" s="1"/>
  <c r="G28" i="7"/>
  <c r="L28" i="7" s="1"/>
  <c r="G27" i="7"/>
  <c r="L27" i="7" s="1"/>
  <c r="G26" i="7"/>
  <c r="L26" i="7" s="1"/>
  <c r="G25" i="7"/>
  <c r="L25" i="7" s="1"/>
  <c r="G24" i="7"/>
  <c r="L24" i="7" s="1"/>
  <c r="G23" i="7"/>
  <c r="L23" i="7" s="1"/>
  <c r="G22" i="7"/>
  <c r="L22" i="7" s="1"/>
  <c r="G21" i="7"/>
  <c r="L21" i="7" s="1"/>
  <c r="G20" i="7"/>
  <c r="L20" i="7" s="1"/>
  <c r="G19" i="7"/>
  <c r="L19" i="7" s="1"/>
  <c r="G18" i="7"/>
  <c r="L18" i="7" s="1"/>
  <c r="G17" i="7"/>
  <c r="L17" i="7" s="1"/>
  <c r="G16" i="7"/>
  <c r="L16" i="7" s="1"/>
  <c r="G15" i="7"/>
  <c r="L15" i="7" s="1"/>
  <c r="G14" i="7"/>
  <c r="G13" i="7"/>
  <c r="L13" i="7" s="1"/>
  <c r="G12" i="7"/>
  <c r="L12" i="7" s="1"/>
  <c r="G11" i="7"/>
  <c r="L11" i="7" s="1"/>
  <c r="G10" i="7"/>
  <c r="L10" i="7" s="1"/>
  <c r="G9" i="7"/>
  <c r="L9" i="7" s="1"/>
  <c r="G8" i="7"/>
  <c r="G7" i="7"/>
  <c r="L7" i="7" s="1"/>
  <c r="G6" i="7"/>
  <c r="L6" i="7" s="1"/>
  <c r="G5" i="7"/>
  <c r="L5" i="7" s="1"/>
  <c r="G4" i="7"/>
  <c r="L4" i="7" s="1"/>
  <c r="G3" i="7"/>
  <c r="L3" i="7" s="1"/>
  <c r="G2" i="7"/>
  <c r="K201" i="5"/>
  <c r="K200" i="5"/>
  <c r="K199" i="5"/>
  <c r="K198" i="5"/>
  <c r="K197" i="5"/>
  <c r="K196" i="5"/>
  <c r="K195" i="5"/>
  <c r="K194" i="5"/>
  <c r="K193" i="5"/>
  <c r="K192" i="5"/>
  <c r="K191" i="5"/>
  <c r="K190" i="5"/>
  <c r="K189" i="5"/>
  <c r="K188" i="5"/>
  <c r="K187" i="5"/>
  <c r="K186" i="5"/>
  <c r="K185" i="5"/>
  <c r="K184" i="5"/>
  <c r="K183" i="5"/>
  <c r="K182" i="5"/>
  <c r="K181" i="5"/>
  <c r="K180" i="5"/>
  <c r="K179" i="5"/>
  <c r="K178" i="5"/>
  <c r="K177" i="5"/>
  <c r="K176" i="5"/>
  <c r="K175" i="5"/>
  <c r="K174" i="5"/>
  <c r="K173" i="5"/>
  <c r="K172" i="5"/>
  <c r="K171" i="5"/>
  <c r="K170" i="5"/>
  <c r="K169" i="5"/>
  <c r="K168" i="5"/>
  <c r="K167" i="5"/>
  <c r="K166" i="5"/>
  <c r="K165" i="5"/>
  <c r="K164" i="5"/>
  <c r="K163" i="5"/>
  <c r="K162" i="5"/>
  <c r="K161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3" i="5"/>
  <c r="K142" i="5"/>
  <c r="K141" i="5"/>
  <c r="K140" i="5"/>
  <c r="K139" i="5"/>
  <c r="K138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05" i="5"/>
  <c r="K104" i="5"/>
  <c r="K103" i="5"/>
  <c r="K102" i="5"/>
  <c r="K101" i="5"/>
  <c r="K100" i="5"/>
  <c r="K99" i="5"/>
  <c r="K98" i="5"/>
  <c r="K97" i="5"/>
  <c r="K96" i="5"/>
  <c r="K95" i="5"/>
  <c r="K94" i="5"/>
  <c r="K93" i="5"/>
  <c r="K92" i="5"/>
  <c r="K91" i="5"/>
  <c r="K90" i="5"/>
  <c r="K89" i="5"/>
  <c r="K88" i="5"/>
  <c r="K87" i="5"/>
  <c r="K86" i="5"/>
  <c r="K85" i="5"/>
  <c r="K84" i="5"/>
  <c r="K83" i="5"/>
  <c r="K82" i="5"/>
  <c r="K81" i="5"/>
  <c r="K80" i="5"/>
  <c r="K79" i="5"/>
  <c r="K78" i="5"/>
  <c r="K77" i="5"/>
  <c r="K76" i="5"/>
  <c r="K75" i="5"/>
  <c r="K74" i="5"/>
  <c r="K73" i="5"/>
  <c r="K72" i="5"/>
  <c r="K71" i="5"/>
  <c r="K70" i="5"/>
  <c r="K69" i="5"/>
  <c r="K68" i="5"/>
  <c r="K67" i="5"/>
  <c r="K66" i="5"/>
  <c r="K65" i="5"/>
  <c r="K64" i="5"/>
  <c r="K63" i="5"/>
  <c r="K62" i="5"/>
  <c r="K61" i="5"/>
  <c r="K60" i="5"/>
  <c r="K59" i="5"/>
  <c r="K58" i="5"/>
  <c r="K57" i="5"/>
  <c r="K56" i="5"/>
  <c r="K55" i="5"/>
  <c r="K54" i="5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L2" i="7" l="1"/>
  <c r="L8" i="7"/>
  <c r="L14" i="7"/>
  <c r="L32" i="7"/>
  <c r="L38" i="7"/>
  <c r="L44" i="7"/>
  <c r="L68" i="7"/>
  <c r="L98" i="7"/>
  <c r="L110" i="7"/>
  <c r="L116" i="7"/>
  <c r="L134" i="7"/>
  <c r="L140" i="7"/>
  <c r="L146" i="7"/>
  <c r="L170" i="7"/>
  <c r="L200" i="7"/>
  <c r="L206" i="7"/>
  <c r="L224" i="7"/>
  <c r="L230" i="7"/>
  <c r="L242" i="7"/>
  <c r="L248" i="7"/>
  <c r="L254" i="7"/>
  <c r="L260" i="7"/>
  <c r="L266" i="7"/>
  <c r="L284" i="7"/>
  <c r="L296" i="7"/>
  <c r="L320" i="7"/>
  <c r="L326" i="7"/>
  <c r="L356" i="7"/>
  <c r="L368" i="7"/>
  <c r="L392" i="7"/>
  <c r="L398" i="7"/>
  <c r="L416" i="7"/>
  <c r="L422" i="7"/>
  <c r="L434" i="7"/>
  <c r="L464" i="7"/>
  <c r="L482" i="7"/>
  <c r="L488" i="7"/>
  <c r="L494" i="7"/>
  <c r="L536" i="7"/>
  <c r="L548" i="7"/>
  <c r="L572" i="7"/>
  <c r="L584" i="7"/>
  <c r="L632" i="7"/>
  <c r="L644" i="7"/>
  <c r="L656" i="7"/>
  <c r="L662" i="7"/>
  <c r="L680" i="7"/>
  <c r="L692" i="7"/>
  <c r="L710" i="7"/>
  <c r="L716" i="7"/>
  <c r="L722" i="7"/>
  <c r="L770" i="7"/>
  <c r="L788" i="7"/>
  <c r="L800" i="7"/>
  <c r="L806" i="7"/>
  <c r="L818" i="7"/>
  <c r="L830" i="7"/>
  <c r="L836" i="7"/>
  <c r="L842" i="7"/>
  <c r="L848" i="7"/>
  <c r="L854" i="7"/>
  <c r="L860" i="7"/>
  <c r="L866" i="7"/>
  <c r="L878" i="7"/>
  <c r="L890" i="7"/>
  <c r="L896" i="7"/>
  <c r="L908" i="7"/>
  <c r="L914" i="7"/>
  <c r="L920" i="7"/>
  <c r="L938" i="7"/>
  <c r="L944" i="7"/>
  <c r="L968" i="7"/>
  <c r="L998" i="7"/>
  <c r="L1028" i="7"/>
  <c r="L1034" i="7"/>
  <c r="L1040" i="7"/>
  <c r="L1046" i="7"/>
  <c r="L1076" i="7"/>
  <c r="L1082" i="7"/>
  <c r="L1088" i="7"/>
  <c r="L1094" i="7"/>
  <c r="L1106" i="7"/>
  <c r="L1118" i="7"/>
  <c r="L1136" i="7"/>
  <c r="L1142" i="7"/>
  <c r="L1160" i="7"/>
  <c r="L1166" i="7"/>
  <c r="L1172" i="7"/>
  <c r="L1178" i="7"/>
  <c r="L1184" i="7"/>
</calcChain>
</file>

<file path=xl/sharedStrings.xml><?xml version="1.0" encoding="utf-8"?>
<sst xmlns="http://schemas.openxmlformats.org/spreadsheetml/2006/main" count="20458" uniqueCount="2853">
  <si>
    <t>AI Clinical Trial Site Selection POC — Synthetic Demo Dataset</t>
  </si>
  <si>
    <t>Generated to demonstrate the 8-stage pipeline end to end with realistic volume, without any real patient or site data.</t>
  </si>
  <si>
    <t>IMPORTANT — READ FIRST</t>
  </si>
  <si>
    <t>This entire workbook is SYNTHETIC / SIMULATED data generated for demo purposes. No real patients, hospitals,</t>
  </si>
  <si>
    <t>investigators, or trials are represented. Site names, scores, and risk records are randomly generated but</t>
  </si>
  <si>
    <t>structured the way real feasibility and risk data would look, so the pipeline logic can be tested with volume.</t>
  </si>
  <si>
    <t>Sheet guide:</t>
  </si>
  <si>
    <t xml:space="preserve">  Trial_Requirements  - 6 headline trials + 102 additional protocol variants (same 6 indication families,</t>
  </si>
  <si>
    <t xml:space="preserve">                        different phase/sample size/duration/budget/cohort) = 108 rows (Stage 1 input)</t>
  </si>
  <si>
    <t xml:space="preserve">  Region_Data         - 24 regions x 6 indications = 144 rows of prevalence/regulatory/cost data (Stage 2)</t>
  </si>
  <si>
    <t xml:space="preserve">  Candidate_Sites     - 300 synthetic hospital/site records across 24 regions (feeds Stage 4)</t>
  </si>
  <si>
    <t xml:space="preserve">  Site_Evaluation     - one scored row per site (300); Suitability Score is a LIVE FORMULA, not hardcoded (Stage 5)</t>
  </si>
  <si>
    <t xml:space="preserve">  Risk_Matrix         - the Likelihood x Impact lookup table used to rate every risk record</t>
  </si>
  <si>
    <t xml:space="preserve">  Risk_Register       - 1,800 individual risk RECORDS (6 categories x 300 sites), each with its own</t>
  </si>
  <si>
    <t xml:space="preserve">                        Likelihood/Impact/Rating - this is the 'records format' your manager asked for (Stage 6)</t>
  </si>
  <si>
    <t xml:space="preserve">  Site_Ranking        - top 20 ranked sites for each of the 6 HEADLINE trials only (120 rows total),</t>
  </si>
  <si>
    <t xml:space="preserve">                        pulling live Suitability Score and Risk Level via formulas (Stage 7-8). The 102</t>
  </si>
  <si>
    <t xml:space="preserve">                        trial variants are listed in Trial_Requirements but not individually re-ranked,</t>
  </si>
  <si>
    <t xml:space="preserve">                        since ranking near-duplicate protocol variants against the same site pool would</t>
  </si>
  <si>
    <t xml:space="preserve">                        just repeat the same 20 sites over and over with no new information.</t>
  </si>
  <si>
    <t>Assumption logged: which sites appear per trial in Site_Ranking was selected once at generation time</t>
  </si>
  <si>
    <t>(matched by therapeutic area, ranked by Suitability Score). The Score, High-Risk Record</t>
  </si>
  <si>
    <t>Count and Risk Level columns there are live formulas and WILL update if you edit Site_Evaluation or</t>
  </si>
  <si>
    <t>Risk_Register - but the list of which sites appear will not re-sort automatically without regenerating.</t>
  </si>
  <si>
    <t>Production note: replace Candidate_Sites / Site_Evaluation with a real feasibility feed, and Region_Data</t>
  </si>
  <si>
    <t>with a live WHO GHO / IHME pull, to move this from demo data to a production-grade system.</t>
  </si>
  <si>
    <t>Indication</t>
  </si>
  <si>
    <t>Phase</t>
  </si>
  <si>
    <t>Target Sample Size</t>
  </si>
  <si>
    <t>Duration (months)</t>
  </si>
  <si>
    <t>Budget Tier</t>
  </si>
  <si>
    <t>Required Infrastructure</t>
  </si>
  <si>
    <t>Inclusion Criteria Summary</t>
  </si>
  <si>
    <t>T-001</t>
  </si>
  <si>
    <t>Type 2 Diabetes</t>
  </si>
  <si>
    <t>Phase II</t>
  </si>
  <si>
    <t>Mid</t>
  </si>
  <si>
    <t>Endocrinology unit; on-site lab (HbA1c, lipid panel)</t>
  </si>
  <si>
    <t>Adults 30-65, HbA1c 7.5-10%, no prior insulin therapy</t>
  </si>
  <si>
    <t>T-002</t>
  </si>
  <si>
    <t>Breast Cancer (HER2+)</t>
  </si>
  <si>
    <t>Phase III</t>
  </si>
  <si>
    <t>High</t>
  </si>
  <si>
    <t>Oncology infusion center; MRI/CT imaging</t>
  </si>
  <si>
    <t>Adults 18+, HER2-positive stage II-III, ECOG 0-1</t>
  </si>
  <si>
    <t>T-003</t>
  </si>
  <si>
    <t>Hypertension</t>
  </si>
  <si>
    <t>Low</t>
  </si>
  <si>
    <t>Cardiology outpatient clinic; ambulatory BP monitoring</t>
  </si>
  <si>
    <t>Adults 40-70, BP 140-179/90-109 mmHg</t>
  </si>
  <si>
    <t>T-004</t>
  </si>
  <si>
    <t>Alzheimer's Disease (Early-stage)</t>
  </si>
  <si>
    <t>Neurology unit; PET imaging capability</t>
  </si>
  <si>
    <t>Adults 55-85, MMSE 20-26, amyloid-positive</t>
  </si>
  <si>
    <t>T-005</t>
  </si>
  <si>
    <t>HIV (Treatment-naive)</t>
  </si>
  <si>
    <t>Infectious disease clinic; virology lab</t>
  </si>
  <si>
    <t>Adults 18+, treatment-naive, CD4 count &gt; 200</t>
  </si>
  <si>
    <t>T-006</t>
  </si>
  <si>
    <t>Asthma (Moderate-Severe)</t>
  </si>
  <si>
    <t>Pulmonology unit; spirometry equipment</t>
  </si>
  <si>
    <t>Adults 18-65, moderate-to-severe persistent asthma</t>
  </si>
  <si>
    <t>Type 2 Diabetes - Elderly (65+)</t>
  </si>
  <si>
    <t>Phase I</t>
  </si>
  <si>
    <t>Adults 30-65, HbA1c 7.5-10%, no prior insulin therapy; Elderly (65+) cohort</t>
  </si>
  <si>
    <t>T-008</t>
  </si>
  <si>
    <t>Type 2 Diabetes - Newly diagnosed</t>
  </si>
  <si>
    <t>Adults 30-65, HbA1c 7.5-10%, no prior insulin therapy; Newly diagnosed cohort</t>
  </si>
  <si>
    <t>T-009</t>
  </si>
  <si>
    <t>Type 2 Diabetes - Treatment-resistant</t>
  </si>
  <si>
    <t>Adults 30-65, HbA1c 7.5-10%, no prior insulin therapy; Treatment-resistant cohort</t>
  </si>
  <si>
    <t>T-010</t>
  </si>
  <si>
    <t>Type 2 Diabetes - Adolescent/young adult</t>
  </si>
  <si>
    <t>Adults 30-65, HbA1c 7.5-10%, no prior insulin therapy; Adolescent/young adult cohort</t>
  </si>
  <si>
    <t>Type 2 Diabetes - Renal-impaired</t>
  </si>
  <si>
    <t>Adults 30-65, HbA1c 7.5-10%, no prior insulin therapy; Renal-impaired cohort</t>
  </si>
  <si>
    <t>Type 2 Diabetes - Obese (BMI&gt;35)</t>
  </si>
  <si>
    <t>Adults 30-65, HbA1c 7.5-10%, no prior insulin therapy; Obese (BMI&gt;35) cohort</t>
  </si>
  <si>
    <t>Type 2 Diabetes - Early-stage</t>
  </si>
  <si>
    <t>Adults 30-65, HbA1c 7.5-10%, no prior insulin therapy; Early-stage cohort</t>
  </si>
  <si>
    <t>Type 2 Diabetes - Late-stage</t>
  </si>
  <si>
    <t>Adults 30-65, HbA1c 7.5-10%, no prior insulin therapy; Late-stage cohort</t>
  </si>
  <si>
    <t>Type 2 Diabetes - Comorbid cardiovascular</t>
  </si>
  <si>
    <t>Phase IV</t>
  </si>
  <si>
    <t>Adults 30-65, HbA1c 7.5-10%, no prior insulin therapy; Comorbid cardiovascular cohort</t>
  </si>
  <si>
    <t>Type 2 Diabetes - Comorbid renal</t>
  </si>
  <si>
    <t>Adults 30-65, HbA1c 7.5-10%, no prior insulin therapy; Comorbid renal cohort</t>
  </si>
  <si>
    <t>Type 2 Diabetes - Rural population</t>
  </si>
  <si>
    <t>Adults 30-65, HbA1c 7.5-10%, no prior insulin therapy; Rural population cohort</t>
  </si>
  <si>
    <t>Type 2 Diabetes - Urban population</t>
  </si>
  <si>
    <t>Adults 30-65, HbA1c 7.5-10%, no prior insulin therapy; Urban population cohort</t>
  </si>
  <si>
    <t>Type 2 Diabetes - Female-only</t>
  </si>
  <si>
    <t>Adults 30-65, HbA1c 7.5-10%, no prior insulin therapy; Female-only cohort</t>
  </si>
  <si>
    <t>Type 2 Diabetes - Male-only</t>
  </si>
  <si>
    <t>Adults 30-65, HbA1c 7.5-10%, no prior insulin therapy; Male-only cohort</t>
  </si>
  <si>
    <t>Type 2 Diabetes - High-risk genetic marker</t>
  </si>
  <si>
    <t>Adults 30-65, HbA1c 7.5-10%, no prior insulin therapy; High-risk genetic marker cohort</t>
  </si>
  <si>
    <t>Type 2 Diabetes - Post-surgical</t>
  </si>
  <si>
    <t>Adults 30-65, HbA1c 7.5-10%, no prior insulin therapy; Post-surgical cohort</t>
  </si>
  <si>
    <t>Type 2 Diabetes - Recurrent/relapsed</t>
  </si>
  <si>
    <t>Adults 30-65, HbA1c 7.5-10%, no prior insulin therapy; Recurrent/relapsed cohort</t>
  </si>
  <si>
    <t>Breast Cancer (HER2+) - Elderly (65+)</t>
  </si>
  <si>
    <t>Adults 18+, HER2-positive stage II-III, ECOG 0-1; Elderly (65+) cohort</t>
  </si>
  <si>
    <t>Breast Cancer (HER2+) - Newly diagnosed</t>
  </si>
  <si>
    <t>Adults 18+, HER2-positive stage II-III, ECOG 0-1; Newly diagnosed cohort</t>
  </si>
  <si>
    <t>Breast Cancer (HER2+) - Treatment-resistant</t>
  </si>
  <si>
    <t>Adults 18+, HER2-positive stage II-III, ECOG 0-1; Treatment-resistant cohort</t>
  </si>
  <si>
    <t>Breast Cancer (HER2+) - Adolescent/young adult</t>
  </si>
  <si>
    <t>Adults 18+, HER2-positive stage II-III, ECOG 0-1; Adolescent/young adult cohort</t>
  </si>
  <si>
    <t>Breast Cancer (HER2+) - Renal-impaired</t>
  </si>
  <si>
    <t>Adults 18+, HER2-positive stage II-III, ECOG 0-1; Renal-impaired cohort</t>
  </si>
  <si>
    <t>Breast Cancer (HER2+) - Obese (BMI&gt;35)</t>
  </si>
  <si>
    <t>Adults 18+, HER2-positive stage II-III, ECOG 0-1; Obese (BMI&gt;35) cohort</t>
  </si>
  <si>
    <t>Breast Cancer (HER2+) - Early-stage</t>
  </si>
  <si>
    <t>Adults 18+, HER2-positive stage II-III, ECOG 0-1; Early-stage cohort</t>
  </si>
  <si>
    <t>Breast Cancer (HER2+) - Late-stage</t>
  </si>
  <si>
    <t>Adults 18+, HER2-positive stage II-III, ECOG 0-1; Late-stage cohort</t>
  </si>
  <si>
    <t>Breast Cancer (HER2+) - Comorbid cardiovascular</t>
  </si>
  <si>
    <t>Adults 18+, HER2-positive stage II-III, ECOG 0-1; Comorbid cardiovascular cohort</t>
  </si>
  <si>
    <t>Breast Cancer (HER2+) - Comorbid renal</t>
  </si>
  <si>
    <t>Adults 18+, HER2-positive stage II-III, ECOG 0-1; Comorbid renal cohort</t>
  </si>
  <si>
    <t>Breast Cancer (HER2+) - Rural population</t>
  </si>
  <si>
    <t>Adults 18+, HER2-positive stage II-III, ECOG 0-1; Rural population cohort</t>
  </si>
  <si>
    <t>Breast Cancer (HER2+) - Urban population</t>
  </si>
  <si>
    <t>Adults 18+, HER2-positive stage II-III, ECOG 0-1; Urban population cohort</t>
  </si>
  <si>
    <t>Breast Cancer (HER2+) - Female-only</t>
  </si>
  <si>
    <t>Adults 18+, HER2-positive stage II-III, ECOG 0-1; Female-only cohort</t>
  </si>
  <si>
    <t>Breast Cancer (HER2+) - Male-only</t>
  </si>
  <si>
    <t>Adults 18+, HER2-positive stage II-III, ECOG 0-1; Male-only cohort</t>
  </si>
  <si>
    <t>Breast Cancer (HER2+) - High-risk genetic marker</t>
  </si>
  <si>
    <t>Adults 18+, HER2-positive stage II-III, ECOG 0-1; High-risk genetic marker cohort</t>
  </si>
  <si>
    <t>Breast Cancer (HER2+) - Post-surgical</t>
  </si>
  <si>
    <t>Adults 18+, HER2-positive stage II-III, ECOG 0-1; Post-surgical cohort</t>
  </si>
  <si>
    <t>Breast Cancer (HER2+) - Recurrent/relapsed</t>
  </si>
  <si>
    <t>Adults 18+, HER2-positive stage II-III, ECOG 0-1; Recurrent/relapsed cohort</t>
  </si>
  <si>
    <t>Hypertension - Elderly (65+)</t>
  </si>
  <si>
    <t>Adults 40-70, BP 140-179/90-109 mmHg; Elderly (65+) cohort</t>
  </si>
  <si>
    <t>Hypertension - Newly diagnosed</t>
  </si>
  <si>
    <t>Adults 40-70, BP 140-179/90-109 mmHg; Newly diagnosed cohort</t>
  </si>
  <si>
    <t>Hypertension - Treatment-resistant</t>
  </si>
  <si>
    <t>Adults 40-70, BP 140-179/90-109 mmHg; Treatment-resistant cohort</t>
  </si>
  <si>
    <t>Hypertension - Adolescent/young adult</t>
  </si>
  <si>
    <t>Adults 40-70, BP 140-179/90-109 mmHg; Adolescent/young adult cohort</t>
  </si>
  <si>
    <t>Hypertension - Renal-impaired</t>
  </si>
  <si>
    <t>Adults 40-70, BP 140-179/90-109 mmHg; Renal-impaired cohort</t>
  </si>
  <si>
    <t>Hypertension - Obese (BMI&gt;35)</t>
  </si>
  <si>
    <t>Adults 40-70, BP 140-179/90-109 mmHg; Obese (BMI&gt;35) cohort</t>
  </si>
  <si>
    <t>Hypertension - Early-stage</t>
  </si>
  <si>
    <t>Adults 40-70, BP 140-179/90-109 mmHg; Early-stage cohort</t>
  </si>
  <si>
    <t>Hypertension - Late-stage</t>
  </si>
  <si>
    <t>Adults 40-70, BP 140-179/90-109 mmHg; Late-stage cohort</t>
  </si>
  <si>
    <t>Hypertension - Comorbid cardiovascular</t>
  </si>
  <si>
    <t>Adults 40-70, BP 140-179/90-109 mmHg; Comorbid cardiovascular cohort</t>
  </si>
  <si>
    <t>Hypertension - Comorbid renal</t>
  </si>
  <si>
    <t>Adults 40-70, BP 140-179/90-109 mmHg; Comorbid renal cohort</t>
  </si>
  <si>
    <t>Hypertension - Rural population</t>
  </si>
  <si>
    <t>Adults 40-70, BP 140-179/90-109 mmHg; Rural population cohort</t>
  </si>
  <si>
    <t>Hypertension - Urban population</t>
  </si>
  <si>
    <t>Adults 40-70, BP 140-179/90-109 mmHg; Urban population cohort</t>
  </si>
  <si>
    <t>Hypertension - Female-only</t>
  </si>
  <si>
    <t>Adults 40-70, BP 140-179/90-109 mmHg; Female-only cohort</t>
  </si>
  <si>
    <t>Hypertension - Male-only</t>
  </si>
  <si>
    <t>Adults 40-70, BP 140-179/90-109 mmHg; Male-only cohort</t>
  </si>
  <si>
    <t>Hypertension - High-risk genetic marker</t>
  </si>
  <si>
    <t>Adults 40-70, BP 140-179/90-109 mmHg; High-risk genetic marker cohort</t>
  </si>
  <si>
    <t>Hypertension - Post-surgical</t>
  </si>
  <si>
    <t>Adults 40-70, BP 140-179/90-109 mmHg; Post-surgical cohort</t>
  </si>
  <si>
    <t>Hypertension - Recurrent/relapsed</t>
  </si>
  <si>
    <t>Adults 40-70, BP 140-179/90-109 mmHg; Recurrent/relapsed cohort</t>
  </si>
  <si>
    <t>Alzheimer's Disease (Early-stage) - Elderly (65+)</t>
  </si>
  <si>
    <t>Adults 55-85, MMSE 20-26, amyloid-positive; Elderly (65+) cohort</t>
  </si>
  <si>
    <t>Alzheimer's Disease (Early-stage) - Newly diagnosed</t>
  </si>
  <si>
    <t>Adults 55-85, MMSE 20-26, amyloid-positive; Newly diagnosed cohort</t>
  </si>
  <si>
    <t>Alzheimer's Disease (Early-stage) - Treatment-resistant</t>
  </si>
  <si>
    <t>Adults 55-85, MMSE 20-26, amyloid-positive; Treatment-resistant cohort</t>
  </si>
  <si>
    <t>Alzheimer's Disease (Early-stage) - Adolescent/young adult</t>
  </si>
  <si>
    <t>Adults 55-85, MMSE 20-26, amyloid-positive; Adolescent/young adult cohort</t>
  </si>
  <si>
    <t>Alzheimer's Disease (Early-stage) - Renal-impaired</t>
  </si>
  <si>
    <t>Adults 55-85, MMSE 20-26, amyloid-positive; Renal-impaired cohort</t>
  </si>
  <si>
    <t>Alzheimer's Disease (Early-stage) - Obese (BMI&gt;35)</t>
  </si>
  <si>
    <t>Adults 55-85, MMSE 20-26, amyloid-positive; Obese (BMI&gt;35) cohort</t>
  </si>
  <si>
    <t>Alzheimer's Disease (Early-stage) - Early-stage</t>
  </si>
  <si>
    <t>Adults 55-85, MMSE 20-26, amyloid-positive; Early-stage cohort</t>
  </si>
  <si>
    <t>Alzheimer's Disease (Early-stage) - Late-stage</t>
  </si>
  <si>
    <t>Adults 55-85, MMSE 20-26, amyloid-positive; Late-stage cohort</t>
  </si>
  <si>
    <t>Alzheimer's Disease (Early-stage) - Comorbid cardiovascular</t>
  </si>
  <si>
    <t>Adults 55-85, MMSE 20-26, amyloid-positive; Comorbid cardiovascular cohort</t>
  </si>
  <si>
    <t>Alzheimer's Disease (Early-stage) - Comorbid renal</t>
  </si>
  <si>
    <t>Adults 55-85, MMSE 20-26, amyloid-positive; Comorbid renal cohort</t>
  </si>
  <si>
    <t>Alzheimer's Disease (Early-stage) - Rural population</t>
  </si>
  <si>
    <t>Adults 55-85, MMSE 20-26, amyloid-positive; Rural population cohort</t>
  </si>
  <si>
    <t>Alzheimer's Disease (Early-stage) - Urban population</t>
  </si>
  <si>
    <t>Adults 55-85, MMSE 20-26, amyloid-positive; Urban population cohort</t>
  </si>
  <si>
    <t>Alzheimer's Disease (Early-stage) - Female-only</t>
  </si>
  <si>
    <t>Adults 55-85, MMSE 20-26, amyloid-positive; Female-only cohort</t>
  </si>
  <si>
    <t>Alzheimer's Disease (Early-stage) - Male-only</t>
  </si>
  <si>
    <t>Adults 55-85, MMSE 20-26, amyloid-positive; Male-only cohort</t>
  </si>
  <si>
    <t>Alzheimer's Disease (Early-stage) - High-risk genetic marker</t>
  </si>
  <si>
    <t>Adults 55-85, MMSE 20-26, amyloid-positive; High-risk genetic marker cohort</t>
  </si>
  <si>
    <t>Alzheimer's Disease (Early-stage) - Post-surgical</t>
  </si>
  <si>
    <t>Adults 55-85, MMSE 20-26, amyloid-positive; Post-surgical cohort</t>
  </si>
  <si>
    <t>Alzheimer's Disease (Early-stage) - Recurrent/relapsed</t>
  </si>
  <si>
    <t>Adults 55-85, MMSE 20-26, amyloid-positive; Recurrent/relapsed cohort</t>
  </si>
  <si>
    <t>HIV (Treatment-naive) - Elderly (65+)</t>
  </si>
  <si>
    <t>Adults 18+, treatment-naive, CD4 count &gt; 200; Elderly (65+) cohort</t>
  </si>
  <si>
    <t>HIV (Treatment-naive) - Newly diagnosed</t>
  </si>
  <si>
    <t>Adults 18+, treatment-naive, CD4 count &gt; 200; Newly diagnosed cohort</t>
  </si>
  <si>
    <t>HIV (Treatment-naive) - Treatment-resistant</t>
  </si>
  <si>
    <t>Adults 18+, treatment-naive, CD4 count &gt; 200; Treatment-resistant cohort</t>
  </si>
  <si>
    <t>HIV (Treatment-naive) - Adolescent/young adult</t>
  </si>
  <si>
    <t>Adults 18+, treatment-naive, CD4 count &gt; 200; Adolescent/young adult cohort</t>
  </si>
  <si>
    <t>HIV (Treatment-naive) - Renal-impaired</t>
  </si>
  <si>
    <t>Adults 18+, treatment-naive, CD4 count &gt; 200; Renal-impaired cohort</t>
  </si>
  <si>
    <t>HIV (Treatment-naive) - Obese (BMI&gt;35)</t>
  </si>
  <si>
    <t>Adults 18+, treatment-naive, CD4 count &gt; 200; Obese (BMI&gt;35) cohort</t>
  </si>
  <si>
    <t>HIV (Treatment-naive) - Early-stage</t>
  </si>
  <si>
    <t>Adults 18+, treatment-naive, CD4 count &gt; 200; Early-stage cohort</t>
  </si>
  <si>
    <t>HIV (Treatment-naive) - Late-stage</t>
  </si>
  <si>
    <t>Adults 18+, treatment-naive, CD4 count &gt; 200; Late-stage cohort</t>
  </si>
  <si>
    <t>HIV (Treatment-naive) - Comorbid cardiovascular</t>
  </si>
  <si>
    <t>Adults 18+, treatment-naive, CD4 count &gt; 200; Comorbid cardiovascular cohort</t>
  </si>
  <si>
    <t>HIV (Treatment-naive) - Comorbid renal</t>
  </si>
  <si>
    <t>Adults 18+, treatment-naive, CD4 count &gt; 200; Comorbid renal cohort</t>
  </si>
  <si>
    <t>HIV (Treatment-naive) - Rural population</t>
  </si>
  <si>
    <t>Adults 18+, treatment-naive, CD4 count &gt; 200; Rural population cohort</t>
  </si>
  <si>
    <t>HIV (Treatment-naive) - Urban population</t>
  </si>
  <si>
    <t>Adults 18+, treatment-naive, CD4 count &gt; 200; Urban population cohort</t>
  </si>
  <si>
    <t>HIV (Treatment-naive) - Female-only</t>
  </si>
  <si>
    <t>Adults 18+, treatment-naive, CD4 count &gt; 200; Female-only cohort</t>
  </si>
  <si>
    <t>HIV (Treatment-naive) - Male-only</t>
  </si>
  <si>
    <t>Adults 18+, treatment-naive, CD4 count &gt; 200; Male-only cohort</t>
  </si>
  <si>
    <t>HIV (Treatment-naive) - High-risk genetic marker</t>
  </si>
  <si>
    <t>Adults 18+, treatment-naive, CD4 count &gt; 200; High-risk genetic marker cohort</t>
  </si>
  <si>
    <t>HIV (Treatment-naive) - Post-surgical</t>
  </si>
  <si>
    <t>Adults 18+, treatment-naive, CD4 count &gt; 200; Post-surgical cohort</t>
  </si>
  <si>
    <t>HIV (Treatment-naive) - Recurrent/relapsed</t>
  </si>
  <si>
    <t>Adults 18+, treatment-naive, CD4 count &gt; 200; Recurrent/relapsed cohort</t>
  </si>
  <si>
    <t>Asthma (Moderate-Severe) - Elderly (65+)</t>
  </si>
  <si>
    <t>Adults 18-65, moderate-to-severe persistent asthma; Elderly (65+) cohort</t>
  </si>
  <si>
    <t>Asthma (Moderate-Severe) - Newly diagnosed</t>
  </si>
  <si>
    <t>Adults 18-65, moderate-to-severe persistent asthma; Newly diagnosed cohort</t>
  </si>
  <si>
    <t>Asthma (Moderate-Severe) - Treatment-resistant</t>
  </si>
  <si>
    <t>Adults 18-65, moderate-to-severe persistent asthma; Treatment-resistant cohort</t>
  </si>
  <si>
    <t>Asthma (Moderate-Severe) - Adolescent/young adult</t>
  </si>
  <si>
    <t>Adults 18-65, moderate-to-severe persistent asthma; Adolescent/young adult cohort</t>
  </si>
  <si>
    <t>Asthma (Moderate-Severe) - Renal-impaired</t>
  </si>
  <si>
    <t>Adults 18-65, moderate-to-severe persistent asthma; Renal-impaired cohort</t>
  </si>
  <si>
    <t>Asthma (Moderate-Severe) - Obese (BMI&gt;35)</t>
  </si>
  <si>
    <t>Adults 18-65, moderate-to-severe persistent asthma; Obese (BMI&gt;35) cohort</t>
  </si>
  <si>
    <t>Asthma (Moderate-Severe) - Early-stage</t>
  </si>
  <si>
    <t>Adults 18-65, moderate-to-severe persistent asthma; Early-stage cohort</t>
  </si>
  <si>
    <t>Asthma (Moderate-Severe) - Late-stage</t>
  </si>
  <si>
    <t>Adults 18-65, moderate-to-severe persistent asthma; Late-stage cohort</t>
  </si>
  <si>
    <t>Asthma (Moderate-Severe) - Comorbid cardiovascular</t>
  </si>
  <si>
    <t>Adults 18-65, moderate-to-severe persistent asthma; Comorbid cardiovascular cohort</t>
  </si>
  <si>
    <t>Asthma (Moderate-Severe) - Comorbid renal</t>
  </si>
  <si>
    <t>Adults 18-65, moderate-to-severe persistent asthma; Comorbid renal cohort</t>
  </si>
  <si>
    <t>Asthma (Moderate-Severe) - Rural population</t>
  </si>
  <si>
    <t>Adults 18-65, moderate-to-severe persistent asthma; Rural population cohort</t>
  </si>
  <si>
    <t>Asthma (Moderate-Severe) - Urban population</t>
  </si>
  <si>
    <t>Adults 18-65, moderate-to-severe persistent asthma; Urban population cohort</t>
  </si>
  <si>
    <t>Asthma (Moderate-Severe) - Female-only</t>
  </si>
  <si>
    <t>Adults 18-65, moderate-to-severe persistent asthma; Female-only cohort</t>
  </si>
  <si>
    <t>Asthma (Moderate-Severe) - Male-only</t>
  </si>
  <si>
    <t>Adults 18-65, moderate-to-severe persistent asthma; Male-only cohort</t>
  </si>
  <si>
    <t>Asthma (Moderate-Severe) - High-risk genetic marker</t>
  </si>
  <si>
    <t>Adults 18-65, moderate-to-severe persistent asthma; High-risk genetic marker cohort</t>
  </si>
  <si>
    <t>Asthma (Moderate-Severe) - Post-surgical</t>
  </si>
  <si>
    <t>Adults 18-65, moderate-to-severe persistent asthma; Post-surgical cohort</t>
  </si>
  <si>
    <t>Asthma (Moderate-Severe) - Recurrent/relapsed</t>
  </si>
  <si>
    <t>Adults 18-65, moderate-to-severe persistent asthma; Recurrent/relapsed cohort</t>
  </si>
  <si>
    <t>Region</t>
  </si>
  <si>
    <t>Country</t>
  </si>
  <si>
    <t>Prevalence (per 100k)</t>
  </si>
  <si>
    <t>Regulatory Approval Time (weeks)</t>
  </si>
  <si>
    <t>Active Competing Trials</t>
  </si>
  <si>
    <t>Avg Cost per Patient (USD)</t>
  </si>
  <si>
    <t>South India</t>
  </si>
  <si>
    <t>India</t>
  </si>
  <si>
    <t>North India</t>
  </si>
  <si>
    <t>South-East Asia</t>
  </si>
  <si>
    <t>Philippines</t>
  </si>
  <si>
    <t>Eastern Europe</t>
  </si>
  <si>
    <t>Poland</t>
  </si>
  <si>
    <t>Western Europe</t>
  </si>
  <si>
    <t>Germany</t>
  </si>
  <si>
    <t>North America</t>
  </si>
  <si>
    <t>United States</t>
  </si>
  <si>
    <t>Latin America</t>
  </si>
  <si>
    <t>Brazil</t>
  </si>
  <si>
    <t>Sub-Saharan Africa</t>
  </si>
  <si>
    <t>Kenya</t>
  </si>
  <si>
    <t>Central Mexico</t>
  </si>
  <si>
    <t>Mexico</t>
  </si>
  <si>
    <t>Southern Brazil</t>
  </si>
  <si>
    <t>Andean Region</t>
  </si>
  <si>
    <t>Colombia</t>
  </si>
  <si>
    <t>North Africa</t>
  </si>
  <si>
    <t>Egypt</t>
  </si>
  <si>
    <t>West Africa</t>
  </si>
  <si>
    <t>Nigeria</t>
  </si>
  <si>
    <t>Southern Africa</t>
  </si>
  <si>
    <t>South Africa</t>
  </si>
  <si>
    <t>Middle East (Gulf)</t>
  </si>
  <si>
    <t>United Arab Emirates</t>
  </si>
  <si>
    <t>Middle East (Levant)</t>
  </si>
  <si>
    <t>Turkey</t>
  </si>
  <si>
    <t>South Asia (Pakistan)</t>
  </si>
  <si>
    <t>Pakistan</t>
  </si>
  <si>
    <t>South Asia (Bangladesh)</t>
  </si>
  <si>
    <t>Bangladesh</t>
  </si>
  <si>
    <t>East Asia (Japan)</t>
  </si>
  <si>
    <t>Japan</t>
  </si>
  <si>
    <t>East Asia (South Korea)</t>
  </si>
  <si>
    <t>South Korea</t>
  </si>
  <si>
    <t>South-East Asia (Vietnam)</t>
  </si>
  <si>
    <t>Vietnam</t>
  </si>
  <si>
    <t>South-East Asia (Indonesia)</t>
  </si>
  <si>
    <t>Indonesia</t>
  </si>
  <si>
    <t>Oceania</t>
  </si>
  <si>
    <t>Australia</t>
  </si>
  <si>
    <t>United Kingdom</t>
  </si>
  <si>
    <t>Site ID</t>
  </si>
  <si>
    <t>Site Name</t>
  </si>
  <si>
    <t>City</t>
  </si>
  <si>
    <t>Therapeutic Area</t>
  </si>
  <si>
    <t>Hospital Type</t>
  </si>
  <si>
    <t>Accreditation</t>
  </si>
  <si>
    <t>S-0001</t>
  </si>
  <si>
    <t>Nairobi Cancer Center</t>
  </si>
  <si>
    <t>Nairobi</t>
  </si>
  <si>
    <t>Oncology</t>
  </si>
  <si>
    <t>Academic Medical Center</t>
  </si>
  <si>
    <t>Yes</t>
  </si>
  <si>
    <t>S-0002</t>
  </si>
  <si>
    <t>Wroclaw Cancer Center</t>
  </si>
  <si>
    <t>Wroclaw</t>
  </si>
  <si>
    <t>S-0003</t>
  </si>
  <si>
    <t>Coimbatore Diabetes &amp; Endocrine Institute</t>
  </si>
  <si>
    <t>Coimbatore</t>
  </si>
  <si>
    <t>Endocrinology</t>
  </si>
  <si>
    <t>Specialty Clinic</t>
  </si>
  <si>
    <t>S-0004</t>
  </si>
  <si>
    <t>Krakow Pulmonology Institute</t>
  </si>
  <si>
    <t>Krakow</t>
  </si>
  <si>
    <t>Pulmonology</t>
  </si>
  <si>
    <t>Community Hospital</t>
  </si>
  <si>
    <t>S-0005</t>
  </si>
  <si>
    <t>Nairobi Memory &amp; Brain Health Center</t>
  </si>
  <si>
    <t>Neurology</t>
  </si>
  <si>
    <t>S-0006</t>
  </si>
  <si>
    <t>Rio de Janeiro Memory &amp; Brain Health Center</t>
  </si>
  <si>
    <t>Rio de Janeiro</t>
  </si>
  <si>
    <t>Regional Referral Hospital</t>
  </si>
  <si>
    <t>No</t>
  </si>
  <si>
    <t>S-0007</t>
  </si>
  <si>
    <t>Chennai Metabolic Health Center</t>
  </si>
  <si>
    <t>Chennai</t>
  </si>
  <si>
    <t>S-0008</t>
  </si>
  <si>
    <t>Chandigarh Cancer Center</t>
  </si>
  <si>
    <t>Chandigarh</t>
  </si>
  <si>
    <t>University Hospital</t>
  </si>
  <si>
    <t>S-0009</t>
  </si>
  <si>
    <t>Sao Paulo Cardiology Center</t>
  </si>
  <si>
    <t>Sao Paulo</t>
  </si>
  <si>
    <t>Cardiology</t>
  </si>
  <si>
    <t>S-0010</t>
  </si>
  <si>
    <t>Jaipur Infectious Disease Clinic</t>
  </si>
  <si>
    <t>Jaipur</t>
  </si>
  <si>
    <t>Infectious Disease</t>
  </si>
  <si>
    <t>S-0011</t>
  </si>
  <si>
    <t>Chennai Cancer Center</t>
  </si>
  <si>
    <t>S-0012</t>
  </si>
  <si>
    <t>Krakow Diabetes &amp; Endocrine Institute</t>
  </si>
  <si>
    <t>S-0013</t>
  </si>
  <si>
    <t>S-0014</t>
  </si>
  <si>
    <t>Nairobi Oncology Institute</t>
  </si>
  <si>
    <t>S-0015</t>
  </si>
  <si>
    <t>Madurai Diabetes &amp; Endocrine Institute</t>
  </si>
  <si>
    <t>Madurai</t>
  </si>
  <si>
    <t>S-0016</t>
  </si>
  <si>
    <t>Manila Infectious Disease Clinic</t>
  </si>
  <si>
    <t>Manila</t>
  </si>
  <si>
    <t>S-0017</t>
  </si>
  <si>
    <t>Chandigarh Neuroscience Institute</t>
  </si>
  <si>
    <t>S-0018</t>
  </si>
  <si>
    <t>Chennai Neurology Hospital</t>
  </si>
  <si>
    <t>S-0019</t>
  </si>
  <si>
    <t>Chicago Tumor Care Hospital</t>
  </si>
  <si>
    <t>Chicago</t>
  </si>
  <si>
    <t>S-0020</t>
  </si>
  <si>
    <t>Sao Paulo Lung Health Hospital</t>
  </si>
  <si>
    <t>S-0021</t>
  </si>
  <si>
    <t>Delhi Neurology Hospital</t>
  </si>
  <si>
    <t>Delhi</t>
  </si>
  <si>
    <t>S-0022</t>
  </si>
  <si>
    <t>Chandigarh Global Health Institute</t>
  </si>
  <si>
    <t>S-0023</t>
  </si>
  <si>
    <t>Chandigarh Cardiology Center</t>
  </si>
  <si>
    <t>S-0024</t>
  </si>
  <si>
    <t>Hamburg Lung Health Hospital</t>
  </si>
  <si>
    <t>Hamburg</t>
  </si>
  <si>
    <t>S-0025</t>
  </si>
  <si>
    <t>Hamburg Diabetes &amp; Endocrine Institute</t>
  </si>
  <si>
    <t>S-0026</t>
  </si>
  <si>
    <t>S-0027</t>
  </si>
  <si>
    <t>Boston Lung Health Hospital</t>
  </si>
  <si>
    <t>Boston</t>
  </si>
  <si>
    <t>S-0028</t>
  </si>
  <si>
    <t>Berlin Endocrine Care Hospital</t>
  </si>
  <si>
    <t>Berlin</t>
  </si>
  <si>
    <t>S-0029</t>
  </si>
  <si>
    <t>Chennai Heart &amp; Vascular Institute</t>
  </si>
  <si>
    <t>S-0030</t>
  </si>
  <si>
    <t>Mombasa Infectious Disease Clinic</t>
  </si>
  <si>
    <t>Mombasa</t>
  </si>
  <si>
    <t>S-0031</t>
  </si>
  <si>
    <t>Davao Metabolic Health Center</t>
  </si>
  <si>
    <t>Davao</t>
  </si>
  <si>
    <t>S-0032</t>
  </si>
  <si>
    <t>Sao Paulo Metabolic Health Center</t>
  </si>
  <si>
    <t>S-0033</t>
  </si>
  <si>
    <t>Madurai Tumor Care Hospital</t>
  </si>
  <si>
    <t>S-0034</t>
  </si>
  <si>
    <t>Houston Neurology Hospital</t>
  </si>
  <si>
    <t>Houston</t>
  </si>
  <si>
    <t>S-0035</t>
  </si>
  <si>
    <t>Warsaw Oncology Institute</t>
  </si>
  <si>
    <t>Warsaw</t>
  </si>
  <si>
    <t>S-0036</t>
  </si>
  <si>
    <t>Chicago Lung Health Hospital</t>
  </si>
  <si>
    <t>S-0037</t>
  </si>
  <si>
    <t>Jaipur Metabolic Health Center</t>
  </si>
  <si>
    <t>S-0038</t>
  </si>
  <si>
    <t>Mombasa Heart &amp; Vascular Institute</t>
  </si>
  <si>
    <t>S-0039</t>
  </si>
  <si>
    <t>Krakow Cardiology Center</t>
  </si>
  <si>
    <t>S-0040</t>
  </si>
  <si>
    <t>Munich Lung Health Hospital</t>
  </si>
  <si>
    <t>Munich</t>
  </si>
  <si>
    <t>S-0041</t>
  </si>
  <si>
    <t>Boston Metabolic Health Center</t>
  </si>
  <si>
    <t>S-0042</t>
  </si>
  <si>
    <t>S-0043</t>
  </si>
  <si>
    <t>Chicago Immunology Center</t>
  </si>
  <si>
    <t>S-0044</t>
  </si>
  <si>
    <t>Krakow Endocrine Care Hospital</t>
  </si>
  <si>
    <t>S-0045</t>
  </si>
  <si>
    <t>Krakow Neuroscience Institute</t>
  </si>
  <si>
    <t>S-0046</t>
  </si>
  <si>
    <t>Lucknow Global Health Institute</t>
  </si>
  <si>
    <t>Lucknow</t>
  </si>
  <si>
    <t>S-0047</t>
  </si>
  <si>
    <t>Hamburg Cancer Center</t>
  </si>
  <si>
    <t>S-0048</t>
  </si>
  <si>
    <t>Belo Horizonte Respiratory Care Center</t>
  </si>
  <si>
    <t>Belo Horizonte</t>
  </si>
  <si>
    <t>S-0049</t>
  </si>
  <si>
    <t>Belo Horizonte Metabolic Health Center</t>
  </si>
  <si>
    <t>S-0050</t>
  </si>
  <si>
    <t>Chicago Memory &amp; Brain Health Center</t>
  </si>
  <si>
    <t>S-0051</t>
  </si>
  <si>
    <t>S-0052</t>
  </si>
  <si>
    <t>Boston Tumor Care Hospital</t>
  </si>
  <si>
    <t>S-0053</t>
  </si>
  <si>
    <t>Warsaw Diabetes &amp; Endocrine Institute</t>
  </si>
  <si>
    <t>S-0054</t>
  </si>
  <si>
    <t>Jaipur Neurology Hospital</t>
  </si>
  <si>
    <t>S-0055</t>
  </si>
  <si>
    <t>Rio de Janeiro Neuroscience Institute</t>
  </si>
  <si>
    <t>S-0056</t>
  </si>
  <si>
    <t>Chennai Neuroscience Institute</t>
  </si>
  <si>
    <t>S-0057</t>
  </si>
  <si>
    <t>Nairobi Infectious Disease Clinic</t>
  </si>
  <si>
    <t>S-0058</t>
  </si>
  <si>
    <t>Mombasa Neurology Hospital</t>
  </si>
  <si>
    <t>S-0059</t>
  </si>
  <si>
    <t>Nairobi Pulmonology Institute</t>
  </si>
  <si>
    <t>S-0060</t>
  </si>
  <si>
    <t>Wroclaw Cardiac Care Hospital</t>
  </si>
  <si>
    <t>S-0061</t>
  </si>
  <si>
    <t>Munich Endocrine Care Hospital</t>
  </si>
  <si>
    <t>S-0062</t>
  </si>
  <si>
    <t>Chicago Infectious Disease Clinic</t>
  </si>
  <si>
    <t>S-0063</t>
  </si>
  <si>
    <t>Belo Horizonte Tumor Care Hospital</t>
  </si>
  <si>
    <t>S-0064</t>
  </si>
  <si>
    <t>Rio de Janeiro Global Health Institute</t>
  </si>
  <si>
    <t>S-0065</t>
  </si>
  <si>
    <t>Rio de Janeiro Immunology Center</t>
  </si>
  <si>
    <t>S-0066</t>
  </si>
  <si>
    <t>Rio de Janeiro Metabolic Health Center</t>
  </si>
  <si>
    <t>S-0067</t>
  </si>
  <si>
    <t>Belo Horizonte Lung Health Hospital</t>
  </si>
  <si>
    <t>S-0068</t>
  </si>
  <si>
    <t>Krakow Oncology Institute</t>
  </si>
  <si>
    <t>S-0069</t>
  </si>
  <si>
    <t>Rio de Janeiro Lung Health Hospital</t>
  </si>
  <si>
    <t>S-0070</t>
  </si>
  <si>
    <t>Nairobi Immunology Center</t>
  </si>
  <si>
    <t>S-0071</t>
  </si>
  <si>
    <t>Chennai Pulmonology Institute</t>
  </si>
  <si>
    <t>S-0072</t>
  </si>
  <si>
    <t>Manila Cardiology Center</t>
  </si>
  <si>
    <t>S-0073</t>
  </si>
  <si>
    <t>S-0074</t>
  </si>
  <si>
    <t>Jaipur Endocrine Care Hospital</t>
  </si>
  <si>
    <t>S-0075</t>
  </si>
  <si>
    <t>Boston Respiratory Care Center</t>
  </si>
  <si>
    <t>S-0076</t>
  </si>
  <si>
    <t>Warsaw Endocrine Care Hospital</t>
  </si>
  <si>
    <t>S-0077</t>
  </si>
  <si>
    <t>S-0078</t>
  </si>
  <si>
    <t>Boston Immunology Center</t>
  </si>
  <si>
    <t>S-0079</t>
  </si>
  <si>
    <t>Cebu Endocrine Care Hospital</t>
  </si>
  <si>
    <t>Cebu</t>
  </si>
  <si>
    <t>S-0080</t>
  </si>
  <si>
    <t>Rio de Janeiro Respiratory Care Center</t>
  </si>
  <si>
    <t>S-0081</t>
  </si>
  <si>
    <t>Warsaw Pulmonology Institute</t>
  </si>
  <si>
    <t>S-0082</t>
  </si>
  <si>
    <t>Madurai Global Health Institute</t>
  </si>
  <si>
    <t>S-0083</t>
  </si>
  <si>
    <t>Boston Memory &amp; Brain Health Center</t>
  </si>
  <si>
    <t>S-0084</t>
  </si>
  <si>
    <t>S-0085</t>
  </si>
  <si>
    <t>Hamburg Global Health Institute</t>
  </si>
  <si>
    <t>S-0086</t>
  </si>
  <si>
    <t>Munich Cancer Center</t>
  </si>
  <si>
    <t>S-0087</t>
  </si>
  <si>
    <t>Krakow Immunology Center</t>
  </si>
  <si>
    <t>S-0088</t>
  </si>
  <si>
    <t>Mombasa Oncology Institute</t>
  </si>
  <si>
    <t>S-0089</t>
  </si>
  <si>
    <t>Munich Cardiac Care Hospital</t>
  </si>
  <si>
    <t>S-0090</t>
  </si>
  <si>
    <t>Warsaw Tumor Care Hospital</t>
  </si>
  <si>
    <t>S-0091</t>
  </si>
  <si>
    <t>Wroclaw Neurology Hospital</t>
  </si>
  <si>
    <t>S-0092</t>
  </si>
  <si>
    <t>S-0093</t>
  </si>
  <si>
    <t>S-0094</t>
  </si>
  <si>
    <t>S-0095</t>
  </si>
  <si>
    <t>Mombasa Cardiology Center</t>
  </si>
  <si>
    <t>S-0096</t>
  </si>
  <si>
    <t>S-0097</t>
  </si>
  <si>
    <t>Manila Tumor Care Hospital</t>
  </si>
  <si>
    <t>S-0098</t>
  </si>
  <si>
    <t>Berlin Oncology Institute</t>
  </si>
  <si>
    <t>S-0099</t>
  </si>
  <si>
    <t>Berlin Lung Health Hospital</t>
  </si>
  <si>
    <t>S-0100</t>
  </si>
  <si>
    <t>Madurai Respiratory Care Center</t>
  </si>
  <si>
    <t>S-0101</t>
  </si>
  <si>
    <t>Madurai Memory &amp; Brain Health Center</t>
  </si>
  <si>
    <t>S-0102</t>
  </si>
  <si>
    <t>Madurai Neuroscience Institute</t>
  </si>
  <si>
    <t>S-0103</t>
  </si>
  <si>
    <t>Delhi Cancer Center</t>
  </si>
  <si>
    <t>S-0104</t>
  </si>
  <si>
    <t>Chandigarh Endocrine Care Hospital</t>
  </si>
  <si>
    <t>S-0105</t>
  </si>
  <si>
    <t>Wroclaw Memory &amp; Brain Health Center</t>
  </si>
  <si>
    <t>S-0106</t>
  </si>
  <si>
    <t>S-0107</t>
  </si>
  <si>
    <t>Chandigarh Respiratory Care Center</t>
  </si>
  <si>
    <t>S-0108</t>
  </si>
  <si>
    <t>S-0109</t>
  </si>
  <si>
    <t>S-0110</t>
  </si>
  <si>
    <t>S-0111</t>
  </si>
  <si>
    <t>Krakow Lung Health Hospital</t>
  </si>
  <si>
    <t>S-0112</t>
  </si>
  <si>
    <t>Wroclaw Oncology Institute</t>
  </si>
  <si>
    <t>S-0113</t>
  </si>
  <si>
    <t>Cebu Immunology Center</t>
  </si>
  <si>
    <t>S-0114</t>
  </si>
  <si>
    <t>Nairobi Neurology Hospital</t>
  </si>
  <si>
    <t>S-0115</t>
  </si>
  <si>
    <t>S-0116</t>
  </si>
  <si>
    <t>Vellore Pulmonology Institute</t>
  </si>
  <si>
    <t>Vellore</t>
  </si>
  <si>
    <t>S-0117</t>
  </si>
  <si>
    <t>Chandigarh Lung Health Hospital</t>
  </si>
  <si>
    <t>S-0118</t>
  </si>
  <si>
    <t>S-0119</t>
  </si>
  <si>
    <t>Mombasa Tumor Care Hospital</t>
  </si>
  <si>
    <t>S-0120</t>
  </si>
  <si>
    <t>S-0121</t>
  </si>
  <si>
    <t>S-0122</t>
  </si>
  <si>
    <t>S-0123</t>
  </si>
  <si>
    <t>Boston Neurology Hospital</t>
  </si>
  <si>
    <t>S-0124</t>
  </si>
  <si>
    <t>Mombasa Diabetes &amp; Endocrine Institute</t>
  </si>
  <si>
    <t>S-0125</t>
  </si>
  <si>
    <t>S-0126</t>
  </si>
  <si>
    <t>Munich Pulmonology Institute</t>
  </si>
  <si>
    <t>S-0127</t>
  </si>
  <si>
    <t>S-0128</t>
  </si>
  <si>
    <t>Sao Paulo Cancer Center</t>
  </si>
  <si>
    <t>S-0129</t>
  </si>
  <si>
    <t>Cebu Pulmonology Institute</t>
  </si>
  <si>
    <t>S-0130</t>
  </si>
  <si>
    <t>S-0131</t>
  </si>
  <si>
    <t>Sao Paulo Immunology Center</t>
  </si>
  <si>
    <t>S-0132</t>
  </si>
  <si>
    <t>S-0133</t>
  </si>
  <si>
    <t>Hamburg Cardiac Care Hospital</t>
  </si>
  <si>
    <t>S-0134</t>
  </si>
  <si>
    <t>S-0135</t>
  </si>
  <si>
    <t>Rio de Janeiro Heart &amp; Vascular Institute</t>
  </si>
  <si>
    <t>S-0136</t>
  </si>
  <si>
    <t>Krakow Metabolic Health Center</t>
  </si>
  <si>
    <t>S-0137</t>
  </si>
  <si>
    <t>S-0138</t>
  </si>
  <si>
    <t>Coimbatore Immunology Center</t>
  </si>
  <si>
    <t>S-0139</t>
  </si>
  <si>
    <t>Nairobi Global Health Institute</t>
  </si>
  <si>
    <t>S-0140</t>
  </si>
  <si>
    <t>Belo Horizonte Cancer Center</t>
  </si>
  <si>
    <t>S-0141</t>
  </si>
  <si>
    <t>Munich Immunology Center</t>
  </si>
  <si>
    <t>S-0142</t>
  </si>
  <si>
    <t>Houston Global Health Institute</t>
  </si>
  <si>
    <t>S-0143</t>
  </si>
  <si>
    <t>S-0144</t>
  </si>
  <si>
    <t>Berlin Respiratory Care Center</t>
  </si>
  <si>
    <t>S-0145</t>
  </si>
  <si>
    <t>Jaipur Tumor Care Hospital</t>
  </si>
  <si>
    <t>S-0146</t>
  </si>
  <si>
    <t>Madurai Metabolic Health Center</t>
  </si>
  <si>
    <t>S-0147</t>
  </si>
  <si>
    <t>Manila Global Health Institute</t>
  </si>
  <si>
    <t>S-0148</t>
  </si>
  <si>
    <t>Manila Cancer Center</t>
  </si>
  <si>
    <t>S-0149</t>
  </si>
  <si>
    <t>Krakow Infectious Disease Clinic</t>
  </si>
  <si>
    <t>S-0150</t>
  </si>
  <si>
    <t>S-0151</t>
  </si>
  <si>
    <t>Mombasa Lung Health Hospital</t>
  </si>
  <si>
    <t>S-0152</t>
  </si>
  <si>
    <t>Houston Cardiac Care Hospital</t>
  </si>
  <si>
    <t>S-0153</t>
  </si>
  <si>
    <t>S-0154</t>
  </si>
  <si>
    <t>Belo Horizonte Cardiac Care Hospital</t>
  </si>
  <si>
    <t>S-0155</t>
  </si>
  <si>
    <t>Berlin Pulmonology Institute</t>
  </si>
  <si>
    <t>S-0156</t>
  </si>
  <si>
    <t>Vellore Heart &amp; Vascular Institute</t>
  </si>
  <si>
    <t>S-0157</t>
  </si>
  <si>
    <t>Wroclaw Tumor Care Hospital</t>
  </si>
  <si>
    <t>S-0158</t>
  </si>
  <si>
    <t>Davao Endocrine Care Hospital</t>
  </si>
  <si>
    <t>S-0159</t>
  </si>
  <si>
    <t>S-0160</t>
  </si>
  <si>
    <t>S-0161</t>
  </si>
  <si>
    <t>S-0162</t>
  </si>
  <si>
    <t>Mombasa Pulmonology Institute</t>
  </si>
  <si>
    <t>S-0163</t>
  </si>
  <si>
    <t>Chandigarh Tumor Care Hospital</t>
  </si>
  <si>
    <t>S-0164</t>
  </si>
  <si>
    <t>Boston Neuroscience Institute</t>
  </si>
  <si>
    <t>S-0165</t>
  </si>
  <si>
    <t>S-0166</t>
  </si>
  <si>
    <t>S-0167</t>
  </si>
  <si>
    <t>Houston Tumor Care Hospital</t>
  </si>
  <si>
    <t>S-0168</t>
  </si>
  <si>
    <t>S-0169</t>
  </si>
  <si>
    <t>S-0170</t>
  </si>
  <si>
    <t>Cebu Memory &amp; Brain Health Center</t>
  </si>
  <si>
    <t>S-0171</t>
  </si>
  <si>
    <t>Cebu Respiratory Care Center</t>
  </si>
  <si>
    <t>S-0172</t>
  </si>
  <si>
    <t>S-0173</t>
  </si>
  <si>
    <t>S-0174</t>
  </si>
  <si>
    <t>S-0175</t>
  </si>
  <si>
    <t>Nairobi Respiratory Care Center</t>
  </si>
  <si>
    <t>S-0176</t>
  </si>
  <si>
    <t>Madurai Cancer Center</t>
  </si>
  <si>
    <t>S-0177</t>
  </si>
  <si>
    <t>S-0178</t>
  </si>
  <si>
    <t>S-0179</t>
  </si>
  <si>
    <t>Manila Respiratory Care Center</t>
  </si>
  <si>
    <t>S-0180</t>
  </si>
  <si>
    <t>Wroclaw Heart &amp; Vascular Institute</t>
  </si>
  <si>
    <t>S-0181</t>
  </si>
  <si>
    <t>Davao Neurology Hospital</t>
  </si>
  <si>
    <t>S-0182</t>
  </si>
  <si>
    <t>Mombasa Cardiac Care Hospital</t>
  </si>
  <si>
    <t>S-0183</t>
  </si>
  <si>
    <t>Wroclaw Endocrine Care Hospital</t>
  </si>
  <si>
    <t>S-0184</t>
  </si>
  <si>
    <t>Chennai Memory &amp; Brain Health Center</t>
  </si>
  <si>
    <t>S-0185</t>
  </si>
  <si>
    <t>S-0186</t>
  </si>
  <si>
    <t>Chandigarh Cardiac Care Hospital</t>
  </si>
  <si>
    <t>S-0187</t>
  </si>
  <si>
    <t>S-0188</t>
  </si>
  <si>
    <t>Sao Paulo Respiratory Care Center</t>
  </si>
  <si>
    <t>S-0189</t>
  </si>
  <si>
    <t>S-0190</t>
  </si>
  <si>
    <t>S-0191</t>
  </si>
  <si>
    <t>Houston Cardiology Center</t>
  </si>
  <si>
    <t>S-0192</t>
  </si>
  <si>
    <t>Nairobi Diabetes &amp; Endocrine Institute</t>
  </si>
  <si>
    <t>S-0193</t>
  </si>
  <si>
    <t>Boston Infectious Disease Clinic</t>
  </si>
  <si>
    <t>S-0194</t>
  </si>
  <si>
    <t>Houston Metabolic Health Center</t>
  </si>
  <si>
    <t>S-0195</t>
  </si>
  <si>
    <t>S-0196</t>
  </si>
  <si>
    <t>S-0197</t>
  </si>
  <si>
    <t>S-0198</t>
  </si>
  <si>
    <t>S-0199</t>
  </si>
  <si>
    <t>S-0200</t>
  </si>
  <si>
    <t>Munich Heart &amp; Vascular Institute</t>
  </si>
  <si>
    <t>S-0201</t>
  </si>
  <si>
    <t>Busan Lung Health Hospital</t>
  </si>
  <si>
    <t>Busan</t>
  </si>
  <si>
    <t>S-0202</t>
  </si>
  <si>
    <t>Karachi Global Health Institute</t>
  </si>
  <si>
    <t>Karachi</t>
  </si>
  <si>
    <t>S-0203</t>
  </si>
  <si>
    <t>Bogota Neurology Hospital</t>
  </si>
  <si>
    <t>Bogota</t>
  </si>
  <si>
    <t>S-0204</t>
  </si>
  <si>
    <t>Surabaya Global Health Institute</t>
  </si>
  <si>
    <t>Surabaya</t>
  </si>
  <si>
    <t>S-0205</t>
  </si>
  <si>
    <t>Guadalajara Oncology Institute</t>
  </si>
  <si>
    <t>Guadalajara</t>
  </si>
  <si>
    <t>S-0206</t>
  </si>
  <si>
    <t>Melbourne Cardiology Center</t>
  </si>
  <si>
    <t>Melbourne</t>
  </si>
  <si>
    <t>S-0207</t>
  </si>
  <si>
    <t>Manchester Heart &amp; Vascular Institute</t>
  </si>
  <si>
    <t>Manchester</t>
  </si>
  <si>
    <t>S-0208</t>
  </si>
  <si>
    <t>Abuja Heart &amp; Vascular Institute</t>
  </si>
  <si>
    <t>Abuja</t>
  </si>
  <si>
    <t>S-0209</t>
  </si>
  <si>
    <t>Sydney Cardiology Center</t>
  </si>
  <si>
    <t>Sydney</t>
  </si>
  <si>
    <t>S-0210</t>
  </si>
  <si>
    <t>Sao Paulo Global Health Institute</t>
  </si>
  <si>
    <t>S-0211</t>
  </si>
  <si>
    <t>Berlin Immunology Center</t>
  </si>
  <si>
    <t>S-0212</t>
  </si>
  <si>
    <t>S-0213</t>
  </si>
  <si>
    <t>Medellin Endocrine Care Hospital</t>
  </si>
  <si>
    <t>Medellin</t>
  </si>
  <si>
    <t>S-0214</t>
  </si>
  <si>
    <t>Dhaka Neurology Hospital</t>
  </si>
  <si>
    <t>Dhaka</t>
  </si>
  <si>
    <t>S-0215</t>
  </si>
  <si>
    <t>Rio de Janeiro Cardiology Center</t>
  </si>
  <si>
    <t>S-0216</t>
  </si>
  <si>
    <t>Davao Infectious Disease Clinic</t>
  </si>
  <si>
    <t>S-0217</t>
  </si>
  <si>
    <t>S-0218</t>
  </si>
  <si>
    <t>Abuja Tumor Care Hospital</t>
  </si>
  <si>
    <t>S-0219</t>
  </si>
  <si>
    <t>Madurai Immunology Center</t>
  </si>
  <si>
    <t>S-0220</t>
  </si>
  <si>
    <t>Medellin Neurology Hospital</t>
  </si>
  <si>
    <t>S-0221</t>
  </si>
  <si>
    <t>Hamburg Memory &amp; Brain Health Center</t>
  </si>
  <si>
    <t>S-0222</t>
  </si>
  <si>
    <t>Bogota Pulmonology Institute</t>
  </si>
  <si>
    <t>S-0223</t>
  </si>
  <si>
    <t>Madurai Cardiac Care Hospital</t>
  </si>
  <si>
    <t>S-0224</t>
  </si>
  <si>
    <t>Ho Chi Minh City Neurology Hospital</t>
  </si>
  <si>
    <t>Ho Chi Minh City</t>
  </si>
  <si>
    <t>S-0225</t>
  </si>
  <si>
    <t>Jakarta Cancer Center</t>
  </si>
  <si>
    <t>Jakarta</t>
  </si>
  <si>
    <t>S-0226</t>
  </si>
  <si>
    <t>Nairobi Cardiology Center</t>
  </si>
  <si>
    <t>S-0227</t>
  </si>
  <si>
    <t>Guadalajara Cardiac Care Hospital</t>
  </si>
  <si>
    <t>S-0228</t>
  </si>
  <si>
    <t>Ho Chi Minh City Respiratory Care Center</t>
  </si>
  <si>
    <t>S-0229</t>
  </si>
  <si>
    <t>Abu Dhabi Oncology Institute</t>
  </si>
  <si>
    <t>Abu Dhabi</t>
  </si>
  <si>
    <t>S-0230</t>
  </si>
  <si>
    <t>Melbourne Respiratory Care Center</t>
  </si>
  <si>
    <t>S-0231</t>
  </si>
  <si>
    <t>S-0232</t>
  </si>
  <si>
    <t>Busan Neurology Hospital</t>
  </si>
  <si>
    <t>S-0233</t>
  </si>
  <si>
    <t>Dhaka Tumor Care Hospital</t>
  </si>
  <si>
    <t>S-0234</t>
  </si>
  <si>
    <t>S-0235</t>
  </si>
  <si>
    <t>Tokyo Endocrine Care Hospital</t>
  </si>
  <si>
    <t>Tokyo</t>
  </si>
  <si>
    <t>S-0236</t>
  </si>
  <si>
    <t>Dhaka Oncology Institute</t>
  </si>
  <si>
    <t>S-0237</t>
  </si>
  <si>
    <t>Jakarta Lung Health Hospital</t>
  </si>
  <si>
    <t>S-0238</t>
  </si>
  <si>
    <t>Lahore Metabolic Health Center</t>
  </si>
  <si>
    <t>Lahore</t>
  </si>
  <si>
    <t>S-0239</t>
  </si>
  <si>
    <t>Dubai Global Health Institute</t>
  </si>
  <si>
    <t>Dubai</t>
  </si>
  <si>
    <t>S-0240</t>
  </si>
  <si>
    <t>Abuja Endocrine Care Hospital</t>
  </si>
  <si>
    <t>S-0241</t>
  </si>
  <si>
    <t>Jaipur Cardiac Care Hospital</t>
  </si>
  <si>
    <t>S-0242</t>
  </si>
  <si>
    <t>Delhi Neuroscience Institute</t>
  </si>
  <si>
    <t>S-0243</t>
  </si>
  <si>
    <t>S-0244</t>
  </si>
  <si>
    <t>Abuja Memory &amp; Brain Health Center</t>
  </si>
  <si>
    <t>S-0245</t>
  </si>
  <si>
    <t>Jakarta Pulmonology Institute</t>
  </si>
  <si>
    <t>S-0246</t>
  </si>
  <si>
    <t>Chittagong Infectious Disease Clinic</t>
  </si>
  <si>
    <t>Chittagong</t>
  </si>
  <si>
    <t>S-0247</t>
  </si>
  <si>
    <t>Madurai Neurology Hospital</t>
  </si>
  <si>
    <t>S-0248</t>
  </si>
  <si>
    <t>Lagos Oncology Institute</t>
  </si>
  <si>
    <t>Lagos</t>
  </si>
  <si>
    <t>S-0249</t>
  </si>
  <si>
    <t>Belo Horizonte Diabetes &amp; Endocrine Institute</t>
  </si>
  <si>
    <t>S-0250</t>
  </si>
  <si>
    <t>Coimbatore Cancer Center</t>
  </si>
  <si>
    <t>S-0251</t>
  </si>
  <si>
    <t>Dubai Tumor Care Hospital</t>
  </si>
  <si>
    <t>S-0252</t>
  </si>
  <si>
    <t>S-0253</t>
  </si>
  <si>
    <t>Mombasa Immunology Center</t>
  </si>
  <si>
    <t>S-0254</t>
  </si>
  <si>
    <t>Hamburg Infectious Disease Clinic</t>
  </si>
  <si>
    <t>S-0255</t>
  </si>
  <si>
    <t>S-0256</t>
  </si>
  <si>
    <t>Lucknow Lung Health Hospital</t>
  </si>
  <si>
    <t>S-0257</t>
  </si>
  <si>
    <t>Medellin Neuroscience Institute</t>
  </si>
  <si>
    <t>S-0258</t>
  </si>
  <si>
    <t>Chittagong Cancer Center</t>
  </si>
  <si>
    <t>S-0259</t>
  </si>
  <si>
    <t>S-0260</t>
  </si>
  <si>
    <t>Dhaka Neuroscience Institute</t>
  </si>
  <si>
    <t>S-0261</t>
  </si>
  <si>
    <t>Hanoi Memory &amp; Brain Health Center</t>
  </si>
  <si>
    <t>Hanoi</t>
  </si>
  <si>
    <t>S-0262</t>
  </si>
  <si>
    <t>S-0263</t>
  </si>
  <si>
    <t>Manila Immunology Center</t>
  </si>
  <si>
    <t>S-0264</t>
  </si>
  <si>
    <t>S-0265</t>
  </si>
  <si>
    <t>London Pulmonology Institute</t>
  </si>
  <si>
    <t>London</t>
  </si>
  <si>
    <t>S-0266</t>
  </si>
  <si>
    <t>Sydney Neuroscience Institute</t>
  </si>
  <si>
    <t>S-0267</t>
  </si>
  <si>
    <t>Porto Alegre Neurology Hospital</t>
  </si>
  <si>
    <t>Porto Alegre</t>
  </si>
  <si>
    <t>S-0268</t>
  </si>
  <si>
    <t>Alexandria Neuroscience Institute</t>
  </si>
  <si>
    <t>Alexandria</t>
  </si>
  <si>
    <t>S-0269</t>
  </si>
  <si>
    <t>Bogota Cardiology Center</t>
  </si>
  <si>
    <t>S-0270</t>
  </si>
  <si>
    <t>Nairobi Metabolic Health Center</t>
  </si>
  <si>
    <t>S-0271</t>
  </si>
  <si>
    <t>Osaka Heart &amp; Vascular Institute</t>
  </si>
  <si>
    <t>Osaka</t>
  </si>
  <si>
    <t>S-0272</t>
  </si>
  <si>
    <t>Lagos Neurology Hospital</t>
  </si>
  <si>
    <t>S-0273</t>
  </si>
  <si>
    <t>Ankara Neuroscience Institute</t>
  </si>
  <si>
    <t>Ankara</t>
  </si>
  <si>
    <t>S-0274</t>
  </si>
  <si>
    <t>Manchester Tumor Care Hospital</t>
  </si>
  <si>
    <t>S-0275</t>
  </si>
  <si>
    <t>Davao Diabetes &amp; Endocrine Institute</t>
  </si>
  <si>
    <t>S-0276</t>
  </si>
  <si>
    <t>Hanoi Endocrine Care Hospital</t>
  </si>
  <si>
    <t>S-0277</t>
  </si>
  <si>
    <t>Lahore Heart &amp; Vascular Institute</t>
  </si>
  <si>
    <t>S-0278</t>
  </si>
  <si>
    <t>Busan Pulmonology Institute</t>
  </si>
  <si>
    <t>S-0279</t>
  </si>
  <si>
    <t>Chittagong Diabetes &amp; Endocrine Institute</t>
  </si>
  <si>
    <t>S-0280</t>
  </si>
  <si>
    <t>Chittagong Endocrine Care Hospital</t>
  </si>
  <si>
    <t>S-0281</t>
  </si>
  <si>
    <t>Boston Endocrine Care Hospital</t>
  </si>
  <si>
    <t>S-0282</t>
  </si>
  <si>
    <t>Busan Cardiology Center</t>
  </si>
  <si>
    <t>S-0283</t>
  </si>
  <si>
    <t>Abuja Infectious Disease Clinic</t>
  </si>
  <si>
    <t>S-0284</t>
  </si>
  <si>
    <t>Davao Respiratory Care Center</t>
  </si>
  <si>
    <t>S-0285</t>
  </si>
  <si>
    <t>S-0286</t>
  </si>
  <si>
    <t>Cebu Neurology Hospital</t>
  </si>
  <si>
    <t>S-0287</t>
  </si>
  <si>
    <t>Wroclaw Diabetes &amp; Endocrine Institute</t>
  </si>
  <si>
    <t>S-0288</t>
  </si>
  <si>
    <t>Melbourne Heart &amp; Vascular Institute</t>
  </si>
  <si>
    <t>S-0289</t>
  </si>
  <si>
    <t>Mexico City Oncology Institute</t>
  </si>
  <si>
    <t>Mexico City</t>
  </si>
  <si>
    <t>S-0290</t>
  </si>
  <si>
    <t>Tokyo Pulmonology Institute</t>
  </si>
  <si>
    <t>S-0291</t>
  </si>
  <si>
    <t>Tokyo Global Health Institute</t>
  </si>
  <si>
    <t>S-0292</t>
  </si>
  <si>
    <t>London Lung Health Hospital</t>
  </si>
  <si>
    <t>S-0293</t>
  </si>
  <si>
    <t>Cairo Metabolic Health Center</t>
  </si>
  <si>
    <t>Cairo</t>
  </si>
  <si>
    <t>S-0294</t>
  </si>
  <si>
    <t>Medellin Heart &amp; Vascular Institute</t>
  </si>
  <si>
    <t>S-0295</t>
  </si>
  <si>
    <t>S-0296</t>
  </si>
  <si>
    <t>Johannesburg Lung Health Hospital</t>
  </si>
  <si>
    <t>Johannesburg</t>
  </si>
  <si>
    <t>S-0297</t>
  </si>
  <si>
    <t>Busan Tumor Care Hospital</t>
  </si>
  <si>
    <t>S-0298</t>
  </si>
  <si>
    <t>S-0299</t>
  </si>
  <si>
    <t>Medellin Diabetes &amp; Endocrine Institute</t>
  </si>
  <si>
    <t>S-0300</t>
  </si>
  <si>
    <t>Abu Dhabi Heart &amp; Vascular Institute</t>
  </si>
  <si>
    <t>Investigator Experience Score (0-10)</t>
  </si>
  <si>
    <t>Years Experience</t>
  </si>
  <si>
    <t>Prior Trials Count</t>
  </si>
  <si>
    <t>Historical Enrollment Rate (pts/month)</t>
  </si>
  <si>
    <t>Dropout Rate (%)</t>
  </si>
  <si>
    <t>Staff Availability Score (0-10)</t>
  </si>
  <si>
    <t>Infrastructure Readiness (%)</t>
  </si>
  <si>
    <t>Data Quality Score (0-100)</t>
  </si>
  <si>
    <t>Competing Trials at Site</t>
  </si>
  <si>
    <t>Suitability Score (0-100)</t>
  </si>
  <si>
    <t>Likelihood \ Impact</t>
  </si>
  <si>
    <t>Medium</t>
  </si>
  <si>
    <t>Standard Likelihood x Impact risk matrix used by every record in Risk_Register.</t>
  </si>
  <si>
    <t>Risk ID</t>
  </si>
  <si>
    <t>Risk Category</t>
  </si>
  <si>
    <t>Description</t>
  </si>
  <si>
    <t>Likelihood</t>
  </si>
  <si>
    <t>Impact</t>
  </si>
  <si>
    <t>Overall Risk Rating</t>
  </si>
  <si>
    <t>Date Identified</t>
  </si>
  <si>
    <t>Status</t>
  </si>
  <si>
    <t>Mitigation Plan</t>
  </si>
  <si>
    <t>Owner</t>
  </si>
  <si>
    <t>Risk Score (Numeric)</t>
  </si>
  <si>
    <t>R-00001</t>
  </si>
  <si>
    <t>Operational</t>
  </si>
  <si>
    <t>Clinical coordinator role currently open, may delay start-up</t>
  </si>
  <si>
    <t>Closed</t>
  </si>
  <si>
    <t>Resolved; no further action required</t>
  </si>
  <si>
    <t>Data Management Lead</t>
  </si>
  <si>
    <t>R-00002</t>
  </si>
  <si>
    <t>Compliance</t>
  </si>
  <si>
    <t>Minor protocol deviation noted in a prior trial at this site</t>
  </si>
  <si>
    <t>R-00003</t>
  </si>
  <si>
    <t>Enrollment</t>
  </si>
  <si>
    <t>Screen failure rate above regional average in past studies</t>
  </si>
  <si>
    <t>Monitoring</t>
  </si>
  <si>
    <t>Tracking indicator reviewed at each monitoring visit</t>
  </si>
  <si>
    <t>Regulatory Affairs Lead</t>
  </si>
  <si>
    <t>R-00004</t>
  </si>
  <si>
    <t>Competitive</t>
  </si>
  <si>
    <t>One or more competing trials recruiting the same indication nearby</t>
  </si>
  <si>
    <t>Open</t>
  </si>
  <si>
    <t>Mitigation plan to be defined during site initiation visit</t>
  </si>
  <si>
    <t>R-00005</t>
  </si>
  <si>
    <t>Regulatory</t>
  </si>
  <si>
    <t>Local ethics committee review queue longer than regional average</t>
  </si>
  <si>
    <t>R-00006</t>
  </si>
  <si>
    <t>Data Integrity</t>
  </si>
  <si>
    <t>Site is new to the sponsor's EDC platform, limited track record</t>
  </si>
  <si>
    <t>Mitigated</t>
  </si>
  <si>
    <t>Corrective action implemented and verified by site</t>
  </si>
  <si>
    <t>Clinical Ops Manager</t>
  </si>
  <si>
    <t>R-00007</t>
  </si>
  <si>
    <t>R-00008</t>
  </si>
  <si>
    <t>GCP refresher training overdue for part of site staff</t>
  </si>
  <si>
    <t>R-00009</t>
  </si>
  <si>
    <t>Patient travel distance may affect long-term retention</t>
  </si>
  <si>
    <t>R-00010</t>
  </si>
  <si>
    <t>R-00011</t>
  </si>
  <si>
    <t>Import/customs license renewal pending for investigational product</t>
  </si>
  <si>
    <t>R-00012</t>
  </si>
  <si>
    <t>Site Feasibility Lead</t>
  </si>
  <si>
    <t>R-00013</t>
  </si>
  <si>
    <t>Key equipment calibration/certification renewal pending</t>
  </si>
  <si>
    <t>R-00014</t>
  </si>
  <si>
    <t>Prior regulatory inspection finding not yet fully closed out</t>
  </si>
  <si>
    <t>R-00015</t>
  </si>
  <si>
    <t>R-00016</t>
  </si>
  <si>
    <t>Study Start-Up Specialist</t>
  </si>
  <si>
    <t>R-00017</t>
  </si>
  <si>
    <t>Recent local regulatory policy change may affect approval timeline</t>
  </si>
  <si>
    <t>R-00018</t>
  </si>
  <si>
    <t>EDC query resolution time above sponsor benchmark historically</t>
  </si>
  <si>
    <t>R-00019</t>
  </si>
  <si>
    <t>R-00020</t>
  </si>
  <si>
    <t>R-00021</t>
  </si>
  <si>
    <t>R-00022</t>
  </si>
  <si>
    <t>R-00023</t>
  </si>
  <si>
    <t>R-00024</t>
  </si>
  <si>
    <t>R-00025</t>
  </si>
  <si>
    <t>Backup power/generator certification not yet confirmed</t>
  </si>
  <si>
    <t>R-00026</t>
  </si>
  <si>
    <t>R-00027</t>
  </si>
  <si>
    <t>R-00028</t>
  </si>
  <si>
    <t>Shared patient pool with an adjacent high-volume site</t>
  </si>
  <si>
    <t>R-00029</t>
  </si>
  <si>
    <t>R-00030</t>
  </si>
  <si>
    <t>R-00031</t>
  </si>
  <si>
    <t>Nursing staff ratio below recommended threshold for trial volume</t>
  </si>
  <si>
    <t>R-00032</t>
  </si>
  <si>
    <t>R-00033</t>
  </si>
  <si>
    <t>Historical seasonal enrollment slowdown observed at this site</t>
  </si>
  <si>
    <t>R-00034</t>
  </si>
  <si>
    <t>Overlapping investigator commitments across concurrent trials</t>
  </si>
  <si>
    <t>R-00035</t>
  </si>
  <si>
    <t>R-00036</t>
  </si>
  <si>
    <t>Source data verification gap flagged in a previous monitoring visit</t>
  </si>
  <si>
    <t>R-00037</t>
  </si>
  <si>
    <t>R-00038</t>
  </si>
  <si>
    <t>R-00039</t>
  </si>
  <si>
    <t>R-00040</t>
  </si>
  <si>
    <t>R-00041</t>
  </si>
  <si>
    <t>R-00042</t>
  </si>
  <si>
    <t>R-00043</t>
  </si>
  <si>
    <t>R-00044</t>
  </si>
  <si>
    <t>Informed consent documentation gap flagged in last internal audit</t>
  </si>
  <si>
    <t>R-00045</t>
  </si>
  <si>
    <t>Referral pipeline narrower than target eligible population</t>
  </si>
  <si>
    <t>R-00046</t>
  </si>
  <si>
    <t>R-00047</t>
  </si>
  <si>
    <t>R-00048</t>
  </si>
  <si>
    <t>R-00049</t>
  </si>
  <si>
    <t>R-00050</t>
  </si>
  <si>
    <t>R-00051</t>
  </si>
  <si>
    <t>R-00052</t>
  </si>
  <si>
    <t>R-00053</t>
  </si>
  <si>
    <t>R-00054</t>
  </si>
  <si>
    <t>R-00055</t>
  </si>
  <si>
    <t>R-00056</t>
  </si>
  <si>
    <t>R-00057</t>
  </si>
  <si>
    <t>R-00058</t>
  </si>
  <si>
    <t>R-00059</t>
  </si>
  <si>
    <t>R-00060</t>
  </si>
  <si>
    <t>R-00061</t>
  </si>
  <si>
    <t>R-00062</t>
  </si>
  <si>
    <t>R-00063</t>
  </si>
  <si>
    <t>R-00064</t>
  </si>
  <si>
    <t>R-00065</t>
  </si>
  <si>
    <t>R-00066</t>
  </si>
  <si>
    <t>R-00067</t>
  </si>
  <si>
    <t>R-00068</t>
  </si>
  <si>
    <t>R-00069</t>
  </si>
  <si>
    <t>R-00070</t>
  </si>
  <si>
    <t>R-00071</t>
  </si>
  <si>
    <t>R-00072</t>
  </si>
  <si>
    <t>R-00073</t>
  </si>
  <si>
    <t>R-00074</t>
  </si>
  <si>
    <t>R-00075</t>
  </si>
  <si>
    <t>R-00076</t>
  </si>
  <si>
    <t>R-00077</t>
  </si>
  <si>
    <t>R-00078</t>
  </si>
  <si>
    <t>R-00079</t>
  </si>
  <si>
    <t>R-00080</t>
  </si>
  <si>
    <t>R-00081</t>
  </si>
  <si>
    <t>R-00082</t>
  </si>
  <si>
    <t>R-00083</t>
  </si>
  <si>
    <t>R-00084</t>
  </si>
  <si>
    <t>R-00085</t>
  </si>
  <si>
    <t>R-00086</t>
  </si>
  <si>
    <t>R-00087</t>
  </si>
  <si>
    <t>R-00088</t>
  </si>
  <si>
    <t>R-00089</t>
  </si>
  <si>
    <t>R-00090</t>
  </si>
  <si>
    <t>R-00091</t>
  </si>
  <si>
    <t>R-00092</t>
  </si>
  <si>
    <t>R-00093</t>
  </si>
  <si>
    <t>R-00094</t>
  </si>
  <si>
    <t>R-00095</t>
  </si>
  <si>
    <t>R-00096</t>
  </si>
  <si>
    <t>R-00097</t>
  </si>
  <si>
    <t>R-00098</t>
  </si>
  <si>
    <t>R-00099</t>
  </si>
  <si>
    <t>R-00100</t>
  </si>
  <si>
    <t>R-00101</t>
  </si>
  <si>
    <t>R-00102</t>
  </si>
  <si>
    <t>R-00103</t>
  </si>
  <si>
    <t>R-00104</t>
  </si>
  <si>
    <t>R-00105</t>
  </si>
  <si>
    <t>R-00106</t>
  </si>
  <si>
    <t>R-00107</t>
  </si>
  <si>
    <t>R-00108</t>
  </si>
  <si>
    <t>R-00109</t>
  </si>
  <si>
    <t>R-00110</t>
  </si>
  <si>
    <t>R-00111</t>
  </si>
  <si>
    <t>R-00112</t>
  </si>
  <si>
    <t>R-00113</t>
  </si>
  <si>
    <t>R-00114</t>
  </si>
  <si>
    <t>R-00115</t>
  </si>
  <si>
    <t>R-00116</t>
  </si>
  <si>
    <t>R-00117</t>
  </si>
  <si>
    <t>R-00118</t>
  </si>
  <si>
    <t>R-00119</t>
  </si>
  <si>
    <t>R-00120</t>
  </si>
  <si>
    <t>R-00121</t>
  </si>
  <si>
    <t>R-00122</t>
  </si>
  <si>
    <t>R-00123</t>
  </si>
  <si>
    <t>R-00124</t>
  </si>
  <si>
    <t>R-00125</t>
  </si>
  <si>
    <t>R-00126</t>
  </si>
  <si>
    <t>R-00127</t>
  </si>
  <si>
    <t>R-00128</t>
  </si>
  <si>
    <t>R-00129</t>
  </si>
  <si>
    <t>R-00130</t>
  </si>
  <si>
    <t>R-00131</t>
  </si>
  <si>
    <t>R-00132</t>
  </si>
  <si>
    <t>R-00133</t>
  </si>
  <si>
    <t>R-00134</t>
  </si>
  <si>
    <t>R-00135</t>
  </si>
  <si>
    <t>R-00136</t>
  </si>
  <si>
    <t>R-00137</t>
  </si>
  <si>
    <t>R-00138</t>
  </si>
  <si>
    <t>R-00139</t>
  </si>
  <si>
    <t>R-00140</t>
  </si>
  <si>
    <t>R-00141</t>
  </si>
  <si>
    <t>R-00142</t>
  </si>
  <si>
    <t>R-00143</t>
  </si>
  <si>
    <t>R-00144</t>
  </si>
  <si>
    <t>R-00145</t>
  </si>
  <si>
    <t>R-00146</t>
  </si>
  <si>
    <t>R-00147</t>
  </si>
  <si>
    <t>R-00148</t>
  </si>
  <si>
    <t>R-00149</t>
  </si>
  <si>
    <t>R-00150</t>
  </si>
  <si>
    <t>R-00151</t>
  </si>
  <si>
    <t>R-00152</t>
  </si>
  <si>
    <t>R-00153</t>
  </si>
  <si>
    <t>R-00154</t>
  </si>
  <si>
    <t>R-00155</t>
  </si>
  <si>
    <t>R-00156</t>
  </si>
  <si>
    <t>R-00157</t>
  </si>
  <si>
    <t>R-00158</t>
  </si>
  <si>
    <t>R-00159</t>
  </si>
  <si>
    <t>R-00160</t>
  </si>
  <si>
    <t>R-00161</t>
  </si>
  <si>
    <t>R-00162</t>
  </si>
  <si>
    <t>R-00163</t>
  </si>
  <si>
    <t>R-00164</t>
  </si>
  <si>
    <t>R-00165</t>
  </si>
  <si>
    <t>R-00166</t>
  </si>
  <si>
    <t>R-00167</t>
  </si>
  <si>
    <t>R-00168</t>
  </si>
  <si>
    <t>R-00169</t>
  </si>
  <si>
    <t>R-00170</t>
  </si>
  <si>
    <t>R-00171</t>
  </si>
  <si>
    <t>R-00172</t>
  </si>
  <si>
    <t>R-00173</t>
  </si>
  <si>
    <t>R-00174</t>
  </si>
  <si>
    <t>R-00175</t>
  </si>
  <si>
    <t>R-00176</t>
  </si>
  <si>
    <t>R-00177</t>
  </si>
  <si>
    <t>R-00178</t>
  </si>
  <si>
    <t>R-00179</t>
  </si>
  <si>
    <t>R-00180</t>
  </si>
  <si>
    <t>R-00181</t>
  </si>
  <si>
    <t>R-00182</t>
  </si>
  <si>
    <t>R-00183</t>
  </si>
  <si>
    <t>R-00184</t>
  </si>
  <si>
    <t>R-00185</t>
  </si>
  <si>
    <t>R-00186</t>
  </si>
  <si>
    <t>R-00187</t>
  </si>
  <si>
    <t>R-00188</t>
  </si>
  <si>
    <t>R-00189</t>
  </si>
  <si>
    <t>R-00190</t>
  </si>
  <si>
    <t>R-00191</t>
  </si>
  <si>
    <t>R-00192</t>
  </si>
  <si>
    <t>R-00193</t>
  </si>
  <si>
    <t>R-00194</t>
  </si>
  <si>
    <t>R-00195</t>
  </si>
  <si>
    <t>R-00196</t>
  </si>
  <si>
    <t>R-00197</t>
  </si>
  <si>
    <t>R-00198</t>
  </si>
  <si>
    <t>R-00199</t>
  </si>
  <si>
    <t>R-00200</t>
  </si>
  <si>
    <t>R-00201</t>
  </si>
  <si>
    <t>R-00202</t>
  </si>
  <si>
    <t>R-00203</t>
  </si>
  <si>
    <t>R-00204</t>
  </si>
  <si>
    <t>R-00205</t>
  </si>
  <si>
    <t>R-00206</t>
  </si>
  <si>
    <t>R-00207</t>
  </si>
  <si>
    <t>R-00208</t>
  </si>
  <si>
    <t>R-00209</t>
  </si>
  <si>
    <t>R-00210</t>
  </si>
  <si>
    <t>R-00211</t>
  </si>
  <si>
    <t>R-00212</t>
  </si>
  <si>
    <t>R-00213</t>
  </si>
  <si>
    <t>R-00214</t>
  </si>
  <si>
    <t>R-00215</t>
  </si>
  <si>
    <t>R-00216</t>
  </si>
  <si>
    <t>R-00217</t>
  </si>
  <si>
    <t>R-00218</t>
  </si>
  <si>
    <t>R-00219</t>
  </si>
  <si>
    <t>R-00220</t>
  </si>
  <si>
    <t>R-00221</t>
  </si>
  <si>
    <t>R-00222</t>
  </si>
  <si>
    <t>R-00223</t>
  </si>
  <si>
    <t>R-00224</t>
  </si>
  <si>
    <t>R-00225</t>
  </si>
  <si>
    <t>R-00226</t>
  </si>
  <si>
    <t>R-00227</t>
  </si>
  <si>
    <t>R-00228</t>
  </si>
  <si>
    <t>R-00229</t>
  </si>
  <si>
    <t>R-00230</t>
  </si>
  <si>
    <t>R-00231</t>
  </si>
  <si>
    <t>R-00232</t>
  </si>
  <si>
    <t>R-00233</t>
  </si>
  <si>
    <t>R-00234</t>
  </si>
  <si>
    <t>R-00235</t>
  </si>
  <si>
    <t>R-00236</t>
  </si>
  <si>
    <t>R-00237</t>
  </si>
  <si>
    <t>R-00238</t>
  </si>
  <si>
    <t>R-00239</t>
  </si>
  <si>
    <t>R-00240</t>
  </si>
  <si>
    <t>R-00241</t>
  </si>
  <si>
    <t>R-00242</t>
  </si>
  <si>
    <t>R-00243</t>
  </si>
  <si>
    <t>R-00244</t>
  </si>
  <si>
    <t>R-00245</t>
  </si>
  <si>
    <t>R-00246</t>
  </si>
  <si>
    <t>R-00247</t>
  </si>
  <si>
    <t>R-00248</t>
  </si>
  <si>
    <t>R-00249</t>
  </si>
  <si>
    <t>R-00250</t>
  </si>
  <si>
    <t>R-00251</t>
  </si>
  <si>
    <t>R-00252</t>
  </si>
  <si>
    <t>R-00253</t>
  </si>
  <si>
    <t>R-00254</t>
  </si>
  <si>
    <t>R-00255</t>
  </si>
  <si>
    <t>R-00256</t>
  </si>
  <si>
    <t>R-00257</t>
  </si>
  <si>
    <t>R-00258</t>
  </si>
  <si>
    <t>R-00259</t>
  </si>
  <si>
    <t>R-00260</t>
  </si>
  <si>
    <t>R-00261</t>
  </si>
  <si>
    <t>R-00262</t>
  </si>
  <si>
    <t>R-00263</t>
  </si>
  <si>
    <t>R-00264</t>
  </si>
  <si>
    <t>R-00265</t>
  </si>
  <si>
    <t>R-00266</t>
  </si>
  <si>
    <t>R-00267</t>
  </si>
  <si>
    <t>R-00268</t>
  </si>
  <si>
    <t>R-00269</t>
  </si>
  <si>
    <t>R-00270</t>
  </si>
  <si>
    <t>R-00271</t>
  </si>
  <si>
    <t>R-00272</t>
  </si>
  <si>
    <t>R-00273</t>
  </si>
  <si>
    <t>R-00274</t>
  </si>
  <si>
    <t>R-00275</t>
  </si>
  <si>
    <t>R-00276</t>
  </si>
  <si>
    <t>R-00277</t>
  </si>
  <si>
    <t>R-00278</t>
  </si>
  <si>
    <t>R-00279</t>
  </si>
  <si>
    <t>R-00280</t>
  </si>
  <si>
    <t>R-00281</t>
  </si>
  <si>
    <t>R-00282</t>
  </si>
  <si>
    <t>R-00283</t>
  </si>
  <si>
    <t>R-00284</t>
  </si>
  <si>
    <t>R-00285</t>
  </si>
  <si>
    <t>R-00286</t>
  </si>
  <si>
    <t>R-00287</t>
  </si>
  <si>
    <t>R-00288</t>
  </si>
  <si>
    <t>R-00289</t>
  </si>
  <si>
    <t>R-00290</t>
  </si>
  <si>
    <t>R-00291</t>
  </si>
  <si>
    <t>R-00292</t>
  </si>
  <si>
    <t>R-00293</t>
  </si>
  <si>
    <t>R-00294</t>
  </si>
  <si>
    <t>R-00295</t>
  </si>
  <si>
    <t>R-00296</t>
  </si>
  <si>
    <t>R-00297</t>
  </si>
  <si>
    <t>R-00298</t>
  </si>
  <si>
    <t>R-00299</t>
  </si>
  <si>
    <t>R-00300</t>
  </si>
  <si>
    <t>R-00301</t>
  </si>
  <si>
    <t>R-00302</t>
  </si>
  <si>
    <t>R-00303</t>
  </si>
  <si>
    <t>R-00304</t>
  </si>
  <si>
    <t>R-00305</t>
  </si>
  <si>
    <t>R-00306</t>
  </si>
  <si>
    <t>R-00307</t>
  </si>
  <si>
    <t>R-00308</t>
  </si>
  <si>
    <t>R-00309</t>
  </si>
  <si>
    <t>R-00310</t>
  </si>
  <si>
    <t>R-00311</t>
  </si>
  <si>
    <t>R-00312</t>
  </si>
  <si>
    <t>R-00313</t>
  </si>
  <si>
    <t>R-00314</t>
  </si>
  <si>
    <t>R-00315</t>
  </si>
  <si>
    <t>R-00316</t>
  </si>
  <si>
    <t>R-00317</t>
  </si>
  <si>
    <t>R-00318</t>
  </si>
  <si>
    <t>R-00319</t>
  </si>
  <si>
    <t>R-00320</t>
  </si>
  <si>
    <t>R-00321</t>
  </si>
  <si>
    <t>R-00322</t>
  </si>
  <si>
    <t>R-00323</t>
  </si>
  <si>
    <t>R-00324</t>
  </si>
  <si>
    <t>R-00325</t>
  </si>
  <si>
    <t>R-00326</t>
  </si>
  <si>
    <t>R-00327</t>
  </si>
  <si>
    <t>R-00328</t>
  </si>
  <si>
    <t>R-00329</t>
  </si>
  <si>
    <t>R-00330</t>
  </si>
  <si>
    <t>R-00331</t>
  </si>
  <si>
    <t>R-00332</t>
  </si>
  <si>
    <t>R-00333</t>
  </si>
  <si>
    <t>R-00334</t>
  </si>
  <si>
    <t>R-00335</t>
  </si>
  <si>
    <t>R-00336</t>
  </si>
  <si>
    <t>R-00337</t>
  </si>
  <si>
    <t>R-00338</t>
  </si>
  <si>
    <t>R-00339</t>
  </si>
  <si>
    <t>R-00340</t>
  </si>
  <si>
    <t>R-00341</t>
  </si>
  <si>
    <t>R-00342</t>
  </si>
  <si>
    <t>R-00343</t>
  </si>
  <si>
    <t>R-00344</t>
  </si>
  <si>
    <t>R-00345</t>
  </si>
  <si>
    <t>R-00346</t>
  </si>
  <si>
    <t>R-00347</t>
  </si>
  <si>
    <t>R-00348</t>
  </si>
  <si>
    <t>R-00349</t>
  </si>
  <si>
    <t>R-00350</t>
  </si>
  <si>
    <t>R-00351</t>
  </si>
  <si>
    <t>R-00352</t>
  </si>
  <si>
    <t>R-00353</t>
  </si>
  <si>
    <t>R-00354</t>
  </si>
  <si>
    <t>R-00355</t>
  </si>
  <si>
    <t>R-00356</t>
  </si>
  <si>
    <t>R-00357</t>
  </si>
  <si>
    <t>R-00358</t>
  </si>
  <si>
    <t>R-00359</t>
  </si>
  <si>
    <t>R-00360</t>
  </si>
  <si>
    <t>R-00361</t>
  </si>
  <si>
    <t>R-00362</t>
  </si>
  <si>
    <t>R-00363</t>
  </si>
  <si>
    <t>R-00364</t>
  </si>
  <si>
    <t>R-00365</t>
  </si>
  <si>
    <t>R-00366</t>
  </si>
  <si>
    <t>R-00367</t>
  </si>
  <si>
    <t>R-00368</t>
  </si>
  <si>
    <t>R-00369</t>
  </si>
  <si>
    <t>R-00370</t>
  </si>
  <si>
    <t>R-00371</t>
  </si>
  <si>
    <t>R-00372</t>
  </si>
  <si>
    <t>R-00373</t>
  </si>
  <si>
    <t>R-00374</t>
  </si>
  <si>
    <t>R-00375</t>
  </si>
  <si>
    <t>R-00376</t>
  </si>
  <si>
    <t>R-00377</t>
  </si>
  <si>
    <t>R-00378</t>
  </si>
  <si>
    <t>R-00379</t>
  </si>
  <si>
    <t>R-00380</t>
  </si>
  <si>
    <t>R-00381</t>
  </si>
  <si>
    <t>R-00382</t>
  </si>
  <si>
    <t>R-00383</t>
  </si>
  <si>
    <t>R-00384</t>
  </si>
  <si>
    <t>R-00385</t>
  </si>
  <si>
    <t>R-00386</t>
  </si>
  <si>
    <t>R-00387</t>
  </si>
  <si>
    <t>R-00388</t>
  </si>
  <si>
    <t>R-00389</t>
  </si>
  <si>
    <t>R-00390</t>
  </si>
  <si>
    <t>R-00391</t>
  </si>
  <si>
    <t>R-00392</t>
  </si>
  <si>
    <t>R-00393</t>
  </si>
  <si>
    <t>R-00394</t>
  </si>
  <si>
    <t>R-00395</t>
  </si>
  <si>
    <t>R-00396</t>
  </si>
  <si>
    <t>R-00397</t>
  </si>
  <si>
    <t>R-00398</t>
  </si>
  <si>
    <t>R-00399</t>
  </si>
  <si>
    <t>R-00400</t>
  </si>
  <si>
    <t>R-00401</t>
  </si>
  <si>
    <t>R-00402</t>
  </si>
  <si>
    <t>R-00403</t>
  </si>
  <si>
    <t>R-00404</t>
  </si>
  <si>
    <t>R-00405</t>
  </si>
  <si>
    <t>R-00406</t>
  </si>
  <si>
    <t>R-00407</t>
  </si>
  <si>
    <t>R-00408</t>
  </si>
  <si>
    <t>R-00409</t>
  </si>
  <si>
    <t>R-00410</t>
  </si>
  <si>
    <t>R-00411</t>
  </si>
  <si>
    <t>R-00412</t>
  </si>
  <si>
    <t>R-00413</t>
  </si>
  <si>
    <t>R-00414</t>
  </si>
  <si>
    <t>R-00415</t>
  </si>
  <si>
    <t>R-00416</t>
  </si>
  <si>
    <t>R-00417</t>
  </si>
  <si>
    <t>R-00418</t>
  </si>
  <si>
    <t>R-00419</t>
  </si>
  <si>
    <t>R-00420</t>
  </si>
  <si>
    <t>R-00421</t>
  </si>
  <si>
    <t>R-00422</t>
  </si>
  <si>
    <t>R-00423</t>
  </si>
  <si>
    <t>R-00424</t>
  </si>
  <si>
    <t>R-00425</t>
  </si>
  <si>
    <t>R-00426</t>
  </si>
  <si>
    <t>R-00427</t>
  </si>
  <si>
    <t>R-00428</t>
  </si>
  <si>
    <t>R-00429</t>
  </si>
  <si>
    <t>R-00430</t>
  </si>
  <si>
    <t>R-00431</t>
  </si>
  <si>
    <t>R-00432</t>
  </si>
  <si>
    <t>R-00433</t>
  </si>
  <si>
    <t>R-00434</t>
  </si>
  <si>
    <t>R-00435</t>
  </si>
  <si>
    <t>R-00436</t>
  </si>
  <si>
    <t>R-00437</t>
  </si>
  <si>
    <t>R-00438</t>
  </si>
  <si>
    <t>R-00439</t>
  </si>
  <si>
    <t>R-00440</t>
  </si>
  <si>
    <t>R-00441</t>
  </si>
  <si>
    <t>R-00442</t>
  </si>
  <si>
    <t>R-00443</t>
  </si>
  <si>
    <t>R-00444</t>
  </si>
  <si>
    <t>R-00445</t>
  </si>
  <si>
    <t>R-00446</t>
  </si>
  <si>
    <t>R-00447</t>
  </si>
  <si>
    <t>R-00448</t>
  </si>
  <si>
    <t>R-00449</t>
  </si>
  <si>
    <t>R-00450</t>
  </si>
  <si>
    <t>R-00451</t>
  </si>
  <si>
    <t>R-00452</t>
  </si>
  <si>
    <t>R-00453</t>
  </si>
  <si>
    <t>R-00454</t>
  </si>
  <si>
    <t>R-00455</t>
  </si>
  <si>
    <t>R-00456</t>
  </si>
  <si>
    <t>R-00457</t>
  </si>
  <si>
    <t>R-00458</t>
  </si>
  <si>
    <t>R-00459</t>
  </si>
  <si>
    <t>R-00460</t>
  </si>
  <si>
    <t>R-00461</t>
  </si>
  <si>
    <t>R-00462</t>
  </si>
  <si>
    <t>R-00463</t>
  </si>
  <si>
    <t>R-00464</t>
  </si>
  <si>
    <t>R-00465</t>
  </si>
  <si>
    <t>R-00466</t>
  </si>
  <si>
    <t>R-00467</t>
  </si>
  <si>
    <t>R-00468</t>
  </si>
  <si>
    <t>R-00469</t>
  </si>
  <si>
    <t>R-00470</t>
  </si>
  <si>
    <t>R-00471</t>
  </si>
  <si>
    <t>R-00472</t>
  </si>
  <si>
    <t>R-00473</t>
  </si>
  <si>
    <t>R-00474</t>
  </si>
  <si>
    <t>R-00475</t>
  </si>
  <si>
    <t>R-00476</t>
  </si>
  <si>
    <t>R-00477</t>
  </si>
  <si>
    <t>R-00478</t>
  </si>
  <si>
    <t>R-00479</t>
  </si>
  <si>
    <t>R-00480</t>
  </si>
  <si>
    <t>R-00481</t>
  </si>
  <si>
    <t>R-00482</t>
  </si>
  <si>
    <t>R-00483</t>
  </si>
  <si>
    <t>R-00484</t>
  </si>
  <si>
    <t>R-00485</t>
  </si>
  <si>
    <t>R-00486</t>
  </si>
  <si>
    <t>R-00487</t>
  </si>
  <si>
    <t>R-00488</t>
  </si>
  <si>
    <t>R-00489</t>
  </si>
  <si>
    <t>R-00490</t>
  </si>
  <si>
    <t>R-00491</t>
  </si>
  <si>
    <t>R-00492</t>
  </si>
  <si>
    <t>R-00493</t>
  </si>
  <si>
    <t>R-00494</t>
  </si>
  <si>
    <t>R-00495</t>
  </si>
  <si>
    <t>R-00496</t>
  </si>
  <si>
    <t>R-00497</t>
  </si>
  <si>
    <t>R-00498</t>
  </si>
  <si>
    <t>R-00499</t>
  </si>
  <si>
    <t>R-00500</t>
  </si>
  <si>
    <t>R-00501</t>
  </si>
  <si>
    <t>R-00502</t>
  </si>
  <si>
    <t>R-00503</t>
  </si>
  <si>
    <t>R-00504</t>
  </si>
  <si>
    <t>R-00505</t>
  </si>
  <si>
    <t>R-00506</t>
  </si>
  <si>
    <t>R-00507</t>
  </si>
  <si>
    <t>R-00508</t>
  </si>
  <si>
    <t>R-00509</t>
  </si>
  <si>
    <t>R-00510</t>
  </si>
  <si>
    <t>R-00511</t>
  </si>
  <si>
    <t>R-00512</t>
  </si>
  <si>
    <t>R-00513</t>
  </si>
  <si>
    <t>R-00514</t>
  </si>
  <si>
    <t>R-00515</t>
  </si>
  <si>
    <t>R-00516</t>
  </si>
  <si>
    <t>R-00517</t>
  </si>
  <si>
    <t>R-00518</t>
  </si>
  <si>
    <t>R-00519</t>
  </si>
  <si>
    <t>R-00520</t>
  </si>
  <si>
    <t>R-00521</t>
  </si>
  <si>
    <t>R-00522</t>
  </si>
  <si>
    <t>R-00523</t>
  </si>
  <si>
    <t>R-00524</t>
  </si>
  <si>
    <t>R-00525</t>
  </si>
  <si>
    <t>R-00526</t>
  </si>
  <si>
    <t>R-00527</t>
  </si>
  <si>
    <t>R-00528</t>
  </si>
  <si>
    <t>R-00529</t>
  </si>
  <si>
    <t>R-00530</t>
  </si>
  <si>
    <t>R-00531</t>
  </si>
  <si>
    <t>R-00532</t>
  </si>
  <si>
    <t>R-00533</t>
  </si>
  <si>
    <t>R-00534</t>
  </si>
  <si>
    <t>R-00535</t>
  </si>
  <si>
    <t>R-00536</t>
  </si>
  <si>
    <t>R-00537</t>
  </si>
  <si>
    <t>R-00538</t>
  </si>
  <si>
    <t>R-00539</t>
  </si>
  <si>
    <t>R-00540</t>
  </si>
  <si>
    <t>R-00541</t>
  </si>
  <si>
    <t>R-00542</t>
  </si>
  <si>
    <t>R-00543</t>
  </si>
  <si>
    <t>R-00544</t>
  </si>
  <si>
    <t>R-00545</t>
  </si>
  <si>
    <t>R-00546</t>
  </si>
  <si>
    <t>R-00547</t>
  </si>
  <si>
    <t>R-00548</t>
  </si>
  <si>
    <t>R-00549</t>
  </si>
  <si>
    <t>R-00550</t>
  </si>
  <si>
    <t>R-00551</t>
  </si>
  <si>
    <t>R-00552</t>
  </si>
  <si>
    <t>R-00553</t>
  </si>
  <si>
    <t>R-00554</t>
  </si>
  <si>
    <t>R-00555</t>
  </si>
  <si>
    <t>R-00556</t>
  </si>
  <si>
    <t>R-00557</t>
  </si>
  <si>
    <t>R-00558</t>
  </si>
  <si>
    <t>R-00559</t>
  </si>
  <si>
    <t>R-00560</t>
  </si>
  <si>
    <t>R-00561</t>
  </si>
  <si>
    <t>R-00562</t>
  </si>
  <si>
    <t>R-00563</t>
  </si>
  <si>
    <t>R-00564</t>
  </si>
  <si>
    <t>R-00565</t>
  </si>
  <si>
    <t>R-00566</t>
  </si>
  <si>
    <t>R-00567</t>
  </si>
  <si>
    <t>R-00568</t>
  </si>
  <si>
    <t>R-00569</t>
  </si>
  <si>
    <t>R-00570</t>
  </si>
  <si>
    <t>R-00571</t>
  </si>
  <si>
    <t>R-00572</t>
  </si>
  <si>
    <t>R-00573</t>
  </si>
  <si>
    <t>R-00574</t>
  </si>
  <si>
    <t>R-00575</t>
  </si>
  <si>
    <t>R-00576</t>
  </si>
  <si>
    <t>R-00577</t>
  </si>
  <si>
    <t>R-00578</t>
  </si>
  <si>
    <t>R-00579</t>
  </si>
  <si>
    <t>R-00580</t>
  </si>
  <si>
    <t>R-00581</t>
  </si>
  <si>
    <t>R-00582</t>
  </si>
  <si>
    <t>R-00583</t>
  </si>
  <si>
    <t>R-00584</t>
  </si>
  <si>
    <t>R-00585</t>
  </si>
  <si>
    <t>R-00586</t>
  </si>
  <si>
    <t>R-00587</t>
  </si>
  <si>
    <t>R-00588</t>
  </si>
  <si>
    <t>R-00589</t>
  </si>
  <si>
    <t>R-00590</t>
  </si>
  <si>
    <t>R-00591</t>
  </si>
  <si>
    <t>R-00592</t>
  </si>
  <si>
    <t>R-00593</t>
  </si>
  <si>
    <t>R-00594</t>
  </si>
  <si>
    <t>R-00595</t>
  </si>
  <si>
    <t>R-00596</t>
  </si>
  <si>
    <t>R-00597</t>
  </si>
  <si>
    <t>R-00598</t>
  </si>
  <si>
    <t>R-00599</t>
  </si>
  <si>
    <t>R-00600</t>
  </si>
  <si>
    <t>R-00601</t>
  </si>
  <si>
    <t>R-00602</t>
  </si>
  <si>
    <t>R-00603</t>
  </si>
  <si>
    <t>R-00604</t>
  </si>
  <si>
    <t>R-00605</t>
  </si>
  <si>
    <t>R-00606</t>
  </si>
  <si>
    <t>R-00607</t>
  </si>
  <si>
    <t>R-00608</t>
  </si>
  <si>
    <t>R-00609</t>
  </si>
  <si>
    <t>R-00610</t>
  </si>
  <si>
    <t>R-00611</t>
  </si>
  <si>
    <t>R-00612</t>
  </si>
  <si>
    <t>R-00613</t>
  </si>
  <si>
    <t>R-00614</t>
  </si>
  <si>
    <t>R-00615</t>
  </si>
  <si>
    <t>R-00616</t>
  </si>
  <si>
    <t>R-00617</t>
  </si>
  <si>
    <t>R-00618</t>
  </si>
  <si>
    <t>R-00619</t>
  </si>
  <si>
    <t>R-00620</t>
  </si>
  <si>
    <t>R-00621</t>
  </si>
  <si>
    <t>R-00622</t>
  </si>
  <si>
    <t>R-00623</t>
  </si>
  <si>
    <t>R-00624</t>
  </si>
  <si>
    <t>R-00625</t>
  </si>
  <si>
    <t>R-00626</t>
  </si>
  <si>
    <t>R-00627</t>
  </si>
  <si>
    <t>R-00628</t>
  </si>
  <si>
    <t>R-00629</t>
  </si>
  <si>
    <t>R-00630</t>
  </si>
  <si>
    <t>R-00631</t>
  </si>
  <si>
    <t>R-00632</t>
  </si>
  <si>
    <t>R-00633</t>
  </si>
  <si>
    <t>R-00634</t>
  </si>
  <si>
    <t>R-00635</t>
  </si>
  <si>
    <t>R-00636</t>
  </si>
  <si>
    <t>R-00637</t>
  </si>
  <si>
    <t>R-00638</t>
  </si>
  <si>
    <t>R-00639</t>
  </si>
  <si>
    <t>R-00640</t>
  </si>
  <si>
    <t>R-00641</t>
  </si>
  <si>
    <t>R-00642</t>
  </si>
  <si>
    <t>R-00643</t>
  </si>
  <si>
    <t>R-00644</t>
  </si>
  <si>
    <t>R-00645</t>
  </si>
  <si>
    <t>R-00646</t>
  </si>
  <si>
    <t>R-00647</t>
  </si>
  <si>
    <t>R-00648</t>
  </si>
  <si>
    <t>R-00649</t>
  </si>
  <si>
    <t>R-00650</t>
  </si>
  <si>
    <t>R-00651</t>
  </si>
  <si>
    <t>R-00652</t>
  </si>
  <si>
    <t>R-00653</t>
  </si>
  <si>
    <t>R-00654</t>
  </si>
  <si>
    <t>R-00655</t>
  </si>
  <si>
    <t>R-00656</t>
  </si>
  <si>
    <t>R-00657</t>
  </si>
  <si>
    <t>R-00658</t>
  </si>
  <si>
    <t>R-00659</t>
  </si>
  <si>
    <t>R-00660</t>
  </si>
  <si>
    <t>R-00661</t>
  </si>
  <si>
    <t>R-00662</t>
  </si>
  <si>
    <t>R-00663</t>
  </si>
  <si>
    <t>R-00664</t>
  </si>
  <si>
    <t>R-00665</t>
  </si>
  <si>
    <t>R-00666</t>
  </si>
  <si>
    <t>R-00667</t>
  </si>
  <si>
    <t>R-00668</t>
  </si>
  <si>
    <t>R-00669</t>
  </si>
  <si>
    <t>R-00670</t>
  </si>
  <si>
    <t>R-00671</t>
  </si>
  <si>
    <t>R-00672</t>
  </si>
  <si>
    <t>R-00673</t>
  </si>
  <si>
    <t>R-00674</t>
  </si>
  <si>
    <t>R-00675</t>
  </si>
  <si>
    <t>R-00676</t>
  </si>
  <si>
    <t>R-00677</t>
  </si>
  <si>
    <t>R-00678</t>
  </si>
  <si>
    <t>R-00679</t>
  </si>
  <si>
    <t>R-00680</t>
  </si>
  <si>
    <t>R-00681</t>
  </si>
  <si>
    <t>R-00682</t>
  </si>
  <si>
    <t>R-00683</t>
  </si>
  <si>
    <t>R-00684</t>
  </si>
  <si>
    <t>R-00685</t>
  </si>
  <si>
    <t>R-00686</t>
  </si>
  <si>
    <t>R-00687</t>
  </si>
  <si>
    <t>R-00688</t>
  </si>
  <si>
    <t>R-00689</t>
  </si>
  <si>
    <t>R-00690</t>
  </si>
  <si>
    <t>R-00691</t>
  </si>
  <si>
    <t>R-00692</t>
  </si>
  <si>
    <t>R-00693</t>
  </si>
  <si>
    <t>R-00694</t>
  </si>
  <si>
    <t>R-00695</t>
  </si>
  <si>
    <t>R-00696</t>
  </si>
  <si>
    <t>R-00697</t>
  </si>
  <si>
    <t>R-00698</t>
  </si>
  <si>
    <t>R-00699</t>
  </si>
  <si>
    <t>R-00700</t>
  </si>
  <si>
    <t>R-00701</t>
  </si>
  <si>
    <t>R-00702</t>
  </si>
  <si>
    <t>R-00703</t>
  </si>
  <si>
    <t>R-00704</t>
  </si>
  <si>
    <t>R-00705</t>
  </si>
  <si>
    <t>R-00706</t>
  </si>
  <si>
    <t>R-00707</t>
  </si>
  <si>
    <t>R-00708</t>
  </si>
  <si>
    <t>R-00709</t>
  </si>
  <si>
    <t>R-00710</t>
  </si>
  <si>
    <t>R-00711</t>
  </si>
  <si>
    <t>R-00712</t>
  </si>
  <si>
    <t>R-00713</t>
  </si>
  <si>
    <t>R-00714</t>
  </si>
  <si>
    <t>R-00715</t>
  </si>
  <si>
    <t>R-00716</t>
  </si>
  <si>
    <t>R-00717</t>
  </si>
  <si>
    <t>R-00718</t>
  </si>
  <si>
    <t>R-00719</t>
  </si>
  <si>
    <t>R-00720</t>
  </si>
  <si>
    <t>R-00721</t>
  </si>
  <si>
    <t>R-00722</t>
  </si>
  <si>
    <t>R-00723</t>
  </si>
  <si>
    <t>R-00724</t>
  </si>
  <si>
    <t>R-00725</t>
  </si>
  <si>
    <t>R-00726</t>
  </si>
  <si>
    <t>R-00727</t>
  </si>
  <si>
    <t>R-00728</t>
  </si>
  <si>
    <t>R-00729</t>
  </si>
  <si>
    <t>R-00730</t>
  </si>
  <si>
    <t>R-00731</t>
  </si>
  <si>
    <t>R-00732</t>
  </si>
  <si>
    <t>R-00733</t>
  </si>
  <si>
    <t>R-00734</t>
  </si>
  <si>
    <t>R-00735</t>
  </si>
  <si>
    <t>R-00736</t>
  </si>
  <si>
    <t>R-00737</t>
  </si>
  <si>
    <t>R-00738</t>
  </si>
  <si>
    <t>R-00739</t>
  </si>
  <si>
    <t>R-00740</t>
  </si>
  <si>
    <t>R-00741</t>
  </si>
  <si>
    <t>R-00742</t>
  </si>
  <si>
    <t>R-00743</t>
  </si>
  <si>
    <t>R-00744</t>
  </si>
  <si>
    <t>R-00745</t>
  </si>
  <si>
    <t>R-00746</t>
  </si>
  <si>
    <t>R-00747</t>
  </si>
  <si>
    <t>R-00748</t>
  </si>
  <si>
    <t>R-00749</t>
  </si>
  <si>
    <t>R-00750</t>
  </si>
  <si>
    <t>R-00751</t>
  </si>
  <si>
    <t>R-00752</t>
  </si>
  <si>
    <t>R-00753</t>
  </si>
  <si>
    <t>R-00754</t>
  </si>
  <si>
    <t>R-00755</t>
  </si>
  <si>
    <t>R-00756</t>
  </si>
  <si>
    <t>R-00757</t>
  </si>
  <si>
    <t>R-00758</t>
  </si>
  <si>
    <t>R-00759</t>
  </si>
  <si>
    <t>R-00760</t>
  </si>
  <si>
    <t>R-00761</t>
  </si>
  <si>
    <t>R-00762</t>
  </si>
  <si>
    <t>R-00763</t>
  </si>
  <si>
    <t>R-00764</t>
  </si>
  <si>
    <t>R-00765</t>
  </si>
  <si>
    <t>R-00766</t>
  </si>
  <si>
    <t>R-00767</t>
  </si>
  <si>
    <t>R-00768</t>
  </si>
  <si>
    <t>R-00769</t>
  </si>
  <si>
    <t>R-00770</t>
  </si>
  <si>
    <t>R-00771</t>
  </si>
  <si>
    <t>R-00772</t>
  </si>
  <si>
    <t>R-00773</t>
  </si>
  <si>
    <t>R-00774</t>
  </si>
  <si>
    <t>R-00775</t>
  </si>
  <si>
    <t>R-00776</t>
  </si>
  <si>
    <t>R-00777</t>
  </si>
  <si>
    <t>R-00778</t>
  </si>
  <si>
    <t>R-00779</t>
  </si>
  <si>
    <t>R-00780</t>
  </si>
  <si>
    <t>R-00781</t>
  </si>
  <si>
    <t>R-00782</t>
  </si>
  <si>
    <t>R-00783</t>
  </si>
  <si>
    <t>R-00784</t>
  </si>
  <si>
    <t>R-00785</t>
  </si>
  <si>
    <t>R-00786</t>
  </si>
  <si>
    <t>R-00787</t>
  </si>
  <si>
    <t>R-00788</t>
  </si>
  <si>
    <t>R-00789</t>
  </si>
  <si>
    <t>R-00790</t>
  </si>
  <si>
    <t>R-00791</t>
  </si>
  <si>
    <t>R-00792</t>
  </si>
  <si>
    <t>R-00793</t>
  </si>
  <si>
    <t>R-00794</t>
  </si>
  <si>
    <t>R-00795</t>
  </si>
  <si>
    <t>R-00796</t>
  </si>
  <si>
    <t>R-00797</t>
  </si>
  <si>
    <t>R-00798</t>
  </si>
  <si>
    <t>R-00799</t>
  </si>
  <si>
    <t>R-00800</t>
  </si>
  <si>
    <t>R-00801</t>
  </si>
  <si>
    <t>R-00802</t>
  </si>
  <si>
    <t>R-00803</t>
  </si>
  <si>
    <t>R-00804</t>
  </si>
  <si>
    <t>R-00805</t>
  </si>
  <si>
    <t>R-00806</t>
  </si>
  <si>
    <t>R-00807</t>
  </si>
  <si>
    <t>R-00808</t>
  </si>
  <si>
    <t>R-00809</t>
  </si>
  <si>
    <t>R-00810</t>
  </si>
  <si>
    <t>R-00811</t>
  </si>
  <si>
    <t>R-00812</t>
  </si>
  <si>
    <t>R-00813</t>
  </si>
  <si>
    <t>R-00814</t>
  </si>
  <si>
    <t>R-00815</t>
  </si>
  <si>
    <t>R-00816</t>
  </si>
  <si>
    <t>R-00817</t>
  </si>
  <si>
    <t>R-00818</t>
  </si>
  <si>
    <t>R-00819</t>
  </si>
  <si>
    <t>R-00820</t>
  </si>
  <si>
    <t>R-00821</t>
  </si>
  <si>
    <t>R-00822</t>
  </si>
  <si>
    <t>R-00823</t>
  </si>
  <si>
    <t>R-00824</t>
  </si>
  <si>
    <t>R-00825</t>
  </si>
  <si>
    <t>R-00826</t>
  </si>
  <si>
    <t>R-00827</t>
  </si>
  <si>
    <t>R-00828</t>
  </si>
  <si>
    <t>R-00829</t>
  </si>
  <si>
    <t>R-00830</t>
  </si>
  <si>
    <t>R-00831</t>
  </si>
  <si>
    <t>R-00832</t>
  </si>
  <si>
    <t>R-00833</t>
  </si>
  <si>
    <t>R-00834</t>
  </si>
  <si>
    <t>R-00835</t>
  </si>
  <si>
    <t>R-00836</t>
  </si>
  <si>
    <t>R-00837</t>
  </si>
  <si>
    <t>R-00838</t>
  </si>
  <si>
    <t>R-00839</t>
  </si>
  <si>
    <t>R-00840</t>
  </si>
  <si>
    <t>R-00841</t>
  </si>
  <si>
    <t>R-00842</t>
  </si>
  <si>
    <t>R-00843</t>
  </si>
  <si>
    <t>R-00844</t>
  </si>
  <si>
    <t>R-00845</t>
  </si>
  <si>
    <t>R-00846</t>
  </si>
  <si>
    <t>R-00847</t>
  </si>
  <si>
    <t>R-00848</t>
  </si>
  <si>
    <t>R-00849</t>
  </si>
  <si>
    <t>R-00850</t>
  </si>
  <si>
    <t>R-00851</t>
  </si>
  <si>
    <t>R-00852</t>
  </si>
  <si>
    <t>R-00853</t>
  </si>
  <si>
    <t>R-00854</t>
  </si>
  <si>
    <t>R-00855</t>
  </si>
  <si>
    <t>R-00856</t>
  </si>
  <si>
    <t>R-00857</t>
  </si>
  <si>
    <t>R-00858</t>
  </si>
  <si>
    <t>R-00859</t>
  </si>
  <si>
    <t>R-00860</t>
  </si>
  <si>
    <t>R-00861</t>
  </si>
  <si>
    <t>R-00862</t>
  </si>
  <si>
    <t>R-00863</t>
  </si>
  <si>
    <t>R-00864</t>
  </si>
  <si>
    <t>R-00865</t>
  </si>
  <si>
    <t>R-00866</t>
  </si>
  <si>
    <t>R-00867</t>
  </si>
  <si>
    <t>R-00868</t>
  </si>
  <si>
    <t>R-00869</t>
  </si>
  <si>
    <t>R-00870</t>
  </si>
  <si>
    <t>R-00871</t>
  </si>
  <si>
    <t>R-00872</t>
  </si>
  <si>
    <t>R-00873</t>
  </si>
  <si>
    <t>R-00874</t>
  </si>
  <si>
    <t>R-00875</t>
  </si>
  <si>
    <t>R-00876</t>
  </si>
  <si>
    <t>R-00877</t>
  </si>
  <si>
    <t>R-00878</t>
  </si>
  <si>
    <t>R-00879</t>
  </si>
  <si>
    <t>R-00880</t>
  </si>
  <si>
    <t>R-00881</t>
  </si>
  <si>
    <t>R-00882</t>
  </si>
  <si>
    <t>R-00883</t>
  </si>
  <si>
    <t>R-00884</t>
  </si>
  <si>
    <t>R-00885</t>
  </si>
  <si>
    <t>R-00886</t>
  </si>
  <si>
    <t>R-00887</t>
  </si>
  <si>
    <t>R-00888</t>
  </si>
  <si>
    <t>R-00889</t>
  </si>
  <si>
    <t>R-00890</t>
  </si>
  <si>
    <t>R-00891</t>
  </si>
  <si>
    <t>R-00892</t>
  </si>
  <si>
    <t>R-00893</t>
  </si>
  <si>
    <t>R-00894</t>
  </si>
  <si>
    <t>R-00895</t>
  </si>
  <si>
    <t>R-00896</t>
  </si>
  <si>
    <t>R-00897</t>
  </si>
  <si>
    <t>R-00898</t>
  </si>
  <si>
    <t>R-00899</t>
  </si>
  <si>
    <t>R-00900</t>
  </si>
  <si>
    <t>R-00901</t>
  </si>
  <si>
    <t>R-00902</t>
  </si>
  <si>
    <t>R-00903</t>
  </si>
  <si>
    <t>R-00904</t>
  </si>
  <si>
    <t>R-00905</t>
  </si>
  <si>
    <t>R-00906</t>
  </si>
  <si>
    <t>R-00907</t>
  </si>
  <si>
    <t>R-00908</t>
  </si>
  <si>
    <t>R-00909</t>
  </si>
  <si>
    <t>R-00910</t>
  </si>
  <si>
    <t>R-00911</t>
  </si>
  <si>
    <t>R-00912</t>
  </si>
  <si>
    <t>R-00913</t>
  </si>
  <si>
    <t>R-00914</t>
  </si>
  <si>
    <t>R-00915</t>
  </si>
  <si>
    <t>R-00916</t>
  </si>
  <si>
    <t>R-00917</t>
  </si>
  <si>
    <t>R-00918</t>
  </si>
  <si>
    <t>R-00919</t>
  </si>
  <si>
    <t>R-00920</t>
  </si>
  <si>
    <t>R-00921</t>
  </si>
  <si>
    <t>R-00922</t>
  </si>
  <si>
    <t>R-00923</t>
  </si>
  <si>
    <t>R-00924</t>
  </si>
  <si>
    <t>R-00925</t>
  </si>
  <si>
    <t>R-00926</t>
  </si>
  <si>
    <t>R-00927</t>
  </si>
  <si>
    <t>R-00928</t>
  </si>
  <si>
    <t>R-00929</t>
  </si>
  <si>
    <t>R-00930</t>
  </si>
  <si>
    <t>R-00931</t>
  </si>
  <si>
    <t>R-00932</t>
  </si>
  <si>
    <t>R-00933</t>
  </si>
  <si>
    <t>R-00934</t>
  </si>
  <si>
    <t>R-00935</t>
  </si>
  <si>
    <t>R-00936</t>
  </si>
  <si>
    <t>R-00937</t>
  </si>
  <si>
    <t>R-00938</t>
  </si>
  <si>
    <t>R-00939</t>
  </si>
  <si>
    <t>R-00940</t>
  </si>
  <si>
    <t>R-00941</t>
  </si>
  <si>
    <t>R-00942</t>
  </si>
  <si>
    <t>R-00943</t>
  </si>
  <si>
    <t>R-00944</t>
  </si>
  <si>
    <t>R-00945</t>
  </si>
  <si>
    <t>R-00946</t>
  </si>
  <si>
    <t>R-00947</t>
  </si>
  <si>
    <t>R-00948</t>
  </si>
  <si>
    <t>R-00949</t>
  </si>
  <si>
    <t>R-00950</t>
  </si>
  <si>
    <t>R-00951</t>
  </si>
  <si>
    <t>R-00952</t>
  </si>
  <si>
    <t>R-00953</t>
  </si>
  <si>
    <t>R-00954</t>
  </si>
  <si>
    <t>R-00955</t>
  </si>
  <si>
    <t>R-00956</t>
  </si>
  <si>
    <t>R-00957</t>
  </si>
  <si>
    <t>R-00958</t>
  </si>
  <si>
    <t>R-00959</t>
  </si>
  <si>
    <t>R-00960</t>
  </si>
  <si>
    <t>R-00961</t>
  </si>
  <si>
    <t>R-00962</t>
  </si>
  <si>
    <t>R-00963</t>
  </si>
  <si>
    <t>R-00964</t>
  </si>
  <si>
    <t>R-00965</t>
  </si>
  <si>
    <t>R-00966</t>
  </si>
  <si>
    <t>R-00967</t>
  </si>
  <si>
    <t>R-00968</t>
  </si>
  <si>
    <t>R-00969</t>
  </si>
  <si>
    <t>R-00970</t>
  </si>
  <si>
    <t>R-00971</t>
  </si>
  <si>
    <t>R-00972</t>
  </si>
  <si>
    <t>R-00973</t>
  </si>
  <si>
    <t>R-00974</t>
  </si>
  <si>
    <t>R-00975</t>
  </si>
  <si>
    <t>R-00976</t>
  </si>
  <si>
    <t>R-00977</t>
  </si>
  <si>
    <t>R-00978</t>
  </si>
  <si>
    <t>R-00979</t>
  </si>
  <si>
    <t>R-00980</t>
  </si>
  <si>
    <t>R-00981</t>
  </si>
  <si>
    <t>R-00982</t>
  </si>
  <si>
    <t>R-00983</t>
  </si>
  <si>
    <t>R-00984</t>
  </si>
  <si>
    <t>R-00985</t>
  </si>
  <si>
    <t>R-00986</t>
  </si>
  <si>
    <t>R-00987</t>
  </si>
  <si>
    <t>R-00988</t>
  </si>
  <si>
    <t>R-00989</t>
  </si>
  <si>
    <t>R-00990</t>
  </si>
  <si>
    <t>R-00991</t>
  </si>
  <si>
    <t>R-00992</t>
  </si>
  <si>
    <t>R-00993</t>
  </si>
  <si>
    <t>R-00994</t>
  </si>
  <si>
    <t>R-00995</t>
  </si>
  <si>
    <t>R-00996</t>
  </si>
  <si>
    <t>R-00997</t>
  </si>
  <si>
    <t>R-00998</t>
  </si>
  <si>
    <t>R-00999</t>
  </si>
  <si>
    <t>R-01000</t>
  </si>
  <si>
    <t>R-01001</t>
  </si>
  <si>
    <t>R-01002</t>
  </si>
  <si>
    <t>R-01003</t>
  </si>
  <si>
    <t>R-01004</t>
  </si>
  <si>
    <t>R-01005</t>
  </si>
  <si>
    <t>R-01006</t>
  </si>
  <si>
    <t>R-01007</t>
  </si>
  <si>
    <t>R-01008</t>
  </si>
  <si>
    <t>R-01009</t>
  </si>
  <si>
    <t>R-01010</t>
  </si>
  <si>
    <t>R-01011</t>
  </si>
  <si>
    <t>R-01012</t>
  </si>
  <si>
    <t>R-01013</t>
  </si>
  <si>
    <t>R-01014</t>
  </si>
  <si>
    <t>R-01015</t>
  </si>
  <si>
    <t>R-01016</t>
  </si>
  <si>
    <t>R-01017</t>
  </si>
  <si>
    <t>R-01018</t>
  </si>
  <si>
    <t>R-01019</t>
  </si>
  <si>
    <t>R-01020</t>
  </si>
  <si>
    <t>R-01021</t>
  </si>
  <si>
    <t>R-01022</t>
  </si>
  <si>
    <t>R-01023</t>
  </si>
  <si>
    <t>R-01024</t>
  </si>
  <si>
    <t>R-01025</t>
  </si>
  <si>
    <t>R-01026</t>
  </si>
  <si>
    <t>R-01027</t>
  </si>
  <si>
    <t>R-01028</t>
  </si>
  <si>
    <t>R-01029</t>
  </si>
  <si>
    <t>R-01030</t>
  </si>
  <si>
    <t>R-01031</t>
  </si>
  <si>
    <t>R-01032</t>
  </si>
  <si>
    <t>R-01033</t>
  </si>
  <si>
    <t>R-01034</t>
  </si>
  <si>
    <t>R-01035</t>
  </si>
  <si>
    <t>R-01036</t>
  </si>
  <si>
    <t>R-01037</t>
  </si>
  <si>
    <t>R-01038</t>
  </si>
  <si>
    <t>R-01039</t>
  </si>
  <si>
    <t>R-01040</t>
  </si>
  <si>
    <t>R-01041</t>
  </si>
  <si>
    <t>R-01042</t>
  </si>
  <si>
    <t>R-01043</t>
  </si>
  <si>
    <t>R-01044</t>
  </si>
  <si>
    <t>R-01045</t>
  </si>
  <si>
    <t>R-01046</t>
  </si>
  <si>
    <t>R-01047</t>
  </si>
  <si>
    <t>R-01048</t>
  </si>
  <si>
    <t>R-01049</t>
  </si>
  <si>
    <t>R-01050</t>
  </si>
  <si>
    <t>R-01051</t>
  </si>
  <si>
    <t>R-01052</t>
  </si>
  <si>
    <t>R-01053</t>
  </si>
  <si>
    <t>R-01054</t>
  </si>
  <si>
    <t>R-01055</t>
  </si>
  <si>
    <t>R-01056</t>
  </si>
  <si>
    <t>R-01057</t>
  </si>
  <si>
    <t>R-01058</t>
  </si>
  <si>
    <t>R-01059</t>
  </si>
  <si>
    <t>R-01060</t>
  </si>
  <si>
    <t>R-01061</t>
  </si>
  <si>
    <t>R-01062</t>
  </si>
  <si>
    <t>R-01063</t>
  </si>
  <si>
    <t>R-01064</t>
  </si>
  <si>
    <t>R-01065</t>
  </si>
  <si>
    <t>R-01066</t>
  </si>
  <si>
    <t>R-01067</t>
  </si>
  <si>
    <t>R-01068</t>
  </si>
  <si>
    <t>R-01069</t>
  </si>
  <si>
    <t>R-01070</t>
  </si>
  <si>
    <t>R-01071</t>
  </si>
  <si>
    <t>R-01072</t>
  </si>
  <si>
    <t>R-01073</t>
  </si>
  <si>
    <t>R-01074</t>
  </si>
  <si>
    <t>R-01075</t>
  </si>
  <si>
    <t>R-01076</t>
  </si>
  <si>
    <t>R-01077</t>
  </si>
  <si>
    <t>R-01078</t>
  </si>
  <si>
    <t>R-01079</t>
  </si>
  <si>
    <t>R-01080</t>
  </si>
  <si>
    <t>R-01081</t>
  </si>
  <si>
    <t>R-01082</t>
  </si>
  <si>
    <t>R-01083</t>
  </si>
  <si>
    <t>R-01084</t>
  </si>
  <si>
    <t>R-01085</t>
  </si>
  <si>
    <t>R-01086</t>
  </si>
  <si>
    <t>R-01087</t>
  </si>
  <si>
    <t>R-01088</t>
  </si>
  <si>
    <t>R-01089</t>
  </si>
  <si>
    <t>R-01090</t>
  </si>
  <si>
    <t>R-01091</t>
  </si>
  <si>
    <t>R-01092</t>
  </si>
  <si>
    <t>R-01093</t>
  </si>
  <si>
    <t>R-01094</t>
  </si>
  <si>
    <t>R-01095</t>
  </si>
  <si>
    <t>R-01096</t>
  </si>
  <si>
    <t>R-01097</t>
  </si>
  <si>
    <t>R-01098</t>
  </si>
  <si>
    <t>R-01099</t>
  </si>
  <si>
    <t>R-01100</t>
  </si>
  <si>
    <t>R-01101</t>
  </si>
  <si>
    <t>R-01102</t>
  </si>
  <si>
    <t>R-01103</t>
  </si>
  <si>
    <t>R-01104</t>
  </si>
  <si>
    <t>R-01105</t>
  </si>
  <si>
    <t>R-01106</t>
  </si>
  <si>
    <t>R-01107</t>
  </si>
  <si>
    <t>R-01108</t>
  </si>
  <si>
    <t>R-01109</t>
  </si>
  <si>
    <t>R-01110</t>
  </si>
  <si>
    <t>R-01111</t>
  </si>
  <si>
    <t>R-01112</t>
  </si>
  <si>
    <t>R-01113</t>
  </si>
  <si>
    <t>R-01114</t>
  </si>
  <si>
    <t>R-01115</t>
  </si>
  <si>
    <t>R-01116</t>
  </si>
  <si>
    <t>R-01117</t>
  </si>
  <si>
    <t>R-01118</t>
  </si>
  <si>
    <t>R-01119</t>
  </si>
  <si>
    <t>R-01120</t>
  </si>
  <si>
    <t>R-01121</t>
  </si>
  <si>
    <t>R-01122</t>
  </si>
  <si>
    <t>R-01123</t>
  </si>
  <si>
    <t>R-01124</t>
  </si>
  <si>
    <t>R-01125</t>
  </si>
  <si>
    <t>R-01126</t>
  </si>
  <si>
    <t>R-01127</t>
  </si>
  <si>
    <t>R-01128</t>
  </si>
  <si>
    <t>R-01129</t>
  </si>
  <si>
    <t>R-01130</t>
  </si>
  <si>
    <t>R-01131</t>
  </si>
  <si>
    <t>R-01132</t>
  </si>
  <si>
    <t>R-01133</t>
  </si>
  <si>
    <t>R-01134</t>
  </si>
  <si>
    <t>R-01135</t>
  </si>
  <si>
    <t>R-01136</t>
  </si>
  <si>
    <t>R-01137</t>
  </si>
  <si>
    <t>R-01138</t>
  </si>
  <si>
    <t>R-01139</t>
  </si>
  <si>
    <t>R-01140</t>
  </si>
  <si>
    <t>R-01141</t>
  </si>
  <si>
    <t>R-01142</t>
  </si>
  <si>
    <t>R-01143</t>
  </si>
  <si>
    <t>R-01144</t>
  </si>
  <si>
    <t>R-01145</t>
  </si>
  <si>
    <t>R-01146</t>
  </si>
  <si>
    <t>R-01147</t>
  </si>
  <si>
    <t>R-01148</t>
  </si>
  <si>
    <t>R-01149</t>
  </si>
  <si>
    <t>R-01150</t>
  </si>
  <si>
    <t>R-01151</t>
  </si>
  <si>
    <t>R-01152</t>
  </si>
  <si>
    <t>R-01153</t>
  </si>
  <si>
    <t>R-01154</t>
  </si>
  <si>
    <t>R-01155</t>
  </si>
  <si>
    <t>R-01156</t>
  </si>
  <si>
    <t>R-01157</t>
  </si>
  <si>
    <t>R-01158</t>
  </si>
  <si>
    <t>R-01159</t>
  </si>
  <si>
    <t>R-01160</t>
  </si>
  <si>
    <t>R-01161</t>
  </si>
  <si>
    <t>R-01162</t>
  </si>
  <si>
    <t>R-01163</t>
  </si>
  <si>
    <t>R-01164</t>
  </si>
  <si>
    <t>R-01165</t>
  </si>
  <si>
    <t>R-01166</t>
  </si>
  <si>
    <t>R-01167</t>
  </si>
  <si>
    <t>R-01168</t>
  </si>
  <si>
    <t>R-01169</t>
  </si>
  <si>
    <t>R-01170</t>
  </si>
  <si>
    <t>R-01171</t>
  </si>
  <si>
    <t>R-01172</t>
  </si>
  <si>
    <t>R-01173</t>
  </si>
  <si>
    <t>R-01174</t>
  </si>
  <si>
    <t>R-01175</t>
  </si>
  <si>
    <t>R-01176</t>
  </si>
  <si>
    <t>R-01177</t>
  </si>
  <si>
    <t>R-01178</t>
  </si>
  <si>
    <t>R-01179</t>
  </si>
  <si>
    <t>R-01180</t>
  </si>
  <si>
    <t>R-01181</t>
  </si>
  <si>
    <t>R-01182</t>
  </si>
  <si>
    <t>R-01183</t>
  </si>
  <si>
    <t>R-01184</t>
  </si>
  <si>
    <t>R-01185</t>
  </si>
  <si>
    <t>R-01186</t>
  </si>
  <si>
    <t>R-01187</t>
  </si>
  <si>
    <t>R-01188</t>
  </si>
  <si>
    <t>R-01189</t>
  </si>
  <si>
    <t>R-01190</t>
  </si>
  <si>
    <t>R-01191</t>
  </si>
  <si>
    <t>R-01192</t>
  </si>
  <si>
    <t>R-01193</t>
  </si>
  <si>
    <t>R-01194</t>
  </si>
  <si>
    <t>R-01195</t>
  </si>
  <si>
    <t>R-01196</t>
  </si>
  <si>
    <t>R-01197</t>
  </si>
  <si>
    <t>R-01198</t>
  </si>
  <si>
    <t>R-01199</t>
  </si>
  <si>
    <t>R-01200</t>
  </si>
  <si>
    <t>R-01201</t>
  </si>
  <si>
    <t>R-01202</t>
  </si>
  <si>
    <t>R-01203</t>
  </si>
  <si>
    <t>R-01204</t>
  </si>
  <si>
    <t>R-01205</t>
  </si>
  <si>
    <t>R-01206</t>
  </si>
  <si>
    <t>R-01207</t>
  </si>
  <si>
    <t>R-01208</t>
  </si>
  <si>
    <t>R-01209</t>
  </si>
  <si>
    <t>R-01210</t>
  </si>
  <si>
    <t>R-01211</t>
  </si>
  <si>
    <t>R-01212</t>
  </si>
  <si>
    <t>R-01213</t>
  </si>
  <si>
    <t>R-01214</t>
  </si>
  <si>
    <t>R-01215</t>
  </si>
  <si>
    <t>R-01216</t>
  </si>
  <si>
    <t>R-01217</t>
  </si>
  <si>
    <t>R-01218</t>
  </si>
  <si>
    <t>R-01219</t>
  </si>
  <si>
    <t>R-01220</t>
  </si>
  <si>
    <t>R-01221</t>
  </si>
  <si>
    <t>R-01222</t>
  </si>
  <si>
    <t>R-01223</t>
  </si>
  <si>
    <t>R-01224</t>
  </si>
  <si>
    <t>R-01225</t>
  </si>
  <si>
    <t>R-01226</t>
  </si>
  <si>
    <t>R-01227</t>
  </si>
  <si>
    <t>R-01228</t>
  </si>
  <si>
    <t>R-01229</t>
  </si>
  <si>
    <t>R-01230</t>
  </si>
  <si>
    <t>R-01231</t>
  </si>
  <si>
    <t>R-01232</t>
  </si>
  <si>
    <t>R-01233</t>
  </si>
  <si>
    <t>R-01234</t>
  </si>
  <si>
    <t>R-01235</t>
  </si>
  <si>
    <t>R-01236</t>
  </si>
  <si>
    <t>R-01237</t>
  </si>
  <si>
    <t>R-01238</t>
  </si>
  <si>
    <t>R-01239</t>
  </si>
  <si>
    <t>R-01240</t>
  </si>
  <si>
    <t>R-01241</t>
  </si>
  <si>
    <t>R-01242</t>
  </si>
  <si>
    <t>R-01243</t>
  </si>
  <si>
    <t>R-01244</t>
  </si>
  <si>
    <t>R-01245</t>
  </si>
  <si>
    <t>R-01246</t>
  </si>
  <si>
    <t>R-01247</t>
  </si>
  <si>
    <t>R-01248</t>
  </si>
  <si>
    <t>R-01249</t>
  </si>
  <si>
    <t>R-01250</t>
  </si>
  <si>
    <t>R-01251</t>
  </si>
  <si>
    <t>R-01252</t>
  </si>
  <si>
    <t>R-01253</t>
  </si>
  <si>
    <t>R-01254</t>
  </si>
  <si>
    <t>R-01255</t>
  </si>
  <si>
    <t>R-01256</t>
  </si>
  <si>
    <t>R-01257</t>
  </si>
  <si>
    <t>R-01258</t>
  </si>
  <si>
    <t>R-01259</t>
  </si>
  <si>
    <t>R-01260</t>
  </si>
  <si>
    <t>R-01261</t>
  </si>
  <si>
    <t>R-01262</t>
  </si>
  <si>
    <t>R-01263</t>
  </si>
  <si>
    <t>R-01264</t>
  </si>
  <si>
    <t>R-01265</t>
  </si>
  <si>
    <t>R-01266</t>
  </si>
  <si>
    <t>R-01267</t>
  </si>
  <si>
    <t>R-01268</t>
  </si>
  <si>
    <t>R-01269</t>
  </si>
  <si>
    <t>R-01270</t>
  </si>
  <si>
    <t>R-01271</t>
  </si>
  <si>
    <t>R-01272</t>
  </si>
  <si>
    <t>R-01273</t>
  </si>
  <si>
    <t>R-01274</t>
  </si>
  <si>
    <t>R-01275</t>
  </si>
  <si>
    <t>R-01276</t>
  </si>
  <si>
    <t>R-01277</t>
  </si>
  <si>
    <t>R-01278</t>
  </si>
  <si>
    <t>R-01279</t>
  </si>
  <si>
    <t>R-01280</t>
  </si>
  <si>
    <t>R-01281</t>
  </si>
  <si>
    <t>R-01282</t>
  </si>
  <si>
    <t>R-01283</t>
  </si>
  <si>
    <t>R-01284</t>
  </si>
  <si>
    <t>R-01285</t>
  </si>
  <si>
    <t>R-01286</t>
  </si>
  <si>
    <t>R-01287</t>
  </si>
  <si>
    <t>R-01288</t>
  </si>
  <si>
    <t>R-01289</t>
  </si>
  <si>
    <t>R-01290</t>
  </si>
  <si>
    <t>R-01291</t>
  </si>
  <si>
    <t>R-01292</t>
  </si>
  <si>
    <t>R-01293</t>
  </si>
  <si>
    <t>R-01294</t>
  </si>
  <si>
    <t>R-01295</t>
  </si>
  <si>
    <t>R-01296</t>
  </si>
  <si>
    <t>R-01297</t>
  </si>
  <si>
    <t>R-01298</t>
  </si>
  <si>
    <t>R-01299</t>
  </si>
  <si>
    <t>R-01300</t>
  </si>
  <si>
    <t>R-01301</t>
  </si>
  <si>
    <t>R-01302</t>
  </si>
  <si>
    <t>R-01303</t>
  </si>
  <si>
    <t>R-01304</t>
  </si>
  <si>
    <t>R-01305</t>
  </si>
  <si>
    <t>R-01306</t>
  </si>
  <si>
    <t>R-01307</t>
  </si>
  <si>
    <t>R-01308</t>
  </si>
  <si>
    <t>R-01309</t>
  </si>
  <si>
    <t>R-01310</t>
  </si>
  <si>
    <t>R-01311</t>
  </si>
  <si>
    <t>R-01312</t>
  </si>
  <si>
    <t>R-01313</t>
  </si>
  <si>
    <t>R-01314</t>
  </si>
  <si>
    <t>R-01315</t>
  </si>
  <si>
    <t>R-01316</t>
  </si>
  <si>
    <t>R-01317</t>
  </si>
  <si>
    <t>R-01318</t>
  </si>
  <si>
    <t>R-01319</t>
  </si>
  <si>
    <t>R-01320</t>
  </si>
  <si>
    <t>R-01321</t>
  </si>
  <si>
    <t>R-01322</t>
  </si>
  <si>
    <t>R-01323</t>
  </si>
  <si>
    <t>R-01324</t>
  </si>
  <si>
    <t>R-01325</t>
  </si>
  <si>
    <t>R-01326</t>
  </si>
  <si>
    <t>R-01327</t>
  </si>
  <si>
    <t>R-01328</t>
  </si>
  <si>
    <t>R-01329</t>
  </si>
  <si>
    <t>R-01330</t>
  </si>
  <si>
    <t>R-01331</t>
  </si>
  <si>
    <t>R-01332</t>
  </si>
  <si>
    <t>R-01333</t>
  </si>
  <si>
    <t>R-01334</t>
  </si>
  <si>
    <t>R-01335</t>
  </si>
  <si>
    <t>R-01336</t>
  </si>
  <si>
    <t>R-01337</t>
  </si>
  <si>
    <t>R-01338</t>
  </si>
  <si>
    <t>R-01339</t>
  </si>
  <si>
    <t>R-01340</t>
  </si>
  <si>
    <t>R-01341</t>
  </si>
  <si>
    <t>R-01342</t>
  </si>
  <si>
    <t>R-01343</t>
  </si>
  <si>
    <t>R-01344</t>
  </si>
  <si>
    <t>R-01345</t>
  </si>
  <si>
    <t>R-01346</t>
  </si>
  <si>
    <t>R-01347</t>
  </si>
  <si>
    <t>R-01348</t>
  </si>
  <si>
    <t>R-01349</t>
  </si>
  <si>
    <t>R-01350</t>
  </si>
  <si>
    <t>R-01351</t>
  </si>
  <si>
    <t>R-01352</t>
  </si>
  <si>
    <t>R-01353</t>
  </si>
  <si>
    <t>R-01354</t>
  </si>
  <si>
    <t>R-01355</t>
  </si>
  <si>
    <t>R-01356</t>
  </si>
  <si>
    <t>R-01357</t>
  </si>
  <si>
    <t>R-01358</t>
  </si>
  <si>
    <t>R-01359</t>
  </si>
  <si>
    <t>R-01360</t>
  </si>
  <si>
    <t>R-01361</t>
  </si>
  <si>
    <t>R-01362</t>
  </si>
  <si>
    <t>R-01363</t>
  </si>
  <si>
    <t>R-01364</t>
  </si>
  <si>
    <t>R-01365</t>
  </si>
  <si>
    <t>R-01366</t>
  </si>
  <si>
    <t>R-01367</t>
  </si>
  <si>
    <t>R-01368</t>
  </si>
  <si>
    <t>R-01369</t>
  </si>
  <si>
    <t>R-01370</t>
  </si>
  <si>
    <t>R-01371</t>
  </si>
  <si>
    <t>R-01372</t>
  </si>
  <si>
    <t>R-01373</t>
  </si>
  <si>
    <t>R-01374</t>
  </si>
  <si>
    <t>R-01375</t>
  </si>
  <si>
    <t>R-01376</t>
  </si>
  <si>
    <t>R-01377</t>
  </si>
  <si>
    <t>R-01378</t>
  </si>
  <si>
    <t>R-01379</t>
  </si>
  <si>
    <t>R-01380</t>
  </si>
  <si>
    <t>R-01381</t>
  </si>
  <si>
    <t>R-01382</t>
  </si>
  <si>
    <t>R-01383</t>
  </si>
  <si>
    <t>R-01384</t>
  </si>
  <si>
    <t>R-01385</t>
  </si>
  <si>
    <t>R-01386</t>
  </si>
  <si>
    <t>R-01387</t>
  </si>
  <si>
    <t>R-01388</t>
  </si>
  <si>
    <t>R-01389</t>
  </si>
  <si>
    <t>R-01390</t>
  </si>
  <si>
    <t>R-01391</t>
  </si>
  <si>
    <t>R-01392</t>
  </si>
  <si>
    <t>R-01393</t>
  </si>
  <si>
    <t>R-01394</t>
  </si>
  <si>
    <t>R-01395</t>
  </si>
  <si>
    <t>R-01396</t>
  </si>
  <si>
    <t>R-01397</t>
  </si>
  <si>
    <t>R-01398</t>
  </si>
  <si>
    <t>R-01399</t>
  </si>
  <si>
    <t>R-01400</t>
  </si>
  <si>
    <t>R-01401</t>
  </si>
  <si>
    <t>R-01402</t>
  </si>
  <si>
    <t>R-01403</t>
  </si>
  <si>
    <t>R-01404</t>
  </si>
  <si>
    <t>R-01405</t>
  </si>
  <si>
    <t>R-01406</t>
  </si>
  <si>
    <t>R-01407</t>
  </si>
  <si>
    <t>R-01408</t>
  </si>
  <si>
    <t>R-01409</t>
  </si>
  <si>
    <t>R-01410</t>
  </si>
  <si>
    <t>R-01411</t>
  </si>
  <si>
    <t>R-01412</t>
  </si>
  <si>
    <t>R-01413</t>
  </si>
  <si>
    <t>R-01414</t>
  </si>
  <si>
    <t>R-01415</t>
  </si>
  <si>
    <t>R-01416</t>
  </si>
  <si>
    <t>R-01417</t>
  </si>
  <si>
    <t>R-01418</t>
  </si>
  <si>
    <t>R-01419</t>
  </si>
  <si>
    <t>R-01420</t>
  </si>
  <si>
    <t>R-01421</t>
  </si>
  <si>
    <t>R-01422</t>
  </si>
  <si>
    <t>R-01423</t>
  </si>
  <si>
    <t>R-01424</t>
  </si>
  <si>
    <t>R-01425</t>
  </si>
  <si>
    <t>R-01426</t>
  </si>
  <si>
    <t>R-01427</t>
  </si>
  <si>
    <t>R-01428</t>
  </si>
  <si>
    <t>R-01429</t>
  </si>
  <si>
    <t>R-01430</t>
  </si>
  <si>
    <t>R-01431</t>
  </si>
  <si>
    <t>R-01432</t>
  </si>
  <si>
    <t>R-01433</t>
  </si>
  <si>
    <t>R-01434</t>
  </si>
  <si>
    <t>R-01435</t>
  </si>
  <si>
    <t>R-01436</t>
  </si>
  <si>
    <t>R-01437</t>
  </si>
  <si>
    <t>R-01438</t>
  </si>
  <si>
    <t>R-01439</t>
  </si>
  <si>
    <t>R-01440</t>
  </si>
  <si>
    <t>R-01441</t>
  </si>
  <si>
    <t>R-01442</t>
  </si>
  <si>
    <t>R-01443</t>
  </si>
  <si>
    <t>R-01444</t>
  </si>
  <si>
    <t>R-01445</t>
  </si>
  <si>
    <t>R-01446</t>
  </si>
  <si>
    <t>R-01447</t>
  </si>
  <si>
    <t>R-01448</t>
  </si>
  <si>
    <t>R-01449</t>
  </si>
  <si>
    <t>R-01450</t>
  </si>
  <si>
    <t>R-01451</t>
  </si>
  <si>
    <t>R-01452</t>
  </si>
  <si>
    <t>R-01453</t>
  </si>
  <si>
    <t>R-01454</t>
  </si>
  <si>
    <t>R-01455</t>
  </si>
  <si>
    <t>R-01456</t>
  </si>
  <si>
    <t>R-01457</t>
  </si>
  <si>
    <t>R-01458</t>
  </si>
  <si>
    <t>R-01459</t>
  </si>
  <si>
    <t>R-01460</t>
  </si>
  <si>
    <t>R-01461</t>
  </si>
  <si>
    <t>R-01462</t>
  </si>
  <si>
    <t>R-01463</t>
  </si>
  <si>
    <t>R-01464</t>
  </si>
  <si>
    <t>R-01465</t>
  </si>
  <si>
    <t>R-01466</t>
  </si>
  <si>
    <t>R-01467</t>
  </si>
  <si>
    <t>R-01468</t>
  </si>
  <si>
    <t>R-01469</t>
  </si>
  <si>
    <t>R-01470</t>
  </si>
  <si>
    <t>R-01471</t>
  </si>
  <si>
    <t>R-01472</t>
  </si>
  <si>
    <t>R-01473</t>
  </si>
  <si>
    <t>R-01474</t>
  </si>
  <si>
    <t>R-01475</t>
  </si>
  <si>
    <t>R-01476</t>
  </si>
  <si>
    <t>R-01477</t>
  </si>
  <si>
    <t>R-01478</t>
  </si>
  <si>
    <t>R-01479</t>
  </si>
  <si>
    <t>R-01480</t>
  </si>
  <si>
    <t>R-01481</t>
  </si>
  <si>
    <t>R-01482</t>
  </si>
  <si>
    <t>R-01483</t>
  </si>
  <si>
    <t>R-01484</t>
  </si>
  <si>
    <t>R-01485</t>
  </si>
  <si>
    <t>R-01486</t>
  </si>
  <si>
    <t>R-01487</t>
  </si>
  <si>
    <t>R-01488</t>
  </si>
  <si>
    <t>R-01489</t>
  </si>
  <si>
    <t>R-01490</t>
  </si>
  <si>
    <t>R-01491</t>
  </si>
  <si>
    <t>R-01492</t>
  </si>
  <si>
    <t>R-01493</t>
  </si>
  <si>
    <t>R-01494</t>
  </si>
  <si>
    <t>R-01495</t>
  </si>
  <si>
    <t>R-01496</t>
  </si>
  <si>
    <t>R-01497</t>
  </si>
  <si>
    <t>R-01498</t>
  </si>
  <si>
    <t>R-01499</t>
  </si>
  <si>
    <t>R-01500</t>
  </si>
  <si>
    <t>R-01501</t>
  </si>
  <si>
    <t>R-01502</t>
  </si>
  <si>
    <t>R-01503</t>
  </si>
  <si>
    <t>R-01504</t>
  </si>
  <si>
    <t>R-01505</t>
  </si>
  <si>
    <t>R-01506</t>
  </si>
  <si>
    <t>R-01507</t>
  </si>
  <si>
    <t>R-01508</t>
  </si>
  <si>
    <t>R-01509</t>
  </si>
  <si>
    <t>R-01510</t>
  </si>
  <si>
    <t>R-01511</t>
  </si>
  <si>
    <t>R-01512</t>
  </si>
  <si>
    <t>R-01513</t>
  </si>
  <si>
    <t>R-01514</t>
  </si>
  <si>
    <t>R-01515</t>
  </si>
  <si>
    <t>R-01516</t>
  </si>
  <si>
    <t>R-01517</t>
  </si>
  <si>
    <t>R-01518</t>
  </si>
  <si>
    <t>R-01519</t>
  </si>
  <si>
    <t>R-01520</t>
  </si>
  <si>
    <t>R-01521</t>
  </si>
  <si>
    <t>R-01522</t>
  </si>
  <si>
    <t>R-01523</t>
  </si>
  <si>
    <t>R-01524</t>
  </si>
  <si>
    <t>R-01525</t>
  </si>
  <si>
    <t>R-01526</t>
  </si>
  <si>
    <t>R-01527</t>
  </si>
  <si>
    <t>R-01528</t>
  </si>
  <si>
    <t>R-01529</t>
  </si>
  <si>
    <t>R-01530</t>
  </si>
  <si>
    <t>R-01531</t>
  </si>
  <si>
    <t>R-01532</t>
  </si>
  <si>
    <t>R-01533</t>
  </si>
  <si>
    <t>R-01534</t>
  </si>
  <si>
    <t>R-01535</t>
  </si>
  <si>
    <t>R-01536</t>
  </si>
  <si>
    <t>R-01537</t>
  </si>
  <si>
    <t>R-01538</t>
  </si>
  <si>
    <t>R-01539</t>
  </si>
  <si>
    <t>R-01540</t>
  </si>
  <si>
    <t>R-01541</t>
  </si>
  <si>
    <t>R-01542</t>
  </si>
  <si>
    <t>R-01543</t>
  </si>
  <si>
    <t>R-01544</t>
  </si>
  <si>
    <t>R-01545</t>
  </si>
  <si>
    <t>R-01546</t>
  </si>
  <si>
    <t>R-01547</t>
  </si>
  <si>
    <t>R-01548</t>
  </si>
  <si>
    <t>R-01549</t>
  </si>
  <si>
    <t>R-01550</t>
  </si>
  <si>
    <t>R-01551</t>
  </si>
  <si>
    <t>R-01552</t>
  </si>
  <si>
    <t>R-01553</t>
  </si>
  <si>
    <t>R-01554</t>
  </si>
  <si>
    <t>R-01555</t>
  </si>
  <si>
    <t>R-01556</t>
  </si>
  <si>
    <t>R-01557</t>
  </si>
  <si>
    <t>R-01558</t>
  </si>
  <si>
    <t>R-01559</t>
  </si>
  <si>
    <t>R-01560</t>
  </si>
  <si>
    <t>R-01561</t>
  </si>
  <si>
    <t>R-01562</t>
  </si>
  <si>
    <t>R-01563</t>
  </si>
  <si>
    <t>R-01564</t>
  </si>
  <si>
    <t>R-01565</t>
  </si>
  <si>
    <t>R-01566</t>
  </si>
  <si>
    <t>R-01567</t>
  </si>
  <si>
    <t>R-01568</t>
  </si>
  <si>
    <t>R-01569</t>
  </si>
  <si>
    <t>R-01570</t>
  </si>
  <si>
    <t>R-01571</t>
  </si>
  <si>
    <t>R-01572</t>
  </si>
  <si>
    <t>R-01573</t>
  </si>
  <si>
    <t>R-01574</t>
  </si>
  <si>
    <t>R-01575</t>
  </si>
  <si>
    <t>R-01576</t>
  </si>
  <si>
    <t>R-01577</t>
  </si>
  <si>
    <t>R-01578</t>
  </si>
  <si>
    <t>R-01579</t>
  </si>
  <si>
    <t>R-01580</t>
  </si>
  <si>
    <t>R-01581</t>
  </si>
  <si>
    <t>R-01582</t>
  </si>
  <si>
    <t>R-01583</t>
  </si>
  <si>
    <t>R-01584</t>
  </si>
  <si>
    <t>R-01585</t>
  </si>
  <si>
    <t>R-01586</t>
  </si>
  <si>
    <t>R-01587</t>
  </si>
  <si>
    <t>R-01588</t>
  </si>
  <si>
    <t>R-01589</t>
  </si>
  <si>
    <t>R-01590</t>
  </si>
  <si>
    <t>R-01591</t>
  </si>
  <si>
    <t>R-01592</t>
  </si>
  <si>
    <t>R-01593</t>
  </si>
  <si>
    <t>R-01594</t>
  </si>
  <si>
    <t>R-01595</t>
  </si>
  <si>
    <t>R-01596</t>
  </si>
  <si>
    <t>R-01597</t>
  </si>
  <si>
    <t>R-01598</t>
  </si>
  <si>
    <t>R-01599</t>
  </si>
  <si>
    <t>R-01600</t>
  </si>
  <si>
    <t>R-01601</t>
  </si>
  <si>
    <t>R-01602</t>
  </si>
  <si>
    <t>R-01603</t>
  </si>
  <si>
    <t>R-01604</t>
  </si>
  <si>
    <t>R-01605</t>
  </si>
  <si>
    <t>R-01606</t>
  </si>
  <si>
    <t>R-01607</t>
  </si>
  <si>
    <t>R-01608</t>
  </si>
  <si>
    <t>R-01609</t>
  </si>
  <si>
    <t>R-01610</t>
  </si>
  <si>
    <t>R-01611</t>
  </si>
  <si>
    <t>R-01612</t>
  </si>
  <si>
    <t>R-01613</t>
  </si>
  <si>
    <t>R-01614</t>
  </si>
  <si>
    <t>R-01615</t>
  </si>
  <si>
    <t>R-01616</t>
  </si>
  <si>
    <t>R-01617</t>
  </si>
  <si>
    <t>R-01618</t>
  </si>
  <si>
    <t>R-01619</t>
  </si>
  <si>
    <t>R-01620</t>
  </si>
  <si>
    <t>R-01621</t>
  </si>
  <si>
    <t>R-01622</t>
  </si>
  <si>
    <t>R-01623</t>
  </si>
  <si>
    <t>R-01624</t>
  </si>
  <si>
    <t>R-01625</t>
  </si>
  <si>
    <t>R-01626</t>
  </si>
  <si>
    <t>R-01627</t>
  </si>
  <si>
    <t>R-01628</t>
  </si>
  <si>
    <t>R-01629</t>
  </si>
  <si>
    <t>R-01630</t>
  </si>
  <si>
    <t>R-01631</t>
  </si>
  <si>
    <t>R-01632</t>
  </si>
  <si>
    <t>R-01633</t>
  </si>
  <si>
    <t>R-01634</t>
  </si>
  <si>
    <t>R-01635</t>
  </si>
  <si>
    <t>R-01636</t>
  </si>
  <si>
    <t>R-01637</t>
  </si>
  <si>
    <t>R-01638</t>
  </si>
  <si>
    <t>R-01639</t>
  </si>
  <si>
    <t>R-01640</t>
  </si>
  <si>
    <t>R-01641</t>
  </si>
  <si>
    <t>R-01642</t>
  </si>
  <si>
    <t>R-01643</t>
  </si>
  <si>
    <t>R-01644</t>
  </si>
  <si>
    <t>R-01645</t>
  </si>
  <si>
    <t>R-01646</t>
  </si>
  <si>
    <t>R-01647</t>
  </si>
  <si>
    <t>R-01648</t>
  </si>
  <si>
    <t>R-01649</t>
  </si>
  <si>
    <t>R-01650</t>
  </si>
  <si>
    <t>R-01651</t>
  </si>
  <si>
    <t>R-01652</t>
  </si>
  <si>
    <t>R-01653</t>
  </si>
  <si>
    <t>R-01654</t>
  </si>
  <si>
    <t>R-01655</t>
  </si>
  <si>
    <t>R-01656</t>
  </si>
  <si>
    <t>R-01657</t>
  </si>
  <si>
    <t>R-01658</t>
  </si>
  <si>
    <t>R-01659</t>
  </si>
  <si>
    <t>R-01660</t>
  </si>
  <si>
    <t>R-01661</t>
  </si>
  <si>
    <t>R-01662</t>
  </si>
  <si>
    <t>R-01663</t>
  </si>
  <si>
    <t>R-01664</t>
  </si>
  <si>
    <t>R-01665</t>
  </si>
  <si>
    <t>R-01666</t>
  </si>
  <si>
    <t>R-01667</t>
  </si>
  <si>
    <t>R-01668</t>
  </si>
  <si>
    <t>R-01669</t>
  </si>
  <si>
    <t>R-01670</t>
  </si>
  <si>
    <t>R-01671</t>
  </si>
  <si>
    <t>R-01672</t>
  </si>
  <si>
    <t>R-01673</t>
  </si>
  <si>
    <t>R-01674</t>
  </si>
  <si>
    <t>R-01675</t>
  </si>
  <si>
    <t>R-01676</t>
  </si>
  <si>
    <t>R-01677</t>
  </si>
  <si>
    <t>R-01678</t>
  </si>
  <si>
    <t>R-01679</t>
  </si>
  <si>
    <t>R-01680</t>
  </si>
  <si>
    <t>R-01681</t>
  </si>
  <si>
    <t>R-01682</t>
  </si>
  <si>
    <t>R-01683</t>
  </si>
  <si>
    <t>R-01684</t>
  </si>
  <si>
    <t>R-01685</t>
  </si>
  <si>
    <t>R-01686</t>
  </si>
  <si>
    <t>R-01687</t>
  </si>
  <si>
    <t>R-01688</t>
  </si>
  <si>
    <t>R-01689</t>
  </si>
  <si>
    <t>R-01690</t>
  </si>
  <si>
    <t>R-01691</t>
  </si>
  <si>
    <t>R-01692</t>
  </si>
  <si>
    <t>R-01693</t>
  </si>
  <si>
    <t>R-01694</t>
  </si>
  <si>
    <t>R-01695</t>
  </si>
  <si>
    <t>R-01696</t>
  </si>
  <si>
    <t>R-01697</t>
  </si>
  <si>
    <t>R-01698</t>
  </si>
  <si>
    <t>R-01699</t>
  </si>
  <si>
    <t>R-01700</t>
  </si>
  <si>
    <t>R-01701</t>
  </si>
  <si>
    <t>R-01702</t>
  </si>
  <si>
    <t>R-01703</t>
  </si>
  <si>
    <t>R-01704</t>
  </si>
  <si>
    <t>R-01705</t>
  </si>
  <si>
    <t>R-01706</t>
  </si>
  <si>
    <t>R-01707</t>
  </si>
  <si>
    <t>R-01708</t>
  </si>
  <si>
    <t>R-01709</t>
  </si>
  <si>
    <t>R-01710</t>
  </si>
  <si>
    <t>R-01711</t>
  </si>
  <si>
    <t>R-01712</t>
  </si>
  <si>
    <t>R-01713</t>
  </si>
  <si>
    <t>R-01714</t>
  </si>
  <si>
    <t>R-01715</t>
  </si>
  <si>
    <t>R-01716</t>
  </si>
  <si>
    <t>R-01717</t>
  </si>
  <si>
    <t>R-01718</t>
  </si>
  <si>
    <t>R-01719</t>
  </si>
  <si>
    <t>R-01720</t>
  </si>
  <si>
    <t>R-01721</t>
  </si>
  <si>
    <t>R-01722</t>
  </si>
  <si>
    <t>R-01723</t>
  </si>
  <si>
    <t>R-01724</t>
  </si>
  <si>
    <t>R-01725</t>
  </si>
  <si>
    <t>R-01726</t>
  </si>
  <si>
    <t>R-01727</t>
  </si>
  <si>
    <t>R-01728</t>
  </si>
  <si>
    <t>R-01729</t>
  </si>
  <si>
    <t>R-01730</t>
  </si>
  <si>
    <t>R-01731</t>
  </si>
  <si>
    <t>R-01732</t>
  </si>
  <si>
    <t>R-01733</t>
  </si>
  <si>
    <t>R-01734</t>
  </si>
  <si>
    <t>R-01735</t>
  </si>
  <si>
    <t>R-01736</t>
  </si>
  <si>
    <t>R-01737</t>
  </si>
  <si>
    <t>R-01738</t>
  </si>
  <si>
    <t>R-01739</t>
  </si>
  <si>
    <t>R-01740</t>
  </si>
  <si>
    <t>R-01741</t>
  </si>
  <si>
    <t>R-01742</t>
  </si>
  <si>
    <t>R-01743</t>
  </si>
  <si>
    <t>R-01744</t>
  </si>
  <si>
    <t>R-01745</t>
  </si>
  <si>
    <t>R-01746</t>
  </si>
  <si>
    <t>R-01747</t>
  </si>
  <si>
    <t>R-01748</t>
  </si>
  <si>
    <t>R-01749</t>
  </si>
  <si>
    <t>R-01750</t>
  </si>
  <si>
    <t>R-01751</t>
  </si>
  <si>
    <t>R-01752</t>
  </si>
  <si>
    <t>R-01753</t>
  </si>
  <si>
    <t>R-01754</t>
  </si>
  <si>
    <t>R-01755</t>
  </si>
  <si>
    <t>R-01756</t>
  </si>
  <si>
    <t>R-01757</t>
  </si>
  <si>
    <t>R-01758</t>
  </si>
  <si>
    <t>R-01759</t>
  </si>
  <si>
    <t>R-01760</t>
  </si>
  <si>
    <t>R-01761</t>
  </si>
  <si>
    <t>R-01762</t>
  </si>
  <si>
    <t>R-01763</t>
  </si>
  <si>
    <t>R-01764</t>
  </si>
  <si>
    <t>R-01765</t>
  </si>
  <si>
    <t>R-01766</t>
  </si>
  <si>
    <t>R-01767</t>
  </si>
  <si>
    <t>R-01768</t>
  </si>
  <si>
    <t>R-01769</t>
  </si>
  <si>
    <t>R-01770</t>
  </si>
  <si>
    <t>R-01771</t>
  </si>
  <si>
    <t>R-01772</t>
  </si>
  <si>
    <t>R-01773</t>
  </si>
  <si>
    <t>R-01774</t>
  </si>
  <si>
    <t>R-01775</t>
  </si>
  <si>
    <t>R-01776</t>
  </si>
  <si>
    <t>R-01777</t>
  </si>
  <si>
    <t>R-01778</t>
  </si>
  <si>
    <t>R-01779</t>
  </si>
  <si>
    <t>R-01780</t>
  </si>
  <si>
    <t>R-01781</t>
  </si>
  <si>
    <t>R-01782</t>
  </si>
  <si>
    <t>R-01783</t>
  </si>
  <si>
    <t>R-01784</t>
  </si>
  <si>
    <t>R-01785</t>
  </si>
  <si>
    <t>R-01786</t>
  </si>
  <si>
    <t>R-01787</t>
  </si>
  <si>
    <t>R-01788</t>
  </si>
  <si>
    <t>R-01789</t>
  </si>
  <si>
    <t>R-01790</t>
  </si>
  <si>
    <t>R-01791</t>
  </si>
  <si>
    <t>R-01792</t>
  </si>
  <si>
    <t>R-01793</t>
  </si>
  <si>
    <t>R-01794</t>
  </si>
  <si>
    <t>R-01795</t>
  </si>
  <si>
    <t>R-01796</t>
  </si>
  <si>
    <t>R-01797</t>
  </si>
  <si>
    <t>R-01798</t>
  </si>
  <si>
    <t>R-01799</t>
  </si>
  <si>
    <t>R-01800</t>
  </si>
  <si>
    <t>Trial ID</t>
  </si>
  <si>
    <t>Rank</t>
  </si>
  <si>
    <t>Suitability Score</t>
  </si>
  <si>
    <t>High-Risk Record Count</t>
  </si>
  <si>
    <t>Overall Risk Level</t>
  </si>
  <si>
    <t>Recommendation</t>
  </si>
  <si>
    <t>London Metabolic Health Center</t>
  </si>
  <si>
    <t>Munich Diabetes &amp; Endocrine Institute</t>
  </si>
  <si>
    <t>Mombasa Endocrine Care Hospital</t>
  </si>
  <si>
    <t>Surabaya Diabetes &amp; Endocrine Institute</t>
  </si>
  <si>
    <t>Bogota Diabetes &amp; Endocrine Institute</t>
  </si>
  <si>
    <t>Chittagong Metabolic Health Center</t>
  </si>
  <si>
    <t>Karachi Diabetes &amp; Endocrine Institute</t>
  </si>
  <si>
    <t>Ho Chi Minh City Oncology Institute</t>
  </si>
  <si>
    <t>Manchester Cancer Center</t>
  </si>
  <si>
    <t>Abuja Cancer Center</t>
  </si>
  <si>
    <t>Porto Alegre Tumor Care Hospital</t>
  </si>
  <si>
    <t>Lahore Tumor Care Hospital</t>
  </si>
  <si>
    <t>Dubai Cancer Center</t>
  </si>
  <si>
    <t>Johannesburg Cancer Center</t>
  </si>
  <si>
    <t>Hanoi Tumor Care Hospital</t>
  </si>
  <si>
    <t>Delhi Tumor Care Hospital</t>
  </si>
  <si>
    <t>Jakarta Heart &amp; Vascular Institute</t>
  </si>
  <si>
    <t>Karachi Cardiology Center</t>
  </si>
  <si>
    <t>Hanoi Cardiology Center</t>
  </si>
  <si>
    <t>Krakow Cardiac Care Hospital</t>
  </si>
  <si>
    <t>Cairo Heart &amp; Vascular Institute</t>
  </si>
  <si>
    <t>Dubai Heart &amp; Vascular Institute</t>
  </si>
  <si>
    <t>Manila Cardiac Care Hospital</t>
  </si>
  <si>
    <t>Delhi Cardiology Center</t>
  </si>
  <si>
    <t>Lucknow Heart &amp; Vascular Institute</t>
  </si>
  <si>
    <t>Tokyo Neurology Hospital</t>
  </si>
  <si>
    <t>Ho Chi Minh City Memory &amp; Brain Health Center</t>
  </si>
  <si>
    <t>Ankara Neurology Hospital</t>
  </si>
  <si>
    <t>London Neuroscience Institute</t>
  </si>
  <si>
    <t>Abu Dhabi Neurology Hospital</t>
  </si>
  <si>
    <t>Osaka Neuroscience Institute</t>
  </si>
  <si>
    <t>Cairo Neurology Hospital</t>
  </si>
  <si>
    <t>Curitiba Memory &amp; Brain Health Center</t>
  </si>
  <si>
    <t>Jakarta Global Health Institute</t>
  </si>
  <si>
    <t>Madurai Infectious Disease Clinic</t>
  </si>
  <si>
    <t>Cebu Infectious Disease Clinic</t>
  </si>
  <si>
    <t>Manchester Global Health Institute</t>
  </si>
  <si>
    <t>Bogota Global Health Institute</t>
  </si>
  <si>
    <t>Chandigarh Immunology Center</t>
  </si>
  <si>
    <t>Porto Alegre Immunology Center</t>
  </si>
  <si>
    <t>Ankara Global Health Institute</t>
  </si>
  <si>
    <t>London Immunology Center</t>
  </si>
  <si>
    <t>Mexico City Respiratory Care Center</t>
  </si>
  <si>
    <t>Cairo Lung Health Hospital</t>
  </si>
  <si>
    <t>Melbourne Pulmonology Institute</t>
  </si>
  <si>
    <t>Wroclaw Pulmonology Institute</t>
  </si>
  <si>
    <t>Surabaya Pulmonology Institute</t>
  </si>
  <si>
    <t>Munich Respiratory Care Center</t>
  </si>
  <si>
    <t>Dhaka Pulmonology Institute</t>
  </si>
  <si>
    <t>Seoul Respiratory Care Center</t>
  </si>
  <si>
    <t>Hanoi Pulmonology Institute</t>
  </si>
  <si>
    <t>Bogota Lung Health Hospital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</si>
</sst>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>
    <font>
      <sz val="11"/>
      <color theme="1"/>
      <name val="Calibri"/>
      <family val="2"/>
      <charset val="1"/>
    </font>
    <font>
      <b/>
      <sz val="16"/>
      <color rgb="FF3B5BFD"/>
      <name val="Arial"/>
      <charset val="1"/>
    </font>
    <font>
      <sz val="11"/>
      <color rgb="FF5B6274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9"/>
      <color rgb="FF5B6274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3B5BFD"/>
        <bgColor rgb="FF0066CC"/>
      </patternFill>
    </fill>
    <fill>
      <patternFill patternType="solid">
        <fgColor rgb="FFF2F4FC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vertical="center" wrapText="1"/>
    </xf>
    <xf numFmtId="0" fontId="3" fillId="0" borderId="0" xfId="0" applyFont="1" applyAlignment="1">
      <alignment vertical="top" wrapText="1"/>
    </xf>
    <xf numFmtId="0" fontId="5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6" fillId="0" borderId="0" xfId="0" applyFont="1"/>
    <xf numFmtId="164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4F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B5BFD"/>
      <rgbColor rgb="FF33CCCC"/>
      <rgbColor rgb="FF99CC00"/>
      <rgbColor rgb="FFFFCC00"/>
      <rgbColor rgb="FFFF9900"/>
      <rgbColor rgb="FFFF6600"/>
      <rgbColor rgb="FF5B6274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bauP5NBo7EqaL3gMdT6K7A1UU3BrjT5Ipa19ScZ48k_mM5PvLiyJTYlk8uanV0YO" itemId="01QA42EWZXYR63AOSH2FBYKTCQ3A2EJ7FF"/>
    <sheetNames>
      <sheetName val="Risk_Matrix"/>
      <sheetName val="README"/>
      <sheetName val="Trial_Requirements"/>
      <sheetName val="Region_Data"/>
      <sheetName val="Candidate_Sites"/>
      <sheetName val="Site_Evaluation"/>
      <sheetName val="Risk_Register"/>
      <sheetName val="Site_Ranking"/>
    </sheetNames>
    <sheetDataSet>
      <sheetData sheetId="0">
        <row r="1">
          <cell r="B1" t="str">
            <v>Low</v>
          </cell>
          <cell r="C1" t="str">
            <v>Medium</v>
          </cell>
          <cell r="D1" t="str">
            <v>High</v>
          </cell>
        </row>
        <row r="2">
          <cell r="A2" t="str">
            <v>Low</v>
          </cell>
          <cell r="B2" t="str">
            <v>Low</v>
          </cell>
          <cell r="C2" t="str">
            <v>Low</v>
          </cell>
          <cell r="D2" t="str">
            <v>Medium</v>
          </cell>
        </row>
        <row r="3">
          <cell r="A3" t="str">
            <v>Medium</v>
          </cell>
          <cell r="B3" t="str">
            <v>Low</v>
          </cell>
          <cell r="C3" t="str">
            <v>Medium</v>
          </cell>
          <cell r="D3" t="str">
            <v>High</v>
          </cell>
        </row>
        <row r="4">
          <cell r="A4" t="str">
            <v>High</v>
          </cell>
          <cell r="B4" t="str">
            <v>Medium</v>
          </cell>
          <cell r="C4" t="str">
            <v>High</v>
          </cell>
          <cell r="D4" t="str">
            <v>High</v>
          </cell>
        </row>
      </sheetData>
      <sheetData sheetId="1"/>
      <sheetData sheetId="2"/>
      <sheetData sheetId="3"/>
      <sheetData sheetId="4"/>
      <sheetData sheetId="5">
        <row r="1">
          <cell r="A1" t="str">
            <v>Site ID</v>
          </cell>
          <cell r="K1" t="str">
            <v>Suitability Score (0-100)</v>
          </cell>
        </row>
        <row r="2">
          <cell r="A2" t="str">
            <v>S-0001</v>
          </cell>
          <cell r="K2">
            <v>49</v>
          </cell>
        </row>
        <row r="3">
          <cell r="A3" t="str">
            <v>S-0002</v>
          </cell>
          <cell r="K3">
            <v>55</v>
          </cell>
        </row>
        <row r="4">
          <cell r="A4" t="str">
            <v>S-0003</v>
          </cell>
          <cell r="K4">
            <v>56</v>
          </cell>
        </row>
        <row r="5">
          <cell r="A5" t="str">
            <v>S-0004</v>
          </cell>
          <cell r="K5">
            <v>53</v>
          </cell>
        </row>
        <row r="6">
          <cell r="A6" t="str">
            <v>S-0005</v>
          </cell>
          <cell r="K6">
            <v>50</v>
          </cell>
        </row>
        <row r="7">
          <cell r="A7" t="str">
            <v>S-0006</v>
          </cell>
          <cell r="K7">
            <v>62</v>
          </cell>
        </row>
        <row r="8">
          <cell r="A8" t="str">
            <v>S-0007</v>
          </cell>
          <cell r="K8">
            <v>41</v>
          </cell>
        </row>
        <row r="9">
          <cell r="A9" t="str">
            <v>S-0008</v>
          </cell>
          <cell r="K9">
            <v>39</v>
          </cell>
        </row>
        <row r="10">
          <cell r="A10" t="str">
            <v>S-0009</v>
          </cell>
          <cell r="K10">
            <v>59</v>
          </cell>
        </row>
        <row r="11">
          <cell r="A11" t="str">
            <v>S-0010</v>
          </cell>
          <cell r="K11">
            <v>60</v>
          </cell>
        </row>
        <row r="12">
          <cell r="A12" t="str">
            <v>S-0011</v>
          </cell>
          <cell r="K12">
            <v>49</v>
          </cell>
        </row>
        <row r="13">
          <cell r="A13" t="str">
            <v>S-0012</v>
          </cell>
          <cell r="K13">
            <v>66</v>
          </cell>
        </row>
        <row r="14">
          <cell r="A14" t="str">
            <v>S-0013</v>
          </cell>
          <cell r="K14">
            <v>58</v>
          </cell>
        </row>
        <row r="15">
          <cell r="A15" t="str">
            <v>S-0014</v>
          </cell>
          <cell r="K15">
            <v>54</v>
          </cell>
        </row>
        <row r="16">
          <cell r="A16" t="str">
            <v>S-0015</v>
          </cell>
          <cell r="K16">
            <v>60</v>
          </cell>
        </row>
        <row r="17">
          <cell r="A17" t="str">
            <v>S-0016</v>
          </cell>
          <cell r="K17">
            <v>53</v>
          </cell>
        </row>
        <row r="18">
          <cell r="A18" t="str">
            <v>S-0017</v>
          </cell>
          <cell r="K18">
            <v>69</v>
          </cell>
        </row>
        <row r="19">
          <cell r="A19" t="str">
            <v>S-0018</v>
          </cell>
          <cell r="K19">
            <v>56</v>
          </cell>
        </row>
        <row r="20">
          <cell r="A20" t="str">
            <v>S-0019</v>
          </cell>
          <cell r="K20">
            <v>50</v>
          </cell>
        </row>
        <row r="21">
          <cell r="A21" t="str">
            <v>S-0020</v>
          </cell>
          <cell r="K21">
            <v>63</v>
          </cell>
        </row>
        <row r="22">
          <cell r="A22" t="str">
            <v>S-0021</v>
          </cell>
          <cell r="K22">
            <v>50</v>
          </cell>
        </row>
        <row r="23">
          <cell r="A23" t="str">
            <v>S-0022</v>
          </cell>
          <cell r="K23">
            <v>56</v>
          </cell>
        </row>
        <row r="24">
          <cell r="A24" t="str">
            <v>S-0023</v>
          </cell>
          <cell r="K24">
            <v>60</v>
          </cell>
        </row>
        <row r="25">
          <cell r="A25" t="str">
            <v>S-0024</v>
          </cell>
          <cell r="K25">
            <v>54</v>
          </cell>
        </row>
        <row r="26">
          <cell r="A26" t="str">
            <v>S-0025</v>
          </cell>
          <cell r="K26">
            <v>45</v>
          </cell>
        </row>
        <row r="27">
          <cell r="A27" t="str">
            <v>S-0026</v>
          </cell>
          <cell r="K27">
            <v>68</v>
          </cell>
        </row>
        <row r="28">
          <cell r="A28" t="str">
            <v>S-0027</v>
          </cell>
          <cell r="K28">
            <v>82</v>
          </cell>
        </row>
        <row r="29">
          <cell r="A29" t="str">
            <v>S-0028</v>
          </cell>
          <cell r="K29">
            <v>63</v>
          </cell>
        </row>
        <row r="30">
          <cell r="A30" t="str">
            <v>S-0029</v>
          </cell>
          <cell r="K30">
            <v>49</v>
          </cell>
        </row>
        <row r="31">
          <cell r="A31" t="str">
            <v>S-0030</v>
          </cell>
          <cell r="K31">
            <v>58</v>
          </cell>
        </row>
        <row r="32">
          <cell r="A32" t="str">
            <v>S-0031</v>
          </cell>
          <cell r="K32">
            <v>41</v>
          </cell>
        </row>
        <row r="33">
          <cell r="A33" t="str">
            <v>S-0032</v>
          </cell>
          <cell r="K33">
            <v>66</v>
          </cell>
        </row>
        <row r="34">
          <cell r="A34" t="str">
            <v>S-0033</v>
          </cell>
          <cell r="K34">
            <v>65</v>
          </cell>
        </row>
        <row r="35">
          <cell r="A35" t="str">
            <v>S-0034</v>
          </cell>
          <cell r="K35">
            <v>68</v>
          </cell>
        </row>
        <row r="36">
          <cell r="A36" t="str">
            <v>S-0035</v>
          </cell>
          <cell r="K36">
            <v>63</v>
          </cell>
        </row>
        <row r="37">
          <cell r="A37" t="str">
            <v>S-0036</v>
          </cell>
          <cell r="K37">
            <v>41</v>
          </cell>
        </row>
        <row r="38">
          <cell r="A38" t="str">
            <v>S-0037</v>
          </cell>
          <cell r="K38">
            <v>47</v>
          </cell>
        </row>
        <row r="39">
          <cell r="A39" t="str">
            <v>S-0038</v>
          </cell>
          <cell r="K39">
            <v>56</v>
          </cell>
        </row>
        <row r="40">
          <cell r="A40" t="str">
            <v>S-0039</v>
          </cell>
          <cell r="K40">
            <v>42</v>
          </cell>
        </row>
        <row r="41">
          <cell r="A41" t="str">
            <v>S-0040</v>
          </cell>
          <cell r="K41">
            <v>55</v>
          </cell>
        </row>
        <row r="42">
          <cell r="A42" t="str">
            <v>S-0041</v>
          </cell>
          <cell r="K42">
            <v>65</v>
          </cell>
        </row>
        <row r="43">
          <cell r="A43" t="str">
            <v>S-0042</v>
          </cell>
          <cell r="K43">
            <v>48</v>
          </cell>
        </row>
        <row r="44">
          <cell r="A44" t="str">
            <v>S-0043</v>
          </cell>
          <cell r="K44">
            <v>59</v>
          </cell>
        </row>
        <row r="45">
          <cell r="A45" t="str">
            <v>S-0044</v>
          </cell>
          <cell r="K45">
            <v>56</v>
          </cell>
        </row>
        <row r="46">
          <cell r="A46" t="str">
            <v>S-0045</v>
          </cell>
          <cell r="K46">
            <v>59</v>
          </cell>
        </row>
        <row r="47">
          <cell r="A47" t="str">
            <v>S-0046</v>
          </cell>
          <cell r="K47">
            <v>49</v>
          </cell>
        </row>
        <row r="48">
          <cell r="A48" t="str">
            <v>S-0047</v>
          </cell>
          <cell r="K48">
            <v>57</v>
          </cell>
        </row>
        <row r="49">
          <cell r="A49" t="str">
            <v>S-0048</v>
          </cell>
          <cell r="K49">
            <v>47</v>
          </cell>
        </row>
        <row r="50">
          <cell r="A50" t="str">
            <v>S-0049</v>
          </cell>
          <cell r="K50">
            <v>49</v>
          </cell>
        </row>
        <row r="51">
          <cell r="A51" t="str">
            <v>S-0050</v>
          </cell>
          <cell r="K51">
            <v>48</v>
          </cell>
        </row>
        <row r="52">
          <cell r="A52" t="str">
            <v>S-0051</v>
          </cell>
          <cell r="K52">
            <v>63</v>
          </cell>
        </row>
        <row r="53">
          <cell r="A53" t="str">
            <v>S-0052</v>
          </cell>
          <cell r="K53">
            <v>51</v>
          </cell>
        </row>
        <row r="54">
          <cell r="A54" t="str">
            <v>S-0053</v>
          </cell>
          <cell r="K54">
            <v>68</v>
          </cell>
        </row>
        <row r="55">
          <cell r="A55" t="str">
            <v>S-0054</v>
          </cell>
          <cell r="K55">
            <v>44</v>
          </cell>
        </row>
        <row r="56">
          <cell r="A56" t="str">
            <v>S-0055</v>
          </cell>
          <cell r="K56">
            <v>51</v>
          </cell>
        </row>
        <row r="57">
          <cell r="A57" t="str">
            <v>S-0056</v>
          </cell>
          <cell r="K57">
            <v>42</v>
          </cell>
        </row>
        <row r="58">
          <cell r="A58" t="str">
            <v>S-0057</v>
          </cell>
          <cell r="K58">
            <v>50</v>
          </cell>
        </row>
        <row r="59">
          <cell r="A59" t="str">
            <v>S-0058</v>
          </cell>
          <cell r="K59">
            <v>65</v>
          </cell>
        </row>
        <row r="60">
          <cell r="A60" t="str">
            <v>S-0059</v>
          </cell>
          <cell r="K60">
            <v>63</v>
          </cell>
        </row>
        <row r="61">
          <cell r="A61" t="str">
            <v>S-0060</v>
          </cell>
          <cell r="K61">
            <v>78</v>
          </cell>
        </row>
        <row r="62">
          <cell r="A62" t="str">
            <v>S-0061</v>
          </cell>
          <cell r="K62">
            <v>46</v>
          </cell>
        </row>
        <row r="63">
          <cell r="A63" t="str">
            <v>S-0062</v>
          </cell>
          <cell r="K63">
            <v>37</v>
          </cell>
        </row>
        <row r="64">
          <cell r="A64" t="str">
            <v>S-0063</v>
          </cell>
          <cell r="K64">
            <v>67</v>
          </cell>
        </row>
        <row r="65">
          <cell r="A65" t="str">
            <v>S-0064</v>
          </cell>
          <cell r="K65">
            <v>39</v>
          </cell>
        </row>
        <row r="66">
          <cell r="A66" t="str">
            <v>S-0065</v>
          </cell>
          <cell r="K66">
            <v>44</v>
          </cell>
        </row>
        <row r="67">
          <cell r="A67" t="str">
            <v>S-0066</v>
          </cell>
          <cell r="K67">
            <v>58</v>
          </cell>
        </row>
        <row r="68">
          <cell r="A68" t="str">
            <v>S-0067</v>
          </cell>
          <cell r="K68">
            <v>69</v>
          </cell>
        </row>
        <row r="69">
          <cell r="A69" t="str">
            <v>S-0068</v>
          </cell>
          <cell r="K69">
            <v>57</v>
          </cell>
        </row>
        <row r="70">
          <cell r="A70" t="str">
            <v>S-0069</v>
          </cell>
          <cell r="K70">
            <v>46</v>
          </cell>
        </row>
        <row r="71">
          <cell r="A71" t="str">
            <v>S-0070</v>
          </cell>
          <cell r="K71">
            <v>55</v>
          </cell>
        </row>
        <row r="72">
          <cell r="A72" t="str">
            <v>S-0071</v>
          </cell>
          <cell r="K72">
            <v>59</v>
          </cell>
        </row>
        <row r="73">
          <cell r="A73" t="str">
            <v>S-0072</v>
          </cell>
          <cell r="K73">
            <v>39</v>
          </cell>
        </row>
        <row r="74">
          <cell r="A74" t="str">
            <v>S-0073</v>
          </cell>
          <cell r="K74">
            <v>61</v>
          </cell>
        </row>
        <row r="75">
          <cell r="A75" t="str">
            <v>S-0074</v>
          </cell>
          <cell r="K75">
            <v>65</v>
          </cell>
        </row>
        <row r="76">
          <cell r="A76" t="str">
            <v>S-0075</v>
          </cell>
          <cell r="K76">
            <v>65</v>
          </cell>
        </row>
        <row r="77">
          <cell r="A77" t="str">
            <v>S-0076</v>
          </cell>
          <cell r="K77">
            <v>58</v>
          </cell>
        </row>
        <row r="78">
          <cell r="A78" t="str">
            <v>S-0077</v>
          </cell>
          <cell r="K78">
            <v>68</v>
          </cell>
        </row>
        <row r="79">
          <cell r="A79" t="str">
            <v>S-0078</v>
          </cell>
          <cell r="K79">
            <v>49</v>
          </cell>
        </row>
        <row r="80">
          <cell r="A80" t="str">
            <v>S-0079</v>
          </cell>
          <cell r="K80">
            <v>48</v>
          </cell>
        </row>
        <row r="81">
          <cell r="A81" t="str">
            <v>S-0080</v>
          </cell>
          <cell r="K81">
            <v>51</v>
          </cell>
        </row>
        <row r="82">
          <cell r="A82" t="str">
            <v>S-0081</v>
          </cell>
          <cell r="K82">
            <v>58</v>
          </cell>
        </row>
        <row r="83">
          <cell r="A83" t="str">
            <v>S-0082</v>
          </cell>
          <cell r="K83">
            <v>61</v>
          </cell>
        </row>
        <row r="84">
          <cell r="A84" t="str">
            <v>S-0083</v>
          </cell>
          <cell r="K84">
            <v>69</v>
          </cell>
        </row>
        <row r="85">
          <cell r="A85" t="str">
            <v>S-0084</v>
          </cell>
          <cell r="K85">
            <v>63</v>
          </cell>
        </row>
        <row r="86">
          <cell r="A86" t="str">
            <v>S-0085</v>
          </cell>
          <cell r="K86">
            <v>59</v>
          </cell>
        </row>
        <row r="87">
          <cell r="A87" t="str">
            <v>S-0086</v>
          </cell>
          <cell r="K87">
            <v>45</v>
          </cell>
        </row>
        <row r="88">
          <cell r="A88" t="str">
            <v>S-0087</v>
          </cell>
          <cell r="K88">
            <v>49</v>
          </cell>
        </row>
        <row r="89">
          <cell r="A89" t="str">
            <v>S-0088</v>
          </cell>
          <cell r="K89">
            <v>40</v>
          </cell>
        </row>
        <row r="90">
          <cell r="A90" t="str">
            <v>S-0089</v>
          </cell>
          <cell r="K90">
            <v>60</v>
          </cell>
        </row>
        <row r="91">
          <cell r="A91" t="str">
            <v>S-0090</v>
          </cell>
          <cell r="K91">
            <v>59</v>
          </cell>
        </row>
        <row r="92">
          <cell r="A92" t="str">
            <v>S-0091</v>
          </cell>
          <cell r="K92">
            <v>49</v>
          </cell>
        </row>
        <row r="93">
          <cell r="A93" t="str">
            <v>S-0092</v>
          </cell>
          <cell r="K93">
            <v>76</v>
          </cell>
        </row>
        <row r="94">
          <cell r="A94" t="str">
            <v>S-0093</v>
          </cell>
          <cell r="K94">
            <v>54</v>
          </cell>
        </row>
        <row r="95">
          <cell r="A95" t="str">
            <v>S-0094</v>
          </cell>
          <cell r="K95">
            <v>68</v>
          </cell>
        </row>
        <row r="96">
          <cell r="A96" t="str">
            <v>S-0095</v>
          </cell>
          <cell r="K96">
            <v>48</v>
          </cell>
        </row>
        <row r="97">
          <cell r="A97" t="str">
            <v>S-0096</v>
          </cell>
          <cell r="K97">
            <v>36</v>
          </cell>
        </row>
        <row r="98">
          <cell r="A98" t="str">
            <v>S-0097</v>
          </cell>
          <cell r="K98">
            <v>59</v>
          </cell>
        </row>
        <row r="99">
          <cell r="A99" t="str">
            <v>S-0098</v>
          </cell>
          <cell r="K99">
            <v>72</v>
          </cell>
        </row>
        <row r="100">
          <cell r="A100" t="str">
            <v>S-0099</v>
          </cell>
          <cell r="K100">
            <v>54</v>
          </cell>
        </row>
        <row r="101">
          <cell r="A101" t="str">
            <v>S-0100</v>
          </cell>
          <cell r="K101">
            <v>76</v>
          </cell>
        </row>
        <row r="102">
          <cell r="A102" t="str">
            <v>S-0101</v>
          </cell>
          <cell r="K102">
            <v>62</v>
          </cell>
        </row>
        <row r="103">
          <cell r="A103" t="str">
            <v>S-0102</v>
          </cell>
          <cell r="K103">
            <v>70</v>
          </cell>
        </row>
        <row r="104">
          <cell r="A104" t="str">
            <v>S-0103</v>
          </cell>
          <cell r="K104">
            <v>79</v>
          </cell>
        </row>
        <row r="105">
          <cell r="A105" t="str">
            <v>S-0104</v>
          </cell>
          <cell r="K105">
            <v>58</v>
          </cell>
        </row>
        <row r="106">
          <cell r="A106" t="str">
            <v>S-0105</v>
          </cell>
          <cell r="K106">
            <v>63</v>
          </cell>
        </row>
        <row r="107">
          <cell r="A107" t="str">
            <v>S-0106</v>
          </cell>
          <cell r="K107">
            <v>58</v>
          </cell>
        </row>
        <row r="108">
          <cell r="A108" t="str">
            <v>S-0107</v>
          </cell>
          <cell r="K108">
            <v>53</v>
          </cell>
        </row>
        <row r="109">
          <cell r="A109" t="str">
            <v>S-0108</v>
          </cell>
          <cell r="K109">
            <v>56</v>
          </cell>
        </row>
        <row r="110">
          <cell r="A110" t="str">
            <v>S-0109</v>
          </cell>
          <cell r="K110">
            <v>51</v>
          </cell>
        </row>
        <row r="111">
          <cell r="A111" t="str">
            <v>S-0110</v>
          </cell>
          <cell r="K111">
            <v>65</v>
          </cell>
        </row>
        <row r="112">
          <cell r="A112" t="str">
            <v>S-0111</v>
          </cell>
          <cell r="K112">
            <v>56</v>
          </cell>
        </row>
        <row r="113">
          <cell r="A113" t="str">
            <v>S-0112</v>
          </cell>
          <cell r="K113">
            <v>55</v>
          </cell>
        </row>
        <row r="114">
          <cell r="A114" t="str">
            <v>S-0113</v>
          </cell>
          <cell r="K114">
            <v>51</v>
          </cell>
        </row>
        <row r="115">
          <cell r="A115" t="str">
            <v>S-0114</v>
          </cell>
          <cell r="K115">
            <v>52</v>
          </cell>
        </row>
        <row r="116">
          <cell r="A116" t="str">
            <v>S-0115</v>
          </cell>
          <cell r="K116">
            <v>56</v>
          </cell>
        </row>
        <row r="117">
          <cell r="A117" t="str">
            <v>S-0116</v>
          </cell>
          <cell r="K117">
            <v>65</v>
          </cell>
        </row>
        <row r="118">
          <cell r="A118" t="str">
            <v>S-0117</v>
          </cell>
          <cell r="K118">
            <v>65</v>
          </cell>
        </row>
        <row r="119">
          <cell r="A119" t="str">
            <v>S-0118</v>
          </cell>
          <cell r="K119">
            <v>51</v>
          </cell>
        </row>
        <row r="120">
          <cell r="A120" t="str">
            <v>S-0119</v>
          </cell>
          <cell r="K120">
            <v>49</v>
          </cell>
        </row>
        <row r="121">
          <cell r="A121" t="str">
            <v>S-0120</v>
          </cell>
          <cell r="K121">
            <v>80</v>
          </cell>
        </row>
        <row r="122">
          <cell r="A122" t="str">
            <v>S-0121</v>
          </cell>
          <cell r="K122">
            <v>55</v>
          </cell>
        </row>
        <row r="123">
          <cell r="A123" t="str">
            <v>S-0122</v>
          </cell>
          <cell r="K123">
            <v>56</v>
          </cell>
        </row>
        <row r="124">
          <cell r="A124" t="str">
            <v>S-0123</v>
          </cell>
          <cell r="K124">
            <v>65</v>
          </cell>
        </row>
        <row r="125">
          <cell r="A125" t="str">
            <v>S-0124</v>
          </cell>
          <cell r="K125">
            <v>58</v>
          </cell>
        </row>
        <row r="126">
          <cell r="A126" t="str">
            <v>S-0125</v>
          </cell>
          <cell r="K126">
            <v>33</v>
          </cell>
        </row>
        <row r="127">
          <cell r="A127" t="str">
            <v>S-0126</v>
          </cell>
          <cell r="K127">
            <v>60</v>
          </cell>
        </row>
        <row r="128">
          <cell r="A128" t="str">
            <v>S-0127</v>
          </cell>
          <cell r="K128">
            <v>50</v>
          </cell>
        </row>
        <row r="129">
          <cell r="A129" t="str">
            <v>S-0128</v>
          </cell>
          <cell r="K129">
            <v>69</v>
          </cell>
        </row>
        <row r="130">
          <cell r="A130" t="str">
            <v>S-0129</v>
          </cell>
          <cell r="K130">
            <v>45</v>
          </cell>
        </row>
        <row r="131">
          <cell r="A131" t="str">
            <v>S-0130</v>
          </cell>
          <cell r="K131">
            <v>59</v>
          </cell>
        </row>
        <row r="132">
          <cell r="A132" t="str">
            <v>S-0131</v>
          </cell>
          <cell r="K132">
            <v>69</v>
          </cell>
        </row>
        <row r="133">
          <cell r="A133" t="str">
            <v>S-0132</v>
          </cell>
          <cell r="K133">
            <v>55</v>
          </cell>
        </row>
        <row r="134">
          <cell r="A134" t="str">
            <v>S-0133</v>
          </cell>
          <cell r="K134">
            <v>42</v>
          </cell>
        </row>
        <row r="135">
          <cell r="A135" t="str">
            <v>S-0134</v>
          </cell>
          <cell r="K135">
            <v>74</v>
          </cell>
        </row>
        <row r="136">
          <cell r="A136" t="str">
            <v>S-0135</v>
          </cell>
          <cell r="K136">
            <v>74</v>
          </cell>
        </row>
        <row r="137">
          <cell r="A137" t="str">
            <v>S-0136</v>
          </cell>
          <cell r="K137">
            <v>63</v>
          </cell>
        </row>
        <row r="138">
          <cell r="A138" t="str">
            <v>S-0137</v>
          </cell>
          <cell r="K138">
            <v>49</v>
          </cell>
        </row>
        <row r="139">
          <cell r="A139" t="str">
            <v>S-0138</v>
          </cell>
          <cell r="K139">
            <v>56</v>
          </cell>
        </row>
        <row r="140">
          <cell r="A140" t="str">
            <v>S-0139</v>
          </cell>
          <cell r="K140">
            <v>52</v>
          </cell>
        </row>
        <row r="141">
          <cell r="A141" t="str">
            <v>S-0140</v>
          </cell>
          <cell r="K141">
            <v>64</v>
          </cell>
        </row>
        <row r="142">
          <cell r="A142" t="str">
            <v>S-0141</v>
          </cell>
          <cell r="K142">
            <v>61</v>
          </cell>
        </row>
        <row r="143">
          <cell r="A143" t="str">
            <v>S-0142</v>
          </cell>
          <cell r="K143">
            <v>60</v>
          </cell>
        </row>
        <row r="144">
          <cell r="A144" t="str">
            <v>S-0143</v>
          </cell>
          <cell r="K144">
            <v>66</v>
          </cell>
        </row>
        <row r="145">
          <cell r="A145" t="str">
            <v>S-0144</v>
          </cell>
          <cell r="K145">
            <v>42</v>
          </cell>
        </row>
        <row r="146">
          <cell r="A146" t="str">
            <v>S-0145</v>
          </cell>
          <cell r="K146">
            <v>49</v>
          </cell>
        </row>
        <row r="147">
          <cell r="A147" t="str">
            <v>S-0146</v>
          </cell>
          <cell r="K147">
            <v>61</v>
          </cell>
        </row>
        <row r="148">
          <cell r="A148" t="str">
            <v>S-0147</v>
          </cell>
          <cell r="K148">
            <v>54</v>
          </cell>
        </row>
        <row r="149">
          <cell r="A149" t="str">
            <v>S-0148</v>
          </cell>
          <cell r="K149">
            <v>58</v>
          </cell>
        </row>
        <row r="150">
          <cell r="A150" t="str">
            <v>S-0149</v>
          </cell>
          <cell r="K150">
            <v>25</v>
          </cell>
        </row>
        <row r="151">
          <cell r="A151" t="str">
            <v>S-0150</v>
          </cell>
          <cell r="K151">
            <v>55</v>
          </cell>
        </row>
        <row r="152">
          <cell r="A152" t="str">
            <v>S-0151</v>
          </cell>
          <cell r="K152">
            <v>53</v>
          </cell>
        </row>
        <row r="153">
          <cell r="A153" t="str">
            <v>S-0152</v>
          </cell>
          <cell r="K153">
            <v>51</v>
          </cell>
        </row>
        <row r="154">
          <cell r="A154" t="str">
            <v>S-0153</v>
          </cell>
          <cell r="K154">
            <v>42</v>
          </cell>
        </row>
        <row r="155">
          <cell r="A155" t="str">
            <v>S-0154</v>
          </cell>
          <cell r="K155">
            <v>51</v>
          </cell>
        </row>
        <row r="156">
          <cell r="A156" t="str">
            <v>S-0155</v>
          </cell>
          <cell r="K156">
            <v>57</v>
          </cell>
        </row>
        <row r="157">
          <cell r="A157" t="str">
            <v>S-0156</v>
          </cell>
          <cell r="K157">
            <v>42</v>
          </cell>
        </row>
        <row r="158">
          <cell r="A158" t="str">
            <v>S-0157</v>
          </cell>
          <cell r="K158">
            <v>67</v>
          </cell>
        </row>
        <row r="159">
          <cell r="A159" t="str">
            <v>S-0158</v>
          </cell>
          <cell r="K159">
            <v>66</v>
          </cell>
        </row>
        <row r="160">
          <cell r="A160" t="str">
            <v>S-0159</v>
          </cell>
          <cell r="K160">
            <v>60</v>
          </cell>
        </row>
        <row r="161">
          <cell r="A161" t="str">
            <v>S-0160</v>
          </cell>
          <cell r="K161">
            <v>52</v>
          </cell>
        </row>
        <row r="162">
          <cell r="A162" t="str">
            <v>S-0161</v>
          </cell>
          <cell r="K162">
            <v>52</v>
          </cell>
        </row>
        <row r="163">
          <cell r="A163" t="str">
            <v>S-0162</v>
          </cell>
          <cell r="K163">
            <v>44</v>
          </cell>
        </row>
        <row r="164">
          <cell r="A164" t="str">
            <v>S-0163</v>
          </cell>
          <cell r="K164">
            <v>65</v>
          </cell>
        </row>
        <row r="165">
          <cell r="A165" t="str">
            <v>S-0164</v>
          </cell>
          <cell r="K165">
            <v>57</v>
          </cell>
        </row>
        <row r="166">
          <cell r="A166" t="str">
            <v>S-0165</v>
          </cell>
          <cell r="K166">
            <v>51</v>
          </cell>
        </row>
        <row r="167">
          <cell r="A167" t="str">
            <v>S-0166</v>
          </cell>
          <cell r="K167">
            <v>41</v>
          </cell>
        </row>
        <row r="168">
          <cell r="A168" t="str">
            <v>S-0167</v>
          </cell>
          <cell r="K168">
            <v>45</v>
          </cell>
        </row>
        <row r="169">
          <cell r="A169" t="str">
            <v>S-0168</v>
          </cell>
          <cell r="K169">
            <v>54</v>
          </cell>
        </row>
        <row r="170">
          <cell r="A170" t="str">
            <v>S-0169</v>
          </cell>
          <cell r="K170">
            <v>60</v>
          </cell>
        </row>
        <row r="171">
          <cell r="A171" t="str">
            <v>S-0170</v>
          </cell>
          <cell r="K171">
            <v>79</v>
          </cell>
        </row>
        <row r="172">
          <cell r="A172" t="str">
            <v>S-0171</v>
          </cell>
          <cell r="K172">
            <v>42</v>
          </cell>
        </row>
        <row r="173">
          <cell r="A173" t="str">
            <v>S-0172</v>
          </cell>
          <cell r="K173">
            <v>32</v>
          </cell>
        </row>
        <row r="174">
          <cell r="A174" t="str">
            <v>S-0173</v>
          </cell>
          <cell r="K174">
            <v>50</v>
          </cell>
        </row>
        <row r="175">
          <cell r="A175" t="str">
            <v>S-0174</v>
          </cell>
          <cell r="K175">
            <v>57</v>
          </cell>
        </row>
        <row r="176">
          <cell r="A176" t="str">
            <v>S-0175</v>
          </cell>
          <cell r="K176">
            <v>60</v>
          </cell>
        </row>
        <row r="177">
          <cell r="A177" t="str">
            <v>S-0176</v>
          </cell>
          <cell r="K177">
            <v>48</v>
          </cell>
        </row>
        <row r="178">
          <cell r="A178" t="str">
            <v>S-0177</v>
          </cell>
          <cell r="K178">
            <v>70</v>
          </cell>
        </row>
        <row r="179">
          <cell r="A179" t="str">
            <v>S-0178</v>
          </cell>
          <cell r="K179">
            <v>67</v>
          </cell>
        </row>
        <row r="180">
          <cell r="A180" t="str">
            <v>S-0179</v>
          </cell>
          <cell r="K180">
            <v>62</v>
          </cell>
        </row>
        <row r="181">
          <cell r="A181" t="str">
            <v>S-0180</v>
          </cell>
          <cell r="K181">
            <v>51</v>
          </cell>
        </row>
        <row r="182">
          <cell r="A182" t="str">
            <v>S-0181</v>
          </cell>
          <cell r="K182">
            <v>47</v>
          </cell>
        </row>
        <row r="183">
          <cell r="A183" t="str">
            <v>S-0182</v>
          </cell>
          <cell r="K183">
            <v>52</v>
          </cell>
        </row>
        <row r="184">
          <cell r="A184" t="str">
            <v>S-0183</v>
          </cell>
          <cell r="K184">
            <v>71</v>
          </cell>
        </row>
        <row r="185">
          <cell r="A185" t="str">
            <v>S-0184</v>
          </cell>
          <cell r="K185">
            <v>47</v>
          </cell>
        </row>
        <row r="186">
          <cell r="A186" t="str">
            <v>S-0185</v>
          </cell>
          <cell r="K186">
            <v>40</v>
          </cell>
        </row>
        <row r="187">
          <cell r="A187" t="str">
            <v>S-0186</v>
          </cell>
          <cell r="K187">
            <v>48</v>
          </cell>
        </row>
        <row r="188">
          <cell r="A188" t="str">
            <v>S-0187</v>
          </cell>
          <cell r="K188">
            <v>56</v>
          </cell>
        </row>
        <row r="189">
          <cell r="A189" t="str">
            <v>S-0188</v>
          </cell>
          <cell r="K189">
            <v>51</v>
          </cell>
        </row>
        <row r="190">
          <cell r="A190" t="str">
            <v>S-0189</v>
          </cell>
          <cell r="K190">
            <v>65</v>
          </cell>
        </row>
        <row r="191">
          <cell r="A191" t="str">
            <v>S-0190</v>
          </cell>
          <cell r="K191">
            <v>62</v>
          </cell>
        </row>
        <row r="192">
          <cell r="A192" t="str">
            <v>S-0191</v>
          </cell>
          <cell r="K192">
            <v>58</v>
          </cell>
        </row>
        <row r="193">
          <cell r="A193" t="str">
            <v>S-0192</v>
          </cell>
          <cell r="K193">
            <v>64</v>
          </cell>
        </row>
        <row r="194">
          <cell r="A194" t="str">
            <v>S-0193</v>
          </cell>
          <cell r="K194">
            <v>45</v>
          </cell>
        </row>
        <row r="195">
          <cell r="A195" t="str">
            <v>S-0194</v>
          </cell>
          <cell r="K195">
            <v>61</v>
          </cell>
        </row>
        <row r="196">
          <cell r="A196" t="str">
            <v>S-0195</v>
          </cell>
          <cell r="K196">
            <v>64</v>
          </cell>
        </row>
        <row r="197">
          <cell r="A197" t="str">
            <v>S-0196</v>
          </cell>
          <cell r="K197">
            <v>54</v>
          </cell>
        </row>
        <row r="198">
          <cell r="A198" t="str">
            <v>S-0197</v>
          </cell>
          <cell r="K198">
            <v>76</v>
          </cell>
        </row>
        <row r="199">
          <cell r="A199" t="str">
            <v>S-0198</v>
          </cell>
          <cell r="K199">
            <v>65</v>
          </cell>
        </row>
        <row r="200">
          <cell r="A200" t="str">
            <v>S-0199</v>
          </cell>
          <cell r="K200">
            <v>45</v>
          </cell>
        </row>
        <row r="201">
          <cell r="A201" t="str">
            <v>S-0200</v>
          </cell>
          <cell r="K201">
            <v>67</v>
          </cell>
        </row>
        <row r="202">
          <cell r="A202" t="str">
            <v>S-0201</v>
          </cell>
          <cell r="K202">
            <v>73</v>
          </cell>
        </row>
        <row r="203">
          <cell r="A203" t="str">
            <v>S-0202</v>
          </cell>
          <cell r="K203">
            <v>57</v>
          </cell>
        </row>
        <row r="204">
          <cell r="A204" t="str">
            <v>S-0203</v>
          </cell>
          <cell r="K204">
            <v>46</v>
          </cell>
        </row>
        <row r="205">
          <cell r="A205" t="str">
            <v>S-0204</v>
          </cell>
          <cell r="K205">
            <v>34</v>
          </cell>
        </row>
        <row r="206">
          <cell r="A206" t="str">
            <v>S-0205</v>
          </cell>
          <cell r="K206">
            <v>52</v>
          </cell>
        </row>
        <row r="207">
          <cell r="A207" t="str">
            <v>S-0206</v>
          </cell>
          <cell r="K207">
            <v>62</v>
          </cell>
        </row>
        <row r="208">
          <cell r="A208" t="str">
            <v>S-0207</v>
          </cell>
          <cell r="K208">
            <v>50</v>
          </cell>
        </row>
        <row r="209">
          <cell r="A209" t="str">
            <v>S-0208</v>
          </cell>
          <cell r="K209">
            <v>59</v>
          </cell>
        </row>
        <row r="210">
          <cell r="A210" t="str">
            <v>S-0209</v>
          </cell>
          <cell r="K210">
            <v>71</v>
          </cell>
        </row>
        <row r="211">
          <cell r="A211" t="str">
            <v>S-0210</v>
          </cell>
          <cell r="K211">
            <v>66</v>
          </cell>
        </row>
        <row r="212">
          <cell r="A212" t="str">
            <v>S-0211</v>
          </cell>
          <cell r="K212">
            <v>55</v>
          </cell>
        </row>
        <row r="213">
          <cell r="A213" t="str">
            <v>S-0212</v>
          </cell>
          <cell r="K213">
            <v>61</v>
          </cell>
        </row>
        <row r="214">
          <cell r="A214" t="str">
            <v>S-0213</v>
          </cell>
          <cell r="K214">
            <v>54</v>
          </cell>
        </row>
        <row r="215">
          <cell r="A215" t="str">
            <v>S-0214</v>
          </cell>
          <cell r="K215">
            <v>47</v>
          </cell>
        </row>
        <row r="216">
          <cell r="A216" t="str">
            <v>S-0215</v>
          </cell>
          <cell r="K216">
            <v>56</v>
          </cell>
        </row>
        <row r="217">
          <cell r="A217" t="str">
            <v>S-0216</v>
          </cell>
          <cell r="K217">
            <v>54</v>
          </cell>
        </row>
        <row r="218">
          <cell r="A218" t="str">
            <v>S-0217</v>
          </cell>
          <cell r="K218">
            <v>43</v>
          </cell>
        </row>
        <row r="219">
          <cell r="A219" t="str">
            <v>S-0218</v>
          </cell>
          <cell r="K219">
            <v>49</v>
          </cell>
        </row>
        <row r="220">
          <cell r="A220" t="str">
            <v>S-0219</v>
          </cell>
          <cell r="K220">
            <v>60</v>
          </cell>
        </row>
        <row r="221">
          <cell r="A221" t="str">
            <v>S-0220</v>
          </cell>
          <cell r="K221">
            <v>49</v>
          </cell>
        </row>
        <row r="222">
          <cell r="A222" t="str">
            <v>S-0221</v>
          </cell>
          <cell r="K222">
            <v>63</v>
          </cell>
        </row>
        <row r="223">
          <cell r="A223" t="str">
            <v>S-0222</v>
          </cell>
          <cell r="K223">
            <v>50</v>
          </cell>
        </row>
        <row r="224">
          <cell r="A224" t="str">
            <v>S-0223</v>
          </cell>
          <cell r="K224">
            <v>48</v>
          </cell>
        </row>
        <row r="225">
          <cell r="A225" t="str">
            <v>S-0224</v>
          </cell>
          <cell r="K225">
            <v>60</v>
          </cell>
        </row>
        <row r="226">
          <cell r="A226" t="str">
            <v>S-0225</v>
          </cell>
          <cell r="K226">
            <v>45</v>
          </cell>
        </row>
        <row r="227">
          <cell r="A227" t="str">
            <v>S-0226</v>
          </cell>
          <cell r="K227">
            <v>67</v>
          </cell>
        </row>
        <row r="228">
          <cell r="A228" t="str">
            <v>S-0227</v>
          </cell>
          <cell r="K228">
            <v>65</v>
          </cell>
        </row>
        <row r="229">
          <cell r="A229" t="str">
            <v>S-0228</v>
          </cell>
          <cell r="K229">
            <v>54</v>
          </cell>
        </row>
        <row r="230">
          <cell r="A230" t="str">
            <v>S-0229</v>
          </cell>
          <cell r="K230">
            <v>67</v>
          </cell>
        </row>
        <row r="231">
          <cell r="A231" t="str">
            <v>S-0230</v>
          </cell>
          <cell r="K231">
            <v>59</v>
          </cell>
        </row>
        <row r="232">
          <cell r="A232" t="str">
            <v>S-0231</v>
          </cell>
          <cell r="K232">
            <v>60</v>
          </cell>
        </row>
        <row r="233">
          <cell r="A233" t="str">
            <v>S-0232</v>
          </cell>
          <cell r="K233">
            <v>73</v>
          </cell>
        </row>
        <row r="234">
          <cell r="A234" t="str">
            <v>S-0233</v>
          </cell>
          <cell r="K234">
            <v>60</v>
          </cell>
        </row>
        <row r="235">
          <cell r="A235" t="str">
            <v>S-0234</v>
          </cell>
          <cell r="K235">
            <v>58</v>
          </cell>
        </row>
        <row r="236">
          <cell r="A236" t="str">
            <v>S-0235</v>
          </cell>
          <cell r="K236">
            <v>57</v>
          </cell>
        </row>
        <row r="237">
          <cell r="A237" t="str">
            <v>S-0236</v>
          </cell>
          <cell r="K237">
            <v>60</v>
          </cell>
        </row>
        <row r="238">
          <cell r="A238" t="str">
            <v>S-0237</v>
          </cell>
          <cell r="K238">
            <v>61</v>
          </cell>
        </row>
        <row r="239">
          <cell r="A239" t="str">
            <v>S-0238</v>
          </cell>
          <cell r="K239">
            <v>68</v>
          </cell>
        </row>
        <row r="240">
          <cell r="A240" t="str">
            <v>S-0239</v>
          </cell>
          <cell r="K240">
            <v>65</v>
          </cell>
        </row>
        <row r="241">
          <cell r="A241" t="str">
            <v>S-0240</v>
          </cell>
          <cell r="K241">
            <v>61</v>
          </cell>
        </row>
        <row r="242">
          <cell r="A242" t="str">
            <v>S-0241</v>
          </cell>
          <cell r="K242">
            <v>40</v>
          </cell>
        </row>
        <row r="243">
          <cell r="A243" t="str">
            <v>S-0242</v>
          </cell>
          <cell r="K243">
            <v>41</v>
          </cell>
        </row>
        <row r="244">
          <cell r="A244" t="str">
            <v>S-0243</v>
          </cell>
          <cell r="K244">
            <v>60</v>
          </cell>
        </row>
        <row r="245">
          <cell r="A245" t="str">
            <v>S-0244</v>
          </cell>
          <cell r="K245">
            <v>60</v>
          </cell>
        </row>
        <row r="246">
          <cell r="A246" t="str">
            <v>S-0245</v>
          </cell>
          <cell r="K246">
            <v>55</v>
          </cell>
        </row>
        <row r="247">
          <cell r="A247" t="str">
            <v>S-0246</v>
          </cell>
          <cell r="K247">
            <v>65</v>
          </cell>
        </row>
        <row r="248">
          <cell r="A248" t="str">
            <v>S-0247</v>
          </cell>
          <cell r="K248">
            <v>64</v>
          </cell>
        </row>
        <row r="249">
          <cell r="A249" t="str">
            <v>S-0248</v>
          </cell>
          <cell r="K249">
            <v>59</v>
          </cell>
        </row>
        <row r="250">
          <cell r="A250" t="str">
            <v>S-0249</v>
          </cell>
          <cell r="K250">
            <v>52</v>
          </cell>
        </row>
        <row r="251">
          <cell r="A251" t="str">
            <v>S-0250</v>
          </cell>
          <cell r="K251">
            <v>57</v>
          </cell>
        </row>
        <row r="252">
          <cell r="A252" t="str">
            <v>S-0251</v>
          </cell>
          <cell r="K252">
            <v>45</v>
          </cell>
        </row>
        <row r="253">
          <cell r="A253" t="str">
            <v>S-0252</v>
          </cell>
          <cell r="K253">
            <v>62</v>
          </cell>
        </row>
        <row r="254">
          <cell r="A254" t="str">
            <v>S-0253</v>
          </cell>
          <cell r="K254">
            <v>75</v>
          </cell>
        </row>
        <row r="255">
          <cell r="A255" t="str">
            <v>S-0254</v>
          </cell>
          <cell r="K255">
            <v>66</v>
          </cell>
        </row>
        <row r="256">
          <cell r="A256" t="str">
            <v>S-0255</v>
          </cell>
          <cell r="K256">
            <v>46</v>
          </cell>
        </row>
        <row r="257">
          <cell r="A257" t="str">
            <v>S-0256</v>
          </cell>
          <cell r="K257">
            <v>61</v>
          </cell>
        </row>
        <row r="258">
          <cell r="A258" t="str">
            <v>S-0257</v>
          </cell>
          <cell r="K258">
            <v>62</v>
          </cell>
        </row>
        <row r="259">
          <cell r="A259" t="str">
            <v>S-0258</v>
          </cell>
          <cell r="K259">
            <v>47</v>
          </cell>
        </row>
        <row r="260">
          <cell r="A260" t="str">
            <v>S-0259</v>
          </cell>
          <cell r="K260">
            <v>63</v>
          </cell>
        </row>
        <row r="261">
          <cell r="A261" t="str">
            <v>S-0260</v>
          </cell>
          <cell r="K261">
            <v>53</v>
          </cell>
        </row>
        <row r="262">
          <cell r="A262" t="str">
            <v>S-0261</v>
          </cell>
          <cell r="K262">
            <v>48</v>
          </cell>
        </row>
        <row r="263">
          <cell r="A263" t="str">
            <v>S-0262</v>
          </cell>
          <cell r="K263">
            <v>76</v>
          </cell>
        </row>
        <row r="264">
          <cell r="A264" t="str">
            <v>S-0263</v>
          </cell>
          <cell r="K264">
            <v>67</v>
          </cell>
        </row>
        <row r="265">
          <cell r="A265" t="str">
            <v>S-0264</v>
          </cell>
          <cell r="K265">
            <v>64</v>
          </cell>
        </row>
        <row r="266">
          <cell r="A266" t="str">
            <v>S-0265</v>
          </cell>
          <cell r="K266">
            <v>65</v>
          </cell>
        </row>
        <row r="267">
          <cell r="A267" t="str">
            <v>S-0266</v>
          </cell>
          <cell r="K267">
            <v>57</v>
          </cell>
        </row>
        <row r="268">
          <cell r="A268" t="str">
            <v>S-0267</v>
          </cell>
          <cell r="K268">
            <v>63</v>
          </cell>
        </row>
        <row r="269">
          <cell r="A269" t="str">
            <v>S-0268</v>
          </cell>
          <cell r="K269">
            <v>81</v>
          </cell>
        </row>
        <row r="270">
          <cell r="A270" t="str">
            <v>S-0269</v>
          </cell>
          <cell r="K270">
            <v>68</v>
          </cell>
        </row>
        <row r="271">
          <cell r="A271" t="str">
            <v>S-0270</v>
          </cell>
          <cell r="K271">
            <v>58</v>
          </cell>
        </row>
        <row r="272">
          <cell r="A272" t="str">
            <v>S-0271</v>
          </cell>
          <cell r="K272">
            <v>55</v>
          </cell>
        </row>
        <row r="273">
          <cell r="A273" t="str">
            <v>S-0272</v>
          </cell>
          <cell r="K273">
            <v>57</v>
          </cell>
        </row>
        <row r="274">
          <cell r="A274" t="str">
            <v>S-0273</v>
          </cell>
          <cell r="K274">
            <v>61</v>
          </cell>
        </row>
        <row r="275">
          <cell r="A275" t="str">
            <v>S-0274</v>
          </cell>
          <cell r="K275">
            <v>46</v>
          </cell>
        </row>
        <row r="276">
          <cell r="A276" t="str">
            <v>S-0275</v>
          </cell>
          <cell r="K276">
            <v>42</v>
          </cell>
        </row>
        <row r="277">
          <cell r="A277" t="str">
            <v>S-0276</v>
          </cell>
          <cell r="K277">
            <v>61</v>
          </cell>
        </row>
        <row r="278">
          <cell r="A278" t="str">
            <v>S-0277</v>
          </cell>
          <cell r="K278">
            <v>55</v>
          </cell>
        </row>
        <row r="279">
          <cell r="A279" t="str">
            <v>S-0278</v>
          </cell>
          <cell r="K279">
            <v>64</v>
          </cell>
        </row>
        <row r="280">
          <cell r="A280" t="str">
            <v>S-0279</v>
          </cell>
          <cell r="K280">
            <v>61</v>
          </cell>
        </row>
        <row r="281">
          <cell r="A281" t="str">
            <v>S-0280</v>
          </cell>
          <cell r="K281">
            <v>68</v>
          </cell>
        </row>
        <row r="282">
          <cell r="A282" t="str">
            <v>S-0281</v>
          </cell>
          <cell r="K282">
            <v>61</v>
          </cell>
        </row>
        <row r="283">
          <cell r="A283" t="str">
            <v>S-0282</v>
          </cell>
          <cell r="K283">
            <v>47</v>
          </cell>
        </row>
        <row r="284">
          <cell r="A284" t="str">
            <v>S-0283</v>
          </cell>
          <cell r="K284">
            <v>58</v>
          </cell>
        </row>
        <row r="285">
          <cell r="A285" t="str">
            <v>S-0284</v>
          </cell>
          <cell r="K285">
            <v>66</v>
          </cell>
        </row>
        <row r="286">
          <cell r="A286" t="str">
            <v>S-0285</v>
          </cell>
          <cell r="K286">
            <v>56</v>
          </cell>
        </row>
        <row r="287">
          <cell r="A287" t="str">
            <v>S-0286</v>
          </cell>
          <cell r="K287">
            <v>68</v>
          </cell>
        </row>
        <row r="288">
          <cell r="A288" t="str">
            <v>S-0287</v>
          </cell>
          <cell r="K288">
            <v>51</v>
          </cell>
        </row>
        <row r="289">
          <cell r="A289" t="str">
            <v>S-0288</v>
          </cell>
          <cell r="K289">
            <v>49</v>
          </cell>
        </row>
        <row r="290">
          <cell r="A290" t="str">
            <v>S-0289</v>
          </cell>
          <cell r="K290">
            <v>50</v>
          </cell>
        </row>
        <row r="291">
          <cell r="A291" t="str">
            <v>S-0290</v>
          </cell>
          <cell r="K291">
            <v>60</v>
          </cell>
        </row>
        <row r="292">
          <cell r="A292" t="str">
            <v>S-0291</v>
          </cell>
          <cell r="K292">
            <v>70</v>
          </cell>
        </row>
        <row r="293">
          <cell r="A293" t="str">
            <v>S-0292</v>
          </cell>
          <cell r="K293">
            <v>66</v>
          </cell>
        </row>
        <row r="294">
          <cell r="A294" t="str">
            <v>S-0293</v>
          </cell>
          <cell r="K294">
            <v>74</v>
          </cell>
        </row>
        <row r="295">
          <cell r="A295" t="str">
            <v>S-0294</v>
          </cell>
          <cell r="K295">
            <v>66</v>
          </cell>
        </row>
        <row r="296">
          <cell r="A296" t="str">
            <v>S-0295</v>
          </cell>
          <cell r="K296">
            <v>59</v>
          </cell>
        </row>
        <row r="297">
          <cell r="A297" t="str">
            <v>S-0296</v>
          </cell>
          <cell r="K297">
            <v>53</v>
          </cell>
        </row>
        <row r="298">
          <cell r="A298" t="str">
            <v>S-0297</v>
          </cell>
          <cell r="K298">
            <v>62</v>
          </cell>
        </row>
        <row r="299">
          <cell r="A299" t="str">
            <v>S-0298</v>
          </cell>
          <cell r="K299">
            <v>60</v>
          </cell>
        </row>
        <row r="300">
          <cell r="A300" t="str">
            <v>S-0299</v>
          </cell>
          <cell r="K300">
            <v>55</v>
          </cell>
        </row>
        <row r="301">
          <cell r="A301" t="str">
            <v>S-0300</v>
          </cell>
          <cell r="K301">
            <v>48</v>
          </cell>
        </row>
      </sheetData>
      <sheetData sheetId="6">
        <row r="1">
          <cell r="B1" t="str">
            <v>Site ID</v>
          </cell>
          <cell r="G1" t="str">
            <v>Overall Risk Rating</v>
          </cell>
          <cell r="L1" t="str">
            <v>Risk Score (Numeric)</v>
          </cell>
        </row>
        <row r="2">
          <cell r="B2" t="str">
            <v>S-0001</v>
          </cell>
          <cell r="G2" t="str">
            <v>Low</v>
          </cell>
          <cell r="L2">
            <v>1</v>
          </cell>
        </row>
        <row r="3">
          <cell r="B3" t="str">
            <v>S-0001</v>
          </cell>
          <cell r="G3" t="str">
            <v>Low</v>
          </cell>
          <cell r="L3">
            <v>1</v>
          </cell>
        </row>
        <row r="4">
          <cell r="B4" t="str">
            <v>S-0001</v>
          </cell>
          <cell r="G4" t="str">
            <v>Low</v>
          </cell>
          <cell r="L4">
            <v>1</v>
          </cell>
        </row>
        <row r="5">
          <cell r="B5" t="str">
            <v>S-0001</v>
          </cell>
          <cell r="G5" t="str">
            <v>Low</v>
          </cell>
          <cell r="L5">
            <v>1</v>
          </cell>
        </row>
        <row r="6">
          <cell r="B6" t="str">
            <v>S-0001</v>
          </cell>
          <cell r="G6" t="str">
            <v>Medium</v>
          </cell>
          <cell r="L6">
            <v>2</v>
          </cell>
        </row>
        <row r="7">
          <cell r="B7" t="str">
            <v>S-0001</v>
          </cell>
          <cell r="G7" t="str">
            <v>Low</v>
          </cell>
          <cell r="L7">
            <v>1</v>
          </cell>
        </row>
        <row r="8">
          <cell r="B8" t="str">
            <v>S-0002</v>
          </cell>
          <cell r="G8" t="str">
            <v>Low</v>
          </cell>
          <cell r="L8">
            <v>1</v>
          </cell>
        </row>
        <row r="9">
          <cell r="B9" t="str">
            <v>S-0002</v>
          </cell>
          <cell r="G9" t="str">
            <v>Medium</v>
          </cell>
          <cell r="L9">
            <v>2</v>
          </cell>
        </row>
        <row r="10">
          <cell r="B10" t="str">
            <v>S-0002</v>
          </cell>
          <cell r="G10" t="str">
            <v>Low</v>
          </cell>
          <cell r="L10">
            <v>1</v>
          </cell>
        </row>
        <row r="11">
          <cell r="B11" t="str">
            <v>S-0002</v>
          </cell>
          <cell r="G11" t="str">
            <v>High</v>
          </cell>
          <cell r="L11">
            <v>3</v>
          </cell>
        </row>
        <row r="12">
          <cell r="B12" t="str">
            <v>S-0002</v>
          </cell>
          <cell r="G12" t="str">
            <v>Low</v>
          </cell>
          <cell r="L12">
            <v>1</v>
          </cell>
        </row>
        <row r="13">
          <cell r="B13" t="str">
            <v>S-0002</v>
          </cell>
          <cell r="G13" t="str">
            <v>Medium</v>
          </cell>
          <cell r="L13">
            <v>2</v>
          </cell>
        </row>
        <row r="14">
          <cell r="B14" t="str">
            <v>S-0003</v>
          </cell>
          <cell r="G14" t="str">
            <v>Low</v>
          </cell>
          <cell r="L14">
            <v>1</v>
          </cell>
        </row>
        <row r="15">
          <cell r="B15" t="str">
            <v>S-0003</v>
          </cell>
          <cell r="G15" t="str">
            <v>Low</v>
          </cell>
          <cell r="L15">
            <v>1</v>
          </cell>
        </row>
        <row r="16">
          <cell r="B16" t="str">
            <v>S-0003</v>
          </cell>
          <cell r="G16" t="str">
            <v>Medium</v>
          </cell>
          <cell r="L16">
            <v>2</v>
          </cell>
        </row>
        <row r="17">
          <cell r="B17" t="str">
            <v>S-0003</v>
          </cell>
          <cell r="G17" t="str">
            <v>High</v>
          </cell>
          <cell r="L17">
            <v>3</v>
          </cell>
        </row>
        <row r="18">
          <cell r="B18" t="str">
            <v>S-0003</v>
          </cell>
          <cell r="G18" t="str">
            <v>Medium</v>
          </cell>
          <cell r="L18">
            <v>2</v>
          </cell>
        </row>
        <row r="19">
          <cell r="B19" t="str">
            <v>S-0003</v>
          </cell>
          <cell r="G19" t="str">
            <v>Low</v>
          </cell>
          <cell r="L19">
            <v>1</v>
          </cell>
        </row>
        <row r="20">
          <cell r="B20" t="str">
            <v>S-0004</v>
          </cell>
          <cell r="G20" t="str">
            <v>Low</v>
          </cell>
          <cell r="L20">
            <v>1</v>
          </cell>
        </row>
        <row r="21">
          <cell r="B21" t="str">
            <v>S-0004</v>
          </cell>
          <cell r="G21" t="str">
            <v>Low</v>
          </cell>
          <cell r="L21">
            <v>1</v>
          </cell>
        </row>
        <row r="22">
          <cell r="B22" t="str">
            <v>S-0004</v>
          </cell>
          <cell r="G22" t="str">
            <v>Low</v>
          </cell>
          <cell r="L22">
            <v>1</v>
          </cell>
        </row>
        <row r="23">
          <cell r="B23" t="str">
            <v>S-0004</v>
          </cell>
          <cell r="G23" t="str">
            <v>Medium</v>
          </cell>
          <cell r="L23">
            <v>2</v>
          </cell>
        </row>
        <row r="24">
          <cell r="B24" t="str">
            <v>S-0004</v>
          </cell>
          <cell r="G24" t="str">
            <v>Medium</v>
          </cell>
          <cell r="L24">
            <v>2</v>
          </cell>
        </row>
        <row r="25">
          <cell r="B25" t="str">
            <v>S-0004</v>
          </cell>
          <cell r="G25" t="str">
            <v>Medium</v>
          </cell>
          <cell r="L25">
            <v>2</v>
          </cell>
        </row>
        <row r="26">
          <cell r="B26" t="str">
            <v>S-0005</v>
          </cell>
          <cell r="G26" t="str">
            <v>High</v>
          </cell>
          <cell r="L26">
            <v>3</v>
          </cell>
        </row>
        <row r="27">
          <cell r="B27" t="str">
            <v>S-0005</v>
          </cell>
          <cell r="G27" t="str">
            <v>Low</v>
          </cell>
          <cell r="L27">
            <v>1</v>
          </cell>
        </row>
        <row r="28">
          <cell r="B28" t="str">
            <v>S-0005</v>
          </cell>
          <cell r="G28" t="str">
            <v>Low</v>
          </cell>
          <cell r="L28">
            <v>1</v>
          </cell>
        </row>
        <row r="29">
          <cell r="B29" t="str">
            <v>S-0005</v>
          </cell>
          <cell r="G29" t="str">
            <v>Low</v>
          </cell>
          <cell r="L29">
            <v>1</v>
          </cell>
        </row>
        <row r="30">
          <cell r="B30" t="str">
            <v>S-0005</v>
          </cell>
          <cell r="G30" t="str">
            <v>Low</v>
          </cell>
          <cell r="L30">
            <v>1</v>
          </cell>
        </row>
        <row r="31">
          <cell r="B31" t="str">
            <v>S-0005</v>
          </cell>
          <cell r="G31" t="str">
            <v>Medium</v>
          </cell>
          <cell r="L31">
            <v>2</v>
          </cell>
        </row>
        <row r="32">
          <cell r="B32" t="str">
            <v>S-0006</v>
          </cell>
          <cell r="G32" t="str">
            <v>High</v>
          </cell>
          <cell r="L32">
            <v>3</v>
          </cell>
        </row>
        <row r="33">
          <cell r="B33" t="str">
            <v>S-0006</v>
          </cell>
          <cell r="G33" t="str">
            <v>Low</v>
          </cell>
          <cell r="L33">
            <v>1</v>
          </cell>
        </row>
        <row r="34">
          <cell r="B34" t="str">
            <v>S-0006</v>
          </cell>
          <cell r="G34" t="str">
            <v>Low</v>
          </cell>
          <cell r="L34">
            <v>1</v>
          </cell>
        </row>
        <row r="35">
          <cell r="B35" t="str">
            <v>S-0006</v>
          </cell>
          <cell r="G35" t="str">
            <v>Low</v>
          </cell>
          <cell r="L35">
            <v>1</v>
          </cell>
        </row>
        <row r="36">
          <cell r="B36" t="str">
            <v>S-0006</v>
          </cell>
          <cell r="G36" t="str">
            <v>Medium</v>
          </cell>
          <cell r="L36">
            <v>2</v>
          </cell>
        </row>
        <row r="37">
          <cell r="B37" t="str">
            <v>S-0006</v>
          </cell>
          <cell r="G37" t="str">
            <v>Medium</v>
          </cell>
          <cell r="L37">
            <v>2</v>
          </cell>
        </row>
        <row r="38">
          <cell r="B38" t="str">
            <v>S-0007</v>
          </cell>
          <cell r="G38" t="str">
            <v>Low</v>
          </cell>
          <cell r="L38">
            <v>1</v>
          </cell>
        </row>
        <row r="39">
          <cell r="B39" t="str">
            <v>S-0007</v>
          </cell>
          <cell r="G39" t="str">
            <v>Low</v>
          </cell>
          <cell r="L39">
            <v>1</v>
          </cell>
        </row>
        <row r="40">
          <cell r="B40" t="str">
            <v>S-0007</v>
          </cell>
          <cell r="G40" t="str">
            <v>Low</v>
          </cell>
          <cell r="L40">
            <v>1</v>
          </cell>
        </row>
        <row r="41">
          <cell r="B41" t="str">
            <v>S-0007</v>
          </cell>
          <cell r="G41" t="str">
            <v>Low</v>
          </cell>
          <cell r="L41">
            <v>1</v>
          </cell>
        </row>
        <row r="42">
          <cell r="B42" t="str">
            <v>S-0007</v>
          </cell>
          <cell r="G42" t="str">
            <v>Low</v>
          </cell>
          <cell r="L42">
            <v>1</v>
          </cell>
        </row>
        <row r="43">
          <cell r="B43" t="str">
            <v>S-0007</v>
          </cell>
          <cell r="G43" t="str">
            <v>Low</v>
          </cell>
          <cell r="L43">
            <v>1</v>
          </cell>
        </row>
        <row r="44">
          <cell r="B44" t="str">
            <v>S-0008</v>
          </cell>
          <cell r="G44" t="str">
            <v>Low</v>
          </cell>
          <cell r="L44">
            <v>1</v>
          </cell>
        </row>
        <row r="45">
          <cell r="B45" t="str">
            <v>S-0008</v>
          </cell>
          <cell r="G45" t="str">
            <v>High</v>
          </cell>
          <cell r="L45">
            <v>3</v>
          </cell>
        </row>
        <row r="46">
          <cell r="B46" t="str">
            <v>S-0008</v>
          </cell>
          <cell r="G46" t="str">
            <v>Low</v>
          </cell>
          <cell r="L46">
            <v>1</v>
          </cell>
        </row>
        <row r="47">
          <cell r="B47" t="str">
            <v>S-0008</v>
          </cell>
          <cell r="G47" t="str">
            <v>Medium</v>
          </cell>
          <cell r="L47">
            <v>2</v>
          </cell>
        </row>
        <row r="48">
          <cell r="B48" t="str">
            <v>S-0008</v>
          </cell>
          <cell r="G48" t="str">
            <v>Medium</v>
          </cell>
          <cell r="L48">
            <v>2</v>
          </cell>
        </row>
        <row r="49">
          <cell r="B49" t="str">
            <v>S-0008</v>
          </cell>
          <cell r="G49" t="str">
            <v>Low</v>
          </cell>
          <cell r="L49">
            <v>1</v>
          </cell>
        </row>
        <row r="50">
          <cell r="B50" t="str">
            <v>S-0009</v>
          </cell>
          <cell r="G50" t="str">
            <v>Medium</v>
          </cell>
          <cell r="L50">
            <v>2</v>
          </cell>
        </row>
        <row r="51">
          <cell r="B51" t="str">
            <v>S-0009</v>
          </cell>
          <cell r="G51" t="str">
            <v>Low</v>
          </cell>
          <cell r="L51">
            <v>1</v>
          </cell>
        </row>
        <row r="52">
          <cell r="B52" t="str">
            <v>S-0009</v>
          </cell>
          <cell r="G52" t="str">
            <v>Low</v>
          </cell>
          <cell r="L52">
            <v>1</v>
          </cell>
        </row>
        <row r="53">
          <cell r="B53" t="str">
            <v>S-0009</v>
          </cell>
          <cell r="G53" t="str">
            <v>Low</v>
          </cell>
          <cell r="L53">
            <v>1</v>
          </cell>
        </row>
        <row r="54">
          <cell r="B54" t="str">
            <v>S-0009</v>
          </cell>
          <cell r="G54" t="str">
            <v>Medium</v>
          </cell>
          <cell r="L54">
            <v>2</v>
          </cell>
        </row>
        <row r="55">
          <cell r="B55" t="str">
            <v>S-0009</v>
          </cell>
          <cell r="G55" t="str">
            <v>High</v>
          </cell>
          <cell r="L55">
            <v>3</v>
          </cell>
        </row>
        <row r="56">
          <cell r="B56" t="str">
            <v>S-0010</v>
          </cell>
          <cell r="G56" t="str">
            <v>Low</v>
          </cell>
          <cell r="L56">
            <v>1</v>
          </cell>
        </row>
        <row r="57">
          <cell r="B57" t="str">
            <v>S-0010</v>
          </cell>
          <cell r="G57" t="str">
            <v>Medium</v>
          </cell>
          <cell r="L57">
            <v>2</v>
          </cell>
        </row>
        <row r="58">
          <cell r="B58" t="str">
            <v>S-0010</v>
          </cell>
          <cell r="G58" t="str">
            <v>Low</v>
          </cell>
          <cell r="L58">
            <v>1</v>
          </cell>
        </row>
        <row r="59">
          <cell r="B59" t="str">
            <v>S-0010</v>
          </cell>
          <cell r="G59" t="str">
            <v>Medium</v>
          </cell>
          <cell r="L59">
            <v>2</v>
          </cell>
        </row>
        <row r="60">
          <cell r="B60" t="str">
            <v>S-0010</v>
          </cell>
          <cell r="G60" t="str">
            <v>Low</v>
          </cell>
          <cell r="L60">
            <v>1</v>
          </cell>
        </row>
        <row r="61">
          <cell r="B61" t="str">
            <v>S-0010</v>
          </cell>
          <cell r="G61" t="str">
            <v>High</v>
          </cell>
          <cell r="L61">
            <v>3</v>
          </cell>
        </row>
        <row r="62">
          <cell r="B62" t="str">
            <v>S-0011</v>
          </cell>
          <cell r="G62" t="str">
            <v>Medium</v>
          </cell>
          <cell r="L62">
            <v>2</v>
          </cell>
        </row>
        <row r="63">
          <cell r="B63" t="str">
            <v>S-0011</v>
          </cell>
          <cell r="G63" t="str">
            <v>Low</v>
          </cell>
          <cell r="L63">
            <v>1</v>
          </cell>
        </row>
        <row r="64">
          <cell r="B64" t="str">
            <v>S-0011</v>
          </cell>
          <cell r="G64" t="str">
            <v>High</v>
          </cell>
          <cell r="L64">
            <v>3</v>
          </cell>
        </row>
        <row r="65">
          <cell r="B65" t="str">
            <v>S-0011</v>
          </cell>
          <cell r="G65" t="str">
            <v>Medium</v>
          </cell>
          <cell r="L65">
            <v>2</v>
          </cell>
        </row>
        <row r="66">
          <cell r="B66" t="str">
            <v>S-0011</v>
          </cell>
          <cell r="G66" t="str">
            <v>Low</v>
          </cell>
          <cell r="L66">
            <v>1</v>
          </cell>
        </row>
        <row r="67">
          <cell r="B67" t="str">
            <v>S-0011</v>
          </cell>
          <cell r="G67" t="str">
            <v>Medium</v>
          </cell>
          <cell r="L67">
            <v>2</v>
          </cell>
        </row>
        <row r="68">
          <cell r="B68" t="str">
            <v>S-0012</v>
          </cell>
          <cell r="G68" t="str">
            <v>Low</v>
          </cell>
          <cell r="L68">
            <v>1</v>
          </cell>
        </row>
        <row r="69">
          <cell r="B69" t="str">
            <v>S-0012</v>
          </cell>
          <cell r="G69" t="str">
            <v>Low</v>
          </cell>
          <cell r="L69">
            <v>1</v>
          </cell>
        </row>
        <row r="70">
          <cell r="B70" t="str">
            <v>S-0012</v>
          </cell>
          <cell r="G70" t="str">
            <v>Low</v>
          </cell>
          <cell r="L70">
            <v>1</v>
          </cell>
        </row>
        <row r="71">
          <cell r="B71" t="str">
            <v>S-0012</v>
          </cell>
          <cell r="G71" t="str">
            <v>Low</v>
          </cell>
          <cell r="L71">
            <v>1</v>
          </cell>
        </row>
        <row r="72">
          <cell r="B72" t="str">
            <v>S-0012</v>
          </cell>
          <cell r="G72" t="str">
            <v>Low</v>
          </cell>
          <cell r="L72">
            <v>1</v>
          </cell>
        </row>
        <row r="73">
          <cell r="B73" t="str">
            <v>S-0012</v>
          </cell>
          <cell r="G73" t="str">
            <v>Medium</v>
          </cell>
          <cell r="L73">
            <v>2</v>
          </cell>
        </row>
        <row r="74">
          <cell r="B74" t="str">
            <v>S-0013</v>
          </cell>
          <cell r="G74" t="str">
            <v>Medium</v>
          </cell>
          <cell r="L74">
            <v>2</v>
          </cell>
        </row>
        <row r="75">
          <cell r="B75" t="str">
            <v>S-0013</v>
          </cell>
          <cell r="G75" t="str">
            <v>Medium</v>
          </cell>
          <cell r="L75">
            <v>2</v>
          </cell>
        </row>
        <row r="76">
          <cell r="B76" t="str">
            <v>S-0013</v>
          </cell>
          <cell r="G76" t="str">
            <v>High</v>
          </cell>
          <cell r="L76">
            <v>3</v>
          </cell>
        </row>
        <row r="77">
          <cell r="B77" t="str">
            <v>S-0013</v>
          </cell>
          <cell r="G77" t="str">
            <v>Low</v>
          </cell>
          <cell r="L77">
            <v>1</v>
          </cell>
        </row>
        <row r="78">
          <cell r="B78" t="str">
            <v>S-0013</v>
          </cell>
          <cell r="G78" t="str">
            <v>Low</v>
          </cell>
          <cell r="L78">
            <v>1</v>
          </cell>
        </row>
        <row r="79">
          <cell r="B79" t="str">
            <v>S-0013</v>
          </cell>
          <cell r="G79" t="str">
            <v>Low</v>
          </cell>
          <cell r="L79">
            <v>1</v>
          </cell>
        </row>
        <row r="80">
          <cell r="B80" t="str">
            <v>S-0014</v>
          </cell>
          <cell r="G80" t="str">
            <v>Low</v>
          </cell>
          <cell r="L80">
            <v>1</v>
          </cell>
        </row>
        <row r="81">
          <cell r="B81" t="str">
            <v>S-0014</v>
          </cell>
          <cell r="G81" t="str">
            <v>Low</v>
          </cell>
          <cell r="L81">
            <v>1</v>
          </cell>
        </row>
        <row r="82">
          <cell r="B82" t="str">
            <v>S-0014</v>
          </cell>
          <cell r="G82" t="str">
            <v>High</v>
          </cell>
          <cell r="L82">
            <v>3</v>
          </cell>
        </row>
        <row r="83">
          <cell r="B83" t="str">
            <v>S-0014</v>
          </cell>
          <cell r="G83" t="str">
            <v>Low</v>
          </cell>
          <cell r="L83">
            <v>1</v>
          </cell>
        </row>
        <row r="84">
          <cell r="B84" t="str">
            <v>S-0014</v>
          </cell>
          <cell r="G84" t="str">
            <v>High</v>
          </cell>
          <cell r="L84">
            <v>3</v>
          </cell>
        </row>
        <row r="85">
          <cell r="B85" t="str">
            <v>S-0014</v>
          </cell>
          <cell r="G85" t="str">
            <v>Low</v>
          </cell>
          <cell r="L85">
            <v>1</v>
          </cell>
        </row>
        <row r="86">
          <cell r="B86" t="str">
            <v>S-0015</v>
          </cell>
          <cell r="G86" t="str">
            <v>Medium</v>
          </cell>
          <cell r="L86">
            <v>2</v>
          </cell>
        </row>
        <row r="87">
          <cell r="B87" t="str">
            <v>S-0015</v>
          </cell>
          <cell r="G87" t="str">
            <v>Low</v>
          </cell>
          <cell r="L87">
            <v>1</v>
          </cell>
        </row>
        <row r="88">
          <cell r="B88" t="str">
            <v>S-0015</v>
          </cell>
          <cell r="G88" t="str">
            <v>Low</v>
          </cell>
          <cell r="L88">
            <v>1</v>
          </cell>
        </row>
        <row r="89">
          <cell r="B89" t="str">
            <v>S-0015</v>
          </cell>
          <cell r="G89" t="str">
            <v>Low</v>
          </cell>
          <cell r="L89">
            <v>1</v>
          </cell>
        </row>
        <row r="90">
          <cell r="B90" t="str">
            <v>S-0015</v>
          </cell>
          <cell r="G90" t="str">
            <v>Medium</v>
          </cell>
          <cell r="L90">
            <v>2</v>
          </cell>
        </row>
        <row r="91">
          <cell r="B91" t="str">
            <v>S-0015</v>
          </cell>
          <cell r="G91" t="str">
            <v>High</v>
          </cell>
          <cell r="L91">
            <v>3</v>
          </cell>
        </row>
        <row r="92">
          <cell r="B92" t="str">
            <v>S-0016</v>
          </cell>
          <cell r="G92" t="str">
            <v>Low</v>
          </cell>
          <cell r="L92">
            <v>1</v>
          </cell>
        </row>
        <row r="93">
          <cell r="B93" t="str">
            <v>S-0016</v>
          </cell>
          <cell r="G93" t="str">
            <v>Medium</v>
          </cell>
          <cell r="L93">
            <v>2</v>
          </cell>
        </row>
        <row r="94">
          <cell r="B94" t="str">
            <v>S-0016</v>
          </cell>
          <cell r="G94" t="str">
            <v>Medium</v>
          </cell>
          <cell r="L94">
            <v>2</v>
          </cell>
        </row>
        <row r="95">
          <cell r="B95" t="str">
            <v>S-0016</v>
          </cell>
          <cell r="G95" t="str">
            <v>Low</v>
          </cell>
          <cell r="L95">
            <v>1</v>
          </cell>
        </row>
        <row r="96">
          <cell r="B96" t="str">
            <v>S-0016</v>
          </cell>
          <cell r="G96" t="str">
            <v>Low</v>
          </cell>
          <cell r="L96">
            <v>1</v>
          </cell>
        </row>
        <row r="97">
          <cell r="B97" t="str">
            <v>S-0016</v>
          </cell>
          <cell r="G97" t="str">
            <v>Medium</v>
          </cell>
          <cell r="L97">
            <v>2</v>
          </cell>
        </row>
        <row r="98">
          <cell r="B98" t="str">
            <v>S-0017</v>
          </cell>
          <cell r="G98" t="str">
            <v>High</v>
          </cell>
          <cell r="L98">
            <v>3</v>
          </cell>
        </row>
        <row r="99">
          <cell r="B99" t="str">
            <v>S-0017</v>
          </cell>
          <cell r="G99" t="str">
            <v>Low</v>
          </cell>
          <cell r="L99">
            <v>1</v>
          </cell>
        </row>
        <row r="100">
          <cell r="B100" t="str">
            <v>S-0017</v>
          </cell>
          <cell r="G100" t="str">
            <v>Medium</v>
          </cell>
          <cell r="L100">
            <v>2</v>
          </cell>
        </row>
        <row r="101">
          <cell r="B101" t="str">
            <v>S-0017</v>
          </cell>
          <cell r="G101" t="str">
            <v>Low</v>
          </cell>
          <cell r="L101">
            <v>1</v>
          </cell>
        </row>
        <row r="102">
          <cell r="B102" t="str">
            <v>S-0017</v>
          </cell>
          <cell r="G102" t="str">
            <v>Low</v>
          </cell>
          <cell r="L102">
            <v>1</v>
          </cell>
        </row>
        <row r="103">
          <cell r="B103" t="str">
            <v>S-0017</v>
          </cell>
          <cell r="G103" t="str">
            <v>Low</v>
          </cell>
          <cell r="L103">
            <v>1</v>
          </cell>
        </row>
        <row r="104">
          <cell r="B104" t="str">
            <v>S-0018</v>
          </cell>
          <cell r="G104" t="str">
            <v>Low</v>
          </cell>
          <cell r="L104">
            <v>1</v>
          </cell>
        </row>
        <row r="105">
          <cell r="B105" t="str">
            <v>S-0018</v>
          </cell>
          <cell r="G105" t="str">
            <v>Low</v>
          </cell>
          <cell r="L105">
            <v>1</v>
          </cell>
        </row>
        <row r="106">
          <cell r="B106" t="str">
            <v>S-0018</v>
          </cell>
          <cell r="G106" t="str">
            <v>Low</v>
          </cell>
          <cell r="L106">
            <v>1</v>
          </cell>
        </row>
        <row r="107">
          <cell r="B107" t="str">
            <v>S-0018</v>
          </cell>
          <cell r="G107" t="str">
            <v>Low</v>
          </cell>
          <cell r="L107">
            <v>1</v>
          </cell>
        </row>
        <row r="108">
          <cell r="B108" t="str">
            <v>S-0018</v>
          </cell>
          <cell r="G108" t="str">
            <v>Medium</v>
          </cell>
          <cell r="L108">
            <v>2</v>
          </cell>
        </row>
        <row r="109">
          <cell r="B109" t="str">
            <v>S-0018</v>
          </cell>
          <cell r="G109" t="str">
            <v>Medium</v>
          </cell>
          <cell r="L109">
            <v>2</v>
          </cell>
        </row>
        <row r="110">
          <cell r="B110" t="str">
            <v>S-0019</v>
          </cell>
          <cell r="G110" t="str">
            <v>Low</v>
          </cell>
          <cell r="L110">
            <v>1</v>
          </cell>
        </row>
        <row r="111">
          <cell r="B111" t="str">
            <v>S-0019</v>
          </cell>
          <cell r="G111" t="str">
            <v>High</v>
          </cell>
          <cell r="L111">
            <v>3</v>
          </cell>
        </row>
        <row r="112">
          <cell r="B112" t="str">
            <v>S-0019</v>
          </cell>
          <cell r="G112" t="str">
            <v>Low</v>
          </cell>
          <cell r="L112">
            <v>1</v>
          </cell>
        </row>
        <row r="113">
          <cell r="B113" t="str">
            <v>S-0019</v>
          </cell>
          <cell r="G113" t="str">
            <v>Low</v>
          </cell>
          <cell r="L113">
            <v>1</v>
          </cell>
        </row>
        <row r="114">
          <cell r="B114" t="str">
            <v>S-0019</v>
          </cell>
          <cell r="G114" t="str">
            <v>Low</v>
          </cell>
          <cell r="L114">
            <v>1</v>
          </cell>
        </row>
        <row r="115">
          <cell r="B115" t="str">
            <v>S-0019</v>
          </cell>
          <cell r="G115" t="str">
            <v>Low</v>
          </cell>
          <cell r="L115">
            <v>1</v>
          </cell>
        </row>
        <row r="116">
          <cell r="B116" t="str">
            <v>S-0020</v>
          </cell>
          <cell r="G116" t="str">
            <v>Medium</v>
          </cell>
          <cell r="L116">
            <v>2</v>
          </cell>
        </row>
        <row r="117">
          <cell r="B117" t="str">
            <v>S-0020</v>
          </cell>
          <cell r="G117" t="str">
            <v>Low</v>
          </cell>
          <cell r="L117">
            <v>1</v>
          </cell>
        </row>
        <row r="118">
          <cell r="B118" t="str">
            <v>S-0020</v>
          </cell>
          <cell r="G118" t="str">
            <v>Low</v>
          </cell>
          <cell r="L118">
            <v>1</v>
          </cell>
        </row>
        <row r="119">
          <cell r="B119" t="str">
            <v>S-0020</v>
          </cell>
          <cell r="G119" t="str">
            <v>Medium</v>
          </cell>
          <cell r="L119">
            <v>2</v>
          </cell>
        </row>
        <row r="120">
          <cell r="B120" t="str">
            <v>S-0020</v>
          </cell>
          <cell r="G120" t="str">
            <v>Low</v>
          </cell>
          <cell r="L120">
            <v>1</v>
          </cell>
        </row>
        <row r="121">
          <cell r="B121" t="str">
            <v>S-0020</v>
          </cell>
          <cell r="G121" t="str">
            <v>Low</v>
          </cell>
          <cell r="L121">
            <v>1</v>
          </cell>
        </row>
        <row r="122">
          <cell r="B122" t="str">
            <v>S-0021</v>
          </cell>
          <cell r="G122" t="str">
            <v>Medium</v>
          </cell>
          <cell r="L122">
            <v>2</v>
          </cell>
        </row>
        <row r="123">
          <cell r="B123" t="str">
            <v>S-0021</v>
          </cell>
          <cell r="G123" t="str">
            <v>High</v>
          </cell>
          <cell r="L123">
            <v>3</v>
          </cell>
        </row>
        <row r="124">
          <cell r="B124" t="str">
            <v>S-0021</v>
          </cell>
          <cell r="G124" t="str">
            <v>Medium</v>
          </cell>
          <cell r="L124">
            <v>2</v>
          </cell>
        </row>
        <row r="125">
          <cell r="B125" t="str">
            <v>S-0021</v>
          </cell>
          <cell r="G125" t="str">
            <v>Low</v>
          </cell>
          <cell r="L125">
            <v>1</v>
          </cell>
        </row>
        <row r="126">
          <cell r="B126" t="str">
            <v>S-0021</v>
          </cell>
          <cell r="G126" t="str">
            <v>Low</v>
          </cell>
          <cell r="L126">
            <v>1</v>
          </cell>
        </row>
        <row r="127">
          <cell r="B127" t="str">
            <v>S-0021</v>
          </cell>
          <cell r="G127" t="str">
            <v>Low</v>
          </cell>
          <cell r="L127">
            <v>1</v>
          </cell>
        </row>
        <row r="128">
          <cell r="B128" t="str">
            <v>S-0022</v>
          </cell>
          <cell r="G128" t="str">
            <v>Low</v>
          </cell>
          <cell r="L128">
            <v>1</v>
          </cell>
        </row>
        <row r="129">
          <cell r="B129" t="str">
            <v>S-0022</v>
          </cell>
          <cell r="G129" t="str">
            <v>Low</v>
          </cell>
          <cell r="L129">
            <v>1</v>
          </cell>
        </row>
        <row r="130">
          <cell r="B130" t="str">
            <v>S-0022</v>
          </cell>
          <cell r="G130" t="str">
            <v>Low</v>
          </cell>
          <cell r="L130">
            <v>1</v>
          </cell>
        </row>
        <row r="131">
          <cell r="B131" t="str">
            <v>S-0022</v>
          </cell>
          <cell r="G131" t="str">
            <v>Medium</v>
          </cell>
          <cell r="L131">
            <v>2</v>
          </cell>
        </row>
        <row r="132">
          <cell r="B132" t="str">
            <v>S-0022</v>
          </cell>
          <cell r="G132" t="str">
            <v>Low</v>
          </cell>
          <cell r="L132">
            <v>1</v>
          </cell>
        </row>
        <row r="133">
          <cell r="B133" t="str">
            <v>S-0022</v>
          </cell>
          <cell r="G133" t="str">
            <v>Low</v>
          </cell>
          <cell r="L133">
            <v>1</v>
          </cell>
        </row>
        <row r="134">
          <cell r="B134" t="str">
            <v>S-0023</v>
          </cell>
          <cell r="G134" t="str">
            <v>Low</v>
          </cell>
          <cell r="L134">
            <v>1</v>
          </cell>
        </row>
        <row r="135">
          <cell r="B135" t="str">
            <v>S-0023</v>
          </cell>
          <cell r="G135" t="str">
            <v>Medium</v>
          </cell>
          <cell r="L135">
            <v>2</v>
          </cell>
        </row>
        <row r="136">
          <cell r="B136" t="str">
            <v>S-0023</v>
          </cell>
          <cell r="G136" t="str">
            <v>Medium</v>
          </cell>
          <cell r="L136">
            <v>2</v>
          </cell>
        </row>
        <row r="137">
          <cell r="B137" t="str">
            <v>S-0023</v>
          </cell>
          <cell r="G137" t="str">
            <v>Low</v>
          </cell>
          <cell r="L137">
            <v>1</v>
          </cell>
        </row>
        <row r="138">
          <cell r="B138" t="str">
            <v>S-0023</v>
          </cell>
          <cell r="G138" t="str">
            <v>High</v>
          </cell>
          <cell r="L138">
            <v>3</v>
          </cell>
        </row>
        <row r="139">
          <cell r="B139" t="str">
            <v>S-0023</v>
          </cell>
          <cell r="G139" t="str">
            <v>Medium</v>
          </cell>
          <cell r="L139">
            <v>2</v>
          </cell>
        </row>
        <row r="140">
          <cell r="B140" t="str">
            <v>S-0024</v>
          </cell>
          <cell r="G140" t="str">
            <v>Low</v>
          </cell>
          <cell r="L140">
            <v>1</v>
          </cell>
        </row>
        <row r="141">
          <cell r="B141" t="str">
            <v>S-0024</v>
          </cell>
          <cell r="G141" t="str">
            <v>Low</v>
          </cell>
          <cell r="L141">
            <v>1</v>
          </cell>
        </row>
        <row r="142">
          <cell r="B142" t="str">
            <v>S-0024</v>
          </cell>
          <cell r="G142" t="str">
            <v>Low</v>
          </cell>
          <cell r="L142">
            <v>1</v>
          </cell>
        </row>
        <row r="143">
          <cell r="B143" t="str">
            <v>S-0024</v>
          </cell>
          <cell r="G143" t="str">
            <v>Medium</v>
          </cell>
          <cell r="L143">
            <v>2</v>
          </cell>
        </row>
        <row r="144">
          <cell r="B144" t="str">
            <v>S-0024</v>
          </cell>
          <cell r="G144" t="str">
            <v>Low</v>
          </cell>
          <cell r="L144">
            <v>1</v>
          </cell>
        </row>
        <row r="145">
          <cell r="B145" t="str">
            <v>S-0024</v>
          </cell>
          <cell r="G145" t="str">
            <v>Low</v>
          </cell>
          <cell r="L145">
            <v>1</v>
          </cell>
        </row>
        <row r="146">
          <cell r="B146" t="str">
            <v>S-0025</v>
          </cell>
          <cell r="G146" t="str">
            <v>Low</v>
          </cell>
          <cell r="L146">
            <v>1</v>
          </cell>
        </row>
        <row r="147">
          <cell r="B147" t="str">
            <v>S-0025</v>
          </cell>
          <cell r="G147" t="str">
            <v>Medium</v>
          </cell>
          <cell r="L147">
            <v>2</v>
          </cell>
        </row>
        <row r="148">
          <cell r="B148" t="str">
            <v>S-0025</v>
          </cell>
          <cell r="G148" t="str">
            <v>Medium</v>
          </cell>
          <cell r="L148">
            <v>2</v>
          </cell>
        </row>
        <row r="149">
          <cell r="B149" t="str">
            <v>S-0025</v>
          </cell>
          <cell r="G149" t="str">
            <v>Medium</v>
          </cell>
          <cell r="L149">
            <v>2</v>
          </cell>
        </row>
        <row r="150">
          <cell r="B150" t="str">
            <v>S-0025</v>
          </cell>
          <cell r="G150" t="str">
            <v>Medium</v>
          </cell>
          <cell r="L150">
            <v>2</v>
          </cell>
        </row>
        <row r="151">
          <cell r="B151" t="str">
            <v>S-0025</v>
          </cell>
          <cell r="G151" t="str">
            <v>Medium</v>
          </cell>
          <cell r="L151">
            <v>2</v>
          </cell>
        </row>
        <row r="152">
          <cell r="B152" t="str">
            <v>S-0026</v>
          </cell>
          <cell r="G152" t="str">
            <v>Low</v>
          </cell>
          <cell r="L152">
            <v>1</v>
          </cell>
        </row>
        <row r="153">
          <cell r="B153" t="str">
            <v>S-0026</v>
          </cell>
          <cell r="G153" t="str">
            <v>Low</v>
          </cell>
          <cell r="L153">
            <v>1</v>
          </cell>
        </row>
        <row r="154">
          <cell r="B154" t="str">
            <v>S-0026</v>
          </cell>
          <cell r="G154" t="str">
            <v>Low</v>
          </cell>
          <cell r="L154">
            <v>1</v>
          </cell>
        </row>
        <row r="155">
          <cell r="B155" t="str">
            <v>S-0026</v>
          </cell>
          <cell r="G155" t="str">
            <v>Low</v>
          </cell>
          <cell r="L155">
            <v>1</v>
          </cell>
        </row>
        <row r="156">
          <cell r="B156" t="str">
            <v>S-0026</v>
          </cell>
          <cell r="G156" t="str">
            <v>Low</v>
          </cell>
          <cell r="L156">
            <v>1</v>
          </cell>
        </row>
        <row r="157">
          <cell r="B157" t="str">
            <v>S-0026</v>
          </cell>
          <cell r="G157" t="str">
            <v>Low</v>
          </cell>
          <cell r="L157">
            <v>1</v>
          </cell>
        </row>
        <row r="158">
          <cell r="B158" t="str">
            <v>S-0027</v>
          </cell>
          <cell r="G158" t="str">
            <v>Low</v>
          </cell>
          <cell r="L158">
            <v>1</v>
          </cell>
        </row>
        <row r="159">
          <cell r="B159" t="str">
            <v>S-0027</v>
          </cell>
          <cell r="G159" t="str">
            <v>Low</v>
          </cell>
          <cell r="L159">
            <v>1</v>
          </cell>
        </row>
        <row r="160">
          <cell r="B160" t="str">
            <v>S-0027</v>
          </cell>
          <cell r="G160" t="str">
            <v>Medium</v>
          </cell>
          <cell r="L160">
            <v>2</v>
          </cell>
        </row>
        <row r="161">
          <cell r="B161" t="str">
            <v>S-0027</v>
          </cell>
          <cell r="G161" t="str">
            <v>Low</v>
          </cell>
          <cell r="L161">
            <v>1</v>
          </cell>
        </row>
        <row r="162">
          <cell r="B162" t="str">
            <v>S-0027</v>
          </cell>
          <cell r="G162" t="str">
            <v>Medium</v>
          </cell>
          <cell r="L162">
            <v>2</v>
          </cell>
        </row>
        <row r="163">
          <cell r="B163" t="str">
            <v>S-0027</v>
          </cell>
          <cell r="G163" t="str">
            <v>Low</v>
          </cell>
          <cell r="L163">
            <v>1</v>
          </cell>
        </row>
        <row r="164">
          <cell r="B164" t="str">
            <v>S-0028</v>
          </cell>
          <cell r="G164" t="str">
            <v>Low</v>
          </cell>
          <cell r="L164">
            <v>1</v>
          </cell>
        </row>
        <row r="165">
          <cell r="B165" t="str">
            <v>S-0028</v>
          </cell>
          <cell r="G165" t="str">
            <v>Low</v>
          </cell>
          <cell r="L165">
            <v>1</v>
          </cell>
        </row>
        <row r="166">
          <cell r="B166" t="str">
            <v>S-0028</v>
          </cell>
          <cell r="G166" t="str">
            <v>High</v>
          </cell>
          <cell r="L166">
            <v>3</v>
          </cell>
        </row>
        <row r="167">
          <cell r="B167" t="str">
            <v>S-0028</v>
          </cell>
          <cell r="G167" t="str">
            <v>Low</v>
          </cell>
          <cell r="L167">
            <v>1</v>
          </cell>
        </row>
        <row r="168">
          <cell r="B168" t="str">
            <v>S-0028</v>
          </cell>
          <cell r="G168" t="str">
            <v>Low</v>
          </cell>
          <cell r="L168">
            <v>1</v>
          </cell>
        </row>
        <row r="169">
          <cell r="B169" t="str">
            <v>S-0028</v>
          </cell>
          <cell r="G169" t="str">
            <v>Low</v>
          </cell>
          <cell r="L169">
            <v>1</v>
          </cell>
        </row>
        <row r="170">
          <cell r="B170" t="str">
            <v>S-0029</v>
          </cell>
          <cell r="G170" t="str">
            <v>Low</v>
          </cell>
          <cell r="L170">
            <v>1</v>
          </cell>
        </row>
        <row r="171">
          <cell r="B171" t="str">
            <v>S-0029</v>
          </cell>
          <cell r="G171" t="str">
            <v>Medium</v>
          </cell>
          <cell r="L171">
            <v>2</v>
          </cell>
        </row>
        <row r="172">
          <cell r="B172" t="str">
            <v>S-0029</v>
          </cell>
          <cell r="G172" t="str">
            <v>Medium</v>
          </cell>
          <cell r="L172">
            <v>2</v>
          </cell>
        </row>
        <row r="173">
          <cell r="B173" t="str">
            <v>S-0029</v>
          </cell>
          <cell r="G173" t="str">
            <v>Medium</v>
          </cell>
          <cell r="L173">
            <v>2</v>
          </cell>
        </row>
        <row r="174">
          <cell r="B174" t="str">
            <v>S-0029</v>
          </cell>
          <cell r="G174" t="str">
            <v>Medium</v>
          </cell>
          <cell r="L174">
            <v>2</v>
          </cell>
        </row>
        <row r="175">
          <cell r="B175" t="str">
            <v>S-0029</v>
          </cell>
          <cell r="G175" t="str">
            <v>High</v>
          </cell>
          <cell r="L175">
            <v>3</v>
          </cell>
        </row>
        <row r="176">
          <cell r="B176" t="str">
            <v>S-0030</v>
          </cell>
          <cell r="G176" t="str">
            <v>High</v>
          </cell>
          <cell r="L176">
            <v>3</v>
          </cell>
        </row>
        <row r="177">
          <cell r="B177" t="str">
            <v>S-0030</v>
          </cell>
          <cell r="G177" t="str">
            <v>High</v>
          </cell>
          <cell r="L177">
            <v>3</v>
          </cell>
        </row>
        <row r="178">
          <cell r="B178" t="str">
            <v>S-0030</v>
          </cell>
          <cell r="G178" t="str">
            <v>Low</v>
          </cell>
          <cell r="L178">
            <v>1</v>
          </cell>
        </row>
        <row r="179">
          <cell r="B179" t="str">
            <v>S-0030</v>
          </cell>
          <cell r="G179" t="str">
            <v>Low</v>
          </cell>
          <cell r="L179">
            <v>1</v>
          </cell>
        </row>
        <row r="180">
          <cell r="B180" t="str">
            <v>S-0030</v>
          </cell>
          <cell r="G180" t="str">
            <v>Low</v>
          </cell>
          <cell r="L180">
            <v>1</v>
          </cell>
        </row>
        <row r="181">
          <cell r="B181" t="str">
            <v>S-0030</v>
          </cell>
          <cell r="G181" t="str">
            <v>Medium</v>
          </cell>
          <cell r="L181">
            <v>2</v>
          </cell>
        </row>
        <row r="182">
          <cell r="B182" t="str">
            <v>S-0031</v>
          </cell>
          <cell r="G182" t="str">
            <v>Medium</v>
          </cell>
          <cell r="L182">
            <v>2</v>
          </cell>
        </row>
        <row r="183">
          <cell r="B183" t="str">
            <v>S-0031</v>
          </cell>
          <cell r="G183" t="str">
            <v>Low</v>
          </cell>
          <cell r="L183">
            <v>1</v>
          </cell>
        </row>
        <row r="184">
          <cell r="B184" t="str">
            <v>S-0031</v>
          </cell>
          <cell r="G184" t="str">
            <v>Low</v>
          </cell>
          <cell r="L184">
            <v>1</v>
          </cell>
        </row>
        <row r="185">
          <cell r="B185" t="str">
            <v>S-0031</v>
          </cell>
          <cell r="G185" t="str">
            <v>Low</v>
          </cell>
          <cell r="L185">
            <v>1</v>
          </cell>
        </row>
        <row r="186">
          <cell r="B186" t="str">
            <v>S-0031</v>
          </cell>
          <cell r="G186" t="str">
            <v>Low</v>
          </cell>
          <cell r="L186">
            <v>1</v>
          </cell>
        </row>
        <row r="187">
          <cell r="B187" t="str">
            <v>S-0031</v>
          </cell>
          <cell r="G187" t="str">
            <v>Medium</v>
          </cell>
          <cell r="L187">
            <v>2</v>
          </cell>
        </row>
        <row r="188">
          <cell r="B188" t="str">
            <v>S-0032</v>
          </cell>
          <cell r="G188" t="str">
            <v>High</v>
          </cell>
          <cell r="L188">
            <v>3</v>
          </cell>
        </row>
        <row r="189">
          <cell r="B189" t="str">
            <v>S-0032</v>
          </cell>
          <cell r="G189" t="str">
            <v>Low</v>
          </cell>
          <cell r="L189">
            <v>1</v>
          </cell>
        </row>
        <row r="190">
          <cell r="B190" t="str">
            <v>S-0032</v>
          </cell>
          <cell r="G190" t="str">
            <v>Medium</v>
          </cell>
          <cell r="L190">
            <v>2</v>
          </cell>
        </row>
        <row r="191">
          <cell r="B191" t="str">
            <v>S-0032</v>
          </cell>
          <cell r="G191" t="str">
            <v>Low</v>
          </cell>
          <cell r="L191">
            <v>1</v>
          </cell>
        </row>
        <row r="192">
          <cell r="B192" t="str">
            <v>S-0032</v>
          </cell>
          <cell r="G192" t="str">
            <v>Low</v>
          </cell>
          <cell r="L192">
            <v>1</v>
          </cell>
        </row>
        <row r="193">
          <cell r="B193" t="str">
            <v>S-0032</v>
          </cell>
          <cell r="G193" t="str">
            <v>High</v>
          </cell>
          <cell r="L193">
            <v>3</v>
          </cell>
        </row>
        <row r="194">
          <cell r="B194" t="str">
            <v>S-0033</v>
          </cell>
          <cell r="G194" t="str">
            <v>Low</v>
          </cell>
          <cell r="L194">
            <v>1</v>
          </cell>
        </row>
        <row r="195">
          <cell r="B195" t="str">
            <v>S-0033</v>
          </cell>
          <cell r="G195" t="str">
            <v>High</v>
          </cell>
          <cell r="L195">
            <v>3</v>
          </cell>
        </row>
        <row r="196">
          <cell r="B196" t="str">
            <v>S-0033</v>
          </cell>
          <cell r="G196" t="str">
            <v>Low</v>
          </cell>
          <cell r="L196">
            <v>1</v>
          </cell>
        </row>
        <row r="197">
          <cell r="B197" t="str">
            <v>S-0033</v>
          </cell>
          <cell r="G197" t="str">
            <v>Low</v>
          </cell>
          <cell r="L197">
            <v>1</v>
          </cell>
        </row>
        <row r="198">
          <cell r="B198" t="str">
            <v>S-0033</v>
          </cell>
          <cell r="G198" t="str">
            <v>Low</v>
          </cell>
          <cell r="L198">
            <v>1</v>
          </cell>
        </row>
        <row r="199">
          <cell r="B199" t="str">
            <v>S-0033</v>
          </cell>
          <cell r="G199" t="str">
            <v>Low</v>
          </cell>
          <cell r="L199">
            <v>1</v>
          </cell>
        </row>
        <row r="200">
          <cell r="B200" t="str">
            <v>S-0034</v>
          </cell>
          <cell r="G200" t="str">
            <v>Medium</v>
          </cell>
          <cell r="L200">
            <v>2</v>
          </cell>
        </row>
        <row r="201">
          <cell r="B201" t="str">
            <v>S-0034</v>
          </cell>
          <cell r="G201" t="str">
            <v>Medium</v>
          </cell>
          <cell r="L201">
            <v>2</v>
          </cell>
        </row>
        <row r="202">
          <cell r="B202" t="str">
            <v>S-0034</v>
          </cell>
          <cell r="G202" t="str">
            <v>High</v>
          </cell>
          <cell r="L202">
            <v>3</v>
          </cell>
        </row>
        <row r="203">
          <cell r="B203" t="str">
            <v>S-0034</v>
          </cell>
          <cell r="G203" t="str">
            <v>Medium</v>
          </cell>
          <cell r="L203">
            <v>2</v>
          </cell>
        </row>
        <row r="204">
          <cell r="B204" t="str">
            <v>S-0034</v>
          </cell>
          <cell r="G204" t="str">
            <v>Low</v>
          </cell>
          <cell r="L204">
            <v>1</v>
          </cell>
        </row>
        <row r="205">
          <cell r="B205" t="str">
            <v>S-0034</v>
          </cell>
          <cell r="G205" t="str">
            <v>Low</v>
          </cell>
          <cell r="L205">
            <v>1</v>
          </cell>
        </row>
        <row r="206">
          <cell r="B206" t="str">
            <v>S-0035</v>
          </cell>
          <cell r="G206" t="str">
            <v>Low</v>
          </cell>
          <cell r="L206">
            <v>1</v>
          </cell>
        </row>
        <row r="207">
          <cell r="B207" t="str">
            <v>S-0035</v>
          </cell>
          <cell r="G207" t="str">
            <v>Low</v>
          </cell>
          <cell r="L207">
            <v>1</v>
          </cell>
        </row>
        <row r="208">
          <cell r="B208" t="str">
            <v>S-0035</v>
          </cell>
          <cell r="G208" t="str">
            <v>Medium</v>
          </cell>
          <cell r="L208">
            <v>2</v>
          </cell>
        </row>
        <row r="209">
          <cell r="B209" t="str">
            <v>S-0035</v>
          </cell>
          <cell r="G209" t="str">
            <v>Low</v>
          </cell>
          <cell r="L209">
            <v>1</v>
          </cell>
        </row>
        <row r="210">
          <cell r="B210" t="str">
            <v>S-0035</v>
          </cell>
          <cell r="G210" t="str">
            <v>Medium</v>
          </cell>
          <cell r="L210">
            <v>2</v>
          </cell>
        </row>
        <row r="211">
          <cell r="B211" t="str">
            <v>S-0035</v>
          </cell>
          <cell r="G211" t="str">
            <v>Medium</v>
          </cell>
          <cell r="L211">
            <v>2</v>
          </cell>
        </row>
        <row r="212">
          <cell r="B212" t="str">
            <v>S-0036</v>
          </cell>
          <cell r="G212" t="str">
            <v>Medium</v>
          </cell>
          <cell r="L212">
            <v>2</v>
          </cell>
        </row>
        <row r="213">
          <cell r="B213" t="str">
            <v>S-0036</v>
          </cell>
          <cell r="G213" t="str">
            <v>Low</v>
          </cell>
          <cell r="L213">
            <v>1</v>
          </cell>
        </row>
        <row r="214">
          <cell r="B214" t="str">
            <v>S-0036</v>
          </cell>
          <cell r="G214" t="str">
            <v>Low</v>
          </cell>
          <cell r="L214">
            <v>1</v>
          </cell>
        </row>
        <row r="215">
          <cell r="B215" t="str">
            <v>S-0036</v>
          </cell>
          <cell r="G215" t="str">
            <v>Medium</v>
          </cell>
          <cell r="L215">
            <v>2</v>
          </cell>
        </row>
        <row r="216">
          <cell r="B216" t="str">
            <v>S-0036</v>
          </cell>
          <cell r="G216" t="str">
            <v>Medium</v>
          </cell>
          <cell r="L216">
            <v>2</v>
          </cell>
        </row>
        <row r="217">
          <cell r="B217" t="str">
            <v>S-0036</v>
          </cell>
          <cell r="G217" t="str">
            <v>Medium</v>
          </cell>
          <cell r="L217">
            <v>2</v>
          </cell>
        </row>
        <row r="218">
          <cell r="B218" t="str">
            <v>S-0037</v>
          </cell>
          <cell r="G218" t="str">
            <v>Medium</v>
          </cell>
          <cell r="L218">
            <v>2</v>
          </cell>
        </row>
        <row r="219">
          <cell r="B219" t="str">
            <v>S-0037</v>
          </cell>
          <cell r="G219" t="str">
            <v>High</v>
          </cell>
          <cell r="L219">
            <v>3</v>
          </cell>
        </row>
        <row r="220">
          <cell r="B220" t="str">
            <v>S-0037</v>
          </cell>
          <cell r="G220" t="str">
            <v>Low</v>
          </cell>
          <cell r="L220">
            <v>1</v>
          </cell>
        </row>
        <row r="221">
          <cell r="B221" t="str">
            <v>S-0037</v>
          </cell>
          <cell r="G221" t="str">
            <v>Medium</v>
          </cell>
          <cell r="L221">
            <v>2</v>
          </cell>
        </row>
        <row r="222">
          <cell r="B222" t="str">
            <v>S-0037</v>
          </cell>
          <cell r="G222" t="str">
            <v>Low</v>
          </cell>
          <cell r="L222">
            <v>1</v>
          </cell>
        </row>
        <row r="223">
          <cell r="B223" t="str">
            <v>S-0037</v>
          </cell>
          <cell r="G223" t="str">
            <v>High</v>
          </cell>
          <cell r="L223">
            <v>3</v>
          </cell>
        </row>
        <row r="224">
          <cell r="B224" t="str">
            <v>S-0038</v>
          </cell>
          <cell r="G224" t="str">
            <v>High</v>
          </cell>
          <cell r="L224">
            <v>3</v>
          </cell>
        </row>
        <row r="225">
          <cell r="B225" t="str">
            <v>S-0038</v>
          </cell>
          <cell r="G225" t="str">
            <v>Medium</v>
          </cell>
          <cell r="L225">
            <v>2</v>
          </cell>
        </row>
        <row r="226">
          <cell r="B226" t="str">
            <v>S-0038</v>
          </cell>
          <cell r="G226" t="str">
            <v>Low</v>
          </cell>
          <cell r="L226">
            <v>1</v>
          </cell>
        </row>
        <row r="227">
          <cell r="B227" t="str">
            <v>S-0038</v>
          </cell>
          <cell r="G227" t="str">
            <v>Low</v>
          </cell>
          <cell r="L227">
            <v>1</v>
          </cell>
        </row>
        <row r="228">
          <cell r="B228" t="str">
            <v>S-0038</v>
          </cell>
          <cell r="G228" t="str">
            <v>Low</v>
          </cell>
          <cell r="L228">
            <v>1</v>
          </cell>
        </row>
        <row r="229">
          <cell r="B229" t="str">
            <v>S-0038</v>
          </cell>
          <cell r="G229" t="str">
            <v>Medium</v>
          </cell>
          <cell r="L229">
            <v>2</v>
          </cell>
        </row>
        <row r="230">
          <cell r="B230" t="str">
            <v>S-0039</v>
          </cell>
          <cell r="G230" t="str">
            <v>Medium</v>
          </cell>
          <cell r="L230">
            <v>2</v>
          </cell>
        </row>
        <row r="231">
          <cell r="B231" t="str">
            <v>S-0039</v>
          </cell>
          <cell r="G231" t="str">
            <v>Medium</v>
          </cell>
          <cell r="L231">
            <v>2</v>
          </cell>
        </row>
        <row r="232">
          <cell r="B232" t="str">
            <v>S-0039</v>
          </cell>
          <cell r="G232" t="str">
            <v>Medium</v>
          </cell>
          <cell r="L232">
            <v>2</v>
          </cell>
        </row>
        <row r="233">
          <cell r="B233" t="str">
            <v>S-0039</v>
          </cell>
          <cell r="G233" t="str">
            <v>Low</v>
          </cell>
          <cell r="L233">
            <v>1</v>
          </cell>
        </row>
        <row r="234">
          <cell r="B234" t="str">
            <v>S-0039</v>
          </cell>
          <cell r="G234" t="str">
            <v>Medium</v>
          </cell>
          <cell r="L234">
            <v>2</v>
          </cell>
        </row>
        <row r="235">
          <cell r="B235" t="str">
            <v>S-0039</v>
          </cell>
          <cell r="G235" t="str">
            <v>Medium</v>
          </cell>
          <cell r="L235">
            <v>2</v>
          </cell>
        </row>
        <row r="236">
          <cell r="B236" t="str">
            <v>S-0040</v>
          </cell>
          <cell r="G236" t="str">
            <v>Medium</v>
          </cell>
          <cell r="L236">
            <v>2</v>
          </cell>
        </row>
        <row r="237">
          <cell r="B237" t="str">
            <v>S-0040</v>
          </cell>
          <cell r="G237" t="str">
            <v>High</v>
          </cell>
          <cell r="L237">
            <v>3</v>
          </cell>
        </row>
        <row r="238">
          <cell r="B238" t="str">
            <v>S-0040</v>
          </cell>
          <cell r="G238" t="str">
            <v>Low</v>
          </cell>
          <cell r="L238">
            <v>1</v>
          </cell>
        </row>
        <row r="239">
          <cell r="B239" t="str">
            <v>S-0040</v>
          </cell>
          <cell r="G239" t="str">
            <v>Medium</v>
          </cell>
          <cell r="L239">
            <v>2</v>
          </cell>
        </row>
        <row r="240">
          <cell r="B240" t="str">
            <v>S-0040</v>
          </cell>
          <cell r="G240" t="str">
            <v>Low</v>
          </cell>
          <cell r="L240">
            <v>1</v>
          </cell>
        </row>
        <row r="241">
          <cell r="B241" t="str">
            <v>S-0040</v>
          </cell>
          <cell r="G241" t="str">
            <v>Medium</v>
          </cell>
          <cell r="L241">
            <v>2</v>
          </cell>
        </row>
        <row r="242">
          <cell r="B242" t="str">
            <v>S-0041</v>
          </cell>
          <cell r="G242" t="str">
            <v>Low</v>
          </cell>
          <cell r="L242">
            <v>1</v>
          </cell>
        </row>
        <row r="243">
          <cell r="B243" t="str">
            <v>S-0041</v>
          </cell>
          <cell r="G243" t="str">
            <v>Medium</v>
          </cell>
          <cell r="L243">
            <v>2</v>
          </cell>
        </row>
        <row r="244">
          <cell r="B244" t="str">
            <v>S-0041</v>
          </cell>
          <cell r="G244" t="str">
            <v>Low</v>
          </cell>
          <cell r="L244">
            <v>1</v>
          </cell>
        </row>
        <row r="245">
          <cell r="B245" t="str">
            <v>S-0041</v>
          </cell>
          <cell r="G245" t="str">
            <v>Medium</v>
          </cell>
          <cell r="L245">
            <v>2</v>
          </cell>
        </row>
        <row r="246">
          <cell r="B246" t="str">
            <v>S-0041</v>
          </cell>
          <cell r="G246" t="str">
            <v>Low</v>
          </cell>
          <cell r="L246">
            <v>1</v>
          </cell>
        </row>
        <row r="247">
          <cell r="B247" t="str">
            <v>S-0041</v>
          </cell>
          <cell r="G247" t="str">
            <v>Low</v>
          </cell>
          <cell r="L247">
            <v>1</v>
          </cell>
        </row>
        <row r="248">
          <cell r="B248" t="str">
            <v>S-0042</v>
          </cell>
          <cell r="G248" t="str">
            <v>Low</v>
          </cell>
          <cell r="L248">
            <v>1</v>
          </cell>
        </row>
        <row r="249">
          <cell r="B249" t="str">
            <v>S-0042</v>
          </cell>
          <cell r="G249" t="str">
            <v>Low</v>
          </cell>
          <cell r="L249">
            <v>1</v>
          </cell>
        </row>
        <row r="250">
          <cell r="B250" t="str">
            <v>S-0042</v>
          </cell>
          <cell r="G250" t="str">
            <v>Low</v>
          </cell>
          <cell r="L250">
            <v>1</v>
          </cell>
        </row>
        <row r="251">
          <cell r="B251" t="str">
            <v>S-0042</v>
          </cell>
          <cell r="G251" t="str">
            <v>Low</v>
          </cell>
          <cell r="L251">
            <v>1</v>
          </cell>
        </row>
        <row r="252">
          <cell r="B252" t="str">
            <v>S-0042</v>
          </cell>
          <cell r="G252" t="str">
            <v>Low</v>
          </cell>
          <cell r="L252">
            <v>1</v>
          </cell>
        </row>
        <row r="253">
          <cell r="B253" t="str">
            <v>S-0042</v>
          </cell>
          <cell r="G253" t="str">
            <v>Low</v>
          </cell>
          <cell r="L253">
            <v>1</v>
          </cell>
        </row>
        <row r="254">
          <cell r="B254" t="str">
            <v>S-0043</v>
          </cell>
          <cell r="G254" t="str">
            <v>High</v>
          </cell>
          <cell r="L254">
            <v>3</v>
          </cell>
        </row>
        <row r="255">
          <cell r="B255" t="str">
            <v>S-0043</v>
          </cell>
          <cell r="G255" t="str">
            <v>Medium</v>
          </cell>
          <cell r="L255">
            <v>2</v>
          </cell>
        </row>
        <row r="256">
          <cell r="B256" t="str">
            <v>S-0043</v>
          </cell>
          <cell r="G256" t="str">
            <v>Low</v>
          </cell>
          <cell r="L256">
            <v>1</v>
          </cell>
        </row>
        <row r="257">
          <cell r="B257" t="str">
            <v>S-0043</v>
          </cell>
          <cell r="G257" t="str">
            <v>Low</v>
          </cell>
          <cell r="L257">
            <v>1</v>
          </cell>
        </row>
        <row r="258">
          <cell r="B258" t="str">
            <v>S-0043</v>
          </cell>
          <cell r="G258" t="str">
            <v>Low</v>
          </cell>
          <cell r="L258">
            <v>1</v>
          </cell>
        </row>
        <row r="259">
          <cell r="B259" t="str">
            <v>S-0043</v>
          </cell>
          <cell r="G259" t="str">
            <v>High</v>
          </cell>
          <cell r="L259">
            <v>3</v>
          </cell>
        </row>
        <row r="260">
          <cell r="B260" t="str">
            <v>S-0044</v>
          </cell>
          <cell r="G260" t="str">
            <v>Low</v>
          </cell>
          <cell r="L260">
            <v>1</v>
          </cell>
        </row>
        <row r="261">
          <cell r="B261" t="str">
            <v>S-0044</v>
          </cell>
          <cell r="G261" t="str">
            <v>Medium</v>
          </cell>
          <cell r="L261">
            <v>2</v>
          </cell>
        </row>
        <row r="262">
          <cell r="B262" t="str">
            <v>S-0044</v>
          </cell>
          <cell r="G262" t="str">
            <v>Low</v>
          </cell>
          <cell r="L262">
            <v>1</v>
          </cell>
        </row>
        <row r="263">
          <cell r="B263" t="str">
            <v>S-0044</v>
          </cell>
          <cell r="G263" t="str">
            <v>High</v>
          </cell>
          <cell r="L263">
            <v>3</v>
          </cell>
        </row>
        <row r="264">
          <cell r="B264" t="str">
            <v>S-0044</v>
          </cell>
          <cell r="G264" t="str">
            <v>Medium</v>
          </cell>
          <cell r="L264">
            <v>2</v>
          </cell>
        </row>
        <row r="265">
          <cell r="B265" t="str">
            <v>S-0044</v>
          </cell>
          <cell r="G265" t="str">
            <v>Medium</v>
          </cell>
          <cell r="L265">
            <v>2</v>
          </cell>
        </row>
        <row r="266">
          <cell r="B266" t="str">
            <v>S-0045</v>
          </cell>
          <cell r="G266" t="str">
            <v>Low</v>
          </cell>
          <cell r="L266">
            <v>1</v>
          </cell>
        </row>
        <row r="267">
          <cell r="B267" t="str">
            <v>S-0045</v>
          </cell>
          <cell r="G267" t="str">
            <v>Medium</v>
          </cell>
          <cell r="L267">
            <v>2</v>
          </cell>
        </row>
        <row r="268">
          <cell r="B268" t="str">
            <v>S-0045</v>
          </cell>
          <cell r="G268" t="str">
            <v>Low</v>
          </cell>
          <cell r="L268">
            <v>1</v>
          </cell>
        </row>
        <row r="269">
          <cell r="B269" t="str">
            <v>S-0045</v>
          </cell>
          <cell r="G269" t="str">
            <v>Low</v>
          </cell>
          <cell r="L269">
            <v>1</v>
          </cell>
        </row>
        <row r="270">
          <cell r="B270" t="str">
            <v>S-0045</v>
          </cell>
          <cell r="G270" t="str">
            <v>Medium</v>
          </cell>
          <cell r="L270">
            <v>2</v>
          </cell>
        </row>
        <row r="271">
          <cell r="B271" t="str">
            <v>S-0045</v>
          </cell>
          <cell r="G271" t="str">
            <v>Low</v>
          </cell>
          <cell r="L271">
            <v>1</v>
          </cell>
        </row>
        <row r="272">
          <cell r="B272" t="str">
            <v>S-0046</v>
          </cell>
          <cell r="G272" t="str">
            <v>Low</v>
          </cell>
          <cell r="L272">
            <v>1</v>
          </cell>
        </row>
        <row r="273">
          <cell r="B273" t="str">
            <v>S-0046</v>
          </cell>
          <cell r="G273" t="str">
            <v>Low</v>
          </cell>
          <cell r="L273">
            <v>1</v>
          </cell>
        </row>
        <row r="274">
          <cell r="B274" t="str">
            <v>S-0046</v>
          </cell>
          <cell r="G274" t="str">
            <v>Low</v>
          </cell>
          <cell r="L274">
            <v>1</v>
          </cell>
        </row>
        <row r="275">
          <cell r="B275" t="str">
            <v>S-0046</v>
          </cell>
          <cell r="G275" t="str">
            <v>High</v>
          </cell>
          <cell r="L275">
            <v>3</v>
          </cell>
        </row>
        <row r="276">
          <cell r="B276" t="str">
            <v>S-0046</v>
          </cell>
          <cell r="G276" t="str">
            <v>Low</v>
          </cell>
          <cell r="L276">
            <v>1</v>
          </cell>
        </row>
        <row r="277">
          <cell r="B277" t="str">
            <v>S-0046</v>
          </cell>
          <cell r="G277" t="str">
            <v>Medium</v>
          </cell>
          <cell r="L277">
            <v>2</v>
          </cell>
        </row>
        <row r="278">
          <cell r="B278" t="str">
            <v>S-0047</v>
          </cell>
          <cell r="G278" t="str">
            <v>Low</v>
          </cell>
          <cell r="L278">
            <v>1</v>
          </cell>
        </row>
        <row r="279">
          <cell r="B279" t="str">
            <v>S-0047</v>
          </cell>
          <cell r="G279" t="str">
            <v>Low</v>
          </cell>
          <cell r="L279">
            <v>1</v>
          </cell>
        </row>
        <row r="280">
          <cell r="B280" t="str">
            <v>S-0047</v>
          </cell>
          <cell r="G280" t="str">
            <v>Low</v>
          </cell>
          <cell r="L280">
            <v>1</v>
          </cell>
        </row>
        <row r="281">
          <cell r="B281" t="str">
            <v>S-0047</v>
          </cell>
          <cell r="G281" t="str">
            <v>Medium</v>
          </cell>
          <cell r="L281">
            <v>2</v>
          </cell>
        </row>
        <row r="282">
          <cell r="B282" t="str">
            <v>S-0047</v>
          </cell>
          <cell r="G282" t="str">
            <v>High</v>
          </cell>
          <cell r="L282">
            <v>3</v>
          </cell>
        </row>
        <row r="283">
          <cell r="B283" t="str">
            <v>S-0047</v>
          </cell>
          <cell r="G283" t="str">
            <v>Low</v>
          </cell>
          <cell r="L283">
            <v>1</v>
          </cell>
        </row>
        <row r="284">
          <cell r="B284" t="str">
            <v>S-0048</v>
          </cell>
          <cell r="G284" t="str">
            <v>Medium</v>
          </cell>
          <cell r="L284">
            <v>2</v>
          </cell>
        </row>
        <row r="285">
          <cell r="B285" t="str">
            <v>S-0048</v>
          </cell>
          <cell r="G285" t="str">
            <v>Low</v>
          </cell>
          <cell r="L285">
            <v>1</v>
          </cell>
        </row>
        <row r="286">
          <cell r="B286" t="str">
            <v>S-0048</v>
          </cell>
          <cell r="G286" t="str">
            <v>High</v>
          </cell>
          <cell r="L286">
            <v>3</v>
          </cell>
        </row>
        <row r="287">
          <cell r="B287" t="str">
            <v>S-0048</v>
          </cell>
          <cell r="G287" t="str">
            <v>High</v>
          </cell>
          <cell r="L287">
            <v>3</v>
          </cell>
        </row>
        <row r="288">
          <cell r="B288" t="str">
            <v>S-0048</v>
          </cell>
          <cell r="G288" t="str">
            <v>High</v>
          </cell>
          <cell r="L288">
            <v>3</v>
          </cell>
        </row>
        <row r="289">
          <cell r="B289" t="str">
            <v>S-0048</v>
          </cell>
          <cell r="G289" t="str">
            <v>Low</v>
          </cell>
          <cell r="L289">
            <v>1</v>
          </cell>
        </row>
        <row r="290">
          <cell r="B290" t="str">
            <v>S-0049</v>
          </cell>
          <cell r="G290" t="str">
            <v>Medium</v>
          </cell>
          <cell r="L290">
            <v>2</v>
          </cell>
        </row>
        <row r="291">
          <cell r="B291" t="str">
            <v>S-0049</v>
          </cell>
          <cell r="G291" t="str">
            <v>Low</v>
          </cell>
          <cell r="L291">
            <v>1</v>
          </cell>
        </row>
        <row r="292">
          <cell r="B292" t="str">
            <v>S-0049</v>
          </cell>
          <cell r="G292" t="str">
            <v>Low</v>
          </cell>
          <cell r="L292">
            <v>1</v>
          </cell>
        </row>
        <row r="293">
          <cell r="B293" t="str">
            <v>S-0049</v>
          </cell>
          <cell r="G293" t="str">
            <v>Medium</v>
          </cell>
          <cell r="L293">
            <v>2</v>
          </cell>
        </row>
        <row r="294">
          <cell r="B294" t="str">
            <v>S-0049</v>
          </cell>
          <cell r="G294" t="str">
            <v>Low</v>
          </cell>
          <cell r="L294">
            <v>1</v>
          </cell>
        </row>
        <row r="295">
          <cell r="B295" t="str">
            <v>S-0049</v>
          </cell>
          <cell r="G295" t="str">
            <v>Low</v>
          </cell>
          <cell r="L295">
            <v>1</v>
          </cell>
        </row>
        <row r="296">
          <cell r="B296" t="str">
            <v>S-0050</v>
          </cell>
          <cell r="G296" t="str">
            <v>High</v>
          </cell>
          <cell r="L296">
            <v>3</v>
          </cell>
        </row>
        <row r="297">
          <cell r="B297" t="str">
            <v>S-0050</v>
          </cell>
          <cell r="G297" t="str">
            <v>Medium</v>
          </cell>
          <cell r="L297">
            <v>2</v>
          </cell>
        </row>
        <row r="298">
          <cell r="B298" t="str">
            <v>S-0050</v>
          </cell>
          <cell r="G298" t="str">
            <v>Medium</v>
          </cell>
          <cell r="L298">
            <v>2</v>
          </cell>
        </row>
        <row r="299">
          <cell r="B299" t="str">
            <v>S-0050</v>
          </cell>
          <cell r="G299" t="str">
            <v>Low</v>
          </cell>
          <cell r="L299">
            <v>1</v>
          </cell>
        </row>
        <row r="300">
          <cell r="B300" t="str">
            <v>S-0050</v>
          </cell>
          <cell r="G300" t="str">
            <v>Low</v>
          </cell>
          <cell r="L300">
            <v>1</v>
          </cell>
        </row>
        <row r="301">
          <cell r="B301" t="str">
            <v>S-0050</v>
          </cell>
          <cell r="G301" t="str">
            <v>Low</v>
          </cell>
          <cell r="L301">
            <v>1</v>
          </cell>
        </row>
        <row r="302">
          <cell r="B302" t="str">
            <v>S-0051</v>
          </cell>
          <cell r="G302" t="str">
            <v>Low</v>
          </cell>
          <cell r="L302">
            <v>1</v>
          </cell>
        </row>
        <row r="303">
          <cell r="B303" t="str">
            <v>S-0051</v>
          </cell>
          <cell r="G303" t="str">
            <v>Medium</v>
          </cell>
          <cell r="L303">
            <v>2</v>
          </cell>
        </row>
        <row r="304">
          <cell r="B304" t="str">
            <v>S-0051</v>
          </cell>
          <cell r="G304" t="str">
            <v>Low</v>
          </cell>
          <cell r="L304">
            <v>1</v>
          </cell>
        </row>
        <row r="305">
          <cell r="B305" t="str">
            <v>S-0051</v>
          </cell>
          <cell r="G305" t="str">
            <v>Low</v>
          </cell>
          <cell r="L305">
            <v>1</v>
          </cell>
        </row>
        <row r="306">
          <cell r="B306" t="str">
            <v>S-0051</v>
          </cell>
          <cell r="G306" t="str">
            <v>Low</v>
          </cell>
          <cell r="L306">
            <v>1</v>
          </cell>
        </row>
        <row r="307">
          <cell r="B307" t="str">
            <v>S-0051</v>
          </cell>
          <cell r="G307" t="str">
            <v>High</v>
          </cell>
          <cell r="L307">
            <v>3</v>
          </cell>
        </row>
        <row r="308">
          <cell r="B308" t="str">
            <v>S-0052</v>
          </cell>
          <cell r="G308" t="str">
            <v>Low</v>
          </cell>
          <cell r="L308">
            <v>1</v>
          </cell>
        </row>
        <row r="309">
          <cell r="B309" t="str">
            <v>S-0052</v>
          </cell>
          <cell r="G309" t="str">
            <v>High</v>
          </cell>
          <cell r="L309">
            <v>3</v>
          </cell>
        </row>
        <row r="310">
          <cell r="B310" t="str">
            <v>S-0052</v>
          </cell>
          <cell r="G310" t="str">
            <v>High</v>
          </cell>
          <cell r="L310">
            <v>3</v>
          </cell>
        </row>
        <row r="311">
          <cell r="B311" t="str">
            <v>S-0052</v>
          </cell>
          <cell r="G311" t="str">
            <v>Low</v>
          </cell>
          <cell r="L311">
            <v>1</v>
          </cell>
        </row>
        <row r="312">
          <cell r="B312" t="str">
            <v>S-0052</v>
          </cell>
          <cell r="G312" t="str">
            <v>High</v>
          </cell>
          <cell r="L312">
            <v>3</v>
          </cell>
        </row>
        <row r="313">
          <cell r="B313" t="str">
            <v>S-0052</v>
          </cell>
          <cell r="G313" t="str">
            <v>Low</v>
          </cell>
          <cell r="L313">
            <v>1</v>
          </cell>
        </row>
        <row r="314">
          <cell r="B314" t="str">
            <v>S-0053</v>
          </cell>
          <cell r="G314" t="str">
            <v>Low</v>
          </cell>
          <cell r="L314">
            <v>1</v>
          </cell>
        </row>
        <row r="315">
          <cell r="B315" t="str">
            <v>S-0053</v>
          </cell>
          <cell r="G315" t="str">
            <v>Low</v>
          </cell>
          <cell r="L315">
            <v>1</v>
          </cell>
        </row>
        <row r="316">
          <cell r="B316" t="str">
            <v>S-0053</v>
          </cell>
          <cell r="G316" t="str">
            <v>Low</v>
          </cell>
          <cell r="L316">
            <v>1</v>
          </cell>
        </row>
        <row r="317">
          <cell r="B317" t="str">
            <v>S-0053</v>
          </cell>
          <cell r="G317" t="str">
            <v>Medium</v>
          </cell>
          <cell r="L317">
            <v>2</v>
          </cell>
        </row>
        <row r="318">
          <cell r="B318" t="str">
            <v>S-0053</v>
          </cell>
          <cell r="G318" t="str">
            <v>Medium</v>
          </cell>
          <cell r="L318">
            <v>2</v>
          </cell>
        </row>
        <row r="319">
          <cell r="B319" t="str">
            <v>S-0053</v>
          </cell>
          <cell r="G319" t="str">
            <v>High</v>
          </cell>
          <cell r="L319">
            <v>3</v>
          </cell>
        </row>
        <row r="320">
          <cell r="B320" t="str">
            <v>S-0054</v>
          </cell>
          <cell r="G320" t="str">
            <v>Medium</v>
          </cell>
          <cell r="L320">
            <v>2</v>
          </cell>
        </row>
        <row r="321">
          <cell r="B321" t="str">
            <v>S-0054</v>
          </cell>
          <cell r="G321" t="str">
            <v>Medium</v>
          </cell>
          <cell r="L321">
            <v>2</v>
          </cell>
        </row>
        <row r="322">
          <cell r="B322" t="str">
            <v>S-0054</v>
          </cell>
          <cell r="G322" t="str">
            <v>Low</v>
          </cell>
          <cell r="L322">
            <v>1</v>
          </cell>
        </row>
        <row r="323">
          <cell r="B323" t="str">
            <v>S-0054</v>
          </cell>
          <cell r="G323" t="str">
            <v>Low</v>
          </cell>
          <cell r="L323">
            <v>1</v>
          </cell>
        </row>
        <row r="324">
          <cell r="B324" t="str">
            <v>S-0054</v>
          </cell>
          <cell r="G324" t="str">
            <v>Low</v>
          </cell>
          <cell r="L324">
            <v>1</v>
          </cell>
        </row>
        <row r="325">
          <cell r="B325" t="str">
            <v>S-0054</v>
          </cell>
          <cell r="G325" t="str">
            <v>High</v>
          </cell>
          <cell r="L325">
            <v>3</v>
          </cell>
        </row>
        <row r="326">
          <cell r="B326" t="str">
            <v>S-0055</v>
          </cell>
          <cell r="G326" t="str">
            <v>Low</v>
          </cell>
          <cell r="L326">
            <v>1</v>
          </cell>
        </row>
        <row r="327">
          <cell r="B327" t="str">
            <v>S-0055</v>
          </cell>
          <cell r="G327" t="str">
            <v>Medium</v>
          </cell>
          <cell r="L327">
            <v>2</v>
          </cell>
        </row>
        <row r="328">
          <cell r="B328" t="str">
            <v>S-0055</v>
          </cell>
          <cell r="G328" t="str">
            <v>Low</v>
          </cell>
          <cell r="L328">
            <v>1</v>
          </cell>
        </row>
        <row r="329">
          <cell r="B329" t="str">
            <v>S-0055</v>
          </cell>
          <cell r="G329" t="str">
            <v>Low</v>
          </cell>
          <cell r="L329">
            <v>1</v>
          </cell>
        </row>
        <row r="330">
          <cell r="B330" t="str">
            <v>S-0055</v>
          </cell>
          <cell r="G330" t="str">
            <v>Medium</v>
          </cell>
          <cell r="L330">
            <v>2</v>
          </cell>
        </row>
        <row r="331">
          <cell r="B331" t="str">
            <v>S-0055</v>
          </cell>
          <cell r="G331" t="str">
            <v>Medium</v>
          </cell>
          <cell r="L331">
            <v>2</v>
          </cell>
        </row>
        <row r="332">
          <cell r="B332" t="str">
            <v>S-0056</v>
          </cell>
          <cell r="G332" t="str">
            <v>High</v>
          </cell>
          <cell r="L332">
            <v>3</v>
          </cell>
        </row>
        <row r="333">
          <cell r="B333" t="str">
            <v>S-0056</v>
          </cell>
          <cell r="G333" t="str">
            <v>Medium</v>
          </cell>
          <cell r="L333">
            <v>2</v>
          </cell>
        </row>
        <row r="334">
          <cell r="B334" t="str">
            <v>S-0056</v>
          </cell>
          <cell r="G334" t="str">
            <v>Medium</v>
          </cell>
          <cell r="L334">
            <v>2</v>
          </cell>
        </row>
        <row r="335">
          <cell r="B335" t="str">
            <v>S-0056</v>
          </cell>
          <cell r="G335" t="str">
            <v>Low</v>
          </cell>
          <cell r="L335">
            <v>1</v>
          </cell>
        </row>
        <row r="336">
          <cell r="B336" t="str">
            <v>S-0056</v>
          </cell>
          <cell r="G336" t="str">
            <v>Low</v>
          </cell>
          <cell r="L336">
            <v>1</v>
          </cell>
        </row>
        <row r="337">
          <cell r="B337" t="str">
            <v>S-0056</v>
          </cell>
          <cell r="G337" t="str">
            <v>Low</v>
          </cell>
          <cell r="L337">
            <v>1</v>
          </cell>
        </row>
        <row r="338">
          <cell r="B338" t="str">
            <v>S-0057</v>
          </cell>
          <cell r="G338" t="str">
            <v>Low</v>
          </cell>
          <cell r="L338">
            <v>1</v>
          </cell>
        </row>
        <row r="339">
          <cell r="B339" t="str">
            <v>S-0057</v>
          </cell>
          <cell r="G339" t="str">
            <v>Low</v>
          </cell>
          <cell r="L339">
            <v>1</v>
          </cell>
        </row>
        <row r="340">
          <cell r="B340" t="str">
            <v>S-0057</v>
          </cell>
          <cell r="G340" t="str">
            <v>Medium</v>
          </cell>
          <cell r="L340">
            <v>2</v>
          </cell>
        </row>
        <row r="341">
          <cell r="B341" t="str">
            <v>S-0057</v>
          </cell>
          <cell r="G341" t="str">
            <v>Medium</v>
          </cell>
          <cell r="L341">
            <v>2</v>
          </cell>
        </row>
        <row r="342">
          <cell r="B342" t="str">
            <v>S-0057</v>
          </cell>
          <cell r="G342" t="str">
            <v>Low</v>
          </cell>
          <cell r="L342">
            <v>1</v>
          </cell>
        </row>
        <row r="343">
          <cell r="B343" t="str">
            <v>S-0057</v>
          </cell>
          <cell r="G343" t="str">
            <v>High</v>
          </cell>
          <cell r="L343">
            <v>3</v>
          </cell>
        </row>
        <row r="344">
          <cell r="B344" t="str">
            <v>S-0058</v>
          </cell>
          <cell r="G344" t="str">
            <v>High</v>
          </cell>
          <cell r="L344">
            <v>3</v>
          </cell>
        </row>
        <row r="345">
          <cell r="B345" t="str">
            <v>S-0058</v>
          </cell>
          <cell r="G345" t="str">
            <v>Low</v>
          </cell>
          <cell r="L345">
            <v>1</v>
          </cell>
        </row>
        <row r="346">
          <cell r="B346" t="str">
            <v>S-0058</v>
          </cell>
          <cell r="G346" t="str">
            <v>Low</v>
          </cell>
          <cell r="L346">
            <v>1</v>
          </cell>
        </row>
        <row r="347">
          <cell r="B347" t="str">
            <v>S-0058</v>
          </cell>
          <cell r="G347" t="str">
            <v>Low</v>
          </cell>
          <cell r="L347">
            <v>1</v>
          </cell>
        </row>
        <row r="348">
          <cell r="B348" t="str">
            <v>S-0058</v>
          </cell>
          <cell r="G348" t="str">
            <v>Low</v>
          </cell>
          <cell r="L348">
            <v>1</v>
          </cell>
        </row>
        <row r="349">
          <cell r="B349" t="str">
            <v>S-0058</v>
          </cell>
          <cell r="G349" t="str">
            <v>High</v>
          </cell>
          <cell r="L349">
            <v>3</v>
          </cell>
        </row>
        <row r="350">
          <cell r="B350" t="str">
            <v>S-0059</v>
          </cell>
          <cell r="G350" t="str">
            <v>Low</v>
          </cell>
          <cell r="L350">
            <v>1</v>
          </cell>
        </row>
        <row r="351">
          <cell r="B351" t="str">
            <v>S-0059</v>
          </cell>
          <cell r="G351" t="str">
            <v>Medium</v>
          </cell>
          <cell r="L351">
            <v>2</v>
          </cell>
        </row>
        <row r="352">
          <cell r="B352" t="str">
            <v>S-0059</v>
          </cell>
          <cell r="G352" t="str">
            <v>Low</v>
          </cell>
          <cell r="L352">
            <v>1</v>
          </cell>
        </row>
        <row r="353">
          <cell r="B353" t="str">
            <v>S-0059</v>
          </cell>
          <cell r="G353" t="str">
            <v>Medium</v>
          </cell>
          <cell r="L353">
            <v>2</v>
          </cell>
        </row>
        <row r="354">
          <cell r="B354" t="str">
            <v>S-0059</v>
          </cell>
          <cell r="G354" t="str">
            <v>Low</v>
          </cell>
          <cell r="L354">
            <v>1</v>
          </cell>
        </row>
        <row r="355">
          <cell r="B355" t="str">
            <v>S-0059</v>
          </cell>
          <cell r="G355" t="str">
            <v>Medium</v>
          </cell>
          <cell r="L355">
            <v>2</v>
          </cell>
        </row>
        <row r="356">
          <cell r="B356" t="str">
            <v>S-0060</v>
          </cell>
          <cell r="G356" t="str">
            <v>Low</v>
          </cell>
          <cell r="L356">
            <v>1</v>
          </cell>
        </row>
        <row r="357">
          <cell r="B357" t="str">
            <v>S-0060</v>
          </cell>
          <cell r="G357" t="str">
            <v>High</v>
          </cell>
          <cell r="L357">
            <v>3</v>
          </cell>
        </row>
        <row r="358">
          <cell r="B358" t="str">
            <v>S-0060</v>
          </cell>
          <cell r="G358" t="str">
            <v>Low</v>
          </cell>
          <cell r="L358">
            <v>1</v>
          </cell>
        </row>
        <row r="359">
          <cell r="B359" t="str">
            <v>S-0060</v>
          </cell>
          <cell r="G359" t="str">
            <v>Medium</v>
          </cell>
          <cell r="L359">
            <v>2</v>
          </cell>
        </row>
        <row r="360">
          <cell r="B360" t="str">
            <v>S-0060</v>
          </cell>
          <cell r="G360" t="str">
            <v>Low</v>
          </cell>
          <cell r="L360">
            <v>1</v>
          </cell>
        </row>
        <row r="361">
          <cell r="B361" t="str">
            <v>S-0060</v>
          </cell>
          <cell r="G361" t="str">
            <v>Medium</v>
          </cell>
          <cell r="L361">
            <v>2</v>
          </cell>
        </row>
        <row r="362">
          <cell r="B362" t="str">
            <v>S-0061</v>
          </cell>
          <cell r="G362" t="str">
            <v>Low</v>
          </cell>
          <cell r="L362">
            <v>1</v>
          </cell>
        </row>
        <row r="363">
          <cell r="B363" t="str">
            <v>S-0061</v>
          </cell>
          <cell r="G363" t="str">
            <v>Low</v>
          </cell>
          <cell r="L363">
            <v>1</v>
          </cell>
        </row>
        <row r="364">
          <cell r="B364" t="str">
            <v>S-0061</v>
          </cell>
          <cell r="G364" t="str">
            <v>Medium</v>
          </cell>
          <cell r="L364">
            <v>2</v>
          </cell>
        </row>
        <row r="365">
          <cell r="B365" t="str">
            <v>S-0061</v>
          </cell>
          <cell r="G365" t="str">
            <v>High</v>
          </cell>
          <cell r="L365">
            <v>3</v>
          </cell>
        </row>
        <row r="366">
          <cell r="B366" t="str">
            <v>S-0061</v>
          </cell>
          <cell r="G366" t="str">
            <v>Medium</v>
          </cell>
          <cell r="L366">
            <v>2</v>
          </cell>
        </row>
        <row r="367">
          <cell r="B367" t="str">
            <v>S-0061</v>
          </cell>
          <cell r="G367" t="str">
            <v>High</v>
          </cell>
          <cell r="L367">
            <v>3</v>
          </cell>
        </row>
        <row r="368">
          <cell r="B368" t="str">
            <v>S-0062</v>
          </cell>
          <cell r="G368" t="str">
            <v>Low</v>
          </cell>
          <cell r="L368">
            <v>1</v>
          </cell>
        </row>
        <row r="369">
          <cell r="B369" t="str">
            <v>S-0062</v>
          </cell>
          <cell r="G369" t="str">
            <v>Medium</v>
          </cell>
          <cell r="L369">
            <v>2</v>
          </cell>
        </row>
        <row r="370">
          <cell r="B370" t="str">
            <v>S-0062</v>
          </cell>
          <cell r="G370" t="str">
            <v>Low</v>
          </cell>
          <cell r="L370">
            <v>1</v>
          </cell>
        </row>
        <row r="371">
          <cell r="B371" t="str">
            <v>S-0062</v>
          </cell>
          <cell r="G371" t="str">
            <v>Low</v>
          </cell>
          <cell r="L371">
            <v>1</v>
          </cell>
        </row>
        <row r="372">
          <cell r="B372" t="str">
            <v>S-0062</v>
          </cell>
          <cell r="G372" t="str">
            <v>Low</v>
          </cell>
          <cell r="L372">
            <v>1</v>
          </cell>
        </row>
        <row r="373">
          <cell r="B373" t="str">
            <v>S-0062</v>
          </cell>
          <cell r="G373" t="str">
            <v>Medium</v>
          </cell>
          <cell r="L373">
            <v>2</v>
          </cell>
        </row>
        <row r="374">
          <cell r="B374" t="str">
            <v>S-0063</v>
          </cell>
          <cell r="G374" t="str">
            <v>High</v>
          </cell>
          <cell r="L374">
            <v>3</v>
          </cell>
        </row>
        <row r="375">
          <cell r="B375" t="str">
            <v>S-0063</v>
          </cell>
          <cell r="G375" t="str">
            <v>Low</v>
          </cell>
          <cell r="L375">
            <v>1</v>
          </cell>
        </row>
        <row r="376">
          <cell r="B376" t="str">
            <v>S-0063</v>
          </cell>
          <cell r="G376" t="str">
            <v>Low</v>
          </cell>
          <cell r="L376">
            <v>1</v>
          </cell>
        </row>
        <row r="377">
          <cell r="B377" t="str">
            <v>S-0063</v>
          </cell>
          <cell r="G377" t="str">
            <v>Medium</v>
          </cell>
          <cell r="L377">
            <v>2</v>
          </cell>
        </row>
        <row r="378">
          <cell r="B378" t="str">
            <v>S-0063</v>
          </cell>
          <cell r="G378" t="str">
            <v>High</v>
          </cell>
          <cell r="L378">
            <v>3</v>
          </cell>
        </row>
        <row r="379">
          <cell r="B379" t="str">
            <v>S-0063</v>
          </cell>
          <cell r="G379" t="str">
            <v>High</v>
          </cell>
          <cell r="L379">
            <v>3</v>
          </cell>
        </row>
        <row r="380">
          <cell r="B380" t="str">
            <v>S-0064</v>
          </cell>
          <cell r="G380" t="str">
            <v>High</v>
          </cell>
          <cell r="L380">
            <v>3</v>
          </cell>
        </row>
        <row r="381">
          <cell r="B381" t="str">
            <v>S-0064</v>
          </cell>
          <cell r="G381" t="str">
            <v>High</v>
          </cell>
          <cell r="L381">
            <v>3</v>
          </cell>
        </row>
        <row r="382">
          <cell r="B382" t="str">
            <v>S-0064</v>
          </cell>
          <cell r="G382" t="str">
            <v>High</v>
          </cell>
          <cell r="L382">
            <v>3</v>
          </cell>
        </row>
        <row r="383">
          <cell r="B383" t="str">
            <v>S-0064</v>
          </cell>
          <cell r="G383" t="str">
            <v>Low</v>
          </cell>
          <cell r="L383">
            <v>1</v>
          </cell>
        </row>
        <row r="384">
          <cell r="B384" t="str">
            <v>S-0064</v>
          </cell>
          <cell r="G384" t="str">
            <v>Low</v>
          </cell>
          <cell r="L384">
            <v>1</v>
          </cell>
        </row>
        <row r="385">
          <cell r="B385" t="str">
            <v>S-0064</v>
          </cell>
          <cell r="G385" t="str">
            <v>Low</v>
          </cell>
          <cell r="L385">
            <v>1</v>
          </cell>
        </row>
        <row r="386">
          <cell r="B386" t="str">
            <v>S-0065</v>
          </cell>
          <cell r="G386" t="str">
            <v>Low</v>
          </cell>
          <cell r="L386">
            <v>1</v>
          </cell>
        </row>
        <row r="387">
          <cell r="B387" t="str">
            <v>S-0065</v>
          </cell>
          <cell r="G387" t="str">
            <v>Low</v>
          </cell>
          <cell r="L387">
            <v>1</v>
          </cell>
        </row>
        <row r="388">
          <cell r="B388" t="str">
            <v>S-0065</v>
          </cell>
          <cell r="G388" t="str">
            <v>Low</v>
          </cell>
          <cell r="L388">
            <v>1</v>
          </cell>
        </row>
        <row r="389">
          <cell r="B389" t="str">
            <v>S-0065</v>
          </cell>
          <cell r="G389" t="str">
            <v>High</v>
          </cell>
          <cell r="L389">
            <v>3</v>
          </cell>
        </row>
        <row r="390">
          <cell r="B390" t="str">
            <v>S-0065</v>
          </cell>
          <cell r="G390" t="str">
            <v>Low</v>
          </cell>
          <cell r="L390">
            <v>1</v>
          </cell>
        </row>
        <row r="391">
          <cell r="B391" t="str">
            <v>S-0065</v>
          </cell>
          <cell r="G391" t="str">
            <v>Low</v>
          </cell>
          <cell r="L391">
            <v>1</v>
          </cell>
        </row>
        <row r="392">
          <cell r="B392" t="str">
            <v>S-0066</v>
          </cell>
          <cell r="G392" t="str">
            <v>Low</v>
          </cell>
          <cell r="L392">
            <v>1</v>
          </cell>
        </row>
        <row r="393">
          <cell r="B393" t="str">
            <v>S-0066</v>
          </cell>
          <cell r="G393" t="str">
            <v>Low</v>
          </cell>
          <cell r="L393">
            <v>1</v>
          </cell>
        </row>
        <row r="394">
          <cell r="B394" t="str">
            <v>S-0066</v>
          </cell>
          <cell r="G394" t="str">
            <v>Low</v>
          </cell>
          <cell r="L394">
            <v>1</v>
          </cell>
        </row>
        <row r="395">
          <cell r="B395" t="str">
            <v>S-0066</v>
          </cell>
          <cell r="G395" t="str">
            <v>Medium</v>
          </cell>
          <cell r="L395">
            <v>2</v>
          </cell>
        </row>
        <row r="396">
          <cell r="B396" t="str">
            <v>S-0066</v>
          </cell>
          <cell r="G396" t="str">
            <v>High</v>
          </cell>
          <cell r="L396">
            <v>3</v>
          </cell>
        </row>
        <row r="397">
          <cell r="B397" t="str">
            <v>S-0066</v>
          </cell>
          <cell r="G397" t="str">
            <v>Medium</v>
          </cell>
          <cell r="L397">
            <v>2</v>
          </cell>
        </row>
        <row r="398">
          <cell r="B398" t="str">
            <v>S-0067</v>
          </cell>
          <cell r="G398" t="str">
            <v>Low</v>
          </cell>
          <cell r="L398">
            <v>1</v>
          </cell>
        </row>
        <row r="399">
          <cell r="B399" t="str">
            <v>S-0067</v>
          </cell>
          <cell r="G399" t="str">
            <v>Low</v>
          </cell>
          <cell r="L399">
            <v>1</v>
          </cell>
        </row>
        <row r="400">
          <cell r="B400" t="str">
            <v>S-0067</v>
          </cell>
          <cell r="G400" t="str">
            <v>Low</v>
          </cell>
          <cell r="L400">
            <v>1</v>
          </cell>
        </row>
        <row r="401">
          <cell r="B401" t="str">
            <v>S-0067</v>
          </cell>
          <cell r="G401" t="str">
            <v>Low</v>
          </cell>
          <cell r="L401">
            <v>1</v>
          </cell>
        </row>
        <row r="402">
          <cell r="B402" t="str">
            <v>S-0067</v>
          </cell>
          <cell r="G402" t="str">
            <v>Medium</v>
          </cell>
          <cell r="L402">
            <v>2</v>
          </cell>
        </row>
        <row r="403">
          <cell r="B403" t="str">
            <v>S-0067</v>
          </cell>
          <cell r="G403" t="str">
            <v>Low</v>
          </cell>
          <cell r="L403">
            <v>1</v>
          </cell>
        </row>
        <row r="404">
          <cell r="B404" t="str">
            <v>S-0068</v>
          </cell>
          <cell r="G404" t="str">
            <v>High</v>
          </cell>
          <cell r="L404">
            <v>3</v>
          </cell>
        </row>
        <row r="405">
          <cell r="B405" t="str">
            <v>S-0068</v>
          </cell>
          <cell r="G405" t="str">
            <v>Medium</v>
          </cell>
          <cell r="L405">
            <v>2</v>
          </cell>
        </row>
        <row r="406">
          <cell r="B406" t="str">
            <v>S-0068</v>
          </cell>
          <cell r="G406" t="str">
            <v>Medium</v>
          </cell>
          <cell r="L406">
            <v>2</v>
          </cell>
        </row>
        <row r="407">
          <cell r="B407" t="str">
            <v>S-0068</v>
          </cell>
          <cell r="G407" t="str">
            <v>Medium</v>
          </cell>
          <cell r="L407">
            <v>2</v>
          </cell>
        </row>
        <row r="408">
          <cell r="B408" t="str">
            <v>S-0068</v>
          </cell>
          <cell r="G408" t="str">
            <v>Low</v>
          </cell>
          <cell r="L408">
            <v>1</v>
          </cell>
        </row>
        <row r="409">
          <cell r="B409" t="str">
            <v>S-0068</v>
          </cell>
          <cell r="G409" t="str">
            <v>Medium</v>
          </cell>
          <cell r="L409">
            <v>2</v>
          </cell>
        </row>
        <row r="410">
          <cell r="B410" t="str">
            <v>S-0069</v>
          </cell>
          <cell r="G410" t="str">
            <v>Low</v>
          </cell>
          <cell r="L410">
            <v>1</v>
          </cell>
        </row>
        <row r="411">
          <cell r="B411" t="str">
            <v>S-0069</v>
          </cell>
          <cell r="G411" t="str">
            <v>Medium</v>
          </cell>
          <cell r="L411">
            <v>2</v>
          </cell>
        </row>
        <row r="412">
          <cell r="B412" t="str">
            <v>S-0069</v>
          </cell>
          <cell r="G412" t="str">
            <v>Medium</v>
          </cell>
          <cell r="L412">
            <v>2</v>
          </cell>
        </row>
        <row r="413">
          <cell r="B413" t="str">
            <v>S-0069</v>
          </cell>
          <cell r="G413" t="str">
            <v>Medium</v>
          </cell>
          <cell r="L413">
            <v>2</v>
          </cell>
        </row>
        <row r="414">
          <cell r="B414" t="str">
            <v>S-0069</v>
          </cell>
          <cell r="G414" t="str">
            <v>Low</v>
          </cell>
          <cell r="L414">
            <v>1</v>
          </cell>
        </row>
        <row r="415">
          <cell r="B415" t="str">
            <v>S-0069</v>
          </cell>
          <cell r="G415" t="str">
            <v>Low</v>
          </cell>
          <cell r="L415">
            <v>1</v>
          </cell>
        </row>
        <row r="416">
          <cell r="B416" t="str">
            <v>S-0070</v>
          </cell>
          <cell r="G416" t="str">
            <v>Low</v>
          </cell>
          <cell r="L416">
            <v>1</v>
          </cell>
        </row>
        <row r="417">
          <cell r="B417" t="str">
            <v>S-0070</v>
          </cell>
          <cell r="G417" t="str">
            <v>Low</v>
          </cell>
          <cell r="L417">
            <v>1</v>
          </cell>
        </row>
        <row r="418">
          <cell r="B418" t="str">
            <v>S-0070</v>
          </cell>
          <cell r="G418" t="str">
            <v>Low</v>
          </cell>
          <cell r="L418">
            <v>1</v>
          </cell>
        </row>
        <row r="419">
          <cell r="B419" t="str">
            <v>S-0070</v>
          </cell>
          <cell r="G419" t="str">
            <v>Low</v>
          </cell>
          <cell r="L419">
            <v>1</v>
          </cell>
        </row>
        <row r="420">
          <cell r="B420" t="str">
            <v>S-0070</v>
          </cell>
          <cell r="G420" t="str">
            <v>Low</v>
          </cell>
          <cell r="L420">
            <v>1</v>
          </cell>
        </row>
        <row r="421">
          <cell r="B421" t="str">
            <v>S-0070</v>
          </cell>
          <cell r="G421" t="str">
            <v>Low</v>
          </cell>
          <cell r="L421">
            <v>1</v>
          </cell>
        </row>
        <row r="422">
          <cell r="B422" t="str">
            <v>S-0071</v>
          </cell>
          <cell r="G422" t="str">
            <v>Medium</v>
          </cell>
          <cell r="L422">
            <v>2</v>
          </cell>
        </row>
        <row r="423">
          <cell r="B423" t="str">
            <v>S-0071</v>
          </cell>
          <cell r="G423" t="str">
            <v>Low</v>
          </cell>
          <cell r="L423">
            <v>1</v>
          </cell>
        </row>
        <row r="424">
          <cell r="B424" t="str">
            <v>S-0071</v>
          </cell>
          <cell r="G424" t="str">
            <v>Low</v>
          </cell>
          <cell r="L424">
            <v>1</v>
          </cell>
        </row>
        <row r="425">
          <cell r="B425" t="str">
            <v>S-0071</v>
          </cell>
          <cell r="G425" t="str">
            <v>High</v>
          </cell>
          <cell r="L425">
            <v>3</v>
          </cell>
        </row>
        <row r="426">
          <cell r="B426" t="str">
            <v>S-0071</v>
          </cell>
          <cell r="G426" t="str">
            <v>High</v>
          </cell>
          <cell r="L426">
            <v>3</v>
          </cell>
        </row>
        <row r="427">
          <cell r="B427" t="str">
            <v>S-0071</v>
          </cell>
          <cell r="G427" t="str">
            <v>Medium</v>
          </cell>
          <cell r="L427">
            <v>2</v>
          </cell>
        </row>
        <row r="428">
          <cell r="B428" t="str">
            <v>S-0072</v>
          </cell>
          <cell r="G428" t="str">
            <v>Low</v>
          </cell>
          <cell r="L428">
            <v>1</v>
          </cell>
        </row>
        <row r="429">
          <cell r="B429" t="str">
            <v>S-0072</v>
          </cell>
          <cell r="G429" t="str">
            <v>Medium</v>
          </cell>
          <cell r="L429">
            <v>2</v>
          </cell>
        </row>
        <row r="430">
          <cell r="B430" t="str">
            <v>S-0072</v>
          </cell>
          <cell r="G430" t="str">
            <v>High</v>
          </cell>
          <cell r="L430">
            <v>3</v>
          </cell>
        </row>
        <row r="431">
          <cell r="B431" t="str">
            <v>S-0072</v>
          </cell>
          <cell r="G431" t="str">
            <v>Medium</v>
          </cell>
          <cell r="L431">
            <v>2</v>
          </cell>
        </row>
        <row r="432">
          <cell r="B432" t="str">
            <v>S-0072</v>
          </cell>
          <cell r="G432" t="str">
            <v>Low</v>
          </cell>
          <cell r="L432">
            <v>1</v>
          </cell>
        </row>
        <row r="433">
          <cell r="B433" t="str">
            <v>S-0072</v>
          </cell>
          <cell r="G433" t="str">
            <v>Medium</v>
          </cell>
          <cell r="L433">
            <v>2</v>
          </cell>
        </row>
        <row r="434">
          <cell r="B434" t="str">
            <v>S-0073</v>
          </cell>
          <cell r="G434" t="str">
            <v>Low</v>
          </cell>
          <cell r="L434">
            <v>1</v>
          </cell>
        </row>
        <row r="435">
          <cell r="B435" t="str">
            <v>S-0073</v>
          </cell>
          <cell r="G435" t="str">
            <v>Medium</v>
          </cell>
          <cell r="L435">
            <v>2</v>
          </cell>
        </row>
        <row r="436">
          <cell r="B436" t="str">
            <v>S-0073</v>
          </cell>
          <cell r="G436" t="str">
            <v>High</v>
          </cell>
          <cell r="L436">
            <v>3</v>
          </cell>
        </row>
        <row r="437">
          <cell r="B437" t="str">
            <v>S-0073</v>
          </cell>
          <cell r="G437" t="str">
            <v>Low</v>
          </cell>
          <cell r="L437">
            <v>1</v>
          </cell>
        </row>
        <row r="438">
          <cell r="B438" t="str">
            <v>S-0073</v>
          </cell>
          <cell r="G438" t="str">
            <v>Medium</v>
          </cell>
          <cell r="L438">
            <v>2</v>
          </cell>
        </row>
        <row r="439">
          <cell r="B439" t="str">
            <v>S-0073</v>
          </cell>
          <cell r="G439" t="str">
            <v>Medium</v>
          </cell>
          <cell r="L439">
            <v>2</v>
          </cell>
        </row>
        <row r="440">
          <cell r="B440" t="str">
            <v>S-0074</v>
          </cell>
          <cell r="G440" t="str">
            <v>Low</v>
          </cell>
          <cell r="L440">
            <v>1</v>
          </cell>
        </row>
        <row r="441">
          <cell r="B441" t="str">
            <v>S-0074</v>
          </cell>
          <cell r="G441" t="str">
            <v>Medium</v>
          </cell>
          <cell r="L441">
            <v>2</v>
          </cell>
        </row>
        <row r="442">
          <cell r="B442" t="str">
            <v>S-0074</v>
          </cell>
          <cell r="G442" t="str">
            <v>Low</v>
          </cell>
          <cell r="L442">
            <v>1</v>
          </cell>
        </row>
        <row r="443">
          <cell r="B443" t="str">
            <v>S-0074</v>
          </cell>
          <cell r="G443" t="str">
            <v>Low</v>
          </cell>
          <cell r="L443">
            <v>1</v>
          </cell>
        </row>
        <row r="444">
          <cell r="B444" t="str">
            <v>S-0074</v>
          </cell>
          <cell r="G444" t="str">
            <v>High</v>
          </cell>
          <cell r="L444">
            <v>3</v>
          </cell>
        </row>
        <row r="445">
          <cell r="B445" t="str">
            <v>S-0074</v>
          </cell>
          <cell r="G445" t="str">
            <v>Medium</v>
          </cell>
          <cell r="L445">
            <v>2</v>
          </cell>
        </row>
        <row r="446">
          <cell r="B446" t="str">
            <v>S-0075</v>
          </cell>
          <cell r="G446" t="str">
            <v>Low</v>
          </cell>
          <cell r="L446">
            <v>1</v>
          </cell>
        </row>
        <row r="447">
          <cell r="B447" t="str">
            <v>S-0075</v>
          </cell>
          <cell r="G447" t="str">
            <v>Medium</v>
          </cell>
          <cell r="L447">
            <v>2</v>
          </cell>
        </row>
        <row r="448">
          <cell r="B448" t="str">
            <v>S-0075</v>
          </cell>
          <cell r="G448" t="str">
            <v>Low</v>
          </cell>
          <cell r="L448">
            <v>1</v>
          </cell>
        </row>
        <row r="449">
          <cell r="B449" t="str">
            <v>S-0075</v>
          </cell>
          <cell r="G449" t="str">
            <v>High</v>
          </cell>
          <cell r="L449">
            <v>3</v>
          </cell>
        </row>
        <row r="450">
          <cell r="B450" t="str">
            <v>S-0075</v>
          </cell>
          <cell r="G450" t="str">
            <v>Low</v>
          </cell>
          <cell r="L450">
            <v>1</v>
          </cell>
        </row>
        <row r="451">
          <cell r="B451" t="str">
            <v>S-0075</v>
          </cell>
          <cell r="G451" t="str">
            <v>Medium</v>
          </cell>
          <cell r="L451">
            <v>2</v>
          </cell>
        </row>
        <row r="452">
          <cell r="B452" t="str">
            <v>S-0076</v>
          </cell>
          <cell r="G452" t="str">
            <v>Low</v>
          </cell>
          <cell r="L452">
            <v>1</v>
          </cell>
        </row>
        <row r="453">
          <cell r="B453" t="str">
            <v>S-0076</v>
          </cell>
          <cell r="G453" t="str">
            <v>Low</v>
          </cell>
          <cell r="L453">
            <v>1</v>
          </cell>
        </row>
        <row r="454">
          <cell r="B454" t="str">
            <v>S-0076</v>
          </cell>
          <cell r="G454" t="str">
            <v>High</v>
          </cell>
          <cell r="L454">
            <v>3</v>
          </cell>
        </row>
        <row r="455">
          <cell r="B455" t="str">
            <v>S-0076</v>
          </cell>
          <cell r="G455" t="str">
            <v>Medium</v>
          </cell>
          <cell r="L455">
            <v>2</v>
          </cell>
        </row>
        <row r="456">
          <cell r="B456" t="str">
            <v>S-0076</v>
          </cell>
          <cell r="G456" t="str">
            <v>Low</v>
          </cell>
          <cell r="L456">
            <v>1</v>
          </cell>
        </row>
        <row r="457">
          <cell r="B457" t="str">
            <v>S-0076</v>
          </cell>
          <cell r="G457" t="str">
            <v>Low</v>
          </cell>
          <cell r="L457">
            <v>1</v>
          </cell>
        </row>
        <row r="458">
          <cell r="B458" t="str">
            <v>S-0077</v>
          </cell>
          <cell r="G458" t="str">
            <v>Low</v>
          </cell>
          <cell r="L458">
            <v>1</v>
          </cell>
        </row>
        <row r="459">
          <cell r="B459" t="str">
            <v>S-0077</v>
          </cell>
          <cell r="G459" t="str">
            <v>Low</v>
          </cell>
          <cell r="L459">
            <v>1</v>
          </cell>
        </row>
        <row r="460">
          <cell r="B460" t="str">
            <v>S-0077</v>
          </cell>
          <cell r="G460" t="str">
            <v>Medium</v>
          </cell>
          <cell r="L460">
            <v>2</v>
          </cell>
        </row>
        <row r="461">
          <cell r="B461" t="str">
            <v>S-0077</v>
          </cell>
          <cell r="G461" t="str">
            <v>Low</v>
          </cell>
          <cell r="L461">
            <v>1</v>
          </cell>
        </row>
        <row r="462">
          <cell r="B462" t="str">
            <v>S-0077</v>
          </cell>
          <cell r="G462" t="str">
            <v>Medium</v>
          </cell>
          <cell r="L462">
            <v>2</v>
          </cell>
        </row>
        <row r="463">
          <cell r="B463" t="str">
            <v>S-0077</v>
          </cell>
          <cell r="G463" t="str">
            <v>Low</v>
          </cell>
          <cell r="L463">
            <v>1</v>
          </cell>
        </row>
        <row r="464">
          <cell r="B464" t="str">
            <v>S-0078</v>
          </cell>
          <cell r="G464" t="str">
            <v>Low</v>
          </cell>
          <cell r="L464">
            <v>1</v>
          </cell>
        </row>
        <row r="465">
          <cell r="B465" t="str">
            <v>S-0078</v>
          </cell>
          <cell r="G465" t="str">
            <v>Low</v>
          </cell>
          <cell r="L465">
            <v>1</v>
          </cell>
        </row>
        <row r="466">
          <cell r="B466" t="str">
            <v>S-0078</v>
          </cell>
          <cell r="G466" t="str">
            <v>Low</v>
          </cell>
          <cell r="L466">
            <v>1</v>
          </cell>
        </row>
        <row r="467">
          <cell r="B467" t="str">
            <v>S-0078</v>
          </cell>
          <cell r="G467" t="str">
            <v>Low</v>
          </cell>
          <cell r="L467">
            <v>1</v>
          </cell>
        </row>
        <row r="468">
          <cell r="B468" t="str">
            <v>S-0078</v>
          </cell>
          <cell r="G468" t="str">
            <v>Medium</v>
          </cell>
          <cell r="L468">
            <v>2</v>
          </cell>
        </row>
        <row r="469">
          <cell r="B469" t="str">
            <v>S-0078</v>
          </cell>
          <cell r="G469" t="str">
            <v>Low</v>
          </cell>
          <cell r="L469">
            <v>1</v>
          </cell>
        </row>
        <row r="470">
          <cell r="B470" t="str">
            <v>S-0079</v>
          </cell>
          <cell r="G470" t="str">
            <v>Low</v>
          </cell>
          <cell r="L470">
            <v>1</v>
          </cell>
        </row>
        <row r="471">
          <cell r="B471" t="str">
            <v>S-0079</v>
          </cell>
          <cell r="G471" t="str">
            <v>Low</v>
          </cell>
          <cell r="L471">
            <v>1</v>
          </cell>
        </row>
        <row r="472">
          <cell r="B472" t="str">
            <v>S-0079</v>
          </cell>
          <cell r="G472" t="str">
            <v>Low</v>
          </cell>
          <cell r="L472">
            <v>1</v>
          </cell>
        </row>
        <row r="473">
          <cell r="B473" t="str">
            <v>S-0079</v>
          </cell>
          <cell r="G473" t="str">
            <v>Low</v>
          </cell>
          <cell r="L473">
            <v>1</v>
          </cell>
        </row>
        <row r="474">
          <cell r="B474" t="str">
            <v>S-0079</v>
          </cell>
          <cell r="G474" t="str">
            <v>Medium</v>
          </cell>
          <cell r="L474">
            <v>2</v>
          </cell>
        </row>
        <row r="475">
          <cell r="B475" t="str">
            <v>S-0079</v>
          </cell>
          <cell r="G475" t="str">
            <v>Low</v>
          </cell>
          <cell r="L475">
            <v>1</v>
          </cell>
        </row>
        <row r="476">
          <cell r="B476" t="str">
            <v>S-0080</v>
          </cell>
          <cell r="G476" t="str">
            <v>Low</v>
          </cell>
          <cell r="L476">
            <v>1</v>
          </cell>
        </row>
        <row r="477">
          <cell r="B477" t="str">
            <v>S-0080</v>
          </cell>
          <cell r="G477" t="str">
            <v>Low</v>
          </cell>
          <cell r="L477">
            <v>1</v>
          </cell>
        </row>
        <row r="478">
          <cell r="B478" t="str">
            <v>S-0080</v>
          </cell>
          <cell r="G478" t="str">
            <v>Low</v>
          </cell>
          <cell r="L478">
            <v>1</v>
          </cell>
        </row>
        <row r="479">
          <cell r="B479" t="str">
            <v>S-0080</v>
          </cell>
          <cell r="G479" t="str">
            <v>Medium</v>
          </cell>
          <cell r="L479">
            <v>2</v>
          </cell>
        </row>
        <row r="480">
          <cell r="B480" t="str">
            <v>S-0080</v>
          </cell>
          <cell r="G480" t="str">
            <v>Medium</v>
          </cell>
          <cell r="L480">
            <v>2</v>
          </cell>
        </row>
        <row r="481">
          <cell r="B481" t="str">
            <v>S-0080</v>
          </cell>
          <cell r="G481" t="str">
            <v>Medium</v>
          </cell>
          <cell r="L481">
            <v>2</v>
          </cell>
        </row>
        <row r="482">
          <cell r="B482" t="str">
            <v>S-0081</v>
          </cell>
          <cell r="G482" t="str">
            <v>Low</v>
          </cell>
          <cell r="L482">
            <v>1</v>
          </cell>
        </row>
        <row r="483">
          <cell r="B483" t="str">
            <v>S-0081</v>
          </cell>
          <cell r="G483" t="str">
            <v>Low</v>
          </cell>
          <cell r="L483">
            <v>1</v>
          </cell>
        </row>
        <row r="484">
          <cell r="B484" t="str">
            <v>S-0081</v>
          </cell>
          <cell r="G484" t="str">
            <v>Low</v>
          </cell>
          <cell r="L484">
            <v>1</v>
          </cell>
        </row>
        <row r="485">
          <cell r="B485" t="str">
            <v>S-0081</v>
          </cell>
          <cell r="G485" t="str">
            <v>Low</v>
          </cell>
          <cell r="L485">
            <v>1</v>
          </cell>
        </row>
        <row r="486">
          <cell r="B486" t="str">
            <v>S-0081</v>
          </cell>
          <cell r="G486" t="str">
            <v>Medium</v>
          </cell>
          <cell r="L486">
            <v>2</v>
          </cell>
        </row>
        <row r="487">
          <cell r="B487" t="str">
            <v>S-0081</v>
          </cell>
          <cell r="G487" t="str">
            <v>Low</v>
          </cell>
          <cell r="L487">
            <v>1</v>
          </cell>
        </row>
        <row r="488">
          <cell r="B488" t="str">
            <v>S-0082</v>
          </cell>
          <cell r="G488" t="str">
            <v>Medium</v>
          </cell>
          <cell r="L488">
            <v>2</v>
          </cell>
        </row>
        <row r="489">
          <cell r="B489" t="str">
            <v>S-0082</v>
          </cell>
          <cell r="G489" t="str">
            <v>Low</v>
          </cell>
          <cell r="L489">
            <v>1</v>
          </cell>
        </row>
        <row r="490">
          <cell r="B490" t="str">
            <v>S-0082</v>
          </cell>
          <cell r="G490" t="str">
            <v>Low</v>
          </cell>
          <cell r="L490">
            <v>1</v>
          </cell>
        </row>
        <row r="491">
          <cell r="B491" t="str">
            <v>S-0082</v>
          </cell>
          <cell r="G491" t="str">
            <v>Low</v>
          </cell>
          <cell r="L491">
            <v>1</v>
          </cell>
        </row>
        <row r="492">
          <cell r="B492" t="str">
            <v>S-0082</v>
          </cell>
          <cell r="G492" t="str">
            <v>Low</v>
          </cell>
          <cell r="L492">
            <v>1</v>
          </cell>
        </row>
        <row r="493">
          <cell r="B493" t="str">
            <v>S-0082</v>
          </cell>
          <cell r="G493" t="str">
            <v>Medium</v>
          </cell>
          <cell r="L493">
            <v>2</v>
          </cell>
        </row>
        <row r="494">
          <cell r="B494" t="str">
            <v>S-0083</v>
          </cell>
          <cell r="G494" t="str">
            <v>Low</v>
          </cell>
          <cell r="L494">
            <v>1</v>
          </cell>
        </row>
        <row r="495">
          <cell r="B495" t="str">
            <v>S-0083</v>
          </cell>
          <cell r="G495" t="str">
            <v>Low</v>
          </cell>
          <cell r="L495">
            <v>1</v>
          </cell>
        </row>
        <row r="496">
          <cell r="B496" t="str">
            <v>S-0083</v>
          </cell>
          <cell r="G496" t="str">
            <v>High</v>
          </cell>
          <cell r="L496">
            <v>3</v>
          </cell>
        </row>
        <row r="497">
          <cell r="B497" t="str">
            <v>S-0083</v>
          </cell>
          <cell r="G497" t="str">
            <v>Low</v>
          </cell>
          <cell r="L497">
            <v>1</v>
          </cell>
        </row>
        <row r="498">
          <cell r="B498" t="str">
            <v>S-0083</v>
          </cell>
          <cell r="G498" t="str">
            <v>Low</v>
          </cell>
          <cell r="L498">
            <v>1</v>
          </cell>
        </row>
        <row r="499">
          <cell r="B499" t="str">
            <v>S-0083</v>
          </cell>
          <cell r="G499" t="str">
            <v>Low</v>
          </cell>
          <cell r="L499">
            <v>1</v>
          </cell>
        </row>
        <row r="500">
          <cell r="B500" t="str">
            <v>S-0084</v>
          </cell>
          <cell r="G500" t="str">
            <v>Low</v>
          </cell>
          <cell r="L500">
            <v>1</v>
          </cell>
        </row>
        <row r="501">
          <cell r="B501" t="str">
            <v>S-0084</v>
          </cell>
          <cell r="G501" t="str">
            <v>Medium</v>
          </cell>
          <cell r="L501">
            <v>2</v>
          </cell>
        </row>
        <row r="502">
          <cell r="B502" t="str">
            <v>S-0084</v>
          </cell>
          <cell r="G502" t="str">
            <v>Low</v>
          </cell>
          <cell r="L502">
            <v>1</v>
          </cell>
        </row>
        <row r="503">
          <cell r="B503" t="str">
            <v>S-0084</v>
          </cell>
          <cell r="G503" t="str">
            <v>Low</v>
          </cell>
          <cell r="L503">
            <v>1</v>
          </cell>
        </row>
        <row r="504">
          <cell r="B504" t="str">
            <v>S-0084</v>
          </cell>
          <cell r="G504" t="str">
            <v>Low</v>
          </cell>
          <cell r="L504">
            <v>1</v>
          </cell>
        </row>
        <row r="505">
          <cell r="B505" t="str">
            <v>S-0084</v>
          </cell>
          <cell r="G505" t="str">
            <v>High</v>
          </cell>
          <cell r="L505">
            <v>3</v>
          </cell>
        </row>
        <row r="506">
          <cell r="B506" t="str">
            <v>S-0085</v>
          </cell>
          <cell r="G506" t="str">
            <v>Medium</v>
          </cell>
          <cell r="L506">
            <v>2</v>
          </cell>
        </row>
        <row r="507">
          <cell r="B507" t="str">
            <v>S-0085</v>
          </cell>
          <cell r="G507" t="str">
            <v>Low</v>
          </cell>
          <cell r="L507">
            <v>1</v>
          </cell>
        </row>
        <row r="508">
          <cell r="B508" t="str">
            <v>S-0085</v>
          </cell>
          <cell r="G508" t="str">
            <v>Low</v>
          </cell>
          <cell r="L508">
            <v>1</v>
          </cell>
        </row>
        <row r="509">
          <cell r="B509" t="str">
            <v>S-0085</v>
          </cell>
          <cell r="G509" t="str">
            <v>Low</v>
          </cell>
          <cell r="L509">
            <v>1</v>
          </cell>
        </row>
        <row r="510">
          <cell r="B510" t="str">
            <v>S-0085</v>
          </cell>
          <cell r="G510" t="str">
            <v>Low</v>
          </cell>
          <cell r="L510">
            <v>1</v>
          </cell>
        </row>
        <row r="511">
          <cell r="B511" t="str">
            <v>S-0085</v>
          </cell>
          <cell r="G511" t="str">
            <v>Low</v>
          </cell>
          <cell r="L511">
            <v>1</v>
          </cell>
        </row>
        <row r="512">
          <cell r="B512" t="str">
            <v>S-0086</v>
          </cell>
          <cell r="G512" t="str">
            <v>Low</v>
          </cell>
          <cell r="L512">
            <v>1</v>
          </cell>
        </row>
        <row r="513">
          <cell r="B513" t="str">
            <v>S-0086</v>
          </cell>
          <cell r="G513" t="str">
            <v>Medium</v>
          </cell>
          <cell r="L513">
            <v>2</v>
          </cell>
        </row>
        <row r="514">
          <cell r="B514" t="str">
            <v>S-0086</v>
          </cell>
          <cell r="G514" t="str">
            <v>High</v>
          </cell>
          <cell r="L514">
            <v>3</v>
          </cell>
        </row>
        <row r="515">
          <cell r="B515" t="str">
            <v>S-0086</v>
          </cell>
          <cell r="G515" t="str">
            <v>Medium</v>
          </cell>
          <cell r="L515">
            <v>2</v>
          </cell>
        </row>
        <row r="516">
          <cell r="B516" t="str">
            <v>S-0086</v>
          </cell>
          <cell r="G516" t="str">
            <v>High</v>
          </cell>
          <cell r="L516">
            <v>3</v>
          </cell>
        </row>
        <row r="517">
          <cell r="B517" t="str">
            <v>S-0086</v>
          </cell>
          <cell r="G517" t="str">
            <v>Low</v>
          </cell>
          <cell r="L517">
            <v>1</v>
          </cell>
        </row>
        <row r="518">
          <cell r="B518" t="str">
            <v>S-0087</v>
          </cell>
          <cell r="G518" t="str">
            <v>Low</v>
          </cell>
          <cell r="L518">
            <v>1</v>
          </cell>
        </row>
        <row r="519">
          <cell r="B519" t="str">
            <v>S-0087</v>
          </cell>
          <cell r="G519" t="str">
            <v>High</v>
          </cell>
          <cell r="L519">
            <v>3</v>
          </cell>
        </row>
        <row r="520">
          <cell r="B520" t="str">
            <v>S-0087</v>
          </cell>
          <cell r="G520" t="str">
            <v>Medium</v>
          </cell>
          <cell r="L520">
            <v>2</v>
          </cell>
        </row>
        <row r="521">
          <cell r="B521" t="str">
            <v>S-0087</v>
          </cell>
          <cell r="G521" t="str">
            <v>Medium</v>
          </cell>
          <cell r="L521">
            <v>2</v>
          </cell>
        </row>
        <row r="522">
          <cell r="B522" t="str">
            <v>S-0087</v>
          </cell>
          <cell r="G522" t="str">
            <v>High</v>
          </cell>
          <cell r="L522">
            <v>3</v>
          </cell>
        </row>
        <row r="523">
          <cell r="B523" t="str">
            <v>S-0087</v>
          </cell>
          <cell r="G523" t="str">
            <v>Low</v>
          </cell>
          <cell r="L523">
            <v>1</v>
          </cell>
        </row>
        <row r="524">
          <cell r="B524" t="str">
            <v>S-0088</v>
          </cell>
          <cell r="G524" t="str">
            <v>Low</v>
          </cell>
          <cell r="L524">
            <v>1</v>
          </cell>
        </row>
        <row r="525">
          <cell r="B525" t="str">
            <v>S-0088</v>
          </cell>
          <cell r="G525" t="str">
            <v>High</v>
          </cell>
          <cell r="L525">
            <v>3</v>
          </cell>
        </row>
        <row r="526">
          <cell r="B526" t="str">
            <v>S-0088</v>
          </cell>
          <cell r="G526" t="str">
            <v>Low</v>
          </cell>
          <cell r="L526">
            <v>1</v>
          </cell>
        </row>
        <row r="527">
          <cell r="B527" t="str">
            <v>S-0088</v>
          </cell>
          <cell r="G527" t="str">
            <v>Low</v>
          </cell>
          <cell r="L527">
            <v>1</v>
          </cell>
        </row>
        <row r="528">
          <cell r="B528" t="str">
            <v>S-0088</v>
          </cell>
          <cell r="G528" t="str">
            <v>Medium</v>
          </cell>
          <cell r="L528">
            <v>2</v>
          </cell>
        </row>
        <row r="529">
          <cell r="B529" t="str">
            <v>S-0088</v>
          </cell>
          <cell r="G529" t="str">
            <v>Low</v>
          </cell>
          <cell r="L529">
            <v>1</v>
          </cell>
        </row>
        <row r="530">
          <cell r="B530" t="str">
            <v>S-0089</v>
          </cell>
          <cell r="G530" t="str">
            <v>Low</v>
          </cell>
          <cell r="L530">
            <v>1</v>
          </cell>
        </row>
        <row r="531">
          <cell r="B531" t="str">
            <v>S-0089</v>
          </cell>
          <cell r="G531" t="str">
            <v>Low</v>
          </cell>
          <cell r="L531">
            <v>1</v>
          </cell>
        </row>
        <row r="532">
          <cell r="B532" t="str">
            <v>S-0089</v>
          </cell>
          <cell r="G532" t="str">
            <v>Low</v>
          </cell>
          <cell r="L532">
            <v>1</v>
          </cell>
        </row>
        <row r="533">
          <cell r="B533" t="str">
            <v>S-0089</v>
          </cell>
          <cell r="G533" t="str">
            <v>Medium</v>
          </cell>
          <cell r="L533">
            <v>2</v>
          </cell>
        </row>
        <row r="534">
          <cell r="B534" t="str">
            <v>S-0089</v>
          </cell>
          <cell r="G534" t="str">
            <v>Low</v>
          </cell>
          <cell r="L534">
            <v>1</v>
          </cell>
        </row>
        <row r="535">
          <cell r="B535" t="str">
            <v>S-0089</v>
          </cell>
          <cell r="G535" t="str">
            <v>Medium</v>
          </cell>
          <cell r="L535">
            <v>2</v>
          </cell>
        </row>
        <row r="536">
          <cell r="B536" t="str">
            <v>S-0090</v>
          </cell>
          <cell r="G536" t="str">
            <v>Low</v>
          </cell>
          <cell r="L536">
            <v>1</v>
          </cell>
        </row>
        <row r="537">
          <cell r="B537" t="str">
            <v>S-0090</v>
          </cell>
          <cell r="G537" t="str">
            <v>High</v>
          </cell>
          <cell r="L537">
            <v>3</v>
          </cell>
        </row>
        <row r="538">
          <cell r="B538" t="str">
            <v>S-0090</v>
          </cell>
          <cell r="G538" t="str">
            <v>Low</v>
          </cell>
          <cell r="L538">
            <v>1</v>
          </cell>
        </row>
        <row r="539">
          <cell r="B539" t="str">
            <v>S-0090</v>
          </cell>
          <cell r="G539" t="str">
            <v>Low</v>
          </cell>
          <cell r="L539">
            <v>1</v>
          </cell>
        </row>
        <row r="540">
          <cell r="B540" t="str">
            <v>S-0090</v>
          </cell>
          <cell r="G540" t="str">
            <v>Medium</v>
          </cell>
          <cell r="L540">
            <v>2</v>
          </cell>
        </row>
        <row r="541">
          <cell r="B541" t="str">
            <v>S-0090</v>
          </cell>
          <cell r="G541" t="str">
            <v>Medium</v>
          </cell>
          <cell r="L541">
            <v>2</v>
          </cell>
        </row>
        <row r="542">
          <cell r="B542" t="str">
            <v>S-0091</v>
          </cell>
          <cell r="G542" t="str">
            <v>High</v>
          </cell>
          <cell r="L542">
            <v>3</v>
          </cell>
        </row>
        <row r="543">
          <cell r="B543" t="str">
            <v>S-0091</v>
          </cell>
          <cell r="G543" t="str">
            <v>Low</v>
          </cell>
          <cell r="L543">
            <v>1</v>
          </cell>
        </row>
        <row r="544">
          <cell r="B544" t="str">
            <v>S-0091</v>
          </cell>
          <cell r="G544" t="str">
            <v>Low</v>
          </cell>
          <cell r="L544">
            <v>1</v>
          </cell>
        </row>
        <row r="545">
          <cell r="B545" t="str">
            <v>S-0091</v>
          </cell>
          <cell r="G545" t="str">
            <v>Medium</v>
          </cell>
          <cell r="L545">
            <v>2</v>
          </cell>
        </row>
        <row r="546">
          <cell r="B546" t="str">
            <v>S-0091</v>
          </cell>
          <cell r="G546" t="str">
            <v>High</v>
          </cell>
          <cell r="L546">
            <v>3</v>
          </cell>
        </row>
        <row r="547">
          <cell r="B547" t="str">
            <v>S-0091</v>
          </cell>
          <cell r="G547" t="str">
            <v>Low</v>
          </cell>
          <cell r="L547">
            <v>1</v>
          </cell>
        </row>
        <row r="548">
          <cell r="B548" t="str">
            <v>S-0092</v>
          </cell>
          <cell r="G548" t="str">
            <v>Low</v>
          </cell>
          <cell r="L548">
            <v>1</v>
          </cell>
        </row>
        <row r="549">
          <cell r="B549" t="str">
            <v>S-0092</v>
          </cell>
          <cell r="G549" t="str">
            <v>Low</v>
          </cell>
          <cell r="L549">
            <v>1</v>
          </cell>
        </row>
        <row r="550">
          <cell r="B550" t="str">
            <v>S-0092</v>
          </cell>
          <cell r="G550" t="str">
            <v>Low</v>
          </cell>
          <cell r="L550">
            <v>1</v>
          </cell>
        </row>
        <row r="551">
          <cell r="B551" t="str">
            <v>S-0092</v>
          </cell>
          <cell r="G551" t="str">
            <v>Low</v>
          </cell>
          <cell r="L551">
            <v>1</v>
          </cell>
        </row>
        <row r="552">
          <cell r="B552" t="str">
            <v>S-0092</v>
          </cell>
          <cell r="G552" t="str">
            <v>High</v>
          </cell>
          <cell r="L552">
            <v>3</v>
          </cell>
        </row>
        <row r="553">
          <cell r="B553" t="str">
            <v>S-0092</v>
          </cell>
          <cell r="G553" t="str">
            <v>Medium</v>
          </cell>
          <cell r="L553">
            <v>2</v>
          </cell>
        </row>
        <row r="554">
          <cell r="B554" t="str">
            <v>S-0093</v>
          </cell>
          <cell r="G554" t="str">
            <v>Low</v>
          </cell>
          <cell r="L554">
            <v>1</v>
          </cell>
        </row>
        <row r="555">
          <cell r="B555" t="str">
            <v>S-0093</v>
          </cell>
          <cell r="G555" t="str">
            <v>Low</v>
          </cell>
          <cell r="L555">
            <v>1</v>
          </cell>
        </row>
        <row r="556">
          <cell r="B556" t="str">
            <v>S-0093</v>
          </cell>
          <cell r="G556" t="str">
            <v>Low</v>
          </cell>
          <cell r="L556">
            <v>1</v>
          </cell>
        </row>
        <row r="557">
          <cell r="B557" t="str">
            <v>S-0093</v>
          </cell>
          <cell r="G557" t="str">
            <v>Medium</v>
          </cell>
          <cell r="L557">
            <v>2</v>
          </cell>
        </row>
        <row r="558">
          <cell r="B558" t="str">
            <v>S-0093</v>
          </cell>
          <cell r="G558" t="str">
            <v>Low</v>
          </cell>
          <cell r="L558">
            <v>1</v>
          </cell>
        </row>
        <row r="559">
          <cell r="B559" t="str">
            <v>S-0093</v>
          </cell>
          <cell r="G559" t="str">
            <v>Low</v>
          </cell>
          <cell r="L559">
            <v>1</v>
          </cell>
        </row>
        <row r="560">
          <cell r="B560" t="str">
            <v>S-0094</v>
          </cell>
          <cell r="G560" t="str">
            <v>Low</v>
          </cell>
          <cell r="L560">
            <v>1</v>
          </cell>
        </row>
        <row r="561">
          <cell r="B561" t="str">
            <v>S-0094</v>
          </cell>
          <cell r="G561" t="str">
            <v>Low</v>
          </cell>
          <cell r="L561">
            <v>1</v>
          </cell>
        </row>
        <row r="562">
          <cell r="B562" t="str">
            <v>S-0094</v>
          </cell>
          <cell r="G562" t="str">
            <v>Low</v>
          </cell>
          <cell r="L562">
            <v>1</v>
          </cell>
        </row>
        <row r="563">
          <cell r="B563" t="str">
            <v>S-0094</v>
          </cell>
          <cell r="G563" t="str">
            <v>Low</v>
          </cell>
          <cell r="L563">
            <v>1</v>
          </cell>
        </row>
        <row r="564">
          <cell r="B564" t="str">
            <v>S-0094</v>
          </cell>
          <cell r="G564" t="str">
            <v>Medium</v>
          </cell>
          <cell r="L564">
            <v>2</v>
          </cell>
        </row>
        <row r="565">
          <cell r="B565" t="str">
            <v>S-0094</v>
          </cell>
          <cell r="G565" t="str">
            <v>Medium</v>
          </cell>
          <cell r="L565">
            <v>2</v>
          </cell>
        </row>
        <row r="566">
          <cell r="B566" t="str">
            <v>S-0095</v>
          </cell>
          <cell r="G566" t="str">
            <v>Low</v>
          </cell>
          <cell r="L566">
            <v>1</v>
          </cell>
        </row>
        <row r="567">
          <cell r="B567" t="str">
            <v>S-0095</v>
          </cell>
          <cell r="G567" t="str">
            <v>Low</v>
          </cell>
          <cell r="L567">
            <v>1</v>
          </cell>
        </row>
        <row r="568">
          <cell r="B568" t="str">
            <v>S-0095</v>
          </cell>
          <cell r="G568" t="str">
            <v>Low</v>
          </cell>
          <cell r="L568">
            <v>1</v>
          </cell>
        </row>
        <row r="569">
          <cell r="B569" t="str">
            <v>S-0095</v>
          </cell>
          <cell r="G569" t="str">
            <v>Medium</v>
          </cell>
          <cell r="L569">
            <v>2</v>
          </cell>
        </row>
        <row r="570">
          <cell r="B570" t="str">
            <v>S-0095</v>
          </cell>
          <cell r="G570" t="str">
            <v>Low</v>
          </cell>
          <cell r="L570">
            <v>1</v>
          </cell>
        </row>
        <row r="571">
          <cell r="B571" t="str">
            <v>S-0095</v>
          </cell>
          <cell r="G571" t="str">
            <v>Medium</v>
          </cell>
          <cell r="L571">
            <v>2</v>
          </cell>
        </row>
        <row r="572">
          <cell r="B572" t="str">
            <v>S-0096</v>
          </cell>
          <cell r="G572" t="str">
            <v>Medium</v>
          </cell>
          <cell r="L572">
            <v>2</v>
          </cell>
        </row>
        <row r="573">
          <cell r="B573" t="str">
            <v>S-0096</v>
          </cell>
          <cell r="G573" t="str">
            <v>Low</v>
          </cell>
          <cell r="L573">
            <v>1</v>
          </cell>
        </row>
        <row r="574">
          <cell r="B574" t="str">
            <v>S-0096</v>
          </cell>
          <cell r="G574" t="str">
            <v>High</v>
          </cell>
          <cell r="L574">
            <v>3</v>
          </cell>
        </row>
        <row r="575">
          <cell r="B575" t="str">
            <v>S-0096</v>
          </cell>
          <cell r="G575" t="str">
            <v>Low</v>
          </cell>
          <cell r="L575">
            <v>1</v>
          </cell>
        </row>
        <row r="576">
          <cell r="B576" t="str">
            <v>S-0096</v>
          </cell>
          <cell r="G576" t="str">
            <v>Low</v>
          </cell>
          <cell r="L576">
            <v>1</v>
          </cell>
        </row>
        <row r="577">
          <cell r="B577" t="str">
            <v>S-0096</v>
          </cell>
          <cell r="G577" t="str">
            <v>Low</v>
          </cell>
          <cell r="L577">
            <v>1</v>
          </cell>
        </row>
        <row r="578">
          <cell r="B578" t="str">
            <v>S-0097</v>
          </cell>
          <cell r="G578" t="str">
            <v>High</v>
          </cell>
          <cell r="L578">
            <v>3</v>
          </cell>
        </row>
        <row r="579">
          <cell r="B579" t="str">
            <v>S-0097</v>
          </cell>
          <cell r="G579" t="str">
            <v>Low</v>
          </cell>
          <cell r="L579">
            <v>1</v>
          </cell>
        </row>
        <row r="580">
          <cell r="B580" t="str">
            <v>S-0097</v>
          </cell>
          <cell r="G580" t="str">
            <v>Low</v>
          </cell>
          <cell r="L580">
            <v>1</v>
          </cell>
        </row>
        <row r="581">
          <cell r="B581" t="str">
            <v>S-0097</v>
          </cell>
          <cell r="G581" t="str">
            <v>Medium</v>
          </cell>
          <cell r="L581">
            <v>2</v>
          </cell>
        </row>
        <row r="582">
          <cell r="B582" t="str">
            <v>S-0097</v>
          </cell>
          <cell r="G582" t="str">
            <v>Low</v>
          </cell>
          <cell r="L582">
            <v>1</v>
          </cell>
        </row>
        <row r="583">
          <cell r="B583" t="str">
            <v>S-0097</v>
          </cell>
          <cell r="G583" t="str">
            <v>Medium</v>
          </cell>
          <cell r="L583">
            <v>2</v>
          </cell>
        </row>
        <row r="584">
          <cell r="B584" t="str">
            <v>S-0098</v>
          </cell>
          <cell r="G584" t="str">
            <v>High</v>
          </cell>
          <cell r="L584">
            <v>3</v>
          </cell>
        </row>
        <row r="585">
          <cell r="B585" t="str">
            <v>S-0098</v>
          </cell>
          <cell r="G585" t="str">
            <v>High</v>
          </cell>
          <cell r="L585">
            <v>3</v>
          </cell>
        </row>
        <row r="586">
          <cell r="B586" t="str">
            <v>S-0098</v>
          </cell>
          <cell r="G586" t="str">
            <v>High</v>
          </cell>
          <cell r="L586">
            <v>3</v>
          </cell>
        </row>
        <row r="587">
          <cell r="B587" t="str">
            <v>S-0098</v>
          </cell>
          <cell r="G587" t="str">
            <v>Low</v>
          </cell>
          <cell r="L587">
            <v>1</v>
          </cell>
        </row>
        <row r="588">
          <cell r="B588" t="str">
            <v>S-0098</v>
          </cell>
          <cell r="G588" t="str">
            <v>High</v>
          </cell>
          <cell r="L588">
            <v>3</v>
          </cell>
        </row>
        <row r="589">
          <cell r="B589" t="str">
            <v>S-0098</v>
          </cell>
          <cell r="G589" t="str">
            <v>High</v>
          </cell>
          <cell r="L589">
            <v>3</v>
          </cell>
        </row>
        <row r="590">
          <cell r="B590" t="str">
            <v>S-0099</v>
          </cell>
          <cell r="G590" t="str">
            <v>High</v>
          </cell>
          <cell r="L590">
            <v>3</v>
          </cell>
        </row>
        <row r="591">
          <cell r="B591" t="str">
            <v>S-0099</v>
          </cell>
          <cell r="G591" t="str">
            <v>Low</v>
          </cell>
          <cell r="L591">
            <v>1</v>
          </cell>
        </row>
        <row r="592">
          <cell r="B592" t="str">
            <v>S-0099</v>
          </cell>
          <cell r="G592" t="str">
            <v>Low</v>
          </cell>
          <cell r="L592">
            <v>1</v>
          </cell>
        </row>
        <row r="593">
          <cell r="B593" t="str">
            <v>S-0099</v>
          </cell>
          <cell r="G593" t="str">
            <v>Medium</v>
          </cell>
          <cell r="L593">
            <v>2</v>
          </cell>
        </row>
        <row r="594">
          <cell r="B594" t="str">
            <v>S-0099</v>
          </cell>
          <cell r="G594" t="str">
            <v>High</v>
          </cell>
          <cell r="L594">
            <v>3</v>
          </cell>
        </row>
        <row r="595">
          <cell r="B595" t="str">
            <v>S-0099</v>
          </cell>
          <cell r="G595" t="str">
            <v>Medium</v>
          </cell>
          <cell r="L595">
            <v>2</v>
          </cell>
        </row>
        <row r="596">
          <cell r="B596" t="str">
            <v>S-0100</v>
          </cell>
          <cell r="G596" t="str">
            <v>Medium</v>
          </cell>
          <cell r="L596">
            <v>2</v>
          </cell>
        </row>
        <row r="597">
          <cell r="B597" t="str">
            <v>S-0100</v>
          </cell>
          <cell r="G597" t="str">
            <v>Medium</v>
          </cell>
          <cell r="L597">
            <v>2</v>
          </cell>
        </row>
        <row r="598">
          <cell r="B598" t="str">
            <v>S-0100</v>
          </cell>
          <cell r="G598" t="str">
            <v>High</v>
          </cell>
          <cell r="L598">
            <v>3</v>
          </cell>
        </row>
        <row r="599">
          <cell r="B599" t="str">
            <v>S-0100</v>
          </cell>
          <cell r="G599" t="str">
            <v>Low</v>
          </cell>
          <cell r="L599">
            <v>1</v>
          </cell>
        </row>
        <row r="600">
          <cell r="B600" t="str">
            <v>S-0100</v>
          </cell>
          <cell r="G600" t="str">
            <v>Medium</v>
          </cell>
          <cell r="L600">
            <v>2</v>
          </cell>
        </row>
        <row r="601">
          <cell r="B601" t="str">
            <v>S-0100</v>
          </cell>
          <cell r="G601" t="str">
            <v>Medium</v>
          </cell>
          <cell r="L601">
            <v>2</v>
          </cell>
        </row>
        <row r="602">
          <cell r="B602" t="str">
            <v>S-0101</v>
          </cell>
          <cell r="G602" t="str">
            <v>Low</v>
          </cell>
          <cell r="L602">
            <v>1</v>
          </cell>
        </row>
        <row r="603">
          <cell r="B603" t="str">
            <v>S-0101</v>
          </cell>
          <cell r="G603" t="str">
            <v>Low</v>
          </cell>
          <cell r="L603">
            <v>1</v>
          </cell>
        </row>
        <row r="604">
          <cell r="B604" t="str">
            <v>S-0101</v>
          </cell>
          <cell r="G604" t="str">
            <v>Low</v>
          </cell>
          <cell r="L604">
            <v>1</v>
          </cell>
        </row>
        <row r="605">
          <cell r="B605" t="str">
            <v>S-0101</v>
          </cell>
          <cell r="G605" t="str">
            <v>Medium</v>
          </cell>
          <cell r="L605">
            <v>2</v>
          </cell>
        </row>
        <row r="606">
          <cell r="B606" t="str">
            <v>S-0101</v>
          </cell>
          <cell r="G606" t="str">
            <v>Low</v>
          </cell>
          <cell r="L606">
            <v>1</v>
          </cell>
        </row>
        <row r="607">
          <cell r="B607" t="str">
            <v>S-0101</v>
          </cell>
          <cell r="G607" t="str">
            <v>Medium</v>
          </cell>
          <cell r="L607">
            <v>2</v>
          </cell>
        </row>
        <row r="608">
          <cell r="B608" t="str">
            <v>S-0102</v>
          </cell>
          <cell r="G608" t="str">
            <v>Low</v>
          </cell>
          <cell r="L608">
            <v>1</v>
          </cell>
        </row>
        <row r="609">
          <cell r="B609" t="str">
            <v>S-0102</v>
          </cell>
          <cell r="G609" t="str">
            <v>Medium</v>
          </cell>
          <cell r="L609">
            <v>2</v>
          </cell>
        </row>
        <row r="610">
          <cell r="B610" t="str">
            <v>S-0102</v>
          </cell>
          <cell r="G610" t="str">
            <v>Low</v>
          </cell>
          <cell r="L610">
            <v>1</v>
          </cell>
        </row>
        <row r="611">
          <cell r="B611" t="str">
            <v>S-0102</v>
          </cell>
          <cell r="G611" t="str">
            <v>Low</v>
          </cell>
          <cell r="L611">
            <v>1</v>
          </cell>
        </row>
        <row r="612">
          <cell r="B612" t="str">
            <v>S-0102</v>
          </cell>
          <cell r="G612" t="str">
            <v>High</v>
          </cell>
          <cell r="L612">
            <v>3</v>
          </cell>
        </row>
        <row r="613">
          <cell r="B613" t="str">
            <v>S-0102</v>
          </cell>
          <cell r="G613" t="str">
            <v>Low</v>
          </cell>
          <cell r="L613">
            <v>1</v>
          </cell>
        </row>
        <row r="614">
          <cell r="B614" t="str">
            <v>S-0103</v>
          </cell>
          <cell r="G614" t="str">
            <v>Low</v>
          </cell>
          <cell r="L614">
            <v>1</v>
          </cell>
        </row>
        <row r="615">
          <cell r="B615" t="str">
            <v>S-0103</v>
          </cell>
          <cell r="G615" t="str">
            <v>Low</v>
          </cell>
          <cell r="L615">
            <v>1</v>
          </cell>
        </row>
        <row r="616">
          <cell r="B616" t="str">
            <v>S-0103</v>
          </cell>
          <cell r="G616" t="str">
            <v>Medium</v>
          </cell>
          <cell r="L616">
            <v>2</v>
          </cell>
        </row>
        <row r="617">
          <cell r="B617" t="str">
            <v>S-0103</v>
          </cell>
          <cell r="G617" t="str">
            <v>Low</v>
          </cell>
          <cell r="L617">
            <v>1</v>
          </cell>
        </row>
        <row r="618">
          <cell r="B618" t="str">
            <v>S-0103</v>
          </cell>
          <cell r="G618" t="str">
            <v>Medium</v>
          </cell>
          <cell r="L618">
            <v>2</v>
          </cell>
        </row>
        <row r="619">
          <cell r="B619" t="str">
            <v>S-0103</v>
          </cell>
          <cell r="G619" t="str">
            <v>Low</v>
          </cell>
          <cell r="L619">
            <v>1</v>
          </cell>
        </row>
        <row r="620">
          <cell r="B620" t="str">
            <v>S-0104</v>
          </cell>
          <cell r="G620" t="str">
            <v>Medium</v>
          </cell>
          <cell r="L620">
            <v>2</v>
          </cell>
        </row>
        <row r="621">
          <cell r="B621" t="str">
            <v>S-0104</v>
          </cell>
          <cell r="G621" t="str">
            <v>High</v>
          </cell>
          <cell r="L621">
            <v>3</v>
          </cell>
        </row>
        <row r="622">
          <cell r="B622" t="str">
            <v>S-0104</v>
          </cell>
          <cell r="G622" t="str">
            <v>Low</v>
          </cell>
          <cell r="L622">
            <v>1</v>
          </cell>
        </row>
        <row r="623">
          <cell r="B623" t="str">
            <v>S-0104</v>
          </cell>
          <cell r="G623" t="str">
            <v>High</v>
          </cell>
          <cell r="L623">
            <v>3</v>
          </cell>
        </row>
        <row r="624">
          <cell r="B624" t="str">
            <v>S-0104</v>
          </cell>
          <cell r="G624" t="str">
            <v>Low</v>
          </cell>
          <cell r="L624">
            <v>1</v>
          </cell>
        </row>
        <row r="625">
          <cell r="B625" t="str">
            <v>S-0104</v>
          </cell>
          <cell r="G625" t="str">
            <v>Low</v>
          </cell>
          <cell r="L625">
            <v>1</v>
          </cell>
        </row>
        <row r="626">
          <cell r="B626" t="str">
            <v>S-0105</v>
          </cell>
          <cell r="G626" t="str">
            <v>Low</v>
          </cell>
          <cell r="L626">
            <v>1</v>
          </cell>
        </row>
        <row r="627">
          <cell r="B627" t="str">
            <v>S-0105</v>
          </cell>
          <cell r="G627" t="str">
            <v>High</v>
          </cell>
          <cell r="L627">
            <v>3</v>
          </cell>
        </row>
        <row r="628">
          <cell r="B628" t="str">
            <v>S-0105</v>
          </cell>
          <cell r="G628" t="str">
            <v>Medium</v>
          </cell>
          <cell r="L628">
            <v>2</v>
          </cell>
        </row>
        <row r="629">
          <cell r="B629" t="str">
            <v>S-0105</v>
          </cell>
          <cell r="G629" t="str">
            <v>Low</v>
          </cell>
          <cell r="L629">
            <v>1</v>
          </cell>
        </row>
        <row r="630">
          <cell r="B630" t="str">
            <v>S-0105</v>
          </cell>
          <cell r="G630" t="str">
            <v>Medium</v>
          </cell>
          <cell r="L630">
            <v>2</v>
          </cell>
        </row>
        <row r="631">
          <cell r="B631" t="str">
            <v>S-0105</v>
          </cell>
          <cell r="G631" t="str">
            <v>High</v>
          </cell>
          <cell r="L631">
            <v>3</v>
          </cell>
        </row>
        <row r="632">
          <cell r="B632" t="str">
            <v>S-0106</v>
          </cell>
          <cell r="G632" t="str">
            <v>Medium</v>
          </cell>
          <cell r="L632">
            <v>2</v>
          </cell>
        </row>
        <row r="633">
          <cell r="B633" t="str">
            <v>S-0106</v>
          </cell>
          <cell r="G633" t="str">
            <v>Low</v>
          </cell>
          <cell r="L633">
            <v>1</v>
          </cell>
        </row>
        <row r="634">
          <cell r="B634" t="str">
            <v>S-0106</v>
          </cell>
          <cell r="G634" t="str">
            <v>Low</v>
          </cell>
          <cell r="L634">
            <v>1</v>
          </cell>
        </row>
        <row r="635">
          <cell r="B635" t="str">
            <v>S-0106</v>
          </cell>
          <cell r="G635" t="str">
            <v>Medium</v>
          </cell>
          <cell r="L635">
            <v>2</v>
          </cell>
        </row>
        <row r="636">
          <cell r="B636" t="str">
            <v>S-0106</v>
          </cell>
          <cell r="G636" t="str">
            <v>Low</v>
          </cell>
          <cell r="L636">
            <v>1</v>
          </cell>
        </row>
        <row r="637">
          <cell r="B637" t="str">
            <v>S-0106</v>
          </cell>
          <cell r="G637" t="str">
            <v>Medium</v>
          </cell>
          <cell r="L637">
            <v>2</v>
          </cell>
        </row>
        <row r="638">
          <cell r="B638" t="str">
            <v>S-0107</v>
          </cell>
          <cell r="G638" t="str">
            <v>Low</v>
          </cell>
          <cell r="L638">
            <v>1</v>
          </cell>
        </row>
        <row r="639">
          <cell r="B639" t="str">
            <v>S-0107</v>
          </cell>
          <cell r="G639" t="str">
            <v>Low</v>
          </cell>
          <cell r="L639">
            <v>1</v>
          </cell>
        </row>
        <row r="640">
          <cell r="B640" t="str">
            <v>S-0107</v>
          </cell>
          <cell r="G640" t="str">
            <v>Low</v>
          </cell>
          <cell r="L640">
            <v>1</v>
          </cell>
        </row>
        <row r="641">
          <cell r="B641" t="str">
            <v>S-0107</v>
          </cell>
          <cell r="G641" t="str">
            <v>High</v>
          </cell>
          <cell r="L641">
            <v>3</v>
          </cell>
        </row>
        <row r="642">
          <cell r="B642" t="str">
            <v>S-0107</v>
          </cell>
          <cell r="G642" t="str">
            <v>High</v>
          </cell>
          <cell r="L642">
            <v>3</v>
          </cell>
        </row>
        <row r="643">
          <cell r="B643" t="str">
            <v>S-0107</v>
          </cell>
          <cell r="G643" t="str">
            <v>Medium</v>
          </cell>
          <cell r="L643">
            <v>2</v>
          </cell>
        </row>
        <row r="644">
          <cell r="B644" t="str">
            <v>S-0108</v>
          </cell>
          <cell r="G644" t="str">
            <v>Medium</v>
          </cell>
          <cell r="L644">
            <v>2</v>
          </cell>
        </row>
        <row r="645">
          <cell r="B645" t="str">
            <v>S-0108</v>
          </cell>
          <cell r="G645" t="str">
            <v>Low</v>
          </cell>
          <cell r="L645">
            <v>1</v>
          </cell>
        </row>
        <row r="646">
          <cell r="B646" t="str">
            <v>S-0108</v>
          </cell>
          <cell r="G646" t="str">
            <v>Low</v>
          </cell>
          <cell r="L646">
            <v>1</v>
          </cell>
        </row>
        <row r="647">
          <cell r="B647" t="str">
            <v>S-0108</v>
          </cell>
          <cell r="G647" t="str">
            <v>Low</v>
          </cell>
          <cell r="L647">
            <v>1</v>
          </cell>
        </row>
        <row r="648">
          <cell r="B648" t="str">
            <v>S-0108</v>
          </cell>
          <cell r="G648" t="str">
            <v>Low</v>
          </cell>
          <cell r="L648">
            <v>1</v>
          </cell>
        </row>
        <row r="649">
          <cell r="B649" t="str">
            <v>S-0108</v>
          </cell>
          <cell r="G649" t="str">
            <v>Low</v>
          </cell>
          <cell r="L649">
            <v>1</v>
          </cell>
        </row>
        <row r="650">
          <cell r="B650" t="str">
            <v>S-0109</v>
          </cell>
          <cell r="G650" t="str">
            <v>High</v>
          </cell>
          <cell r="L650">
            <v>3</v>
          </cell>
        </row>
        <row r="651">
          <cell r="B651" t="str">
            <v>S-0109</v>
          </cell>
          <cell r="G651" t="str">
            <v>Medium</v>
          </cell>
          <cell r="L651">
            <v>2</v>
          </cell>
        </row>
        <row r="652">
          <cell r="B652" t="str">
            <v>S-0109</v>
          </cell>
          <cell r="G652" t="str">
            <v>Low</v>
          </cell>
          <cell r="L652">
            <v>1</v>
          </cell>
        </row>
        <row r="653">
          <cell r="B653" t="str">
            <v>S-0109</v>
          </cell>
          <cell r="G653" t="str">
            <v>Low</v>
          </cell>
          <cell r="L653">
            <v>1</v>
          </cell>
        </row>
        <row r="654">
          <cell r="B654" t="str">
            <v>S-0109</v>
          </cell>
          <cell r="G654" t="str">
            <v>Medium</v>
          </cell>
          <cell r="L654">
            <v>2</v>
          </cell>
        </row>
        <row r="655">
          <cell r="B655" t="str">
            <v>S-0109</v>
          </cell>
          <cell r="G655" t="str">
            <v>High</v>
          </cell>
          <cell r="L655">
            <v>3</v>
          </cell>
        </row>
        <row r="656">
          <cell r="B656" t="str">
            <v>S-0110</v>
          </cell>
          <cell r="G656" t="str">
            <v>Medium</v>
          </cell>
          <cell r="L656">
            <v>2</v>
          </cell>
        </row>
        <row r="657">
          <cell r="B657" t="str">
            <v>S-0110</v>
          </cell>
          <cell r="G657" t="str">
            <v>Low</v>
          </cell>
          <cell r="L657">
            <v>1</v>
          </cell>
        </row>
        <row r="658">
          <cell r="B658" t="str">
            <v>S-0110</v>
          </cell>
          <cell r="G658" t="str">
            <v>Low</v>
          </cell>
          <cell r="L658">
            <v>1</v>
          </cell>
        </row>
        <row r="659">
          <cell r="B659" t="str">
            <v>S-0110</v>
          </cell>
          <cell r="G659" t="str">
            <v>Medium</v>
          </cell>
          <cell r="L659">
            <v>2</v>
          </cell>
        </row>
        <row r="660">
          <cell r="B660" t="str">
            <v>S-0110</v>
          </cell>
          <cell r="G660" t="str">
            <v>Low</v>
          </cell>
          <cell r="L660">
            <v>1</v>
          </cell>
        </row>
        <row r="661">
          <cell r="B661" t="str">
            <v>S-0110</v>
          </cell>
          <cell r="G661" t="str">
            <v>Low</v>
          </cell>
          <cell r="L661">
            <v>1</v>
          </cell>
        </row>
        <row r="662">
          <cell r="B662" t="str">
            <v>S-0111</v>
          </cell>
          <cell r="G662" t="str">
            <v>High</v>
          </cell>
          <cell r="L662">
            <v>3</v>
          </cell>
        </row>
        <row r="663">
          <cell r="B663" t="str">
            <v>S-0111</v>
          </cell>
          <cell r="G663" t="str">
            <v>Low</v>
          </cell>
          <cell r="L663">
            <v>1</v>
          </cell>
        </row>
        <row r="664">
          <cell r="B664" t="str">
            <v>S-0111</v>
          </cell>
          <cell r="G664" t="str">
            <v>Low</v>
          </cell>
          <cell r="L664">
            <v>1</v>
          </cell>
        </row>
        <row r="665">
          <cell r="B665" t="str">
            <v>S-0111</v>
          </cell>
          <cell r="G665" t="str">
            <v>High</v>
          </cell>
          <cell r="L665">
            <v>3</v>
          </cell>
        </row>
        <row r="666">
          <cell r="B666" t="str">
            <v>S-0111</v>
          </cell>
          <cell r="G666" t="str">
            <v>Low</v>
          </cell>
          <cell r="L666">
            <v>1</v>
          </cell>
        </row>
        <row r="667">
          <cell r="B667" t="str">
            <v>S-0111</v>
          </cell>
          <cell r="G667" t="str">
            <v>High</v>
          </cell>
          <cell r="L667">
            <v>3</v>
          </cell>
        </row>
        <row r="668">
          <cell r="B668" t="str">
            <v>S-0112</v>
          </cell>
          <cell r="G668" t="str">
            <v>Low</v>
          </cell>
          <cell r="L668">
            <v>1</v>
          </cell>
        </row>
        <row r="669">
          <cell r="B669" t="str">
            <v>S-0112</v>
          </cell>
          <cell r="G669" t="str">
            <v>Low</v>
          </cell>
          <cell r="L669">
            <v>1</v>
          </cell>
        </row>
        <row r="670">
          <cell r="B670" t="str">
            <v>S-0112</v>
          </cell>
          <cell r="G670" t="str">
            <v>Low</v>
          </cell>
          <cell r="L670">
            <v>1</v>
          </cell>
        </row>
        <row r="671">
          <cell r="B671" t="str">
            <v>S-0112</v>
          </cell>
          <cell r="G671" t="str">
            <v>Medium</v>
          </cell>
          <cell r="L671">
            <v>2</v>
          </cell>
        </row>
        <row r="672">
          <cell r="B672" t="str">
            <v>S-0112</v>
          </cell>
          <cell r="G672" t="str">
            <v>Low</v>
          </cell>
          <cell r="L672">
            <v>1</v>
          </cell>
        </row>
        <row r="673">
          <cell r="B673" t="str">
            <v>S-0112</v>
          </cell>
          <cell r="G673" t="str">
            <v>Low</v>
          </cell>
          <cell r="L673">
            <v>1</v>
          </cell>
        </row>
        <row r="674">
          <cell r="B674" t="str">
            <v>S-0113</v>
          </cell>
          <cell r="G674" t="str">
            <v>Low</v>
          </cell>
          <cell r="L674">
            <v>1</v>
          </cell>
        </row>
        <row r="675">
          <cell r="B675" t="str">
            <v>S-0113</v>
          </cell>
          <cell r="G675" t="str">
            <v>Low</v>
          </cell>
          <cell r="L675">
            <v>1</v>
          </cell>
        </row>
        <row r="676">
          <cell r="B676" t="str">
            <v>S-0113</v>
          </cell>
          <cell r="G676" t="str">
            <v>High</v>
          </cell>
          <cell r="L676">
            <v>3</v>
          </cell>
        </row>
        <row r="677">
          <cell r="B677" t="str">
            <v>S-0113</v>
          </cell>
          <cell r="G677" t="str">
            <v>Low</v>
          </cell>
          <cell r="L677">
            <v>1</v>
          </cell>
        </row>
        <row r="678">
          <cell r="B678" t="str">
            <v>S-0113</v>
          </cell>
          <cell r="G678" t="str">
            <v>High</v>
          </cell>
          <cell r="L678">
            <v>3</v>
          </cell>
        </row>
        <row r="679">
          <cell r="B679" t="str">
            <v>S-0113</v>
          </cell>
          <cell r="G679" t="str">
            <v>High</v>
          </cell>
          <cell r="L679">
            <v>3</v>
          </cell>
        </row>
        <row r="680">
          <cell r="B680" t="str">
            <v>S-0114</v>
          </cell>
          <cell r="G680" t="str">
            <v>Low</v>
          </cell>
          <cell r="L680">
            <v>1</v>
          </cell>
        </row>
        <row r="681">
          <cell r="B681" t="str">
            <v>S-0114</v>
          </cell>
          <cell r="G681" t="str">
            <v>Low</v>
          </cell>
          <cell r="L681">
            <v>1</v>
          </cell>
        </row>
        <row r="682">
          <cell r="B682" t="str">
            <v>S-0114</v>
          </cell>
          <cell r="G682" t="str">
            <v>Low</v>
          </cell>
          <cell r="L682">
            <v>1</v>
          </cell>
        </row>
        <row r="683">
          <cell r="B683" t="str">
            <v>S-0114</v>
          </cell>
          <cell r="G683" t="str">
            <v>Low</v>
          </cell>
          <cell r="L683">
            <v>1</v>
          </cell>
        </row>
        <row r="684">
          <cell r="B684" t="str">
            <v>S-0114</v>
          </cell>
          <cell r="G684" t="str">
            <v>Medium</v>
          </cell>
          <cell r="L684">
            <v>2</v>
          </cell>
        </row>
        <row r="685">
          <cell r="B685" t="str">
            <v>S-0114</v>
          </cell>
          <cell r="G685" t="str">
            <v>Low</v>
          </cell>
          <cell r="L685">
            <v>1</v>
          </cell>
        </row>
        <row r="686">
          <cell r="B686" t="str">
            <v>S-0115</v>
          </cell>
          <cell r="G686" t="str">
            <v>Low</v>
          </cell>
          <cell r="L686">
            <v>1</v>
          </cell>
        </row>
        <row r="687">
          <cell r="B687" t="str">
            <v>S-0115</v>
          </cell>
          <cell r="G687" t="str">
            <v>High</v>
          </cell>
          <cell r="L687">
            <v>3</v>
          </cell>
        </row>
        <row r="688">
          <cell r="B688" t="str">
            <v>S-0115</v>
          </cell>
          <cell r="G688" t="str">
            <v>Medium</v>
          </cell>
          <cell r="L688">
            <v>2</v>
          </cell>
        </row>
        <row r="689">
          <cell r="B689" t="str">
            <v>S-0115</v>
          </cell>
          <cell r="G689" t="str">
            <v>High</v>
          </cell>
          <cell r="L689">
            <v>3</v>
          </cell>
        </row>
        <row r="690">
          <cell r="B690" t="str">
            <v>S-0115</v>
          </cell>
          <cell r="G690" t="str">
            <v>Low</v>
          </cell>
          <cell r="L690">
            <v>1</v>
          </cell>
        </row>
        <row r="691">
          <cell r="B691" t="str">
            <v>S-0115</v>
          </cell>
          <cell r="G691" t="str">
            <v>Medium</v>
          </cell>
          <cell r="L691">
            <v>2</v>
          </cell>
        </row>
        <row r="692">
          <cell r="B692" t="str">
            <v>S-0116</v>
          </cell>
          <cell r="G692" t="str">
            <v>Low</v>
          </cell>
          <cell r="L692">
            <v>1</v>
          </cell>
        </row>
        <row r="693">
          <cell r="B693" t="str">
            <v>S-0116</v>
          </cell>
          <cell r="G693" t="str">
            <v>Low</v>
          </cell>
          <cell r="L693">
            <v>1</v>
          </cell>
        </row>
        <row r="694">
          <cell r="B694" t="str">
            <v>S-0116</v>
          </cell>
          <cell r="G694" t="str">
            <v>Low</v>
          </cell>
          <cell r="L694">
            <v>1</v>
          </cell>
        </row>
        <row r="695">
          <cell r="B695" t="str">
            <v>S-0116</v>
          </cell>
          <cell r="G695" t="str">
            <v>Medium</v>
          </cell>
          <cell r="L695">
            <v>2</v>
          </cell>
        </row>
        <row r="696">
          <cell r="B696" t="str">
            <v>S-0116</v>
          </cell>
          <cell r="G696" t="str">
            <v>High</v>
          </cell>
          <cell r="L696">
            <v>3</v>
          </cell>
        </row>
        <row r="697">
          <cell r="B697" t="str">
            <v>S-0116</v>
          </cell>
          <cell r="G697" t="str">
            <v>Low</v>
          </cell>
          <cell r="L697">
            <v>1</v>
          </cell>
        </row>
        <row r="698">
          <cell r="B698" t="str">
            <v>S-0117</v>
          </cell>
          <cell r="G698" t="str">
            <v>Low</v>
          </cell>
          <cell r="L698">
            <v>1</v>
          </cell>
        </row>
        <row r="699">
          <cell r="B699" t="str">
            <v>S-0117</v>
          </cell>
          <cell r="G699" t="str">
            <v>Low</v>
          </cell>
          <cell r="L699">
            <v>1</v>
          </cell>
        </row>
        <row r="700">
          <cell r="B700" t="str">
            <v>S-0117</v>
          </cell>
          <cell r="G700" t="str">
            <v>High</v>
          </cell>
          <cell r="L700">
            <v>3</v>
          </cell>
        </row>
        <row r="701">
          <cell r="B701" t="str">
            <v>S-0117</v>
          </cell>
          <cell r="G701" t="str">
            <v>Low</v>
          </cell>
          <cell r="L701">
            <v>1</v>
          </cell>
        </row>
        <row r="702">
          <cell r="B702" t="str">
            <v>S-0117</v>
          </cell>
          <cell r="G702" t="str">
            <v>Low</v>
          </cell>
          <cell r="L702">
            <v>1</v>
          </cell>
        </row>
        <row r="703">
          <cell r="B703" t="str">
            <v>S-0117</v>
          </cell>
          <cell r="G703" t="str">
            <v>Low</v>
          </cell>
          <cell r="L703">
            <v>1</v>
          </cell>
        </row>
        <row r="704">
          <cell r="B704" t="str">
            <v>S-0118</v>
          </cell>
          <cell r="G704" t="str">
            <v>Low</v>
          </cell>
          <cell r="L704">
            <v>1</v>
          </cell>
        </row>
        <row r="705">
          <cell r="B705" t="str">
            <v>S-0118</v>
          </cell>
          <cell r="G705" t="str">
            <v>Medium</v>
          </cell>
          <cell r="L705">
            <v>2</v>
          </cell>
        </row>
        <row r="706">
          <cell r="B706" t="str">
            <v>S-0118</v>
          </cell>
          <cell r="G706" t="str">
            <v>Low</v>
          </cell>
          <cell r="L706">
            <v>1</v>
          </cell>
        </row>
        <row r="707">
          <cell r="B707" t="str">
            <v>S-0118</v>
          </cell>
          <cell r="G707" t="str">
            <v>High</v>
          </cell>
          <cell r="L707">
            <v>3</v>
          </cell>
        </row>
        <row r="708">
          <cell r="B708" t="str">
            <v>S-0118</v>
          </cell>
          <cell r="G708" t="str">
            <v>Low</v>
          </cell>
          <cell r="L708">
            <v>1</v>
          </cell>
        </row>
        <row r="709">
          <cell r="B709" t="str">
            <v>S-0118</v>
          </cell>
          <cell r="G709" t="str">
            <v>Medium</v>
          </cell>
          <cell r="L709">
            <v>2</v>
          </cell>
        </row>
        <row r="710">
          <cell r="B710" t="str">
            <v>S-0119</v>
          </cell>
          <cell r="G710" t="str">
            <v>Low</v>
          </cell>
          <cell r="L710">
            <v>1</v>
          </cell>
        </row>
        <row r="711">
          <cell r="B711" t="str">
            <v>S-0119</v>
          </cell>
          <cell r="G711" t="str">
            <v>Low</v>
          </cell>
          <cell r="L711">
            <v>1</v>
          </cell>
        </row>
        <row r="712">
          <cell r="B712" t="str">
            <v>S-0119</v>
          </cell>
          <cell r="G712" t="str">
            <v>High</v>
          </cell>
          <cell r="L712">
            <v>3</v>
          </cell>
        </row>
        <row r="713">
          <cell r="B713" t="str">
            <v>S-0119</v>
          </cell>
          <cell r="G713" t="str">
            <v>Low</v>
          </cell>
          <cell r="L713">
            <v>1</v>
          </cell>
        </row>
        <row r="714">
          <cell r="B714" t="str">
            <v>S-0119</v>
          </cell>
          <cell r="G714" t="str">
            <v>Low</v>
          </cell>
          <cell r="L714">
            <v>1</v>
          </cell>
        </row>
        <row r="715">
          <cell r="B715" t="str">
            <v>S-0119</v>
          </cell>
          <cell r="G715" t="str">
            <v>Medium</v>
          </cell>
          <cell r="L715">
            <v>2</v>
          </cell>
        </row>
        <row r="716">
          <cell r="B716" t="str">
            <v>S-0120</v>
          </cell>
          <cell r="G716" t="str">
            <v>Low</v>
          </cell>
          <cell r="L716">
            <v>1</v>
          </cell>
        </row>
        <row r="717">
          <cell r="B717" t="str">
            <v>S-0120</v>
          </cell>
          <cell r="G717" t="str">
            <v>Low</v>
          </cell>
          <cell r="L717">
            <v>1</v>
          </cell>
        </row>
        <row r="718">
          <cell r="B718" t="str">
            <v>S-0120</v>
          </cell>
          <cell r="G718" t="str">
            <v>Medium</v>
          </cell>
          <cell r="L718">
            <v>2</v>
          </cell>
        </row>
        <row r="719">
          <cell r="B719" t="str">
            <v>S-0120</v>
          </cell>
          <cell r="G719" t="str">
            <v>Low</v>
          </cell>
          <cell r="L719">
            <v>1</v>
          </cell>
        </row>
        <row r="720">
          <cell r="B720" t="str">
            <v>S-0120</v>
          </cell>
          <cell r="G720" t="str">
            <v>Low</v>
          </cell>
          <cell r="L720">
            <v>1</v>
          </cell>
        </row>
        <row r="721">
          <cell r="B721" t="str">
            <v>S-0120</v>
          </cell>
          <cell r="G721" t="str">
            <v>Low</v>
          </cell>
          <cell r="L721">
            <v>1</v>
          </cell>
        </row>
        <row r="722">
          <cell r="B722" t="str">
            <v>S-0121</v>
          </cell>
          <cell r="G722" t="str">
            <v>Low</v>
          </cell>
          <cell r="L722">
            <v>1</v>
          </cell>
        </row>
        <row r="723">
          <cell r="B723" t="str">
            <v>S-0121</v>
          </cell>
          <cell r="G723" t="str">
            <v>Low</v>
          </cell>
          <cell r="L723">
            <v>1</v>
          </cell>
        </row>
        <row r="724">
          <cell r="B724" t="str">
            <v>S-0121</v>
          </cell>
          <cell r="G724" t="str">
            <v>Low</v>
          </cell>
          <cell r="L724">
            <v>1</v>
          </cell>
        </row>
        <row r="725">
          <cell r="B725" t="str">
            <v>S-0121</v>
          </cell>
          <cell r="G725" t="str">
            <v>Low</v>
          </cell>
          <cell r="L725">
            <v>1</v>
          </cell>
        </row>
        <row r="726">
          <cell r="B726" t="str">
            <v>S-0121</v>
          </cell>
          <cell r="G726" t="str">
            <v>Low</v>
          </cell>
          <cell r="L726">
            <v>1</v>
          </cell>
        </row>
        <row r="727">
          <cell r="B727" t="str">
            <v>S-0121</v>
          </cell>
          <cell r="G727" t="str">
            <v>Medium</v>
          </cell>
          <cell r="L727">
            <v>2</v>
          </cell>
        </row>
        <row r="728">
          <cell r="B728" t="str">
            <v>S-0122</v>
          </cell>
          <cell r="G728" t="str">
            <v>Low</v>
          </cell>
          <cell r="L728">
            <v>1</v>
          </cell>
        </row>
        <row r="729">
          <cell r="B729" t="str">
            <v>S-0122</v>
          </cell>
          <cell r="G729" t="str">
            <v>Medium</v>
          </cell>
          <cell r="L729">
            <v>2</v>
          </cell>
        </row>
        <row r="730">
          <cell r="B730" t="str">
            <v>S-0122</v>
          </cell>
          <cell r="G730" t="str">
            <v>Low</v>
          </cell>
          <cell r="L730">
            <v>1</v>
          </cell>
        </row>
        <row r="731">
          <cell r="B731" t="str">
            <v>S-0122</v>
          </cell>
          <cell r="G731" t="str">
            <v>Low</v>
          </cell>
          <cell r="L731">
            <v>1</v>
          </cell>
        </row>
        <row r="732">
          <cell r="B732" t="str">
            <v>S-0122</v>
          </cell>
          <cell r="G732" t="str">
            <v>High</v>
          </cell>
          <cell r="L732">
            <v>3</v>
          </cell>
        </row>
        <row r="733">
          <cell r="B733" t="str">
            <v>S-0122</v>
          </cell>
          <cell r="G733" t="str">
            <v>Low</v>
          </cell>
          <cell r="L733">
            <v>1</v>
          </cell>
        </row>
        <row r="734">
          <cell r="B734" t="str">
            <v>S-0123</v>
          </cell>
          <cell r="G734" t="str">
            <v>High</v>
          </cell>
          <cell r="L734">
            <v>3</v>
          </cell>
        </row>
        <row r="735">
          <cell r="B735" t="str">
            <v>S-0123</v>
          </cell>
          <cell r="G735" t="str">
            <v>Low</v>
          </cell>
          <cell r="L735">
            <v>1</v>
          </cell>
        </row>
        <row r="736">
          <cell r="B736" t="str">
            <v>S-0123</v>
          </cell>
          <cell r="G736" t="str">
            <v>High</v>
          </cell>
          <cell r="L736">
            <v>3</v>
          </cell>
        </row>
        <row r="737">
          <cell r="B737" t="str">
            <v>S-0123</v>
          </cell>
          <cell r="G737" t="str">
            <v>Low</v>
          </cell>
          <cell r="L737">
            <v>1</v>
          </cell>
        </row>
        <row r="738">
          <cell r="B738" t="str">
            <v>S-0123</v>
          </cell>
          <cell r="G738" t="str">
            <v>High</v>
          </cell>
          <cell r="L738">
            <v>3</v>
          </cell>
        </row>
        <row r="739">
          <cell r="B739" t="str">
            <v>S-0123</v>
          </cell>
          <cell r="G739" t="str">
            <v>Low</v>
          </cell>
          <cell r="L739">
            <v>1</v>
          </cell>
        </row>
        <row r="740">
          <cell r="B740" t="str">
            <v>S-0124</v>
          </cell>
          <cell r="G740" t="str">
            <v>Low</v>
          </cell>
          <cell r="L740">
            <v>1</v>
          </cell>
        </row>
        <row r="741">
          <cell r="B741" t="str">
            <v>S-0124</v>
          </cell>
          <cell r="G741" t="str">
            <v>Low</v>
          </cell>
          <cell r="L741">
            <v>1</v>
          </cell>
        </row>
        <row r="742">
          <cell r="B742" t="str">
            <v>S-0124</v>
          </cell>
          <cell r="G742" t="str">
            <v>High</v>
          </cell>
          <cell r="L742">
            <v>3</v>
          </cell>
        </row>
        <row r="743">
          <cell r="B743" t="str">
            <v>S-0124</v>
          </cell>
          <cell r="G743" t="str">
            <v>Low</v>
          </cell>
          <cell r="L743">
            <v>1</v>
          </cell>
        </row>
        <row r="744">
          <cell r="B744" t="str">
            <v>S-0124</v>
          </cell>
          <cell r="G744" t="str">
            <v>Low</v>
          </cell>
          <cell r="L744">
            <v>1</v>
          </cell>
        </row>
        <row r="745">
          <cell r="B745" t="str">
            <v>S-0124</v>
          </cell>
          <cell r="G745" t="str">
            <v>Medium</v>
          </cell>
          <cell r="L745">
            <v>2</v>
          </cell>
        </row>
        <row r="746">
          <cell r="B746" t="str">
            <v>S-0125</v>
          </cell>
          <cell r="G746" t="str">
            <v>Low</v>
          </cell>
          <cell r="L746">
            <v>1</v>
          </cell>
        </row>
        <row r="747">
          <cell r="B747" t="str">
            <v>S-0125</v>
          </cell>
          <cell r="G747" t="str">
            <v>Low</v>
          </cell>
          <cell r="L747">
            <v>1</v>
          </cell>
        </row>
        <row r="748">
          <cell r="B748" t="str">
            <v>S-0125</v>
          </cell>
          <cell r="G748" t="str">
            <v>Low</v>
          </cell>
          <cell r="L748">
            <v>1</v>
          </cell>
        </row>
        <row r="749">
          <cell r="B749" t="str">
            <v>S-0125</v>
          </cell>
          <cell r="G749" t="str">
            <v>Low</v>
          </cell>
          <cell r="L749">
            <v>1</v>
          </cell>
        </row>
        <row r="750">
          <cell r="B750" t="str">
            <v>S-0125</v>
          </cell>
          <cell r="G750" t="str">
            <v>Medium</v>
          </cell>
          <cell r="L750">
            <v>2</v>
          </cell>
        </row>
        <row r="751">
          <cell r="B751" t="str">
            <v>S-0125</v>
          </cell>
          <cell r="G751" t="str">
            <v>Low</v>
          </cell>
          <cell r="L751">
            <v>1</v>
          </cell>
        </row>
        <row r="752">
          <cell r="B752" t="str">
            <v>S-0126</v>
          </cell>
          <cell r="G752" t="str">
            <v>High</v>
          </cell>
          <cell r="L752">
            <v>3</v>
          </cell>
        </row>
        <row r="753">
          <cell r="B753" t="str">
            <v>S-0126</v>
          </cell>
          <cell r="G753" t="str">
            <v>High</v>
          </cell>
          <cell r="L753">
            <v>3</v>
          </cell>
        </row>
        <row r="754">
          <cell r="B754" t="str">
            <v>S-0126</v>
          </cell>
          <cell r="G754" t="str">
            <v>Low</v>
          </cell>
          <cell r="L754">
            <v>1</v>
          </cell>
        </row>
        <row r="755">
          <cell r="B755" t="str">
            <v>S-0126</v>
          </cell>
          <cell r="G755" t="str">
            <v>Low</v>
          </cell>
          <cell r="L755">
            <v>1</v>
          </cell>
        </row>
        <row r="756">
          <cell r="B756" t="str">
            <v>S-0126</v>
          </cell>
          <cell r="G756" t="str">
            <v>Low</v>
          </cell>
          <cell r="L756">
            <v>1</v>
          </cell>
        </row>
        <row r="757">
          <cell r="B757" t="str">
            <v>S-0126</v>
          </cell>
          <cell r="G757" t="str">
            <v>Low</v>
          </cell>
          <cell r="L757">
            <v>1</v>
          </cell>
        </row>
        <row r="758">
          <cell r="B758" t="str">
            <v>S-0127</v>
          </cell>
          <cell r="G758" t="str">
            <v>Low</v>
          </cell>
          <cell r="L758">
            <v>1</v>
          </cell>
        </row>
        <row r="759">
          <cell r="B759" t="str">
            <v>S-0127</v>
          </cell>
          <cell r="G759" t="str">
            <v>Low</v>
          </cell>
          <cell r="L759">
            <v>1</v>
          </cell>
        </row>
        <row r="760">
          <cell r="B760" t="str">
            <v>S-0127</v>
          </cell>
          <cell r="G760" t="str">
            <v>High</v>
          </cell>
          <cell r="L760">
            <v>3</v>
          </cell>
        </row>
        <row r="761">
          <cell r="B761" t="str">
            <v>S-0127</v>
          </cell>
          <cell r="G761" t="str">
            <v>Medium</v>
          </cell>
          <cell r="L761">
            <v>2</v>
          </cell>
        </row>
        <row r="762">
          <cell r="B762" t="str">
            <v>S-0127</v>
          </cell>
          <cell r="G762" t="str">
            <v>Low</v>
          </cell>
          <cell r="L762">
            <v>1</v>
          </cell>
        </row>
        <row r="763">
          <cell r="B763" t="str">
            <v>S-0127</v>
          </cell>
          <cell r="G763" t="str">
            <v>Low</v>
          </cell>
          <cell r="L763">
            <v>1</v>
          </cell>
        </row>
        <row r="764">
          <cell r="B764" t="str">
            <v>S-0128</v>
          </cell>
          <cell r="G764" t="str">
            <v>Low</v>
          </cell>
          <cell r="L764">
            <v>1</v>
          </cell>
        </row>
        <row r="765">
          <cell r="B765" t="str">
            <v>S-0128</v>
          </cell>
          <cell r="G765" t="str">
            <v>Low</v>
          </cell>
          <cell r="L765">
            <v>1</v>
          </cell>
        </row>
        <row r="766">
          <cell r="B766" t="str">
            <v>S-0128</v>
          </cell>
          <cell r="G766" t="str">
            <v>Medium</v>
          </cell>
          <cell r="L766">
            <v>2</v>
          </cell>
        </row>
        <row r="767">
          <cell r="B767" t="str">
            <v>S-0128</v>
          </cell>
          <cell r="G767" t="str">
            <v>High</v>
          </cell>
          <cell r="L767">
            <v>3</v>
          </cell>
        </row>
        <row r="768">
          <cell r="B768" t="str">
            <v>S-0128</v>
          </cell>
          <cell r="G768" t="str">
            <v>Low</v>
          </cell>
          <cell r="L768">
            <v>1</v>
          </cell>
        </row>
        <row r="769">
          <cell r="B769" t="str">
            <v>S-0128</v>
          </cell>
          <cell r="G769" t="str">
            <v>Low</v>
          </cell>
          <cell r="L769">
            <v>1</v>
          </cell>
        </row>
        <row r="770">
          <cell r="B770" t="str">
            <v>S-0129</v>
          </cell>
          <cell r="G770" t="str">
            <v>High</v>
          </cell>
          <cell r="L770">
            <v>3</v>
          </cell>
        </row>
        <row r="771">
          <cell r="B771" t="str">
            <v>S-0129</v>
          </cell>
          <cell r="G771" t="str">
            <v>Low</v>
          </cell>
          <cell r="L771">
            <v>1</v>
          </cell>
        </row>
        <row r="772">
          <cell r="B772" t="str">
            <v>S-0129</v>
          </cell>
          <cell r="G772" t="str">
            <v>Low</v>
          </cell>
          <cell r="L772">
            <v>1</v>
          </cell>
        </row>
        <row r="773">
          <cell r="B773" t="str">
            <v>S-0129</v>
          </cell>
          <cell r="G773" t="str">
            <v>Low</v>
          </cell>
          <cell r="L773">
            <v>1</v>
          </cell>
        </row>
        <row r="774">
          <cell r="B774" t="str">
            <v>S-0129</v>
          </cell>
          <cell r="G774" t="str">
            <v>High</v>
          </cell>
          <cell r="L774">
            <v>3</v>
          </cell>
        </row>
        <row r="775">
          <cell r="B775" t="str">
            <v>S-0129</v>
          </cell>
          <cell r="G775" t="str">
            <v>Low</v>
          </cell>
          <cell r="L775">
            <v>1</v>
          </cell>
        </row>
        <row r="776">
          <cell r="B776" t="str">
            <v>S-0130</v>
          </cell>
          <cell r="G776" t="str">
            <v>Low</v>
          </cell>
          <cell r="L776">
            <v>1</v>
          </cell>
        </row>
        <row r="777">
          <cell r="B777" t="str">
            <v>S-0130</v>
          </cell>
          <cell r="G777" t="str">
            <v>Medium</v>
          </cell>
          <cell r="L777">
            <v>2</v>
          </cell>
        </row>
        <row r="778">
          <cell r="B778" t="str">
            <v>S-0130</v>
          </cell>
          <cell r="G778" t="str">
            <v>Low</v>
          </cell>
          <cell r="L778">
            <v>1</v>
          </cell>
        </row>
        <row r="779">
          <cell r="B779" t="str">
            <v>S-0130</v>
          </cell>
          <cell r="G779" t="str">
            <v>Low</v>
          </cell>
          <cell r="L779">
            <v>1</v>
          </cell>
        </row>
        <row r="780">
          <cell r="B780" t="str">
            <v>S-0130</v>
          </cell>
          <cell r="G780" t="str">
            <v>High</v>
          </cell>
          <cell r="L780">
            <v>3</v>
          </cell>
        </row>
        <row r="781">
          <cell r="B781" t="str">
            <v>S-0130</v>
          </cell>
          <cell r="G781" t="str">
            <v>Low</v>
          </cell>
          <cell r="L781">
            <v>1</v>
          </cell>
        </row>
        <row r="782">
          <cell r="B782" t="str">
            <v>S-0131</v>
          </cell>
          <cell r="G782" t="str">
            <v>Low</v>
          </cell>
          <cell r="L782">
            <v>1</v>
          </cell>
        </row>
        <row r="783">
          <cell r="B783" t="str">
            <v>S-0131</v>
          </cell>
          <cell r="G783" t="str">
            <v>Low</v>
          </cell>
          <cell r="L783">
            <v>1</v>
          </cell>
        </row>
        <row r="784">
          <cell r="B784" t="str">
            <v>S-0131</v>
          </cell>
          <cell r="G784" t="str">
            <v>Medium</v>
          </cell>
          <cell r="L784">
            <v>2</v>
          </cell>
        </row>
        <row r="785">
          <cell r="B785" t="str">
            <v>S-0131</v>
          </cell>
          <cell r="G785" t="str">
            <v>Low</v>
          </cell>
          <cell r="L785">
            <v>1</v>
          </cell>
        </row>
        <row r="786">
          <cell r="B786" t="str">
            <v>S-0131</v>
          </cell>
          <cell r="G786" t="str">
            <v>Medium</v>
          </cell>
          <cell r="L786">
            <v>2</v>
          </cell>
        </row>
        <row r="787">
          <cell r="B787" t="str">
            <v>S-0131</v>
          </cell>
          <cell r="G787" t="str">
            <v>Low</v>
          </cell>
          <cell r="L787">
            <v>1</v>
          </cell>
        </row>
        <row r="788">
          <cell r="B788" t="str">
            <v>S-0132</v>
          </cell>
          <cell r="G788" t="str">
            <v>Low</v>
          </cell>
          <cell r="L788">
            <v>1</v>
          </cell>
        </row>
        <row r="789">
          <cell r="B789" t="str">
            <v>S-0132</v>
          </cell>
          <cell r="G789" t="str">
            <v>Low</v>
          </cell>
          <cell r="L789">
            <v>1</v>
          </cell>
        </row>
        <row r="790">
          <cell r="B790" t="str">
            <v>S-0132</v>
          </cell>
          <cell r="G790" t="str">
            <v>Low</v>
          </cell>
          <cell r="L790">
            <v>1</v>
          </cell>
        </row>
        <row r="791">
          <cell r="B791" t="str">
            <v>S-0132</v>
          </cell>
          <cell r="G791" t="str">
            <v>High</v>
          </cell>
          <cell r="L791">
            <v>3</v>
          </cell>
        </row>
        <row r="792">
          <cell r="B792" t="str">
            <v>S-0132</v>
          </cell>
          <cell r="G792" t="str">
            <v>Medium</v>
          </cell>
          <cell r="L792">
            <v>2</v>
          </cell>
        </row>
        <row r="793">
          <cell r="B793" t="str">
            <v>S-0132</v>
          </cell>
          <cell r="G793" t="str">
            <v>Medium</v>
          </cell>
          <cell r="L793">
            <v>2</v>
          </cell>
        </row>
        <row r="794">
          <cell r="B794" t="str">
            <v>S-0133</v>
          </cell>
          <cell r="G794" t="str">
            <v>High</v>
          </cell>
          <cell r="L794">
            <v>3</v>
          </cell>
        </row>
        <row r="795">
          <cell r="B795" t="str">
            <v>S-0133</v>
          </cell>
          <cell r="G795" t="str">
            <v>Low</v>
          </cell>
          <cell r="L795">
            <v>1</v>
          </cell>
        </row>
        <row r="796">
          <cell r="B796" t="str">
            <v>S-0133</v>
          </cell>
          <cell r="G796" t="str">
            <v>Low</v>
          </cell>
          <cell r="L796">
            <v>1</v>
          </cell>
        </row>
        <row r="797">
          <cell r="B797" t="str">
            <v>S-0133</v>
          </cell>
          <cell r="G797" t="str">
            <v>Low</v>
          </cell>
          <cell r="L797">
            <v>1</v>
          </cell>
        </row>
        <row r="798">
          <cell r="B798" t="str">
            <v>S-0133</v>
          </cell>
          <cell r="G798" t="str">
            <v>Low</v>
          </cell>
          <cell r="L798">
            <v>1</v>
          </cell>
        </row>
        <row r="799">
          <cell r="B799" t="str">
            <v>S-0133</v>
          </cell>
          <cell r="G799" t="str">
            <v>Medium</v>
          </cell>
          <cell r="L799">
            <v>2</v>
          </cell>
        </row>
        <row r="800">
          <cell r="B800" t="str">
            <v>S-0134</v>
          </cell>
          <cell r="G800" t="str">
            <v>Low</v>
          </cell>
          <cell r="L800">
            <v>1</v>
          </cell>
        </row>
        <row r="801">
          <cell r="B801" t="str">
            <v>S-0134</v>
          </cell>
          <cell r="G801" t="str">
            <v>Low</v>
          </cell>
          <cell r="L801">
            <v>1</v>
          </cell>
        </row>
        <row r="802">
          <cell r="B802" t="str">
            <v>S-0134</v>
          </cell>
          <cell r="G802" t="str">
            <v>Low</v>
          </cell>
          <cell r="L802">
            <v>1</v>
          </cell>
        </row>
        <row r="803">
          <cell r="B803" t="str">
            <v>S-0134</v>
          </cell>
          <cell r="G803" t="str">
            <v>High</v>
          </cell>
          <cell r="L803">
            <v>3</v>
          </cell>
        </row>
        <row r="804">
          <cell r="B804" t="str">
            <v>S-0134</v>
          </cell>
          <cell r="G804" t="str">
            <v>Medium</v>
          </cell>
          <cell r="L804">
            <v>2</v>
          </cell>
        </row>
        <row r="805">
          <cell r="B805" t="str">
            <v>S-0134</v>
          </cell>
          <cell r="G805" t="str">
            <v>Low</v>
          </cell>
          <cell r="L805">
            <v>1</v>
          </cell>
        </row>
        <row r="806">
          <cell r="B806" t="str">
            <v>S-0135</v>
          </cell>
          <cell r="G806" t="str">
            <v>Low</v>
          </cell>
          <cell r="L806">
            <v>1</v>
          </cell>
        </row>
        <row r="807">
          <cell r="B807" t="str">
            <v>S-0135</v>
          </cell>
          <cell r="G807" t="str">
            <v>Medium</v>
          </cell>
          <cell r="L807">
            <v>2</v>
          </cell>
        </row>
        <row r="808">
          <cell r="B808" t="str">
            <v>S-0135</v>
          </cell>
          <cell r="G808" t="str">
            <v>Low</v>
          </cell>
          <cell r="L808">
            <v>1</v>
          </cell>
        </row>
        <row r="809">
          <cell r="B809" t="str">
            <v>S-0135</v>
          </cell>
          <cell r="G809" t="str">
            <v>Low</v>
          </cell>
          <cell r="L809">
            <v>1</v>
          </cell>
        </row>
        <row r="810">
          <cell r="B810" t="str">
            <v>S-0135</v>
          </cell>
          <cell r="G810" t="str">
            <v>Medium</v>
          </cell>
          <cell r="L810">
            <v>2</v>
          </cell>
        </row>
        <row r="811">
          <cell r="B811" t="str">
            <v>S-0135</v>
          </cell>
          <cell r="G811" t="str">
            <v>Medium</v>
          </cell>
          <cell r="L811">
            <v>2</v>
          </cell>
        </row>
        <row r="812">
          <cell r="B812" t="str">
            <v>S-0136</v>
          </cell>
          <cell r="G812" t="str">
            <v>Low</v>
          </cell>
          <cell r="L812">
            <v>1</v>
          </cell>
        </row>
        <row r="813">
          <cell r="B813" t="str">
            <v>S-0136</v>
          </cell>
          <cell r="G813" t="str">
            <v>Low</v>
          </cell>
          <cell r="L813">
            <v>1</v>
          </cell>
        </row>
        <row r="814">
          <cell r="B814" t="str">
            <v>S-0136</v>
          </cell>
          <cell r="G814" t="str">
            <v>Low</v>
          </cell>
          <cell r="L814">
            <v>1</v>
          </cell>
        </row>
        <row r="815">
          <cell r="B815" t="str">
            <v>S-0136</v>
          </cell>
          <cell r="G815" t="str">
            <v>Medium</v>
          </cell>
          <cell r="L815">
            <v>2</v>
          </cell>
        </row>
        <row r="816">
          <cell r="B816" t="str">
            <v>S-0136</v>
          </cell>
          <cell r="G816" t="str">
            <v>Low</v>
          </cell>
          <cell r="L816">
            <v>1</v>
          </cell>
        </row>
        <row r="817">
          <cell r="B817" t="str">
            <v>S-0136</v>
          </cell>
          <cell r="G817" t="str">
            <v>Medium</v>
          </cell>
          <cell r="L817">
            <v>2</v>
          </cell>
        </row>
        <row r="818">
          <cell r="B818" t="str">
            <v>S-0137</v>
          </cell>
          <cell r="G818" t="str">
            <v>Low</v>
          </cell>
          <cell r="L818">
            <v>1</v>
          </cell>
        </row>
        <row r="819">
          <cell r="B819" t="str">
            <v>S-0137</v>
          </cell>
          <cell r="G819" t="str">
            <v>Medium</v>
          </cell>
          <cell r="L819">
            <v>2</v>
          </cell>
        </row>
        <row r="820">
          <cell r="B820" t="str">
            <v>S-0137</v>
          </cell>
          <cell r="G820" t="str">
            <v>Medium</v>
          </cell>
          <cell r="L820">
            <v>2</v>
          </cell>
        </row>
        <row r="821">
          <cell r="B821" t="str">
            <v>S-0137</v>
          </cell>
          <cell r="G821" t="str">
            <v>High</v>
          </cell>
          <cell r="L821">
            <v>3</v>
          </cell>
        </row>
        <row r="822">
          <cell r="B822" t="str">
            <v>S-0137</v>
          </cell>
          <cell r="G822" t="str">
            <v>Low</v>
          </cell>
          <cell r="L822">
            <v>1</v>
          </cell>
        </row>
        <row r="823">
          <cell r="B823" t="str">
            <v>S-0137</v>
          </cell>
          <cell r="G823" t="str">
            <v>Medium</v>
          </cell>
          <cell r="L823">
            <v>2</v>
          </cell>
        </row>
        <row r="824">
          <cell r="B824" t="str">
            <v>S-0138</v>
          </cell>
          <cell r="G824" t="str">
            <v>Low</v>
          </cell>
          <cell r="L824">
            <v>1</v>
          </cell>
        </row>
        <row r="825">
          <cell r="B825" t="str">
            <v>S-0138</v>
          </cell>
          <cell r="G825" t="str">
            <v>Low</v>
          </cell>
          <cell r="L825">
            <v>1</v>
          </cell>
        </row>
        <row r="826">
          <cell r="B826" t="str">
            <v>S-0138</v>
          </cell>
          <cell r="G826" t="str">
            <v>Medium</v>
          </cell>
          <cell r="L826">
            <v>2</v>
          </cell>
        </row>
        <row r="827">
          <cell r="B827" t="str">
            <v>S-0138</v>
          </cell>
          <cell r="G827" t="str">
            <v>Low</v>
          </cell>
          <cell r="L827">
            <v>1</v>
          </cell>
        </row>
        <row r="828">
          <cell r="B828" t="str">
            <v>S-0138</v>
          </cell>
          <cell r="G828" t="str">
            <v>Low</v>
          </cell>
          <cell r="L828">
            <v>1</v>
          </cell>
        </row>
        <row r="829">
          <cell r="B829" t="str">
            <v>S-0138</v>
          </cell>
          <cell r="G829" t="str">
            <v>Low</v>
          </cell>
          <cell r="L829">
            <v>1</v>
          </cell>
        </row>
        <row r="830">
          <cell r="B830" t="str">
            <v>S-0139</v>
          </cell>
          <cell r="G830" t="str">
            <v>Low</v>
          </cell>
          <cell r="L830">
            <v>1</v>
          </cell>
        </row>
        <row r="831">
          <cell r="B831" t="str">
            <v>S-0139</v>
          </cell>
          <cell r="G831" t="str">
            <v>Medium</v>
          </cell>
          <cell r="L831">
            <v>2</v>
          </cell>
        </row>
        <row r="832">
          <cell r="B832" t="str">
            <v>S-0139</v>
          </cell>
          <cell r="G832" t="str">
            <v>Low</v>
          </cell>
          <cell r="L832">
            <v>1</v>
          </cell>
        </row>
        <row r="833">
          <cell r="B833" t="str">
            <v>S-0139</v>
          </cell>
          <cell r="G833" t="str">
            <v>Low</v>
          </cell>
          <cell r="L833">
            <v>1</v>
          </cell>
        </row>
        <row r="834">
          <cell r="B834" t="str">
            <v>S-0139</v>
          </cell>
          <cell r="G834" t="str">
            <v>Medium</v>
          </cell>
          <cell r="L834">
            <v>2</v>
          </cell>
        </row>
        <row r="835">
          <cell r="B835" t="str">
            <v>S-0139</v>
          </cell>
          <cell r="G835" t="str">
            <v>Medium</v>
          </cell>
          <cell r="L835">
            <v>2</v>
          </cell>
        </row>
        <row r="836">
          <cell r="B836" t="str">
            <v>S-0140</v>
          </cell>
          <cell r="G836" t="str">
            <v>Low</v>
          </cell>
          <cell r="L836">
            <v>1</v>
          </cell>
        </row>
        <row r="837">
          <cell r="B837" t="str">
            <v>S-0140</v>
          </cell>
          <cell r="G837" t="str">
            <v>Low</v>
          </cell>
          <cell r="L837">
            <v>1</v>
          </cell>
        </row>
        <row r="838">
          <cell r="B838" t="str">
            <v>S-0140</v>
          </cell>
          <cell r="G838" t="str">
            <v>High</v>
          </cell>
          <cell r="L838">
            <v>3</v>
          </cell>
        </row>
        <row r="839">
          <cell r="B839" t="str">
            <v>S-0140</v>
          </cell>
          <cell r="G839" t="str">
            <v>Low</v>
          </cell>
          <cell r="L839">
            <v>1</v>
          </cell>
        </row>
        <row r="840">
          <cell r="B840" t="str">
            <v>S-0140</v>
          </cell>
          <cell r="G840" t="str">
            <v>Low</v>
          </cell>
          <cell r="L840">
            <v>1</v>
          </cell>
        </row>
        <row r="841">
          <cell r="B841" t="str">
            <v>S-0140</v>
          </cell>
          <cell r="G841" t="str">
            <v>Low</v>
          </cell>
          <cell r="L841">
            <v>1</v>
          </cell>
        </row>
        <row r="842">
          <cell r="B842" t="str">
            <v>S-0141</v>
          </cell>
          <cell r="G842" t="str">
            <v>High</v>
          </cell>
          <cell r="L842">
            <v>3</v>
          </cell>
        </row>
        <row r="843">
          <cell r="B843" t="str">
            <v>S-0141</v>
          </cell>
          <cell r="G843" t="str">
            <v>Low</v>
          </cell>
          <cell r="L843">
            <v>1</v>
          </cell>
        </row>
        <row r="844">
          <cell r="B844" t="str">
            <v>S-0141</v>
          </cell>
          <cell r="G844" t="str">
            <v>Low</v>
          </cell>
          <cell r="L844">
            <v>1</v>
          </cell>
        </row>
        <row r="845">
          <cell r="B845" t="str">
            <v>S-0141</v>
          </cell>
          <cell r="G845" t="str">
            <v>Low</v>
          </cell>
          <cell r="L845">
            <v>1</v>
          </cell>
        </row>
        <row r="846">
          <cell r="B846" t="str">
            <v>S-0141</v>
          </cell>
          <cell r="G846" t="str">
            <v>Low</v>
          </cell>
          <cell r="L846">
            <v>1</v>
          </cell>
        </row>
        <row r="847">
          <cell r="B847" t="str">
            <v>S-0141</v>
          </cell>
          <cell r="G847" t="str">
            <v>Low</v>
          </cell>
          <cell r="L847">
            <v>1</v>
          </cell>
        </row>
        <row r="848">
          <cell r="B848" t="str">
            <v>S-0142</v>
          </cell>
          <cell r="G848" t="str">
            <v>Medium</v>
          </cell>
          <cell r="L848">
            <v>2</v>
          </cell>
        </row>
        <row r="849">
          <cell r="B849" t="str">
            <v>S-0142</v>
          </cell>
          <cell r="G849" t="str">
            <v>Low</v>
          </cell>
          <cell r="L849">
            <v>1</v>
          </cell>
        </row>
        <row r="850">
          <cell r="B850" t="str">
            <v>S-0142</v>
          </cell>
          <cell r="G850" t="str">
            <v>Low</v>
          </cell>
          <cell r="L850">
            <v>1</v>
          </cell>
        </row>
        <row r="851">
          <cell r="B851" t="str">
            <v>S-0142</v>
          </cell>
          <cell r="G851" t="str">
            <v>Low</v>
          </cell>
          <cell r="L851">
            <v>1</v>
          </cell>
        </row>
        <row r="852">
          <cell r="B852" t="str">
            <v>S-0142</v>
          </cell>
          <cell r="G852" t="str">
            <v>Medium</v>
          </cell>
          <cell r="L852">
            <v>2</v>
          </cell>
        </row>
        <row r="853">
          <cell r="B853" t="str">
            <v>S-0142</v>
          </cell>
          <cell r="G853" t="str">
            <v>High</v>
          </cell>
          <cell r="L853">
            <v>3</v>
          </cell>
        </row>
        <row r="854">
          <cell r="B854" t="str">
            <v>S-0143</v>
          </cell>
          <cell r="G854" t="str">
            <v>Medium</v>
          </cell>
          <cell r="L854">
            <v>2</v>
          </cell>
        </row>
        <row r="855">
          <cell r="B855" t="str">
            <v>S-0143</v>
          </cell>
          <cell r="G855" t="str">
            <v>Low</v>
          </cell>
          <cell r="L855">
            <v>1</v>
          </cell>
        </row>
        <row r="856">
          <cell r="B856" t="str">
            <v>S-0143</v>
          </cell>
          <cell r="G856" t="str">
            <v>Low</v>
          </cell>
          <cell r="L856">
            <v>1</v>
          </cell>
        </row>
        <row r="857">
          <cell r="B857" t="str">
            <v>S-0143</v>
          </cell>
          <cell r="G857" t="str">
            <v>Low</v>
          </cell>
          <cell r="L857">
            <v>1</v>
          </cell>
        </row>
        <row r="858">
          <cell r="B858" t="str">
            <v>S-0143</v>
          </cell>
          <cell r="G858" t="str">
            <v>Medium</v>
          </cell>
          <cell r="L858">
            <v>2</v>
          </cell>
        </row>
        <row r="859">
          <cell r="B859" t="str">
            <v>S-0143</v>
          </cell>
          <cell r="G859" t="str">
            <v>High</v>
          </cell>
          <cell r="L859">
            <v>3</v>
          </cell>
        </row>
        <row r="860">
          <cell r="B860" t="str">
            <v>S-0144</v>
          </cell>
          <cell r="G860" t="str">
            <v>Low</v>
          </cell>
          <cell r="L860">
            <v>1</v>
          </cell>
        </row>
        <row r="861">
          <cell r="B861" t="str">
            <v>S-0144</v>
          </cell>
          <cell r="G861" t="str">
            <v>Low</v>
          </cell>
          <cell r="L861">
            <v>1</v>
          </cell>
        </row>
        <row r="862">
          <cell r="B862" t="str">
            <v>S-0144</v>
          </cell>
          <cell r="G862" t="str">
            <v>Low</v>
          </cell>
          <cell r="L862">
            <v>1</v>
          </cell>
        </row>
        <row r="863">
          <cell r="B863" t="str">
            <v>S-0144</v>
          </cell>
          <cell r="G863" t="str">
            <v>Medium</v>
          </cell>
          <cell r="L863">
            <v>2</v>
          </cell>
        </row>
        <row r="864">
          <cell r="B864" t="str">
            <v>S-0144</v>
          </cell>
          <cell r="G864" t="str">
            <v>Low</v>
          </cell>
          <cell r="L864">
            <v>1</v>
          </cell>
        </row>
        <row r="865">
          <cell r="B865" t="str">
            <v>S-0144</v>
          </cell>
          <cell r="G865" t="str">
            <v>High</v>
          </cell>
          <cell r="L865">
            <v>3</v>
          </cell>
        </row>
        <row r="866">
          <cell r="B866" t="str">
            <v>S-0145</v>
          </cell>
          <cell r="G866" t="str">
            <v>Low</v>
          </cell>
          <cell r="L866">
            <v>1</v>
          </cell>
        </row>
        <row r="867">
          <cell r="B867" t="str">
            <v>S-0145</v>
          </cell>
          <cell r="G867" t="str">
            <v>Low</v>
          </cell>
          <cell r="L867">
            <v>1</v>
          </cell>
        </row>
        <row r="868">
          <cell r="B868" t="str">
            <v>S-0145</v>
          </cell>
          <cell r="G868" t="str">
            <v>Low</v>
          </cell>
          <cell r="L868">
            <v>1</v>
          </cell>
        </row>
        <row r="869">
          <cell r="B869" t="str">
            <v>S-0145</v>
          </cell>
          <cell r="G869" t="str">
            <v>Medium</v>
          </cell>
          <cell r="L869">
            <v>2</v>
          </cell>
        </row>
        <row r="870">
          <cell r="B870" t="str">
            <v>S-0145</v>
          </cell>
          <cell r="G870" t="str">
            <v>Low</v>
          </cell>
          <cell r="L870">
            <v>1</v>
          </cell>
        </row>
        <row r="871">
          <cell r="B871" t="str">
            <v>S-0145</v>
          </cell>
          <cell r="G871" t="str">
            <v>Medium</v>
          </cell>
          <cell r="L871">
            <v>2</v>
          </cell>
        </row>
        <row r="872">
          <cell r="B872" t="str">
            <v>S-0146</v>
          </cell>
          <cell r="G872" t="str">
            <v>Low</v>
          </cell>
          <cell r="L872">
            <v>1</v>
          </cell>
        </row>
        <row r="873">
          <cell r="B873" t="str">
            <v>S-0146</v>
          </cell>
          <cell r="G873" t="str">
            <v>Medium</v>
          </cell>
          <cell r="L873">
            <v>2</v>
          </cell>
        </row>
        <row r="874">
          <cell r="B874" t="str">
            <v>S-0146</v>
          </cell>
          <cell r="G874" t="str">
            <v>High</v>
          </cell>
          <cell r="L874">
            <v>3</v>
          </cell>
        </row>
        <row r="875">
          <cell r="B875" t="str">
            <v>S-0146</v>
          </cell>
          <cell r="G875" t="str">
            <v>Low</v>
          </cell>
          <cell r="L875">
            <v>1</v>
          </cell>
        </row>
        <row r="876">
          <cell r="B876" t="str">
            <v>S-0146</v>
          </cell>
          <cell r="G876" t="str">
            <v>Low</v>
          </cell>
          <cell r="L876">
            <v>1</v>
          </cell>
        </row>
        <row r="877">
          <cell r="B877" t="str">
            <v>S-0146</v>
          </cell>
          <cell r="G877" t="str">
            <v>Low</v>
          </cell>
          <cell r="L877">
            <v>1</v>
          </cell>
        </row>
        <row r="878">
          <cell r="B878" t="str">
            <v>S-0147</v>
          </cell>
          <cell r="G878" t="str">
            <v>Low</v>
          </cell>
          <cell r="L878">
            <v>1</v>
          </cell>
        </row>
        <row r="879">
          <cell r="B879" t="str">
            <v>S-0147</v>
          </cell>
          <cell r="G879" t="str">
            <v>Low</v>
          </cell>
          <cell r="L879">
            <v>1</v>
          </cell>
        </row>
        <row r="880">
          <cell r="B880" t="str">
            <v>S-0147</v>
          </cell>
          <cell r="G880" t="str">
            <v>High</v>
          </cell>
          <cell r="L880">
            <v>3</v>
          </cell>
        </row>
        <row r="881">
          <cell r="B881" t="str">
            <v>S-0147</v>
          </cell>
          <cell r="G881" t="str">
            <v>Medium</v>
          </cell>
          <cell r="L881">
            <v>2</v>
          </cell>
        </row>
        <row r="882">
          <cell r="B882" t="str">
            <v>S-0147</v>
          </cell>
          <cell r="G882" t="str">
            <v>High</v>
          </cell>
          <cell r="L882">
            <v>3</v>
          </cell>
        </row>
        <row r="883">
          <cell r="B883" t="str">
            <v>S-0147</v>
          </cell>
          <cell r="G883" t="str">
            <v>Low</v>
          </cell>
          <cell r="L883">
            <v>1</v>
          </cell>
        </row>
        <row r="884">
          <cell r="B884" t="str">
            <v>S-0148</v>
          </cell>
          <cell r="G884" t="str">
            <v>Medium</v>
          </cell>
          <cell r="L884">
            <v>2</v>
          </cell>
        </row>
        <row r="885">
          <cell r="B885" t="str">
            <v>S-0148</v>
          </cell>
          <cell r="G885" t="str">
            <v>High</v>
          </cell>
          <cell r="L885">
            <v>3</v>
          </cell>
        </row>
        <row r="886">
          <cell r="B886" t="str">
            <v>S-0148</v>
          </cell>
          <cell r="G886" t="str">
            <v>Low</v>
          </cell>
          <cell r="L886">
            <v>1</v>
          </cell>
        </row>
        <row r="887">
          <cell r="B887" t="str">
            <v>S-0148</v>
          </cell>
          <cell r="G887" t="str">
            <v>High</v>
          </cell>
          <cell r="L887">
            <v>3</v>
          </cell>
        </row>
        <row r="888">
          <cell r="B888" t="str">
            <v>S-0148</v>
          </cell>
          <cell r="G888" t="str">
            <v>Medium</v>
          </cell>
          <cell r="L888">
            <v>2</v>
          </cell>
        </row>
        <row r="889">
          <cell r="B889" t="str">
            <v>S-0148</v>
          </cell>
          <cell r="G889" t="str">
            <v>Medium</v>
          </cell>
          <cell r="L889">
            <v>2</v>
          </cell>
        </row>
        <row r="890">
          <cell r="B890" t="str">
            <v>S-0149</v>
          </cell>
          <cell r="G890" t="str">
            <v>Low</v>
          </cell>
          <cell r="L890">
            <v>1</v>
          </cell>
        </row>
        <row r="891">
          <cell r="B891" t="str">
            <v>S-0149</v>
          </cell>
          <cell r="G891" t="str">
            <v>High</v>
          </cell>
          <cell r="L891">
            <v>3</v>
          </cell>
        </row>
        <row r="892">
          <cell r="B892" t="str">
            <v>S-0149</v>
          </cell>
          <cell r="G892" t="str">
            <v>Low</v>
          </cell>
          <cell r="L892">
            <v>1</v>
          </cell>
        </row>
        <row r="893">
          <cell r="B893" t="str">
            <v>S-0149</v>
          </cell>
          <cell r="G893" t="str">
            <v>Medium</v>
          </cell>
          <cell r="L893">
            <v>2</v>
          </cell>
        </row>
        <row r="894">
          <cell r="B894" t="str">
            <v>S-0149</v>
          </cell>
          <cell r="G894" t="str">
            <v>Low</v>
          </cell>
          <cell r="L894">
            <v>1</v>
          </cell>
        </row>
        <row r="895">
          <cell r="B895" t="str">
            <v>S-0149</v>
          </cell>
          <cell r="G895" t="str">
            <v>Medium</v>
          </cell>
          <cell r="L895">
            <v>2</v>
          </cell>
        </row>
        <row r="896">
          <cell r="B896" t="str">
            <v>S-0150</v>
          </cell>
          <cell r="G896" t="str">
            <v>Medium</v>
          </cell>
          <cell r="L896">
            <v>2</v>
          </cell>
        </row>
        <row r="897">
          <cell r="B897" t="str">
            <v>S-0150</v>
          </cell>
          <cell r="G897" t="str">
            <v>Low</v>
          </cell>
          <cell r="L897">
            <v>1</v>
          </cell>
        </row>
        <row r="898">
          <cell r="B898" t="str">
            <v>S-0150</v>
          </cell>
          <cell r="G898" t="str">
            <v>Low</v>
          </cell>
          <cell r="L898">
            <v>1</v>
          </cell>
        </row>
        <row r="899">
          <cell r="B899" t="str">
            <v>S-0150</v>
          </cell>
          <cell r="G899" t="str">
            <v>Low</v>
          </cell>
          <cell r="L899">
            <v>1</v>
          </cell>
        </row>
        <row r="900">
          <cell r="B900" t="str">
            <v>S-0150</v>
          </cell>
          <cell r="G900" t="str">
            <v>Medium</v>
          </cell>
          <cell r="L900">
            <v>2</v>
          </cell>
        </row>
        <row r="901">
          <cell r="B901" t="str">
            <v>S-0150</v>
          </cell>
          <cell r="G901" t="str">
            <v>Low</v>
          </cell>
          <cell r="L901">
            <v>1</v>
          </cell>
        </row>
        <row r="902">
          <cell r="B902" t="str">
            <v>S-0151</v>
          </cell>
          <cell r="G902" t="str">
            <v>Low</v>
          </cell>
          <cell r="L902">
            <v>1</v>
          </cell>
        </row>
        <row r="903">
          <cell r="B903" t="str">
            <v>S-0151</v>
          </cell>
          <cell r="G903" t="str">
            <v>Medium</v>
          </cell>
          <cell r="L903">
            <v>2</v>
          </cell>
        </row>
        <row r="904">
          <cell r="B904" t="str">
            <v>S-0151</v>
          </cell>
          <cell r="G904" t="str">
            <v>Low</v>
          </cell>
          <cell r="L904">
            <v>1</v>
          </cell>
        </row>
        <row r="905">
          <cell r="B905" t="str">
            <v>S-0151</v>
          </cell>
          <cell r="G905" t="str">
            <v>Low</v>
          </cell>
          <cell r="L905">
            <v>1</v>
          </cell>
        </row>
        <row r="906">
          <cell r="B906" t="str">
            <v>S-0151</v>
          </cell>
          <cell r="G906" t="str">
            <v>Low</v>
          </cell>
          <cell r="L906">
            <v>1</v>
          </cell>
        </row>
        <row r="907">
          <cell r="B907" t="str">
            <v>S-0151</v>
          </cell>
          <cell r="G907" t="str">
            <v>Medium</v>
          </cell>
          <cell r="L907">
            <v>2</v>
          </cell>
        </row>
        <row r="908">
          <cell r="B908" t="str">
            <v>S-0152</v>
          </cell>
          <cell r="G908" t="str">
            <v>Medium</v>
          </cell>
          <cell r="L908">
            <v>2</v>
          </cell>
        </row>
        <row r="909">
          <cell r="B909" t="str">
            <v>S-0152</v>
          </cell>
          <cell r="G909" t="str">
            <v>Low</v>
          </cell>
          <cell r="L909">
            <v>1</v>
          </cell>
        </row>
        <row r="910">
          <cell r="B910" t="str">
            <v>S-0152</v>
          </cell>
          <cell r="G910" t="str">
            <v>Low</v>
          </cell>
          <cell r="L910">
            <v>1</v>
          </cell>
        </row>
        <row r="911">
          <cell r="B911" t="str">
            <v>S-0152</v>
          </cell>
          <cell r="G911" t="str">
            <v>Low</v>
          </cell>
          <cell r="L911">
            <v>1</v>
          </cell>
        </row>
        <row r="912">
          <cell r="B912" t="str">
            <v>S-0152</v>
          </cell>
          <cell r="G912" t="str">
            <v>Low</v>
          </cell>
          <cell r="L912">
            <v>1</v>
          </cell>
        </row>
        <row r="913">
          <cell r="B913" t="str">
            <v>S-0152</v>
          </cell>
          <cell r="G913" t="str">
            <v>Low</v>
          </cell>
          <cell r="L913">
            <v>1</v>
          </cell>
        </row>
        <row r="914">
          <cell r="B914" t="str">
            <v>S-0153</v>
          </cell>
          <cell r="G914" t="str">
            <v>Medium</v>
          </cell>
          <cell r="L914">
            <v>2</v>
          </cell>
        </row>
        <row r="915">
          <cell r="B915" t="str">
            <v>S-0153</v>
          </cell>
          <cell r="G915" t="str">
            <v>Medium</v>
          </cell>
          <cell r="L915">
            <v>2</v>
          </cell>
        </row>
        <row r="916">
          <cell r="B916" t="str">
            <v>S-0153</v>
          </cell>
          <cell r="G916" t="str">
            <v>High</v>
          </cell>
          <cell r="L916">
            <v>3</v>
          </cell>
        </row>
        <row r="917">
          <cell r="B917" t="str">
            <v>S-0153</v>
          </cell>
          <cell r="G917" t="str">
            <v>Medium</v>
          </cell>
          <cell r="L917">
            <v>2</v>
          </cell>
        </row>
        <row r="918">
          <cell r="B918" t="str">
            <v>S-0153</v>
          </cell>
          <cell r="G918" t="str">
            <v>Low</v>
          </cell>
          <cell r="L918">
            <v>1</v>
          </cell>
        </row>
        <row r="919">
          <cell r="B919" t="str">
            <v>S-0153</v>
          </cell>
          <cell r="G919" t="str">
            <v>Low</v>
          </cell>
          <cell r="L919">
            <v>1</v>
          </cell>
        </row>
        <row r="920">
          <cell r="B920" t="str">
            <v>S-0154</v>
          </cell>
          <cell r="G920" t="str">
            <v>Medium</v>
          </cell>
          <cell r="L920">
            <v>2</v>
          </cell>
        </row>
        <row r="921">
          <cell r="B921" t="str">
            <v>S-0154</v>
          </cell>
          <cell r="G921" t="str">
            <v>Medium</v>
          </cell>
          <cell r="L921">
            <v>2</v>
          </cell>
        </row>
        <row r="922">
          <cell r="B922" t="str">
            <v>S-0154</v>
          </cell>
          <cell r="G922" t="str">
            <v>Low</v>
          </cell>
          <cell r="L922">
            <v>1</v>
          </cell>
        </row>
        <row r="923">
          <cell r="B923" t="str">
            <v>S-0154</v>
          </cell>
          <cell r="G923" t="str">
            <v>Medium</v>
          </cell>
          <cell r="L923">
            <v>2</v>
          </cell>
        </row>
        <row r="924">
          <cell r="B924" t="str">
            <v>S-0154</v>
          </cell>
          <cell r="G924" t="str">
            <v>High</v>
          </cell>
          <cell r="L924">
            <v>3</v>
          </cell>
        </row>
        <row r="925">
          <cell r="B925" t="str">
            <v>S-0154</v>
          </cell>
          <cell r="G925" t="str">
            <v>Low</v>
          </cell>
          <cell r="L925">
            <v>1</v>
          </cell>
        </row>
        <row r="926">
          <cell r="B926" t="str">
            <v>S-0155</v>
          </cell>
          <cell r="G926" t="str">
            <v>Low</v>
          </cell>
          <cell r="L926">
            <v>1</v>
          </cell>
        </row>
        <row r="927">
          <cell r="B927" t="str">
            <v>S-0155</v>
          </cell>
          <cell r="G927" t="str">
            <v>High</v>
          </cell>
          <cell r="L927">
            <v>3</v>
          </cell>
        </row>
        <row r="928">
          <cell r="B928" t="str">
            <v>S-0155</v>
          </cell>
          <cell r="G928" t="str">
            <v>Low</v>
          </cell>
          <cell r="L928">
            <v>1</v>
          </cell>
        </row>
        <row r="929">
          <cell r="B929" t="str">
            <v>S-0155</v>
          </cell>
          <cell r="G929" t="str">
            <v>High</v>
          </cell>
          <cell r="L929">
            <v>3</v>
          </cell>
        </row>
        <row r="930">
          <cell r="B930" t="str">
            <v>S-0155</v>
          </cell>
          <cell r="G930" t="str">
            <v>Low</v>
          </cell>
          <cell r="L930">
            <v>1</v>
          </cell>
        </row>
        <row r="931">
          <cell r="B931" t="str">
            <v>S-0155</v>
          </cell>
          <cell r="G931" t="str">
            <v>Medium</v>
          </cell>
          <cell r="L931">
            <v>2</v>
          </cell>
        </row>
        <row r="932">
          <cell r="B932" t="str">
            <v>S-0156</v>
          </cell>
          <cell r="G932" t="str">
            <v>Low</v>
          </cell>
          <cell r="L932">
            <v>1</v>
          </cell>
        </row>
        <row r="933">
          <cell r="B933" t="str">
            <v>S-0156</v>
          </cell>
          <cell r="G933" t="str">
            <v>High</v>
          </cell>
          <cell r="L933">
            <v>3</v>
          </cell>
        </row>
        <row r="934">
          <cell r="B934" t="str">
            <v>S-0156</v>
          </cell>
          <cell r="G934" t="str">
            <v>Medium</v>
          </cell>
          <cell r="L934">
            <v>2</v>
          </cell>
        </row>
        <row r="935">
          <cell r="B935" t="str">
            <v>S-0156</v>
          </cell>
          <cell r="G935" t="str">
            <v>Low</v>
          </cell>
          <cell r="L935">
            <v>1</v>
          </cell>
        </row>
        <row r="936">
          <cell r="B936" t="str">
            <v>S-0156</v>
          </cell>
          <cell r="G936" t="str">
            <v>Medium</v>
          </cell>
          <cell r="L936">
            <v>2</v>
          </cell>
        </row>
        <row r="937">
          <cell r="B937" t="str">
            <v>S-0156</v>
          </cell>
          <cell r="G937" t="str">
            <v>Medium</v>
          </cell>
          <cell r="L937">
            <v>2</v>
          </cell>
        </row>
        <row r="938">
          <cell r="B938" t="str">
            <v>S-0157</v>
          </cell>
          <cell r="G938" t="str">
            <v>Low</v>
          </cell>
          <cell r="L938">
            <v>1</v>
          </cell>
        </row>
        <row r="939">
          <cell r="B939" t="str">
            <v>S-0157</v>
          </cell>
          <cell r="G939" t="str">
            <v>Medium</v>
          </cell>
          <cell r="L939">
            <v>2</v>
          </cell>
        </row>
        <row r="940">
          <cell r="B940" t="str">
            <v>S-0157</v>
          </cell>
          <cell r="G940" t="str">
            <v>Medium</v>
          </cell>
          <cell r="L940">
            <v>2</v>
          </cell>
        </row>
        <row r="941">
          <cell r="B941" t="str">
            <v>S-0157</v>
          </cell>
          <cell r="G941" t="str">
            <v>Low</v>
          </cell>
          <cell r="L941">
            <v>1</v>
          </cell>
        </row>
        <row r="942">
          <cell r="B942" t="str">
            <v>S-0157</v>
          </cell>
          <cell r="G942" t="str">
            <v>Low</v>
          </cell>
          <cell r="L942">
            <v>1</v>
          </cell>
        </row>
        <row r="943">
          <cell r="B943" t="str">
            <v>S-0157</v>
          </cell>
          <cell r="G943" t="str">
            <v>Low</v>
          </cell>
          <cell r="L943">
            <v>1</v>
          </cell>
        </row>
        <row r="944">
          <cell r="B944" t="str">
            <v>S-0158</v>
          </cell>
          <cell r="G944" t="str">
            <v>Low</v>
          </cell>
          <cell r="L944">
            <v>1</v>
          </cell>
        </row>
        <row r="945">
          <cell r="B945" t="str">
            <v>S-0158</v>
          </cell>
          <cell r="G945" t="str">
            <v>Low</v>
          </cell>
          <cell r="L945">
            <v>1</v>
          </cell>
        </row>
        <row r="946">
          <cell r="B946" t="str">
            <v>S-0158</v>
          </cell>
          <cell r="G946" t="str">
            <v>Medium</v>
          </cell>
          <cell r="L946">
            <v>2</v>
          </cell>
        </row>
        <row r="947">
          <cell r="B947" t="str">
            <v>S-0158</v>
          </cell>
          <cell r="G947" t="str">
            <v>High</v>
          </cell>
          <cell r="L947">
            <v>3</v>
          </cell>
        </row>
        <row r="948">
          <cell r="B948" t="str">
            <v>S-0158</v>
          </cell>
          <cell r="G948" t="str">
            <v>Low</v>
          </cell>
          <cell r="L948">
            <v>1</v>
          </cell>
        </row>
        <row r="949">
          <cell r="B949" t="str">
            <v>S-0158</v>
          </cell>
          <cell r="G949" t="str">
            <v>Medium</v>
          </cell>
          <cell r="L949">
            <v>2</v>
          </cell>
        </row>
        <row r="950">
          <cell r="B950" t="str">
            <v>S-0159</v>
          </cell>
          <cell r="G950" t="str">
            <v>Medium</v>
          </cell>
          <cell r="L950">
            <v>2</v>
          </cell>
        </row>
        <row r="951">
          <cell r="B951" t="str">
            <v>S-0159</v>
          </cell>
          <cell r="G951" t="str">
            <v>High</v>
          </cell>
          <cell r="L951">
            <v>3</v>
          </cell>
        </row>
        <row r="952">
          <cell r="B952" t="str">
            <v>S-0159</v>
          </cell>
          <cell r="G952" t="str">
            <v>High</v>
          </cell>
          <cell r="L952">
            <v>3</v>
          </cell>
        </row>
        <row r="953">
          <cell r="B953" t="str">
            <v>S-0159</v>
          </cell>
          <cell r="G953" t="str">
            <v>Low</v>
          </cell>
          <cell r="L953">
            <v>1</v>
          </cell>
        </row>
        <row r="954">
          <cell r="B954" t="str">
            <v>S-0159</v>
          </cell>
          <cell r="G954" t="str">
            <v>Medium</v>
          </cell>
          <cell r="L954">
            <v>2</v>
          </cell>
        </row>
        <row r="955">
          <cell r="B955" t="str">
            <v>S-0159</v>
          </cell>
          <cell r="G955" t="str">
            <v>Low</v>
          </cell>
          <cell r="L955">
            <v>1</v>
          </cell>
        </row>
        <row r="956">
          <cell r="B956" t="str">
            <v>S-0160</v>
          </cell>
          <cell r="G956" t="str">
            <v>High</v>
          </cell>
          <cell r="L956">
            <v>3</v>
          </cell>
        </row>
        <row r="957">
          <cell r="B957" t="str">
            <v>S-0160</v>
          </cell>
          <cell r="G957" t="str">
            <v>Medium</v>
          </cell>
          <cell r="L957">
            <v>2</v>
          </cell>
        </row>
        <row r="958">
          <cell r="B958" t="str">
            <v>S-0160</v>
          </cell>
          <cell r="G958" t="str">
            <v>Low</v>
          </cell>
          <cell r="L958">
            <v>1</v>
          </cell>
        </row>
        <row r="959">
          <cell r="B959" t="str">
            <v>S-0160</v>
          </cell>
          <cell r="G959" t="str">
            <v>Low</v>
          </cell>
          <cell r="L959">
            <v>1</v>
          </cell>
        </row>
        <row r="960">
          <cell r="B960" t="str">
            <v>S-0160</v>
          </cell>
          <cell r="G960" t="str">
            <v>Low</v>
          </cell>
          <cell r="L960">
            <v>1</v>
          </cell>
        </row>
        <row r="961">
          <cell r="B961" t="str">
            <v>S-0160</v>
          </cell>
          <cell r="G961" t="str">
            <v>Low</v>
          </cell>
          <cell r="L961">
            <v>1</v>
          </cell>
        </row>
        <row r="962">
          <cell r="B962" t="str">
            <v>S-0161</v>
          </cell>
          <cell r="G962" t="str">
            <v>High</v>
          </cell>
          <cell r="L962">
            <v>3</v>
          </cell>
        </row>
        <row r="963">
          <cell r="B963" t="str">
            <v>S-0161</v>
          </cell>
          <cell r="G963" t="str">
            <v>Medium</v>
          </cell>
          <cell r="L963">
            <v>2</v>
          </cell>
        </row>
        <row r="964">
          <cell r="B964" t="str">
            <v>S-0161</v>
          </cell>
          <cell r="G964" t="str">
            <v>High</v>
          </cell>
          <cell r="L964">
            <v>3</v>
          </cell>
        </row>
        <row r="965">
          <cell r="B965" t="str">
            <v>S-0161</v>
          </cell>
          <cell r="G965" t="str">
            <v>Medium</v>
          </cell>
          <cell r="L965">
            <v>2</v>
          </cell>
        </row>
        <row r="966">
          <cell r="B966" t="str">
            <v>S-0161</v>
          </cell>
          <cell r="G966" t="str">
            <v>Low</v>
          </cell>
          <cell r="L966">
            <v>1</v>
          </cell>
        </row>
        <row r="967">
          <cell r="B967" t="str">
            <v>S-0161</v>
          </cell>
          <cell r="G967" t="str">
            <v>Low</v>
          </cell>
          <cell r="L967">
            <v>1</v>
          </cell>
        </row>
        <row r="968">
          <cell r="B968" t="str">
            <v>S-0162</v>
          </cell>
          <cell r="G968" t="str">
            <v>Low</v>
          </cell>
          <cell r="L968">
            <v>1</v>
          </cell>
        </row>
        <row r="969">
          <cell r="B969" t="str">
            <v>S-0162</v>
          </cell>
          <cell r="G969" t="str">
            <v>High</v>
          </cell>
          <cell r="L969">
            <v>3</v>
          </cell>
        </row>
        <row r="970">
          <cell r="B970" t="str">
            <v>S-0162</v>
          </cell>
          <cell r="G970" t="str">
            <v>Low</v>
          </cell>
          <cell r="L970">
            <v>1</v>
          </cell>
        </row>
        <row r="971">
          <cell r="B971" t="str">
            <v>S-0162</v>
          </cell>
          <cell r="G971" t="str">
            <v>Medium</v>
          </cell>
          <cell r="L971">
            <v>2</v>
          </cell>
        </row>
        <row r="972">
          <cell r="B972" t="str">
            <v>S-0162</v>
          </cell>
          <cell r="G972" t="str">
            <v>Low</v>
          </cell>
          <cell r="L972">
            <v>1</v>
          </cell>
        </row>
        <row r="973">
          <cell r="B973" t="str">
            <v>S-0162</v>
          </cell>
          <cell r="G973" t="str">
            <v>Medium</v>
          </cell>
          <cell r="L973">
            <v>2</v>
          </cell>
        </row>
        <row r="974">
          <cell r="B974" t="str">
            <v>S-0163</v>
          </cell>
          <cell r="G974" t="str">
            <v>Low</v>
          </cell>
          <cell r="L974">
            <v>1</v>
          </cell>
        </row>
        <row r="975">
          <cell r="B975" t="str">
            <v>S-0163</v>
          </cell>
          <cell r="G975" t="str">
            <v>Low</v>
          </cell>
          <cell r="L975">
            <v>1</v>
          </cell>
        </row>
        <row r="976">
          <cell r="B976" t="str">
            <v>S-0163</v>
          </cell>
          <cell r="G976" t="str">
            <v>Low</v>
          </cell>
          <cell r="L976">
            <v>1</v>
          </cell>
        </row>
        <row r="977">
          <cell r="B977" t="str">
            <v>S-0163</v>
          </cell>
          <cell r="G977" t="str">
            <v>Low</v>
          </cell>
          <cell r="L977">
            <v>1</v>
          </cell>
        </row>
        <row r="978">
          <cell r="B978" t="str">
            <v>S-0163</v>
          </cell>
          <cell r="G978" t="str">
            <v>High</v>
          </cell>
          <cell r="L978">
            <v>3</v>
          </cell>
        </row>
        <row r="979">
          <cell r="B979" t="str">
            <v>S-0163</v>
          </cell>
          <cell r="G979" t="str">
            <v>Low</v>
          </cell>
          <cell r="L979">
            <v>1</v>
          </cell>
        </row>
        <row r="980">
          <cell r="B980" t="str">
            <v>S-0164</v>
          </cell>
          <cell r="G980" t="str">
            <v>High</v>
          </cell>
          <cell r="L980">
            <v>3</v>
          </cell>
        </row>
        <row r="981">
          <cell r="B981" t="str">
            <v>S-0164</v>
          </cell>
          <cell r="G981" t="str">
            <v>Low</v>
          </cell>
          <cell r="L981">
            <v>1</v>
          </cell>
        </row>
        <row r="982">
          <cell r="B982" t="str">
            <v>S-0164</v>
          </cell>
          <cell r="G982" t="str">
            <v>Medium</v>
          </cell>
          <cell r="L982">
            <v>2</v>
          </cell>
        </row>
        <row r="983">
          <cell r="B983" t="str">
            <v>S-0164</v>
          </cell>
          <cell r="G983" t="str">
            <v>Medium</v>
          </cell>
          <cell r="L983">
            <v>2</v>
          </cell>
        </row>
        <row r="984">
          <cell r="B984" t="str">
            <v>S-0164</v>
          </cell>
          <cell r="G984" t="str">
            <v>Low</v>
          </cell>
          <cell r="L984">
            <v>1</v>
          </cell>
        </row>
        <row r="985">
          <cell r="B985" t="str">
            <v>S-0164</v>
          </cell>
          <cell r="G985" t="str">
            <v>Medium</v>
          </cell>
          <cell r="L985">
            <v>2</v>
          </cell>
        </row>
        <row r="986">
          <cell r="B986" t="str">
            <v>S-0165</v>
          </cell>
          <cell r="G986" t="str">
            <v>Low</v>
          </cell>
          <cell r="L986">
            <v>1</v>
          </cell>
        </row>
        <row r="987">
          <cell r="B987" t="str">
            <v>S-0165</v>
          </cell>
          <cell r="G987" t="str">
            <v>Medium</v>
          </cell>
          <cell r="L987">
            <v>2</v>
          </cell>
        </row>
        <row r="988">
          <cell r="B988" t="str">
            <v>S-0165</v>
          </cell>
          <cell r="G988" t="str">
            <v>Low</v>
          </cell>
          <cell r="L988">
            <v>1</v>
          </cell>
        </row>
        <row r="989">
          <cell r="B989" t="str">
            <v>S-0165</v>
          </cell>
          <cell r="G989" t="str">
            <v>Low</v>
          </cell>
          <cell r="L989">
            <v>1</v>
          </cell>
        </row>
        <row r="990">
          <cell r="B990" t="str">
            <v>S-0165</v>
          </cell>
          <cell r="G990" t="str">
            <v>Low</v>
          </cell>
          <cell r="L990">
            <v>1</v>
          </cell>
        </row>
        <row r="991">
          <cell r="B991" t="str">
            <v>S-0165</v>
          </cell>
          <cell r="G991" t="str">
            <v>Low</v>
          </cell>
          <cell r="L991">
            <v>1</v>
          </cell>
        </row>
        <row r="992">
          <cell r="B992" t="str">
            <v>S-0166</v>
          </cell>
          <cell r="G992" t="str">
            <v>Low</v>
          </cell>
          <cell r="L992">
            <v>1</v>
          </cell>
        </row>
        <row r="993">
          <cell r="B993" t="str">
            <v>S-0166</v>
          </cell>
          <cell r="G993" t="str">
            <v>High</v>
          </cell>
          <cell r="L993">
            <v>3</v>
          </cell>
        </row>
        <row r="994">
          <cell r="B994" t="str">
            <v>S-0166</v>
          </cell>
          <cell r="G994" t="str">
            <v>Low</v>
          </cell>
          <cell r="L994">
            <v>1</v>
          </cell>
        </row>
        <row r="995">
          <cell r="B995" t="str">
            <v>S-0166</v>
          </cell>
          <cell r="G995" t="str">
            <v>Low</v>
          </cell>
          <cell r="L995">
            <v>1</v>
          </cell>
        </row>
        <row r="996">
          <cell r="B996" t="str">
            <v>S-0166</v>
          </cell>
          <cell r="G996" t="str">
            <v>High</v>
          </cell>
          <cell r="L996">
            <v>3</v>
          </cell>
        </row>
        <row r="997">
          <cell r="B997" t="str">
            <v>S-0166</v>
          </cell>
          <cell r="G997" t="str">
            <v>Low</v>
          </cell>
          <cell r="L997">
            <v>1</v>
          </cell>
        </row>
        <row r="998">
          <cell r="B998" t="str">
            <v>S-0167</v>
          </cell>
          <cell r="G998" t="str">
            <v>Low</v>
          </cell>
          <cell r="L998">
            <v>1</v>
          </cell>
        </row>
        <row r="999">
          <cell r="B999" t="str">
            <v>S-0167</v>
          </cell>
          <cell r="G999" t="str">
            <v>Medium</v>
          </cell>
          <cell r="L999">
            <v>2</v>
          </cell>
        </row>
        <row r="1000">
          <cell r="B1000" t="str">
            <v>S-0167</v>
          </cell>
          <cell r="G1000" t="str">
            <v>Medium</v>
          </cell>
          <cell r="L1000">
            <v>2</v>
          </cell>
        </row>
        <row r="1001">
          <cell r="B1001" t="str">
            <v>S-0167</v>
          </cell>
          <cell r="G1001" t="str">
            <v>Medium</v>
          </cell>
          <cell r="L1001">
            <v>2</v>
          </cell>
        </row>
        <row r="1002">
          <cell r="B1002" t="str">
            <v>S-0167</v>
          </cell>
          <cell r="G1002" t="str">
            <v>High</v>
          </cell>
          <cell r="L1002">
            <v>3</v>
          </cell>
        </row>
        <row r="1003">
          <cell r="B1003" t="str">
            <v>S-0167</v>
          </cell>
          <cell r="G1003" t="str">
            <v>Medium</v>
          </cell>
          <cell r="L1003">
            <v>2</v>
          </cell>
        </row>
        <row r="1004">
          <cell r="B1004" t="str">
            <v>S-0168</v>
          </cell>
          <cell r="G1004" t="str">
            <v>Low</v>
          </cell>
          <cell r="L1004">
            <v>1</v>
          </cell>
        </row>
        <row r="1005">
          <cell r="B1005" t="str">
            <v>S-0168</v>
          </cell>
          <cell r="G1005" t="str">
            <v>High</v>
          </cell>
          <cell r="L1005">
            <v>3</v>
          </cell>
        </row>
        <row r="1006">
          <cell r="B1006" t="str">
            <v>S-0168</v>
          </cell>
          <cell r="G1006" t="str">
            <v>Medium</v>
          </cell>
          <cell r="L1006">
            <v>2</v>
          </cell>
        </row>
        <row r="1007">
          <cell r="B1007" t="str">
            <v>S-0168</v>
          </cell>
          <cell r="G1007" t="str">
            <v>High</v>
          </cell>
          <cell r="L1007">
            <v>3</v>
          </cell>
        </row>
        <row r="1008">
          <cell r="B1008" t="str">
            <v>S-0168</v>
          </cell>
          <cell r="G1008" t="str">
            <v>Low</v>
          </cell>
          <cell r="L1008">
            <v>1</v>
          </cell>
        </row>
        <row r="1009">
          <cell r="B1009" t="str">
            <v>S-0168</v>
          </cell>
          <cell r="G1009" t="str">
            <v>Low</v>
          </cell>
          <cell r="L1009">
            <v>1</v>
          </cell>
        </row>
        <row r="1010">
          <cell r="B1010" t="str">
            <v>S-0169</v>
          </cell>
          <cell r="G1010" t="str">
            <v>Low</v>
          </cell>
          <cell r="L1010">
            <v>1</v>
          </cell>
        </row>
        <row r="1011">
          <cell r="B1011" t="str">
            <v>S-0169</v>
          </cell>
          <cell r="G1011" t="str">
            <v>Medium</v>
          </cell>
          <cell r="L1011">
            <v>2</v>
          </cell>
        </row>
        <row r="1012">
          <cell r="B1012" t="str">
            <v>S-0169</v>
          </cell>
          <cell r="G1012" t="str">
            <v>Low</v>
          </cell>
          <cell r="L1012">
            <v>1</v>
          </cell>
        </row>
        <row r="1013">
          <cell r="B1013" t="str">
            <v>S-0169</v>
          </cell>
          <cell r="G1013" t="str">
            <v>High</v>
          </cell>
          <cell r="L1013">
            <v>3</v>
          </cell>
        </row>
        <row r="1014">
          <cell r="B1014" t="str">
            <v>S-0169</v>
          </cell>
          <cell r="G1014" t="str">
            <v>Medium</v>
          </cell>
          <cell r="L1014">
            <v>2</v>
          </cell>
        </row>
        <row r="1015">
          <cell r="B1015" t="str">
            <v>S-0169</v>
          </cell>
          <cell r="G1015" t="str">
            <v>Low</v>
          </cell>
          <cell r="L1015">
            <v>1</v>
          </cell>
        </row>
        <row r="1016">
          <cell r="B1016" t="str">
            <v>S-0170</v>
          </cell>
          <cell r="G1016" t="str">
            <v>Medium</v>
          </cell>
          <cell r="L1016">
            <v>2</v>
          </cell>
        </row>
        <row r="1017">
          <cell r="B1017" t="str">
            <v>S-0170</v>
          </cell>
          <cell r="G1017" t="str">
            <v>High</v>
          </cell>
          <cell r="L1017">
            <v>3</v>
          </cell>
        </row>
        <row r="1018">
          <cell r="B1018" t="str">
            <v>S-0170</v>
          </cell>
          <cell r="G1018" t="str">
            <v>Medium</v>
          </cell>
          <cell r="L1018">
            <v>2</v>
          </cell>
        </row>
        <row r="1019">
          <cell r="B1019" t="str">
            <v>S-0170</v>
          </cell>
          <cell r="G1019" t="str">
            <v>Low</v>
          </cell>
          <cell r="L1019">
            <v>1</v>
          </cell>
        </row>
        <row r="1020">
          <cell r="B1020" t="str">
            <v>S-0170</v>
          </cell>
          <cell r="G1020" t="str">
            <v>Low</v>
          </cell>
          <cell r="L1020">
            <v>1</v>
          </cell>
        </row>
        <row r="1021">
          <cell r="B1021" t="str">
            <v>S-0170</v>
          </cell>
          <cell r="G1021" t="str">
            <v>Low</v>
          </cell>
          <cell r="L1021">
            <v>1</v>
          </cell>
        </row>
        <row r="1022">
          <cell r="B1022" t="str">
            <v>S-0171</v>
          </cell>
          <cell r="G1022" t="str">
            <v>Low</v>
          </cell>
          <cell r="L1022">
            <v>1</v>
          </cell>
        </row>
        <row r="1023">
          <cell r="B1023" t="str">
            <v>S-0171</v>
          </cell>
          <cell r="G1023" t="str">
            <v>Low</v>
          </cell>
          <cell r="L1023">
            <v>1</v>
          </cell>
        </row>
        <row r="1024">
          <cell r="B1024" t="str">
            <v>S-0171</v>
          </cell>
          <cell r="G1024" t="str">
            <v>Low</v>
          </cell>
          <cell r="L1024">
            <v>1</v>
          </cell>
        </row>
        <row r="1025">
          <cell r="B1025" t="str">
            <v>S-0171</v>
          </cell>
          <cell r="G1025" t="str">
            <v>Medium</v>
          </cell>
          <cell r="L1025">
            <v>2</v>
          </cell>
        </row>
        <row r="1026">
          <cell r="B1026" t="str">
            <v>S-0171</v>
          </cell>
          <cell r="G1026" t="str">
            <v>Low</v>
          </cell>
          <cell r="L1026">
            <v>1</v>
          </cell>
        </row>
        <row r="1027">
          <cell r="B1027" t="str">
            <v>S-0171</v>
          </cell>
          <cell r="G1027" t="str">
            <v>Low</v>
          </cell>
          <cell r="L1027">
            <v>1</v>
          </cell>
        </row>
        <row r="1028">
          <cell r="B1028" t="str">
            <v>S-0172</v>
          </cell>
          <cell r="G1028" t="str">
            <v>Low</v>
          </cell>
          <cell r="L1028">
            <v>1</v>
          </cell>
        </row>
        <row r="1029">
          <cell r="B1029" t="str">
            <v>S-0172</v>
          </cell>
          <cell r="G1029" t="str">
            <v>Medium</v>
          </cell>
          <cell r="L1029">
            <v>2</v>
          </cell>
        </row>
        <row r="1030">
          <cell r="B1030" t="str">
            <v>S-0172</v>
          </cell>
          <cell r="G1030" t="str">
            <v>Low</v>
          </cell>
          <cell r="L1030">
            <v>1</v>
          </cell>
        </row>
        <row r="1031">
          <cell r="B1031" t="str">
            <v>S-0172</v>
          </cell>
          <cell r="G1031" t="str">
            <v>High</v>
          </cell>
          <cell r="L1031">
            <v>3</v>
          </cell>
        </row>
        <row r="1032">
          <cell r="B1032" t="str">
            <v>S-0172</v>
          </cell>
          <cell r="G1032" t="str">
            <v>Low</v>
          </cell>
          <cell r="L1032">
            <v>1</v>
          </cell>
        </row>
        <row r="1033">
          <cell r="B1033" t="str">
            <v>S-0172</v>
          </cell>
          <cell r="G1033" t="str">
            <v>High</v>
          </cell>
          <cell r="L1033">
            <v>3</v>
          </cell>
        </row>
        <row r="1034">
          <cell r="B1034" t="str">
            <v>S-0173</v>
          </cell>
          <cell r="G1034" t="str">
            <v>Low</v>
          </cell>
          <cell r="L1034">
            <v>1</v>
          </cell>
        </row>
        <row r="1035">
          <cell r="B1035" t="str">
            <v>S-0173</v>
          </cell>
          <cell r="G1035" t="str">
            <v>Low</v>
          </cell>
          <cell r="L1035">
            <v>1</v>
          </cell>
        </row>
        <row r="1036">
          <cell r="B1036" t="str">
            <v>S-0173</v>
          </cell>
          <cell r="G1036" t="str">
            <v>Low</v>
          </cell>
          <cell r="L1036">
            <v>1</v>
          </cell>
        </row>
        <row r="1037">
          <cell r="B1037" t="str">
            <v>S-0173</v>
          </cell>
          <cell r="G1037" t="str">
            <v>Medium</v>
          </cell>
          <cell r="L1037">
            <v>2</v>
          </cell>
        </row>
        <row r="1038">
          <cell r="B1038" t="str">
            <v>S-0173</v>
          </cell>
          <cell r="G1038" t="str">
            <v>Low</v>
          </cell>
          <cell r="L1038">
            <v>1</v>
          </cell>
        </row>
        <row r="1039">
          <cell r="B1039" t="str">
            <v>S-0173</v>
          </cell>
          <cell r="G1039" t="str">
            <v>Medium</v>
          </cell>
          <cell r="L1039">
            <v>2</v>
          </cell>
        </row>
        <row r="1040">
          <cell r="B1040" t="str">
            <v>S-0174</v>
          </cell>
          <cell r="G1040" t="str">
            <v>High</v>
          </cell>
          <cell r="L1040">
            <v>3</v>
          </cell>
        </row>
        <row r="1041">
          <cell r="B1041" t="str">
            <v>S-0174</v>
          </cell>
          <cell r="G1041" t="str">
            <v>Low</v>
          </cell>
          <cell r="L1041">
            <v>1</v>
          </cell>
        </row>
        <row r="1042">
          <cell r="B1042" t="str">
            <v>S-0174</v>
          </cell>
          <cell r="G1042" t="str">
            <v>Low</v>
          </cell>
          <cell r="L1042">
            <v>1</v>
          </cell>
        </row>
        <row r="1043">
          <cell r="B1043" t="str">
            <v>S-0174</v>
          </cell>
          <cell r="G1043" t="str">
            <v>Low</v>
          </cell>
          <cell r="L1043">
            <v>1</v>
          </cell>
        </row>
        <row r="1044">
          <cell r="B1044" t="str">
            <v>S-0174</v>
          </cell>
          <cell r="G1044" t="str">
            <v>Low</v>
          </cell>
          <cell r="L1044">
            <v>1</v>
          </cell>
        </row>
        <row r="1045">
          <cell r="B1045" t="str">
            <v>S-0174</v>
          </cell>
          <cell r="G1045" t="str">
            <v>Low</v>
          </cell>
          <cell r="L1045">
            <v>1</v>
          </cell>
        </row>
        <row r="1046">
          <cell r="B1046" t="str">
            <v>S-0175</v>
          </cell>
          <cell r="G1046" t="str">
            <v>Low</v>
          </cell>
          <cell r="L1046">
            <v>1</v>
          </cell>
        </row>
        <row r="1047">
          <cell r="B1047" t="str">
            <v>S-0175</v>
          </cell>
          <cell r="G1047" t="str">
            <v>Low</v>
          </cell>
          <cell r="L1047">
            <v>1</v>
          </cell>
        </row>
        <row r="1048">
          <cell r="B1048" t="str">
            <v>S-0175</v>
          </cell>
          <cell r="G1048" t="str">
            <v>Low</v>
          </cell>
          <cell r="L1048">
            <v>1</v>
          </cell>
        </row>
        <row r="1049">
          <cell r="B1049" t="str">
            <v>S-0175</v>
          </cell>
          <cell r="G1049" t="str">
            <v>Medium</v>
          </cell>
          <cell r="L1049">
            <v>2</v>
          </cell>
        </row>
        <row r="1050">
          <cell r="B1050" t="str">
            <v>S-0175</v>
          </cell>
          <cell r="G1050" t="str">
            <v>Low</v>
          </cell>
          <cell r="L1050">
            <v>1</v>
          </cell>
        </row>
        <row r="1051">
          <cell r="B1051" t="str">
            <v>S-0175</v>
          </cell>
          <cell r="G1051" t="str">
            <v>Low</v>
          </cell>
          <cell r="L1051">
            <v>1</v>
          </cell>
        </row>
        <row r="1052">
          <cell r="B1052" t="str">
            <v>S-0176</v>
          </cell>
          <cell r="G1052" t="str">
            <v>Low</v>
          </cell>
          <cell r="L1052">
            <v>1</v>
          </cell>
        </row>
        <row r="1053">
          <cell r="B1053" t="str">
            <v>S-0176</v>
          </cell>
          <cell r="G1053" t="str">
            <v>Medium</v>
          </cell>
          <cell r="L1053">
            <v>2</v>
          </cell>
        </row>
        <row r="1054">
          <cell r="B1054" t="str">
            <v>S-0176</v>
          </cell>
          <cell r="G1054" t="str">
            <v>Low</v>
          </cell>
          <cell r="L1054">
            <v>1</v>
          </cell>
        </row>
        <row r="1055">
          <cell r="B1055" t="str">
            <v>S-0176</v>
          </cell>
          <cell r="G1055" t="str">
            <v>Low</v>
          </cell>
          <cell r="L1055">
            <v>1</v>
          </cell>
        </row>
        <row r="1056">
          <cell r="B1056" t="str">
            <v>S-0176</v>
          </cell>
          <cell r="G1056" t="str">
            <v>Low</v>
          </cell>
          <cell r="L1056">
            <v>1</v>
          </cell>
        </row>
        <row r="1057">
          <cell r="B1057" t="str">
            <v>S-0176</v>
          </cell>
          <cell r="G1057" t="str">
            <v>Low</v>
          </cell>
          <cell r="L1057">
            <v>1</v>
          </cell>
        </row>
        <row r="1058">
          <cell r="B1058" t="str">
            <v>S-0177</v>
          </cell>
          <cell r="G1058" t="str">
            <v>Low</v>
          </cell>
          <cell r="L1058">
            <v>1</v>
          </cell>
        </row>
        <row r="1059">
          <cell r="B1059" t="str">
            <v>S-0177</v>
          </cell>
          <cell r="G1059" t="str">
            <v>Medium</v>
          </cell>
          <cell r="L1059">
            <v>2</v>
          </cell>
        </row>
        <row r="1060">
          <cell r="B1060" t="str">
            <v>S-0177</v>
          </cell>
          <cell r="G1060" t="str">
            <v>Low</v>
          </cell>
          <cell r="L1060">
            <v>1</v>
          </cell>
        </row>
        <row r="1061">
          <cell r="B1061" t="str">
            <v>S-0177</v>
          </cell>
          <cell r="G1061" t="str">
            <v>Low</v>
          </cell>
          <cell r="L1061">
            <v>1</v>
          </cell>
        </row>
        <row r="1062">
          <cell r="B1062" t="str">
            <v>S-0177</v>
          </cell>
          <cell r="G1062" t="str">
            <v>Low</v>
          </cell>
          <cell r="L1062">
            <v>1</v>
          </cell>
        </row>
        <row r="1063">
          <cell r="B1063" t="str">
            <v>S-0177</v>
          </cell>
          <cell r="G1063" t="str">
            <v>Low</v>
          </cell>
          <cell r="L1063">
            <v>1</v>
          </cell>
        </row>
        <row r="1064">
          <cell r="B1064" t="str">
            <v>S-0178</v>
          </cell>
          <cell r="G1064" t="str">
            <v>Low</v>
          </cell>
          <cell r="L1064">
            <v>1</v>
          </cell>
        </row>
        <row r="1065">
          <cell r="B1065" t="str">
            <v>S-0178</v>
          </cell>
          <cell r="G1065" t="str">
            <v>Low</v>
          </cell>
          <cell r="L1065">
            <v>1</v>
          </cell>
        </row>
        <row r="1066">
          <cell r="B1066" t="str">
            <v>S-0178</v>
          </cell>
          <cell r="G1066" t="str">
            <v>Low</v>
          </cell>
          <cell r="L1066">
            <v>1</v>
          </cell>
        </row>
        <row r="1067">
          <cell r="B1067" t="str">
            <v>S-0178</v>
          </cell>
          <cell r="G1067" t="str">
            <v>Low</v>
          </cell>
          <cell r="L1067">
            <v>1</v>
          </cell>
        </row>
        <row r="1068">
          <cell r="B1068" t="str">
            <v>S-0178</v>
          </cell>
          <cell r="G1068" t="str">
            <v>Low</v>
          </cell>
          <cell r="L1068">
            <v>1</v>
          </cell>
        </row>
        <row r="1069">
          <cell r="B1069" t="str">
            <v>S-0178</v>
          </cell>
          <cell r="G1069" t="str">
            <v>Low</v>
          </cell>
          <cell r="L1069">
            <v>1</v>
          </cell>
        </row>
        <row r="1070">
          <cell r="B1070" t="str">
            <v>S-0179</v>
          </cell>
          <cell r="G1070" t="str">
            <v>Low</v>
          </cell>
          <cell r="L1070">
            <v>1</v>
          </cell>
        </row>
        <row r="1071">
          <cell r="B1071" t="str">
            <v>S-0179</v>
          </cell>
          <cell r="G1071" t="str">
            <v>Medium</v>
          </cell>
          <cell r="L1071">
            <v>2</v>
          </cell>
        </row>
        <row r="1072">
          <cell r="B1072" t="str">
            <v>S-0179</v>
          </cell>
          <cell r="G1072" t="str">
            <v>Low</v>
          </cell>
          <cell r="L1072">
            <v>1</v>
          </cell>
        </row>
        <row r="1073">
          <cell r="B1073" t="str">
            <v>S-0179</v>
          </cell>
          <cell r="G1073" t="str">
            <v>Low</v>
          </cell>
          <cell r="L1073">
            <v>1</v>
          </cell>
        </row>
        <row r="1074">
          <cell r="B1074" t="str">
            <v>S-0179</v>
          </cell>
          <cell r="G1074" t="str">
            <v>Low</v>
          </cell>
          <cell r="L1074">
            <v>1</v>
          </cell>
        </row>
        <row r="1075">
          <cell r="B1075" t="str">
            <v>S-0179</v>
          </cell>
          <cell r="G1075" t="str">
            <v>Low</v>
          </cell>
          <cell r="L1075">
            <v>1</v>
          </cell>
        </row>
        <row r="1076">
          <cell r="B1076" t="str">
            <v>S-0180</v>
          </cell>
          <cell r="G1076" t="str">
            <v>Low</v>
          </cell>
          <cell r="L1076">
            <v>1</v>
          </cell>
        </row>
        <row r="1077">
          <cell r="B1077" t="str">
            <v>S-0180</v>
          </cell>
          <cell r="G1077" t="str">
            <v>Low</v>
          </cell>
          <cell r="L1077">
            <v>1</v>
          </cell>
        </row>
        <row r="1078">
          <cell r="B1078" t="str">
            <v>S-0180</v>
          </cell>
          <cell r="G1078" t="str">
            <v>High</v>
          </cell>
          <cell r="L1078">
            <v>3</v>
          </cell>
        </row>
        <row r="1079">
          <cell r="B1079" t="str">
            <v>S-0180</v>
          </cell>
          <cell r="G1079" t="str">
            <v>Medium</v>
          </cell>
          <cell r="L1079">
            <v>2</v>
          </cell>
        </row>
        <row r="1080">
          <cell r="B1080" t="str">
            <v>S-0180</v>
          </cell>
          <cell r="G1080" t="str">
            <v>Low</v>
          </cell>
          <cell r="L1080">
            <v>1</v>
          </cell>
        </row>
        <row r="1081">
          <cell r="B1081" t="str">
            <v>S-0180</v>
          </cell>
          <cell r="G1081" t="str">
            <v>Medium</v>
          </cell>
          <cell r="L1081">
            <v>2</v>
          </cell>
        </row>
        <row r="1082">
          <cell r="B1082" t="str">
            <v>S-0181</v>
          </cell>
          <cell r="G1082" t="str">
            <v>Low</v>
          </cell>
          <cell r="L1082">
            <v>1</v>
          </cell>
        </row>
        <row r="1083">
          <cell r="B1083" t="str">
            <v>S-0181</v>
          </cell>
          <cell r="G1083" t="str">
            <v>Low</v>
          </cell>
          <cell r="L1083">
            <v>1</v>
          </cell>
        </row>
        <row r="1084">
          <cell r="B1084" t="str">
            <v>S-0181</v>
          </cell>
          <cell r="G1084" t="str">
            <v>Low</v>
          </cell>
          <cell r="L1084">
            <v>1</v>
          </cell>
        </row>
        <row r="1085">
          <cell r="B1085" t="str">
            <v>S-0181</v>
          </cell>
          <cell r="G1085" t="str">
            <v>Low</v>
          </cell>
          <cell r="L1085">
            <v>1</v>
          </cell>
        </row>
        <row r="1086">
          <cell r="B1086" t="str">
            <v>S-0181</v>
          </cell>
          <cell r="G1086" t="str">
            <v>Low</v>
          </cell>
          <cell r="L1086">
            <v>1</v>
          </cell>
        </row>
        <row r="1087">
          <cell r="B1087" t="str">
            <v>S-0181</v>
          </cell>
          <cell r="G1087" t="str">
            <v>Low</v>
          </cell>
          <cell r="L1087">
            <v>1</v>
          </cell>
        </row>
        <row r="1088">
          <cell r="B1088" t="str">
            <v>S-0182</v>
          </cell>
          <cell r="G1088" t="str">
            <v>High</v>
          </cell>
          <cell r="L1088">
            <v>3</v>
          </cell>
        </row>
        <row r="1089">
          <cell r="B1089" t="str">
            <v>S-0182</v>
          </cell>
          <cell r="G1089" t="str">
            <v>Low</v>
          </cell>
          <cell r="L1089">
            <v>1</v>
          </cell>
        </row>
        <row r="1090">
          <cell r="B1090" t="str">
            <v>S-0182</v>
          </cell>
          <cell r="G1090" t="str">
            <v>Medium</v>
          </cell>
          <cell r="L1090">
            <v>2</v>
          </cell>
        </row>
        <row r="1091">
          <cell r="B1091" t="str">
            <v>S-0182</v>
          </cell>
          <cell r="G1091" t="str">
            <v>Low</v>
          </cell>
          <cell r="L1091">
            <v>1</v>
          </cell>
        </row>
        <row r="1092">
          <cell r="B1092" t="str">
            <v>S-0182</v>
          </cell>
          <cell r="G1092" t="str">
            <v>Low</v>
          </cell>
          <cell r="L1092">
            <v>1</v>
          </cell>
        </row>
        <row r="1093">
          <cell r="B1093" t="str">
            <v>S-0182</v>
          </cell>
          <cell r="G1093" t="str">
            <v>Low</v>
          </cell>
          <cell r="L1093">
            <v>1</v>
          </cell>
        </row>
        <row r="1094">
          <cell r="B1094" t="str">
            <v>S-0183</v>
          </cell>
          <cell r="G1094" t="str">
            <v>High</v>
          </cell>
          <cell r="L1094">
            <v>3</v>
          </cell>
        </row>
        <row r="1095">
          <cell r="B1095" t="str">
            <v>S-0183</v>
          </cell>
          <cell r="G1095" t="str">
            <v>Low</v>
          </cell>
          <cell r="L1095">
            <v>1</v>
          </cell>
        </row>
        <row r="1096">
          <cell r="B1096" t="str">
            <v>S-0183</v>
          </cell>
          <cell r="G1096" t="str">
            <v>Medium</v>
          </cell>
          <cell r="L1096">
            <v>2</v>
          </cell>
        </row>
        <row r="1097">
          <cell r="B1097" t="str">
            <v>S-0183</v>
          </cell>
          <cell r="G1097" t="str">
            <v>Low</v>
          </cell>
          <cell r="L1097">
            <v>1</v>
          </cell>
        </row>
        <row r="1098">
          <cell r="B1098" t="str">
            <v>S-0183</v>
          </cell>
          <cell r="G1098" t="str">
            <v>Low</v>
          </cell>
          <cell r="L1098">
            <v>1</v>
          </cell>
        </row>
        <row r="1099">
          <cell r="B1099" t="str">
            <v>S-0183</v>
          </cell>
          <cell r="G1099" t="str">
            <v>Low</v>
          </cell>
          <cell r="L1099">
            <v>1</v>
          </cell>
        </row>
        <row r="1100">
          <cell r="B1100" t="str">
            <v>S-0184</v>
          </cell>
          <cell r="G1100" t="str">
            <v>Low</v>
          </cell>
          <cell r="L1100">
            <v>1</v>
          </cell>
        </row>
        <row r="1101">
          <cell r="B1101" t="str">
            <v>S-0184</v>
          </cell>
          <cell r="G1101" t="str">
            <v>High</v>
          </cell>
          <cell r="L1101">
            <v>3</v>
          </cell>
        </row>
        <row r="1102">
          <cell r="B1102" t="str">
            <v>S-0184</v>
          </cell>
          <cell r="G1102" t="str">
            <v>High</v>
          </cell>
          <cell r="L1102">
            <v>3</v>
          </cell>
        </row>
        <row r="1103">
          <cell r="B1103" t="str">
            <v>S-0184</v>
          </cell>
          <cell r="G1103" t="str">
            <v>Low</v>
          </cell>
          <cell r="L1103">
            <v>1</v>
          </cell>
        </row>
        <row r="1104">
          <cell r="B1104" t="str">
            <v>S-0184</v>
          </cell>
          <cell r="G1104" t="str">
            <v>Low</v>
          </cell>
          <cell r="L1104">
            <v>1</v>
          </cell>
        </row>
        <row r="1105">
          <cell r="B1105" t="str">
            <v>S-0184</v>
          </cell>
          <cell r="G1105" t="str">
            <v>Low</v>
          </cell>
          <cell r="L1105">
            <v>1</v>
          </cell>
        </row>
        <row r="1106">
          <cell r="B1106" t="str">
            <v>S-0185</v>
          </cell>
          <cell r="G1106" t="str">
            <v>Low</v>
          </cell>
          <cell r="L1106">
            <v>1</v>
          </cell>
        </row>
        <row r="1107">
          <cell r="B1107" t="str">
            <v>S-0185</v>
          </cell>
          <cell r="G1107" t="str">
            <v>Low</v>
          </cell>
          <cell r="L1107">
            <v>1</v>
          </cell>
        </row>
        <row r="1108">
          <cell r="B1108" t="str">
            <v>S-0185</v>
          </cell>
          <cell r="G1108" t="str">
            <v>High</v>
          </cell>
          <cell r="L1108">
            <v>3</v>
          </cell>
        </row>
        <row r="1109">
          <cell r="B1109" t="str">
            <v>S-0185</v>
          </cell>
          <cell r="G1109" t="str">
            <v>Low</v>
          </cell>
          <cell r="L1109">
            <v>1</v>
          </cell>
        </row>
        <row r="1110">
          <cell r="B1110" t="str">
            <v>S-0185</v>
          </cell>
          <cell r="G1110" t="str">
            <v>Low</v>
          </cell>
          <cell r="L1110">
            <v>1</v>
          </cell>
        </row>
        <row r="1111">
          <cell r="B1111" t="str">
            <v>S-0185</v>
          </cell>
          <cell r="G1111" t="str">
            <v>Medium</v>
          </cell>
          <cell r="L1111">
            <v>2</v>
          </cell>
        </row>
        <row r="1112">
          <cell r="B1112" t="str">
            <v>S-0186</v>
          </cell>
          <cell r="G1112" t="str">
            <v>Low</v>
          </cell>
          <cell r="L1112">
            <v>1</v>
          </cell>
        </row>
        <row r="1113">
          <cell r="B1113" t="str">
            <v>S-0186</v>
          </cell>
          <cell r="G1113" t="str">
            <v>Medium</v>
          </cell>
          <cell r="L1113">
            <v>2</v>
          </cell>
        </row>
        <row r="1114">
          <cell r="B1114" t="str">
            <v>S-0186</v>
          </cell>
          <cell r="G1114" t="str">
            <v>High</v>
          </cell>
          <cell r="L1114">
            <v>3</v>
          </cell>
        </row>
        <row r="1115">
          <cell r="B1115" t="str">
            <v>S-0186</v>
          </cell>
          <cell r="G1115" t="str">
            <v>Low</v>
          </cell>
          <cell r="L1115">
            <v>1</v>
          </cell>
        </row>
        <row r="1116">
          <cell r="B1116" t="str">
            <v>S-0186</v>
          </cell>
          <cell r="G1116" t="str">
            <v>High</v>
          </cell>
          <cell r="L1116">
            <v>3</v>
          </cell>
        </row>
        <row r="1117">
          <cell r="B1117" t="str">
            <v>S-0186</v>
          </cell>
          <cell r="G1117" t="str">
            <v>Low</v>
          </cell>
          <cell r="L1117">
            <v>1</v>
          </cell>
        </row>
        <row r="1118">
          <cell r="B1118" t="str">
            <v>S-0187</v>
          </cell>
          <cell r="G1118" t="str">
            <v>Low</v>
          </cell>
          <cell r="L1118">
            <v>1</v>
          </cell>
        </row>
        <row r="1119">
          <cell r="B1119" t="str">
            <v>S-0187</v>
          </cell>
          <cell r="G1119" t="str">
            <v>Low</v>
          </cell>
          <cell r="L1119">
            <v>1</v>
          </cell>
        </row>
        <row r="1120">
          <cell r="B1120" t="str">
            <v>S-0187</v>
          </cell>
          <cell r="G1120" t="str">
            <v>Medium</v>
          </cell>
          <cell r="L1120">
            <v>2</v>
          </cell>
        </row>
        <row r="1121">
          <cell r="B1121" t="str">
            <v>S-0187</v>
          </cell>
          <cell r="G1121" t="str">
            <v>High</v>
          </cell>
          <cell r="L1121">
            <v>3</v>
          </cell>
        </row>
        <row r="1122">
          <cell r="B1122" t="str">
            <v>S-0187</v>
          </cell>
          <cell r="G1122" t="str">
            <v>Low</v>
          </cell>
          <cell r="L1122">
            <v>1</v>
          </cell>
        </row>
        <row r="1123">
          <cell r="B1123" t="str">
            <v>S-0187</v>
          </cell>
          <cell r="G1123" t="str">
            <v>Medium</v>
          </cell>
          <cell r="L1123">
            <v>2</v>
          </cell>
        </row>
        <row r="1124">
          <cell r="B1124" t="str">
            <v>S-0188</v>
          </cell>
          <cell r="G1124" t="str">
            <v>Low</v>
          </cell>
          <cell r="L1124">
            <v>1</v>
          </cell>
        </row>
        <row r="1125">
          <cell r="B1125" t="str">
            <v>S-0188</v>
          </cell>
          <cell r="G1125" t="str">
            <v>Low</v>
          </cell>
          <cell r="L1125">
            <v>1</v>
          </cell>
        </row>
        <row r="1126">
          <cell r="B1126" t="str">
            <v>S-0188</v>
          </cell>
          <cell r="G1126" t="str">
            <v>Low</v>
          </cell>
          <cell r="L1126">
            <v>1</v>
          </cell>
        </row>
        <row r="1127">
          <cell r="B1127" t="str">
            <v>S-0188</v>
          </cell>
          <cell r="G1127" t="str">
            <v>Low</v>
          </cell>
          <cell r="L1127">
            <v>1</v>
          </cell>
        </row>
        <row r="1128">
          <cell r="B1128" t="str">
            <v>S-0188</v>
          </cell>
          <cell r="G1128" t="str">
            <v>Low</v>
          </cell>
          <cell r="L1128">
            <v>1</v>
          </cell>
        </row>
        <row r="1129">
          <cell r="B1129" t="str">
            <v>S-0188</v>
          </cell>
          <cell r="G1129" t="str">
            <v>Medium</v>
          </cell>
          <cell r="L1129">
            <v>2</v>
          </cell>
        </row>
        <row r="1130">
          <cell r="B1130" t="str">
            <v>S-0189</v>
          </cell>
          <cell r="G1130" t="str">
            <v>Medium</v>
          </cell>
          <cell r="L1130">
            <v>2</v>
          </cell>
        </row>
        <row r="1131">
          <cell r="B1131" t="str">
            <v>S-0189</v>
          </cell>
          <cell r="G1131" t="str">
            <v>High</v>
          </cell>
          <cell r="L1131">
            <v>3</v>
          </cell>
        </row>
        <row r="1132">
          <cell r="B1132" t="str">
            <v>S-0189</v>
          </cell>
          <cell r="G1132" t="str">
            <v>Low</v>
          </cell>
          <cell r="L1132">
            <v>1</v>
          </cell>
        </row>
        <row r="1133">
          <cell r="B1133" t="str">
            <v>S-0189</v>
          </cell>
          <cell r="G1133" t="str">
            <v>High</v>
          </cell>
          <cell r="L1133">
            <v>3</v>
          </cell>
        </row>
        <row r="1134">
          <cell r="B1134" t="str">
            <v>S-0189</v>
          </cell>
          <cell r="G1134" t="str">
            <v>High</v>
          </cell>
          <cell r="L1134">
            <v>3</v>
          </cell>
        </row>
        <row r="1135">
          <cell r="B1135" t="str">
            <v>S-0189</v>
          </cell>
          <cell r="G1135" t="str">
            <v>Medium</v>
          </cell>
          <cell r="L1135">
            <v>2</v>
          </cell>
        </row>
        <row r="1136">
          <cell r="B1136" t="str">
            <v>S-0190</v>
          </cell>
          <cell r="G1136" t="str">
            <v>Low</v>
          </cell>
          <cell r="L1136">
            <v>1</v>
          </cell>
        </row>
        <row r="1137">
          <cell r="B1137" t="str">
            <v>S-0190</v>
          </cell>
          <cell r="G1137" t="str">
            <v>Low</v>
          </cell>
          <cell r="L1137">
            <v>1</v>
          </cell>
        </row>
        <row r="1138">
          <cell r="B1138" t="str">
            <v>S-0190</v>
          </cell>
          <cell r="G1138" t="str">
            <v>Medium</v>
          </cell>
          <cell r="L1138">
            <v>2</v>
          </cell>
        </row>
        <row r="1139">
          <cell r="B1139" t="str">
            <v>S-0190</v>
          </cell>
          <cell r="G1139" t="str">
            <v>Low</v>
          </cell>
          <cell r="L1139">
            <v>1</v>
          </cell>
        </row>
        <row r="1140">
          <cell r="B1140" t="str">
            <v>S-0190</v>
          </cell>
          <cell r="G1140" t="str">
            <v>Low</v>
          </cell>
          <cell r="L1140">
            <v>1</v>
          </cell>
        </row>
        <row r="1141">
          <cell r="B1141" t="str">
            <v>S-0190</v>
          </cell>
          <cell r="G1141" t="str">
            <v>Medium</v>
          </cell>
          <cell r="L1141">
            <v>2</v>
          </cell>
        </row>
        <row r="1142">
          <cell r="B1142" t="str">
            <v>S-0191</v>
          </cell>
          <cell r="G1142" t="str">
            <v>Medium</v>
          </cell>
          <cell r="L1142">
            <v>2</v>
          </cell>
        </row>
        <row r="1143">
          <cell r="B1143" t="str">
            <v>S-0191</v>
          </cell>
          <cell r="G1143" t="str">
            <v>Low</v>
          </cell>
          <cell r="L1143">
            <v>1</v>
          </cell>
        </row>
        <row r="1144">
          <cell r="B1144" t="str">
            <v>S-0191</v>
          </cell>
          <cell r="G1144" t="str">
            <v>Low</v>
          </cell>
          <cell r="L1144">
            <v>1</v>
          </cell>
        </row>
        <row r="1145">
          <cell r="B1145" t="str">
            <v>S-0191</v>
          </cell>
          <cell r="G1145" t="str">
            <v>Low</v>
          </cell>
          <cell r="L1145">
            <v>1</v>
          </cell>
        </row>
        <row r="1146">
          <cell r="B1146" t="str">
            <v>S-0191</v>
          </cell>
          <cell r="G1146" t="str">
            <v>Low</v>
          </cell>
          <cell r="L1146">
            <v>1</v>
          </cell>
        </row>
        <row r="1147">
          <cell r="B1147" t="str">
            <v>S-0191</v>
          </cell>
          <cell r="G1147" t="str">
            <v>Low</v>
          </cell>
          <cell r="L1147">
            <v>1</v>
          </cell>
        </row>
        <row r="1148">
          <cell r="B1148" t="str">
            <v>S-0192</v>
          </cell>
          <cell r="G1148" t="str">
            <v>Low</v>
          </cell>
          <cell r="L1148">
            <v>1</v>
          </cell>
        </row>
        <row r="1149">
          <cell r="B1149" t="str">
            <v>S-0192</v>
          </cell>
          <cell r="G1149" t="str">
            <v>Low</v>
          </cell>
          <cell r="L1149">
            <v>1</v>
          </cell>
        </row>
        <row r="1150">
          <cell r="B1150" t="str">
            <v>S-0192</v>
          </cell>
          <cell r="G1150" t="str">
            <v>Low</v>
          </cell>
          <cell r="L1150">
            <v>1</v>
          </cell>
        </row>
        <row r="1151">
          <cell r="B1151" t="str">
            <v>S-0192</v>
          </cell>
          <cell r="G1151" t="str">
            <v>Low</v>
          </cell>
          <cell r="L1151">
            <v>1</v>
          </cell>
        </row>
        <row r="1152">
          <cell r="B1152" t="str">
            <v>S-0192</v>
          </cell>
          <cell r="G1152" t="str">
            <v>High</v>
          </cell>
          <cell r="L1152">
            <v>3</v>
          </cell>
        </row>
        <row r="1153">
          <cell r="B1153" t="str">
            <v>S-0192</v>
          </cell>
          <cell r="G1153" t="str">
            <v>Medium</v>
          </cell>
          <cell r="L1153">
            <v>2</v>
          </cell>
        </row>
        <row r="1154">
          <cell r="B1154" t="str">
            <v>S-0193</v>
          </cell>
          <cell r="G1154" t="str">
            <v>Medium</v>
          </cell>
          <cell r="L1154">
            <v>2</v>
          </cell>
        </row>
        <row r="1155">
          <cell r="B1155" t="str">
            <v>S-0193</v>
          </cell>
          <cell r="G1155" t="str">
            <v>Medium</v>
          </cell>
          <cell r="L1155">
            <v>2</v>
          </cell>
        </row>
        <row r="1156">
          <cell r="B1156" t="str">
            <v>S-0193</v>
          </cell>
          <cell r="G1156" t="str">
            <v>Low</v>
          </cell>
          <cell r="L1156">
            <v>1</v>
          </cell>
        </row>
        <row r="1157">
          <cell r="B1157" t="str">
            <v>S-0193</v>
          </cell>
          <cell r="G1157" t="str">
            <v>Low</v>
          </cell>
          <cell r="L1157">
            <v>1</v>
          </cell>
        </row>
        <row r="1158">
          <cell r="B1158" t="str">
            <v>S-0193</v>
          </cell>
          <cell r="G1158" t="str">
            <v>Low</v>
          </cell>
          <cell r="L1158">
            <v>1</v>
          </cell>
        </row>
        <row r="1159">
          <cell r="B1159" t="str">
            <v>S-0193</v>
          </cell>
          <cell r="G1159" t="str">
            <v>Medium</v>
          </cell>
          <cell r="L1159">
            <v>2</v>
          </cell>
        </row>
        <row r="1160">
          <cell r="B1160" t="str">
            <v>S-0194</v>
          </cell>
          <cell r="G1160" t="str">
            <v>Low</v>
          </cell>
          <cell r="L1160">
            <v>1</v>
          </cell>
        </row>
        <row r="1161">
          <cell r="B1161" t="str">
            <v>S-0194</v>
          </cell>
          <cell r="G1161" t="str">
            <v>Medium</v>
          </cell>
          <cell r="L1161">
            <v>2</v>
          </cell>
        </row>
        <row r="1162">
          <cell r="B1162" t="str">
            <v>S-0194</v>
          </cell>
          <cell r="G1162" t="str">
            <v>Low</v>
          </cell>
          <cell r="L1162">
            <v>1</v>
          </cell>
        </row>
        <row r="1163">
          <cell r="B1163" t="str">
            <v>S-0194</v>
          </cell>
          <cell r="G1163" t="str">
            <v>Medium</v>
          </cell>
          <cell r="L1163">
            <v>2</v>
          </cell>
        </row>
        <row r="1164">
          <cell r="B1164" t="str">
            <v>S-0194</v>
          </cell>
          <cell r="G1164" t="str">
            <v>Low</v>
          </cell>
          <cell r="L1164">
            <v>1</v>
          </cell>
        </row>
        <row r="1165">
          <cell r="B1165" t="str">
            <v>S-0194</v>
          </cell>
          <cell r="G1165" t="str">
            <v>High</v>
          </cell>
          <cell r="L1165">
            <v>3</v>
          </cell>
        </row>
        <row r="1166">
          <cell r="B1166" t="str">
            <v>S-0195</v>
          </cell>
          <cell r="G1166" t="str">
            <v>Low</v>
          </cell>
          <cell r="L1166">
            <v>1</v>
          </cell>
        </row>
        <row r="1167">
          <cell r="B1167" t="str">
            <v>S-0195</v>
          </cell>
          <cell r="G1167" t="str">
            <v>Medium</v>
          </cell>
          <cell r="L1167">
            <v>2</v>
          </cell>
        </row>
        <row r="1168">
          <cell r="B1168" t="str">
            <v>S-0195</v>
          </cell>
          <cell r="G1168" t="str">
            <v>High</v>
          </cell>
          <cell r="L1168">
            <v>3</v>
          </cell>
        </row>
        <row r="1169">
          <cell r="B1169" t="str">
            <v>S-0195</v>
          </cell>
          <cell r="G1169" t="str">
            <v>Medium</v>
          </cell>
          <cell r="L1169">
            <v>2</v>
          </cell>
        </row>
        <row r="1170">
          <cell r="B1170" t="str">
            <v>S-0195</v>
          </cell>
          <cell r="G1170" t="str">
            <v>Low</v>
          </cell>
          <cell r="L1170">
            <v>1</v>
          </cell>
        </row>
        <row r="1171">
          <cell r="B1171" t="str">
            <v>S-0195</v>
          </cell>
          <cell r="G1171" t="str">
            <v>Medium</v>
          </cell>
          <cell r="L1171">
            <v>2</v>
          </cell>
        </row>
        <row r="1172">
          <cell r="B1172" t="str">
            <v>S-0196</v>
          </cell>
          <cell r="G1172" t="str">
            <v>Low</v>
          </cell>
          <cell r="L1172">
            <v>1</v>
          </cell>
        </row>
        <row r="1173">
          <cell r="B1173" t="str">
            <v>S-0196</v>
          </cell>
          <cell r="G1173" t="str">
            <v>Low</v>
          </cell>
          <cell r="L1173">
            <v>1</v>
          </cell>
        </row>
        <row r="1174">
          <cell r="B1174" t="str">
            <v>S-0196</v>
          </cell>
          <cell r="G1174" t="str">
            <v>Low</v>
          </cell>
          <cell r="L1174">
            <v>1</v>
          </cell>
        </row>
        <row r="1175">
          <cell r="B1175" t="str">
            <v>S-0196</v>
          </cell>
          <cell r="G1175" t="str">
            <v>High</v>
          </cell>
          <cell r="L1175">
            <v>3</v>
          </cell>
        </row>
        <row r="1176">
          <cell r="B1176" t="str">
            <v>S-0196</v>
          </cell>
          <cell r="G1176" t="str">
            <v>Medium</v>
          </cell>
          <cell r="L1176">
            <v>2</v>
          </cell>
        </row>
        <row r="1177">
          <cell r="B1177" t="str">
            <v>S-0196</v>
          </cell>
          <cell r="G1177" t="str">
            <v>Low</v>
          </cell>
          <cell r="L1177">
            <v>1</v>
          </cell>
        </row>
        <row r="1178">
          <cell r="B1178" t="str">
            <v>S-0197</v>
          </cell>
          <cell r="G1178" t="str">
            <v>Low</v>
          </cell>
          <cell r="L1178">
            <v>1</v>
          </cell>
        </row>
        <row r="1179">
          <cell r="B1179" t="str">
            <v>S-0197</v>
          </cell>
          <cell r="G1179" t="str">
            <v>Medium</v>
          </cell>
          <cell r="L1179">
            <v>2</v>
          </cell>
        </row>
        <row r="1180">
          <cell r="B1180" t="str">
            <v>S-0197</v>
          </cell>
          <cell r="G1180" t="str">
            <v>Low</v>
          </cell>
          <cell r="L1180">
            <v>1</v>
          </cell>
        </row>
        <row r="1181">
          <cell r="B1181" t="str">
            <v>S-0197</v>
          </cell>
          <cell r="G1181" t="str">
            <v>High</v>
          </cell>
          <cell r="L1181">
            <v>3</v>
          </cell>
        </row>
        <row r="1182">
          <cell r="B1182" t="str">
            <v>S-0197</v>
          </cell>
          <cell r="G1182" t="str">
            <v>Low</v>
          </cell>
          <cell r="L1182">
            <v>1</v>
          </cell>
        </row>
        <row r="1183">
          <cell r="B1183" t="str">
            <v>S-0197</v>
          </cell>
          <cell r="G1183" t="str">
            <v>Medium</v>
          </cell>
          <cell r="L1183">
            <v>2</v>
          </cell>
        </row>
        <row r="1184">
          <cell r="B1184" t="str">
            <v>S-0198</v>
          </cell>
          <cell r="G1184" t="str">
            <v>Low</v>
          </cell>
          <cell r="L1184">
            <v>1</v>
          </cell>
        </row>
        <row r="1185">
          <cell r="B1185" t="str">
            <v>S-0198</v>
          </cell>
          <cell r="G1185" t="str">
            <v>Medium</v>
          </cell>
          <cell r="L1185">
            <v>2</v>
          </cell>
        </row>
        <row r="1186">
          <cell r="B1186" t="str">
            <v>S-0198</v>
          </cell>
          <cell r="G1186" t="str">
            <v>Medium</v>
          </cell>
          <cell r="L1186">
            <v>2</v>
          </cell>
        </row>
        <row r="1187">
          <cell r="B1187" t="str">
            <v>S-0198</v>
          </cell>
          <cell r="G1187" t="str">
            <v>Low</v>
          </cell>
          <cell r="L1187">
            <v>1</v>
          </cell>
        </row>
        <row r="1188">
          <cell r="B1188" t="str">
            <v>S-0198</v>
          </cell>
          <cell r="G1188" t="str">
            <v>Low</v>
          </cell>
          <cell r="L1188">
            <v>1</v>
          </cell>
        </row>
        <row r="1189">
          <cell r="B1189" t="str">
            <v>S-0198</v>
          </cell>
          <cell r="G1189" t="str">
            <v>Low</v>
          </cell>
          <cell r="L1189">
            <v>1</v>
          </cell>
        </row>
        <row r="1190">
          <cell r="B1190" t="str">
            <v>S-0199</v>
          </cell>
          <cell r="G1190" t="str">
            <v>Low</v>
          </cell>
          <cell r="L1190">
            <v>1</v>
          </cell>
        </row>
        <row r="1191">
          <cell r="B1191" t="str">
            <v>S-0199</v>
          </cell>
          <cell r="G1191" t="str">
            <v>Medium</v>
          </cell>
          <cell r="L1191">
            <v>2</v>
          </cell>
        </row>
        <row r="1192">
          <cell r="B1192" t="str">
            <v>S-0199</v>
          </cell>
          <cell r="G1192" t="str">
            <v>High</v>
          </cell>
          <cell r="L1192">
            <v>3</v>
          </cell>
        </row>
        <row r="1193">
          <cell r="B1193" t="str">
            <v>S-0199</v>
          </cell>
          <cell r="G1193" t="str">
            <v>Low</v>
          </cell>
          <cell r="L1193">
            <v>1</v>
          </cell>
        </row>
        <row r="1194">
          <cell r="B1194" t="str">
            <v>S-0199</v>
          </cell>
          <cell r="G1194" t="str">
            <v>High</v>
          </cell>
          <cell r="L1194">
            <v>3</v>
          </cell>
        </row>
        <row r="1195">
          <cell r="B1195" t="str">
            <v>S-0199</v>
          </cell>
          <cell r="G1195" t="str">
            <v>High</v>
          </cell>
          <cell r="L1195">
            <v>3</v>
          </cell>
        </row>
        <row r="1196">
          <cell r="B1196" t="str">
            <v>S-0200</v>
          </cell>
          <cell r="G1196" t="str">
            <v>Low</v>
          </cell>
          <cell r="L1196">
            <v>1</v>
          </cell>
        </row>
        <row r="1197">
          <cell r="B1197" t="str">
            <v>S-0200</v>
          </cell>
          <cell r="G1197" t="str">
            <v>High</v>
          </cell>
          <cell r="L1197">
            <v>3</v>
          </cell>
        </row>
        <row r="1198">
          <cell r="B1198" t="str">
            <v>S-0200</v>
          </cell>
          <cell r="G1198" t="str">
            <v>Low</v>
          </cell>
          <cell r="L1198">
            <v>1</v>
          </cell>
        </row>
        <row r="1199">
          <cell r="B1199" t="str">
            <v>S-0200</v>
          </cell>
          <cell r="G1199" t="str">
            <v>Medium</v>
          </cell>
          <cell r="L1199">
            <v>2</v>
          </cell>
        </row>
        <row r="1200">
          <cell r="B1200" t="str">
            <v>S-0200</v>
          </cell>
          <cell r="G1200" t="str">
            <v>Low</v>
          </cell>
          <cell r="L1200">
            <v>1</v>
          </cell>
        </row>
        <row r="1201">
          <cell r="B1201" t="str">
            <v>S-0200</v>
          </cell>
          <cell r="G1201" t="str">
            <v>Low</v>
          </cell>
          <cell r="L1201">
            <v>1</v>
          </cell>
        </row>
        <row r="1202">
          <cell r="B1202" t="str">
            <v>S-0201</v>
          </cell>
          <cell r="G1202" t="str">
            <v>Low</v>
          </cell>
          <cell r="L1202">
            <v>1</v>
          </cell>
        </row>
        <row r="1203">
          <cell r="B1203" t="str">
            <v>S-0201</v>
          </cell>
          <cell r="G1203" t="str">
            <v>Low</v>
          </cell>
          <cell r="L1203">
            <v>1</v>
          </cell>
        </row>
        <row r="1204">
          <cell r="B1204" t="str">
            <v>S-0201</v>
          </cell>
          <cell r="G1204" t="str">
            <v>Medium</v>
          </cell>
          <cell r="L1204">
            <v>2</v>
          </cell>
        </row>
        <row r="1205">
          <cell r="B1205" t="str">
            <v>S-0201</v>
          </cell>
          <cell r="G1205" t="str">
            <v>Medium</v>
          </cell>
          <cell r="L1205">
            <v>2</v>
          </cell>
        </row>
        <row r="1206">
          <cell r="B1206" t="str">
            <v>S-0201</v>
          </cell>
          <cell r="G1206" t="str">
            <v>Low</v>
          </cell>
          <cell r="L1206">
            <v>1</v>
          </cell>
        </row>
        <row r="1207">
          <cell r="B1207" t="str">
            <v>S-0201</v>
          </cell>
          <cell r="G1207" t="str">
            <v>Medium</v>
          </cell>
          <cell r="L1207">
            <v>2</v>
          </cell>
        </row>
        <row r="1208">
          <cell r="B1208" t="str">
            <v>S-0202</v>
          </cell>
          <cell r="G1208" t="str">
            <v>Low</v>
          </cell>
          <cell r="L1208">
            <v>1</v>
          </cell>
        </row>
        <row r="1209">
          <cell r="B1209" t="str">
            <v>S-0202</v>
          </cell>
          <cell r="G1209" t="str">
            <v>Low</v>
          </cell>
          <cell r="L1209">
            <v>1</v>
          </cell>
        </row>
        <row r="1210">
          <cell r="B1210" t="str">
            <v>S-0202</v>
          </cell>
          <cell r="G1210" t="str">
            <v>Low</v>
          </cell>
          <cell r="L1210">
            <v>1</v>
          </cell>
        </row>
        <row r="1211">
          <cell r="B1211" t="str">
            <v>S-0202</v>
          </cell>
          <cell r="G1211" t="str">
            <v>Low</v>
          </cell>
          <cell r="L1211">
            <v>1</v>
          </cell>
        </row>
        <row r="1212">
          <cell r="B1212" t="str">
            <v>S-0202</v>
          </cell>
          <cell r="G1212" t="str">
            <v>Low</v>
          </cell>
          <cell r="L1212">
            <v>1</v>
          </cell>
        </row>
        <row r="1213">
          <cell r="B1213" t="str">
            <v>S-0202</v>
          </cell>
          <cell r="G1213" t="str">
            <v>Low</v>
          </cell>
          <cell r="L1213">
            <v>1</v>
          </cell>
        </row>
        <row r="1214">
          <cell r="B1214" t="str">
            <v>S-0203</v>
          </cell>
          <cell r="G1214" t="str">
            <v>Low</v>
          </cell>
          <cell r="L1214">
            <v>1</v>
          </cell>
        </row>
        <row r="1215">
          <cell r="B1215" t="str">
            <v>S-0203</v>
          </cell>
          <cell r="G1215" t="str">
            <v>Low</v>
          </cell>
          <cell r="L1215">
            <v>1</v>
          </cell>
        </row>
        <row r="1216">
          <cell r="B1216" t="str">
            <v>S-0203</v>
          </cell>
          <cell r="G1216" t="str">
            <v>Low</v>
          </cell>
          <cell r="L1216">
            <v>1</v>
          </cell>
        </row>
        <row r="1217">
          <cell r="B1217" t="str">
            <v>S-0203</v>
          </cell>
          <cell r="G1217" t="str">
            <v>Low</v>
          </cell>
          <cell r="L1217">
            <v>1</v>
          </cell>
        </row>
        <row r="1218">
          <cell r="B1218" t="str">
            <v>S-0203</v>
          </cell>
          <cell r="G1218" t="str">
            <v>Low</v>
          </cell>
          <cell r="L1218">
            <v>1</v>
          </cell>
        </row>
        <row r="1219">
          <cell r="B1219" t="str">
            <v>S-0203</v>
          </cell>
          <cell r="G1219" t="str">
            <v>Low</v>
          </cell>
          <cell r="L1219">
            <v>1</v>
          </cell>
        </row>
        <row r="1220">
          <cell r="B1220" t="str">
            <v>S-0204</v>
          </cell>
          <cell r="G1220" t="str">
            <v>Low</v>
          </cell>
          <cell r="L1220">
            <v>1</v>
          </cell>
        </row>
        <row r="1221">
          <cell r="B1221" t="str">
            <v>S-0204</v>
          </cell>
          <cell r="G1221" t="str">
            <v>Medium</v>
          </cell>
          <cell r="L1221">
            <v>2</v>
          </cell>
        </row>
        <row r="1222">
          <cell r="B1222" t="str">
            <v>S-0204</v>
          </cell>
          <cell r="G1222" t="str">
            <v>Low</v>
          </cell>
          <cell r="L1222">
            <v>1</v>
          </cell>
        </row>
        <row r="1223">
          <cell r="B1223" t="str">
            <v>S-0204</v>
          </cell>
          <cell r="G1223" t="str">
            <v>Low</v>
          </cell>
          <cell r="L1223">
            <v>1</v>
          </cell>
        </row>
        <row r="1224">
          <cell r="B1224" t="str">
            <v>S-0204</v>
          </cell>
          <cell r="G1224" t="str">
            <v>Low</v>
          </cell>
          <cell r="L1224">
            <v>1</v>
          </cell>
        </row>
        <row r="1225">
          <cell r="B1225" t="str">
            <v>S-0204</v>
          </cell>
          <cell r="G1225" t="str">
            <v>Medium</v>
          </cell>
          <cell r="L1225">
            <v>2</v>
          </cell>
        </row>
        <row r="1226">
          <cell r="B1226" t="str">
            <v>S-0205</v>
          </cell>
          <cell r="G1226" t="str">
            <v>Low</v>
          </cell>
          <cell r="L1226">
            <v>1</v>
          </cell>
        </row>
        <row r="1227">
          <cell r="B1227" t="str">
            <v>S-0205</v>
          </cell>
          <cell r="G1227" t="str">
            <v>Medium</v>
          </cell>
          <cell r="L1227">
            <v>2</v>
          </cell>
        </row>
        <row r="1228">
          <cell r="B1228" t="str">
            <v>S-0205</v>
          </cell>
          <cell r="G1228" t="str">
            <v>Low</v>
          </cell>
          <cell r="L1228">
            <v>1</v>
          </cell>
        </row>
        <row r="1229">
          <cell r="B1229" t="str">
            <v>S-0205</v>
          </cell>
          <cell r="G1229" t="str">
            <v>Medium</v>
          </cell>
          <cell r="L1229">
            <v>2</v>
          </cell>
        </row>
        <row r="1230">
          <cell r="B1230" t="str">
            <v>S-0205</v>
          </cell>
          <cell r="G1230" t="str">
            <v>Medium</v>
          </cell>
          <cell r="L1230">
            <v>2</v>
          </cell>
        </row>
        <row r="1231">
          <cell r="B1231" t="str">
            <v>S-0205</v>
          </cell>
          <cell r="G1231" t="str">
            <v>Medium</v>
          </cell>
          <cell r="L1231">
            <v>2</v>
          </cell>
        </row>
        <row r="1232">
          <cell r="B1232" t="str">
            <v>S-0206</v>
          </cell>
          <cell r="G1232" t="str">
            <v>Low</v>
          </cell>
          <cell r="L1232">
            <v>1</v>
          </cell>
        </row>
        <row r="1233">
          <cell r="B1233" t="str">
            <v>S-0206</v>
          </cell>
          <cell r="G1233" t="str">
            <v>Medium</v>
          </cell>
          <cell r="L1233">
            <v>2</v>
          </cell>
        </row>
        <row r="1234">
          <cell r="B1234" t="str">
            <v>S-0206</v>
          </cell>
          <cell r="G1234" t="str">
            <v>Medium</v>
          </cell>
          <cell r="L1234">
            <v>2</v>
          </cell>
        </row>
        <row r="1235">
          <cell r="B1235" t="str">
            <v>S-0206</v>
          </cell>
          <cell r="G1235" t="str">
            <v>High</v>
          </cell>
          <cell r="L1235">
            <v>3</v>
          </cell>
        </row>
        <row r="1236">
          <cell r="B1236" t="str">
            <v>S-0206</v>
          </cell>
          <cell r="G1236" t="str">
            <v>Medium</v>
          </cell>
          <cell r="L1236">
            <v>2</v>
          </cell>
        </row>
        <row r="1237">
          <cell r="B1237" t="str">
            <v>S-0206</v>
          </cell>
          <cell r="G1237" t="str">
            <v>Low</v>
          </cell>
          <cell r="L1237">
            <v>1</v>
          </cell>
        </row>
        <row r="1238">
          <cell r="B1238" t="str">
            <v>S-0207</v>
          </cell>
          <cell r="G1238" t="str">
            <v>Low</v>
          </cell>
          <cell r="L1238">
            <v>1</v>
          </cell>
        </row>
        <row r="1239">
          <cell r="B1239" t="str">
            <v>S-0207</v>
          </cell>
          <cell r="G1239" t="str">
            <v>Low</v>
          </cell>
          <cell r="L1239">
            <v>1</v>
          </cell>
        </row>
        <row r="1240">
          <cell r="B1240" t="str">
            <v>S-0207</v>
          </cell>
          <cell r="G1240" t="str">
            <v>Low</v>
          </cell>
          <cell r="L1240">
            <v>1</v>
          </cell>
        </row>
        <row r="1241">
          <cell r="B1241" t="str">
            <v>S-0207</v>
          </cell>
          <cell r="G1241" t="str">
            <v>Low</v>
          </cell>
          <cell r="L1241">
            <v>1</v>
          </cell>
        </row>
        <row r="1242">
          <cell r="B1242" t="str">
            <v>S-0207</v>
          </cell>
          <cell r="G1242" t="str">
            <v>High</v>
          </cell>
          <cell r="L1242">
            <v>3</v>
          </cell>
        </row>
        <row r="1243">
          <cell r="B1243" t="str">
            <v>S-0207</v>
          </cell>
          <cell r="G1243" t="str">
            <v>High</v>
          </cell>
          <cell r="L1243">
            <v>3</v>
          </cell>
        </row>
        <row r="1244">
          <cell r="B1244" t="str">
            <v>S-0208</v>
          </cell>
          <cell r="G1244" t="str">
            <v>Medium</v>
          </cell>
          <cell r="L1244">
            <v>2</v>
          </cell>
        </row>
        <row r="1245">
          <cell r="B1245" t="str">
            <v>S-0208</v>
          </cell>
          <cell r="G1245" t="str">
            <v>Low</v>
          </cell>
          <cell r="L1245">
            <v>1</v>
          </cell>
        </row>
        <row r="1246">
          <cell r="B1246" t="str">
            <v>S-0208</v>
          </cell>
          <cell r="G1246" t="str">
            <v>Low</v>
          </cell>
          <cell r="L1246">
            <v>1</v>
          </cell>
        </row>
        <row r="1247">
          <cell r="B1247" t="str">
            <v>S-0208</v>
          </cell>
          <cell r="G1247" t="str">
            <v>Medium</v>
          </cell>
          <cell r="L1247">
            <v>2</v>
          </cell>
        </row>
        <row r="1248">
          <cell r="B1248" t="str">
            <v>S-0208</v>
          </cell>
          <cell r="G1248" t="str">
            <v>Medium</v>
          </cell>
          <cell r="L1248">
            <v>2</v>
          </cell>
        </row>
        <row r="1249">
          <cell r="B1249" t="str">
            <v>S-0208</v>
          </cell>
          <cell r="G1249" t="str">
            <v>Low</v>
          </cell>
          <cell r="L1249">
            <v>1</v>
          </cell>
        </row>
        <row r="1250">
          <cell r="B1250" t="str">
            <v>S-0209</v>
          </cell>
          <cell r="G1250" t="str">
            <v>Medium</v>
          </cell>
          <cell r="L1250">
            <v>2</v>
          </cell>
        </row>
        <row r="1251">
          <cell r="B1251" t="str">
            <v>S-0209</v>
          </cell>
          <cell r="G1251" t="str">
            <v>Low</v>
          </cell>
          <cell r="L1251">
            <v>1</v>
          </cell>
        </row>
        <row r="1252">
          <cell r="B1252" t="str">
            <v>S-0209</v>
          </cell>
          <cell r="G1252" t="str">
            <v>Low</v>
          </cell>
          <cell r="L1252">
            <v>1</v>
          </cell>
        </row>
        <row r="1253">
          <cell r="B1253" t="str">
            <v>S-0209</v>
          </cell>
          <cell r="G1253" t="str">
            <v>Medium</v>
          </cell>
          <cell r="L1253">
            <v>2</v>
          </cell>
        </row>
        <row r="1254">
          <cell r="B1254" t="str">
            <v>S-0209</v>
          </cell>
          <cell r="G1254" t="str">
            <v>High</v>
          </cell>
          <cell r="L1254">
            <v>3</v>
          </cell>
        </row>
        <row r="1255">
          <cell r="B1255" t="str">
            <v>S-0209</v>
          </cell>
          <cell r="G1255" t="str">
            <v>Medium</v>
          </cell>
          <cell r="L1255">
            <v>2</v>
          </cell>
        </row>
        <row r="1256">
          <cell r="B1256" t="str">
            <v>S-0210</v>
          </cell>
          <cell r="G1256" t="str">
            <v>Medium</v>
          </cell>
          <cell r="L1256">
            <v>2</v>
          </cell>
        </row>
        <row r="1257">
          <cell r="B1257" t="str">
            <v>S-0210</v>
          </cell>
          <cell r="G1257" t="str">
            <v>High</v>
          </cell>
          <cell r="L1257">
            <v>3</v>
          </cell>
        </row>
        <row r="1258">
          <cell r="B1258" t="str">
            <v>S-0210</v>
          </cell>
          <cell r="G1258" t="str">
            <v>Medium</v>
          </cell>
          <cell r="L1258">
            <v>2</v>
          </cell>
        </row>
        <row r="1259">
          <cell r="B1259" t="str">
            <v>S-0210</v>
          </cell>
          <cell r="G1259" t="str">
            <v>Low</v>
          </cell>
          <cell r="L1259">
            <v>1</v>
          </cell>
        </row>
        <row r="1260">
          <cell r="B1260" t="str">
            <v>S-0210</v>
          </cell>
          <cell r="G1260" t="str">
            <v>Low</v>
          </cell>
          <cell r="L1260">
            <v>1</v>
          </cell>
        </row>
        <row r="1261">
          <cell r="B1261" t="str">
            <v>S-0210</v>
          </cell>
          <cell r="G1261" t="str">
            <v>Low</v>
          </cell>
          <cell r="L1261">
            <v>1</v>
          </cell>
        </row>
        <row r="1262">
          <cell r="B1262" t="str">
            <v>S-0211</v>
          </cell>
          <cell r="G1262" t="str">
            <v>Medium</v>
          </cell>
          <cell r="L1262">
            <v>2</v>
          </cell>
        </row>
        <row r="1263">
          <cell r="B1263" t="str">
            <v>S-0211</v>
          </cell>
          <cell r="G1263" t="str">
            <v>Low</v>
          </cell>
          <cell r="L1263">
            <v>1</v>
          </cell>
        </row>
        <row r="1264">
          <cell r="B1264" t="str">
            <v>S-0211</v>
          </cell>
          <cell r="G1264" t="str">
            <v>Medium</v>
          </cell>
          <cell r="L1264">
            <v>2</v>
          </cell>
        </row>
        <row r="1265">
          <cell r="B1265" t="str">
            <v>S-0211</v>
          </cell>
          <cell r="G1265" t="str">
            <v>Low</v>
          </cell>
          <cell r="L1265">
            <v>1</v>
          </cell>
        </row>
        <row r="1266">
          <cell r="B1266" t="str">
            <v>S-0211</v>
          </cell>
          <cell r="G1266" t="str">
            <v>Low</v>
          </cell>
          <cell r="L1266">
            <v>1</v>
          </cell>
        </row>
        <row r="1267">
          <cell r="B1267" t="str">
            <v>S-0211</v>
          </cell>
          <cell r="G1267" t="str">
            <v>Medium</v>
          </cell>
          <cell r="L1267">
            <v>2</v>
          </cell>
        </row>
        <row r="1268">
          <cell r="B1268" t="str">
            <v>S-0212</v>
          </cell>
          <cell r="G1268" t="str">
            <v>Low</v>
          </cell>
          <cell r="L1268">
            <v>1</v>
          </cell>
        </row>
        <row r="1269">
          <cell r="B1269" t="str">
            <v>S-0212</v>
          </cell>
          <cell r="G1269" t="str">
            <v>Low</v>
          </cell>
          <cell r="L1269">
            <v>1</v>
          </cell>
        </row>
        <row r="1270">
          <cell r="B1270" t="str">
            <v>S-0212</v>
          </cell>
          <cell r="G1270" t="str">
            <v>Low</v>
          </cell>
          <cell r="L1270">
            <v>1</v>
          </cell>
        </row>
        <row r="1271">
          <cell r="B1271" t="str">
            <v>S-0212</v>
          </cell>
          <cell r="G1271" t="str">
            <v>Medium</v>
          </cell>
          <cell r="L1271">
            <v>2</v>
          </cell>
        </row>
        <row r="1272">
          <cell r="B1272" t="str">
            <v>S-0212</v>
          </cell>
          <cell r="G1272" t="str">
            <v>Low</v>
          </cell>
          <cell r="L1272">
            <v>1</v>
          </cell>
        </row>
        <row r="1273">
          <cell r="B1273" t="str">
            <v>S-0212</v>
          </cell>
          <cell r="G1273" t="str">
            <v>Low</v>
          </cell>
          <cell r="L1273">
            <v>1</v>
          </cell>
        </row>
        <row r="1274">
          <cell r="B1274" t="str">
            <v>S-0213</v>
          </cell>
          <cell r="G1274" t="str">
            <v>Low</v>
          </cell>
          <cell r="L1274">
            <v>1</v>
          </cell>
        </row>
        <row r="1275">
          <cell r="B1275" t="str">
            <v>S-0213</v>
          </cell>
          <cell r="G1275" t="str">
            <v>Medium</v>
          </cell>
          <cell r="L1275">
            <v>2</v>
          </cell>
        </row>
        <row r="1276">
          <cell r="B1276" t="str">
            <v>S-0213</v>
          </cell>
          <cell r="G1276" t="str">
            <v>Low</v>
          </cell>
          <cell r="L1276">
            <v>1</v>
          </cell>
        </row>
        <row r="1277">
          <cell r="B1277" t="str">
            <v>S-0213</v>
          </cell>
          <cell r="G1277" t="str">
            <v>Low</v>
          </cell>
          <cell r="L1277">
            <v>1</v>
          </cell>
        </row>
        <row r="1278">
          <cell r="B1278" t="str">
            <v>S-0213</v>
          </cell>
          <cell r="G1278" t="str">
            <v>High</v>
          </cell>
          <cell r="L1278">
            <v>3</v>
          </cell>
        </row>
        <row r="1279">
          <cell r="B1279" t="str">
            <v>S-0213</v>
          </cell>
          <cell r="G1279" t="str">
            <v>Medium</v>
          </cell>
          <cell r="L1279">
            <v>2</v>
          </cell>
        </row>
        <row r="1280">
          <cell r="B1280" t="str">
            <v>S-0214</v>
          </cell>
          <cell r="G1280" t="str">
            <v>Medium</v>
          </cell>
          <cell r="L1280">
            <v>2</v>
          </cell>
        </row>
        <row r="1281">
          <cell r="B1281" t="str">
            <v>S-0214</v>
          </cell>
          <cell r="G1281" t="str">
            <v>Low</v>
          </cell>
          <cell r="L1281">
            <v>1</v>
          </cell>
        </row>
        <row r="1282">
          <cell r="B1282" t="str">
            <v>S-0214</v>
          </cell>
          <cell r="G1282" t="str">
            <v>Low</v>
          </cell>
          <cell r="L1282">
            <v>1</v>
          </cell>
        </row>
        <row r="1283">
          <cell r="B1283" t="str">
            <v>S-0214</v>
          </cell>
          <cell r="G1283" t="str">
            <v>Low</v>
          </cell>
          <cell r="L1283">
            <v>1</v>
          </cell>
        </row>
        <row r="1284">
          <cell r="B1284" t="str">
            <v>S-0214</v>
          </cell>
          <cell r="G1284" t="str">
            <v>Low</v>
          </cell>
          <cell r="L1284">
            <v>1</v>
          </cell>
        </row>
        <row r="1285">
          <cell r="B1285" t="str">
            <v>S-0214</v>
          </cell>
          <cell r="G1285" t="str">
            <v>Medium</v>
          </cell>
          <cell r="L1285">
            <v>2</v>
          </cell>
        </row>
        <row r="1286">
          <cell r="B1286" t="str">
            <v>S-0215</v>
          </cell>
          <cell r="G1286" t="str">
            <v>High</v>
          </cell>
          <cell r="L1286">
            <v>3</v>
          </cell>
        </row>
        <row r="1287">
          <cell r="B1287" t="str">
            <v>S-0215</v>
          </cell>
          <cell r="G1287" t="str">
            <v>Low</v>
          </cell>
          <cell r="L1287">
            <v>1</v>
          </cell>
        </row>
        <row r="1288">
          <cell r="B1288" t="str">
            <v>S-0215</v>
          </cell>
          <cell r="G1288" t="str">
            <v>Low</v>
          </cell>
          <cell r="L1288">
            <v>1</v>
          </cell>
        </row>
        <row r="1289">
          <cell r="B1289" t="str">
            <v>S-0215</v>
          </cell>
          <cell r="G1289" t="str">
            <v>Medium</v>
          </cell>
          <cell r="L1289">
            <v>2</v>
          </cell>
        </row>
        <row r="1290">
          <cell r="B1290" t="str">
            <v>S-0215</v>
          </cell>
          <cell r="G1290" t="str">
            <v>Medium</v>
          </cell>
          <cell r="L1290">
            <v>2</v>
          </cell>
        </row>
        <row r="1291">
          <cell r="B1291" t="str">
            <v>S-0215</v>
          </cell>
          <cell r="G1291" t="str">
            <v>Low</v>
          </cell>
          <cell r="L1291">
            <v>1</v>
          </cell>
        </row>
        <row r="1292">
          <cell r="B1292" t="str">
            <v>S-0216</v>
          </cell>
          <cell r="G1292" t="str">
            <v>Low</v>
          </cell>
          <cell r="L1292">
            <v>1</v>
          </cell>
        </row>
        <row r="1293">
          <cell r="B1293" t="str">
            <v>S-0216</v>
          </cell>
          <cell r="G1293" t="str">
            <v>Medium</v>
          </cell>
          <cell r="L1293">
            <v>2</v>
          </cell>
        </row>
        <row r="1294">
          <cell r="B1294" t="str">
            <v>S-0216</v>
          </cell>
          <cell r="G1294" t="str">
            <v>Low</v>
          </cell>
          <cell r="L1294">
            <v>1</v>
          </cell>
        </row>
        <row r="1295">
          <cell r="B1295" t="str">
            <v>S-0216</v>
          </cell>
          <cell r="G1295" t="str">
            <v>Low</v>
          </cell>
          <cell r="L1295">
            <v>1</v>
          </cell>
        </row>
        <row r="1296">
          <cell r="B1296" t="str">
            <v>S-0216</v>
          </cell>
          <cell r="G1296" t="str">
            <v>Low</v>
          </cell>
          <cell r="L1296">
            <v>1</v>
          </cell>
        </row>
        <row r="1297">
          <cell r="B1297" t="str">
            <v>S-0216</v>
          </cell>
          <cell r="G1297" t="str">
            <v>Medium</v>
          </cell>
          <cell r="L1297">
            <v>2</v>
          </cell>
        </row>
        <row r="1298">
          <cell r="B1298" t="str">
            <v>S-0217</v>
          </cell>
          <cell r="G1298" t="str">
            <v>Low</v>
          </cell>
          <cell r="L1298">
            <v>1</v>
          </cell>
        </row>
        <row r="1299">
          <cell r="B1299" t="str">
            <v>S-0217</v>
          </cell>
          <cell r="G1299" t="str">
            <v>Low</v>
          </cell>
          <cell r="L1299">
            <v>1</v>
          </cell>
        </row>
        <row r="1300">
          <cell r="B1300" t="str">
            <v>S-0217</v>
          </cell>
          <cell r="G1300" t="str">
            <v>High</v>
          </cell>
          <cell r="L1300">
            <v>3</v>
          </cell>
        </row>
        <row r="1301">
          <cell r="B1301" t="str">
            <v>S-0217</v>
          </cell>
          <cell r="G1301" t="str">
            <v>Low</v>
          </cell>
          <cell r="L1301">
            <v>1</v>
          </cell>
        </row>
        <row r="1302">
          <cell r="B1302" t="str">
            <v>S-0217</v>
          </cell>
          <cell r="G1302" t="str">
            <v>Medium</v>
          </cell>
          <cell r="L1302">
            <v>2</v>
          </cell>
        </row>
        <row r="1303">
          <cell r="B1303" t="str">
            <v>S-0217</v>
          </cell>
          <cell r="G1303" t="str">
            <v>High</v>
          </cell>
          <cell r="L1303">
            <v>3</v>
          </cell>
        </row>
        <row r="1304">
          <cell r="B1304" t="str">
            <v>S-0218</v>
          </cell>
          <cell r="G1304" t="str">
            <v>Low</v>
          </cell>
          <cell r="L1304">
            <v>1</v>
          </cell>
        </row>
        <row r="1305">
          <cell r="B1305" t="str">
            <v>S-0218</v>
          </cell>
          <cell r="G1305" t="str">
            <v>Low</v>
          </cell>
          <cell r="L1305">
            <v>1</v>
          </cell>
        </row>
        <row r="1306">
          <cell r="B1306" t="str">
            <v>S-0218</v>
          </cell>
          <cell r="G1306" t="str">
            <v>Low</v>
          </cell>
          <cell r="L1306">
            <v>1</v>
          </cell>
        </row>
        <row r="1307">
          <cell r="B1307" t="str">
            <v>S-0218</v>
          </cell>
          <cell r="G1307" t="str">
            <v>Medium</v>
          </cell>
          <cell r="L1307">
            <v>2</v>
          </cell>
        </row>
        <row r="1308">
          <cell r="B1308" t="str">
            <v>S-0218</v>
          </cell>
          <cell r="G1308" t="str">
            <v>High</v>
          </cell>
          <cell r="L1308">
            <v>3</v>
          </cell>
        </row>
        <row r="1309">
          <cell r="B1309" t="str">
            <v>S-0218</v>
          </cell>
          <cell r="G1309" t="str">
            <v>Low</v>
          </cell>
          <cell r="L1309">
            <v>1</v>
          </cell>
        </row>
        <row r="1310">
          <cell r="B1310" t="str">
            <v>S-0219</v>
          </cell>
          <cell r="G1310" t="str">
            <v>Medium</v>
          </cell>
          <cell r="L1310">
            <v>2</v>
          </cell>
        </row>
        <row r="1311">
          <cell r="B1311" t="str">
            <v>S-0219</v>
          </cell>
          <cell r="G1311" t="str">
            <v>Low</v>
          </cell>
          <cell r="L1311">
            <v>1</v>
          </cell>
        </row>
        <row r="1312">
          <cell r="B1312" t="str">
            <v>S-0219</v>
          </cell>
          <cell r="G1312" t="str">
            <v>Medium</v>
          </cell>
          <cell r="L1312">
            <v>2</v>
          </cell>
        </row>
        <row r="1313">
          <cell r="B1313" t="str">
            <v>S-0219</v>
          </cell>
          <cell r="G1313" t="str">
            <v>Medium</v>
          </cell>
          <cell r="L1313">
            <v>2</v>
          </cell>
        </row>
        <row r="1314">
          <cell r="B1314" t="str">
            <v>S-0219</v>
          </cell>
          <cell r="G1314" t="str">
            <v>High</v>
          </cell>
          <cell r="L1314">
            <v>3</v>
          </cell>
        </row>
        <row r="1315">
          <cell r="B1315" t="str">
            <v>S-0219</v>
          </cell>
          <cell r="G1315" t="str">
            <v>Low</v>
          </cell>
          <cell r="L1315">
            <v>1</v>
          </cell>
        </row>
        <row r="1316">
          <cell r="B1316" t="str">
            <v>S-0220</v>
          </cell>
          <cell r="G1316" t="str">
            <v>Medium</v>
          </cell>
          <cell r="L1316">
            <v>2</v>
          </cell>
        </row>
        <row r="1317">
          <cell r="B1317" t="str">
            <v>S-0220</v>
          </cell>
          <cell r="G1317" t="str">
            <v>Medium</v>
          </cell>
          <cell r="L1317">
            <v>2</v>
          </cell>
        </row>
        <row r="1318">
          <cell r="B1318" t="str">
            <v>S-0220</v>
          </cell>
          <cell r="G1318" t="str">
            <v>Medium</v>
          </cell>
          <cell r="L1318">
            <v>2</v>
          </cell>
        </row>
        <row r="1319">
          <cell r="B1319" t="str">
            <v>S-0220</v>
          </cell>
          <cell r="G1319" t="str">
            <v>Low</v>
          </cell>
          <cell r="L1319">
            <v>1</v>
          </cell>
        </row>
        <row r="1320">
          <cell r="B1320" t="str">
            <v>S-0220</v>
          </cell>
          <cell r="G1320" t="str">
            <v>Low</v>
          </cell>
          <cell r="L1320">
            <v>1</v>
          </cell>
        </row>
        <row r="1321">
          <cell r="B1321" t="str">
            <v>S-0220</v>
          </cell>
          <cell r="G1321" t="str">
            <v>High</v>
          </cell>
          <cell r="L1321">
            <v>3</v>
          </cell>
        </row>
        <row r="1322">
          <cell r="B1322" t="str">
            <v>S-0221</v>
          </cell>
          <cell r="G1322" t="str">
            <v>High</v>
          </cell>
          <cell r="L1322">
            <v>3</v>
          </cell>
        </row>
        <row r="1323">
          <cell r="B1323" t="str">
            <v>S-0221</v>
          </cell>
          <cell r="G1323" t="str">
            <v>Low</v>
          </cell>
          <cell r="L1323">
            <v>1</v>
          </cell>
        </row>
        <row r="1324">
          <cell r="B1324" t="str">
            <v>S-0221</v>
          </cell>
          <cell r="G1324" t="str">
            <v>Low</v>
          </cell>
          <cell r="L1324">
            <v>1</v>
          </cell>
        </row>
        <row r="1325">
          <cell r="B1325" t="str">
            <v>S-0221</v>
          </cell>
          <cell r="G1325" t="str">
            <v>Low</v>
          </cell>
          <cell r="L1325">
            <v>1</v>
          </cell>
        </row>
        <row r="1326">
          <cell r="B1326" t="str">
            <v>S-0221</v>
          </cell>
          <cell r="G1326" t="str">
            <v>Low</v>
          </cell>
          <cell r="L1326">
            <v>1</v>
          </cell>
        </row>
        <row r="1327">
          <cell r="B1327" t="str">
            <v>S-0221</v>
          </cell>
          <cell r="G1327" t="str">
            <v>Medium</v>
          </cell>
          <cell r="L1327">
            <v>2</v>
          </cell>
        </row>
        <row r="1328">
          <cell r="B1328" t="str">
            <v>S-0222</v>
          </cell>
          <cell r="G1328" t="str">
            <v>Low</v>
          </cell>
          <cell r="L1328">
            <v>1</v>
          </cell>
        </row>
        <row r="1329">
          <cell r="B1329" t="str">
            <v>S-0222</v>
          </cell>
          <cell r="G1329" t="str">
            <v>Medium</v>
          </cell>
          <cell r="L1329">
            <v>2</v>
          </cell>
        </row>
        <row r="1330">
          <cell r="B1330" t="str">
            <v>S-0222</v>
          </cell>
          <cell r="G1330" t="str">
            <v>Medium</v>
          </cell>
          <cell r="L1330">
            <v>2</v>
          </cell>
        </row>
        <row r="1331">
          <cell r="B1331" t="str">
            <v>S-0222</v>
          </cell>
          <cell r="G1331" t="str">
            <v>Medium</v>
          </cell>
          <cell r="L1331">
            <v>2</v>
          </cell>
        </row>
        <row r="1332">
          <cell r="B1332" t="str">
            <v>S-0222</v>
          </cell>
          <cell r="G1332" t="str">
            <v>Low</v>
          </cell>
          <cell r="L1332">
            <v>1</v>
          </cell>
        </row>
        <row r="1333">
          <cell r="B1333" t="str">
            <v>S-0222</v>
          </cell>
          <cell r="G1333" t="str">
            <v>Low</v>
          </cell>
          <cell r="L1333">
            <v>1</v>
          </cell>
        </row>
        <row r="1334">
          <cell r="B1334" t="str">
            <v>S-0223</v>
          </cell>
          <cell r="G1334" t="str">
            <v>Low</v>
          </cell>
          <cell r="L1334">
            <v>1</v>
          </cell>
        </row>
        <row r="1335">
          <cell r="B1335" t="str">
            <v>S-0223</v>
          </cell>
          <cell r="G1335" t="str">
            <v>Low</v>
          </cell>
          <cell r="L1335">
            <v>1</v>
          </cell>
        </row>
        <row r="1336">
          <cell r="B1336" t="str">
            <v>S-0223</v>
          </cell>
          <cell r="G1336" t="str">
            <v>Low</v>
          </cell>
          <cell r="L1336">
            <v>1</v>
          </cell>
        </row>
        <row r="1337">
          <cell r="B1337" t="str">
            <v>S-0223</v>
          </cell>
          <cell r="G1337" t="str">
            <v>Medium</v>
          </cell>
          <cell r="L1337">
            <v>2</v>
          </cell>
        </row>
        <row r="1338">
          <cell r="B1338" t="str">
            <v>S-0223</v>
          </cell>
          <cell r="G1338" t="str">
            <v>Low</v>
          </cell>
          <cell r="L1338">
            <v>1</v>
          </cell>
        </row>
        <row r="1339">
          <cell r="B1339" t="str">
            <v>S-0223</v>
          </cell>
          <cell r="G1339" t="str">
            <v>Medium</v>
          </cell>
          <cell r="L1339">
            <v>2</v>
          </cell>
        </row>
        <row r="1340">
          <cell r="B1340" t="str">
            <v>S-0224</v>
          </cell>
          <cell r="G1340" t="str">
            <v>High</v>
          </cell>
          <cell r="L1340">
            <v>3</v>
          </cell>
        </row>
        <row r="1341">
          <cell r="B1341" t="str">
            <v>S-0224</v>
          </cell>
          <cell r="G1341" t="str">
            <v>Low</v>
          </cell>
          <cell r="L1341">
            <v>1</v>
          </cell>
        </row>
        <row r="1342">
          <cell r="B1342" t="str">
            <v>S-0224</v>
          </cell>
          <cell r="G1342" t="str">
            <v>Medium</v>
          </cell>
          <cell r="L1342">
            <v>2</v>
          </cell>
        </row>
        <row r="1343">
          <cell r="B1343" t="str">
            <v>S-0224</v>
          </cell>
          <cell r="G1343" t="str">
            <v>Low</v>
          </cell>
          <cell r="L1343">
            <v>1</v>
          </cell>
        </row>
        <row r="1344">
          <cell r="B1344" t="str">
            <v>S-0224</v>
          </cell>
          <cell r="G1344" t="str">
            <v>Low</v>
          </cell>
          <cell r="L1344">
            <v>1</v>
          </cell>
        </row>
        <row r="1345">
          <cell r="B1345" t="str">
            <v>S-0224</v>
          </cell>
          <cell r="G1345" t="str">
            <v>Medium</v>
          </cell>
          <cell r="L1345">
            <v>2</v>
          </cell>
        </row>
        <row r="1346">
          <cell r="B1346" t="str">
            <v>S-0225</v>
          </cell>
          <cell r="G1346" t="str">
            <v>Low</v>
          </cell>
          <cell r="L1346">
            <v>1</v>
          </cell>
        </row>
        <row r="1347">
          <cell r="B1347" t="str">
            <v>S-0225</v>
          </cell>
          <cell r="G1347" t="str">
            <v>Low</v>
          </cell>
          <cell r="L1347">
            <v>1</v>
          </cell>
        </row>
        <row r="1348">
          <cell r="B1348" t="str">
            <v>S-0225</v>
          </cell>
          <cell r="G1348" t="str">
            <v>Medium</v>
          </cell>
          <cell r="L1348">
            <v>2</v>
          </cell>
        </row>
        <row r="1349">
          <cell r="B1349" t="str">
            <v>S-0225</v>
          </cell>
          <cell r="G1349" t="str">
            <v>Low</v>
          </cell>
          <cell r="L1349">
            <v>1</v>
          </cell>
        </row>
        <row r="1350">
          <cell r="B1350" t="str">
            <v>S-0225</v>
          </cell>
          <cell r="G1350" t="str">
            <v>Medium</v>
          </cell>
          <cell r="L1350">
            <v>2</v>
          </cell>
        </row>
        <row r="1351">
          <cell r="B1351" t="str">
            <v>S-0225</v>
          </cell>
          <cell r="G1351" t="str">
            <v>High</v>
          </cell>
          <cell r="L1351">
            <v>3</v>
          </cell>
        </row>
        <row r="1352">
          <cell r="B1352" t="str">
            <v>S-0226</v>
          </cell>
          <cell r="G1352" t="str">
            <v>Low</v>
          </cell>
          <cell r="L1352">
            <v>1</v>
          </cell>
        </row>
        <row r="1353">
          <cell r="B1353" t="str">
            <v>S-0226</v>
          </cell>
          <cell r="G1353" t="str">
            <v>Low</v>
          </cell>
          <cell r="L1353">
            <v>1</v>
          </cell>
        </row>
        <row r="1354">
          <cell r="B1354" t="str">
            <v>S-0226</v>
          </cell>
          <cell r="G1354" t="str">
            <v>Medium</v>
          </cell>
          <cell r="L1354">
            <v>2</v>
          </cell>
        </row>
        <row r="1355">
          <cell r="B1355" t="str">
            <v>S-0226</v>
          </cell>
          <cell r="G1355" t="str">
            <v>Low</v>
          </cell>
          <cell r="L1355">
            <v>1</v>
          </cell>
        </row>
        <row r="1356">
          <cell r="B1356" t="str">
            <v>S-0226</v>
          </cell>
          <cell r="G1356" t="str">
            <v>Low</v>
          </cell>
          <cell r="L1356">
            <v>1</v>
          </cell>
        </row>
        <row r="1357">
          <cell r="B1357" t="str">
            <v>S-0226</v>
          </cell>
          <cell r="G1357" t="str">
            <v>Low</v>
          </cell>
          <cell r="L1357">
            <v>1</v>
          </cell>
        </row>
        <row r="1358">
          <cell r="B1358" t="str">
            <v>S-0227</v>
          </cell>
          <cell r="G1358" t="str">
            <v>Low</v>
          </cell>
          <cell r="L1358">
            <v>1</v>
          </cell>
        </row>
        <row r="1359">
          <cell r="B1359" t="str">
            <v>S-0227</v>
          </cell>
          <cell r="G1359" t="str">
            <v>Low</v>
          </cell>
          <cell r="L1359">
            <v>1</v>
          </cell>
        </row>
        <row r="1360">
          <cell r="B1360" t="str">
            <v>S-0227</v>
          </cell>
          <cell r="G1360" t="str">
            <v>Low</v>
          </cell>
          <cell r="L1360">
            <v>1</v>
          </cell>
        </row>
        <row r="1361">
          <cell r="B1361" t="str">
            <v>S-0227</v>
          </cell>
          <cell r="G1361" t="str">
            <v>Low</v>
          </cell>
          <cell r="L1361">
            <v>1</v>
          </cell>
        </row>
        <row r="1362">
          <cell r="B1362" t="str">
            <v>S-0227</v>
          </cell>
          <cell r="G1362" t="str">
            <v>Medium</v>
          </cell>
          <cell r="L1362">
            <v>2</v>
          </cell>
        </row>
        <row r="1363">
          <cell r="B1363" t="str">
            <v>S-0227</v>
          </cell>
          <cell r="G1363" t="str">
            <v>High</v>
          </cell>
          <cell r="L1363">
            <v>3</v>
          </cell>
        </row>
        <row r="1364">
          <cell r="B1364" t="str">
            <v>S-0228</v>
          </cell>
          <cell r="G1364" t="str">
            <v>Low</v>
          </cell>
          <cell r="L1364">
            <v>1</v>
          </cell>
        </row>
        <row r="1365">
          <cell r="B1365" t="str">
            <v>S-0228</v>
          </cell>
          <cell r="G1365" t="str">
            <v>Low</v>
          </cell>
          <cell r="L1365">
            <v>1</v>
          </cell>
        </row>
        <row r="1366">
          <cell r="B1366" t="str">
            <v>S-0228</v>
          </cell>
          <cell r="G1366" t="str">
            <v>Low</v>
          </cell>
          <cell r="L1366">
            <v>1</v>
          </cell>
        </row>
        <row r="1367">
          <cell r="B1367" t="str">
            <v>S-0228</v>
          </cell>
          <cell r="G1367" t="str">
            <v>High</v>
          </cell>
          <cell r="L1367">
            <v>3</v>
          </cell>
        </row>
        <row r="1368">
          <cell r="B1368" t="str">
            <v>S-0228</v>
          </cell>
          <cell r="G1368" t="str">
            <v>Low</v>
          </cell>
          <cell r="L1368">
            <v>1</v>
          </cell>
        </row>
        <row r="1369">
          <cell r="B1369" t="str">
            <v>S-0228</v>
          </cell>
          <cell r="G1369" t="str">
            <v>High</v>
          </cell>
          <cell r="L1369">
            <v>3</v>
          </cell>
        </row>
        <row r="1370">
          <cell r="B1370" t="str">
            <v>S-0229</v>
          </cell>
          <cell r="G1370" t="str">
            <v>Low</v>
          </cell>
          <cell r="L1370">
            <v>1</v>
          </cell>
        </row>
        <row r="1371">
          <cell r="B1371" t="str">
            <v>S-0229</v>
          </cell>
          <cell r="G1371" t="str">
            <v>Medium</v>
          </cell>
          <cell r="L1371">
            <v>2</v>
          </cell>
        </row>
        <row r="1372">
          <cell r="B1372" t="str">
            <v>S-0229</v>
          </cell>
          <cell r="G1372" t="str">
            <v>Low</v>
          </cell>
          <cell r="L1372">
            <v>1</v>
          </cell>
        </row>
        <row r="1373">
          <cell r="B1373" t="str">
            <v>S-0229</v>
          </cell>
          <cell r="G1373" t="str">
            <v>Low</v>
          </cell>
          <cell r="L1373">
            <v>1</v>
          </cell>
        </row>
        <row r="1374">
          <cell r="B1374" t="str">
            <v>S-0229</v>
          </cell>
          <cell r="G1374" t="str">
            <v>High</v>
          </cell>
          <cell r="L1374">
            <v>3</v>
          </cell>
        </row>
        <row r="1375">
          <cell r="B1375" t="str">
            <v>S-0229</v>
          </cell>
          <cell r="G1375" t="str">
            <v>High</v>
          </cell>
          <cell r="L1375">
            <v>3</v>
          </cell>
        </row>
        <row r="1376">
          <cell r="B1376" t="str">
            <v>S-0230</v>
          </cell>
          <cell r="G1376" t="str">
            <v>High</v>
          </cell>
          <cell r="L1376">
            <v>3</v>
          </cell>
        </row>
        <row r="1377">
          <cell r="B1377" t="str">
            <v>S-0230</v>
          </cell>
          <cell r="G1377" t="str">
            <v>Low</v>
          </cell>
          <cell r="L1377">
            <v>1</v>
          </cell>
        </row>
        <row r="1378">
          <cell r="B1378" t="str">
            <v>S-0230</v>
          </cell>
          <cell r="G1378" t="str">
            <v>Medium</v>
          </cell>
          <cell r="L1378">
            <v>2</v>
          </cell>
        </row>
        <row r="1379">
          <cell r="B1379" t="str">
            <v>S-0230</v>
          </cell>
          <cell r="G1379" t="str">
            <v>Medium</v>
          </cell>
          <cell r="L1379">
            <v>2</v>
          </cell>
        </row>
        <row r="1380">
          <cell r="B1380" t="str">
            <v>S-0230</v>
          </cell>
          <cell r="G1380" t="str">
            <v>High</v>
          </cell>
          <cell r="L1380">
            <v>3</v>
          </cell>
        </row>
        <row r="1381">
          <cell r="B1381" t="str">
            <v>S-0230</v>
          </cell>
          <cell r="G1381" t="str">
            <v>Low</v>
          </cell>
          <cell r="L1381">
            <v>1</v>
          </cell>
        </row>
        <row r="1382">
          <cell r="B1382" t="str">
            <v>S-0231</v>
          </cell>
          <cell r="G1382" t="str">
            <v>Low</v>
          </cell>
          <cell r="L1382">
            <v>1</v>
          </cell>
        </row>
        <row r="1383">
          <cell r="B1383" t="str">
            <v>S-0231</v>
          </cell>
          <cell r="G1383" t="str">
            <v>Low</v>
          </cell>
          <cell r="L1383">
            <v>1</v>
          </cell>
        </row>
        <row r="1384">
          <cell r="B1384" t="str">
            <v>S-0231</v>
          </cell>
          <cell r="G1384" t="str">
            <v>Medium</v>
          </cell>
          <cell r="L1384">
            <v>2</v>
          </cell>
        </row>
        <row r="1385">
          <cell r="B1385" t="str">
            <v>S-0231</v>
          </cell>
          <cell r="G1385" t="str">
            <v>Low</v>
          </cell>
          <cell r="L1385">
            <v>1</v>
          </cell>
        </row>
        <row r="1386">
          <cell r="B1386" t="str">
            <v>S-0231</v>
          </cell>
          <cell r="G1386" t="str">
            <v>Low</v>
          </cell>
          <cell r="L1386">
            <v>1</v>
          </cell>
        </row>
        <row r="1387">
          <cell r="B1387" t="str">
            <v>S-0231</v>
          </cell>
          <cell r="G1387" t="str">
            <v>Low</v>
          </cell>
          <cell r="L1387">
            <v>1</v>
          </cell>
        </row>
        <row r="1388">
          <cell r="B1388" t="str">
            <v>S-0232</v>
          </cell>
          <cell r="G1388" t="str">
            <v>Low</v>
          </cell>
          <cell r="L1388">
            <v>1</v>
          </cell>
        </row>
        <row r="1389">
          <cell r="B1389" t="str">
            <v>S-0232</v>
          </cell>
          <cell r="G1389" t="str">
            <v>Medium</v>
          </cell>
          <cell r="L1389">
            <v>2</v>
          </cell>
        </row>
        <row r="1390">
          <cell r="B1390" t="str">
            <v>S-0232</v>
          </cell>
          <cell r="G1390" t="str">
            <v>Medium</v>
          </cell>
          <cell r="L1390">
            <v>2</v>
          </cell>
        </row>
        <row r="1391">
          <cell r="B1391" t="str">
            <v>S-0232</v>
          </cell>
          <cell r="G1391" t="str">
            <v>Medium</v>
          </cell>
          <cell r="L1391">
            <v>2</v>
          </cell>
        </row>
        <row r="1392">
          <cell r="B1392" t="str">
            <v>S-0232</v>
          </cell>
          <cell r="G1392" t="str">
            <v>Medium</v>
          </cell>
          <cell r="L1392">
            <v>2</v>
          </cell>
        </row>
        <row r="1393">
          <cell r="B1393" t="str">
            <v>S-0232</v>
          </cell>
          <cell r="G1393" t="str">
            <v>Low</v>
          </cell>
          <cell r="L1393">
            <v>1</v>
          </cell>
        </row>
        <row r="1394">
          <cell r="B1394" t="str">
            <v>S-0233</v>
          </cell>
          <cell r="G1394" t="str">
            <v>Low</v>
          </cell>
          <cell r="L1394">
            <v>1</v>
          </cell>
        </row>
        <row r="1395">
          <cell r="B1395" t="str">
            <v>S-0233</v>
          </cell>
          <cell r="G1395" t="str">
            <v>High</v>
          </cell>
          <cell r="L1395">
            <v>3</v>
          </cell>
        </row>
        <row r="1396">
          <cell r="B1396" t="str">
            <v>S-0233</v>
          </cell>
          <cell r="G1396" t="str">
            <v>Low</v>
          </cell>
          <cell r="L1396">
            <v>1</v>
          </cell>
        </row>
        <row r="1397">
          <cell r="B1397" t="str">
            <v>S-0233</v>
          </cell>
          <cell r="G1397" t="str">
            <v>High</v>
          </cell>
          <cell r="L1397">
            <v>3</v>
          </cell>
        </row>
        <row r="1398">
          <cell r="B1398" t="str">
            <v>S-0233</v>
          </cell>
          <cell r="G1398" t="str">
            <v>Low</v>
          </cell>
          <cell r="L1398">
            <v>1</v>
          </cell>
        </row>
        <row r="1399">
          <cell r="B1399" t="str">
            <v>S-0233</v>
          </cell>
          <cell r="G1399" t="str">
            <v>Low</v>
          </cell>
          <cell r="L1399">
            <v>1</v>
          </cell>
        </row>
        <row r="1400">
          <cell r="B1400" t="str">
            <v>S-0234</v>
          </cell>
          <cell r="G1400" t="str">
            <v>Low</v>
          </cell>
          <cell r="L1400">
            <v>1</v>
          </cell>
        </row>
        <row r="1401">
          <cell r="B1401" t="str">
            <v>S-0234</v>
          </cell>
          <cell r="G1401" t="str">
            <v>Low</v>
          </cell>
          <cell r="L1401">
            <v>1</v>
          </cell>
        </row>
        <row r="1402">
          <cell r="B1402" t="str">
            <v>S-0234</v>
          </cell>
          <cell r="G1402" t="str">
            <v>Low</v>
          </cell>
          <cell r="L1402">
            <v>1</v>
          </cell>
        </row>
        <row r="1403">
          <cell r="B1403" t="str">
            <v>S-0234</v>
          </cell>
          <cell r="G1403" t="str">
            <v>High</v>
          </cell>
          <cell r="L1403">
            <v>3</v>
          </cell>
        </row>
        <row r="1404">
          <cell r="B1404" t="str">
            <v>S-0234</v>
          </cell>
          <cell r="G1404" t="str">
            <v>Medium</v>
          </cell>
          <cell r="L1404">
            <v>2</v>
          </cell>
        </row>
        <row r="1405">
          <cell r="B1405" t="str">
            <v>S-0234</v>
          </cell>
          <cell r="G1405" t="str">
            <v>Low</v>
          </cell>
          <cell r="L1405">
            <v>1</v>
          </cell>
        </row>
        <row r="1406">
          <cell r="B1406" t="str">
            <v>S-0235</v>
          </cell>
          <cell r="G1406" t="str">
            <v>Low</v>
          </cell>
          <cell r="L1406">
            <v>1</v>
          </cell>
        </row>
        <row r="1407">
          <cell r="B1407" t="str">
            <v>S-0235</v>
          </cell>
          <cell r="G1407" t="str">
            <v>Medium</v>
          </cell>
          <cell r="L1407">
            <v>2</v>
          </cell>
        </row>
        <row r="1408">
          <cell r="B1408" t="str">
            <v>S-0235</v>
          </cell>
          <cell r="G1408" t="str">
            <v>High</v>
          </cell>
          <cell r="L1408">
            <v>3</v>
          </cell>
        </row>
        <row r="1409">
          <cell r="B1409" t="str">
            <v>S-0235</v>
          </cell>
          <cell r="G1409" t="str">
            <v>Medium</v>
          </cell>
          <cell r="L1409">
            <v>2</v>
          </cell>
        </row>
        <row r="1410">
          <cell r="B1410" t="str">
            <v>S-0235</v>
          </cell>
          <cell r="G1410" t="str">
            <v>Low</v>
          </cell>
          <cell r="L1410">
            <v>1</v>
          </cell>
        </row>
        <row r="1411">
          <cell r="B1411" t="str">
            <v>S-0235</v>
          </cell>
          <cell r="G1411" t="str">
            <v>Medium</v>
          </cell>
          <cell r="L1411">
            <v>2</v>
          </cell>
        </row>
        <row r="1412">
          <cell r="B1412" t="str">
            <v>S-0236</v>
          </cell>
          <cell r="G1412" t="str">
            <v>Medium</v>
          </cell>
          <cell r="L1412">
            <v>2</v>
          </cell>
        </row>
        <row r="1413">
          <cell r="B1413" t="str">
            <v>S-0236</v>
          </cell>
          <cell r="G1413" t="str">
            <v>Low</v>
          </cell>
          <cell r="L1413">
            <v>1</v>
          </cell>
        </row>
        <row r="1414">
          <cell r="B1414" t="str">
            <v>S-0236</v>
          </cell>
          <cell r="G1414" t="str">
            <v>Low</v>
          </cell>
          <cell r="L1414">
            <v>1</v>
          </cell>
        </row>
        <row r="1415">
          <cell r="B1415" t="str">
            <v>S-0236</v>
          </cell>
          <cell r="G1415" t="str">
            <v>Low</v>
          </cell>
          <cell r="L1415">
            <v>1</v>
          </cell>
        </row>
        <row r="1416">
          <cell r="B1416" t="str">
            <v>S-0236</v>
          </cell>
          <cell r="G1416" t="str">
            <v>Low</v>
          </cell>
          <cell r="L1416">
            <v>1</v>
          </cell>
        </row>
        <row r="1417">
          <cell r="B1417" t="str">
            <v>S-0236</v>
          </cell>
          <cell r="G1417" t="str">
            <v>Low</v>
          </cell>
          <cell r="L1417">
            <v>1</v>
          </cell>
        </row>
        <row r="1418">
          <cell r="B1418" t="str">
            <v>S-0237</v>
          </cell>
          <cell r="G1418" t="str">
            <v>Medium</v>
          </cell>
          <cell r="L1418">
            <v>2</v>
          </cell>
        </row>
        <row r="1419">
          <cell r="B1419" t="str">
            <v>S-0237</v>
          </cell>
          <cell r="G1419" t="str">
            <v>Low</v>
          </cell>
          <cell r="L1419">
            <v>1</v>
          </cell>
        </row>
        <row r="1420">
          <cell r="B1420" t="str">
            <v>S-0237</v>
          </cell>
          <cell r="G1420" t="str">
            <v>Low</v>
          </cell>
          <cell r="L1420">
            <v>1</v>
          </cell>
        </row>
        <row r="1421">
          <cell r="B1421" t="str">
            <v>S-0237</v>
          </cell>
          <cell r="G1421" t="str">
            <v>Medium</v>
          </cell>
          <cell r="L1421">
            <v>2</v>
          </cell>
        </row>
        <row r="1422">
          <cell r="B1422" t="str">
            <v>S-0237</v>
          </cell>
          <cell r="G1422" t="str">
            <v>Medium</v>
          </cell>
          <cell r="L1422">
            <v>2</v>
          </cell>
        </row>
        <row r="1423">
          <cell r="B1423" t="str">
            <v>S-0237</v>
          </cell>
          <cell r="G1423" t="str">
            <v>Medium</v>
          </cell>
          <cell r="L1423">
            <v>2</v>
          </cell>
        </row>
        <row r="1424">
          <cell r="B1424" t="str">
            <v>S-0238</v>
          </cell>
          <cell r="G1424" t="str">
            <v>Low</v>
          </cell>
          <cell r="L1424">
            <v>1</v>
          </cell>
        </row>
        <row r="1425">
          <cell r="B1425" t="str">
            <v>S-0238</v>
          </cell>
          <cell r="G1425" t="str">
            <v>High</v>
          </cell>
          <cell r="L1425">
            <v>3</v>
          </cell>
        </row>
        <row r="1426">
          <cell r="B1426" t="str">
            <v>S-0238</v>
          </cell>
          <cell r="G1426" t="str">
            <v>Low</v>
          </cell>
          <cell r="L1426">
            <v>1</v>
          </cell>
        </row>
        <row r="1427">
          <cell r="B1427" t="str">
            <v>S-0238</v>
          </cell>
          <cell r="G1427" t="str">
            <v>Low</v>
          </cell>
          <cell r="L1427">
            <v>1</v>
          </cell>
        </row>
        <row r="1428">
          <cell r="B1428" t="str">
            <v>S-0238</v>
          </cell>
          <cell r="G1428" t="str">
            <v>Low</v>
          </cell>
          <cell r="L1428">
            <v>1</v>
          </cell>
        </row>
        <row r="1429">
          <cell r="B1429" t="str">
            <v>S-0238</v>
          </cell>
          <cell r="G1429" t="str">
            <v>Medium</v>
          </cell>
          <cell r="L1429">
            <v>2</v>
          </cell>
        </row>
        <row r="1430">
          <cell r="B1430" t="str">
            <v>S-0239</v>
          </cell>
          <cell r="G1430" t="str">
            <v>Low</v>
          </cell>
          <cell r="L1430">
            <v>1</v>
          </cell>
        </row>
        <row r="1431">
          <cell r="B1431" t="str">
            <v>S-0239</v>
          </cell>
          <cell r="G1431" t="str">
            <v>Low</v>
          </cell>
          <cell r="L1431">
            <v>1</v>
          </cell>
        </row>
        <row r="1432">
          <cell r="B1432" t="str">
            <v>S-0239</v>
          </cell>
          <cell r="G1432" t="str">
            <v>Medium</v>
          </cell>
          <cell r="L1432">
            <v>2</v>
          </cell>
        </row>
        <row r="1433">
          <cell r="B1433" t="str">
            <v>S-0239</v>
          </cell>
          <cell r="G1433" t="str">
            <v>Low</v>
          </cell>
          <cell r="L1433">
            <v>1</v>
          </cell>
        </row>
        <row r="1434">
          <cell r="B1434" t="str">
            <v>S-0239</v>
          </cell>
          <cell r="G1434" t="str">
            <v>Medium</v>
          </cell>
          <cell r="L1434">
            <v>2</v>
          </cell>
        </row>
        <row r="1435">
          <cell r="B1435" t="str">
            <v>S-0239</v>
          </cell>
          <cell r="G1435" t="str">
            <v>Low</v>
          </cell>
          <cell r="L1435">
            <v>1</v>
          </cell>
        </row>
        <row r="1436">
          <cell r="B1436" t="str">
            <v>S-0240</v>
          </cell>
          <cell r="G1436" t="str">
            <v>Low</v>
          </cell>
          <cell r="L1436">
            <v>1</v>
          </cell>
        </row>
        <row r="1437">
          <cell r="B1437" t="str">
            <v>S-0240</v>
          </cell>
          <cell r="G1437" t="str">
            <v>Low</v>
          </cell>
          <cell r="L1437">
            <v>1</v>
          </cell>
        </row>
        <row r="1438">
          <cell r="B1438" t="str">
            <v>S-0240</v>
          </cell>
          <cell r="G1438" t="str">
            <v>Low</v>
          </cell>
          <cell r="L1438">
            <v>1</v>
          </cell>
        </row>
        <row r="1439">
          <cell r="B1439" t="str">
            <v>S-0240</v>
          </cell>
          <cell r="G1439" t="str">
            <v>High</v>
          </cell>
          <cell r="L1439">
            <v>3</v>
          </cell>
        </row>
        <row r="1440">
          <cell r="B1440" t="str">
            <v>S-0240</v>
          </cell>
          <cell r="G1440" t="str">
            <v>Low</v>
          </cell>
          <cell r="L1440">
            <v>1</v>
          </cell>
        </row>
        <row r="1441">
          <cell r="B1441" t="str">
            <v>S-0240</v>
          </cell>
          <cell r="G1441" t="str">
            <v>Low</v>
          </cell>
          <cell r="L1441">
            <v>1</v>
          </cell>
        </row>
        <row r="1442">
          <cell r="B1442" t="str">
            <v>S-0241</v>
          </cell>
          <cell r="G1442" t="str">
            <v>High</v>
          </cell>
          <cell r="L1442">
            <v>3</v>
          </cell>
        </row>
        <row r="1443">
          <cell r="B1443" t="str">
            <v>S-0241</v>
          </cell>
          <cell r="G1443" t="str">
            <v>Medium</v>
          </cell>
          <cell r="L1443">
            <v>2</v>
          </cell>
        </row>
        <row r="1444">
          <cell r="B1444" t="str">
            <v>S-0241</v>
          </cell>
          <cell r="G1444" t="str">
            <v>Low</v>
          </cell>
          <cell r="L1444">
            <v>1</v>
          </cell>
        </row>
        <row r="1445">
          <cell r="B1445" t="str">
            <v>S-0241</v>
          </cell>
          <cell r="G1445" t="str">
            <v>Medium</v>
          </cell>
          <cell r="L1445">
            <v>2</v>
          </cell>
        </row>
        <row r="1446">
          <cell r="B1446" t="str">
            <v>S-0241</v>
          </cell>
          <cell r="G1446" t="str">
            <v>Low</v>
          </cell>
          <cell r="L1446">
            <v>1</v>
          </cell>
        </row>
        <row r="1447">
          <cell r="B1447" t="str">
            <v>S-0241</v>
          </cell>
          <cell r="G1447" t="str">
            <v>Medium</v>
          </cell>
          <cell r="L1447">
            <v>2</v>
          </cell>
        </row>
        <row r="1448">
          <cell r="B1448" t="str">
            <v>S-0242</v>
          </cell>
          <cell r="G1448" t="str">
            <v>Medium</v>
          </cell>
          <cell r="L1448">
            <v>2</v>
          </cell>
        </row>
        <row r="1449">
          <cell r="B1449" t="str">
            <v>S-0242</v>
          </cell>
          <cell r="G1449" t="str">
            <v>Low</v>
          </cell>
          <cell r="L1449">
            <v>1</v>
          </cell>
        </row>
        <row r="1450">
          <cell r="B1450" t="str">
            <v>S-0242</v>
          </cell>
          <cell r="G1450" t="str">
            <v>Low</v>
          </cell>
          <cell r="L1450">
            <v>1</v>
          </cell>
        </row>
        <row r="1451">
          <cell r="B1451" t="str">
            <v>S-0242</v>
          </cell>
          <cell r="G1451" t="str">
            <v>Medium</v>
          </cell>
          <cell r="L1451">
            <v>2</v>
          </cell>
        </row>
        <row r="1452">
          <cell r="B1452" t="str">
            <v>S-0242</v>
          </cell>
          <cell r="G1452" t="str">
            <v>Low</v>
          </cell>
          <cell r="L1452">
            <v>1</v>
          </cell>
        </row>
        <row r="1453">
          <cell r="B1453" t="str">
            <v>S-0242</v>
          </cell>
          <cell r="G1453" t="str">
            <v>Low</v>
          </cell>
          <cell r="L1453">
            <v>1</v>
          </cell>
        </row>
        <row r="1454">
          <cell r="B1454" t="str">
            <v>S-0243</v>
          </cell>
          <cell r="G1454" t="str">
            <v>High</v>
          </cell>
          <cell r="L1454">
            <v>3</v>
          </cell>
        </row>
        <row r="1455">
          <cell r="B1455" t="str">
            <v>S-0243</v>
          </cell>
          <cell r="G1455" t="str">
            <v>Low</v>
          </cell>
          <cell r="L1455">
            <v>1</v>
          </cell>
        </row>
        <row r="1456">
          <cell r="B1456" t="str">
            <v>S-0243</v>
          </cell>
          <cell r="G1456" t="str">
            <v>Low</v>
          </cell>
          <cell r="L1456">
            <v>1</v>
          </cell>
        </row>
        <row r="1457">
          <cell r="B1457" t="str">
            <v>S-0243</v>
          </cell>
          <cell r="G1457" t="str">
            <v>High</v>
          </cell>
          <cell r="L1457">
            <v>3</v>
          </cell>
        </row>
        <row r="1458">
          <cell r="B1458" t="str">
            <v>S-0243</v>
          </cell>
          <cell r="G1458" t="str">
            <v>Low</v>
          </cell>
          <cell r="L1458">
            <v>1</v>
          </cell>
        </row>
        <row r="1459">
          <cell r="B1459" t="str">
            <v>S-0243</v>
          </cell>
          <cell r="G1459" t="str">
            <v>Medium</v>
          </cell>
          <cell r="L1459">
            <v>2</v>
          </cell>
        </row>
        <row r="1460">
          <cell r="B1460" t="str">
            <v>S-0244</v>
          </cell>
          <cell r="G1460" t="str">
            <v>Low</v>
          </cell>
          <cell r="L1460">
            <v>1</v>
          </cell>
        </row>
        <row r="1461">
          <cell r="B1461" t="str">
            <v>S-0244</v>
          </cell>
          <cell r="G1461" t="str">
            <v>Medium</v>
          </cell>
          <cell r="L1461">
            <v>2</v>
          </cell>
        </row>
        <row r="1462">
          <cell r="B1462" t="str">
            <v>S-0244</v>
          </cell>
          <cell r="G1462" t="str">
            <v>Medium</v>
          </cell>
          <cell r="L1462">
            <v>2</v>
          </cell>
        </row>
        <row r="1463">
          <cell r="B1463" t="str">
            <v>S-0244</v>
          </cell>
          <cell r="G1463" t="str">
            <v>Low</v>
          </cell>
          <cell r="L1463">
            <v>1</v>
          </cell>
        </row>
        <row r="1464">
          <cell r="B1464" t="str">
            <v>S-0244</v>
          </cell>
          <cell r="G1464" t="str">
            <v>High</v>
          </cell>
          <cell r="L1464">
            <v>3</v>
          </cell>
        </row>
        <row r="1465">
          <cell r="B1465" t="str">
            <v>S-0244</v>
          </cell>
          <cell r="G1465" t="str">
            <v>Medium</v>
          </cell>
          <cell r="L1465">
            <v>2</v>
          </cell>
        </row>
        <row r="1466">
          <cell r="B1466" t="str">
            <v>S-0245</v>
          </cell>
          <cell r="G1466" t="str">
            <v>Medium</v>
          </cell>
          <cell r="L1466">
            <v>2</v>
          </cell>
        </row>
        <row r="1467">
          <cell r="B1467" t="str">
            <v>S-0245</v>
          </cell>
          <cell r="G1467" t="str">
            <v>Medium</v>
          </cell>
          <cell r="L1467">
            <v>2</v>
          </cell>
        </row>
        <row r="1468">
          <cell r="B1468" t="str">
            <v>S-0245</v>
          </cell>
          <cell r="G1468" t="str">
            <v>Low</v>
          </cell>
          <cell r="L1468">
            <v>1</v>
          </cell>
        </row>
        <row r="1469">
          <cell r="B1469" t="str">
            <v>S-0245</v>
          </cell>
          <cell r="G1469" t="str">
            <v>Low</v>
          </cell>
          <cell r="L1469">
            <v>1</v>
          </cell>
        </row>
        <row r="1470">
          <cell r="B1470" t="str">
            <v>S-0245</v>
          </cell>
          <cell r="G1470" t="str">
            <v>Low</v>
          </cell>
          <cell r="L1470">
            <v>1</v>
          </cell>
        </row>
        <row r="1471">
          <cell r="B1471" t="str">
            <v>S-0245</v>
          </cell>
          <cell r="G1471" t="str">
            <v>High</v>
          </cell>
          <cell r="L1471">
            <v>3</v>
          </cell>
        </row>
        <row r="1472">
          <cell r="B1472" t="str">
            <v>S-0246</v>
          </cell>
          <cell r="G1472" t="str">
            <v>Low</v>
          </cell>
          <cell r="L1472">
            <v>1</v>
          </cell>
        </row>
        <row r="1473">
          <cell r="B1473" t="str">
            <v>S-0246</v>
          </cell>
          <cell r="G1473" t="str">
            <v>Low</v>
          </cell>
          <cell r="L1473">
            <v>1</v>
          </cell>
        </row>
        <row r="1474">
          <cell r="B1474" t="str">
            <v>S-0246</v>
          </cell>
          <cell r="G1474" t="str">
            <v>Low</v>
          </cell>
          <cell r="L1474">
            <v>1</v>
          </cell>
        </row>
        <row r="1475">
          <cell r="B1475" t="str">
            <v>S-0246</v>
          </cell>
          <cell r="G1475" t="str">
            <v>Low</v>
          </cell>
          <cell r="L1475">
            <v>1</v>
          </cell>
        </row>
        <row r="1476">
          <cell r="B1476" t="str">
            <v>S-0246</v>
          </cell>
          <cell r="G1476" t="str">
            <v>Low</v>
          </cell>
          <cell r="L1476">
            <v>1</v>
          </cell>
        </row>
        <row r="1477">
          <cell r="B1477" t="str">
            <v>S-0246</v>
          </cell>
          <cell r="G1477" t="str">
            <v>Low</v>
          </cell>
          <cell r="L1477">
            <v>1</v>
          </cell>
        </row>
        <row r="1478">
          <cell r="B1478" t="str">
            <v>S-0247</v>
          </cell>
          <cell r="G1478" t="str">
            <v>Low</v>
          </cell>
          <cell r="L1478">
            <v>1</v>
          </cell>
        </row>
        <row r="1479">
          <cell r="B1479" t="str">
            <v>S-0247</v>
          </cell>
          <cell r="G1479" t="str">
            <v>Low</v>
          </cell>
          <cell r="L1479">
            <v>1</v>
          </cell>
        </row>
        <row r="1480">
          <cell r="B1480" t="str">
            <v>S-0247</v>
          </cell>
          <cell r="G1480" t="str">
            <v>Low</v>
          </cell>
          <cell r="L1480">
            <v>1</v>
          </cell>
        </row>
        <row r="1481">
          <cell r="B1481" t="str">
            <v>S-0247</v>
          </cell>
          <cell r="G1481" t="str">
            <v>Medium</v>
          </cell>
          <cell r="L1481">
            <v>2</v>
          </cell>
        </row>
        <row r="1482">
          <cell r="B1482" t="str">
            <v>S-0247</v>
          </cell>
          <cell r="G1482" t="str">
            <v>Low</v>
          </cell>
          <cell r="L1482">
            <v>1</v>
          </cell>
        </row>
        <row r="1483">
          <cell r="B1483" t="str">
            <v>S-0247</v>
          </cell>
          <cell r="G1483" t="str">
            <v>Medium</v>
          </cell>
          <cell r="L1483">
            <v>2</v>
          </cell>
        </row>
        <row r="1484">
          <cell r="B1484" t="str">
            <v>S-0248</v>
          </cell>
          <cell r="G1484" t="str">
            <v>Medium</v>
          </cell>
          <cell r="L1484">
            <v>2</v>
          </cell>
        </row>
        <row r="1485">
          <cell r="B1485" t="str">
            <v>S-0248</v>
          </cell>
          <cell r="G1485" t="str">
            <v>Medium</v>
          </cell>
          <cell r="L1485">
            <v>2</v>
          </cell>
        </row>
        <row r="1486">
          <cell r="B1486" t="str">
            <v>S-0248</v>
          </cell>
          <cell r="G1486" t="str">
            <v>Medium</v>
          </cell>
          <cell r="L1486">
            <v>2</v>
          </cell>
        </row>
        <row r="1487">
          <cell r="B1487" t="str">
            <v>S-0248</v>
          </cell>
          <cell r="G1487" t="str">
            <v>Medium</v>
          </cell>
          <cell r="L1487">
            <v>2</v>
          </cell>
        </row>
        <row r="1488">
          <cell r="B1488" t="str">
            <v>S-0248</v>
          </cell>
          <cell r="G1488" t="str">
            <v>Medium</v>
          </cell>
          <cell r="L1488">
            <v>2</v>
          </cell>
        </row>
        <row r="1489">
          <cell r="B1489" t="str">
            <v>S-0248</v>
          </cell>
          <cell r="G1489" t="str">
            <v>Low</v>
          </cell>
          <cell r="L1489">
            <v>1</v>
          </cell>
        </row>
        <row r="1490">
          <cell r="B1490" t="str">
            <v>S-0249</v>
          </cell>
          <cell r="G1490" t="str">
            <v>Low</v>
          </cell>
          <cell r="L1490">
            <v>1</v>
          </cell>
        </row>
        <row r="1491">
          <cell r="B1491" t="str">
            <v>S-0249</v>
          </cell>
          <cell r="G1491" t="str">
            <v>High</v>
          </cell>
          <cell r="L1491">
            <v>3</v>
          </cell>
        </row>
        <row r="1492">
          <cell r="B1492" t="str">
            <v>S-0249</v>
          </cell>
          <cell r="G1492" t="str">
            <v>Low</v>
          </cell>
          <cell r="L1492">
            <v>1</v>
          </cell>
        </row>
        <row r="1493">
          <cell r="B1493" t="str">
            <v>S-0249</v>
          </cell>
          <cell r="G1493" t="str">
            <v>Low</v>
          </cell>
          <cell r="L1493">
            <v>1</v>
          </cell>
        </row>
        <row r="1494">
          <cell r="B1494" t="str">
            <v>S-0249</v>
          </cell>
          <cell r="G1494" t="str">
            <v>Medium</v>
          </cell>
          <cell r="L1494">
            <v>2</v>
          </cell>
        </row>
        <row r="1495">
          <cell r="B1495" t="str">
            <v>S-0249</v>
          </cell>
          <cell r="G1495" t="str">
            <v>Medium</v>
          </cell>
          <cell r="L1495">
            <v>2</v>
          </cell>
        </row>
        <row r="1496">
          <cell r="B1496" t="str">
            <v>S-0250</v>
          </cell>
          <cell r="G1496" t="str">
            <v>Low</v>
          </cell>
          <cell r="L1496">
            <v>1</v>
          </cell>
        </row>
        <row r="1497">
          <cell r="B1497" t="str">
            <v>S-0250</v>
          </cell>
          <cell r="G1497" t="str">
            <v>Low</v>
          </cell>
          <cell r="L1497">
            <v>1</v>
          </cell>
        </row>
        <row r="1498">
          <cell r="B1498" t="str">
            <v>S-0250</v>
          </cell>
          <cell r="G1498" t="str">
            <v>Low</v>
          </cell>
          <cell r="L1498">
            <v>1</v>
          </cell>
        </row>
        <row r="1499">
          <cell r="B1499" t="str">
            <v>S-0250</v>
          </cell>
          <cell r="G1499" t="str">
            <v>Low</v>
          </cell>
          <cell r="L1499">
            <v>1</v>
          </cell>
        </row>
        <row r="1500">
          <cell r="B1500" t="str">
            <v>S-0250</v>
          </cell>
          <cell r="G1500" t="str">
            <v>Low</v>
          </cell>
          <cell r="L1500">
            <v>1</v>
          </cell>
        </row>
        <row r="1501">
          <cell r="B1501" t="str">
            <v>S-0250</v>
          </cell>
          <cell r="G1501" t="str">
            <v>Low</v>
          </cell>
          <cell r="L1501">
            <v>1</v>
          </cell>
        </row>
        <row r="1502">
          <cell r="B1502" t="str">
            <v>S-0251</v>
          </cell>
          <cell r="G1502" t="str">
            <v>Medium</v>
          </cell>
          <cell r="L1502">
            <v>2</v>
          </cell>
        </row>
        <row r="1503">
          <cell r="B1503" t="str">
            <v>S-0251</v>
          </cell>
          <cell r="G1503" t="str">
            <v>Low</v>
          </cell>
          <cell r="L1503">
            <v>1</v>
          </cell>
        </row>
        <row r="1504">
          <cell r="B1504" t="str">
            <v>S-0251</v>
          </cell>
          <cell r="G1504" t="str">
            <v>Low</v>
          </cell>
          <cell r="L1504">
            <v>1</v>
          </cell>
        </row>
        <row r="1505">
          <cell r="B1505" t="str">
            <v>S-0251</v>
          </cell>
          <cell r="G1505" t="str">
            <v>Medium</v>
          </cell>
          <cell r="L1505">
            <v>2</v>
          </cell>
        </row>
        <row r="1506">
          <cell r="B1506" t="str">
            <v>S-0251</v>
          </cell>
          <cell r="G1506" t="str">
            <v>Low</v>
          </cell>
          <cell r="L1506">
            <v>1</v>
          </cell>
        </row>
        <row r="1507">
          <cell r="B1507" t="str">
            <v>S-0251</v>
          </cell>
          <cell r="G1507" t="str">
            <v>Low</v>
          </cell>
          <cell r="L1507">
            <v>1</v>
          </cell>
        </row>
        <row r="1508">
          <cell r="B1508" t="str">
            <v>S-0252</v>
          </cell>
          <cell r="G1508" t="str">
            <v>Low</v>
          </cell>
          <cell r="L1508">
            <v>1</v>
          </cell>
        </row>
        <row r="1509">
          <cell r="B1509" t="str">
            <v>S-0252</v>
          </cell>
          <cell r="G1509" t="str">
            <v>Low</v>
          </cell>
          <cell r="L1509">
            <v>1</v>
          </cell>
        </row>
        <row r="1510">
          <cell r="B1510" t="str">
            <v>S-0252</v>
          </cell>
          <cell r="G1510" t="str">
            <v>Low</v>
          </cell>
          <cell r="L1510">
            <v>1</v>
          </cell>
        </row>
        <row r="1511">
          <cell r="B1511" t="str">
            <v>S-0252</v>
          </cell>
          <cell r="G1511" t="str">
            <v>Medium</v>
          </cell>
          <cell r="L1511">
            <v>2</v>
          </cell>
        </row>
        <row r="1512">
          <cell r="B1512" t="str">
            <v>S-0252</v>
          </cell>
          <cell r="G1512" t="str">
            <v>Low</v>
          </cell>
          <cell r="L1512">
            <v>1</v>
          </cell>
        </row>
        <row r="1513">
          <cell r="B1513" t="str">
            <v>S-0252</v>
          </cell>
          <cell r="G1513" t="str">
            <v>Low</v>
          </cell>
          <cell r="L1513">
            <v>1</v>
          </cell>
        </row>
        <row r="1514">
          <cell r="B1514" t="str">
            <v>S-0253</v>
          </cell>
          <cell r="G1514" t="str">
            <v>Low</v>
          </cell>
          <cell r="L1514">
            <v>1</v>
          </cell>
        </row>
        <row r="1515">
          <cell r="B1515" t="str">
            <v>S-0253</v>
          </cell>
          <cell r="G1515" t="str">
            <v>Low</v>
          </cell>
          <cell r="L1515">
            <v>1</v>
          </cell>
        </row>
        <row r="1516">
          <cell r="B1516" t="str">
            <v>S-0253</v>
          </cell>
          <cell r="G1516" t="str">
            <v>Medium</v>
          </cell>
          <cell r="L1516">
            <v>2</v>
          </cell>
        </row>
        <row r="1517">
          <cell r="B1517" t="str">
            <v>S-0253</v>
          </cell>
          <cell r="G1517" t="str">
            <v>Low</v>
          </cell>
          <cell r="L1517">
            <v>1</v>
          </cell>
        </row>
        <row r="1518">
          <cell r="B1518" t="str">
            <v>S-0253</v>
          </cell>
          <cell r="G1518" t="str">
            <v>Medium</v>
          </cell>
          <cell r="L1518">
            <v>2</v>
          </cell>
        </row>
        <row r="1519">
          <cell r="B1519" t="str">
            <v>S-0253</v>
          </cell>
          <cell r="G1519" t="str">
            <v>Low</v>
          </cell>
          <cell r="L1519">
            <v>1</v>
          </cell>
        </row>
        <row r="1520">
          <cell r="B1520" t="str">
            <v>S-0254</v>
          </cell>
          <cell r="G1520" t="str">
            <v>Low</v>
          </cell>
          <cell r="L1520">
            <v>1</v>
          </cell>
        </row>
        <row r="1521">
          <cell r="B1521" t="str">
            <v>S-0254</v>
          </cell>
          <cell r="G1521" t="str">
            <v>Low</v>
          </cell>
          <cell r="L1521">
            <v>1</v>
          </cell>
        </row>
        <row r="1522">
          <cell r="B1522" t="str">
            <v>S-0254</v>
          </cell>
          <cell r="G1522" t="str">
            <v>Medium</v>
          </cell>
          <cell r="L1522">
            <v>2</v>
          </cell>
        </row>
        <row r="1523">
          <cell r="B1523" t="str">
            <v>S-0254</v>
          </cell>
          <cell r="G1523" t="str">
            <v>Low</v>
          </cell>
          <cell r="L1523">
            <v>1</v>
          </cell>
        </row>
        <row r="1524">
          <cell r="B1524" t="str">
            <v>S-0254</v>
          </cell>
          <cell r="G1524" t="str">
            <v>Low</v>
          </cell>
          <cell r="L1524">
            <v>1</v>
          </cell>
        </row>
        <row r="1525">
          <cell r="B1525" t="str">
            <v>S-0254</v>
          </cell>
          <cell r="G1525" t="str">
            <v>Medium</v>
          </cell>
          <cell r="L1525">
            <v>2</v>
          </cell>
        </row>
        <row r="1526">
          <cell r="B1526" t="str">
            <v>S-0255</v>
          </cell>
          <cell r="G1526" t="str">
            <v>Medium</v>
          </cell>
          <cell r="L1526">
            <v>2</v>
          </cell>
        </row>
        <row r="1527">
          <cell r="B1527" t="str">
            <v>S-0255</v>
          </cell>
          <cell r="G1527" t="str">
            <v>High</v>
          </cell>
          <cell r="L1527">
            <v>3</v>
          </cell>
        </row>
        <row r="1528">
          <cell r="B1528" t="str">
            <v>S-0255</v>
          </cell>
          <cell r="G1528" t="str">
            <v>High</v>
          </cell>
          <cell r="L1528">
            <v>3</v>
          </cell>
        </row>
        <row r="1529">
          <cell r="B1529" t="str">
            <v>S-0255</v>
          </cell>
          <cell r="G1529" t="str">
            <v>Low</v>
          </cell>
          <cell r="L1529">
            <v>1</v>
          </cell>
        </row>
        <row r="1530">
          <cell r="B1530" t="str">
            <v>S-0255</v>
          </cell>
          <cell r="G1530" t="str">
            <v>Low</v>
          </cell>
          <cell r="L1530">
            <v>1</v>
          </cell>
        </row>
        <row r="1531">
          <cell r="B1531" t="str">
            <v>S-0255</v>
          </cell>
          <cell r="G1531" t="str">
            <v>Low</v>
          </cell>
          <cell r="L1531">
            <v>1</v>
          </cell>
        </row>
        <row r="1532">
          <cell r="B1532" t="str">
            <v>S-0256</v>
          </cell>
          <cell r="G1532" t="str">
            <v>High</v>
          </cell>
          <cell r="L1532">
            <v>3</v>
          </cell>
        </row>
        <row r="1533">
          <cell r="B1533" t="str">
            <v>S-0256</v>
          </cell>
          <cell r="G1533" t="str">
            <v>Medium</v>
          </cell>
          <cell r="L1533">
            <v>2</v>
          </cell>
        </row>
        <row r="1534">
          <cell r="B1534" t="str">
            <v>S-0256</v>
          </cell>
          <cell r="G1534" t="str">
            <v>Low</v>
          </cell>
          <cell r="L1534">
            <v>1</v>
          </cell>
        </row>
        <row r="1535">
          <cell r="B1535" t="str">
            <v>S-0256</v>
          </cell>
          <cell r="G1535" t="str">
            <v>Low</v>
          </cell>
          <cell r="L1535">
            <v>1</v>
          </cell>
        </row>
        <row r="1536">
          <cell r="B1536" t="str">
            <v>S-0256</v>
          </cell>
          <cell r="G1536" t="str">
            <v>Low</v>
          </cell>
          <cell r="L1536">
            <v>1</v>
          </cell>
        </row>
        <row r="1537">
          <cell r="B1537" t="str">
            <v>S-0256</v>
          </cell>
          <cell r="G1537" t="str">
            <v>Medium</v>
          </cell>
          <cell r="L1537">
            <v>2</v>
          </cell>
        </row>
        <row r="1538">
          <cell r="B1538" t="str">
            <v>S-0257</v>
          </cell>
          <cell r="G1538" t="str">
            <v>Medium</v>
          </cell>
          <cell r="L1538">
            <v>2</v>
          </cell>
        </row>
        <row r="1539">
          <cell r="B1539" t="str">
            <v>S-0257</v>
          </cell>
          <cell r="G1539" t="str">
            <v>Medium</v>
          </cell>
          <cell r="L1539">
            <v>2</v>
          </cell>
        </row>
        <row r="1540">
          <cell r="B1540" t="str">
            <v>S-0257</v>
          </cell>
          <cell r="G1540" t="str">
            <v>Low</v>
          </cell>
          <cell r="L1540">
            <v>1</v>
          </cell>
        </row>
        <row r="1541">
          <cell r="B1541" t="str">
            <v>S-0257</v>
          </cell>
          <cell r="G1541" t="str">
            <v>Low</v>
          </cell>
          <cell r="L1541">
            <v>1</v>
          </cell>
        </row>
        <row r="1542">
          <cell r="B1542" t="str">
            <v>S-0257</v>
          </cell>
          <cell r="G1542" t="str">
            <v>Low</v>
          </cell>
          <cell r="L1542">
            <v>1</v>
          </cell>
        </row>
        <row r="1543">
          <cell r="B1543" t="str">
            <v>S-0257</v>
          </cell>
          <cell r="G1543" t="str">
            <v>Low</v>
          </cell>
          <cell r="L1543">
            <v>1</v>
          </cell>
        </row>
        <row r="1544">
          <cell r="B1544" t="str">
            <v>S-0258</v>
          </cell>
          <cell r="G1544" t="str">
            <v>Low</v>
          </cell>
          <cell r="L1544">
            <v>1</v>
          </cell>
        </row>
        <row r="1545">
          <cell r="B1545" t="str">
            <v>S-0258</v>
          </cell>
          <cell r="G1545" t="str">
            <v>Low</v>
          </cell>
          <cell r="L1545">
            <v>1</v>
          </cell>
        </row>
        <row r="1546">
          <cell r="B1546" t="str">
            <v>S-0258</v>
          </cell>
          <cell r="G1546" t="str">
            <v>Medium</v>
          </cell>
          <cell r="L1546">
            <v>2</v>
          </cell>
        </row>
        <row r="1547">
          <cell r="B1547" t="str">
            <v>S-0258</v>
          </cell>
          <cell r="G1547" t="str">
            <v>Medium</v>
          </cell>
          <cell r="L1547">
            <v>2</v>
          </cell>
        </row>
        <row r="1548">
          <cell r="B1548" t="str">
            <v>S-0258</v>
          </cell>
          <cell r="G1548" t="str">
            <v>Low</v>
          </cell>
          <cell r="L1548">
            <v>1</v>
          </cell>
        </row>
        <row r="1549">
          <cell r="B1549" t="str">
            <v>S-0258</v>
          </cell>
          <cell r="G1549" t="str">
            <v>Low</v>
          </cell>
          <cell r="L1549">
            <v>1</v>
          </cell>
        </row>
        <row r="1550">
          <cell r="B1550" t="str">
            <v>S-0259</v>
          </cell>
          <cell r="G1550" t="str">
            <v>Medium</v>
          </cell>
          <cell r="L1550">
            <v>2</v>
          </cell>
        </row>
        <row r="1551">
          <cell r="B1551" t="str">
            <v>S-0259</v>
          </cell>
          <cell r="G1551" t="str">
            <v>Medium</v>
          </cell>
          <cell r="L1551">
            <v>2</v>
          </cell>
        </row>
        <row r="1552">
          <cell r="B1552" t="str">
            <v>S-0259</v>
          </cell>
          <cell r="G1552" t="str">
            <v>Low</v>
          </cell>
          <cell r="L1552">
            <v>1</v>
          </cell>
        </row>
        <row r="1553">
          <cell r="B1553" t="str">
            <v>S-0259</v>
          </cell>
          <cell r="G1553" t="str">
            <v>Low</v>
          </cell>
          <cell r="L1553">
            <v>1</v>
          </cell>
        </row>
        <row r="1554">
          <cell r="B1554" t="str">
            <v>S-0259</v>
          </cell>
          <cell r="G1554" t="str">
            <v>High</v>
          </cell>
          <cell r="L1554">
            <v>3</v>
          </cell>
        </row>
        <row r="1555">
          <cell r="B1555" t="str">
            <v>S-0259</v>
          </cell>
          <cell r="G1555" t="str">
            <v>Low</v>
          </cell>
          <cell r="L1555">
            <v>1</v>
          </cell>
        </row>
        <row r="1556">
          <cell r="B1556" t="str">
            <v>S-0260</v>
          </cell>
          <cell r="G1556" t="str">
            <v>Low</v>
          </cell>
          <cell r="L1556">
            <v>1</v>
          </cell>
        </row>
        <row r="1557">
          <cell r="B1557" t="str">
            <v>S-0260</v>
          </cell>
          <cell r="G1557" t="str">
            <v>Medium</v>
          </cell>
          <cell r="L1557">
            <v>2</v>
          </cell>
        </row>
        <row r="1558">
          <cell r="B1558" t="str">
            <v>S-0260</v>
          </cell>
          <cell r="G1558" t="str">
            <v>Low</v>
          </cell>
          <cell r="L1558">
            <v>1</v>
          </cell>
        </row>
        <row r="1559">
          <cell r="B1559" t="str">
            <v>S-0260</v>
          </cell>
          <cell r="G1559" t="str">
            <v>High</v>
          </cell>
          <cell r="L1559">
            <v>3</v>
          </cell>
        </row>
        <row r="1560">
          <cell r="B1560" t="str">
            <v>S-0260</v>
          </cell>
          <cell r="G1560" t="str">
            <v>Low</v>
          </cell>
          <cell r="L1560">
            <v>1</v>
          </cell>
        </row>
        <row r="1561">
          <cell r="B1561" t="str">
            <v>S-0260</v>
          </cell>
          <cell r="G1561" t="str">
            <v>Low</v>
          </cell>
          <cell r="L1561">
            <v>1</v>
          </cell>
        </row>
        <row r="1562">
          <cell r="B1562" t="str">
            <v>S-0261</v>
          </cell>
          <cell r="G1562" t="str">
            <v>High</v>
          </cell>
          <cell r="L1562">
            <v>3</v>
          </cell>
        </row>
        <row r="1563">
          <cell r="B1563" t="str">
            <v>S-0261</v>
          </cell>
          <cell r="G1563" t="str">
            <v>Low</v>
          </cell>
          <cell r="L1563">
            <v>1</v>
          </cell>
        </row>
        <row r="1564">
          <cell r="B1564" t="str">
            <v>S-0261</v>
          </cell>
          <cell r="G1564" t="str">
            <v>Medium</v>
          </cell>
          <cell r="L1564">
            <v>2</v>
          </cell>
        </row>
        <row r="1565">
          <cell r="B1565" t="str">
            <v>S-0261</v>
          </cell>
          <cell r="G1565" t="str">
            <v>Low</v>
          </cell>
          <cell r="L1565">
            <v>1</v>
          </cell>
        </row>
        <row r="1566">
          <cell r="B1566" t="str">
            <v>S-0261</v>
          </cell>
          <cell r="G1566" t="str">
            <v>High</v>
          </cell>
          <cell r="L1566">
            <v>3</v>
          </cell>
        </row>
        <row r="1567">
          <cell r="B1567" t="str">
            <v>S-0261</v>
          </cell>
          <cell r="G1567" t="str">
            <v>Medium</v>
          </cell>
          <cell r="L1567">
            <v>2</v>
          </cell>
        </row>
        <row r="1568">
          <cell r="B1568" t="str">
            <v>S-0262</v>
          </cell>
          <cell r="G1568" t="str">
            <v>Low</v>
          </cell>
          <cell r="L1568">
            <v>1</v>
          </cell>
        </row>
        <row r="1569">
          <cell r="B1569" t="str">
            <v>S-0262</v>
          </cell>
          <cell r="G1569" t="str">
            <v>Low</v>
          </cell>
          <cell r="L1569">
            <v>1</v>
          </cell>
        </row>
        <row r="1570">
          <cell r="B1570" t="str">
            <v>S-0262</v>
          </cell>
          <cell r="G1570" t="str">
            <v>Medium</v>
          </cell>
          <cell r="L1570">
            <v>2</v>
          </cell>
        </row>
        <row r="1571">
          <cell r="B1571" t="str">
            <v>S-0262</v>
          </cell>
          <cell r="G1571" t="str">
            <v>Low</v>
          </cell>
          <cell r="L1571">
            <v>1</v>
          </cell>
        </row>
        <row r="1572">
          <cell r="B1572" t="str">
            <v>S-0262</v>
          </cell>
          <cell r="G1572" t="str">
            <v>Low</v>
          </cell>
          <cell r="L1572">
            <v>1</v>
          </cell>
        </row>
        <row r="1573">
          <cell r="B1573" t="str">
            <v>S-0262</v>
          </cell>
          <cell r="G1573" t="str">
            <v>Low</v>
          </cell>
          <cell r="L1573">
            <v>1</v>
          </cell>
        </row>
        <row r="1574">
          <cell r="B1574" t="str">
            <v>S-0263</v>
          </cell>
          <cell r="G1574" t="str">
            <v>Medium</v>
          </cell>
          <cell r="L1574">
            <v>2</v>
          </cell>
        </row>
        <row r="1575">
          <cell r="B1575" t="str">
            <v>S-0263</v>
          </cell>
          <cell r="G1575" t="str">
            <v>Low</v>
          </cell>
          <cell r="L1575">
            <v>1</v>
          </cell>
        </row>
        <row r="1576">
          <cell r="B1576" t="str">
            <v>S-0263</v>
          </cell>
          <cell r="G1576" t="str">
            <v>Low</v>
          </cell>
          <cell r="L1576">
            <v>1</v>
          </cell>
        </row>
        <row r="1577">
          <cell r="B1577" t="str">
            <v>S-0263</v>
          </cell>
          <cell r="G1577" t="str">
            <v>Low</v>
          </cell>
          <cell r="L1577">
            <v>1</v>
          </cell>
        </row>
        <row r="1578">
          <cell r="B1578" t="str">
            <v>S-0263</v>
          </cell>
          <cell r="G1578" t="str">
            <v>Low</v>
          </cell>
          <cell r="L1578">
            <v>1</v>
          </cell>
        </row>
        <row r="1579">
          <cell r="B1579" t="str">
            <v>S-0263</v>
          </cell>
          <cell r="G1579" t="str">
            <v>Medium</v>
          </cell>
          <cell r="L1579">
            <v>2</v>
          </cell>
        </row>
        <row r="1580">
          <cell r="B1580" t="str">
            <v>S-0264</v>
          </cell>
          <cell r="G1580" t="str">
            <v>Low</v>
          </cell>
          <cell r="L1580">
            <v>1</v>
          </cell>
        </row>
        <row r="1581">
          <cell r="B1581" t="str">
            <v>S-0264</v>
          </cell>
          <cell r="G1581" t="str">
            <v>Low</v>
          </cell>
          <cell r="L1581">
            <v>1</v>
          </cell>
        </row>
        <row r="1582">
          <cell r="B1582" t="str">
            <v>S-0264</v>
          </cell>
          <cell r="G1582" t="str">
            <v>Low</v>
          </cell>
          <cell r="L1582">
            <v>1</v>
          </cell>
        </row>
        <row r="1583">
          <cell r="B1583" t="str">
            <v>S-0264</v>
          </cell>
          <cell r="G1583" t="str">
            <v>Low</v>
          </cell>
          <cell r="L1583">
            <v>1</v>
          </cell>
        </row>
        <row r="1584">
          <cell r="B1584" t="str">
            <v>S-0264</v>
          </cell>
          <cell r="G1584" t="str">
            <v>Medium</v>
          </cell>
          <cell r="L1584">
            <v>2</v>
          </cell>
        </row>
        <row r="1585">
          <cell r="B1585" t="str">
            <v>S-0264</v>
          </cell>
          <cell r="G1585" t="str">
            <v>High</v>
          </cell>
          <cell r="L1585">
            <v>3</v>
          </cell>
        </row>
        <row r="1586">
          <cell r="B1586" t="str">
            <v>S-0265</v>
          </cell>
          <cell r="G1586" t="str">
            <v>Low</v>
          </cell>
          <cell r="L1586">
            <v>1</v>
          </cell>
        </row>
        <row r="1587">
          <cell r="B1587" t="str">
            <v>S-0265</v>
          </cell>
          <cell r="G1587" t="str">
            <v>Low</v>
          </cell>
          <cell r="L1587">
            <v>1</v>
          </cell>
        </row>
        <row r="1588">
          <cell r="B1588" t="str">
            <v>S-0265</v>
          </cell>
          <cell r="G1588" t="str">
            <v>Low</v>
          </cell>
          <cell r="L1588">
            <v>1</v>
          </cell>
        </row>
        <row r="1589">
          <cell r="B1589" t="str">
            <v>S-0265</v>
          </cell>
          <cell r="G1589" t="str">
            <v>Low</v>
          </cell>
          <cell r="L1589">
            <v>1</v>
          </cell>
        </row>
        <row r="1590">
          <cell r="B1590" t="str">
            <v>S-0265</v>
          </cell>
          <cell r="G1590" t="str">
            <v>Low</v>
          </cell>
          <cell r="L1590">
            <v>1</v>
          </cell>
        </row>
        <row r="1591">
          <cell r="B1591" t="str">
            <v>S-0265</v>
          </cell>
          <cell r="G1591" t="str">
            <v>Low</v>
          </cell>
          <cell r="L1591">
            <v>1</v>
          </cell>
        </row>
        <row r="1592">
          <cell r="B1592" t="str">
            <v>S-0266</v>
          </cell>
          <cell r="G1592" t="str">
            <v>Medium</v>
          </cell>
          <cell r="L1592">
            <v>2</v>
          </cell>
        </row>
        <row r="1593">
          <cell r="B1593" t="str">
            <v>S-0266</v>
          </cell>
          <cell r="G1593" t="str">
            <v>Low</v>
          </cell>
          <cell r="L1593">
            <v>1</v>
          </cell>
        </row>
        <row r="1594">
          <cell r="B1594" t="str">
            <v>S-0266</v>
          </cell>
          <cell r="G1594" t="str">
            <v>Medium</v>
          </cell>
          <cell r="L1594">
            <v>2</v>
          </cell>
        </row>
        <row r="1595">
          <cell r="B1595" t="str">
            <v>S-0266</v>
          </cell>
          <cell r="G1595" t="str">
            <v>Low</v>
          </cell>
          <cell r="L1595">
            <v>1</v>
          </cell>
        </row>
        <row r="1596">
          <cell r="B1596" t="str">
            <v>S-0266</v>
          </cell>
          <cell r="G1596" t="str">
            <v>High</v>
          </cell>
          <cell r="L1596">
            <v>3</v>
          </cell>
        </row>
        <row r="1597">
          <cell r="B1597" t="str">
            <v>S-0266</v>
          </cell>
          <cell r="G1597" t="str">
            <v>Medium</v>
          </cell>
          <cell r="L1597">
            <v>2</v>
          </cell>
        </row>
        <row r="1598">
          <cell r="B1598" t="str">
            <v>S-0267</v>
          </cell>
          <cell r="G1598" t="str">
            <v>Low</v>
          </cell>
          <cell r="L1598">
            <v>1</v>
          </cell>
        </row>
        <row r="1599">
          <cell r="B1599" t="str">
            <v>S-0267</v>
          </cell>
          <cell r="G1599" t="str">
            <v>Low</v>
          </cell>
          <cell r="L1599">
            <v>1</v>
          </cell>
        </row>
        <row r="1600">
          <cell r="B1600" t="str">
            <v>S-0267</v>
          </cell>
          <cell r="G1600" t="str">
            <v>Medium</v>
          </cell>
          <cell r="L1600">
            <v>2</v>
          </cell>
        </row>
        <row r="1601">
          <cell r="B1601" t="str">
            <v>S-0267</v>
          </cell>
          <cell r="G1601" t="str">
            <v>Medium</v>
          </cell>
          <cell r="L1601">
            <v>2</v>
          </cell>
        </row>
        <row r="1602">
          <cell r="B1602" t="str">
            <v>S-0267</v>
          </cell>
          <cell r="G1602" t="str">
            <v>Low</v>
          </cell>
          <cell r="L1602">
            <v>1</v>
          </cell>
        </row>
        <row r="1603">
          <cell r="B1603" t="str">
            <v>S-0267</v>
          </cell>
          <cell r="G1603" t="str">
            <v>Low</v>
          </cell>
          <cell r="L1603">
            <v>1</v>
          </cell>
        </row>
        <row r="1604">
          <cell r="B1604" t="str">
            <v>S-0268</v>
          </cell>
          <cell r="G1604" t="str">
            <v>Low</v>
          </cell>
          <cell r="L1604">
            <v>1</v>
          </cell>
        </row>
        <row r="1605">
          <cell r="B1605" t="str">
            <v>S-0268</v>
          </cell>
          <cell r="G1605" t="str">
            <v>Low</v>
          </cell>
          <cell r="L1605">
            <v>1</v>
          </cell>
        </row>
        <row r="1606">
          <cell r="B1606" t="str">
            <v>S-0268</v>
          </cell>
          <cell r="G1606" t="str">
            <v>Low</v>
          </cell>
          <cell r="L1606">
            <v>1</v>
          </cell>
        </row>
        <row r="1607">
          <cell r="B1607" t="str">
            <v>S-0268</v>
          </cell>
          <cell r="G1607" t="str">
            <v>Low</v>
          </cell>
          <cell r="L1607">
            <v>1</v>
          </cell>
        </row>
        <row r="1608">
          <cell r="B1608" t="str">
            <v>S-0268</v>
          </cell>
          <cell r="G1608" t="str">
            <v>Medium</v>
          </cell>
          <cell r="L1608">
            <v>2</v>
          </cell>
        </row>
        <row r="1609">
          <cell r="B1609" t="str">
            <v>S-0268</v>
          </cell>
          <cell r="G1609" t="str">
            <v>High</v>
          </cell>
          <cell r="L1609">
            <v>3</v>
          </cell>
        </row>
        <row r="1610">
          <cell r="B1610" t="str">
            <v>S-0269</v>
          </cell>
          <cell r="G1610" t="str">
            <v>Low</v>
          </cell>
          <cell r="L1610">
            <v>1</v>
          </cell>
        </row>
        <row r="1611">
          <cell r="B1611" t="str">
            <v>S-0269</v>
          </cell>
          <cell r="G1611" t="str">
            <v>Low</v>
          </cell>
          <cell r="L1611">
            <v>1</v>
          </cell>
        </row>
        <row r="1612">
          <cell r="B1612" t="str">
            <v>S-0269</v>
          </cell>
          <cell r="G1612" t="str">
            <v>High</v>
          </cell>
          <cell r="L1612">
            <v>3</v>
          </cell>
        </row>
        <row r="1613">
          <cell r="B1613" t="str">
            <v>S-0269</v>
          </cell>
          <cell r="G1613" t="str">
            <v>Low</v>
          </cell>
          <cell r="L1613">
            <v>1</v>
          </cell>
        </row>
        <row r="1614">
          <cell r="B1614" t="str">
            <v>S-0269</v>
          </cell>
          <cell r="G1614" t="str">
            <v>Low</v>
          </cell>
          <cell r="L1614">
            <v>1</v>
          </cell>
        </row>
        <row r="1615">
          <cell r="B1615" t="str">
            <v>S-0269</v>
          </cell>
          <cell r="G1615" t="str">
            <v>Low</v>
          </cell>
          <cell r="L1615">
            <v>1</v>
          </cell>
        </row>
        <row r="1616">
          <cell r="B1616" t="str">
            <v>S-0270</v>
          </cell>
          <cell r="G1616" t="str">
            <v>Medium</v>
          </cell>
          <cell r="L1616">
            <v>2</v>
          </cell>
        </row>
        <row r="1617">
          <cell r="B1617" t="str">
            <v>S-0270</v>
          </cell>
          <cell r="G1617" t="str">
            <v>Low</v>
          </cell>
          <cell r="L1617">
            <v>1</v>
          </cell>
        </row>
        <row r="1618">
          <cell r="B1618" t="str">
            <v>S-0270</v>
          </cell>
          <cell r="G1618" t="str">
            <v>Medium</v>
          </cell>
          <cell r="L1618">
            <v>2</v>
          </cell>
        </row>
        <row r="1619">
          <cell r="B1619" t="str">
            <v>S-0270</v>
          </cell>
          <cell r="G1619" t="str">
            <v>Low</v>
          </cell>
          <cell r="L1619">
            <v>1</v>
          </cell>
        </row>
        <row r="1620">
          <cell r="B1620" t="str">
            <v>S-0270</v>
          </cell>
          <cell r="G1620" t="str">
            <v>High</v>
          </cell>
          <cell r="L1620">
            <v>3</v>
          </cell>
        </row>
        <row r="1621">
          <cell r="B1621" t="str">
            <v>S-0270</v>
          </cell>
          <cell r="G1621" t="str">
            <v>Low</v>
          </cell>
          <cell r="L1621">
            <v>1</v>
          </cell>
        </row>
        <row r="1622">
          <cell r="B1622" t="str">
            <v>S-0271</v>
          </cell>
          <cell r="G1622" t="str">
            <v>Low</v>
          </cell>
          <cell r="L1622">
            <v>1</v>
          </cell>
        </row>
        <row r="1623">
          <cell r="B1623" t="str">
            <v>S-0271</v>
          </cell>
          <cell r="G1623" t="str">
            <v>Low</v>
          </cell>
          <cell r="L1623">
            <v>1</v>
          </cell>
        </row>
        <row r="1624">
          <cell r="B1624" t="str">
            <v>S-0271</v>
          </cell>
          <cell r="G1624" t="str">
            <v>Low</v>
          </cell>
          <cell r="L1624">
            <v>1</v>
          </cell>
        </row>
        <row r="1625">
          <cell r="B1625" t="str">
            <v>S-0271</v>
          </cell>
          <cell r="G1625" t="str">
            <v>Low</v>
          </cell>
          <cell r="L1625">
            <v>1</v>
          </cell>
        </row>
        <row r="1626">
          <cell r="B1626" t="str">
            <v>S-0271</v>
          </cell>
          <cell r="G1626" t="str">
            <v>Low</v>
          </cell>
          <cell r="L1626">
            <v>1</v>
          </cell>
        </row>
        <row r="1627">
          <cell r="B1627" t="str">
            <v>S-0271</v>
          </cell>
          <cell r="G1627" t="str">
            <v>Low</v>
          </cell>
          <cell r="L1627">
            <v>1</v>
          </cell>
        </row>
        <row r="1628">
          <cell r="B1628" t="str">
            <v>S-0272</v>
          </cell>
          <cell r="G1628" t="str">
            <v>High</v>
          </cell>
          <cell r="L1628">
            <v>3</v>
          </cell>
        </row>
        <row r="1629">
          <cell r="B1629" t="str">
            <v>S-0272</v>
          </cell>
          <cell r="G1629" t="str">
            <v>Low</v>
          </cell>
          <cell r="L1629">
            <v>1</v>
          </cell>
        </row>
        <row r="1630">
          <cell r="B1630" t="str">
            <v>S-0272</v>
          </cell>
          <cell r="G1630" t="str">
            <v>Low</v>
          </cell>
          <cell r="L1630">
            <v>1</v>
          </cell>
        </row>
        <row r="1631">
          <cell r="B1631" t="str">
            <v>S-0272</v>
          </cell>
          <cell r="G1631" t="str">
            <v>Low</v>
          </cell>
          <cell r="L1631">
            <v>1</v>
          </cell>
        </row>
        <row r="1632">
          <cell r="B1632" t="str">
            <v>S-0272</v>
          </cell>
          <cell r="G1632" t="str">
            <v>Medium</v>
          </cell>
          <cell r="L1632">
            <v>2</v>
          </cell>
        </row>
        <row r="1633">
          <cell r="B1633" t="str">
            <v>S-0272</v>
          </cell>
          <cell r="G1633" t="str">
            <v>High</v>
          </cell>
          <cell r="L1633">
            <v>3</v>
          </cell>
        </row>
        <row r="1634">
          <cell r="B1634" t="str">
            <v>S-0273</v>
          </cell>
          <cell r="G1634" t="str">
            <v>Low</v>
          </cell>
          <cell r="L1634">
            <v>1</v>
          </cell>
        </row>
        <row r="1635">
          <cell r="B1635" t="str">
            <v>S-0273</v>
          </cell>
          <cell r="G1635" t="str">
            <v>Low</v>
          </cell>
          <cell r="L1635">
            <v>1</v>
          </cell>
        </row>
        <row r="1636">
          <cell r="B1636" t="str">
            <v>S-0273</v>
          </cell>
          <cell r="G1636" t="str">
            <v>Low</v>
          </cell>
          <cell r="L1636">
            <v>1</v>
          </cell>
        </row>
        <row r="1637">
          <cell r="B1637" t="str">
            <v>S-0273</v>
          </cell>
          <cell r="G1637" t="str">
            <v>Medium</v>
          </cell>
          <cell r="L1637">
            <v>2</v>
          </cell>
        </row>
        <row r="1638">
          <cell r="B1638" t="str">
            <v>S-0273</v>
          </cell>
          <cell r="G1638" t="str">
            <v>Low</v>
          </cell>
          <cell r="L1638">
            <v>1</v>
          </cell>
        </row>
        <row r="1639">
          <cell r="B1639" t="str">
            <v>S-0273</v>
          </cell>
          <cell r="G1639" t="str">
            <v>Low</v>
          </cell>
          <cell r="L1639">
            <v>1</v>
          </cell>
        </row>
        <row r="1640">
          <cell r="B1640" t="str">
            <v>S-0274</v>
          </cell>
          <cell r="G1640" t="str">
            <v>Medium</v>
          </cell>
          <cell r="L1640">
            <v>2</v>
          </cell>
        </row>
        <row r="1641">
          <cell r="B1641" t="str">
            <v>S-0274</v>
          </cell>
          <cell r="G1641" t="str">
            <v>Low</v>
          </cell>
          <cell r="L1641">
            <v>1</v>
          </cell>
        </row>
        <row r="1642">
          <cell r="B1642" t="str">
            <v>S-0274</v>
          </cell>
          <cell r="G1642" t="str">
            <v>High</v>
          </cell>
          <cell r="L1642">
            <v>3</v>
          </cell>
        </row>
        <row r="1643">
          <cell r="B1643" t="str">
            <v>S-0274</v>
          </cell>
          <cell r="G1643" t="str">
            <v>Low</v>
          </cell>
          <cell r="L1643">
            <v>1</v>
          </cell>
        </row>
        <row r="1644">
          <cell r="B1644" t="str">
            <v>S-0274</v>
          </cell>
          <cell r="G1644" t="str">
            <v>Low</v>
          </cell>
          <cell r="L1644">
            <v>1</v>
          </cell>
        </row>
        <row r="1645">
          <cell r="B1645" t="str">
            <v>S-0274</v>
          </cell>
          <cell r="G1645" t="str">
            <v>Low</v>
          </cell>
          <cell r="L1645">
            <v>1</v>
          </cell>
        </row>
        <row r="1646">
          <cell r="B1646" t="str">
            <v>S-0275</v>
          </cell>
          <cell r="G1646" t="str">
            <v>Low</v>
          </cell>
          <cell r="L1646">
            <v>1</v>
          </cell>
        </row>
        <row r="1647">
          <cell r="B1647" t="str">
            <v>S-0275</v>
          </cell>
          <cell r="G1647" t="str">
            <v>Medium</v>
          </cell>
          <cell r="L1647">
            <v>2</v>
          </cell>
        </row>
        <row r="1648">
          <cell r="B1648" t="str">
            <v>S-0275</v>
          </cell>
          <cell r="G1648" t="str">
            <v>Medium</v>
          </cell>
          <cell r="L1648">
            <v>2</v>
          </cell>
        </row>
        <row r="1649">
          <cell r="B1649" t="str">
            <v>S-0275</v>
          </cell>
          <cell r="G1649" t="str">
            <v>Low</v>
          </cell>
          <cell r="L1649">
            <v>1</v>
          </cell>
        </row>
        <row r="1650">
          <cell r="B1650" t="str">
            <v>S-0275</v>
          </cell>
          <cell r="G1650" t="str">
            <v>Low</v>
          </cell>
          <cell r="L1650">
            <v>1</v>
          </cell>
        </row>
        <row r="1651">
          <cell r="B1651" t="str">
            <v>S-0275</v>
          </cell>
          <cell r="G1651" t="str">
            <v>Low</v>
          </cell>
          <cell r="L1651">
            <v>1</v>
          </cell>
        </row>
        <row r="1652">
          <cell r="B1652" t="str">
            <v>S-0276</v>
          </cell>
          <cell r="G1652" t="str">
            <v>High</v>
          </cell>
          <cell r="L1652">
            <v>3</v>
          </cell>
        </row>
        <row r="1653">
          <cell r="B1653" t="str">
            <v>S-0276</v>
          </cell>
          <cell r="G1653" t="str">
            <v>Low</v>
          </cell>
          <cell r="L1653">
            <v>1</v>
          </cell>
        </row>
        <row r="1654">
          <cell r="B1654" t="str">
            <v>S-0276</v>
          </cell>
          <cell r="G1654" t="str">
            <v>Low</v>
          </cell>
          <cell r="L1654">
            <v>1</v>
          </cell>
        </row>
        <row r="1655">
          <cell r="B1655" t="str">
            <v>S-0276</v>
          </cell>
          <cell r="G1655" t="str">
            <v>Low</v>
          </cell>
          <cell r="L1655">
            <v>1</v>
          </cell>
        </row>
        <row r="1656">
          <cell r="B1656" t="str">
            <v>S-0276</v>
          </cell>
          <cell r="G1656" t="str">
            <v>Low</v>
          </cell>
          <cell r="L1656">
            <v>1</v>
          </cell>
        </row>
        <row r="1657">
          <cell r="B1657" t="str">
            <v>S-0276</v>
          </cell>
          <cell r="G1657" t="str">
            <v>Low</v>
          </cell>
          <cell r="L1657">
            <v>1</v>
          </cell>
        </row>
        <row r="1658">
          <cell r="B1658" t="str">
            <v>S-0277</v>
          </cell>
          <cell r="G1658" t="str">
            <v>Low</v>
          </cell>
          <cell r="L1658">
            <v>1</v>
          </cell>
        </row>
        <row r="1659">
          <cell r="B1659" t="str">
            <v>S-0277</v>
          </cell>
          <cell r="G1659" t="str">
            <v>Medium</v>
          </cell>
          <cell r="L1659">
            <v>2</v>
          </cell>
        </row>
        <row r="1660">
          <cell r="B1660" t="str">
            <v>S-0277</v>
          </cell>
          <cell r="G1660" t="str">
            <v>Medium</v>
          </cell>
          <cell r="L1660">
            <v>2</v>
          </cell>
        </row>
        <row r="1661">
          <cell r="B1661" t="str">
            <v>S-0277</v>
          </cell>
          <cell r="G1661" t="str">
            <v>Low</v>
          </cell>
          <cell r="L1661">
            <v>1</v>
          </cell>
        </row>
        <row r="1662">
          <cell r="B1662" t="str">
            <v>S-0277</v>
          </cell>
          <cell r="G1662" t="str">
            <v>Medium</v>
          </cell>
          <cell r="L1662">
            <v>2</v>
          </cell>
        </row>
        <row r="1663">
          <cell r="B1663" t="str">
            <v>S-0277</v>
          </cell>
          <cell r="G1663" t="str">
            <v>Low</v>
          </cell>
          <cell r="L1663">
            <v>1</v>
          </cell>
        </row>
        <row r="1664">
          <cell r="B1664" t="str">
            <v>S-0278</v>
          </cell>
          <cell r="G1664" t="str">
            <v>Medium</v>
          </cell>
          <cell r="L1664">
            <v>2</v>
          </cell>
        </row>
        <row r="1665">
          <cell r="B1665" t="str">
            <v>S-0278</v>
          </cell>
          <cell r="G1665" t="str">
            <v>Low</v>
          </cell>
          <cell r="L1665">
            <v>1</v>
          </cell>
        </row>
        <row r="1666">
          <cell r="B1666" t="str">
            <v>S-0278</v>
          </cell>
          <cell r="G1666" t="str">
            <v>Low</v>
          </cell>
          <cell r="L1666">
            <v>1</v>
          </cell>
        </row>
        <row r="1667">
          <cell r="B1667" t="str">
            <v>S-0278</v>
          </cell>
          <cell r="G1667" t="str">
            <v>Low</v>
          </cell>
          <cell r="L1667">
            <v>1</v>
          </cell>
        </row>
        <row r="1668">
          <cell r="B1668" t="str">
            <v>S-0278</v>
          </cell>
          <cell r="G1668" t="str">
            <v>High</v>
          </cell>
          <cell r="L1668">
            <v>3</v>
          </cell>
        </row>
        <row r="1669">
          <cell r="B1669" t="str">
            <v>S-0278</v>
          </cell>
          <cell r="G1669" t="str">
            <v>Low</v>
          </cell>
          <cell r="L1669">
            <v>1</v>
          </cell>
        </row>
        <row r="1670">
          <cell r="B1670" t="str">
            <v>S-0279</v>
          </cell>
          <cell r="G1670" t="str">
            <v>Low</v>
          </cell>
          <cell r="L1670">
            <v>1</v>
          </cell>
        </row>
        <row r="1671">
          <cell r="B1671" t="str">
            <v>S-0279</v>
          </cell>
          <cell r="G1671" t="str">
            <v>High</v>
          </cell>
          <cell r="L1671">
            <v>3</v>
          </cell>
        </row>
        <row r="1672">
          <cell r="B1672" t="str">
            <v>S-0279</v>
          </cell>
          <cell r="G1672" t="str">
            <v>Low</v>
          </cell>
          <cell r="L1672">
            <v>1</v>
          </cell>
        </row>
        <row r="1673">
          <cell r="B1673" t="str">
            <v>S-0279</v>
          </cell>
          <cell r="G1673" t="str">
            <v>Medium</v>
          </cell>
          <cell r="L1673">
            <v>2</v>
          </cell>
        </row>
        <row r="1674">
          <cell r="B1674" t="str">
            <v>S-0279</v>
          </cell>
          <cell r="G1674" t="str">
            <v>Low</v>
          </cell>
          <cell r="L1674">
            <v>1</v>
          </cell>
        </row>
        <row r="1675">
          <cell r="B1675" t="str">
            <v>S-0279</v>
          </cell>
          <cell r="G1675" t="str">
            <v>Medium</v>
          </cell>
          <cell r="L1675">
            <v>2</v>
          </cell>
        </row>
        <row r="1676">
          <cell r="B1676" t="str">
            <v>S-0280</v>
          </cell>
          <cell r="G1676" t="str">
            <v>Medium</v>
          </cell>
          <cell r="L1676">
            <v>2</v>
          </cell>
        </row>
        <row r="1677">
          <cell r="B1677" t="str">
            <v>S-0280</v>
          </cell>
          <cell r="G1677" t="str">
            <v>High</v>
          </cell>
          <cell r="L1677">
            <v>3</v>
          </cell>
        </row>
        <row r="1678">
          <cell r="B1678" t="str">
            <v>S-0280</v>
          </cell>
          <cell r="G1678" t="str">
            <v>Low</v>
          </cell>
          <cell r="L1678">
            <v>1</v>
          </cell>
        </row>
        <row r="1679">
          <cell r="B1679" t="str">
            <v>S-0280</v>
          </cell>
          <cell r="G1679" t="str">
            <v>Low</v>
          </cell>
          <cell r="L1679">
            <v>1</v>
          </cell>
        </row>
        <row r="1680">
          <cell r="B1680" t="str">
            <v>S-0280</v>
          </cell>
          <cell r="G1680" t="str">
            <v>Low</v>
          </cell>
          <cell r="L1680">
            <v>1</v>
          </cell>
        </row>
        <row r="1681">
          <cell r="B1681" t="str">
            <v>S-0280</v>
          </cell>
          <cell r="G1681" t="str">
            <v>Medium</v>
          </cell>
          <cell r="L1681">
            <v>2</v>
          </cell>
        </row>
        <row r="1682">
          <cell r="B1682" t="str">
            <v>S-0281</v>
          </cell>
          <cell r="G1682" t="str">
            <v>Low</v>
          </cell>
          <cell r="L1682">
            <v>1</v>
          </cell>
        </row>
        <row r="1683">
          <cell r="B1683" t="str">
            <v>S-0281</v>
          </cell>
          <cell r="G1683" t="str">
            <v>Low</v>
          </cell>
          <cell r="L1683">
            <v>1</v>
          </cell>
        </row>
        <row r="1684">
          <cell r="B1684" t="str">
            <v>S-0281</v>
          </cell>
          <cell r="G1684" t="str">
            <v>Low</v>
          </cell>
          <cell r="L1684">
            <v>1</v>
          </cell>
        </row>
        <row r="1685">
          <cell r="B1685" t="str">
            <v>S-0281</v>
          </cell>
          <cell r="G1685" t="str">
            <v>High</v>
          </cell>
          <cell r="L1685">
            <v>3</v>
          </cell>
        </row>
        <row r="1686">
          <cell r="B1686" t="str">
            <v>S-0281</v>
          </cell>
          <cell r="G1686" t="str">
            <v>Low</v>
          </cell>
          <cell r="L1686">
            <v>1</v>
          </cell>
        </row>
        <row r="1687">
          <cell r="B1687" t="str">
            <v>S-0281</v>
          </cell>
          <cell r="G1687" t="str">
            <v>Low</v>
          </cell>
          <cell r="L1687">
            <v>1</v>
          </cell>
        </row>
        <row r="1688">
          <cell r="B1688" t="str">
            <v>S-0282</v>
          </cell>
          <cell r="G1688" t="str">
            <v>Medium</v>
          </cell>
          <cell r="L1688">
            <v>2</v>
          </cell>
        </row>
        <row r="1689">
          <cell r="B1689" t="str">
            <v>S-0282</v>
          </cell>
          <cell r="G1689" t="str">
            <v>High</v>
          </cell>
          <cell r="L1689">
            <v>3</v>
          </cell>
        </row>
        <row r="1690">
          <cell r="B1690" t="str">
            <v>S-0282</v>
          </cell>
          <cell r="G1690" t="str">
            <v>Medium</v>
          </cell>
          <cell r="L1690">
            <v>2</v>
          </cell>
        </row>
        <row r="1691">
          <cell r="B1691" t="str">
            <v>S-0282</v>
          </cell>
          <cell r="G1691" t="str">
            <v>Medium</v>
          </cell>
          <cell r="L1691">
            <v>2</v>
          </cell>
        </row>
        <row r="1692">
          <cell r="B1692" t="str">
            <v>S-0282</v>
          </cell>
          <cell r="G1692" t="str">
            <v>Low</v>
          </cell>
          <cell r="L1692">
            <v>1</v>
          </cell>
        </row>
        <row r="1693">
          <cell r="B1693" t="str">
            <v>S-0282</v>
          </cell>
          <cell r="G1693" t="str">
            <v>Low</v>
          </cell>
          <cell r="L1693">
            <v>1</v>
          </cell>
        </row>
        <row r="1694">
          <cell r="B1694" t="str">
            <v>S-0283</v>
          </cell>
          <cell r="G1694" t="str">
            <v>Medium</v>
          </cell>
          <cell r="L1694">
            <v>2</v>
          </cell>
        </row>
        <row r="1695">
          <cell r="B1695" t="str">
            <v>S-0283</v>
          </cell>
          <cell r="G1695" t="str">
            <v>Low</v>
          </cell>
          <cell r="L1695">
            <v>1</v>
          </cell>
        </row>
        <row r="1696">
          <cell r="B1696" t="str">
            <v>S-0283</v>
          </cell>
          <cell r="G1696" t="str">
            <v>Low</v>
          </cell>
          <cell r="L1696">
            <v>1</v>
          </cell>
        </row>
        <row r="1697">
          <cell r="B1697" t="str">
            <v>S-0283</v>
          </cell>
          <cell r="G1697" t="str">
            <v>Low</v>
          </cell>
          <cell r="L1697">
            <v>1</v>
          </cell>
        </row>
        <row r="1698">
          <cell r="B1698" t="str">
            <v>S-0283</v>
          </cell>
          <cell r="G1698" t="str">
            <v>Low</v>
          </cell>
          <cell r="L1698">
            <v>1</v>
          </cell>
        </row>
        <row r="1699">
          <cell r="B1699" t="str">
            <v>S-0283</v>
          </cell>
          <cell r="G1699" t="str">
            <v>High</v>
          </cell>
          <cell r="L1699">
            <v>3</v>
          </cell>
        </row>
        <row r="1700">
          <cell r="B1700" t="str">
            <v>S-0284</v>
          </cell>
          <cell r="G1700" t="str">
            <v>Low</v>
          </cell>
          <cell r="L1700">
            <v>1</v>
          </cell>
        </row>
        <row r="1701">
          <cell r="B1701" t="str">
            <v>S-0284</v>
          </cell>
          <cell r="G1701" t="str">
            <v>Low</v>
          </cell>
          <cell r="L1701">
            <v>1</v>
          </cell>
        </row>
        <row r="1702">
          <cell r="B1702" t="str">
            <v>S-0284</v>
          </cell>
          <cell r="G1702" t="str">
            <v>Low</v>
          </cell>
          <cell r="L1702">
            <v>1</v>
          </cell>
        </row>
        <row r="1703">
          <cell r="B1703" t="str">
            <v>S-0284</v>
          </cell>
          <cell r="G1703" t="str">
            <v>Medium</v>
          </cell>
          <cell r="L1703">
            <v>2</v>
          </cell>
        </row>
        <row r="1704">
          <cell r="B1704" t="str">
            <v>S-0284</v>
          </cell>
          <cell r="G1704" t="str">
            <v>Medium</v>
          </cell>
          <cell r="L1704">
            <v>2</v>
          </cell>
        </row>
        <row r="1705">
          <cell r="B1705" t="str">
            <v>S-0284</v>
          </cell>
          <cell r="G1705" t="str">
            <v>Low</v>
          </cell>
          <cell r="L1705">
            <v>1</v>
          </cell>
        </row>
        <row r="1706">
          <cell r="B1706" t="str">
            <v>S-0285</v>
          </cell>
          <cell r="G1706" t="str">
            <v>Low</v>
          </cell>
          <cell r="L1706">
            <v>1</v>
          </cell>
        </row>
        <row r="1707">
          <cell r="B1707" t="str">
            <v>S-0285</v>
          </cell>
          <cell r="G1707" t="str">
            <v>Low</v>
          </cell>
          <cell r="L1707">
            <v>1</v>
          </cell>
        </row>
        <row r="1708">
          <cell r="B1708" t="str">
            <v>S-0285</v>
          </cell>
          <cell r="G1708" t="str">
            <v>Low</v>
          </cell>
          <cell r="L1708">
            <v>1</v>
          </cell>
        </row>
        <row r="1709">
          <cell r="B1709" t="str">
            <v>S-0285</v>
          </cell>
          <cell r="G1709" t="str">
            <v>Low</v>
          </cell>
          <cell r="L1709">
            <v>1</v>
          </cell>
        </row>
        <row r="1710">
          <cell r="B1710" t="str">
            <v>S-0285</v>
          </cell>
          <cell r="G1710" t="str">
            <v>Medium</v>
          </cell>
          <cell r="L1710">
            <v>2</v>
          </cell>
        </row>
        <row r="1711">
          <cell r="B1711" t="str">
            <v>S-0285</v>
          </cell>
          <cell r="G1711" t="str">
            <v>Medium</v>
          </cell>
          <cell r="L1711">
            <v>2</v>
          </cell>
        </row>
        <row r="1712">
          <cell r="B1712" t="str">
            <v>S-0286</v>
          </cell>
          <cell r="G1712" t="str">
            <v>High</v>
          </cell>
          <cell r="L1712">
            <v>3</v>
          </cell>
        </row>
        <row r="1713">
          <cell r="B1713" t="str">
            <v>S-0286</v>
          </cell>
          <cell r="G1713" t="str">
            <v>High</v>
          </cell>
          <cell r="L1713">
            <v>3</v>
          </cell>
        </row>
        <row r="1714">
          <cell r="B1714" t="str">
            <v>S-0286</v>
          </cell>
          <cell r="G1714" t="str">
            <v>Medium</v>
          </cell>
          <cell r="L1714">
            <v>2</v>
          </cell>
        </row>
        <row r="1715">
          <cell r="B1715" t="str">
            <v>S-0286</v>
          </cell>
          <cell r="G1715" t="str">
            <v>Low</v>
          </cell>
          <cell r="L1715">
            <v>1</v>
          </cell>
        </row>
        <row r="1716">
          <cell r="B1716" t="str">
            <v>S-0286</v>
          </cell>
          <cell r="G1716" t="str">
            <v>Low</v>
          </cell>
          <cell r="L1716">
            <v>1</v>
          </cell>
        </row>
        <row r="1717">
          <cell r="B1717" t="str">
            <v>S-0286</v>
          </cell>
          <cell r="G1717" t="str">
            <v>Medium</v>
          </cell>
          <cell r="L1717">
            <v>2</v>
          </cell>
        </row>
        <row r="1718">
          <cell r="B1718" t="str">
            <v>S-0287</v>
          </cell>
          <cell r="G1718" t="str">
            <v>Low</v>
          </cell>
          <cell r="L1718">
            <v>1</v>
          </cell>
        </row>
        <row r="1719">
          <cell r="B1719" t="str">
            <v>S-0287</v>
          </cell>
          <cell r="G1719" t="str">
            <v>High</v>
          </cell>
          <cell r="L1719">
            <v>3</v>
          </cell>
        </row>
        <row r="1720">
          <cell r="B1720" t="str">
            <v>S-0287</v>
          </cell>
          <cell r="G1720" t="str">
            <v>Low</v>
          </cell>
          <cell r="L1720">
            <v>1</v>
          </cell>
        </row>
        <row r="1721">
          <cell r="B1721" t="str">
            <v>S-0287</v>
          </cell>
          <cell r="G1721" t="str">
            <v>Medium</v>
          </cell>
          <cell r="L1721">
            <v>2</v>
          </cell>
        </row>
        <row r="1722">
          <cell r="B1722" t="str">
            <v>S-0287</v>
          </cell>
          <cell r="G1722" t="str">
            <v>Low</v>
          </cell>
          <cell r="L1722">
            <v>1</v>
          </cell>
        </row>
        <row r="1723">
          <cell r="B1723" t="str">
            <v>S-0287</v>
          </cell>
          <cell r="G1723" t="str">
            <v>Low</v>
          </cell>
          <cell r="L1723">
            <v>1</v>
          </cell>
        </row>
        <row r="1724">
          <cell r="B1724" t="str">
            <v>S-0288</v>
          </cell>
          <cell r="G1724" t="str">
            <v>Low</v>
          </cell>
          <cell r="L1724">
            <v>1</v>
          </cell>
        </row>
        <row r="1725">
          <cell r="B1725" t="str">
            <v>S-0288</v>
          </cell>
          <cell r="G1725" t="str">
            <v>Medium</v>
          </cell>
          <cell r="L1725">
            <v>2</v>
          </cell>
        </row>
        <row r="1726">
          <cell r="B1726" t="str">
            <v>S-0288</v>
          </cell>
          <cell r="G1726" t="str">
            <v>Low</v>
          </cell>
          <cell r="L1726">
            <v>1</v>
          </cell>
        </row>
        <row r="1727">
          <cell r="B1727" t="str">
            <v>S-0288</v>
          </cell>
          <cell r="G1727" t="str">
            <v>Low</v>
          </cell>
          <cell r="L1727">
            <v>1</v>
          </cell>
        </row>
        <row r="1728">
          <cell r="B1728" t="str">
            <v>S-0288</v>
          </cell>
          <cell r="G1728" t="str">
            <v>Low</v>
          </cell>
          <cell r="L1728">
            <v>1</v>
          </cell>
        </row>
        <row r="1729">
          <cell r="B1729" t="str">
            <v>S-0288</v>
          </cell>
          <cell r="G1729" t="str">
            <v>Medium</v>
          </cell>
          <cell r="L1729">
            <v>2</v>
          </cell>
        </row>
        <row r="1730">
          <cell r="B1730" t="str">
            <v>S-0289</v>
          </cell>
          <cell r="G1730" t="str">
            <v>Low</v>
          </cell>
          <cell r="L1730">
            <v>1</v>
          </cell>
        </row>
        <row r="1731">
          <cell r="B1731" t="str">
            <v>S-0289</v>
          </cell>
          <cell r="G1731" t="str">
            <v>Medium</v>
          </cell>
          <cell r="L1731">
            <v>2</v>
          </cell>
        </row>
        <row r="1732">
          <cell r="B1732" t="str">
            <v>S-0289</v>
          </cell>
          <cell r="G1732" t="str">
            <v>Low</v>
          </cell>
          <cell r="L1732">
            <v>1</v>
          </cell>
        </row>
        <row r="1733">
          <cell r="B1733" t="str">
            <v>S-0289</v>
          </cell>
          <cell r="G1733" t="str">
            <v>Low</v>
          </cell>
          <cell r="L1733">
            <v>1</v>
          </cell>
        </row>
        <row r="1734">
          <cell r="B1734" t="str">
            <v>S-0289</v>
          </cell>
          <cell r="G1734" t="str">
            <v>Low</v>
          </cell>
          <cell r="L1734">
            <v>1</v>
          </cell>
        </row>
        <row r="1735">
          <cell r="B1735" t="str">
            <v>S-0289</v>
          </cell>
          <cell r="G1735" t="str">
            <v>Low</v>
          </cell>
          <cell r="L1735">
            <v>1</v>
          </cell>
        </row>
        <row r="1736">
          <cell r="B1736" t="str">
            <v>S-0290</v>
          </cell>
          <cell r="G1736" t="str">
            <v>Low</v>
          </cell>
          <cell r="L1736">
            <v>1</v>
          </cell>
        </row>
        <row r="1737">
          <cell r="B1737" t="str">
            <v>S-0290</v>
          </cell>
          <cell r="G1737" t="str">
            <v>Medium</v>
          </cell>
          <cell r="L1737">
            <v>2</v>
          </cell>
        </row>
        <row r="1738">
          <cell r="B1738" t="str">
            <v>S-0290</v>
          </cell>
          <cell r="G1738" t="str">
            <v>Low</v>
          </cell>
          <cell r="L1738">
            <v>1</v>
          </cell>
        </row>
        <row r="1739">
          <cell r="B1739" t="str">
            <v>S-0290</v>
          </cell>
          <cell r="G1739" t="str">
            <v>Medium</v>
          </cell>
          <cell r="L1739">
            <v>2</v>
          </cell>
        </row>
        <row r="1740">
          <cell r="B1740" t="str">
            <v>S-0290</v>
          </cell>
          <cell r="G1740" t="str">
            <v>Low</v>
          </cell>
          <cell r="L1740">
            <v>1</v>
          </cell>
        </row>
        <row r="1741">
          <cell r="B1741" t="str">
            <v>S-0290</v>
          </cell>
          <cell r="G1741" t="str">
            <v>Medium</v>
          </cell>
          <cell r="L1741">
            <v>2</v>
          </cell>
        </row>
        <row r="1742">
          <cell r="B1742" t="str">
            <v>S-0291</v>
          </cell>
          <cell r="G1742" t="str">
            <v>Low</v>
          </cell>
          <cell r="L1742">
            <v>1</v>
          </cell>
        </row>
        <row r="1743">
          <cell r="B1743" t="str">
            <v>S-0291</v>
          </cell>
          <cell r="G1743" t="str">
            <v>Low</v>
          </cell>
          <cell r="L1743">
            <v>1</v>
          </cell>
        </row>
        <row r="1744">
          <cell r="B1744" t="str">
            <v>S-0291</v>
          </cell>
          <cell r="G1744" t="str">
            <v>Low</v>
          </cell>
          <cell r="L1744">
            <v>1</v>
          </cell>
        </row>
        <row r="1745">
          <cell r="B1745" t="str">
            <v>S-0291</v>
          </cell>
          <cell r="G1745" t="str">
            <v>Medium</v>
          </cell>
          <cell r="L1745">
            <v>2</v>
          </cell>
        </row>
        <row r="1746">
          <cell r="B1746" t="str">
            <v>S-0291</v>
          </cell>
          <cell r="G1746" t="str">
            <v>Medium</v>
          </cell>
          <cell r="L1746">
            <v>2</v>
          </cell>
        </row>
        <row r="1747">
          <cell r="B1747" t="str">
            <v>S-0291</v>
          </cell>
          <cell r="G1747" t="str">
            <v>Low</v>
          </cell>
          <cell r="L1747">
            <v>1</v>
          </cell>
        </row>
        <row r="1748">
          <cell r="B1748" t="str">
            <v>S-0292</v>
          </cell>
          <cell r="G1748" t="str">
            <v>High</v>
          </cell>
          <cell r="L1748">
            <v>3</v>
          </cell>
        </row>
        <row r="1749">
          <cell r="B1749" t="str">
            <v>S-0292</v>
          </cell>
          <cell r="G1749" t="str">
            <v>Medium</v>
          </cell>
          <cell r="L1749">
            <v>2</v>
          </cell>
        </row>
        <row r="1750">
          <cell r="B1750" t="str">
            <v>S-0292</v>
          </cell>
          <cell r="G1750" t="str">
            <v>Medium</v>
          </cell>
          <cell r="L1750">
            <v>2</v>
          </cell>
        </row>
        <row r="1751">
          <cell r="B1751" t="str">
            <v>S-0292</v>
          </cell>
          <cell r="G1751" t="str">
            <v>Low</v>
          </cell>
          <cell r="L1751">
            <v>1</v>
          </cell>
        </row>
        <row r="1752">
          <cell r="B1752" t="str">
            <v>S-0292</v>
          </cell>
          <cell r="G1752" t="str">
            <v>High</v>
          </cell>
          <cell r="L1752">
            <v>3</v>
          </cell>
        </row>
        <row r="1753">
          <cell r="B1753" t="str">
            <v>S-0292</v>
          </cell>
          <cell r="G1753" t="str">
            <v>Medium</v>
          </cell>
          <cell r="L1753">
            <v>2</v>
          </cell>
        </row>
        <row r="1754">
          <cell r="B1754" t="str">
            <v>S-0293</v>
          </cell>
          <cell r="G1754" t="str">
            <v>Low</v>
          </cell>
          <cell r="L1754">
            <v>1</v>
          </cell>
        </row>
        <row r="1755">
          <cell r="B1755" t="str">
            <v>S-0293</v>
          </cell>
          <cell r="G1755" t="str">
            <v>Medium</v>
          </cell>
          <cell r="L1755">
            <v>2</v>
          </cell>
        </row>
        <row r="1756">
          <cell r="B1756" t="str">
            <v>S-0293</v>
          </cell>
          <cell r="G1756" t="str">
            <v>Low</v>
          </cell>
          <cell r="L1756">
            <v>1</v>
          </cell>
        </row>
        <row r="1757">
          <cell r="B1757" t="str">
            <v>S-0293</v>
          </cell>
          <cell r="G1757" t="str">
            <v>Low</v>
          </cell>
          <cell r="L1757">
            <v>1</v>
          </cell>
        </row>
        <row r="1758">
          <cell r="B1758" t="str">
            <v>S-0293</v>
          </cell>
          <cell r="G1758" t="str">
            <v>Low</v>
          </cell>
          <cell r="L1758">
            <v>1</v>
          </cell>
        </row>
        <row r="1759">
          <cell r="B1759" t="str">
            <v>S-0293</v>
          </cell>
          <cell r="G1759" t="str">
            <v>Low</v>
          </cell>
          <cell r="L1759">
            <v>1</v>
          </cell>
        </row>
        <row r="1760">
          <cell r="B1760" t="str">
            <v>S-0294</v>
          </cell>
          <cell r="G1760" t="str">
            <v>Medium</v>
          </cell>
          <cell r="L1760">
            <v>2</v>
          </cell>
        </row>
        <row r="1761">
          <cell r="B1761" t="str">
            <v>S-0294</v>
          </cell>
          <cell r="G1761" t="str">
            <v>Medium</v>
          </cell>
          <cell r="L1761">
            <v>2</v>
          </cell>
        </row>
        <row r="1762">
          <cell r="B1762" t="str">
            <v>S-0294</v>
          </cell>
          <cell r="G1762" t="str">
            <v>Medium</v>
          </cell>
          <cell r="L1762">
            <v>2</v>
          </cell>
        </row>
        <row r="1763">
          <cell r="B1763" t="str">
            <v>S-0294</v>
          </cell>
          <cell r="G1763" t="str">
            <v>Medium</v>
          </cell>
          <cell r="L1763">
            <v>2</v>
          </cell>
        </row>
        <row r="1764">
          <cell r="B1764" t="str">
            <v>S-0294</v>
          </cell>
          <cell r="G1764" t="str">
            <v>Low</v>
          </cell>
          <cell r="L1764">
            <v>1</v>
          </cell>
        </row>
        <row r="1765">
          <cell r="B1765" t="str">
            <v>S-0294</v>
          </cell>
          <cell r="G1765" t="str">
            <v>Low</v>
          </cell>
          <cell r="L1765">
            <v>1</v>
          </cell>
        </row>
        <row r="1766">
          <cell r="B1766" t="str">
            <v>S-0295</v>
          </cell>
          <cell r="G1766" t="str">
            <v>High</v>
          </cell>
          <cell r="L1766">
            <v>3</v>
          </cell>
        </row>
        <row r="1767">
          <cell r="B1767" t="str">
            <v>S-0295</v>
          </cell>
          <cell r="G1767" t="str">
            <v>High</v>
          </cell>
          <cell r="L1767">
            <v>3</v>
          </cell>
        </row>
        <row r="1768">
          <cell r="B1768" t="str">
            <v>S-0295</v>
          </cell>
          <cell r="G1768" t="str">
            <v>Low</v>
          </cell>
          <cell r="L1768">
            <v>1</v>
          </cell>
        </row>
        <row r="1769">
          <cell r="B1769" t="str">
            <v>S-0295</v>
          </cell>
          <cell r="G1769" t="str">
            <v>Medium</v>
          </cell>
          <cell r="L1769">
            <v>2</v>
          </cell>
        </row>
        <row r="1770">
          <cell r="B1770" t="str">
            <v>S-0295</v>
          </cell>
          <cell r="G1770" t="str">
            <v>Low</v>
          </cell>
          <cell r="L1770">
            <v>1</v>
          </cell>
        </row>
        <row r="1771">
          <cell r="B1771" t="str">
            <v>S-0295</v>
          </cell>
          <cell r="G1771" t="str">
            <v>Low</v>
          </cell>
          <cell r="L1771">
            <v>1</v>
          </cell>
        </row>
        <row r="1772">
          <cell r="B1772" t="str">
            <v>S-0296</v>
          </cell>
          <cell r="G1772" t="str">
            <v>High</v>
          </cell>
          <cell r="L1772">
            <v>3</v>
          </cell>
        </row>
        <row r="1773">
          <cell r="B1773" t="str">
            <v>S-0296</v>
          </cell>
          <cell r="G1773" t="str">
            <v>Medium</v>
          </cell>
          <cell r="L1773">
            <v>2</v>
          </cell>
        </row>
        <row r="1774">
          <cell r="B1774" t="str">
            <v>S-0296</v>
          </cell>
          <cell r="G1774" t="str">
            <v>High</v>
          </cell>
          <cell r="L1774">
            <v>3</v>
          </cell>
        </row>
        <row r="1775">
          <cell r="B1775" t="str">
            <v>S-0296</v>
          </cell>
          <cell r="G1775" t="str">
            <v>Medium</v>
          </cell>
          <cell r="L1775">
            <v>2</v>
          </cell>
        </row>
        <row r="1776">
          <cell r="B1776" t="str">
            <v>S-0296</v>
          </cell>
          <cell r="G1776" t="str">
            <v>Low</v>
          </cell>
          <cell r="L1776">
            <v>1</v>
          </cell>
        </row>
        <row r="1777">
          <cell r="B1777" t="str">
            <v>S-0296</v>
          </cell>
          <cell r="G1777" t="str">
            <v>Low</v>
          </cell>
          <cell r="L1777">
            <v>1</v>
          </cell>
        </row>
        <row r="1778">
          <cell r="B1778" t="str">
            <v>S-0297</v>
          </cell>
          <cell r="G1778" t="str">
            <v>High</v>
          </cell>
          <cell r="L1778">
            <v>3</v>
          </cell>
        </row>
        <row r="1779">
          <cell r="B1779" t="str">
            <v>S-0297</v>
          </cell>
          <cell r="G1779" t="str">
            <v>Low</v>
          </cell>
          <cell r="L1779">
            <v>1</v>
          </cell>
        </row>
        <row r="1780">
          <cell r="B1780" t="str">
            <v>S-0297</v>
          </cell>
          <cell r="G1780" t="str">
            <v>Low</v>
          </cell>
          <cell r="L1780">
            <v>1</v>
          </cell>
        </row>
        <row r="1781">
          <cell r="B1781" t="str">
            <v>S-0297</v>
          </cell>
          <cell r="G1781" t="str">
            <v>Medium</v>
          </cell>
          <cell r="L1781">
            <v>2</v>
          </cell>
        </row>
        <row r="1782">
          <cell r="B1782" t="str">
            <v>S-0297</v>
          </cell>
          <cell r="G1782" t="str">
            <v>High</v>
          </cell>
          <cell r="L1782">
            <v>3</v>
          </cell>
        </row>
        <row r="1783">
          <cell r="B1783" t="str">
            <v>S-0297</v>
          </cell>
          <cell r="G1783" t="str">
            <v>Medium</v>
          </cell>
          <cell r="L1783">
            <v>2</v>
          </cell>
        </row>
        <row r="1784">
          <cell r="B1784" t="str">
            <v>S-0298</v>
          </cell>
          <cell r="G1784" t="str">
            <v>Low</v>
          </cell>
          <cell r="L1784">
            <v>1</v>
          </cell>
        </row>
        <row r="1785">
          <cell r="B1785" t="str">
            <v>S-0298</v>
          </cell>
          <cell r="G1785" t="str">
            <v>Low</v>
          </cell>
          <cell r="L1785">
            <v>1</v>
          </cell>
        </row>
        <row r="1786">
          <cell r="B1786" t="str">
            <v>S-0298</v>
          </cell>
          <cell r="G1786" t="str">
            <v>Low</v>
          </cell>
          <cell r="L1786">
            <v>1</v>
          </cell>
        </row>
        <row r="1787">
          <cell r="B1787" t="str">
            <v>S-0298</v>
          </cell>
          <cell r="G1787" t="str">
            <v>Medium</v>
          </cell>
          <cell r="L1787">
            <v>2</v>
          </cell>
        </row>
        <row r="1788">
          <cell r="B1788" t="str">
            <v>S-0298</v>
          </cell>
          <cell r="G1788" t="str">
            <v>Medium</v>
          </cell>
          <cell r="L1788">
            <v>2</v>
          </cell>
        </row>
        <row r="1789">
          <cell r="B1789" t="str">
            <v>S-0298</v>
          </cell>
          <cell r="G1789" t="str">
            <v>Medium</v>
          </cell>
          <cell r="L1789">
            <v>2</v>
          </cell>
        </row>
        <row r="1790">
          <cell r="B1790" t="str">
            <v>S-0299</v>
          </cell>
          <cell r="G1790" t="str">
            <v>Low</v>
          </cell>
          <cell r="L1790">
            <v>1</v>
          </cell>
        </row>
        <row r="1791">
          <cell r="B1791" t="str">
            <v>S-0299</v>
          </cell>
          <cell r="G1791" t="str">
            <v>Low</v>
          </cell>
          <cell r="L1791">
            <v>1</v>
          </cell>
        </row>
        <row r="1792">
          <cell r="B1792" t="str">
            <v>S-0299</v>
          </cell>
          <cell r="G1792" t="str">
            <v>Low</v>
          </cell>
          <cell r="L1792">
            <v>1</v>
          </cell>
        </row>
        <row r="1793">
          <cell r="B1793" t="str">
            <v>S-0299</v>
          </cell>
          <cell r="G1793" t="str">
            <v>Low</v>
          </cell>
          <cell r="L1793">
            <v>1</v>
          </cell>
        </row>
        <row r="1794">
          <cell r="B1794" t="str">
            <v>S-0299</v>
          </cell>
          <cell r="G1794" t="str">
            <v>High</v>
          </cell>
          <cell r="L1794">
            <v>3</v>
          </cell>
        </row>
        <row r="1795">
          <cell r="B1795" t="str">
            <v>S-0299</v>
          </cell>
          <cell r="G1795" t="str">
            <v>Low</v>
          </cell>
          <cell r="L1795">
            <v>1</v>
          </cell>
        </row>
        <row r="1796">
          <cell r="B1796" t="str">
            <v>S-0300</v>
          </cell>
          <cell r="G1796" t="str">
            <v>Low</v>
          </cell>
          <cell r="L1796">
            <v>1</v>
          </cell>
        </row>
        <row r="1797">
          <cell r="B1797" t="str">
            <v>S-0300</v>
          </cell>
          <cell r="G1797" t="str">
            <v>Low</v>
          </cell>
          <cell r="L1797">
            <v>1</v>
          </cell>
        </row>
        <row r="1798">
          <cell r="B1798" t="str">
            <v>S-0300</v>
          </cell>
          <cell r="G1798" t="str">
            <v>Low</v>
          </cell>
          <cell r="L1798">
            <v>1</v>
          </cell>
        </row>
        <row r="1799">
          <cell r="B1799" t="str">
            <v>S-0300</v>
          </cell>
          <cell r="G1799" t="str">
            <v>Low</v>
          </cell>
          <cell r="L1799">
            <v>1</v>
          </cell>
        </row>
        <row r="1800">
          <cell r="B1800" t="str">
            <v>S-0300</v>
          </cell>
          <cell r="G1800" t="str">
            <v>Low</v>
          </cell>
          <cell r="L1800">
            <v>1</v>
          </cell>
        </row>
        <row r="1801">
          <cell r="B1801" t="str">
            <v>S-0300</v>
          </cell>
          <cell r="G1801" t="str">
            <v>Low</v>
          </cell>
          <cell r="L1801">
            <v>1</v>
          </cell>
        </row>
      </sheetData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0"/>
  <sheetViews>
    <sheetView zoomScaleNormal="100" workbookViewId="0">
      <selection activeCell="A24" sqref="A24:A30"/>
    </sheetView>
  </sheetViews>
  <sheetFormatPr defaultColWidth="8.7109375" defaultRowHeight="15"/>
  <cols>
    <col min="1" max="1" width="100" customWidth="1"/>
  </cols>
  <sheetData>
    <row r="1" spans="1:1" ht="20.25">
      <c r="A1" s="1" t="s">
        <v>0</v>
      </c>
    </row>
    <row r="2" spans="1:1">
      <c r="A2" s="2" t="s">
        <v>1</v>
      </c>
    </row>
    <row r="4" spans="1:1">
      <c r="A4" s="4" t="s">
        <v>2</v>
      </c>
    </row>
    <row r="5" spans="1:1">
      <c r="A5" s="3" t="s">
        <v>3</v>
      </c>
    </row>
    <row r="6" spans="1:1">
      <c r="A6" s="3" t="s">
        <v>4</v>
      </c>
    </row>
    <row r="7" spans="1:1">
      <c r="A7" s="3" t="s">
        <v>5</v>
      </c>
    </row>
    <row r="8" spans="1:1">
      <c r="A8" s="3"/>
    </row>
    <row r="9" spans="1:1">
      <c r="A9" s="4" t="s">
        <v>6</v>
      </c>
    </row>
    <row r="10" spans="1:1">
      <c r="A10" s="3" t="s">
        <v>7</v>
      </c>
    </row>
    <row r="11" spans="1:1">
      <c r="A11" s="3" t="s">
        <v>8</v>
      </c>
    </row>
    <row r="12" spans="1:1">
      <c r="A12" s="3" t="s">
        <v>9</v>
      </c>
    </row>
    <row r="13" spans="1:1">
      <c r="A13" s="3" t="s">
        <v>10</v>
      </c>
    </row>
    <row r="14" spans="1:1">
      <c r="A14" s="3" t="s">
        <v>11</v>
      </c>
    </row>
    <row r="15" spans="1:1">
      <c r="A15" s="3" t="s">
        <v>12</v>
      </c>
    </row>
    <row r="16" spans="1:1">
      <c r="A16" s="3" t="s">
        <v>13</v>
      </c>
    </row>
    <row r="17" spans="1:1">
      <c r="A17" s="3" t="s">
        <v>14</v>
      </c>
    </row>
    <row r="18" spans="1:1">
      <c r="A18" s="3" t="s">
        <v>15</v>
      </c>
    </row>
    <row r="19" spans="1:1">
      <c r="A19" s="3" t="s">
        <v>16</v>
      </c>
    </row>
    <row r="20" spans="1:1">
      <c r="A20" s="3" t="s">
        <v>17</v>
      </c>
    </row>
    <row r="21" spans="1:1">
      <c r="A21" s="3" t="s">
        <v>18</v>
      </c>
    </row>
    <row r="22" spans="1:1">
      <c r="A22" s="3" t="s">
        <v>19</v>
      </c>
    </row>
    <row r="23" spans="1:1">
      <c r="A23" s="3"/>
    </row>
    <row r="24" spans="1:1">
      <c r="A24" s="3" t="s">
        <v>20</v>
      </c>
    </row>
    <row r="25" spans="1:1">
      <c r="A25" s="3" t="s">
        <v>21</v>
      </c>
    </row>
    <row r="26" spans="1:1">
      <c r="A26" s="3" t="s">
        <v>22</v>
      </c>
    </row>
    <row r="27" spans="1:1">
      <c r="A27" s="3" t="s">
        <v>23</v>
      </c>
    </row>
    <row r="28" spans="1:1">
      <c r="A28" s="3"/>
    </row>
    <row r="29" spans="1:1">
      <c r="A29" s="3" t="s">
        <v>24</v>
      </c>
    </row>
    <row r="30" spans="1:1">
      <c r="A30" s="3" t="s">
        <v>25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9"/>
  <sheetViews>
    <sheetView zoomScaleNormal="100" workbookViewId="0">
      <pane ySplit="1" topLeftCell="A99" activePane="bottomLeft" state="frozen"/>
      <selection pane="bottomLeft" activeCell="A110" sqref="A110"/>
    </sheetView>
  </sheetViews>
  <sheetFormatPr defaultColWidth="8.7109375" defaultRowHeight="15"/>
  <cols>
    <col min="1" max="1" width="10" customWidth="1"/>
    <col min="2" max="2" width="26" customWidth="1"/>
    <col min="3" max="3" width="10" customWidth="1"/>
    <col min="4" max="5" width="14" customWidth="1"/>
    <col min="6" max="6" width="10" customWidth="1"/>
    <col min="7" max="7" width="30" customWidth="1"/>
    <col min="8" max="8" width="40" customWidth="1"/>
  </cols>
  <sheetData>
    <row r="1" spans="1:8" ht="23.85">
      <c r="A1" s="5" t="str">
        <f>"T-"&amp;TEXT(ROW()-1,"000")</f>
        <v>T-000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30</v>
      </c>
      <c r="G1" s="5" t="s">
        <v>31</v>
      </c>
      <c r="H1" s="5" t="s">
        <v>32</v>
      </c>
    </row>
    <row r="2" spans="1:8" ht="23.85">
      <c r="A2" s="6" t="s">
        <v>33</v>
      </c>
      <c r="B2" s="6" t="s">
        <v>34</v>
      </c>
      <c r="C2" s="6" t="s">
        <v>35</v>
      </c>
      <c r="D2" s="6">
        <v>300</v>
      </c>
      <c r="E2" s="6">
        <v>18</v>
      </c>
      <c r="F2" s="6" t="s">
        <v>36</v>
      </c>
      <c r="G2" s="6" t="s">
        <v>37</v>
      </c>
      <c r="H2" s="6" t="s">
        <v>38</v>
      </c>
    </row>
    <row r="3" spans="1:8" ht="23.85">
      <c r="A3" s="6" t="s">
        <v>39</v>
      </c>
      <c r="B3" s="6" t="s">
        <v>40</v>
      </c>
      <c r="C3" s="6" t="s">
        <v>41</v>
      </c>
      <c r="D3" s="6">
        <v>450</v>
      </c>
      <c r="E3" s="6">
        <v>24</v>
      </c>
      <c r="F3" s="6" t="s">
        <v>42</v>
      </c>
      <c r="G3" s="6" t="s">
        <v>43</v>
      </c>
      <c r="H3" s="6" t="s">
        <v>44</v>
      </c>
    </row>
    <row r="4" spans="1:8" ht="23.85">
      <c r="A4" s="6" t="s">
        <v>45</v>
      </c>
      <c r="B4" s="6" t="s">
        <v>46</v>
      </c>
      <c r="C4" s="6" t="s">
        <v>35</v>
      </c>
      <c r="D4" s="6">
        <v>250</v>
      </c>
      <c r="E4" s="6">
        <v>12</v>
      </c>
      <c r="F4" s="6" t="s">
        <v>47</v>
      </c>
      <c r="G4" s="6" t="s">
        <v>48</v>
      </c>
      <c r="H4" s="6" t="s">
        <v>49</v>
      </c>
    </row>
    <row r="5" spans="1:8" ht="23.85">
      <c r="A5" s="6" t="s">
        <v>50</v>
      </c>
      <c r="B5" s="6" t="s">
        <v>51</v>
      </c>
      <c r="C5" s="6" t="s">
        <v>35</v>
      </c>
      <c r="D5" s="6">
        <v>200</v>
      </c>
      <c r="E5" s="6">
        <v>24</v>
      </c>
      <c r="F5" s="6" t="s">
        <v>42</v>
      </c>
      <c r="G5" s="6" t="s">
        <v>52</v>
      </c>
      <c r="H5" s="6" t="s">
        <v>53</v>
      </c>
    </row>
    <row r="6" spans="1:8">
      <c r="A6" s="6" t="s">
        <v>54</v>
      </c>
      <c r="B6" s="6" t="s">
        <v>55</v>
      </c>
      <c r="C6" s="6" t="s">
        <v>41</v>
      </c>
      <c r="D6" s="6">
        <v>500</v>
      </c>
      <c r="E6" s="6">
        <v>30</v>
      </c>
      <c r="F6" s="6" t="s">
        <v>36</v>
      </c>
      <c r="G6" s="6" t="s">
        <v>56</v>
      </c>
      <c r="H6" s="6" t="s">
        <v>57</v>
      </c>
    </row>
    <row r="7" spans="1:8" ht="23.85">
      <c r="A7" s="6" t="s">
        <v>58</v>
      </c>
      <c r="B7" s="6" t="s">
        <v>59</v>
      </c>
      <c r="C7" s="6" t="s">
        <v>35</v>
      </c>
      <c r="D7" s="6">
        <v>280</v>
      </c>
      <c r="E7" s="6">
        <v>15</v>
      </c>
      <c r="F7" s="6" t="s">
        <v>36</v>
      </c>
      <c r="G7" s="6" t="s">
        <v>60</v>
      </c>
      <c r="H7" s="6" t="s">
        <v>61</v>
      </c>
    </row>
    <row r="8" spans="1:8" ht="24">
      <c r="A8" s="6" t="str">
        <f>"T-"&amp;TEXT(ROW()-1,"000")</f>
        <v>T-007</v>
      </c>
      <c r="B8" s="6" t="s">
        <v>62</v>
      </c>
      <c r="C8" s="6" t="s">
        <v>63</v>
      </c>
      <c r="D8" s="6">
        <v>129</v>
      </c>
      <c r="E8" s="6">
        <v>15</v>
      </c>
      <c r="F8" s="6" t="s">
        <v>47</v>
      </c>
      <c r="G8" s="6" t="s">
        <v>37</v>
      </c>
      <c r="H8" s="6" t="s">
        <v>64</v>
      </c>
    </row>
    <row r="9" spans="1:8" ht="24">
      <c r="A9" s="6" t="s">
        <v>65</v>
      </c>
      <c r="B9" s="6" t="s">
        <v>66</v>
      </c>
      <c r="C9" s="6" t="s">
        <v>35</v>
      </c>
      <c r="D9" s="6">
        <v>385</v>
      </c>
      <c r="E9" s="6">
        <v>21</v>
      </c>
      <c r="F9" s="6" t="s">
        <v>42</v>
      </c>
      <c r="G9" s="6" t="s">
        <v>37</v>
      </c>
      <c r="H9" s="6" t="s">
        <v>67</v>
      </c>
    </row>
    <row r="10" spans="1:8" ht="24">
      <c r="A10" s="6" t="s">
        <v>68</v>
      </c>
      <c r="B10" s="6" t="s">
        <v>69</v>
      </c>
      <c r="C10" s="6" t="s">
        <v>63</v>
      </c>
      <c r="D10" s="6">
        <v>332</v>
      </c>
      <c r="E10" s="6">
        <v>11</v>
      </c>
      <c r="F10" s="6" t="s">
        <v>47</v>
      </c>
      <c r="G10" s="6" t="s">
        <v>37</v>
      </c>
      <c r="H10" s="6" t="s">
        <v>70</v>
      </c>
    </row>
    <row r="11" spans="1:8" ht="24">
      <c r="A11" s="6" t="s">
        <v>71</v>
      </c>
      <c r="B11" s="6" t="s">
        <v>72</v>
      </c>
      <c r="C11" s="6" t="s">
        <v>35</v>
      </c>
      <c r="D11" s="6">
        <v>203</v>
      </c>
      <c r="E11" s="6">
        <v>20</v>
      </c>
      <c r="F11" s="6" t="s">
        <v>42</v>
      </c>
      <c r="G11" s="6" t="s">
        <v>37</v>
      </c>
      <c r="H11" s="6" t="s">
        <v>73</v>
      </c>
    </row>
    <row r="12" spans="1:8" ht="24">
      <c r="A12" s="6" t="str">
        <f>"T-"&amp;TEXT(ROW()-1,"000")</f>
        <v>T-011</v>
      </c>
      <c r="B12" s="6" t="s">
        <v>74</v>
      </c>
      <c r="C12" s="6" t="s">
        <v>35</v>
      </c>
      <c r="D12" s="6">
        <v>377</v>
      </c>
      <c r="E12" s="6">
        <v>22</v>
      </c>
      <c r="F12" s="6" t="s">
        <v>36</v>
      </c>
      <c r="G12" s="6" t="s">
        <v>37</v>
      </c>
      <c r="H12" s="6" t="s">
        <v>75</v>
      </c>
    </row>
    <row r="13" spans="1:8" ht="24">
      <c r="A13" s="6" t="str">
        <f>"T-"&amp;TEXT(ROW()-1,"000")</f>
        <v>T-012</v>
      </c>
      <c r="B13" s="6" t="s">
        <v>76</v>
      </c>
      <c r="C13" s="6" t="s">
        <v>35</v>
      </c>
      <c r="D13" s="6">
        <v>281</v>
      </c>
      <c r="E13" s="6">
        <v>15</v>
      </c>
      <c r="F13" s="6" t="s">
        <v>47</v>
      </c>
      <c r="G13" s="6" t="s">
        <v>37</v>
      </c>
      <c r="H13" s="6" t="s">
        <v>77</v>
      </c>
    </row>
    <row r="14" spans="1:8" ht="24">
      <c r="A14" s="6" t="str">
        <f>"T-"&amp;TEXT(ROW()-1,"000")</f>
        <v>T-013</v>
      </c>
      <c r="B14" s="6" t="s">
        <v>78</v>
      </c>
      <c r="C14" s="6" t="s">
        <v>35</v>
      </c>
      <c r="D14" s="6">
        <v>371</v>
      </c>
      <c r="E14" s="6">
        <v>16</v>
      </c>
      <c r="F14" s="6" t="s">
        <v>47</v>
      </c>
      <c r="G14" s="6" t="s">
        <v>37</v>
      </c>
      <c r="H14" s="6" t="s">
        <v>79</v>
      </c>
    </row>
    <row r="15" spans="1:8" ht="24">
      <c r="A15" s="6" t="str">
        <f>"T-"&amp;TEXT(ROW()-1,"000")</f>
        <v>T-014</v>
      </c>
      <c r="B15" s="6" t="s">
        <v>80</v>
      </c>
      <c r="C15" s="6" t="s">
        <v>35</v>
      </c>
      <c r="D15" s="6">
        <v>464</v>
      </c>
      <c r="E15" s="6">
        <v>16</v>
      </c>
      <c r="F15" s="6" t="s">
        <v>47</v>
      </c>
      <c r="G15" s="6" t="s">
        <v>37</v>
      </c>
      <c r="H15" s="6" t="s">
        <v>81</v>
      </c>
    </row>
    <row r="16" spans="1:8" ht="24">
      <c r="A16" s="6" t="str">
        <f>"T-"&amp;TEXT(ROW()-1,"000")</f>
        <v>T-015</v>
      </c>
      <c r="B16" s="6" t="s">
        <v>82</v>
      </c>
      <c r="C16" s="6" t="s">
        <v>83</v>
      </c>
      <c r="D16" s="6">
        <v>154</v>
      </c>
      <c r="E16" s="6">
        <v>24</v>
      </c>
      <c r="F16" s="6" t="s">
        <v>42</v>
      </c>
      <c r="G16" s="6" t="s">
        <v>37</v>
      </c>
      <c r="H16" s="6" t="s">
        <v>84</v>
      </c>
    </row>
    <row r="17" spans="1:8" ht="24">
      <c r="A17" s="6" t="str">
        <f>"T-"&amp;TEXT(ROW()-1,"000")</f>
        <v>T-016</v>
      </c>
      <c r="B17" s="6" t="s">
        <v>85</v>
      </c>
      <c r="C17" s="6" t="s">
        <v>41</v>
      </c>
      <c r="D17" s="6">
        <v>410</v>
      </c>
      <c r="E17" s="6">
        <v>22</v>
      </c>
      <c r="F17" s="6" t="s">
        <v>42</v>
      </c>
      <c r="G17" s="6" t="s">
        <v>37</v>
      </c>
      <c r="H17" s="6" t="s">
        <v>86</v>
      </c>
    </row>
    <row r="18" spans="1:8" ht="24">
      <c r="A18" s="6" t="str">
        <f>"T-"&amp;TEXT(ROW()-1,"000")</f>
        <v>T-017</v>
      </c>
      <c r="B18" s="6" t="s">
        <v>87</v>
      </c>
      <c r="C18" s="6" t="s">
        <v>63</v>
      </c>
      <c r="D18" s="6">
        <v>470</v>
      </c>
      <c r="E18" s="6">
        <v>16</v>
      </c>
      <c r="F18" s="6" t="s">
        <v>42</v>
      </c>
      <c r="G18" s="6" t="s">
        <v>37</v>
      </c>
      <c r="H18" s="6" t="s">
        <v>88</v>
      </c>
    </row>
    <row r="19" spans="1:8" ht="24">
      <c r="A19" s="6" t="str">
        <f>"T-"&amp;TEXT(ROW()-1,"000")</f>
        <v>T-018</v>
      </c>
      <c r="B19" s="6" t="s">
        <v>89</v>
      </c>
      <c r="C19" s="6" t="s">
        <v>41</v>
      </c>
      <c r="D19" s="6">
        <v>418</v>
      </c>
      <c r="E19" s="6">
        <v>20</v>
      </c>
      <c r="F19" s="6" t="s">
        <v>36</v>
      </c>
      <c r="G19" s="6" t="s">
        <v>37</v>
      </c>
      <c r="H19" s="6" t="s">
        <v>90</v>
      </c>
    </row>
    <row r="20" spans="1:8" ht="24">
      <c r="A20" s="6" t="str">
        <f>"T-"&amp;TEXT(ROW()-1,"000")</f>
        <v>T-019</v>
      </c>
      <c r="B20" s="6" t="s">
        <v>91</v>
      </c>
      <c r="C20" s="6" t="s">
        <v>35</v>
      </c>
      <c r="D20" s="6">
        <v>373</v>
      </c>
      <c r="E20" s="6">
        <v>11</v>
      </c>
      <c r="F20" s="6" t="s">
        <v>47</v>
      </c>
      <c r="G20" s="6" t="s">
        <v>37</v>
      </c>
      <c r="H20" s="6" t="s">
        <v>92</v>
      </c>
    </row>
    <row r="21" spans="1:8" ht="24">
      <c r="A21" s="6" t="str">
        <f>"T-"&amp;TEXT(ROW()-1,"000")</f>
        <v>T-020</v>
      </c>
      <c r="B21" s="6" t="s">
        <v>93</v>
      </c>
      <c r="C21" s="6" t="s">
        <v>41</v>
      </c>
      <c r="D21" s="6">
        <v>474</v>
      </c>
      <c r="E21" s="6">
        <v>24</v>
      </c>
      <c r="F21" s="6" t="s">
        <v>47</v>
      </c>
      <c r="G21" s="6" t="s">
        <v>37</v>
      </c>
      <c r="H21" s="6" t="s">
        <v>94</v>
      </c>
    </row>
    <row r="22" spans="1:8" ht="24">
      <c r="A22" s="6" t="str">
        <f>"T-"&amp;TEXT(ROW()-1,"000")</f>
        <v>T-021</v>
      </c>
      <c r="B22" s="6" t="s">
        <v>95</v>
      </c>
      <c r="C22" s="6" t="s">
        <v>83</v>
      </c>
      <c r="D22" s="6">
        <v>220</v>
      </c>
      <c r="E22" s="6">
        <v>21</v>
      </c>
      <c r="F22" s="6" t="s">
        <v>36</v>
      </c>
      <c r="G22" s="6" t="s">
        <v>37</v>
      </c>
      <c r="H22" s="6" t="s">
        <v>96</v>
      </c>
    </row>
    <row r="23" spans="1:8" ht="24">
      <c r="A23" s="6" t="str">
        <f>"T-"&amp;TEXT(ROW()-1,"000")</f>
        <v>T-022</v>
      </c>
      <c r="B23" s="6" t="s">
        <v>97</v>
      </c>
      <c r="C23" s="6" t="s">
        <v>35</v>
      </c>
      <c r="D23" s="6">
        <v>253</v>
      </c>
      <c r="E23" s="6">
        <v>14</v>
      </c>
      <c r="F23" s="6" t="s">
        <v>36</v>
      </c>
      <c r="G23" s="6" t="s">
        <v>37</v>
      </c>
      <c r="H23" s="6" t="s">
        <v>98</v>
      </c>
    </row>
    <row r="24" spans="1:8" ht="24">
      <c r="A24" s="6" t="str">
        <f>"T-"&amp;TEXT(ROW()-1,"000")</f>
        <v>T-023</v>
      </c>
      <c r="B24" s="6" t="s">
        <v>99</v>
      </c>
      <c r="C24" s="6" t="s">
        <v>63</v>
      </c>
      <c r="D24" s="6">
        <v>339</v>
      </c>
      <c r="E24" s="6">
        <v>13</v>
      </c>
      <c r="F24" s="6" t="s">
        <v>42</v>
      </c>
      <c r="G24" s="6" t="s">
        <v>37</v>
      </c>
      <c r="H24" s="6" t="s">
        <v>100</v>
      </c>
    </row>
    <row r="25" spans="1:8" ht="24">
      <c r="A25" s="6" t="str">
        <f>"T-"&amp;TEXT(ROW()-1,"000")</f>
        <v>T-024</v>
      </c>
      <c r="B25" s="6" t="s">
        <v>101</v>
      </c>
      <c r="C25" s="6" t="s">
        <v>35</v>
      </c>
      <c r="D25" s="6">
        <v>268</v>
      </c>
      <c r="E25" s="6">
        <v>22</v>
      </c>
      <c r="F25" s="6" t="s">
        <v>42</v>
      </c>
      <c r="G25" s="6" t="s">
        <v>43</v>
      </c>
      <c r="H25" s="6" t="s">
        <v>102</v>
      </c>
    </row>
    <row r="26" spans="1:8" ht="24">
      <c r="A26" s="6" t="str">
        <f>"T-"&amp;TEXT(ROW()-1,"000")</f>
        <v>T-025</v>
      </c>
      <c r="B26" s="6" t="s">
        <v>103</v>
      </c>
      <c r="C26" s="6" t="s">
        <v>35</v>
      </c>
      <c r="D26" s="6">
        <v>549</v>
      </c>
      <c r="E26" s="6">
        <v>32</v>
      </c>
      <c r="F26" s="6" t="s">
        <v>47</v>
      </c>
      <c r="G26" s="6" t="s">
        <v>43</v>
      </c>
      <c r="H26" s="6" t="s">
        <v>104</v>
      </c>
    </row>
    <row r="27" spans="1:8" ht="24">
      <c r="A27" s="6" t="str">
        <f>"T-"&amp;TEXT(ROW()-1,"000")</f>
        <v>T-026</v>
      </c>
      <c r="B27" s="6" t="s">
        <v>105</v>
      </c>
      <c r="C27" s="6" t="s">
        <v>35</v>
      </c>
      <c r="D27" s="6">
        <v>623</v>
      </c>
      <c r="E27" s="6">
        <v>31</v>
      </c>
      <c r="F27" s="6" t="s">
        <v>36</v>
      </c>
      <c r="G27" s="6" t="s">
        <v>43</v>
      </c>
      <c r="H27" s="6" t="s">
        <v>106</v>
      </c>
    </row>
    <row r="28" spans="1:8" ht="24">
      <c r="A28" s="6" t="str">
        <f>"T-"&amp;TEXT(ROW()-1,"000")</f>
        <v>T-027</v>
      </c>
      <c r="B28" s="6" t="s">
        <v>107</v>
      </c>
      <c r="C28" s="6" t="s">
        <v>41</v>
      </c>
      <c r="D28" s="6">
        <v>215</v>
      </c>
      <c r="E28" s="6">
        <v>34</v>
      </c>
      <c r="F28" s="6" t="s">
        <v>42</v>
      </c>
      <c r="G28" s="6" t="s">
        <v>43</v>
      </c>
      <c r="H28" s="6" t="s">
        <v>108</v>
      </c>
    </row>
    <row r="29" spans="1:8" ht="24">
      <c r="A29" s="6" t="str">
        <f>"T-"&amp;TEXT(ROW()-1,"000")</f>
        <v>T-028</v>
      </c>
      <c r="B29" s="6" t="s">
        <v>109</v>
      </c>
      <c r="C29" s="6" t="s">
        <v>41</v>
      </c>
      <c r="D29" s="6">
        <v>294</v>
      </c>
      <c r="E29" s="6">
        <v>25</v>
      </c>
      <c r="F29" s="6" t="s">
        <v>42</v>
      </c>
      <c r="G29" s="6" t="s">
        <v>43</v>
      </c>
      <c r="H29" s="6" t="s">
        <v>110</v>
      </c>
    </row>
    <row r="30" spans="1:8" ht="24">
      <c r="A30" s="6" t="str">
        <f>"T-"&amp;TEXT(ROW()-1,"000")</f>
        <v>T-029</v>
      </c>
      <c r="B30" s="6" t="s">
        <v>111</v>
      </c>
      <c r="C30" s="6" t="s">
        <v>83</v>
      </c>
      <c r="D30" s="6">
        <v>257</v>
      </c>
      <c r="E30" s="6">
        <v>17</v>
      </c>
      <c r="F30" s="6" t="s">
        <v>42</v>
      </c>
      <c r="G30" s="6" t="s">
        <v>43</v>
      </c>
      <c r="H30" s="6" t="s">
        <v>112</v>
      </c>
    </row>
    <row r="31" spans="1:8" ht="24">
      <c r="A31" s="6" t="str">
        <f>"T-"&amp;TEXT(ROW()-1,"000")</f>
        <v>T-030</v>
      </c>
      <c r="B31" s="6" t="s">
        <v>113</v>
      </c>
      <c r="C31" s="6" t="s">
        <v>41</v>
      </c>
      <c r="D31" s="6">
        <v>583</v>
      </c>
      <c r="E31" s="6">
        <v>23</v>
      </c>
      <c r="F31" s="6" t="s">
        <v>42</v>
      </c>
      <c r="G31" s="6" t="s">
        <v>43</v>
      </c>
      <c r="H31" s="6" t="s">
        <v>114</v>
      </c>
    </row>
    <row r="32" spans="1:8" ht="24">
      <c r="A32" s="6" t="str">
        <f>"T-"&amp;TEXT(ROW()-1,"000")</f>
        <v>T-031</v>
      </c>
      <c r="B32" s="6" t="s">
        <v>115</v>
      </c>
      <c r="C32" s="6" t="s">
        <v>83</v>
      </c>
      <c r="D32" s="6">
        <v>375</v>
      </c>
      <c r="E32" s="6">
        <v>35</v>
      </c>
      <c r="F32" s="6" t="s">
        <v>47</v>
      </c>
      <c r="G32" s="6" t="s">
        <v>43</v>
      </c>
      <c r="H32" s="6" t="s">
        <v>116</v>
      </c>
    </row>
    <row r="33" spans="1:8" ht="24">
      <c r="A33" s="6" t="str">
        <f>"T-"&amp;TEXT(ROW()-1,"000")</f>
        <v>T-032</v>
      </c>
      <c r="B33" s="6" t="s">
        <v>117</v>
      </c>
      <c r="C33" s="6" t="s">
        <v>83</v>
      </c>
      <c r="D33" s="6">
        <v>229</v>
      </c>
      <c r="E33" s="6">
        <v>15</v>
      </c>
      <c r="F33" s="6" t="s">
        <v>47</v>
      </c>
      <c r="G33" s="6" t="s">
        <v>43</v>
      </c>
      <c r="H33" s="6" t="s">
        <v>118</v>
      </c>
    </row>
    <row r="34" spans="1:8" ht="24">
      <c r="A34" s="6" t="str">
        <f>"T-"&amp;TEXT(ROW()-1,"000")</f>
        <v>T-033</v>
      </c>
      <c r="B34" s="6" t="s">
        <v>119</v>
      </c>
      <c r="C34" s="6" t="s">
        <v>35</v>
      </c>
      <c r="D34" s="6">
        <v>518</v>
      </c>
      <c r="E34" s="6">
        <v>31</v>
      </c>
      <c r="F34" s="6" t="s">
        <v>36</v>
      </c>
      <c r="G34" s="6" t="s">
        <v>43</v>
      </c>
      <c r="H34" s="6" t="s">
        <v>120</v>
      </c>
    </row>
    <row r="35" spans="1:8" ht="24">
      <c r="A35" s="6" t="str">
        <f>"T-"&amp;TEXT(ROW()-1,"000")</f>
        <v>T-034</v>
      </c>
      <c r="B35" s="6" t="s">
        <v>121</v>
      </c>
      <c r="C35" s="6" t="s">
        <v>63</v>
      </c>
      <c r="D35" s="6">
        <v>387</v>
      </c>
      <c r="E35" s="6">
        <v>27</v>
      </c>
      <c r="F35" s="6" t="s">
        <v>36</v>
      </c>
      <c r="G35" s="6" t="s">
        <v>43</v>
      </c>
      <c r="H35" s="6" t="s">
        <v>122</v>
      </c>
    </row>
    <row r="36" spans="1:8" ht="24">
      <c r="A36" s="6" t="str">
        <f>"T-"&amp;TEXT(ROW()-1,"000")</f>
        <v>T-035</v>
      </c>
      <c r="B36" s="6" t="s">
        <v>123</v>
      </c>
      <c r="C36" s="6" t="s">
        <v>41</v>
      </c>
      <c r="D36" s="6">
        <v>704</v>
      </c>
      <c r="E36" s="6">
        <v>32</v>
      </c>
      <c r="F36" s="6" t="s">
        <v>47</v>
      </c>
      <c r="G36" s="6" t="s">
        <v>43</v>
      </c>
      <c r="H36" s="6" t="s">
        <v>124</v>
      </c>
    </row>
    <row r="37" spans="1:8" ht="24">
      <c r="A37" s="6" t="str">
        <f>"T-"&amp;TEXT(ROW()-1,"000")</f>
        <v>T-036</v>
      </c>
      <c r="B37" s="6" t="s">
        <v>125</v>
      </c>
      <c r="C37" s="6" t="s">
        <v>63</v>
      </c>
      <c r="D37" s="6">
        <v>548</v>
      </c>
      <c r="E37" s="6">
        <v>25</v>
      </c>
      <c r="F37" s="6" t="s">
        <v>36</v>
      </c>
      <c r="G37" s="6" t="s">
        <v>43</v>
      </c>
      <c r="H37" s="6" t="s">
        <v>126</v>
      </c>
    </row>
    <row r="38" spans="1:8" ht="24">
      <c r="A38" s="6" t="str">
        <f>"T-"&amp;TEXT(ROW()-1,"000")</f>
        <v>T-037</v>
      </c>
      <c r="B38" s="6" t="s">
        <v>127</v>
      </c>
      <c r="C38" s="6" t="s">
        <v>41</v>
      </c>
      <c r="D38" s="6">
        <v>240</v>
      </c>
      <c r="E38" s="6">
        <v>23</v>
      </c>
      <c r="F38" s="6" t="s">
        <v>36</v>
      </c>
      <c r="G38" s="6" t="s">
        <v>43</v>
      </c>
      <c r="H38" s="6" t="s">
        <v>128</v>
      </c>
    </row>
    <row r="39" spans="1:8" ht="24">
      <c r="A39" s="6" t="str">
        <f>"T-"&amp;TEXT(ROW()-1,"000")</f>
        <v>T-038</v>
      </c>
      <c r="B39" s="6" t="s">
        <v>129</v>
      </c>
      <c r="C39" s="6" t="s">
        <v>63</v>
      </c>
      <c r="D39" s="6">
        <v>695</v>
      </c>
      <c r="E39" s="6">
        <v>33</v>
      </c>
      <c r="F39" s="6" t="s">
        <v>36</v>
      </c>
      <c r="G39" s="6" t="s">
        <v>43</v>
      </c>
      <c r="H39" s="6" t="s">
        <v>130</v>
      </c>
    </row>
    <row r="40" spans="1:8" ht="24">
      <c r="A40" s="6" t="str">
        <f>"T-"&amp;TEXT(ROW()-1,"000")</f>
        <v>T-039</v>
      </c>
      <c r="B40" s="6" t="s">
        <v>131</v>
      </c>
      <c r="C40" s="6" t="s">
        <v>35</v>
      </c>
      <c r="D40" s="6">
        <v>454</v>
      </c>
      <c r="E40" s="6">
        <v>16</v>
      </c>
      <c r="F40" s="6" t="s">
        <v>42</v>
      </c>
      <c r="G40" s="6" t="s">
        <v>43</v>
      </c>
      <c r="H40" s="6" t="s">
        <v>132</v>
      </c>
    </row>
    <row r="41" spans="1:8" ht="24">
      <c r="A41" s="6" t="str">
        <f>"T-"&amp;TEXT(ROW()-1,"000")</f>
        <v>T-040</v>
      </c>
      <c r="B41" s="6" t="s">
        <v>133</v>
      </c>
      <c r="C41" s="6" t="s">
        <v>41</v>
      </c>
      <c r="D41" s="6">
        <v>634</v>
      </c>
      <c r="E41" s="6">
        <v>25</v>
      </c>
      <c r="F41" s="6" t="s">
        <v>47</v>
      </c>
      <c r="G41" s="6" t="s">
        <v>43</v>
      </c>
      <c r="H41" s="6" t="s">
        <v>134</v>
      </c>
    </row>
    <row r="42" spans="1:8" ht="24">
      <c r="A42" s="6" t="str">
        <f>"T-"&amp;TEXT(ROW()-1,"000")</f>
        <v>T-041</v>
      </c>
      <c r="B42" s="6" t="s">
        <v>135</v>
      </c>
      <c r="C42" s="6" t="s">
        <v>35</v>
      </c>
      <c r="D42" s="6">
        <v>212</v>
      </c>
      <c r="E42" s="6">
        <v>8</v>
      </c>
      <c r="F42" s="6" t="s">
        <v>42</v>
      </c>
      <c r="G42" s="6" t="s">
        <v>48</v>
      </c>
      <c r="H42" s="6" t="s">
        <v>136</v>
      </c>
    </row>
    <row r="43" spans="1:8" ht="24">
      <c r="A43" s="6" t="str">
        <f>"T-"&amp;TEXT(ROW()-1,"000")</f>
        <v>T-042</v>
      </c>
      <c r="B43" s="6" t="s">
        <v>137</v>
      </c>
      <c r="C43" s="6" t="s">
        <v>63</v>
      </c>
      <c r="D43" s="6">
        <v>279</v>
      </c>
      <c r="E43" s="6">
        <v>12</v>
      </c>
      <c r="F43" s="6" t="s">
        <v>47</v>
      </c>
      <c r="G43" s="6" t="s">
        <v>48</v>
      </c>
      <c r="H43" s="6" t="s">
        <v>138</v>
      </c>
    </row>
    <row r="44" spans="1:8" ht="24">
      <c r="A44" s="6" t="str">
        <f>"T-"&amp;TEXT(ROW()-1,"000")</f>
        <v>T-043</v>
      </c>
      <c r="B44" s="6" t="s">
        <v>139</v>
      </c>
      <c r="C44" s="6" t="s">
        <v>41</v>
      </c>
      <c r="D44" s="6">
        <v>363</v>
      </c>
      <c r="E44" s="6">
        <v>16</v>
      </c>
      <c r="F44" s="6" t="s">
        <v>36</v>
      </c>
      <c r="G44" s="6" t="s">
        <v>48</v>
      </c>
      <c r="H44" s="6" t="s">
        <v>140</v>
      </c>
    </row>
    <row r="45" spans="1:8" ht="24">
      <c r="A45" s="6" t="str">
        <f>"T-"&amp;TEXT(ROW()-1,"000")</f>
        <v>T-044</v>
      </c>
      <c r="B45" s="6" t="s">
        <v>141</v>
      </c>
      <c r="C45" s="6" t="s">
        <v>35</v>
      </c>
      <c r="D45" s="6">
        <v>117</v>
      </c>
      <c r="E45" s="6">
        <v>16</v>
      </c>
      <c r="F45" s="6" t="s">
        <v>47</v>
      </c>
      <c r="G45" s="6" t="s">
        <v>48</v>
      </c>
      <c r="H45" s="6" t="s">
        <v>142</v>
      </c>
    </row>
    <row r="46" spans="1:8" ht="24">
      <c r="A46" s="6" t="str">
        <f>"T-"&amp;TEXT(ROW()-1,"000")</f>
        <v>T-045</v>
      </c>
      <c r="B46" s="6" t="s">
        <v>143</v>
      </c>
      <c r="C46" s="6" t="s">
        <v>63</v>
      </c>
      <c r="D46" s="6">
        <v>319</v>
      </c>
      <c r="E46" s="6">
        <v>16</v>
      </c>
      <c r="F46" s="6" t="s">
        <v>42</v>
      </c>
      <c r="G46" s="6" t="s">
        <v>48</v>
      </c>
      <c r="H46" s="6" t="s">
        <v>144</v>
      </c>
    </row>
    <row r="47" spans="1:8" ht="24">
      <c r="A47" s="6" t="str">
        <f>"T-"&amp;TEXT(ROW()-1,"000")</f>
        <v>T-046</v>
      </c>
      <c r="B47" s="6" t="s">
        <v>145</v>
      </c>
      <c r="C47" s="6" t="s">
        <v>35</v>
      </c>
      <c r="D47" s="6">
        <v>138</v>
      </c>
      <c r="E47" s="6">
        <v>12</v>
      </c>
      <c r="F47" s="6" t="s">
        <v>42</v>
      </c>
      <c r="G47" s="6" t="s">
        <v>48</v>
      </c>
      <c r="H47" s="6" t="s">
        <v>146</v>
      </c>
    </row>
    <row r="48" spans="1:8" ht="24">
      <c r="A48" s="6" t="str">
        <f>"T-"&amp;TEXT(ROW()-1,"000")</f>
        <v>T-047</v>
      </c>
      <c r="B48" s="6" t="s">
        <v>147</v>
      </c>
      <c r="C48" s="6" t="s">
        <v>35</v>
      </c>
      <c r="D48" s="6">
        <v>179</v>
      </c>
      <c r="E48" s="6">
        <v>16</v>
      </c>
      <c r="F48" s="6" t="s">
        <v>36</v>
      </c>
      <c r="G48" s="6" t="s">
        <v>48</v>
      </c>
      <c r="H48" s="6" t="s">
        <v>148</v>
      </c>
    </row>
    <row r="49" spans="1:8" ht="24">
      <c r="A49" s="6" t="str">
        <f>"T-"&amp;TEXT(ROW()-1,"000")</f>
        <v>T-048</v>
      </c>
      <c r="B49" s="6" t="s">
        <v>149</v>
      </c>
      <c r="C49" s="6" t="s">
        <v>35</v>
      </c>
      <c r="D49" s="6">
        <v>378</v>
      </c>
      <c r="E49" s="6">
        <v>15</v>
      </c>
      <c r="F49" s="6" t="s">
        <v>42</v>
      </c>
      <c r="G49" s="6" t="s">
        <v>48</v>
      </c>
      <c r="H49" s="6" t="s">
        <v>150</v>
      </c>
    </row>
    <row r="50" spans="1:8" ht="24">
      <c r="A50" s="6" t="str">
        <f>"T-"&amp;TEXT(ROW()-1,"000")</f>
        <v>T-049</v>
      </c>
      <c r="B50" s="6" t="s">
        <v>151</v>
      </c>
      <c r="C50" s="6" t="s">
        <v>35</v>
      </c>
      <c r="D50" s="6">
        <v>313</v>
      </c>
      <c r="E50" s="6">
        <v>11</v>
      </c>
      <c r="F50" s="6" t="s">
        <v>42</v>
      </c>
      <c r="G50" s="6" t="s">
        <v>48</v>
      </c>
      <c r="H50" s="6" t="s">
        <v>152</v>
      </c>
    </row>
    <row r="51" spans="1:8" ht="24">
      <c r="A51" s="6" t="str">
        <f>"T-"&amp;TEXT(ROW()-1,"000")</f>
        <v>T-050</v>
      </c>
      <c r="B51" s="6" t="s">
        <v>153</v>
      </c>
      <c r="C51" s="6" t="s">
        <v>41</v>
      </c>
      <c r="D51" s="6">
        <v>231</v>
      </c>
      <c r="E51" s="6">
        <v>12</v>
      </c>
      <c r="F51" s="6" t="s">
        <v>47</v>
      </c>
      <c r="G51" s="6" t="s">
        <v>48</v>
      </c>
      <c r="H51" s="6" t="s">
        <v>154</v>
      </c>
    </row>
    <row r="52" spans="1:8" ht="24">
      <c r="A52" s="6" t="str">
        <f>"T-"&amp;TEXT(ROW()-1,"000")</f>
        <v>T-051</v>
      </c>
      <c r="B52" s="6" t="s">
        <v>155</v>
      </c>
      <c r="C52" s="6" t="s">
        <v>35</v>
      </c>
      <c r="D52" s="6">
        <v>167</v>
      </c>
      <c r="E52" s="6">
        <v>10</v>
      </c>
      <c r="F52" s="6" t="s">
        <v>42</v>
      </c>
      <c r="G52" s="6" t="s">
        <v>48</v>
      </c>
      <c r="H52" s="6" t="s">
        <v>156</v>
      </c>
    </row>
    <row r="53" spans="1:8" ht="24">
      <c r="A53" s="6" t="str">
        <f>"T-"&amp;TEXT(ROW()-1,"000")</f>
        <v>T-052</v>
      </c>
      <c r="B53" s="6" t="s">
        <v>157</v>
      </c>
      <c r="C53" s="6" t="s">
        <v>35</v>
      </c>
      <c r="D53" s="6">
        <v>276</v>
      </c>
      <c r="E53" s="6">
        <v>7</v>
      </c>
      <c r="F53" s="6" t="s">
        <v>42</v>
      </c>
      <c r="G53" s="6" t="s">
        <v>48</v>
      </c>
      <c r="H53" s="6" t="s">
        <v>158</v>
      </c>
    </row>
    <row r="54" spans="1:8" ht="24">
      <c r="A54" s="6" t="str">
        <f>"T-"&amp;TEXT(ROW()-1,"000")</f>
        <v>T-053</v>
      </c>
      <c r="B54" s="6" t="s">
        <v>159</v>
      </c>
      <c r="C54" s="6" t="s">
        <v>63</v>
      </c>
      <c r="D54" s="6">
        <v>168</v>
      </c>
      <c r="E54" s="6">
        <v>16</v>
      </c>
      <c r="F54" s="6" t="s">
        <v>36</v>
      </c>
      <c r="G54" s="6" t="s">
        <v>48</v>
      </c>
      <c r="H54" s="6" t="s">
        <v>160</v>
      </c>
    </row>
    <row r="55" spans="1:8" ht="24">
      <c r="A55" s="6" t="str">
        <f>"T-"&amp;TEXT(ROW()-1,"000")</f>
        <v>T-054</v>
      </c>
      <c r="B55" s="6" t="s">
        <v>161</v>
      </c>
      <c r="C55" s="6" t="s">
        <v>63</v>
      </c>
      <c r="D55" s="6">
        <v>254</v>
      </c>
      <c r="E55" s="6">
        <v>10</v>
      </c>
      <c r="F55" s="6" t="s">
        <v>36</v>
      </c>
      <c r="G55" s="6" t="s">
        <v>48</v>
      </c>
      <c r="H55" s="6" t="s">
        <v>162</v>
      </c>
    </row>
    <row r="56" spans="1:8" ht="24">
      <c r="A56" s="6" t="str">
        <f>"T-"&amp;TEXT(ROW()-1,"000")</f>
        <v>T-055</v>
      </c>
      <c r="B56" s="6" t="s">
        <v>163</v>
      </c>
      <c r="C56" s="6" t="s">
        <v>35</v>
      </c>
      <c r="D56" s="6">
        <v>261</v>
      </c>
      <c r="E56" s="6">
        <v>15</v>
      </c>
      <c r="F56" s="6" t="s">
        <v>42</v>
      </c>
      <c r="G56" s="6" t="s">
        <v>48</v>
      </c>
      <c r="H56" s="6" t="s">
        <v>164</v>
      </c>
    </row>
    <row r="57" spans="1:8" ht="24">
      <c r="A57" s="6" t="str">
        <f>"T-"&amp;TEXT(ROW()-1,"000")</f>
        <v>T-056</v>
      </c>
      <c r="B57" s="6" t="s">
        <v>165</v>
      </c>
      <c r="C57" s="6" t="s">
        <v>83</v>
      </c>
      <c r="D57" s="6">
        <v>172</v>
      </c>
      <c r="E57" s="6">
        <v>12</v>
      </c>
      <c r="F57" s="6" t="s">
        <v>36</v>
      </c>
      <c r="G57" s="6" t="s">
        <v>48</v>
      </c>
      <c r="H57" s="6" t="s">
        <v>166</v>
      </c>
    </row>
    <row r="58" spans="1:8" ht="24">
      <c r="A58" s="6" t="str">
        <f>"T-"&amp;TEXT(ROW()-1,"000")</f>
        <v>T-057</v>
      </c>
      <c r="B58" s="6" t="s">
        <v>167</v>
      </c>
      <c r="C58" s="6" t="s">
        <v>35</v>
      </c>
      <c r="D58" s="6">
        <v>128</v>
      </c>
      <c r="E58" s="6">
        <v>14</v>
      </c>
      <c r="F58" s="6" t="s">
        <v>36</v>
      </c>
      <c r="G58" s="6" t="s">
        <v>48</v>
      </c>
      <c r="H58" s="6" t="s">
        <v>168</v>
      </c>
    </row>
    <row r="59" spans="1:8" ht="24">
      <c r="A59" s="6" t="str">
        <f>"T-"&amp;TEXT(ROW()-1,"000")</f>
        <v>T-058</v>
      </c>
      <c r="B59" s="6" t="s">
        <v>169</v>
      </c>
      <c r="C59" s="6" t="s">
        <v>83</v>
      </c>
      <c r="D59" s="6">
        <v>178</v>
      </c>
      <c r="E59" s="6">
        <v>33</v>
      </c>
      <c r="F59" s="6" t="s">
        <v>47</v>
      </c>
      <c r="G59" s="6" t="s">
        <v>52</v>
      </c>
      <c r="H59" s="6" t="s">
        <v>170</v>
      </c>
    </row>
    <row r="60" spans="1:8" ht="24">
      <c r="A60" s="6" t="str">
        <f>"T-"&amp;TEXT(ROW()-1,"000")</f>
        <v>T-059</v>
      </c>
      <c r="B60" s="6" t="s">
        <v>171</v>
      </c>
      <c r="C60" s="6" t="s">
        <v>63</v>
      </c>
      <c r="D60" s="6">
        <v>94</v>
      </c>
      <c r="E60" s="6">
        <v>30</v>
      </c>
      <c r="F60" s="6" t="s">
        <v>47</v>
      </c>
      <c r="G60" s="6" t="s">
        <v>52</v>
      </c>
      <c r="H60" s="6" t="s">
        <v>172</v>
      </c>
    </row>
    <row r="61" spans="1:8" ht="24">
      <c r="A61" s="6" t="str">
        <f>"T-"&amp;TEXT(ROW()-1,"000")</f>
        <v>T-060</v>
      </c>
      <c r="B61" s="6" t="s">
        <v>173</v>
      </c>
      <c r="C61" s="6" t="s">
        <v>35</v>
      </c>
      <c r="D61" s="6">
        <v>125</v>
      </c>
      <c r="E61" s="6">
        <v>25</v>
      </c>
      <c r="F61" s="6" t="s">
        <v>47</v>
      </c>
      <c r="G61" s="6" t="s">
        <v>52</v>
      </c>
      <c r="H61" s="6" t="s">
        <v>174</v>
      </c>
    </row>
    <row r="62" spans="1:8" ht="36">
      <c r="A62" s="6" t="str">
        <f>"T-"&amp;TEXT(ROW()-1,"000")</f>
        <v>T-061</v>
      </c>
      <c r="B62" s="6" t="s">
        <v>175</v>
      </c>
      <c r="C62" s="6" t="s">
        <v>83</v>
      </c>
      <c r="D62" s="6">
        <v>124</v>
      </c>
      <c r="E62" s="6">
        <v>24</v>
      </c>
      <c r="F62" s="6" t="s">
        <v>47</v>
      </c>
      <c r="G62" s="6" t="s">
        <v>52</v>
      </c>
      <c r="H62" s="6" t="s">
        <v>176</v>
      </c>
    </row>
    <row r="63" spans="1:8" ht="24">
      <c r="A63" s="6" t="str">
        <f>"T-"&amp;TEXT(ROW()-1,"000")</f>
        <v>T-062</v>
      </c>
      <c r="B63" s="6" t="s">
        <v>177</v>
      </c>
      <c r="C63" s="6" t="s">
        <v>83</v>
      </c>
      <c r="D63" s="6">
        <v>273</v>
      </c>
      <c r="E63" s="6">
        <v>32</v>
      </c>
      <c r="F63" s="6" t="s">
        <v>47</v>
      </c>
      <c r="G63" s="6" t="s">
        <v>52</v>
      </c>
      <c r="H63" s="6" t="s">
        <v>178</v>
      </c>
    </row>
    <row r="64" spans="1:8" ht="24">
      <c r="A64" s="6" t="str">
        <f>"T-"&amp;TEXT(ROW()-1,"000")</f>
        <v>T-063</v>
      </c>
      <c r="B64" s="6" t="s">
        <v>179</v>
      </c>
      <c r="C64" s="6" t="s">
        <v>63</v>
      </c>
      <c r="D64" s="6">
        <v>236</v>
      </c>
      <c r="E64" s="6">
        <v>26</v>
      </c>
      <c r="F64" s="6" t="s">
        <v>47</v>
      </c>
      <c r="G64" s="6" t="s">
        <v>52</v>
      </c>
      <c r="H64" s="6" t="s">
        <v>180</v>
      </c>
    </row>
    <row r="65" spans="1:8" ht="24">
      <c r="A65" s="6" t="str">
        <f>"T-"&amp;TEXT(ROW()-1,"000")</f>
        <v>T-064</v>
      </c>
      <c r="B65" s="6" t="s">
        <v>181</v>
      </c>
      <c r="C65" s="6" t="s">
        <v>63</v>
      </c>
      <c r="D65" s="6">
        <v>302</v>
      </c>
      <c r="E65" s="6">
        <v>32</v>
      </c>
      <c r="F65" s="6" t="s">
        <v>47</v>
      </c>
      <c r="G65" s="6" t="s">
        <v>52</v>
      </c>
      <c r="H65" s="6" t="s">
        <v>182</v>
      </c>
    </row>
    <row r="66" spans="1:8" ht="24">
      <c r="A66" s="6" t="str">
        <f>"T-"&amp;TEXT(ROW()-1,"000")</f>
        <v>T-065</v>
      </c>
      <c r="B66" s="6" t="s">
        <v>183</v>
      </c>
      <c r="C66" s="6" t="s">
        <v>83</v>
      </c>
      <c r="D66" s="6">
        <v>196</v>
      </c>
      <c r="E66" s="6">
        <v>19</v>
      </c>
      <c r="F66" s="6" t="s">
        <v>36</v>
      </c>
      <c r="G66" s="6" t="s">
        <v>52</v>
      </c>
      <c r="H66" s="6" t="s">
        <v>184</v>
      </c>
    </row>
    <row r="67" spans="1:8" ht="36">
      <c r="A67" s="6" t="str">
        <f>"T-"&amp;TEXT(ROW()-1,"000")</f>
        <v>T-066</v>
      </c>
      <c r="B67" s="6" t="s">
        <v>185</v>
      </c>
      <c r="C67" s="6" t="s">
        <v>63</v>
      </c>
      <c r="D67" s="6">
        <v>119</v>
      </c>
      <c r="E67" s="6">
        <v>14</v>
      </c>
      <c r="F67" s="6" t="s">
        <v>36</v>
      </c>
      <c r="G67" s="6" t="s">
        <v>52</v>
      </c>
      <c r="H67" s="6" t="s">
        <v>186</v>
      </c>
    </row>
    <row r="68" spans="1:8" ht="24">
      <c r="A68" s="6" t="str">
        <f>"T-"&amp;TEXT(ROW()-1,"000")</f>
        <v>T-067</v>
      </c>
      <c r="B68" s="6" t="s">
        <v>187</v>
      </c>
      <c r="C68" s="6" t="s">
        <v>41</v>
      </c>
      <c r="D68" s="6">
        <v>302</v>
      </c>
      <c r="E68" s="6">
        <v>31</v>
      </c>
      <c r="F68" s="6" t="s">
        <v>36</v>
      </c>
      <c r="G68" s="6" t="s">
        <v>52</v>
      </c>
      <c r="H68" s="6" t="s">
        <v>188</v>
      </c>
    </row>
    <row r="69" spans="1:8" ht="24">
      <c r="A69" s="6" t="str">
        <f>"T-"&amp;TEXT(ROW()-1,"000")</f>
        <v>T-068</v>
      </c>
      <c r="B69" s="6" t="s">
        <v>189</v>
      </c>
      <c r="C69" s="6" t="s">
        <v>83</v>
      </c>
      <c r="D69" s="6">
        <v>247</v>
      </c>
      <c r="E69" s="6">
        <v>30</v>
      </c>
      <c r="F69" s="6" t="s">
        <v>42</v>
      </c>
      <c r="G69" s="6" t="s">
        <v>52</v>
      </c>
      <c r="H69" s="6" t="s">
        <v>190</v>
      </c>
    </row>
    <row r="70" spans="1:8" ht="24">
      <c r="A70" s="6" t="str">
        <f>"T-"&amp;TEXT(ROW()-1,"000")</f>
        <v>T-069</v>
      </c>
      <c r="B70" s="6" t="s">
        <v>191</v>
      </c>
      <c r="C70" s="6" t="s">
        <v>83</v>
      </c>
      <c r="D70" s="6">
        <v>117</v>
      </c>
      <c r="E70" s="6">
        <v>20</v>
      </c>
      <c r="F70" s="6" t="s">
        <v>47</v>
      </c>
      <c r="G70" s="6" t="s">
        <v>52</v>
      </c>
      <c r="H70" s="6" t="s">
        <v>192</v>
      </c>
    </row>
    <row r="71" spans="1:8" ht="24">
      <c r="A71" s="6" t="str">
        <f>"T-"&amp;TEXT(ROW()-1,"000")</f>
        <v>T-070</v>
      </c>
      <c r="B71" s="6" t="s">
        <v>193</v>
      </c>
      <c r="C71" s="6" t="s">
        <v>63</v>
      </c>
      <c r="D71" s="6">
        <v>259</v>
      </c>
      <c r="E71" s="6">
        <v>15</v>
      </c>
      <c r="F71" s="6" t="s">
        <v>42</v>
      </c>
      <c r="G71" s="6" t="s">
        <v>52</v>
      </c>
      <c r="H71" s="6" t="s">
        <v>194</v>
      </c>
    </row>
    <row r="72" spans="1:8" ht="24">
      <c r="A72" s="6" t="str">
        <f>"T-"&amp;TEXT(ROW()-1,"000")</f>
        <v>T-071</v>
      </c>
      <c r="B72" s="6" t="s">
        <v>195</v>
      </c>
      <c r="C72" s="6" t="s">
        <v>83</v>
      </c>
      <c r="D72" s="6">
        <v>200</v>
      </c>
      <c r="E72" s="6">
        <v>32</v>
      </c>
      <c r="F72" s="6" t="s">
        <v>47</v>
      </c>
      <c r="G72" s="6" t="s">
        <v>52</v>
      </c>
      <c r="H72" s="6" t="s">
        <v>196</v>
      </c>
    </row>
    <row r="73" spans="1:8" ht="36">
      <c r="A73" s="6" t="str">
        <f>"T-"&amp;TEXT(ROW()-1,"000")</f>
        <v>T-072</v>
      </c>
      <c r="B73" s="6" t="s">
        <v>197</v>
      </c>
      <c r="C73" s="6" t="s">
        <v>63</v>
      </c>
      <c r="D73" s="6">
        <v>310</v>
      </c>
      <c r="E73" s="6">
        <v>16</v>
      </c>
      <c r="F73" s="6" t="s">
        <v>47</v>
      </c>
      <c r="G73" s="6" t="s">
        <v>52</v>
      </c>
      <c r="H73" s="6" t="s">
        <v>198</v>
      </c>
    </row>
    <row r="74" spans="1:8" ht="24">
      <c r="A74" s="6" t="str">
        <f>"T-"&amp;TEXT(ROW()-1,"000")</f>
        <v>T-073</v>
      </c>
      <c r="B74" s="6" t="s">
        <v>199</v>
      </c>
      <c r="C74" s="6" t="s">
        <v>63</v>
      </c>
      <c r="D74" s="6">
        <v>222</v>
      </c>
      <c r="E74" s="6">
        <v>28</v>
      </c>
      <c r="F74" s="6" t="s">
        <v>47</v>
      </c>
      <c r="G74" s="6" t="s">
        <v>52</v>
      </c>
      <c r="H74" s="6" t="s">
        <v>200</v>
      </c>
    </row>
    <row r="75" spans="1:8" ht="24">
      <c r="A75" s="6" t="str">
        <f>"T-"&amp;TEXT(ROW()-1,"000")</f>
        <v>T-074</v>
      </c>
      <c r="B75" s="6" t="s">
        <v>201</v>
      </c>
      <c r="C75" s="6" t="s">
        <v>83</v>
      </c>
      <c r="D75" s="6">
        <v>108</v>
      </c>
      <c r="E75" s="6">
        <v>33</v>
      </c>
      <c r="F75" s="6" t="s">
        <v>47</v>
      </c>
      <c r="G75" s="6" t="s">
        <v>52</v>
      </c>
      <c r="H75" s="6" t="s">
        <v>202</v>
      </c>
    </row>
    <row r="76" spans="1:8" ht="24">
      <c r="A76" s="6" t="str">
        <f>"T-"&amp;TEXT(ROW()-1,"000")</f>
        <v>T-075</v>
      </c>
      <c r="B76" s="6" t="s">
        <v>203</v>
      </c>
      <c r="C76" s="6" t="s">
        <v>63</v>
      </c>
      <c r="D76" s="6">
        <v>571</v>
      </c>
      <c r="E76" s="6">
        <v>29</v>
      </c>
      <c r="F76" s="6" t="s">
        <v>42</v>
      </c>
      <c r="G76" s="6" t="s">
        <v>56</v>
      </c>
      <c r="H76" s="6" t="s">
        <v>204</v>
      </c>
    </row>
    <row r="77" spans="1:8" ht="24">
      <c r="A77" s="6" t="str">
        <f>"T-"&amp;TEXT(ROW()-1,"000")</f>
        <v>T-076</v>
      </c>
      <c r="B77" s="6" t="s">
        <v>205</v>
      </c>
      <c r="C77" s="6" t="s">
        <v>41</v>
      </c>
      <c r="D77" s="6">
        <v>760</v>
      </c>
      <c r="E77" s="6">
        <v>23</v>
      </c>
      <c r="F77" s="6" t="s">
        <v>42</v>
      </c>
      <c r="G77" s="6" t="s">
        <v>56</v>
      </c>
      <c r="H77" s="6" t="s">
        <v>206</v>
      </c>
    </row>
    <row r="78" spans="1:8" ht="24">
      <c r="A78" s="6" t="str">
        <f>"T-"&amp;TEXT(ROW()-1,"000")</f>
        <v>T-077</v>
      </c>
      <c r="B78" s="6" t="s">
        <v>207</v>
      </c>
      <c r="C78" s="6" t="s">
        <v>41</v>
      </c>
      <c r="D78" s="6">
        <v>343</v>
      </c>
      <c r="E78" s="6">
        <v>28</v>
      </c>
      <c r="F78" s="6" t="s">
        <v>42</v>
      </c>
      <c r="G78" s="6" t="s">
        <v>56</v>
      </c>
      <c r="H78" s="6" t="s">
        <v>208</v>
      </c>
    </row>
    <row r="79" spans="1:8" ht="24">
      <c r="A79" s="6" t="str">
        <f>"T-"&amp;TEXT(ROW()-1,"000")</f>
        <v>T-078</v>
      </c>
      <c r="B79" s="6" t="s">
        <v>209</v>
      </c>
      <c r="C79" s="6" t="s">
        <v>41</v>
      </c>
      <c r="D79" s="6">
        <v>474</v>
      </c>
      <c r="E79" s="6">
        <v>43</v>
      </c>
      <c r="F79" s="6" t="s">
        <v>47</v>
      </c>
      <c r="G79" s="6" t="s">
        <v>56</v>
      </c>
      <c r="H79" s="6" t="s">
        <v>210</v>
      </c>
    </row>
    <row r="80" spans="1:8" ht="24">
      <c r="A80" s="6" t="str">
        <f>"T-"&amp;TEXT(ROW()-1,"000")</f>
        <v>T-079</v>
      </c>
      <c r="B80" s="6" t="s">
        <v>211</v>
      </c>
      <c r="C80" s="6" t="s">
        <v>63</v>
      </c>
      <c r="D80" s="6">
        <v>474</v>
      </c>
      <c r="E80" s="6">
        <v>44</v>
      </c>
      <c r="F80" s="6" t="s">
        <v>47</v>
      </c>
      <c r="G80" s="6" t="s">
        <v>56</v>
      </c>
      <c r="H80" s="6" t="s">
        <v>212</v>
      </c>
    </row>
    <row r="81" spans="1:8" ht="24">
      <c r="A81" s="6" t="str">
        <f>"T-"&amp;TEXT(ROW()-1,"000")</f>
        <v>T-080</v>
      </c>
      <c r="B81" s="6" t="s">
        <v>213</v>
      </c>
      <c r="C81" s="6" t="s">
        <v>63</v>
      </c>
      <c r="D81" s="6">
        <v>522</v>
      </c>
      <c r="E81" s="6">
        <v>31</v>
      </c>
      <c r="F81" s="6" t="s">
        <v>47</v>
      </c>
      <c r="G81" s="6" t="s">
        <v>56</v>
      </c>
      <c r="H81" s="6" t="s">
        <v>214</v>
      </c>
    </row>
    <row r="82" spans="1:8" ht="24">
      <c r="A82" s="6" t="str">
        <f>"T-"&amp;TEXT(ROW()-1,"000")</f>
        <v>T-081</v>
      </c>
      <c r="B82" s="6" t="s">
        <v>215</v>
      </c>
      <c r="C82" s="6" t="s">
        <v>41</v>
      </c>
      <c r="D82" s="6">
        <v>728</v>
      </c>
      <c r="E82" s="6">
        <v>41</v>
      </c>
      <c r="F82" s="6" t="s">
        <v>36</v>
      </c>
      <c r="G82" s="6" t="s">
        <v>56</v>
      </c>
      <c r="H82" s="6" t="s">
        <v>216</v>
      </c>
    </row>
    <row r="83" spans="1:8" ht="24">
      <c r="A83" s="6" t="str">
        <f>"T-"&amp;TEXT(ROW()-1,"000")</f>
        <v>T-082</v>
      </c>
      <c r="B83" s="6" t="s">
        <v>217</v>
      </c>
      <c r="C83" s="6" t="s">
        <v>41</v>
      </c>
      <c r="D83" s="6">
        <v>294</v>
      </c>
      <c r="E83" s="6">
        <v>40</v>
      </c>
      <c r="F83" s="6" t="s">
        <v>42</v>
      </c>
      <c r="G83" s="6" t="s">
        <v>56</v>
      </c>
      <c r="H83" s="6" t="s">
        <v>218</v>
      </c>
    </row>
    <row r="84" spans="1:8" ht="24">
      <c r="A84" s="6" t="str">
        <f>"T-"&amp;TEXT(ROW()-1,"000")</f>
        <v>T-083</v>
      </c>
      <c r="B84" s="6" t="s">
        <v>219</v>
      </c>
      <c r="C84" s="6" t="s">
        <v>41</v>
      </c>
      <c r="D84" s="6">
        <v>567</v>
      </c>
      <c r="E84" s="6">
        <v>44</v>
      </c>
      <c r="F84" s="6" t="s">
        <v>42</v>
      </c>
      <c r="G84" s="6" t="s">
        <v>56</v>
      </c>
      <c r="H84" s="6" t="s">
        <v>220</v>
      </c>
    </row>
    <row r="85" spans="1:8" ht="24">
      <c r="A85" s="6" t="str">
        <f>"T-"&amp;TEXT(ROW()-1,"000")</f>
        <v>T-084</v>
      </c>
      <c r="B85" s="6" t="s">
        <v>221</v>
      </c>
      <c r="C85" s="6" t="s">
        <v>63</v>
      </c>
      <c r="D85" s="6">
        <v>600</v>
      </c>
      <c r="E85" s="6">
        <v>32</v>
      </c>
      <c r="F85" s="6" t="s">
        <v>42</v>
      </c>
      <c r="G85" s="6" t="s">
        <v>56</v>
      </c>
      <c r="H85" s="6" t="s">
        <v>222</v>
      </c>
    </row>
    <row r="86" spans="1:8" ht="24">
      <c r="A86" s="6" t="str">
        <f>"T-"&amp;TEXT(ROW()-1,"000")</f>
        <v>T-085</v>
      </c>
      <c r="B86" s="6" t="s">
        <v>223</v>
      </c>
      <c r="C86" s="6" t="s">
        <v>63</v>
      </c>
      <c r="D86" s="6">
        <v>763</v>
      </c>
      <c r="E86" s="6">
        <v>21</v>
      </c>
      <c r="F86" s="6" t="s">
        <v>47</v>
      </c>
      <c r="G86" s="6" t="s">
        <v>56</v>
      </c>
      <c r="H86" s="6" t="s">
        <v>224</v>
      </c>
    </row>
    <row r="87" spans="1:8" ht="24">
      <c r="A87" s="6" t="str">
        <f>"T-"&amp;TEXT(ROW()-1,"000")</f>
        <v>T-086</v>
      </c>
      <c r="B87" s="6" t="s">
        <v>225</v>
      </c>
      <c r="C87" s="6" t="s">
        <v>63</v>
      </c>
      <c r="D87" s="6">
        <v>645</v>
      </c>
      <c r="E87" s="6">
        <v>22</v>
      </c>
      <c r="F87" s="6" t="s">
        <v>36</v>
      </c>
      <c r="G87" s="6" t="s">
        <v>56</v>
      </c>
      <c r="H87" s="6" t="s">
        <v>226</v>
      </c>
    </row>
    <row r="88" spans="1:8" ht="24">
      <c r="A88" s="6" t="str">
        <f>"T-"&amp;TEXT(ROW()-1,"000")</f>
        <v>T-087</v>
      </c>
      <c r="B88" s="6" t="s">
        <v>227</v>
      </c>
      <c r="C88" s="6" t="s">
        <v>35</v>
      </c>
      <c r="D88" s="6">
        <v>630</v>
      </c>
      <c r="E88" s="6">
        <v>23</v>
      </c>
      <c r="F88" s="6" t="s">
        <v>42</v>
      </c>
      <c r="G88" s="6" t="s">
        <v>56</v>
      </c>
      <c r="H88" s="6" t="s">
        <v>228</v>
      </c>
    </row>
    <row r="89" spans="1:8" ht="24">
      <c r="A89" s="6" t="str">
        <f>"T-"&amp;TEXT(ROW()-1,"000")</f>
        <v>T-088</v>
      </c>
      <c r="B89" s="6" t="s">
        <v>229</v>
      </c>
      <c r="C89" s="6" t="s">
        <v>41</v>
      </c>
      <c r="D89" s="6">
        <v>503</v>
      </c>
      <c r="E89" s="6">
        <v>24</v>
      </c>
      <c r="F89" s="6" t="s">
        <v>47</v>
      </c>
      <c r="G89" s="6" t="s">
        <v>56</v>
      </c>
      <c r="H89" s="6" t="s">
        <v>230</v>
      </c>
    </row>
    <row r="90" spans="1:8" ht="24">
      <c r="A90" s="6" t="str">
        <f>"T-"&amp;TEXT(ROW()-1,"000")</f>
        <v>T-089</v>
      </c>
      <c r="B90" s="6" t="s">
        <v>231</v>
      </c>
      <c r="C90" s="6" t="s">
        <v>63</v>
      </c>
      <c r="D90" s="6">
        <v>580</v>
      </c>
      <c r="E90" s="6">
        <v>40</v>
      </c>
      <c r="F90" s="6" t="s">
        <v>47</v>
      </c>
      <c r="G90" s="6" t="s">
        <v>56</v>
      </c>
      <c r="H90" s="6" t="s">
        <v>232</v>
      </c>
    </row>
    <row r="91" spans="1:8" ht="24">
      <c r="A91" s="6" t="str">
        <f>"T-"&amp;TEXT(ROW()-1,"000")</f>
        <v>T-090</v>
      </c>
      <c r="B91" s="6" t="s">
        <v>233</v>
      </c>
      <c r="C91" s="6" t="s">
        <v>63</v>
      </c>
      <c r="D91" s="6">
        <v>400</v>
      </c>
      <c r="E91" s="6">
        <v>21</v>
      </c>
      <c r="F91" s="6" t="s">
        <v>36</v>
      </c>
      <c r="G91" s="6" t="s">
        <v>56</v>
      </c>
      <c r="H91" s="6" t="s">
        <v>234</v>
      </c>
    </row>
    <row r="92" spans="1:8" ht="24">
      <c r="A92" s="6" t="str">
        <f>"T-"&amp;TEXT(ROW()-1,"000")</f>
        <v>T-091</v>
      </c>
      <c r="B92" s="6" t="s">
        <v>235</v>
      </c>
      <c r="C92" s="6" t="s">
        <v>35</v>
      </c>
      <c r="D92" s="6">
        <v>644</v>
      </c>
      <c r="E92" s="6">
        <v>32</v>
      </c>
      <c r="F92" s="6" t="s">
        <v>36</v>
      </c>
      <c r="G92" s="6" t="s">
        <v>56</v>
      </c>
      <c r="H92" s="6" t="s">
        <v>236</v>
      </c>
    </row>
    <row r="93" spans="1:8" ht="24">
      <c r="A93" s="6" t="str">
        <f>"T-"&amp;TEXT(ROW()-1,"000")</f>
        <v>T-092</v>
      </c>
      <c r="B93" s="6" t="s">
        <v>237</v>
      </c>
      <c r="C93" s="6" t="s">
        <v>63</v>
      </c>
      <c r="D93" s="6">
        <v>149</v>
      </c>
      <c r="E93" s="6">
        <v>21</v>
      </c>
      <c r="F93" s="6" t="s">
        <v>42</v>
      </c>
      <c r="G93" s="6" t="s">
        <v>60</v>
      </c>
      <c r="H93" s="6" t="s">
        <v>238</v>
      </c>
    </row>
    <row r="94" spans="1:8" ht="24">
      <c r="A94" s="6" t="str">
        <f>"T-"&amp;TEXT(ROW()-1,"000")</f>
        <v>T-093</v>
      </c>
      <c r="B94" s="6" t="s">
        <v>239</v>
      </c>
      <c r="C94" s="6" t="s">
        <v>35</v>
      </c>
      <c r="D94" s="6">
        <v>295</v>
      </c>
      <c r="E94" s="6">
        <v>20</v>
      </c>
      <c r="F94" s="6" t="s">
        <v>42</v>
      </c>
      <c r="G94" s="6" t="s">
        <v>60</v>
      </c>
      <c r="H94" s="6" t="s">
        <v>240</v>
      </c>
    </row>
    <row r="95" spans="1:8" ht="24">
      <c r="A95" s="6" t="str">
        <f>"T-"&amp;TEXT(ROW()-1,"000")</f>
        <v>T-094</v>
      </c>
      <c r="B95" s="6" t="s">
        <v>241</v>
      </c>
      <c r="C95" s="6" t="s">
        <v>35</v>
      </c>
      <c r="D95" s="6">
        <v>256</v>
      </c>
      <c r="E95" s="6">
        <v>9</v>
      </c>
      <c r="F95" s="6" t="s">
        <v>36</v>
      </c>
      <c r="G95" s="6" t="s">
        <v>60</v>
      </c>
      <c r="H95" s="6" t="s">
        <v>242</v>
      </c>
    </row>
    <row r="96" spans="1:8" ht="24">
      <c r="A96" s="6" t="str">
        <f>"T-"&amp;TEXT(ROW()-1,"000")</f>
        <v>T-095</v>
      </c>
      <c r="B96" s="6" t="s">
        <v>243</v>
      </c>
      <c r="C96" s="6" t="s">
        <v>63</v>
      </c>
      <c r="D96" s="6">
        <v>414</v>
      </c>
      <c r="E96" s="6">
        <v>11</v>
      </c>
      <c r="F96" s="6" t="s">
        <v>47</v>
      </c>
      <c r="G96" s="6" t="s">
        <v>60</v>
      </c>
      <c r="H96" s="6" t="s">
        <v>244</v>
      </c>
    </row>
    <row r="97" spans="1:8" ht="24">
      <c r="A97" s="6" t="str">
        <f>"T-"&amp;TEXT(ROW()-1,"000")</f>
        <v>T-096</v>
      </c>
      <c r="B97" s="6" t="s">
        <v>245</v>
      </c>
      <c r="C97" s="6" t="s">
        <v>63</v>
      </c>
      <c r="D97" s="6">
        <v>230</v>
      </c>
      <c r="E97" s="6">
        <v>16</v>
      </c>
      <c r="F97" s="6" t="s">
        <v>36</v>
      </c>
      <c r="G97" s="6" t="s">
        <v>60</v>
      </c>
      <c r="H97" s="6" t="s">
        <v>246</v>
      </c>
    </row>
    <row r="98" spans="1:8" ht="24">
      <c r="A98" s="6" t="str">
        <f>"T-"&amp;TEXT(ROW()-1,"000")</f>
        <v>T-097</v>
      </c>
      <c r="B98" s="6" t="s">
        <v>247</v>
      </c>
      <c r="C98" s="6" t="s">
        <v>35</v>
      </c>
      <c r="D98" s="6">
        <v>423</v>
      </c>
      <c r="E98" s="6">
        <v>12</v>
      </c>
      <c r="F98" s="6" t="s">
        <v>47</v>
      </c>
      <c r="G98" s="6" t="s">
        <v>60</v>
      </c>
      <c r="H98" s="6" t="s">
        <v>248</v>
      </c>
    </row>
    <row r="99" spans="1:8" ht="24">
      <c r="A99" s="6" t="str">
        <f>"T-"&amp;TEXT(ROW()-1,"000")</f>
        <v>T-098</v>
      </c>
      <c r="B99" s="6" t="s">
        <v>249</v>
      </c>
      <c r="C99" s="6" t="s">
        <v>35</v>
      </c>
      <c r="D99" s="6">
        <v>408</v>
      </c>
      <c r="E99" s="6">
        <v>9</v>
      </c>
      <c r="F99" s="6" t="s">
        <v>42</v>
      </c>
      <c r="G99" s="6" t="s">
        <v>60</v>
      </c>
      <c r="H99" s="6" t="s">
        <v>250</v>
      </c>
    </row>
    <row r="100" spans="1:8" ht="24">
      <c r="A100" s="6" t="str">
        <f>"T-"&amp;TEXT(ROW()-1,"000")</f>
        <v>T-099</v>
      </c>
      <c r="B100" s="6" t="s">
        <v>251</v>
      </c>
      <c r="C100" s="6" t="s">
        <v>41</v>
      </c>
      <c r="D100" s="6">
        <v>374</v>
      </c>
      <c r="E100" s="6">
        <v>14</v>
      </c>
      <c r="F100" s="6" t="s">
        <v>42</v>
      </c>
      <c r="G100" s="6" t="s">
        <v>60</v>
      </c>
      <c r="H100" s="6" t="s">
        <v>252</v>
      </c>
    </row>
    <row r="101" spans="1:8" ht="24">
      <c r="A101" s="6" t="str">
        <f>"T-"&amp;TEXT(ROW()-1,"000")</f>
        <v>T-100</v>
      </c>
      <c r="B101" s="6" t="s">
        <v>253</v>
      </c>
      <c r="C101" s="6" t="s">
        <v>35</v>
      </c>
      <c r="D101" s="6">
        <v>201</v>
      </c>
      <c r="E101" s="6">
        <v>19</v>
      </c>
      <c r="F101" s="6" t="s">
        <v>47</v>
      </c>
      <c r="G101" s="6" t="s">
        <v>60</v>
      </c>
      <c r="H101" s="6" t="s">
        <v>254</v>
      </c>
    </row>
    <row r="102" spans="1:8" ht="24">
      <c r="A102" s="6" t="str">
        <f>"T-"&amp;TEXT(ROW()-1,"000")</f>
        <v>T-101</v>
      </c>
      <c r="B102" s="6" t="s">
        <v>255</v>
      </c>
      <c r="C102" s="6" t="s">
        <v>83</v>
      </c>
      <c r="D102" s="6">
        <v>405</v>
      </c>
      <c r="E102" s="6">
        <v>20</v>
      </c>
      <c r="F102" s="6" t="s">
        <v>47</v>
      </c>
      <c r="G102" s="6" t="s">
        <v>60</v>
      </c>
      <c r="H102" s="6" t="s">
        <v>256</v>
      </c>
    </row>
    <row r="103" spans="1:8" ht="24">
      <c r="A103" s="6" t="str">
        <f>"T-"&amp;TEXT(ROW()-1,"000")</f>
        <v>T-102</v>
      </c>
      <c r="B103" s="6" t="s">
        <v>257</v>
      </c>
      <c r="C103" s="6" t="s">
        <v>35</v>
      </c>
      <c r="D103" s="6">
        <v>386</v>
      </c>
      <c r="E103" s="6">
        <v>15</v>
      </c>
      <c r="F103" s="6" t="s">
        <v>36</v>
      </c>
      <c r="G103" s="6" t="s">
        <v>60</v>
      </c>
      <c r="H103" s="6" t="s">
        <v>258</v>
      </c>
    </row>
    <row r="104" spans="1:8" ht="24">
      <c r="A104" s="6" t="str">
        <f>"T-"&amp;TEXT(ROW()-1,"000")</f>
        <v>T-103</v>
      </c>
      <c r="B104" s="6" t="s">
        <v>259</v>
      </c>
      <c r="C104" s="6" t="s">
        <v>35</v>
      </c>
      <c r="D104" s="6">
        <v>186</v>
      </c>
      <c r="E104" s="6">
        <v>17</v>
      </c>
      <c r="F104" s="6" t="s">
        <v>36</v>
      </c>
      <c r="G104" s="6" t="s">
        <v>60</v>
      </c>
      <c r="H104" s="6" t="s">
        <v>260</v>
      </c>
    </row>
    <row r="105" spans="1:8" ht="24">
      <c r="A105" s="6" t="str">
        <f>"T-"&amp;TEXT(ROW()-1,"000")</f>
        <v>T-104</v>
      </c>
      <c r="B105" s="6" t="s">
        <v>261</v>
      </c>
      <c r="C105" s="6" t="s">
        <v>41</v>
      </c>
      <c r="D105" s="6">
        <v>205</v>
      </c>
      <c r="E105" s="6">
        <v>9</v>
      </c>
      <c r="F105" s="6" t="s">
        <v>36</v>
      </c>
      <c r="G105" s="6" t="s">
        <v>60</v>
      </c>
      <c r="H105" s="6" t="s">
        <v>262</v>
      </c>
    </row>
    <row r="106" spans="1:8" ht="24">
      <c r="A106" s="6" t="str">
        <f>"T-"&amp;TEXT(ROW()-1,"000")</f>
        <v>T-105</v>
      </c>
      <c r="B106" s="6" t="s">
        <v>263</v>
      </c>
      <c r="C106" s="6" t="s">
        <v>41</v>
      </c>
      <c r="D106" s="6">
        <v>327</v>
      </c>
      <c r="E106" s="6">
        <v>14</v>
      </c>
      <c r="F106" s="6" t="s">
        <v>42</v>
      </c>
      <c r="G106" s="6" t="s">
        <v>60</v>
      </c>
      <c r="H106" s="6" t="s">
        <v>264</v>
      </c>
    </row>
    <row r="107" spans="1:8" ht="24">
      <c r="A107" s="6" t="str">
        <f>"T-"&amp;TEXT(ROW()-1,"000")</f>
        <v>T-106</v>
      </c>
      <c r="B107" s="6" t="s">
        <v>265</v>
      </c>
      <c r="C107" s="6" t="s">
        <v>41</v>
      </c>
      <c r="D107" s="6">
        <v>427</v>
      </c>
      <c r="E107" s="6">
        <v>10</v>
      </c>
      <c r="F107" s="6" t="s">
        <v>36</v>
      </c>
      <c r="G107" s="6" t="s">
        <v>60</v>
      </c>
      <c r="H107" s="6" t="s">
        <v>266</v>
      </c>
    </row>
    <row r="108" spans="1:8" ht="24">
      <c r="A108" s="6" t="str">
        <f>"T-"&amp;TEXT(ROW()-1,"000")</f>
        <v>T-107</v>
      </c>
      <c r="B108" s="6" t="s">
        <v>267</v>
      </c>
      <c r="C108" s="6" t="s">
        <v>35</v>
      </c>
      <c r="D108" s="6">
        <v>307</v>
      </c>
      <c r="E108" s="6">
        <v>22</v>
      </c>
      <c r="F108" s="6" t="s">
        <v>47</v>
      </c>
      <c r="G108" s="6" t="s">
        <v>60</v>
      </c>
      <c r="H108" s="6" t="s">
        <v>268</v>
      </c>
    </row>
    <row r="109" spans="1:8" ht="24">
      <c r="A109" s="6" t="str">
        <f>"T-"&amp;TEXT(ROW()-1,"000")</f>
        <v>T-108</v>
      </c>
      <c r="B109" s="6" t="s">
        <v>269</v>
      </c>
      <c r="C109" s="6" t="s">
        <v>63</v>
      </c>
      <c r="D109" s="6">
        <v>312</v>
      </c>
      <c r="E109" s="6">
        <v>13</v>
      </c>
      <c r="F109" s="6" t="s">
        <v>36</v>
      </c>
      <c r="G109" s="6" t="s">
        <v>60</v>
      </c>
      <c r="H109" s="6" t="s">
        <v>270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45"/>
  <sheetViews>
    <sheetView zoomScaleNormal="100" workbookViewId="0">
      <pane ySplit="1" topLeftCell="A32" activePane="bottomLeft" state="frozen"/>
      <selection pane="bottomLeft" activeCell="A50" sqref="A50:G145"/>
    </sheetView>
  </sheetViews>
  <sheetFormatPr defaultColWidth="8.7109375" defaultRowHeight="15"/>
  <cols>
    <col min="1" max="1" width="18" customWidth="1"/>
    <col min="2" max="2" width="16" customWidth="1"/>
    <col min="3" max="3" width="26" customWidth="1"/>
    <col min="4" max="4" width="18" customWidth="1"/>
    <col min="5" max="5" width="22" customWidth="1"/>
    <col min="6" max="6" width="18" customWidth="1"/>
    <col min="7" max="7" width="20" customWidth="1"/>
  </cols>
  <sheetData>
    <row r="1" spans="1:7" ht="23.85">
      <c r="A1" s="5" t="s">
        <v>271</v>
      </c>
      <c r="B1" s="5" t="s">
        <v>272</v>
      </c>
      <c r="C1" s="5" t="s">
        <v>26</v>
      </c>
      <c r="D1" s="5" t="s">
        <v>273</v>
      </c>
      <c r="E1" s="5" t="s">
        <v>274</v>
      </c>
      <c r="F1" s="5" t="s">
        <v>275</v>
      </c>
      <c r="G1" s="5" t="s">
        <v>276</v>
      </c>
    </row>
    <row r="2" spans="1:7">
      <c r="A2" s="3" t="s">
        <v>277</v>
      </c>
      <c r="B2" s="3" t="s">
        <v>278</v>
      </c>
      <c r="C2" s="3" t="s">
        <v>34</v>
      </c>
      <c r="D2" s="3">
        <v>604.29999999999995</v>
      </c>
      <c r="E2" s="3">
        <v>4</v>
      </c>
      <c r="F2" s="3">
        <v>11</v>
      </c>
      <c r="G2" s="3">
        <v>4053</v>
      </c>
    </row>
    <row r="3" spans="1:7">
      <c r="A3" s="3" t="s">
        <v>277</v>
      </c>
      <c r="B3" s="3" t="s">
        <v>278</v>
      </c>
      <c r="C3" s="3" t="s">
        <v>40</v>
      </c>
      <c r="D3" s="3">
        <v>280.8</v>
      </c>
      <c r="E3" s="3">
        <v>8</v>
      </c>
      <c r="F3" s="3">
        <v>11</v>
      </c>
      <c r="G3" s="3">
        <v>2639</v>
      </c>
    </row>
    <row r="4" spans="1:7">
      <c r="A4" s="3" t="s">
        <v>277</v>
      </c>
      <c r="B4" s="3" t="s">
        <v>278</v>
      </c>
      <c r="C4" s="3" t="s">
        <v>46</v>
      </c>
      <c r="D4" s="3">
        <v>634.9</v>
      </c>
      <c r="E4" s="3">
        <v>6</v>
      </c>
      <c r="F4" s="3">
        <v>9</v>
      </c>
      <c r="G4" s="3">
        <v>5256</v>
      </c>
    </row>
    <row r="5" spans="1:7">
      <c r="A5" s="3" t="s">
        <v>277</v>
      </c>
      <c r="B5" s="3" t="s">
        <v>278</v>
      </c>
      <c r="C5" s="3" t="s">
        <v>51</v>
      </c>
      <c r="D5" s="3">
        <v>106.1</v>
      </c>
      <c r="E5" s="3">
        <v>6</v>
      </c>
      <c r="F5" s="3">
        <v>3</v>
      </c>
      <c r="G5" s="3">
        <v>3705</v>
      </c>
    </row>
    <row r="6" spans="1:7">
      <c r="A6" s="3" t="s">
        <v>277</v>
      </c>
      <c r="B6" s="3" t="s">
        <v>278</v>
      </c>
      <c r="C6" s="3" t="s">
        <v>55</v>
      </c>
      <c r="D6" s="3">
        <v>494.4</v>
      </c>
      <c r="E6" s="3">
        <v>4</v>
      </c>
      <c r="F6" s="3">
        <v>8</v>
      </c>
      <c r="G6" s="3">
        <v>3428</v>
      </c>
    </row>
    <row r="7" spans="1:7">
      <c r="A7" s="3" t="s">
        <v>277</v>
      </c>
      <c r="B7" s="3" t="s">
        <v>278</v>
      </c>
      <c r="C7" s="3" t="s">
        <v>59</v>
      </c>
      <c r="D7" s="3">
        <v>667.1</v>
      </c>
      <c r="E7" s="3">
        <v>17</v>
      </c>
      <c r="F7" s="3">
        <v>3</v>
      </c>
      <c r="G7" s="3">
        <v>5479</v>
      </c>
    </row>
    <row r="8" spans="1:7">
      <c r="A8" s="3" t="s">
        <v>279</v>
      </c>
      <c r="B8" s="3" t="s">
        <v>278</v>
      </c>
      <c r="C8" s="3" t="s">
        <v>34</v>
      </c>
      <c r="D8" s="3">
        <v>563.20000000000005</v>
      </c>
      <c r="E8" s="3">
        <v>4</v>
      </c>
      <c r="F8" s="3">
        <v>12</v>
      </c>
      <c r="G8" s="3">
        <v>8401</v>
      </c>
    </row>
    <row r="9" spans="1:7">
      <c r="A9" s="3" t="s">
        <v>279</v>
      </c>
      <c r="B9" s="3" t="s">
        <v>278</v>
      </c>
      <c r="C9" s="3" t="s">
        <v>40</v>
      </c>
      <c r="D9" s="3">
        <v>210.9</v>
      </c>
      <c r="E9" s="3">
        <v>17</v>
      </c>
      <c r="F9" s="3">
        <v>5</v>
      </c>
      <c r="G9" s="3">
        <v>4076</v>
      </c>
    </row>
    <row r="10" spans="1:7">
      <c r="A10" s="3" t="s">
        <v>279</v>
      </c>
      <c r="B10" s="3" t="s">
        <v>278</v>
      </c>
      <c r="C10" s="3" t="s">
        <v>46</v>
      </c>
      <c r="D10" s="3">
        <v>207.5</v>
      </c>
      <c r="E10" s="3">
        <v>14</v>
      </c>
      <c r="F10" s="3">
        <v>1</v>
      </c>
      <c r="G10" s="3">
        <v>2559</v>
      </c>
    </row>
    <row r="11" spans="1:7">
      <c r="A11" s="3" t="s">
        <v>279</v>
      </c>
      <c r="B11" s="3" t="s">
        <v>278</v>
      </c>
      <c r="C11" s="3" t="s">
        <v>51</v>
      </c>
      <c r="D11" s="3">
        <v>391.5</v>
      </c>
      <c r="E11" s="3">
        <v>15</v>
      </c>
      <c r="F11" s="3">
        <v>5</v>
      </c>
      <c r="G11" s="3">
        <v>6745</v>
      </c>
    </row>
    <row r="12" spans="1:7">
      <c r="A12" s="3" t="s">
        <v>279</v>
      </c>
      <c r="B12" s="3" t="s">
        <v>278</v>
      </c>
      <c r="C12" s="3" t="s">
        <v>55</v>
      </c>
      <c r="D12" s="3">
        <v>296.89999999999998</v>
      </c>
      <c r="E12" s="3">
        <v>5</v>
      </c>
      <c r="F12" s="3">
        <v>11</v>
      </c>
      <c r="G12" s="3">
        <v>5563</v>
      </c>
    </row>
    <row r="13" spans="1:7">
      <c r="A13" s="3" t="s">
        <v>279</v>
      </c>
      <c r="B13" s="3" t="s">
        <v>278</v>
      </c>
      <c r="C13" s="3" t="s">
        <v>59</v>
      </c>
      <c r="D13" s="3">
        <v>519.70000000000005</v>
      </c>
      <c r="E13" s="3">
        <v>16</v>
      </c>
      <c r="F13" s="3">
        <v>1</v>
      </c>
      <c r="G13" s="3">
        <v>6322</v>
      </c>
    </row>
    <row r="14" spans="1:7">
      <c r="A14" s="3" t="s">
        <v>280</v>
      </c>
      <c r="B14" s="3" t="s">
        <v>281</v>
      </c>
      <c r="C14" s="3" t="s">
        <v>34</v>
      </c>
      <c r="D14" s="3">
        <v>320.39999999999998</v>
      </c>
      <c r="E14" s="3">
        <v>15</v>
      </c>
      <c r="F14" s="3">
        <v>9</v>
      </c>
      <c r="G14" s="3">
        <v>3375</v>
      </c>
    </row>
    <row r="15" spans="1:7">
      <c r="A15" s="3" t="s">
        <v>280</v>
      </c>
      <c r="B15" s="3" t="s">
        <v>281</v>
      </c>
      <c r="C15" s="3" t="s">
        <v>40</v>
      </c>
      <c r="D15" s="3">
        <v>657.7</v>
      </c>
      <c r="E15" s="3">
        <v>5</v>
      </c>
      <c r="F15" s="3">
        <v>10</v>
      </c>
      <c r="G15" s="3">
        <v>3666</v>
      </c>
    </row>
    <row r="16" spans="1:7">
      <c r="A16" s="3" t="s">
        <v>280</v>
      </c>
      <c r="B16" s="3" t="s">
        <v>281</v>
      </c>
      <c r="C16" s="3" t="s">
        <v>46</v>
      </c>
      <c r="D16" s="3">
        <v>713.9</v>
      </c>
      <c r="E16" s="3">
        <v>6</v>
      </c>
      <c r="F16" s="3">
        <v>3</v>
      </c>
      <c r="G16" s="3">
        <v>8898</v>
      </c>
    </row>
    <row r="17" spans="1:7">
      <c r="A17" s="3" t="s">
        <v>280</v>
      </c>
      <c r="B17" s="3" t="s">
        <v>281</v>
      </c>
      <c r="C17" s="3" t="s">
        <v>51</v>
      </c>
      <c r="D17" s="3">
        <v>162.80000000000001</v>
      </c>
      <c r="E17" s="3">
        <v>12</v>
      </c>
      <c r="F17" s="3">
        <v>7</v>
      </c>
      <c r="G17" s="3">
        <v>7007</v>
      </c>
    </row>
    <row r="18" spans="1:7">
      <c r="A18" s="3" t="s">
        <v>280</v>
      </c>
      <c r="B18" s="3" t="s">
        <v>281</v>
      </c>
      <c r="C18" s="3" t="s">
        <v>55</v>
      </c>
      <c r="D18" s="3">
        <v>764</v>
      </c>
      <c r="E18" s="3">
        <v>9</v>
      </c>
      <c r="F18" s="3">
        <v>5</v>
      </c>
      <c r="G18" s="3">
        <v>4710</v>
      </c>
    </row>
    <row r="19" spans="1:7">
      <c r="A19" s="3" t="s">
        <v>280</v>
      </c>
      <c r="B19" s="3" t="s">
        <v>281</v>
      </c>
      <c r="C19" s="3" t="s">
        <v>59</v>
      </c>
      <c r="D19" s="3">
        <v>251.8</v>
      </c>
      <c r="E19" s="3">
        <v>12</v>
      </c>
      <c r="F19" s="3">
        <v>11</v>
      </c>
      <c r="G19" s="3">
        <v>9473</v>
      </c>
    </row>
    <row r="20" spans="1:7">
      <c r="A20" s="3" t="s">
        <v>282</v>
      </c>
      <c r="B20" s="3" t="s">
        <v>283</v>
      </c>
      <c r="C20" s="3" t="s">
        <v>34</v>
      </c>
      <c r="D20" s="3">
        <v>640.5</v>
      </c>
      <c r="E20" s="3">
        <v>6</v>
      </c>
      <c r="F20" s="3">
        <v>9</v>
      </c>
      <c r="G20" s="3">
        <v>7001</v>
      </c>
    </row>
    <row r="21" spans="1:7">
      <c r="A21" s="3" t="s">
        <v>282</v>
      </c>
      <c r="B21" s="3" t="s">
        <v>283</v>
      </c>
      <c r="C21" s="3" t="s">
        <v>40</v>
      </c>
      <c r="D21" s="3">
        <v>220.3</v>
      </c>
      <c r="E21" s="3">
        <v>11</v>
      </c>
      <c r="F21" s="3">
        <v>2</v>
      </c>
      <c r="G21" s="3">
        <v>5586</v>
      </c>
    </row>
    <row r="22" spans="1:7">
      <c r="A22" s="3" t="s">
        <v>282</v>
      </c>
      <c r="B22" s="3" t="s">
        <v>283</v>
      </c>
      <c r="C22" s="3" t="s">
        <v>46</v>
      </c>
      <c r="D22" s="3">
        <v>391.2</v>
      </c>
      <c r="E22" s="3">
        <v>11</v>
      </c>
      <c r="F22" s="3">
        <v>10</v>
      </c>
      <c r="G22" s="3">
        <v>4456</v>
      </c>
    </row>
    <row r="23" spans="1:7">
      <c r="A23" s="3" t="s">
        <v>282</v>
      </c>
      <c r="B23" s="3" t="s">
        <v>283</v>
      </c>
      <c r="C23" s="3" t="s">
        <v>51</v>
      </c>
      <c r="D23" s="3">
        <v>771.1</v>
      </c>
      <c r="E23" s="3">
        <v>5</v>
      </c>
      <c r="F23" s="3">
        <v>3</v>
      </c>
      <c r="G23" s="3">
        <v>8532</v>
      </c>
    </row>
    <row r="24" spans="1:7">
      <c r="A24" s="3" t="s">
        <v>282</v>
      </c>
      <c r="B24" s="3" t="s">
        <v>283</v>
      </c>
      <c r="C24" s="3" t="s">
        <v>55</v>
      </c>
      <c r="D24" s="3">
        <v>106.3</v>
      </c>
      <c r="E24" s="3">
        <v>14</v>
      </c>
      <c r="F24" s="3">
        <v>6</v>
      </c>
      <c r="G24" s="3">
        <v>3993</v>
      </c>
    </row>
    <row r="25" spans="1:7">
      <c r="A25" s="3" t="s">
        <v>282</v>
      </c>
      <c r="B25" s="3" t="s">
        <v>283</v>
      </c>
      <c r="C25" s="3" t="s">
        <v>59</v>
      </c>
      <c r="D25" s="3">
        <v>134.30000000000001</v>
      </c>
      <c r="E25" s="3">
        <v>14</v>
      </c>
      <c r="F25" s="3">
        <v>3</v>
      </c>
      <c r="G25" s="3">
        <v>7169</v>
      </c>
    </row>
    <row r="26" spans="1:7">
      <c r="A26" s="3" t="s">
        <v>284</v>
      </c>
      <c r="B26" s="3" t="s">
        <v>285</v>
      </c>
      <c r="C26" s="3" t="s">
        <v>34</v>
      </c>
      <c r="D26" s="3">
        <v>489.4</v>
      </c>
      <c r="E26" s="3">
        <v>18</v>
      </c>
      <c r="F26" s="3">
        <v>2</v>
      </c>
      <c r="G26" s="3">
        <v>3969</v>
      </c>
    </row>
    <row r="27" spans="1:7">
      <c r="A27" s="3" t="s">
        <v>284</v>
      </c>
      <c r="B27" s="3" t="s">
        <v>285</v>
      </c>
      <c r="C27" s="3" t="s">
        <v>40</v>
      </c>
      <c r="D27" s="3">
        <v>194.5</v>
      </c>
      <c r="E27" s="3">
        <v>12</v>
      </c>
      <c r="F27" s="3">
        <v>11</v>
      </c>
      <c r="G27" s="3">
        <v>6588</v>
      </c>
    </row>
    <row r="28" spans="1:7">
      <c r="A28" s="3" t="s">
        <v>284</v>
      </c>
      <c r="B28" s="3" t="s">
        <v>285</v>
      </c>
      <c r="C28" s="3" t="s">
        <v>46</v>
      </c>
      <c r="D28" s="3">
        <v>431.3</v>
      </c>
      <c r="E28" s="3">
        <v>16</v>
      </c>
      <c r="F28" s="3">
        <v>5</v>
      </c>
      <c r="G28" s="3">
        <v>3596</v>
      </c>
    </row>
    <row r="29" spans="1:7">
      <c r="A29" s="3" t="s">
        <v>284</v>
      </c>
      <c r="B29" s="3" t="s">
        <v>285</v>
      </c>
      <c r="C29" s="3" t="s">
        <v>51</v>
      </c>
      <c r="D29" s="3">
        <v>897.8</v>
      </c>
      <c r="E29" s="3">
        <v>8</v>
      </c>
      <c r="F29" s="3">
        <v>8</v>
      </c>
      <c r="G29" s="3">
        <v>5842</v>
      </c>
    </row>
    <row r="30" spans="1:7">
      <c r="A30" s="3" t="s">
        <v>284</v>
      </c>
      <c r="B30" s="3" t="s">
        <v>285</v>
      </c>
      <c r="C30" s="3" t="s">
        <v>55</v>
      </c>
      <c r="D30" s="3">
        <v>154.5</v>
      </c>
      <c r="E30" s="3">
        <v>5</v>
      </c>
      <c r="F30" s="3">
        <v>1</v>
      </c>
      <c r="G30" s="3">
        <v>3052</v>
      </c>
    </row>
    <row r="31" spans="1:7">
      <c r="A31" s="3" t="s">
        <v>284</v>
      </c>
      <c r="B31" s="3" t="s">
        <v>285</v>
      </c>
      <c r="C31" s="3" t="s">
        <v>59</v>
      </c>
      <c r="D31" s="3">
        <v>594.5</v>
      </c>
      <c r="E31" s="3">
        <v>17</v>
      </c>
      <c r="F31" s="3">
        <v>9</v>
      </c>
      <c r="G31" s="3">
        <v>2320</v>
      </c>
    </row>
    <row r="32" spans="1:7">
      <c r="A32" s="3" t="s">
        <v>286</v>
      </c>
      <c r="B32" s="3" t="s">
        <v>287</v>
      </c>
      <c r="C32" s="3" t="s">
        <v>34</v>
      </c>
      <c r="D32" s="3">
        <v>395.5</v>
      </c>
      <c r="E32" s="3">
        <v>18</v>
      </c>
      <c r="F32" s="3">
        <v>8</v>
      </c>
      <c r="G32" s="3">
        <v>3859</v>
      </c>
    </row>
    <row r="33" spans="1:7">
      <c r="A33" s="3" t="s">
        <v>286</v>
      </c>
      <c r="B33" s="3" t="s">
        <v>287</v>
      </c>
      <c r="C33" s="3" t="s">
        <v>40</v>
      </c>
      <c r="D33" s="3">
        <v>876.3</v>
      </c>
      <c r="E33" s="3">
        <v>4</v>
      </c>
      <c r="F33" s="3">
        <v>10</v>
      </c>
      <c r="G33" s="3">
        <v>7704</v>
      </c>
    </row>
    <row r="34" spans="1:7">
      <c r="A34" s="3" t="s">
        <v>286</v>
      </c>
      <c r="B34" s="3" t="s">
        <v>287</v>
      </c>
      <c r="C34" s="3" t="s">
        <v>46</v>
      </c>
      <c r="D34" s="3">
        <v>173.9</v>
      </c>
      <c r="E34" s="3">
        <v>12</v>
      </c>
      <c r="F34" s="3">
        <v>12</v>
      </c>
      <c r="G34" s="3">
        <v>7050</v>
      </c>
    </row>
    <row r="35" spans="1:7">
      <c r="A35" s="3" t="s">
        <v>286</v>
      </c>
      <c r="B35" s="3" t="s">
        <v>287</v>
      </c>
      <c r="C35" s="3" t="s">
        <v>51</v>
      </c>
      <c r="D35" s="3">
        <v>358.9</v>
      </c>
      <c r="E35" s="3">
        <v>13</v>
      </c>
      <c r="F35" s="3">
        <v>6</v>
      </c>
      <c r="G35" s="3">
        <v>3095</v>
      </c>
    </row>
    <row r="36" spans="1:7">
      <c r="A36" s="3" t="s">
        <v>286</v>
      </c>
      <c r="B36" s="3" t="s">
        <v>287</v>
      </c>
      <c r="C36" s="3" t="s">
        <v>55</v>
      </c>
      <c r="D36" s="3">
        <v>452.1</v>
      </c>
      <c r="E36" s="3">
        <v>12</v>
      </c>
      <c r="F36" s="3">
        <v>8</v>
      </c>
      <c r="G36" s="3">
        <v>8041</v>
      </c>
    </row>
    <row r="37" spans="1:7">
      <c r="A37" s="3" t="s">
        <v>286</v>
      </c>
      <c r="B37" s="3" t="s">
        <v>287</v>
      </c>
      <c r="C37" s="3" t="s">
        <v>59</v>
      </c>
      <c r="D37" s="3">
        <v>226.5</v>
      </c>
      <c r="E37" s="3">
        <v>7</v>
      </c>
      <c r="F37" s="3">
        <v>10</v>
      </c>
      <c r="G37" s="3">
        <v>4244</v>
      </c>
    </row>
    <row r="38" spans="1:7">
      <c r="A38" s="3" t="s">
        <v>288</v>
      </c>
      <c r="B38" s="3" t="s">
        <v>289</v>
      </c>
      <c r="C38" s="3" t="s">
        <v>34</v>
      </c>
      <c r="D38" s="3">
        <v>770.2</v>
      </c>
      <c r="E38" s="3">
        <v>20</v>
      </c>
      <c r="F38" s="3">
        <v>9</v>
      </c>
      <c r="G38" s="3">
        <v>3429</v>
      </c>
    </row>
    <row r="39" spans="1:7">
      <c r="A39" s="3" t="s">
        <v>288</v>
      </c>
      <c r="B39" s="3" t="s">
        <v>289</v>
      </c>
      <c r="C39" s="3" t="s">
        <v>40</v>
      </c>
      <c r="D39" s="3">
        <v>205.3</v>
      </c>
      <c r="E39" s="3">
        <v>9</v>
      </c>
      <c r="F39" s="3">
        <v>8</v>
      </c>
      <c r="G39" s="3">
        <v>8178</v>
      </c>
    </row>
    <row r="40" spans="1:7">
      <c r="A40" s="3" t="s">
        <v>288</v>
      </c>
      <c r="B40" s="3" t="s">
        <v>289</v>
      </c>
      <c r="C40" s="3" t="s">
        <v>46</v>
      </c>
      <c r="D40" s="3">
        <v>836.4</v>
      </c>
      <c r="E40" s="3">
        <v>4</v>
      </c>
      <c r="F40" s="3">
        <v>9</v>
      </c>
      <c r="G40" s="3">
        <v>4455</v>
      </c>
    </row>
    <row r="41" spans="1:7">
      <c r="A41" s="3" t="s">
        <v>288</v>
      </c>
      <c r="B41" s="3" t="s">
        <v>289</v>
      </c>
      <c r="C41" s="3" t="s">
        <v>51</v>
      </c>
      <c r="D41" s="3">
        <v>480.7</v>
      </c>
      <c r="E41" s="3">
        <v>7</v>
      </c>
      <c r="F41" s="3">
        <v>5</v>
      </c>
      <c r="G41" s="3">
        <v>8998</v>
      </c>
    </row>
    <row r="42" spans="1:7">
      <c r="A42" s="3" t="s">
        <v>288</v>
      </c>
      <c r="B42" s="3" t="s">
        <v>289</v>
      </c>
      <c r="C42" s="3" t="s">
        <v>55</v>
      </c>
      <c r="D42" s="3">
        <v>888</v>
      </c>
      <c r="E42" s="3">
        <v>13</v>
      </c>
      <c r="F42" s="3">
        <v>3</v>
      </c>
      <c r="G42" s="3">
        <v>2274</v>
      </c>
    </row>
    <row r="43" spans="1:7">
      <c r="A43" s="3" t="s">
        <v>288</v>
      </c>
      <c r="B43" s="3" t="s">
        <v>289</v>
      </c>
      <c r="C43" s="3" t="s">
        <v>59</v>
      </c>
      <c r="D43" s="3">
        <v>277.5</v>
      </c>
      <c r="E43" s="3">
        <v>6</v>
      </c>
      <c r="F43" s="3">
        <v>1</v>
      </c>
      <c r="G43" s="3">
        <v>7795</v>
      </c>
    </row>
    <row r="44" spans="1:7">
      <c r="A44" s="3" t="s">
        <v>290</v>
      </c>
      <c r="B44" s="3" t="s">
        <v>291</v>
      </c>
      <c r="C44" s="3" t="s">
        <v>34</v>
      </c>
      <c r="D44" s="3">
        <v>478.5</v>
      </c>
      <c r="E44" s="3">
        <v>6</v>
      </c>
      <c r="F44" s="3">
        <v>12</v>
      </c>
      <c r="G44" s="3">
        <v>6163</v>
      </c>
    </row>
    <row r="45" spans="1:7">
      <c r="A45" s="3" t="s">
        <v>290</v>
      </c>
      <c r="B45" s="3" t="s">
        <v>291</v>
      </c>
      <c r="C45" s="3" t="s">
        <v>40</v>
      </c>
      <c r="D45" s="3">
        <v>708</v>
      </c>
      <c r="E45" s="3">
        <v>8</v>
      </c>
      <c r="F45" s="3">
        <v>10</v>
      </c>
      <c r="G45" s="3">
        <v>5693</v>
      </c>
    </row>
    <row r="46" spans="1:7">
      <c r="A46" s="3" t="s">
        <v>290</v>
      </c>
      <c r="B46" s="3" t="s">
        <v>291</v>
      </c>
      <c r="C46" s="3" t="s">
        <v>46</v>
      </c>
      <c r="D46" s="3">
        <v>856.4</v>
      </c>
      <c r="E46" s="3">
        <v>9</v>
      </c>
      <c r="F46" s="3">
        <v>4</v>
      </c>
      <c r="G46" s="3">
        <v>6122</v>
      </c>
    </row>
    <row r="47" spans="1:7">
      <c r="A47" s="3" t="s">
        <v>290</v>
      </c>
      <c r="B47" s="3" t="s">
        <v>291</v>
      </c>
      <c r="C47" s="3" t="s">
        <v>51</v>
      </c>
      <c r="D47" s="3">
        <v>795.4</v>
      </c>
      <c r="E47" s="3">
        <v>17</v>
      </c>
      <c r="F47" s="3">
        <v>3</v>
      </c>
      <c r="G47" s="3">
        <v>9409</v>
      </c>
    </row>
    <row r="48" spans="1:7">
      <c r="A48" s="3" t="s">
        <v>290</v>
      </c>
      <c r="B48" s="3" t="s">
        <v>291</v>
      </c>
      <c r="C48" s="3" t="s">
        <v>55</v>
      </c>
      <c r="D48" s="3">
        <v>522.20000000000005</v>
      </c>
      <c r="E48" s="3">
        <v>10</v>
      </c>
      <c r="F48" s="3">
        <v>11</v>
      </c>
      <c r="G48" s="3">
        <v>4353</v>
      </c>
    </row>
    <row r="49" spans="1:7">
      <c r="A49" s="3" t="s">
        <v>290</v>
      </c>
      <c r="B49" s="3" t="s">
        <v>291</v>
      </c>
      <c r="C49" s="3" t="s">
        <v>59</v>
      </c>
      <c r="D49" s="3">
        <v>407.2</v>
      </c>
      <c r="E49" s="3">
        <v>15</v>
      </c>
      <c r="F49" s="3">
        <v>7</v>
      </c>
      <c r="G49" s="3">
        <v>9169</v>
      </c>
    </row>
    <row r="50" spans="1:7">
      <c r="A50" s="3" t="s">
        <v>292</v>
      </c>
      <c r="B50" s="3" t="s">
        <v>293</v>
      </c>
      <c r="C50" s="3" t="s">
        <v>34</v>
      </c>
      <c r="D50" s="3">
        <v>348</v>
      </c>
      <c r="E50" s="3">
        <v>16</v>
      </c>
      <c r="F50" s="3">
        <v>4</v>
      </c>
      <c r="G50" s="3">
        <v>7960</v>
      </c>
    </row>
    <row r="51" spans="1:7">
      <c r="A51" s="3" t="s">
        <v>292</v>
      </c>
      <c r="B51" s="3" t="s">
        <v>293</v>
      </c>
      <c r="C51" s="3" t="s">
        <v>40</v>
      </c>
      <c r="D51" s="3">
        <v>860</v>
      </c>
      <c r="E51" s="3">
        <v>17</v>
      </c>
      <c r="F51" s="3">
        <v>4</v>
      </c>
      <c r="G51" s="3">
        <v>8639</v>
      </c>
    </row>
    <row r="52" spans="1:7">
      <c r="A52" s="3" t="s">
        <v>292</v>
      </c>
      <c r="B52" s="3" t="s">
        <v>293</v>
      </c>
      <c r="C52" s="3" t="s">
        <v>46</v>
      </c>
      <c r="D52" s="3">
        <v>147.19999999999999</v>
      </c>
      <c r="E52" s="3">
        <v>4</v>
      </c>
      <c r="F52" s="3">
        <v>11</v>
      </c>
      <c r="G52" s="3">
        <v>6218</v>
      </c>
    </row>
    <row r="53" spans="1:7">
      <c r="A53" s="3" t="s">
        <v>292</v>
      </c>
      <c r="B53" s="3" t="s">
        <v>293</v>
      </c>
      <c r="C53" s="3" t="s">
        <v>51</v>
      </c>
      <c r="D53" s="3">
        <v>122.7</v>
      </c>
      <c r="E53" s="3">
        <v>15</v>
      </c>
      <c r="F53" s="3">
        <v>3</v>
      </c>
      <c r="G53" s="3">
        <v>7125</v>
      </c>
    </row>
    <row r="54" spans="1:7">
      <c r="A54" s="3" t="s">
        <v>292</v>
      </c>
      <c r="B54" s="3" t="s">
        <v>293</v>
      </c>
      <c r="C54" s="3" t="s">
        <v>55</v>
      </c>
      <c r="D54" s="3">
        <v>136.30000000000001</v>
      </c>
      <c r="E54" s="3">
        <v>5</v>
      </c>
      <c r="F54" s="3">
        <v>12</v>
      </c>
      <c r="G54" s="3">
        <v>2054</v>
      </c>
    </row>
    <row r="55" spans="1:7">
      <c r="A55" s="3" t="s">
        <v>292</v>
      </c>
      <c r="B55" s="3" t="s">
        <v>293</v>
      </c>
      <c r="C55" s="3" t="s">
        <v>59</v>
      </c>
      <c r="D55" s="3">
        <v>858.7</v>
      </c>
      <c r="E55" s="3">
        <v>10</v>
      </c>
      <c r="F55" s="3">
        <v>0</v>
      </c>
      <c r="G55" s="3">
        <v>6889</v>
      </c>
    </row>
    <row r="56" spans="1:7">
      <c r="A56" s="3" t="s">
        <v>294</v>
      </c>
      <c r="B56" s="3" t="s">
        <v>289</v>
      </c>
      <c r="C56" s="3" t="s">
        <v>34</v>
      </c>
      <c r="D56" s="3">
        <v>205</v>
      </c>
      <c r="E56" s="3">
        <v>8</v>
      </c>
      <c r="F56" s="3">
        <v>7</v>
      </c>
      <c r="G56" s="3">
        <v>7284</v>
      </c>
    </row>
    <row r="57" spans="1:7">
      <c r="A57" s="3" t="s">
        <v>294</v>
      </c>
      <c r="B57" s="3" t="s">
        <v>289</v>
      </c>
      <c r="C57" s="3" t="s">
        <v>40</v>
      </c>
      <c r="D57" s="3">
        <v>173.8</v>
      </c>
      <c r="E57" s="3">
        <v>10</v>
      </c>
      <c r="F57" s="3">
        <v>7</v>
      </c>
      <c r="G57" s="3">
        <v>7530</v>
      </c>
    </row>
    <row r="58" spans="1:7">
      <c r="A58" s="3" t="s">
        <v>294</v>
      </c>
      <c r="B58" s="3" t="s">
        <v>289</v>
      </c>
      <c r="C58" s="3" t="s">
        <v>46</v>
      </c>
      <c r="D58" s="3">
        <v>290.10000000000002</v>
      </c>
      <c r="E58" s="3">
        <v>15</v>
      </c>
      <c r="F58" s="3">
        <v>2</v>
      </c>
      <c r="G58" s="3">
        <v>6763</v>
      </c>
    </row>
    <row r="59" spans="1:7">
      <c r="A59" s="3" t="s">
        <v>294</v>
      </c>
      <c r="B59" s="3" t="s">
        <v>289</v>
      </c>
      <c r="C59" s="3" t="s">
        <v>51</v>
      </c>
      <c r="D59" s="3">
        <v>577.9</v>
      </c>
      <c r="E59" s="3">
        <v>7</v>
      </c>
      <c r="F59" s="3">
        <v>12</v>
      </c>
      <c r="G59" s="3">
        <v>8511</v>
      </c>
    </row>
    <row r="60" spans="1:7">
      <c r="A60" s="3" t="s">
        <v>294</v>
      </c>
      <c r="B60" s="3" t="s">
        <v>289</v>
      </c>
      <c r="C60" s="3" t="s">
        <v>55</v>
      </c>
      <c r="D60" s="3">
        <v>214.3</v>
      </c>
      <c r="E60" s="3">
        <v>13</v>
      </c>
      <c r="F60" s="3">
        <v>1</v>
      </c>
      <c r="G60" s="3">
        <v>6540</v>
      </c>
    </row>
    <row r="61" spans="1:7">
      <c r="A61" s="3" t="s">
        <v>294</v>
      </c>
      <c r="B61" s="3" t="s">
        <v>289</v>
      </c>
      <c r="C61" s="3" t="s">
        <v>59</v>
      </c>
      <c r="D61" s="3">
        <v>101.1</v>
      </c>
      <c r="E61" s="3">
        <v>13</v>
      </c>
      <c r="F61" s="3">
        <v>9</v>
      </c>
      <c r="G61" s="3">
        <v>7348</v>
      </c>
    </row>
    <row r="62" spans="1:7">
      <c r="A62" s="3" t="s">
        <v>295</v>
      </c>
      <c r="B62" s="3" t="s">
        <v>296</v>
      </c>
      <c r="C62" s="3" t="s">
        <v>34</v>
      </c>
      <c r="D62" s="3">
        <v>824.6</v>
      </c>
      <c r="E62" s="3">
        <v>16</v>
      </c>
      <c r="F62" s="3">
        <v>6</v>
      </c>
      <c r="G62" s="3">
        <v>7657</v>
      </c>
    </row>
    <row r="63" spans="1:7">
      <c r="A63" s="3" t="s">
        <v>295</v>
      </c>
      <c r="B63" s="3" t="s">
        <v>296</v>
      </c>
      <c r="C63" s="3" t="s">
        <v>40</v>
      </c>
      <c r="D63" s="3">
        <v>242.6</v>
      </c>
      <c r="E63" s="3">
        <v>11</v>
      </c>
      <c r="F63" s="3">
        <v>1</v>
      </c>
      <c r="G63" s="3">
        <v>7511</v>
      </c>
    </row>
    <row r="64" spans="1:7">
      <c r="A64" s="3" t="s">
        <v>295</v>
      </c>
      <c r="B64" s="3" t="s">
        <v>296</v>
      </c>
      <c r="C64" s="3" t="s">
        <v>46</v>
      </c>
      <c r="D64" s="3">
        <v>713.4</v>
      </c>
      <c r="E64" s="3">
        <v>7</v>
      </c>
      <c r="F64" s="3">
        <v>12</v>
      </c>
      <c r="G64" s="3">
        <v>6436</v>
      </c>
    </row>
    <row r="65" spans="1:7">
      <c r="A65" s="3" t="s">
        <v>295</v>
      </c>
      <c r="B65" s="3" t="s">
        <v>296</v>
      </c>
      <c r="C65" s="3" t="s">
        <v>51</v>
      </c>
      <c r="D65" s="3">
        <v>721.8</v>
      </c>
      <c r="E65" s="3">
        <v>15</v>
      </c>
      <c r="F65" s="3">
        <v>8</v>
      </c>
      <c r="G65" s="3">
        <v>5309</v>
      </c>
    </row>
    <row r="66" spans="1:7">
      <c r="A66" s="3" t="s">
        <v>295</v>
      </c>
      <c r="B66" s="3" t="s">
        <v>296</v>
      </c>
      <c r="C66" s="3" t="s">
        <v>55</v>
      </c>
      <c r="D66" s="3">
        <v>622.4</v>
      </c>
      <c r="E66" s="3">
        <v>6</v>
      </c>
      <c r="F66" s="3">
        <v>8</v>
      </c>
      <c r="G66" s="3">
        <v>7104</v>
      </c>
    </row>
    <row r="67" spans="1:7">
      <c r="A67" s="3" t="s">
        <v>295</v>
      </c>
      <c r="B67" s="3" t="s">
        <v>296</v>
      </c>
      <c r="C67" s="3" t="s">
        <v>59</v>
      </c>
      <c r="D67" s="3">
        <v>359.8</v>
      </c>
      <c r="E67" s="3">
        <v>17</v>
      </c>
      <c r="F67" s="3">
        <v>7</v>
      </c>
      <c r="G67" s="3">
        <v>2664</v>
      </c>
    </row>
    <row r="68" spans="1:7">
      <c r="A68" s="3" t="s">
        <v>297</v>
      </c>
      <c r="B68" s="3" t="s">
        <v>298</v>
      </c>
      <c r="C68" s="3" t="s">
        <v>34</v>
      </c>
      <c r="D68" s="3">
        <v>435.5</v>
      </c>
      <c r="E68" s="3">
        <v>15</v>
      </c>
      <c r="F68" s="3">
        <v>10</v>
      </c>
      <c r="G68" s="3">
        <v>9103</v>
      </c>
    </row>
    <row r="69" spans="1:7">
      <c r="A69" s="3" t="s">
        <v>297</v>
      </c>
      <c r="B69" s="3" t="s">
        <v>298</v>
      </c>
      <c r="C69" s="3" t="s">
        <v>40</v>
      </c>
      <c r="D69" s="3">
        <v>759.5</v>
      </c>
      <c r="E69" s="3">
        <v>8</v>
      </c>
      <c r="F69" s="3">
        <v>6</v>
      </c>
      <c r="G69" s="3">
        <v>3242</v>
      </c>
    </row>
    <row r="70" spans="1:7">
      <c r="A70" s="3" t="s">
        <v>297</v>
      </c>
      <c r="B70" s="3" t="s">
        <v>298</v>
      </c>
      <c r="C70" s="3" t="s">
        <v>46</v>
      </c>
      <c r="D70" s="3">
        <v>681.7</v>
      </c>
      <c r="E70" s="3">
        <v>12</v>
      </c>
      <c r="F70" s="3">
        <v>9</v>
      </c>
      <c r="G70" s="3">
        <v>8420</v>
      </c>
    </row>
    <row r="71" spans="1:7">
      <c r="A71" s="3" t="s">
        <v>297</v>
      </c>
      <c r="B71" s="3" t="s">
        <v>298</v>
      </c>
      <c r="C71" s="3" t="s">
        <v>51</v>
      </c>
      <c r="D71" s="3">
        <v>834.1</v>
      </c>
      <c r="E71" s="3">
        <v>19</v>
      </c>
      <c r="F71" s="3">
        <v>7</v>
      </c>
      <c r="G71" s="3">
        <v>5368</v>
      </c>
    </row>
    <row r="72" spans="1:7">
      <c r="A72" s="3" t="s">
        <v>297</v>
      </c>
      <c r="B72" s="3" t="s">
        <v>298</v>
      </c>
      <c r="C72" s="3" t="s">
        <v>55</v>
      </c>
      <c r="D72" s="3">
        <v>757.1</v>
      </c>
      <c r="E72" s="3">
        <v>12</v>
      </c>
      <c r="F72" s="3">
        <v>5</v>
      </c>
      <c r="G72" s="3">
        <v>8777</v>
      </c>
    </row>
    <row r="73" spans="1:7">
      <c r="A73" s="3" t="s">
        <v>297</v>
      </c>
      <c r="B73" s="3" t="s">
        <v>298</v>
      </c>
      <c r="C73" s="3" t="s">
        <v>59</v>
      </c>
      <c r="D73" s="3">
        <v>281.3</v>
      </c>
      <c r="E73" s="3">
        <v>6</v>
      </c>
      <c r="F73" s="3">
        <v>4</v>
      </c>
      <c r="G73" s="3">
        <v>9022</v>
      </c>
    </row>
    <row r="74" spans="1:7">
      <c r="A74" s="3" t="s">
        <v>299</v>
      </c>
      <c r="B74" s="3" t="s">
        <v>300</v>
      </c>
      <c r="C74" s="3" t="s">
        <v>34</v>
      </c>
      <c r="D74" s="3">
        <v>449.7</v>
      </c>
      <c r="E74" s="3">
        <v>18</v>
      </c>
      <c r="F74" s="3">
        <v>9</v>
      </c>
      <c r="G74" s="3">
        <v>6799</v>
      </c>
    </row>
    <row r="75" spans="1:7">
      <c r="A75" s="3" t="s">
        <v>299</v>
      </c>
      <c r="B75" s="3" t="s">
        <v>300</v>
      </c>
      <c r="C75" s="3" t="s">
        <v>40</v>
      </c>
      <c r="D75" s="3">
        <v>627.9</v>
      </c>
      <c r="E75" s="3">
        <v>14</v>
      </c>
      <c r="F75" s="3">
        <v>0</v>
      </c>
      <c r="G75" s="3">
        <v>5849</v>
      </c>
    </row>
    <row r="76" spans="1:7">
      <c r="A76" s="3" t="s">
        <v>299</v>
      </c>
      <c r="B76" s="3" t="s">
        <v>300</v>
      </c>
      <c r="C76" s="3" t="s">
        <v>46</v>
      </c>
      <c r="D76" s="3">
        <v>777.8</v>
      </c>
      <c r="E76" s="3">
        <v>9</v>
      </c>
      <c r="F76" s="3">
        <v>7</v>
      </c>
      <c r="G76" s="3">
        <v>3537</v>
      </c>
    </row>
    <row r="77" spans="1:7">
      <c r="A77" s="3" t="s">
        <v>299</v>
      </c>
      <c r="B77" s="3" t="s">
        <v>300</v>
      </c>
      <c r="C77" s="3" t="s">
        <v>51</v>
      </c>
      <c r="D77" s="3">
        <v>371</v>
      </c>
      <c r="E77" s="3">
        <v>12</v>
      </c>
      <c r="F77" s="3">
        <v>5</v>
      </c>
      <c r="G77" s="3">
        <v>4090</v>
      </c>
    </row>
    <row r="78" spans="1:7">
      <c r="A78" s="3" t="s">
        <v>299</v>
      </c>
      <c r="B78" s="3" t="s">
        <v>300</v>
      </c>
      <c r="C78" s="3" t="s">
        <v>55</v>
      </c>
      <c r="D78" s="3">
        <v>801.9</v>
      </c>
      <c r="E78" s="3">
        <v>12</v>
      </c>
      <c r="F78" s="3">
        <v>8</v>
      </c>
      <c r="G78" s="3">
        <v>1883</v>
      </c>
    </row>
    <row r="79" spans="1:7">
      <c r="A79" s="3" t="s">
        <v>299</v>
      </c>
      <c r="B79" s="3" t="s">
        <v>300</v>
      </c>
      <c r="C79" s="3" t="s">
        <v>59</v>
      </c>
      <c r="D79" s="3">
        <v>503.6</v>
      </c>
      <c r="E79" s="3">
        <v>10</v>
      </c>
      <c r="F79" s="3">
        <v>1</v>
      </c>
      <c r="G79" s="3">
        <v>3777</v>
      </c>
    </row>
    <row r="80" spans="1:7">
      <c r="A80" s="3" t="s">
        <v>301</v>
      </c>
      <c r="B80" s="3" t="s">
        <v>302</v>
      </c>
      <c r="C80" s="3" t="s">
        <v>34</v>
      </c>
      <c r="D80" s="3">
        <v>670.5</v>
      </c>
      <c r="E80" s="3">
        <v>19</v>
      </c>
      <c r="F80" s="3">
        <v>8</v>
      </c>
      <c r="G80" s="3">
        <v>8010</v>
      </c>
    </row>
    <row r="81" spans="1:7">
      <c r="A81" s="3" t="s">
        <v>301</v>
      </c>
      <c r="B81" s="3" t="s">
        <v>302</v>
      </c>
      <c r="C81" s="3" t="s">
        <v>40</v>
      </c>
      <c r="D81" s="3">
        <v>277.10000000000002</v>
      </c>
      <c r="E81" s="3">
        <v>19</v>
      </c>
      <c r="F81" s="3">
        <v>10</v>
      </c>
      <c r="G81" s="3">
        <v>7631</v>
      </c>
    </row>
    <row r="82" spans="1:7">
      <c r="A82" s="3" t="s">
        <v>301</v>
      </c>
      <c r="B82" s="3" t="s">
        <v>302</v>
      </c>
      <c r="C82" s="3" t="s">
        <v>46</v>
      </c>
      <c r="D82" s="3">
        <v>482.5</v>
      </c>
      <c r="E82" s="3">
        <v>4</v>
      </c>
      <c r="F82" s="3">
        <v>1</v>
      </c>
      <c r="G82" s="3">
        <v>4210</v>
      </c>
    </row>
    <row r="83" spans="1:7">
      <c r="A83" s="3" t="s">
        <v>301</v>
      </c>
      <c r="B83" s="3" t="s">
        <v>302</v>
      </c>
      <c r="C83" s="3" t="s">
        <v>51</v>
      </c>
      <c r="D83" s="3">
        <v>261.7</v>
      </c>
      <c r="E83" s="3">
        <v>11</v>
      </c>
      <c r="F83" s="3">
        <v>4</v>
      </c>
      <c r="G83" s="3">
        <v>7239</v>
      </c>
    </row>
    <row r="84" spans="1:7">
      <c r="A84" s="3" t="s">
        <v>301</v>
      </c>
      <c r="B84" s="3" t="s">
        <v>302</v>
      </c>
      <c r="C84" s="3" t="s">
        <v>55</v>
      </c>
      <c r="D84" s="3">
        <v>556.9</v>
      </c>
      <c r="E84" s="3">
        <v>19</v>
      </c>
      <c r="F84" s="3">
        <v>8</v>
      </c>
      <c r="G84" s="3">
        <v>6149</v>
      </c>
    </row>
    <row r="85" spans="1:7">
      <c r="A85" s="3" t="s">
        <v>301</v>
      </c>
      <c r="B85" s="3" t="s">
        <v>302</v>
      </c>
      <c r="C85" s="3" t="s">
        <v>59</v>
      </c>
      <c r="D85" s="3">
        <v>361.9</v>
      </c>
      <c r="E85" s="3">
        <v>14</v>
      </c>
      <c r="F85" s="3">
        <v>5</v>
      </c>
      <c r="G85" s="3">
        <v>7557</v>
      </c>
    </row>
    <row r="86" spans="1:7">
      <c r="A86" s="3" t="s">
        <v>303</v>
      </c>
      <c r="B86" s="3" t="s">
        <v>304</v>
      </c>
      <c r="C86" s="3" t="s">
        <v>34</v>
      </c>
      <c r="D86" s="3">
        <v>452.1</v>
      </c>
      <c r="E86" s="3">
        <v>13</v>
      </c>
      <c r="F86" s="3">
        <v>4</v>
      </c>
      <c r="G86" s="3">
        <v>3688</v>
      </c>
    </row>
    <row r="87" spans="1:7">
      <c r="A87" s="3" t="s">
        <v>303</v>
      </c>
      <c r="B87" s="3" t="s">
        <v>304</v>
      </c>
      <c r="C87" s="3" t="s">
        <v>40</v>
      </c>
      <c r="D87" s="3">
        <v>178.9</v>
      </c>
      <c r="E87" s="3">
        <v>10</v>
      </c>
      <c r="F87" s="3">
        <v>5</v>
      </c>
      <c r="G87" s="3">
        <v>2779</v>
      </c>
    </row>
    <row r="88" spans="1:7">
      <c r="A88" s="3" t="s">
        <v>303</v>
      </c>
      <c r="B88" s="3" t="s">
        <v>304</v>
      </c>
      <c r="C88" s="3" t="s">
        <v>46</v>
      </c>
      <c r="D88" s="3">
        <v>689.2</v>
      </c>
      <c r="E88" s="3">
        <v>9</v>
      </c>
      <c r="F88" s="3">
        <v>3</v>
      </c>
      <c r="G88" s="3">
        <v>3572</v>
      </c>
    </row>
    <row r="89" spans="1:7">
      <c r="A89" s="3" t="s">
        <v>303</v>
      </c>
      <c r="B89" s="3" t="s">
        <v>304</v>
      </c>
      <c r="C89" s="3" t="s">
        <v>51</v>
      </c>
      <c r="D89" s="3">
        <v>685.7</v>
      </c>
      <c r="E89" s="3">
        <v>12</v>
      </c>
      <c r="F89" s="3">
        <v>11</v>
      </c>
      <c r="G89" s="3">
        <v>6629</v>
      </c>
    </row>
    <row r="90" spans="1:7">
      <c r="A90" s="3" t="s">
        <v>303</v>
      </c>
      <c r="B90" s="3" t="s">
        <v>304</v>
      </c>
      <c r="C90" s="3" t="s">
        <v>55</v>
      </c>
      <c r="D90" s="3">
        <v>880.8</v>
      </c>
      <c r="E90" s="3">
        <v>20</v>
      </c>
      <c r="F90" s="3">
        <v>9</v>
      </c>
      <c r="G90" s="3">
        <v>4118</v>
      </c>
    </row>
    <row r="91" spans="1:7">
      <c r="A91" s="3" t="s">
        <v>303</v>
      </c>
      <c r="B91" s="3" t="s">
        <v>304</v>
      </c>
      <c r="C91" s="3" t="s">
        <v>59</v>
      </c>
      <c r="D91" s="3">
        <v>884</v>
      </c>
      <c r="E91" s="3">
        <v>10</v>
      </c>
      <c r="F91" s="3">
        <v>4</v>
      </c>
      <c r="G91" s="3">
        <v>3663</v>
      </c>
    </row>
    <row r="92" spans="1:7">
      <c r="A92" s="3" t="s">
        <v>305</v>
      </c>
      <c r="B92" s="3" t="s">
        <v>306</v>
      </c>
      <c r="C92" s="3" t="s">
        <v>34</v>
      </c>
      <c r="D92" s="3">
        <v>375.9</v>
      </c>
      <c r="E92" s="3">
        <v>13</v>
      </c>
      <c r="F92" s="3">
        <v>0</v>
      </c>
      <c r="G92" s="3">
        <v>7600</v>
      </c>
    </row>
    <row r="93" spans="1:7">
      <c r="A93" s="3" t="s">
        <v>305</v>
      </c>
      <c r="B93" s="3" t="s">
        <v>306</v>
      </c>
      <c r="C93" s="3" t="s">
        <v>40</v>
      </c>
      <c r="D93" s="3">
        <v>518</v>
      </c>
      <c r="E93" s="3">
        <v>12</v>
      </c>
      <c r="F93" s="3">
        <v>0</v>
      </c>
      <c r="G93" s="3">
        <v>2246</v>
      </c>
    </row>
    <row r="94" spans="1:7">
      <c r="A94" s="3" t="s">
        <v>305</v>
      </c>
      <c r="B94" s="3" t="s">
        <v>306</v>
      </c>
      <c r="C94" s="3" t="s">
        <v>46</v>
      </c>
      <c r="D94" s="3">
        <v>533.79999999999995</v>
      </c>
      <c r="E94" s="3">
        <v>8</v>
      </c>
      <c r="F94" s="3">
        <v>10</v>
      </c>
      <c r="G94" s="3">
        <v>8914</v>
      </c>
    </row>
    <row r="95" spans="1:7">
      <c r="A95" s="3" t="s">
        <v>305</v>
      </c>
      <c r="B95" s="3" t="s">
        <v>306</v>
      </c>
      <c r="C95" s="3" t="s">
        <v>51</v>
      </c>
      <c r="D95" s="3">
        <v>697.3</v>
      </c>
      <c r="E95" s="3">
        <v>7</v>
      </c>
      <c r="F95" s="3">
        <v>0</v>
      </c>
      <c r="G95" s="3">
        <v>6502</v>
      </c>
    </row>
    <row r="96" spans="1:7">
      <c r="A96" s="3" t="s">
        <v>305</v>
      </c>
      <c r="B96" s="3" t="s">
        <v>306</v>
      </c>
      <c r="C96" s="3" t="s">
        <v>55</v>
      </c>
      <c r="D96" s="3">
        <v>313.2</v>
      </c>
      <c r="E96" s="3">
        <v>19</v>
      </c>
      <c r="F96" s="3">
        <v>7</v>
      </c>
      <c r="G96" s="3">
        <v>4591</v>
      </c>
    </row>
    <row r="97" spans="1:7">
      <c r="A97" s="3" t="s">
        <v>305</v>
      </c>
      <c r="B97" s="3" t="s">
        <v>306</v>
      </c>
      <c r="C97" s="3" t="s">
        <v>59</v>
      </c>
      <c r="D97" s="3">
        <v>231.2</v>
      </c>
      <c r="E97" s="3">
        <v>5</v>
      </c>
      <c r="F97" s="3">
        <v>4</v>
      </c>
      <c r="G97" s="3">
        <v>8859</v>
      </c>
    </row>
    <row r="98" spans="1:7">
      <c r="A98" s="3" t="s">
        <v>307</v>
      </c>
      <c r="B98" s="3" t="s">
        <v>308</v>
      </c>
      <c r="C98" s="3" t="s">
        <v>34</v>
      </c>
      <c r="D98" s="3">
        <v>471.7</v>
      </c>
      <c r="E98" s="3">
        <v>6</v>
      </c>
      <c r="F98" s="3">
        <v>6</v>
      </c>
      <c r="G98" s="3">
        <v>5828</v>
      </c>
    </row>
    <row r="99" spans="1:7">
      <c r="A99" s="3" t="s">
        <v>307</v>
      </c>
      <c r="B99" s="3" t="s">
        <v>308</v>
      </c>
      <c r="C99" s="3" t="s">
        <v>40</v>
      </c>
      <c r="D99" s="3">
        <v>140.69999999999999</v>
      </c>
      <c r="E99" s="3">
        <v>5</v>
      </c>
      <c r="F99" s="3">
        <v>2</v>
      </c>
      <c r="G99" s="3">
        <v>3022</v>
      </c>
    </row>
    <row r="100" spans="1:7">
      <c r="A100" s="3" t="s">
        <v>307</v>
      </c>
      <c r="B100" s="3" t="s">
        <v>308</v>
      </c>
      <c r="C100" s="3" t="s">
        <v>46</v>
      </c>
      <c r="D100" s="3">
        <v>745.1</v>
      </c>
      <c r="E100" s="3">
        <v>13</v>
      </c>
      <c r="F100" s="3">
        <v>1</v>
      </c>
      <c r="G100" s="3">
        <v>3833</v>
      </c>
    </row>
    <row r="101" spans="1:7">
      <c r="A101" s="3" t="s">
        <v>307</v>
      </c>
      <c r="B101" s="3" t="s">
        <v>308</v>
      </c>
      <c r="C101" s="3" t="s">
        <v>51</v>
      </c>
      <c r="D101" s="3">
        <v>177.1</v>
      </c>
      <c r="E101" s="3">
        <v>17</v>
      </c>
      <c r="F101" s="3">
        <v>9</v>
      </c>
      <c r="G101" s="3">
        <v>6683</v>
      </c>
    </row>
    <row r="102" spans="1:7">
      <c r="A102" s="3" t="s">
        <v>307</v>
      </c>
      <c r="B102" s="3" t="s">
        <v>308</v>
      </c>
      <c r="C102" s="3" t="s">
        <v>55</v>
      </c>
      <c r="D102" s="3">
        <v>728.4</v>
      </c>
      <c r="E102" s="3">
        <v>11</v>
      </c>
      <c r="F102" s="3">
        <v>12</v>
      </c>
      <c r="G102" s="3">
        <v>6080</v>
      </c>
    </row>
    <row r="103" spans="1:7">
      <c r="A103" s="3" t="s">
        <v>307</v>
      </c>
      <c r="B103" s="3" t="s">
        <v>308</v>
      </c>
      <c r="C103" s="3" t="s">
        <v>59</v>
      </c>
      <c r="D103" s="3">
        <v>391.9</v>
      </c>
      <c r="E103" s="3">
        <v>18</v>
      </c>
      <c r="F103" s="3">
        <v>4</v>
      </c>
      <c r="G103" s="3">
        <v>8846</v>
      </c>
    </row>
    <row r="104" spans="1:7">
      <c r="A104" s="3" t="s">
        <v>309</v>
      </c>
      <c r="B104" s="3" t="s">
        <v>310</v>
      </c>
      <c r="C104" s="3" t="s">
        <v>34</v>
      </c>
      <c r="D104" s="3">
        <v>562.6</v>
      </c>
      <c r="E104" s="3">
        <v>17</v>
      </c>
      <c r="F104" s="3">
        <v>4</v>
      </c>
      <c r="G104" s="3">
        <v>6458</v>
      </c>
    </row>
    <row r="105" spans="1:7">
      <c r="A105" s="3" t="s">
        <v>309</v>
      </c>
      <c r="B105" s="3" t="s">
        <v>310</v>
      </c>
      <c r="C105" s="3" t="s">
        <v>40</v>
      </c>
      <c r="D105" s="3">
        <v>589.20000000000005</v>
      </c>
      <c r="E105" s="3">
        <v>7</v>
      </c>
      <c r="F105" s="3">
        <v>12</v>
      </c>
      <c r="G105" s="3">
        <v>3502</v>
      </c>
    </row>
    <row r="106" spans="1:7">
      <c r="A106" s="3" t="s">
        <v>309</v>
      </c>
      <c r="B106" s="3" t="s">
        <v>310</v>
      </c>
      <c r="C106" s="3" t="s">
        <v>46</v>
      </c>
      <c r="D106" s="3">
        <v>592.9</v>
      </c>
      <c r="E106" s="3">
        <v>12</v>
      </c>
      <c r="F106" s="3">
        <v>10</v>
      </c>
      <c r="G106" s="3">
        <v>2465</v>
      </c>
    </row>
    <row r="107" spans="1:7">
      <c r="A107" s="3" t="s">
        <v>309</v>
      </c>
      <c r="B107" s="3" t="s">
        <v>310</v>
      </c>
      <c r="C107" s="3" t="s">
        <v>51</v>
      </c>
      <c r="D107" s="3">
        <v>208.8</v>
      </c>
      <c r="E107" s="3">
        <v>9</v>
      </c>
      <c r="F107" s="3">
        <v>8</v>
      </c>
      <c r="G107" s="3">
        <v>2414</v>
      </c>
    </row>
    <row r="108" spans="1:7">
      <c r="A108" s="3" t="s">
        <v>309</v>
      </c>
      <c r="B108" s="3" t="s">
        <v>310</v>
      </c>
      <c r="C108" s="3" t="s">
        <v>55</v>
      </c>
      <c r="D108" s="3">
        <v>208.4</v>
      </c>
      <c r="E108" s="3">
        <v>17</v>
      </c>
      <c r="F108" s="3">
        <v>7</v>
      </c>
      <c r="G108" s="3">
        <v>7447</v>
      </c>
    </row>
    <row r="109" spans="1:7">
      <c r="A109" s="3" t="s">
        <v>309</v>
      </c>
      <c r="B109" s="3" t="s">
        <v>310</v>
      </c>
      <c r="C109" s="3" t="s">
        <v>59</v>
      </c>
      <c r="D109" s="3">
        <v>566.9</v>
      </c>
      <c r="E109" s="3">
        <v>13</v>
      </c>
      <c r="F109" s="3">
        <v>0</v>
      </c>
      <c r="G109" s="3">
        <v>3696</v>
      </c>
    </row>
    <row r="110" spans="1:7">
      <c r="A110" s="3" t="s">
        <v>311</v>
      </c>
      <c r="B110" s="3" t="s">
        <v>312</v>
      </c>
      <c r="C110" s="3" t="s">
        <v>34</v>
      </c>
      <c r="D110" s="3">
        <v>316.2</v>
      </c>
      <c r="E110" s="3">
        <v>13</v>
      </c>
      <c r="F110" s="3">
        <v>11</v>
      </c>
      <c r="G110" s="3">
        <v>8841</v>
      </c>
    </row>
    <row r="111" spans="1:7">
      <c r="A111" s="3" t="s">
        <v>311</v>
      </c>
      <c r="B111" s="3" t="s">
        <v>312</v>
      </c>
      <c r="C111" s="3" t="s">
        <v>40</v>
      </c>
      <c r="D111" s="3">
        <v>452.3</v>
      </c>
      <c r="E111" s="3">
        <v>11</v>
      </c>
      <c r="F111" s="3">
        <v>4</v>
      </c>
      <c r="G111" s="3">
        <v>8253</v>
      </c>
    </row>
    <row r="112" spans="1:7">
      <c r="A112" s="3" t="s">
        <v>311</v>
      </c>
      <c r="B112" s="3" t="s">
        <v>312</v>
      </c>
      <c r="C112" s="3" t="s">
        <v>46</v>
      </c>
      <c r="D112" s="3">
        <v>728.8</v>
      </c>
      <c r="E112" s="3">
        <v>10</v>
      </c>
      <c r="F112" s="3">
        <v>6</v>
      </c>
      <c r="G112" s="3">
        <v>2740</v>
      </c>
    </row>
    <row r="113" spans="1:7">
      <c r="A113" s="3" t="s">
        <v>311</v>
      </c>
      <c r="B113" s="3" t="s">
        <v>312</v>
      </c>
      <c r="C113" s="3" t="s">
        <v>51</v>
      </c>
      <c r="D113" s="3">
        <v>526.5</v>
      </c>
      <c r="E113" s="3">
        <v>8</v>
      </c>
      <c r="F113" s="3">
        <v>4</v>
      </c>
      <c r="G113" s="3">
        <v>8571</v>
      </c>
    </row>
    <row r="114" spans="1:7">
      <c r="A114" s="3" t="s">
        <v>311</v>
      </c>
      <c r="B114" s="3" t="s">
        <v>312</v>
      </c>
      <c r="C114" s="3" t="s">
        <v>55</v>
      </c>
      <c r="D114" s="3">
        <v>196.6</v>
      </c>
      <c r="E114" s="3">
        <v>5</v>
      </c>
      <c r="F114" s="3">
        <v>2</v>
      </c>
      <c r="G114" s="3">
        <v>8293</v>
      </c>
    </row>
    <row r="115" spans="1:7">
      <c r="A115" s="3" t="s">
        <v>311</v>
      </c>
      <c r="B115" s="3" t="s">
        <v>312</v>
      </c>
      <c r="C115" s="3" t="s">
        <v>59</v>
      </c>
      <c r="D115" s="3">
        <v>332.2</v>
      </c>
      <c r="E115" s="3">
        <v>13</v>
      </c>
      <c r="F115" s="3">
        <v>7</v>
      </c>
      <c r="G115" s="3">
        <v>2818</v>
      </c>
    </row>
    <row r="116" spans="1:7">
      <c r="A116" s="3" t="s">
        <v>313</v>
      </c>
      <c r="B116" s="3" t="s">
        <v>314</v>
      </c>
      <c r="C116" s="3" t="s">
        <v>34</v>
      </c>
      <c r="D116" s="3">
        <v>464.3</v>
      </c>
      <c r="E116" s="3">
        <v>13</v>
      </c>
      <c r="F116" s="3">
        <v>11</v>
      </c>
      <c r="G116" s="3">
        <v>5097</v>
      </c>
    </row>
    <row r="117" spans="1:7">
      <c r="A117" s="3" t="s">
        <v>313</v>
      </c>
      <c r="B117" s="3" t="s">
        <v>314</v>
      </c>
      <c r="C117" s="3" t="s">
        <v>40</v>
      </c>
      <c r="D117" s="3">
        <v>853</v>
      </c>
      <c r="E117" s="3">
        <v>20</v>
      </c>
      <c r="F117" s="3">
        <v>8</v>
      </c>
      <c r="G117" s="3">
        <v>5845</v>
      </c>
    </row>
    <row r="118" spans="1:7">
      <c r="A118" s="3" t="s">
        <v>313</v>
      </c>
      <c r="B118" s="3" t="s">
        <v>314</v>
      </c>
      <c r="C118" s="3" t="s">
        <v>46</v>
      </c>
      <c r="D118" s="3">
        <v>439</v>
      </c>
      <c r="E118" s="3">
        <v>5</v>
      </c>
      <c r="F118" s="3">
        <v>6</v>
      </c>
      <c r="G118" s="3">
        <v>7817</v>
      </c>
    </row>
    <row r="119" spans="1:7">
      <c r="A119" s="3" t="s">
        <v>313</v>
      </c>
      <c r="B119" s="3" t="s">
        <v>314</v>
      </c>
      <c r="C119" s="3" t="s">
        <v>51</v>
      </c>
      <c r="D119" s="3">
        <v>344.3</v>
      </c>
      <c r="E119" s="3">
        <v>12</v>
      </c>
      <c r="F119" s="3">
        <v>0</v>
      </c>
      <c r="G119" s="3">
        <v>2548</v>
      </c>
    </row>
    <row r="120" spans="1:7">
      <c r="A120" s="3" t="s">
        <v>313</v>
      </c>
      <c r="B120" s="3" t="s">
        <v>314</v>
      </c>
      <c r="C120" s="3" t="s">
        <v>55</v>
      </c>
      <c r="D120" s="3">
        <v>267.7</v>
      </c>
      <c r="E120" s="3">
        <v>4</v>
      </c>
      <c r="F120" s="3">
        <v>12</v>
      </c>
      <c r="G120" s="3">
        <v>7307</v>
      </c>
    </row>
    <row r="121" spans="1:7">
      <c r="A121" s="3" t="s">
        <v>313</v>
      </c>
      <c r="B121" s="3" t="s">
        <v>314</v>
      </c>
      <c r="C121" s="3" t="s">
        <v>59</v>
      </c>
      <c r="D121" s="3">
        <v>753.6</v>
      </c>
      <c r="E121" s="3">
        <v>5</v>
      </c>
      <c r="F121" s="3">
        <v>12</v>
      </c>
      <c r="G121" s="3">
        <v>7995</v>
      </c>
    </row>
    <row r="122" spans="1:7">
      <c r="A122" s="3" t="s">
        <v>315</v>
      </c>
      <c r="B122" s="3" t="s">
        <v>316</v>
      </c>
      <c r="C122" s="3" t="s">
        <v>34</v>
      </c>
      <c r="D122" s="3">
        <v>223.7</v>
      </c>
      <c r="E122" s="3">
        <v>20</v>
      </c>
      <c r="F122" s="3">
        <v>10</v>
      </c>
      <c r="G122" s="3">
        <v>5422</v>
      </c>
    </row>
    <row r="123" spans="1:7">
      <c r="A123" s="3" t="s">
        <v>315</v>
      </c>
      <c r="B123" s="3" t="s">
        <v>316</v>
      </c>
      <c r="C123" s="3" t="s">
        <v>40</v>
      </c>
      <c r="D123" s="3">
        <v>831.2</v>
      </c>
      <c r="E123" s="3">
        <v>9</v>
      </c>
      <c r="F123" s="3">
        <v>9</v>
      </c>
      <c r="G123" s="3">
        <v>5370</v>
      </c>
    </row>
    <row r="124" spans="1:7">
      <c r="A124" s="3" t="s">
        <v>315</v>
      </c>
      <c r="B124" s="3" t="s">
        <v>316</v>
      </c>
      <c r="C124" s="3" t="s">
        <v>46</v>
      </c>
      <c r="D124" s="3">
        <v>600.5</v>
      </c>
      <c r="E124" s="3">
        <v>19</v>
      </c>
      <c r="F124" s="3">
        <v>1</v>
      </c>
      <c r="G124" s="3">
        <v>5650</v>
      </c>
    </row>
    <row r="125" spans="1:7">
      <c r="A125" s="3" t="s">
        <v>315</v>
      </c>
      <c r="B125" s="3" t="s">
        <v>316</v>
      </c>
      <c r="C125" s="3" t="s">
        <v>51</v>
      </c>
      <c r="D125" s="3">
        <v>365.3</v>
      </c>
      <c r="E125" s="3">
        <v>14</v>
      </c>
      <c r="F125" s="3">
        <v>5</v>
      </c>
      <c r="G125" s="3">
        <v>7289</v>
      </c>
    </row>
    <row r="126" spans="1:7">
      <c r="A126" s="3" t="s">
        <v>315</v>
      </c>
      <c r="B126" s="3" t="s">
        <v>316</v>
      </c>
      <c r="C126" s="3" t="s">
        <v>55</v>
      </c>
      <c r="D126" s="3">
        <v>165.8</v>
      </c>
      <c r="E126" s="3">
        <v>9</v>
      </c>
      <c r="F126" s="3">
        <v>5</v>
      </c>
      <c r="G126" s="3">
        <v>5172</v>
      </c>
    </row>
    <row r="127" spans="1:7">
      <c r="A127" s="3" t="s">
        <v>315</v>
      </c>
      <c r="B127" s="3" t="s">
        <v>316</v>
      </c>
      <c r="C127" s="3" t="s">
        <v>59</v>
      </c>
      <c r="D127" s="3">
        <v>648.79999999999995</v>
      </c>
      <c r="E127" s="3">
        <v>13</v>
      </c>
      <c r="F127" s="3">
        <v>10</v>
      </c>
      <c r="G127" s="3">
        <v>5080</v>
      </c>
    </row>
    <row r="128" spans="1:7">
      <c r="A128" s="3" t="s">
        <v>317</v>
      </c>
      <c r="B128" s="3" t="s">
        <v>318</v>
      </c>
      <c r="C128" s="3" t="s">
        <v>34</v>
      </c>
      <c r="D128" s="3">
        <v>747.1</v>
      </c>
      <c r="E128" s="3">
        <v>5</v>
      </c>
      <c r="F128" s="3">
        <v>7</v>
      </c>
      <c r="G128" s="3">
        <v>2521</v>
      </c>
    </row>
    <row r="129" spans="1:7">
      <c r="A129" s="3" t="s">
        <v>317</v>
      </c>
      <c r="B129" s="3" t="s">
        <v>318</v>
      </c>
      <c r="C129" s="3" t="s">
        <v>40</v>
      </c>
      <c r="D129" s="3">
        <v>337.9</v>
      </c>
      <c r="E129" s="3">
        <v>14</v>
      </c>
      <c r="F129" s="3">
        <v>1</v>
      </c>
      <c r="G129" s="3">
        <v>8128</v>
      </c>
    </row>
    <row r="130" spans="1:7">
      <c r="A130" s="3" t="s">
        <v>317</v>
      </c>
      <c r="B130" s="3" t="s">
        <v>318</v>
      </c>
      <c r="C130" s="3" t="s">
        <v>46</v>
      </c>
      <c r="D130" s="3">
        <v>411.4</v>
      </c>
      <c r="E130" s="3">
        <v>20</v>
      </c>
      <c r="F130" s="3">
        <v>0</v>
      </c>
      <c r="G130" s="3">
        <v>7187</v>
      </c>
    </row>
    <row r="131" spans="1:7">
      <c r="A131" s="3" t="s">
        <v>317</v>
      </c>
      <c r="B131" s="3" t="s">
        <v>318</v>
      </c>
      <c r="C131" s="3" t="s">
        <v>51</v>
      </c>
      <c r="D131" s="3">
        <v>792.9</v>
      </c>
      <c r="E131" s="3">
        <v>18</v>
      </c>
      <c r="F131" s="3">
        <v>6</v>
      </c>
      <c r="G131" s="3">
        <v>2244</v>
      </c>
    </row>
    <row r="132" spans="1:7">
      <c r="A132" s="3" t="s">
        <v>317</v>
      </c>
      <c r="B132" s="3" t="s">
        <v>318</v>
      </c>
      <c r="C132" s="3" t="s">
        <v>55</v>
      </c>
      <c r="D132" s="3">
        <v>233.8</v>
      </c>
      <c r="E132" s="3">
        <v>15</v>
      </c>
      <c r="F132" s="3">
        <v>9</v>
      </c>
      <c r="G132" s="3">
        <v>7996</v>
      </c>
    </row>
    <row r="133" spans="1:7">
      <c r="A133" s="3" t="s">
        <v>317</v>
      </c>
      <c r="B133" s="3" t="s">
        <v>318</v>
      </c>
      <c r="C133" s="3" t="s">
        <v>59</v>
      </c>
      <c r="D133" s="3">
        <v>488.8</v>
      </c>
      <c r="E133" s="3">
        <v>18</v>
      </c>
      <c r="F133" s="3">
        <v>12</v>
      </c>
      <c r="G133" s="3">
        <v>2222</v>
      </c>
    </row>
    <row r="134" spans="1:7">
      <c r="A134" s="3" t="s">
        <v>319</v>
      </c>
      <c r="B134" s="3" t="s">
        <v>320</v>
      </c>
      <c r="C134" s="3" t="s">
        <v>34</v>
      </c>
      <c r="D134" s="3">
        <v>246.9</v>
      </c>
      <c r="E134" s="3">
        <v>8</v>
      </c>
      <c r="F134" s="3">
        <v>4</v>
      </c>
      <c r="G134" s="3">
        <v>5389</v>
      </c>
    </row>
    <row r="135" spans="1:7">
      <c r="A135" s="3" t="s">
        <v>319</v>
      </c>
      <c r="B135" s="3" t="s">
        <v>320</v>
      </c>
      <c r="C135" s="3" t="s">
        <v>40</v>
      </c>
      <c r="D135" s="3">
        <v>802.3</v>
      </c>
      <c r="E135" s="3">
        <v>19</v>
      </c>
      <c r="F135" s="3">
        <v>1</v>
      </c>
      <c r="G135" s="3">
        <v>2036</v>
      </c>
    </row>
    <row r="136" spans="1:7">
      <c r="A136" s="3" t="s">
        <v>319</v>
      </c>
      <c r="B136" s="3" t="s">
        <v>320</v>
      </c>
      <c r="C136" s="3" t="s">
        <v>46</v>
      </c>
      <c r="D136" s="3">
        <v>878</v>
      </c>
      <c r="E136" s="3">
        <v>11</v>
      </c>
      <c r="F136" s="3">
        <v>11</v>
      </c>
      <c r="G136" s="3">
        <v>3097</v>
      </c>
    </row>
    <row r="137" spans="1:7">
      <c r="A137" s="3" t="s">
        <v>319</v>
      </c>
      <c r="B137" s="3" t="s">
        <v>320</v>
      </c>
      <c r="C137" s="3" t="s">
        <v>51</v>
      </c>
      <c r="D137" s="3">
        <v>334.8</v>
      </c>
      <c r="E137" s="3">
        <v>4</v>
      </c>
      <c r="F137" s="3">
        <v>8</v>
      </c>
      <c r="G137" s="3">
        <v>5142</v>
      </c>
    </row>
    <row r="138" spans="1:7">
      <c r="A138" s="3" t="s">
        <v>319</v>
      </c>
      <c r="B138" s="3" t="s">
        <v>320</v>
      </c>
      <c r="C138" s="3" t="s">
        <v>55</v>
      </c>
      <c r="D138" s="3">
        <v>156.4</v>
      </c>
      <c r="E138" s="3">
        <v>7</v>
      </c>
      <c r="F138" s="3">
        <v>7</v>
      </c>
      <c r="G138" s="3">
        <v>2762</v>
      </c>
    </row>
    <row r="139" spans="1:7">
      <c r="A139" s="3" t="s">
        <v>319</v>
      </c>
      <c r="B139" s="3" t="s">
        <v>320</v>
      </c>
      <c r="C139" s="3" t="s">
        <v>59</v>
      </c>
      <c r="D139" s="3">
        <v>611.1</v>
      </c>
      <c r="E139" s="3">
        <v>8</v>
      </c>
      <c r="F139" s="3">
        <v>7</v>
      </c>
      <c r="G139" s="3">
        <v>9440</v>
      </c>
    </row>
    <row r="140" spans="1:7">
      <c r="A140" s="3" t="s">
        <v>321</v>
      </c>
      <c r="B140" s="3" t="s">
        <v>321</v>
      </c>
      <c r="C140" s="3" t="s">
        <v>34</v>
      </c>
      <c r="D140" s="3">
        <v>667.6</v>
      </c>
      <c r="E140" s="3">
        <v>20</v>
      </c>
      <c r="F140" s="3">
        <v>11</v>
      </c>
      <c r="G140" s="3">
        <v>4039</v>
      </c>
    </row>
    <row r="141" spans="1:7">
      <c r="A141" s="3" t="s">
        <v>321</v>
      </c>
      <c r="B141" s="3" t="s">
        <v>321</v>
      </c>
      <c r="C141" s="3" t="s">
        <v>40</v>
      </c>
      <c r="D141" s="3">
        <v>420.7</v>
      </c>
      <c r="E141" s="3">
        <v>19</v>
      </c>
      <c r="F141" s="3">
        <v>7</v>
      </c>
      <c r="G141" s="3">
        <v>3796</v>
      </c>
    </row>
    <row r="142" spans="1:7">
      <c r="A142" s="3" t="s">
        <v>321</v>
      </c>
      <c r="B142" s="3" t="s">
        <v>321</v>
      </c>
      <c r="C142" s="3" t="s">
        <v>46</v>
      </c>
      <c r="D142" s="3">
        <v>454.6</v>
      </c>
      <c r="E142" s="3">
        <v>8</v>
      </c>
      <c r="F142" s="3">
        <v>6</v>
      </c>
      <c r="G142" s="3">
        <v>3361</v>
      </c>
    </row>
    <row r="143" spans="1:7">
      <c r="A143" s="3" t="s">
        <v>321</v>
      </c>
      <c r="B143" s="3" t="s">
        <v>321</v>
      </c>
      <c r="C143" s="3" t="s">
        <v>51</v>
      </c>
      <c r="D143" s="3">
        <v>835.9</v>
      </c>
      <c r="E143" s="3">
        <v>20</v>
      </c>
      <c r="F143" s="3">
        <v>11</v>
      </c>
      <c r="G143" s="3">
        <v>9003</v>
      </c>
    </row>
    <row r="144" spans="1:7">
      <c r="A144" s="3" t="s">
        <v>321</v>
      </c>
      <c r="B144" s="3" t="s">
        <v>321</v>
      </c>
      <c r="C144" s="3" t="s">
        <v>55</v>
      </c>
      <c r="D144" s="3">
        <v>191.9</v>
      </c>
      <c r="E144" s="3">
        <v>6</v>
      </c>
      <c r="F144" s="3">
        <v>4</v>
      </c>
      <c r="G144" s="3">
        <v>8129</v>
      </c>
    </row>
    <row r="145" spans="1:7">
      <c r="A145" s="3" t="s">
        <v>321</v>
      </c>
      <c r="B145" s="3" t="s">
        <v>321</v>
      </c>
      <c r="C145" s="3" t="s">
        <v>59</v>
      </c>
      <c r="D145" s="3">
        <v>727.8</v>
      </c>
      <c r="E145" s="3">
        <v>17</v>
      </c>
      <c r="F145" s="3">
        <v>5</v>
      </c>
      <c r="G145" s="3">
        <v>9453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01"/>
  <sheetViews>
    <sheetView zoomScaleNormal="100" workbookViewId="0">
      <pane ySplit="1" topLeftCell="A260" activePane="bottomLeft" state="frozen"/>
      <selection pane="bottomLeft" activeCell="A202" sqref="A202"/>
    </sheetView>
  </sheetViews>
  <sheetFormatPr defaultColWidth="8.7109375" defaultRowHeight="15"/>
  <cols>
    <col min="1" max="1" width="10" customWidth="1"/>
    <col min="2" max="2" width="34" customWidth="1"/>
    <col min="3" max="3" width="18" customWidth="1"/>
    <col min="4" max="4" width="16" customWidth="1"/>
    <col min="5" max="5" width="14" customWidth="1"/>
    <col min="6" max="6" width="18" customWidth="1"/>
    <col min="7" max="7" width="24" customWidth="1"/>
    <col min="8" max="8" width="14" customWidth="1"/>
  </cols>
  <sheetData>
    <row r="1" spans="1:8">
      <c r="A1" s="5" t="s">
        <v>322</v>
      </c>
      <c r="B1" s="5" t="s">
        <v>323</v>
      </c>
      <c r="C1" s="5" t="s">
        <v>271</v>
      </c>
      <c r="D1" s="5" t="s">
        <v>272</v>
      </c>
      <c r="E1" s="5" t="s">
        <v>324</v>
      </c>
      <c r="F1" s="5" t="s">
        <v>325</v>
      </c>
      <c r="G1" s="5" t="s">
        <v>326</v>
      </c>
      <c r="H1" s="5" t="s">
        <v>327</v>
      </c>
    </row>
    <row r="2" spans="1:8">
      <c r="A2" s="3" t="s">
        <v>328</v>
      </c>
      <c r="B2" s="3" t="s">
        <v>329</v>
      </c>
      <c r="C2" s="3" t="s">
        <v>290</v>
      </c>
      <c r="D2" s="3" t="s">
        <v>291</v>
      </c>
      <c r="E2" s="3" t="s">
        <v>330</v>
      </c>
      <c r="F2" s="3" t="s">
        <v>331</v>
      </c>
      <c r="G2" s="3" t="s">
        <v>332</v>
      </c>
      <c r="H2" s="3" t="s">
        <v>333</v>
      </c>
    </row>
    <row r="3" spans="1:8">
      <c r="A3" s="3" t="s">
        <v>334</v>
      </c>
      <c r="B3" s="3" t="s">
        <v>335</v>
      </c>
      <c r="C3" s="3" t="s">
        <v>282</v>
      </c>
      <c r="D3" s="3" t="s">
        <v>283</v>
      </c>
      <c r="E3" s="3" t="s">
        <v>336</v>
      </c>
      <c r="F3" s="3" t="s">
        <v>331</v>
      </c>
      <c r="G3" s="3" t="s">
        <v>332</v>
      </c>
      <c r="H3" s="3" t="s">
        <v>333</v>
      </c>
    </row>
    <row r="4" spans="1:8">
      <c r="A4" s="3" t="s">
        <v>337</v>
      </c>
      <c r="B4" s="3" t="s">
        <v>338</v>
      </c>
      <c r="C4" s="3" t="s">
        <v>277</v>
      </c>
      <c r="D4" s="3" t="s">
        <v>278</v>
      </c>
      <c r="E4" s="3" t="s">
        <v>339</v>
      </c>
      <c r="F4" s="3" t="s">
        <v>340</v>
      </c>
      <c r="G4" s="3" t="s">
        <v>341</v>
      </c>
      <c r="H4" s="3" t="s">
        <v>333</v>
      </c>
    </row>
    <row r="5" spans="1:8">
      <c r="A5" s="3" t="s">
        <v>342</v>
      </c>
      <c r="B5" s="3" t="s">
        <v>343</v>
      </c>
      <c r="C5" s="3" t="s">
        <v>282</v>
      </c>
      <c r="D5" s="3" t="s">
        <v>283</v>
      </c>
      <c r="E5" s="3" t="s">
        <v>344</v>
      </c>
      <c r="F5" s="3" t="s">
        <v>345</v>
      </c>
      <c r="G5" s="3" t="s">
        <v>346</v>
      </c>
      <c r="H5" s="3" t="s">
        <v>333</v>
      </c>
    </row>
    <row r="6" spans="1:8">
      <c r="A6" s="3" t="s">
        <v>347</v>
      </c>
      <c r="B6" s="3" t="s">
        <v>348</v>
      </c>
      <c r="C6" s="3" t="s">
        <v>290</v>
      </c>
      <c r="D6" s="3" t="s">
        <v>291</v>
      </c>
      <c r="E6" s="3" t="s">
        <v>330</v>
      </c>
      <c r="F6" s="3" t="s">
        <v>349</v>
      </c>
      <c r="G6" s="3" t="s">
        <v>346</v>
      </c>
      <c r="H6" s="3" t="s">
        <v>333</v>
      </c>
    </row>
    <row r="7" spans="1:8">
      <c r="A7" s="3" t="s">
        <v>350</v>
      </c>
      <c r="B7" s="3" t="s">
        <v>351</v>
      </c>
      <c r="C7" s="3" t="s">
        <v>288</v>
      </c>
      <c r="D7" s="3" t="s">
        <v>289</v>
      </c>
      <c r="E7" s="3" t="s">
        <v>352</v>
      </c>
      <c r="F7" s="3" t="s">
        <v>349</v>
      </c>
      <c r="G7" s="3" t="s">
        <v>353</v>
      </c>
      <c r="H7" s="3" t="s">
        <v>354</v>
      </c>
    </row>
    <row r="8" spans="1:8">
      <c r="A8" s="3" t="s">
        <v>355</v>
      </c>
      <c r="B8" s="3" t="s">
        <v>356</v>
      </c>
      <c r="C8" s="3" t="s">
        <v>277</v>
      </c>
      <c r="D8" s="3" t="s">
        <v>278</v>
      </c>
      <c r="E8" s="3" t="s">
        <v>357</v>
      </c>
      <c r="F8" s="3" t="s">
        <v>340</v>
      </c>
      <c r="G8" s="3" t="s">
        <v>341</v>
      </c>
      <c r="H8" s="3" t="s">
        <v>333</v>
      </c>
    </row>
    <row r="9" spans="1:8">
      <c r="A9" s="3" t="s">
        <v>358</v>
      </c>
      <c r="B9" s="3" t="s">
        <v>359</v>
      </c>
      <c r="C9" s="3" t="s">
        <v>279</v>
      </c>
      <c r="D9" s="3" t="s">
        <v>278</v>
      </c>
      <c r="E9" s="3" t="s">
        <v>360</v>
      </c>
      <c r="F9" s="3" t="s">
        <v>331</v>
      </c>
      <c r="G9" s="3" t="s">
        <v>361</v>
      </c>
      <c r="H9" s="3" t="s">
        <v>333</v>
      </c>
    </row>
    <row r="10" spans="1:8">
      <c r="A10" s="3" t="s">
        <v>362</v>
      </c>
      <c r="B10" s="3" t="s">
        <v>363</v>
      </c>
      <c r="C10" s="3" t="s">
        <v>288</v>
      </c>
      <c r="D10" s="3" t="s">
        <v>289</v>
      </c>
      <c r="E10" s="3" t="s">
        <v>364</v>
      </c>
      <c r="F10" s="3" t="s">
        <v>365</v>
      </c>
      <c r="G10" s="3" t="s">
        <v>346</v>
      </c>
      <c r="H10" s="3" t="s">
        <v>354</v>
      </c>
    </row>
    <row r="11" spans="1:8">
      <c r="A11" s="3" t="s">
        <v>366</v>
      </c>
      <c r="B11" s="3" t="s">
        <v>367</v>
      </c>
      <c r="C11" s="3" t="s">
        <v>279</v>
      </c>
      <c r="D11" s="3" t="s">
        <v>278</v>
      </c>
      <c r="E11" s="3" t="s">
        <v>368</v>
      </c>
      <c r="F11" s="3" t="s">
        <v>369</v>
      </c>
      <c r="G11" s="3" t="s">
        <v>332</v>
      </c>
      <c r="H11" s="3" t="s">
        <v>333</v>
      </c>
    </row>
    <row r="12" spans="1:8">
      <c r="A12" s="3" t="s">
        <v>370</v>
      </c>
      <c r="B12" s="3" t="s">
        <v>371</v>
      </c>
      <c r="C12" s="3" t="s">
        <v>277</v>
      </c>
      <c r="D12" s="3" t="s">
        <v>278</v>
      </c>
      <c r="E12" s="3" t="s">
        <v>357</v>
      </c>
      <c r="F12" s="3" t="s">
        <v>331</v>
      </c>
      <c r="G12" s="3" t="s">
        <v>353</v>
      </c>
      <c r="H12" s="3" t="s">
        <v>333</v>
      </c>
    </row>
    <row r="13" spans="1:8">
      <c r="A13" s="3" t="s">
        <v>372</v>
      </c>
      <c r="B13" s="3" t="s">
        <v>373</v>
      </c>
      <c r="C13" s="3" t="s">
        <v>282</v>
      </c>
      <c r="D13" s="3" t="s">
        <v>283</v>
      </c>
      <c r="E13" s="3" t="s">
        <v>344</v>
      </c>
      <c r="F13" s="3" t="s">
        <v>340</v>
      </c>
      <c r="G13" s="3" t="s">
        <v>353</v>
      </c>
      <c r="H13" s="3" t="s">
        <v>333</v>
      </c>
    </row>
    <row r="14" spans="1:8">
      <c r="A14" s="3" t="s">
        <v>374</v>
      </c>
      <c r="B14" s="3" t="s">
        <v>351</v>
      </c>
      <c r="C14" s="3" t="s">
        <v>288</v>
      </c>
      <c r="D14" s="3" t="s">
        <v>289</v>
      </c>
      <c r="E14" s="3" t="s">
        <v>352</v>
      </c>
      <c r="F14" s="3" t="s">
        <v>349</v>
      </c>
      <c r="G14" s="3" t="s">
        <v>353</v>
      </c>
      <c r="H14" s="3" t="s">
        <v>333</v>
      </c>
    </row>
    <row r="15" spans="1:8">
      <c r="A15" s="3" t="s">
        <v>375</v>
      </c>
      <c r="B15" s="3" t="s">
        <v>376</v>
      </c>
      <c r="C15" s="3" t="s">
        <v>290</v>
      </c>
      <c r="D15" s="3" t="s">
        <v>291</v>
      </c>
      <c r="E15" s="3" t="s">
        <v>330</v>
      </c>
      <c r="F15" s="3" t="s">
        <v>331</v>
      </c>
      <c r="G15" s="3" t="s">
        <v>346</v>
      </c>
      <c r="H15" s="3" t="s">
        <v>354</v>
      </c>
    </row>
    <row r="16" spans="1:8">
      <c r="A16" s="3" t="s">
        <v>377</v>
      </c>
      <c r="B16" s="3" t="s">
        <v>378</v>
      </c>
      <c r="C16" s="3" t="s">
        <v>277</v>
      </c>
      <c r="D16" s="3" t="s">
        <v>278</v>
      </c>
      <c r="E16" s="3" t="s">
        <v>379</v>
      </c>
      <c r="F16" s="3" t="s">
        <v>340</v>
      </c>
      <c r="G16" s="3" t="s">
        <v>361</v>
      </c>
      <c r="H16" s="3" t="s">
        <v>333</v>
      </c>
    </row>
    <row r="17" spans="1:8">
      <c r="A17" s="3" t="s">
        <v>380</v>
      </c>
      <c r="B17" s="3" t="s">
        <v>381</v>
      </c>
      <c r="C17" s="3" t="s">
        <v>280</v>
      </c>
      <c r="D17" s="3" t="s">
        <v>281</v>
      </c>
      <c r="E17" s="3" t="s">
        <v>382</v>
      </c>
      <c r="F17" s="3" t="s">
        <v>369</v>
      </c>
      <c r="G17" s="3" t="s">
        <v>346</v>
      </c>
      <c r="H17" s="3" t="s">
        <v>333</v>
      </c>
    </row>
    <row r="18" spans="1:8">
      <c r="A18" s="3" t="s">
        <v>383</v>
      </c>
      <c r="B18" s="3" t="s">
        <v>384</v>
      </c>
      <c r="C18" s="3" t="s">
        <v>279</v>
      </c>
      <c r="D18" s="3" t="s">
        <v>278</v>
      </c>
      <c r="E18" s="3" t="s">
        <v>360</v>
      </c>
      <c r="F18" s="3" t="s">
        <v>349</v>
      </c>
      <c r="G18" s="3" t="s">
        <v>361</v>
      </c>
      <c r="H18" s="3" t="s">
        <v>333</v>
      </c>
    </row>
    <row r="19" spans="1:8">
      <c r="A19" s="3" t="s">
        <v>385</v>
      </c>
      <c r="B19" s="3" t="s">
        <v>386</v>
      </c>
      <c r="C19" s="3" t="s">
        <v>277</v>
      </c>
      <c r="D19" s="3" t="s">
        <v>278</v>
      </c>
      <c r="E19" s="3" t="s">
        <v>357</v>
      </c>
      <c r="F19" s="3" t="s">
        <v>349</v>
      </c>
      <c r="G19" s="3" t="s">
        <v>361</v>
      </c>
      <c r="H19" s="3" t="s">
        <v>333</v>
      </c>
    </row>
    <row r="20" spans="1:8">
      <c r="A20" s="3" t="s">
        <v>387</v>
      </c>
      <c r="B20" s="3" t="s">
        <v>388</v>
      </c>
      <c r="C20" s="3" t="s">
        <v>286</v>
      </c>
      <c r="D20" s="3" t="s">
        <v>287</v>
      </c>
      <c r="E20" s="3" t="s">
        <v>389</v>
      </c>
      <c r="F20" s="3" t="s">
        <v>331</v>
      </c>
      <c r="G20" s="3" t="s">
        <v>341</v>
      </c>
      <c r="H20" s="3" t="s">
        <v>333</v>
      </c>
    </row>
    <row r="21" spans="1:8">
      <c r="A21" s="3" t="s">
        <v>390</v>
      </c>
      <c r="B21" s="3" t="s">
        <v>391</v>
      </c>
      <c r="C21" s="3" t="s">
        <v>288</v>
      </c>
      <c r="D21" s="3" t="s">
        <v>289</v>
      </c>
      <c r="E21" s="3" t="s">
        <v>364</v>
      </c>
      <c r="F21" s="3" t="s">
        <v>345</v>
      </c>
      <c r="G21" s="3" t="s">
        <v>341</v>
      </c>
      <c r="H21" s="3" t="s">
        <v>333</v>
      </c>
    </row>
    <row r="22" spans="1:8">
      <c r="A22" s="3" t="s">
        <v>392</v>
      </c>
      <c r="B22" s="3" t="s">
        <v>393</v>
      </c>
      <c r="C22" s="3" t="s">
        <v>279</v>
      </c>
      <c r="D22" s="3" t="s">
        <v>278</v>
      </c>
      <c r="E22" s="3" t="s">
        <v>394</v>
      </c>
      <c r="F22" s="3" t="s">
        <v>349</v>
      </c>
      <c r="G22" s="3" t="s">
        <v>361</v>
      </c>
      <c r="H22" s="3" t="s">
        <v>354</v>
      </c>
    </row>
    <row r="23" spans="1:8">
      <c r="A23" s="3" t="s">
        <v>395</v>
      </c>
      <c r="B23" s="3" t="s">
        <v>396</v>
      </c>
      <c r="C23" s="3" t="s">
        <v>279</v>
      </c>
      <c r="D23" s="3" t="s">
        <v>278</v>
      </c>
      <c r="E23" s="3" t="s">
        <v>360</v>
      </c>
      <c r="F23" s="3" t="s">
        <v>369</v>
      </c>
      <c r="G23" s="3" t="s">
        <v>346</v>
      </c>
      <c r="H23" s="3" t="s">
        <v>354</v>
      </c>
    </row>
    <row r="24" spans="1:8">
      <c r="A24" s="3" t="s">
        <v>397</v>
      </c>
      <c r="B24" s="3" t="s">
        <v>398</v>
      </c>
      <c r="C24" s="3" t="s">
        <v>279</v>
      </c>
      <c r="D24" s="3" t="s">
        <v>278</v>
      </c>
      <c r="E24" s="3" t="s">
        <v>360</v>
      </c>
      <c r="F24" s="3" t="s">
        <v>365</v>
      </c>
      <c r="G24" s="3" t="s">
        <v>346</v>
      </c>
      <c r="H24" s="3" t="s">
        <v>333</v>
      </c>
    </row>
    <row r="25" spans="1:8">
      <c r="A25" s="3" t="s">
        <v>399</v>
      </c>
      <c r="B25" s="3" t="s">
        <v>400</v>
      </c>
      <c r="C25" s="3" t="s">
        <v>284</v>
      </c>
      <c r="D25" s="3" t="s">
        <v>285</v>
      </c>
      <c r="E25" s="3" t="s">
        <v>401</v>
      </c>
      <c r="F25" s="3" t="s">
        <v>345</v>
      </c>
      <c r="G25" s="3" t="s">
        <v>332</v>
      </c>
      <c r="H25" s="3" t="s">
        <v>333</v>
      </c>
    </row>
    <row r="26" spans="1:8">
      <c r="A26" s="3" t="s">
        <v>402</v>
      </c>
      <c r="B26" s="3" t="s">
        <v>403</v>
      </c>
      <c r="C26" s="3" t="s">
        <v>284</v>
      </c>
      <c r="D26" s="3" t="s">
        <v>285</v>
      </c>
      <c r="E26" s="3" t="s">
        <v>401</v>
      </c>
      <c r="F26" s="3" t="s">
        <v>340</v>
      </c>
      <c r="G26" s="3" t="s">
        <v>341</v>
      </c>
      <c r="H26" s="3" t="s">
        <v>333</v>
      </c>
    </row>
    <row r="27" spans="1:8">
      <c r="A27" s="3" t="s">
        <v>404</v>
      </c>
      <c r="B27" s="3" t="s">
        <v>398</v>
      </c>
      <c r="C27" s="3" t="s">
        <v>279</v>
      </c>
      <c r="D27" s="3" t="s">
        <v>278</v>
      </c>
      <c r="E27" s="3" t="s">
        <v>360</v>
      </c>
      <c r="F27" s="3" t="s">
        <v>365</v>
      </c>
      <c r="G27" s="3" t="s">
        <v>361</v>
      </c>
      <c r="H27" s="3" t="s">
        <v>333</v>
      </c>
    </row>
    <row r="28" spans="1:8">
      <c r="A28" s="3" t="s">
        <v>405</v>
      </c>
      <c r="B28" s="3" t="s">
        <v>406</v>
      </c>
      <c r="C28" s="3" t="s">
        <v>286</v>
      </c>
      <c r="D28" s="3" t="s">
        <v>287</v>
      </c>
      <c r="E28" s="3" t="s">
        <v>407</v>
      </c>
      <c r="F28" s="3" t="s">
        <v>345</v>
      </c>
      <c r="G28" s="3" t="s">
        <v>341</v>
      </c>
      <c r="H28" s="3" t="s">
        <v>333</v>
      </c>
    </row>
    <row r="29" spans="1:8">
      <c r="A29" s="3" t="s">
        <v>408</v>
      </c>
      <c r="B29" s="3" t="s">
        <v>409</v>
      </c>
      <c r="C29" s="3" t="s">
        <v>284</v>
      </c>
      <c r="D29" s="3" t="s">
        <v>285</v>
      </c>
      <c r="E29" s="3" t="s">
        <v>410</v>
      </c>
      <c r="F29" s="3" t="s">
        <v>340</v>
      </c>
      <c r="G29" s="3" t="s">
        <v>353</v>
      </c>
      <c r="H29" s="3" t="s">
        <v>333</v>
      </c>
    </row>
    <row r="30" spans="1:8">
      <c r="A30" s="3" t="s">
        <v>411</v>
      </c>
      <c r="B30" s="3" t="s">
        <v>412</v>
      </c>
      <c r="C30" s="3" t="s">
        <v>277</v>
      </c>
      <c r="D30" s="3" t="s">
        <v>278</v>
      </c>
      <c r="E30" s="3" t="s">
        <v>357</v>
      </c>
      <c r="F30" s="3" t="s">
        <v>365</v>
      </c>
      <c r="G30" s="3" t="s">
        <v>341</v>
      </c>
      <c r="H30" s="3" t="s">
        <v>333</v>
      </c>
    </row>
    <row r="31" spans="1:8">
      <c r="A31" s="3" t="s">
        <v>413</v>
      </c>
      <c r="B31" s="3" t="s">
        <v>414</v>
      </c>
      <c r="C31" s="3" t="s">
        <v>290</v>
      </c>
      <c r="D31" s="3" t="s">
        <v>291</v>
      </c>
      <c r="E31" s="3" t="s">
        <v>415</v>
      </c>
      <c r="F31" s="3" t="s">
        <v>369</v>
      </c>
      <c r="G31" s="3" t="s">
        <v>332</v>
      </c>
      <c r="H31" s="3" t="s">
        <v>333</v>
      </c>
    </row>
    <row r="32" spans="1:8">
      <c r="A32" s="3" t="s">
        <v>416</v>
      </c>
      <c r="B32" s="3" t="s">
        <v>417</v>
      </c>
      <c r="C32" s="3" t="s">
        <v>280</v>
      </c>
      <c r="D32" s="3" t="s">
        <v>281</v>
      </c>
      <c r="E32" s="3" t="s">
        <v>418</v>
      </c>
      <c r="F32" s="3" t="s">
        <v>340</v>
      </c>
      <c r="G32" s="3" t="s">
        <v>361</v>
      </c>
      <c r="H32" s="3" t="s">
        <v>333</v>
      </c>
    </row>
    <row r="33" spans="1:8">
      <c r="A33" s="3" t="s">
        <v>419</v>
      </c>
      <c r="B33" s="3" t="s">
        <v>420</v>
      </c>
      <c r="C33" s="3" t="s">
        <v>288</v>
      </c>
      <c r="D33" s="3" t="s">
        <v>289</v>
      </c>
      <c r="E33" s="3" t="s">
        <v>364</v>
      </c>
      <c r="F33" s="3" t="s">
        <v>340</v>
      </c>
      <c r="G33" s="3" t="s">
        <v>341</v>
      </c>
      <c r="H33" s="3" t="s">
        <v>354</v>
      </c>
    </row>
    <row r="34" spans="1:8">
      <c r="A34" s="3" t="s">
        <v>421</v>
      </c>
      <c r="B34" s="3" t="s">
        <v>422</v>
      </c>
      <c r="C34" s="3" t="s">
        <v>277</v>
      </c>
      <c r="D34" s="3" t="s">
        <v>278</v>
      </c>
      <c r="E34" s="3" t="s">
        <v>379</v>
      </c>
      <c r="F34" s="3" t="s">
        <v>331</v>
      </c>
      <c r="G34" s="3" t="s">
        <v>346</v>
      </c>
      <c r="H34" s="3" t="s">
        <v>333</v>
      </c>
    </row>
    <row r="35" spans="1:8">
      <c r="A35" s="3" t="s">
        <v>423</v>
      </c>
      <c r="B35" s="3" t="s">
        <v>424</v>
      </c>
      <c r="C35" s="3" t="s">
        <v>286</v>
      </c>
      <c r="D35" s="3" t="s">
        <v>287</v>
      </c>
      <c r="E35" s="3" t="s">
        <v>425</v>
      </c>
      <c r="F35" s="3" t="s">
        <v>349</v>
      </c>
      <c r="G35" s="3" t="s">
        <v>346</v>
      </c>
      <c r="H35" s="3" t="s">
        <v>354</v>
      </c>
    </row>
    <row r="36" spans="1:8">
      <c r="A36" s="3" t="s">
        <v>426</v>
      </c>
      <c r="B36" s="3" t="s">
        <v>427</v>
      </c>
      <c r="C36" s="3" t="s">
        <v>282</v>
      </c>
      <c r="D36" s="3" t="s">
        <v>283</v>
      </c>
      <c r="E36" s="3" t="s">
        <v>428</v>
      </c>
      <c r="F36" s="3" t="s">
        <v>331</v>
      </c>
      <c r="G36" s="3" t="s">
        <v>332</v>
      </c>
      <c r="H36" s="3" t="s">
        <v>333</v>
      </c>
    </row>
    <row r="37" spans="1:8">
      <c r="A37" s="3" t="s">
        <v>429</v>
      </c>
      <c r="B37" s="3" t="s">
        <v>430</v>
      </c>
      <c r="C37" s="3" t="s">
        <v>286</v>
      </c>
      <c r="D37" s="3" t="s">
        <v>287</v>
      </c>
      <c r="E37" s="3" t="s">
        <v>389</v>
      </c>
      <c r="F37" s="3" t="s">
        <v>345</v>
      </c>
      <c r="G37" s="3" t="s">
        <v>346</v>
      </c>
      <c r="H37" s="3" t="s">
        <v>333</v>
      </c>
    </row>
    <row r="38" spans="1:8">
      <c r="A38" s="3" t="s">
        <v>431</v>
      </c>
      <c r="B38" s="3" t="s">
        <v>432</v>
      </c>
      <c r="C38" s="3" t="s">
        <v>279</v>
      </c>
      <c r="D38" s="3" t="s">
        <v>278</v>
      </c>
      <c r="E38" s="3" t="s">
        <v>368</v>
      </c>
      <c r="F38" s="3" t="s">
        <v>340</v>
      </c>
      <c r="G38" s="3" t="s">
        <v>346</v>
      </c>
      <c r="H38" s="3" t="s">
        <v>333</v>
      </c>
    </row>
    <row r="39" spans="1:8">
      <c r="A39" s="3" t="s">
        <v>433</v>
      </c>
      <c r="B39" s="3" t="s">
        <v>434</v>
      </c>
      <c r="C39" s="3" t="s">
        <v>290</v>
      </c>
      <c r="D39" s="3" t="s">
        <v>291</v>
      </c>
      <c r="E39" s="3" t="s">
        <v>415</v>
      </c>
      <c r="F39" s="3" t="s">
        <v>365</v>
      </c>
      <c r="G39" s="3" t="s">
        <v>346</v>
      </c>
      <c r="H39" s="3" t="s">
        <v>333</v>
      </c>
    </row>
    <row r="40" spans="1:8">
      <c r="A40" s="3" t="s">
        <v>435</v>
      </c>
      <c r="B40" s="3" t="s">
        <v>436</v>
      </c>
      <c r="C40" s="3" t="s">
        <v>282</v>
      </c>
      <c r="D40" s="3" t="s">
        <v>283</v>
      </c>
      <c r="E40" s="3" t="s">
        <v>344</v>
      </c>
      <c r="F40" s="3" t="s">
        <v>365</v>
      </c>
      <c r="G40" s="3" t="s">
        <v>332</v>
      </c>
      <c r="H40" s="3" t="s">
        <v>354</v>
      </c>
    </row>
    <row r="41" spans="1:8">
      <c r="A41" s="3" t="s">
        <v>437</v>
      </c>
      <c r="B41" s="3" t="s">
        <v>438</v>
      </c>
      <c r="C41" s="3" t="s">
        <v>284</v>
      </c>
      <c r="D41" s="3" t="s">
        <v>285</v>
      </c>
      <c r="E41" s="3" t="s">
        <v>439</v>
      </c>
      <c r="F41" s="3" t="s">
        <v>345</v>
      </c>
      <c r="G41" s="3" t="s">
        <v>353</v>
      </c>
      <c r="H41" s="3" t="s">
        <v>333</v>
      </c>
    </row>
    <row r="42" spans="1:8">
      <c r="A42" s="3" t="s">
        <v>440</v>
      </c>
      <c r="B42" s="3" t="s">
        <v>441</v>
      </c>
      <c r="C42" s="3" t="s">
        <v>286</v>
      </c>
      <c r="D42" s="3" t="s">
        <v>287</v>
      </c>
      <c r="E42" s="3" t="s">
        <v>407</v>
      </c>
      <c r="F42" s="3" t="s">
        <v>340</v>
      </c>
      <c r="G42" s="3" t="s">
        <v>346</v>
      </c>
      <c r="H42" s="3" t="s">
        <v>333</v>
      </c>
    </row>
    <row r="43" spans="1:8">
      <c r="A43" s="3" t="s">
        <v>442</v>
      </c>
      <c r="B43" s="3" t="s">
        <v>409</v>
      </c>
      <c r="C43" s="3" t="s">
        <v>284</v>
      </c>
      <c r="D43" s="3" t="s">
        <v>285</v>
      </c>
      <c r="E43" s="3" t="s">
        <v>410</v>
      </c>
      <c r="F43" s="3" t="s">
        <v>340</v>
      </c>
      <c r="G43" s="3" t="s">
        <v>353</v>
      </c>
      <c r="H43" s="3" t="s">
        <v>333</v>
      </c>
    </row>
    <row r="44" spans="1:8">
      <c r="A44" s="3" t="s">
        <v>443</v>
      </c>
      <c r="B44" s="3" t="s">
        <v>444</v>
      </c>
      <c r="C44" s="3" t="s">
        <v>286</v>
      </c>
      <c r="D44" s="3" t="s">
        <v>287</v>
      </c>
      <c r="E44" s="3" t="s">
        <v>389</v>
      </c>
      <c r="F44" s="3" t="s">
        <v>369</v>
      </c>
      <c r="G44" s="3" t="s">
        <v>332</v>
      </c>
      <c r="H44" s="3" t="s">
        <v>333</v>
      </c>
    </row>
    <row r="45" spans="1:8">
      <c r="A45" s="3" t="s">
        <v>445</v>
      </c>
      <c r="B45" s="3" t="s">
        <v>446</v>
      </c>
      <c r="C45" s="3" t="s">
        <v>282</v>
      </c>
      <c r="D45" s="3" t="s">
        <v>283</v>
      </c>
      <c r="E45" s="3" t="s">
        <v>344</v>
      </c>
      <c r="F45" s="3" t="s">
        <v>340</v>
      </c>
      <c r="G45" s="3" t="s">
        <v>353</v>
      </c>
      <c r="H45" s="3" t="s">
        <v>333</v>
      </c>
    </row>
    <row r="46" spans="1:8">
      <c r="A46" s="3" t="s">
        <v>447</v>
      </c>
      <c r="B46" s="3" t="s">
        <v>448</v>
      </c>
      <c r="C46" s="3" t="s">
        <v>282</v>
      </c>
      <c r="D46" s="3" t="s">
        <v>283</v>
      </c>
      <c r="E46" s="3" t="s">
        <v>344</v>
      </c>
      <c r="F46" s="3" t="s">
        <v>349</v>
      </c>
      <c r="G46" s="3" t="s">
        <v>341</v>
      </c>
      <c r="H46" s="3" t="s">
        <v>333</v>
      </c>
    </row>
    <row r="47" spans="1:8">
      <c r="A47" s="3" t="s">
        <v>449</v>
      </c>
      <c r="B47" s="3" t="s">
        <v>450</v>
      </c>
      <c r="C47" s="3" t="s">
        <v>279</v>
      </c>
      <c r="D47" s="3" t="s">
        <v>278</v>
      </c>
      <c r="E47" s="3" t="s">
        <v>451</v>
      </c>
      <c r="F47" s="3" t="s">
        <v>369</v>
      </c>
      <c r="G47" s="3" t="s">
        <v>353</v>
      </c>
      <c r="H47" s="3" t="s">
        <v>333</v>
      </c>
    </row>
    <row r="48" spans="1:8">
      <c r="A48" s="3" t="s">
        <v>452</v>
      </c>
      <c r="B48" s="3" t="s">
        <v>453</v>
      </c>
      <c r="C48" s="3" t="s">
        <v>284</v>
      </c>
      <c r="D48" s="3" t="s">
        <v>285</v>
      </c>
      <c r="E48" s="3" t="s">
        <v>401</v>
      </c>
      <c r="F48" s="3" t="s">
        <v>331</v>
      </c>
      <c r="G48" s="3" t="s">
        <v>353</v>
      </c>
      <c r="H48" s="3" t="s">
        <v>333</v>
      </c>
    </row>
    <row r="49" spans="1:8">
      <c r="A49" s="3" t="s">
        <v>454</v>
      </c>
      <c r="B49" s="3" t="s">
        <v>455</v>
      </c>
      <c r="C49" s="3" t="s">
        <v>288</v>
      </c>
      <c r="D49" s="3" t="s">
        <v>289</v>
      </c>
      <c r="E49" s="3" t="s">
        <v>456</v>
      </c>
      <c r="F49" s="3" t="s">
        <v>345</v>
      </c>
      <c r="G49" s="3" t="s">
        <v>361</v>
      </c>
      <c r="H49" s="3" t="s">
        <v>333</v>
      </c>
    </row>
    <row r="50" spans="1:8">
      <c r="A50" s="3" t="s">
        <v>457</v>
      </c>
      <c r="B50" s="3" t="s">
        <v>458</v>
      </c>
      <c r="C50" s="3" t="s">
        <v>288</v>
      </c>
      <c r="D50" s="3" t="s">
        <v>289</v>
      </c>
      <c r="E50" s="3" t="s">
        <v>456</v>
      </c>
      <c r="F50" s="3" t="s">
        <v>340</v>
      </c>
      <c r="G50" s="3" t="s">
        <v>341</v>
      </c>
      <c r="H50" s="3" t="s">
        <v>333</v>
      </c>
    </row>
    <row r="51" spans="1:8">
      <c r="A51" s="3" t="s">
        <v>459</v>
      </c>
      <c r="B51" s="3" t="s">
        <v>460</v>
      </c>
      <c r="C51" s="3" t="s">
        <v>286</v>
      </c>
      <c r="D51" s="3" t="s">
        <v>287</v>
      </c>
      <c r="E51" s="3" t="s">
        <v>389</v>
      </c>
      <c r="F51" s="3" t="s">
        <v>349</v>
      </c>
      <c r="G51" s="3" t="s">
        <v>346</v>
      </c>
      <c r="H51" s="3" t="s">
        <v>333</v>
      </c>
    </row>
    <row r="52" spans="1:8">
      <c r="A52" s="3" t="s">
        <v>461</v>
      </c>
      <c r="B52" s="3" t="s">
        <v>417</v>
      </c>
      <c r="C52" s="3" t="s">
        <v>280</v>
      </c>
      <c r="D52" s="3" t="s">
        <v>281</v>
      </c>
      <c r="E52" s="3" t="s">
        <v>418</v>
      </c>
      <c r="F52" s="3" t="s">
        <v>340</v>
      </c>
      <c r="G52" s="3" t="s">
        <v>361</v>
      </c>
      <c r="H52" s="3" t="s">
        <v>333</v>
      </c>
    </row>
    <row r="53" spans="1:8">
      <c r="A53" s="3" t="s">
        <v>462</v>
      </c>
      <c r="B53" s="3" t="s">
        <v>463</v>
      </c>
      <c r="C53" s="3" t="s">
        <v>286</v>
      </c>
      <c r="D53" s="3" t="s">
        <v>287</v>
      </c>
      <c r="E53" s="3" t="s">
        <v>407</v>
      </c>
      <c r="F53" s="3" t="s">
        <v>331</v>
      </c>
      <c r="G53" s="3" t="s">
        <v>341</v>
      </c>
      <c r="H53" s="3" t="s">
        <v>333</v>
      </c>
    </row>
    <row r="54" spans="1:8">
      <c r="A54" s="3" t="s">
        <v>464</v>
      </c>
      <c r="B54" s="3" t="s">
        <v>465</v>
      </c>
      <c r="C54" s="3" t="s">
        <v>282</v>
      </c>
      <c r="D54" s="3" t="s">
        <v>283</v>
      </c>
      <c r="E54" s="3" t="s">
        <v>428</v>
      </c>
      <c r="F54" s="3" t="s">
        <v>340</v>
      </c>
      <c r="G54" s="3" t="s">
        <v>346</v>
      </c>
      <c r="H54" s="3" t="s">
        <v>354</v>
      </c>
    </row>
    <row r="55" spans="1:8">
      <c r="A55" s="3" t="s">
        <v>466</v>
      </c>
      <c r="B55" s="3" t="s">
        <v>467</v>
      </c>
      <c r="C55" s="3" t="s">
        <v>279</v>
      </c>
      <c r="D55" s="3" t="s">
        <v>278</v>
      </c>
      <c r="E55" s="3" t="s">
        <v>368</v>
      </c>
      <c r="F55" s="3" t="s">
        <v>349</v>
      </c>
      <c r="G55" s="3" t="s">
        <v>361</v>
      </c>
      <c r="H55" s="3" t="s">
        <v>333</v>
      </c>
    </row>
    <row r="56" spans="1:8">
      <c r="A56" s="3" t="s">
        <v>468</v>
      </c>
      <c r="B56" s="3" t="s">
        <v>469</v>
      </c>
      <c r="C56" s="3" t="s">
        <v>288</v>
      </c>
      <c r="D56" s="3" t="s">
        <v>289</v>
      </c>
      <c r="E56" s="3" t="s">
        <v>352</v>
      </c>
      <c r="F56" s="3" t="s">
        <v>349</v>
      </c>
      <c r="G56" s="3" t="s">
        <v>346</v>
      </c>
      <c r="H56" s="3" t="s">
        <v>333</v>
      </c>
    </row>
    <row r="57" spans="1:8">
      <c r="A57" s="3" t="s">
        <v>470</v>
      </c>
      <c r="B57" s="3" t="s">
        <v>471</v>
      </c>
      <c r="C57" s="3" t="s">
        <v>277</v>
      </c>
      <c r="D57" s="3" t="s">
        <v>278</v>
      </c>
      <c r="E57" s="3" t="s">
        <v>357</v>
      </c>
      <c r="F57" s="3" t="s">
        <v>349</v>
      </c>
      <c r="G57" s="3" t="s">
        <v>346</v>
      </c>
      <c r="H57" s="3" t="s">
        <v>333</v>
      </c>
    </row>
    <row r="58" spans="1:8">
      <c r="A58" s="3" t="s">
        <v>472</v>
      </c>
      <c r="B58" s="3" t="s">
        <v>473</v>
      </c>
      <c r="C58" s="3" t="s">
        <v>290</v>
      </c>
      <c r="D58" s="3" t="s">
        <v>291</v>
      </c>
      <c r="E58" s="3" t="s">
        <v>330</v>
      </c>
      <c r="F58" s="3" t="s">
        <v>369</v>
      </c>
      <c r="G58" s="3" t="s">
        <v>332</v>
      </c>
      <c r="H58" s="3" t="s">
        <v>333</v>
      </c>
    </row>
    <row r="59" spans="1:8">
      <c r="A59" s="3" t="s">
        <v>474</v>
      </c>
      <c r="B59" s="3" t="s">
        <v>475</v>
      </c>
      <c r="C59" s="3" t="s">
        <v>290</v>
      </c>
      <c r="D59" s="3" t="s">
        <v>291</v>
      </c>
      <c r="E59" s="3" t="s">
        <v>415</v>
      </c>
      <c r="F59" s="3" t="s">
        <v>349</v>
      </c>
      <c r="G59" s="3" t="s">
        <v>361</v>
      </c>
      <c r="H59" s="3" t="s">
        <v>333</v>
      </c>
    </row>
    <row r="60" spans="1:8">
      <c r="A60" s="3" t="s">
        <v>476</v>
      </c>
      <c r="B60" s="3" t="s">
        <v>477</v>
      </c>
      <c r="C60" s="3" t="s">
        <v>290</v>
      </c>
      <c r="D60" s="3" t="s">
        <v>291</v>
      </c>
      <c r="E60" s="3" t="s">
        <v>330</v>
      </c>
      <c r="F60" s="3" t="s">
        <v>345</v>
      </c>
      <c r="G60" s="3" t="s">
        <v>353</v>
      </c>
      <c r="H60" s="3" t="s">
        <v>333</v>
      </c>
    </row>
    <row r="61" spans="1:8">
      <c r="A61" s="3" t="s">
        <v>478</v>
      </c>
      <c r="B61" s="3" t="s">
        <v>479</v>
      </c>
      <c r="C61" s="3" t="s">
        <v>282</v>
      </c>
      <c r="D61" s="3" t="s">
        <v>283</v>
      </c>
      <c r="E61" s="3" t="s">
        <v>336</v>
      </c>
      <c r="F61" s="3" t="s">
        <v>365</v>
      </c>
      <c r="G61" s="3" t="s">
        <v>353</v>
      </c>
      <c r="H61" s="3" t="s">
        <v>333</v>
      </c>
    </row>
    <row r="62" spans="1:8">
      <c r="A62" s="3" t="s">
        <v>480</v>
      </c>
      <c r="B62" s="3" t="s">
        <v>481</v>
      </c>
      <c r="C62" s="3" t="s">
        <v>284</v>
      </c>
      <c r="D62" s="3" t="s">
        <v>285</v>
      </c>
      <c r="E62" s="3" t="s">
        <v>439</v>
      </c>
      <c r="F62" s="3" t="s">
        <v>340</v>
      </c>
      <c r="G62" s="3" t="s">
        <v>341</v>
      </c>
      <c r="H62" s="3" t="s">
        <v>333</v>
      </c>
    </row>
    <row r="63" spans="1:8">
      <c r="A63" s="3" t="s">
        <v>482</v>
      </c>
      <c r="B63" s="3" t="s">
        <v>483</v>
      </c>
      <c r="C63" s="3" t="s">
        <v>286</v>
      </c>
      <c r="D63" s="3" t="s">
        <v>287</v>
      </c>
      <c r="E63" s="3" t="s">
        <v>389</v>
      </c>
      <c r="F63" s="3" t="s">
        <v>369</v>
      </c>
      <c r="G63" s="3" t="s">
        <v>346</v>
      </c>
      <c r="H63" s="3" t="s">
        <v>333</v>
      </c>
    </row>
    <row r="64" spans="1:8">
      <c r="A64" s="3" t="s">
        <v>484</v>
      </c>
      <c r="B64" s="3" t="s">
        <v>485</v>
      </c>
      <c r="C64" s="3" t="s">
        <v>288</v>
      </c>
      <c r="D64" s="3" t="s">
        <v>289</v>
      </c>
      <c r="E64" s="3" t="s">
        <v>456</v>
      </c>
      <c r="F64" s="3" t="s">
        <v>331</v>
      </c>
      <c r="G64" s="3" t="s">
        <v>346</v>
      </c>
      <c r="H64" s="3" t="s">
        <v>333</v>
      </c>
    </row>
    <row r="65" spans="1:8">
      <c r="A65" s="3" t="s">
        <v>486</v>
      </c>
      <c r="B65" s="3" t="s">
        <v>487</v>
      </c>
      <c r="C65" s="3" t="s">
        <v>288</v>
      </c>
      <c r="D65" s="3" t="s">
        <v>289</v>
      </c>
      <c r="E65" s="3" t="s">
        <v>352</v>
      </c>
      <c r="F65" s="3" t="s">
        <v>369</v>
      </c>
      <c r="G65" s="3" t="s">
        <v>353</v>
      </c>
      <c r="H65" s="3" t="s">
        <v>333</v>
      </c>
    </row>
    <row r="66" spans="1:8">
      <c r="A66" s="3" t="s">
        <v>488</v>
      </c>
      <c r="B66" s="3" t="s">
        <v>489</v>
      </c>
      <c r="C66" s="3" t="s">
        <v>288</v>
      </c>
      <c r="D66" s="3" t="s">
        <v>289</v>
      </c>
      <c r="E66" s="3" t="s">
        <v>352</v>
      </c>
      <c r="F66" s="3" t="s">
        <v>369</v>
      </c>
      <c r="G66" s="3" t="s">
        <v>332</v>
      </c>
      <c r="H66" s="3" t="s">
        <v>354</v>
      </c>
    </row>
    <row r="67" spans="1:8">
      <c r="A67" s="3" t="s">
        <v>490</v>
      </c>
      <c r="B67" s="3" t="s">
        <v>491</v>
      </c>
      <c r="C67" s="3" t="s">
        <v>288</v>
      </c>
      <c r="D67" s="3" t="s">
        <v>289</v>
      </c>
      <c r="E67" s="3" t="s">
        <v>352</v>
      </c>
      <c r="F67" s="3" t="s">
        <v>340</v>
      </c>
      <c r="G67" s="3" t="s">
        <v>341</v>
      </c>
      <c r="H67" s="3" t="s">
        <v>333</v>
      </c>
    </row>
    <row r="68" spans="1:8">
      <c r="A68" s="3" t="s">
        <v>492</v>
      </c>
      <c r="B68" s="3" t="s">
        <v>493</v>
      </c>
      <c r="C68" s="3" t="s">
        <v>288</v>
      </c>
      <c r="D68" s="3" t="s">
        <v>289</v>
      </c>
      <c r="E68" s="3" t="s">
        <v>456</v>
      </c>
      <c r="F68" s="3" t="s">
        <v>345</v>
      </c>
      <c r="G68" s="3" t="s">
        <v>361</v>
      </c>
      <c r="H68" s="3" t="s">
        <v>333</v>
      </c>
    </row>
    <row r="69" spans="1:8">
      <c r="A69" s="3" t="s">
        <v>494</v>
      </c>
      <c r="B69" s="3" t="s">
        <v>495</v>
      </c>
      <c r="C69" s="3" t="s">
        <v>282</v>
      </c>
      <c r="D69" s="3" t="s">
        <v>283</v>
      </c>
      <c r="E69" s="3" t="s">
        <v>344</v>
      </c>
      <c r="F69" s="3" t="s">
        <v>331</v>
      </c>
      <c r="G69" s="3" t="s">
        <v>353</v>
      </c>
      <c r="H69" s="3" t="s">
        <v>333</v>
      </c>
    </row>
    <row r="70" spans="1:8">
      <c r="A70" s="3" t="s">
        <v>496</v>
      </c>
      <c r="B70" s="3" t="s">
        <v>497</v>
      </c>
      <c r="C70" s="3" t="s">
        <v>288</v>
      </c>
      <c r="D70" s="3" t="s">
        <v>289</v>
      </c>
      <c r="E70" s="3" t="s">
        <v>352</v>
      </c>
      <c r="F70" s="3" t="s">
        <v>345</v>
      </c>
      <c r="G70" s="3" t="s">
        <v>353</v>
      </c>
      <c r="H70" s="3" t="s">
        <v>333</v>
      </c>
    </row>
    <row r="71" spans="1:8">
      <c r="A71" s="3" t="s">
        <v>498</v>
      </c>
      <c r="B71" s="3" t="s">
        <v>499</v>
      </c>
      <c r="C71" s="3" t="s">
        <v>290</v>
      </c>
      <c r="D71" s="3" t="s">
        <v>291</v>
      </c>
      <c r="E71" s="3" t="s">
        <v>330</v>
      </c>
      <c r="F71" s="3" t="s">
        <v>369</v>
      </c>
      <c r="G71" s="3" t="s">
        <v>332</v>
      </c>
      <c r="H71" s="3" t="s">
        <v>354</v>
      </c>
    </row>
    <row r="72" spans="1:8">
      <c r="A72" s="3" t="s">
        <v>500</v>
      </c>
      <c r="B72" s="3" t="s">
        <v>501</v>
      </c>
      <c r="C72" s="3" t="s">
        <v>277</v>
      </c>
      <c r="D72" s="3" t="s">
        <v>278</v>
      </c>
      <c r="E72" s="3" t="s">
        <v>357</v>
      </c>
      <c r="F72" s="3" t="s">
        <v>345</v>
      </c>
      <c r="G72" s="3" t="s">
        <v>346</v>
      </c>
      <c r="H72" s="3" t="s">
        <v>354</v>
      </c>
    </row>
    <row r="73" spans="1:8">
      <c r="A73" s="3" t="s">
        <v>502</v>
      </c>
      <c r="B73" s="3" t="s">
        <v>503</v>
      </c>
      <c r="C73" s="3" t="s">
        <v>280</v>
      </c>
      <c r="D73" s="3" t="s">
        <v>281</v>
      </c>
      <c r="E73" s="3" t="s">
        <v>382</v>
      </c>
      <c r="F73" s="3" t="s">
        <v>365</v>
      </c>
      <c r="G73" s="3" t="s">
        <v>341</v>
      </c>
      <c r="H73" s="3" t="s">
        <v>333</v>
      </c>
    </row>
    <row r="74" spans="1:8">
      <c r="A74" s="3" t="s">
        <v>504</v>
      </c>
      <c r="B74" s="3" t="s">
        <v>460</v>
      </c>
      <c r="C74" s="3" t="s">
        <v>286</v>
      </c>
      <c r="D74" s="3" t="s">
        <v>287</v>
      </c>
      <c r="E74" s="3" t="s">
        <v>389</v>
      </c>
      <c r="F74" s="3" t="s">
        <v>349</v>
      </c>
      <c r="G74" s="3" t="s">
        <v>353</v>
      </c>
      <c r="H74" s="3" t="s">
        <v>333</v>
      </c>
    </row>
    <row r="75" spans="1:8">
      <c r="A75" s="3" t="s">
        <v>505</v>
      </c>
      <c r="B75" s="3" t="s">
        <v>506</v>
      </c>
      <c r="C75" s="3" t="s">
        <v>279</v>
      </c>
      <c r="D75" s="3" t="s">
        <v>278</v>
      </c>
      <c r="E75" s="3" t="s">
        <v>368</v>
      </c>
      <c r="F75" s="3" t="s">
        <v>340</v>
      </c>
      <c r="G75" s="3" t="s">
        <v>361</v>
      </c>
      <c r="H75" s="3" t="s">
        <v>333</v>
      </c>
    </row>
    <row r="76" spans="1:8">
      <c r="A76" s="3" t="s">
        <v>507</v>
      </c>
      <c r="B76" s="3" t="s">
        <v>508</v>
      </c>
      <c r="C76" s="3" t="s">
        <v>286</v>
      </c>
      <c r="D76" s="3" t="s">
        <v>287</v>
      </c>
      <c r="E76" s="3" t="s">
        <v>407</v>
      </c>
      <c r="F76" s="3" t="s">
        <v>345</v>
      </c>
      <c r="G76" s="3" t="s">
        <v>332</v>
      </c>
      <c r="H76" s="3" t="s">
        <v>333</v>
      </c>
    </row>
    <row r="77" spans="1:8">
      <c r="A77" s="3" t="s">
        <v>509</v>
      </c>
      <c r="B77" s="3" t="s">
        <v>510</v>
      </c>
      <c r="C77" s="3" t="s">
        <v>282</v>
      </c>
      <c r="D77" s="3" t="s">
        <v>283</v>
      </c>
      <c r="E77" s="3" t="s">
        <v>428</v>
      </c>
      <c r="F77" s="3" t="s">
        <v>340</v>
      </c>
      <c r="G77" s="3" t="s">
        <v>346</v>
      </c>
      <c r="H77" s="3" t="s">
        <v>333</v>
      </c>
    </row>
    <row r="78" spans="1:8">
      <c r="A78" s="3" t="s">
        <v>511</v>
      </c>
      <c r="B78" s="3" t="s">
        <v>473</v>
      </c>
      <c r="C78" s="3" t="s">
        <v>290</v>
      </c>
      <c r="D78" s="3" t="s">
        <v>291</v>
      </c>
      <c r="E78" s="3" t="s">
        <v>330</v>
      </c>
      <c r="F78" s="3" t="s">
        <v>369</v>
      </c>
      <c r="G78" s="3" t="s">
        <v>353</v>
      </c>
      <c r="H78" s="3" t="s">
        <v>333</v>
      </c>
    </row>
    <row r="79" spans="1:8">
      <c r="A79" s="3" t="s">
        <v>512</v>
      </c>
      <c r="B79" s="3" t="s">
        <v>513</v>
      </c>
      <c r="C79" s="3" t="s">
        <v>286</v>
      </c>
      <c r="D79" s="3" t="s">
        <v>287</v>
      </c>
      <c r="E79" s="3" t="s">
        <v>407</v>
      </c>
      <c r="F79" s="3" t="s">
        <v>369</v>
      </c>
      <c r="G79" s="3" t="s">
        <v>332</v>
      </c>
      <c r="H79" s="3" t="s">
        <v>333</v>
      </c>
    </row>
    <row r="80" spans="1:8">
      <c r="A80" s="3" t="s">
        <v>514</v>
      </c>
      <c r="B80" s="3" t="s">
        <v>515</v>
      </c>
      <c r="C80" s="3" t="s">
        <v>280</v>
      </c>
      <c r="D80" s="3" t="s">
        <v>281</v>
      </c>
      <c r="E80" s="3" t="s">
        <v>516</v>
      </c>
      <c r="F80" s="3" t="s">
        <v>340</v>
      </c>
      <c r="G80" s="3" t="s">
        <v>332</v>
      </c>
      <c r="H80" s="3" t="s">
        <v>354</v>
      </c>
    </row>
    <row r="81" spans="1:8">
      <c r="A81" s="3" t="s">
        <v>517</v>
      </c>
      <c r="B81" s="3" t="s">
        <v>518</v>
      </c>
      <c r="C81" s="3" t="s">
        <v>288</v>
      </c>
      <c r="D81" s="3" t="s">
        <v>289</v>
      </c>
      <c r="E81" s="3" t="s">
        <v>352</v>
      </c>
      <c r="F81" s="3" t="s">
        <v>345</v>
      </c>
      <c r="G81" s="3" t="s">
        <v>332</v>
      </c>
      <c r="H81" s="3" t="s">
        <v>333</v>
      </c>
    </row>
    <row r="82" spans="1:8">
      <c r="A82" s="3" t="s">
        <v>519</v>
      </c>
      <c r="B82" s="3" t="s">
        <v>520</v>
      </c>
      <c r="C82" s="3" t="s">
        <v>282</v>
      </c>
      <c r="D82" s="3" t="s">
        <v>283</v>
      </c>
      <c r="E82" s="3" t="s">
        <v>428</v>
      </c>
      <c r="F82" s="3" t="s">
        <v>345</v>
      </c>
      <c r="G82" s="3" t="s">
        <v>361</v>
      </c>
      <c r="H82" s="3" t="s">
        <v>333</v>
      </c>
    </row>
    <row r="83" spans="1:8">
      <c r="A83" s="3" t="s">
        <v>521</v>
      </c>
      <c r="B83" s="3" t="s">
        <v>522</v>
      </c>
      <c r="C83" s="3" t="s">
        <v>277</v>
      </c>
      <c r="D83" s="3" t="s">
        <v>278</v>
      </c>
      <c r="E83" s="3" t="s">
        <v>379</v>
      </c>
      <c r="F83" s="3" t="s">
        <v>369</v>
      </c>
      <c r="G83" s="3" t="s">
        <v>341</v>
      </c>
      <c r="H83" s="3" t="s">
        <v>333</v>
      </c>
    </row>
    <row r="84" spans="1:8">
      <c r="A84" s="3" t="s">
        <v>523</v>
      </c>
      <c r="B84" s="3" t="s">
        <v>524</v>
      </c>
      <c r="C84" s="3" t="s">
        <v>286</v>
      </c>
      <c r="D84" s="3" t="s">
        <v>287</v>
      </c>
      <c r="E84" s="3" t="s">
        <v>407</v>
      </c>
      <c r="F84" s="3" t="s">
        <v>349</v>
      </c>
      <c r="G84" s="3" t="s">
        <v>332</v>
      </c>
      <c r="H84" s="3" t="s">
        <v>333</v>
      </c>
    </row>
    <row r="85" spans="1:8">
      <c r="A85" s="3" t="s">
        <v>525</v>
      </c>
      <c r="B85" s="3" t="s">
        <v>424</v>
      </c>
      <c r="C85" s="3" t="s">
        <v>286</v>
      </c>
      <c r="D85" s="3" t="s">
        <v>287</v>
      </c>
      <c r="E85" s="3" t="s">
        <v>425</v>
      </c>
      <c r="F85" s="3" t="s">
        <v>349</v>
      </c>
      <c r="G85" s="3" t="s">
        <v>346</v>
      </c>
      <c r="H85" s="3" t="s">
        <v>333</v>
      </c>
    </row>
    <row r="86" spans="1:8">
      <c r="A86" s="3" t="s">
        <v>526</v>
      </c>
      <c r="B86" s="3" t="s">
        <v>527</v>
      </c>
      <c r="C86" s="3" t="s">
        <v>284</v>
      </c>
      <c r="D86" s="3" t="s">
        <v>285</v>
      </c>
      <c r="E86" s="3" t="s">
        <v>401</v>
      </c>
      <c r="F86" s="3" t="s">
        <v>369</v>
      </c>
      <c r="G86" s="3" t="s">
        <v>353</v>
      </c>
      <c r="H86" s="3" t="s">
        <v>333</v>
      </c>
    </row>
    <row r="87" spans="1:8">
      <c r="A87" s="3" t="s">
        <v>528</v>
      </c>
      <c r="B87" s="3" t="s">
        <v>529</v>
      </c>
      <c r="C87" s="3" t="s">
        <v>284</v>
      </c>
      <c r="D87" s="3" t="s">
        <v>285</v>
      </c>
      <c r="E87" s="3" t="s">
        <v>439</v>
      </c>
      <c r="F87" s="3" t="s">
        <v>331</v>
      </c>
      <c r="G87" s="3" t="s">
        <v>341</v>
      </c>
      <c r="H87" s="3" t="s">
        <v>354</v>
      </c>
    </row>
    <row r="88" spans="1:8">
      <c r="A88" s="3" t="s">
        <v>530</v>
      </c>
      <c r="B88" s="3" t="s">
        <v>531</v>
      </c>
      <c r="C88" s="3" t="s">
        <v>282</v>
      </c>
      <c r="D88" s="3" t="s">
        <v>283</v>
      </c>
      <c r="E88" s="3" t="s">
        <v>344</v>
      </c>
      <c r="F88" s="3" t="s">
        <v>369</v>
      </c>
      <c r="G88" s="3" t="s">
        <v>353</v>
      </c>
      <c r="H88" s="3" t="s">
        <v>333</v>
      </c>
    </row>
    <row r="89" spans="1:8">
      <c r="A89" s="3" t="s">
        <v>532</v>
      </c>
      <c r="B89" s="3" t="s">
        <v>533</v>
      </c>
      <c r="C89" s="3" t="s">
        <v>290</v>
      </c>
      <c r="D89" s="3" t="s">
        <v>291</v>
      </c>
      <c r="E89" s="3" t="s">
        <v>415</v>
      </c>
      <c r="F89" s="3" t="s">
        <v>331</v>
      </c>
      <c r="G89" s="3" t="s">
        <v>346</v>
      </c>
      <c r="H89" s="3" t="s">
        <v>333</v>
      </c>
    </row>
    <row r="90" spans="1:8">
      <c r="A90" s="3" t="s">
        <v>534</v>
      </c>
      <c r="B90" s="3" t="s">
        <v>535</v>
      </c>
      <c r="C90" s="3" t="s">
        <v>284</v>
      </c>
      <c r="D90" s="3" t="s">
        <v>285</v>
      </c>
      <c r="E90" s="3" t="s">
        <v>439</v>
      </c>
      <c r="F90" s="3" t="s">
        <v>365</v>
      </c>
      <c r="G90" s="3" t="s">
        <v>341</v>
      </c>
      <c r="H90" s="3" t="s">
        <v>333</v>
      </c>
    </row>
    <row r="91" spans="1:8">
      <c r="A91" s="3" t="s">
        <v>536</v>
      </c>
      <c r="B91" s="3" t="s">
        <v>537</v>
      </c>
      <c r="C91" s="3" t="s">
        <v>282</v>
      </c>
      <c r="D91" s="3" t="s">
        <v>283</v>
      </c>
      <c r="E91" s="3" t="s">
        <v>428</v>
      </c>
      <c r="F91" s="3" t="s">
        <v>331</v>
      </c>
      <c r="G91" s="3" t="s">
        <v>353</v>
      </c>
      <c r="H91" s="3" t="s">
        <v>333</v>
      </c>
    </row>
    <row r="92" spans="1:8">
      <c r="A92" s="3" t="s">
        <v>538</v>
      </c>
      <c r="B92" s="3" t="s">
        <v>539</v>
      </c>
      <c r="C92" s="3" t="s">
        <v>282</v>
      </c>
      <c r="D92" s="3" t="s">
        <v>283</v>
      </c>
      <c r="E92" s="3" t="s">
        <v>336</v>
      </c>
      <c r="F92" s="3" t="s">
        <v>349</v>
      </c>
      <c r="G92" s="3" t="s">
        <v>353</v>
      </c>
      <c r="H92" s="3" t="s">
        <v>333</v>
      </c>
    </row>
    <row r="93" spans="1:8">
      <c r="A93" s="3" t="s">
        <v>540</v>
      </c>
      <c r="B93" s="3" t="s">
        <v>412</v>
      </c>
      <c r="C93" s="3" t="s">
        <v>277</v>
      </c>
      <c r="D93" s="3" t="s">
        <v>278</v>
      </c>
      <c r="E93" s="3" t="s">
        <v>357</v>
      </c>
      <c r="F93" s="3" t="s">
        <v>365</v>
      </c>
      <c r="G93" s="3" t="s">
        <v>353</v>
      </c>
      <c r="H93" s="3" t="s">
        <v>333</v>
      </c>
    </row>
    <row r="94" spans="1:8">
      <c r="A94" s="3" t="s">
        <v>541</v>
      </c>
      <c r="B94" s="3" t="s">
        <v>527</v>
      </c>
      <c r="C94" s="3" t="s">
        <v>284</v>
      </c>
      <c r="D94" s="3" t="s">
        <v>285</v>
      </c>
      <c r="E94" s="3" t="s">
        <v>401</v>
      </c>
      <c r="F94" s="3" t="s">
        <v>369</v>
      </c>
      <c r="G94" s="3" t="s">
        <v>353</v>
      </c>
      <c r="H94" s="3" t="s">
        <v>333</v>
      </c>
    </row>
    <row r="95" spans="1:8">
      <c r="A95" s="3" t="s">
        <v>542</v>
      </c>
      <c r="B95" s="3" t="s">
        <v>430</v>
      </c>
      <c r="C95" s="3" t="s">
        <v>286</v>
      </c>
      <c r="D95" s="3" t="s">
        <v>287</v>
      </c>
      <c r="E95" s="3" t="s">
        <v>389</v>
      </c>
      <c r="F95" s="3" t="s">
        <v>345</v>
      </c>
      <c r="G95" s="3" t="s">
        <v>341</v>
      </c>
      <c r="H95" s="3" t="s">
        <v>333</v>
      </c>
    </row>
    <row r="96" spans="1:8">
      <c r="A96" s="3" t="s">
        <v>543</v>
      </c>
      <c r="B96" s="3" t="s">
        <v>544</v>
      </c>
      <c r="C96" s="3" t="s">
        <v>290</v>
      </c>
      <c r="D96" s="3" t="s">
        <v>291</v>
      </c>
      <c r="E96" s="3" t="s">
        <v>415</v>
      </c>
      <c r="F96" s="3" t="s">
        <v>365</v>
      </c>
      <c r="G96" s="3" t="s">
        <v>346</v>
      </c>
      <c r="H96" s="3" t="s">
        <v>333</v>
      </c>
    </row>
    <row r="97" spans="1:8">
      <c r="A97" s="3" t="s">
        <v>545</v>
      </c>
      <c r="B97" s="3" t="s">
        <v>446</v>
      </c>
      <c r="C97" s="3" t="s">
        <v>282</v>
      </c>
      <c r="D97" s="3" t="s">
        <v>283</v>
      </c>
      <c r="E97" s="3" t="s">
        <v>344</v>
      </c>
      <c r="F97" s="3" t="s">
        <v>340</v>
      </c>
      <c r="G97" s="3" t="s">
        <v>361</v>
      </c>
      <c r="H97" s="3" t="s">
        <v>354</v>
      </c>
    </row>
    <row r="98" spans="1:8">
      <c r="A98" s="3" t="s">
        <v>546</v>
      </c>
      <c r="B98" s="3" t="s">
        <v>547</v>
      </c>
      <c r="C98" s="3" t="s">
        <v>280</v>
      </c>
      <c r="D98" s="3" t="s">
        <v>281</v>
      </c>
      <c r="E98" s="3" t="s">
        <v>382</v>
      </c>
      <c r="F98" s="3" t="s">
        <v>331</v>
      </c>
      <c r="G98" s="3" t="s">
        <v>353</v>
      </c>
      <c r="H98" s="3" t="s">
        <v>333</v>
      </c>
    </row>
    <row r="99" spans="1:8">
      <c r="A99" s="3" t="s">
        <v>548</v>
      </c>
      <c r="B99" s="3" t="s">
        <v>549</v>
      </c>
      <c r="C99" s="3" t="s">
        <v>284</v>
      </c>
      <c r="D99" s="3" t="s">
        <v>285</v>
      </c>
      <c r="E99" s="3" t="s">
        <v>410</v>
      </c>
      <c r="F99" s="3" t="s">
        <v>331</v>
      </c>
      <c r="G99" s="3" t="s">
        <v>346</v>
      </c>
      <c r="H99" s="3" t="s">
        <v>333</v>
      </c>
    </row>
    <row r="100" spans="1:8">
      <c r="A100" s="3" t="s">
        <v>550</v>
      </c>
      <c r="B100" s="3" t="s">
        <v>551</v>
      </c>
      <c r="C100" s="3" t="s">
        <v>284</v>
      </c>
      <c r="D100" s="3" t="s">
        <v>285</v>
      </c>
      <c r="E100" s="3" t="s">
        <v>410</v>
      </c>
      <c r="F100" s="3" t="s">
        <v>345</v>
      </c>
      <c r="G100" s="3" t="s">
        <v>346</v>
      </c>
      <c r="H100" s="3" t="s">
        <v>333</v>
      </c>
    </row>
    <row r="101" spans="1:8">
      <c r="A101" s="3" t="s">
        <v>552</v>
      </c>
      <c r="B101" s="3" t="s">
        <v>553</v>
      </c>
      <c r="C101" s="3" t="s">
        <v>277</v>
      </c>
      <c r="D101" s="3" t="s">
        <v>278</v>
      </c>
      <c r="E101" s="3" t="s">
        <v>379</v>
      </c>
      <c r="F101" s="3" t="s">
        <v>345</v>
      </c>
      <c r="G101" s="3" t="s">
        <v>353</v>
      </c>
      <c r="H101" s="3" t="s">
        <v>333</v>
      </c>
    </row>
    <row r="102" spans="1:8">
      <c r="A102" s="3" t="s">
        <v>554</v>
      </c>
      <c r="B102" s="3" t="s">
        <v>555</v>
      </c>
      <c r="C102" s="3" t="s">
        <v>277</v>
      </c>
      <c r="D102" s="3" t="s">
        <v>278</v>
      </c>
      <c r="E102" s="3" t="s">
        <v>379</v>
      </c>
      <c r="F102" s="3" t="s">
        <v>349</v>
      </c>
      <c r="G102" s="3" t="s">
        <v>353</v>
      </c>
      <c r="H102" s="3" t="s">
        <v>333</v>
      </c>
    </row>
    <row r="103" spans="1:8">
      <c r="A103" s="3" t="s">
        <v>556</v>
      </c>
      <c r="B103" s="3" t="s">
        <v>557</v>
      </c>
      <c r="C103" s="3" t="s">
        <v>277</v>
      </c>
      <c r="D103" s="3" t="s">
        <v>278</v>
      </c>
      <c r="E103" s="3" t="s">
        <v>379</v>
      </c>
      <c r="F103" s="3" t="s">
        <v>349</v>
      </c>
      <c r="G103" s="3" t="s">
        <v>332</v>
      </c>
      <c r="H103" s="3" t="s">
        <v>333</v>
      </c>
    </row>
    <row r="104" spans="1:8">
      <c r="A104" s="3" t="s">
        <v>558</v>
      </c>
      <c r="B104" s="3" t="s">
        <v>559</v>
      </c>
      <c r="C104" s="3" t="s">
        <v>279</v>
      </c>
      <c r="D104" s="3" t="s">
        <v>278</v>
      </c>
      <c r="E104" s="3" t="s">
        <v>394</v>
      </c>
      <c r="F104" s="3" t="s">
        <v>331</v>
      </c>
      <c r="G104" s="3" t="s">
        <v>361</v>
      </c>
      <c r="H104" s="3" t="s">
        <v>354</v>
      </c>
    </row>
    <row r="105" spans="1:8">
      <c r="A105" s="3" t="s">
        <v>560</v>
      </c>
      <c r="B105" s="3" t="s">
        <v>561</v>
      </c>
      <c r="C105" s="3" t="s">
        <v>279</v>
      </c>
      <c r="D105" s="3" t="s">
        <v>278</v>
      </c>
      <c r="E105" s="3" t="s">
        <v>360</v>
      </c>
      <c r="F105" s="3" t="s">
        <v>340</v>
      </c>
      <c r="G105" s="3" t="s">
        <v>353</v>
      </c>
      <c r="H105" s="3" t="s">
        <v>333</v>
      </c>
    </row>
    <row r="106" spans="1:8">
      <c r="A106" s="3" t="s">
        <v>562</v>
      </c>
      <c r="B106" s="3" t="s">
        <v>563</v>
      </c>
      <c r="C106" s="3" t="s">
        <v>282</v>
      </c>
      <c r="D106" s="3" t="s">
        <v>283</v>
      </c>
      <c r="E106" s="3" t="s">
        <v>336</v>
      </c>
      <c r="F106" s="3" t="s">
        <v>349</v>
      </c>
      <c r="G106" s="3" t="s">
        <v>353</v>
      </c>
      <c r="H106" s="3" t="s">
        <v>333</v>
      </c>
    </row>
    <row r="107" spans="1:8">
      <c r="A107" s="3" t="s">
        <v>564</v>
      </c>
      <c r="B107" s="3" t="s">
        <v>489</v>
      </c>
      <c r="C107" s="3" t="s">
        <v>288</v>
      </c>
      <c r="D107" s="3" t="s">
        <v>289</v>
      </c>
      <c r="E107" s="3" t="s">
        <v>352</v>
      </c>
      <c r="F107" s="3" t="s">
        <v>369</v>
      </c>
      <c r="G107" s="3" t="s">
        <v>332</v>
      </c>
      <c r="H107" s="3" t="s">
        <v>333</v>
      </c>
    </row>
    <row r="108" spans="1:8">
      <c r="A108" s="3" t="s">
        <v>565</v>
      </c>
      <c r="B108" s="3" t="s">
        <v>566</v>
      </c>
      <c r="C108" s="3" t="s">
        <v>279</v>
      </c>
      <c r="D108" s="3" t="s">
        <v>278</v>
      </c>
      <c r="E108" s="3" t="s">
        <v>360</v>
      </c>
      <c r="F108" s="3" t="s">
        <v>345</v>
      </c>
      <c r="G108" s="3" t="s">
        <v>341</v>
      </c>
      <c r="H108" s="3" t="s">
        <v>333</v>
      </c>
    </row>
    <row r="109" spans="1:8">
      <c r="A109" s="3" t="s">
        <v>567</v>
      </c>
      <c r="B109" s="3" t="s">
        <v>547</v>
      </c>
      <c r="C109" s="3" t="s">
        <v>280</v>
      </c>
      <c r="D109" s="3" t="s">
        <v>281</v>
      </c>
      <c r="E109" s="3" t="s">
        <v>382</v>
      </c>
      <c r="F109" s="3" t="s">
        <v>331</v>
      </c>
      <c r="G109" s="3" t="s">
        <v>332</v>
      </c>
      <c r="H109" s="3" t="s">
        <v>333</v>
      </c>
    </row>
    <row r="110" spans="1:8">
      <c r="A110" s="3" t="s">
        <v>568</v>
      </c>
      <c r="B110" s="3" t="s">
        <v>497</v>
      </c>
      <c r="C110" s="3" t="s">
        <v>288</v>
      </c>
      <c r="D110" s="3" t="s">
        <v>289</v>
      </c>
      <c r="E110" s="3" t="s">
        <v>352</v>
      </c>
      <c r="F110" s="3" t="s">
        <v>345</v>
      </c>
      <c r="G110" s="3" t="s">
        <v>353</v>
      </c>
      <c r="H110" s="3" t="s">
        <v>333</v>
      </c>
    </row>
    <row r="111" spans="1:8">
      <c r="A111" s="3" t="s">
        <v>569</v>
      </c>
      <c r="B111" s="3" t="s">
        <v>343</v>
      </c>
      <c r="C111" s="3" t="s">
        <v>282</v>
      </c>
      <c r="D111" s="3" t="s">
        <v>283</v>
      </c>
      <c r="E111" s="3" t="s">
        <v>344</v>
      </c>
      <c r="F111" s="3" t="s">
        <v>345</v>
      </c>
      <c r="G111" s="3" t="s">
        <v>353</v>
      </c>
      <c r="H111" s="3" t="s">
        <v>333</v>
      </c>
    </row>
    <row r="112" spans="1:8">
      <c r="A112" s="3" t="s">
        <v>570</v>
      </c>
      <c r="B112" s="3" t="s">
        <v>571</v>
      </c>
      <c r="C112" s="3" t="s">
        <v>282</v>
      </c>
      <c r="D112" s="3" t="s">
        <v>283</v>
      </c>
      <c r="E112" s="3" t="s">
        <v>344</v>
      </c>
      <c r="F112" s="3" t="s">
        <v>345</v>
      </c>
      <c r="G112" s="3" t="s">
        <v>346</v>
      </c>
      <c r="H112" s="3" t="s">
        <v>333</v>
      </c>
    </row>
    <row r="113" spans="1:8">
      <c r="A113" s="3" t="s">
        <v>572</v>
      </c>
      <c r="B113" s="3" t="s">
        <v>573</v>
      </c>
      <c r="C113" s="3" t="s">
        <v>282</v>
      </c>
      <c r="D113" s="3" t="s">
        <v>283</v>
      </c>
      <c r="E113" s="3" t="s">
        <v>336</v>
      </c>
      <c r="F113" s="3" t="s">
        <v>331</v>
      </c>
      <c r="G113" s="3" t="s">
        <v>346</v>
      </c>
      <c r="H113" s="3" t="s">
        <v>333</v>
      </c>
    </row>
    <row r="114" spans="1:8">
      <c r="A114" s="3" t="s">
        <v>574</v>
      </c>
      <c r="B114" s="3" t="s">
        <v>575</v>
      </c>
      <c r="C114" s="3" t="s">
        <v>280</v>
      </c>
      <c r="D114" s="3" t="s">
        <v>281</v>
      </c>
      <c r="E114" s="3" t="s">
        <v>516</v>
      </c>
      <c r="F114" s="3" t="s">
        <v>369</v>
      </c>
      <c r="G114" s="3" t="s">
        <v>361</v>
      </c>
      <c r="H114" s="3" t="s">
        <v>354</v>
      </c>
    </row>
    <row r="115" spans="1:8">
      <c r="A115" s="3" t="s">
        <v>576</v>
      </c>
      <c r="B115" s="3" t="s">
        <v>577</v>
      </c>
      <c r="C115" s="3" t="s">
        <v>290</v>
      </c>
      <c r="D115" s="3" t="s">
        <v>291</v>
      </c>
      <c r="E115" s="3" t="s">
        <v>330</v>
      </c>
      <c r="F115" s="3" t="s">
        <v>349</v>
      </c>
      <c r="G115" s="3" t="s">
        <v>341</v>
      </c>
      <c r="H115" s="3" t="s">
        <v>333</v>
      </c>
    </row>
    <row r="116" spans="1:8">
      <c r="A116" s="3" t="s">
        <v>578</v>
      </c>
      <c r="B116" s="3" t="s">
        <v>527</v>
      </c>
      <c r="C116" s="3" t="s">
        <v>284</v>
      </c>
      <c r="D116" s="3" t="s">
        <v>285</v>
      </c>
      <c r="E116" s="3" t="s">
        <v>401</v>
      </c>
      <c r="F116" s="3" t="s">
        <v>369</v>
      </c>
      <c r="G116" s="3" t="s">
        <v>353</v>
      </c>
      <c r="H116" s="3" t="s">
        <v>333</v>
      </c>
    </row>
    <row r="117" spans="1:8">
      <c r="A117" s="3" t="s">
        <v>579</v>
      </c>
      <c r="B117" s="3" t="s">
        <v>580</v>
      </c>
      <c r="C117" s="3" t="s">
        <v>277</v>
      </c>
      <c r="D117" s="3" t="s">
        <v>278</v>
      </c>
      <c r="E117" s="3" t="s">
        <v>581</v>
      </c>
      <c r="F117" s="3" t="s">
        <v>345</v>
      </c>
      <c r="G117" s="3" t="s">
        <v>361</v>
      </c>
      <c r="H117" s="3" t="s">
        <v>333</v>
      </c>
    </row>
    <row r="118" spans="1:8">
      <c r="A118" s="3" t="s">
        <v>582</v>
      </c>
      <c r="B118" s="3" t="s">
        <v>583</v>
      </c>
      <c r="C118" s="3" t="s">
        <v>279</v>
      </c>
      <c r="D118" s="3" t="s">
        <v>278</v>
      </c>
      <c r="E118" s="3" t="s">
        <v>360</v>
      </c>
      <c r="F118" s="3" t="s">
        <v>345</v>
      </c>
      <c r="G118" s="3" t="s">
        <v>361</v>
      </c>
      <c r="H118" s="3" t="s">
        <v>354</v>
      </c>
    </row>
    <row r="119" spans="1:8">
      <c r="A119" s="3" t="s">
        <v>584</v>
      </c>
      <c r="B119" s="3" t="s">
        <v>403</v>
      </c>
      <c r="C119" s="3" t="s">
        <v>284</v>
      </c>
      <c r="D119" s="3" t="s">
        <v>285</v>
      </c>
      <c r="E119" s="3" t="s">
        <v>401</v>
      </c>
      <c r="F119" s="3" t="s">
        <v>340</v>
      </c>
      <c r="G119" s="3" t="s">
        <v>353</v>
      </c>
      <c r="H119" s="3" t="s">
        <v>333</v>
      </c>
    </row>
    <row r="120" spans="1:8">
      <c r="A120" s="3" t="s">
        <v>585</v>
      </c>
      <c r="B120" s="3" t="s">
        <v>586</v>
      </c>
      <c r="C120" s="3" t="s">
        <v>290</v>
      </c>
      <c r="D120" s="3" t="s">
        <v>291</v>
      </c>
      <c r="E120" s="3" t="s">
        <v>415</v>
      </c>
      <c r="F120" s="3" t="s">
        <v>331</v>
      </c>
      <c r="G120" s="3" t="s">
        <v>353</v>
      </c>
      <c r="H120" s="3" t="s">
        <v>333</v>
      </c>
    </row>
    <row r="121" spans="1:8">
      <c r="A121" s="3" t="s">
        <v>587</v>
      </c>
      <c r="B121" s="3" t="s">
        <v>348</v>
      </c>
      <c r="C121" s="3" t="s">
        <v>290</v>
      </c>
      <c r="D121" s="3" t="s">
        <v>291</v>
      </c>
      <c r="E121" s="3" t="s">
        <v>330</v>
      </c>
      <c r="F121" s="3" t="s">
        <v>349</v>
      </c>
      <c r="G121" s="3" t="s">
        <v>353</v>
      </c>
      <c r="H121" s="3" t="s">
        <v>333</v>
      </c>
    </row>
    <row r="122" spans="1:8">
      <c r="A122" s="3" t="s">
        <v>588</v>
      </c>
      <c r="B122" s="3" t="s">
        <v>398</v>
      </c>
      <c r="C122" s="3" t="s">
        <v>279</v>
      </c>
      <c r="D122" s="3" t="s">
        <v>278</v>
      </c>
      <c r="E122" s="3" t="s">
        <v>360</v>
      </c>
      <c r="F122" s="3" t="s">
        <v>365</v>
      </c>
      <c r="G122" s="3" t="s">
        <v>353</v>
      </c>
      <c r="H122" s="3" t="s">
        <v>333</v>
      </c>
    </row>
    <row r="123" spans="1:8">
      <c r="A123" s="3" t="s">
        <v>589</v>
      </c>
      <c r="B123" s="3" t="s">
        <v>458</v>
      </c>
      <c r="C123" s="3" t="s">
        <v>288</v>
      </c>
      <c r="D123" s="3" t="s">
        <v>289</v>
      </c>
      <c r="E123" s="3" t="s">
        <v>456</v>
      </c>
      <c r="F123" s="3" t="s">
        <v>340</v>
      </c>
      <c r="G123" s="3" t="s">
        <v>332</v>
      </c>
      <c r="H123" s="3" t="s">
        <v>333</v>
      </c>
    </row>
    <row r="124" spans="1:8">
      <c r="A124" s="3" t="s">
        <v>590</v>
      </c>
      <c r="B124" s="3" t="s">
        <v>591</v>
      </c>
      <c r="C124" s="3" t="s">
        <v>286</v>
      </c>
      <c r="D124" s="3" t="s">
        <v>287</v>
      </c>
      <c r="E124" s="3" t="s">
        <v>407</v>
      </c>
      <c r="F124" s="3" t="s">
        <v>349</v>
      </c>
      <c r="G124" s="3" t="s">
        <v>332</v>
      </c>
      <c r="H124" s="3" t="s">
        <v>333</v>
      </c>
    </row>
    <row r="125" spans="1:8">
      <c r="A125" s="3" t="s">
        <v>592</v>
      </c>
      <c r="B125" s="3" t="s">
        <v>593</v>
      </c>
      <c r="C125" s="3" t="s">
        <v>290</v>
      </c>
      <c r="D125" s="3" t="s">
        <v>291</v>
      </c>
      <c r="E125" s="3" t="s">
        <v>415</v>
      </c>
      <c r="F125" s="3" t="s">
        <v>340</v>
      </c>
      <c r="G125" s="3" t="s">
        <v>361</v>
      </c>
      <c r="H125" s="3" t="s">
        <v>333</v>
      </c>
    </row>
    <row r="126" spans="1:8">
      <c r="A126" s="3" t="s">
        <v>594</v>
      </c>
      <c r="B126" s="3" t="s">
        <v>593</v>
      </c>
      <c r="C126" s="3" t="s">
        <v>290</v>
      </c>
      <c r="D126" s="3" t="s">
        <v>291</v>
      </c>
      <c r="E126" s="3" t="s">
        <v>415</v>
      </c>
      <c r="F126" s="3" t="s">
        <v>340</v>
      </c>
      <c r="G126" s="3" t="s">
        <v>341</v>
      </c>
      <c r="H126" s="3" t="s">
        <v>333</v>
      </c>
    </row>
    <row r="127" spans="1:8">
      <c r="A127" s="3" t="s">
        <v>595</v>
      </c>
      <c r="B127" s="3" t="s">
        <v>596</v>
      </c>
      <c r="C127" s="3" t="s">
        <v>284</v>
      </c>
      <c r="D127" s="3" t="s">
        <v>285</v>
      </c>
      <c r="E127" s="3" t="s">
        <v>439</v>
      </c>
      <c r="F127" s="3" t="s">
        <v>345</v>
      </c>
      <c r="G127" s="3" t="s">
        <v>332</v>
      </c>
      <c r="H127" s="3" t="s">
        <v>333</v>
      </c>
    </row>
    <row r="128" spans="1:8">
      <c r="A128" s="3" t="s">
        <v>597</v>
      </c>
      <c r="B128" s="3" t="s">
        <v>573</v>
      </c>
      <c r="C128" s="3" t="s">
        <v>282</v>
      </c>
      <c r="D128" s="3" t="s">
        <v>283</v>
      </c>
      <c r="E128" s="3" t="s">
        <v>336</v>
      </c>
      <c r="F128" s="3" t="s">
        <v>331</v>
      </c>
      <c r="G128" s="3" t="s">
        <v>361</v>
      </c>
      <c r="H128" s="3" t="s">
        <v>333</v>
      </c>
    </row>
    <row r="129" spans="1:8">
      <c r="A129" s="3" t="s">
        <v>598</v>
      </c>
      <c r="B129" s="3" t="s">
        <v>599</v>
      </c>
      <c r="C129" s="3" t="s">
        <v>288</v>
      </c>
      <c r="D129" s="3" t="s">
        <v>289</v>
      </c>
      <c r="E129" s="3" t="s">
        <v>364</v>
      </c>
      <c r="F129" s="3" t="s">
        <v>331</v>
      </c>
      <c r="G129" s="3" t="s">
        <v>353</v>
      </c>
      <c r="H129" s="3" t="s">
        <v>354</v>
      </c>
    </row>
    <row r="130" spans="1:8">
      <c r="A130" s="3" t="s">
        <v>600</v>
      </c>
      <c r="B130" s="3" t="s">
        <v>601</v>
      </c>
      <c r="C130" s="3" t="s">
        <v>280</v>
      </c>
      <c r="D130" s="3" t="s">
        <v>281</v>
      </c>
      <c r="E130" s="3" t="s">
        <v>516</v>
      </c>
      <c r="F130" s="3" t="s">
        <v>345</v>
      </c>
      <c r="G130" s="3" t="s">
        <v>361</v>
      </c>
      <c r="H130" s="3" t="s">
        <v>333</v>
      </c>
    </row>
    <row r="131" spans="1:8">
      <c r="A131" s="3" t="s">
        <v>602</v>
      </c>
      <c r="B131" s="3" t="s">
        <v>469</v>
      </c>
      <c r="C131" s="3" t="s">
        <v>288</v>
      </c>
      <c r="D131" s="3" t="s">
        <v>289</v>
      </c>
      <c r="E131" s="3" t="s">
        <v>352</v>
      </c>
      <c r="F131" s="3" t="s">
        <v>349</v>
      </c>
      <c r="G131" s="3" t="s">
        <v>353</v>
      </c>
      <c r="H131" s="3" t="s">
        <v>333</v>
      </c>
    </row>
    <row r="132" spans="1:8">
      <c r="A132" s="3" t="s">
        <v>603</v>
      </c>
      <c r="B132" s="3" t="s">
        <v>604</v>
      </c>
      <c r="C132" s="3" t="s">
        <v>288</v>
      </c>
      <c r="D132" s="3" t="s">
        <v>289</v>
      </c>
      <c r="E132" s="3" t="s">
        <v>364</v>
      </c>
      <c r="F132" s="3" t="s">
        <v>369</v>
      </c>
      <c r="G132" s="3" t="s">
        <v>346</v>
      </c>
      <c r="H132" s="3" t="s">
        <v>354</v>
      </c>
    </row>
    <row r="133" spans="1:8">
      <c r="A133" s="3" t="s">
        <v>605</v>
      </c>
      <c r="B133" s="3" t="s">
        <v>535</v>
      </c>
      <c r="C133" s="3" t="s">
        <v>284</v>
      </c>
      <c r="D133" s="3" t="s">
        <v>285</v>
      </c>
      <c r="E133" s="3" t="s">
        <v>439</v>
      </c>
      <c r="F133" s="3" t="s">
        <v>365</v>
      </c>
      <c r="G133" s="3" t="s">
        <v>341</v>
      </c>
      <c r="H133" s="3" t="s">
        <v>333</v>
      </c>
    </row>
    <row r="134" spans="1:8">
      <c r="A134" s="3" t="s">
        <v>606</v>
      </c>
      <c r="B134" s="3" t="s">
        <v>607</v>
      </c>
      <c r="C134" s="3" t="s">
        <v>284</v>
      </c>
      <c r="D134" s="3" t="s">
        <v>285</v>
      </c>
      <c r="E134" s="3" t="s">
        <v>401</v>
      </c>
      <c r="F134" s="3" t="s">
        <v>365</v>
      </c>
      <c r="G134" s="3" t="s">
        <v>361</v>
      </c>
      <c r="H134" s="3" t="s">
        <v>354</v>
      </c>
    </row>
    <row r="135" spans="1:8">
      <c r="A135" s="3" t="s">
        <v>608</v>
      </c>
      <c r="B135" s="3" t="s">
        <v>577</v>
      </c>
      <c r="C135" s="3" t="s">
        <v>290</v>
      </c>
      <c r="D135" s="3" t="s">
        <v>291</v>
      </c>
      <c r="E135" s="3" t="s">
        <v>330</v>
      </c>
      <c r="F135" s="3" t="s">
        <v>349</v>
      </c>
      <c r="G135" s="3" t="s">
        <v>353</v>
      </c>
      <c r="H135" s="3" t="s">
        <v>333</v>
      </c>
    </row>
    <row r="136" spans="1:8">
      <c r="A136" s="3" t="s">
        <v>609</v>
      </c>
      <c r="B136" s="3" t="s">
        <v>610</v>
      </c>
      <c r="C136" s="3" t="s">
        <v>288</v>
      </c>
      <c r="D136" s="3" t="s">
        <v>289</v>
      </c>
      <c r="E136" s="3" t="s">
        <v>352</v>
      </c>
      <c r="F136" s="3" t="s">
        <v>365</v>
      </c>
      <c r="G136" s="3" t="s">
        <v>346</v>
      </c>
      <c r="H136" s="3" t="s">
        <v>333</v>
      </c>
    </row>
    <row r="137" spans="1:8">
      <c r="A137" s="3" t="s">
        <v>611</v>
      </c>
      <c r="B137" s="3" t="s">
        <v>612</v>
      </c>
      <c r="C137" s="3" t="s">
        <v>282</v>
      </c>
      <c r="D137" s="3" t="s">
        <v>283</v>
      </c>
      <c r="E137" s="3" t="s">
        <v>344</v>
      </c>
      <c r="F137" s="3" t="s">
        <v>340</v>
      </c>
      <c r="G137" s="3" t="s">
        <v>353</v>
      </c>
      <c r="H137" s="3" t="s">
        <v>333</v>
      </c>
    </row>
    <row r="138" spans="1:8">
      <c r="A138" s="3" t="s">
        <v>613</v>
      </c>
      <c r="B138" s="3" t="s">
        <v>497</v>
      </c>
      <c r="C138" s="3" t="s">
        <v>288</v>
      </c>
      <c r="D138" s="3" t="s">
        <v>289</v>
      </c>
      <c r="E138" s="3" t="s">
        <v>352</v>
      </c>
      <c r="F138" s="3" t="s">
        <v>345</v>
      </c>
      <c r="G138" s="3" t="s">
        <v>346</v>
      </c>
      <c r="H138" s="3" t="s">
        <v>333</v>
      </c>
    </row>
    <row r="139" spans="1:8">
      <c r="A139" s="3" t="s">
        <v>614</v>
      </c>
      <c r="B139" s="3" t="s">
        <v>615</v>
      </c>
      <c r="C139" s="3" t="s">
        <v>277</v>
      </c>
      <c r="D139" s="3" t="s">
        <v>278</v>
      </c>
      <c r="E139" s="3" t="s">
        <v>339</v>
      </c>
      <c r="F139" s="3" t="s">
        <v>369</v>
      </c>
      <c r="G139" s="3" t="s">
        <v>341</v>
      </c>
      <c r="H139" s="3" t="s">
        <v>354</v>
      </c>
    </row>
    <row r="140" spans="1:8">
      <c r="A140" s="3" t="s">
        <v>616</v>
      </c>
      <c r="B140" s="3" t="s">
        <v>617</v>
      </c>
      <c r="C140" s="3" t="s">
        <v>290</v>
      </c>
      <c r="D140" s="3" t="s">
        <v>291</v>
      </c>
      <c r="E140" s="3" t="s">
        <v>330</v>
      </c>
      <c r="F140" s="3" t="s">
        <v>369</v>
      </c>
      <c r="G140" s="3" t="s">
        <v>332</v>
      </c>
      <c r="H140" s="3" t="s">
        <v>333</v>
      </c>
    </row>
    <row r="141" spans="1:8">
      <c r="A141" s="3" t="s">
        <v>618</v>
      </c>
      <c r="B141" s="3" t="s">
        <v>619</v>
      </c>
      <c r="C141" s="3" t="s">
        <v>288</v>
      </c>
      <c r="D141" s="3" t="s">
        <v>289</v>
      </c>
      <c r="E141" s="3" t="s">
        <v>456</v>
      </c>
      <c r="F141" s="3" t="s">
        <v>331</v>
      </c>
      <c r="G141" s="3" t="s">
        <v>353</v>
      </c>
      <c r="H141" s="3" t="s">
        <v>333</v>
      </c>
    </row>
    <row r="142" spans="1:8">
      <c r="A142" s="3" t="s">
        <v>620</v>
      </c>
      <c r="B142" s="3" t="s">
        <v>621</v>
      </c>
      <c r="C142" s="3" t="s">
        <v>284</v>
      </c>
      <c r="D142" s="3" t="s">
        <v>285</v>
      </c>
      <c r="E142" s="3" t="s">
        <v>439</v>
      </c>
      <c r="F142" s="3" t="s">
        <v>369</v>
      </c>
      <c r="G142" s="3" t="s">
        <v>353</v>
      </c>
      <c r="H142" s="3" t="s">
        <v>333</v>
      </c>
    </row>
    <row r="143" spans="1:8">
      <c r="A143" s="3" t="s">
        <v>622</v>
      </c>
      <c r="B143" s="3" t="s">
        <v>623</v>
      </c>
      <c r="C143" s="3" t="s">
        <v>286</v>
      </c>
      <c r="D143" s="3" t="s">
        <v>287</v>
      </c>
      <c r="E143" s="3" t="s">
        <v>425</v>
      </c>
      <c r="F143" s="3" t="s">
        <v>369</v>
      </c>
      <c r="G143" s="3" t="s">
        <v>341</v>
      </c>
      <c r="H143" s="3" t="s">
        <v>333</v>
      </c>
    </row>
    <row r="144" spans="1:8">
      <c r="A144" s="3" t="s">
        <v>624</v>
      </c>
      <c r="B144" s="3" t="s">
        <v>473</v>
      </c>
      <c r="C144" s="3" t="s">
        <v>290</v>
      </c>
      <c r="D144" s="3" t="s">
        <v>291</v>
      </c>
      <c r="E144" s="3" t="s">
        <v>330</v>
      </c>
      <c r="F144" s="3" t="s">
        <v>369</v>
      </c>
      <c r="G144" s="3" t="s">
        <v>346</v>
      </c>
      <c r="H144" s="3" t="s">
        <v>333</v>
      </c>
    </row>
    <row r="145" spans="1:8">
      <c r="A145" s="3" t="s">
        <v>625</v>
      </c>
      <c r="B145" s="3" t="s">
        <v>626</v>
      </c>
      <c r="C145" s="3" t="s">
        <v>284</v>
      </c>
      <c r="D145" s="3" t="s">
        <v>285</v>
      </c>
      <c r="E145" s="3" t="s">
        <v>410</v>
      </c>
      <c r="F145" s="3" t="s">
        <v>345</v>
      </c>
      <c r="G145" s="3" t="s">
        <v>353</v>
      </c>
      <c r="H145" s="3" t="s">
        <v>354</v>
      </c>
    </row>
    <row r="146" spans="1:8">
      <c r="A146" s="3" t="s">
        <v>627</v>
      </c>
      <c r="B146" s="3" t="s">
        <v>628</v>
      </c>
      <c r="C146" s="3" t="s">
        <v>279</v>
      </c>
      <c r="D146" s="3" t="s">
        <v>278</v>
      </c>
      <c r="E146" s="3" t="s">
        <v>368</v>
      </c>
      <c r="F146" s="3" t="s">
        <v>331</v>
      </c>
      <c r="G146" s="3" t="s">
        <v>341</v>
      </c>
      <c r="H146" s="3" t="s">
        <v>354</v>
      </c>
    </row>
    <row r="147" spans="1:8">
      <c r="A147" s="3" t="s">
        <v>629</v>
      </c>
      <c r="B147" s="3" t="s">
        <v>630</v>
      </c>
      <c r="C147" s="3" t="s">
        <v>277</v>
      </c>
      <c r="D147" s="3" t="s">
        <v>278</v>
      </c>
      <c r="E147" s="3" t="s">
        <v>379</v>
      </c>
      <c r="F147" s="3" t="s">
        <v>340</v>
      </c>
      <c r="G147" s="3" t="s">
        <v>341</v>
      </c>
      <c r="H147" s="3" t="s">
        <v>333</v>
      </c>
    </row>
    <row r="148" spans="1:8">
      <c r="A148" s="3" t="s">
        <v>631</v>
      </c>
      <c r="B148" s="3" t="s">
        <v>632</v>
      </c>
      <c r="C148" s="3" t="s">
        <v>280</v>
      </c>
      <c r="D148" s="3" t="s">
        <v>281</v>
      </c>
      <c r="E148" s="3" t="s">
        <v>382</v>
      </c>
      <c r="F148" s="3" t="s">
        <v>369</v>
      </c>
      <c r="G148" s="3" t="s">
        <v>361</v>
      </c>
      <c r="H148" s="3" t="s">
        <v>333</v>
      </c>
    </row>
    <row r="149" spans="1:8">
      <c r="A149" s="3" t="s">
        <v>633</v>
      </c>
      <c r="B149" s="3" t="s">
        <v>634</v>
      </c>
      <c r="C149" s="3" t="s">
        <v>280</v>
      </c>
      <c r="D149" s="3" t="s">
        <v>281</v>
      </c>
      <c r="E149" s="3" t="s">
        <v>382</v>
      </c>
      <c r="F149" s="3" t="s">
        <v>331</v>
      </c>
      <c r="G149" s="3" t="s">
        <v>361</v>
      </c>
      <c r="H149" s="3" t="s">
        <v>354</v>
      </c>
    </row>
    <row r="150" spans="1:8">
      <c r="A150" s="3" t="s">
        <v>635</v>
      </c>
      <c r="B150" s="3" t="s">
        <v>636</v>
      </c>
      <c r="C150" s="3" t="s">
        <v>282</v>
      </c>
      <c r="D150" s="3" t="s">
        <v>283</v>
      </c>
      <c r="E150" s="3" t="s">
        <v>344</v>
      </c>
      <c r="F150" s="3" t="s">
        <v>369</v>
      </c>
      <c r="G150" s="3" t="s">
        <v>346</v>
      </c>
      <c r="H150" s="3" t="s">
        <v>333</v>
      </c>
    </row>
    <row r="151" spans="1:8">
      <c r="A151" s="3" t="s">
        <v>637</v>
      </c>
      <c r="B151" s="3" t="s">
        <v>535</v>
      </c>
      <c r="C151" s="3" t="s">
        <v>284</v>
      </c>
      <c r="D151" s="3" t="s">
        <v>285</v>
      </c>
      <c r="E151" s="3" t="s">
        <v>439</v>
      </c>
      <c r="F151" s="3" t="s">
        <v>365</v>
      </c>
      <c r="G151" s="3" t="s">
        <v>332</v>
      </c>
      <c r="H151" s="3" t="s">
        <v>354</v>
      </c>
    </row>
    <row r="152" spans="1:8">
      <c r="A152" s="3" t="s">
        <v>638</v>
      </c>
      <c r="B152" s="3" t="s">
        <v>639</v>
      </c>
      <c r="C152" s="3" t="s">
        <v>290</v>
      </c>
      <c r="D152" s="3" t="s">
        <v>291</v>
      </c>
      <c r="E152" s="3" t="s">
        <v>415</v>
      </c>
      <c r="F152" s="3" t="s">
        <v>345</v>
      </c>
      <c r="G152" s="3" t="s">
        <v>346</v>
      </c>
      <c r="H152" s="3" t="s">
        <v>333</v>
      </c>
    </row>
    <row r="153" spans="1:8">
      <c r="A153" s="3" t="s">
        <v>640</v>
      </c>
      <c r="B153" s="3" t="s">
        <v>641</v>
      </c>
      <c r="C153" s="3" t="s">
        <v>286</v>
      </c>
      <c r="D153" s="3" t="s">
        <v>287</v>
      </c>
      <c r="E153" s="3" t="s">
        <v>425</v>
      </c>
      <c r="F153" s="3" t="s">
        <v>365</v>
      </c>
      <c r="G153" s="3" t="s">
        <v>353</v>
      </c>
      <c r="H153" s="3" t="s">
        <v>333</v>
      </c>
    </row>
    <row r="154" spans="1:8">
      <c r="A154" s="3" t="s">
        <v>642</v>
      </c>
      <c r="B154" s="3" t="s">
        <v>533</v>
      </c>
      <c r="C154" s="3" t="s">
        <v>290</v>
      </c>
      <c r="D154" s="3" t="s">
        <v>291</v>
      </c>
      <c r="E154" s="3" t="s">
        <v>415</v>
      </c>
      <c r="F154" s="3" t="s">
        <v>331</v>
      </c>
      <c r="G154" s="3" t="s">
        <v>353</v>
      </c>
      <c r="H154" s="3" t="s">
        <v>333</v>
      </c>
    </row>
    <row r="155" spans="1:8">
      <c r="A155" s="3" t="s">
        <v>643</v>
      </c>
      <c r="B155" s="3" t="s">
        <v>644</v>
      </c>
      <c r="C155" s="3" t="s">
        <v>288</v>
      </c>
      <c r="D155" s="3" t="s">
        <v>289</v>
      </c>
      <c r="E155" s="3" t="s">
        <v>456</v>
      </c>
      <c r="F155" s="3" t="s">
        <v>365</v>
      </c>
      <c r="G155" s="3" t="s">
        <v>341</v>
      </c>
      <c r="H155" s="3" t="s">
        <v>354</v>
      </c>
    </row>
    <row r="156" spans="1:8">
      <c r="A156" s="3" t="s">
        <v>645</v>
      </c>
      <c r="B156" s="3" t="s">
        <v>646</v>
      </c>
      <c r="C156" s="3" t="s">
        <v>284</v>
      </c>
      <c r="D156" s="3" t="s">
        <v>285</v>
      </c>
      <c r="E156" s="3" t="s">
        <v>410</v>
      </c>
      <c r="F156" s="3" t="s">
        <v>345</v>
      </c>
      <c r="G156" s="3" t="s">
        <v>341</v>
      </c>
      <c r="H156" s="3" t="s">
        <v>333</v>
      </c>
    </row>
    <row r="157" spans="1:8">
      <c r="A157" s="3" t="s">
        <v>647</v>
      </c>
      <c r="B157" s="3" t="s">
        <v>648</v>
      </c>
      <c r="C157" s="3" t="s">
        <v>277</v>
      </c>
      <c r="D157" s="3" t="s">
        <v>278</v>
      </c>
      <c r="E157" s="3" t="s">
        <v>581</v>
      </c>
      <c r="F157" s="3" t="s">
        <v>365</v>
      </c>
      <c r="G157" s="3" t="s">
        <v>361</v>
      </c>
      <c r="H157" s="3" t="s">
        <v>333</v>
      </c>
    </row>
    <row r="158" spans="1:8">
      <c r="A158" s="3" t="s">
        <v>649</v>
      </c>
      <c r="B158" s="3" t="s">
        <v>650</v>
      </c>
      <c r="C158" s="3" t="s">
        <v>282</v>
      </c>
      <c r="D158" s="3" t="s">
        <v>283</v>
      </c>
      <c r="E158" s="3" t="s">
        <v>336</v>
      </c>
      <c r="F158" s="3" t="s">
        <v>331</v>
      </c>
      <c r="G158" s="3" t="s">
        <v>341</v>
      </c>
      <c r="H158" s="3" t="s">
        <v>333</v>
      </c>
    </row>
    <row r="159" spans="1:8">
      <c r="A159" s="3" t="s">
        <v>651</v>
      </c>
      <c r="B159" s="3" t="s">
        <v>652</v>
      </c>
      <c r="C159" s="3" t="s">
        <v>280</v>
      </c>
      <c r="D159" s="3" t="s">
        <v>281</v>
      </c>
      <c r="E159" s="3" t="s">
        <v>418</v>
      </c>
      <c r="F159" s="3" t="s">
        <v>340</v>
      </c>
      <c r="G159" s="3" t="s">
        <v>332</v>
      </c>
      <c r="H159" s="3" t="s">
        <v>333</v>
      </c>
    </row>
    <row r="160" spans="1:8">
      <c r="A160" s="3" t="s">
        <v>653</v>
      </c>
      <c r="B160" s="3" t="s">
        <v>617</v>
      </c>
      <c r="C160" s="3" t="s">
        <v>290</v>
      </c>
      <c r="D160" s="3" t="s">
        <v>291</v>
      </c>
      <c r="E160" s="3" t="s">
        <v>330</v>
      </c>
      <c r="F160" s="3" t="s">
        <v>369</v>
      </c>
      <c r="G160" s="3" t="s">
        <v>346</v>
      </c>
      <c r="H160" s="3" t="s">
        <v>333</v>
      </c>
    </row>
    <row r="161" spans="1:8">
      <c r="A161" s="3" t="s">
        <v>654</v>
      </c>
      <c r="B161" s="3" t="s">
        <v>596</v>
      </c>
      <c r="C161" s="3" t="s">
        <v>284</v>
      </c>
      <c r="D161" s="3" t="s">
        <v>285</v>
      </c>
      <c r="E161" s="3" t="s">
        <v>439</v>
      </c>
      <c r="F161" s="3" t="s">
        <v>345</v>
      </c>
      <c r="G161" s="3" t="s">
        <v>346</v>
      </c>
      <c r="H161" s="3" t="s">
        <v>333</v>
      </c>
    </row>
    <row r="162" spans="1:8">
      <c r="A162" s="3" t="s">
        <v>655</v>
      </c>
      <c r="B162" s="3" t="s">
        <v>623</v>
      </c>
      <c r="C162" s="3" t="s">
        <v>286</v>
      </c>
      <c r="D162" s="3" t="s">
        <v>287</v>
      </c>
      <c r="E162" s="3" t="s">
        <v>425</v>
      </c>
      <c r="F162" s="3" t="s">
        <v>369</v>
      </c>
      <c r="G162" s="3" t="s">
        <v>346</v>
      </c>
      <c r="H162" s="3" t="s">
        <v>333</v>
      </c>
    </row>
    <row r="163" spans="1:8">
      <c r="A163" s="3" t="s">
        <v>656</v>
      </c>
      <c r="B163" s="3" t="s">
        <v>657</v>
      </c>
      <c r="C163" s="3" t="s">
        <v>290</v>
      </c>
      <c r="D163" s="3" t="s">
        <v>291</v>
      </c>
      <c r="E163" s="3" t="s">
        <v>415</v>
      </c>
      <c r="F163" s="3" t="s">
        <v>345</v>
      </c>
      <c r="G163" s="3" t="s">
        <v>332</v>
      </c>
      <c r="H163" s="3" t="s">
        <v>333</v>
      </c>
    </row>
    <row r="164" spans="1:8">
      <c r="A164" s="3" t="s">
        <v>658</v>
      </c>
      <c r="B164" s="3" t="s">
        <v>659</v>
      </c>
      <c r="C164" s="3" t="s">
        <v>279</v>
      </c>
      <c r="D164" s="3" t="s">
        <v>278</v>
      </c>
      <c r="E164" s="3" t="s">
        <v>360</v>
      </c>
      <c r="F164" s="3" t="s">
        <v>331</v>
      </c>
      <c r="G164" s="3" t="s">
        <v>353</v>
      </c>
      <c r="H164" s="3" t="s">
        <v>354</v>
      </c>
    </row>
    <row r="165" spans="1:8">
      <c r="A165" s="3" t="s">
        <v>660</v>
      </c>
      <c r="B165" s="3" t="s">
        <v>661</v>
      </c>
      <c r="C165" s="3" t="s">
        <v>286</v>
      </c>
      <c r="D165" s="3" t="s">
        <v>287</v>
      </c>
      <c r="E165" s="3" t="s">
        <v>407</v>
      </c>
      <c r="F165" s="3" t="s">
        <v>349</v>
      </c>
      <c r="G165" s="3" t="s">
        <v>341</v>
      </c>
      <c r="H165" s="3" t="s">
        <v>333</v>
      </c>
    </row>
    <row r="166" spans="1:8">
      <c r="A166" s="3" t="s">
        <v>662</v>
      </c>
      <c r="B166" s="3" t="s">
        <v>639</v>
      </c>
      <c r="C166" s="3" t="s">
        <v>290</v>
      </c>
      <c r="D166" s="3" t="s">
        <v>291</v>
      </c>
      <c r="E166" s="3" t="s">
        <v>415</v>
      </c>
      <c r="F166" s="3" t="s">
        <v>345</v>
      </c>
      <c r="G166" s="3" t="s">
        <v>341</v>
      </c>
      <c r="H166" s="3" t="s">
        <v>333</v>
      </c>
    </row>
    <row r="167" spans="1:8">
      <c r="A167" s="3" t="s">
        <v>663</v>
      </c>
      <c r="B167" s="3" t="s">
        <v>508</v>
      </c>
      <c r="C167" s="3" t="s">
        <v>286</v>
      </c>
      <c r="D167" s="3" t="s">
        <v>287</v>
      </c>
      <c r="E167" s="3" t="s">
        <v>407</v>
      </c>
      <c r="F167" s="3" t="s">
        <v>345</v>
      </c>
      <c r="G167" s="3" t="s">
        <v>353</v>
      </c>
      <c r="H167" s="3" t="s">
        <v>333</v>
      </c>
    </row>
    <row r="168" spans="1:8">
      <c r="A168" s="3" t="s">
        <v>664</v>
      </c>
      <c r="B168" s="3" t="s">
        <v>665</v>
      </c>
      <c r="C168" s="3" t="s">
        <v>286</v>
      </c>
      <c r="D168" s="3" t="s">
        <v>287</v>
      </c>
      <c r="E168" s="3" t="s">
        <v>425</v>
      </c>
      <c r="F168" s="3" t="s">
        <v>331</v>
      </c>
      <c r="G168" s="3" t="s">
        <v>332</v>
      </c>
      <c r="H168" s="3" t="s">
        <v>333</v>
      </c>
    </row>
    <row r="169" spans="1:8">
      <c r="A169" s="3" t="s">
        <v>666</v>
      </c>
      <c r="B169" s="3" t="s">
        <v>657</v>
      </c>
      <c r="C169" s="3" t="s">
        <v>290</v>
      </c>
      <c r="D169" s="3" t="s">
        <v>291</v>
      </c>
      <c r="E169" s="3" t="s">
        <v>415</v>
      </c>
      <c r="F169" s="3" t="s">
        <v>345</v>
      </c>
      <c r="G169" s="3" t="s">
        <v>332</v>
      </c>
      <c r="H169" s="3" t="s">
        <v>333</v>
      </c>
    </row>
    <row r="170" spans="1:8">
      <c r="A170" s="3" t="s">
        <v>667</v>
      </c>
      <c r="B170" s="3" t="s">
        <v>557</v>
      </c>
      <c r="C170" s="3" t="s">
        <v>277</v>
      </c>
      <c r="D170" s="3" t="s">
        <v>278</v>
      </c>
      <c r="E170" s="3" t="s">
        <v>379</v>
      </c>
      <c r="F170" s="3" t="s">
        <v>349</v>
      </c>
      <c r="G170" s="3" t="s">
        <v>332</v>
      </c>
      <c r="H170" s="3" t="s">
        <v>333</v>
      </c>
    </row>
    <row r="171" spans="1:8">
      <c r="A171" s="3" t="s">
        <v>668</v>
      </c>
      <c r="B171" s="3" t="s">
        <v>669</v>
      </c>
      <c r="C171" s="3" t="s">
        <v>280</v>
      </c>
      <c r="D171" s="3" t="s">
        <v>281</v>
      </c>
      <c r="E171" s="3" t="s">
        <v>516</v>
      </c>
      <c r="F171" s="3" t="s">
        <v>349</v>
      </c>
      <c r="G171" s="3" t="s">
        <v>361</v>
      </c>
      <c r="H171" s="3" t="s">
        <v>333</v>
      </c>
    </row>
    <row r="172" spans="1:8">
      <c r="A172" s="3" t="s">
        <v>670</v>
      </c>
      <c r="B172" s="3" t="s">
        <v>671</v>
      </c>
      <c r="C172" s="3" t="s">
        <v>280</v>
      </c>
      <c r="D172" s="3" t="s">
        <v>281</v>
      </c>
      <c r="E172" s="3" t="s">
        <v>516</v>
      </c>
      <c r="F172" s="3" t="s">
        <v>345</v>
      </c>
      <c r="G172" s="3" t="s">
        <v>353</v>
      </c>
      <c r="H172" s="3" t="s">
        <v>333</v>
      </c>
    </row>
    <row r="173" spans="1:8">
      <c r="A173" s="3" t="s">
        <v>672</v>
      </c>
      <c r="B173" s="3" t="s">
        <v>646</v>
      </c>
      <c r="C173" s="3" t="s">
        <v>284</v>
      </c>
      <c r="D173" s="3" t="s">
        <v>285</v>
      </c>
      <c r="E173" s="3" t="s">
        <v>410</v>
      </c>
      <c r="F173" s="3" t="s">
        <v>345</v>
      </c>
      <c r="G173" s="3" t="s">
        <v>346</v>
      </c>
      <c r="H173" s="3" t="s">
        <v>333</v>
      </c>
    </row>
    <row r="174" spans="1:8">
      <c r="A174" s="3" t="s">
        <v>673</v>
      </c>
      <c r="B174" s="3" t="s">
        <v>446</v>
      </c>
      <c r="C174" s="3" t="s">
        <v>282</v>
      </c>
      <c r="D174" s="3" t="s">
        <v>283</v>
      </c>
      <c r="E174" s="3" t="s">
        <v>344</v>
      </c>
      <c r="F174" s="3" t="s">
        <v>340</v>
      </c>
      <c r="G174" s="3" t="s">
        <v>341</v>
      </c>
      <c r="H174" s="3" t="s">
        <v>333</v>
      </c>
    </row>
    <row r="175" spans="1:8">
      <c r="A175" s="3" t="s">
        <v>674</v>
      </c>
      <c r="B175" s="3" t="s">
        <v>524</v>
      </c>
      <c r="C175" s="3" t="s">
        <v>286</v>
      </c>
      <c r="D175" s="3" t="s">
        <v>287</v>
      </c>
      <c r="E175" s="3" t="s">
        <v>407</v>
      </c>
      <c r="F175" s="3" t="s">
        <v>349</v>
      </c>
      <c r="G175" s="3" t="s">
        <v>346</v>
      </c>
      <c r="H175" s="3" t="s">
        <v>354</v>
      </c>
    </row>
    <row r="176" spans="1:8">
      <c r="A176" s="3" t="s">
        <v>675</v>
      </c>
      <c r="B176" s="3" t="s">
        <v>676</v>
      </c>
      <c r="C176" s="3" t="s">
        <v>290</v>
      </c>
      <c r="D176" s="3" t="s">
        <v>291</v>
      </c>
      <c r="E176" s="3" t="s">
        <v>330</v>
      </c>
      <c r="F176" s="3" t="s">
        <v>345</v>
      </c>
      <c r="G176" s="3" t="s">
        <v>361</v>
      </c>
      <c r="H176" s="3" t="s">
        <v>354</v>
      </c>
    </row>
    <row r="177" spans="1:8">
      <c r="A177" s="3" t="s">
        <v>677</v>
      </c>
      <c r="B177" s="3" t="s">
        <v>678</v>
      </c>
      <c r="C177" s="3" t="s">
        <v>277</v>
      </c>
      <c r="D177" s="3" t="s">
        <v>278</v>
      </c>
      <c r="E177" s="3" t="s">
        <v>379</v>
      </c>
      <c r="F177" s="3" t="s">
        <v>331</v>
      </c>
      <c r="G177" s="3" t="s">
        <v>361</v>
      </c>
      <c r="H177" s="3" t="s">
        <v>333</v>
      </c>
    </row>
    <row r="178" spans="1:8">
      <c r="A178" s="3" t="s">
        <v>679</v>
      </c>
      <c r="B178" s="3" t="s">
        <v>335</v>
      </c>
      <c r="C178" s="3" t="s">
        <v>282</v>
      </c>
      <c r="D178" s="3" t="s">
        <v>283</v>
      </c>
      <c r="E178" s="3" t="s">
        <v>336</v>
      </c>
      <c r="F178" s="3" t="s">
        <v>331</v>
      </c>
      <c r="G178" s="3" t="s">
        <v>341</v>
      </c>
      <c r="H178" s="3" t="s">
        <v>333</v>
      </c>
    </row>
    <row r="179" spans="1:8">
      <c r="A179" s="3" t="s">
        <v>680</v>
      </c>
      <c r="B179" s="3" t="s">
        <v>678</v>
      </c>
      <c r="C179" s="3" t="s">
        <v>277</v>
      </c>
      <c r="D179" s="3" t="s">
        <v>278</v>
      </c>
      <c r="E179" s="3" t="s">
        <v>379</v>
      </c>
      <c r="F179" s="3" t="s">
        <v>331</v>
      </c>
      <c r="G179" s="3" t="s">
        <v>361</v>
      </c>
      <c r="H179" s="3" t="s">
        <v>333</v>
      </c>
    </row>
    <row r="180" spans="1:8">
      <c r="A180" s="3" t="s">
        <v>681</v>
      </c>
      <c r="B180" s="3" t="s">
        <v>682</v>
      </c>
      <c r="C180" s="3" t="s">
        <v>280</v>
      </c>
      <c r="D180" s="3" t="s">
        <v>281</v>
      </c>
      <c r="E180" s="3" t="s">
        <v>382</v>
      </c>
      <c r="F180" s="3" t="s">
        <v>345</v>
      </c>
      <c r="G180" s="3" t="s">
        <v>346</v>
      </c>
      <c r="H180" s="3" t="s">
        <v>333</v>
      </c>
    </row>
    <row r="181" spans="1:8">
      <c r="A181" s="3" t="s">
        <v>683</v>
      </c>
      <c r="B181" s="3" t="s">
        <v>684</v>
      </c>
      <c r="C181" s="3" t="s">
        <v>282</v>
      </c>
      <c r="D181" s="3" t="s">
        <v>283</v>
      </c>
      <c r="E181" s="3" t="s">
        <v>336</v>
      </c>
      <c r="F181" s="3" t="s">
        <v>365</v>
      </c>
      <c r="G181" s="3" t="s">
        <v>346</v>
      </c>
      <c r="H181" s="3" t="s">
        <v>333</v>
      </c>
    </row>
    <row r="182" spans="1:8">
      <c r="A182" s="3" t="s">
        <v>685</v>
      </c>
      <c r="B182" s="3" t="s">
        <v>686</v>
      </c>
      <c r="C182" s="3" t="s">
        <v>280</v>
      </c>
      <c r="D182" s="3" t="s">
        <v>281</v>
      </c>
      <c r="E182" s="3" t="s">
        <v>418</v>
      </c>
      <c r="F182" s="3" t="s">
        <v>349</v>
      </c>
      <c r="G182" s="3" t="s">
        <v>332</v>
      </c>
      <c r="H182" s="3" t="s">
        <v>333</v>
      </c>
    </row>
    <row r="183" spans="1:8">
      <c r="A183" s="3" t="s">
        <v>687</v>
      </c>
      <c r="B183" s="3" t="s">
        <v>688</v>
      </c>
      <c r="C183" s="3" t="s">
        <v>290</v>
      </c>
      <c r="D183" s="3" t="s">
        <v>291</v>
      </c>
      <c r="E183" s="3" t="s">
        <v>415</v>
      </c>
      <c r="F183" s="3" t="s">
        <v>365</v>
      </c>
      <c r="G183" s="3" t="s">
        <v>361</v>
      </c>
      <c r="H183" s="3" t="s">
        <v>333</v>
      </c>
    </row>
    <row r="184" spans="1:8">
      <c r="A184" s="3" t="s">
        <v>689</v>
      </c>
      <c r="B184" s="3" t="s">
        <v>690</v>
      </c>
      <c r="C184" s="3" t="s">
        <v>282</v>
      </c>
      <c r="D184" s="3" t="s">
        <v>283</v>
      </c>
      <c r="E184" s="3" t="s">
        <v>336</v>
      </c>
      <c r="F184" s="3" t="s">
        <v>340</v>
      </c>
      <c r="G184" s="3" t="s">
        <v>361</v>
      </c>
      <c r="H184" s="3" t="s">
        <v>333</v>
      </c>
    </row>
    <row r="185" spans="1:8">
      <c r="A185" s="3" t="s">
        <v>691</v>
      </c>
      <c r="B185" s="3" t="s">
        <v>692</v>
      </c>
      <c r="C185" s="3" t="s">
        <v>277</v>
      </c>
      <c r="D185" s="3" t="s">
        <v>278</v>
      </c>
      <c r="E185" s="3" t="s">
        <v>357</v>
      </c>
      <c r="F185" s="3" t="s">
        <v>349</v>
      </c>
      <c r="G185" s="3" t="s">
        <v>353</v>
      </c>
      <c r="H185" s="3" t="s">
        <v>333</v>
      </c>
    </row>
    <row r="186" spans="1:8">
      <c r="A186" s="3" t="s">
        <v>693</v>
      </c>
      <c r="B186" s="3" t="s">
        <v>593</v>
      </c>
      <c r="C186" s="3" t="s">
        <v>290</v>
      </c>
      <c r="D186" s="3" t="s">
        <v>291</v>
      </c>
      <c r="E186" s="3" t="s">
        <v>415</v>
      </c>
      <c r="F186" s="3" t="s">
        <v>340</v>
      </c>
      <c r="G186" s="3" t="s">
        <v>341</v>
      </c>
      <c r="H186" s="3" t="s">
        <v>333</v>
      </c>
    </row>
    <row r="187" spans="1:8">
      <c r="A187" s="3" t="s">
        <v>694</v>
      </c>
      <c r="B187" s="3" t="s">
        <v>695</v>
      </c>
      <c r="C187" s="3" t="s">
        <v>279</v>
      </c>
      <c r="D187" s="3" t="s">
        <v>278</v>
      </c>
      <c r="E187" s="3" t="s">
        <v>360</v>
      </c>
      <c r="F187" s="3" t="s">
        <v>365</v>
      </c>
      <c r="G187" s="3" t="s">
        <v>361</v>
      </c>
      <c r="H187" s="3" t="s">
        <v>333</v>
      </c>
    </row>
    <row r="188" spans="1:8">
      <c r="A188" s="3" t="s">
        <v>696</v>
      </c>
      <c r="B188" s="3" t="s">
        <v>444</v>
      </c>
      <c r="C188" s="3" t="s">
        <v>286</v>
      </c>
      <c r="D188" s="3" t="s">
        <v>287</v>
      </c>
      <c r="E188" s="3" t="s">
        <v>389</v>
      </c>
      <c r="F188" s="3" t="s">
        <v>369</v>
      </c>
      <c r="G188" s="3" t="s">
        <v>341</v>
      </c>
      <c r="H188" s="3" t="s">
        <v>333</v>
      </c>
    </row>
    <row r="189" spans="1:8">
      <c r="A189" s="3" t="s">
        <v>697</v>
      </c>
      <c r="B189" s="3" t="s">
        <v>698</v>
      </c>
      <c r="C189" s="3" t="s">
        <v>288</v>
      </c>
      <c r="D189" s="3" t="s">
        <v>289</v>
      </c>
      <c r="E189" s="3" t="s">
        <v>364</v>
      </c>
      <c r="F189" s="3" t="s">
        <v>345</v>
      </c>
      <c r="G189" s="3" t="s">
        <v>361</v>
      </c>
      <c r="H189" s="3" t="s">
        <v>333</v>
      </c>
    </row>
    <row r="190" spans="1:8">
      <c r="A190" s="3" t="s">
        <v>699</v>
      </c>
      <c r="B190" s="3" t="s">
        <v>448</v>
      </c>
      <c r="C190" s="3" t="s">
        <v>282</v>
      </c>
      <c r="D190" s="3" t="s">
        <v>283</v>
      </c>
      <c r="E190" s="3" t="s">
        <v>344</v>
      </c>
      <c r="F190" s="3" t="s">
        <v>349</v>
      </c>
      <c r="G190" s="3" t="s">
        <v>353</v>
      </c>
      <c r="H190" s="3" t="s">
        <v>333</v>
      </c>
    </row>
    <row r="191" spans="1:8">
      <c r="A191" s="3" t="s">
        <v>700</v>
      </c>
      <c r="B191" s="3" t="s">
        <v>475</v>
      </c>
      <c r="C191" s="3" t="s">
        <v>290</v>
      </c>
      <c r="D191" s="3" t="s">
        <v>291</v>
      </c>
      <c r="E191" s="3" t="s">
        <v>415</v>
      </c>
      <c r="F191" s="3" t="s">
        <v>349</v>
      </c>
      <c r="G191" s="3" t="s">
        <v>332</v>
      </c>
      <c r="H191" s="3" t="s">
        <v>333</v>
      </c>
    </row>
    <row r="192" spans="1:8">
      <c r="A192" s="3" t="s">
        <v>701</v>
      </c>
      <c r="B192" s="3" t="s">
        <v>702</v>
      </c>
      <c r="C192" s="3" t="s">
        <v>286</v>
      </c>
      <c r="D192" s="3" t="s">
        <v>287</v>
      </c>
      <c r="E192" s="3" t="s">
        <v>425</v>
      </c>
      <c r="F192" s="3" t="s">
        <v>365</v>
      </c>
      <c r="G192" s="3" t="s">
        <v>346</v>
      </c>
      <c r="H192" s="3" t="s">
        <v>333</v>
      </c>
    </row>
    <row r="193" spans="1:8">
      <c r="A193" s="3" t="s">
        <v>703</v>
      </c>
      <c r="B193" s="3" t="s">
        <v>704</v>
      </c>
      <c r="C193" s="3" t="s">
        <v>290</v>
      </c>
      <c r="D193" s="3" t="s">
        <v>291</v>
      </c>
      <c r="E193" s="3" t="s">
        <v>330</v>
      </c>
      <c r="F193" s="3" t="s">
        <v>340</v>
      </c>
      <c r="G193" s="3" t="s">
        <v>332</v>
      </c>
      <c r="H193" s="3" t="s">
        <v>333</v>
      </c>
    </row>
    <row r="194" spans="1:8">
      <c r="A194" s="3" t="s">
        <v>705</v>
      </c>
      <c r="B194" s="3" t="s">
        <v>706</v>
      </c>
      <c r="C194" s="3" t="s">
        <v>286</v>
      </c>
      <c r="D194" s="3" t="s">
        <v>287</v>
      </c>
      <c r="E194" s="3" t="s">
        <v>407</v>
      </c>
      <c r="F194" s="3" t="s">
        <v>369</v>
      </c>
      <c r="G194" s="3" t="s">
        <v>361</v>
      </c>
      <c r="H194" s="3" t="s">
        <v>354</v>
      </c>
    </row>
    <row r="195" spans="1:8">
      <c r="A195" s="3" t="s">
        <v>707</v>
      </c>
      <c r="B195" s="3" t="s">
        <v>708</v>
      </c>
      <c r="C195" s="3" t="s">
        <v>286</v>
      </c>
      <c r="D195" s="3" t="s">
        <v>287</v>
      </c>
      <c r="E195" s="3" t="s">
        <v>425</v>
      </c>
      <c r="F195" s="3" t="s">
        <v>340</v>
      </c>
      <c r="G195" s="3" t="s">
        <v>341</v>
      </c>
      <c r="H195" s="3" t="s">
        <v>354</v>
      </c>
    </row>
    <row r="196" spans="1:8">
      <c r="A196" s="3" t="s">
        <v>709</v>
      </c>
      <c r="B196" s="3" t="s">
        <v>458</v>
      </c>
      <c r="C196" s="3" t="s">
        <v>288</v>
      </c>
      <c r="D196" s="3" t="s">
        <v>289</v>
      </c>
      <c r="E196" s="3" t="s">
        <v>456</v>
      </c>
      <c r="F196" s="3" t="s">
        <v>340</v>
      </c>
      <c r="G196" s="3" t="s">
        <v>361</v>
      </c>
      <c r="H196" s="3" t="s">
        <v>333</v>
      </c>
    </row>
    <row r="197" spans="1:8">
      <c r="A197" s="3" t="s">
        <v>710</v>
      </c>
      <c r="B197" s="3" t="s">
        <v>659</v>
      </c>
      <c r="C197" s="3" t="s">
        <v>279</v>
      </c>
      <c r="D197" s="3" t="s">
        <v>278</v>
      </c>
      <c r="E197" s="3" t="s">
        <v>360</v>
      </c>
      <c r="F197" s="3" t="s">
        <v>331</v>
      </c>
      <c r="G197" s="3" t="s">
        <v>353</v>
      </c>
      <c r="H197" s="3" t="s">
        <v>333</v>
      </c>
    </row>
    <row r="198" spans="1:8">
      <c r="A198" s="3" t="s">
        <v>711</v>
      </c>
      <c r="B198" s="3" t="s">
        <v>450</v>
      </c>
      <c r="C198" s="3" t="s">
        <v>279</v>
      </c>
      <c r="D198" s="3" t="s">
        <v>278</v>
      </c>
      <c r="E198" s="3" t="s">
        <v>451</v>
      </c>
      <c r="F198" s="3" t="s">
        <v>369</v>
      </c>
      <c r="G198" s="3" t="s">
        <v>332</v>
      </c>
      <c r="H198" s="3" t="s">
        <v>333</v>
      </c>
    </row>
    <row r="199" spans="1:8">
      <c r="A199" s="3" t="s">
        <v>712</v>
      </c>
      <c r="B199" s="3" t="s">
        <v>531</v>
      </c>
      <c r="C199" s="3" t="s">
        <v>282</v>
      </c>
      <c r="D199" s="3" t="s">
        <v>283</v>
      </c>
      <c r="E199" s="3" t="s">
        <v>344</v>
      </c>
      <c r="F199" s="3" t="s">
        <v>369</v>
      </c>
      <c r="G199" s="3" t="s">
        <v>361</v>
      </c>
      <c r="H199" s="3" t="s">
        <v>333</v>
      </c>
    </row>
    <row r="200" spans="1:8">
      <c r="A200" s="3" t="s">
        <v>713</v>
      </c>
      <c r="B200" s="3" t="s">
        <v>378</v>
      </c>
      <c r="C200" s="3" t="s">
        <v>277</v>
      </c>
      <c r="D200" s="3" t="s">
        <v>278</v>
      </c>
      <c r="E200" s="3" t="s">
        <v>379</v>
      </c>
      <c r="F200" s="3" t="s">
        <v>340</v>
      </c>
      <c r="G200" s="3" t="s">
        <v>341</v>
      </c>
      <c r="H200" s="3" t="s">
        <v>333</v>
      </c>
    </row>
    <row r="201" spans="1:8">
      <c r="A201" s="3" t="s">
        <v>714</v>
      </c>
      <c r="B201" s="3" t="s">
        <v>715</v>
      </c>
      <c r="C201" s="3" t="s">
        <v>284</v>
      </c>
      <c r="D201" s="3" t="s">
        <v>285</v>
      </c>
      <c r="E201" s="3" t="s">
        <v>439</v>
      </c>
      <c r="F201" s="3" t="s">
        <v>365</v>
      </c>
      <c r="G201" s="3" t="s">
        <v>346</v>
      </c>
      <c r="H201" s="3" t="s">
        <v>354</v>
      </c>
    </row>
    <row r="202" spans="1:8">
      <c r="A202" s="3" t="s">
        <v>716</v>
      </c>
      <c r="B202" s="3" t="s">
        <v>717</v>
      </c>
      <c r="C202" s="3" t="s">
        <v>313</v>
      </c>
      <c r="D202" s="3" t="s">
        <v>314</v>
      </c>
      <c r="E202" s="3" t="s">
        <v>718</v>
      </c>
      <c r="F202" s="3" t="s">
        <v>345</v>
      </c>
      <c r="G202" s="3" t="s">
        <v>332</v>
      </c>
      <c r="H202" s="3" t="s">
        <v>333</v>
      </c>
    </row>
    <row r="203" spans="1:8">
      <c r="A203" s="3" t="s">
        <v>719</v>
      </c>
      <c r="B203" s="3" t="s">
        <v>720</v>
      </c>
      <c r="C203" s="3" t="s">
        <v>307</v>
      </c>
      <c r="D203" s="3" t="s">
        <v>308</v>
      </c>
      <c r="E203" s="3" t="s">
        <v>721</v>
      </c>
      <c r="F203" s="3" t="s">
        <v>369</v>
      </c>
      <c r="G203" s="3" t="s">
        <v>353</v>
      </c>
      <c r="H203" s="3" t="s">
        <v>333</v>
      </c>
    </row>
    <row r="204" spans="1:8">
      <c r="A204" s="3" t="s">
        <v>722</v>
      </c>
      <c r="B204" s="3" t="s">
        <v>723</v>
      </c>
      <c r="C204" s="3" t="s">
        <v>295</v>
      </c>
      <c r="D204" s="3" t="s">
        <v>296</v>
      </c>
      <c r="E204" s="3" t="s">
        <v>724</v>
      </c>
      <c r="F204" s="3" t="s">
        <v>349</v>
      </c>
      <c r="G204" s="3" t="s">
        <v>341</v>
      </c>
      <c r="H204" s="3" t="s">
        <v>333</v>
      </c>
    </row>
    <row r="205" spans="1:8">
      <c r="A205" s="3" t="s">
        <v>725</v>
      </c>
      <c r="B205" s="3" t="s">
        <v>726</v>
      </c>
      <c r="C205" s="3" t="s">
        <v>317</v>
      </c>
      <c r="D205" s="3" t="s">
        <v>318</v>
      </c>
      <c r="E205" s="3" t="s">
        <v>727</v>
      </c>
      <c r="F205" s="3" t="s">
        <v>369</v>
      </c>
      <c r="G205" s="3" t="s">
        <v>346</v>
      </c>
      <c r="H205" s="3" t="s">
        <v>354</v>
      </c>
    </row>
    <row r="206" spans="1:8">
      <c r="A206" s="3" t="s">
        <v>728</v>
      </c>
      <c r="B206" s="3" t="s">
        <v>729</v>
      </c>
      <c r="C206" s="3" t="s">
        <v>292</v>
      </c>
      <c r="D206" s="3" t="s">
        <v>293</v>
      </c>
      <c r="E206" s="3" t="s">
        <v>730</v>
      </c>
      <c r="F206" s="3" t="s">
        <v>331</v>
      </c>
      <c r="G206" s="3" t="s">
        <v>341</v>
      </c>
      <c r="H206" s="3" t="s">
        <v>333</v>
      </c>
    </row>
    <row r="207" spans="1:8">
      <c r="A207" s="3" t="s">
        <v>731</v>
      </c>
      <c r="B207" s="3" t="s">
        <v>732</v>
      </c>
      <c r="C207" s="3" t="s">
        <v>319</v>
      </c>
      <c r="D207" s="3" t="s">
        <v>320</v>
      </c>
      <c r="E207" s="3" t="s">
        <v>733</v>
      </c>
      <c r="F207" s="3" t="s">
        <v>365</v>
      </c>
      <c r="G207" s="3" t="s">
        <v>341</v>
      </c>
      <c r="H207" s="3" t="s">
        <v>333</v>
      </c>
    </row>
    <row r="208" spans="1:8">
      <c r="A208" s="3" t="s">
        <v>734</v>
      </c>
      <c r="B208" s="3" t="s">
        <v>735</v>
      </c>
      <c r="C208" s="3" t="s">
        <v>321</v>
      </c>
      <c r="D208" s="3" t="s">
        <v>321</v>
      </c>
      <c r="E208" s="3" t="s">
        <v>736</v>
      </c>
      <c r="F208" s="3" t="s">
        <v>365</v>
      </c>
      <c r="G208" s="3" t="s">
        <v>361</v>
      </c>
      <c r="H208" s="3" t="s">
        <v>333</v>
      </c>
    </row>
    <row r="209" spans="1:8">
      <c r="A209" s="3" t="s">
        <v>737</v>
      </c>
      <c r="B209" s="3" t="s">
        <v>738</v>
      </c>
      <c r="C209" s="3" t="s">
        <v>299</v>
      </c>
      <c r="D209" s="3" t="s">
        <v>300</v>
      </c>
      <c r="E209" s="3" t="s">
        <v>739</v>
      </c>
      <c r="F209" s="3" t="s">
        <v>365</v>
      </c>
      <c r="G209" s="3" t="s">
        <v>341</v>
      </c>
      <c r="H209" s="3" t="s">
        <v>333</v>
      </c>
    </row>
    <row r="210" spans="1:8">
      <c r="A210" s="3" t="s">
        <v>740</v>
      </c>
      <c r="B210" s="3" t="s">
        <v>741</v>
      </c>
      <c r="C210" s="3" t="s">
        <v>319</v>
      </c>
      <c r="D210" s="3" t="s">
        <v>320</v>
      </c>
      <c r="E210" s="3" t="s">
        <v>742</v>
      </c>
      <c r="F210" s="3" t="s">
        <v>365</v>
      </c>
      <c r="G210" s="3" t="s">
        <v>341</v>
      </c>
      <c r="H210" s="3" t="s">
        <v>333</v>
      </c>
    </row>
    <row r="211" spans="1:8">
      <c r="A211" s="3" t="s">
        <v>743</v>
      </c>
      <c r="B211" s="3" t="s">
        <v>744</v>
      </c>
      <c r="C211" s="3" t="s">
        <v>288</v>
      </c>
      <c r="D211" s="3" t="s">
        <v>289</v>
      </c>
      <c r="E211" s="3" t="s">
        <v>364</v>
      </c>
      <c r="F211" s="3" t="s">
        <v>369</v>
      </c>
      <c r="G211" s="3" t="s">
        <v>361</v>
      </c>
      <c r="H211" s="3" t="s">
        <v>333</v>
      </c>
    </row>
    <row r="212" spans="1:8">
      <c r="A212" s="3" t="s">
        <v>745</v>
      </c>
      <c r="B212" s="3" t="s">
        <v>746</v>
      </c>
      <c r="C212" s="3" t="s">
        <v>284</v>
      </c>
      <c r="D212" s="3" t="s">
        <v>285</v>
      </c>
      <c r="E212" s="3" t="s">
        <v>410</v>
      </c>
      <c r="F212" s="3" t="s">
        <v>369</v>
      </c>
      <c r="G212" s="3" t="s">
        <v>361</v>
      </c>
      <c r="H212" s="3" t="s">
        <v>333</v>
      </c>
    </row>
    <row r="213" spans="1:8">
      <c r="A213" s="3" t="s">
        <v>747</v>
      </c>
      <c r="B213" s="3" t="s">
        <v>566</v>
      </c>
      <c r="C213" s="3" t="s">
        <v>279</v>
      </c>
      <c r="D213" s="3" t="s">
        <v>278</v>
      </c>
      <c r="E213" s="3" t="s">
        <v>360</v>
      </c>
      <c r="F213" s="3" t="s">
        <v>345</v>
      </c>
      <c r="G213" s="3" t="s">
        <v>332</v>
      </c>
      <c r="H213" s="3" t="s">
        <v>333</v>
      </c>
    </row>
    <row r="214" spans="1:8">
      <c r="A214" s="3" t="s">
        <v>748</v>
      </c>
      <c r="B214" s="3" t="s">
        <v>749</v>
      </c>
      <c r="C214" s="3" t="s">
        <v>295</v>
      </c>
      <c r="D214" s="3" t="s">
        <v>296</v>
      </c>
      <c r="E214" s="3" t="s">
        <v>750</v>
      </c>
      <c r="F214" s="3" t="s">
        <v>340</v>
      </c>
      <c r="G214" s="3" t="s">
        <v>346</v>
      </c>
      <c r="H214" s="3" t="s">
        <v>333</v>
      </c>
    </row>
    <row r="215" spans="1:8">
      <c r="A215" s="3" t="s">
        <v>751</v>
      </c>
      <c r="B215" s="3" t="s">
        <v>752</v>
      </c>
      <c r="C215" s="3" t="s">
        <v>309</v>
      </c>
      <c r="D215" s="3" t="s">
        <v>310</v>
      </c>
      <c r="E215" s="3" t="s">
        <v>753</v>
      </c>
      <c r="F215" s="3" t="s">
        <v>349</v>
      </c>
      <c r="G215" s="3" t="s">
        <v>353</v>
      </c>
      <c r="H215" s="3" t="s">
        <v>333</v>
      </c>
    </row>
    <row r="216" spans="1:8">
      <c r="A216" s="3" t="s">
        <v>754</v>
      </c>
      <c r="B216" s="3" t="s">
        <v>755</v>
      </c>
      <c r="C216" s="3" t="s">
        <v>288</v>
      </c>
      <c r="D216" s="3" t="s">
        <v>289</v>
      </c>
      <c r="E216" s="3" t="s">
        <v>352</v>
      </c>
      <c r="F216" s="3" t="s">
        <v>365</v>
      </c>
      <c r="G216" s="3" t="s">
        <v>332</v>
      </c>
      <c r="H216" s="3" t="s">
        <v>354</v>
      </c>
    </row>
    <row r="217" spans="1:8">
      <c r="A217" s="3" t="s">
        <v>756</v>
      </c>
      <c r="B217" s="3" t="s">
        <v>757</v>
      </c>
      <c r="C217" s="3" t="s">
        <v>280</v>
      </c>
      <c r="D217" s="3" t="s">
        <v>281</v>
      </c>
      <c r="E217" s="3" t="s">
        <v>418</v>
      </c>
      <c r="F217" s="3" t="s">
        <v>369</v>
      </c>
      <c r="G217" s="3" t="s">
        <v>361</v>
      </c>
      <c r="H217" s="3" t="s">
        <v>333</v>
      </c>
    </row>
    <row r="218" spans="1:8">
      <c r="A218" s="3" t="s">
        <v>758</v>
      </c>
      <c r="B218" s="3" t="s">
        <v>384</v>
      </c>
      <c r="C218" s="3" t="s">
        <v>279</v>
      </c>
      <c r="D218" s="3" t="s">
        <v>278</v>
      </c>
      <c r="E218" s="3" t="s">
        <v>360</v>
      </c>
      <c r="F218" s="3" t="s">
        <v>349</v>
      </c>
      <c r="G218" s="3" t="s">
        <v>332</v>
      </c>
      <c r="H218" s="3" t="s">
        <v>354</v>
      </c>
    </row>
    <row r="219" spans="1:8">
      <c r="A219" s="3" t="s">
        <v>759</v>
      </c>
      <c r="B219" s="3" t="s">
        <v>760</v>
      </c>
      <c r="C219" s="3" t="s">
        <v>299</v>
      </c>
      <c r="D219" s="3" t="s">
        <v>300</v>
      </c>
      <c r="E219" s="3" t="s">
        <v>739</v>
      </c>
      <c r="F219" s="3" t="s">
        <v>331</v>
      </c>
      <c r="G219" s="3" t="s">
        <v>341</v>
      </c>
      <c r="H219" s="3" t="s">
        <v>354</v>
      </c>
    </row>
    <row r="220" spans="1:8">
      <c r="A220" s="3" t="s">
        <v>761</v>
      </c>
      <c r="B220" s="3" t="s">
        <v>762</v>
      </c>
      <c r="C220" s="3" t="s">
        <v>277</v>
      </c>
      <c r="D220" s="3" t="s">
        <v>278</v>
      </c>
      <c r="E220" s="3" t="s">
        <v>379</v>
      </c>
      <c r="F220" s="3" t="s">
        <v>369</v>
      </c>
      <c r="G220" s="3" t="s">
        <v>332</v>
      </c>
      <c r="H220" s="3" t="s">
        <v>354</v>
      </c>
    </row>
    <row r="221" spans="1:8">
      <c r="A221" s="3" t="s">
        <v>763</v>
      </c>
      <c r="B221" s="3" t="s">
        <v>764</v>
      </c>
      <c r="C221" s="3" t="s">
        <v>295</v>
      </c>
      <c r="D221" s="3" t="s">
        <v>296</v>
      </c>
      <c r="E221" s="3" t="s">
        <v>750</v>
      </c>
      <c r="F221" s="3" t="s">
        <v>349</v>
      </c>
      <c r="G221" s="3" t="s">
        <v>361</v>
      </c>
      <c r="H221" s="3" t="s">
        <v>333</v>
      </c>
    </row>
    <row r="222" spans="1:8">
      <c r="A222" s="3" t="s">
        <v>765</v>
      </c>
      <c r="B222" s="3" t="s">
        <v>766</v>
      </c>
      <c r="C222" s="3" t="s">
        <v>284</v>
      </c>
      <c r="D222" s="3" t="s">
        <v>285</v>
      </c>
      <c r="E222" s="3" t="s">
        <v>401</v>
      </c>
      <c r="F222" s="3" t="s">
        <v>349</v>
      </c>
      <c r="G222" s="3" t="s">
        <v>346</v>
      </c>
      <c r="H222" s="3" t="s">
        <v>333</v>
      </c>
    </row>
    <row r="223" spans="1:8">
      <c r="A223" s="3" t="s">
        <v>767</v>
      </c>
      <c r="B223" s="3" t="s">
        <v>768</v>
      </c>
      <c r="C223" s="3" t="s">
        <v>295</v>
      </c>
      <c r="D223" s="3" t="s">
        <v>296</v>
      </c>
      <c r="E223" s="3" t="s">
        <v>724</v>
      </c>
      <c r="F223" s="3" t="s">
        <v>345</v>
      </c>
      <c r="G223" s="3" t="s">
        <v>341</v>
      </c>
      <c r="H223" s="3" t="s">
        <v>333</v>
      </c>
    </row>
    <row r="224" spans="1:8">
      <c r="A224" s="3" t="s">
        <v>769</v>
      </c>
      <c r="B224" s="3" t="s">
        <v>770</v>
      </c>
      <c r="C224" s="3" t="s">
        <v>277</v>
      </c>
      <c r="D224" s="3" t="s">
        <v>278</v>
      </c>
      <c r="E224" s="3" t="s">
        <v>379</v>
      </c>
      <c r="F224" s="3" t="s">
        <v>365</v>
      </c>
      <c r="G224" s="3" t="s">
        <v>346</v>
      </c>
      <c r="H224" s="3" t="s">
        <v>333</v>
      </c>
    </row>
    <row r="225" spans="1:8">
      <c r="A225" s="3" t="s">
        <v>771</v>
      </c>
      <c r="B225" s="3" t="s">
        <v>772</v>
      </c>
      <c r="C225" s="3" t="s">
        <v>315</v>
      </c>
      <c r="D225" s="3" t="s">
        <v>316</v>
      </c>
      <c r="E225" s="3" t="s">
        <v>773</v>
      </c>
      <c r="F225" s="3" t="s">
        <v>349</v>
      </c>
      <c r="G225" s="3" t="s">
        <v>341</v>
      </c>
      <c r="H225" s="3" t="s">
        <v>333</v>
      </c>
    </row>
    <row r="226" spans="1:8">
      <c r="A226" s="3" t="s">
        <v>774</v>
      </c>
      <c r="B226" s="3" t="s">
        <v>775</v>
      </c>
      <c r="C226" s="3" t="s">
        <v>317</v>
      </c>
      <c r="D226" s="3" t="s">
        <v>318</v>
      </c>
      <c r="E226" s="3" t="s">
        <v>776</v>
      </c>
      <c r="F226" s="3" t="s">
        <v>331</v>
      </c>
      <c r="G226" s="3" t="s">
        <v>353</v>
      </c>
      <c r="H226" s="3" t="s">
        <v>333</v>
      </c>
    </row>
    <row r="227" spans="1:8">
      <c r="A227" s="3" t="s">
        <v>777</v>
      </c>
      <c r="B227" s="3" t="s">
        <v>778</v>
      </c>
      <c r="C227" s="3" t="s">
        <v>290</v>
      </c>
      <c r="D227" s="3" t="s">
        <v>291</v>
      </c>
      <c r="E227" s="3" t="s">
        <v>330</v>
      </c>
      <c r="F227" s="3" t="s">
        <v>365</v>
      </c>
      <c r="G227" s="3" t="s">
        <v>346</v>
      </c>
      <c r="H227" s="3" t="s">
        <v>333</v>
      </c>
    </row>
    <row r="228" spans="1:8">
      <c r="A228" s="3" t="s">
        <v>779</v>
      </c>
      <c r="B228" s="3" t="s">
        <v>780</v>
      </c>
      <c r="C228" s="3" t="s">
        <v>292</v>
      </c>
      <c r="D228" s="3" t="s">
        <v>293</v>
      </c>
      <c r="E228" s="3" t="s">
        <v>730</v>
      </c>
      <c r="F228" s="3" t="s">
        <v>365</v>
      </c>
      <c r="G228" s="3" t="s">
        <v>361</v>
      </c>
      <c r="H228" s="3" t="s">
        <v>333</v>
      </c>
    </row>
    <row r="229" spans="1:8">
      <c r="A229" s="3" t="s">
        <v>781</v>
      </c>
      <c r="B229" s="3" t="s">
        <v>782</v>
      </c>
      <c r="C229" s="3" t="s">
        <v>315</v>
      </c>
      <c r="D229" s="3" t="s">
        <v>316</v>
      </c>
      <c r="E229" s="3" t="s">
        <v>773</v>
      </c>
      <c r="F229" s="3" t="s">
        <v>345</v>
      </c>
      <c r="G229" s="3" t="s">
        <v>332</v>
      </c>
      <c r="H229" s="3" t="s">
        <v>333</v>
      </c>
    </row>
    <row r="230" spans="1:8">
      <c r="A230" s="3" t="s">
        <v>783</v>
      </c>
      <c r="B230" s="3" t="s">
        <v>784</v>
      </c>
      <c r="C230" s="3" t="s">
        <v>303</v>
      </c>
      <c r="D230" s="3" t="s">
        <v>304</v>
      </c>
      <c r="E230" s="3" t="s">
        <v>785</v>
      </c>
      <c r="F230" s="3" t="s">
        <v>331</v>
      </c>
      <c r="G230" s="3" t="s">
        <v>361</v>
      </c>
      <c r="H230" s="3" t="s">
        <v>354</v>
      </c>
    </row>
    <row r="231" spans="1:8">
      <c r="A231" s="3" t="s">
        <v>786</v>
      </c>
      <c r="B231" s="3" t="s">
        <v>787</v>
      </c>
      <c r="C231" s="3" t="s">
        <v>319</v>
      </c>
      <c r="D231" s="3" t="s">
        <v>320</v>
      </c>
      <c r="E231" s="3" t="s">
        <v>733</v>
      </c>
      <c r="F231" s="3" t="s">
        <v>345</v>
      </c>
      <c r="G231" s="3" t="s">
        <v>341</v>
      </c>
      <c r="H231" s="3" t="s">
        <v>333</v>
      </c>
    </row>
    <row r="232" spans="1:8">
      <c r="A232" s="3" t="s">
        <v>788</v>
      </c>
      <c r="B232" s="3" t="s">
        <v>376</v>
      </c>
      <c r="C232" s="3" t="s">
        <v>290</v>
      </c>
      <c r="D232" s="3" t="s">
        <v>291</v>
      </c>
      <c r="E232" s="3" t="s">
        <v>330</v>
      </c>
      <c r="F232" s="3" t="s">
        <v>331</v>
      </c>
      <c r="G232" s="3" t="s">
        <v>346</v>
      </c>
      <c r="H232" s="3" t="s">
        <v>333</v>
      </c>
    </row>
    <row r="233" spans="1:8">
      <c r="A233" s="3" t="s">
        <v>789</v>
      </c>
      <c r="B233" s="3" t="s">
        <v>790</v>
      </c>
      <c r="C233" s="3" t="s">
        <v>313</v>
      </c>
      <c r="D233" s="3" t="s">
        <v>314</v>
      </c>
      <c r="E233" s="3" t="s">
        <v>718</v>
      </c>
      <c r="F233" s="3" t="s">
        <v>349</v>
      </c>
      <c r="G233" s="3" t="s">
        <v>361</v>
      </c>
      <c r="H233" s="3" t="s">
        <v>354</v>
      </c>
    </row>
    <row r="234" spans="1:8">
      <c r="A234" s="3" t="s">
        <v>791</v>
      </c>
      <c r="B234" s="3" t="s">
        <v>792</v>
      </c>
      <c r="C234" s="3" t="s">
        <v>309</v>
      </c>
      <c r="D234" s="3" t="s">
        <v>310</v>
      </c>
      <c r="E234" s="3" t="s">
        <v>753</v>
      </c>
      <c r="F234" s="3" t="s">
        <v>331</v>
      </c>
      <c r="G234" s="3" t="s">
        <v>361</v>
      </c>
      <c r="H234" s="3" t="s">
        <v>354</v>
      </c>
    </row>
    <row r="235" spans="1:8">
      <c r="A235" s="3" t="s">
        <v>793</v>
      </c>
      <c r="B235" s="3" t="s">
        <v>686</v>
      </c>
      <c r="C235" s="3" t="s">
        <v>280</v>
      </c>
      <c r="D235" s="3" t="s">
        <v>281</v>
      </c>
      <c r="E235" s="3" t="s">
        <v>418</v>
      </c>
      <c r="F235" s="3" t="s">
        <v>349</v>
      </c>
      <c r="G235" s="3" t="s">
        <v>341</v>
      </c>
      <c r="H235" s="3" t="s">
        <v>333</v>
      </c>
    </row>
    <row r="236" spans="1:8">
      <c r="A236" s="3" t="s">
        <v>794</v>
      </c>
      <c r="B236" s="3" t="s">
        <v>795</v>
      </c>
      <c r="C236" s="3" t="s">
        <v>311</v>
      </c>
      <c r="D236" s="3" t="s">
        <v>312</v>
      </c>
      <c r="E236" s="3" t="s">
        <v>796</v>
      </c>
      <c r="F236" s="3" t="s">
        <v>340</v>
      </c>
      <c r="G236" s="3" t="s">
        <v>361</v>
      </c>
      <c r="H236" s="3" t="s">
        <v>333</v>
      </c>
    </row>
    <row r="237" spans="1:8">
      <c r="A237" s="3" t="s">
        <v>797</v>
      </c>
      <c r="B237" s="3" t="s">
        <v>798</v>
      </c>
      <c r="C237" s="3" t="s">
        <v>309</v>
      </c>
      <c r="D237" s="3" t="s">
        <v>310</v>
      </c>
      <c r="E237" s="3" t="s">
        <v>753</v>
      </c>
      <c r="F237" s="3" t="s">
        <v>331</v>
      </c>
      <c r="G237" s="3" t="s">
        <v>361</v>
      </c>
      <c r="H237" s="3" t="s">
        <v>333</v>
      </c>
    </row>
    <row r="238" spans="1:8">
      <c r="A238" s="3" t="s">
        <v>799</v>
      </c>
      <c r="B238" s="3" t="s">
        <v>800</v>
      </c>
      <c r="C238" s="3" t="s">
        <v>317</v>
      </c>
      <c r="D238" s="3" t="s">
        <v>318</v>
      </c>
      <c r="E238" s="3" t="s">
        <v>776</v>
      </c>
      <c r="F238" s="3" t="s">
        <v>345</v>
      </c>
      <c r="G238" s="3" t="s">
        <v>353</v>
      </c>
      <c r="H238" s="3" t="s">
        <v>333</v>
      </c>
    </row>
    <row r="239" spans="1:8">
      <c r="A239" s="3" t="s">
        <v>801</v>
      </c>
      <c r="B239" s="3" t="s">
        <v>802</v>
      </c>
      <c r="C239" s="3" t="s">
        <v>307</v>
      </c>
      <c r="D239" s="3" t="s">
        <v>308</v>
      </c>
      <c r="E239" s="3" t="s">
        <v>803</v>
      </c>
      <c r="F239" s="3" t="s">
        <v>340</v>
      </c>
      <c r="G239" s="3" t="s">
        <v>346</v>
      </c>
      <c r="H239" s="3" t="s">
        <v>333</v>
      </c>
    </row>
    <row r="240" spans="1:8">
      <c r="A240" s="3" t="s">
        <v>804</v>
      </c>
      <c r="B240" s="3" t="s">
        <v>805</v>
      </c>
      <c r="C240" s="3" t="s">
        <v>303</v>
      </c>
      <c r="D240" s="3" t="s">
        <v>304</v>
      </c>
      <c r="E240" s="3" t="s">
        <v>806</v>
      </c>
      <c r="F240" s="3" t="s">
        <v>369</v>
      </c>
      <c r="G240" s="3" t="s">
        <v>341</v>
      </c>
      <c r="H240" s="3" t="s">
        <v>333</v>
      </c>
    </row>
    <row r="241" spans="1:8">
      <c r="A241" s="3" t="s">
        <v>807</v>
      </c>
      <c r="B241" s="3" t="s">
        <v>808</v>
      </c>
      <c r="C241" s="3" t="s">
        <v>299</v>
      </c>
      <c r="D241" s="3" t="s">
        <v>300</v>
      </c>
      <c r="E241" s="3" t="s">
        <v>739</v>
      </c>
      <c r="F241" s="3" t="s">
        <v>340</v>
      </c>
      <c r="G241" s="3" t="s">
        <v>346</v>
      </c>
      <c r="H241" s="3" t="s">
        <v>333</v>
      </c>
    </row>
    <row r="242" spans="1:8">
      <c r="A242" s="3" t="s">
        <v>809</v>
      </c>
      <c r="B242" s="3" t="s">
        <v>810</v>
      </c>
      <c r="C242" s="3" t="s">
        <v>279</v>
      </c>
      <c r="D242" s="3" t="s">
        <v>278</v>
      </c>
      <c r="E242" s="3" t="s">
        <v>368</v>
      </c>
      <c r="F242" s="3" t="s">
        <v>365</v>
      </c>
      <c r="G242" s="3" t="s">
        <v>332</v>
      </c>
      <c r="H242" s="3" t="s">
        <v>333</v>
      </c>
    </row>
    <row r="243" spans="1:8">
      <c r="A243" s="3" t="s">
        <v>811</v>
      </c>
      <c r="B243" s="3" t="s">
        <v>812</v>
      </c>
      <c r="C243" s="3" t="s">
        <v>279</v>
      </c>
      <c r="D243" s="3" t="s">
        <v>278</v>
      </c>
      <c r="E243" s="3" t="s">
        <v>394</v>
      </c>
      <c r="F243" s="3" t="s">
        <v>349</v>
      </c>
      <c r="G243" s="3" t="s">
        <v>341</v>
      </c>
      <c r="H243" s="3" t="s">
        <v>333</v>
      </c>
    </row>
    <row r="244" spans="1:8">
      <c r="A244" s="3" t="s">
        <v>813</v>
      </c>
      <c r="B244" s="3" t="s">
        <v>400</v>
      </c>
      <c r="C244" s="3" t="s">
        <v>284</v>
      </c>
      <c r="D244" s="3" t="s">
        <v>285</v>
      </c>
      <c r="E244" s="3" t="s">
        <v>401</v>
      </c>
      <c r="F244" s="3" t="s">
        <v>345</v>
      </c>
      <c r="G244" s="3" t="s">
        <v>353</v>
      </c>
      <c r="H244" s="3" t="s">
        <v>333</v>
      </c>
    </row>
    <row r="245" spans="1:8">
      <c r="A245" s="3" t="s">
        <v>814</v>
      </c>
      <c r="B245" s="3" t="s">
        <v>815</v>
      </c>
      <c r="C245" s="3" t="s">
        <v>299</v>
      </c>
      <c r="D245" s="3" t="s">
        <v>300</v>
      </c>
      <c r="E245" s="3" t="s">
        <v>739</v>
      </c>
      <c r="F245" s="3" t="s">
        <v>349</v>
      </c>
      <c r="G245" s="3" t="s">
        <v>332</v>
      </c>
      <c r="H245" s="3" t="s">
        <v>333</v>
      </c>
    </row>
    <row r="246" spans="1:8">
      <c r="A246" s="3" t="s">
        <v>816</v>
      </c>
      <c r="B246" s="3" t="s">
        <v>817</v>
      </c>
      <c r="C246" s="3" t="s">
        <v>317</v>
      </c>
      <c r="D246" s="3" t="s">
        <v>318</v>
      </c>
      <c r="E246" s="3" t="s">
        <v>776</v>
      </c>
      <c r="F246" s="3" t="s">
        <v>345</v>
      </c>
      <c r="G246" s="3" t="s">
        <v>332</v>
      </c>
      <c r="H246" s="3" t="s">
        <v>333</v>
      </c>
    </row>
    <row r="247" spans="1:8">
      <c r="A247" s="3" t="s">
        <v>818</v>
      </c>
      <c r="B247" s="3" t="s">
        <v>819</v>
      </c>
      <c r="C247" s="3" t="s">
        <v>309</v>
      </c>
      <c r="D247" s="3" t="s">
        <v>310</v>
      </c>
      <c r="E247" s="3" t="s">
        <v>820</v>
      </c>
      <c r="F247" s="3" t="s">
        <v>369</v>
      </c>
      <c r="G247" s="3" t="s">
        <v>346</v>
      </c>
      <c r="H247" s="3" t="s">
        <v>333</v>
      </c>
    </row>
    <row r="248" spans="1:8">
      <c r="A248" s="3" t="s">
        <v>821</v>
      </c>
      <c r="B248" s="3" t="s">
        <v>822</v>
      </c>
      <c r="C248" s="3" t="s">
        <v>277</v>
      </c>
      <c r="D248" s="3" t="s">
        <v>278</v>
      </c>
      <c r="E248" s="3" t="s">
        <v>379</v>
      </c>
      <c r="F248" s="3" t="s">
        <v>349</v>
      </c>
      <c r="G248" s="3" t="s">
        <v>361</v>
      </c>
      <c r="H248" s="3" t="s">
        <v>333</v>
      </c>
    </row>
    <row r="249" spans="1:8">
      <c r="A249" s="3" t="s">
        <v>823</v>
      </c>
      <c r="B249" s="3" t="s">
        <v>824</v>
      </c>
      <c r="C249" s="3" t="s">
        <v>299</v>
      </c>
      <c r="D249" s="3" t="s">
        <v>300</v>
      </c>
      <c r="E249" s="3" t="s">
        <v>825</v>
      </c>
      <c r="F249" s="3" t="s">
        <v>331</v>
      </c>
      <c r="G249" s="3" t="s">
        <v>341</v>
      </c>
      <c r="H249" s="3" t="s">
        <v>333</v>
      </c>
    </row>
    <row r="250" spans="1:8">
      <c r="A250" s="3" t="s">
        <v>826</v>
      </c>
      <c r="B250" s="3" t="s">
        <v>827</v>
      </c>
      <c r="C250" s="3" t="s">
        <v>288</v>
      </c>
      <c r="D250" s="3" t="s">
        <v>289</v>
      </c>
      <c r="E250" s="3" t="s">
        <v>456</v>
      </c>
      <c r="F250" s="3" t="s">
        <v>340</v>
      </c>
      <c r="G250" s="3" t="s">
        <v>353</v>
      </c>
      <c r="H250" s="3" t="s">
        <v>333</v>
      </c>
    </row>
    <row r="251" spans="1:8">
      <c r="A251" s="3" t="s">
        <v>828</v>
      </c>
      <c r="B251" s="3" t="s">
        <v>829</v>
      </c>
      <c r="C251" s="3" t="s">
        <v>277</v>
      </c>
      <c r="D251" s="3" t="s">
        <v>278</v>
      </c>
      <c r="E251" s="3" t="s">
        <v>339</v>
      </c>
      <c r="F251" s="3" t="s">
        <v>331</v>
      </c>
      <c r="G251" s="3" t="s">
        <v>332</v>
      </c>
      <c r="H251" s="3" t="s">
        <v>333</v>
      </c>
    </row>
    <row r="252" spans="1:8">
      <c r="A252" s="3" t="s">
        <v>830</v>
      </c>
      <c r="B252" s="3" t="s">
        <v>831</v>
      </c>
      <c r="C252" s="3" t="s">
        <v>303</v>
      </c>
      <c r="D252" s="3" t="s">
        <v>304</v>
      </c>
      <c r="E252" s="3" t="s">
        <v>806</v>
      </c>
      <c r="F252" s="3" t="s">
        <v>331</v>
      </c>
      <c r="G252" s="3" t="s">
        <v>332</v>
      </c>
      <c r="H252" s="3" t="s">
        <v>333</v>
      </c>
    </row>
    <row r="253" spans="1:8">
      <c r="A253" s="3" t="s">
        <v>832</v>
      </c>
      <c r="B253" s="3" t="s">
        <v>704</v>
      </c>
      <c r="C253" s="3" t="s">
        <v>290</v>
      </c>
      <c r="D253" s="3" t="s">
        <v>291</v>
      </c>
      <c r="E253" s="3" t="s">
        <v>330</v>
      </c>
      <c r="F253" s="3" t="s">
        <v>340</v>
      </c>
      <c r="G253" s="3" t="s">
        <v>361</v>
      </c>
      <c r="H253" s="3" t="s">
        <v>354</v>
      </c>
    </row>
    <row r="254" spans="1:8">
      <c r="A254" s="3" t="s">
        <v>833</v>
      </c>
      <c r="B254" s="3" t="s">
        <v>834</v>
      </c>
      <c r="C254" s="3" t="s">
        <v>290</v>
      </c>
      <c r="D254" s="3" t="s">
        <v>291</v>
      </c>
      <c r="E254" s="3" t="s">
        <v>415</v>
      </c>
      <c r="F254" s="3" t="s">
        <v>369</v>
      </c>
      <c r="G254" s="3" t="s">
        <v>341</v>
      </c>
      <c r="H254" s="3" t="s">
        <v>333</v>
      </c>
    </row>
    <row r="255" spans="1:8">
      <c r="A255" s="3" t="s">
        <v>835</v>
      </c>
      <c r="B255" s="3" t="s">
        <v>836</v>
      </c>
      <c r="C255" s="3" t="s">
        <v>284</v>
      </c>
      <c r="D255" s="3" t="s">
        <v>285</v>
      </c>
      <c r="E255" s="3" t="s">
        <v>401</v>
      </c>
      <c r="F255" s="3" t="s">
        <v>369</v>
      </c>
      <c r="G255" s="3" t="s">
        <v>353</v>
      </c>
      <c r="H255" s="3" t="s">
        <v>333</v>
      </c>
    </row>
    <row r="256" spans="1:8">
      <c r="A256" s="3" t="s">
        <v>837</v>
      </c>
      <c r="B256" s="3" t="s">
        <v>583</v>
      </c>
      <c r="C256" s="3" t="s">
        <v>279</v>
      </c>
      <c r="D256" s="3" t="s">
        <v>278</v>
      </c>
      <c r="E256" s="3" t="s">
        <v>360</v>
      </c>
      <c r="F256" s="3" t="s">
        <v>345</v>
      </c>
      <c r="G256" s="3" t="s">
        <v>353</v>
      </c>
      <c r="H256" s="3" t="s">
        <v>333</v>
      </c>
    </row>
    <row r="257" spans="1:8">
      <c r="A257" s="3" t="s">
        <v>838</v>
      </c>
      <c r="B257" s="3" t="s">
        <v>839</v>
      </c>
      <c r="C257" s="3" t="s">
        <v>279</v>
      </c>
      <c r="D257" s="3" t="s">
        <v>278</v>
      </c>
      <c r="E257" s="3" t="s">
        <v>451</v>
      </c>
      <c r="F257" s="3" t="s">
        <v>345</v>
      </c>
      <c r="G257" s="3" t="s">
        <v>353</v>
      </c>
      <c r="H257" s="3" t="s">
        <v>333</v>
      </c>
    </row>
    <row r="258" spans="1:8">
      <c r="A258" s="3" t="s">
        <v>840</v>
      </c>
      <c r="B258" s="3" t="s">
        <v>841</v>
      </c>
      <c r="C258" s="3" t="s">
        <v>295</v>
      </c>
      <c r="D258" s="3" t="s">
        <v>296</v>
      </c>
      <c r="E258" s="3" t="s">
        <v>750</v>
      </c>
      <c r="F258" s="3" t="s">
        <v>349</v>
      </c>
      <c r="G258" s="3" t="s">
        <v>341</v>
      </c>
      <c r="H258" s="3" t="s">
        <v>333</v>
      </c>
    </row>
    <row r="259" spans="1:8">
      <c r="A259" s="3" t="s">
        <v>842</v>
      </c>
      <c r="B259" s="3" t="s">
        <v>843</v>
      </c>
      <c r="C259" s="3" t="s">
        <v>309</v>
      </c>
      <c r="D259" s="3" t="s">
        <v>310</v>
      </c>
      <c r="E259" s="3" t="s">
        <v>820</v>
      </c>
      <c r="F259" s="3" t="s">
        <v>331</v>
      </c>
      <c r="G259" s="3" t="s">
        <v>341</v>
      </c>
      <c r="H259" s="3" t="s">
        <v>354</v>
      </c>
    </row>
    <row r="260" spans="1:8">
      <c r="A260" s="3" t="s">
        <v>844</v>
      </c>
      <c r="B260" s="3" t="s">
        <v>481</v>
      </c>
      <c r="C260" s="3" t="s">
        <v>284</v>
      </c>
      <c r="D260" s="3" t="s">
        <v>285</v>
      </c>
      <c r="E260" s="3" t="s">
        <v>439</v>
      </c>
      <c r="F260" s="3" t="s">
        <v>340</v>
      </c>
      <c r="G260" s="3" t="s">
        <v>353</v>
      </c>
      <c r="H260" s="3" t="s">
        <v>354</v>
      </c>
    </row>
    <row r="261" spans="1:8">
      <c r="A261" s="3" t="s">
        <v>845</v>
      </c>
      <c r="B261" s="3" t="s">
        <v>846</v>
      </c>
      <c r="C261" s="3" t="s">
        <v>309</v>
      </c>
      <c r="D261" s="3" t="s">
        <v>310</v>
      </c>
      <c r="E261" s="3" t="s">
        <v>753</v>
      </c>
      <c r="F261" s="3" t="s">
        <v>349</v>
      </c>
      <c r="G261" s="3" t="s">
        <v>341</v>
      </c>
      <c r="H261" s="3" t="s">
        <v>333</v>
      </c>
    </row>
    <row r="262" spans="1:8">
      <c r="A262" s="3" t="s">
        <v>847</v>
      </c>
      <c r="B262" s="3" t="s">
        <v>848</v>
      </c>
      <c r="C262" s="3" t="s">
        <v>315</v>
      </c>
      <c r="D262" s="3" t="s">
        <v>316</v>
      </c>
      <c r="E262" s="3" t="s">
        <v>849</v>
      </c>
      <c r="F262" s="3" t="s">
        <v>349</v>
      </c>
      <c r="G262" s="3" t="s">
        <v>332</v>
      </c>
      <c r="H262" s="3" t="s">
        <v>333</v>
      </c>
    </row>
    <row r="263" spans="1:8">
      <c r="A263" s="3" t="s">
        <v>850</v>
      </c>
      <c r="B263" s="3" t="s">
        <v>363</v>
      </c>
      <c r="C263" s="3" t="s">
        <v>288</v>
      </c>
      <c r="D263" s="3" t="s">
        <v>289</v>
      </c>
      <c r="E263" s="3" t="s">
        <v>364</v>
      </c>
      <c r="F263" s="3" t="s">
        <v>365</v>
      </c>
      <c r="G263" s="3" t="s">
        <v>361</v>
      </c>
      <c r="H263" s="3" t="s">
        <v>333</v>
      </c>
    </row>
    <row r="264" spans="1:8">
      <c r="A264" s="3" t="s">
        <v>851</v>
      </c>
      <c r="B264" s="3" t="s">
        <v>852</v>
      </c>
      <c r="C264" s="3" t="s">
        <v>280</v>
      </c>
      <c r="D264" s="3" t="s">
        <v>281</v>
      </c>
      <c r="E264" s="3" t="s">
        <v>382</v>
      </c>
      <c r="F264" s="3" t="s">
        <v>369</v>
      </c>
      <c r="G264" s="3" t="s">
        <v>361</v>
      </c>
      <c r="H264" s="3" t="s">
        <v>333</v>
      </c>
    </row>
    <row r="265" spans="1:8">
      <c r="A265" s="3" t="s">
        <v>853</v>
      </c>
      <c r="B265" s="3" t="s">
        <v>610</v>
      </c>
      <c r="C265" s="3" t="s">
        <v>288</v>
      </c>
      <c r="D265" s="3" t="s">
        <v>289</v>
      </c>
      <c r="E265" s="3" t="s">
        <v>352</v>
      </c>
      <c r="F265" s="3" t="s">
        <v>365</v>
      </c>
      <c r="G265" s="3" t="s">
        <v>346</v>
      </c>
      <c r="H265" s="3" t="s">
        <v>354</v>
      </c>
    </row>
    <row r="266" spans="1:8">
      <c r="A266" s="3" t="s">
        <v>854</v>
      </c>
      <c r="B266" s="3" t="s">
        <v>855</v>
      </c>
      <c r="C266" s="3" t="s">
        <v>321</v>
      </c>
      <c r="D266" s="3" t="s">
        <v>321</v>
      </c>
      <c r="E266" s="3" t="s">
        <v>856</v>
      </c>
      <c r="F266" s="3" t="s">
        <v>345</v>
      </c>
      <c r="G266" s="3" t="s">
        <v>346</v>
      </c>
      <c r="H266" s="3" t="s">
        <v>333</v>
      </c>
    </row>
    <row r="267" spans="1:8">
      <c r="A267" s="3" t="s">
        <v>857</v>
      </c>
      <c r="B267" s="3" t="s">
        <v>858</v>
      </c>
      <c r="C267" s="3" t="s">
        <v>319</v>
      </c>
      <c r="D267" s="3" t="s">
        <v>320</v>
      </c>
      <c r="E267" s="3" t="s">
        <v>742</v>
      </c>
      <c r="F267" s="3" t="s">
        <v>349</v>
      </c>
      <c r="G267" s="3" t="s">
        <v>361</v>
      </c>
      <c r="H267" s="3" t="s">
        <v>333</v>
      </c>
    </row>
    <row r="268" spans="1:8">
      <c r="A268" s="3" t="s">
        <v>859</v>
      </c>
      <c r="B268" s="3" t="s">
        <v>860</v>
      </c>
      <c r="C268" s="3" t="s">
        <v>294</v>
      </c>
      <c r="D268" s="3" t="s">
        <v>289</v>
      </c>
      <c r="E268" s="3" t="s">
        <v>861</v>
      </c>
      <c r="F268" s="3" t="s">
        <v>349</v>
      </c>
      <c r="G268" s="3" t="s">
        <v>341</v>
      </c>
      <c r="H268" s="3" t="s">
        <v>333</v>
      </c>
    </row>
    <row r="269" spans="1:8">
      <c r="A269" s="3" t="s">
        <v>862</v>
      </c>
      <c r="B269" s="3" t="s">
        <v>863</v>
      </c>
      <c r="C269" s="3" t="s">
        <v>297</v>
      </c>
      <c r="D269" s="3" t="s">
        <v>298</v>
      </c>
      <c r="E269" s="3" t="s">
        <v>864</v>
      </c>
      <c r="F269" s="3" t="s">
        <v>349</v>
      </c>
      <c r="G269" s="3" t="s">
        <v>353</v>
      </c>
      <c r="H269" s="3" t="s">
        <v>333</v>
      </c>
    </row>
    <row r="270" spans="1:8">
      <c r="A270" s="3" t="s">
        <v>865</v>
      </c>
      <c r="B270" s="3" t="s">
        <v>866</v>
      </c>
      <c r="C270" s="3" t="s">
        <v>295</v>
      </c>
      <c r="D270" s="3" t="s">
        <v>296</v>
      </c>
      <c r="E270" s="3" t="s">
        <v>724</v>
      </c>
      <c r="F270" s="3" t="s">
        <v>365</v>
      </c>
      <c r="G270" s="3" t="s">
        <v>353</v>
      </c>
      <c r="H270" s="3" t="s">
        <v>333</v>
      </c>
    </row>
    <row r="271" spans="1:8">
      <c r="A271" s="3" t="s">
        <v>867</v>
      </c>
      <c r="B271" s="3" t="s">
        <v>868</v>
      </c>
      <c r="C271" s="3" t="s">
        <v>290</v>
      </c>
      <c r="D271" s="3" t="s">
        <v>291</v>
      </c>
      <c r="E271" s="3" t="s">
        <v>330</v>
      </c>
      <c r="F271" s="3" t="s">
        <v>340</v>
      </c>
      <c r="G271" s="3" t="s">
        <v>361</v>
      </c>
      <c r="H271" s="3" t="s">
        <v>354</v>
      </c>
    </row>
    <row r="272" spans="1:8">
      <c r="A272" s="3" t="s">
        <v>869</v>
      </c>
      <c r="B272" s="3" t="s">
        <v>870</v>
      </c>
      <c r="C272" s="3" t="s">
        <v>311</v>
      </c>
      <c r="D272" s="3" t="s">
        <v>312</v>
      </c>
      <c r="E272" s="3" t="s">
        <v>871</v>
      </c>
      <c r="F272" s="3" t="s">
        <v>365</v>
      </c>
      <c r="G272" s="3" t="s">
        <v>346</v>
      </c>
      <c r="H272" s="3" t="s">
        <v>333</v>
      </c>
    </row>
    <row r="273" spans="1:8">
      <c r="A273" s="3" t="s">
        <v>872</v>
      </c>
      <c r="B273" s="3" t="s">
        <v>873</v>
      </c>
      <c r="C273" s="3" t="s">
        <v>299</v>
      </c>
      <c r="D273" s="3" t="s">
        <v>300</v>
      </c>
      <c r="E273" s="3" t="s">
        <v>825</v>
      </c>
      <c r="F273" s="3" t="s">
        <v>349</v>
      </c>
      <c r="G273" s="3" t="s">
        <v>341</v>
      </c>
      <c r="H273" s="3" t="s">
        <v>333</v>
      </c>
    </row>
    <row r="274" spans="1:8">
      <c r="A274" s="3" t="s">
        <v>874</v>
      </c>
      <c r="B274" s="3" t="s">
        <v>875</v>
      </c>
      <c r="C274" s="3" t="s">
        <v>305</v>
      </c>
      <c r="D274" s="3" t="s">
        <v>306</v>
      </c>
      <c r="E274" s="3" t="s">
        <v>876</v>
      </c>
      <c r="F274" s="3" t="s">
        <v>349</v>
      </c>
      <c r="G274" s="3" t="s">
        <v>341</v>
      </c>
      <c r="H274" s="3" t="s">
        <v>333</v>
      </c>
    </row>
    <row r="275" spans="1:8">
      <c r="A275" s="3" t="s">
        <v>877</v>
      </c>
      <c r="B275" s="3" t="s">
        <v>878</v>
      </c>
      <c r="C275" s="3" t="s">
        <v>321</v>
      </c>
      <c r="D275" s="3" t="s">
        <v>321</v>
      </c>
      <c r="E275" s="3" t="s">
        <v>736</v>
      </c>
      <c r="F275" s="3" t="s">
        <v>331</v>
      </c>
      <c r="G275" s="3" t="s">
        <v>332</v>
      </c>
      <c r="H275" s="3" t="s">
        <v>333</v>
      </c>
    </row>
    <row r="276" spans="1:8">
      <c r="A276" s="3" t="s">
        <v>879</v>
      </c>
      <c r="B276" s="3" t="s">
        <v>880</v>
      </c>
      <c r="C276" s="3" t="s">
        <v>280</v>
      </c>
      <c r="D276" s="3" t="s">
        <v>281</v>
      </c>
      <c r="E276" s="3" t="s">
        <v>418</v>
      </c>
      <c r="F276" s="3" t="s">
        <v>340</v>
      </c>
      <c r="G276" s="3" t="s">
        <v>353</v>
      </c>
      <c r="H276" s="3" t="s">
        <v>333</v>
      </c>
    </row>
    <row r="277" spans="1:8">
      <c r="A277" s="3" t="s">
        <v>881</v>
      </c>
      <c r="B277" s="3" t="s">
        <v>882</v>
      </c>
      <c r="C277" s="3" t="s">
        <v>315</v>
      </c>
      <c r="D277" s="3" t="s">
        <v>316</v>
      </c>
      <c r="E277" s="3" t="s">
        <v>849</v>
      </c>
      <c r="F277" s="3" t="s">
        <v>340</v>
      </c>
      <c r="G277" s="3" t="s">
        <v>346</v>
      </c>
      <c r="H277" s="3" t="s">
        <v>333</v>
      </c>
    </row>
    <row r="278" spans="1:8">
      <c r="A278" s="3" t="s">
        <v>883</v>
      </c>
      <c r="B278" s="3" t="s">
        <v>884</v>
      </c>
      <c r="C278" s="3" t="s">
        <v>307</v>
      </c>
      <c r="D278" s="3" t="s">
        <v>308</v>
      </c>
      <c r="E278" s="3" t="s">
        <v>803</v>
      </c>
      <c r="F278" s="3" t="s">
        <v>365</v>
      </c>
      <c r="G278" s="3" t="s">
        <v>361</v>
      </c>
      <c r="H278" s="3" t="s">
        <v>333</v>
      </c>
    </row>
    <row r="279" spans="1:8">
      <c r="A279" s="3" t="s">
        <v>885</v>
      </c>
      <c r="B279" s="3" t="s">
        <v>886</v>
      </c>
      <c r="C279" s="3" t="s">
        <v>313</v>
      </c>
      <c r="D279" s="3" t="s">
        <v>314</v>
      </c>
      <c r="E279" s="3" t="s">
        <v>718</v>
      </c>
      <c r="F279" s="3" t="s">
        <v>345</v>
      </c>
      <c r="G279" s="3" t="s">
        <v>332</v>
      </c>
      <c r="H279" s="3" t="s">
        <v>333</v>
      </c>
    </row>
    <row r="280" spans="1:8">
      <c r="A280" s="3" t="s">
        <v>887</v>
      </c>
      <c r="B280" s="3" t="s">
        <v>888</v>
      </c>
      <c r="C280" s="3" t="s">
        <v>309</v>
      </c>
      <c r="D280" s="3" t="s">
        <v>310</v>
      </c>
      <c r="E280" s="3" t="s">
        <v>820</v>
      </c>
      <c r="F280" s="3" t="s">
        <v>340</v>
      </c>
      <c r="G280" s="3" t="s">
        <v>361</v>
      </c>
      <c r="H280" s="3" t="s">
        <v>333</v>
      </c>
    </row>
    <row r="281" spans="1:8">
      <c r="A281" s="3" t="s">
        <v>889</v>
      </c>
      <c r="B281" s="3" t="s">
        <v>890</v>
      </c>
      <c r="C281" s="3" t="s">
        <v>309</v>
      </c>
      <c r="D281" s="3" t="s">
        <v>310</v>
      </c>
      <c r="E281" s="3" t="s">
        <v>820</v>
      </c>
      <c r="F281" s="3" t="s">
        <v>340</v>
      </c>
      <c r="G281" s="3" t="s">
        <v>353</v>
      </c>
      <c r="H281" s="3" t="s">
        <v>333</v>
      </c>
    </row>
    <row r="282" spans="1:8">
      <c r="A282" s="3" t="s">
        <v>891</v>
      </c>
      <c r="B282" s="3" t="s">
        <v>892</v>
      </c>
      <c r="C282" s="3" t="s">
        <v>286</v>
      </c>
      <c r="D282" s="3" t="s">
        <v>287</v>
      </c>
      <c r="E282" s="3" t="s">
        <v>407</v>
      </c>
      <c r="F282" s="3" t="s">
        <v>340</v>
      </c>
      <c r="G282" s="3" t="s">
        <v>346</v>
      </c>
      <c r="H282" s="3" t="s">
        <v>333</v>
      </c>
    </row>
    <row r="283" spans="1:8">
      <c r="A283" s="3" t="s">
        <v>893</v>
      </c>
      <c r="B283" s="3" t="s">
        <v>894</v>
      </c>
      <c r="C283" s="3" t="s">
        <v>313</v>
      </c>
      <c r="D283" s="3" t="s">
        <v>314</v>
      </c>
      <c r="E283" s="3" t="s">
        <v>718</v>
      </c>
      <c r="F283" s="3" t="s">
        <v>365</v>
      </c>
      <c r="G283" s="3" t="s">
        <v>353</v>
      </c>
      <c r="H283" s="3" t="s">
        <v>333</v>
      </c>
    </row>
    <row r="284" spans="1:8">
      <c r="A284" s="3" t="s">
        <v>895</v>
      </c>
      <c r="B284" s="3" t="s">
        <v>896</v>
      </c>
      <c r="C284" s="3" t="s">
        <v>299</v>
      </c>
      <c r="D284" s="3" t="s">
        <v>300</v>
      </c>
      <c r="E284" s="3" t="s">
        <v>739</v>
      </c>
      <c r="F284" s="3" t="s">
        <v>369</v>
      </c>
      <c r="G284" s="3" t="s">
        <v>346</v>
      </c>
      <c r="H284" s="3" t="s">
        <v>333</v>
      </c>
    </row>
    <row r="285" spans="1:8">
      <c r="A285" s="3" t="s">
        <v>897</v>
      </c>
      <c r="B285" s="3" t="s">
        <v>898</v>
      </c>
      <c r="C285" s="3" t="s">
        <v>280</v>
      </c>
      <c r="D285" s="3" t="s">
        <v>281</v>
      </c>
      <c r="E285" s="3" t="s">
        <v>418</v>
      </c>
      <c r="F285" s="3" t="s">
        <v>345</v>
      </c>
      <c r="G285" s="3" t="s">
        <v>332</v>
      </c>
      <c r="H285" s="3" t="s">
        <v>333</v>
      </c>
    </row>
    <row r="286" spans="1:8">
      <c r="A286" s="3" t="s">
        <v>899</v>
      </c>
      <c r="B286" s="3" t="s">
        <v>808</v>
      </c>
      <c r="C286" s="3" t="s">
        <v>299</v>
      </c>
      <c r="D286" s="3" t="s">
        <v>300</v>
      </c>
      <c r="E286" s="3" t="s">
        <v>739</v>
      </c>
      <c r="F286" s="3" t="s">
        <v>340</v>
      </c>
      <c r="G286" s="3" t="s">
        <v>332</v>
      </c>
      <c r="H286" s="3" t="s">
        <v>333</v>
      </c>
    </row>
    <row r="287" spans="1:8">
      <c r="A287" s="3" t="s">
        <v>900</v>
      </c>
      <c r="B287" s="3" t="s">
        <v>901</v>
      </c>
      <c r="C287" s="3" t="s">
        <v>280</v>
      </c>
      <c r="D287" s="3" t="s">
        <v>281</v>
      </c>
      <c r="E287" s="3" t="s">
        <v>516</v>
      </c>
      <c r="F287" s="3" t="s">
        <v>349</v>
      </c>
      <c r="G287" s="3" t="s">
        <v>341</v>
      </c>
      <c r="H287" s="3" t="s">
        <v>333</v>
      </c>
    </row>
    <row r="288" spans="1:8">
      <c r="A288" s="3" t="s">
        <v>902</v>
      </c>
      <c r="B288" s="3" t="s">
        <v>903</v>
      </c>
      <c r="C288" s="3" t="s">
        <v>282</v>
      </c>
      <c r="D288" s="3" t="s">
        <v>283</v>
      </c>
      <c r="E288" s="3" t="s">
        <v>336</v>
      </c>
      <c r="F288" s="3" t="s">
        <v>340</v>
      </c>
      <c r="G288" s="3" t="s">
        <v>346</v>
      </c>
      <c r="H288" s="3" t="s">
        <v>354</v>
      </c>
    </row>
    <row r="289" spans="1:8">
      <c r="A289" s="3" t="s">
        <v>904</v>
      </c>
      <c r="B289" s="3" t="s">
        <v>905</v>
      </c>
      <c r="C289" s="3" t="s">
        <v>319</v>
      </c>
      <c r="D289" s="3" t="s">
        <v>320</v>
      </c>
      <c r="E289" s="3" t="s">
        <v>733</v>
      </c>
      <c r="F289" s="3" t="s">
        <v>365</v>
      </c>
      <c r="G289" s="3" t="s">
        <v>332</v>
      </c>
      <c r="H289" s="3" t="s">
        <v>333</v>
      </c>
    </row>
    <row r="290" spans="1:8">
      <c r="A290" s="3" t="s">
        <v>906</v>
      </c>
      <c r="B290" s="3" t="s">
        <v>907</v>
      </c>
      <c r="C290" s="3" t="s">
        <v>292</v>
      </c>
      <c r="D290" s="3" t="s">
        <v>293</v>
      </c>
      <c r="E290" s="3" t="s">
        <v>908</v>
      </c>
      <c r="F290" s="3" t="s">
        <v>331</v>
      </c>
      <c r="G290" s="3" t="s">
        <v>332</v>
      </c>
      <c r="H290" s="3" t="s">
        <v>354</v>
      </c>
    </row>
    <row r="291" spans="1:8">
      <c r="A291" s="3" t="s">
        <v>909</v>
      </c>
      <c r="B291" s="3" t="s">
        <v>910</v>
      </c>
      <c r="C291" s="3" t="s">
        <v>311</v>
      </c>
      <c r="D291" s="3" t="s">
        <v>312</v>
      </c>
      <c r="E291" s="3" t="s">
        <v>796</v>
      </c>
      <c r="F291" s="3" t="s">
        <v>345</v>
      </c>
      <c r="G291" s="3" t="s">
        <v>332</v>
      </c>
      <c r="H291" s="3" t="s">
        <v>333</v>
      </c>
    </row>
    <row r="292" spans="1:8">
      <c r="A292" s="3" t="s">
        <v>911</v>
      </c>
      <c r="B292" s="3" t="s">
        <v>912</v>
      </c>
      <c r="C292" s="3" t="s">
        <v>311</v>
      </c>
      <c r="D292" s="3" t="s">
        <v>312</v>
      </c>
      <c r="E292" s="3" t="s">
        <v>796</v>
      </c>
      <c r="F292" s="3" t="s">
        <v>369</v>
      </c>
      <c r="G292" s="3" t="s">
        <v>361</v>
      </c>
      <c r="H292" s="3" t="s">
        <v>333</v>
      </c>
    </row>
    <row r="293" spans="1:8">
      <c r="A293" s="3" t="s">
        <v>913</v>
      </c>
      <c r="B293" s="3" t="s">
        <v>914</v>
      </c>
      <c r="C293" s="3" t="s">
        <v>321</v>
      </c>
      <c r="D293" s="3" t="s">
        <v>321</v>
      </c>
      <c r="E293" s="3" t="s">
        <v>856</v>
      </c>
      <c r="F293" s="3" t="s">
        <v>345</v>
      </c>
      <c r="G293" s="3" t="s">
        <v>332</v>
      </c>
      <c r="H293" s="3" t="s">
        <v>333</v>
      </c>
    </row>
    <row r="294" spans="1:8">
      <c r="A294" s="3" t="s">
        <v>915</v>
      </c>
      <c r="B294" s="3" t="s">
        <v>916</v>
      </c>
      <c r="C294" s="3" t="s">
        <v>297</v>
      </c>
      <c r="D294" s="3" t="s">
        <v>298</v>
      </c>
      <c r="E294" s="3" t="s">
        <v>917</v>
      </c>
      <c r="F294" s="3" t="s">
        <v>340</v>
      </c>
      <c r="G294" s="3" t="s">
        <v>346</v>
      </c>
      <c r="H294" s="3" t="s">
        <v>333</v>
      </c>
    </row>
    <row r="295" spans="1:8">
      <c r="A295" s="3" t="s">
        <v>918</v>
      </c>
      <c r="B295" s="3" t="s">
        <v>919</v>
      </c>
      <c r="C295" s="3" t="s">
        <v>295</v>
      </c>
      <c r="D295" s="3" t="s">
        <v>296</v>
      </c>
      <c r="E295" s="3" t="s">
        <v>750</v>
      </c>
      <c r="F295" s="3" t="s">
        <v>365</v>
      </c>
      <c r="G295" s="3" t="s">
        <v>341</v>
      </c>
      <c r="H295" s="3" t="s">
        <v>333</v>
      </c>
    </row>
    <row r="296" spans="1:8">
      <c r="A296" s="3" t="s">
        <v>920</v>
      </c>
      <c r="B296" s="3" t="s">
        <v>784</v>
      </c>
      <c r="C296" s="3" t="s">
        <v>303</v>
      </c>
      <c r="D296" s="3" t="s">
        <v>304</v>
      </c>
      <c r="E296" s="3" t="s">
        <v>785</v>
      </c>
      <c r="F296" s="3" t="s">
        <v>331</v>
      </c>
      <c r="G296" s="3" t="s">
        <v>361</v>
      </c>
      <c r="H296" s="3" t="s">
        <v>354</v>
      </c>
    </row>
    <row r="297" spans="1:8">
      <c r="A297" s="3" t="s">
        <v>921</v>
      </c>
      <c r="B297" s="3" t="s">
        <v>922</v>
      </c>
      <c r="C297" s="3" t="s">
        <v>301</v>
      </c>
      <c r="D297" s="3" t="s">
        <v>302</v>
      </c>
      <c r="E297" s="3" t="s">
        <v>923</v>
      </c>
      <c r="F297" s="3" t="s">
        <v>345</v>
      </c>
      <c r="G297" s="3" t="s">
        <v>353</v>
      </c>
      <c r="H297" s="3" t="s">
        <v>333</v>
      </c>
    </row>
    <row r="298" spans="1:8">
      <c r="A298" s="3" t="s">
        <v>924</v>
      </c>
      <c r="B298" s="3" t="s">
        <v>925</v>
      </c>
      <c r="C298" s="3" t="s">
        <v>313</v>
      </c>
      <c r="D298" s="3" t="s">
        <v>314</v>
      </c>
      <c r="E298" s="3" t="s">
        <v>718</v>
      </c>
      <c r="F298" s="3" t="s">
        <v>331</v>
      </c>
      <c r="G298" s="3" t="s">
        <v>332</v>
      </c>
      <c r="H298" s="3" t="s">
        <v>333</v>
      </c>
    </row>
    <row r="299" spans="1:8">
      <c r="A299" s="3" t="s">
        <v>926</v>
      </c>
      <c r="B299" s="3" t="s">
        <v>438</v>
      </c>
      <c r="C299" s="3" t="s">
        <v>284</v>
      </c>
      <c r="D299" s="3" t="s">
        <v>285</v>
      </c>
      <c r="E299" s="3" t="s">
        <v>439</v>
      </c>
      <c r="F299" s="3" t="s">
        <v>345</v>
      </c>
      <c r="G299" s="3" t="s">
        <v>346</v>
      </c>
      <c r="H299" s="3" t="s">
        <v>333</v>
      </c>
    </row>
    <row r="300" spans="1:8">
      <c r="A300" s="3" t="s">
        <v>927</v>
      </c>
      <c r="B300" s="3" t="s">
        <v>928</v>
      </c>
      <c r="C300" s="3" t="s">
        <v>295</v>
      </c>
      <c r="D300" s="3" t="s">
        <v>296</v>
      </c>
      <c r="E300" s="3" t="s">
        <v>750</v>
      </c>
      <c r="F300" s="3" t="s">
        <v>340</v>
      </c>
      <c r="G300" s="3" t="s">
        <v>332</v>
      </c>
      <c r="H300" s="3" t="s">
        <v>354</v>
      </c>
    </row>
    <row r="301" spans="1:8">
      <c r="A301" s="3" t="s">
        <v>929</v>
      </c>
      <c r="B301" s="3" t="s">
        <v>930</v>
      </c>
      <c r="C301" s="3" t="s">
        <v>303</v>
      </c>
      <c r="D301" s="3" t="s">
        <v>304</v>
      </c>
      <c r="E301" s="3" t="s">
        <v>785</v>
      </c>
      <c r="F301" s="3" t="s">
        <v>365</v>
      </c>
      <c r="G301" s="3" t="s">
        <v>346</v>
      </c>
      <c r="H301" s="3" t="s">
        <v>333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01"/>
  <sheetViews>
    <sheetView zoomScaleNormal="100" workbookViewId="0">
      <pane ySplit="1" topLeftCell="A196" activePane="bottomLeft" state="frozen"/>
      <selection pane="bottomLeft" activeCell="A202" sqref="A202"/>
    </sheetView>
  </sheetViews>
  <sheetFormatPr defaultColWidth="8.7109375" defaultRowHeight="15"/>
  <cols>
    <col min="1" max="1" width="10" customWidth="1"/>
    <col min="2" max="2" width="20" customWidth="1"/>
    <col min="3" max="4" width="14" customWidth="1"/>
    <col min="5" max="5" width="20" customWidth="1"/>
    <col min="6" max="6" width="14" customWidth="1"/>
    <col min="7" max="7" width="20" customWidth="1"/>
    <col min="8" max="9" width="18" customWidth="1"/>
    <col min="10" max="10" width="16" customWidth="1"/>
    <col min="11" max="11" width="18" customWidth="1"/>
  </cols>
  <sheetData>
    <row r="1" spans="1:11" ht="35.1">
      <c r="A1" s="5" t="s">
        <v>322</v>
      </c>
      <c r="B1" s="5" t="s">
        <v>931</v>
      </c>
      <c r="C1" s="5" t="s">
        <v>932</v>
      </c>
      <c r="D1" s="5" t="s">
        <v>933</v>
      </c>
      <c r="E1" s="5" t="s">
        <v>934</v>
      </c>
      <c r="F1" s="5" t="s">
        <v>935</v>
      </c>
      <c r="G1" s="5" t="s">
        <v>936</v>
      </c>
      <c r="H1" s="5" t="s">
        <v>937</v>
      </c>
      <c r="I1" s="5" t="s">
        <v>938</v>
      </c>
      <c r="J1" s="5" t="s">
        <v>939</v>
      </c>
      <c r="K1" s="5" t="s">
        <v>940</v>
      </c>
    </row>
    <row r="2" spans="1:11">
      <c r="A2" s="3" t="s">
        <v>328</v>
      </c>
      <c r="B2" s="3">
        <v>7</v>
      </c>
      <c r="C2" s="3">
        <v>11</v>
      </c>
      <c r="D2" s="3">
        <v>4</v>
      </c>
      <c r="E2" s="3">
        <v>15</v>
      </c>
      <c r="F2" s="3">
        <v>3.7</v>
      </c>
      <c r="G2" s="3">
        <v>8.5</v>
      </c>
      <c r="H2" s="3">
        <v>68.599999999999994</v>
      </c>
      <c r="I2" s="3">
        <v>73.099999999999994</v>
      </c>
      <c r="J2" s="3">
        <v>0</v>
      </c>
      <c r="K2" s="3">
        <f>ROUND(MIN(MAX((B2*10)*0.2 + (MIN(E2/25*100,100))*0.2 + (MAX(100-F2*5,0))*0.15 + (G2*10)*0.15 + (H2)*0.15 + (I2)*0.15 - (J2*5),0),100),0)</f>
        <v>72</v>
      </c>
    </row>
    <row r="3" spans="1:11">
      <c r="A3" s="3" t="s">
        <v>334</v>
      </c>
      <c r="B3" s="3">
        <v>5.6</v>
      </c>
      <c r="C3" s="3">
        <v>10</v>
      </c>
      <c r="D3" s="3">
        <v>6</v>
      </c>
      <c r="E3" s="3">
        <v>13.8</v>
      </c>
      <c r="F3" s="3">
        <v>4.9000000000000004</v>
      </c>
      <c r="G3" s="3">
        <v>4.3</v>
      </c>
      <c r="H3" s="3">
        <v>66.3</v>
      </c>
      <c r="I3" s="3">
        <v>81.599999999999994</v>
      </c>
      <c r="J3" s="3">
        <v>1</v>
      </c>
      <c r="K3" s="3">
        <f>ROUND(MIN(MAX((B3*10)*0.2 + (MIN(E3/25*100,100))*0.2 + (MAX(100-F3*5,0))*0.15 + (G3*10)*0.15 + (H3)*0.15 + (I3)*0.15 - (J3*5),0),100),0)</f>
        <v>57</v>
      </c>
    </row>
    <row r="4" spans="1:11">
      <c r="A4" s="3" t="s">
        <v>337</v>
      </c>
      <c r="B4" s="3">
        <v>4.9000000000000004</v>
      </c>
      <c r="C4" s="3">
        <v>9</v>
      </c>
      <c r="D4" s="3">
        <v>4</v>
      </c>
      <c r="E4" s="3">
        <v>11.4</v>
      </c>
      <c r="F4" s="3">
        <v>9</v>
      </c>
      <c r="G4" s="3">
        <v>8.5</v>
      </c>
      <c r="H4" s="3">
        <v>64.599999999999994</v>
      </c>
      <c r="I4" s="3">
        <v>73.5</v>
      </c>
      <c r="J4" s="3">
        <v>0</v>
      </c>
      <c r="K4" s="3">
        <f>ROUND(MIN(MAX((B4*10)*0.2 + (MIN(E4/25*100,100))*0.2 + (MAX(100-F4*5,0))*0.15 + (G4*10)*0.15 + (H4)*0.15 + (I4)*0.15 - (J4*5),0),100),0)</f>
        <v>61</v>
      </c>
    </row>
    <row r="5" spans="1:11">
      <c r="A5" s="3" t="s">
        <v>342</v>
      </c>
      <c r="B5" s="3">
        <v>7.7</v>
      </c>
      <c r="C5" s="3">
        <v>12</v>
      </c>
      <c r="D5" s="3">
        <v>7</v>
      </c>
      <c r="E5" s="3">
        <v>3.9</v>
      </c>
      <c r="F5" s="3">
        <v>11.7</v>
      </c>
      <c r="G5" s="3">
        <v>7.6</v>
      </c>
      <c r="H5" s="3">
        <v>60.3</v>
      </c>
      <c r="I5" s="3">
        <v>68</v>
      </c>
      <c r="J5" s="3">
        <v>0</v>
      </c>
      <c r="K5" s="3">
        <f>ROUND(MIN(MAX((B5*10)*0.2 + (MIN(E5/25*100,100))*0.2 + (MAX(100-F5*5,0))*0.15 + (G5*10)*0.15 + (H5)*0.15 + (I5)*0.15 - (J5*5),0),100),0)</f>
        <v>55</v>
      </c>
    </row>
    <row r="6" spans="1:11">
      <c r="A6" s="3" t="s">
        <v>347</v>
      </c>
      <c r="B6" s="3">
        <v>4</v>
      </c>
      <c r="C6" s="3">
        <v>5</v>
      </c>
      <c r="D6" s="3">
        <v>2</v>
      </c>
      <c r="E6" s="3">
        <v>3.1</v>
      </c>
      <c r="F6" s="3">
        <v>19.399999999999999</v>
      </c>
      <c r="G6" s="3">
        <v>5.0999999999999996</v>
      </c>
      <c r="H6" s="3">
        <v>75.2</v>
      </c>
      <c r="I6" s="3">
        <v>85.3</v>
      </c>
      <c r="J6" s="3">
        <v>1</v>
      </c>
      <c r="K6" s="3">
        <f>ROUND(MIN(MAX((B6*10)*0.2 + (MIN(E6/25*100,100))*0.2 + (MAX(100-F6*5,0))*0.15 + (G6*10)*0.15 + (H6)*0.15 + (I6)*0.15 - (J6*5),0),100),0)</f>
        <v>38</v>
      </c>
    </row>
    <row r="7" spans="1:11">
      <c r="A7" s="3" t="s">
        <v>350</v>
      </c>
      <c r="B7" s="3">
        <v>8.8000000000000007</v>
      </c>
      <c r="C7" s="3">
        <v>16</v>
      </c>
      <c r="D7" s="3">
        <v>7</v>
      </c>
      <c r="E7" s="3">
        <v>19.399999999999999</v>
      </c>
      <c r="F7" s="3">
        <v>3.9</v>
      </c>
      <c r="G7" s="3">
        <v>4.0999999999999996</v>
      </c>
      <c r="H7" s="3">
        <v>96.8</v>
      </c>
      <c r="I7" s="3">
        <v>92.1</v>
      </c>
      <c r="J7" s="3">
        <v>1</v>
      </c>
      <c r="K7" s="3">
        <f>ROUND(MIN(MAX((B7*10)*0.2 + (MIN(E7/25*100,100))*0.2 + (MAX(100-F7*5,0))*0.15 + (G7*10)*0.15 + (H7)*0.15 + (I7)*0.15 - (J7*5),0),100),0)</f>
        <v>75</v>
      </c>
    </row>
    <row r="8" spans="1:11">
      <c r="A8" s="3" t="s">
        <v>355</v>
      </c>
      <c r="B8" s="3">
        <v>7</v>
      </c>
      <c r="C8" s="3">
        <v>12</v>
      </c>
      <c r="D8" s="3">
        <v>6</v>
      </c>
      <c r="E8" s="3">
        <v>5.2</v>
      </c>
      <c r="F8" s="3">
        <v>3.5</v>
      </c>
      <c r="G8" s="3">
        <v>5.9</v>
      </c>
      <c r="H8" s="3">
        <v>92.1</v>
      </c>
      <c r="I8" s="3">
        <v>81.599999999999994</v>
      </c>
      <c r="J8" s="3">
        <v>2</v>
      </c>
      <c r="K8" s="3">
        <f>ROUND(MIN(MAX((B8*10)*0.2 + (MIN(E8/25*100,100))*0.2 + (MAX(100-F8*5,0))*0.15 + (G8*10)*0.15 + (H8)*0.15 + (I8)*0.15 - (J8*5),0),100),0)</f>
        <v>55</v>
      </c>
    </row>
    <row r="9" spans="1:11">
      <c r="A9" s="3" t="s">
        <v>358</v>
      </c>
      <c r="B9" s="3">
        <v>9.4</v>
      </c>
      <c r="C9" s="3">
        <v>13</v>
      </c>
      <c r="D9" s="3">
        <v>8</v>
      </c>
      <c r="E9" s="3">
        <v>7.6</v>
      </c>
      <c r="F9" s="3">
        <v>16</v>
      </c>
      <c r="G9" s="3">
        <v>7.1</v>
      </c>
      <c r="H9" s="3">
        <v>75.8</v>
      </c>
      <c r="I9" s="3">
        <v>68.3</v>
      </c>
      <c r="J9" s="3">
        <v>0</v>
      </c>
      <c r="K9" s="3">
        <f>ROUND(MIN(MAX((B9*10)*0.2 + (MIN(E9/25*100,100))*0.2 + (MAX(100-F9*5,0))*0.15 + (G9*10)*0.15 + (H9)*0.15 + (I9)*0.15 - (J9*5),0),100),0)</f>
        <v>60</v>
      </c>
    </row>
    <row r="10" spans="1:11">
      <c r="A10" s="3" t="s">
        <v>362</v>
      </c>
      <c r="B10" s="3">
        <v>5.3</v>
      </c>
      <c r="C10" s="3">
        <v>7</v>
      </c>
      <c r="D10" s="3">
        <v>4</v>
      </c>
      <c r="E10" s="3">
        <v>5.2</v>
      </c>
      <c r="F10" s="3">
        <v>14.2</v>
      </c>
      <c r="G10" s="3">
        <v>9.4</v>
      </c>
      <c r="H10" s="3">
        <v>74</v>
      </c>
      <c r="I10" s="3">
        <v>86.3</v>
      </c>
      <c r="J10" s="3">
        <v>2</v>
      </c>
      <c r="K10" s="3">
        <f>ROUND(MIN(MAX((B10*10)*0.2 + (MIN(E10/25*100,100))*0.2 + (MAX(100-F10*5,0))*0.15 + (G10*10)*0.15 + (H10)*0.15 + (I10)*0.15 - (J10*5),0),100),0)</f>
        <v>47</v>
      </c>
    </row>
    <row r="11" spans="1:11">
      <c r="A11" s="3" t="s">
        <v>366</v>
      </c>
      <c r="B11" s="3">
        <v>8.6999999999999993</v>
      </c>
      <c r="C11" s="3">
        <v>13</v>
      </c>
      <c r="D11" s="3">
        <v>5</v>
      </c>
      <c r="E11" s="3">
        <v>6.7</v>
      </c>
      <c r="F11" s="3">
        <v>16.3</v>
      </c>
      <c r="G11" s="3">
        <v>8.6</v>
      </c>
      <c r="H11" s="3">
        <v>86.2</v>
      </c>
      <c r="I11" s="3">
        <v>62.6</v>
      </c>
      <c r="J11" s="3">
        <v>2</v>
      </c>
      <c r="K11" s="3">
        <f>ROUND(MIN(MAX((B11*10)*0.2 + (MIN(E11/25*100,100))*0.2 + (MAX(100-F11*5,0))*0.15 + (G11*10)*0.15 + (H11)*0.15 + (I11)*0.15 - (J11*5),0),100),0)</f>
        <v>51</v>
      </c>
    </row>
    <row r="12" spans="1:11">
      <c r="A12" s="3" t="s">
        <v>370</v>
      </c>
      <c r="B12" s="3">
        <v>6.5</v>
      </c>
      <c r="C12" s="3">
        <v>12</v>
      </c>
      <c r="D12" s="3">
        <v>7</v>
      </c>
      <c r="E12" s="3">
        <v>11.5</v>
      </c>
      <c r="F12" s="3">
        <v>23.3</v>
      </c>
      <c r="G12" s="3">
        <v>7.4</v>
      </c>
      <c r="H12" s="3">
        <v>85.4</v>
      </c>
      <c r="I12" s="3">
        <v>81.900000000000006</v>
      </c>
      <c r="J12" s="3">
        <v>3</v>
      </c>
      <c r="K12" s="3">
        <f>ROUND(MIN(MAX((B12*10)*0.2 + (MIN(E12/25*100,100))*0.2 + (MAX(100-F12*5,0))*0.15 + (G12*10)*0.15 + (H12)*0.15 + (I12)*0.15 - (J12*5),0),100),0)</f>
        <v>43</v>
      </c>
    </row>
    <row r="13" spans="1:11">
      <c r="A13" s="3" t="s">
        <v>372</v>
      </c>
      <c r="B13" s="3">
        <v>7.4</v>
      </c>
      <c r="C13" s="3">
        <v>10</v>
      </c>
      <c r="D13" s="3">
        <v>4</v>
      </c>
      <c r="E13" s="3">
        <v>11.4</v>
      </c>
      <c r="F13" s="3">
        <v>9.6999999999999993</v>
      </c>
      <c r="G13" s="3">
        <v>5.6</v>
      </c>
      <c r="H13" s="3">
        <v>62.2</v>
      </c>
      <c r="I13" s="3">
        <v>76.8</v>
      </c>
      <c r="J13" s="3">
        <v>0</v>
      </c>
      <c r="K13" s="3">
        <f>ROUND(MIN(MAX((B13*10)*0.2 + (MIN(E13/25*100,100))*0.2 + (MAX(100-F13*5,0))*0.15 + (G13*10)*0.15 + (H13)*0.15 + (I13)*0.15 - (J13*5),0),100),0)</f>
        <v>61</v>
      </c>
    </row>
    <row r="14" spans="1:11">
      <c r="A14" s="3" t="s">
        <v>374</v>
      </c>
      <c r="B14" s="3">
        <v>6.2</v>
      </c>
      <c r="C14" s="3">
        <v>8</v>
      </c>
      <c r="D14" s="3">
        <v>5</v>
      </c>
      <c r="E14" s="3">
        <v>4.5</v>
      </c>
      <c r="F14" s="3">
        <v>22</v>
      </c>
      <c r="G14" s="3">
        <v>9.1</v>
      </c>
      <c r="H14" s="3">
        <v>84.6</v>
      </c>
      <c r="I14" s="3">
        <v>76.8</v>
      </c>
      <c r="J14" s="3">
        <v>1</v>
      </c>
      <c r="K14" s="3">
        <f>ROUND(MIN(MAX((B14*10)*0.2 + (MIN(E14/25*100,100))*0.2 + (MAX(100-F14*5,0))*0.15 + (G14*10)*0.15 + (H14)*0.15 + (I14)*0.15 - (J14*5),0),100),0)</f>
        <v>49</v>
      </c>
    </row>
    <row r="15" spans="1:11">
      <c r="A15" s="3" t="s">
        <v>375</v>
      </c>
      <c r="B15" s="3">
        <v>6.9</v>
      </c>
      <c r="C15" s="3">
        <v>12</v>
      </c>
      <c r="D15" s="3">
        <v>7</v>
      </c>
      <c r="E15" s="3">
        <v>11.5</v>
      </c>
      <c r="F15" s="3">
        <v>20.8</v>
      </c>
      <c r="G15" s="3">
        <v>7.9</v>
      </c>
      <c r="H15" s="3">
        <v>72.900000000000006</v>
      </c>
      <c r="I15" s="3">
        <v>75.5</v>
      </c>
      <c r="J15" s="3">
        <v>0</v>
      </c>
      <c r="K15" s="3">
        <f>ROUND(MIN(MAX((B15*10)*0.2 + (MIN(E15/25*100,100))*0.2 + (MAX(100-F15*5,0))*0.15 + (G15*10)*0.15 + (H15)*0.15 + (I15)*0.15 - (J15*5),0),100),0)</f>
        <v>57</v>
      </c>
    </row>
    <row r="16" spans="1:11">
      <c r="A16" s="3" t="s">
        <v>377</v>
      </c>
      <c r="B16" s="3">
        <v>3.4</v>
      </c>
      <c r="C16" s="3">
        <v>3</v>
      </c>
      <c r="D16" s="3">
        <v>3</v>
      </c>
      <c r="E16" s="3">
        <v>9.5</v>
      </c>
      <c r="F16" s="3">
        <v>18.7</v>
      </c>
      <c r="G16" s="3">
        <v>7</v>
      </c>
      <c r="H16" s="3">
        <v>66.900000000000006</v>
      </c>
      <c r="I16" s="3">
        <v>65.7</v>
      </c>
      <c r="J16" s="3">
        <v>1</v>
      </c>
      <c r="K16" s="3">
        <f>ROUND(MIN(MAX((B16*10)*0.2 + (MIN(E16/25*100,100))*0.2 + (MAX(100-F16*5,0))*0.15 + (G16*10)*0.15 + (H16)*0.15 + (I16)*0.15 - (J16*5),0),100),0)</f>
        <v>41</v>
      </c>
    </row>
    <row r="17" spans="1:11">
      <c r="A17" s="3" t="s">
        <v>380</v>
      </c>
      <c r="B17" s="3">
        <v>6.1</v>
      </c>
      <c r="C17" s="3">
        <v>10</v>
      </c>
      <c r="D17" s="3">
        <v>4</v>
      </c>
      <c r="E17" s="3">
        <v>10.1</v>
      </c>
      <c r="F17" s="3">
        <v>9.1999999999999993</v>
      </c>
      <c r="G17" s="3">
        <v>6.5</v>
      </c>
      <c r="H17" s="3">
        <v>73.5</v>
      </c>
      <c r="I17" s="3">
        <v>80.7</v>
      </c>
      <c r="J17" s="3">
        <v>2</v>
      </c>
      <c r="K17" s="3">
        <f>ROUND(MIN(MAX((B17*10)*0.2 + (MIN(E17/25*100,100))*0.2 + (MAX(100-F17*5,0))*0.15 + (G17*10)*0.15 + (H17)*0.15 + (I17)*0.15 - (J17*5),0),100),0)</f>
        <v>51</v>
      </c>
    </row>
    <row r="18" spans="1:11">
      <c r="A18" s="3" t="s">
        <v>383</v>
      </c>
      <c r="B18" s="3">
        <v>7.5</v>
      </c>
      <c r="C18" s="3">
        <v>10</v>
      </c>
      <c r="D18" s="3">
        <v>4</v>
      </c>
      <c r="E18" s="3">
        <v>15.9</v>
      </c>
      <c r="F18" s="3">
        <v>9.3000000000000007</v>
      </c>
      <c r="G18" s="3">
        <v>8.3000000000000007</v>
      </c>
      <c r="H18" s="3">
        <v>86.3</v>
      </c>
      <c r="I18" s="3">
        <v>94</v>
      </c>
      <c r="J18" s="3">
        <v>3</v>
      </c>
      <c r="K18" s="3">
        <f>ROUND(MIN(MAX((B18*10)*0.2 + (MIN(E18/25*100,100))*0.2 + (MAX(100-F18*5,0))*0.15 + (G18*10)*0.15 + (H18)*0.15 + (I18)*0.15 - (J18*5),0),100),0)</f>
        <v>60</v>
      </c>
    </row>
    <row r="19" spans="1:11">
      <c r="A19" s="3" t="s">
        <v>385</v>
      </c>
      <c r="B19" s="3">
        <v>5.3</v>
      </c>
      <c r="C19" s="3">
        <v>9</v>
      </c>
      <c r="D19" s="3">
        <v>3</v>
      </c>
      <c r="E19" s="3">
        <v>9.6</v>
      </c>
      <c r="F19" s="3">
        <v>24.3</v>
      </c>
      <c r="G19" s="3">
        <v>8.1999999999999993</v>
      </c>
      <c r="H19" s="3">
        <v>75.7</v>
      </c>
      <c r="I19" s="3">
        <v>80.599999999999994</v>
      </c>
      <c r="J19" s="3">
        <v>3</v>
      </c>
      <c r="K19" s="3">
        <f>ROUND(MIN(MAX((B19*10)*0.2 + (MIN(E19/25*100,100))*0.2 + (MAX(100-F19*5,0))*0.15 + (G19*10)*0.15 + (H19)*0.15 + (I19)*0.15 - (J19*5),0),100),0)</f>
        <v>39</v>
      </c>
    </row>
    <row r="20" spans="1:11">
      <c r="A20" s="3" t="s">
        <v>387</v>
      </c>
      <c r="B20" s="3">
        <v>5.2</v>
      </c>
      <c r="C20" s="3">
        <v>8</v>
      </c>
      <c r="D20" s="3">
        <v>5</v>
      </c>
      <c r="E20" s="3">
        <v>18.5</v>
      </c>
      <c r="F20" s="3">
        <v>17.7</v>
      </c>
      <c r="G20" s="3">
        <v>9</v>
      </c>
      <c r="H20" s="3">
        <v>89.6</v>
      </c>
      <c r="I20" s="3">
        <v>84.5</v>
      </c>
      <c r="J20" s="3">
        <v>1</v>
      </c>
      <c r="K20" s="3">
        <f>ROUND(MIN(MAX((B20*10)*0.2 + (MIN(E20/25*100,100))*0.2 + (MAX(100-F20*5,0))*0.15 + (G20*10)*0.15 + (H20)*0.15 + (I20)*0.15 - (J20*5),0),100),0)</f>
        <v>62</v>
      </c>
    </row>
    <row r="21" spans="1:11">
      <c r="A21" s="3" t="s">
        <v>390</v>
      </c>
      <c r="B21" s="3">
        <v>7.5</v>
      </c>
      <c r="C21" s="3">
        <v>12</v>
      </c>
      <c r="D21" s="3">
        <v>6</v>
      </c>
      <c r="E21" s="3">
        <v>9.9</v>
      </c>
      <c r="F21" s="3">
        <v>7</v>
      </c>
      <c r="G21" s="3">
        <v>5.3</v>
      </c>
      <c r="H21" s="3">
        <v>97.9</v>
      </c>
      <c r="I21" s="3">
        <v>75.900000000000006</v>
      </c>
      <c r="J21" s="3">
        <v>0</v>
      </c>
      <c r="K21" s="3">
        <f>ROUND(MIN(MAX((B21*10)*0.2 + (MIN(E21/25*100,100))*0.2 + (MAX(100-F21*5,0))*0.15 + (G21*10)*0.15 + (H21)*0.15 + (I21)*0.15 - (J21*5),0),100),0)</f>
        <v>67</v>
      </c>
    </row>
    <row r="22" spans="1:11">
      <c r="A22" s="3" t="s">
        <v>392</v>
      </c>
      <c r="B22" s="3">
        <v>4</v>
      </c>
      <c r="C22" s="3">
        <v>4</v>
      </c>
      <c r="D22" s="3">
        <v>3</v>
      </c>
      <c r="E22" s="3">
        <v>4.9000000000000004</v>
      </c>
      <c r="F22" s="3">
        <v>20</v>
      </c>
      <c r="G22" s="3">
        <v>9</v>
      </c>
      <c r="H22" s="3">
        <v>95.3</v>
      </c>
      <c r="I22" s="3">
        <v>56.6</v>
      </c>
      <c r="J22" s="3">
        <v>0</v>
      </c>
      <c r="K22" s="3">
        <f>ROUND(MIN(MAX((B22*10)*0.2 + (MIN(E22/25*100,100))*0.2 + (MAX(100-F22*5,0))*0.15 + (G22*10)*0.15 + (H22)*0.15 + (I22)*0.15 - (J22*5),0),100),0)</f>
        <v>48</v>
      </c>
    </row>
    <row r="23" spans="1:11">
      <c r="A23" s="3" t="s">
        <v>395</v>
      </c>
      <c r="B23" s="3">
        <v>8.4</v>
      </c>
      <c r="C23" s="3">
        <v>12</v>
      </c>
      <c r="D23" s="3">
        <v>6</v>
      </c>
      <c r="E23" s="3">
        <v>6.1</v>
      </c>
      <c r="F23" s="3">
        <v>21.3</v>
      </c>
      <c r="G23" s="3">
        <v>8.6</v>
      </c>
      <c r="H23" s="3">
        <v>92.4</v>
      </c>
      <c r="I23" s="3">
        <v>62.1</v>
      </c>
      <c r="J23" s="3">
        <v>1</v>
      </c>
      <c r="K23" s="3">
        <f>ROUND(MIN(MAX((B23*10)*0.2 + (MIN(E23/25*100,100))*0.2 + (MAX(100-F23*5,0))*0.15 + (G23*10)*0.15 + (H23)*0.15 + (I23)*0.15 - (J23*5),0),100),0)</f>
        <v>53</v>
      </c>
    </row>
    <row r="24" spans="1:11">
      <c r="A24" s="3" t="s">
        <v>397</v>
      </c>
      <c r="B24" s="3">
        <v>5.9</v>
      </c>
      <c r="C24" s="3">
        <v>10</v>
      </c>
      <c r="D24" s="3">
        <v>4</v>
      </c>
      <c r="E24" s="3">
        <v>11.4</v>
      </c>
      <c r="F24" s="3">
        <v>9.3000000000000007</v>
      </c>
      <c r="G24" s="3">
        <v>8.5</v>
      </c>
      <c r="H24" s="3">
        <v>78</v>
      </c>
      <c r="I24" s="3">
        <v>78</v>
      </c>
      <c r="J24" s="3">
        <v>0</v>
      </c>
      <c r="K24" s="3">
        <f>ROUND(MIN(MAX((B24*10)*0.2 + (MIN(E24/25*100,100))*0.2 + (MAX(100-F24*5,0))*0.15 + (G24*10)*0.15 + (H24)*0.15 + (I24)*0.15 - (J24*5),0),100),0)</f>
        <v>65</v>
      </c>
    </row>
    <row r="25" spans="1:11">
      <c r="A25" s="3" t="s">
        <v>399</v>
      </c>
      <c r="B25" s="3">
        <v>8.6999999999999993</v>
      </c>
      <c r="C25" s="3">
        <v>14</v>
      </c>
      <c r="D25" s="3">
        <v>8</v>
      </c>
      <c r="E25" s="3">
        <v>10</v>
      </c>
      <c r="F25" s="3">
        <v>23.8</v>
      </c>
      <c r="G25" s="3">
        <v>9.9</v>
      </c>
      <c r="H25" s="3">
        <v>78.5</v>
      </c>
      <c r="I25" s="3">
        <v>67.099999999999994</v>
      </c>
      <c r="J25" s="3">
        <v>0</v>
      </c>
      <c r="K25" s="3">
        <f>ROUND(MIN(MAX((B25*10)*0.2 + (MIN(E25/25*100,100))*0.2 + (MAX(100-F25*5,0))*0.15 + (G25*10)*0.15 + (H25)*0.15 + (I25)*0.15 - (J25*5),0),100),0)</f>
        <v>62</v>
      </c>
    </row>
    <row r="26" spans="1:11">
      <c r="A26" s="3" t="s">
        <v>402</v>
      </c>
      <c r="B26" s="3">
        <v>6.7</v>
      </c>
      <c r="C26" s="3">
        <v>13</v>
      </c>
      <c r="D26" s="3">
        <v>7</v>
      </c>
      <c r="E26" s="3">
        <v>18.2</v>
      </c>
      <c r="F26" s="3">
        <v>6</v>
      </c>
      <c r="G26" s="3">
        <v>5.5</v>
      </c>
      <c r="H26" s="3">
        <v>85.6</v>
      </c>
      <c r="I26" s="3">
        <v>92.6</v>
      </c>
      <c r="J26" s="3">
        <v>1</v>
      </c>
      <c r="K26" s="3">
        <f>ROUND(MIN(MAX((B26*10)*0.2 + (MIN(E26/25*100,100))*0.2 + (MAX(100-F26*5,0))*0.15 + (G26*10)*0.15 + (H26)*0.15 + (I26)*0.15 - (J26*5),0),100),0)</f>
        <v>68</v>
      </c>
    </row>
    <row r="27" spans="1:11">
      <c r="A27" s="3" t="s">
        <v>404</v>
      </c>
      <c r="B27" s="3">
        <v>3.7</v>
      </c>
      <c r="C27" s="3">
        <v>8</v>
      </c>
      <c r="D27" s="3">
        <v>5</v>
      </c>
      <c r="E27" s="3">
        <v>8.4</v>
      </c>
      <c r="F27" s="3">
        <v>19.8</v>
      </c>
      <c r="G27" s="3">
        <v>5.6</v>
      </c>
      <c r="H27" s="3">
        <v>96.2</v>
      </c>
      <c r="I27" s="3">
        <v>61.3</v>
      </c>
      <c r="J27" s="3">
        <v>1</v>
      </c>
      <c r="K27" s="3">
        <f>ROUND(MIN(MAX((B27*10)*0.2 + (MIN(E27/25*100,100))*0.2 + (MAX(100-F27*5,0))*0.15 + (G27*10)*0.15 + (H27)*0.15 + (I27)*0.15 - (J27*5),0),100),0)</f>
        <v>41</v>
      </c>
    </row>
    <row r="28" spans="1:11">
      <c r="A28" s="3" t="s">
        <v>405</v>
      </c>
      <c r="B28" s="3">
        <v>9.6</v>
      </c>
      <c r="C28" s="3">
        <v>14</v>
      </c>
      <c r="D28" s="3">
        <v>7</v>
      </c>
      <c r="E28" s="3">
        <v>9.6</v>
      </c>
      <c r="F28" s="3">
        <v>3.6</v>
      </c>
      <c r="G28" s="3">
        <v>4.3</v>
      </c>
      <c r="H28" s="3">
        <v>80.099999999999994</v>
      </c>
      <c r="I28" s="3">
        <v>65.099999999999994</v>
      </c>
      <c r="J28" s="3">
        <v>4</v>
      </c>
      <c r="K28" s="3">
        <f>ROUND(MIN(MAX((B28*10)*0.2 + (MIN(E28/25*100,100))*0.2 + (MAX(100-F28*5,0))*0.15 + (G28*10)*0.15 + (H28)*0.15 + (I28)*0.15 - (J28*5),0),100),0)</f>
        <v>47</v>
      </c>
    </row>
    <row r="29" spans="1:11">
      <c r="A29" s="3" t="s">
        <v>408</v>
      </c>
      <c r="B29" s="3">
        <v>5.6</v>
      </c>
      <c r="C29" s="3">
        <v>7</v>
      </c>
      <c r="D29" s="3">
        <v>5</v>
      </c>
      <c r="E29" s="3">
        <v>18.899999999999999</v>
      </c>
      <c r="F29" s="3">
        <v>17.3</v>
      </c>
      <c r="G29" s="3">
        <v>8.6999999999999993</v>
      </c>
      <c r="H29" s="3">
        <v>65.5</v>
      </c>
      <c r="I29" s="3">
        <v>67.3</v>
      </c>
      <c r="J29" s="3">
        <v>2</v>
      </c>
      <c r="K29" s="3">
        <f>ROUND(MIN(MAX((B29*10)*0.2 + (MIN(E29/25*100,100))*0.2 + (MAX(100-F29*5,0))*0.15 + (G29*10)*0.15 + (H29)*0.15 + (I29)*0.15 - (J29*5),0),100),0)</f>
        <v>51</v>
      </c>
    </row>
    <row r="30" spans="1:11">
      <c r="A30" s="3" t="s">
        <v>411</v>
      </c>
      <c r="B30" s="3">
        <v>7.9</v>
      </c>
      <c r="C30" s="3">
        <v>11</v>
      </c>
      <c r="D30" s="3">
        <v>6</v>
      </c>
      <c r="E30" s="3">
        <v>11.5</v>
      </c>
      <c r="F30" s="3">
        <v>3.1</v>
      </c>
      <c r="G30" s="3">
        <v>4.5</v>
      </c>
      <c r="H30" s="3">
        <v>70.2</v>
      </c>
      <c r="I30" s="3">
        <v>90.9</v>
      </c>
      <c r="J30" s="3">
        <v>1</v>
      </c>
      <c r="K30" s="3">
        <f>ROUND(MIN(MAX((B30*10)*0.2 + (MIN(E30/25*100,100))*0.2 + (MAX(100-F30*5,0))*0.15 + (G30*10)*0.15 + (H30)*0.15 + (I30)*0.15 - (J30*5),0),100),0)</f>
        <v>64</v>
      </c>
    </row>
    <row r="31" spans="1:11">
      <c r="A31" s="3" t="s">
        <v>413</v>
      </c>
      <c r="B31" s="3">
        <v>8.1</v>
      </c>
      <c r="C31" s="3">
        <v>13</v>
      </c>
      <c r="D31" s="3">
        <v>5</v>
      </c>
      <c r="E31" s="3">
        <v>8.5</v>
      </c>
      <c r="F31" s="3">
        <v>9.6</v>
      </c>
      <c r="G31" s="3">
        <v>4.3</v>
      </c>
      <c r="H31" s="3">
        <v>76.8</v>
      </c>
      <c r="I31" s="3">
        <v>89.1</v>
      </c>
      <c r="J31" s="3">
        <v>1</v>
      </c>
      <c r="K31" s="3">
        <f>ROUND(MIN(MAX((B31*10)*0.2 + (MIN(E31/25*100,100))*0.2 + (MAX(100-F31*5,0))*0.15 + (G31*10)*0.15 + (H31)*0.15 + (I31)*0.15 - (J31*5),0),100),0)</f>
        <v>57</v>
      </c>
    </row>
    <row r="32" spans="1:11">
      <c r="A32" s="3" t="s">
        <v>416</v>
      </c>
      <c r="B32" s="3">
        <v>3.8</v>
      </c>
      <c r="C32" s="3">
        <v>8</v>
      </c>
      <c r="D32" s="3">
        <v>4</v>
      </c>
      <c r="E32" s="3">
        <v>3.3</v>
      </c>
      <c r="F32" s="3">
        <v>14.3</v>
      </c>
      <c r="G32" s="3">
        <v>5.5</v>
      </c>
      <c r="H32" s="3">
        <v>65.7</v>
      </c>
      <c r="I32" s="3">
        <v>73.5</v>
      </c>
      <c r="J32" s="3">
        <v>1</v>
      </c>
      <c r="K32" s="3">
        <f>ROUND(MIN(MAX((B32*10)*0.2 + (MIN(E32/25*100,100))*0.2 + (MAX(100-F32*5,0))*0.15 + (G32*10)*0.15 + (H32)*0.15 + (I32)*0.15 - (J32*5),0),100),0)</f>
        <v>39</v>
      </c>
    </row>
    <row r="33" spans="1:11">
      <c r="A33" s="3" t="s">
        <v>419</v>
      </c>
      <c r="B33" s="3">
        <v>4.7</v>
      </c>
      <c r="C33" s="3">
        <v>7</v>
      </c>
      <c r="D33" s="3">
        <v>4</v>
      </c>
      <c r="E33" s="3">
        <v>4.5999999999999996</v>
      </c>
      <c r="F33" s="3">
        <v>24.4</v>
      </c>
      <c r="G33" s="3">
        <v>4.4000000000000004</v>
      </c>
      <c r="H33" s="3">
        <v>81</v>
      </c>
      <c r="I33" s="3">
        <v>76.8</v>
      </c>
      <c r="J33" s="3">
        <v>4</v>
      </c>
      <c r="K33" s="3">
        <f>ROUND(MIN(MAX((B33*10)*0.2 + (MIN(E33/25*100,100))*0.2 + (MAX(100-F33*5,0))*0.15 + (G33*10)*0.15 + (H33)*0.15 + (I33)*0.15 - (J33*5),0),100),0)</f>
        <v>23</v>
      </c>
    </row>
    <row r="34" spans="1:11">
      <c r="A34" s="3" t="s">
        <v>421</v>
      </c>
      <c r="B34" s="3">
        <v>6.9</v>
      </c>
      <c r="C34" s="3">
        <v>10</v>
      </c>
      <c r="D34" s="3">
        <v>5</v>
      </c>
      <c r="E34" s="3">
        <v>15.1</v>
      </c>
      <c r="F34" s="3">
        <v>24.6</v>
      </c>
      <c r="G34" s="3">
        <v>5.5</v>
      </c>
      <c r="H34" s="3">
        <v>60.6</v>
      </c>
      <c r="I34" s="3">
        <v>88.9</v>
      </c>
      <c r="J34" s="3">
        <v>0</v>
      </c>
      <c r="K34" s="3">
        <f>ROUND(MIN(MAX((B34*10)*0.2 + (MIN(E34/25*100,100))*0.2 + (MAX(100-F34*5,0))*0.15 + (G34*10)*0.15 + (H34)*0.15 + (I34)*0.15 - (J34*5),0),100),0)</f>
        <v>57</v>
      </c>
    </row>
    <row r="35" spans="1:11">
      <c r="A35" s="3" t="s">
        <v>423</v>
      </c>
      <c r="B35" s="3">
        <v>8.1</v>
      </c>
      <c r="C35" s="3">
        <v>14</v>
      </c>
      <c r="D35" s="3">
        <v>8</v>
      </c>
      <c r="E35" s="3">
        <v>17</v>
      </c>
      <c r="F35" s="3">
        <v>10.3</v>
      </c>
      <c r="G35" s="3">
        <v>4.3</v>
      </c>
      <c r="H35" s="3">
        <v>81.8</v>
      </c>
      <c r="I35" s="3">
        <v>90</v>
      </c>
      <c r="J35" s="3">
        <v>0</v>
      </c>
      <c r="K35" s="3">
        <f>ROUND(MIN(MAX((B35*10)*0.2 + (MIN(E35/25*100,100))*0.2 + (MAX(100-F35*5,0))*0.15 + (G35*10)*0.15 + (H35)*0.15 + (I35)*0.15 - (J35*5),0),100),0)</f>
        <v>69</v>
      </c>
    </row>
    <row r="36" spans="1:11">
      <c r="A36" s="3" t="s">
        <v>426</v>
      </c>
      <c r="B36" s="3">
        <v>8.5</v>
      </c>
      <c r="C36" s="3">
        <v>13</v>
      </c>
      <c r="D36" s="3">
        <v>7</v>
      </c>
      <c r="E36" s="3">
        <v>15</v>
      </c>
      <c r="F36" s="3">
        <v>20.9</v>
      </c>
      <c r="G36" s="3">
        <v>4.4000000000000004</v>
      </c>
      <c r="H36" s="3">
        <v>91</v>
      </c>
      <c r="I36" s="3">
        <v>74.7</v>
      </c>
      <c r="J36" s="3">
        <v>0</v>
      </c>
      <c r="K36" s="3">
        <f>ROUND(MIN(MAX((B36*10)*0.2 + (MIN(E36/25*100,100))*0.2 + (MAX(100-F36*5,0))*0.15 + (G36*10)*0.15 + (H36)*0.15 + (I36)*0.15 - (J36*5),0),100),0)</f>
        <v>60</v>
      </c>
    </row>
    <row r="37" spans="1:11">
      <c r="A37" s="3" t="s">
        <v>429</v>
      </c>
      <c r="B37" s="3">
        <v>3.3</v>
      </c>
      <c r="C37" s="3">
        <v>4</v>
      </c>
      <c r="D37" s="3">
        <v>1</v>
      </c>
      <c r="E37" s="3">
        <v>20.7</v>
      </c>
      <c r="F37" s="3">
        <v>14.3</v>
      </c>
      <c r="G37" s="3">
        <v>9.9</v>
      </c>
      <c r="H37" s="3">
        <v>81.7</v>
      </c>
      <c r="I37" s="3">
        <v>65.900000000000006</v>
      </c>
      <c r="J37" s="3">
        <v>2</v>
      </c>
      <c r="K37" s="3">
        <f>ROUND(MIN(MAX((B37*10)*0.2 + (MIN(E37/25*100,100))*0.2 + (MAX(100-F37*5,0))*0.15 + (G37*10)*0.15 + (H37)*0.15 + (I37)*0.15 - (J37*5),0),100),0)</f>
        <v>54</v>
      </c>
    </row>
    <row r="38" spans="1:11">
      <c r="A38" s="3" t="s">
        <v>431</v>
      </c>
      <c r="B38" s="3">
        <v>4.3</v>
      </c>
      <c r="C38" s="3">
        <v>6</v>
      </c>
      <c r="D38" s="3">
        <v>4</v>
      </c>
      <c r="E38" s="3">
        <v>19.5</v>
      </c>
      <c r="F38" s="3">
        <v>10.3</v>
      </c>
      <c r="G38" s="3">
        <v>4.7</v>
      </c>
      <c r="H38" s="3">
        <v>74.7</v>
      </c>
      <c r="I38" s="3">
        <v>93.2</v>
      </c>
      <c r="J38" s="3">
        <v>2</v>
      </c>
      <c r="K38" s="3">
        <f>ROUND(MIN(MAX((B38*10)*0.2 + (MIN(E38/25*100,100))*0.2 + (MAX(100-F38*5,0))*0.15 + (G38*10)*0.15 + (H38)*0.15 + (I38)*0.15 - (J38*5),0),100),0)</f>
        <v>54</v>
      </c>
    </row>
    <row r="39" spans="1:11">
      <c r="A39" s="3" t="s">
        <v>433</v>
      </c>
      <c r="B39" s="3">
        <v>9.3000000000000007</v>
      </c>
      <c r="C39" s="3">
        <v>14</v>
      </c>
      <c r="D39" s="3">
        <v>8</v>
      </c>
      <c r="E39" s="3">
        <v>12.4</v>
      </c>
      <c r="F39" s="3">
        <v>13.9</v>
      </c>
      <c r="G39" s="3">
        <v>9.5</v>
      </c>
      <c r="H39" s="3">
        <v>80.8</v>
      </c>
      <c r="I39" s="3">
        <v>89.4</v>
      </c>
      <c r="J39" s="3">
        <v>2</v>
      </c>
      <c r="K39" s="3">
        <f>ROUND(MIN(MAX((B39*10)*0.2 + (MIN(E39/25*100,100))*0.2 + (MAX(100-F39*5,0))*0.15 + (G39*10)*0.15 + (H39)*0.15 + (I39)*0.15 - (J39*5),0),100),0)</f>
        <v>63</v>
      </c>
    </row>
    <row r="40" spans="1:11">
      <c r="A40" s="3" t="s">
        <v>435</v>
      </c>
      <c r="B40" s="3">
        <v>3.6</v>
      </c>
      <c r="C40" s="3">
        <v>6</v>
      </c>
      <c r="D40" s="3">
        <v>4</v>
      </c>
      <c r="E40" s="3">
        <v>13.4</v>
      </c>
      <c r="F40" s="3">
        <v>10.1</v>
      </c>
      <c r="G40" s="3">
        <v>4.5</v>
      </c>
      <c r="H40" s="3">
        <v>86.4</v>
      </c>
      <c r="I40" s="3">
        <v>68.2</v>
      </c>
      <c r="J40" s="3">
        <v>1</v>
      </c>
      <c r="K40" s="3">
        <f>ROUND(MIN(MAX((B40*10)*0.2 + (MIN(E40/25*100,100))*0.2 + (MAX(100-F40*5,0))*0.15 + (G40*10)*0.15 + (H40)*0.15 + (I40)*0.15 - (J40*5),0),100),0)</f>
        <v>50</v>
      </c>
    </row>
    <row r="41" spans="1:11">
      <c r="A41" s="3" t="s">
        <v>437</v>
      </c>
      <c r="B41" s="3">
        <v>6</v>
      </c>
      <c r="C41" s="3">
        <v>11</v>
      </c>
      <c r="D41" s="3">
        <v>5</v>
      </c>
      <c r="E41" s="3">
        <v>3.8</v>
      </c>
      <c r="F41" s="3">
        <v>22.1</v>
      </c>
      <c r="G41" s="3">
        <v>6.1</v>
      </c>
      <c r="H41" s="3">
        <v>99.9</v>
      </c>
      <c r="I41" s="3">
        <v>66.8</v>
      </c>
      <c r="J41" s="3">
        <v>4</v>
      </c>
      <c r="K41" s="3">
        <f>ROUND(MIN(MAX((B41*10)*0.2 + (MIN(E41/25*100,100))*0.2 + (MAX(100-F41*5,0))*0.15 + (G41*10)*0.15 + (H41)*0.15 + (I41)*0.15 - (J41*5),0),100),0)</f>
        <v>29</v>
      </c>
    </row>
    <row r="42" spans="1:11">
      <c r="A42" s="3" t="s">
        <v>440</v>
      </c>
      <c r="B42" s="3">
        <v>9.6</v>
      </c>
      <c r="C42" s="3">
        <v>13</v>
      </c>
      <c r="D42" s="3">
        <v>7</v>
      </c>
      <c r="E42" s="3">
        <v>9.9</v>
      </c>
      <c r="F42" s="3">
        <v>20.6</v>
      </c>
      <c r="G42" s="3">
        <v>8.1</v>
      </c>
      <c r="H42" s="3">
        <v>98.1</v>
      </c>
      <c r="I42" s="3">
        <v>61.1</v>
      </c>
      <c r="J42" s="3">
        <v>1</v>
      </c>
      <c r="K42" s="3">
        <f>ROUND(MIN(MAX((B42*10)*0.2 + (MIN(E42/25*100,100))*0.2 + (MAX(100-F42*5,0))*0.15 + (G42*10)*0.15 + (H42)*0.15 + (I42)*0.15 - (J42*5),0),100),0)</f>
        <v>58</v>
      </c>
    </row>
    <row r="43" spans="1:11">
      <c r="A43" s="3" t="s">
        <v>442</v>
      </c>
      <c r="B43" s="3">
        <v>8.5</v>
      </c>
      <c r="C43" s="3">
        <v>11</v>
      </c>
      <c r="D43" s="3">
        <v>4</v>
      </c>
      <c r="E43" s="3">
        <v>17.8</v>
      </c>
      <c r="F43" s="3">
        <v>11.1</v>
      </c>
      <c r="G43" s="3">
        <v>6.3</v>
      </c>
      <c r="H43" s="3">
        <v>82.7</v>
      </c>
      <c r="I43" s="3">
        <v>81</v>
      </c>
      <c r="J43" s="3">
        <v>1</v>
      </c>
      <c r="K43" s="3">
        <f>ROUND(MIN(MAX((B43*10)*0.2 + (MIN(E43/25*100,100))*0.2 + (MAX(100-F43*5,0))*0.15 + (G43*10)*0.15 + (H43)*0.15 + (I43)*0.15 - (J43*5),0),100),0)</f>
        <v>67</v>
      </c>
    </row>
    <row r="44" spans="1:11">
      <c r="A44" s="3" t="s">
        <v>443</v>
      </c>
      <c r="B44" s="3">
        <v>9.6</v>
      </c>
      <c r="C44" s="3">
        <v>15</v>
      </c>
      <c r="D44" s="3">
        <v>8</v>
      </c>
      <c r="E44" s="3">
        <v>13.9</v>
      </c>
      <c r="F44" s="3">
        <v>14.6</v>
      </c>
      <c r="G44" s="3">
        <v>6.4</v>
      </c>
      <c r="H44" s="3">
        <v>86</v>
      </c>
      <c r="I44" s="3">
        <v>65.7</v>
      </c>
      <c r="J44" s="3">
        <v>0</v>
      </c>
      <c r="K44" s="3">
        <f>ROUND(MIN(MAX((B44*10)*0.2 + (MIN(E44/25*100,100))*0.2 + (MAX(100-F44*5,0))*0.15 + (G44*10)*0.15 + (H44)*0.15 + (I44)*0.15 - (J44*5),0),100),0)</f>
        <v>67</v>
      </c>
    </row>
    <row r="45" spans="1:11">
      <c r="A45" s="3" t="s">
        <v>445</v>
      </c>
      <c r="B45" s="3">
        <v>8.1</v>
      </c>
      <c r="C45" s="3">
        <v>13</v>
      </c>
      <c r="D45" s="3">
        <v>6</v>
      </c>
      <c r="E45" s="3">
        <v>13.7</v>
      </c>
      <c r="F45" s="3">
        <v>8.8000000000000007</v>
      </c>
      <c r="G45" s="3">
        <v>5.6</v>
      </c>
      <c r="H45" s="3">
        <v>77.900000000000006</v>
      </c>
      <c r="I45" s="3">
        <v>97.8</v>
      </c>
      <c r="J45" s="3">
        <v>0</v>
      </c>
      <c r="K45" s="3">
        <f>ROUND(MIN(MAX((B45*10)*0.2 + (MIN(E45/25*100,100))*0.2 + (MAX(100-F45*5,0))*0.15 + (G45*10)*0.15 + (H45)*0.15 + (I45)*0.15 - (J45*5),0),100),0)</f>
        <v>70</v>
      </c>
    </row>
    <row r="46" spans="1:11">
      <c r="A46" s="3" t="s">
        <v>447</v>
      </c>
      <c r="B46" s="3">
        <v>9.4</v>
      </c>
      <c r="C46" s="3">
        <v>15</v>
      </c>
      <c r="D46" s="3">
        <v>6</v>
      </c>
      <c r="E46" s="3">
        <v>19.2</v>
      </c>
      <c r="F46" s="3">
        <v>12.9</v>
      </c>
      <c r="G46" s="3">
        <v>9.4</v>
      </c>
      <c r="H46" s="3">
        <v>77.8</v>
      </c>
      <c r="I46" s="3">
        <v>58.8</v>
      </c>
      <c r="J46" s="3">
        <v>1</v>
      </c>
      <c r="K46" s="3">
        <f>ROUND(MIN(MAX((B46*10)*0.2 + (MIN(E46/25*100,100))*0.2 + (MAX(100-F46*5,0))*0.15 + (G46*10)*0.15 + (H46)*0.15 + (I46)*0.15 - (J46*5),0),100),0)</f>
        <v>69</v>
      </c>
    </row>
    <row r="47" spans="1:11">
      <c r="A47" s="3" t="s">
        <v>449</v>
      </c>
      <c r="B47" s="3">
        <v>8.9</v>
      </c>
      <c r="C47" s="3">
        <v>13</v>
      </c>
      <c r="D47" s="3">
        <v>6</v>
      </c>
      <c r="E47" s="3">
        <v>4.2</v>
      </c>
      <c r="F47" s="3">
        <v>14.9</v>
      </c>
      <c r="G47" s="3">
        <v>9.3000000000000007</v>
      </c>
      <c r="H47" s="3">
        <v>94.1</v>
      </c>
      <c r="I47" s="3">
        <v>85.6</v>
      </c>
      <c r="J47" s="3">
        <v>3</v>
      </c>
      <c r="K47" s="3">
        <f>ROUND(MIN(MAX((B47*10)*0.2 + (MIN(E47/25*100,100))*0.2 + (MAX(100-F47*5,0))*0.15 + (G47*10)*0.15 + (H47)*0.15 + (I47)*0.15 - (J47*5),0),100),0)</f>
        <v>51</v>
      </c>
    </row>
    <row r="48" spans="1:11">
      <c r="A48" s="3" t="s">
        <v>452</v>
      </c>
      <c r="B48" s="3">
        <v>7.5</v>
      </c>
      <c r="C48" s="3">
        <v>13</v>
      </c>
      <c r="D48" s="3">
        <v>7</v>
      </c>
      <c r="E48" s="3">
        <v>5.3</v>
      </c>
      <c r="F48" s="3">
        <v>7.4</v>
      </c>
      <c r="G48" s="3">
        <v>4.8</v>
      </c>
      <c r="H48" s="3">
        <v>91.6</v>
      </c>
      <c r="I48" s="3">
        <v>56.1</v>
      </c>
      <c r="J48" s="3">
        <v>1</v>
      </c>
      <c r="K48" s="3">
        <f>ROUND(MIN(MAX((B48*10)*0.2 + (MIN(E48/25*100,100))*0.2 + (MAX(100-F48*5,0))*0.15 + (G48*10)*0.15 + (H48)*0.15 + (I48)*0.15 - (J48*5),0),100),0)</f>
        <v>53</v>
      </c>
    </row>
    <row r="49" spans="1:11">
      <c r="A49" s="3" t="s">
        <v>454</v>
      </c>
      <c r="B49" s="3">
        <v>5.6</v>
      </c>
      <c r="C49" s="3">
        <v>10</v>
      </c>
      <c r="D49" s="3">
        <v>5</v>
      </c>
      <c r="E49" s="3">
        <v>14.6</v>
      </c>
      <c r="F49" s="3">
        <v>4.9000000000000004</v>
      </c>
      <c r="G49" s="3">
        <v>5.9</v>
      </c>
      <c r="H49" s="3">
        <v>100</v>
      </c>
      <c r="I49" s="3">
        <v>85.9</v>
      </c>
      <c r="J49" s="3">
        <v>1</v>
      </c>
      <c r="K49" s="3">
        <f>ROUND(MIN(MAX((B49*10)*0.2 + (MIN(E49/25*100,100))*0.2 + (MAX(100-F49*5,0))*0.15 + (G49*10)*0.15 + (H49)*0.15 + (I49)*0.15 - (J49*5),0),100),0)</f>
        <v>66</v>
      </c>
    </row>
    <row r="50" spans="1:11">
      <c r="A50" s="3" t="s">
        <v>457</v>
      </c>
      <c r="B50" s="3">
        <v>8.4</v>
      </c>
      <c r="C50" s="3">
        <v>15</v>
      </c>
      <c r="D50" s="3">
        <v>6</v>
      </c>
      <c r="E50" s="3">
        <v>21.5</v>
      </c>
      <c r="F50" s="3">
        <v>17.100000000000001</v>
      </c>
      <c r="G50" s="3">
        <v>6.7</v>
      </c>
      <c r="H50" s="3">
        <v>87.2</v>
      </c>
      <c r="I50" s="3">
        <v>69.8</v>
      </c>
      <c r="J50" s="3">
        <v>3</v>
      </c>
      <c r="K50" s="3">
        <f>ROUND(MIN(MAX((B50*10)*0.2 + (MIN(E50/25*100,100))*0.2 + (MAX(100-F50*5,0))*0.15 + (G50*10)*0.15 + (H50)*0.15 + (I50)*0.15 - (J50*5),0),100),0)</f>
        <v>55</v>
      </c>
    </row>
    <row r="51" spans="1:11">
      <c r="A51" s="3" t="s">
        <v>459</v>
      </c>
      <c r="B51" s="3">
        <v>8.5</v>
      </c>
      <c r="C51" s="3">
        <v>14</v>
      </c>
      <c r="D51" s="3">
        <v>6</v>
      </c>
      <c r="E51" s="3">
        <v>21.4</v>
      </c>
      <c r="F51" s="3">
        <v>12.5</v>
      </c>
      <c r="G51" s="3">
        <v>9.5</v>
      </c>
      <c r="H51" s="3">
        <v>62.2</v>
      </c>
      <c r="I51" s="3">
        <v>60.3</v>
      </c>
      <c r="J51" s="3">
        <v>0</v>
      </c>
      <c r="K51" s="3">
        <f>ROUND(MIN(MAX((B51*10)*0.2 + (MIN(E51/25*100,100))*0.2 + (MAX(100-F51*5,0))*0.15 + (G51*10)*0.15 + (H51)*0.15 + (I51)*0.15 - (J51*5),0),100),0)</f>
        <v>72</v>
      </c>
    </row>
    <row r="52" spans="1:11">
      <c r="A52" s="3" t="s">
        <v>461</v>
      </c>
      <c r="B52" s="3">
        <v>4.2</v>
      </c>
      <c r="C52" s="3">
        <v>6</v>
      </c>
      <c r="D52" s="3">
        <v>4</v>
      </c>
      <c r="E52" s="3">
        <v>9.6</v>
      </c>
      <c r="F52" s="3">
        <v>23.7</v>
      </c>
      <c r="G52" s="3">
        <v>9.4</v>
      </c>
      <c r="H52" s="3">
        <v>93.8</v>
      </c>
      <c r="I52" s="3">
        <v>65.8</v>
      </c>
      <c r="J52" s="3">
        <v>1</v>
      </c>
      <c r="K52" s="3">
        <f>ROUND(MIN(MAX((B52*10)*0.2 + (MIN(E52/25*100,100))*0.2 + (MAX(100-F52*5,0))*0.15 + (G52*10)*0.15 + (H52)*0.15 + (I52)*0.15 - (J52*5),0),100),0)</f>
        <v>49</v>
      </c>
    </row>
    <row r="53" spans="1:11">
      <c r="A53" s="3" t="s">
        <v>462</v>
      </c>
      <c r="B53" s="3">
        <v>6.9</v>
      </c>
      <c r="C53" s="3">
        <v>9</v>
      </c>
      <c r="D53" s="3">
        <v>4</v>
      </c>
      <c r="E53" s="3">
        <v>13.1</v>
      </c>
      <c r="F53" s="3">
        <v>14.1</v>
      </c>
      <c r="G53" s="3">
        <v>5</v>
      </c>
      <c r="H53" s="3">
        <v>97.7</v>
      </c>
      <c r="I53" s="3">
        <v>61.6</v>
      </c>
      <c r="J53" s="3">
        <v>1</v>
      </c>
      <c r="K53" s="3">
        <f>ROUND(MIN(MAX((B53*10)*0.2 + (MIN(E53/25*100,100))*0.2 + (MAX(100-F53*5,0))*0.15 + (G53*10)*0.15 + (H53)*0.15 + (I53)*0.15 - (J53*5),0),100),0)</f>
        <v>55</v>
      </c>
    </row>
    <row r="54" spans="1:11">
      <c r="A54" s="3" t="s">
        <v>464</v>
      </c>
      <c r="B54" s="3">
        <v>8</v>
      </c>
      <c r="C54" s="3">
        <v>13</v>
      </c>
      <c r="D54" s="3">
        <v>8</v>
      </c>
      <c r="E54" s="3">
        <v>13.7</v>
      </c>
      <c r="F54" s="3">
        <v>21.2</v>
      </c>
      <c r="G54" s="3">
        <v>4.2</v>
      </c>
      <c r="H54" s="3">
        <v>61.8</v>
      </c>
      <c r="I54" s="3">
        <v>82.6</v>
      </c>
      <c r="J54" s="3">
        <v>1</v>
      </c>
      <c r="K54" s="3">
        <f>ROUND(MIN(MAX((B54*10)*0.2 + (MIN(E54/25*100,100))*0.2 + (MAX(100-F54*5,0))*0.15 + (G54*10)*0.15 + (H54)*0.15 + (I54)*0.15 - (J54*5),0),100),0)</f>
        <v>50</v>
      </c>
    </row>
    <row r="55" spans="1:11">
      <c r="A55" s="3" t="s">
        <v>466</v>
      </c>
      <c r="B55" s="3">
        <v>7.6</v>
      </c>
      <c r="C55" s="3">
        <v>13</v>
      </c>
      <c r="D55" s="3">
        <v>6</v>
      </c>
      <c r="E55" s="3">
        <v>15.1</v>
      </c>
      <c r="F55" s="3">
        <v>14</v>
      </c>
      <c r="G55" s="3">
        <v>7.8</v>
      </c>
      <c r="H55" s="3">
        <v>71.599999999999994</v>
      </c>
      <c r="I55" s="3">
        <v>96.1</v>
      </c>
      <c r="J55" s="3">
        <v>1</v>
      </c>
      <c r="K55" s="3">
        <f>ROUND(MIN(MAX((B55*10)*0.2 + (MIN(E55/25*100,100))*0.2 + (MAX(100-F55*5,0))*0.15 + (G55*10)*0.15 + (H55)*0.15 + (I55)*0.15 - (J55*5),0),100),0)</f>
        <v>64</v>
      </c>
    </row>
    <row r="56" spans="1:11">
      <c r="A56" s="3" t="s">
        <v>468</v>
      </c>
      <c r="B56" s="3">
        <v>8.6</v>
      </c>
      <c r="C56" s="3">
        <v>15</v>
      </c>
      <c r="D56" s="3">
        <v>7</v>
      </c>
      <c r="E56" s="3">
        <v>4.4000000000000004</v>
      </c>
      <c r="F56" s="3">
        <v>4.3</v>
      </c>
      <c r="G56" s="3">
        <v>6.6</v>
      </c>
      <c r="H56" s="3">
        <v>79.400000000000006</v>
      </c>
      <c r="I56" s="3">
        <v>63.8</v>
      </c>
      <c r="J56" s="3">
        <v>1</v>
      </c>
      <c r="K56" s="3">
        <f>ROUND(MIN(MAX((B56*10)*0.2 + (MIN(E56/25*100,100))*0.2 + (MAX(100-F56*5,0))*0.15 + (G56*10)*0.15 + (H56)*0.15 + (I56)*0.15 - (J56*5),0),100),0)</f>
        <v>59</v>
      </c>
    </row>
    <row r="57" spans="1:11">
      <c r="A57" s="3" t="s">
        <v>470</v>
      </c>
      <c r="B57" s="3">
        <v>5.2</v>
      </c>
      <c r="C57" s="3">
        <v>9</v>
      </c>
      <c r="D57" s="3">
        <v>5</v>
      </c>
      <c r="E57" s="3">
        <v>19.399999999999999</v>
      </c>
      <c r="F57" s="3">
        <v>24.5</v>
      </c>
      <c r="G57" s="3">
        <v>4.8</v>
      </c>
      <c r="H57" s="3">
        <v>74.8</v>
      </c>
      <c r="I57" s="3">
        <v>79.2</v>
      </c>
      <c r="J57" s="3">
        <v>0</v>
      </c>
      <c r="K57" s="3">
        <f>ROUND(MIN(MAX((B57*10)*0.2 + (MIN(E57/25*100,100))*0.2 + (MAX(100-F57*5,0))*0.15 + (G57*10)*0.15 + (H57)*0.15 + (I57)*0.15 - (J57*5),0),100),0)</f>
        <v>56</v>
      </c>
    </row>
    <row r="58" spans="1:11">
      <c r="A58" s="3" t="s">
        <v>472</v>
      </c>
      <c r="B58" s="3">
        <v>6.3</v>
      </c>
      <c r="C58" s="3">
        <v>9</v>
      </c>
      <c r="D58" s="3">
        <v>4</v>
      </c>
      <c r="E58" s="3">
        <v>4.8</v>
      </c>
      <c r="F58" s="3">
        <v>9.4</v>
      </c>
      <c r="G58" s="3">
        <v>6.3</v>
      </c>
      <c r="H58" s="3">
        <v>84.6</v>
      </c>
      <c r="I58" s="3">
        <v>65.7</v>
      </c>
      <c r="J58" s="3">
        <v>3</v>
      </c>
      <c r="K58" s="3">
        <f>ROUND(MIN(MAX((B58*10)*0.2 + (MIN(E58/25*100,100))*0.2 + (MAX(100-F58*5,0))*0.15 + (G58*10)*0.15 + (H58)*0.15 + (I58)*0.15 - (J58*5),0),100),0)</f>
        <v>41</v>
      </c>
    </row>
    <row r="59" spans="1:11">
      <c r="A59" s="3" t="s">
        <v>474</v>
      </c>
      <c r="B59" s="3">
        <v>4.0999999999999996</v>
      </c>
      <c r="C59" s="3">
        <v>6</v>
      </c>
      <c r="D59" s="3">
        <v>3</v>
      </c>
      <c r="E59" s="3">
        <v>8.9</v>
      </c>
      <c r="F59" s="3">
        <v>19.8</v>
      </c>
      <c r="G59" s="3">
        <v>7</v>
      </c>
      <c r="H59" s="3">
        <v>80.599999999999994</v>
      </c>
      <c r="I59" s="3">
        <v>76.400000000000006</v>
      </c>
      <c r="J59" s="3">
        <v>0</v>
      </c>
      <c r="K59" s="3">
        <f>ROUND(MIN(MAX((B59*10)*0.2 + (MIN(E59/25*100,100))*0.2 + (MAX(100-F59*5,0))*0.15 + (G59*10)*0.15 + (H59)*0.15 + (I59)*0.15 - (J59*5),0),100),0)</f>
        <v>50</v>
      </c>
    </row>
    <row r="60" spans="1:11">
      <c r="A60" s="3" t="s">
        <v>476</v>
      </c>
      <c r="B60" s="3">
        <v>3.2</v>
      </c>
      <c r="C60" s="3">
        <v>7</v>
      </c>
      <c r="D60" s="3">
        <v>4</v>
      </c>
      <c r="E60" s="3">
        <v>21.4</v>
      </c>
      <c r="F60" s="3">
        <v>7.7</v>
      </c>
      <c r="G60" s="3">
        <v>6.1</v>
      </c>
      <c r="H60" s="3">
        <v>62</v>
      </c>
      <c r="I60" s="3">
        <v>76.3</v>
      </c>
      <c r="J60" s="3">
        <v>3</v>
      </c>
      <c r="K60" s="3">
        <f>ROUND(MIN(MAX((B60*10)*0.2 + (MIN(E60/25*100,100))*0.2 + (MAX(100-F60*5,0))*0.15 + (G60*10)*0.15 + (H60)*0.15 + (I60)*0.15 - (J60*5),0),100),0)</f>
        <v>48</v>
      </c>
    </row>
    <row r="61" spans="1:11">
      <c r="A61" s="3" t="s">
        <v>478</v>
      </c>
      <c r="B61" s="3">
        <v>7.6</v>
      </c>
      <c r="C61" s="3">
        <v>12</v>
      </c>
      <c r="D61" s="3">
        <v>6</v>
      </c>
      <c r="E61" s="3">
        <v>19.100000000000001</v>
      </c>
      <c r="F61" s="3">
        <v>12.5</v>
      </c>
      <c r="G61" s="3">
        <v>9.3000000000000007</v>
      </c>
      <c r="H61" s="3">
        <v>89.1</v>
      </c>
      <c r="I61" s="3">
        <v>87.8</v>
      </c>
      <c r="J61" s="3">
        <v>0</v>
      </c>
      <c r="K61" s="3">
        <f>ROUND(MIN(MAX((B61*10)*0.2 + (MIN(E61/25*100,100))*0.2 + (MAX(100-F61*5,0))*0.15 + (G61*10)*0.15 + (H61)*0.15 + (I61)*0.15 - (J61*5),0),100),0)</f>
        <v>77</v>
      </c>
    </row>
    <row r="62" spans="1:11">
      <c r="A62" s="3" t="s">
        <v>480</v>
      </c>
      <c r="B62" s="3">
        <v>5.8</v>
      </c>
      <c r="C62" s="3">
        <v>10</v>
      </c>
      <c r="D62" s="3">
        <v>4</v>
      </c>
      <c r="E62" s="3">
        <v>13.5</v>
      </c>
      <c r="F62" s="3">
        <v>4.5999999999999996</v>
      </c>
      <c r="G62" s="3">
        <v>7</v>
      </c>
      <c r="H62" s="3">
        <v>90.6</v>
      </c>
      <c r="I62" s="3">
        <v>67</v>
      </c>
      <c r="J62" s="3">
        <v>4</v>
      </c>
      <c r="K62" s="3">
        <f>ROUND(MIN(MAX((B62*10)*0.2 + (MIN(E62/25*100,100))*0.2 + (MAX(100-F62*5,0))*0.15 + (G62*10)*0.15 + (H62)*0.15 + (I62)*0.15 - (J62*5),0),100),0)</f>
        <v>48</v>
      </c>
    </row>
    <row r="63" spans="1:11">
      <c r="A63" s="3" t="s">
        <v>482</v>
      </c>
      <c r="B63" s="3">
        <v>7.8</v>
      </c>
      <c r="C63" s="3">
        <v>11</v>
      </c>
      <c r="D63" s="3">
        <v>7</v>
      </c>
      <c r="E63" s="3">
        <v>10.5</v>
      </c>
      <c r="F63" s="3">
        <v>20.5</v>
      </c>
      <c r="G63" s="3">
        <v>6</v>
      </c>
      <c r="H63" s="3">
        <v>97.6</v>
      </c>
      <c r="I63" s="3">
        <v>87.5</v>
      </c>
      <c r="J63" s="3">
        <v>0</v>
      </c>
      <c r="K63" s="3">
        <f>ROUND(MIN(MAX((B63*10)*0.2 + (MIN(E63/25*100,100))*0.2 + (MAX(100-F63*5,0))*0.15 + (G63*10)*0.15 + (H63)*0.15 + (I63)*0.15 - (J63*5),0),100),0)</f>
        <v>61</v>
      </c>
    </row>
    <row r="64" spans="1:11">
      <c r="A64" s="3" t="s">
        <v>484</v>
      </c>
      <c r="B64" s="3">
        <v>6.6</v>
      </c>
      <c r="C64" s="3">
        <v>11</v>
      </c>
      <c r="D64" s="3">
        <v>4</v>
      </c>
      <c r="E64" s="3">
        <v>5.6</v>
      </c>
      <c r="F64" s="3">
        <v>10.3</v>
      </c>
      <c r="G64" s="3">
        <v>6.8</v>
      </c>
      <c r="H64" s="3">
        <v>78.3</v>
      </c>
      <c r="I64" s="3">
        <v>81.099999999999994</v>
      </c>
      <c r="J64" s="3">
        <v>1</v>
      </c>
      <c r="K64" s="3">
        <f>ROUND(MIN(MAX((B64*10)*0.2 + (MIN(E64/25*100,100))*0.2 + (MAX(100-F64*5,0))*0.15 + (G64*10)*0.15 + (H64)*0.15 + (I64)*0.15 - (J64*5),0),100),0)</f>
        <v>54</v>
      </c>
    </row>
    <row r="65" spans="1:11">
      <c r="A65" s="3" t="s">
        <v>486</v>
      </c>
      <c r="B65" s="3">
        <v>5.3</v>
      </c>
      <c r="C65" s="3">
        <v>9</v>
      </c>
      <c r="D65" s="3">
        <v>3</v>
      </c>
      <c r="E65" s="3">
        <v>21.8</v>
      </c>
      <c r="F65" s="3">
        <v>19.3</v>
      </c>
      <c r="G65" s="3">
        <v>5.8</v>
      </c>
      <c r="H65" s="3">
        <v>73.5</v>
      </c>
      <c r="I65" s="3">
        <v>90.6</v>
      </c>
      <c r="J65" s="3">
        <v>1</v>
      </c>
      <c r="K65" s="3">
        <f>ROUND(MIN(MAX((B65*10)*0.2 + (MIN(E65/25*100,100))*0.2 + (MAX(100-F65*5,0))*0.15 + (G65*10)*0.15 + (H65)*0.15 + (I65)*0.15 - (J65*5),0),100),0)</f>
        <v>57</v>
      </c>
    </row>
    <row r="66" spans="1:11">
      <c r="A66" s="3" t="s">
        <v>488</v>
      </c>
      <c r="B66" s="3">
        <v>8</v>
      </c>
      <c r="C66" s="3">
        <v>12</v>
      </c>
      <c r="D66" s="3">
        <v>7</v>
      </c>
      <c r="E66" s="3">
        <v>10</v>
      </c>
      <c r="F66" s="3">
        <v>17.8</v>
      </c>
      <c r="G66" s="3">
        <v>9.9</v>
      </c>
      <c r="H66" s="3">
        <v>83.3</v>
      </c>
      <c r="I66" s="3">
        <v>89.3</v>
      </c>
      <c r="J66" s="3">
        <v>2</v>
      </c>
      <c r="K66" s="3">
        <f>ROUND(MIN(MAX((B66*10)*0.2 + (MIN(E66/25*100,100))*0.2 + (MAX(100-F66*5,0))*0.15 + (G66*10)*0.15 + (H66)*0.15 + (I66)*0.15 - (J66*5),0),100),0)</f>
        <v>56</v>
      </c>
    </row>
    <row r="67" spans="1:11">
      <c r="A67" s="3" t="s">
        <v>490</v>
      </c>
      <c r="B67" s="3">
        <v>7.8</v>
      </c>
      <c r="C67" s="3">
        <v>10</v>
      </c>
      <c r="D67" s="3">
        <v>5</v>
      </c>
      <c r="E67" s="3">
        <v>21.4</v>
      </c>
      <c r="F67" s="3">
        <v>20.2</v>
      </c>
      <c r="G67" s="3">
        <v>8.6999999999999993</v>
      </c>
      <c r="H67" s="3">
        <v>83.1</v>
      </c>
      <c r="I67" s="3">
        <v>86</v>
      </c>
      <c r="J67" s="3">
        <v>1</v>
      </c>
      <c r="K67" s="3">
        <f>ROUND(MIN(MAX((B67*10)*0.2 + (MIN(E67/25*100,100))*0.2 + (MAX(100-F67*5,0))*0.15 + (G67*10)*0.15 + (H67)*0.15 + (I67)*0.15 - (J67*5),0),100),0)</f>
        <v>66</v>
      </c>
    </row>
    <row r="68" spans="1:11">
      <c r="A68" s="3" t="s">
        <v>492</v>
      </c>
      <c r="B68" s="3">
        <v>4.2</v>
      </c>
      <c r="C68" s="3">
        <v>7</v>
      </c>
      <c r="D68" s="3">
        <v>4</v>
      </c>
      <c r="E68" s="3">
        <v>19</v>
      </c>
      <c r="F68" s="3">
        <v>6.3</v>
      </c>
      <c r="G68" s="3">
        <v>8.1</v>
      </c>
      <c r="H68" s="3">
        <v>61.3</v>
      </c>
      <c r="I68" s="3">
        <v>95.8</v>
      </c>
      <c r="J68" s="3">
        <v>0</v>
      </c>
      <c r="K68" s="3">
        <f>ROUND(MIN(MAX((B68*10)*0.2 + (MIN(E68/25*100,100))*0.2 + (MAX(100-F68*5,0))*0.15 + (G68*10)*0.15 + (H68)*0.15 + (I68)*0.15 - (J68*5),0),100),0)</f>
        <v>70</v>
      </c>
    </row>
    <row r="69" spans="1:11">
      <c r="A69" s="3" t="s">
        <v>494</v>
      </c>
      <c r="B69" s="3">
        <v>3.1</v>
      </c>
      <c r="C69" s="3">
        <v>4</v>
      </c>
      <c r="D69" s="3">
        <v>1</v>
      </c>
      <c r="E69" s="3">
        <v>16.100000000000001</v>
      </c>
      <c r="F69" s="3">
        <v>12</v>
      </c>
      <c r="G69" s="3">
        <v>8.6</v>
      </c>
      <c r="H69" s="3">
        <v>96.8</v>
      </c>
      <c r="I69" s="3">
        <v>92.5</v>
      </c>
      <c r="J69" s="3">
        <v>2</v>
      </c>
      <c r="K69" s="3">
        <f>ROUND(MIN(MAX((B69*10)*0.2 + (MIN(E69/25*100,100))*0.2 + (MAX(100-F69*5,0))*0.15 + (G69*10)*0.15 + (H69)*0.15 + (I69)*0.15 - (J69*5),0),100),0)</f>
        <v>56</v>
      </c>
    </row>
    <row r="70" spans="1:11">
      <c r="A70" s="3" t="s">
        <v>496</v>
      </c>
      <c r="B70" s="3">
        <v>3.4</v>
      </c>
      <c r="C70" s="3">
        <v>4</v>
      </c>
      <c r="D70" s="3">
        <v>1</v>
      </c>
      <c r="E70" s="3">
        <v>9.1999999999999993</v>
      </c>
      <c r="F70" s="3">
        <v>17.600000000000001</v>
      </c>
      <c r="G70" s="3">
        <v>7.2</v>
      </c>
      <c r="H70" s="3">
        <v>72.599999999999994</v>
      </c>
      <c r="I70" s="3">
        <v>62.4</v>
      </c>
      <c r="J70" s="3">
        <v>3</v>
      </c>
      <c r="K70" s="3">
        <f>ROUND(MIN(MAX((B70*10)*0.2 + (MIN(E70/25*100,100))*0.2 + (MAX(100-F70*5,0))*0.15 + (G70*10)*0.15 + (H70)*0.15 + (I70)*0.15 - (J70*5),0),100),0)</f>
        <v>32</v>
      </c>
    </row>
    <row r="71" spans="1:11">
      <c r="A71" s="3" t="s">
        <v>498</v>
      </c>
      <c r="B71" s="3">
        <v>5.4</v>
      </c>
      <c r="C71" s="3">
        <v>8</v>
      </c>
      <c r="D71" s="3">
        <v>5</v>
      </c>
      <c r="E71" s="3">
        <v>16.7</v>
      </c>
      <c r="F71" s="3">
        <v>17.2</v>
      </c>
      <c r="G71" s="3">
        <v>8.1999999999999993</v>
      </c>
      <c r="H71" s="3">
        <v>84.4</v>
      </c>
      <c r="I71" s="3">
        <v>63.3</v>
      </c>
      <c r="J71" s="3">
        <v>0</v>
      </c>
      <c r="K71" s="3">
        <f>ROUND(MIN(MAX((B71*10)*0.2 + (MIN(E71/25*100,100))*0.2 + (MAX(100-F71*5,0))*0.15 + (G71*10)*0.15 + (H71)*0.15 + (I71)*0.15 - (J71*5),0),100),0)</f>
        <v>61</v>
      </c>
    </row>
    <row r="72" spans="1:11">
      <c r="A72" s="3" t="s">
        <v>500</v>
      </c>
      <c r="B72" s="3">
        <v>6.9</v>
      </c>
      <c r="C72" s="3">
        <v>10</v>
      </c>
      <c r="D72" s="3">
        <v>6</v>
      </c>
      <c r="E72" s="3">
        <v>8.6999999999999993</v>
      </c>
      <c r="F72" s="3">
        <v>9.4</v>
      </c>
      <c r="G72" s="3">
        <v>5.2</v>
      </c>
      <c r="H72" s="3">
        <v>88.2</v>
      </c>
      <c r="I72" s="3">
        <v>68.599999999999994</v>
      </c>
      <c r="J72" s="3">
        <v>0</v>
      </c>
      <c r="K72" s="3">
        <f>ROUND(MIN(MAX((B72*10)*0.2 + (MIN(E72/25*100,100))*0.2 + (MAX(100-F72*5,0))*0.15 + (G72*10)*0.15 + (H72)*0.15 + (I72)*0.15 - (J72*5),0),100),0)</f>
        <v>60</v>
      </c>
    </row>
    <row r="73" spans="1:11">
      <c r="A73" s="3" t="s">
        <v>502</v>
      </c>
      <c r="B73" s="3">
        <v>9.5</v>
      </c>
      <c r="C73" s="3">
        <v>17</v>
      </c>
      <c r="D73" s="3">
        <v>8</v>
      </c>
      <c r="E73" s="3">
        <v>5.3</v>
      </c>
      <c r="F73" s="3">
        <v>17.899999999999999</v>
      </c>
      <c r="G73" s="3">
        <v>6.3</v>
      </c>
      <c r="H73" s="3">
        <v>99.2</v>
      </c>
      <c r="I73" s="3">
        <v>90.2</v>
      </c>
      <c r="J73" s="3">
        <v>4</v>
      </c>
      <c r="K73" s="3">
        <f>ROUND(MIN(MAX((B73*10)*0.2 + (MIN(E73/25*100,100))*0.2 + (MAX(100-F73*5,0))*0.15 + (G73*10)*0.15 + (H73)*0.15 + (I73)*0.15 - (J73*5),0),100),0)</f>
        <v>43</v>
      </c>
    </row>
    <row r="74" spans="1:11">
      <c r="A74" s="3" t="s">
        <v>504</v>
      </c>
      <c r="B74" s="3">
        <v>8.6</v>
      </c>
      <c r="C74" s="3">
        <v>13</v>
      </c>
      <c r="D74" s="3">
        <v>6</v>
      </c>
      <c r="E74" s="3">
        <v>16.600000000000001</v>
      </c>
      <c r="F74" s="3">
        <v>10.6</v>
      </c>
      <c r="G74" s="3">
        <v>6.7</v>
      </c>
      <c r="H74" s="3">
        <v>70.3</v>
      </c>
      <c r="I74" s="3">
        <v>75.599999999999994</v>
      </c>
      <c r="J74" s="3">
        <v>0</v>
      </c>
      <c r="K74" s="3">
        <f>ROUND(MIN(MAX((B74*10)*0.2 + (MIN(E74/25*100,100))*0.2 + (MAX(100-F74*5,0))*0.15 + (G74*10)*0.15 + (H74)*0.15 + (I74)*0.15 - (J74*5),0),100),0)</f>
        <v>69</v>
      </c>
    </row>
    <row r="75" spans="1:11">
      <c r="A75" s="3" t="s">
        <v>505</v>
      </c>
      <c r="B75" s="3">
        <v>6.8</v>
      </c>
      <c r="C75" s="3">
        <v>13</v>
      </c>
      <c r="D75" s="3">
        <v>7</v>
      </c>
      <c r="E75" s="3">
        <v>5.6</v>
      </c>
      <c r="F75" s="3">
        <v>16.5</v>
      </c>
      <c r="G75" s="3">
        <v>7.5</v>
      </c>
      <c r="H75" s="3">
        <v>69.7</v>
      </c>
      <c r="I75" s="3">
        <v>83.8</v>
      </c>
      <c r="J75" s="3">
        <v>1</v>
      </c>
      <c r="K75" s="3">
        <f>ROUND(MIN(MAX((B75*10)*0.2 + (MIN(E75/25*100,100))*0.2 + (MAX(100-F75*5,0))*0.15 + (G75*10)*0.15 + (H75)*0.15 + (I75)*0.15 - (J75*5),0),100),0)</f>
        <v>50</v>
      </c>
    </row>
    <row r="76" spans="1:11">
      <c r="A76" s="3" t="s">
        <v>507</v>
      </c>
      <c r="B76" s="3">
        <v>7.5</v>
      </c>
      <c r="C76" s="3">
        <v>10</v>
      </c>
      <c r="D76" s="3">
        <v>5</v>
      </c>
      <c r="E76" s="3">
        <v>16.600000000000001</v>
      </c>
      <c r="F76" s="3">
        <v>5.2</v>
      </c>
      <c r="G76" s="3">
        <v>8.6</v>
      </c>
      <c r="H76" s="3">
        <v>60.2</v>
      </c>
      <c r="I76" s="3">
        <v>78.7</v>
      </c>
      <c r="J76" s="3">
        <v>3</v>
      </c>
      <c r="K76" s="3">
        <f>ROUND(MIN(MAX((B76*10)*0.2 + (MIN(E76/25*100,100))*0.2 + (MAX(100-F76*5,0))*0.15 + (G76*10)*0.15 + (H76)*0.15 + (I76)*0.15 - (J76*5),0),100),0)</f>
        <v>58</v>
      </c>
    </row>
    <row r="77" spans="1:11">
      <c r="A77" s="3" t="s">
        <v>509</v>
      </c>
      <c r="B77" s="3">
        <v>5.8</v>
      </c>
      <c r="C77" s="3">
        <v>11</v>
      </c>
      <c r="D77" s="3">
        <v>7</v>
      </c>
      <c r="E77" s="3">
        <v>12.1</v>
      </c>
      <c r="F77" s="3">
        <v>7.4</v>
      </c>
      <c r="G77" s="3">
        <v>9.8000000000000007</v>
      </c>
      <c r="H77" s="3">
        <v>72.8</v>
      </c>
      <c r="I77" s="3">
        <v>82.8</v>
      </c>
      <c r="J77" s="3">
        <v>3</v>
      </c>
      <c r="K77" s="3">
        <f>ROUND(MIN(MAX((B77*10)*0.2 + (MIN(E77/25*100,100))*0.2 + (MAX(100-F77*5,0))*0.15 + (G77*10)*0.15 + (H77)*0.15 + (I77)*0.15 - (J77*5),0),100),0)</f>
        <v>54</v>
      </c>
    </row>
    <row r="78" spans="1:11">
      <c r="A78" s="3" t="s">
        <v>511</v>
      </c>
      <c r="B78" s="3">
        <v>3.6</v>
      </c>
      <c r="C78" s="3">
        <v>6</v>
      </c>
      <c r="D78" s="3">
        <v>3</v>
      </c>
      <c r="E78" s="3">
        <v>16.7</v>
      </c>
      <c r="F78" s="3">
        <v>23.6</v>
      </c>
      <c r="G78" s="3">
        <v>9.5</v>
      </c>
      <c r="H78" s="3">
        <v>67</v>
      </c>
      <c r="I78" s="3">
        <v>92.9</v>
      </c>
      <c r="J78" s="3">
        <v>0</v>
      </c>
      <c r="K78" s="3">
        <f>ROUND(MIN(MAX((B78*10)*0.2 + (MIN(E78/25*100,100))*0.2 + (MAX(100-F78*5,0))*0.15 + (G78*10)*0.15 + (H78)*0.15 + (I78)*0.15 - (J78*5),0),100),0)</f>
        <v>59</v>
      </c>
    </row>
    <row r="79" spans="1:11">
      <c r="A79" s="3" t="s">
        <v>512</v>
      </c>
      <c r="B79" s="3">
        <v>9.4</v>
      </c>
      <c r="C79" s="3">
        <v>18</v>
      </c>
      <c r="D79" s="3">
        <v>9</v>
      </c>
      <c r="E79" s="3">
        <v>12.4</v>
      </c>
      <c r="F79" s="3">
        <v>23.6</v>
      </c>
      <c r="G79" s="3">
        <v>9.8000000000000007</v>
      </c>
      <c r="H79" s="3">
        <v>97</v>
      </c>
      <c r="I79" s="3">
        <v>92.7</v>
      </c>
      <c r="J79" s="3">
        <v>0</v>
      </c>
      <c r="K79" s="3">
        <f>ROUND(MIN(MAX((B79*10)*0.2 + (MIN(E79/25*100,100))*0.2 + (MAX(100-F79*5,0))*0.15 + (G79*10)*0.15 + (H79)*0.15 + (I79)*0.15 - (J79*5),0),100),0)</f>
        <v>72</v>
      </c>
    </row>
    <row r="80" spans="1:11">
      <c r="A80" s="3" t="s">
        <v>514</v>
      </c>
      <c r="B80" s="3">
        <v>7</v>
      </c>
      <c r="C80" s="3">
        <v>9</v>
      </c>
      <c r="D80" s="3">
        <v>6</v>
      </c>
      <c r="E80" s="3">
        <v>8.4</v>
      </c>
      <c r="F80" s="3">
        <v>24.8</v>
      </c>
      <c r="G80" s="3">
        <v>7.3</v>
      </c>
      <c r="H80" s="3">
        <v>79.8</v>
      </c>
      <c r="I80" s="3">
        <v>95.4</v>
      </c>
      <c r="J80" s="3">
        <v>3</v>
      </c>
      <c r="K80" s="3">
        <f>ROUND(MIN(MAX((B80*10)*0.2 + (MIN(E80/25*100,100))*0.2 + (MAX(100-F80*5,0))*0.15 + (G80*10)*0.15 + (H80)*0.15 + (I80)*0.15 - (J80*5),0),100),0)</f>
        <v>43</v>
      </c>
    </row>
    <row r="81" spans="1:11">
      <c r="A81" s="3" t="s">
        <v>517</v>
      </c>
      <c r="B81" s="3">
        <v>6.3</v>
      </c>
      <c r="C81" s="3">
        <v>9</v>
      </c>
      <c r="D81" s="3">
        <v>3</v>
      </c>
      <c r="E81" s="3">
        <v>6.1</v>
      </c>
      <c r="F81" s="3">
        <v>13.1</v>
      </c>
      <c r="G81" s="3">
        <v>5.5</v>
      </c>
      <c r="H81" s="3">
        <v>67.400000000000006</v>
      </c>
      <c r="I81" s="3">
        <v>86.7</v>
      </c>
      <c r="J81" s="3">
        <v>2</v>
      </c>
      <c r="K81" s="3">
        <f>ROUND(MIN(MAX((B81*10)*0.2 + (MIN(E81/25*100,100))*0.2 + (MAX(100-F81*5,0))*0.15 + (G81*10)*0.15 + (H81)*0.15 + (I81)*0.15 - (J81*5),0),100),0)</f>
        <v>44</v>
      </c>
    </row>
    <row r="82" spans="1:11">
      <c r="A82" s="3" t="s">
        <v>519</v>
      </c>
      <c r="B82" s="3">
        <v>7</v>
      </c>
      <c r="C82" s="3">
        <v>12</v>
      </c>
      <c r="D82" s="3">
        <v>5</v>
      </c>
      <c r="E82" s="3">
        <v>19.3</v>
      </c>
      <c r="F82" s="3">
        <v>22.7</v>
      </c>
      <c r="G82" s="3">
        <v>9</v>
      </c>
      <c r="H82" s="3">
        <v>80.599999999999994</v>
      </c>
      <c r="I82" s="3">
        <v>58.7</v>
      </c>
      <c r="J82" s="3">
        <v>1</v>
      </c>
      <c r="K82" s="3">
        <f>ROUND(MIN(MAX((B82*10)*0.2 + (MIN(E82/25*100,100))*0.2 + (MAX(100-F82*5,0))*0.15 + (G82*10)*0.15 + (H82)*0.15 + (I82)*0.15 - (J82*5),0),100),0)</f>
        <v>59</v>
      </c>
    </row>
    <row r="83" spans="1:11">
      <c r="A83" s="3" t="s">
        <v>521</v>
      </c>
      <c r="B83" s="3">
        <v>4.3</v>
      </c>
      <c r="C83" s="3">
        <v>5</v>
      </c>
      <c r="D83" s="3">
        <v>2</v>
      </c>
      <c r="E83" s="3">
        <v>7.7</v>
      </c>
      <c r="F83" s="3">
        <v>8.6999999999999993</v>
      </c>
      <c r="G83" s="3">
        <v>5.4</v>
      </c>
      <c r="H83" s="3">
        <v>90.2</v>
      </c>
      <c r="I83" s="3">
        <v>96</v>
      </c>
      <c r="J83" s="3">
        <v>0</v>
      </c>
      <c r="K83" s="3">
        <f>ROUND(MIN(MAX((B83*10)*0.2 + (MIN(E83/25*100,100))*0.2 + (MAX(100-F83*5,0))*0.15 + (G83*10)*0.15 + (H83)*0.15 + (I83)*0.15 - (J83*5),0),100),0)</f>
        <v>59</v>
      </c>
    </row>
    <row r="84" spans="1:11">
      <c r="A84" s="3" t="s">
        <v>523</v>
      </c>
      <c r="B84" s="3">
        <v>8.1</v>
      </c>
      <c r="C84" s="3">
        <v>11</v>
      </c>
      <c r="D84" s="3">
        <v>6</v>
      </c>
      <c r="E84" s="3">
        <v>16.2</v>
      </c>
      <c r="F84" s="3">
        <v>4.4000000000000004</v>
      </c>
      <c r="G84" s="3">
        <v>4.7</v>
      </c>
      <c r="H84" s="3">
        <v>72.3</v>
      </c>
      <c r="I84" s="3">
        <v>72.400000000000006</v>
      </c>
      <c r="J84" s="3">
        <v>1</v>
      </c>
      <c r="K84" s="3">
        <f>ROUND(MIN(MAX((B84*10)*0.2 + (MIN(E84/25*100,100))*0.2 + (MAX(100-F84*5,0))*0.15 + (G84*10)*0.15 + (H84)*0.15 + (I84)*0.15 - (J84*5),0),100),0)</f>
        <v>65</v>
      </c>
    </row>
    <row r="85" spans="1:11">
      <c r="A85" s="3" t="s">
        <v>525</v>
      </c>
      <c r="B85" s="3">
        <v>9.3000000000000007</v>
      </c>
      <c r="C85" s="3">
        <v>16</v>
      </c>
      <c r="D85" s="3">
        <v>7</v>
      </c>
      <c r="E85" s="3">
        <v>5.2</v>
      </c>
      <c r="F85" s="3">
        <v>23.2</v>
      </c>
      <c r="G85" s="3">
        <v>5.8</v>
      </c>
      <c r="H85" s="3">
        <v>84.6</v>
      </c>
      <c r="I85" s="3">
        <v>64.400000000000006</v>
      </c>
      <c r="J85" s="3">
        <v>0</v>
      </c>
      <c r="K85" s="3">
        <f>ROUND(MIN(MAX((B85*10)*0.2 + (MIN(E85/25*100,100))*0.2 + (MAX(100-F85*5,0))*0.15 + (G85*10)*0.15 + (H85)*0.15 + (I85)*0.15 - (J85*5),0),100),0)</f>
        <v>54</v>
      </c>
    </row>
    <row r="86" spans="1:11">
      <c r="A86" s="3" t="s">
        <v>526</v>
      </c>
      <c r="B86" s="3">
        <v>4.0999999999999996</v>
      </c>
      <c r="C86" s="3">
        <v>8</v>
      </c>
      <c r="D86" s="3">
        <v>4</v>
      </c>
      <c r="E86" s="3">
        <v>10.9</v>
      </c>
      <c r="F86" s="3">
        <v>15.1</v>
      </c>
      <c r="G86" s="3">
        <v>6.8</v>
      </c>
      <c r="H86" s="3">
        <v>81.5</v>
      </c>
      <c r="I86" s="3">
        <v>83.6</v>
      </c>
      <c r="J86" s="3">
        <v>0</v>
      </c>
      <c r="K86" s="3">
        <f>ROUND(MIN(MAX((B86*10)*0.2 + (MIN(E86/25*100,100))*0.2 + (MAX(100-F86*5,0))*0.15 + (G86*10)*0.15 + (H86)*0.15 + (I86)*0.15 - (J86*5),0),100),0)</f>
        <v>56</v>
      </c>
    </row>
    <row r="87" spans="1:11">
      <c r="A87" s="3" t="s">
        <v>528</v>
      </c>
      <c r="B87" s="3">
        <v>4.7</v>
      </c>
      <c r="C87" s="3">
        <v>9</v>
      </c>
      <c r="D87" s="3">
        <v>6</v>
      </c>
      <c r="E87" s="3">
        <v>4.5999999999999996</v>
      </c>
      <c r="F87" s="3">
        <v>12.8</v>
      </c>
      <c r="G87" s="3">
        <v>8.1999999999999993</v>
      </c>
      <c r="H87" s="3">
        <v>63.1</v>
      </c>
      <c r="I87" s="3">
        <v>79.3</v>
      </c>
      <c r="J87" s="3">
        <v>0</v>
      </c>
      <c r="K87" s="3">
        <f>ROUND(MIN(MAX((B87*10)*0.2 + (MIN(E87/25*100,100))*0.2 + (MAX(100-F87*5,0))*0.15 + (G87*10)*0.15 + (H87)*0.15 + (I87)*0.15 - (J87*5),0),100),0)</f>
        <v>52</v>
      </c>
    </row>
    <row r="88" spans="1:11">
      <c r="A88" s="3" t="s">
        <v>530</v>
      </c>
      <c r="B88" s="3">
        <v>6.8</v>
      </c>
      <c r="C88" s="3">
        <v>11</v>
      </c>
      <c r="D88" s="3">
        <v>6</v>
      </c>
      <c r="E88" s="3">
        <v>5.8</v>
      </c>
      <c r="F88" s="3">
        <v>10.199999999999999</v>
      </c>
      <c r="G88" s="3">
        <v>7.1</v>
      </c>
      <c r="H88" s="3">
        <v>64.599999999999994</v>
      </c>
      <c r="I88" s="3">
        <v>63.8</v>
      </c>
      <c r="J88" s="3">
        <v>1</v>
      </c>
      <c r="K88" s="3">
        <f>ROUND(MIN(MAX((B88*10)*0.2 + (MIN(E88/25*100,100))*0.2 + (MAX(100-F88*5,0))*0.15 + (G88*10)*0.15 + (H88)*0.15 + (I88)*0.15 - (J88*5),0),100),0)</f>
        <v>51</v>
      </c>
    </row>
    <row r="89" spans="1:11">
      <c r="A89" s="3" t="s">
        <v>532</v>
      </c>
      <c r="B89" s="3">
        <v>3.6</v>
      </c>
      <c r="C89" s="3">
        <v>6</v>
      </c>
      <c r="D89" s="3">
        <v>4</v>
      </c>
      <c r="E89" s="3">
        <v>11.6</v>
      </c>
      <c r="F89" s="3">
        <v>14.3</v>
      </c>
      <c r="G89" s="3">
        <v>6.7</v>
      </c>
      <c r="H89" s="3">
        <v>62.3</v>
      </c>
      <c r="I89" s="3">
        <v>74.900000000000006</v>
      </c>
      <c r="J89" s="3">
        <v>2</v>
      </c>
      <c r="K89" s="3">
        <f>ROUND(MIN(MAX((B89*10)*0.2 + (MIN(E89/25*100,100))*0.2 + (MAX(100-F89*5,0))*0.15 + (G89*10)*0.15 + (H89)*0.15 + (I89)*0.15 - (J89*5),0),100),0)</f>
        <v>41</v>
      </c>
    </row>
    <row r="90" spans="1:11">
      <c r="A90" s="3" t="s">
        <v>534</v>
      </c>
      <c r="B90" s="3">
        <v>8.1</v>
      </c>
      <c r="C90" s="3">
        <v>12</v>
      </c>
      <c r="D90" s="3">
        <v>7</v>
      </c>
      <c r="E90" s="3">
        <v>17.2</v>
      </c>
      <c r="F90" s="3">
        <v>15.7</v>
      </c>
      <c r="G90" s="3">
        <v>4.3</v>
      </c>
      <c r="H90" s="3">
        <v>73.8</v>
      </c>
      <c r="I90" s="3">
        <v>57.7</v>
      </c>
      <c r="J90" s="3">
        <v>4</v>
      </c>
      <c r="K90" s="3">
        <f>ROUND(MIN(MAX((B90*10)*0.2 + (MIN(E90/25*100,100))*0.2 + (MAX(100-F90*5,0))*0.15 + (G90*10)*0.15 + (H90)*0.15 + (I90)*0.15 - (J90*5),0),100),0)</f>
        <v>39</v>
      </c>
    </row>
    <row r="91" spans="1:11">
      <c r="A91" s="3" t="s">
        <v>536</v>
      </c>
      <c r="B91" s="3">
        <v>9.5</v>
      </c>
      <c r="C91" s="3">
        <v>13</v>
      </c>
      <c r="D91" s="3">
        <v>8</v>
      </c>
      <c r="E91" s="3">
        <v>3.6</v>
      </c>
      <c r="F91" s="3">
        <v>12</v>
      </c>
      <c r="G91" s="3">
        <v>8.6</v>
      </c>
      <c r="H91" s="3">
        <v>90.6</v>
      </c>
      <c r="I91" s="3">
        <v>97.1</v>
      </c>
      <c r="J91" s="3">
        <v>1</v>
      </c>
      <c r="K91" s="3">
        <f>ROUND(MIN(MAX((B91*10)*0.2 + (MIN(E91/25*100,100))*0.2 + (MAX(100-F91*5,0))*0.15 + (G91*10)*0.15 + (H91)*0.15 + (I91)*0.15 - (J91*5),0),100),0)</f>
        <v>64</v>
      </c>
    </row>
    <row r="92" spans="1:11">
      <c r="A92" s="3" t="s">
        <v>538</v>
      </c>
      <c r="B92" s="3">
        <v>5.9</v>
      </c>
      <c r="C92" s="3">
        <v>12</v>
      </c>
      <c r="D92" s="3">
        <v>6</v>
      </c>
      <c r="E92" s="3">
        <v>19.5</v>
      </c>
      <c r="F92" s="3">
        <v>22.9</v>
      </c>
      <c r="G92" s="3">
        <v>6.3</v>
      </c>
      <c r="H92" s="3">
        <v>87.3</v>
      </c>
      <c r="I92" s="3">
        <v>83.5</v>
      </c>
      <c r="J92" s="3">
        <v>1</v>
      </c>
      <c r="K92" s="3">
        <f>ROUND(MIN(MAX((B92*10)*0.2 + (MIN(E92/25*100,100))*0.2 + (MAX(100-F92*5,0))*0.15 + (G92*10)*0.15 + (H92)*0.15 + (I92)*0.15 - (J92*5),0),100),0)</f>
        <v>57</v>
      </c>
    </row>
    <row r="93" spans="1:11">
      <c r="A93" s="3" t="s">
        <v>540</v>
      </c>
      <c r="B93" s="3">
        <v>7.6</v>
      </c>
      <c r="C93" s="3">
        <v>11</v>
      </c>
      <c r="D93" s="3">
        <v>5</v>
      </c>
      <c r="E93" s="3">
        <v>13.2</v>
      </c>
      <c r="F93" s="3">
        <v>14.6</v>
      </c>
      <c r="G93" s="3">
        <v>8.4</v>
      </c>
      <c r="H93" s="3">
        <v>68.900000000000006</v>
      </c>
      <c r="I93" s="3">
        <v>55.1</v>
      </c>
      <c r="J93" s="3">
        <v>0</v>
      </c>
      <c r="K93" s="3">
        <f>ROUND(MIN(MAX((B93*10)*0.2 + (MIN(E93/25*100,100))*0.2 + (MAX(100-F93*5,0))*0.15 + (G93*10)*0.15 + (H93)*0.15 + (I93)*0.15 - (J93*5),0),100),0)</f>
        <v>61</v>
      </c>
    </row>
    <row r="94" spans="1:11">
      <c r="A94" s="3" t="s">
        <v>541</v>
      </c>
      <c r="B94" s="3">
        <v>5.0999999999999996</v>
      </c>
      <c r="C94" s="3">
        <v>9</v>
      </c>
      <c r="D94" s="3">
        <v>5</v>
      </c>
      <c r="E94" s="3">
        <v>13.1</v>
      </c>
      <c r="F94" s="3">
        <v>21.1</v>
      </c>
      <c r="G94" s="3">
        <v>5.5</v>
      </c>
      <c r="H94" s="3">
        <v>73.8</v>
      </c>
      <c r="I94" s="3">
        <v>66.900000000000006</v>
      </c>
      <c r="J94" s="3">
        <v>3</v>
      </c>
      <c r="K94" s="3">
        <f>ROUND(MIN(MAX((B94*10)*0.2 + (MIN(E94/25*100,100))*0.2 + (MAX(100-F94*5,0))*0.15 + (G94*10)*0.15 + (H94)*0.15 + (I94)*0.15 - (J94*5),0),100),0)</f>
        <v>35</v>
      </c>
    </row>
    <row r="95" spans="1:11">
      <c r="A95" s="3" t="s">
        <v>542</v>
      </c>
      <c r="B95" s="3">
        <v>8.1</v>
      </c>
      <c r="C95" s="3">
        <v>11</v>
      </c>
      <c r="D95" s="3">
        <v>6</v>
      </c>
      <c r="E95" s="3">
        <v>11</v>
      </c>
      <c r="F95" s="3">
        <v>19.899999999999999</v>
      </c>
      <c r="G95" s="3">
        <v>9.3000000000000007</v>
      </c>
      <c r="H95" s="3">
        <v>60.6</v>
      </c>
      <c r="I95" s="3">
        <v>63.9</v>
      </c>
      <c r="J95" s="3">
        <v>0</v>
      </c>
      <c r="K95" s="3">
        <f>ROUND(MIN(MAX((B95*10)*0.2 + (MIN(E95/25*100,100))*0.2 + (MAX(100-F95*5,0))*0.15 + (G95*10)*0.15 + (H95)*0.15 + (I95)*0.15 - (J95*5),0),100),0)</f>
        <v>58</v>
      </c>
    </row>
    <row r="96" spans="1:11">
      <c r="A96" s="3" t="s">
        <v>543</v>
      </c>
      <c r="B96" s="3">
        <v>3.2</v>
      </c>
      <c r="C96" s="3">
        <v>6</v>
      </c>
      <c r="D96" s="3">
        <v>4</v>
      </c>
      <c r="E96" s="3">
        <v>3.9</v>
      </c>
      <c r="F96" s="3">
        <v>19.3</v>
      </c>
      <c r="G96" s="3">
        <v>6.4</v>
      </c>
      <c r="H96" s="3">
        <v>69.400000000000006</v>
      </c>
      <c r="I96" s="3">
        <v>64.3</v>
      </c>
      <c r="J96" s="3">
        <v>3</v>
      </c>
      <c r="K96" s="3">
        <f>ROUND(MIN(MAX((B96*10)*0.2 + (MIN(E96/25*100,100))*0.2 + (MAX(100-F96*5,0))*0.15 + (G96*10)*0.15 + (H96)*0.15 + (I96)*0.15 - (J96*5),0),100),0)</f>
        <v>25</v>
      </c>
    </row>
    <row r="97" spans="1:11">
      <c r="A97" s="3" t="s">
        <v>545</v>
      </c>
      <c r="B97" s="3">
        <v>3.4</v>
      </c>
      <c r="C97" s="3">
        <v>5</v>
      </c>
      <c r="D97" s="3">
        <v>2</v>
      </c>
      <c r="E97" s="3">
        <v>18.5</v>
      </c>
      <c r="F97" s="3">
        <v>19.100000000000001</v>
      </c>
      <c r="G97" s="3">
        <v>5.9</v>
      </c>
      <c r="H97" s="3">
        <v>83.9</v>
      </c>
      <c r="I97" s="3">
        <v>83.9</v>
      </c>
      <c r="J97" s="3">
        <v>0</v>
      </c>
      <c r="K97" s="3">
        <f>ROUND(MIN(MAX((B97*10)*0.2 + (MIN(E97/25*100,100))*0.2 + (MAX(100-F97*5,0))*0.15 + (G97*10)*0.15 + (H97)*0.15 + (I97)*0.15 - (J97*5),0),100),0)</f>
        <v>56</v>
      </c>
    </row>
    <row r="98" spans="1:11">
      <c r="A98" s="3" t="s">
        <v>546</v>
      </c>
      <c r="B98" s="3">
        <v>5.0999999999999996</v>
      </c>
      <c r="C98" s="3">
        <v>6</v>
      </c>
      <c r="D98" s="3">
        <v>3</v>
      </c>
      <c r="E98" s="3">
        <v>7.2</v>
      </c>
      <c r="F98" s="3">
        <v>9.6</v>
      </c>
      <c r="G98" s="3">
        <v>4.4000000000000004</v>
      </c>
      <c r="H98" s="3">
        <v>97.9</v>
      </c>
      <c r="I98" s="3">
        <v>92.8</v>
      </c>
      <c r="J98" s="3">
        <v>3</v>
      </c>
      <c r="K98" s="3">
        <f>ROUND(MIN(MAX((B98*10)*0.2 + (MIN(E98/25*100,100))*0.2 + (MAX(100-F98*5,0))*0.15 + (G98*10)*0.15 + (H98)*0.15 + (I98)*0.15 - (J98*5),0),100),0)</f>
        <v>44</v>
      </c>
    </row>
    <row r="99" spans="1:11">
      <c r="A99" s="3" t="s">
        <v>548</v>
      </c>
      <c r="B99" s="3">
        <v>7.4</v>
      </c>
      <c r="C99" s="3">
        <v>11</v>
      </c>
      <c r="D99" s="3">
        <v>5</v>
      </c>
      <c r="E99" s="3">
        <v>21.5</v>
      </c>
      <c r="F99" s="3">
        <v>23.7</v>
      </c>
      <c r="G99" s="3">
        <v>8</v>
      </c>
      <c r="H99" s="3">
        <v>91.4</v>
      </c>
      <c r="I99" s="3">
        <v>68.7</v>
      </c>
      <c r="J99" s="3">
        <v>1</v>
      </c>
      <c r="K99" s="3">
        <f>ROUND(MIN(MAX((B99*10)*0.2 + (MIN(E99/25*100,100))*0.2 + (MAX(100-F99*5,0))*0.15 + (G99*10)*0.15 + (H99)*0.15 + (I99)*0.15 - (J99*5),0),100),0)</f>
        <v>63</v>
      </c>
    </row>
    <row r="100" spans="1:11">
      <c r="A100" s="3" t="s">
        <v>550</v>
      </c>
      <c r="B100" s="3">
        <v>4</v>
      </c>
      <c r="C100" s="3">
        <v>6</v>
      </c>
      <c r="D100" s="3">
        <v>4</v>
      </c>
      <c r="E100" s="3">
        <v>12</v>
      </c>
      <c r="F100" s="3">
        <v>21.7</v>
      </c>
      <c r="G100" s="3">
        <v>5.8</v>
      </c>
      <c r="H100" s="3">
        <v>88.3</v>
      </c>
      <c r="I100" s="3">
        <v>89.6</v>
      </c>
      <c r="J100" s="3">
        <v>3</v>
      </c>
      <c r="K100" s="3">
        <f>ROUND(MIN(MAX((B100*10)*0.2 + (MIN(E100/25*100,100))*0.2 + (MAX(100-F100*5,0))*0.15 + (G100*10)*0.15 + (H100)*0.15 + (I100)*0.15 - (J100*5),0),100),0)</f>
        <v>38</v>
      </c>
    </row>
    <row r="101" spans="1:11">
      <c r="A101" s="3" t="s">
        <v>552</v>
      </c>
      <c r="B101" s="3">
        <v>6.9</v>
      </c>
      <c r="C101" s="3">
        <v>13</v>
      </c>
      <c r="D101" s="3">
        <v>7</v>
      </c>
      <c r="E101" s="3">
        <v>5.5</v>
      </c>
      <c r="F101" s="3">
        <v>8.3000000000000007</v>
      </c>
      <c r="G101" s="3">
        <v>5.2</v>
      </c>
      <c r="H101" s="3">
        <v>85.9</v>
      </c>
      <c r="I101" s="3">
        <v>94.7</v>
      </c>
      <c r="J101" s="3">
        <v>2</v>
      </c>
      <c r="K101" s="3">
        <f>ROUND(MIN(MAX((B101*10)*0.2 + (MIN(E101/25*100,100))*0.2 + (MAX(100-F101*5,0))*0.15 + (G101*10)*0.15 + (H101)*0.15 + (I101)*0.15 - (J101*5),0),100),0)</f>
        <v>52</v>
      </c>
    </row>
    <row r="102" spans="1:11">
      <c r="A102" s="3" t="s">
        <v>554</v>
      </c>
      <c r="B102" s="3">
        <v>3.6</v>
      </c>
      <c r="C102" s="3">
        <v>7</v>
      </c>
      <c r="D102" s="3">
        <v>3</v>
      </c>
      <c r="E102" s="3">
        <v>8.1</v>
      </c>
      <c r="F102" s="3">
        <v>17.8</v>
      </c>
      <c r="G102" s="3">
        <v>7.6</v>
      </c>
      <c r="H102" s="3">
        <v>94.9</v>
      </c>
      <c r="I102" s="3">
        <v>63.1</v>
      </c>
      <c r="J102" s="3">
        <v>2</v>
      </c>
      <c r="K102" s="3">
        <f>ROUND(MIN(MAX((B102*10)*0.2 + (MIN(E102/25*100,100))*0.2 + (MAX(100-F102*5,0))*0.15 + (G102*10)*0.15 + (H102)*0.15 + (I102)*0.15 - (J102*5),0),100),0)</f>
        <v>40</v>
      </c>
    </row>
    <row r="103" spans="1:11">
      <c r="A103" s="3" t="s">
        <v>556</v>
      </c>
      <c r="B103" s="3">
        <v>8.1</v>
      </c>
      <c r="C103" s="3">
        <v>13</v>
      </c>
      <c r="D103" s="3">
        <v>6</v>
      </c>
      <c r="E103" s="3">
        <v>19.5</v>
      </c>
      <c r="F103" s="3">
        <v>10.3</v>
      </c>
      <c r="G103" s="3">
        <v>9.6999999999999993</v>
      </c>
      <c r="H103" s="3">
        <v>60.6</v>
      </c>
      <c r="I103" s="3">
        <v>95.3</v>
      </c>
      <c r="J103" s="3">
        <v>4</v>
      </c>
      <c r="K103" s="3">
        <f>ROUND(MIN(MAX((B103*10)*0.2 + (MIN(E103/25*100,100))*0.2 + (MAX(100-F103*5,0))*0.15 + (G103*10)*0.15 + (H103)*0.15 + (I103)*0.15 - (J103*5),0),100),0)</f>
        <v>57</v>
      </c>
    </row>
    <row r="104" spans="1:11">
      <c r="A104" s="3" t="s">
        <v>558</v>
      </c>
      <c r="B104" s="3">
        <v>3.8</v>
      </c>
      <c r="C104" s="3">
        <v>9</v>
      </c>
      <c r="D104" s="3">
        <v>4</v>
      </c>
      <c r="E104" s="3">
        <v>7.6</v>
      </c>
      <c r="F104" s="3">
        <v>16.3</v>
      </c>
      <c r="G104" s="3">
        <v>5.2</v>
      </c>
      <c r="H104" s="3">
        <v>96.6</v>
      </c>
      <c r="I104" s="3">
        <v>78.7</v>
      </c>
      <c r="J104" s="3">
        <v>2</v>
      </c>
      <c r="K104" s="3">
        <f>ROUND(MIN(MAX((B104*10)*0.2 + (MIN(E104/25*100,100))*0.2 + (MAX(100-F104*5,0))*0.15 + (G104*10)*0.15 + (H104)*0.15 + (I104)*0.15 - (J104*5),0),100),0)</f>
        <v>41</v>
      </c>
    </row>
    <row r="105" spans="1:11">
      <c r="A105" s="3" t="s">
        <v>560</v>
      </c>
      <c r="B105" s="3">
        <v>5.7</v>
      </c>
      <c r="C105" s="3">
        <v>9</v>
      </c>
      <c r="D105" s="3">
        <v>4</v>
      </c>
      <c r="E105" s="3">
        <v>8</v>
      </c>
      <c r="F105" s="3">
        <v>14.3</v>
      </c>
      <c r="G105" s="3">
        <v>7</v>
      </c>
      <c r="H105" s="3">
        <v>63.9</v>
      </c>
      <c r="I105" s="3">
        <v>97.2</v>
      </c>
      <c r="J105" s="3">
        <v>1</v>
      </c>
      <c r="K105" s="3">
        <f>ROUND(MIN(MAX((B105*10)*0.2 + (MIN(E105/25*100,100))*0.2 + (MAX(100-F105*5,0))*0.15 + (G105*10)*0.15 + (H105)*0.15 + (I105)*0.15 - (J105*5),0),100),0)</f>
        <v>52</v>
      </c>
    </row>
    <row r="106" spans="1:11">
      <c r="A106" s="3" t="s">
        <v>562</v>
      </c>
      <c r="B106" s="3">
        <v>8.9</v>
      </c>
      <c r="C106" s="3">
        <v>16</v>
      </c>
      <c r="D106" s="3">
        <v>8</v>
      </c>
      <c r="E106" s="3">
        <v>10.9</v>
      </c>
      <c r="F106" s="3">
        <v>15.4</v>
      </c>
      <c r="G106" s="3">
        <v>5.3</v>
      </c>
      <c r="H106" s="3">
        <v>65.8</v>
      </c>
      <c r="I106" s="3">
        <v>66.2</v>
      </c>
      <c r="J106" s="3">
        <v>3</v>
      </c>
      <c r="K106" s="3">
        <f>ROUND(MIN(MAX((B106*10)*0.2 + (MIN(E106/25*100,100))*0.2 + (MAX(100-F106*5,0))*0.15 + (G106*10)*0.15 + (H106)*0.15 + (I106)*0.15 - (J106*5),0),100),0)</f>
        <v>43</v>
      </c>
    </row>
    <row r="107" spans="1:11">
      <c r="A107" s="3" t="s">
        <v>564</v>
      </c>
      <c r="B107" s="3">
        <v>7.1</v>
      </c>
      <c r="C107" s="3">
        <v>11</v>
      </c>
      <c r="D107" s="3">
        <v>4</v>
      </c>
      <c r="E107" s="3">
        <v>9.3000000000000007</v>
      </c>
      <c r="F107" s="3">
        <v>11.4</v>
      </c>
      <c r="G107" s="3">
        <v>9</v>
      </c>
      <c r="H107" s="3">
        <v>80</v>
      </c>
      <c r="I107" s="3">
        <v>83.1</v>
      </c>
      <c r="J107" s="3">
        <v>1</v>
      </c>
      <c r="K107" s="3">
        <f>ROUND(MIN(MAX((B107*10)*0.2 + (MIN(E107/25*100,100))*0.2 + (MAX(100-F107*5,0))*0.15 + (G107*10)*0.15 + (H107)*0.15 + (I107)*0.15 - (J107*5),0),100),0)</f>
        <v>61</v>
      </c>
    </row>
    <row r="108" spans="1:11">
      <c r="A108" s="3" t="s">
        <v>565</v>
      </c>
      <c r="B108" s="3">
        <v>4.8</v>
      </c>
      <c r="C108" s="3">
        <v>9</v>
      </c>
      <c r="D108" s="3">
        <v>6</v>
      </c>
      <c r="E108" s="3">
        <v>15.2</v>
      </c>
      <c r="F108" s="3">
        <v>13.8</v>
      </c>
      <c r="G108" s="3">
        <v>5</v>
      </c>
      <c r="H108" s="3">
        <v>91.8</v>
      </c>
      <c r="I108" s="3">
        <v>62.3</v>
      </c>
      <c r="J108" s="3">
        <v>2</v>
      </c>
      <c r="K108" s="3">
        <f>ROUND(MIN(MAX((B108*10)*0.2 + (MIN(E108/25*100,100))*0.2 + (MAX(100-F108*5,0))*0.15 + (G108*10)*0.15 + (H108)*0.15 + (I108)*0.15 - (J108*5),0),100),0)</f>
        <v>47</v>
      </c>
    </row>
    <row r="109" spans="1:11">
      <c r="A109" s="3" t="s">
        <v>567</v>
      </c>
      <c r="B109" s="3">
        <v>6.4</v>
      </c>
      <c r="C109" s="3">
        <v>12</v>
      </c>
      <c r="D109" s="3">
        <v>6</v>
      </c>
      <c r="E109" s="3">
        <v>15.2</v>
      </c>
      <c r="F109" s="3">
        <v>4.3</v>
      </c>
      <c r="G109" s="3">
        <v>4.2</v>
      </c>
      <c r="H109" s="3">
        <v>93.9</v>
      </c>
      <c r="I109" s="3">
        <v>95.6</v>
      </c>
      <c r="J109" s="3">
        <v>1</v>
      </c>
      <c r="K109" s="3">
        <f>ROUND(MIN(MAX((B109*10)*0.2 + (MIN(E109/25*100,100))*0.2 + (MAX(100-F109*5,0))*0.15 + (G109*10)*0.15 + (H109)*0.15 + (I109)*0.15 - (J109*5),0),100),0)</f>
        <v>66</v>
      </c>
    </row>
    <row r="110" spans="1:11">
      <c r="A110" s="3" t="s">
        <v>568</v>
      </c>
      <c r="B110" s="3">
        <v>8.4</v>
      </c>
      <c r="C110" s="3">
        <v>13</v>
      </c>
      <c r="D110" s="3">
        <v>8</v>
      </c>
      <c r="E110" s="3">
        <v>7.4</v>
      </c>
      <c r="F110" s="3">
        <v>18.600000000000001</v>
      </c>
      <c r="G110" s="3">
        <v>4.0999999999999996</v>
      </c>
      <c r="H110" s="3">
        <v>80.2</v>
      </c>
      <c r="I110" s="3">
        <v>71</v>
      </c>
      <c r="J110" s="3">
        <v>1</v>
      </c>
      <c r="K110" s="3">
        <f>ROUND(MIN(MAX((B110*10)*0.2 + (MIN(E110/25*100,100))*0.2 + (MAX(100-F110*5,0))*0.15 + (G110*10)*0.15 + (H110)*0.15 + (I110)*0.15 - (J110*5),0),100),0)</f>
        <v>48</v>
      </c>
    </row>
    <row r="111" spans="1:11">
      <c r="A111" s="3" t="s">
        <v>569</v>
      </c>
      <c r="B111" s="3">
        <v>7.7</v>
      </c>
      <c r="C111" s="3">
        <v>13</v>
      </c>
      <c r="D111" s="3">
        <v>6</v>
      </c>
      <c r="E111" s="3">
        <v>12.3</v>
      </c>
      <c r="F111" s="3">
        <v>3.1</v>
      </c>
      <c r="G111" s="3">
        <v>7.3</v>
      </c>
      <c r="H111" s="3">
        <v>60.5</v>
      </c>
      <c r="I111" s="3">
        <v>77.8</v>
      </c>
      <c r="J111" s="3">
        <v>0</v>
      </c>
      <c r="K111" s="3">
        <f>ROUND(MIN(MAX((B111*10)*0.2 + (MIN(E111/25*100,100))*0.2 + (MAX(100-F111*5,0))*0.15 + (G111*10)*0.15 + (H111)*0.15 + (I111)*0.15 - (J111*5),0),100),0)</f>
        <v>70</v>
      </c>
    </row>
    <row r="112" spans="1:11">
      <c r="A112" s="3" t="s">
        <v>570</v>
      </c>
      <c r="B112" s="3">
        <v>9.8000000000000007</v>
      </c>
      <c r="C112" s="3">
        <v>13</v>
      </c>
      <c r="D112" s="3">
        <v>7</v>
      </c>
      <c r="E112" s="3">
        <v>15.8</v>
      </c>
      <c r="F112" s="3">
        <v>20.7</v>
      </c>
      <c r="G112" s="3">
        <v>9.5</v>
      </c>
      <c r="H112" s="3">
        <v>64.3</v>
      </c>
      <c r="I112" s="3">
        <v>59.1</v>
      </c>
      <c r="J112" s="3">
        <v>0</v>
      </c>
      <c r="K112" s="3">
        <f>ROUND(MIN(MAX((B112*10)*0.2 + (MIN(E112/25*100,100))*0.2 + (MAX(100-F112*5,0))*0.15 + (G112*10)*0.15 + (H112)*0.15 + (I112)*0.15 - (J112*5),0),100),0)</f>
        <v>65</v>
      </c>
    </row>
    <row r="113" spans="1:11">
      <c r="A113" s="3" t="s">
        <v>572</v>
      </c>
      <c r="B113" s="3">
        <v>4.3</v>
      </c>
      <c r="C113" s="3">
        <v>7</v>
      </c>
      <c r="D113" s="3">
        <v>4</v>
      </c>
      <c r="E113" s="3">
        <v>8.1</v>
      </c>
      <c r="F113" s="3">
        <v>11.7</v>
      </c>
      <c r="G113" s="3">
        <v>6.2</v>
      </c>
      <c r="H113" s="3">
        <v>76.2</v>
      </c>
      <c r="I113" s="3">
        <v>79.3</v>
      </c>
      <c r="J113" s="3">
        <v>4</v>
      </c>
      <c r="K113" s="3">
        <f>ROUND(MIN(MAX((B113*10)*0.2 + (MIN(E113/25*100,100))*0.2 + (MAX(100-F113*5,0))*0.15 + (G113*10)*0.15 + (H113)*0.15 + (I113)*0.15 - (J113*5),0),100),0)</f>
        <v>34</v>
      </c>
    </row>
    <row r="114" spans="1:11">
      <c r="A114" s="3" t="s">
        <v>574</v>
      </c>
      <c r="B114" s="3">
        <v>4.5999999999999996</v>
      </c>
      <c r="C114" s="3">
        <v>8</v>
      </c>
      <c r="D114" s="3">
        <v>5</v>
      </c>
      <c r="E114" s="3">
        <v>15.4</v>
      </c>
      <c r="F114" s="3">
        <v>21.9</v>
      </c>
      <c r="G114" s="3">
        <v>8.6</v>
      </c>
      <c r="H114" s="3">
        <v>63.7</v>
      </c>
      <c r="I114" s="3">
        <v>71.3</v>
      </c>
      <c r="J114" s="3">
        <v>1</v>
      </c>
      <c r="K114" s="3">
        <f>ROUND(MIN(MAX((B114*10)*0.2 + (MIN(E114/25*100,100))*0.2 + (MAX(100-F114*5,0))*0.15 + (G114*10)*0.15 + (H114)*0.15 + (I114)*0.15 - (J114*5),0),100),0)</f>
        <v>50</v>
      </c>
    </row>
    <row r="115" spans="1:11">
      <c r="A115" s="3" t="s">
        <v>576</v>
      </c>
      <c r="B115" s="3">
        <v>3.4</v>
      </c>
      <c r="C115" s="3">
        <v>3</v>
      </c>
      <c r="D115" s="3">
        <v>1</v>
      </c>
      <c r="E115" s="3">
        <v>12.5</v>
      </c>
      <c r="F115" s="3">
        <v>12.5</v>
      </c>
      <c r="G115" s="3">
        <v>8.6999999999999993</v>
      </c>
      <c r="H115" s="3">
        <v>82.6</v>
      </c>
      <c r="I115" s="3">
        <v>91.9</v>
      </c>
      <c r="J115" s="3">
        <v>0</v>
      </c>
      <c r="K115" s="3">
        <f>ROUND(MIN(MAX((B115*10)*0.2 + (MIN(E115/25*100,100))*0.2 + (MAX(100-F115*5,0))*0.15 + (G115*10)*0.15 + (H115)*0.15 + (I115)*0.15 - (J115*5),0),100),0)</f>
        <v>62</v>
      </c>
    </row>
    <row r="116" spans="1:11">
      <c r="A116" s="3" t="s">
        <v>578</v>
      </c>
      <c r="B116" s="3">
        <v>6.7</v>
      </c>
      <c r="C116" s="3">
        <v>8</v>
      </c>
      <c r="D116" s="3">
        <v>3</v>
      </c>
      <c r="E116" s="3">
        <v>19.5</v>
      </c>
      <c r="F116" s="3">
        <v>22.5</v>
      </c>
      <c r="G116" s="3">
        <v>6.9</v>
      </c>
      <c r="H116" s="3">
        <v>61.9</v>
      </c>
      <c r="I116" s="3">
        <v>58.2</v>
      </c>
      <c r="J116" s="3">
        <v>3</v>
      </c>
      <c r="K116" s="3">
        <f>ROUND(MIN(MAX((B116*10)*0.2 + (MIN(E116/25*100,100))*0.2 + (MAX(100-F116*5,0))*0.15 + (G116*10)*0.15 + (H116)*0.15 + (I116)*0.15 - (J116*5),0),100),0)</f>
        <v>42</v>
      </c>
    </row>
    <row r="117" spans="1:11">
      <c r="A117" s="3" t="s">
        <v>579</v>
      </c>
      <c r="B117" s="3">
        <v>9.3000000000000007</v>
      </c>
      <c r="C117" s="3">
        <v>15</v>
      </c>
      <c r="D117" s="3">
        <v>6</v>
      </c>
      <c r="E117" s="3">
        <v>20.6</v>
      </c>
      <c r="F117" s="3">
        <v>9.9</v>
      </c>
      <c r="G117" s="3">
        <v>9.8000000000000007</v>
      </c>
      <c r="H117" s="3">
        <v>83.5</v>
      </c>
      <c r="I117" s="3">
        <v>87.3</v>
      </c>
      <c r="J117" s="3">
        <v>2</v>
      </c>
      <c r="K117" s="3">
        <f>ROUND(MIN(MAX((B117*10)*0.2 + (MIN(E117/25*100,100))*0.2 + (MAX(100-F117*5,0))*0.15 + (G117*10)*0.15 + (H117)*0.15 + (I117)*0.15 - (J117*5),0),100),0)</f>
        <v>73</v>
      </c>
    </row>
    <row r="118" spans="1:11">
      <c r="A118" s="3" t="s">
        <v>582</v>
      </c>
      <c r="B118" s="3">
        <v>5.8</v>
      </c>
      <c r="C118" s="3">
        <v>7</v>
      </c>
      <c r="D118" s="3">
        <v>2</v>
      </c>
      <c r="E118" s="3">
        <v>7.6</v>
      </c>
      <c r="F118" s="3">
        <v>21.4</v>
      </c>
      <c r="G118" s="3">
        <v>6.3</v>
      </c>
      <c r="H118" s="3">
        <v>95.9</v>
      </c>
      <c r="I118" s="3">
        <v>69.3</v>
      </c>
      <c r="J118" s="3">
        <v>2</v>
      </c>
      <c r="K118" s="3">
        <f>ROUND(MIN(MAX((B118*10)*0.2 + (MIN(E118/25*100,100))*0.2 + (MAX(100-F118*5,0))*0.15 + (G118*10)*0.15 + (H118)*0.15 + (I118)*0.15 - (J118*5),0),100),0)</f>
        <v>42</v>
      </c>
    </row>
    <row r="119" spans="1:11">
      <c r="A119" s="3" t="s">
        <v>584</v>
      </c>
      <c r="B119" s="3">
        <v>4</v>
      </c>
      <c r="C119" s="3">
        <v>9</v>
      </c>
      <c r="D119" s="3">
        <v>5</v>
      </c>
      <c r="E119" s="3">
        <v>12.5</v>
      </c>
      <c r="F119" s="3">
        <v>24.4</v>
      </c>
      <c r="G119" s="3">
        <v>4.3</v>
      </c>
      <c r="H119" s="3">
        <v>77.5</v>
      </c>
      <c r="I119" s="3">
        <v>91.1</v>
      </c>
      <c r="J119" s="3">
        <v>0</v>
      </c>
      <c r="K119" s="3">
        <f>ROUND(MIN(MAX((B119*10)*0.2 + (MIN(E119/25*100,100))*0.2 + (MAX(100-F119*5,0))*0.15 + (G119*10)*0.15 + (H119)*0.15 + (I119)*0.15 - (J119*5),0),100),0)</f>
        <v>50</v>
      </c>
    </row>
    <row r="120" spans="1:11">
      <c r="A120" s="3" t="s">
        <v>585</v>
      </c>
      <c r="B120" s="3">
        <v>8.4</v>
      </c>
      <c r="C120" s="3">
        <v>16</v>
      </c>
      <c r="D120" s="3">
        <v>8</v>
      </c>
      <c r="E120" s="3">
        <v>17.7</v>
      </c>
      <c r="F120" s="3">
        <v>3.7</v>
      </c>
      <c r="G120" s="3">
        <v>5.6</v>
      </c>
      <c r="H120" s="3">
        <v>99.7</v>
      </c>
      <c r="I120" s="3">
        <v>76.099999999999994</v>
      </c>
      <c r="J120" s="3">
        <v>0</v>
      </c>
      <c r="K120" s="3">
        <f>ROUND(MIN(MAX((B120*10)*0.2 + (MIN(E120/25*100,100))*0.2 + (MAX(100-F120*5,0))*0.15 + (G120*10)*0.15 + (H120)*0.15 + (I120)*0.15 - (J120*5),0),100),0)</f>
        <v>78</v>
      </c>
    </row>
    <row r="121" spans="1:11">
      <c r="A121" s="3" t="s">
        <v>587</v>
      </c>
      <c r="B121" s="3">
        <v>9.6</v>
      </c>
      <c r="C121" s="3">
        <v>15</v>
      </c>
      <c r="D121" s="3">
        <v>8</v>
      </c>
      <c r="E121" s="3">
        <v>15.6</v>
      </c>
      <c r="F121" s="3">
        <v>4.9000000000000004</v>
      </c>
      <c r="G121" s="3">
        <v>7.7</v>
      </c>
      <c r="H121" s="3">
        <v>91.9</v>
      </c>
      <c r="I121" s="3">
        <v>85.7</v>
      </c>
      <c r="J121" s="3">
        <v>0</v>
      </c>
      <c r="K121" s="3">
        <f>ROUND(MIN(MAX((B121*10)*0.2 + (MIN(E121/25*100,100))*0.2 + (MAX(100-F121*5,0))*0.15 + (G121*10)*0.15 + (H121)*0.15 + (I121)*0.15 - (J121*5),0),100),0)</f>
        <v>81</v>
      </c>
    </row>
    <row r="122" spans="1:11">
      <c r="A122" s="3" t="s">
        <v>588</v>
      </c>
      <c r="B122" s="3">
        <v>4.0999999999999996</v>
      </c>
      <c r="C122" s="3">
        <v>8</v>
      </c>
      <c r="D122" s="3">
        <v>4</v>
      </c>
      <c r="E122" s="3">
        <v>17.100000000000001</v>
      </c>
      <c r="F122" s="3">
        <v>10</v>
      </c>
      <c r="G122" s="3">
        <v>4.5999999999999996</v>
      </c>
      <c r="H122" s="3">
        <v>60.2</v>
      </c>
      <c r="I122" s="3">
        <v>68.3</v>
      </c>
      <c r="J122" s="3">
        <v>0</v>
      </c>
      <c r="K122" s="3">
        <f>ROUND(MIN(MAX((B122*10)*0.2 + (MIN(E122/25*100,100))*0.2 + (MAX(100-F122*5,0))*0.15 + (G122*10)*0.15 + (H122)*0.15 + (I122)*0.15 - (J122*5),0),100),0)</f>
        <v>56</v>
      </c>
    </row>
    <row r="123" spans="1:11">
      <c r="A123" s="3" t="s">
        <v>589</v>
      </c>
      <c r="B123" s="3">
        <v>4.9000000000000004</v>
      </c>
      <c r="C123" s="3">
        <v>6</v>
      </c>
      <c r="D123" s="3">
        <v>2</v>
      </c>
      <c r="E123" s="3">
        <v>11.5</v>
      </c>
      <c r="F123" s="3">
        <v>15.2</v>
      </c>
      <c r="G123" s="3">
        <v>6.4</v>
      </c>
      <c r="H123" s="3">
        <v>61.1</v>
      </c>
      <c r="I123" s="3">
        <v>70.2</v>
      </c>
      <c r="J123" s="3">
        <v>0</v>
      </c>
      <c r="K123" s="3">
        <f>ROUND(MIN(MAX((B123*10)*0.2 + (MIN(E123/25*100,100))*0.2 + (MAX(100-F123*5,0))*0.15 + (G123*10)*0.15 + (H123)*0.15 + (I123)*0.15 - (J123*5),0),100),0)</f>
        <v>52</v>
      </c>
    </row>
    <row r="124" spans="1:11">
      <c r="A124" s="3" t="s">
        <v>590</v>
      </c>
      <c r="B124" s="3">
        <v>7.2</v>
      </c>
      <c r="C124" s="3">
        <v>11</v>
      </c>
      <c r="D124" s="3">
        <v>5</v>
      </c>
      <c r="E124" s="3">
        <v>8.5</v>
      </c>
      <c r="F124" s="3">
        <v>11.5</v>
      </c>
      <c r="G124" s="3">
        <v>4.5</v>
      </c>
      <c r="H124" s="3">
        <v>96</v>
      </c>
      <c r="I124" s="3">
        <v>93.9</v>
      </c>
      <c r="J124" s="3">
        <v>4</v>
      </c>
      <c r="K124" s="3">
        <f>ROUND(MIN(MAX((B124*10)*0.2 + (MIN(E124/25*100,100))*0.2 + (MAX(100-F124*5,0))*0.15 + (G124*10)*0.15 + (H124)*0.15 + (I124)*0.15 - (J124*5),0),100),0)</f>
        <v>43</v>
      </c>
    </row>
    <row r="125" spans="1:11">
      <c r="A125" s="3" t="s">
        <v>592</v>
      </c>
      <c r="B125" s="3">
        <v>7</v>
      </c>
      <c r="C125" s="3">
        <v>10</v>
      </c>
      <c r="D125" s="3">
        <v>5</v>
      </c>
      <c r="E125" s="3">
        <v>5.6</v>
      </c>
      <c r="F125" s="3">
        <v>9.6</v>
      </c>
      <c r="G125" s="3">
        <v>7</v>
      </c>
      <c r="H125" s="3">
        <v>62.5</v>
      </c>
      <c r="I125" s="3">
        <v>73.7</v>
      </c>
      <c r="J125" s="3">
        <v>1</v>
      </c>
      <c r="K125" s="3">
        <f>ROUND(MIN(MAX((B125*10)*0.2 + (MIN(E125/25*100,100))*0.2 + (MAX(100-F125*5,0))*0.15 + (G125*10)*0.15 + (H125)*0.15 + (I125)*0.15 - (J125*5),0),100),0)</f>
        <v>52</v>
      </c>
    </row>
    <row r="126" spans="1:11">
      <c r="A126" s="3" t="s">
        <v>594</v>
      </c>
      <c r="B126" s="3">
        <v>6.4</v>
      </c>
      <c r="C126" s="3">
        <v>8</v>
      </c>
      <c r="D126" s="3">
        <v>3</v>
      </c>
      <c r="E126" s="3">
        <v>7.7</v>
      </c>
      <c r="F126" s="3">
        <v>16.8</v>
      </c>
      <c r="G126" s="3">
        <v>7.6</v>
      </c>
      <c r="H126" s="3">
        <v>67.8</v>
      </c>
      <c r="I126" s="3">
        <v>59.6</v>
      </c>
      <c r="J126" s="3">
        <v>0</v>
      </c>
      <c r="K126" s="3">
        <f>ROUND(MIN(MAX((B126*10)*0.2 + (MIN(E126/25*100,100))*0.2 + (MAX(100-F126*5,0))*0.15 + (G126*10)*0.15 + (H126)*0.15 + (I126)*0.15 - (J126*5),0),100),0)</f>
        <v>52</v>
      </c>
    </row>
    <row r="127" spans="1:11">
      <c r="A127" s="3" t="s">
        <v>595</v>
      </c>
      <c r="B127" s="3">
        <v>9.6</v>
      </c>
      <c r="C127" s="3">
        <v>15</v>
      </c>
      <c r="D127" s="3">
        <v>8</v>
      </c>
      <c r="E127" s="3">
        <v>18.3</v>
      </c>
      <c r="F127" s="3">
        <v>10.199999999999999</v>
      </c>
      <c r="G127" s="3">
        <v>6</v>
      </c>
      <c r="H127" s="3">
        <v>92.6</v>
      </c>
      <c r="I127" s="3">
        <v>92</v>
      </c>
      <c r="J127" s="3">
        <v>4</v>
      </c>
      <c r="K127" s="3">
        <f>ROUND(MIN(MAX((B127*10)*0.2 + (MIN(E127/25*100,100))*0.2 + (MAX(100-F127*5,0))*0.15 + (G127*10)*0.15 + (H127)*0.15 + (I127)*0.15 - (J127*5),0),100),0)</f>
        <v>58</v>
      </c>
    </row>
    <row r="128" spans="1:11">
      <c r="A128" s="3" t="s">
        <v>597</v>
      </c>
      <c r="B128" s="3">
        <v>4</v>
      </c>
      <c r="C128" s="3">
        <v>6</v>
      </c>
      <c r="D128" s="3">
        <v>4</v>
      </c>
      <c r="E128" s="3">
        <v>6.8</v>
      </c>
      <c r="F128" s="3">
        <v>9.9</v>
      </c>
      <c r="G128" s="3">
        <v>9.8000000000000007</v>
      </c>
      <c r="H128" s="3">
        <v>98.7</v>
      </c>
      <c r="I128" s="3">
        <v>67.5</v>
      </c>
      <c r="J128" s="3">
        <v>1</v>
      </c>
      <c r="K128" s="3">
        <f>ROUND(MIN(MAX((B128*10)*0.2 + (MIN(E128/25*100,100))*0.2 + (MAX(100-F128*5,0))*0.15 + (G128*10)*0.15 + (H128)*0.15 + (I128)*0.15 - (J128*5),0),100),0)</f>
        <v>56</v>
      </c>
    </row>
    <row r="129" spans="1:11">
      <c r="A129" s="3" t="s">
        <v>598</v>
      </c>
      <c r="B129" s="3">
        <v>6.4</v>
      </c>
      <c r="C129" s="3">
        <v>11</v>
      </c>
      <c r="D129" s="3">
        <v>5</v>
      </c>
      <c r="E129" s="3">
        <v>10.1</v>
      </c>
      <c r="F129" s="3">
        <v>21</v>
      </c>
      <c r="G129" s="3">
        <v>6.4</v>
      </c>
      <c r="H129" s="3">
        <v>64.599999999999994</v>
      </c>
      <c r="I129" s="3">
        <v>79.2</v>
      </c>
      <c r="J129" s="3">
        <v>1</v>
      </c>
      <c r="K129" s="3">
        <f>ROUND(MIN(MAX((B129*10)*0.2 + (MIN(E129/25*100,100))*0.2 + (MAX(100-F129*5,0))*0.15 + (G129*10)*0.15 + (H129)*0.15 + (I129)*0.15 - (J129*5),0),100),0)</f>
        <v>47</v>
      </c>
    </row>
    <row r="130" spans="1:11">
      <c r="A130" s="3" t="s">
        <v>600</v>
      </c>
      <c r="B130" s="3">
        <v>6.8</v>
      </c>
      <c r="C130" s="3">
        <v>12</v>
      </c>
      <c r="D130" s="3">
        <v>6</v>
      </c>
      <c r="E130" s="3">
        <v>21.1</v>
      </c>
      <c r="F130" s="3">
        <v>13.2</v>
      </c>
      <c r="G130" s="3">
        <v>8.3000000000000007</v>
      </c>
      <c r="H130" s="3">
        <v>77.5</v>
      </c>
      <c r="I130" s="3">
        <v>67.5</v>
      </c>
      <c r="J130" s="3">
        <v>1</v>
      </c>
      <c r="K130" s="3">
        <f>ROUND(MIN(MAX((B130*10)*0.2 + (MIN(E130/25*100,100))*0.2 + (MAX(100-F130*5,0))*0.15 + (G130*10)*0.15 + (H130)*0.15 + (I130)*0.15 - (J130*5),0),100),0)</f>
        <v>65</v>
      </c>
    </row>
    <row r="131" spans="1:11">
      <c r="A131" s="3" t="s">
        <v>602</v>
      </c>
      <c r="B131" s="3">
        <v>8.6999999999999993</v>
      </c>
      <c r="C131" s="3">
        <v>15</v>
      </c>
      <c r="D131" s="3">
        <v>7</v>
      </c>
      <c r="E131" s="3">
        <v>12.5</v>
      </c>
      <c r="F131" s="3">
        <v>16.899999999999999</v>
      </c>
      <c r="G131" s="3">
        <v>5.5</v>
      </c>
      <c r="H131" s="3">
        <v>86.3</v>
      </c>
      <c r="I131" s="3">
        <v>85.8</v>
      </c>
      <c r="J131" s="3">
        <v>2</v>
      </c>
      <c r="K131" s="3">
        <f>ROUND(MIN(MAX((B131*10)*0.2 + (MIN(E131/25*100,100))*0.2 + (MAX(100-F131*5,0))*0.15 + (G131*10)*0.15 + (H131)*0.15 + (I131)*0.15 - (J131*5),0),100),0)</f>
        <v>54</v>
      </c>
    </row>
    <row r="132" spans="1:11">
      <c r="A132" s="3" t="s">
        <v>603</v>
      </c>
      <c r="B132" s="3">
        <v>3.5</v>
      </c>
      <c r="C132" s="3">
        <v>8</v>
      </c>
      <c r="D132" s="3">
        <v>4</v>
      </c>
      <c r="E132" s="3">
        <v>10.6</v>
      </c>
      <c r="F132" s="3">
        <v>14.1</v>
      </c>
      <c r="G132" s="3">
        <v>9.5</v>
      </c>
      <c r="H132" s="3">
        <v>87.7</v>
      </c>
      <c r="I132" s="3">
        <v>78.400000000000006</v>
      </c>
      <c r="J132" s="3">
        <v>2</v>
      </c>
      <c r="K132" s="3">
        <f>ROUND(MIN(MAX((B132*10)*0.2 + (MIN(E132/25*100,100))*0.2 + (MAX(100-F132*5,0))*0.15 + (G132*10)*0.15 + (H132)*0.15 + (I132)*0.15 - (J132*5),0),100),0)</f>
        <v>49</v>
      </c>
    </row>
    <row r="133" spans="1:11">
      <c r="A133" s="3" t="s">
        <v>605</v>
      </c>
      <c r="B133" s="3">
        <v>5.5</v>
      </c>
      <c r="C133" s="3">
        <v>11</v>
      </c>
      <c r="D133" s="3">
        <v>6</v>
      </c>
      <c r="E133" s="3">
        <v>15.1</v>
      </c>
      <c r="F133" s="3">
        <v>4.9000000000000004</v>
      </c>
      <c r="G133" s="3">
        <v>8.6</v>
      </c>
      <c r="H133" s="3">
        <v>86.3</v>
      </c>
      <c r="I133" s="3">
        <v>70.3</v>
      </c>
      <c r="J133" s="3">
        <v>1</v>
      </c>
      <c r="K133" s="3">
        <f>ROUND(MIN(MAX((B133*10)*0.2 + (MIN(E133/25*100,100))*0.2 + (MAX(100-F133*5,0))*0.15 + (G133*10)*0.15 + (H133)*0.15 + (I133)*0.15 - (J133*5),0),100),0)</f>
        <v>66</v>
      </c>
    </row>
    <row r="134" spans="1:11">
      <c r="A134" s="3" t="s">
        <v>606</v>
      </c>
      <c r="B134" s="3">
        <v>3.3</v>
      </c>
      <c r="C134" s="3">
        <v>8</v>
      </c>
      <c r="D134" s="3">
        <v>5</v>
      </c>
      <c r="E134" s="3">
        <v>10.6</v>
      </c>
      <c r="F134" s="3">
        <v>19.600000000000001</v>
      </c>
      <c r="G134" s="3">
        <v>9.8000000000000007</v>
      </c>
      <c r="H134" s="3">
        <v>77.2</v>
      </c>
      <c r="I134" s="3">
        <v>55.5</v>
      </c>
      <c r="J134" s="3">
        <v>0</v>
      </c>
      <c r="K134" s="3">
        <f>ROUND(MIN(MAX((B134*10)*0.2 + (MIN(E134/25*100,100))*0.2 + (MAX(100-F134*5,0))*0.15 + (G134*10)*0.15 + (H134)*0.15 + (I134)*0.15 - (J134*5),0),100),0)</f>
        <v>50</v>
      </c>
    </row>
    <row r="135" spans="1:11">
      <c r="A135" s="3" t="s">
        <v>608</v>
      </c>
      <c r="B135" s="3">
        <v>6.6</v>
      </c>
      <c r="C135" s="3">
        <v>11</v>
      </c>
      <c r="D135" s="3">
        <v>6</v>
      </c>
      <c r="E135" s="3">
        <v>13.9</v>
      </c>
      <c r="F135" s="3">
        <v>12.8</v>
      </c>
      <c r="G135" s="3">
        <v>6.3</v>
      </c>
      <c r="H135" s="3">
        <v>90.9</v>
      </c>
      <c r="I135" s="3">
        <v>80.3</v>
      </c>
      <c r="J135" s="3">
        <v>1</v>
      </c>
      <c r="K135" s="3">
        <f>ROUND(MIN(MAX((B135*10)*0.2 + (MIN(E135/25*100,100))*0.2 + (MAX(100-F135*5,0))*0.15 + (G135*10)*0.15 + (H135)*0.15 + (I135)*0.15 - (J135*5),0),100),0)</f>
        <v>60</v>
      </c>
    </row>
    <row r="136" spans="1:11">
      <c r="A136" s="3" t="s">
        <v>609</v>
      </c>
      <c r="B136" s="3">
        <v>5.4</v>
      </c>
      <c r="C136" s="3">
        <v>6</v>
      </c>
      <c r="D136" s="3">
        <v>2</v>
      </c>
      <c r="E136" s="3">
        <v>10.9</v>
      </c>
      <c r="F136" s="3">
        <v>24.2</v>
      </c>
      <c r="G136" s="3">
        <v>4.7</v>
      </c>
      <c r="H136" s="3">
        <v>97.6</v>
      </c>
      <c r="I136" s="3">
        <v>61.1</v>
      </c>
      <c r="J136" s="3">
        <v>0</v>
      </c>
      <c r="K136" s="3">
        <f>ROUND(MIN(MAX((B136*10)*0.2 + (MIN(E136/25*100,100))*0.2 + (MAX(100-F136*5,0))*0.15 + (G136*10)*0.15 + (H136)*0.15 + (I136)*0.15 - (J136*5),0),100),0)</f>
        <v>50</v>
      </c>
    </row>
    <row r="137" spans="1:11">
      <c r="A137" s="3" t="s">
        <v>611</v>
      </c>
      <c r="B137" s="3">
        <v>6.2</v>
      </c>
      <c r="C137" s="3">
        <v>8</v>
      </c>
      <c r="D137" s="3">
        <v>4</v>
      </c>
      <c r="E137" s="3">
        <v>12</v>
      </c>
      <c r="F137" s="3">
        <v>12.6</v>
      </c>
      <c r="G137" s="3">
        <v>8.1999999999999993</v>
      </c>
      <c r="H137" s="3">
        <v>72.8</v>
      </c>
      <c r="I137" s="3">
        <v>67.900000000000006</v>
      </c>
      <c r="J137" s="3">
        <v>2</v>
      </c>
      <c r="K137" s="3">
        <f>ROUND(MIN(MAX((B137*10)*0.2 + (MIN(E137/25*100,100))*0.2 + (MAX(100-F137*5,0))*0.15 + (G137*10)*0.15 + (H137)*0.15 + (I137)*0.15 - (J137*5),0),100),0)</f>
        <v>51</v>
      </c>
    </row>
    <row r="138" spans="1:11">
      <c r="A138" s="3" t="s">
        <v>613</v>
      </c>
      <c r="B138" s="3">
        <v>3.8</v>
      </c>
      <c r="C138" s="3">
        <v>8</v>
      </c>
      <c r="D138" s="3">
        <v>4</v>
      </c>
      <c r="E138" s="3">
        <v>15.9</v>
      </c>
      <c r="F138" s="3">
        <v>6.6</v>
      </c>
      <c r="G138" s="3">
        <v>9.9</v>
      </c>
      <c r="H138" s="3">
        <v>69.8</v>
      </c>
      <c r="I138" s="3">
        <v>62.5</v>
      </c>
      <c r="J138" s="3">
        <v>0</v>
      </c>
      <c r="K138" s="3">
        <f>ROUND(MIN(MAX((B138*10)*0.2 + (MIN(E138/25*100,100))*0.2 + (MAX(100-F138*5,0))*0.15 + (G138*10)*0.15 + (H138)*0.15 + (I138)*0.15 - (J138*5),0),100),0)</f>
        <v>65</v>
      </c>
    </row>
    <row r="139" spans="1:11">
      <c r="A139" s="3" t="s">
        <v>614</v>
      </c>
      <c r="B139" s="3">
        <v>6.9</v>
      </c>
      <c r="C139" s="3">
        <v>13</v>
      </c>
      <c r="D139" s="3">
        <v>6</v>
      </c>
      <c r="E139" s="3">
        <v>10.7</v>
      </c>
      <c r="F139" s="3">
        <v>7.1</v>
      </c>
      <c r="G139" s="3">
        <v>7.8</v>
      </c>
      <c r="H139" s="3">
        <v>77.3</v>
      </c>
      <c r="I139" s="3">
        <v>56.3</v>
      </c>
      <c r="J139" s="3">
        <v>1</v>
      </c>
      <c r="K139" s="3">
        <f>ROUND(MIN(MAX((B139*10)*0.2 + (MIN(E139/25*100,100))*0.2 + (MAX(100-F139*5,0))*0.15 + (G139*10)*0.15 + (H139)*0.15 + (I139)*0.15 - (J139*5),0),100),0)</f>
        <v>59</v>
      </c>
    </row>
    <row r="140" spans="1:11">
      <c r="A140" s="3" t="s">
        <v>616</v>
      </c>
      <c r="B140" s="3">
        <v>4.4000000000000004</v>
      </c>
      <c r="C140" s="3">
        <v>8</v>
      </c>
      <c r="D140" s="3">
        <v>4</v>
      </c>
      <c r="E140" s="3">
        <v>16.399999999999999</v>
      </c>
      <c r="F140" s="3">
        <v>7.5</v>
      </c>
      <c r="G140" s="3">
        <v>8.5</v>
      </c>
      <c r="H140" s="3">
        <v>92.3</v>
      </c>
      <c r="I140" s="3">
        <v>57.7</v>
      </c>
      <c r="J140" s="3">
        <v>0</v>
      </c>
      <c r="K140" s="3">
        <f>ROUND(MIN(MAX((B140*10)*0.2 + (MIN(E140/25*100,100))*0.2 + (MAX(100-F140*5,0))*0.15 + (G140*10)*0.15 + (H140)*0.15 + (I140)*0.15 - (J140*5),0),100),0)</f>
        <v>67</v>
      </c>
    </row>
    <row r="141" spans="1:11">
      <c r="A141" s="3" t="s">
        <v>618</v>
      </c>
      <c r="B141" s="3">
        <v>9.1</v>
      </c>
      <c r="C141" s="3">
        <v>13</v>
      </c>
      <c r="D141" s="3">
        <v>6</v>
      </c>
      <c r="E141" s="3">
        <v>11.7</v>
      </c>
      <c r="F141" s="3">
        <v>8.8000000000000007</v>
      </c>
      <c r="G141" s="3">
        <v>9.1999999999999993</v>
      </c>
      <c r="H141" s="3">
        <v>81.099999999999994</v>
      </c>
      <c r="I141" s="3">
        <v>82.5</v>
      </c>
      <c r="J141" s="3">
        <v>1</v>
      </c>
      <c r="K141" s="3">
        <f>ROUND(MIN(MAX((B141*10)*0.2 + (MIN(E141/25*100,100))*0.2 + (MAX(100-F141*5,0))*0.15 + (G141*10)*0.15 + (H141)*0.15 + (I141)*0.15 - (J141*5),0),100),0)</f>
        <v>69</v>
      </c>
    </row>
    <row r="142" spans="1:11">
      <c r="A142" s="3" t="s">
        <v>620</v>
      </c>
      <c r="B142" s="3">
        <v>7.3</v>
      </c>
      <c r="C142" s="3">
        <v>12</v>
      </c>
      <c r="D142" s="3">
        <v>6</v>
      </c>
      <c r="E142" s="3">
        <v>19.100000000000001</v>
      </c>
      <c r="F142" s="3">
        <v>16.600000000000001</v>
      </c>
      <c r="G142" s="3">
        <v>8.9</v>
      </c>
      <c r="H142" s="3">
        <v>88.2</v>
      </c>
      <c r="I142" s="3">
        <v>67.8</v>
      </c>
      <c r="J142" s="3">
        <v>1</v>
      </c>
      <c r="K142" s="3">
        <f>ROUND(MIN(MAX((B142*10)*0.2 + (MIN(E142/25*100,100))*0.2 + (MAX(100-F142*5,0))*0.15 + (G142*10)*0.15 + (H142)*0.15 + (I142)*0.15 - (J142*5),0),100),0)</f>
        <v>64</v>
      </c>
    </row>
    <row r="143" spans="1:11">
      <c r="A143" s="3" t="s">
        <v>622</v>
      </c>
      <c r="B143" s="3">
        <v>3.6</v>
      </c>
      <c r="C143" s="3">
        <v>4</v>
      </c>
      <c r="D143" s="3">
        <v>1</v>
      </c>
      <c r="E143" s="3">
        <v>8.8000000000000007</v>
      </c>
      <c r="F143" s="3">
        <v>7</v>
      </c>
      <c r="G143" s="3">
        <v>8.1999999999999993</v>
      </c>
      <c r="H143" s="3">
        <v>80.400000000000006</v>
      </c>
      <c r="I143" s="3">
        <v>73</v>
      </c>
      <c r="J143" s="3">
        <v>0</v>
      </c>
      <c r="K143" s="3">
        <f>ROUND(MIN(MAX((B143*10)*0.2 + (MIN(E143/25*100,100))*0.2 + (MAX(100-F143*5,0))*0.15 + (G143*10)*0.15 + (H143)*0.15 + (I143)*0.15 - (J143*5),0),100),0)</f>
        <v>59</v>
      </c>
    </row>
    <row r="144" spans="1:11">
      <c r="A144" s="3" t="s">
        <v>624</v>
      </c>
      <c r="B144" s="3">
        <v>5.7</v>
      </c>
      <c r="C144" s="3">
        <v>8</v>
      </c>
      <c r="D144" s="3">
        <v>4</v>
      </c>
      <c r="E144" s="3">
        <v>16.2</v>
      </c>
      <c r="F144" s="3">
        <v>17.2</v>
      </c>
      <c r="G144" s="3">
        <v>10</v>
      </c>
      <c r="H144" s="3">
        <v>82.2</v>
      </c>
      <c r="I144" s="3">
        <v>76.099999999999994</v>
      </c>
      <c r="J144" s="3">
        <v>0</v>
      </c>
      <c r="K144" s="3">
        <f>ROUND(MIN(MAX((B144*10)*0.2 + (MIN(E144/25*100,100))*0.2 + (MAX(100-F144*5,0))*0.15 + (G144*10)*0.15 + (H144)*0.15 + (I144)*0.15 - (J144*5),0),100),0)</f>
        <v>65</v>
      </c>
    </row>
    <row r="145" spans="1:11">
      <c r="A145" s="3" t="s">
        <v>625</v>
      </c>
      <c r="B145" s="3">
        <v>5.2</v>
      </c>
      <c r="C145" s="3">
        <v>8</v>
      </c>
      <c r="D145" s="3">
        <v>3</v>
      </c>
      <c r="E145" s="3">
        <v>9.8000000000000007</v>
      </c>
      <c r="F145" s="3">
        <v>3.2</v>
      </c>
      <c r="G145" s="3">
        <v>4.8</v>
      </c>
      <c r="H145" s="3">
        <v>92.6</v>
      </c>
      <c r="I145" s="3">
        <v>96.4</v>
      </c>
      <c r="J145" s="3">
        <v>1</v>
      </c>
      <c r="K145" s="3">
        <f>ROUND(MIN(MAX((B145*10)*0.2 + (MIN(E145/25*100,100))*0.2 + (MAX(100-F145*5,0))*0.15 + (G145*10)*0.15 + (H145)*0.15 + (I145)*0.15 - (J145*5),0),100),0)</f>
        <v>61</v>
      </c>
    </row>
    <row r="146" spans="1:11">
      <c r="A146" s="3" t="s">
        <v>627</v>
      </c>
      <c r="B146" s="3">
        <v>6.5</v>
      </c>
      <c r="C146" s="3">
        <v>11</v>
      </c>
      <c r="D146" s="3">
        <v>5</v>
      </c>
      <c r="E146" s="3">
        <v>19</v>
      </c>
      <c r="F146" s="3">
        <v>13.8</v>
      </c>
      <c r="G146" s="3">
        <v>4.5</v>
      </c>
      <c r="H146" s="3">
        <v>61.2</v>
      </c>
      <c r="I146" s="3">
        <v>87.7</v>
      </c>
      <c r="J146" s="3">
        <v>0</v>
      </c>
      <c r="K146" s="3">
        <f>ROUND(MIN(MAX((B146*10)*0.2 + (MIN(E146/25*100,100))*0.2 + (MAX(100-F146*5,0))*0.15 + (G146*10)*0.15 + (H146)*0.15 + (I146)*0.15 - (J146*5),0),100),0)</f>
        <v>62</v>
      </c>
    </row>
    <row r="147" spans="1:11">
      <c r="A147" s="3" t="s">
        <v>629</v>
      </c>
      <c r="B147" s="3">
        <v>4.9000000000000004</v>
      </c>
      <c r="C147" s="3">
        <v>8</v>
      </c>
      <c r="D147" s="3">
        <v>3</v>
      </c>
      <c r="E147" s="3">
        <v>11.7</v>
      </c>
      <c r="F147" s="3">
        <v>19.3</v>
      </c>
      <c r="G147" s="3">
        <v>8.6</v>
      </c>
      <c r="H147" s="3">
        <v>82</v>
      </c>
      <c r="I147" s="3">
        <v>59.9</v>
      </c>
      <c r="J147" s="3">
        <v>0</v>
      </c>
      <c r="K147" s="3">
        <f>ROUND(MIN(MAX((B147*10)*0.2 + (MIN(E147/25*100,100))*0.2 + (MAX(100-F147*5,0))*0.15 + (G147*10)*0.15 + (H147)*0.15 + (I147)*0.15 - (J147*5),0),100),0)</f>
        <v>54</v>
      </c>
    </row>
    <row r="148" spans="1:11">
      <c r="A148" s="3" t="s">
        <v>631</v>
      </c>
      <c r="B148" s="3">
        <v>8.4</v>
      </c>
      <c r="C148" s="3">
        <v>15</v>
      </c>
      <c r="D148" s="3">
        <v>7</v>
      </c>
      <c r="E148" s="3">
        <v>18.600000000000001</v>
      </c>
      <c r="F148" s="3">
        <v>3.9</v>
      </c>
      <c r="G148" s="3">
        <v>8.3000000000000007</v>
      </c>
      <c r="H148" s="3">
        <v>81.900000000000006</v>
      </c>
      <c r="I148" s="3">
        <v>97.6</v>
      </c>
      <c r="J148" s="3">
        <v>0</v>
      </c>
      <c r="K148" s="3">
        <f>ROUND(MIN(MAX((B148*10)*0.2 + (MIN(E148/25*100,100))*0.2 + (MAX(100-F148*5,0))*0.15 + (G148*10)*0.15 + (H148)*0.15 + (I148)*0.15 - (J148*5),0),100),0)</f>
        <v>83</v>
      </c>
    </row>
    <row r="149" spans="1:11">
      <c r="A149" s="3" t="s">
        <v>633</v>
      </c>
      <c r="B149" s="3">
        <v>8.8000000000000007</v>
      </c>
      <c r="C149" s="3">
        <v>15</v>
      </c>
      <c r="D149" s="3">
        <v>7</v>
      </c>
      <c r="E149" s="3">
        <v>22</v>
      </c>
      <c r="F149" s="3">
        <v>12.9</v>
      </c>
      <c r="G149" s="3">
        <v>6.1</v>
      </c>
      <c r="H149" s="3">
        <v>92.7</v>
      </c>
      <c r="I149" s="3">
        <v>73.900000000000006</v>
      </c>
      <c r="J149" s="3">
        <v>4</v>
      </c>
      <c r="K149" s="3">
        <f>ROUND(MIN(MAX((B149*10)*0.2 + (MIN(E149/25*100,100))*0.2 + (MAX(100-F149*5,0))*0.15 + (G149*10)*0.15 + (H149)*0.15 + (I149)*0.15 - (J149*5),0),100),0)</f>
        <v>55</v>
      </c>
    </row>
    <row r="150" spans="1:11">
      <c r="A150" s="3" t="s">
        <v>635</v>
      </c>
      <c r="B150" s="3">
        <v>8.4</v>
      </c>
      <c r="C150" s="3">
        <v>12</v>
      </c>
      <c r="D150" s="3">
        <v>7</v>
      </c>
      <c r="E150" s="3">
        <v>14.2</v>
      </c>
      <c r="F150" s="3">
        <v>10.7</v>
      </c>
      <c r="G150" s="3">
        <v>8.3000000000000007</v>
      </c>
      <c r="H150" s="3">
        <v>85.3</v>
      </c>
      <c r="I150" s="3">
        <v>62.1</v>
      </c>
      <c r="J150" s="3">
        <v>0</v>
      </c>
      <c r="K150" s="3">
        <f>ROUND(MIN(MAX((B150*10)*0.2 + (MIN(E150/25*100,100))*0.2 + (MAX(100-F150*5,0))*0.15 + (G150*10)*0.15 + (H150)*0.15 + (I150)*0.15 - (J150*5),0),100),0)</f>
        <v>70</v>
      </c>
    </row>
    <row r="151" spans="1:11">
      <c r="A151" s="3" t="s">
        <v>637</v>
      </c>
      <c r="B151" s="3">
        <v>4.4000000000000004</v>
      </c>
      <c r="C151" s="3">
        <v>6</v>
      </c>
      <c r="D151" s="3">
        <v>2</v>
      </c>
      <c r="E151" s="3">
        <v>9.6999999999999993</v>
      </c>
      <c r="F151" s="3">
        <v>9.1999999999999993</v>
      </c>
      <c r="G151" s="3">
        <v>7.2</v>
      </c>
      <c r="H151" s="3">
        <v>72.900000000000006</v>
      </c>
      <c r="I151" s="3">
        <v>85.3</v>
      </c>
      <c r="J151" s="3">
        <v>0</v>
      </c>
      <c r="K151" s="3">
        <f>ROUND(MIN(MAX((B151*10)*0.2 + (MIN(E151/25*100,100))*0.2 + (MAX(100-F151*5,0))*0.15 + (G151*10)*0.15 + (H151)*0.15 + (I151)*0.15 - (J151*5),0),100),0)</f>
        <v>59</v>
      </c>
    </row>
    <row r="152" spans="1:11">
      <c r="A152" s="3" t="s">
        <v>638</v>
      </c>
      <c r="B152" s="3">
        <v>4.9000000000000004</v>
      </c>
      <c r="C152" s="3">
        <v>10</v>
      </c>
      <c r="D152" s="3">
        <v>6</v>
      </c>
      <c r="E152" s="3">
        <v>15.9</v>
      </c>
      <c r="F152" s="3">
        <v>5.0999999999999996</v>
      </c>
      <c r="G152" s="3">
        <v>9.8000000000000007</v>
      </c>
      <c r="H152" s="3">
        <v>91.4</v>
      </c>
      <c r="I152" s="3">
        <v>94.5</v>
      </c>
      <c r="J152" s="3">
        <v>4</v>
      </c>
      <c r="K152" s="3">
        <f>ROUND(MIN(MAX((B152*10)*0.2 + (MIN(E152/25*100,100))*0.2 + (MAX(100-F152*5,0))*0.15 + (G152*10)*0.15 + (H152)*0.15 + (I152)*0.15 - (J152*5),0),100),0)</f>
        <v>56</v>
      </c>
    </row>
    <row r="153" spans="1:11">
      <c r="A153" s="3" t="s">
        <v>640</v>
      </c>
      <c r="B153" s="3">
        <v>9.1</v>
      </c>
      <c r="C153" s="3">
        <v>13</v>
      </c>
      <c r="D153" s="3">
        <v>8</v>
      </c>
      <c r="E153" s="3">
        <v>7.7</v>
      </c>
      <c r="F153" s="3">
        <v>18.7</v>
      </c>
      <c r="G153" s="3">
        <v>9</v>
      </c>
      <c r="H153" s="3">
        <v>90.5</v>
      </c>
      <c r="I153" s="3">
        <v>84.1</v>
      </c>
      <c r="J153" s="3">
        <v>1</v>
      </c>
      <c r="K153" s="3">
        <f>ROUND(MIN(MAX((B153*10)*0.2 + (MIN(E153/25*100,100))*0.2 + (MAX(100-F153*5,0))*0.15 + (G153*10)*0.15 + (H153)*0.15 + (I153)*0.15 - (J153*5),0),100),0)</f>
        <v>60</v>
      </c>
    </row>
    <row r="154" spans="1:11">
      <c r="A154" s="3" t="s">
        <v>642</v>
      </c>
      <c r="B154" s="3">
        <v>7</v>
      </c>
      <c r="C154" s="3">
        <v>10</v>
      </c>
      <c r="D154" s="3">
        <v>5</v>
      </c>
      <c r="E154" s="3">
        <v>11.6</v>
      </c>
      <c r="F154" s="3">
        <v>16.899999999999999</v>
      </c>
      <c r="G154" s="3">
        <v>9.3000000000000007</v>
      </c>
      <c r="H154" s="3">
        <v>63.7</v>
      </c>
      <c r="I154" s="3">
        <v>77.2</v>
      </c>
      <c r="J154" s="3">
        <v>0</v>
      </c>
      <c r="K154" s="3">
        <f>ROUND(MIN(MAX((B154*10)*0.2 + (MIN(E154/25*100,100))*0.2 + (MAX(100-F154*5,0))*0.15 + (G154*10)*0.15 + (H154)*0.15 + (I154)*0.15 - (J154*5),0),100),0)</f>
        <v>61</v>
      </c>
    </row>
    <row r="155" spans="1:11">
      <c r="A155" s="3" t="s">
        <v>643</v>
      </c>
      <c r="B155" s="3">
        <v>9.6</v>
      </c>
      <c r="C155" s="3">
        <v>15</v>
      </c>
      <c r="D155" s="3">
        <v>9</v>
      </c>
      <c r="E155" s="3">
        <v>9.1999999999999993</v>
      </c>
      <c r="F155" s="3">
        <v>3.1</v>
      </c>
      <c r="G155" s="3">
        <v>8.6</v>
      </c>
      <c r="H155" s="3">
        <v>89.3</v>
      </c>
      <c r="I155" s="3">
        <v>86.4</v>
      </c>
      <c r="J155" s="3">
        <v>1</v>
      </c>
      <c r="K155" s="3">
        <f>ROUND(MIN(MAX((B155*10)*0.2 + (MIN(E155/25*100,100))*0.2 + (MAX(100-F155*5,0))*0.15 + (G155*10)*0.15 + (H155)*0.15 + (I155)*0.15 - (J155*5),0),100),0)</f>
        <v>73</v>
      </c>
    </row>
    <row r="156" spans="1:11">
      <c r="A156" s="3" t="s">
        <v>645</v>
      </c>
      <c r="B156" s="3">
        <v>7.6</v>
      </c>
      <c r="C156" s="3">
        <v>11</v>
      </c>
      <c r="D156" s="3">
        <v>4</v>
      </c>
      <c r="E156" s="3">
        <v>13.2</v>
      </c>
      <c r="F156" s="3">
        <v>7.8</v>
      </c>
      <c r="G156" s="3">
        <v>6.6</v>
      </c>
      <c r="H156" s="3">
        <v>68.5</v>
      </c>
      <c r="I156" s="3">
        <v>66.5</v>
      </c>
      <c r="J156" s="3">
        <v>2</v>
      </c>
      <c r="K156" s="3">
        <f>ROUND(MIN(MAX((B156*10)*0.2 + (MIN(E156/25*100,100))*0.2 + (MAX(100-F156*5,0))*0.15 + (G156*10)*0.15 + (H156)*0.15 + (I156)*0.15 - (J156*5),0),100),0)</f>
        <v>55</v>
      </c>
    </row>
    <row r="157" spans="1:11">
      <c r="A157" s="3" t="s">
        <v>647</v>
      </c>
      <c r="B157" s="3">
        <v>5.4</v>
      </c>
      <c r="C157" s="3">
        <v>9</v>
      </c>
      <c r="D157" s="3">
        <v>5</v>
      </c>
      <c r="E157" s="3">
        <v>12.2</v>
      </c>
      <c r="F157" s="3">
        <v>10.6</v>
      </c>
      <c r="G157" s="3">
        <v>8.1</v>
      </c>
      <c r="H157" s="3">
        <v>61.9</v>
      </c>
      <c r="I157" s="3">
        <v>59.3</v>
      </c>
      <c r="J157" s="3">
        <v>2</v>
      </c>
      <c r="K157" s="3">
        <f>ROUND(MIN(MAX((B157*10)*0.2 + (MIN(E157/25*100,100))*0.2 + (MAX(100-F157*5,0))*0.15 + (G157*10)*0.15 + (H157)*0.15 + (I157)*0.15 - (J157*5),0),100),0)</f>
        <v>48</v>
      </c>
    </row>
    <row r="158" spans="1:11">
      <c r="A158" s="3" t="s">
        <v>649</v>
      </c>
      <c r="B158" s="3">
        <v>6.2</v>
      </c>
      <c r="C158" s="3">
        <v>8</v>
      </c>
      <c r="D158" s="3">
        <v>5</v>
      </c>
      <c r="E158" s="3">
        <v>11.4</v>
      </c>
      <c r="F158" s="3">
        <v>3</v>
      </c>
      <c r="G158" s="3">
        <v>9.6999999999999993</v>
      </c>
      <c r="H158" s="3">
        <v>68.099999999999994</v>
      </c>
      <c r="I158" s="3">
        <v>84.6</v>
      </c>
      <c r="J158" s="3">
        <v>0</v>
      </c>
      <c r="K158" s="3">
        <f>ROUND(MIN(MAX((B158*10)*0.2 + (MIN(E158/25*100,100))*0.2 + (MAX(100-F158*5,0))*0.15 + (G158*10)*0.15 + (H158)*0.15 + (I158)*0.15 - (J158*5),0),100),0)</f>
        <v>72</v>
      </c>
    </row>
    <row r="159" spans="1:11">
      <c r="A159" s="3" t="s">
        <v>651</v>
      </c>
      <c r="B159" s="3">
        <v>7.5</v>
      </c>
      <c r="C159" s="3">
        <v>10</v>
      </c>
      <c r="D159" s="3">
        <v>6</v>
      </c>
      <c r="E159" s="3">
        <v>8.1999999999999993</v>
      </c>
      <c r="F159" s="3">
        <v>17.399999999999999</v>
      </c>
      <c r="G159" s="3">
        <v>5.5</v>
      </c>
      <c r="H159" s="3">
        <v>74.900000000000006</v>
      </c>
      <c r="I159" s="3">
        <v>93.9</v>
      </c>
      <c r="J159" s="3">
        <v>0</v>
      </c>
      <c r="K159" s="3">
        <f>ROUND(MIN(MAX((B159*10)*0.2 + (MIN(E159/25*100,100))*0.2 + (MAX(100-F159*5,0))*0.15 + (G159*10)*0.15 + (H159)*0.15 + (I159)*0.15 - (J159*5),0),100),0)</f>
        <v>57</v>
      </c>
    </row>
    <row r="160" spans="1:11">
      <c r="A160" s="3" t="s">
        <v>653</v>
      </c>
      <c r="B160" s="3">
        <v>5.8</v>
      </c>
      <c r="C160" s="3">
        <v>8</v>
      </c>
      <c r="D160" s="3">
        <v>5</v>
      </c>
      <c r="E160" s="3">
        <v>7.4</v>
      </c>
      <c r="F160" s="3">
        <v>17.399999999999999</v>
      </c>
      <c r="G160" s="3">
        <v>8.1999999999999993</v>
      </c>
      <c r="H160" s="3">
        <v>60</v>
      </c>
      <c r="I160" s="3">
        <v>75.5</v>
      </c>
      <c r="J160" s="3">
        <v>0</v>
      </c>
      <c r="K160" s="3">
        <f>ROUND(MIN(MAX((B160*10)*0.2 + (MIN(E160/25*100,100))*0.2 + (MAX(100-F160*5,0))*0.15 + (G160*10)*0.15 + (H160)*0.15 + (I160)*0.15 - (J160*5),0),100),0)</f>
        <v>52</v>
      </c>
    </row>
    <row r="161" spans="1:11">
      <c r="A161" s="3" t="s">
        <v>654</v>
      </c>
      <c r="B161" s="3">
        <v>4.5999999999999996</v>
      </c>
      <c r="C161" s="3">
        <v>8</v>
      </c>
      <c r="D161" s="3">
        <v>3</v>
      </c>
      <c r="E161" s="3">
        <v>16.2</v>
      </c>
      <c r="F161" s="3">
        <v>21</v>
      </c>
      <c r="G161" s="3">
        <v>9.9</v>
      </c>
      <c r="H161" s="3">
        <v>76.900000000000006</v>
      </c>
      <c r="I161" s="3">
        <v>60.7</v>
      </c>
      <c r="J161" s="3">
        <v>0</v>
      </c>
      <c r="K161" s="3">
        <f>ROUND(MIN(MAX((B161*10)*0.2 + (MIN(E161/25*100,100))*0.2 + (MAX(100-F161*5,0))*0.15 + (G161*10)*0.15 + (H161)*0.15 + (I161)*0.15 - (J161*5),0),100),0)</f>
        <v>58</v>
      </c>
    </row>
    <row r="162" spans="1:11">
      <c r="A162" s="3" t="s">
        <v>655</v>
      </c>
      <c r="B162" s="3">
        <v>5.7</v>
      </c>
      <c r="C162" s="3">
        <v>10</v>
      </c>
      <c r="D162" s="3">
        <v>4</v>
      </c>
      <c r="E162" s="3">
        <v>9</v>
      </c>
      <c r="F162" s="3">
        <v>22.4</v>
      </c>
      <c r="G162" s="3">
        <v>4.8</v>
      </c>
      <c r="H162" s="3">
        <v>90.9</v>
      </c>
      <c r="I162" s="3">
        <v>87.4</v>
      </c>
      <c r="J162" s="3">
        <v>0</v>
      </c>
      <c r="K162" s="3">
        <f>ROUND(MIN(MAX((B162*10)*0.2 + (MIN(E162/25*100,100))*0.2 + (MAX(100-F162*5,0))*0.15 + (G162*10)*0.15 + (H162)*0.15 + (I162)*0.15 - (J162*5),0),100),0)</f>
        <v>53</v>
      </c>
    </row>
    <row r="163" spans="1:11">
      <c r="A163" s="3" t="s">
        <v>656</v>
      </c>
      <c r="B163" s="3">
        <v>10</v>
      </c>
      <c r="C163" s="3">
        <v>14</v>
      </c>
      <c r="D163" s="3">
        <v>7</v>
      </c>
      <c r="E163" s="3">
        <v>3.2</v>
      </c>
      <c r="F163" s="3">
        <v>17.3</v>
      </c>
      <c r="G163" s="3">
        <v>6.6</v>
      </c>
      <c r="H163" s="3">
        <v>88.9</v>
      </c>
      <c r="I163" s="3">
        <v>82</v>
      </c>
      <c r="J163" s="3">
        <v>0</v>
      </c>
      <c r="K163" s="3">
        <f>ROUND(MIN(MAX((B163*10)*0.2 + (MIN(E163/25*100,100))*0.2 + (MAX(100-F163*5,0))*0.15 + (G163*10)*0.15 + (H163)*0.15 + (I163)*0.15 - (J163*5),0),100),0)</f>
        <v>60</v>
      </c>
    </row>
    <row r="164" spans="1:11">
      <c r="A164" s="3" t="s">
        <v>658</v>
      </c>
      <c r="B164" s="3">
        <v>5.9</v>
      </c>
      <c r="C164" s="3">
        <v>10</v>
      </c>
      <c r="D164" s="3">
        <v>6</v>
      </c>
      <c r="E164" s="3">
        <v>4.5999999999999996</v>
      </c>
      <c r="F164" s="3">
        <v>5.2</v>
      </c>
      <c r="G164" s="3">
        <v>8.5</v>
      </c>
      <c r="H164" s="3">
        <v>83.6</v>
      </c>
      <c r="I164" s="3">
        <v>71.5</v>
      </c>
      <c r="J164" s="3">
        <v>4</v>
      </c>
      <c r="K164" s="3">
        <f>ROUND(MIN(MAX((B164*10)*0.2 + (MIN(E164/25*100,100))*0.2 + (MAX(100-F164*5,0))*0.15 + (G164*10)*0.15 + (H164)*0.15 + (I164)*0.15 - (J164*5),0),100),0)</f>
        <v>43</v>
      </c>
    </row>
    <row r="165" spans="1:11">
      <c r="A165" s="3" t="s">
        <v>660</v>
      </c>
      <c r="B165" s="3">
        <v>5.2</v>
      </c>
      <c r="C165" s="3">
        <v>7</v>
      </c>
      <c r="D165" s="3">
        <v>3</v>
      </c>
      <c r="E165" s="3">
        <v>4.5999999999999996</v>
      </c>
      <c r="F165" s="3">
        <v>15.2</v>
      </c>
      <c r="G165" s="3">
        <v>7.6</v>
      </c>
      <c r="H165" s="3">
        <v>84.3</v>
      </c>
      <c r="I165" s="3">
        <v>88.5</v>
      </c>
      <c r="J165" s="3">
        <v>1</v>
      </c>
      <c r="K165" s="3">
        <f>ROUND(MIN(MAX((B165*10)*0.2 + (MIN(E165/25*100,100))*0.2 + (MAX(100-F165*5,0))*0.15 + (G165*10)*0.15 + (H165)*0.15 + (I165)*0.15 - (J165*5),0),100),0)</f>
        <v>50</v>
      </c>
    </row>
    <row r="166" spans="1:11">
      <c r="A166" s="3" t="s">
        <v>662</v>
      </c>
      <c r="B166" s="3">
        <v>8.9</v>
      </c>
      <c r="C166" s="3">
        <v>15</v>
      </c>
      <c r="D166" s="3">
        <v>7</v>
      </c>
      <c r="E166" s="3">
        <v>12.8</v>
      </c>
      <c r="F166" s="3">
        <v>14.2</v>
      </c>
      <c r="G166" s="3">
        <v>8.5</v>
      </c>
      <c r="H166" s="3">
        <v>71.8</v>
      </c>
      <c r="I166" s="3">
        <v>57.3</v>
      </c>
      <c r="J166" s="3">
        <v>3</v>
      </c>
      <c r="K166" s="3">
        <f>ROUND(MIN(MAX((B166*10)*0.2 + (MIN(E166/25*100,100))*0.2 + (MAX(100-F166*5,0))*0.15 + (G166*10)*0.15 + (H166)*0.15 + (I166)*0.15 - (J166*5),0),100),0)</f>
        <v>50</v>
      </c>
    </row>
    <row r="167" spans="1:11">
      <c r="A167" s="3" t="s">
        <v>663</v>
      </c>
      <c r="B167" s="3">
        <v>9.6999999999999993</v>
      </c>
      <c r="C167" s="3">
        <v>15</v>
      </c>
      <c r="D167" s="3">
        <v>6</v>
      </c>
      <c r="E167" s="3">
        <v>12.5</v>
      </c>
      <c r="F167" s="3">
        <v>16.100000000000001</v>
      </c>
      <c r="G167" s="3">
        <v>7.2</v>
      </c>
      <c r="H167" s="3">
        <v>99.1</v>
      </c>
      <c r="I167" s="3">
        <v>97.4</v>
      </c>
      <c r="J167" s="3">
        <v>3</v>
      </c>
      <c r="K167" s="3">
        <f>ROUND(MIN(MAX((B167*10)*0.2 + (MIN(E167/25*100,100))*0.2 + (MAX(100-F167*5,0))*0.15 + (G167*10)*0.15 + (H167)*0.15 + (I167)*0.15 - (J167*5),0),100),0)</f>
        <v>58</v>
      </c>
    </row>
    <row r="168" spans="1:11">
      <c r="A168" s="3" t="s">
        <v>664</v>
      </c>
      <c r="B168" s="3">
        <v>3.9</v>
      </c>
      <c r="C168" s="3">
        <v>8</v>
      </c>
      <c r="D168" s="3">
        <v>4</v>
      </c>
      <c r="E168" s="3">
        <v>9.9</v>
      </c>
      <c r="F168" s="3">
        <v>18</v>
      </c>
      <c r="G168" s="3">
        <v>8.6</v>
      </c>
      <c r="H168" s="3">
        <v>98.2</v>
      </c>
      <c r="I168" s="3">
        <v>88.1</v>
      </c>
      <c r="J168" s="3">
        <v>0</v>
      </c>
      <c r="K168" s="3">
        <f>ROUND(MIN(MAX((B168*10)*0.2 + (MIN(E168/25*100,100))*0.2 + (MAX(100-F168*5,0))*0.15 + (G168*10)*0.15 + (H168)*0.15 + (I168)*0.15 - (J168*5),0),100),0)</f>
        <v>58</v>
      </c>
    </row>
    <row r="169" spans="1:11">
      <c r="A169" s="3" t="s">
        <v>666</v>
      </c>
      <c r="B169" s="3">
        <v>3.5</v>
      </c>
      <c r="C169" s="3">
        <v>4</v>
      </c>
      <c r="D169" s="3">
        <v>1</v>
      </c>
      <c r="E169" s="3">
        <v>4.0999999999999996</v>
      </c>
      <c r="F169" s="3">
        <v>20.399999999999999</v>
      </c>
      <c r="G169" s="3">
        <v>7</v>
      </c>
      <c r="H169" s="3">
        <v>85.1</v>
      </c>
      <c r="I169" s="3">
        <v>76.5</v>
      </c>
      <c r="J169" s="3">
        <v>1</v>
      </c>
      <c r="K169" s="3">
        <f>ROUND(MIN(MAX((B169*10)*0.2 + (MIN(E169/25*100,100))*0.2 + (MAX(100-F169*5,0))*0.15 + (G169*10)*0.15 + (H169)*0.15 + (I169)*0.15 - (J169*5),0),100),0)</f>
        <v>40</v>
      </c>
    </row>
    <row r="170" spans="1:11">
      <c r="A170" s="3" t="s">
        <v>667</v>
      </c>
      <c r="B170" s="3">
        <v>7.9</v>
      </c>
      <c r="C170" s="3">
        <v>11</v>
      </c>
      <c r="D170" s="3">
        <v>6</v>
      </c>
      <c r="E170" s="3">
        <v>14.7</v>
      </c>
      <c r="F170" s="3">
        <v>9.1</v>
      </c>
      <c r="G170" s="3">
        <v>5.9</v>
      </c>
      <c r="H170" s="3">
        <v>80.5</v>
      </c>
      <c r="I170" s="3">
        <v>63.7</v>
      </c>
      <c r="J170" s="3">
        <v>2</v>
      </c>
      <c r="K170" s="3">
        <f>ROUND(MIN(MAX((B170*10)*0.2 + (MIN(E170/25*100,100))*0.2 + (MAX(100-F170*5,0))*0.15 + (G170*10)*0.15 + (H170)*0.15 + (I170)*0.15 - (J170*5),0),100),0)</f>
        <v>56</v>
      </c>
    </row>
    <row r="171" spans="1:11">
      <c r="A171" s="3" t="s">
        <v>668</v>
      </c>
      <c r="B171" s="3">
        <v>6.8</v>
      </c>
      <c r="C171" s="3">
        <v>10</v>
      </c>
      <c r="D171" s="3">
        <v>5</v>
      </c>
      <c r="E171" s="3">
        <v>18.899999999999999</v>
      </c>
      <c r="F171" s="3">
        <v>18</v>
      </c>
      <c r="G171" s="3">
        <v>4.4000000000000004</v>
      </c>
      <c r="H171" s="3">
        <v>87.9</v>
      </c>
      <c r="I171" s="3">
        <v>86.4</v>
      </c>
      <c r="J171" s="3">
        <v>2</v>
      </c>
      <c r="K171" s="3">
        <f>ROUND(MIN(MAX((B171*10)*0.2 + (MIN(E171/25*100,100))*0.2 + (MAX(100-F171*5,0))*0.15 + (G171*10)*0.15 + (H171)*0.15 + (I171)*0.15 - (J171*5),0),100),0)</f>
        <v>53</v>
      </c>
    </row>
    <row r="172" spans="1:11">
      <c r="A172" s="3" t="s">
        <v>670</v>
      </c>
      <c r="B172" s="3">
        <v>3.4</v>
      </c>
      <c r="C172" s="3">
        <v>3</v>
      </c>
      <c r="D172" s="3">
        <v>1</v>
      </c>
      <c r="E172" s="3">
        <v>11.6</v>
      </c>
      <c r="F172" s="3">
        <v>16.399999999999999</v>
      </c>
      <c r="G172" s="3">
        <v>5.9</v>
      </c>
      <c r="H172" s="3">
        <v>89.7</v>
      </c>
      <c r="I172" s="3">
        <v>86.8</v>
      </c>
      <c r="J172" s="3">
        <v>0</v>
      </c>
      <c r="K172" s="3">
        <f>ROUND(MIN(MAX((B172*10)*0.2 + (MIN(E172/25*100,100))*0.2 + (MAX(100-F172*5,0))*0.15 + (G172*10)*0.15 + (H172)*0.15 + (I172)*0.15 - (J172*5),0),100),0)</f>
        <v>54</v>
      </c>
    </row>
    <row r="173" spans="1:11">
      <c r="A173" s="3" t="s">
        <v>672</v>
      </c>
      <c r="B173" s="3">
        <v>8</v>
      </c>
      <c r="C173" s="3">
        <v>14</v>
      </c>
      <c r="D173" s="3">
        <v>6</v>
      </c>
      <c r="E173" s="3">
        <v>21.1</v>
      </c>
      <c r="F173" s="3">
        <v>14.5</v>
      </c>
      <c r="G173" s="3">
        <v>8.6999999999999993</v>
      </c>
      <c r="H173" s="3">
        <v>88.8</v>
      </c>
      <c r="I173" s="3">
        <v>62.2</v>
      </c>
      <c r="J173" s="3">
        <v>0</v>
      </c>
      <c r="K173" s="3">
        <f>ROUND(MIN(MAX((B173*10)*0.2 + (MIN(E173/25*100,100))*0.2 + (MAX(100-F173*5,0))*0.15 + (G173*10)*0.15 + (H173)*0.15 + (I173)*0.15 - (J173*5),0),100),0)</f>
        <v>73</v>
      </c>
    </row>
    <row r="174" spans="1:11">
      <c r="A174" s="3" t="s">
        <v>673</v>
      </c>
      <c r="B174" s="3">
        <v>8.5</v>
      </c>
      <c r="C174" s="3">
        <v>12</v>
      </c>
      <c r="D174" s="3">
        <v>7</v>
      </c>
      <c r="E174" s="3">
        <v>17.7</v>
      </c>
      <c r="F174" s="3">
        <v>3.6</v>
      </c>
      <c r="G174" s="3">
        <v>8.8000000000000007</v>
      </c>
      <c r="H174" s="3">
        <v>70.900000000000006</v>
      </c>
      <c r="I174" s="3">
        <v>57.7</v>
      </c>
      <c r="J174" s="3">
        <v>2</v>
      </c>
      <c r="K174" s="3">
        <f>ROUND(MIN(MAX((B174*10)*0.2 + (MIN(E174/25*100,100))*0.2 + (MAX(100-F174*5,0))*0.15 + (G174*10)*0.15 + (H174)*0.15 + (I174)*0.15 - (J174*5),0),100),0)</f>
        <v>66</v>
      </c>
    </row>
    <row r="175" spans="1:11">
      <c r="A175" s="3" t="s">
        <v>674</v>
      </c>
      <c r="B175" s="3">
        <v>7</v>
      </c>
      <c r="C175" s="3">
        <v>9</v>
      </c>
      <c r="D175" s="3">
        <v>4</v>
      </c>
      <c r="E175" s="3">
        <v>9.8000000000000007</v>
      </c>
      <c r="F175" s="3">
        <v>14</v>
      </c>
      <c r="G175" s="3">
        <v>7.4</v>
      </c>
      <c r="H175" s="3">
        <v>74.7</v>
      </c>
      <c r="I175" s="3">
        <v>66</v>
      </c>
      <c r="J175" s="3">
        <v>0</v>
      </c>
      <c r="K175" s="3">
        <f>ROUND(MIN(MAX((B175*10)*0.2 + (MIN(E175/25*100,100))*0.2 + (MAX(100-F175*5,0))*0.15 + (G175*10)*0.15 + (H175)*0.15 + (I175)*0.15 - (J175*5),0),100),0)</f>
        <v>59</v>
      </c>
    </row>
    <row r="176" spans="1:11">
      <c r="A176" s="3" t="s">
        <v>675</v>
      </c>
      <c r="B176" s="3">
        <v>7</v>
      </c>
      <c r="C176" s="3">
        <v>12</v>
      </c>
      <c r="D176" s="3">
        <v>5</v>
      </c>
      <c r="E176" s="3">
        <v>12.7</v>
      </c>
      <c r="F176" s="3">
        <v>4</v>
      </c>
      <c r="G176" s="3">
        <v>9.1999999999999993</v>
      </c>
      <c r="H176" s="3">
        <v>69.8</v>
      </c>
      <c r="I176" s="3">
        <v>75.3</v>
      </c>
      <c r="J176" s="3">
        <v>0</v>
      </c>
      <c r="K176" s="3">
        <f>ROUND(MIN(MAX((B176*10)*0.2 + (MIN(E176/25*100,100))*0.2 + (MAX(100-F176*5,0))*0.15 + (G176*10)*0.15 + (H176)*0.15 + (I176)*0.15 - (J176*5),0),100),0)</f>
        <v>72</v>
      </c>
    </row>
    <row r="177" spans="1:11">
      <c r="A177" s="3" t="s">
        <v>677</v>
      </c>
      <c r="B177" s="3">
        <v>4.0999999999999996</v>
      </c>
      <c r="C177" s="3">
        <v>9</v>
      </c>
      <c r="D177" s="3">
        <v>6</v>
      </c>
      <c r="E177" s="3">
        <v>13.5</v>
      </c>
      <c r="F177" s="3">
        <v>23.1</v>
      </c>
      <c r="G177" s="3">
        <v>8.4</v>
      </c>
      <c r="H177" s="3">
        <v>76.8</v>
      </c>
      <c r="I177" s="3">
        <v>68.8</v>
      </c>
      <c r="J177" s="3">
        <v>1</v>
      </c>
      <c r="K177" s="3">
        <f>ROUND(MIN(MAX((B177*10)*0.2 + (MIN(E177/25*100,100))*0.2 + (MAX(100-F177*5,0))*0.15 + (G177*10)*0.15 + (H177)*0.15 + (I177)*0.15 - (J177*5),0),100),0)</f>
        <v>48</v>
      </c>
    </row>
    <row r="178" spans="1:11">
      <c r="A178" s="3" t="s">
        <v>679</v>
      </c>
      <c r="B178" s="3">
        <v>8</v>
      </c>
      <c r="C178" s="3">
        <v>12</v>
      </c>
      <c r="D178" s="3">
        <v>5</v>
      </c>
      <c r="E178" s="3">
        <v>10.1</v>
      </c>
      <c r="F178" s="3">
        <v>14</v>
      </c>
      <c r="G178" s="3">
        <v>9.4</v>
      </c>
      <c r="H178" s="3">
        <v>67.2</v>
      </c>
      <c r="I178" s="3">
        <v>89.6</v>
      </c>
      <c r="J178" s="3">
        <v>4</v>
      </c>
      <c r="K178" s="3">
        <f>ROUND(MIN(MAX((B178*10)*0.2 + (MIN(E178/25*100,100))*0.2 + (MAX(100-F178*5,0))*0.15 + (G178*10)*0.15 + (H178)*0.15 + (I178)*0.15 - (J178*5),0),100),0)</f>
        <v>46</v>
      </c>
    </row>
    <row r="179" spans="1:11">
      <c r="A179" s="3" t="s">
        <v>680</v>
      </c>
      <c r="B179" s="3">
        <v>9.6999999999999993</v>
      </c>
      <c r="C179" s="3">
        <v>13</v>
      </c>
      <c r="D179" s="3">
        <v>6</v>
      </c>
      <c r="E179" s="3">
        <v>8.4</v>
      </c>
      <c r="F179" s="3">
        <v>21.6</v>
      </c>
      <c r="G179" s="3">
        <v>6</v>
      </c>
      <c r="H179" s="3">
        <v>82.1</v>
      </c>
      <c r="I179" s="3">
        <v>55.3</v>
      </c>
      <c r="J179" s="3">
        <v>0</v>
      </c>
      <c r="K179" s="3">
        <f>ROUND(MIN(MAX((B179*10)*0.2 + (MIN(E179/25*100,100))*0.2 + (MAX(100-F179*5,0))*0.15 + (G179*10)*0.15 + (H179)*0.15 + (I179)*0.15 - (J179*5),0),100),0)</f>
        <v>56</v>
      </c>
    </row>
    <row r="180" spans="1:11">
      <c r="A180" s="3" t="s">
        <v>681</v>
      </c>
      <c r="B180" s="3">
        <v>6.9</v>
      </c>
      <c r="C180" s="3">
        <v>10</v>
      </c>
      <c r="D180" s="3">
        <v>5</v>
      </c>
      <c r="E180" s="3">
        <v>11.8</v>
      </c>
      <c r="F180" s="3">
        <v>16</v>
      </c>
      <c r="G180" s="3">
        <v>7</v>
      </c>
      <c r="H180" s="3">
        <v>90.9</v>
      </c>
      <c r="I180" s="3">
        <v>63.4</v>
      </c>
      <c r="J180" s="3">
        <v>3</v>
      </c>
      <c r="K180" s="3">
        <f>ROUND(MIN(MAX((B180*10)*0.2 + (MIN(E180/25*100,100))*0.2 + (MAX(100-F180*5,0))*0.15 + (G180*10)*0.15 + (H180)*0.15 + (I180)*0.15 - (J180*5),0),100),0)</f>
        <v>45</v>
      </c>
    </row>
    <row r="181" spans="1:11">
      <c r="A181" s="3" t="s">
        <v>683</v>
      </c>
      <c r="B181" s="3">
        <v>8.3000000000000007</v>
      </c>
      <c r="C181" s="3">
        <v>12</v>
      </c>
      <c r="D181" s="3">
        <v>5</v>
      </c>
      <c r="E181" s="3">
        <v>10.8</v>
      </c>
      <c r="F181" s="3">
        <v>8.1</v>
      </c>
      <c r="G181" s="3">
        <v>6.1</v>
      </c>
      <c r="H181" s="3">
        <v>93.6</v>
      </c>
      <c r="I181" s="3">
        <v>92.7</v>
      </c>
      <c r="J181" s="3">
        <v>4</v>
      </c>
      <c r="K181" s="3">
        <f>ROUND(MIN(MAX((B181*10)*0.2 + (MIN(E181/25*100,100))*0.2 + (MAX(100-F181*5,0))*0.15 + (G181*10)*0.15 + (H181)*0.15 + (I181)*0.15 - (J181*5),0),100),0)</f>
        <v>51</v>
      </c>
    </row>
    <row r="182" spans="1:11">
      <c r="A182" s="3" t="s">
        <v>685</v>
      </c>
      <c r="B182" s="3">
        <v>3</v>
      </c>
      <c r="C182" s="3">
        <v>6</v>
      </c>
      <c r="D182" s="3">
        <v>4</v>
      </c>
      <c r="E182" s="3">
        <v>16.8</v>
      </c>
      <c r="F182" s="3">
        <v>5.3</v>
      </c>
      <c r="G182" s="3">
        <v>7.2</v>
      </c>
      <c r="H182" s="3">
        <v>69.5</v>
      </c>
      <c r="I182" s="3">
        <v>76.2</v>
      </c>
      <c r="J182" s="3">
        <v>0</v>
      </c>
      <c r="K182" s="3">
        <f>ROUND(MIN(MAX((B182*10)*0.2 + (MIN(E182/25*100,100))*0.2 + (MAX(100-F182*5,0))*0.15 + (G182*10)*0.15 + (H182)*0.15 + (I182)*0.15 - (J182*5),0),100),0)</f>
        <v>63</v>
      </c>
    </row>
    <row r="183" spans="1:11">
      <c r="A183" s="3" t="s">
        <v>687</v>
      </c>
      <c r="B183" s="3">
        <v>10</v>
      </c>
      <c r="C183" s="3">
        <v>17</v>
      </c>
      <c r="D183" s="3">
        <v>7</v>
      </c>
      <c r="E183" s="3">
        <v>20.5</v>
      </c>
      <c r="F183" s="3">
        <v>22.7</v>
      </c>
      <c r="G183" s="3">
        <v>7.1</v>
      </c>
      <c r="H183" s="3">
        <v>88</v>
      </c>
      <c r="I183" s="3">
        <v>71</v>
      </c>
      <c r="J183" s="3">
        <v>4</v>
      </c>
      <c r="K183" s="3">
        <f>ROUND(MIN(MAX((B183*10)*0.2 + (MIN(E183/25*100,100))*0.2 + (MAX(100-F183*5,0))*0.15 + (G183*10)*0.15 + (H183)*0.15 + (I183)*0.15 - (J183*5),0),100),0)</f>
        <v>51</v>
      </c>
    </row>
    <row r="184" spans="1:11">
      <c r="A184" s="3" t="s">
        <v>689</v>
      </c>
      <c r="B184" s="3">
        <v>3.6</v>
      </c>
      <c r="C184" s="3">
        <v>4</v>
      </c>
      <c r="D184" s="3">
        <v>1</v>
      </c>
      <c r="E184" s="3">
        <v>18.600000000000001</v>
      </c>
      <c r="F184" s="3">
        <v>4.5999999999999996</v>
      </c>
      <c r="G184" s="3">
        <v>7.4</v>
      </c>
      <c r="H184" s="3">
        <v>77.400000000000006</v>
      </c>
      <c r="I184" s="3">
        <v>96.5</v>
      </c>
      <c r="J184" s="3">
        <v>0</v>
      </c>
      <c r="K184" s="3">
        <f>ROUND(MIN(MAX((B184*10)*0.2 + (MIN(E184/25*100,100))*0.2 + (MAX(100-F184*5,0))*0.15 + (G184*10)*0.15 + (H184)*0.15 + (I184)*0.15 - (J184*5),0),100),0)</f>
        <v>71</v>
      </c>
    </row>
    <row r="185" spans="1:11">
      <c r="A185" s="3" t="s">
        <v>691</v>
      </c>
      <c r="B185" s="3">
        <v>4.8</v>
      </c>
      <c r="C185" s="3">
        <v>7</v>
      </c>
      <c r="D185" s="3">
        <v>4</v>
      </c>
      <c r="E185" s="3">
        <v>16.3</v>
      </c>
      <c r="F185" s="3">
        <v>19.2</v>
      </c>
      <c r="G185" s="3">
        <v>5.9</v>
      </c>
      <c r="H185" s="3">
        <v>70.900000000000006</v>
      </c>
      <c r="I185" s="3">
        <v>58.2</v>
      </c>
      <c r="J185" s="3">
        <v>0</v>
      </c>
      <c r="K185" s="3">
        <f>ROUND(MIN(MAX((B185*10)*0.2 + (MIN(E185/25*100,100))*0.2 + (MAX(100-F185*5,0))*0.15 + (G185*10)*0.15 + (H185)*0.15 + (I185)*0.15 - (J185*5),0),100),0)</f>
        <v>51</v>
      </c>
    </row>
    <row r="186" spans="1:11">
      <c r="A186" s="3" t="s">
        <v>693</v>
      </c>
      <c r="B186" s="3">
        <v>8.5</v>
      </c>
      <c r="C186" s="3">
        <v>14</v>
      </c>
      <c r="D186" s="3">
        <v>6</v>
      </c>
      <c r="E186" s="3">
        <v>6.1</v>
      </c>
      <c r="F186" s="3">
        <v>13.3</v>
      </c>
      <c r="G186" s="3">
        <v>6.4</v>
      </c>
      <c r="H186" s="3">
        <v>81.400000000000006</v>
      </c>
      <c r="I186" s="3">
        <v>96.5</v>
      </c>
      <c r="J186" s="3">
        <v>0</v>
      </c>
      <c r="K186" s="3">
        <f>ROUND(MIN(MAX((B186*10)*0.2 + (MIN(E186/25*100,100))*0.2 + (MAX(100-F186*5,0))*0.15 + (G186*10)*0.15 + (H186)*0.15 + (I186)*0.15 - (J186*5),0),100),0)</f>
        <v>63</v>
      </c>
    </row>
    <row r="187" spans="1:11">
      <c r="A187" s="3" t="s">
        <v>694</v>
      </c>
      <c r="B187" s="3">
        <v>5.2</v>
      </c>
      <c r="C187" s="3">
        <v>7</v>
      </c>
      <c r="D187" s="3">
        <v>2</v>
      </c>
      <c r="E187" s="3">
        <v>6</v>
      </c>
      <c r="F187" s="3">
        <v>18.100000000000001</v>
      </c>
      <c r="G187" s="3">
        <v>9</v>
      </c>
      <c r="H187" s="3">
        <v>87.9</v>
      </c>
      <c r="I187" s="3">
        <v>56.7</v>
      </c>
      <c r="J187" s="3">
        <v>2</v>
      </c>
      <c r="K187" s="3">
        <f>ROUND(MIN(MAX((B187*10)*0.2 + (MIN(E187/25*100,100))*0.2 + (MAX(100-F187*5,0))*0.15 + (G187*10)*0.15 + (H187)*0.15 + (I187)*0.15 - (J187*5),0),100),0)</f>
        <v>42</v>
      </c>
    </row>
    <row r="188" spans="1:11">
      <c r="A188" s="3" t="s">
        <v>696</v>
      </c>
      <c r="B188" s="3">
        <v>5.3</v>
      </c>
      <c r="C188" s="3">
        <v>6</v>
      </c>
      <c r="D188" s="3">
        <v>2</v>
      </c>
      <c r="E188" s="3">
        <v>9.8000000000000007</v>
      </c>
      <c r="F188" s="3">
        <v>14.3</v>
      </c>
      <c r="G188" s="3">
        <v>8.1</v>
      </c>
      <c r="H188" s="3">
        <v>70.400000000000006</v>
      </c>
      <c r="I188" s="3">
        <v>97.6</v>
      </c>
      <c r="J188" s="3">
        <v>0</v>
      </c>
      <c r="K188" s="3">
        <f>ROUND(MIN(MAX((B188*10)*0.2 + (MIN(E188/25*100,100))*0.2 + (MAX(100-F188*5,0))*0.15 + (G188*10)*0.15 + (H188)*0.15 + (I188)*0.15 - (J188*5),0),100),0)</f>
        <v>60</v>
      </c>
    </row>
    <row r="189" spans="1:11">
      <c r="A189" s="3" t="s">
        <v>697</v>
      </c>
      <c r="B189" s="3">
        <v>5.8</v>
      </c>
      <c r="C189" s="3">
        <v>9</v>
      </c>
      <c r="D189" s="3">
        <v>5</v>
      </c>
      <c r="E189" s="3">
        <v>7.7</v>
      </c>
      <c r="F189" s="3">
        <v>13.2</v>
      </c>
      <c r="G189" s="3">
        <v>8.8000000000000007</v>
      </c>
      <c r="H189" s="3">
        <v>65.599999999999994</v>
      </c>
      <c r="I189" s="3">
        <v>55.5</v>
      </c>
      <c r="J189" s="3">
        <v>2</v>
      </c>
      <c r="K189" s="3">
        <f>ROUND(MIN(MAX((B189*10)*0.2 + (MIN(E189/25*100,100))*0.2 + (MAX(100-F189*5,0))*0.15 + (G189*10)*0.15 + (H189)*0.15 + (I189)*0.15 - (J189*5),0),100),0)</f>
        <v>44</v>
      </c>
    </row>
    <row r="190" spans="1:11">
      <c r="A190" s="3" t="s">
        <v>699</v>
      </c>
      <c r="B190" s="3">
        <v>9.9</v>
      </c>
      <c r="C190" s="3">
        <v>14</v>
      </c>
      <c r="D190" s="3">
        <v>8</v>
      </c>
      <c r="E190" s="3">
        <v>10.1</v>
      </c>
      <c r="F190" s="3">
        <v>16.899999999999999</v>
      </c>
      <c r="G190" s="3">
        <v>7.9</v>
      </c>
      <c r="H190" s="3">
        <v>83.3</v>
      </c>
      <c r="I190" s="3">
        <v>66.099999999999994</v>
      </c>
      <c r="J190" s="3">
        <v>2</v>
      </c>
      <c r="K190" s="3">
        <f>ROUND(MIN(MAX((B190*10)*0.2 + (MIN(E190/25*100,100))*0.2 + (MAX(100-F190*5,0))*0.15 + (G190*10)*0.15 + (H190)*0.15 + (I190)*0.15 - (J190*5),0),100),0)</f>
        <v>54</v>
      </c>
    </row>
    <row r="191" spans="1:11">
      <c r="A191" s="3" t="s">
        <v>700</v>
      </c>
      <c r="B191" s="3">
        <v>3.2</v>
      </c>
      <c r="C191" s="3">
        <v>3</v>
      </c>
      <c r="D191" s="3">
        <v>3</v>
      </c>
      <c r="E191" s="3">
        <v>11.4</v>
      </c>
      <c r="F191" s="3">
        <v>5.8</v>
      </c>
      <c r="G191" s="3">
        <v>9.4</v>
      </c>
      <c r="H191" s="3">
        <v>93.2</v>
      </c>
      <c r="I191" s="3">
        <v>69.3</v>
      </c>
      <c r="J191" s="3">
        <v>0</v>
      </c>
      <c r="K191" s="3">
        <f>ROUND(MIN(MAX((B191*10)*0.2 + (MIN(E191/25*100,100))*0.2 + (MAX(100-F191*5,0))*0.15 + (G191*10)*0.15 + (H191)*0.15 + (I191)*0.15 - (J191*5),0),100),0)</f>
        <v>65</v>
      </c>
    </row>
    <row r="192" spans="1:11">
      <c r="A192" s="3" t="s">
        <v>701</v>
      </c>
      <c r="B192" s="3">
        <v>6.2</v>
      </c>
      <c r="C192" s="3">
        <v>8</v>
      </c>
      <c r="D192" s="3">
        <v>4</v>
      </c>
      <c r="E192" s="3">
        <v>18.600000000000001</v>
      </c>
      <c r="F192" s="3">
        <v>11.7</v>
      </c>
      <c r="G192" s="3">
        <v>4.2</v>
      </c>
      <c r="H192" s="3">
        <v>87.3</v>
      </c>
      <c r="I192" s="3">
        <v>62.4</v>
      </c>
      <c r="J192" s="3">
        <v>0</v>
      </c>
      <c r="K192" s="3">
        <f>ROUND(MIN(MAX((B192*10)*0.2 + (MIN(E192/25*100,100))*0.2 + (MAX(100-F192*5,0))*0.15 + (G192*10)*0.15 + (H192)*0.15 + (I192)*0.15 - (J192*5),0),100),0)</f>
        <v>62</v>
      </c>
    </row>
    <row r="193" spans="1:11">
      <c r="A193" s="3" t="s">
        <v>703</v>
      </c>
      <c r="B193" s="3">
        <v>4.3</v>
      </c>
      <c r="C193" s="3">
        <v>6</v>
      </c>
      <c r="D193" s="3">
        <v>4</v>
      </c>
      <c r="E193" s="3">
        <v>3.7</v>
      </c>
      <c r="F193" s="3">
        <v>16.600000000000001</v>
      </c>
      <c r="G193" s="3">
        <v>5.5</v>
      </c>
      <c r="H193" s="3">
        <v>71.8</v>
      </c>
      <c r="I193" s="3">
        <v>72.7</v>
      </c>
      <c r="J193" s="3">
        <v>1</v>
      </c>
      <c r="K193" s="3">
        <f>ROUND(MIN(MAX((B193*10)*0.2 + (MIN(E193/25*100,100))*0.2 + (MAX(100-F193*5,0))*0.15 + (G193*10)*0.15 + (H193)*0.15 + (I193)*0.15 - (J193*5),0),100),0)</f>
        <v>39</v>
      </c>
    </row>
    <row r="194" spans="1:11">
      <c r="A194" s="3" t="s">
        <v>705</v>
      </c>
      <c r="B194" s="3">
        <v>3.4</v>
      </c>
      <c r="C194" s="3">
        <v>4</v>
      </c>
      <c r="D194" s="3">
        <v>1</v>
      </c>
      <c r="E194" s="3">
        <v>6.8</v>
      </c>
      <c r="F194" s="3">
        <v>22.5</v>
      </c>
      <c r="G194" s="3">
        <v>7.2</v>
      </c>
      <c r="H194" s="3">
        <v>85.2</v>
      </c>
      <c r="I194" s="3">
        <v>89.5</v>
      </c>
      <c r="J194" s="3">
        <v>2</v>
      </c>
      <c r="K194" s="3">
        <f>ROUND(MIN(MAX((B194*10)*0.2 + (MIN(E194/25*100,100))*0.2 + (MAX(100-F194*5,0))*0.15 + (G194*10)*0.15 + (H194)*0.15 + (I194)*0.15 - (J194*5),0),100),0)</f>
        <v>39</v>
      </c>
    </row>
    <row r="195" spans="1:11">
      <c r="A195" s="3" t="s">
        <v>707</v>
      </c>
      <c r="B195" s="3">
        <v>9.9</v>
      </c>
      <c r="C195" s="3">
        <v>17</v>
      </c>
      <c r="D195" s="3">
        <v>8</v>
      </c>
      <c r="E195" s="3">
        <v>13.3</v>
      </c>
      <c r="F195" s="3">
        <v>13.7</v>
      </c>
      <c r="G195" s="3">
        <v>9.5</v>
      </c>
      <c r="H195" s="3">
        <v>80.099999999999994</v>
      </c>
      <c r="I195" s="3">
        <v>71.7</v>
      </c>
      <c r="J195" s="3">
        <v>0</v>
      </c>
      <c r="K195" s="3">
        <f>ROUND(MIN(MAX((B195*10)*0.2 + (MIN(E195/25*100,100))*0.2 + (MAX(100-F195*5,0))*0.15 + (G195*10)*0.15 + (H195)*0.15 + (I195)*0.15 - (J195*5),0),100),0)</f>
        <v>72</v>
      </c>
    </row>
    <row r="196" spans="1:11">
      <c r="A196" s="3" t="s">
        <v>709</v>
      </c>
      <c r="B196" s="3">
        <v>5.2</v>
      </c>
      <c r="C196" s="3">
        <v>7</v>
      </c>
      <c r="D196" s="3">
        <v>5</v>
      </c>
      <c r="E196" s="3">
        <v>17.8</v>
      </c>
      <c r="F196" s="3">
        <v>4.3</v>
      </c>
      <c r="G196" s="3">
        <v>9.9</v>
      </c>
      <c r="H196" s="3">
        <v>81.2</v>
      </c>
      <c r="I196" s="3">
        <v>88</v>
      </c>
      <c r="J196" s="3">
        <v>4</v>
      </c>
      <c r="K196" s="3">
        <f>ROUND(MIN(MAX((B196*10)*0.2 + (MIN(E196/25*100,100))*0.2 + (MAX(100-F196*5,0))*0.15 + (G196*10)*0.15 + (H196)*0.15 + (I196)*0.15 - (J196*5),0),100),0)</f>
        <v>57</v>
      </c>
    </row>
    <row r="197" spans="1:11">
      <c r="A197" s="3" t="s">
        <v>710</v>
      </c>
      <c r="B197" s="3">
        <v>9.8000000000000007</v>
      </c>
      <c r="C197" s="3">
        <v>14</v>
      </c>
      <c r="D197" s="3">
        <v>7</v>
      </c>
      <c r="E197" s="3">
        <v>8.1</v>
      </c>
      <c r="F197" s="3">
        <v>21</v>
      </c>
      <c r="G197" s="3">
        <v>9.5</v>
      </c>
      <c r="H197" s="3">
        <v>62.2</v>
      </c>
      <c r="I197" s="3">
        <v>97.8</v>
      </c>
      <c r="J197" s="3">
        <v>0</v>
      </c>
      <c r="K197" s="3">
        <f>ROUND(MIN(MAX((B197*10)*0.2 + (MIN(E197/25*100,100))*0.2 + (MAX(100-F197*5,0))*0.15 + (G197*10)*0.15 + (H197)*0.15 + (I197)*0.15 - (J197*5),0),100),0)</f>
        <v>64</v>
      </c>
    </row>
    <row r="198" spans="1:11">
      <c r="A198" s="3" t="s">
        <v>711</v>
      </c>
      <c r="B198" s="3">
        <v>8.9</v>
      </c>
      <c r="C198" s="3">
        <v>16</v>
      </c>
      <c r="D198" s="3">
        <v>8</v>
      </c>
      <c r="E198" s="3">
        <v>18.899999999999999</v>
      </c>
      <c r="F198" s="3">
        <v>21.6</v>
      </c>
      <c r="G198" s="3">
        <v>5.0999999999999996</v>
      </c>
      <c r="H198" s="3">
        <v>83.7</v>
      </c>
      <c r="I198" s="3">
        <v>89.7</v>
      </c>
      <c r="J198" s="3">
        <v>1</v>
      </c>
      <c r="K198" s="3">
        <f>ROUND(MIN(MAX((B198*10)*0.2 + (MIN(E198/25*100,100))*0.2 + (MAX(100-F198*5,0))*0.15 + (G198*10)*0.15 + (H198)*0.15 + (I198)*0.15 - (J198*5),0),100),0)</f>
        <v>62</v>
      </c>
    </row>
    <row r="199" spans="1:11">
      <c r="A199" s="3" t="s">
        <v>712</v>
      </c>
      <c r="B199" s="3">
        <v>9.4</v>
      </c>
      <c r="C199" s="3">
        <v>13</v>
      </c>
      <c r="D199" s="3">
        <v>7</v>
      </c>
      <c r="E199" s="3">
        <v>21</v>
      </c>
      <c r="F199" s="3">
        <v>15.4</v>
      </c>
      <c r="G199" s="3">
        <v>7.4</v>
      </c>
      <c r="H199" s="3">
        <v>67.5</v>
      </c>
      <c r="I199" s="3">
        <v>97.5</v>
      </c>
      <c r="J199" s="3">
        <v>3</v>
      </c>
      <c r="K199" s="3">
        <f>ROUND(MIN(MAX((B199*10)*0.2 + (MIN(E199/25*100,100))*0.2 + (MAX(100-F199*5,0))*0.15 + (G199*10)*0.15 + (H199)*0.15 + (I199)*0.15 - (J199*5),0),100),0)</f>
        <v>60</v>
      </c>
    </row>
    <row r="200" spans="1:11">
      <c r="A200" s="3" t="s">
        <v>713</v>
      </c>
      <c r="B200" s="3">
        <v>6.4</v>
      </c>
      <c r="C200" s="3">
        <v>9</v>
      </c>
      <c r="D200" s="3">
        <v>4</v>
      </c>
      <c r="E200" s="3">
        <v>4.7</v>
      </c>
      <c r="F200" s="3">
        <v>8.1</v>
      </c>
      <c r="G200" s="3">
        <v>5.3</v>
      </c>
      <c r="H200" s="3">
        <v>81.099999999999994</v>
      </c>
      <c r="I200" s="3">
        <v>55</v>
      </c>
      <c r="J200" s="3">
        <v>3</v>
      </c>
      <c r="K200" s="3">
        <f>ROUND(MIN(MAX((B200*10)*0.2 + (MIN(E200/25*100,100))*0.2 + (MAX(100-F200*5,0))*0.15 + (G200*10)*0.15 + (H200)*0.15 + (I200)*0.15 - (J200*5),0),100),0)</f>
        <v>39</v>
      </c>
    </row>
    <row r="201" spans="1:11">
      <c r="A201" s="3" t="s">
        <v>714</v>
      </c>
      <c r="B201" s="3">
        <v>4.4000000000000004</v>
      </c>
      <c r="C201" s="3">
        <v>5</v>
      </c>
      <c r="D201" s="3">
        <v>3</v>
      </c>
      <c r="E201" s="3">
        <v>20.5</v>
      </c>
      <c r="F201" s="3">
        <v>21.6</v>
      </c>
      <c r="G201" s="3">
        <v>5.9</v>
      </c>
      <c r="H201" s="3">
        <v>60.9</v>
      </c>
      <c r="I201" s="3">
        <v>80.2</v>
      </c>
      <c r="J201" s="3">
        <v>3</v>
      </c>
      <c r="K201" s="3">
        <f>ROUND(MIN(MAX((B201*10)*0.2 + (MIN(E201/25*100,100))*0.2 + (MAX(100-F201*5,0))*0.15 + (G201*10)*0.15 + (H201)*0.15 + (I201)*0.15 - (J201*5),0),100),0)</f>
        <v>40</v>
      </c>
    </row>
    <row r="202" spans="1:11">
      <c r="A202" s="3" t="s">
        <v>716</v>
      </c>
      <c r="B202" s="3">
        <v>6.8</v>
      </c>
      <c r="C202" s="3">
        <v>10</v>
      </c>
      <c r="D202" s="3">
        <v>4</v>
      </c>
      <c r="E202" s="3">
        <v>17.100000000000001</v>
      </c>
      <c r="F202" s="3">
        <v>3.2</v>
      </c>
      <c r="G202" s="3">
        <v>7.1</v>
      </c>
      <c r="H202" s="3">
        <v>80.8</v>
      </c>
      <c r="I202" s="3">
        <v>71.099999999999994</v>
      </c>
      <c r="J202" s="3">
        <v>0</v>
      </c>
      <c r="K202" s="3">
        <f>ROUND(MIN(MAX((B202*10)*0.2 + (MIN(E202/25*100,100))*0.2 + (MAX(100-F202*5,0))*0.15 + (G202*10)*0.15 + (H202)*0.15 + (I202)*0.15 - (J202*5),0),100),0)</f>
        <v>73</v>
      </c>
    </row>
    <row r="203" spans="1:11">
      <c r="A203" s="3" t="s">
        <v>719</v>
      </c>
      <c r="B203" s="3">
        <v>8.6</v>
      </c>
      <c r="C203" s="3">
        <v>13</v>
      </c>
      <c r="D203" s="3">
        <v>5</v>
      </c>
      <c r="E203" s="3">
        <v>11.1</v>
      </c>
      <c r="F203" s="3">
        <v>15.9</v>
      </c>
      <c r="G203" s="3">
        <v>5.6</v>
      </c>
      <c r="H203" s="3">
        <v>81.400000000000006</v>
      </c>
      <c r="I203" s="3">
        <v>79.3</v>
      </c>
      <c r="J203" s="3">
        <v>1</v>
      </c>
      <c r="K203" s="3">
        <f>ROUND(MIN(MAX((B203*10)*0.2 + (MIN(E203/25*100,100))*0.2 + (MAX(100-F203*5,0))*0.15 + (G203*10)*0.15 + (H203)*0.15 + (I203)*0.15 - (J203*5),0),100),0)</f>
        <v>57</v>
      </c>
    </row>
    <row r="204" spans="1:11">
      <c r="A204" s="3" t="s">
        <v>722</v>
      </c>
      <c r="B204" s="3">
        <v>9.9</v>
      </c>
      <c r="C204" s="3">
        <v>15</v>
      </c>
      <c r="D204" s="3">
        <v>7</v>
      </c>
      <c r="E204" s="3">
        <v>13.5</v>
      </c>
      <c r="F204" s="3">
        <v>15.3</v>
      </c>
      <c r="G204" s="3">
        <v>5.0999999999999996</v>
      </c>
      <c r="H204" s="3">
        <v>82.4</v>
      </c>
      <c r="I204" s="3">
        <v>75.8</v>
      </c>
      <c r="J204" s="3">
        <v>4</v>
      </c>
      <c r="K204" s="3">
        <f>ROUND(MIN(MAX((B204*10)*0.2 + (MIN(E204/25*100,100))*0.2 + (MAX(100-F204*5,0))*0.15 + (G204*10)*0.15 + (H204)*0.15 + (I204)*0.15 - (J204*5),0),100),0)</f>
        <v>46</v>
      </c>
    </row>
    <row r="205" spans="1:11">
      <c r="A205" s="3" t="s">
        <v>725</v>
      </c>
      <c r="B205" s="3">
        <v>7</v>
      </c>
      <c r="C205" s="3">
        <v>13</v>
      </c>
      <c r="D205" s="3">
        <v>6</v>
      </c>
      <c r="E205" s="3">
        <v>5.6</v>
      </c>
      <c r="F205" s="3">
        <v>22</v>
      </c>
      <c r="G205" s="3">
        <v>4.7</v>
      </c>
      <c r="H205" s="3">
        <v>69.2</v>
      </c>
      <c r="I205" s="3">
        <v>88.7</v>
      </c>
      <c r="J205" s="3">
        <v>3</v>
      </c>
      <c r="K205" s="3">
        <f>ROUND(MIN(MAX((B205*10)*0.2 + (MIN(E205/25*100,100))*0.2 + (MAX(100-F205*5,0))*0.15 + (G205*10)*0.15 + (H205)*0.15 + (I205)*0.15 - (J205*5),0),100),0)</f>
        <v>34</v>
      </c>
    </row>
    <row r="206" spans="1:11">
      <c r="A206" s="3" t="s">
        <v>728</v>
      </c>
      <c r="B206" s="3">
        <v>3.7</v>
      </c>
      <c r="C206" s="3">
        <v>6</v>
      </c>
      <c r="D206" s="3">
        <v>4</v>
      </c>
      <c r="E206" s="3">
        <v>18.2</v>
      </c>
      <c r="F206" s="3">
        <v>16.5</v>
      </c>
      <c r="G206" s="3">
        <v>8.1</v>
      </c>
      <c r="H206" s="3">
        <v>62.1</v>
      </c>
      <c r="I206" s="3">
        <v>71.7</v>
      </c>
      <c r="J206" s="3">
        <v>1</v>
      </c>
      <c r="K206" s="3">
        <f>ROUND(MIN(MAX((B206*10)*0.2 + (MIN(E206/25*100,100))*0.2 + (MAX(100-F206*5,0))*0.15 + (G206*10)*0.15 + (H206)*0.15 + (I206)*0.15 - (J206*5),0),100),0)</f>
        <v>52</v>
      </c>
    </row>
    <row r="207" spans="1:11">
      <c r="A207" s="3" t="s">
        <v>731</v>
      </c>
      <c r="B207" s="3">
        <v>8.6</v>
      </c>
      <c r="C207" s="3">
        <v>15</v>
      </c>
      <c r="D207" s="3">
        <v>7</v>
      </c>
      <c r="E207" s="3">
        <v>14.4</v>
      </c>
      <c r="F207" s="3">
        <v>4.9000000000000004</v>
      </c>
      <c r="G207" s="3">
        <v>5.6</v>
      </c>
      <c r="H207" s="3">
        <v>74.8</v>
      </c>
      <c r="I207" s="3">
        <v>81.2</v>
      </c>
      <c r="J207" s="3">
        <v>2</v>
      </c>
      <c r="K207" s="3">
        <f>ROUND(MIN(MAX((B207*10)*0.2 + (MIN(E207/25*100,100))*0.2 + (MAX(100-F207*5,0))*0.15 + (G207*10)*0.15 + (H207)*0.15 + (I207)*0.15 - (J207*5),0),100),0)</f>
        <v>62</v>
      </c>
    </row>
    <row r="208" spans="1:11">
      <c r="A208" s="3" t="s">
        <v>734</v>
      </c>
      <c r="B208" s="3">
        <v>9.5</v>
      </c>
      <c r="C208" s="3">
        <v>15</v>
      </c>
      <c r="D208" s="3">
        <v>8</v>
      </c>
      <c r="E208" s="3">
        <v>8.4</v>
      </c>
      <c r="F208" s="3">
        <v>24.2</v>
      </c>
      <c r="G208" s="3">
        <v>4.3</v>
      </c>
      <c r="H208" s="3">
        <v>90.9</v>
      </c>
      <c r="I208" s="3">
        <v>62.5</v>
      </c>
      <c r="J208" s="3">
        <v>1</v>
      </c>
      <c r="K208" s="3">
        <f>ROUND(MIN(MAX((B208*10)*0.2 + (MIN(E208/25*100,100))*0.2 + (MAX(100-F208*5,0))*0.15 + (G208*10)*0.15 + (H208)*0.15 + (I208)*0.15 - (J208*5),0),100),0)</f>
        <v>50</v>
      </c>
    </row>
    <row r="209" spans="1:11">
      <c r="A209" s="3" t="s">
        <v>737</v>
      </c>
      <c r="B209" s="3">
        <v>3.1</v>
      </c>
      <c r="C209" s="3">
        <v>7</v>
      </c>
      <c r="D209" s="3">
        <v>5</v>
      </c>
      <c r="E209" s="3">
        <v>12.8</v>
      </c>
      <c r="F209" s="3">
        <v>7.3</v>
      </c>
      <c r="G209" s="3">
        <v>8.6999999999999993</v>
      </c>
      <c r="H209" s="3">
        <v>80.400000000000006</v>
      </c>
      <c r="I209" s="3">
        <v>85</v>
      </c>
      <c r="J209" s="3">
        <v>1</v>
      </c>
      <c r="K209" s="3">
        <f>ROUND(MIN(MAX((B209*10)*0.2 + (MIN(E209/25*100,100))*0.2 + (MAX(100-F209*5,0))*0.15 + (G209*10)*0.15 + (H209)*0.15 + (I209)*0.15 - (J209*5),0),100),0)</f>
        <v>59</v>
      </c>
    </row>
    <row r="210" spans="1:11">
      <c r="A210" s="3" t="s">
        <v>740</v>
      </c>
      <c r="B210" s="3">
        <v>7.7</v>
      </c>
      <c r="C210" s="3">
        <v>12</v>
      </c>
      <c r="D210" s="3">
        <v>6</v>
      </c>
      <c r="E210" s="3">
        <v>21.5</v>
      </c>
      <c r="F210" s="3">
        <v>4.9000000000000004</v>
      </c>
      <c r="G210" s="3">
        <v>5.7</v>
      </c>
      <c r="H210" s="3">
        <v>76</v>
      </c>
      <c r="I210" s="3">
        <v>83.8</v>
      </c>
      <c r="J210" s="3">
        <v>1</v>
      </c>
      <c r="K210" s="3">
        <f>ROUND(MIN(MAX((B210*10)*0.2 + (MIN(E210/25*100,100))*0.2 + (MAX(100-F210*5,0))*0.15 + (G210*10)*0.15 + (H210)*0.15 + (I210)*0.15 - (J210*5),0),100),0)</f>
        <v>71</v>
      </c>
    </row>
    <row r="211" spans="1:11">
      <c r="A211" s="3" t="s">
        <v>743</v>
      </c>
      <c r="B211" s="3">
        <v>4.4000000000000004</v>
      </c>
      <c r="C211" s="3">
        <v>5</v>
      </c>
      <c r="D211" s="3">
        <v>3</v>
      </c>
      <c r="E211" s="3">
        <v>20.5</v>
      </c>
      <c r="F211" s="3">
        <v>15.1</v>
      </c>
      <c r="G211" s="3">
        <v>8.4</v>
      </c>
      <c r="H211" s="3">
        <v>82.4</v>
      </c>
      <c r="I211" s="3">
        <v>80.099999999999994</v>
      </c>
      <c r="J211" s="3">
        <v>0</v>
      </c>
      <c r="K211" s="3">
        <f>ROUND(MIN(MAX((B211*10)*0.2 + (MIN(E211/25*100,100))*0.2 + (MAX(100-F211*5,0))*0.15 + (G211*10)*0.15 + (H211)*0.15 + (I211)*0.15 - (J211*5),0),100),0)</f>
        <v>66</v>
      </c>
    </row>
    <row r="212" spans="1:11">
      <c r="A212" s="3" t="s">
        <v>745</v>
      </c>
      <c r="B212" s="3">
        <v>8.6999999999999993</v>
      </c>
      <c r="C212" s="3">
        <v>13</v>
      </c>
      <c r="D212" s="3">
        <v>8</v>
      </c>
      <c r="E212" s="3">
        <v>11.6</v>
      </c>
      <c r="F212" s="3">
        <v>11.9</v>
      </c>
      <c r="G212" s="3">
        <v>4</v>
      </c>
      <c r="H212" s="3">
        <v>67</v>
      </c>
      <c r="I212" s="3">
        <v>76.8</v>
      </c>
      <c r="J212" s="3">
        <v>1</v>
      </c>
      <c r="K212" s="3">
        <f>ROUND(MIN(MAX((B212*10)*0.2 + (MIN(E212/25*100,100))*0.2 + (MAX(100-F212*5,0))*0.15 + (G212*10)*0.15 + (H212)*0.15 + (I212)*0.15 - (J212*5),0),100),0)</f>
        <v>55</v>
      </c>
    </row>
    <row r="213" spans="1:11">
      <c r="A213" s="3" t="s">
        <v>747</v>
      </c>
      <c r="B213" s="3">
        <v>6.5</v>
      </c>
      <c r="C213" s="3">
        <v>10</v>
      </c>
      <c r="D213" s="3">
        <v>4</v>
      </c>
      <c r="E213" s="3">
        <v>12.8</v>
      </c>
      <c r="F213" s="3">
        <v>8.6999999999999993</v>
      </c>
      <c r="G213" s="3">
        <v>7.2</v>
      </c>
      <c r="H213" s="3">
        <v>91.7</v>
      </c>
      <c r="I213" s="3">
        <v>65.8</v>
      </c>
      <c r="J213" s="3">
        <v>1</v>
      </c>
      <c r="K213" s="3">
        <f>ROUND(MIN(MAX((B213*10)*0.2 + (MIN(E213/25*100,100))*0.2 + (MAX(100-F213*5,0))*0.15 + (G213*10)*0.15 + (H213)*0.15 + (I213)*0.15 - (J213*5),0),100),0)</f>
        <v>61</v>
      </c>
    </row>
    <row r="214" spans="1:11">
      <c r="A214" s="3" t="s">
        <v>748</v>
      </c>
      <c r="B214" s="3">
        <v>5.6</v>
      </c>
      <c r="C214" s="3">
        <v>9</v>
      </c>
      <c r="D214" s="3">
        <v>4</v>
      </c>
      <c r="E214" s="3">
        <v>9.5</v>
      </c>
      <c r="F214" s="3">
        <v>20.100000000000001</v>
      </c>
      <c r="G214" s="3">
        <v>8.1</v>
      </c>
      <c r="H214" s="3">
        <v>95.9</v>
      </c>
      <c r="I214" s="3">
        <v>92.1</v>
      </c>
      <c r="J214" s="3">
        <v>1</v>
      </c>
      <c r="K214" s="3">
        <f>ROUND(MIN(MAX((B214*10)*0.2 + (MIN(E214/25*100,100))*0.2 + (MAX(100-F214*5,0))*0.15 + (G214*10)*0.15 + (H214)*0.15 + (I214)*0.15 - (J214*5),0),100),0)</f>
        <v>54</v>
      </c>
    </row>
    <row r="215" spans="1:11">
      <c r="A215" s="3" t="s">
        <v>751</v>
      </c>
      <c r="B215" s="3">
        <v>4.8</v>
      </c>
      <c r="C215" s="3">
        <v>7</v>
      </c>
      <c r="D215" s="3">
        <v>4</v>
      </c>
      <c r="E215" s="3">
        <v>7.2</v>
      </c>
      <c r="F215" s="3">
        <v>18.399999999999999</v>
      </c>
      <c r="G215" s="3">
        <v>8.8000000000000007</v>
      </c>
      <c r="H215" s="3">
        <v>76.5</v>
      </c>
      <c r="I215" s="3">
        <v>70.2</v>
      </c>
      <c r="J215" s="3">
        <v>1</v>
      </c>
      <c r="K215" s="3">
        <f>ROUND(MIN(MAX((B215*10)*0.2 + (MIN(E215/25*100,100))*0.2 + (MAX(100-F215*5,0))*0.15 + (G215*10)*0.15 + (H215)*0.15 + (I215)*0.15 - (J215*5),0),100),0)</f>
        <v>47</v>
      </c>
    </row>
    <row r="216" spans="1:11">
      <c r="A216" s="3" t="s">
        <v>754</v>
      </c>
      <c r="B216" s="3">
        <v>7.9</v>
      </c>
      <c r="C216" s="3">
        <v>11</v>
      </c>
      <c r="D216" s="3">
        <v>5</v>
      </c>
      <c r="E216" s="3">
        <v>10.6</v>
      </c>
      <c r="F216" s="3">
        <v>19.5</v>
      </c>
      <c r="G216" s="3">
        <v>6.1</v>
      </c>
      <c r="H216" s="3">
        <v>82.2</v>
      </c>
      <c r="I216" s="3">
        <v>62.7</v>
      </c>
      <c r="J216" s="3">
        <v>0</v>
      </c>
      <c r="K216" s="3">
        <f>ROUND(MIN(MAX((B216*10)*0.2 + (MIN(E216/25*100,100))*0.2 + (MAX(100-F216*5,0))*0.15 + (G216*10)*0.15 + (H216)*0.15 + (I216)*0.15 - (J216*5),0),100),0)</f>
        <v>56</v>
      </c>
    </row>
    <row r="217" spans="1:11">
      <c r="A217" s="3" t="s">
        <v>756</v>
      </c>
      <c r="B217" s="3">
        <v>4.5</v>
      </c>
      <c r="C217" s="3">
        <v>8</v>
      </c>
      <c r="D217" s="3">
        <v>3</v>
      </c>
      <c r="E217" s="3">
        <v>17.2</v>
      </c>
      <c r="F217" s="3">
        <v>23.5</v>
      </c>
      <c r="G217" s="3">
        <v>5.0999999999999996</v>
      </c>
      <c r="H217" s="3">
        <v>89.5</v>
      </c>
      <c r="I217" s="3">
        <v>65.099999999999994</v>
      </c>
      <c r="J217" s="3">
        <v>0</v>
      </c>
      <c r="K217" s="3">
        <f>ROUND(MIN(MAX((B217*10)*0.2 + (MIN(E217/25*100,100))*0.2 + (MAX(100-F217*5,0))*0.15 + (G217*10)*0.15 + (H217)*0.15 + (I217)*0.15 - (J217*5),0),100),0)</f>
        <v>54</v>
      </c>
    </row>
    <row r="218" spans="1:11">
      <c r="A218" s="3" t="s">
        <v>758</v>
      </c>
      <c r="B218" s="3">
        <v>4.9000000000000004</v>
      </c>
      <c r="C218" s="3">
        <v>6</v>
      </c>
      <c r="D218" s="3">
        <v>4</v>
      </c>
      <c r="E218" s="3">
        <v>18.899999999999999</v>
      </c>
      <c r="F218" s="3">
        <v>10.8</v>
      </c>
      <c r="G218" s="3">
        <v>8.6999999999999993</v>
      </c>
      <c r="H218" s="3">
        <v>64.8</v>
      </c>
      <c r="I218" s="3">
        <v>58.4</v>
      </c>
      <c r="J218" s="3">
        <v>4</v>
      </c>
      <c r="K218" s="3">
        <f>ROUND(MIN(MAX((B218*10)*0.2 + (MIN(E218/25*100,100))*0.2 + (MAX(100-F218*5,0))*0.15 + (G218*10)*0.15 + (H218)*0.15 + (I218)*0.15 - (J218*5),0),100),0)</f>
        <v>43</v>
      </c>
    </row>
    <row r="219" spans="1:11">
      <c r="A219" s="3" t="s">
        <v>759</v>
      </c>
      <c r="B219" s="3">
        <v>6.4</v>
      </c>
      <c r="C219" s="3">
        <v>8</v>
      </c>
      <c r="D219" s="3">
        <v>5</v>
      </c>
      <c r="E219" s="3">
        <v>21.2</v>
      </c>
      <c r="F219" s="3">
        <v>21.7</v>
      </c>
      <c r="G219" s="3">
        <v>6.2</v>
      </c>
      <c r="H219" s="3">
        <v>72.599999999999994</v>
      </c>
      <c r="I219" s="3">
        <v>93.6</v>
      </c>
      <c r="J219" s="3">
        <v>3</v>
      </c>
      <c r="K219" s="3">
        <f>ROUND(MIN(MAX((B219*10)*0.2 + (MIN(E219/25*100,100))*0.2 + (MAX(100-F219*5,0))*0.15 + (G219*10)*0.15 + (H219)*0.15 + (I219)*0.15 - (J219*5),0),100),0)</f>
        <v>49</v>
      </c>
    </row>
    <row r="220" spans="1:11">
      <c r="A220" s="3" t="s">
        <v>761</v>
      </c>
      <c r="B220" s="3">
        <v>7</v>
      </c>
      <c r="C220" s="3">
        <v>10</v>
      </c>
      <c r="D220" s="3">
        <v>4</v>
      </c>
      <c r="E220" s="3">
        <v>17.5</v>
      </c>
      <c r="F220" s="3">
        <v>14.2</v>
      </c>
      <c r="G220" s="3">
        <v>6.4</v>
      </c>
      <c r="H220" s="3">
        <v>90</v>
      </c>
      <c r="I220" s="3">
        <v>60.5</v>
      </c>
      <c r="J220" s="3">
        <v>1</v>
      </c>
      <c r="K220" s="3">
        <f>ROUND(MIN(MAX((B220*10)*0.2 + (MIN(E220/25*100,100))*0.2 + (MAX(100-F220*5,0))*0.15 + (G220*10)*0.15 + (H220)*0.15 + (I220)*0.15 - (J220*5),0),100),0)</f>
        <v>60</v>
      </c>
    </row>
    <row r="221" spans="1:11">
      <c r="A221" s="3" t="s">
        <v>763</v>
      </c>
      <c r="B221" s="3">
        <v>6</v>
      </c>
      <c r="C221" s="3">
        <v>12</v>
      </c>
      <c r="D221" s="3">
        <v>5</v>
      </c>
      <c r="E221" s="3">
        <v>9.6</v>
      </c>
      <c r="F221" s="3">
        <v>21.9</v>
      </c>
      <c r="G221" s="3">
        <v>8.6999999999999993</v>
      </c>
      <c r="H221" s="3">
        <v>78.3</v>
      </c>
      <c r="I221" s="3">
        <v>60.2</v>
      </c>
      <c r="J221" s="3">
        <v>1</v>
      </c>
      <c r="K221" s="3">
        <f>ROUND(MIN(MAX((B221*10)*0.2 + (MIN(E221/25*100,100))*0.2 + (MAX(100-F221*5,0))*0.15 + (G221*10)*0.15 + (H221)*0.15 + (I221)*0.15 - (J221*5),0),100),0)</f>
        <v>49</v>
      </c>
    </row>
    <row r="222" spans="1:11">
      <c r="A222" s="3" t="s">
        <v>765</v>
      </c>
      <c r="B222" s="3">
        <v>5.2</v>
      </c>
      <c r="C222" s="3">
        <v>6</v>
      </c>
      <c r="D222" s="3">
        <v>4</v>
      </c>
      <c r="E222" s="3">
        <v>10.199999999999999</v>
      </c>
      <c r="F222" s="3">
        <v>5.2</v>
      </c>
      <c r="G222" s="3">
        <v>6.2</v>
      </c>
      <c r="H222" s="3">
        <v>94.5</v>
      </c>
      <c r="I222" s="3">
        <v>63</v>
      </c>
      <c r="J222" s="3">
        <v>0</v>
      </c>
      <c r="K222" s="3">
        <f>ROUND(MIN(MAX((B222*10)*0.2 + (MIN(E222/25*100,100))*0.2 + (MAX(100-F222*5,0))*0.15 + (G222*10)*0.15 + (H222)*0.15 + (I222)*0.15 - (J222*5),0),100),0)</f>
        <v>63</v>
      </c>
    </row>
    <row r="223" spans="1:11">
      <c r="A223" s="3" t="s">
        <v>767</v>
      </c>
      <c r="B223" s="3">
        <v>4.9000000000000004</v>
      </c>
      <c r="C223" s="3">
        <v>10</v>
      </c>
      <c r="D223" s="3">
        <v>5</v>
      </c>
      <c r="E223" s="3">
        <v>6.5</v>
      </c>
      <c r="F223" s="3">
        <v>12.3</v>
      </c>
      <c r="G223" s="3">
        <v>6.5</v>
      </c>
      <c r="H223" s="3">
        <v>90.1</v>
      </c>
      <c r="I223" s="3">
        <v>70.7</v>
      </c>
      <c r="J223" s="3">
        <v>1</v>
      </c>
      <c r="K223" s="3">
        <f>ROUND(MIN(MAX((B223*10)*0.2 + (MIN(E223/25*100,100))*0.2 + (MAX(100-F223*5,0))*0.15 + (G223*10)*0.15 + (H223)*0.15 + (I223)*0.15 - (J223*5),0),100),0)</f>
        <v>50</v>
      </c>
    </row>
    <row r="224" spans="1:11">
      <c r="A224" s="3" t="s">
        <v>769</v>
      </c>
      <c r="B224" s="3">
        <v>6.2</v>
      </c>
      <c r="C224" s="3">
        <v>10</v>
      </c>
      <c r="D224" s="3">
        <v>6</v>
      </c>
      <c r="E224" s="3">
        <v>16</v>
      </c>
      <c r="F224" s="3">
        <v>20.9</v>
      </c>
      <c r="G224" s="3">
        <v>8.3000000000000007</v>
      </c>
      <c r="H224" s="3">
        <v>92.2</v>
      </c>
      <c r="I224" s="3">
        <v>78.900000000000006</v>
      </c>
      <c r="J224" s="3">
        <v>3</v>
      </c>
      <c r="K224" s="3">
        <f>ROUND(MIN(MAX((B224*10)*0.2 + (MIN(E224/25*100,100))*0.2 + (MAX(100-F224*5,0))*0.15 + (G224*10)*0.15 + (H224)*0.15 + (I224)*0.15 - (J224*5),0),100),0)</f>
        <v>48</v>
      </c>
    </row>
    <row r="225" spans="1:11">
      <c r="A225" s="3" t="s">
        <v>771</v>
      </c>
      <c r="B225" s="3">
        <v>4.4000000000000004</v>
      </c>
      <c r="C225" s="3">
        <v>9</v>
      </c>
      <c r="D225" s="3">
        <v>5</v>
      </c>
      <c r="E225" s="3">
        <v>12</v>
      </c>
      <c r="F225" s="3">
        <v>3.2</v>
      </c>
      <c r="G225" s="3">
        <v>6.5</v>
      </c>
      <c r="H225" s="3">
        <v>65.400000000000006</v>
      </c>
      <c r="I225" s="3">
        <v>93.4</v>
      </c>
      <c r="J225" s="3">
        <v>1</v>
      </c>
      <c r="K225" s="3">
        <f>ROUND(MIN(MAX((B225*10)*0.2 + (MIN(E225/25*100,100))*0.2 + (MAX(100-F225*5,0))*0.15 + (G225*10)*0.15 + (H225)*0.15 + (I225)*0.15 - (J225*5),0),100),0)</f>
        <v>60</v>
      </c>
    </row>
    <row r="226" spans="1:11">
      <c r="A226" s="3" t="s">
        <v>774</v>
      </c>
      <c r="B226" s="3">
        <v>6.7</v>
      </c>
      <c r="C226" s="3">
        <v>10</v>
      </c>
      <c r="D226" s="3">
        <v>5</v>
      </c>
      <c r="E226" s="3">
        <v>7.8</v>
      </c>
      <c r="F226" s="3">
        <v>21.9</v>
      </c>
      <c r="G226" s="3">
        <v>4.3</v>
      </c>
      <c r="H226" s="3">
        <v>64</v>
      </c>
      <c r="I226" s="3">
        <v>62</v>
      </c>
      <c r="J226" s="3">
        <v>0</v>
      </c>
      <c r="K226" s="3">
        <f>ROUND(MIN(MAX((B226*10)*0.2 + (MIN(E226/25*100,100))*0.2 + (MAX(100-F226*5,0))*0.15 + (G226*10)*0.15 + (H226)*0.15 + (I226)*0.15 - (J226*5),0),100),0)</f>
        <v>45</v>
      </c>
    </row>
    <row r="227" spans="1:11">
      <c r="A227" s="3" t="s">
        <v>777</v>
      </c>
      <c r="B227" s="3">
        <v>4.8</v>
      </c>
      <c r="C227" s="3">
        <v>9</v>
      </c>
      <c r="D227" s="3">
        <v>3</v>
      </c>
      <c r="E227" s="3">
        <v>17.100000000000001</v>
      </c>
      <c r="F227" s="3">
        <v>8.6999999999999993</v>
      </c>
      <c r="G227" s="3">
        <v>6.2</v>
      </c>
      <c r="H227" s="3">
        <v>82.3</v>
      </c>
      <c r="I227" s="3">
        <v>89.8</v>
      </c>
      <c r="J227" s="3">
        <v>0</v>
      </c>
      <c r="K227" s="3">
        <f>ROUND(MIN(MAX((B227*10)*0.2 + (MIN(E227/25*100,100))*0.2 + (MAX(100-F227*5,0))*0.15 + (G227*10)*0.15 + (H227)*0.15 + (I227)*0.15 - (J227*5),0),100),0)</f>
        <v>67</v>
      </c>
    </row>
    <row r="228" spans="1:11">
      <c r="A228" s="3" t="s">
        <v>779</v>
      </c>
      <c r="B228" s="3">
        <v>5.9</v>
      </c>
      <c r="C228" s="3">
        <v>9</v>
      </c>
      <c r="D228" s="3">
        <v>5</v>
      </c>
      <c r="E228" s="3">
        <v>14.5</v>
      </c>
      <c r="F228" s="3">
        <v>15.7</v>
      </c>
      <c r="G228" s="3">
        <v>7.9</v>
      </c>
      <c r="H228" s="3">
        <v>81.5</v>
      </c>
      <c r="I228" s="3">
        <v>97.1</v>
      </c>
      <c r="J228" s="3">
        <v>0</v>
      </c>
      <c r="K228" s="3">
        <f>ROUND(MIN(MAX((B228*10)*0.2 + (MIN(E228/25*100,100))*0.2 + (MAX(100-F228*5,0))*0.15 + (G228*10)*0.15 + (H228)*0.15 + (I228)*0.15 - (J228*5),0),100),0)</f>
        <v>65</v>
      </c>
    </row>
    <row r="229" spans="1:11">
      <c r="A229" s="3" t="s">
        <v>781</v>
      </c>
      <c r="B229" s="3">
        <v>5.3</v>
      </c>
      <c r="C229" s="3">
        <v>9</v>
      </c>
      <c r="D229" s="3">
        <v>5</v>
      </c>
      <c r="E229" s="3">
        <v>11.5</v>
      </c>
      <c r="F229" s="3">
        <v>4.7</v>
      </c>
      <c r="G229" s="3">
        <v>7.7</v>
      </c>
      <c r="H229" s="3">
        <v>78.599999999999994</v>
      </c>
      <c r="I229" s="3">
        <v>96.1</v>
      </c>
      <c r="J229" s="3">
        <v>3</v>
      </c>
      <c r="K229" s="3">
        <f>ROUND(MIN(MAX((B229*10)*0.2 + (MIN(E229/25*100,100))*0.2 + (MAX(100-F229*5,0))*0.15 + (G229*10)*0.15 + (H229)*0.15 + (I229)*0.15 - (J229*5),0),100),0)</f>
        <v>54</v>
      </c>
    </row>
    <row r="230" spans="1:11">
      <c r="A230" s="3" t="s">
        <v>783</v>
      </c>
      <c r="B230" s="3">
        <v>7.5</v>
      </c>
      <c r="C230" s="3">
        <v>14</v>
      </c>
      <c r="D230" s="3">
        <v>7</v>
      </c>
      <c r="E230" s="3">
        <v>14.6</v>
      </c>
      <c r="F230" s="3">
        <v>11.9</v>
      </c>
      <c r="G230" s="3">
        <v>9.4</v>
      </c>
      <c r="H230" s="3">
        <v>63.2</v>
      </c>
      <c r="I230" s="3">
        <v>69.8</v>
      </c>
      <c r="J230" s="3">
        <v>0</v>
      </c>
      <c r="K230" s="3">
        <f>ROUND(MIN(MAX((B230*10)*0.2 + (MIN(E230/25*100,100))*0.2 + (MAX(100-F230*5,0))*0.15 + (G230*10)*0.15 + (H230)*0.15 + (I230)*0.15 - (J230*5),0),100),0)</f>
        <v>67</v>
      </c>
    </row>
    <row r="231" spans="1:11">
      <c r="A231" s="3" t="s">
        <v>786</v>
      </c>
      <c r="B231" s="3">
        <v>7.6</v>
      </c>
      <c r="C231" s="3">
        <v>13</v>
      </c>
      <c r="D231" s="3">
        <v>7</v>
      </c>
      <c r="E231" s="3">
        <v>10.5</v>
      </c>
      <c r="F231" s="3">
        <v>22.5</v>
      </c>
      <c r="G231" s="3">
        <v>8.6999999999999993</v>
      </c>
      <c r="H231" s="3">
        <v>97.6</v>
      </c>
      <c r="I231" s="3">
        <v>87.2</v>
      </c>
      <c r="J231" s="3">
        <v>1</v>
      </c>
      <c r="K231" s="3">
        <f>ROUND(MIN(MAX((B231*10)*0.2 + (MIN(E231/25*100,100))*0.2 + (MAX(100-F231*5,0))*0.15 + (G231*10)*0.15 + (H231)*0.15 + (I231)*0.15 - (J231*5),0),100),0)</f>
        <v>59</v>
      </c>
    </row>
    <row r="232" spans="1:11">
      <c r="A232" s="3" t="s">
        <v>788</v>
      </c>
      <c r="B232" s="3">
        <v>6.2</v>
      </c>
      <c r="C232" s="3">
        <v>8</v>
      </c>
      <c r="D232" s="3">
        <v>5</v>
      </c>
      <c r="E232" s="3">
        <v>5.4</v>
      </c>
      <c r="F232" s="3">
        <v>8.1999999999999993</v>
      </c>
      <c r="G232" s="3">
        <v>5.5</v>
      </c>
      <c r="H232" s="3">
        <v>89.8</v>
      </c>
      <c r="I232" s="3">
        <v>87.2</v>
      </c>
      <c r="J232" s="3">
        <v>0</v>
      </c>
      <c r="K232" s="3">
        <f>ROUND(MIN(MAX((B232*10)*0.2 + (MIN(E232/25*100,100))*0.2 + (MAX(100-F232*5,0))*0.15 + (G232*10)*0.15 + (H232)*0.15 + (I232)*0.15 - (J232*5),0),100),0)</f>
        <v>60</v>
      </c>
    </row>
    <row r="233" spans="1:11">
      <c r="A233" s="3" t="s">
        <v>789</v>
      </c>
      <c r="B233" s="3">
        <v>5.8</v>
      </c>
      <c r="C233" s="3">
        <v>7</v>
      </c>
      <c r="D233" s="3">
        <v>5</v>
      </c>
      <c r="E233" s="3">
        <v>12</v>
      </c>
      <c r="F233" s="3">
        <v>4.2</v>
      </c>
      <c r="G233" s="3">
        <v>8.6</v>
      </c>
      <c r="H233" s="3">
        <v>81</v>
      </c>
      <c r="I233" s="3">
        <v>97.8</v>
      </c>
      <c r="J233" s="3">
        <v>0</v>
      </c>
      <c r="K233" s="3">
        <f>ROUND(MIN(MAX((B233*10)*0.2 + (MIN(E233/25*100,100))*0.2 + (MAX(100-F233*5,0))*0.15 + (G233*10)*0.15 + (H233)*0.15 + (I233)*0.15 - (J233*5),0),100),0)</f>
        <v>73</v>
      </c>
    </row>
    <row r="234" spans="1:11">
      <c r="A234" s="3" t="s">
        <v>791</v>
      </c>
      <c r="B234" s="3">
        <v>7.3</v>
      </c>
      <c r="C234" s="3">
        <v>10</v>
      </c>
      <c r="D234" s="3">
        <v>6</v>
      </c>
      <c r="E234" s="3">
        <v>10.4</v>
      </c>
      <c r="F234" s="3">
        <v>8</v>
      </c>
      <c r="G234" s="3">
        <v>8.4</v>
      </c>
      <c r="H234" s="3">
        <v>77.7</v>
      </c>
      <c r="I234" s="3">
        <v>60.4</v>
      </c>
      <c r="J234" s="3">
        <v>1</v>
      </c>
      <c r="K234" s="3">
        <f>ROUND(MIN(MAX((B234*10)*0.2 + (MIN(E234/25*100,100))*0.2 + (MAX(100-F234*5,0))*0.15 + (G234*10)*0.15 + (H234)*0.15 + (I234)*0.15 - (J234*5),0),100),0)</f>
        <v>60</v>
      </c>
    </row>
    <row r="235" spans="1:11">
      <c r="A235" s="3" t="s">
        <v>793</v>
      </c>
      <c r="B235" s="3">
        <v>4.2</v>
      </c>
      <c r="C235" s="3">
        <v>4</v>
      </c>
      <c r="D235" s="3">
        <v>2</v>
      </c>
      <c r="E235" s="3">
        <v>20.399999999999999</v>
      </c>
      <c r="F235" s="3">
        <v>22</v>
      </c>
      <c r="G235" s="3">
        <v>6.8</v>
      </c>
      <c r="H235" s="3">
        <v>94.8</v>
      </c>
      <c r="I235" s="3">
        <v>95.2</v>
      </c>
      <c r="J235" s="3">
        <v>1</v>
      </c>
      <c r="K235" s="3">
        <f>ROUND(MIN(MAX((B235*10)*0.2 + (MIN(E235/25*100,100))*0.2 + (MAX(100-F235*5,0))*0.15 + (G235*10)*0.15 + (H235)*0.15 + (I235)*0.15 - (J235*5),0),100),0)</f>
        <v>58</v>
      </c>
    </row>
    <row r="236" spans="1:11">
      <c r="A236" s="3" t="s">
        <v>794</v>
      </c>
      <c r="B236" s="3">
        <v>3.9</v>
      </c>
      <c r="C236" s="3">
        <v>8</v>
      </c>
      <c r="D236" s="3">
        <v>4</v>
      </c>
      <c r="E236" s="3">
        <v>14.2</v>
      </c>
      <c r="F236" s="3">
        <v>13</v>
      </c>
      <c r="G236" s="3">
        <v>8.5</v>
      </c>
      <c r="H236" s="3">
        <v>95.1</v>
      </c>
      <c r="I236" s="3">
        <v>73.7</v>
      </c>
      <c r="J236" s="3">
        <v>1</v>
      </c>
      <c r="K236" s="3">
        <f>ROUND(MIN(MAX((B236*10)*0.2 + (MIN(E236/25*100,100))*0.2 + (MAX(100-F236*5,0))*0.15 + (G236*10)*0.15 + (H236)*0.15 + (I236)*0.15 - (J236*5),0),100),0)</f>
        <v>57</v>
      </c>
    </row>
    <row r="237" spans="1:11">
      <c r="A237" s="3" t="s">
        <v>797</v>
      </c>
      <c r="B237" s="3">
        <v>6.7</v>
      </c>
      <c r="C237" s="3">
        <v>13</v>
      </c>
      <c r="D237" s="3">
        <v>6</v>
      </c>
      <c r="E237" s="3">
        <v>7.3</v>
      </c>
      <c r="F237" s="3">
        <v>5</v>
      </c>
      <c r="G237" s="3">
        <v>5.8</v>
      </c>
      <c r="H237" s="3">
        <v>76.5</v>
      </c>
      <c r="I237" s="3">
        <v>61.7</v>
      </c>
      <c r="J237" s="3">
        <v>0</v>
      </c>
      <c r="K237" s="3">
        <f>ROUND(MIN(MAX((B237*10)*0.2 + (MIN(E237/25*100,100))*0.2 + (MAX(100-F237*5,0))*0.15 + (G237*10)*0.15 + (H237)*0.15 + (I237)*0.15 - (J237*5),0),100),0)</f>
        <v>60</v>
      </c>
    </row>
    <row r="238" spans="1:11">
      <c r="A238" s="3" t="s">
        <v>799</v>
      </c>
      <c r="B238" s="3">
        <v>6.7</v>
      </c>
      <c r="C238" s="3">
        <v>12</v>
      </c>
      <c r="D238" s="3">
        <v>5</v>
      </c>
      <c r="E238" s="3">
        <v>8.4</v>
      </c>
      <c r="F238" s="3">
        <v>14.8</v>
      </c>
      <c r="G238" s="3">
        <v>8.1</v>
      </c>
      <c r="H238" s="3">
        <v>79.7</v>
      </c>
      <c r="I238" s="3">
        <v>87.5</v>
      </c>
      <c r="J238" s="3">
        <v>0</v>
      </c>
      <c r="K238" s="3">
        <f>ROUND(MIN(MAX((B238*10)*0.2 + (MIN(E238/25*100,100))*0.2 + (MAX(100-F238*5,0))*0.15 + (G238*10)*0.15 + (H238)*0.15 + (I238)*0.15 - (J238*5),0),100),0)</f>
        <v>61</v>
      </c>
    </row>
    <row r="239" spans="1:11">
      <c r="A239" s="3" t="s">
        <v>801</v>
      </c>
      <c r="B239" s="3">
        <v>8.4</v>
      </c>
      <c r="C239" s="3">
        <v>15</v>
      </c>
      <c r="D239" s="3">
        <v>8</v>
      </c>
      <c r="E239" s="3">
        <v>18.100000000000001</v>
      </c>
      <c r="F239" s="3">
        <v>15.1</v>
      </c>
      <c r="G239" s="3">
        <v>5.0999999999999996</v>
      </c>
      <c r="H239" s="3">
        <v>95.3</v>
      </c>
      <c r="I239" s="3">
        <v>73.8</v>
      </c>
      <c r="J239" s="3">
        <v>0</v>
      </c>
      <c r="K239" s="3">
        <f>ROUND(MIN(MAX((B239*10)*0.2 + (MIN(E239/25*100,100))*0.2 + (MAX(100-F239*5,0))*0.15 + (G239*10)*0.15 + (H239)*0.15 + (I239)*0.15 - (J239*5),0),100),0)</f>
        <v>68</v>
      </c>
    </row>
    <row r="240" spans="1:11">
      <c r="A240" s="3" t="s">
        <v>804</v>
      </c>
      <c r="B240" s="3">
        <v>8</v>
      </c>
      <c r="C240" s="3">
        <v>14</v>
      </c>
      <c r="D240" s="3">
        <v>8</v>
      </c>
      <c r="E240" s="3">
        <v>7.2</v>
      </c>
      <c r="F240" s="3">
        <v>4.7</v>
      </c>
      <c r="G240" s="3">
        <v>7.8</v>
      </c>
      <c r="H240" s="3">
        <v>80.7</v>
      </c>
      <c r="I240" s="3">
        <v>89.4</v>
      </c>
      <c r="J240" s="3">
        <v>1</v>
      </c>
      <c r="K240" s="3">
        <f>ROUND(MIN(MAX((B240*10)*0.2 + (MIN(E240/25*100,100))*0.2 + (MAX(100-F240*5,0))*0.15 + (G240*10)*0.15 + (H240)*0.15 + (I240)*0.15 - (J240*5),0),100),0)</f>
        <v>65</v>
      </c>
    </row>
    <row r="241" spans="1:11">
      <c r="A241" s="3" t="s">
        <v>807</v>
      </c>
      <c r="B241" s="3">
        <v>7.9</v>
      </c>
      <c r="C241" s="3">
        <v>11</v>
      </c>
      <c r="D241" s="3">
        <v>6</v>
      </c>
      <c r="E241" s="3">
        <v>13.1</v>
      </c>
      <c r="F241" s="3">
        <v>8.9</v>
      </c>
      <c r="G241" s="3">
        <v>5.0999999999999996</v>
      </c>
      <c r="H241" s="3">
        <v>62.7</v>
      </c>
      <c r="I241" s="3">
        <v>60.9</v>
      </c>
      <c r="J241" s="3">
        <v>0</v>
      </c>
      <c r="K241" s="3">
        <f>ROUND(MIN(MAX((B241*10)*0.2 + (MIN(E241/25*100,100))*0.2 + (MAX(100-F241*5,0))*0.15 + (G241*10)*0.15 + (H241)*0.15 + (I241)*0.15 - (J241*5),0),100),0)</f>
        <v>61</v>
      </c>
    </row>
    <row r="242" spans="1:11">
      <c r="A242" s="3" t="s">
        <v>809</v>
      </c>
      <c r="B242" s="3">
        <v>6.2</v>
      </c>
      <c r="C242" s="3">
        <v>10</v>
      </c>
      <c r="D242" s="3">
        <v>6</v>
      </c>
      <c r="E242" s="3">
        <v>12.3</v>
      </c>
      <c r="F242" s="3">
        <v>10.1</v>
      </c>
      <c r="G242" s="3">
        <v>4.9000000000000004</v>
      </c>
      <c r="H242" s="3">
        <v>98.8</v>
      </c>
      <c r="I242" s="3">
        <v>56</v>
      </c>
      <c r="J242" s="3">
        <v>4</v>
      </c>
      <c r="K242" s="3">
        <f>ROUND(MIN(MAX((B242*10)*0.2 + (MIN(E242/25*100,100))*0.2 + (MAX(100-F242*5,0))*0.15 + (G242*10)*0.15 + (H242)*0.15 + (I242)*0.15 - (J242*5),0),100),0)</f>
        <v>40</v>
      </c>
    </row>
    <row r="243" spans="1:11">
      <c r="A243" s="3" t="s">
        <v>811</v>
      </c>
      <c r="B243" s="3">
        <v>5</v>
      </c>
      <c r="C243" s="3">
        <v>6</v>
      </c>
      <c r="D243" s="3">
        <v>3</v>
      </c>
      <c r="E243" s="3">
        <v>3.2</v>
      </c>
      <c r="F243" s="3">
        <v>5</v>
      </c>
      <c r="G243" s="3">
        <v>4.0999999999999996</v>
      </c>
      <c r="H243" s="3">
        <v>68.7</v>
      </c>
      <c r="I243" s="3">
        <v>73.099999999999994</v>
      </c>
      <c r="J243" s="3">
        <v>2</v>
      </c>
      <c r="K243" s="3">
        <f>ROUND(MIN(MAX((B243*10)*0.2 + (MIN(E243/25*100,100))*0.2 + (MAX(100-F243*5,0))*0.15 + (G243*10)*0.15 + (H243)*0.15 + (I243)*0.15 - (J243*5),0),100),0)</f>
        <v>41</v>
      </c>
    </row>
    <row r="244" spans="1:11">
      <c r="A244" s="3" t="s">
        <v>813</v>
      </c>
      <c r="B244" s="3">
        <v>6.5</v>
      </c>
      <c r="C244" s="3">
        <v>10</v>
      </c>
      <c r="D244" s="3">
        <v>6</v>
      </c>
      <c r="E244" s="3">
        <v>3.6</v>
      </c>
      <c r="F244" s="3">
        <v>4.8</v>
      </c>
      <c r="G244" s="3">
        <v>8.5</v>
      </c>
      <c r="H244" s="3">
        <v>65.8</v>
      </c>
      <c r="I244" s="3">
        <v>66.5</v>
      </c>
      <c r="J244" s="3">
        <v>0</v>
      </c>
      <c r="K244" s="3">
        <f>ROUND(MIN(MAX((B244*10)*0.2 + (MIN(E244/25*100,100))*0.2 + (MAX(100-F244*5,0))*0.15 + (G244*10)*0.15 + (H244)*0.15 + (I244)*0.15 - (J244*5),0),100),0)</f>
        <v>60</v>
      </c>
    </row>
    <row r="245" spans="1:11">
      <c r="A245" s="3" t="s">
        <v>814</v>
      </c>
      <c r="B245" s="3">
        <v>6.8</v>
      </c>
      <c r="C245" s="3">
        <v>9</v>
      </c>
      <c r="D245" s="3">
        <v>6</v>
      </c>
      <c r="E245" s="3">
        <v>7.8</v>
      </c>
      <c r="F245" s="3">
        <v>11.4</v>
      </c>
      <c r="G245" s="3">
        <v>4.0999999999999996</v>
      </c>
      <c r="H245" s="3">
        <v>99</v>
      </c>
      <c r="I245" s="3">
        <v>85.7</v>
      </c>
      <c r="J245" s="3">
        <v>0</v>
      </c>
      <c r="K245" s="3">
        <f>ROUND(MIN(MAX((B245*10)*0.2 + (MIN(E245/25*100,100))*0.2 + (MAX(100-F245*5,0))*0.15 + (G245*10)*0.15 + (H245)*0.15 + (I245)*0.15 - (J245*5),0),100),0)</f>
        <v>60</v>
      </c>
    </row>
    <row r="246" spans="1:11">
      <c r="A246" s="3" t="s">
        <v>816</v>
      </c>
      <c r="B246" s="3">
        <v>9.8000000000000007</v>
      </c>
      <c r="C246" s="3">
        <v>14</v>
      </c>
      <c r="D246" s="3">
        <v>8</v>
      </c>
      <c r="E246" s="3">
        <v>6.8</v>
      </c>
      <c r="F246" s="3">
        <v>19.2</v>
      </c>
      <c r="G246" s="3">
        <v>4.5999999999999996</v>
      </c>
      <c r="H246" s="3">
        <v>86.6</v>
      </c>
      <c r="I246" s="3">
        <v>64</v>
      </c>
      <c r="J246" s="3">
        <v>0</v>
      </c>
      <c r="K246" s="3">
        <f>ROUND(MIN(MAX((B246*10)*0.2 + (MIN(E246/25*100,100))*0.2 + (MAX(100-F246*5,0))*0.15 + (G246*10)*0.15 + (H246)*0.15 + (I246)*0.15 - (J246*5),0),100),0)</f>
        <v>55</v>
      </c>
    </row>
    <row r="247" spans="1:11">
      <c r="A247" s="3" t="s">
        <v>818</v>
      </c>
      <c r="B247" s="3">
        <v>9.6999999999999993</v>
      </c>
      <c r="C247" s="3">
        <v>18</v>
      </c>
      <c r="D247" s="3">
        <v>8</v>
      </c>
      <c r="E247" s="3">
        <v>16.8</v>
      </c>
      <c r="F247" s="3">
        <v>19.399999999999999</v>
      </c>
      <c r="G247" s="3">
        <v>7.3</v>
      </c>
      <c r="H247" s="3">
        <v>64.900000000000006</v>
      </c>
      <c r="I247" s="3">
        <v>75.7</v>
      </c>
      <c r="J247" s="3">
        <v>0</v>
      </c>
      <c r="K247" s="3">
        <f>ROUND(MIN(MAX((B247*10)*0.2 + (MIN(E247/25*100,100))*0.2 + (MAX(100-F247*5,0))*0.15 + (G247*10)*0.15 + (H247)*0.15 + (I247)*0.15 - (J247*5),0),100),0)</f>
        <v>65</v>
      </c>
    </row>
    <row r="248" spans="1:11">
      <c r="A248" s="3" t="s">
        <v>821</v>
      </c>
      <c r="B248" s="3">
        <v>5.5</v>
      </c>
      <c r="C248" s="3">
        <v>7</v>
      </c>
      <c r="D248" s="3">
        <v>4</v>
      </c>
      <c r="E248" s="3">
        <v>21.5</v>
      </c>
      <c r="F248" s="3">
        <v>8.1999999999999993</v>
      </c>
      <c r="G248" s="3">
        <v>6.6</v>
      </c>
      <c r="H248" s="3">
        <v>60.6</v>
      </c>
      <c r="I248" s="3">
        <v>89.2</v>
      </c>
      <c r="J248" s="3">
        <v>1</v>
      </c>
      <c r="K248" s="3">
        <f>ROUND(MIN(MAX((B248*10)*0.2 + (MIN(E248/25*100,100))*0.2 + (MAX(100-F248*5,0))*0.15 + (G248*10)*0.15 + (H248)*0.15 + (I248)*0.15 - (J248*5),0),100),0)</f>
        <v>64</v>
      </c>
    </row>
    <row r="249" spans="1:11">
      <c r="A249" s="3" t="s">
        <v>823</v>
      </c>
      <c r="B249" s="3">
        <v>5.8</v>
      </c>
      <c r="C249" s="3">
        <v>8</v>
      </c>
      <c r="D249" s="3">
        <v>5</v>
      </c>
      <c r="E249" s="3">
        <v>14</v>
      </c>
      <c r="F249" s="3">
        <v>18.2</v>
      </c>
      <c r="G249" s="3">
        <v>8.1</v>
      </c>
      <c r="H249" s="3">
        <v>66.2</v>
      </c>
      <c r="I249" s="3">
        <v>88.1</v>
      </c>
      <c r="J249" s="3">
        <v>0</v>
      </c>
      <c r="K249" s="3">
        <f>ROUND(MIN(MAX((B249*10)*0.2 + (MIN(E249/25*100,100))*0.2 + (MAX(100-F249*5,0))*0.15 + (G249*10)*0.15 + (H249)*0.15 + (I249)*0.15 - (J249*5),0),100),0)</f>
        <v>59</v>
      </c>
    </row>
    <row r="250" spans="1:11">
      <c r="A250" s="3" t="s">
        <v>826</v>
      </c>
      <c r="B250" s="3">
        <v>6.5</v>
      </c>
      <c r="C250" s="3">
        <v>11</v>
      </c>
      <c r="D250" s="3">
        <v>5</v>
      </c>
      <c r="E250" s="3">
        <v>21.4</v>
      </c>
      <c r="F250" s="3">
        <v>19.7</v>
      </c>
      <c r="G250" s="3">
        <v>4.4000000000000004</v>
      </c>
      <c r="H250" s="3">
        <v>74.2</v>
      </c>
      <c r="I250" s="3">
        <v>61.6</v>
      </c>
      <c r="J250" s="3">
        <v>1</v>
      </c>
      <c r="K250" s="3">
        <f>ROUND(MIN(MAX((B250*10)*0.2 + (MIN(E250/25*100,100))*0.2 + (MAX(100-F250*5,0))*0.15 + (G250*10)*0.15 + (H250)*0.15 + (I250)*0.15 - (J250*5),0),100),0)</f>
        <v>52</v>
      </c>
    </row>
    <row r="251" spans="1:11">
      <c r="A251" s="3" t="s">
        <v>828</v>
      </c>
      <c r="B251" s="3">
        <v>3.8</v>
      </c>
      <c r="C251" s="3">
        <v>6</v>
      </c>
      <c r="D251" s="3">
        <v>2</v>
      </c>
      <c r="E251" s="3">
        <v>13.6</v>
      </c>
      <c r="F251" s="3">
        <v>17.2</v>
      </c>
      <c r="G251" s="3">
        <v>6.1</v>
      </c>
      <c r="H251" s="3">
        <v>95.7</v>
      </c>
      <c r="I251" s="3">
        <v>86.5</v>
      </c>
      <c r="J251" s="3">
        <v>0</v>
      </c>
      <c r="K251" s="3">
        <f>ROUND(MIN(MAX((B251*10)*0.2 + (MIN(E251/25*100,100))*0.2 + (MAX(100-F251*5,0))*0.15 + (G251*10)*0.15 + (H251)*0.15 + (I251)*0.15 - (J251*5),0),100),0)</f>
        <v>57</v>
      </c>
    </row>
    <row r="252" spans="1:11">
      <c r="A252" s="3" t="s">
        <v>830</v>
      </c>
      <c r="B252" s="3">
        <v>5.6</v>
      </c>
      <c r="C252" s="3">
        <v>10</v>
      </c>
      <c r="D252" s="3">
        <v>4</v>
      </c>
      <c r="E252" s="3">
        <v>3.8</v>
      </c>
      <c r="F252" s="3">
        <v>18.5</v>
      </c>
      <c r="G252" s="3">
        <v>7.4</v>
      </c>
      <c r="H252" s="3">
        <v>81.7</v>
      </c>
      <c r="I252" s="3">
        <v>76.099999999999994</v>
      </c>
      <c r="J252" s="3">
        <v>1</v>
      </c>
      <c r="K252" s="3">
        <f>ROUND(MIN(MAX((B252*10)*0.2 + (MIN(E252/25*100,100))*0.2 + (MAX(100-F252*5,0))*0.15 + (G252*10)*0.15 + (H252)*0.15 + (I252)*0.15 - (J252*5),0),100),0)</f>
        <v>45</v>
      </c>
    </row>
    <row r="253" spans="1:11">
      <c r="A253" s="3" t="s">
        <v>832</v>
      </c>
      <c r="B253" s="3">
        <v>6.8</v>
      </c>
      <c r="C253" s="3">
        <v>10</v>
      </c>
      <c r="D253" s="3">
        <v>5</v>
      </c>
      <c r="E253" s="3">
        <v>19.5</v>
      </c>
      <c r="F253" s="3">
        <v>16.2</v>
      </c>
      <c r="G253" s="3">
        <v>9.1999999999999993</v>
      </c>
      <c r="H253" s="3">
        <v>66.400000000000006</v>
      </c>
      <c r="I253" s="3">
        <v>77.8</v>
      </c>
      <c r="J253" s="3">
        <v>1</v>
      </c>
      <c r="K253" s="3">
        <f>ROUND(MIN(MAX((B253*10)*0.2 + (MIN(E253/25*100,100))*0.2 + (MAX(100-F253*5,0))*0.15 + (G253*10)*0.15 + (H253)*0.15 + (I253)*0.15 - (J253*5),0),100),0)</f>
        <v>62</v>
      </c>
    </row>
    <row r="254" spans="1:11">
      <c r="A254" s="3" t="s">
        <v>833</v>
      </c>
      <c r="B254" s="3">
        <v>8.6999999999999993</v>
      </c>
      <c r="C254" s="3">
        <v>14</v>
      </c>
      <c r="D254" s="3">
        <v>7</v>
      </c>
      <c r="E254" s="3">
        <v>17.7</v>
      </c>
      <c r="F254" s="3">
        <v>14.1</v>
      </c>
      <c r="G254" s="3">
        <v>8.4</v>
      </c>
      <c r="H254" s="3">
        <v>95.3</v>
      </c>
      <c r="I254" s="3">
        <v>81.599999999999994</v>
      </c>
      <c r="J254" s="3">
        <v>0</v>
      </c>
      <c r="K254" s="3">
        <f>ROUND(MIN(MAX((B254*10)*0.2 + (MIN(E254/25*100,100))*0.2 + (MAX(100-F254*5,0))*0.15 + (G254*10)*0.15 + (H254)*0.15 + (I254)*0.15 - (J254*5),0),100),0)</f>
        <v>75</v>
      </c>
    </row>
    <row r="255" spans="1:11">
      <c r="A255" s="3" t="s">
        <v>835</v>
      </c>
      <c r="B255" s="3">
        <v>7.3</v>
      </c>
      <c r="C255" s="3">
        <v>11</v>
      </c>
      <c r="D255" s="3">
        <v>4</v>
      </c>
      <c r="E255" s="3">
        <v>21.4</v>
      </c>
      <c r="F255" s="3">
        <v>21</v>
      </c>
      <c r="G255" s="3">
        <v>5.0999999999999996</v>
      </c>
      <c r="H255" s="3">
        <v>87.3</v>
      </c>
      <c r="I255" s="3">
        <v>87.9</v>
      </c>
      <c r="J255" s="3">
        <v>0</v>
      </c>
      <c r="K255" s="3">
        <f>ROUND(MIN(MAX((B255*10)*0.2 + (MIN(E255/25*100,100))*0.2 + (MAX(100-F255*5,0))*0.15 + (G255*10)*0.15 + (H255)*0.15 + (I255)*0.15 - (J255*5),0),100),0)</f>
        <v>66</v>
      </c>
    </row>
    <row r="256" spans="1:11">
      <c r="A256" s="3" t="s">
        <v>837</v>
      </c>
      <c r="B256" s="3">
        <v>5</v>
      </c>
      <c r="C256" s="3">
        <v>8</v>
      </c>
      <c r="D256" s="3">
        <v>3</v>
      </c>
      <c r="E256" s="3">
        <v>4.8</v>
      </c>
      <c r="F256" s="3">
        <v>17.5</v>
      </c>
      <c r="G256" s="3">
        <v>4.3</v>
      </c>
      <c r="H256" s="3">
        <v>97.5</v>
      </c>
      <c r="I256" s="3">
        <v>62.7</v>
      </c>
      <c r="J256" s="3">
        <v>0</v>
      </c>
      <c r="K256" s="3">
        <f>ROUND(MIN(MAX((B256*10)*0.2 + (MIN(E256/25*100,100))*0.2 + (MAX(100-F256*5,0))*0.15 + (G256*10)*0.15 + (H256)*0.15 + (I256)*0.15 - (J256*5),0),100),0)</f>
        <v>46</v>
      </c>
    </row>
    <row r="257" spans="1:11">
      <c r="A257" s="3" t="s">
        <v>838</v>
      </c>
      <c r="B257" s="3">
        <v>3.7</v>
      </c>
      <c r="C257" s="3">
        <v>4</v>
      </c>
      <c r="D257" s="3">
        <v>1</v>
      </c>
      <c r="E257" s="3">
        <v>15.2</v>
      </c>
      <c r="F257" s="3">
        <v>11.5</v>
      </c>
      <c r="G257" s="3">
        <v>6.9</v>
      </c>
      <c r="H257" s="3">
        <v>85</v>
      </c>
      <c r="I257" s="3">
        <v>80.400000000000006</v>
      </c>
      <c r="J257" s="3">
        <v>0</v>
      </c>
      <c r="K257" s="3">
        <f>ROUND(MIN(MAX((B257*10)*0.2 + (MIN(E257/25*100,100))*0.2 + (MAX(100-F257*5,0))*0.15 + (G257*10)*0.15 + (H257)*0.15 + (I257)*0.15 - (J257*5),0),100),0)</f>
        <v>61</v>
      </c>
    </row>
    <row r="258" spans="1:11">
      <c r="A258" s="3" t="s">
        <v>840</v>
      </c>
      <c r="B258" s="3">
        <v>4.5</v>
      </c>
      <c r="C258" s="3">
        <v>8</v>
      </c>
      <c r="D258" s="3">
        <v>3</v>
      </c>
      <c r="E258" s="3">
        <v>20.5</v>
      </c>
      <c r="F258" s="3">
        <v>17.399999999999999</v>
      </c>
      <c r="G258" s="3">
        <v>9.6</v>
      </c>
      <c r="H258" s="3">
        <v>93.3</v>
      </c>
      <c r="I258" s="3">
        <v>75.099999999999994</v>
      </c>
      <c r="J258" s="3">
        <v>1</v>
      </c>
      <c r="K258" s="3">
        <f>ROUND(MIN(MAX((B258*10)*0.2 + (MIN(E258/25*100,100))*0.2 + (MAX(100-F258*5,0))*0.15 + (G258*10)*0.15 + (H258)*0.15 + (I258)*0.15 - (J258*5),0),100),0)</f>
        <v>62</v>
      </c>
    </row>
    <row r="259" spans="1:11">
      <c r="A259" s="3" t="s">
        <v>842</v>
      </c>
      <c r="B259" s="3">
        <v>5.5</v>
      </c>
      <c r="C259" s="3">
        <v>10</v>
      </c>
      <c r="D259" s="3">
        <v>6</v>
      </c>
      <c r="E259" s="3">
        <v>18.600000000000001</v>
      </c>
      <c r="F259" s="3">
        <v>20.5</v>
      </c>
      <c r="G259" s="3">
        <v>4.3</v>
      </c>
      <c r="H259" s="3">
        <v>84.7</v>
      </c>
      <c r="I259" s="3">
        <v>77.7</v>
      </c>
      <c r="J259" s="3">
        <v>2</v>
      </c>
      <c r="K259" s="3">
        <f>ROUND(MIN(MAX((B259*10)*0.2 + (MIN(E259/25*100,100))*0.2 + (MAX(100-F259*5,0))*0.15 + (G259*10)*0.15 + (H259)*0.15 + (I259)*0.15 - (J259*5),0),100),0)</f>
        <v>47</v>
      </c>
    </row>
    <row r="260" spans="1:11">
      <c r="A260" s="3" t="s">
        <v>844</v>
      </c>
      <c r="B260" s="3">
        <v>8.8000000000000007</v>
      </c>
      <c r="C260" s="3">
        <v>12</v>
      </c>
      <c r="D260" s="3">
        <v>5</v>
      </c>
      <c r="E260" s="3">
        <v>12.9</v>
      </c>
      <c r="F260" s="3">
        <v>5.2</v>
      </c>
      <c r="G260" s="3">
        <v>5.4</v>
      </c>
      <c r="H260" s="3">
        <v>75.400000000000006</v>
      </c>
      <c r="I260" s="3">
        <v>63.3</v>
      </c>
      <c r="J260" s="3">
        <v>1</v>
      </c>
      <c r="K260" s="3">
        <f>ROUND(MIN(MAX((B260*10)*0.2 + (MIN(E260/25*100,100))*0.2 + (MAX(100-F260*5,0))*0.15 + (G260*10)*0.15 + (H260)*0.15 + (I260)*0.15 - (J260*5),0),100),0)</f>
        <v>63</v>
      </c>
    </row>
    <row r="261" spans="1:11">
      <c r="A261" s="3" t="s">
        <v>845</v>
      </c>
      <c r="B261" s="3">
        <v>7</v>
      </c>
      <c r="C261" s="3">
        <v>13</v>
      </c>
      <c r="D261" s="3">
        <v>7</v>
      </c>
      <c r="E261" s="3">
        <v>13.6</v>
      </c>
      <c r="F261" s="3">
        <v>19.399999999999999</v>
      </c>
      <c r="G261" s="3">
        <v>8.6</v>
      </c>
      <c r="H261" s="3">
        <v>83.1</v>
      </c>
      <c r="I261" s="3">
        <v>84</v>
      </c>
      <c r="J261" s="3">
        <v>2</v>
      </c>
      <c r="K261" s="3">
        <f>ROUND(MIN(MAX((B261*10)*0.2 + (MIN(E261/25*100,100))*0.2 + (MAX(100-F261*5,0))*0.15 + (G261*10)*0.15 + (H261)*0.15 + (I261)*0.15 - (J261*5),0),100),0)</f>
        <v>53</v>
      </c>
    </row>
    <row r="262" spans="1:11">
      <c r="A262" s="3" t="s">
        <v>847</v>
      </c>
      <c r="B262" s="3">
        <v>6</v>
      </c>
      <c r="C262" s="3">
        <v>8</v>
      </c>
      <c r="D262" s="3">
        <v>5</v>
      </c>
      <c r="E262" s="3">
        <v>13.4</v>
      </c>
      <c r="F262" s="3">
        <v>14.1</v>
      </c>
      <c r="G262" s="3">
        <v>7.9</v>
      </c>
      <c r="H262" s="3">
        <v>81.400000000000006</v>
      </c>
      <c r="I262" s="3">
        <v>80.8</v>
      </c>
      <c r="J262" s="3">
        <v>3</v>
      </c>
      <c r="K262" s="3">
        <f>ROUND(MIN(MAX((B262*10)*0.2 + (MIN(E262/25*100,100))*0.2 + (MAX(100-F262*5,0))*0.15 + (G262*10)*0.15 + (H262)*0.15 + (I262)*0.15 - (J262*5),0),100),0)</f>
        <v>48</v>
      </c>
    </row>
    <row r="263" spans="1:11">
      <c r="A263" s="3" t="s">
        <v>850</v>
      </c>
      <c r="B263" s="3">
        <v>9.3000000000000007</v>
      </c>
      <c r="C263" s="3">
        <v>15</v>
      </c>
      <c r="D263" s="3">
        <v>9</v>
      </c>
      <c r="E263" s="3">
        <v>19.100000000000001</v>
      </c>
      <c r="F263" s="3">
        <v>12.1</v>
      </c>
      <c r="G263" s="3">
        <v>7.8</v>
      </c>
      <c r="H263" s="3">
        <v>93</v>
      </c>
      <c r="I263" s="3">
        <v>68.900000000000006</v>
      </c>
      <c r="J263" s="3">
        <v>0</v>
      </c>
      <c r="K263" s="3">
        <f>ROUND(MIN(MAX((B263*10)*0.2 + (MIN(E263/25*100,100))*0.2 + (MAX(100-F263*5,0))*0.15 + (G263*10)*0.15 + (H263)*0.15 + (I263)*0.15 - (J263*5),0),100),0)</f>
        <v>76</v>
      </c>
    </row>
    <row r="264" spans="1:11">
      <c r="A264" s="3" t="s">
        <v>851</v>
      </c>
      <c r="B264" s="3">
        <v>6.8</v>
      </c>
      <c r="C264" s="3">
        <v>10</v>
      </c>
      <c r="D264" s="3">
        <v>5</v>
      </c>
      <c r="E264" s="3">
        <v>17.100000000000001</v>
      </c>
      <c r="F264" s="3">
        <v>10.9</v>
      </c>
      <c r="G264" s="3">
        <v>6.7</v>
      </c>
      <c r="H264" s="3">
        <v>98.4</v>
      </c>
      <c r="I264" s="3">
        <v>55</v>
      </c>
      <c r="J264" s="3">
        <v>0</v>
      </c>
      <c r="K264" s="3">
        <f>ROUND(MIN(MAX((B264*10)*0.2 + (MIN(E264/25*100,100))*0.2 + (MAX(100-F264*5,0))*0.15 + (G264*10)*0.15 + (H264)*0.15 + (I264)*0.15 - (J264*5),0),100),0)</f>
        <v>67</v>
      </c>
    </row>
    <row r="265" spans="1:11">
      <c r="A265" s="3" t="s">
        <v>853</v>
      </c>
      <c r="B265" s="3">
        <v>5</v>
      </c>
      <c r="C265" s="3">
        <v>6</v>
      </c>
      <c r="D265" s="3">
        <v>2</v>
      </c>
      <c r="E265" s="3">
        <v>19.899999999999999</v>
      </c>
      <c r="F265" s="3">
        <v>3.1</v>
      </c>
      <c r="G265" s="3">
        <v>9.9</v>
      </c>
      <c r="H265" s="3">
        <v>68.599999999999994</v>
      </c>
      <c r="I265" s="3">
        <v>68.5</v>
      </c>
      <c r="J265" s="3">
        <v>2</v>
      </c>
      <c r="K265" s="3">
        <f>ROUND(MIN(MAX((B265*10)*0.2 + (MIN(E265/25*100,100))*0.2 + (MAX(100-F265*5,0))*0.15 + (G265*10)*0.15 + (H265)*0.15 + (I265)*0.15 - (J265*5),0),100),0)</f>
        <v>64</v>
      </c>
    </row>
    <row r="266" spans="1:11">
      <c r="A266" s="3" t="s">
        <v>854</v>
      </c>
      <c r="B266" s="3">
        <v>9.6</v>
      </c>
      <c r="C266" s="3">
        <v>17</v>
      </c>
      <c r="D266" s="3">
        <v>10</v>
      </c>
      <c r="E266" s="3">
        <v>12.7</v>
      </c>
      <c r="F266" s="3">
        <v>15.6</v>
      </c>
      <c r="G266" s="3">
        <v>7.4</v>
      </c>
      <c r="H266" s="3">
        <v>63.8</v>
      </c>
      <c r="I266" s="3">
        <v>74.8</v>
      </c>
      <c r="J266" s="3">
        <v>0</v>
      </c>
      <c r="K266" s="3">
        <f>ROUND(MIN(MAX((B266*10)*0.2 + (MIN(E266/25*100,100))*0.2 + (MAX(100-F266*5,0))*0.15 + (G266*10)*0.15 + (H266)*0.15 + (I266)*0.15 - (J266*5),0),100),0)</f>
        <v>65</v>
      </c>
    </row>
    <row r="267" spans="1:11">
      <c r="A267" s="3" t="s">
        <v>857</v>
      </c>
      <c r="B267" s="3">
        <v>4.9000000000000004</v>
      </c>
      <c r="C267" s="3">
        <v>10</v>
      </c>
      <c r="D267" s="3">
        <v>4</v>
      </c>
      <c r="E267" s="3">
        <v>7.9</v>
      </c>
      <c r="F267" s="3">
        <v>9.6</v>
      </c>
      <c r="G267" s="3">
        <v>7.4</v>
      </c>
      <c r="H267" s="3">
        <v>82.8</v>
      </c>
      <c r="I267" s="3">
        <v>64.3</v>
      </c>
      <c r="J267" s="3">
        <v>0</v>
      </c>
      <c r="K267" s="3">
        <f>ROUND(MIN(MAX((B267*10)*0.2 + (MIN(E267/25*100,100))*0.2 + (MAX(100-F267*5,0))*0.15 + (G267*10)*0.15 + (H267)*0.15 + (I267)*0.15 - (J267*5),0),100),0)</f>
        <v>57</v>
      </c>
    </row>
    <row r="268" spans="1:11">
      <c r="A268" s="3" t="s">
        <v>859</v>
      </c>
      <c r="B268" s="3">
        <v>5.3</v>
      </c>
      <c r="C268" s="3">
        <v>8</v>
      </c>
      <c r="D268" s="3">
        <v>4</v>
      </c>
      <c r="E268" s="3">
        <v>20.100000000000001</v>
      </c>
      <c r="F268" s="3">
        <v>18.5</v>
      </c>
      <c r="G268" s="3">
        <v>8.9</v>
      </c>
      <c r="H268" s="3">
        <v>63.8</v>
      </c>
      <c r="I268" s="3">
        <v>82.6</v>
      </c>
      <c r="J268" s="3">
        <v>0</v>
      </c>
      <c r="K268" s="3">
        <f>ROUND(MIN(MAX((B268*10)*0.2 + (MIN(E268/25*100,100))*0.2 + (MAX(100-F268*5,0))*0.15 + (G268*10)*0.15 + (H268)*0.15 + (I268)*0.15 - (J268*5),0),100),0)</f>
        <v>63</v>
      </c>
    </row>
    <row r="269" spans="1:11">
      <c r="A269" s="3" t="s">
        <v>862</v>
      </c>
      <c r="B269" s="3">
        <v>8.6999999999999993</v>
      </c>
      <c r="C269" s="3">
        <v>13</v>
      </c>
      <c r="D269" s="3">
        <v>7</v>
      </c>
      <c r="E269" s="3">
        <v>20.5</v>
      </c>
      <c r="F269" s="3">
        <v>10.4</v>
      </c>
      <c r="G269" s="3">
        <v>9.3000000000000007</v>
      </c>
      <c r="H269" s="3">
        <v>77.400000000000006</v>
      </c>
      <c r="I269" s="3">
        <v>95</v>
      </c>
      <c r="J269" s="3">
        <v>0</v>
      </c>
      <c r="K269" s="3">
        <f>ROUND(MIN(MAX((B269*10)*0.2 + (MIN(E269/25*100,100))*0.2 + (MAX(100-F269*5,0))*0.15 + (G269*10)*0.15 + (H269)*0.15 + (I269)*0.15 - (J269*5),0),100),0)</f>
        <v>81</v>
      </c>
    </row>
    <row r="270" spans="1:11">
      <c r="A270" s="3" t="s">
        <v>865</v>
      </c>
      <c r="B270" s="3">
        <v>8.4</v>
      </c>
      <c r="C270" s="3">
        <v>15</v>
      </c>
      <c r="D270" s="3">
        <v>9</v>
      </c>
      <c r="E270" s="3">
        <v>20.6</v>
      </c>
      <c r="F270" s="3">
        <v>16.899999999999999</v>
      </c>
      <c r="G270" s="3">
        <v>7.8</v>
      </c>
      <c r="H270" s="3">
        <v>62.2</v>
      </c>
      <c r="I270" s="3">
        <v>77.5</v>
      </c>
      <c r="J270" s="3">
        <v>0</v>
      </c>
      <c r="K270" s="3">
        <f>ROUND(MIN(MAX((B270*10)*0.2 + (MIN(E270/25*100,100))*0.2 + (MAX(100-F270*5,0))*0.15 + (G270*10)*0.15 + (H270)*0.15 + (I270)*0.15 - (J270*5),0),100),0)</f>
        <v>68</v>
      </c>
    </row>
    <row r="271" spans="1:11">
      <c r="A271" s="3" t="s">
        <v>867</v>
      </c>
      <c r="B271" s="3">
        <v>7</v>
      </c>
      <c r="C271" s="3">
        <v>10</v>
      </c>
      <c r="D271" s="3">
        <v>6</v>
      </c>
      <c r="E271" s="3">
        <v>5.9</v>
      </c>
      <c r="F271" s="3">
        <v>17.8</v>
      </c>
      <c r="G271" s="3">
        <v>10</v>
      </c>
      <c r="H271" s="3">
        <v>98.8</v>
      </c>
      <c r="I271" s="3">
        <v>87.4</v>
      </c>
      <c r="J271" s="3">
        <v>1</v>
      </c>
      <c r="K271" s="3">
        <f>ROUND(MIN(MAX((B271*10)*0.2 + (MIN(E271/25*100,100))*0.2 + (MAX(100-F271*5,0))*0.15 + (G271*10)*0.15 + (H271)*0.15 + (I271)*0.15 - (J271*5),0),100),0)</f>
        <v>58</v>
      </c>
    </row>
    <row r="272" spans="1:11">
      <c r="A272" s="3" t="s">
        <v>869</v>
      </c>
      <c r="B272" s="3">
        <v>3.6</v>
      </c>
      <c r="C272" s="3">
        <v>5</v>
      </c>
      <c r="D272" s="3">
        <v>3</v>
      </c>
      <c r="E272" s="3">
        <v>5.8</v>
      </c>
      <c r="F272" s="3">
        <v>10.4</v>
      </c>
      <c r="G272" s="3">
        <v>6.9</v>
      </c>
      <c r="H272" s="3">
        <v>89.8</v>
      </c>
      <c r="I272" s="3">
        <v>78.599999999999994</v>
      </c>
      <c r="J272" s="3">
        <v>0</v>
      </c>
      <c r="K272" s="3">
        <f>ROUND(MIN(MAX((B272*10)*0.2 + (MIN(E272/25*100,100))*0.2 + (MAX(100-F272*5,0))*0.15 + (G272*10)*0.15 + (H272)*0.15 + (I272)*0.15 - (J272*5),0),100),0)</f>
        <v>55</v>
      </c>
    </row>
    <row r="273" spans="1:11">
      <c r="A273" s="3" t="s">
        <v>872</v>
      </c>
      <c r="B273" s="3">
        <v>5.8</v>
      </c>
      <c r="C273" s="3">
        <v>9</v>
      </c>
      <c r="D273" s="3">
        <v>5</v>
      </c>
      <c r="E273" s="3">
        <v>17.5</v>
      </c>
      <c r="F273" s="3">
        <v>13.6</v>
      </c>
      <c r="G273" s="3">
        <v>5.2</v>
      </c>
      <c r="H273" s="3">
        <v>75.8</v>
      </c>
      <c r="I273" s="3">
        <v>79.599999999999994</v>
      </c>
      <c r="J273" s="3">
        <v>1</v>
      </c>
      <c r="K273" s="3">
        <f>ROUND(MIN(MAX((B273*10)*0.2 + (MIN(E273/25*100,100))*0.2 + (MAX(100-F273*5,0))*0.15 + (G273*10)*0.15 + (H273)*0.15 + (I273)*0.15 - (J273*5),0),100),0)</f>
        <v>57</v>
      </c>
    </row>
    <row r="274" spans="1:11">
      <c r="A274" s="3" t="s">
        <v>874</v>
      </c>
      <c r="B274" s="3">
        <v>10</v>
      </c>
      <c r="C274" s="3">
        <v>16</v>
      </c>
      <c r="D274" s="3">
        <v>7</v>
      </c>
      <c r="E274" s="3">
        <v>8.1</v>
      </c>
      <c r="F274" s="3">
        <v>12.5</v>
      </c>
      <c r="G274" s="3">
        <v>8.1</v>
      </c>
      <c r="H274" s="3">
        <v>83</v>
      </c>
      <c r="I274" s="3">
        <v>59.8</v>
      </c>
      <c r="J274" s="3">
        <v>1</v>
      </c>
      <c r="K274" s="3">
        <f>ROUND(MIN(MAX((B274*10)*0.2 + (MIN(E274/25*100,100))*0.2 + (MAX(100-F274*5,0))*0.15 + (G274*10)*0.15 + (H274)*0.15 + (I274)*0.15 - (J274*5),0),100),0)</f>
        <v>61</v>
      </c>
    </row>
    <row r="275" spans="1:11">
      <c r="A275" s="3" t="s">
        <v>877</v>
      </c>
      <c r="B275" s="3">
        <v>5.6</v>
      </c>
      <c r="C275" s="3">
        <v>7</v>
      </c>
      <c r="D275" s="3">
        <v>3</v>
      </c>
      <c r="E275" s="3">
        <v>15.5</v>
      </c>
      <c r="F275" s="3">
        <v>19.899999999999999</v>
      </c>
      <c r="G275" s="3">
        <v>5</v>
      </c>
      <c r="H275" s="3">
        <v>74</v>
      </c>
      <c r="I275" s="3">
        <v>90.3</v>
      </c>
      <c r="J275" s="3">
        <v>2</v>
      </c>
      <c r="K275" s="3">
        <f>ROUND(MIN(MAX((B275*10)*0.2 + (MIN(E275/25*100,100))*0.2 + (MAX(100-F275*5,0))*0.15 + (G275*10)*0.15 + (H275)*0.15 + (I275)*0.15 - (J275*5),0),100),0)</f>
        <v>46</v>
      </c>
    </row>
    <row r="276" spans="1:11">
      <c r="A276" s="3" t="s">
        <v>879</v>
      </c>
      <c r="B276" s="3">
        <v>7.4</v>
      </c>
      <c r="C276" s="3">
        <v>12</v>
      </c>
      <c r="D276" s="3">
        <v>7</v>
      </c>
      <c r="E276" s="3">
        <v>7.4</v>
      </c>
      <c r="F276" s="3">
        <v>18.100000000000001</v>
      </c>
      <c r="G276" s="3">
        <v>4.9000000000000004</v>
      </c>
      <c r="H276" s="3">
        <v>89.1</v>
      </c>
      <c r="I276" s="3">
        <v>58.7</v>
      </c>
      <c r="J276" s="3">
        <v>2</v>
      </c>
      <c r="K276" s="3">
        <f>ROUND(MIN(MAX((B276*10)*0.2 + (MIN(E276/25*100,100))*0.2 + (MAX(100-F276*5,0))*0.15 + (G276*10)*0.15 + (H276)*0.15 + (I276)*0.15 - (J276*5),0),100),0)</f>
        <v>42</v>
      </c>
    </row>
    <row r="277" spans="1:11">
      <c r="A277" s="3" t="s">
        <v>881</v>
      </c>
      <c r="B277" s="3">
        <v>4.7</v>
      </c>
      <c r="C277" s="3">
        <v>8</v>
      </c>
      <c r="D277" s="3">
        <v>3</v>
      </c>
      <c r="E277" s="3">
        <v>18.8</v>
      </c>
      <c r="F277" s="3">
        <v>9.3000000000000007</v>
      </c>
      <c r="G277" s="3">
        <v>6.1</v>
      </c>
      <c r="H277" s="3">
        <v>92.2</v>
      </c>
      <c r="I277" s="3">
        <v>68.099999999999994</v>
      </c>
      <c r="J277" s="3">
        <v>1</v>
      </c>
      <c r="K277" s="3">
        <f>ROUND(MIN(MAX((B277*10)*0.2 + (MIN(E277/25*100,100))*0.2 + (MAX(100-F277*5,0))*0.15 + (G277*10)*0.15 + (H277)*0.15 + (I277)*0.15 - (J277*5),0),100),0)</f>
        <v>61</v>
      </c>
    </row>
    <row r="278" spans="1:11">
      <c r="A278" s="3" t="s">
        <v>883</v>
      </c>
      <c r="B278" s="3">
        <v>5.3</v>
      </c>
      <c r="C278" s="3">
        <v>10</v>
      </c>
      <c r="D278" s="3">
        <v>4</v>
      </c>
      <c r="E278" s="3">
        <v>13.4</v>
      </c>
      <c r="F278" s="3">
        <v>19.5</v>
      </c>
      <c r="G278" s="3">
        <v>7.3</v>
      </c>
      <c r="H278" s="3">
        <v>84.9</v>
      </c>
      <c r="I278" s="3">
        <v>97.7</v>
      </c>
      <c r="J278" s="3">
        <v>1</v>
      </c>
      <c r="K278" s="3">
        <f>ROUND(MIN(MAX((B278*10)*0.2 + (MIN(E278/25*100,100))*0.2 + (MAX(100-F278*5,0))*0.15 + (G278*10)*0.15 + (H278)*0.15 + (I278)*0.15 - (J278*5),0),100),0)</f>
        <v>55</v>
      </c>
    </row>
    <row r="279" spans="1:11">
      <c r="A279" s="3" t="s">
        <v>885</v>
      </c>
      <c r="B279" s="3">
        <v>7.7</v>
      </c>
      <c r="C279" s="3">
        <v>12</v>
      </c>
      <c r="D279" s="3">
        <v>7</v>
      </c>
      <c r="E279" s="3">
        <v>13</v>
      </c>
      <c r="F279" s="3">
        <v>8.6</v>
      </c>
      <c r="G279" s="3">
        <v>4.4000000000000004</v>
      </c>
      <c r="H279" s="3">
        <v>68</v>
      </c>
      <c r="I279" s="3">
        <v>85</v>
      </c>
      <c r="J279" s="3">
        <v>0</v>
      </c>
      <c r="K279" s="3">
        <f>ROUND(MIN(MAX((B279*10)*0.2 + (MIN(E279/25*100,100))*0.2 + (MAX(100-F279*5,0))*0.15 + (G279*10)*0.15 + (H279)*0.15 + (I279)*0.15 - (J279*5),0),100),0)</f>
        <v>64</v>
      </c>
    </row>
    <row r="280" spans="1:11">
      <c r="A280" s="3" t="s">
        <v>887</v>
      </c>
      <c r="B280" s="3">
        <v>6.3</v>
      </c>
      <c r="C280" s="3">
        <v>12</v>
      </c>
      <c r="D280" s="3">
        <v>5</v>
      </c>
      <c r="E280" s="3">
        <v>15.5</v>
      </c>
      <c r="F280" s="3">
        <v>17.600000000000001</v>
      </c>
      <c r="G280" s="3">
        <v>9.5</v>
      </c>
      <c r="H280" s="3">
        <v>74.400000000000006</v>
      </c>
      <c r="I280" s="3">
        <v>59.6</v>
      </c>
      <c r="J280" s="3">
        <v>0</v>
      </c>
      <c r="K280" s="3">
        <f>ROUND(MIN(MAX((B280*10)*0.2 + (MIN(E280/25*100,100))*0.2 + (MAX(100-F280*5,0))*0.15 + (G280*10)*0.15 + (H280)*0.15 + (I280)*0.15 - (J280*5),0),100),0)</f>
        <v>61</v>
      </c>
    </row>
    <row r="281" spans="1:11">
      <c r="A281" s="3" t="s">
        <v>889</v>
      </c>
      <c r="B281" s="3">
        <v>9.1999999999999993</v>
      </c>
      <c r="C281" s="3">
        <v>14</v>
      </c>
      <c r="D281" s="3">
        <v>8</v>
      </c>
      <c r="E281" s="3">
        <v>12.7</v>
      </c>
      <c r="F281" s="3">
        <v>18.600000000000001</v>
      </c>
      <c r="G281" s="3">
        <v>9.4</v>
      </c>
      <c r="H281" s="3">
        <v>79.400000000000006</v>
      </c>
      <c r="I281" s="3">
        <v>80.7</v>
      </c>
      <c r="J281" s="3">
        <v>0</v>
      </c>
      <c r="K281" s="3">
        <f>ROUND(MIN(MAX((B281*10)*0.2 + (MIN(E281/25*100,100))*0.2 + (MAX(100-F281*5,0))*0.15 + (G281*10)*0.15 + (H281)*0.15 + (I281)*0.15 - (J281*5),0),100),0)</f>
        <v>68</v>
      </c>
    </row>
    <row r="282" spans="1:11">
      <c r="A282" s="3" t="s">
        <v>891</v>
      </c>
      <c r="B282" s="3">
        <v>4.4000000000000004</v>
      </c>
      <c r="C282" s="3">
        <v>9</v>
      </c>
      <c r="D282" s="3">
        <v>5</v>
      </c>
      <c r="E282" s="3">
        <v>16.5</v>
      </c>
      <c r="F282" s="3">
        <v>3.9</v>
      </c>
      <c r="G282" s="3">
        <v>9.5</v>
      </c>
      <c r="H282" s="3">
        <v>72.2</v>
      </c>
      <c r="I282" s="3">
        <v>76.099999999999994</v>
      </c>
      <c r="J282" s="3">
        <v>2</v>
      </c>
      <c r="K282" s="3">
        <f>ROUND(MIN(MAX((B282*10)*0.2 + (MIN(E282/25*100,100))*0.2 + (MAX(100-F282*5,0))*0.15 + (G282*10)*0.15 + (H282)*0.15 + (I282)*0.15 - (J282*5),0),100),0)</f>
        <v>61</v>
      </c>
    </row>
    <row r="283" spans="1:11">
      <c r="A283" s="3" t="s">
        <v>893</v>
      </c>
      <c r="B283" s="3">
        <v>3.1</v>
      </c>
      <c r="C283" s="3">
        <v>6</v>
      </c>
      <c r="D283" s="3">
        <v>3</v>
      </c>
      <c r="E283" s="3">
        <v>8.6999999999999993</v>
      </c>
      <c r="F283" s="3">
        <v>24.9</v>
      </c>
      <c r="G283" s="3">
        <v>9.9</v>
      </c>
      <c r="H283" s="3">
        <v>71</v>
      </c>
      <c r="I283" s="3">
        <v>57.7</v>
      </c>
      <c r="J283" s="3">
        <v>0</v>
      </c>
      <c r="K283" s="3">
        <f>ROUND(MIN(MAX((B283*10)*0.2 + (MIN(E283/25*100,100))*0.2 + (MAX(100-F283*5,0))*0.15 + (G283*10)*0.15 + (H283)*0.15 + (I283)*0.15 - (J283*5),0),100),0)</f>
        <v>47</v>
      </c>
    </row>
    <row r="284" spans="1:11">
      <c r="A284" s="3" t="s">
        <v>895</v>
      </c>
      <c r="B284" s="3">
        <v>5.7</v>
      </c>
      <c r="C284" s="3">
        <v>12</v>
      </c>
      <c r="D284" s="3">
        <v>7</v>
      </c>
      <c r="E284" s="3">
        <v>20.9</v>
      </c>
      <c r="F284" s="3">
        <v>23.9</v>
      </c>
      <c r="G284" s="3">
        <v>5.4</v>
      </c>
      <c r="H284" s="3">
        <v>73.7</v>
      </c>
      <c r="I284" s="3">
        <v>71.900000000000006</v>
      </c>
      <c r="J284" s="3">
        <v>0</v>
      </c>
      <c r="K284" s="3">
        <f>ROUND(MIN(MAX((B284*10)*0.2 + (MIN(E284/25*100,100))*0.2 + (MAX(100-F284*5,0))*0.15 + (G284*10)*0.15 + (H284)*0.15 + (I284)*0.15 - (J284*5),0),100),0)</f>
        <v>58</v>
      </c>
    </row>
    <row r="285" spans="1:11">
      <c r="A285" s="3" t="s">
        <v>897</v>
      </c>
      <c r="B285" s="3">
        <v>8.1</v>
      </c>
      <c r="C285" s="3">
        <v>13</v>
      </c>
      <c r="D285" s="3">
        <v>7</v>
      </c>
      <c r="E285" s="3">
        <v>19.600000000000001</v>
      </c>
      <c r="F285" s="3">
        <v>18.100000000000001</v>
      </c>
      <c r="G285" s="3">
        <v>6.5</v>
      </c>
      <c r="H285" s="3">
        <v>82.9</v>
      </c>
      <c r="I285" s="3">
        <v>73.3</v>
      </c>
      <c r="J285" s="3">
        <v>0</v>
      </c>
      <c r="K285" s="3">
        <f>ROUND(MIN(MAX((B285*10)*0.2 + (MIN(E285/25*100,100))*0.2 + (MAX(100-F285*5,0))*0.15 + (G285*10)*0.15 + (H285)*0.15 + (I285)*0.15 - (J285*5),0),100),0)</f>
        <v>66</v>
      </c>
    </row>
    <row r="286" spans="1:11">
      <c r="A286" s="3" t="s">
        <v>899</v>
      </c>
      <c r="B286" s="3">
        <v>7.2</v>
      </c>
      <c r="C286" s="3">
        <v>11</v>
      </c>
      <c r="D286" s="3">
        <v>4</v>
      </c>
      <c r="E286" s="3">
        <v>15.4</v>
      </c>
      <c r="F286" s="3">
        <v>15.8</v>
      </c>
      <c r="G286" s="3">
        <v>8.1</v>
      </c>
      <c r="H286" s="3">
        <v>68.099999999999994</v>
      </c>
      <c r="I286" s="3">
        <v>60.9</v>
      </c>
      <c r="J286" s="3">
        <v>1</v>
      </c>
      <c r="K286" s="3">
        <f>ROUND(MIN(MAX((B286*10)*0.2 + (MIN(E286/25*100,100))*0.2 + (MAX(100-F286*5,0))*0.15 + (G286*10)*0.15 + (H286)*0.15 + (I286)*0.15 - (J286*5),0),100),0)</f>
        <v>56</v>
      </c>
    </row>
    <row r="287" spans="1:11">
      <c r="A287" s="3" t="s">
        <v>900</v>
      </c>
      <c r="B287" s="3">
        <v>9.3000000000000007</v>
      </c>
      <c r="C287" s="3">
        <v>17</v>
      </c>
      <c r="D287" s="3">
        <v>8</v>
      </c>
      <c r="E287" s="3">
        <v>20.3</v>
      </c>
      <c r="F287" s="3">
        <v>19.899999999999999</v>
      </c>
      <c r="G287" s="3">
        <v>7.9</v>
      </c>
      <c r="H287" s="3">
        <v>82.6</v>
      </c>
      <c r="I287" s="3">
        <v>61.8</v>
      </c>
      <c r="J287" s="3">
        <v>0</v>
      </c>
      <c r="K287" s="3">
        <f>ROUND(MIN(MAX((B287*10)*0.2 + (MIN(E287/25*100,100))*0.2 + (MAX(100-F287*5,0))*0.15 + (G287*10)*0.15 + (H287)*0.15 + (I287)*0.15 - (J287*5),0),100),0)</f>
        <v>68</v>
      </c>
    </row>
    <row r="288" spans="1:11">
      <c r="A288" s="3" t="s">
        <v>902</v>
      </c>
      <c r="B288" s="3">
        <v>6.7</v>
      </c>
      <c r="C288" s="3">
        <v>12</v>
      </c>
      <c r="D288" s="3">
        <v>5</v>
      </c>
      <c r="E288" s="3">
        <v>19</v>
      </c>
      <c r="F288" s="3">
        <v>6.2</v>
      </c>
      <c r="G288" s="3">
        <v>4.2</v>
      </c>
      <c r="H288" s="3">
        <v>72.7</v>
      </c>
      <c r="I288" s="3">
        <v>96.8</v>
      </c>
      <c r="J288" s="3">
        <v>4</v>
      </c>
      <c r="K288" s="3">
        <f>ROUND(MIN(MAX((B288*10)*0.2 + (MIN(E288/25*100,100))*0.2 + (MAX(100-F288*5,0))*0.15 + (G288*10)*0.15 + (H288)*0.15 + (I288)*0.15 - (J288*5),0),100),0)</f>
        <v>51</v>
      </c>
    </row>
    <row r="289" spans="1:11">
      <c r="A289" s="3" t="s">
        <v>904</v>
      </c>
      <c r="B289" s="3">
        <v>5.0999999999999996</v>
      </c>
      <c r="C289" s="3">
        <v>9</v>
      </c>
      <c r="D289" s="3">
        <v>5</v>
      </c>
      <c r="E289" s="3">
        <v>15.1</v>
      </c>
      <c r="F289" s="3">
        <v>19.2</v>
      </c>
      <c r="G289" s="3">
        <v>4.9000000000000004</v>
      </c>
      <c r="H289" s="3">
        <v>67.5</v>
      </c>
      <c r="I289" s="3">
        <v>60.7</v>
      </c>
      <c r="J289" s="3">
        <v>0</v>
      </c>
      <c r="K289" s="3">
        <f>ROUND(MIN(MAX((B289*10)*0.2 + (MIN(E289/25*100,100))*0.2 + (MAX(100-F289*5,0))*0.15 + (G289*10)*0.15 + (H289)*0.15 + (I289)*0.15 - (J289*5),0),100),0)</f>
        <v>49</v>
      </c>
    </row>
    <row r="290" spans="1:11">
      <c r="A290" s="3" t="s">
        <v>906</v>
      </c>
      <c r="B290" s="3">
        <v>9.9</v>
      </c>
      <c r="C290" s="3">
        <v>16</v>
      </c>
      <c r="D290" s="3">
        <v>8</v>
      </c>
      <c r="E290" s="3">
        <v>14.6</v>
      </c>
      <c r="F290" s="3">
        <v>16.100000000000001</v>
      </c>
      <c r="G290" s="3">
        <v>5.4</v>
      </c>
      <c r="H290" s="3">
        <v>61</v>
      </c>
      <c r="I290" s="3">
        <v>58.4</v>
      </c>
      <c r="J290" s="3">
        <v>2</v>
      </c>
      <c r="K290" s="3">
        <f>ROUND(MIN(MAX((B290*10)*0.2 + (MIN(E290/25*100,100))*0.2 + (MAX(100-F290*5,0))*0.15 + (G290*10)*0.15 + (H290)*0.15 + (I290)*0.15 - (J290*5),0),100),0)</f>
        <v>50</v>
      </c>
    </row>
    <row r="291" spans="1:11">
      <c r="A291" s="3" t="s">
        <v>909</v>
      </c>
      <c r="B291" s="3">
        <v>3.9</v>
      </c>
      <c r="C291" s="3">
        <v>8</v>
      </c>
      <c r="D291" s="3">
        <v>4</v>
      </c>
      <c r="E291" s="3">
        <v>15.3</v>
      </c>
      <c r="F291" s="3">
        <v>7</v>
      </c>
      <c r="G291" s="3">
        <v>6.3</v>
      </c>
      <c r="H291" s="3">
        <v>79</v>
      </c>
      <c r="I291" s="3">
        <v>62</v>
      </c>
      <c r="J291" s="3">
        <v>0</v>
      </c>
      <c r="K291" s="3">
        <f>ROUND(MIN(MAX((B291*10)*0.2 + (MIN(E291/25*100,100))*0.2 + (MAX(100-F291*5,0))*0.15 + (G291*10)*0.15 + (H291)*0.15 + (I291)*0.15 - (J291*5),0),100),0)</f>
        <v>60</v>
      </c>
    </row>
    <row r="292" spans="1:11">
      <c r="A292" s="3" t="s">
        <v>911</v>
      </c>
      <c r="B292" s="3">
        <v>5.9</v>
      </c>
      <c r="C292" s="3">
        <v>12</v>
      </c>
      <c r="D292" s="3">
        <v>7</v>
      </c>
      <c r="E292" s="3">
        <v>21.1</v>
      </c>
      <c r="F292" s="3">
        <v>7.9</v>
      </c>
      <c r="G292" s="3">
        <v>8</v>
      </c>
      <c r="H292" s="3">
        <v>68.099999999999994</v>
      </c>
      <c r="I292" s="3">
        <v>63.8</v>
      </c>
      <c r="J292" s="3">
        <v>0</v>
      </c>
      <c r="K292" s="3">
        <f>ROUND(MIN(MAX((B292*10)*0.2 + (MIN(E292/25*100,100))*0.2 + (MAX(100-F292*5,0))*0.15 + (G292*10)*0.15 + (H292)*0.15 + (I292)*0.15 - (J292*5),0),100),0)</f>
        <v>70</v>
      </c>
    </row>
    <row r="293" spans="1:11">
      <c r="A293" s="3" t="s">
        <v>913</v>
      </c>
      <c r="B293" s="3">
        <v>9.6999999999999993</v>
      </c>
      <c r="C293" s="3">
        <v>15</v>
      </c>
      <c r="D293" s="3">
        <v>8</v>
      </c>
      <c r="E293" s="3">
        <v>16.100000000000001</v>
      </c>
      <c r="F293" s="3">
        <v>22.1</v>
      </c>
      <c r="G293" s="3">
        <v>9.3000000000000007</v>
      </c>
      <c r="H293" s="3">
        <v>77.099999999999994</v>
      </c>
      <c r="I293" s="3">
        <v>88.4</v>
      </c>
      <c r="J293" s="3">
        <v>1</v>
      </c>
      <c r="K293" s="3">
        <f>ROUND(MIN(MAX((B293*10)*0.2 + (MIN(E293/25*100,100))*0.2 + (MAX(100-F293*5,0))*0.15 + (G293*10)*0.15 + (H293)*0.15 + (I293)*0.15 - (J293*5),0),100),0)</f>
        <v>66</v>
      </c>
    </row>
    <row r="294" spans="1:11">
      <c r="A294" s="3" t="s">
        <v>915</v>
      </c>
      <c r="B294" s="3">
        <v>8.8000000000000007</v>
      </c>
      <c r="C294" s="3">
        <v>15</v>
      </c>
      <c r="D294" s="3">
        <v>7</v>
      </c>
      <c r="E294" s="3">
        <v>20.8</v>
      </c>
      <c r="F294" s="3">
        <v>15.6</v>
      </c>
      <c r="G294" s="3">
        <v>7.2</v>
      </c>
      <c r="H294" s="3">
        <v>85.7</v>
      </c>
      <c r="I294" s="3">
        <v>85.3</v>
      </c>
      <c r="J294" s="3">
        <v>0</v>
      </c>
      <c r="K294" s="3">
        <f>ROUND(MIN(MAX((B294*10)*0.2 + (MIN(E294/25*100,100))*0.2 + (MAX(100-F294*5,0))*0.15 + (G294*10)*0.15 + (H294)*0.15 + (I294)*0.15 - (J294*5),0),100),0)</f>
        <v>74</v>
      </c>
    </row>
    <row r="295" spans="1:11">
      <c r="A295" s="3" t="s">
        <v>918</v>
      </c>
      <c r="B295" s="3">
        <v>3.8</v>
      </c>
      <c r="C295" s="3">
        <v>6</v>
      </c>
      <c r="D295" s="3">
        <v>4</v>
      </c>
      <c r="E295" s="3">
        <v>19.7</v>
      </c>
      <c r="F295" s="3">
        <v>8.4</v>
      </c>
      <c r="G295" s="3">
        <v>7.2</v>
      </c>
      <c r="H295" s="3">
        <v>99.4</v>
      </c>
      <c r="I295" s="3">
        <v>56.7</v>
      </c>
      <c r="J295" s="3">
        <v>0</v>
      </c>
      <c r="K295" s="3">
        <f>ROUND(MIN(MAX((B295*10)*0.2 + (MIN(E295/25*100,100))*0.2 + (MAX(100-F295*5,0))*0.15 + (G295*10)*0.15 + (H295)*0.15 + (I295)*0.15 - (J295*5),0),100),0)</f>
        <v>66</v>
      </c>
    </row>
    <row r="296" spans="1:11">
      <c r="A296" s="3" t="s">
        <v>920</v>
      </c>
      <c r="B296" s="3">
        <v>8.4</v>
      </c>
      <c r="C296" s="3">
        <v>16</v>
      </c>
      <c r="D296" s="3">
        <v>7</v>
      </c>
      <c r="E296" s="3">
        <v>11.4</v>
      </c>
      <c r="F296" s="3">
        <v>22.5</v>
      </c>
      <c r="G296" s="3">
        <v>8.6</v>
      </c>
      <c r="H296" s="3">
        <v>71.400000000000006</v>
      </c>
      <c r="I296" s="3">
        <v>62.2</v>
      </c>
      <c r="J296" s="3">
        <v>0</v>
      </c>
      <c r="K296" s="3">
        <f>ROUND(MIN(MAX((B296*10)*0.2 + (MIN(E296/25*100,100))*0.2 + (MAX(100-F296*5,0))*0.15 + (G296*10)*0.15 + (H296)*0.15 + (I296)*0.15 - (J296*5),0),100),0)</f>
        <v>59</v>
      </c>
    </row>
    <row r="297" spans="1:11">
      <c r="A297" s="3" t="s">
        <v>921</v>
      </c>
      <c r="B297" s="3">
        <v>9.4</v>
      </c>
      <c r="C297" s="3">
        <v>16</v>
      </c>
      <c r="D297" s="3">
        <v>9</v>
      </c>
      <c r="E297" s="3">
        <v>11.8</v>
      </c>
      <c r="F297" s="3">
        <v>17.2</v>
      </c>
      <c r="G297" s="3">
        <v>4.5</v>
      </c>
      <c r="H297" s="3">
        <v>80</v>
      </c>
      <c r="I297" s="3">
        <v>62.7</v>
      </c>
      <c r="J297" s="3">
        <v>1</v>
      </c>
      <c r="K297" s="3">
        <f>ROUND(MIN(MAX((B297*10)*0.2 + (MIN(E297/25*100,100))*0.2 + (MAX(100-F297*5,0))*0.15 + (G297*10)*0.15 + (H297)*0.15 + (I297)*0.15 - (J297*5),0),100),0)</f>
        <v>53</v>
      </c>
    </row>
    <row r="298" spans="1:11">
      <c r="A298" s="3" t="s">
        <v>924</v>
      </c>
      <c r="B298" s="3">
        <v>9.3000000000000007</v>
      </c>
      <c r="C298" s="3">
        <v>15</v>
      </c>
      <c r="D298" s="3">
        <v>7</v>
      </c>
      <c r="E298" s="3">
        <v>9.1</v>
      </c>
      <c r="F298" s="3">
        <v>3.5</v>
      </c>
      <c r="G298" s="3">
        <v>6.7</v>
      </c>
      <c r="H298" s="3">
        <v>95.9</v>
      </c>
      <c r="I298" s="3">
        <v>93.5</v>
      </c>
      <c r="J298" s="3">
        <v>3</v>
      </c>
      <c r="K298" s="3">
        <f>ROUND(MIN(MAX((B298*10)*0.2 + (MIN(E298/25*100,100))*0.2 + (MAX(100-F298*5,0))*0.15 + (G298*10)*0.15 + (H298)*0.15 + (I298)*0.15 - (J298*5),0),100),0)</f>
        <v>62</v>
      </c>
    </row>
    <row r="299" spans="1:11">
      <c r="A299" s="3" t="s">
        <v>926</v>
      </c>
      <c r="B299" s="3">
        <v>3.6</v>
      </c>
      <c r="C299" s="3">
        <v>5</v>
      </c>
      <c r="D299" s="3">
        <v>3</v>
      </c>
      <c r="E299" s="3">
        <v>16.5</v>
      </c>
      <c r="F299" s="3">
        <v>6.6</v>
      </c>
      <c r="G299" s="3">
        <v>8.4</v>
      </c>
      <c r="H299" s="3">
        <v>63.6</v>
      </c>
      <c r="I299" s="3">
        <v>85.4</v>
      </c>
      <c r="J299" s="3">
        <v>1</v>
      </c>
      <c r="K299" s="3">
        <f>ROUND(MIN(MAX((B299*10)*0.2 + (MIN(E299/25*100,100))*0.2 + (MAX(100-F299*5,0))*0.15 + (G299*10)*0.15 + (H299)*0.15 + (I299)*0.15 - (J299*5),0),100),0)</f>
        <v>60</v>
      </c>
    </row>
    <row r="300" spans="1:11">
      <c r="A300" s="3" t="s">
        <v>927</v>
      </c>
      <c r="B300" s="3">
        <v>3.6</v>
      </c>
      <c r="C300" s="3">
        <v>7</v>
      </c>
      <c r="D300" s="3">
        <v>4</v>
      </c>
      <c r="E300" s="3">
        <v>21.5</v>
      </c>
      <c r="F300" s="3">
        <v>16.5</v>
      </c>
      <c r="G300" s="3">
        <v>5</v>
      </c>
      <c r="H300" s="3">
        <v>82</v>
      </c>
      <c r="I300" s="3">
        <v>56.9</v>
      </c>
      <c r="J300" s="3">
        <v>0</v>
      </c>
      <c r="K300" s="3">
        <f>ROUND(MIN(MAX((B300*10)*0.2 + (MIN(E300/25*100,100))*0.2 + (MAX(100-F300*5,0))*0.15 + (G300*10)*0.15 + (H300)*0.15 + (I300)*0.15 - (J300*5),0),100),0)</f>
        <v>55</v>
      </c>
    </row>
    <row r="301" spans="1:11">
      <c r="A301" s="3" t="s">
        <v>929</v>
      </c>
      <c r="B301" s="3">
        <v>5.3</v>
      </c>
      <c r="C301" s="3">
        <v>10</v>
      </c>
      <c r="D301" s="3">
        <v>6</v>
      </c>
      <c r="E301" s="3">
        <v>6.1</v>
      </c>
      <c r="F301" s="3">
        <v>6.2</v>
      </c>
      <c r="G301" s="3">
        <v>8.6</v>
      </c>
      <c r="H301" s="3">
        <v>62.1</v>
      </c>
      <c r="I301" s="3">
        <v>68.2</v>
      </c>
      <c r="J301" s="3">
        <v>2</v>
      </c>
      <c r="K301" s="3">
        <f>ROUND(MIN(MAX((B301*10)*0.2 + (MIN(E301/25*100,100))*0.2 + (MAX(100-F301*5,0))*0.15 + (G301*10)*0.15 + (H301)*0.15 + (I301)*0.15 - (J301*5),0),100),0)</f>
        <v>48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7"/>
  <sheetViews>
    <sheetView zoomScaleNormal="100" workbookViewId="0"/>
  </sheetViews>
  <sheetFormatPr defaultColWidth="8.7109375" defaultRowHeight="15"/>
  <cols>
    <col min="1" max="1" width="20" customWidth="1"/>
    <col min="2" max="4" width="12" customWidth="1"/>
  </cols>
  <sheetData>
    <row r="1" spans="1:4">
      <c r="A1" s="7" t="s">
        <v>941</v>
      </c>
      <c r="B1" s="7" t="s">
        <v>47</v>
      </c>
      <c r="C1" s="7" t="s">
        <v>942</v>
      </c>
      <c r="D1" s="7" t="s">
        <v>42</v>
      </c>
    </row>
    <row r="2" spans="1:4">
      <c r="A2" s="7" t="s">
        <v>47</v>
      </c>
      <c r="B2" s="8" t="s">
        <v>47</v>
      </c>
      <c r="C2" s="8" t="s">
        <v>47</v>
      </c>
      <c r="D2" s="8" t="s">
        <v>942</v>
      </c>
    </row>
    <row r="3" spans="1:4">
      <c r="A3" s="7" t="s">
        <v>942</v>
      </c>
      <c r="B3" s="8" t="s">
        <v>47</v>
      </c>
      <c r="C3" s="8" t="s">
        <v>942</v>
      </c>
      <c r="D3" s="8" t="s">
        <v>42</v>
      </c>
    </row>
    <row r="4" spans="1:4">
      <c r="A4" s="7" t="s">
        <v>42</v>
      </c>
      <c r="B4" s="8" t="s">
        <v>942</v>
      </c>
      <c r="C4" s="8" t="s">
        <v>42</v>
      </c>
      <c r="D4" s="8" t="s">
        <v>42</v>
      </c>
    </row>
    <row r="7" spans="1:4">
      <c r="A7" s="9" t="s">
        <v>943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801"/>
  <sheetViews>
    <sheetView zoomScaleNormal="100" workbookViewId="0">
      <pane ySplit="1" topLeftCell="A1691" activePane="bottomLeft" state="frozen"/>
      <selection pane="bottomLeft" activeCell="H1807" sqref="H1807"/>
    </sheetView>
  </sheetViews>
  <sheetFormatPr defaultColWidth="8.7109375" defaultRowHeight="15"/>
  <cols>
    <col min="1" max="2" width="10" customWidth="1"/>
    <col min="3" max="3" width="16" customWidth="1"/>
    <col min="4" max="4" width="42" customWidth="1"/>
    <col min="5" max="5" width="12" customWidth="1"/>
    <col min="6" max="6" width="10" customWidth="1"/>
    <col min="7" max="8" width="16" customWidth="1"/>
    <col min="9" max="9" width="12" customWidth="1"/>
    <col min="10" max="10" width="40" customWidth="1"/>
    <col min="11" max="11" width="22" customWidth="1"/>
    <col min="12" max="12" width="16" customWidth="1"/>
  </cols>
  <sheetData>
    <row r="1" spans="1:12" ht="23.85">
      <c r="A1" s="5" t="s">
        <v>944</v>
      </c>
      <c r="B1" s="5" t="s">
        <v>322</v>
      </c>
      <c r="C1" s="5" t="s">
        <v>945</v>
      </c>
      <c r="D1" s="5" t="s">
        <v>946</v>
      </c>
      <c r="E1" s="5" t="s">
        <v>947</v>
      </c>
      <c r="F1" s="5" t="s">
        <v>948</v>
      </c>
      <c r="G1" s="5" t="s">
        <v>949</v>
      </c>
      <c r="H1" s="5" t="s">
        <v>950</v>
      </c>
      <c r="I1" s="5" t="s">
        <v>951</v>
      </c>
      <c r="J1" s="5" t="s">
        <v>952</v>
      </c>
      <c r="K1" s="5" t="s">
        <v>953</v>
      </c>
      <c r="L1" s="5" t="s">
        <v>954</v>
      </c>
    </row>
    <row r="2" spans="1:12">
      <c r="A2" s="3" t="s">
        <v>955</v>
      </c>
      <c r="B2" s="3" t="s">
        <v>328</v>
      </c>
      <c r="C2" s="3" t="s">
        <v>956</v>
      </c>
      <c r="D2" s="3" t="s">
        <v>957</v>
      </c>
      <c r="E2" s="3" t="s">
        <v>942</v>
      </c>
      <c r="F2" s="3" t="s">
        <v>42</v>
      </c>
      <c r="G2" s="3" t="str">
        <f>INDEX(Risk_Matrix!$B$2:$D$4,MATCH(E2,Risk_Matrix!$A$2:$A$4,0),MATCH(F2,Risk_Matrix!$B$1:$D$1,0))</f>
        <v>High</v>
      </c>
      <c r="H2" s="10">
        <v>46143</v>
      </c>
      <c r="I2" s="3" t="s">
        <v>958</v>
      </c>
      <c r="J2" s="3" t="s">
        <v>959</v>
      </c>
      <c r="K2" s="3" t="s">
        <v>960</v>
      </c>
      <c r="L2" s="3">
        <f>IF(G2="High",3,IF(G2="Medium",2,1))</f>
        <v>3</v>
      </c>
    </row>
    <row r="3" spans="1:12">
      <c r="A3" s="3" t="s">
        <v>961</v>
      </c>
      <c r="B3" s="3" t="s">
        <v>328</v>
      </c>
      <c r="C3" s="3" t="s">
        <v>962</v>
      </c>
      <c r="D3" s="3" t="s">
        <v>963</v>
      </c>
      <c r="E3" s="3" t="s">
        <v>47</v>
      </c>
      <c r="F3" s="3" t="s">
        <v>47</v>
      </c>
      <c r="G3" s="3" t="str">
        <f>INDEX(Risk_Matrix!$B$2:$D$4,MATCH(E3,Risk_Matrix!$A$2:$A$4,0),MATCH(F3,Risk_Matrix!$B$1:$D$1,0))</f>
        <v>Low</v>
      </c>
      <c r="H3" s="10">
        <v>46127</v>
      </c>
      <c r="I3" s="3" t="s">
        <v>958</v>
      </c>
      <c r="J3" s="3" t="s">
        <v>959</v>
      </c>
      <c r="K3" s="3" t="s">
        <v>960</v>
      </c>
      <c r="L3" s="3">
        <f>IF(G3="High",3,IF(G3="Medium",2,1))</f>
        <v>1</v>
      </c>
    </row>
    <row r="4" spans="1:12">
      <c r="A4" s="3" t="s">
        <v>964</v>
      </c>
      <c r="B4" s="3" t="s">
        <v>328</v>
      </c>
      <c r="C4" s="3" t="s">
        <v>965</v>
      </c>
      <c r="D4" s="3" t="s">
        <v>966</v>
      </c>
      <c r="E4" s="3" t="s">
        <v>47</v>
      </c>
      <c r="F4" s="3" t="s">
        <v>42</v>
      </c>
      <c r="G4" s="3" t="str">
        <f>INDEX(Risk_Matrix!$B$2:$D$4,MATCH(E4,Risk_Matrix!$A$2:$A$4,0),MATCH(F4,Risk_Matrix!$B$1:$D$1,0))</f>
        <v>Medium</v>
      </c>
      <c r="H4" s="10">
        <v>46081</v>
      </c>
      <c r="I4" s="3" t="s">
        <v>967</v>
      </c>
      <c r="J4" s="3" t="s">
        <v>968</v>
      </c>
      <c r="K4" s="3" t="s">
        <v>969</v>
      </c>
      <c r="L4" s="3">
        <f>IF(G4="High",3,IF(G4="Medium",2,1))</f>
        <v>2</v>
      </c>
    </row>
    <row r="5" spans="1:12">
      <c r="A5" s="3" t="s">
        <v>970</v>
      </c>
      <c r="B5" s="3" t="s">
        <v>328</v>
      </c>
      <c r="C5" s="3" t="s">
        <v>971</v>
      </c>
      <c r="D5" s="3" t="s">
        <v>972</v>
      </c>
      <c r="E5" s="3" t="s">
        <v>942</v>
      </c>
      <c r="F5" s="3" t="s">
        <v>942</v>
      </c>
      <c r="G5" s="3" t="str">
        <f>INDEX(Risk_Matrix!$B$2:$D$4,MATCH(E5,Risk_Matrix!$A$2:$A$4,0),MATCH(F5,Risk_Matrix!$B$1:$D$1,0))</f>
        <v>Medium</v>
      </c>
      <c r="H5" s="10">
        <v>46062</v>
      </c>
      <c r="I5" s="3" t="s">
        <v>973</v>
      </c>
      <c r="J5" s="3" t="s">
        <v>974</v>
      </c>
      <c r="K5" s="3" t="s">
        <v>969</v>
      </c>
      <c r="L5" s="3">
        <f>IF(G5="High",3,IF(G5="Medium",2,1))</f>
        <v>2</v>
      </c>
    </row>
    <row r="6" spans="1:12">
      <c r="A6" s="3" t="s">
        <v>975</v>
      </c>
      <c r="B6" s="3" t="s">
        <v>328</v>
      </c>
      <c r="C6" s="3" t="s">
        <v>976</v>
      </c>
      <c r="D6" s="3" t="s">
        <v>977</v>
      </c>
      <c r="E6" s="3" t="s">
        <v>47</v>
      </c>
      <c r="F6" s="3" t="s">
        <v>47</v>
      </c>
      <c r="G6" s="3" t="str">
        <f>INDEX(Risk_Matrix!$B$2:$D$4,MATCH(E6,Risk_Matrix!$A$2:$A$4,0),MATCH(F6,Risk_Matrix!$B$1:$D$1,0))</f>
        <v>Low</v>
      </c>
      <c r="H6" s="10">
        <v>46092</v>
      </c>
      <c r="I6" s="3" t="s">
        <v>967</v>
      </c>
      <c r="J6" s="3" t="s">
        <v>968</v>
      </c>
      <c r="K6" s="3" t="s">
        <v>960</v>
      </c>
      <c r="L6" s="3">
        <f>IF(G6="High",3,IF(G6="Medium",2,1))</f>
        <v>1</v>
      </c>
    </row>
    <row r="7" spans="1:12">
      <c r="A7" s="3" t="s">
        <v>978</v>
      </c>
      <c r="B7" s="3" t="s">
        <v>328</v>
      </c>
      <c r="C7" s="3" t="s">
        <v>979</v>
      </c>
      <c r="D7" s="3" t="s">
        <v>980</v>
      </c>
      <c r="E7" s="3" t="s">
        <v>47</v>
      </c>
      <c r="F7" s="3" t="s">
        <v>942</v>
      </c>
      <c r="G7" s="3" t="str">
        <f>INDEX(Risk_Matrix!$B$2:$D$4,MATCH(E7,Risk_Matrix!$A$2:$A$4,0),MATCH(F7,Risk_Matrix!$B$1:$D$1,0))</f>
        <v>Low</v>
      </c>
      <c r="H7" s="10">
        <v>46082</v>
      </c>
      <c r="I7" s="3" t="s">
        <v>981</v>
      </c>
      <c r="J7" s="3" t="s">
        <v>982</v>
      </c>
      <c r="K7" s="3" t="s">
        <v>983</v>
      </c>
      <c r="L7" s="3">
        <f>IF(G7="High",3,IF(G7="Medium",2,1))</f>
        <v>1</v>
      </c>
    </row>
    <row r="8" spans="1:12">
      <c r="A8" s="3" t="s">
        <v>984</v>
      </c>
      <c r="B8" s="3" t="s">
        <v>334</v>
      </c>
      <c r="C8" s="3" t="s">
        <v>956</v>
      </c>
      <c r="D8" s="3" t="s">
        <v>957</v>
      </c>
      <c r="E8" s="3" t="s">
        <v>42</v>
      </c>
      <c r="F8" s="3" t="s">
        <v>47</v>
      </c>
      <c r="G8" s="3" t="str">
        <f>INDEX(Risk_Matrix!$B$2:$D$4,MATCH(E8,Risk_Matrix!$A$2:$A$4,0),MATCH(F8,Risk_Matrix!$B$1:$D$1,0))</f>
        <v>Medium</v>
      </c>
      <c r="H8" s="10">
        <v>46178</v>
      </c>
      <c r="I8" s="3" t="s">
        <v>967</v>
      </c>
      <c r="J8" s="3" t="s">
        <v>968</v>
      </c>
      <c r="K8" s="3" t="s">
        <v>969</v>
      </c>
      <c r="L8" s="3">
        <f>IF(G8="High",3,IF(G8="Medium",2,1))</f>
        <v>2</v>
      </c>
    </row>
    <row r="9" spans="1:12">
      <c r="A9" s="3" t="s">
        <v>985</v>
      </c>
      <c r="B9" s="3" t="s">
        <v>334</v>
      </c>
      <c r="C9" s="3" t="s">
        <v>962</v>
      </c>
      <c r="D9" s="3" t="s">
        <v>986</v>
      </c>
      <c r="E9" s="3" t="s">
        <v>47</v>
      </c>
      <c r="F9" s="3" t="s">
        <v>42</v>
      </c>
      <c r="G9" s="3" t="str">
        <f>INDEX(Risk_Matrix!$B$2:$D$4,MATCH(E9,Risk_Matrix!$A$2:$A$4,0),MATCH(F9,Risk_Matrix!$B$1:$D$1,0))</f>
        <v>Medium</v>
      </c>
      <c r="H9" s="10">
        <v>46067</v>
      </c>
      <c r="I9" s="3" t="s">
        <v>973</v>
      </c>
      <c r="J9" s="3" t="s">
        <v>974</v>
      </c>
      <c r="K9" s="3" t="s">
        <v>969</v>
      </c>
      <c r="L9" s="3">
        <f>IF(G9="High",3,IF(G9="Medium",2,1))</f>
        <v>2</v>
      </c>
    </row>
    <row r="10" spans="1:12">
      <c r="A10" s="3" t="s">
        <v>987</v>
      </c>
      <c r="B10" s="3" t="s">
        <v>334</v>
      </c>
      <c r="C10" s="3" t="s">
        <v>965</v>
      </c>
      <c r="D10" s="3" t="s">
        <v>988</v>
      </c>
      <c r="E10" s="3" t="s">
        <v>47</v>
      </c>
      <c r="F10" s="3" t="s">
        <v>47</v>
      </c>
      <c r="G10" s="3" t="str">
        <f>INDEX(Risk_Matrix!$B$2:$D$4,MATCH(E10,Risk_Matrix!$A$2:$A$4,0),MATCH(F10,Risk_Matrix!$B$1:$D$1,0))</f>
        <v>Low</v>
      </c>
      <c r="H10" s="10">
        <v>46149</v>
      </c>
      <c r="I10" s="3" t="s">
        <v>967</v>
      </c>
      <c r="J10" s="3" t="s">
        <v>968</v>
      </c>
      <c r="K10" s="3" t="s">
        <v>969</v>
      </c>
      <c r="L10" s="3">
        <f>IF(G10="High",3,IF(G10="Medium",2,1))</f>
        <v>1</v>
      </c>
    </row>
    <row r="11" spans="1:12">
      <c r="A11" s="3" t="s">
        <v>989</v>
      </c>
      <c r="B11" s="3" t="s">
        <v>334</v>
      </c>
      <c r="C11" s="3" t="s">
        <v>971</v>
      </c>
      <c r="D11" s="3" t="s">
        <v>972</v>
      </c>
      <c r="E11" s="3" t="s">
        <v>942</v>
      </c>
      <c r="F11" s="3" t="s">
        <v>47</v>
      </c>
      <c r="G11" s="3" t="str">
        <f>INDEX(Risk_Matrix!$B$2:$D$4,MATCH(E11,Risk_Matrix!$A$2:$A$4,0),MATCH(F11,Risk_Matrix!$B$1:$D$1,0))</f>
        <v>Low</v>
      </c>
      <c r="H11" s="10">
        <v>46131</v>
      </c>
      <c r="I11" s="3" t="s">
        <v>967</v>
      </c>
      <c r="J11" s="3" t="s">
        <v>968</v>
      </c>
      <c r="K11" s="3" t="s">
        <v>983</v>
      </c>
      <c r="L11" s="3">
        <f>IF(G11="High",3,IF(G11="Medium",2,1))</f>
        <v>1</v>
      </c>
    </row>
    <row r="12" spans="1:12">
      <c r="A12" s="3" t="s">
        <v>990</v>
      </c>
      <c r="B12" s="3" t="s">
        <v>334</v>
      </c>
      <c r="C12" s="3" t="s">
        <v>976</v>
      </c>
      <c r="D12" s="3" t="s">
        <v>991</v>
      </c>
      <c r="E12" s="3" t="s">
        <v>47</v>
      </c>
      <c r="F12" s="3" t="s">
        <v>47</v>
      </c>
      <c r="G12" s="3" t="str">
        <f>INDEX(Risk_Matrix!$B$2:$D$4,MATCH(E12,Risk_Matrix!$A$2:$A$4,0),MATCH(F12,Risk_Matrix!$B$1:$D$1,0))</f>
        <v>Low</v>
      </c>
      <c r="H12" s="10">
        <v>46213</v>
      </c>
      <c r="I12" s="3" t="s">
        <v>967</v>
      </c>
      <c r="J12" s="3" t="s">
        <v>968</v>
      </c>
      <c r="K12" s="3" t="s">
        <v>960</v>
      </c>
      <c r="L12" s="3">
        <f>IF(G12="High",3,IF(G12="Medium",2,1))</f>
        <v>1</v>
      </c>
    </row>
    <row r="13" spans="1:12">
      <c r="A13" s="3" t="s">
        <v>992</v>
      </c>
      <c r="B13" s="3" t="s">
        <v>334</v>
      </c>
      <c r="C13" s="3" t="s">
        <v>979</v>
      </c>
      <c r="D13" s="3" t="s">
        <v>980</v>
      </c>
      <c r="E13" s="3" t="s">
        <v>942</v>
      </c>
      <c r="F13" s="3" t="s">
        <v>942</v>
      </c>
      <c r="G13" s="3" t="str">
        <f>INDEX(Risk_Matrix!$B$2:$D$4,MATCH(E13,Risk_Matrix!$A$2:$A$4,0),MATCH(F13,Risk_Matrix!$B$1:$D$1,0))</f>
        <v>Medium</v>
      </c>
      <c r="H13" s="10">
        <v>46220</v>
      </c>
      <c r="I13" s="3" t="s">
        <v>973</v>
      </c>
      <c r="J13" s="3" t="s">
        <v>974</v>
      </c>
      <c r="K13" s="3" t="s">
        <v>993</v>
      </c>
      <c r="L13" s="3">
        <f>IF(G13="High",3,IF(G13="Medium",2,1))</f>
        <v>2</v>
      </c>
    </row>
    <row r="14" spans="1:12">
      <c r="A14" s="3" t="s">
        <v>994</v>
      </c>
      <c r="B14" s="3" t="s">
        <v>337</v>
      </c>
      <c r="C14" s="3" t="s">
        <v>956</v>
      </c>
      <c r="D14" s="3" t="s">
        <v>995</v>
      </c>
      <c r="E14" s="3" t="s">
        <v>47</v>
      </c>
      <c r="F14" s="3" t="s">
        <v>47</v>
      </c>
      <c r="G14" s="3" t="str">
        <f>INDEX(Risk_Matrix!$B$2:$D$4,MATCH(E14,Risk_Matrix!$A$2:$A$4,0),MATCH(F14,Risk_Matrix!$B$1:$D$1,0))</f>
        <v>Low</v>
      </c>
      <c r="H14" s="10">
        <v>46151</v>
      </c>
      <c r="I14" s="3" t="s">
        <v>973</v>
      </c>
      <c r="J14" s="3" t="s">
        <v>974</v>
      </c>
      <c r="K14" s="3" t="s">
        <v>983</v>
      </c>
      <c r="L14" s="3">
        <f>IF(G14="High",3,IF(G14="Medium",2,1))</f>
        <v>1</v>
      </c>
    </row>
    <row r="15" spans="1:12">
      <c r="A15" s="3" t="s">
        <v>996</v>
      </c>
      <c r="B15" s="3" t="s">
        <v>337</v>
      </c>
      <c r="C15" s="3" t="s">
        <v>962</v>
      </c>
      <c r="D15" s="3" t="s">
        <v>997</v>
      </c>
      <c r="E15" s="3" t="s">
        <v>47</v>
      </c>
      <c r="F15" s="3" t="s">
        <v>47</v>
      </c>
      <c r="G15" s="3" t="str">
        <f>INDEX(Risk_Matrix!$B$2:$D$4,MATCH(E15,Risk_Matrix!$A$2:$A$4,0),MATCH(F15,Risk_Matrix!$B$1:$D$1,0))</f>
        <v>Low</v>
      </c>
      <c r="H15" s="10">
        <v>46215</v>
      </c>
      <c r="I15" s="3" t="s">
        <v>981</v>
      </c>
      <c r="J15" s="3" t="s">
        <v>982</v>
      </c>
      <c r="K15" s="3" t="s">
        <v>969</v>
      </c>
      <c r="L15" s="3">
        <f>IF(G15="High",3,IF(G15="Medium",2,1))</f>
        <v>1</v>
      </c>
    </row>
    <row r="16" spans="1:12">
      <c r="A16" s="3" t="s">
        <v>998</v>
      </c>
      <c r="B16" s="3" t="s">
        <v>337</v>
      </c>
      <c r="C16" s="3" t="s">
        <v>965</v>
      </c>
      <c r="D16" s="3" t="s">
        <v>988</v>
      </c>
      <c r="E16" s="3" t="s">
        <v>942</v>
      </c>
      <c r="F16" s="3" t="s">
        <v>47</v>
      </c>
      <c r="G16" s="3" t="str">
        <f>INDEX(Risk_Matrix!$B$2:$D$4,MATCH(E16,Risk_Matrix!$A$2:$A$4,0),MATCH(F16,Risk_Matrix!$B$1:$D$1,0))</f>
        <v>Low</v>
      </c>
      <c r="H16" s="10">
        <v>46083</v>
      </c>
      <c r="I16" s="3" t="s">
        <v>967</v>
      </c>
      <c r="J16" s="3" t="s">
        <v>968</v>
      </c>
      <c r="K16" s="3" t="s">
        <v>960</v>
      </c>
      <c r="L16" s="3">
        <f>IF(G16="High",3,IF(G16="Medium",2,1))</f>
        <v>1</v>
      </c>
    </row>
    <row r="17" spans="1:12">
      <c r="A17" s="3" t="s">
        <v>999</v>
      </c>
      <c r="B17" s="3" t="s">
        <v>337</v>
      </c>
      <c r="C17" s="3" t="s">
        <v>971</v>
      </c>
      <c r="D17" s="3" t="s">
        <v>972</v>
      </c>
      <c r="E17" s="3" t="s">
        <v>47</v>
      </c>
      <c r="F17" s="3" t="s">
        <v>47</v>
      </c>
      <c r="G17" s="3" t="str">
        <f>INDEX(Risk_Matrix!$B$2:$D$4,MATCH(E17,Risk_Matrix!$A$2:$A$4,0),MATCH(F17,Risk_Matrix!$B$1:$D$1,0))</f>
        <v>Low</v>
      </c>
      <c r="H17" s="10">
        <v>46134</v>
      </c>
      <c r="I17" s="3" t="s">
        <v>958</v>
      </c>
      <c r="J17" s="3" t="s">
        <v>959</v>
      </c>
      <c r="K17" s="3" t="s">
        <v>1000</v>
      </c>
      <c r="L17" s="3">
        <f>IF(G17="High",3,IF(G17="Medium",2,1))</f>
        <v>1</v>
      </c>
    </row>
    <row r="18" spans="1:12">
      <c r="A18" s="3" t="s">
        <v>1001</v>
      </c>
      <c r="B18" s="3" t="s">
        <v>337</v>
      </c>
      <c r="C18" s="3" t="s">
        <v>976</v>
      </c>
      <c r="D18" s="3" t="s">
        <v>1002</v>
      </c>
      <c r="E18" s="3" t="s">
        <v>42</v>
      </c>
      <c r="F18" s="3" t="s">
        <v>942</v>
      </c>
      <c r="G18" s="3" t="str">
        <f>INDEX(Risk_Matrix!$B$2:$D$4,MATCH(E18,Risk_Matrix!$A$2:$A$4,0),MATCH(F18,Risk_Matrix!$B$1:$D$1,0))</f>
        <v>High</v>
      </c>
      <c r="H18" s="10">
        <v>46162</v>
      </c>
      <c r="I18" s="3" t="s">
        <v>967</v>
      </c>
      <c r="J18" s="3" t="s">
        <v>968</v>
      </c>
      <c r="K18" s="3" t="s">
        <v>983</v>
      </c>
      <c r="L18" s="3">
        <f>IF(G18="High",3,IF(G18="Medium",2,1))</f>
        <v>3</v>
      </c>
    </row>
    <row r="19" spans="1:12">
      <c r="A19" s="3" t="s">
        <v>1003</v>
      </c>
      <c r="B19" s="3" t="s">
        <v>337</v>
      </c>
      <c r="C19" s="3" t="s">
        <v>979</v>
      </c>
      <c r="D19" s="3" t="s">
        <v>1004</v>
      </c>
      <c r="E19" s="3" t="s">
        <v>47</v>
      </c>
      <c r="F19" s="3" t="s">
        <v>942</v>
      </c>
      <c r="G19" s="3" t="str">
        <f>INDEX(Risk_Matrix!$B$2:$D$4,MATCH(E19,Risk_Matrix!$A$2:$A$4,0),MATCH(F19,Risk_Matrix!$B$1:$D$1,0))</f>
        <v>Low</v>
      </c>
      <c r="H19" s="10">
        <v>46199</v>
      </c>
      <c r="I19" s="3" t="s">
        <v>981</v>
      </c>
      <c r="J19" s="3" t="s">
        <v>982</v>
      </c>
      <c r="K19" s="3" t="s">
        <v>993</v>
      </c>
      <c r="L19" s="3">
        <f>IF(G19="High",3,IF(G19="Medium",2,1))</f>
        <v>1</v>
      </c>
    </row>
    <row r="20" spans="1:12">
      <c r="A20" s="3" t="s">
        <v>1005</v>
      </c>
      <c r="B20" s="3" t="s">
        <v>342</v>
      </c>
      <c r="C20" s="3" t="s">
        <v>956</v>
      </c>
      <c r="D20" s="3" t="s">
        <v>995</v>
      </c>
      <c r="E20" s="3" t="s">
        <v>47</v>
      </c>
      <c r="F20" s="3" t="s">
        <v>47</v>
      </c>
      <c r="G20" s="3" t="str">
        <f>INDEX(Risk_Matrix!$B$2:$D$4,MATCH(E20,Risk_Matrix!$A$2:$A$4,0),MATCH(F20,Risk_Matrix!$B$1:$D$1,0))</f>
        <v>Low</v>
      </c>
      <c r="H20" s="10">
        <v>46078</v>
      </c>
      <c r="I20" s="3" t="s">
        <v>981</v>
      </c>
      <c r="J20" s="3" t="s">
        <v>982</v>
      </c>
      <c r="K20" s="3" t="s">
        <v>1000</v>
      </c>
      <c r="L20" s="3">
        <f>IF(G20="High",3,IF(G20="Medium",2,1))</f>
        <v>1</v>
      </c>
    </row>
    <row r="21" spans="1:12">
      <c r="A21" s="3" t="s">
        <v>1006</v>
      </c>
      <c r="B21" s="3" t="s">
        <v>342</v>
      </c>
      <c r="C21" s="3" t="s">
        <v>962</v>
      </c>
      <c r="D21" s="3" t="s">
        <v>997</v>
      </c>
      <c r="E21" s="3" t="s">
        <v>47</v>
      </c>
      <c r="F21" s="3" t="s">
        <v>47</v>
      </c>
      <c r="G21" s="3" t="str">
        <f>INDEX(Risk_Matrix!$B$2:$D$4,MATCH(E21,Risk_Matrix!$A$2:$A$4,0),MATCH(F21,Risk_Matrix!$B$1:$D$1,0))</f>
        <v>Low</v>
      </c>
      <c r="H21" s="10">
        <v>46164</v>
      </c>
      <c r="I21" s="3" t="s">
        <v>973</v>
      </c>
      <c r="J21" s="3" t="s">
        <v>974</v>
      </c>
      <c r="K21" s="3" t="s">
        <v>993</v>
      </c>
      <c r="L21" s="3">
        <f>IF(G21="High",3,IF(G21="Medium",2,1))</f>
        <v>1</v>
      </c>
    </row>
    <row r="22" spans="1:12">
      <c r="A22" s="3" t="s">
        <v>1007</v>
      </c>
      <c r="B22" s="3" t="s">
        <v>342</v>
      </c>
      <c r="C22" s="3" t="s">
        <v>965</v>
      </c>
      <c r="D22" s="3" t="s">
        <v>988</v>
      </c>
      <c r="E22" s="3" t="s">
        <v>942</v>
      </c>
      <c r="F22" s="3" t="s">
        <v>47</v>
      </c>
      <c r="G22" s="3" t="str">
        <f>INDEX(Risk_Matrix!$B$2:$D$4,MATCH(E22,Risk_Matrix!$A$2:$A$4,0),MATCH(F22,Risk_Matrix!$B$1:$D$1,0))</f>
        <v>Low</v>
      </c>
      <c r="H22" s="10">
        <v>46113</v>
      </c>
      <c r="I22" s="3" t="s">
        <v>973</v>
      </c>
      <c r="J22" s="3" t="s">
        <v>974</v>
      </c>
      <c r="K22" s="3" t="s">
        <v>969</v>
      </c>
      <c r="L22" s="3">
        <f>IF(G22="High",3,IF(G22="Medium",2,1))</f>
        <v>1</v>
      </c>
    </row>
    <row r="23" spans="1:12">
      <c r="A23" s="3" t="s">
        <v>1008</v>
      </c>
      <c r="B23" s="3" t="s">
        <v>342</v>
      </c>
      <c r="C23" s="3" t="s">
        <v>971</v>
      </c>
      <c r="D23" s="3" t="s">
        <v>972</v>
      </c>
      <c r="E23" s="3" t="s">
        <v>942</v>
      </c>
      <c r="F23" s="3" t="s">
        <v>47</v>
      </c>
      <c r="G23" s="3" t="str">
        <f>INDEX(Risk_Matrix!$B$2:$D$4,MATCH(E23,Risk_Matrix!$A$2:$A$4,0),MATCH(F23,Risk_Matrix!$B$1:$D$1,0))</f>
        <v>Low</v>
      </c>
      <c r="H23" s="10">
        <v>46141</v>
      </c>
      <c r="I23" s="3" t="s">
        <v>973</v>
      </c>
      <c r="J23" s="3" t="s">
        <v>974</v>
      </c>
      <c r="K23" s="3" t="s">
        <v>969</v>
      </c>
      <c r="L23" s="3">
        <f>IF(G23="High",3,IF(G23="Medium",2,1))</f>
        <v>1</v>
      </c>
    </row>
    <row r="24" spans="1:12">
      <c r="A24" s="3" t="s">
        <v>1009</v>
      </c>
      <c r="B24" s="3" t="s">
        <v>342</v>
      </c>
      <c r="C24" s="3" t="s">
        <v>976</v>
      </c>
      <c r="D24" s="3" t="s">
        <v>977</v>
      </c>
      <c r="E24" s="3" t="s">
        <v>47</v>
      </c>
      <c r="F24" s="3" t="s">
        <v>47</v>
      </c>
      <c r="G24" s="3" t="str">
        <f>INDEX(Risk_Matrix!$B$2:$D$4,MATCH(E24,Risk_Matrix!$A$2:$A$4,0),MATCH(F24,Risk_Matrix!$B$1:$D$1,0))</f>
        <v>Low</v>
      </c>
      <c r="H24" s="10">
        <v>46181</v>
      </c>
      <c r="I24" s="3" t="s">
        <v>967</v>
      </c>
      <c r="J24" s="3" t="s">
        <v>968</v>
      </c>
      <c r="K24" s="3" t="s">
        <v>969</v>
      </c>
      <c r="L24" s="3">
        <f>IF(G24="High",3,IF(G24="Medium",2,1))</f>
        <v>1</v>
      </c>
    </row>
    <row r="25" spans="1:12">
      <c r="A25" s="3" t="s">
        <v>1010</v>
      </c>
      <c r="B25" s="3" t="s">
        <v>342</v>
      </c>
      <c r="C25" s="3" t="s">
        <v>979</v>
      </c>
      <c r="D25" s="3" t="s">
        <v>980</v>
      </c>
      <c r="E25" s="3" t="s">
        <v>47</v>
      </c>
      <c r="F25" s="3" t="s">
        <v>942</v>
      </c>
      <c r="G25" s="3" t="str">
        <f>INDEX(Risk_Matrix!$B$2:$D$4,MATCH(E25,Risk_Matrix!$A$2:$A$4,0),MATCH(F25,Risk_Matrix!$B$1:$D$1,0))</f>
        <v>Low</v>
      </c>
      <c r="H25" s="10">
        <v>46217</v>
      </c>
      <c r="I25" s="3" t="s">
        <v>967</v>
      </c>
      <c r="J25" s="3" t="s">
        <v>968</v>
      </c>
      <c r="K25" s="3" t="s">
        <v>969</v>
      </c>
      <c r="L25" s="3">
        <f>IF(G25="High",3,IF(G25="Medium",2,1))</f>
        <v>1</v>
      </c>
    </row>
    <row r="26" spans="1:12">
      <c r="A26" s="3" t="s">
        <v>1011</v>
      </c>
      <c r="B26" s="3" t="s">
        <v>347</v>
      </c>
      <c r="C26" s="3" t="s">
        <v>956</v>
      </c>
      <c r="D26" s="3" t="s">
        <v>1012</v>
      </c>
      <c r="E26" s="3" t="s">
        <v>42</v>
      </c>
      <c r="F26" s="3" t="s">
        <v>942</v>
      </c>
      <c r="G26" s="3" t="str">
        <f>INDEX(Risk_Matrix!$B$2:$D$4,MATCH(E26,Risk_Matrix!$A$2:$A$4,0),MATCH(F26,Risk_Matrix!$B$1:$D$1,0))</f>
        <v>High</v>
      </c>
      <c r="H26" s="10">
        <v>46139</v>
      </c>
      <c r="I26" s="3" t="s">
        <v>967</v>
      </c>
      <c r="J26" s="3" t="s">
        <v>968</v>
      </c>
      <c r="K26" s="3" t="s">
        <v>1000</v>
      </c>
      <c r="L26" s="3">
        <f>IF(G26="High",3,IF(G26="Medium",2,1))</f>
        <v>3</v>
      </c>
    </row>
    <row r="27" spans="1:12">
      <c r="A27" s="3" t="s">
        <v>1013</v>
      </c>
      <c r="B27" s="3" t="s">
        <v>347</v>
      </c>
      <c r="C27" s="3" t="s">
        <v>962</v>
      </c>
      <c r="D27" s="3" t="s">
        <v>997</v>
      </c>
      <c r="E27" s="3" t="s">
        <v>42</v>
      </c>
      <c r="F27" s="3" t="s">
        <v>942</v>
      </c>
      <c r="G27" s="3" t="str">
        <f>INDEX(Risk_Matrix!$B$2:$D$4,MATCH(E27,Risk_Matrix!$A$2:$A$4,0),MATCH(F27,Risk_Matrix!$B$1:$D$1,0))</f>
        <v>High</v>
      </c>
      <c r="H27" s="10">
        <v>46092</v>
      </c>
      <c r="I27" s="3" t="s">
        <v>981</v>
      </c>
      <c r="J27" s="3" t="s">
        <v>982</v>
      </c>
      <c r="K27" s="3" t="s">
        <v>983</v>
      </c>
      <c r="L27" s="3">
        <f>IF(G27="High",3,IF(G27="Medium",2,1))</f>
        <v>3</v>
      </c>
    </row>
    <row r="28" spans="1:12">
      <c r="A28" s="3" t="s">
        <v>1014</v>
      </c>
      <c r="B28" s="3" t="s">
        <v>347</v>
      </c>
      <c r="C28" s="3" t="s">
        <v>965</v>
      </c>
      <c r="D28" s="3" t="s">
        <v>988</v>
      </c>
      <c r="E28" s="3" t="s">
        <v>47</v>
      </c>
      <c r="F28" s="3" t="s">
        <v>47</v>
      </c>
      <c r="G28" s="3" t="str">
        <f>INDEX(Risk_Matrix!$B$2:$D$4,MATCH(E28,Risk_Matrix!$A$2:$A$4,0),MATCH(F28,Risk_Matrix!$B$1:$D$1,0))</f>
        <v>Low</v>
      </c>
      <c r="H28" s="10">
        <v>46230</v>
      </c>
      <c r="I28" s="3" t="s">
        <v>981</v>
      </c>
      <c r="J28" s="3" t="s">
        <v>982</v>
      </c>
      <c r="K28" s="3" t="s">
        <v>1000</v>
      </c>
      <c r="L28" s="3">
        <f>IF(G28="High",3,IF(G28="Medium",2,1))</f>
        <v>1</v>
      </c>
    </row>
    <row r="29" spans="1:12">
      <c r="A29" s="3" t="s">
        <v>1015</v>
      </c>
      <c r="B29" s="3" t="s">
        <v>347</v>
      </c>
      <c r="C29" s="3" t="s">
        <v>971</v>
      </c>
      <c r="D29" s="3" t="s">
        <v>1016</v>
      </c>
      <c r="E29" s="3" t="s">
        <v>42</v>
      </c>
      <c r="F29" s="3" t="s">
        <v>942</v>
      </c>
      <c r="G29" s="3" t="str">
        <f>INDEX(Risk_Matrix!$B$2:$D$4,MATCH(E29,Risk_Matrix!$A$2:$A$4,0),MATCH(F29,Risk_Matrix!$B$1:$D$1,0))</f>
        <v>High</v>
      </c>
      <c r="H29" s="10">
        <v>46080</v>
      </c>
      <c r="I29" s="3" t="s">
        <v>967</v>
      </c>
      <c r="J29" s="3" t="s">
        <v>968</v>
      </c>
      <c r="K29" s="3" t="s">
        <v>983</v>
      </c>
      <c r="L29" s="3">
        <f>IF(G29="High",3,IF(G29="Medium",2,1))</f>
        <v>3</v>
      </c>
    </row>
    <row r="30" spans="1:12">
      <c r="A30" s="3" t="s">
        <v>1017</v>
      </c>
      <c r="B30" s="3" t="s">
        <v>347</v>
      </c>
      <c r="C30" s="3" t="s">
        <v>976</v>
      </c>
      <c r="D30" s="3" t="s">
        <v>977</v>
      </c>
      <c r="E30" s="3" t="s">
        <v>42</v>
      </c>
      <c r="F30" s="3" t="s">
        <v>47</v>
      </c>
      <c r="G30" s="3" t="str">
        <f>INDEX(Risk_Matrix!$B$2:$D$4,MATCH(E30,Risk_Matrix!$A$2:$A$4,0),MATCH(F30,Risk_Matrix!$B$1:$D$1,0))</f>
        <v>Medium</v>
      </c>
      <c r="H30" s="10">
        <v>46196</v>
      </c>
      <c r="I30" s="3" t="s">
        <v>981</v>
      </c>
      <c r="J30" s="3" t="s">
        <v>982</v>
      </c>
      <c r="K30" s="3" t="s">
        <v>983</v>
      </c>
      <c r="L30" s="3">
        <f>IF(G30="High",3,IF(G30="Medium",2,1))</f>
        <v>2</v>
      </c>
    </row>
    <row r="31" spans="1:12">
      <c r="A31" s="3" t="s">
        <v>1018</v>
      </c>
      <c r="B31" s="3" t="s">
        <v>347</v>
      </c>
      <c r="C31" s="3" t="s">
        <v>979</v>
      </c>
      <c r="D31" s="3" t="s">
        <v>1004</v>
      </c>
      <c r="E31" s="3" t="s">
        <v>47</v>
      </c>
      <c r="F31" s="3" t="s">
        <v>47</v>
      </c>
      <c r="G31" s="3" t="str">
        <f>INDEX(Risk_Matrix!$B$2:$D$4,MATCH(E31,Risk_Matrix!$A$2:$A$4,0),MATCH(F31,Risk_Matrix!$B$1:$D$1,0))</f>
        <v>Low</v>
      </c>
      <c r="H31" s="10">
        <v>46127</v>
      </c>
      <c r="I31" s="3" t="s">
        <v>958</v>
      </c>
      <c r="J31" s="3" t="s">
        <v>959</v>
      </c>
      <c r="K31" s="3" t="s">
        <v>983</v>
      </c>
      <c r="L31" s="3">
        <f>IF(G31="High",3,IF(G31="Medium",2,1))</f>
        <v>1</v>
      </c>
    </row>
    <row r="32" spans="1:12">
      <c r="A32" s="3" t="s">
        <v>1019</v>
      </c>
      <c r="B32" s="3" t="s">
        <v>350</v>
      </c>
      <c r="C32" s="3" t="s">
        <v>956</v>
      </c>
      <c r="D32" s="3" t="s">
        <v>1020</v>
      </c>
      <c r="E32" s="3" t="s">
        <v>942</v>
      </c>
      <c r="F32" s="3" t="s">
        <v>47</v>
      </c>
      <c r="G32" s="3" t="str">
        <f>INDEX(Risk_Matrix!$B$2:$D$4,MATCH(E32,Risk_Matrix!$A$2:$A$4,0),MATCH(F32,Risk_Matrix!$B$1:$D$1,0))</f>
        <v>Low</v>
      </c>
      <c r="H32" s="10">
        <v>46221</v>
      </c>
      <c r="I32" s="3" t="s">
        <v>981</v>
      </c>
      <c r="J32" s="3" t="s">
        <v>982</v>
      </c>
      <c r="K32" s="3" t="s">
        <v>993</v>
      </c>
      <c r="L32" s="3">
        <f>IF(G32="High",3,IF(G32="Medium",2,1))</f>
        <v>1</v>
      </c>
    </row>
    <row r="33" spans="1:12">
      <c r="A33" s="3" t="s">
        <v>1021</v>
      </c>
      <c r="B33" s="3" t="s">
        <v>350</v>
      </c>
      <c r="C33" s="3" t="s">
        <v>962</v>
      </c>
      <c r="D33" s="3" t="s">
        <v>997</v>
      </c>
      <c r="E33" s="3" t="s">
        <v>942</v>
      </c>
      <c r="F33" s="3" t="s">
        <v>942</v>
      </c>
      <c r="G33" s="3" t="str">
        <f>INDEX(Risk_Matrix!$B$2:$D$4,MATCH(E33,Risk_Matrix!$A$2:$A$4,0),MATCH(F33,Risk_Matrix!$B$1:$D$1,0))</f>
        <v>Medium</v>
      </c>
      <c r="H33" s="10">
        <v>46105</v>
      </c>
      <c r="I33" s="3" t="s">
        <v>981</v>
      </c>
      <c r="J33" s="3" t="s">
        <v>982</v>
      </c>
      <c r="K33" s="3" t="s">
        <v>960</v>
      </c>
      <c r="L33" s="3">
        <f>IF(G33="High",3,IF(G33="Medium",2,1))</f>
        <v>2</v>
      </c>
    </row>
    <row r="34" spans="1:12">
      <c r="A34" s="3" t="s">
        <v>1022</v>
      </c>
      <c r="B34" s="3" t="s">
        <v>350</v>
      </c>
      <c r="C34" s="3" t="s">
        <v>965</v>
      </c>
      <c r="D34" s="3" t="s">
        <v>1023</v>
      </c>
      <c r="E34" s="3" t="s">
        <v>942</v>
      </c>
      <c r="F34" s="3" t="s">
        <v>942</v>
      </c>
      <c r="G34" s="3" t="str">
        <f>INDEX(Risk_Matrix!$B$2:$D$4,MATCH(E34,Risk_Matrix!$A$2:$A$4,0),MATCH(F34,Risk_Matrix!$B$1:$D$1,0))</f>
        <v>Medium</v>
      </c>
      <c r="H34" s="10">
        <v>46131</v>
      </c>
      <c r="I34" s="3" t="s">
        <v>967</v>
      </c>
      <c r="J34" s="3" t="s">
        <v>968</v>
      </c>
      <c r="K34" s="3" t="s">
        <v>993</v>
      </c>
      <c r="L34" s="3">
        <f>IF(G34="High",3,IF(G34="Medium",2,1))</f>
        <v>2</v>
      </c>
    </row>
    <row r="35" spans="1:12">
      <c r="A35" s="3" t="s">
        <v>1024</v>
      </c>
      <c r="B35" s="3" t="s">
        <v>350</v>
      </c>
      <c r="C35" s="3" t="s">
        <v>971</v>
      </c>
      <c r="D35" s="3" t="s">
        <v>1025</v>
      </c>
      <c r="E35" s="3" t="s">
        <v>47</v>
      </c>
      <c r="F35" s="3" t="s">
        <v>942</v>
      </c>
      <c r="G35" s="3" t="str">
        <f>INDEX(Risk_Matrix!$B$2:$D$4,MATCH(E35,Risk_Matrix!$A$2:$A$4,0),MATCH(F35,Risk_Matrix!$B$1:$D$1,0))</f>
        <v>Low</v>
      </c>
      <c r="H35" s="10">
        <v>46213</v>
      </c>
      <c r="I35" s="3" t="s">
        <v>967</v>
      </c>
      <c r="J35" s="3" t="s">
        <v>968</v>
      </c>
      <c r="K35" s="3" t="s">
        <v>993</v>
      </c>
      <c r="L35" s="3">
        <f>IF(G35="High",3,IF(G35="Medium",2,1))</f>
        <v>1</v>
      </c>
    </row>
    <row r="36" spans="1:12">
      <c r="A36" s="3" t="s">
        <v>1026</v>
      </c>
      <c r="B36" s="3" t="s">
        <v>350</v>
      </c>
      <c r="C36" s="3" t="s">
        <v>976</v>
      </c>
      <c r="D36" s="3" t="s">
        <v>1002</v>
      </c>
      <c r="E36" s="3" t="s">
        <v>942</v>
      </c>
      <c r="F36" s="3" t="s">
        <v>942</v>
      </c>
      <c r="G36" s="3" t="str">
        <f>INDEX(Risk_Matrix!$B$2:$D$4,MATCH(E36,Risk_Matrix!$A$2:$A$4,0),MATCH(F36,Risk_Matrix!$B$1:$D$1,0))</f>
        <v>Medium</v>
      </c>
      <c r="H36" s="10">
        <v>46150</v>
      </c>
      <c r="I36" s="3" t="s">
        <v>981</v>
      </c>
      <c r="J36" s="3" t="s">
        <v>982</v>
      </c>
      <c r="K36" s="3" t="s">
        <v>960</v>
      </c>
      <c r="L36" s="3">
        <f>IF(G36="High",3,IF(G36="Medium",2,1))</f>
        <v>2</v>
      </c>
    </row>
    <row r="37" spans="1:12">
      <c r="A37" s="3" t="s">
        <v>1027</v>
      </c>
      <c r="B37" s="3" t="s">
        <v>350</v>
      </c>
      <c r="C37" s="3" t="s">
        <v>979</v>
      </c>
      <c r="D37" s="3" t="s">
        <v>1028</v>
      </c>
      <c r="E37" s="3" t="s">
        <v>47</v>
      </c>
      <c r="F37" s="3" t="s">
        <v>47</v>
      </c>
      <c r="G37" s="3" t="str">
        <f>INDEX(Risk_Matrix!$B$2:$D$4,MATCH(E37,Risk_Matrix!$A$2:$A$4,0),MATCH(F37,Risk_Matrix!$B$1:$D$1,0))</f>
        <v>Low</v>
      </c>
      <c r="H37" s="10">
        <v>46229</v>
      </c>
      <c r="I37" s="3" t="s">
        <v>967</v>
      </c>
      <c r="J37" s="3" t="s">
        <v>968</v>
      </c>
      <c r="K37" s="3" t="s">
        <v>983</v>
      </c>
      <c r="L37" s="3">
        <f>IF(G37="High",3,IF(G37="Medium",2,1))</f>
        <v>1</v>
      </c>
    </row>
    <row r="38" spans="1:12">
      <c r="A38" s="3" t="s">
        <v>1029</v>
      </c>
      <c r="B38" s="3" t="s">
        <v>355</v>
      </c>
      <c r="C38" s="3" t="s">
        <v>956</v>
      </c>
      <c r="D38" s="3" t="s">
        <v>995</v>
      </c>
      <c r="E38" s="3" t="s">
        <v>47</v>
      </c>
      <c r="F38" s="3" t="s">
        <v>942</v>
      </c>
      <c r="G38" s="3" t="str">
        <f>INDEX(Risk_Matrix!$B$2:$D$4,MATCH(E38,Risk_Matrix!$A$2:$A$4,0),MATCH(F38,Risk_Matrix!$B$1:$D$1,0))</f>
        <v>Low</v>
      </c>
      <c r="H38" s="10">
        <v>46136</v>
      </c>
      <c r="I38" s="3" t="s">
        <v>967</v>
      </c>
      <c r="J38" s="3" t="s">
        <v>968</v>
      </c>
      <c r="K38" s="3" t="s">
        <v>993</v>
      </c>
      <c r="L38" s="3">
        <f>IF(G38="High",3,IF(G38="Medium",2,1))</f>
        <v>1</v>
      </c>
    </row>
    <row r="39" spans="1:12">
      <c r="A39" s="3" t="s">
        <v>1030</v>
      </c>
      <c r="B39" s="3" t="s">
        <v>355</v>
      </c>
      <c r="C39" s="3" t="s">
        <v>962</v>
      </c>
      <c r="D39" s="3" t="s">
        <v>997</v>
      </c>
      <c r="E39" s="3" t="s">
        <v>42</v>
      </c>
      <c r="F39" s="3" t="s">
        <v>47</v>
      </c>
      <c r="G39" s="3" t="str">
        <f>INDEX(Risk_Matrix!$B$2:$D$4,MATCH(E39,Risk_Matrix!$A$2:$A$4,0),MATCH(F39,Risk_Matrix!$B$1:$D$1,0))</f>
        <v>Medium</v>
      </c>
      <c r="H39" s="10">
        <v>46117</v>
      </c>
      <c r="I39" s="3" t="s">
        <v>973</v>
      </c>
      <c r="J39" s="3" t="s">
        <v>974</v>
      </c>
      <c r="K39" s="3" t="s">
        <v>969</v>
      </c>
      <c r="L39" s="3">
        <f>IF(G39="High",3,IF(G39="Medium",2,1))</f>
        <v>2</v>
      </c>
    </row>
    <row r="40" spans="1:12">
      <c r="A40" s="3" t="s">
        <v>1031</v>
      </c>
      <c r="B40" s="3" t="s">
        <v>355</v>
      </c>
      <c r="C40" s="3" t="s">
        <v>965</v>
      </c>
      <c r="D40" s="3" t="s">
        <v>966</v>
      </c>
      <c r="E40" s="3" t="s">
        <v>47</v>
      </c>
      <c r="F40" s="3" t="s">
        <v>942</v>
      </c>
      <c r="G40" s="3" t="str">
        <f>INDEX(Risk_Matrix!$B$2:$D$4,MATCH(E40,Risk_Matrix!$A$2:$A$4,0),MATCH(F40,Risk_Matrix!$B$1:$D$1,0))</f>
        <v>Low</v>
      </c>
      <c r="H40" s="10">
        <v>46167</v>
      </c>
      <c r="I40" s="3" t="s">
        <v>973</v>
      </c>
      <c r="J40" s="3" t="s">
        <v>974</v>
      </c>
      <c r="K40" s="3" t="s">
        <v>960</v>
      </c>
      <c r="L40" s="3">
        <f>IF(G40="High",3,IF(G40="Medium",2,1))</f>
        <v>1</v>
      </c>
    </row>
    <row r="41" spans="1:12">
      <c r="A41" s="3" t="s">
        <v>1032</v>
      </c>
      <c r="B41" s="3" t="s">
        <v>355</v>
      </c>
      <c r="C41" s="3" t="s">
        <v>971</v>
      </c>
      <c r="D41" s="3" t="s">
        <v>1016</v>
      </c>
      <c r="E41" s="3" t="s">
        <v>942</v>
      </c>
      <c r="F41" s="3" t="s">
        <v>42</v>
      </c>
      <c r="G41" s="3" t="str">
        <f>INDEX(Risk_Matrix!$B$2:$D$4,MATCH(E41,Risk_Matrix!$A$2:$A$4,0),MATCH(F41,Risk_Matrix!$B$1:$D$1,0))</f>
        <v>High</v>
      </c>
      <c r="H41" s="10">
        <v>46162</v>
      </c>
      <c r="I41" s="3" t="s">
        <v>973</v>
      </c>
      <c r="J41" s="3" t="s">
        <v>974</v>
      </c>
      <c r="K41" s="3" t="s">
        <v>960</v>
      </c>
      <c r="L41" s="3">
        <f>IF(G41="High",3,IF(G41="Medium",2,1))</f>
        <v>3</v>
      </c>
    </row>
    <row r="42" spans="1:12">
      <c r="A42" s="3" t="s">
        <v>1033</v>
      </c>
      <c r="B42" s="3" t="s">
        <v>355</v>
      </c>
      <c r="C42" s="3" t="s">
        <v>976</v>
      </c>
      <c r="D42" s="3" t="s">
        <v>991</v>
      </c>
      <c r="E42" s="3" t="s">
        <v>47</v>
      </c>
      <c r="F42" s="3" t="s">
        <v>47</v>
      </c>
      <c r="G42" s="3" t="str">
        <f>INDEX(Risk_Matrix!$B$2:$D$4,MATCH(E42,Risk_Matrix!$A$2:$A$4,0),MATCH(F42,Risk_Matrix!$B$1:$D$1,0))</f>
        <v>Low</v>
      </c>
      <c r="H42" s="10">
        <v>46190</v>
      </c>
      <c r="I42" s="3" t="s">
        <v>967</v>
      </c>
      <c r="J42" s="3" t="s">
        <v>968</v>
      </c>
      <c r="K42" s="3" t="s">
        <v>960</v>
      </c>
      <c r="L42" s="3">
        <f>IF(G42="High",3,IF(G42="Medium",2,1))</f>
        <v>1</v>
      </c>
    </row>
    <row r="43" spans="1:12">
      <c r="A43" s="3" t="s">
        <v>1034</v>
      </c>
      <c r="B43" s="3" t="s">
        <v>355</v>
      </c>
      <c r="C43" s="3" t="s">
        <v>979</v>
      </c>
      <c r="D43" s="3" t="s">
        <v>1004</v>
      </c>
      <c r="E43" s="3" t="s">
        <v>42</v>
      </c>
      <c r="F43" s="3" t="s">
        <v>47</v>
      </c>
      <c r="G43" s="3" t="str">
        <f>INDEX(Risk_Matrix!$B$2:$D$4,MATCH(E43,Risk_Matrix!$A$2:$A$4,0),MATCH(F43,Risk_Matrix!$B$1:$D$1,0))</f>
        <v>Medium</v>
      </c>
      <c r="H43" s="10">
        <v>46106</v>
      </c>
      <c r="I43" s="3" t="s">
        <v>967</v>
      </c>
      <c r="J43" s="3" t="s">
        <v>968</v>
      </c>
      <c r="K43" s="3" t="s">
        <v>969</v>
      </c>
      <c r="L43" s="3">
        <f>IF(G43="High",3,IF(G43="Medium",2,1))</f>
        <v>2</v>
      </c>
    </row>
    <row r="44" spans="1:12">
      <c r="A44" s="3" t="s">
        <v>1035</v>
      </c>
      <c r="B44" s="3" t="s">
        <v>358</v>
      </c>
      <c r="C44" s="3" t="s">
        <v>956</v>
      </c>
      <c r="D44" s="3" t="s">
        <v>957</v>
      </c>
      <c r="E44" s="3" t="s">
        <v>942</v>
      </c>
      <c r="F44" s="3" t="s">
        <v>47</v>
      </c>
      <c r="G44" s="3" t="str">
        <f>INDEX(Risk_Matrix!$B$2:$D$4,MATCH(E44,Risk_Matrix!$A$2:$A$4,0),MATCH(F44,Risk_Matrix!$B$1:$D$1,0))</f>
        <v>Low</v>
      </c>
      <c r="H44" s="10">
        <v>46109</v>
      </c>
      <c r="I44" s="3" t="s">
        <v>973</v>
      </c>
      <c r="J44" s="3" t="s">
        <v>974</v>
      </c>
      <c r="K44" s="3" t="s">
        <v>960</v>
      </c>
      <c r="L44" s="3">
        <f>IF(G44="High",3,IF(G44="Medium",2,1))</f>
        <v>1</v>
      </c>
    </row>
    <row r="45" spans="1:12">
      <c r="A45" s="3" t="s">
        <v>1036</v>
      </c>
      <c r="B45" s="3" t="s">
        <v>358</v>
      </c>
      <c r="C45" s="3" t="s">
        <v>962</v>
      </c>
      <c r="D45" s="3" t="s">
        <v>1037</v>
      </c>
      <c r="E45" s="3" t="s">
        <v>942</v>
      </c>
      <c r="F45" s="3" t="s">
        <v>942</v>
      </c>
      <c r="G45" s="3" t="str">
        <f>INDEX(Risk_Matrix!$B$2:$D$4,MATCH(E45,Risk_Matrix!$A$2:$A$4,0),MATCH(F45,Risk_Matrix!$B$1:$D$1,0))</f>
        <v>Medium</v>
      </c>
      <c r="H45" s="10">
        <v>46194</v>
      </c>
      <c r="I45" s="3" t="s">
        <v>967</v>
      </c>
      <c r="J45" s="3" t="s">
        <v>968</v>
      </c>
      <c r="K45" s="3" t="s">
        <v>983</v>
      </c>
      <c r="L45" s="3">
        <f>IF(G45="High",3,IF(G45="Medium",2,1))</f>
        <v>2</v>
      </c>
    </row>
    <row r="46" spans="1:12">
      <c r="A46" s="3" t="s">
        <v>1038</v>
      </c>
      <c r="B46" s="3" t="s">
        <v>358</v>
      </c>
      <c r="C46" s="3" t="s">
        <v>965</v>
      </c>
      <c r="D46" s="3" t="s">
        <v>1039</v>
      </c>
      <c r="E46" s="3" t="s">
        <v>942</v>
      </c>
      <c r="F46" s="3" t="s">
        <v>47</v>
      </c>
      <c r="G46" s="3" t="str">
        <f>INDEX(Risk_Matrix!$B$2:$D$4,MATCH(E46,Risk_Matrix!$A$2:$A$4,0),MATCH(F46,Risk_Matrix!$B$1:$D$1,0))</f>
        <v>Low</v>
      </c>
      <c r="H46" s="10">
        <v>46146</v>
      </c>
      <c r="I46" s="3" t="s">
        <v>967</v>
      </c>
      <c r="J46" s="3" t="s">
        <v>968</v>
      </c>
      <c r="K46" s="3" t="s">
        <v>983</v>
      </c>
      <c r="L46" s="3">
        <f>IF(G46="High",3,IF(G46="Medium",2,1))</f>
        <v>1</v>
      </c>
    </row>
    <row r="47" spans="1:12">
      <c r="A47" s="3" t="s">
        <v>1040</v>
      </c>
      <c r="B47" s="3" t="s">
        <v>358</v>
      </c>
      <c r="C47" s="3" t="s">
        <v>971</v>
      </c>
      <c r="D47" s="3" t="s">
        <v>1025</v>
      </c>
      <c r="E47" s="3" t="s">
        <v>47</v>
      </c>
      <c r="F47" s="3" t="s">
        <v>47</v>
      </c>
      <c r="G47" s="3" t="str">
        <f>INDEX(Risk_Matrix!$B$2:$D$4,MATCH(E47,Risk_Matrix!$A$2:$A$4,0),MATCH(F47,Risk_Matrix!$B$1:$D$1,0))</f>
        <v>Low</v>
      </c>
      <c r="H47" s="10">
        <v>46207</v>
      </c>
      <c r="I47" s="3" t="s">
        <v>973</v>
      </c>
      <c r="J47" s="3" t="s">
        <v>974</v>
      </c>
      <c r="K47" s="3" t="s">
        <v>993</v>
      </c>
      <c r="L47" s="3">
        <f>IF(G47="High",3,IF(G47="Medium",2,1))</f>
        <v>1</v>
      </c>
    </row>
    <row r="48" spans="1:12">
      <c r="A48" s="3" t="s">
        <v>1041</v>
      </c>
      <c r="B48" s="3" t="s">
        <v>358</v>
      </c>
      <c r="C48" s="3" t="s">
        <v>976</v>
      </c>
      <c r="D48" s="3" t="s">
        <v>977</v>
      </c>
      <c r="E48" s="3" t="s">
        <v>47</v>
      </c>
      <c r="F48" s="3" t="s">
        <v>942</v>
      </c>
      <c r="G48" s="3" t="str">
        <f>INDEX(Risk_Matrix!$B$2:$D$4,MATCH(E48,Risk_Matrix!$A$2:$A$4,0),MATCH(F48,Risk_Matrix!$B$1:$D$1,0))</f>
        <v>Low</v>
      </c>
      <c r="H48" s="10">
        <v>46117</v>
      </c>
      <c r="I48" s="3" t="s">
        <v>973</v>
      </c>
      <c r="J48" s="3" t="s">
        <v>974</v>
      </c>
      <c r="K48" s="3" t="s">
        <v>1000</v>
      </c>
      <c r="L48" s="3">
        <f>IF(G48="High",3,IF(G48="Medium",2,1))</f>
        <v>1</v>
      </c>
    </row>
    <row r="49" spans="1:12">
      <c r="A49" s="3" t="s">
        <v>1042</v>
      </c>
      <c r="B49" s="3" t="s">
        <v>358</v>
      </c>
      <c r="C49" s="3" t="s">
        <v>979</v>
      </c>
      <c r="D49" s="3" t="s">
        <v>980</v>
      </c>
      <c r="E49" s="3" t="s">
        <v>47</v>
      </c>
      <c r="F49" s="3" t="s">
        <v>47</v>
      </c>
      <c r="G49" s="3" t="str">
        <f>INDEX(Risk_Matrix!$B$2:$D$4,MATCH(E49,Risk_Matrix!$A$2:$A$4,0),MATCH(F49,Risk_Matrix!$B$1:$D$1,0))</f>
        <v>Low</v>
      </c>
      <c r="H49" s="10">
        <v>46062</v>
      </c>
      <c r="I49" s="3" t="s">
        <v>981</v>
      </c>
      <c r="J49" s="3" t="s">
        <v>982</v>
      </c>
      <c r="K49" s="3" t="s">
        <v>993</v>
      </c>
      <c r="L49" s="3">
        <f>IF(G49="High",3,IF(G49="Medium",2,1))</f>
        <v>1</v>
      </c>
    </row>
    <row r="50" spans="1:12">
      <c r="A50" s="3" t="s">
        <v>1043</v>
      </c>
      <c r="B50" s="3" t="s">
        <v>362</v>
      </c>
      <c r="C50" s="3" t="s">
        <v>956</v>
      </c>
      <c r="D50" s="3" t="s">
        <v>995</v>
      </c>
      <c r="E50" s="3" t="s">
        <v>47</v>
      </c>
      <c r="F50" s="3" t="s">
        <v>47</v>
      </c>
      <c r="G50" s="3" t="str">
        <f>INDEX(Risk_Matrix!$B$2:$D$4,MATCH(E50,Risk_Matrix!$A$2:$A$4,0),MATCH(F50,Risk_Matrix!$B$1:$D$1,0))</f>
        <v>Low</v>
      </c>
      <c r="H50" s="10">
        <v>46184</v>
      </c>
      <c r="I50" s="3" t="s">
        <v>981</v>
      </c>
      <c r="J50" s="3" t="s">
        <v>982</v>
      </c>
      <c r="K50" s="3" t="s">
        <v>983</v>
      </c>
      <c r="L50" s="3">
        <f>IF(G50="High",3,IF(G50="Medium",2,1))</f>
        <v>1</v>
      </c>
    </row>
    <row r="51" spans="1:12">
      <c r="A51" s="3" t="s">
        <v>1044</v>
      </c>
      <c r="B51" s="3" t="s">
        <v>362</v>
      </c>
      <c r="C51" s="3" t="s">
        <v>962</v>
      </c>
      <c r="D51" s="3" t="s">
        <v>1037</v>
      </c>
      <c r="E51" s="3" t="s">
        <v>942</v>
      </c>
      <c r="F51" s="3" t="s">
        <v>47</v>
      </c>
      <c r="G51" s="3" t="str">
        <f>INDEX(Risk_Matrix!$B$2:$D$4,MATCH(E51,Risk_Matrix!$A$2:$A$4,0),MATCH(F51,Risk_Matrix!$B$1:$D$1,0))</f>
        <v>Low</v>
      </c>
      <c r="H51" s="10">
        <v>46233</v>
      </c>
      <c r="I51" s="3" t="s">
        <v>967</v>
      </c>
      <c r="J51" s="3" t="s">
        <v>968</v>
      </c>
      <c r="K51" s="3" t="s">
        <v>993</v>
      </c>
      <c r="L51" s="3">
        <f>IF(G51="High",3,IF(G51="Medium",2,1))</f>
        <v>1</v>
      </c>
    </row>
    <row r="52" spans="1:12">
      <c r="A52" s="3" t="s">
        <v>1045</v>
      </c>
      <c r="B52" s="3" t="s">
        <v>362</v>
      </c>
      <c r="C52" s="3" t="s">
        <v>965</v>
      </c>
      <c r="D52" s="3" t="s">
        <v>988</v>
      </c>
      <c r="E52" s="3" t="s">
        <v>42</v>
      </c>
      <c r="F52" s="3" t="s">
        <v>942</v>
      </c>
      <c r="G52" s="3" t="str">
        <f>INDEX(Risk_Matrix!$B$2:$D$4,MATCH(E52,Risk_Matrix!$A$2:$A$4,0),MATCH(F52,Risk_Matrix!$B$1:$D$1,0))</f>
        <v>High</v>
      </c>
      <c r="H52" s="10">
        <v>46236</v>
      </c>
      <c r="I52" s="3" t="s">
        <v>967</v>
      </c>
      <c r="J52" s="3" t="s">
        <v>968</v>
      </c>
      <c r="K52" s="3" t="s">
        <v>983</v>
      </c>
      <c r="L52" s="3">
        <f>IF(G52="High",3,IF(G52="Medium",2,1))</f>
        <v>3</v>
      </c>
    </row>
    <row r="53" spans="1:12">
      <c r="A53" s="3" t="s">
        <v>1046</v>
      </c>
      <c r="B53" s="3" t="s">
        <v>362</v>
      </c>
      <c r="C53" s="3" t="s">
        <v>971</v>
      </c>
      <c r="D53" s="3" t="s">
        <v>1025</v>
      </c>
      <c r="E53" s="3" t="s">
        <v>942</v>
      </c>
      <c r="F53" s="3" t="s">
        <v>42</v>
      </c>
      <c r="G53" s="3" t="str">
        <f>INDEX(Risk_Matrix!$B$2:$D$4,MATCH(E53,Risk_Matrix!$A$2:$A$4,0),MATCH(F53,Risk_Matrix!$B$1:$D$1,0))</f>
        <v>High</v>
      </c>
      <c r="H53" s="10">
        <v>46074</v>
      </c>
      <c r="I53" s="3" t="s">
        <v>967</v>
      </c>
      <c r="J53" s="3" t="s">
        <v>968</v>
      </c>
      <c r="K53" s="3" t="s">
        <v>969</v>
      </c>
      <c r="L53" s="3">
        <f>IF(G53="High",3,IF(G53="Medium",2,1))</f>
        <v>3</v>
      </c>
    </row>
    <row r="54" spans="1:12">
      <c r="A54" s="3" t="s">
        <v>1047</v>
      </c>
      <c r="B54" s="3" t="s">
        <v>362</v>
      </c>
      <c r="C54" s="3" t="s">
        <v>976</v>
      </c>
      <c r="D54" s="3" t="s">
        <v>991</v>
      </c>
      <c r="E54" s="3" t="s">
        <v>42</v>
      </c>
      <c r="F54" s="3" t="s">
        <v>42</v>
      </c>
      <c r="G54" s="3" t="str">
        <f>INDEX(Risk_Matrix!$B$2:$D$4,MATCH(E54,Risk_Matrix!$A$2:$A$4,0),MATCH(F54,Risk_Matrix!$B$1:$D$1,0))</f>
        <v>High</v>
      </c>
      <c r="H54" s="10">
        <v>46183</v>
      </c>
      <c r="I54" s="3" t="s">
        <v>967</v>
      </c>
      <c r="J54" s="3" t="s">
        <v>968</v>
      </c>
      <c r="K54" s="3" t="s">
        <v>960</v>
      </c>
      <c r="L54" s="3">
        <f>IF(G54="High",3,IF(G54="Medium",2,1))</f>
        <v>3</v>
      </c>
    </row>
    <row r="55" spans="1:12">
      <c r="A55" s="3" t="s">
        <v>1048</v>
      </c>
      <c r="B55" s="3" t="s">
        <v>362</v>
      </c>
      <c r="C55" s="3" t="s">
        <v>979</v>
      </c>
      <c r="D55" s="3" t="s">
        <v>1028</v>
      </c>
      <c r="E55" s="3" t="s">
        <v>942</v>
      </c>
      <c r="F55" s="3" t="s">
        <v>942</v>
      </c>
      <c r="G55" s="3" t="str">
        <f>INDEX(Risk_Matrix!$B$2:$D$4,MATCH(E55,Risk_Matrix!$A$2:$A$4,0),MATCH(F55,Risk_Matrix!$B$1:$D$1,0))</f>
        <v>Medium</v>
      </c>
      <c r="H55" s="10">
        <v>46212</v>
      </c>
      <c r="I55" s="3" t="s">
        <v>973</v>
      </c>
      <c r="J55" s="3" t="s">
        <v>974</v>
      </c>
      <c r="K55" s="3" t="s">
        <v>993</v>
      </c>
      <c r="L55" s="3">
        <f>IF(G55="High",3,IF(G55="Medium",2,1))</f>
        <v>2</v>
      </c>
    </row>
    <row r="56" spans="1:12">
      <c r="A56" s="3" t="s">
        <v>1049</v>
      </c>
      <c r="B56" s="3" t="s">
        <v>366</v>
      </c>
      <c r="C56" s="3" t="s">
        <v>956</v>
      </c>
      <c r="D56" s="3" t="s">
        <v>995</v>
      </c>
      <c r="E56" s="3" t="s">
        <v>942</v>
      </c>
      <c r="F56" s="3" t="s">
        <v>942</v>
      </c>
      <c r="G56" s="3" t="str">
        <f>INDEX(Risk_Matrix!$B$2:$D$4,MATCH(E56,Risk_Matrix!$A$2:$A$4,0),MATCH(F56,Risk_Matrix!$B$1:$D$1,0))</f>
        <v>Medium</v>
      </c>
      <c r="H56" s="10">
        <v>46063</v>
      </c>
      <c r="I56" s="3" t="s">
        <v>973</v>
      </c>
      <c r="J56" s="3" t="s">
        <v>974</v>
      </c>
      <c r="K56" s="3" t="s">
        <v>993</v>
      </c>
      <c r="L56" s="3">
        <f>IF(G56="High",3,IF(G56="Medium",2,1))</f>
        <v>2</v>
      </c>
    </row>
    <row r="57" spans="1:12">
      <c r="A57" s="3" t="s">
        <v>1050</v>
      </c>
      <c r="B57" s="3" t="s">
        <v>366</v>
      </c>
      <c r="C57" s="3" t="s">
        <v>962</v>
      </c>
      <c r="D57" s="3" t="s">
        <v>997</v>
      </c>
      <c r="E57" s="3" t="s">
        <v>47</v>
      </c>
      <c r="F57" s="3" t="s">
        <v>42</v>
      </c>
      <c r="G57" s="3" t="str">
        <f>INDEX(Risk_Matrix!$B$2:$D$4,MATCH(E57,Risk_Matrix!$A$2:$A$4,0),MATCH(F57,Risk_Matrix!$B$1:$D$1,0))</f>
        <v>Medium</v>
      </c>
      <c r="H57" s="10">
        <v>46168</v>
      </c>
      <c r="I57" s="3" t="s">
        <v>967</v>
      </c>
      <c r="J57" s="3" t="s">
        <v>968</v>
      </c>
      <c r="K57" s="3" t="s">
        <v>969</v>
      </c>
      <c r="L57" s="3">
        <f>IF(G57="High",3,IF(G57="Medium",2,1))</f>
        <v>2</v>
      </c>
    </row>
    <row r="58" spans="1:12">
      <c r="A58" s="3" t="s">
        <v>1051</v>
      </c>
      <c r="B58" s="3" t="s">
        <v>366</v>
      </c>
      <c r="C58" s="3" t="s">
        <v>965</v>
      </c>
      <c r="D58" s="3" t="s">
        <v>966</v>
      </c>
      <c r="E58" s="3" t="s">
        <v>47</v>
      </c>
      <c r="F58" s="3" t="s">
        <v>942</v>
      </c>
      <c r="G58" s="3" t="str">
        <f>INDEX(Risk_Matrix!$B$2:$D$4,MATCH(E58,Risk_Matrix!$A$2:$A$4,0),MATCH(F58,Risk_Matrix!$B$1:$D$1,0))</f>
        <v>Low</v>
      </c>
      <c r="H58" s="10">
        <v>46224</v>
      </c>
      <c r="I58" s="3" t="s">
        <v>973</v>
      </c>
      <c r="J58" s="3" t="s">
        <v>974</v>
      </c>
      <c r="K58" s="3" t="s">
        <v>1000</v>
      </c>
      <c r="L58" s="3">
        <f>IF(G58="High",3,IF(G58="Medium",2,1))</f>
        <v>1</v>
      </c>
    </row>
    <row r="59" spans="1:12">
      <c r="A59" s="3" t="s">
        <v>1052</v>
      </c>
      <c r="B59" s="3" t="s">
        <v>366</v>
      </c>
      <c r="C59" s="3" t="s">
        <v>971</v>
      </c>
      <c r="D59" s="3" t="s">
        <v>1025</v>
      </c>
      <c r="E59" s="3" t="s">
        <v>942</v>
      </c>
      <c r="F59" s="3" t="s">
        <v>942</v>
      </c>
      <c r="G59" s="3" t="str">
        <f>INDEX(Risk_Matrix!$B$2:$D$4,MATCH(E59,Risk_Matrix!$A$2:$A$4,0),MATCH(F59,Risk_Matrix!$B$1:$D$1,0))</f>
        <v>Medium</v>
      </c>
      <c r="H59" s="10">
        <v>46071</v>
      </c>
      <c r="I59" s="3" t="s">
        <v>967</v>
      </c>
      <c r="J59" s="3" t="s">
        <v>968</v>
      </c>
      <c r="K59" s="3" t="s">
        <v>960</v>
      </c>
      <c r="L59" s="3">
        <f>IF(G59="High",3,IF(G59="Medium",2,1))</f>
        <v>2</v>
      </c>
    </row>
    <row r="60" spans="1:12">
      <c r="A60" s="3" t="s">
        <v>1053</v>
      </c>
      <c r="B60" s="3" t="s">
        <v>366</v>
      </c>
      <c r="C60" s="3" t="s">
        <v>976</v>
      </c>
      <c r="D60" s="3" t="s">
        <v>991</v>
      </c>
      <c r="E60" s="3" t="s">
        <v>47</v>
      </c>
      <c r="F60" s="3" t="s">
        <v>47</v>
      </c>
      <c r="G60" s="3" t="str">
        <f>INDEX(Risk_Matrix!$B$2:$D$4,MATCH(E60,Risk_Matrix!$A$2:$A$4,0),MATCH(F60,Risk_Matrix!$B$1:$D$1,0))</f>
        <v>Low</v>
      </c>
      <c r="H60" s="10">
        <v>46229</v>
      </c>
      <c r="I60" s="3" t="s">
        <v>973</v>
      </c>
      <c r="J60" s="3" t="s">
        <v>974</v>
      </c>
      <c r="K60" s="3" t="s">
        <v>1000</v>
      </c>
      <c r="L60" s="3">
        <f>IF(G60="High",3,IF(G60="Medium",2,1))</f>
        <v>1</v>
      </c>
    </row>
    <row r="61" spans="1:12">
      <c r="A61" s="3" t="s">
        <v>1054</v>
      </c>
      <c r="B61" s="3" t="s">
        <v>366</v>
      </c>
      <c r="C61" s="3" t="s">
        <v>979</v>
      </c>
      <c r="D61" s="3" t="s">
        <v>980</v>
      </c>
      <c r="E61" s="3" t="s">
        <v>42</v>
      </c>
      <c r="F61" s="3" t="s">
        <v>942</v>
      </c>
      <c r="G61" s="3" t="str">
        <f>INDEX(Risk_Matrix!$B$2:$D$4,MATCH(E61,Risk_Matrix!$A$2:$A$4,0),MATCH(F61,Risk_Matrix!$B$1:$D$1,0))</f>
        <v>High</v>
      </c>
      <c r="H61" s="10">
        <v>46182</v>
      </c>
      <c r="I61" s="3" t="s">
        <v>973</v>
      </c>
      <c r="J61" s="3" t="s">
        <v>974</v>
      </c>
      <c r="K61" s="3" t="s">
        <v>1000</v>
      </c>
      <c r="L61" s="3">
        <f>IF(G61="High",3,IF(G61="Medium",2,1))</f>
        <v>3</v>
      </c>
    </row>
    <row r="62" spans="1:12">
      <c r="A62" s="3" t="s">
        <v>1055</v>
      </c>
      <c r="B62" s="3" t="s">
        <v>370</v>
      </c>
      <c r="C62" s="3" t="s">
        <v>956</v>
      </c>
      <c r="D62" s="3" t="s">
        <v>1012</v>
      </c>
      <c r="E62" s="3" t="s">
        <v>42</v>
      </c>
      <c r="F62" s="3" t="s">
        <v>942</v>
      </c>
      <c r="G62" s="3" t="str">
        <f>INDEX(Risk_Matrix!$B$2:$D$4,MATCH(E62,Risk_Matrix!$A$2:$A$4,0),MATCH(F62,Risk_Matrix!$B$1:$D$1,0))</f>
        <v>High</v>
      </c>
      <c r="H62" s="10">
        <v>46195</v>
      </c>
      <c r="I62" s="3" t="s">
        <v>967</v>
      </c>
      <c r="J62" s="3" t="s">
        <v>968</v>
      </c>
      <c r="K62" s="3" t="s">
        <v>1000</v>
      </c>
      <c r="L62" s="3">
        <f>IF(G62="High",3,IF(G62="Medium",2,1))</f>
        <v>3</v>
      </c>
    </row>
    <row r="63" spans="1:12">
      <c r="A63" s="3" t="s">
        <v>1056</v>
      </c>
      <c r="B63" s="3" t="s">
        <v>370</v>
      </c>
      <c r="C63" s="3" t="s">
        <v>962</v>
      </c>
      <c r="D63" s="3" t="s">
        <v>1037</v>
      </c>
      <c r="E63" s="3" t="s">
        <v>47</v>
      </c>
      <c r="F63" s="3" t="s">
        <v>47</v>
      </c>
      <c r="G63" s="3" t="str">
        <f>INDEX(Risk_Matrix!$B$2:$D$4,MATCH(E63,Risk_Matrix!$A$2:$A$4,0),MATCH(F63,Risk_Matrix!$B$1:$D$1,0))</f>
        <v>Low</v>
      </c>
      <c r="H63" s="10">
        <v>46095</v>
      </c>
      <c r="I63" s="3" t="s">
        <v>967</v>
      </c>
      <c r="J63" s="3" t="s">
        <v>968</v>
      </c>
      <c r="K63" s="3" t="s">
        <v>983</v>
      </c>
      <c r="L63" s="3">
        <f>IF(G63="High",3,IF(G63="Medium",2,1))</f>
        <v>1</v>
      </c>
    </row>
    <row r="64" spans="1:12">
      <c r="A64" s="3" t="s">
        <v>1057</v>
      </c>
      <c r="B64" s="3" t="s">
        <v>370</v>
      </c>
      <c r="C64" s="3" t="s">
        <v>965</v>
      </c>
      <c r="D64" s="3" t="s">
        <v>966</v>
      </c>
      <c r="E64" s="3" t="s">
        <v>942</v>
      </c>
      <c r="F64" s="3" t="s">
        <v>47</v>
      </c>
      <c r="G64" s="3" t="str">
        <f>INDEX(Risk_Matrix!$B$2:$D$4,MATCH(E64,Risk_Matrix!$A$2:$A$4,0),MATCH(F64,Risk_Matrix!$B$1:$D$1,0))</f>
        <v>Low</v>
      </c>
      <c r="H64" s="10">
        <v>46160</v>
      </c>
      <c r="I64" s="3" t="s">
        <v>973</v>
      </c>
      <c r="J64" s="3" t="s">
        <v>974</v>
      </c>
      <c r="K64" s="3" t="s">
        <v>960</v>
      </c>
      <c r="L64" s="3">
        <f>IF(G64="High",3,IF(G64="Medium",2,1))</f>
        <v>1</v>
      </c>
    </row>
    <row r="65" spans="1:12">
      <c r="A65" s="3" t="s">
        <v>1058</v>
      </c>
      <c r="B65" s="3" t="s">
        <v>370</v>
      </c>
      <c r="C65" s="3" t="s">
        <v>971</v>
      </c>
      <c r="D65" s="3" t="s">
        <v>1025</v>
      </c>
      <c r="E65" s="3" t="s">
        <v>47</v>
      </c>
      <c r="F65" s="3" t="s">
        <v>942</v>
      </c>
      <c r="G65" s="3" t="str">
        <f>INDEX(Risk_Matrix!$B$2:$D$4,MATCH(E65,Risk_Matrix!$A$2:$A$4,0),MATCH(F65,Risk_Matrix!$B$1:$D$1,0))</f>
        <v>Low</v>
      </c>
      <c r="H65" s="10">
        <v>46208</v>
      </c>
      <c r="I65" s="3" t="s">
        <v>967</v>
      </c>
      <c r="J65" s="3" t="s">
        <v>968</v>
      </c>
      <c r="K65" s="3" t="s">
        <v>960</v>
      </c>
      <c r="L65" s="3">
        <f>IF(G65="High",3,IF(G65="Medium",2,1))</f>
        <v>1</v>
      </c>
    </row>
    <row r="66" spans="1:12">
      <c r="A66" s="3" t="s">
        <v>1059</v>
      </c>
      <c r="B66" s="3" t="s">
        <v>370</v>
      </c>
      <c r="C66" s="3" t="s">
        <v>976</v>
      </c>
      <c r="D66" s="3" t="s">
        <v>977</v>
      </c>
      <c r="E66" s="3" t="s">
        <v>42</v>
      </c>
      <c r="F66" s="3" t="s">
        <v>942</v>
      </c>
      <c r="G66" s="3" t="str">
        <f>INDEX(Risk_Matrix!$B$2:$D$4,MATCH(E66,Risk_Matrix!$A$2:$A$4,0),MATCH(F66,Risk_Matrix!$B$1:$D$1,0))</f>
        <v>High</v>
      </c>
      <c r="H66" s="10">
        <v>46220</v>
      </c>
      <c r="I66" s="3" t="s">
        <v>981</v>
      </c>
      <c r="J66" s="3" t="s">
        <v>982</v>
      </c>
      <c r="K66" s="3" t="s">
        <v>960</v>
      </c>
      <c r="L66" s="3">
        <f>IF(G66="High",3,IF(G66="Medium",2,1))</f>
        <v>3</v>
      </c>
    </row>
    <row r="67" spans="1:12">
      <c r="A67" s="3" t="s">
        <v>1060</v>
      </c>
      <c r="B67" s="3" t="s">
        <v>370</v>
      </c>
      <c r="C67" s="3" t="s">
        <v>979</v>
      </c>
      <c r="D67" s="3" t="s">
        <v>1004</v>
      </c>
      <c r="E67" s="3" t="s">
        <v>942</v>
      </c>
      <c r="F67" s="3" t="s">
        <v>42</v>
      </c>
      <c r="G67" s="3" t="str">
        <f>INDEX(Risk_Matrix!$B$2:$D$4,MATCH(E67,Risk_Matrix!$A$2:$A$4,0),MATCH(F67,Risk_Matrix!$B$1:$D$1,0))</f>
        <v>High</v>
      </c>
      <c r="H67" s="10">
        <v>46162</v>
      </c>
      <c r="I67" s="3" t="s">
        <v>973</v>
      </c>
      <c r="J67" s="3" t="s">
        <v>974</v>
      </c>
      <c r="K67" s="3" t="s">
        <v>960</v>
      </c>
      <c r="L67" s="3">
        <f>IF(G67="High",3,IF(G67="Medium",2,1))</f>
        <v>3</v>
      </c>
    </row>
    <row r="68" spans="1:12">
      <c r="A68" s="3" t="s">
        <v>1061</v>
      </c>
      <c r="B68" s="3" t="s">
        <v>372</v>
      </c>
      <c r="C68" s="3" t="s">
        <v>956</v>
      </c>
      <c r="D68" s="3" t="s">
        <v>957</v>
      </c>
      <c r="E68" s="3" t="s">
        <v>42</v>
      </c>
      <c r="F68" s="3" t="s">
        <v>47</v>
      </c>
      <c r="G68" s="3" t="str">
        <f>INDEX(Risk_Matrix!$B$2:$D$4,MATCH(E68,Risk_Matrix!$A$2:$A$4,0),MATCH(F68,Risk_Matrix!$B$1:$D$1,0))</f>
        <v>Medium</v>
      </c>
      <c r="H68" s="10">
        <v>46151</v>
      </c>
      <c r="I68" s="3" t="s">
        <v>958</v>
      </c>
      <c r="J68" s="3" t="s">
        <v>959</v>
      </c>
      <c r="K68" s="3" t="s">
        <v>960</v>
      </c>
      <c r="L68" s="3">
        <f>IF(G68="High",3,IF(G68="Medium",2,1))</f>
        <v>2</v>
      </c>
    </row>
    <row r="69" spans="1:12">
      <c r="A69" s="3" t="s">
        <v>1062</v>
      </c>
      <c r="B69" s="3" t="s">
        <v>372</v>
      </c>
      <c r="C69" s="3" t="s">
        <v>962</v>
      </c>
      <c r="D69" s="3" t="s">
        <v>997</v>
      </c>
      <c r="E69" s="3" t="s">
        <v>47</v>
      </c>
      <c r="F69" s="3" t="s">
        <v>42</v>
      </c>
      <c r="G69" s="3" t="str">
        <f>INDEX(Risk_Matrix!$B$2:$D$4,MATCH(E69,Risk_Matrix!$A$2:$A$4,0),MATCH(F69,Risk_Matrix!$B$1:$D$1,0))</f>
        <v>Medium</v>
      </c>
      <c r="H69" s="10">
        <v>46218</v>
      </c>
      <c r="I69" s="3" t="s">
        <v>973</v>
      </c>
      <c r="J69" s="3" t="s">
        <v>974</v>
      </c>
      <c r="K69" s="3" t="s">
        <v>960</v>
      </c>
      <c r="L69" s="3">
        <f>IF(G69="High",3,IF(G69="Medium",2,1))</f>
        <v>2</v>
      </c>
    </row>
    <row r="70" spans="1:12">
      <c r="A70" s="3" t="s">
        <v>1063</v>
      </c>
      <c r="B70" s="3" t="s">
        <v>372</v>
      </c>
      <c r="C70" s="3" t="s">
        <v>965</v>
      </c>
      <c r="D70" s="3" t="s">
        <v>966</v>
      </c>
      <c r="E70" s="3" t="s">
        <v>942</v>
      </c>
      <c r="F70" s="3" t="s">
        <v>47</v>
      </c>
      <c r="G70" s="3" t="str">
        <f>INDEX(Risk_Matrix!$B$2:$D$4,MATCH(E70,Risk_Matrix!$A$2:$A$4,0),MATCH(F70,Risk_Matrix!$B$1:$D$1,0))</f>
        <v>Low</v>
      </c>
      <c r="H70" s="10">
        <v>46237</v>
      </c>
      <c r="I70" s="3" t="s">
        <v>967</v>
      </c>
      <c r="J70" s="3" t="s">
        <v>968</v>
      </c>
      <c r="K70" s="3" t="s">
        <v>960</v>
      </c>
      <c r="L70" s="3">
        <f>IF(G70="High",3,IF(G70="Medium",2,1))</f>
        <v>1</v>
      </c>
    </row>
    <row r="71" spans="1:12">
      <c r="A71" s="3" t="s">
        <v>1064</v>
      </c>
      <c r="B71" s="3" t="s">
        <v>372</v>
      </c>
      <c r="C71" s="3" t="s">
        <v>971</v>
      </c>
      <c r="D71" s="3" t="s">
        <v>1025</v>
      </c>
      <c r="E71" s="3" t="s">
        <v>47</v>
      </c>
      <c r="F71" s="3" t="s">
        <v>942</v>
      </c>
      <c r="G71" s="3" t="str">
        <f>INDEX(Risk_Matrix!$B$2:$D$4,MATCH(E71,Risk_Matrix!$A$2:$A$4,0),MATCH(F71,Risk_Matrix!$B$1:$D$1,0))</f>
        <v>Low</v>
      </c>
      <c r="H71" s="10">
        <v>46198</v>
      </c>
      <c r="I71" s="3" t="s">
        <v>967</v>
      </c>
      <c r="J71" s="3" t="s">
        <v>968</v>
      </c>
      <c r="K71" s="3" t="s">
        <v>960</v>
      </c>
      <c r="L71" s="3">
        <f>IF(G71="High",3,IF(G71="Medium",2,1))</f>
        <v>1</v>
      </c>
    </row>
    <row r="72" spans="1:12">
      <c r="A72" s="3" t="s">
        <v>1065</v>
      </c>
      <c r="B72" s="3" t="s">
        <v>372</v>
      </c>
      <c r="C72" s="3" t="s">
        <v>976</v>
      </c>
      <c r="D72" s="3" t="s">
        <v>977</v>
      </c>
      <c r="E72" s="3" t="s">
        <v>47</v>
      </c>
      <c r="F72" s="3" t="s">
        <v>47</v>
      </c>
      <c r="G72" s="3" t="str">
        <f>INDEX(Risk_Matrix!$B$2:$D$4,MATCH(E72,Risk_Matrix!$A$2:$A$4,0),MATCH(F72,Risk_Matrix!$B$1:$D$1,0))</f>
        <v>Low</v>
      </c>
      <c r="H72" s="10">
        <v>46129</v>
      </c>
      <c r="I72" s="3" t="s">
        <v>967</v>
      </c>
      <c r="J72" s="3" t="s">
        <v>968</v>
      </c>
      <c r="K72" s="3" t="s">
        <v>960</v>
      </c>
      <c r="L72" s="3">
        <f>IF(G72="High",3,IF(G72="Medium",2,1))</f>
        <v>1</v>
      </c>
    </row>
    <row r="73" spans="1:12">
      <c r="A73" s="3" t="s">
        <v>1066</v>
      </c>
      <c r="B73" s="3" t="s">
        <v>372</v>
      </c>
      <c r="C73" s="3" t="s">
        <v>979</v>
      </c>
      <c r="D73" s="3" t="s">
        <v>1028</v>
      </c>
      <c r="E73" s="3" t="s">
        <v>47</v>
      </c>
      <c r="F73" s="3" t="s">
        <v>942</v>
      </c>
      <c r="G73" s="3" t="str">
        <f>INDEX(Risk_Matrix!$B$2:$D$4,MATCH(E73,Risk_Matrix!$A$2:$A$4,0),MATCH(F73,Risk_Matrix!$B$1:$D$1,0))</f>
        <v>Low</v>
      </c>
      <c r="H73" s="10">
        <v>46235</v>
      </c>
      <c r="I73" s="3" t="s">
        <v>967</v>
      </c>
      <c r="J73" s="3" t="s">
        <v>968</v>
      </c>
      <c r="K73" s="3" t="s">
        <v>969</v>
      </c>
      <c r="L73" s="3">
        <f>IF(G73="High",3,IF(G73="Medium",2,1))</f>
        <v>1</v>
      </c>
    </row>
    <row r="74" spans="1:12">
      <c r="A74" s="3" t="s">
        <v>1067</v>
      </c>
      <c r="B74" s="3" t="s">
        <v>374</v>
      </c>
      <c r="C74" s="3" t="s">
        <v>956</v>
      </c>
      <c r="D74" s="3" t="s">
        <v>1020</v>
      </c>
      <c r="E74" s="3" t="s">
        <v>47</v>
      </c>
      <c r="F74" s="3" t="s">
        <v>47</v>
      </c>
      <c r="G74" s="3" t="str">
        <f>INDEX(Risk_Matrix!$B$2:$D$4,MATCH(E74,Risk_Matrix!$A$2:$A$4,0),MATCH(F74,Risk_Matrix!$B$1:$D$1,0))</f>
        <v>Low</v>
      </c>
      <c r="H74" s="10">
        <v>46181</v>
      </c>
      <c r="I74" s="3" t="s">
        <v>967</v>
      </c>
      <c r="J74" s="3" t="s">
        <v>968</v>
      </c>
      <c r="K74" s="3" t="s">
        <v>969</v>
      </c>
      <c r="L74" s="3">
        <f>IF(G74="High",3,IF(G74="Medium",2,1))</f>
        <v>1</v>
      </c>
    </row>
    <row r="75" spans="1:12">
      <c r="A75" s="3" t="s">
        <v>1068</v>
      </c>
      <c r="B75" s="3" t="s">
        <v>374</v>
      </c>
      <c r="C75" s="3" t="s">
        <v>962</v>
      </c>
      <c r="D75" s="3" t="s">
        <v>986</v>
      </c>
      <c r="E75" s="3" t="s">
        <v>47</v>
      </c>
      <c r="F75" s="3" t="s">
        <v>47</v>
      </c>
      <c r="G75" s="3" t="str">
        <f>INDEX(Risk_Matrix!$B$2:$D$4,MATCH(E75,Risk_Matrix!$A$2:$A$4,0),MATCH(F75,Risk_Matrix!$B$1:$D$1,0))</f>
        <v>Low</v>
      </c>
      <c r="H75" s="10">
        <v>46196</v>
      </c>
      <c r="I75" s="3" t="s">
        <v>967</v>
      </c>
      <c r="J75" s="3" t="s">
        <v>968</v>
      </c>
      <c r="K75" s="3" t="s">
        <v>993</v>
      </c>
      <c r="L75" s="3">
        <f>IF(G75="High",3,IF(G75="Medium",2,1))</f>
        <v>1</v>
      </c>
    </row>
    <row r="76" spans="1:12">
      <c r="A76" s="3" t="s">
        <v>1069</v>
      </c>
      <c r="B76" s="3" t="s">
        <v>374</v>
      </c>
      <c r="C76" s="3" t="s">
        <v>965</v>
      </c>
      <c r="D76" s="3" t="s">
        <v>1023</v>
      </c>
      <c r="E76" s="3" t="s">
        <v>47</v>
      </c>
      <c r="F76" s="3" t="s">
        <v>47</v>
      </c>
      <c r="G76" s="3" t="str">
        <f>INDEX(Risk_Matrix!$B$2:$D$4,MATCH(E76,Risk_Matrix!$A$2:$A$4,0),MATCH(F76,Risk_Matrix!$B$1:$D$1,0))</f>
        <v>Low</v>
      </c>
      <c r="H76" s="10">
        <v>46086</v>
      </c>
      <c r="I76" s="3" t="s">
        <v>967</v>
      </c>
      <c r="J76" s="3" t="s">
        <v>968</v>
      </c>
      <c r="K76" s="3" t="s">
        <v>1000</v>
      </c>
      <c r="L76" s="3">
        <f>IF(G76="High",3,IF(G76="Medium",2,1))</f>
        <v>1</v>
      </c>
    </row>
    <row r="77" spans="1:12">
      <c r="A77" s="3" t="s">
        <v>1070</v>
      </c>
      <c r="B77" s="3" t="s">
        <v>374</v>
      </c>
      <c r="C77" s="3" t="s">
        <v>971</v>
      </c>
      <c r="D77" s="3" t="s">
        <v>1025</v>
      </c>
      <c r="E77" s="3" t="s">
        <v>47</v>
      </c>
      <c r="F77" s="3" t="s">
        <v>942</v>
      </c>
      <c r="G77" s="3" t="str">
        <f>INDEX(Risk_Matrix!$B$2:$D$4,MATCH(E77,Risk_Matrix!$A$2:$A$4,0),MATCH(F77,Risk_Matrix!$B$1:$D$1,0))</f>
        <v>Low</v>
      </c>
      <c r="H77" s="10">
        <v>46113</v>
      </c>
      <c r="I77" s="3" t="s">
        <v>973</v>
      </c>
      <c r="J77" s="3" t="s">
        <v>974</v>
      </c>
      <c r="K77" s="3" t="s">
        <v>969</v>
      </c>
      <c r="L77" s="3">
        <f>IF(G77="High",3,IF(G77="Medium",2,1))</f>
        <v>1</v>
      </c>
    </row>
    <row r="78" spans="1:12">
      <c r="A78" s="3" t="s">
        <v>1071</v>
      </c>
      <c r="B78" s="3" t="s">
        <v>374</v>
      </c>
      <c r="C78" s="3" t="s">
        <v>976</v>
      </c>
      <c r="D78" s="3" t="s">
        <v>977</v>
      </c>
      <c r="E78" s="3" t="s">
        <v>47</v>
      </c>
      <c r="F78" s="3" t="s">
        <v>42</v>
      </c>
      <c r="G78" s="3" t="str">
        <f>INDEX(Risk_Matrix!$B$2:$D$4,MATCH(E78,Risk_Matrix!$A$2:$A$4,0),MATCH(F78,Risk_Matrix!$B$1:$D$1,0))</f>
        <v>Medium</v>
      </c>
      <c r="H78" s="10">
        <v>46234</v>
      </c>
      <c r="I78" s="3" t="s">
        <v>981</v>
      </c>
      <c r="J78" s="3" t="s">
        <v>982</v>
      </c>
      <c r="K78" s="3" t="s">
        <v>983</v>
      </c>
      <c r="L78" s="3">
        <f>IF(G78="High",3,IF(G78="Medium",2,1))</f>
        <v>2</v>
      </c>
    </row>
    <row r="79" spans="1:12">
      <c r="A79" s="3" t="s">
        <v>1072</v>
      </c>
      <c r="B79" s="3" t="s">
        <v>374</v>
      </c>
      <c r="C79" s="3" t="s">
        <v>979</v>
      </c>
      <c r="D79" s="3" t="s">
        <v>1004</v>
      </c>
      <c r="E79" s="3" t="s">
        <v>942</v>
      </c>
      <c r="F79" s="3" t="s">
        <v>47</v>
      </c>
      <c r="G79" s="3" t="str">
        <f>INDEX(Risk_Matrix!$B$2:$D$4,MATCH(E79,Risk_Matrix!$A$2:$A$4,0),MATCH(F79,Risk_Matrix!$B$1:$D$1,0))</f>
        <v>Low</v>
      </c>
      <c r="H79" s="10">
        <v>46088</v>
      </c>
      <c r="I79" s="3" t="s">
        <v>967</v>
      </c>
      <c r="J79" s="3" t="s">
        <v>968</v>
      </c>
      <c r="K79" s="3" t="s">
        <v>1000</v>
      </c>
      <c r="L79" s="3">
        <f>IF(G79="High",3,IF(G79="Medium",2,1))</f>
        <v>1</v>
      </c>
    </row>
    <row r="80" spans="1:12">
      <c r="A80" s="3" t="s">
        <v>1073</v>
      </c>
      <c r="B80" s="3" t="s">
        <v>375</v>
      </c>
      <c r="C80" s="3" t="s">
        <v>956</v>
      </c>
      <c r="D80" s="3" t="s">
        <v>1020</v>
      </c>
      <c r="E80" s="3" t="s">
        <v>47</v>
      </c>
      <c r="F80" s="3" t="s">
        <v>942</v>
      </c>
      <c r="G80" s="3" t="str">
        <f>INDEX(Risk_Matrix!$B$2:$D$4,MATCH(E80,Risk_Matrix!$A$2:$A$4,0),MATCH(F80,Risk_Matrix!$B$1:$D$1,0))</f>
        <v>Low</v>
      </c>
      <c r="H80" s="10">
        <v>46142</v>
      </c>
      <c r="I80" s="3" t="s">
        <v>981</v>
      </c>
      <c r="J80" s="3" t="s">
        <v>982</v>
      </c>
      <c r="K80" s="3" t="s">
        <v>969</v>
      </c>
      <c r="L80" s="3">
        <f>IF(G80="High",3,IF(G80="Medium",2,1))</f>
        <v>1</v>
      </c>
    </row>
    <row r="81" spans="1:12">
      <c r="A81" s="3" t="s">
        <v>1074</v>
      </c>
      <c r="B81" s="3" t="s">
        <v>375</v>
      </c>
      <c r="C81" s="3" t="s">
        <v>962</v>
      </c>
      <c r="D81" s="3" t="s">
        <v>963</v>
      </c>
      <c r="E81" s="3" t="s">
        <v>942</v>
      </c>
      <c r="F81" s="3" t="s">
        <v>47</v>
      </c>
      <c r="G81" s="3" t="str">
        <f>INDEX(Risk_Matrix!$B$2:$D$4,MATCH(E81,Risk_Matrix!$A$2:$A$4,0),MATCH(F81,Risk_Matrix!$B$1:$D$1,0))</f>
        <v>Low</v>
      </c>
      <c r="H81" s="10">
        <v>46233</v>
      </c>
      <c r="I81" s="3" t="s">
        <v>973</v>
      </c>
      <c r="J81" s="3" t="s">
        <v>974</v>
      </c>
      <c r="K81" s="3" t="s">
        <v>993</v>
      </c>
      <c r="L81" s="3">
        <f>IF(G81="High",3,IF(G81="Medium",2,1))</f>
        <v>1</v>
      </c>
    </row>
    <row r="82" spans="1:12">
      <c r="A82" s="3" t="s">
        <v>1075</v>
      </c>
      <c r="B82" s="3" t="s">
        <v>375</v>
      </c>
      <c r="C82" s="3" t="s">
        <v>965</v>
      </c>
      <c r="D82" s="3" t="s">
        <v>1023</v>
      </c>
      <c r="E82" s="3" t="s">
        <v>47</v>
      </c>
      <c r="F82" s="3" t="s">
        <v>47</v>
      </c>
      <c r="G82" s="3" t="str">
        <f>INDEX(Risk_Matrix!$B$2:$D$4,MATCH(E82,Risk_Matrix!$A$2:$A$4,0),MATCH(F82,Risk_Matrix!$B$1:$D$1,0))</f>
        <v>Low</v>
      </c>
      <c r="H82" s="10">
        <v>46117</v>
      </c>
      <c r="I82" s="3" t="s">
        <v>967</v>
      </c>
      <c r="J82" s="3" t="s">
        <v>968</v>
      </c>
      <c r="K82" s="3" t="s">
        <v>983</v>
      </c>
      <c r="L82" s="3">
        <f>IF(G82="High",3,IF(G82="Medium",2,1))</f>
        <v>1</v>
      </c>
    </row>
    <row r="83" spans="1:12">
      <c r="A83" s="3" t="s">
        <v>1076</v>
      </c>
      <c r="B83" s="3" t="s">
        <v>375</v>
      </c>
      <c r="C83" s="3" t="s">
        <v>971</v>
      </c>
      <c r="D83" s="3" t="s">
        <v>972</v>
      </c>
      <c r="E83" s="3" t="s">
        <v>942</v>
      </c>
      <c r="F83" s="3" t="s">
        <v>942</v>
      </c>
      <c r="G83" s="3" t="str">
        <f>INDEX(Risk_Matrix!$B$2:$D$4,MATCH(E83,Risk_Matrix!$A$2:$A$4,0),MATCH(F83,Risk_Matrix!$B$1:$D$1,0))</f>
        <v>Medium</v>
      </c>
      <c r="H83" s="10">
        <v>46069</v>
      </c>
      <c r="I83" s="3" t="s">
        <v>973</v>
      </c>
      <c r="J83" s="3" t="s">
        <v>974</v>
      </c>
      <c r="K83" s="3" t="s">
        <v>993</v>
      </c>
      <c r="L83" s="3">
        <f>IF(G83="High",3,IF(G83="Medium",2,1))</f>
        <v>2</v>
      </c>
    </row>
    <row r="84" spans="1:12">
      <c r="A84" s="3" t="s">
        <v>1077</v>
      </c>
      <c r="B84" s="3" t="s">
        <v>375</v>
      </c>
      <c r="C84" s="3" t="s">
        <v>976</v>
      </c>
      <c r="D84" s="3" t="s">
        <v>1002</v>
      </c>
      <c r="E84" s="3" t="s">
        <v>942</v>
      </c>
      <c r="F84" s="3" t="s">
        <v>942</v>
      </c>
      <c r="G84" s="3" t="str">
        <f>INDEX(Risk_Matrix!$B$2:$D$4,MATCH(E84,Risk_Matrix!$A$2:$A$4,0),MATCH(F84,Risk_Matrix!$B$1:$D$1,0))</f>
        <v>Medium</v>
      </c>
      <c r="H84" s="10">
        <v>46131</v>
      </c>
      <c r="I84" s="3" t="s">
        <v>967</v>
      </c>
      <c r="J84" s="3" t="s">
        <v>968</v>
      </c>
      <c r="K84" s="3" t="s">
        <v>993</v>
      </c>
      <c r="L84" s="3">
        <f>IF(G84="High",3,IF(G84="Medium",2,1))</f>
        <v>2</v>
      </c>
    </row>
    <row r="85" spans="1:12">
      <c r="A85" s="3" t="s">
        <v>1078</v>
      </c>
      <c r="B85" s="3" t="s">
        <v>375</v>
      </c>
      <c r="C85" s="3" t="s">
        <v>979</v>
      </c>
      <c r="D85" s="3" t="s">
        <v>980</v>
      </c>
      <c r="E85" s="3" t="s">
        <v>942</v>
      </c>
      <c r="F85" s="3" t="s">
        <v>47</v>
      </c>
      <c r="G85" s="3" t="str">
        <f>INDEX(Risk_Matrix!$B$2:$D$4,MATCH(E85,Risk_Matrix!$A$2:$A$4,0),MATCH(F85,Risk_Matrix!$B$1:$D$1,0))</f>
        <v>Low</v>
      </c>
      <c r="H85" s="10">
        <v>46211</v>
      </c>
      <c r="I85" s="3" t="s">
        <v>973</v>
      </c>
      <c r="J85" s="3" t="s">
        <v>974</v>
      </c>
      <c r="K85" s="3" t="s">
        <v>960</v>
      </c>
      <c r="L85" s="3">
        <f>IF(G85="High",3,IF(G85="Medium",2,1))</f>
        <v>1</v>
      </c>
    </row>
    <row r="86" spans="1:12">
      <c r="A86" s="3" t="s">
        <v>1079</v>
      </c>
      <c r="B86" s="3" t="s">
        <v>377</v>
      </c>
      <c r="C86" s="3" t="s">
        <v>956</v>
      </c>
      <c r="D86" s="3" t="s">
        <v>1020</v>
      </c>
      <c r="E86" s="3" t="s">
        <v>942</v>
      </c>
      <c r="F86" s="3" t="s">
        <v>942</v>
      </c>
      <c r="G86" s="3" t="str">
        <f>INDEX(Risk_Matrix!$B$2:$D$4,MATCH(E86,Risk_Matrix!$A$2:$A$4,0),MATCH(F86,Risk_Matrix!$B$1:$D$1,0))</f>
        <v>Medium</v>
      </c>
      <c r="H86" s="10">
        <v>46187</v>
      </c>
      <c r="I86" s="3" t="s">
        <v>981</v>
      </c>
      <c r="J86" s="3" t="s">
        <v>982</v>
      </c>
      <c r="K86" s="3" t="s">
        <v>969</v>
      </c>
      <c r="L86" s="3">
        <f>IF(G86="High",3,IF(G86="Medium",2,1))</f>
        <v>2</v>
      </c>
    </row>
    <row r="87" spans="1:12">
      <c r="A87" s="3" t="s">
        <v>1080</v>
      </c>
      <c r="B87" s="3" t="s">
        <v>377</v>
      </c>
      <c r="C87" s="3" t="s">
        <v>962</v>
      </c>
      <c r="D87" s="3" t="s">
        <v>997</v>
      </c>
      <c r="E87" s="3" t="s">
        <v>47</v>
      </c>
      <c r="F87" s="3" t="s">
        <v>47</v>
      </c>
      <c r="G87" s="3" t="str">
        <f>INDEX(Risk_Matrix!$B$2:$D$4,MATCH(E87,Risk_Matrix!$A$2:$A$4,0),MATCH(F87,Risk_Matrix!$B$1:$D$1,0))</f>
        <v>Low</v>
      </c>
      <c r="H87" s="10">
        <v>46185</v>
      </c>
      <c r="I87" s="3" t="s">
        <v>967</v>
      </c>
      <c r="J87" s="3" t="s">
        <v>968</v>
      </c>
      <c r="K87" s="3" t="s">
        <v>960</v>
      </c>
      <c r="L87" s="3">
        <f>IF(G87="High",3,IF(G87="Medium",2,1))</f>
        <v>1</v>
      </c>
    </row>
    <row r="88" spans="1:12">
      <c r="A88" s="3" t="s">
        <v>1081</v>
      </c>
      <c r="B88" s="3" t="s">
        <v>377</v>
      </c>
      <c r="C88" s="3" t="s">
        <v>965</v>
      </c>
      <c r="D88" s="3" t="s">
        <v>966</v>
      </c>
      <c r="E88" s="3" t="s">
        <v>47</v>
      </c>
      <c r="F88" s="3" t="s">
        <v>47</v>
      </c>
      <c r="G88" s="3" t="str">
        <f>INDEX(Risk_Matrix!$B$2:$D$4,MATCH(E88,Risk_Matrix!$A$2:$A$4,0),MATCH(F88,Risk_Matrix!$B$1:$D$1,0))</f>
        <v>Low</v>
      </c>
      <c r="H88" s="10">
        <v>46210</v>
      </c>
      <c r="I88" s="3" t="s">
        <v>973</v>
      </c>
      <c r="J88" s="3" t="s">
        <v>974</v>
      </c>
      <c r="K88" s="3" t="s">
        <v>1000</v>
      </c>
      <c r="L88" s="3">
        <f>IF(G88="High",3,IF(G88="Medium",2,1))</f>
        <v>1</v>
      </c>
    </row>
    <row r="89" spans="1:12">
      <c r="A89" s="3" t="s">
        <v>1082</v>
      </c>
      <c r="B89" s="3" t="s">
        <v>377</v>
      </c>
      <c r="C89" s="3" t="s">
        <v>971</v>
      </c>
      <c r="D89" s="3" t="s">
        <v>1016</v>
      </c>
      <c r="E89" s="3" t="s">
        <v>47</v>
      </c>
      <c r="F89" s="3" t="s">
        <v>42</v>
      </c>
      <c r="G89" s="3" t="str">
        <f>INDEX(Risk_Matrix!$B$2:$D$4,MATCH(E89,Risk_Matrix!$A$2:$A$4,0),MATCH(F89,Risk_Matrix!$B$1:$D$1,0))</f>
        <v>Medium</v>
      </c>
      <c r="H89" s="10">
        <v>46219</v>
      </c>
      <c r="I89" s="3" t="s">
        <v>981</v>
      </c>
      <c r="J89" s="3" t="s">
        <v>982</v>
      </c>
      <c r="K89" s="3" t="s">
        <v>993</v>
      </c>
      <c r="L89" s="3">
        <f>IF(G89="High",3,IF(G89="Medium",2,1))</f>
        <v>2</v>
      </c>
    </row>
    <row r="90" spans="1:12">
      <c r="A90" s="3" t="s">
        <v>1083</v>
      </c>
      <c r="B90" s="3" t="s">
        <v>377</v>
      </c>
      <c r="C90" s="3" t="s">
        <v>976</v>
      </c>
      <c r="D90" s="3" t="s">
        <v>991</v>
      </c>
      <c r="E90" s="3" t="s">
        <v>942</v>
      </c>
      <c r="F90" s="3" t="s">
        <v>47</v>
      </c>
      <c r="G90" s="3" t="str">
        <f>INDEX(Risk_Matrix!$B$2:$D$4,MATCH(E90,Risk_Matrix!$A$2:$A$4,0),MATCH(F90,Risk_Matrix!$B$1:$D$1,0))</f>
        <v>Low</v>
      </c>
      <c r="H90" s="10">
        <v>46171</v>
      </c>
      <c r="I90" s="3" t="s">
        <v>958</v>
      </c>
      <c r="J90" s="3" t="s">
        <v>959</v>
      </c>
      <c r="K90" s="3" t="s">
        <v>960</v>
      </c>
      <c r="L90" s="3">
        <f>IF(G90="High",3,IF(G90="Medium",2,1))</f>
        <v>1</v>
      </c>
    </row>
    <row r="91" spans="1:12">
      <c r="A91" s="3" t="s">
        <v>1084</v>
      </c>
      <c r="B91" s="3" t="s">
        <v>377</v>
      </c>
      <c r="C91" s="3" t="s">
        <v>979</v>
      </c>
      <c r="D91" s="3" t="s">
        <v>1004</v>
      </c>
      <c r="E91" s="3" t="s">
        <v>47</v>
      </c>
      <c r="F91" s="3" t="s">
        <v>47</v>
      </c>
      <c r="G91" s="3" t="str">
        <f>INDEX(Risk_Matrix!$B$2:$D$4,MATCH(E91,Risk_Matrix!$A$2:$A$4,0),MATCH(F91,Risk_Matrix!$B$1:$D$1,0))</f>
        <v>Low</v>
      </c>
      <c r="H91" s="10">
        <v>46164</v>
      </c>
      <c r="I91" s="3" t="s">
        <v>973</v>
      </c>
      <c r="J91" s="3" t="s">
        <v>974</v>
      </c>
      <c r="K91" s="3" t="s">
        <v>969</v>
      </c>
      <c r="L91" s="3">
        <f>IF(G91="High",3,IF(G91="Medium",2,1))</f>
        <v>1</v>
      </c>
    </row>
    <row r="92" spans="1:12">
      <c r="A92" s="3" t="s">
        <v>1085</v>
      </c>
      <c r="B92" s="3" t="s">
        <v>380</v>
      </c>
      <c r="C92" s="3" t="s">
        <v>956</v>
      </c>
      <c r="D92" s="3" t="s">
        <v>995</v>
      </c>
      <c r="E92" s="3" t="s">
        <v>47</v>
      </c>
      <c r="F92" s="3" t="s">
        <v>47</v>
      </c>
      <c r="G92" s="3" t="str">
        <f>INDEX(Risk_Matrix!$B$2:$D$4,MATCH(E92,Risk_Matrix!$A$2:$A$4,0),MATCH(F92,Risk_Matrix!$B$1:$D$1,0))</f>
        <v>Low</v>
      </c>
      <c r="H92" s="10">
        <v>46227</v>
      </c>
      <c r="I92" s="3" t="s">
        <v>981</v>
      </c>
      <c r="J92" s="3" t="s">
        <v>982</v>
      </c>
      <c r="K92" s="3" t="s">
        <v>993</v>
      </c>
      <c r="L92" s="3">
        <f>IF(G92="High",3,IF(G92="Medium",2,1))</f>
        <v>1</v>
      </c>
    </row>
    <row r="93" spans="1:12">
      <c r="A93" s="3" t="s">
        <v>1086</v>
      </c>
      <c r="B93" s="3" t="s">
        <v>380</v>
      </c>
      <c r="C93" s="3" t="s">
        <v>962</v>
      </c>
      <c r="D93" s="3" t="s">
        <v>1037</v>
      </c>
      <c r="E93" s="3" t="s">
        <v>942</v>
      </c>
      <c r="F93" s="3" t="s">
        <v>47</v>
      </c>
      <c r="G93" s="3" t="str">
        <f>INDEX(Risk_Matrix!$B$2:$D$4,MATCH(E93,Risk_Matrix!$A$2:$A$4,0),MATCH(F93,Risk_Matrix!$B$1:$D$1,0))</f>
        <v>Low</v>
      </c>
      <c r="H93" s="10">
        <v>46126</v>
      </c>
      <c r="I93" s="3" t="s">
        <v>973</v>
      </c>
      <c r="J93" s="3" t="s">
        <v>974</v>
      </c>
      <c r="K93" s="3" t="s">
        <v>1000</v>
      </c>
      <c r="L93" s="3">
        <f>IF(G93="High",3,IF(G93="Medium",2,1))</f>
        <v>1</v>
      </c>
    </row>
    <row r="94" spans="1:12">
      <c r="A94" s="3" t="s">
        <v>1087</v>
      </c>
      <c r="B94" s="3" t="s">
        <v>380</v>
      </c>
      <c r="C94" s="3" t="s">
        <v>965</v>
      </c>
      <c r="D94" s="3" t="s">
        <v>966</v>
      </c>
      <c r="E94" s="3" t="s">
        <v>42</v>
      </c>
      <c r="F94" s="3" t="s">
        <v>47</v>
      </c>
      <c r="G94" s="3" t="str">
        <f>INDEX(Risk_Matrix!$B$2:$D$4,MATCH(E94,Risk_Matrix!$A$2:$A$4,0),MATCH(F94,Risk_Matrix!$B$1:$D$1,0))</f>
        <v>Medium</v>
      </c>
      <c r="H94" s="10">
        <v>46192</v>
      </c>
      <c r="I94" s="3" t="s">
        <v>981</v>
      </c>
      <c r="J94" s="3" t="s">
        <v>982</v>
      </c>
      <c r="K94" s="3" t="s">
        <v>993</v>
      </c>
      <c r="L94" s="3">
        <f>IF(G94="High",3,IF(G94="Medium",2,1))</f>
        <v>2</v>
      </c>
    </row>
    <row r="95" spans="1:12">
      <c r="A95" s="3" t="s">
        <v>1088</v>
      </c>
      <c r="B95" s="3" t="s">
        <v>380</v>
      </c>
      <c r="C95" s="3" t="s">
        <v>971</v>
      </c>
      <c r="D95" s="3" t="s">
        <v>1025</v>
      </c>
      <c r="E95" s="3" t="s">
        <v>47</v>
      </c>
      <c r="F95" s="3" t="s">
        <v>47</v>
      </c>
      <c r="G95" s="3" t="str">
        <f>INDEX(Risk_Matrix!$B$2:$D$4,MATCH(E95,Risk_Matrix!$A$2:$A$4,0),MATCH(F95,Risk_Matrix!$B$1:$D$1,0))</f>
        <v>Low</v>
      </c>
      <c r="H95" s="10">
        <v>46062</v>
      </c>
      <c r="I95" s="3" t="s">
        <v>981</v>
      </c>
      <c r="J95" s="3" t="s">
        <v>982</v>
      </c>
      <c r="K95" s="3" t="s">
        <v>960</v>
      </c>
      <c r="L95" s="3">
        <f>IF(G95="High",3,IF(G95="Medium",2,1))</f>
        <v>1</v>
      </c>
    </row>
    <row r="96" spans="1:12">
      <c r="A96" s="3" t="s">
        <v>1089</v>
      </c>
      <c r="B96" s="3" t="s">
        <v>380</v>
      </c>
      <c r="C96" s="3" t="s">
        <v>976</v>
      </c>
      <c r="D96" s="3" t="s">
        <v>991</v>
      </c>
      <c r="E96" s="3" t="s">
        <v>942</v>
      </c>
      <c r="F96" s="3" t="s">
        <v>942</v>
      </c>
      <c r="G96" s="3" t="str">
        <f>INDEX(Risk_Matrix!$B$2:$D$4,MATCH(E96,Risk_Matrix!$A$2:$A$4,0),MATCH(F96,Risk_Matrix!$B$1:$D$1,0))</f>
        <v>Medium</v>
      </c>
      <c r="H96" s="10">
        <v>46060</v>
      </c>
      <c r="I96" s="3" t="s">
        <v>973</v>
      </c>
      <c r="J96" s="3" t="s">
        <v>974</v>
      </c>
      <c r="K96" s="3" t="s">
        <v>993</v>
      </c>
      <c r="L96" s="3">
        <f>IF(G96="High",3,IF(G96="Medium",2,1))</f>
        <v>2</v>
      </c>
    </row>
    <row r="97" spans="1:12">
      <c r="A97" s="3" t="s">
        <v>1090</v>
      </c>
      <c r="B97" s="3" t="s">
        <v>380</v>
      </c>
      <c r="C97" s="3" t="s">
        <v>979</v>
      </c>
      <c r="D97" s="3" t="s">
        <v>1004</v>
      </c>
      <c r="E97" s="3" t="s">
        <v>47</v>
      </c>
      <c r="F97" s="3" t="s">
        <v>42</v>
      </c>
      <c r="G97" s="3" t="str">
        <f>INDEX(Risk_Matrix!$B$2:$D$4,MATCH(E97,Risk_Matrix!$A$2:$A$4,0),MATCH(F97,Risk_Matrix!$B$1:$D$1,0))</f>
        <v>Medium</v>
      </c>
      <c r="H97" s="10">
        <v>46093</v>
      </c>
      <c r="I97" s="3" t="s">
        <v>967</v>
      </c>
      <c r="J97" s="3" t="s">
        <v>968</v>
      </c>
      <c r="K97" s="3" t="s">
        <v>960</v>
      </c>
      <c r="L97" s="3">
        <f>IF(G97="High",3,IF(G97="Medium",2,1))</f>
        <v>2</v>
      </c>
    </row>
    <row r="98" spans="1:12">
      <c r="A98" s="3" t="s">
        <v>1091</v>
      </c>
      <c r="B98" s="3" t="s">
        <v>383</v>
      </c>
      <c r="C98" s="3" t="s">
        <v>956</v>
      </c>
      <c r="D98" s="3" t="s">
        <v>1020</v>
      </c>
      <c r="E98" s="3" t="s">
        <v>942</v>
      </c>
      <c r="F98" s="3" t="s">
        <v>942</v>
      </c>
      <c r="G98" s="3" t="str">
        <f>INDEX(Risk_Matrix!$B$2:$D$4,MATCH(E98,Risk_Matrix!$A$2:$A$4,0),MATCH(F98,Risk_Matrix!$B$1:$D$1,0))</f>
        <v>Medium</v>
      </c>
      <c r="H98" s="10">
        <v>46063</v>
      </c>
      <c r="I98" s="3" t="s">
        <v>967</v>
      </c>
      <c r="J98" s="3" t="s">
        <v>968</v>
      </c>
      <c r="K98" s="3" t="s">
        <v>983</v>
      </c>
      <c r="L98" s="3">
        <f>IF(G98="High",3,IF(G98="Medium",2,1))</f>
        <v>2</v>
      </c>
    </row>
    <row r="99" spans="1:12">
      <c r="A99" s="3" t="s">
        <v>1092</v>
      </c>
      <c r="B99" s="3" t="s">
        <v>383</v>
      </c>
      <c r="C99" s="3" t="s">
        <v>962</v>
      </c>
      <c r="D99" s="3" t="s">
        <v>997</v>
      </c>
      <c r="E99" s="3" t="s">
        <v>42</v>
      </c>
      <c r="F99" s="3" t="s">
        <v>47</v>
      </c>
      <c r="G99" s="3" t="str">
        <f>INDEX(Risk_Matrix!$B$2:$D$4,MATCH(E99,Risk_Matrix!$A$2:$A$4,0),MATCH(F99,Risk_Matrix!$B$1:$D$1,0))</f>
        <v>Medium</v>
      </c>
      <c r="H99" s="10">
        <v>46227</v>
      </c>
      <c r="I99" s="3" t="s">
        <v>967</v>
      </c>
      <c r="J99" s="3" t="s">
        <v>968</v>
      </c>
      <c r="K99" s="3" t="s">
        <v>993</v>
      </c>
      <c r="L99" s="3">
        <f>IF(G99="High",3,IF(G99="Medium",2,1))</f>
        <v>2</v>
      </c>
    </row>
    <row r="100" spans="1:12">
      <c r="A100" s="3" t="s">
        <v>1093</v>
      </c>
      <c r="B100" s="3" t="s">
        <v>383</v>
      </c>
      <c r="C100" s="3" t="s">
        <v>965</v>
      </c>
      <c r="D100" s="3" t="s">
        <v>966</v>
      </c>
      <c r="E100" s="3" t="s">
        <v>942</v>
      </c>
      <c r="F100" s="3" t="s">
        <v>47</v>
      </c>
      <c r="G100" s="3" t="str">
        <f>INDEX(Risk_Matrix!$B$2:$D$4,MATCH(E100,Risk_Matrix!$A$2:$A$4,0),MATCH(F100,Risk_Matrix!$B$1:$D$1,0))</f>
        <v>Low</v>
      </c>
      <c r="H100" s="10">
        <v>46104</v>
      </c>
      <c r="I100" s="3" t="s">
        <v>981</v>
      </c>
      <c r="J100" s="3" t="s">
        <v>982</v>
      </c>
      <c r="K100" s="3" t="s">
        <v>1000</v>
      </c>
      <c r="L100" s="3">
        <f>IF(G100="High",3,IF(G100="Medium",2,1))</f>
        <v>1</v>
      </c>
    </row>
    <row r="101" spans="1:12">
      <c r="A101" s="3" t="s">
        <v>1094</v>
      </c>
      <c r="B101" s="3" t="s">
        <v>383</v>
      </c>
      <c r="C101" s="3" t="s">
        <v>971</v>
      </c>
      <c r="D101" s="3" t="s">
        <v>1016</v>
      </c>
      <c r="E101" s="3" t="s">
        <v>942</v>
      </c>
      <c r="F101" s="3" t="s">
        <v>42</v>
      </c>
      <c r="G101" s="3" t="str">
        <f>INDEX(Risk_Matrix!$B$2:$D$4,MATCH(E101,Risk_Matrix!$A$2:$A$4,0),MATCH(F101,Risk_Matrix!$B$1:$D$1,0))</f>
        <v>High</v>
      </c>
      <c r="H101" s="10">
        <v>46152</v>
      </c>
      <c r="I101" s="3" t="s">
        <v>967</v>
      </c>
      <c r="J101" s="3" t="s">
        <v>968</v>
      </c>
      <c r="K101" s="3" t="s">
        <v>1000</v>
      </c>
      <c r="L101" s="3">
        <f>IF(G101="High",3,IF(G101="Medium",2,1))</f>
        <v>3</v>
      </c>
    </row>
    <row r="102" spans="1:12">
      <c r="A102" s="3" t="s">
        <v>1095</v>
      </c>
      <c r="B102" s="3" t="s">
        <v>383</v>
      </c>
      <c r="C102" s="3" t="s">
        <v>976</v>
      </c>
      <c r="D102" s="3" t="s">
        <v>1002</v>
      </c>
      <c r="E102" s="3" t="s">
        <v>942</v>
      </c>
      <c r="F102" s="3" t="s">
        <v>942</v>
      </c>
      <c r="G102" s="3" t="str">
        <f>INDEX(Risk_Matrix!$B$2:$D$4,MATCH(E102,Risk_Matrix!$A$2:$A$4,0),MATCH(F102,Risk_Matrix!$B$1:$D$1,0))</f>
        <v>Medium</v>
      </c>
      <c r="H102" s="10">
        <v>46175</v>
      </c>
      <c r="I102" s="3" t="s">
        <v>967</v>
      </c>
      <c r="J102" s="3" t="s">
        <v>968</v>
      </c>
      <c r="K102" s="3" t="s">
        <v>960</v>
      </c>
      <c r="L102" s="3">
        <f>IF(G102="High",3,IF(G102="Medium",2,1))</f>
        <v>2</v>
      </c>
    </row>
    <row r="103" spans="1:12">
      <c r="A103" s="3" t="s">
        <v>1096</v>
      </c>
      <c r="B103" s="3" t="s">
        <v>383</v>
      </c>
      <c r="C103" s="3" t="s">
        <v>979</v>
      </c>
      <c r="D103" s="3" t="s">
        <v>1028</v>
      </c>
      <c r="E103" s="3" t="s">
        <v>942</v>
      </c>
      <c r="F103" s="3" t="s">
        <v>942</v>
      </c>
      <c r="G103" s="3" t="str">
        <f>INDEX(Risk_Matrix!$B$2:$D$4,MATCH(E103,Risk_Matrix!$A$2:$A$4,0),MATCH(F103,Risk_Matrix!$B$1:$D$1,0))</f>
        <v>Medium</v>
      </c>
      <c r="H103" s="10">
        <v>46096</v>
      </c>
      <c r="I103" s="3" t="s">
        <v>973</v>
      </c>
      <c r="J103" s="3" t="s">
        <v>974</v>
      </c>
      <c r="K103" s="3" t="s">
        <v>1000</v>
      </c>
      <c r="L103" s="3">
        <f>IF(G103="High",3,IF(G103="Medium",2,1))</f>
        <v>2</v>
      </c>
    </row>
    <row r="104" spans="1:12">
      <c r="A104" s="3" t="s">
        <v>1097</v>
      </c>
      <c r="B104" s="3" t="s">
        <v>385</v>
      </c>
      <c r="C104" s="3" t="s">
        <v>956</v>
      </c>
      <c r="D104" s="3" t="s">
        <v>957</v>
      </c>
      <c r="E104" s="3" t="s">
        <v>47</v>
      </c>
      <c r="F104" s="3" t="s">
        <v>42</v>
      </c>
      <c r="G104" s="3" t="str">
        <f>INDEX(Risk_Matrix!$B$2:$D$4,MATCH(E104,Risk_Matrix!$A$2:$A$4,0),MATCH(F104,Risk_Matrix!$B$1:$D$1,0))</f>
        <v>Medium</v>
      </c>
      <c r="H104" s="10">
        <v>46118</v>
      </c>
      <c r="I104" s="3" t="s">
        <v>967</v>
      </c>
      <c r="J104" s="3" t="s">
        <v>968</v>
      </c>
      <c r="K104" s="3" t="s">
        <v>960</v>
      </c>
      <c r="L104" s="3">
        <f>IF(G104="High",3,IF(G104="Medium",2,1))</f>
        <v>2</v>
      </c>
    </row>
    <row r="105" spans="1:12">
      <c r="A105" s="3" t="s">
        <v>1098</v>
      </c>
      <c r="B105" s="3" t="s">
        <v>385</v>
      </c>
      <c r="C105" s="3" t="s">
        <v>962</v>
      </c>
      <c r="D105" s="3" t="s">
        <v>1037</v>
      </c>
      <c r="E105" s="3" t="s">
        <v>47</v>
      </c>
      <c r="F105" s="3" t="s">
        <v>47</v>
      </c>
      <c r="G105" s="3" t="str">
        <f>INDEX(Risk_Matrix!$B$2:$D$4,MATCH(E105,Risk_Matrix!$A$2:$A$4,0),MATCH(F105,Risk_Matrix!$B$1:$D$1,0))</f>
        <v>Low</v>
      </c>
      <c r="H105" s="10">
        <v>46167</v>
      </c>
      <c r="I105" s="3" t="s">
        <v>973</v>
      </c>
      <c r="J105" s="3" t="s">
        <v>974</v>
      </c>
      <c r="K105" s="3" t="s">
        <v>993</v>
      </c>
      <c r="L105" s="3">
        <f>IF(G105="High",3,IF(G105="Medium",2,1))</f>
        <v>1</v>
      </c>
    </row>
    <row r="106" spans="1:12">
      <c r="A106" s="3" t="s">
        <v>1099</v>
      </c>
      <c r="B106" s="3" t="s">
        <v>385</v>
      </c>
      <c r="C106" s="3" t="s">
        <v>965</v>
      </c>
      <c r="D106" s="3" t="s">
        <v>1039</v>
      </c>
      <c r="E106" s="3" t="s">
        <v>942</v>
      </c>
      <c r="F106" s="3" t="s">
        <v>47</v>
      </c>
      <c r="G106" s="3" t="str">
        <f>INDEX(Risk_Matrix!$B$2:$D$4,MATCH(E106,Risk_Matrix!$A$2:$A$4,0),MATCH(F106,Risk_Matrix!$B$1:$D$1,0))</f>
        <v>Low</v>
      </c>
      <c r="H106" s="10">
        <v>46218</v>
      </c>
      <c r="I106" s="3" t="s">
        <v>981</v>
      </c>
      <c r="J106" s="3" t="s">
        <v>982</v>
      </c>
      <c r="K106" s="3" t="s">
        <v>960</v>
      </c>
      <c r="L106" s="3">
        <f>IF(G106="High",3,IF(G106="Medium",2,1))</f>
        <v>1</v>
      </c>
    </row>
    <row r="107" spans="1:12">
      <c r="A107" s="3" t="s">
        <v>1100</v>
      </c>
      <c r="B107" s="3" t="s">
        <v>385</v>
      </c>
      <c r="C107" s="3" t="s">
        <v>971</v>
      </c>
      <c r="D107" s="3" t="s">
        <v>1025</v>
      </c>
      <c r="E107" s="3" t="s">
        <v>942</v>
      </c>
      <c r="F107" s="3" t="s">
        <v>47</v>
      </c>
      <c r="G107" s="3" t="str">
        <f>INDEX(Risk_Matrix!$B$2:$D$4,MATCH(E107,Risk_Matrix!$A$2:$A$4,0),MATCH(F107,Risk_Matrix!$B$1:$D$1,0))</f>
        <v>Low</v>
      </c>
      <c r="H107" s="10">
        <v>46124</v>
      </c>
      <c r="I107" s="3" t="s">
        <v>981</v>
      </c>
      <c r="J107" s="3" t="s">
        <v>982</v>
      </c>
      <c r="K107" s="3" t="s">
        <v>969</v>
      </c>
      <c r="L107" s="3">
        <f>IF(G107="High",3,IF(G107="Medium",2,1))</f>
        <v>1</v>
      </c>
    </row>
    <row r="108" spans="1:12">
      <c r="A108" s="3" t="s">
        <v>1101</v>
      </c>
      <c r="B108" s="3" t="s">
        <v>385</v>
      </c>
      <c r="C108" s="3" t="s">
        <v>976</v>
      </c>
      <c r="D108" s="3" t="s">
        <v>977</v>
      </c>
      <c r="E108" s="3" t="s">
        <v>42</v>
      </c>
      <c r="F108" s="3" t="s">
        <v>942</v>
      </c>
      <c r="G108" s="3" t="str">
        <f>INDEX(Risk_Matrix!$B$2:$D$4,MATCH(E108,Risk_Matrix!$A$2:$A$4,0),MATCH(F108,Risk_Matrix!$B$1:$D$1,0))</f>
        <v>High</v>
      </c>
      <c r="H108" s="10">
        <v>46135</v>
      </c>
      <c r="I108" s="3" t="s">
        <v>973</v>
      </c>
      <c r="J108" s="3" t="s">
        <v>974</v>
      </c>
      <c r="K108" s="3" t="s">
        <v>960</v>
      </c>
      <c r="L108" s="3">
        <f>IF(G108="High",3,IF(G108="Medium",2,1))</f>
        <v>3</v>
      </c>
    </row>
    <row r="109" spans="1:12">
      <c r="A109" s="3" t="s">
        <v>1102</v>
      </c>
      <c r="B109" s="3" t="s">
        <v>385</v>
      </c>
      <c r="C109" s="3" t="s">
        <v>979</v>
      </c>
      <c r="D109" s="3" t="s">
        <v>1004</v>
      </c>
      <c r="E109" s="3" t="s">
        <v>942</v>
      </c>
      <c r="F109" s="3" t="s">
        <v>47</v>
      </c>
      <c r="G109" s="3" t="str">
        <f>INDEX(Risk_Matrix!$B$2:$D$4,MATCH(E109,Risk_Matrix!$A$2:$A$4,0),MATCH(F109,Risk_Matrix!$B$1:$D$1,0))</f>
        <v>Low</v>
      </c>
      <c r="H109" s="10">
        <v>46084</v>
      </c>
      <c r="I109" s="3" t="s">
        <v>973</v>
      </c>
      <c r="J109" s="3" t="s">
        <v>974</v>
      </c>
      <c r="K109" s="3" t="s">
        <v>1000</v>
      </c>
      <c r="L109" s="3">
        <f>IF(G109="High",3,IF(G109="Medium",2,1))</f>
        <v>1</v>
      </c>
    </row>
    <row r="110" spans="1:12">
      <c r="A110" s="3" t="s">
        <v>1103</v>
      </c>
      <c r="B110" s="3" t="s">
        <v>387</v>
      </c>
      <c r="C110" s="3" t="s">
        <v>956</v>
      </c>
      <c r="D110" s="3" t="s">
        <v>995</v>
      </c>
      <c r="E110" s="3" t="s">
        <v>42</v>
      </c>
      <c r="F110" s="3" t="s">
        <v>942</v>
      </c>
      <c r="G110" s="3" t="str">
        <f>INDEX(Risk_Matrix!$B$2:$D$4,MATCH(E110,Risk_Matrix!$A$2:$A$4,0),MATCH(F110,Risk_Matrix!$B$1:$D$1,0))</f>
        <v>High</v>
      </c>
      <c r="H110" s="10">
        <v>46122</v>
      </c>
      <c r="I110" s="3" t="s">
        <v>967</v>
      </c>
      <c r="J110" s="3" t="s">
        <v>968</v>
      </c>
      <c r="K110" s="3" t="s">
        <v>969</v>
      </c>
      <c r="L110" s="3">
        <f>IF(G110="High",3,IF(G110="Medium",2,1))</f>
        <v>3</v>
      </c>
    </row>
    <row r="111" spans="1:12">
      <c r="A111" s="3" t="s">
        <v>1104</v>
      </c>
      <c r="B111" s="3" t="s">
        <v>387</v>
      </c>
      <c r="C111" s="3" t="s">
        <v>962</v>
      </c>
      <c r="D111" s="3" t="s">
        <v>986</v>
      </c>
      <c r="E111" s="3" t="s">
        <v>942</v>
      </c>
      <c r="F111" s="3" t="s">
        <v>942</v>
      </c>
      <c r="G111" s="3" t="str">
        <f>INDEX(Risk_Matrix!$B$2:$D$4,MATCH(E111,Risk_Matrix!$A$2:$A$4,0),MATCH(F111,Risk_Matrix!$B$1:$D$1,0))</f>
        <v>Medium</v>
      </c>
      <c r="H111" s="10">
        <v>46154</v>
      </c>
      <c r="I111" s="3" t="s">
        <v>981</v>
      </c>
      <c r="J111" s="3" t="s">
        <v>982</v>
      </c>
      <c r="K111" s="3" t="s">
        <v>1000</v>
      </c>
      <c r="L111" s="3">
        <f>IF(G111="High",3,IF(G111="Medium",2,1))</f>
        <v>2</v>
      </c>
    </row>
    <row r="112" spans="1:12">
      <c r="A112" s="3" t="s">
        <v>1105</v>
      </c>
      <c r="B112" s="3" t="s">
        <v>387</v>
      </c>
      <c r="C112" s="3" t="s">
        <v>965</v>
      </c>
      <c r="D112" s="3" t="s">
        <v>988</v>
      </c>
      <c r="E112" s="3" t="s">
        <v>942</v>
      </c>
      <c r="F112" s="3" t="s">
        <v>47</v>
      </c>
      <c r="G112" s="3" t="str">
        <f>INDEX(Risk_Matrix!$B$2:$D$4,MATCH(E112,Risk_Matrix!$A$2:$A$4,0),MATCH(F112,Risk_Matrix!$B$1:$D$1,0))</f>
        <v>Low</v>
      </c>
      <c r="H112" s="10">
        <v>46214</v>
      </c>
      <c r="I112" s="3" t="s">
        <v>967</v>
      </c>
      <c r="J112" s="3" t="s">
        <v>968</v>
      </c>
      <c r="K112" s="3" t="s">
        <v>983</v>
      </c>
      <c r="L112" s="3">
        <f>IF(G112="High",3,IF(G112="Medium",2,1))</f>
        <v>1</v>
      </c>
    </row>
    <row r="113" spans="1:12">
      <c r="A113" s="3" t="s">
        <v>1106</v>
      </c>
      <c r="B113" s="3" t="s">
        <v>387</v>
      </c>
      <c r="C113" s="3" t="s">
        <v>971</v>
      </c>
      <c r="D113" s="3" t="s">
        <v>972</v>
      </c>
      <c r="E113" s="3" t="s">
        <v>47</v>
      </c>
      <c r="F113" s="3" t="s">
        <v>942</v>
      </c>
      <c r="G113" s="3" t="str">
        <f>INDEX(Risk_Matrix!$B$2:$D$4,MATCH(E113,Risk_Matrix!$A$2:$A$4,0),MATCH(F113,Risk_Matrix!$B$1:$D$1,0))</f>
        <v>Low</v>
      </c>
      <c r="H113" s="10">
        <v>46164</v>
      </c>
      <c r="I113" s="3" t="s">
        <v>958</v>
      </c>
      <c r="J113" s="3" t="s">
        <v>959</v>
      </c>
      <c r="K113" s="3" t="s">
        <v>1000</v>
      </c>
      <c r="L113" s="3">
        <f>IF(G113="High",3,IF(G113="Medium",2,1))</f>
        <v>1</v>
      </c>
    </row>
    <row r="114" spans="1:12">
      <c r="A114" s="3" t="s">
        <v>1107</v>
      </c>
      <c r="B114" s="3" t="s">
        <v>387</v>
      </c>
      <c r="C114" s="3" t="s">
        <v>976</v>
      </c>
      <c r="D114" s="3" t="s">
        <v>1002</v>
      </c>
      <c r="E114" s="3" t="s">
        <v>47</v>
      </c>
      <c r="F114" s="3" t="s">
        <v>47</v>
      </c>
      <c r="G114" s="3" t="str">
        <f>INDEX(Risk_Matrix!$B$2:$D$4,MATCH(E114,Risk_Matrix!$A$2:$A$4,0),MATCH(F114,Risk_Matrix!$B$1:$D$1,0))</f>
        <v>Low</v>
      </c>
      <c r="H114" s="10">
        <v>46112</v>
      </c>
      <c r="I114" s="3" t="s">
        <v>981</v>
      </c>
      <c r="J114" s="3" t="s">
        <v>982</v>
      </c>
      <c r="K114" s="3" t="s">
        <v>983</v>
      </c>
      <c r="L114" s="3">
        <f>IF(G114="High",3,IF(G114="Medium",2,1))</f>
        <v>1</v>
      </c>
    </row>
    <row r="115" spans="1:12">
      <c r="A115" s="3" t="s">
        <v>1108</v>
      </c>
      <c r="B115" s="3" t="s">
        <v>387</v>
      </c>
      <c r="C115" s="3" t="s">
        <v>979</v>
      </c>
      <c r="D115" s="3" t="s">
        <v>980</v>
      </c>
      <c r="E115" s="3" t="s">
        <v>942</v>
      </c>
      <c r="F115" s="3" t="s">
        <v>47</v>
      </c>
      <c r="G115" s="3" t="str">
        <f>INDEX(Risk_Matrix!$B$2:$D$4,MATCH(E115,Risk_Matrix!$A$2:$A$4,0),MATCH(F115,Risk_Matrix!$B$1:$D$1,0))</f>
        <v>Low</v>
      </c>
      <c r="H115" s="10">
        <v>46188</v>
      </c>
      <c r="I115" s="3" t="s">
        <v>973</v>
      </c>
      <c r="J115" s="3" t="s">
        <v>974</v>
      </c>
      <c r="K115" s="3" t="s">
        <v>983</v>
      </c>
      <c r="L115" s="3">
        <f>IF(G115="High",3,IF(G115="Medium",2,1))</f>
        <v>1</v>
      </c>
    </row>
    <row r="116" spans="1:12">
      <c r="A116" s="3" t="s">
        <v>1109</v>
      </c>
      <c r="B116" s="3" t="s">
        <v>390</v>
      </c>
      <c r="C116" s="3" t="s">
        <v>956</v>
      </c>
      <c r="D116" s="3" t="s">
        <v>957</v>
      </c>
      <c r="E116" s="3" t="s">
        <v>42</v>
      </c>
      <c r="F116" s="3" t="s">
        <v>47</v>
      </c>
      <c r="G116" s="3" t="str">
        <f>INDEX(Risk_Matrix!$B$2:$D$4,MATCH(E116,Risk_Matrix!$A$2:$A$4,0),MATCH(F116,Risk_Matrix!$B$1:$D$1,0))</f>
        <v>Medium</v>
      </c>
      <c r="H116" s="10">
        <v>46190</v>
      </c>
      <c r="I116" s="3" t="s">
        <v>967</v>
      </c>
      <c r="J116" s="3" t="s">
        <v>968</v>
      </c>
      <c r="K116" s="3" t="s">
        <v>969</v>
      </c>
      <c r="L116" s="3">
        <f>IF(G116="High",3,IF(G116="Medium",2,1))</f>
        <v>2</v>
      </c>
    </row>
    <row r="117" spans="1:12">
      <c r="A117" s="3" t="s">
        <v>1110</v>
      </c>
      <c r="B117" s="3" t="s">
        <v>390</v>
      </c>
      <c r="C117" s="3" t="s">
        <v>962</v>
      </c>
      <c r="D117" s="3" t="s">
        <v>963</v>
      </c>
      <c r="E117" s="3" t="s">
        <v>942</v>
      </c>
      <c r="F117" s="3" t="s">
        <v>47</v>
      </c>
      <c r="G117" s="3" t="str">
        <f>INDEX(Risk_Matrix!$B$2:$D$4,MATCH(E117,Risk_Matrix!$A$2:$A$4,0),MATCH(F117,Risk_Matrix!$B$1:$D$1,0))</f>
        <v>Low</v>
      </c>
      <c r="H117" s="10">
        <v>46066</v>
      </c>
      <c r="I117" s="3" t="s">
        <v>967</v>
      </c>
      <c r="J117" s="3" t="s">
        <v>968</v>
      </c>
      <c r="K117" s="3" t="s">
        <v>1000</v>
      </c>
      <c r="L117" s="3">
        <f>IF(G117="High",3,IF(G117="Medium",2,1))</f>
        <v>1</v>
      </c>
    </row>
    <row r="118" spans="1:12">
      <c r="A118" s="3" t="s">
        <v>1111</v>
      </c>
      <c r="B118" s="3" t="s">
        <v>390</v>
      </c>
      <c r="C118" s="3" t="s">
        <v>965</v>
      </c>
      <c r="D118" s="3" t="s">
        <v>1023</v>
      </c>
      <c r="E118" s="3" t="s">
        <v>942</v>
      </c>
      <c r="F118" s="3" t="s">
        <v>47</v>
      </c>
      <c r="G118" s="3" t="str">
        <f>INDEX(Risk_Matrix!$B$2:$D$4,MATCH(E118,Risk_Matrix!$A$2:$A$4,0),MATCH(F118,Risk_Matrix!$B$1:$D$1,0))</f>
        <v>Low</v>
      </c>
      <c r="H118" s="10">
        <v>46109</v>
      </c>
      <c r="I118" s="3" t="s">
        <v>967</v>
      </c>
      <c r="J118" s="3" t="s">
        <v>968</v>
      </c>
      <c r="K118" s="3" t="s">
        <v>983</v>
      </c>
      <c r="L118" s="3">
        <f>IF(G118="High",3,IF(G118="Medium",2,1))</f>
        <v>1</v>
      </c>
    </row>
    <row r="119" spans="1:12">
      <c r="A119" s="3" t="s">
        <v>1112</v>
      </c>
      <c r="B119" s="3" t="s">
        <v>390</v>
      </c>
      <c r="C119" s="3" t="s">
        <v>971</v>
      </c>
      <c r="D119" s="3" t="s">
        <v>1025</v>
      </c>
      <c r="E119" s="3" t="s">
        <v>47</v>
      </c>
      <c r="F119" s="3" t="s">
        <v>942</v>
      </c>
      <c r="G119" s="3" t="str">
        <f>INDEX(Risk_Matrix!$B$2:$D$4,MATCH(E119,Risk_Matrix!$A$2:$A$4,0),MATCH(F119,Risk_Matrix!$B$1:$D$1,0))</f>
        <v>Low</v>
      </c>
      <c r="H119" s="10">
        <v>46128</v>
      </c>
      <c r="I119" s="3" t="s">
        <v>967</v>
      </c>
      <c r="J119" s="3" t="s">
        <v>968</v>
      </c>
      <c r="K119" s="3" t="s">
        <v>1000</v>
      </c>
      <c r="L119" s="3">
        <f>IF(G119="High",3,IF(G119="Medium",2,1))</f>
        <v>1</v>
      </c>
    </row>
    <row r="120" spans="1:12">
      <c r="A120" s="3" t="s">
        <v>1113</v>
      </c>
      <c r="B120" s="3" t="s">
        <v>390</v>
      </c>
      <c r="C120" s="3" t="s">
        <v>976</v>
      </c>
      <c r="D120" s="3" t="s">
        <v>991</v>
      </c>
      <c r="E120" s="3" t="s">
        <v>42</v>
      </c>
      <c r="F120" s="3" t="s">
        <v>942</v>
      </c>
      <c r="G120" s="3" t="str">
        <f>INDEX(Risk_Matrix!$B$2:$D$4,MATCH(E120,Risk_Matrix!$A$2:$A$4,0),MATCH(F120,Risk_Matrix!$B$1:$D$1,0))</f>
        <v>High</v>
      </c>
      <c r="H120" s="10">
        <v>46061</v>
      </c>
      <c r="I120" s="3" t="s">
        <v>981</v>
      </c>
      <c r="J120" s="3" t="s">
        <v>982</v>
      </c>
      <c r="K120" s="3" t="s">
        <v>1000</v>
      </c>
      <c r="L120" s="3">
        <f>IF(G120="High",3,IF(G120="Medium",2,1))</f>
        <v>3</v>
      </c>
    </row>
    <row r="121" spans="1:12">
      <c r="A121" s="3" t="s">
        <v>1114</v>
      </c>
      <c r="B121" s="3" t="s">
        <v>390</v>
      </c>
      <c r="C121" s="3" t="s">
        <v>979</v>
      </c>
      <c r="D121" s="3" t="s">
        <v>1004</v>
      </c>
      <c r="E121" s="3" t="s">
        <v>942</v>
      </c>
      <c r="F121" s="3" t="s">
        <v>47</v>
      </c>
      <c r="G121" s="3" t="str">
        <f>INDEX(Risk_Matrix!$B$2:$D$4,MATCH(E121,Risk_Matrix!$A$2:$A$4,0),MATCH(F121,Risk_Matrix!$B$1:$D$1,0))</f>
        <v>Low</v>
      </c>
      <c r="H121" s="10">
        <v>46085</v>
      </c>
      <c r="I121" s="3" t="s">
        <v>973</v>
      </c>
      <c r="J121" s="3" t="s">
        <v>974</v>
      </c>
      <c r="K121" s="3" t="s">
        <v>1000</v>
      </c>
      <c r="L121" s="3">
        <f>IF(G121="High",3,IF(G121="Medium",2,1))</f>
        <v>1</v>
      </c>
    </row>
    <row r="122" spans="1:12">
      <c r="A122" s="3" t="s">
        <v>1115</v>
      </c>
      <c r="B122" s="3" t="s">
        <v>392</v>
      </c>
      <c r="C122" s="3" t="s">
        <v>956</v>
      </c>
      <c r="D122" s="3" t="s">
        <v>995</v>
      </c>
      <c r="E122" s="3" t="s">
        <v>942</v>
      </c>
      <c r="F122" s="3" t="s">
        <v>47</v>
      </c>
      <c r="G122" s="3" t="str">
        <f>INDEX(Risk_Matrix!$B$2:$D$4,MATCH(E122,Risk_Matrix!$A$2:$A$4,0),MATCH(F122,Risk_Matrix!$B$1:$D$1,0))</f>
        <v>Low</v>
      </c>
      <c r="H122" s="10">
        <v>46061</v>
      </c>
      <c r="I122" s="3" t="s">
        <v>958</v>
      </c>
      <c r="J122" s="3" t="s">
        <v>959</v>
      </c>
      <c r="K122" s="3" t="s">
        <v>983</v>
      </c>
      <c r="L122" s="3">
        <f>IF(G122="High",3,IF(G122="Medium",2,1))</f>
        <v>1</v>
      </c>
    </row>
    <row r="123" spans="1:12">
      <c r="A123" s="3" t="s">
        <v>1116</v>
      </c>
      <c r="B123" s="3" t="s">
        <v>392</v>
      </c>
      <c r="C123" s="3" t="s">
        <v>962</v>
      </c>
      <c r="D123" s="3" t="s">
        <v>986</v>
      </c>
      <c r="E123" s="3" t="s">
        <v>47</v>
      </c>
      <c r="F123" s="3" t="s">
        <v>47</v>
      </c>
      <c r="G123" s="3" t="str">
        <f>INDEX(Risk_Matrix!$B$2:$D$4,MATCH(E123,Risk_Matrix!$A$2:$A$4,0),MATCH(F123,Risk_Matrix!$B$1:$D$1,0))</f>
        <v>Low</v>
      </c>
      <c r="H123" s="10">
        <v>46204</v>
      </c>
      <c r="I123" s="3" t="s">
        <v>973</v>
      </c>
      <c r="J123" s="3" t="s">
        <v>974</v>
      </c>
      <c r="K123" s="3" t="s">
        <v>983</v>
      </c>
      <c r="L123" s="3">
        <f>IF(G123="High",3,IF(G123="Medium",2,1))</f>
        <v>1</v>
      </c>
    </row>
    <row r="124" spans="1:12">
      <c r="A124" s="3" t="s">
        <v>1117</v>
      </c>
      <c r="B124" s="3" t="s">
        <v>392</v>
      </c>
      <c r="C124" s="3" t="s">
        <v>965</v>
      </c>
      <c r="D124" s="3" t="s">
        <v>988</v>
      </c>
      <c r="E124" s="3" t="s">
        <v>942</v>
      </c>
      <c r="F124" s="3" t="s">
        <v>42</v>
      </c>
      <c r="G124" s="3" t="str">
        <f>INDEX(Risk_Matrix!$B$2:$D$4,MATCH(E124,Risk_Matrix!$A$2:$A$4,0),MATCH(F124,Risk_Matrix!$B$1:$D$1,0))</f>
        <v>High</v>
      </c>
      <c r="H124" s="10">
        <v>46059</v>
      </c>
      <c r="I124" s="3" t="s">
        <v>967</v>
      </c>
      <c r="J124" s="3" t="s">
        <v>968</v>
      </c>
      <c r="K124" s="3" t="s">
        <v>1000</v>
      </c>
      <c r="L124" s="3">
        <f>IF(G124="High",3,IF(G124="Medium",2,1))</f>
        <v>3</v>
      </c>
    </row>
    <row r="125" spans="1:12">
      <c r="A125" s="3" t="s">
        <v>1118</v>
      </c>
      <c r="B125" s="3" t="s">
        <v>392</v>
      </c>
      <c r="C125" s="3" t="s">
        <v>971</v>
      </c>
      <c r="D125" s="3" t="s">
        <v>1025</v>
      </c>
      <c r="E125" s="3" t="s">
        <v>942</v>
      </c>
      <c r="F125" s="3" t="s">
        <v>42</v>
      </c>
      <c r="G125" s="3" t="str">
        <f>INDEX(Risk_Matrix!$B$2:$D$4,MATCH(E125,Risk_Matrix!$A$2:$A$4,0),MATCH(F125,Risk_Matrix!$B$1:$D$1,0))</f>
        <v>High</v>
      </c>
      <c r="H125" s="10">
        <v>46187</v>
      </c>
      <c r="I125" s="3" t="s">
        <v>967</v>
      </c>
      <c r="J125" s="3" t="s">
        <v>968</v>
      </c>
      <c r="K125" s="3" t="s">
        <v>983</v>
      </c>
      <c r="L125" s="3">
        <f>IF(G125="High",3,IF(G125="Medium",2,1))</f>
        <v>3</v>
      </c>
    </row>
    <row r="126" spans="1:12">
      <c r="A126" s="3" t="s">
        <v>1119</v>
      </c>
      <c r="B126" s="3" t="s">
        <v>392</v>
      </c>
      <c r="C126" s="3" t="s">
        <v>976</v>
      </c>
      <c r="D126" s="3" t="s">
        <v>1002</v>
      </c>
      <c r="E126" s="3" t="s">
        <v>942</v>
      </c>
      <c r="F126" s="3" t="s">
        <v>942</v>
      </c>
      <c r="G126" s="3" t="str">
        <f>INDEX(Risk_Matrix!$B$2:$D$4,MATCH(E126,Risk_Matrix!$A$2:$A$4,0),MATCH(F126,Risk_Matrix!$B$1:$D$1,0))</f>
        <v>Medium</v>
      </c>
      <c r="H126" s="10">
        <v>46205</v>
      </c>
      <c r="I126" s="3" t="s">
        <v>981</v>
      </c>
      <c r="J126" s="3" t="s">
        <v>982</v>
      </c>
      <c r="K126" s="3" t="s">
        <v>983</v>
      </c>
      <c r="L126" s="3">
        <f>IF(G126="High",3,IF(G126="Medium",2,1))</f>
        <v>2</v>
      </c>
    </row>
    <row r="127" spans="1:12">
      <c r="A127" s="3" t="s">
        <v>1120</v>
      </c>
      <c r="B127" s="3" t="s">
        <v>392</v>
      </c>
      <c r="C127" s="3" t="s">
        <v>979</v>
      </c>
      <c r="D127" s="3" t="s">
        <v>980</v>
      </c>
      <c r="E127" s="3" t="s">
        <v>942</v>
      </c>
      <c r="F127" s="3" t="s">
        <v>942</v>
      </c>
      <c r="G127" s="3" t="str">
        <f>INDEX(Risk_Matrix!$B$2:$D$4,MATCH(E127,Risk_Matrix!$A$2:$A$4,0),MATCH(F127,Risk_Matrix!$B$1:$D$1,0))</f>
        <v>Medium</v>
      </c>
      <c r="H127" s="10">
        <v>46148</v>
      </c>
      <c r="I127" s="3" t="s">
        <v>967</v>
      </c>
      <c r="J127" s="3" t="s">
        <v>968</v>
      </c>
      <c r="K127" s="3" t="s">
        <v>1000</v>
      </c>
      <c r="L127" s="3">
        <f>IF(G127="High",3,IF(G127="Medium",2,1))</f>
        <v>2</v>
      </c>
    </row>
    <row r="128" spans="1:12">
      <c r="A128" s="3" t="s">
        <v>1121</v>
      </c>
      <c r="B128" s="3" t="s">
        <v>395</v>
      </c>
      <c r="C128" s="3" t="s">
        <v>956</v>
      </c>
      <c r="D128" s="3" t="s">
        <v>1012</v>
      </c>
      <c r="E128" s="3" t="s">
        <v>942</v>
      </c>
      <c r="F128" s="3" t="s">
        <v>42</v>
      </c>
      <c r="G128" s="3" t="str">
        <f>INDEX(Risk_Matrix!$B$2:$D$4,MATCH(E128,Risk_Matrix!$A$2:$A$4,0),MATCH(F128,Risk_Matrix!$B$1:$D$1,0))</f>
        <v>High</v>
      </c>
      <c r="H128" s="10">
        <v>46066</v>
      </c>
      <c r="I128" s="3" t="s">
        <v>967</v>
      </c>
      <c r="J128" s="3" t="s">
        <v>968</v>
      </c>
      <c r="K128" s="3" t="s">
        <v>1000</v>
      </c>
      <c r="L128" s="3">
        <f>IF(G128="High",3,IF(G128="Medium",2,1))</f>
        <v>3</v>
      </c>
    </row>
    <row r="129" spans="1:12">
      <c r="A129" s="3" t="s">
        <v>1122</v>
      </c>
      <c r="B129" s="3" t="s">
        <v>395</v>
      </c>
      <c r="C129" s="3" t="s">
        <v>962</v>
      </c>
      <c r="D129" s="3" t="s">
        <v>986</v>
      </c>
      <c r="E129" s="3" t="s">
        <v>42</v>
      </c>
      <c r="F129" s="3" t="s">
        <v>47</v>
      </c>
      <c r="G129" s="3" t="str">
        <f>INDEX(Risk_Matrix!$B$2:$D$4,MATCH(E129,Risk_Matrix!$A$2:$A$4,0),MATCH(F129,Risk_Matrix!$B$1:$D$1,0))</f>
        <v>Medium</v>
      </c>
      <c r="H129" s="10">
        <v>46211</v>
      </c>
      <c r="I129" s="3" t="s">
        <v>973</v>
      </c>
      <c r="J129" s="3" t="s">
        <v>974</v>
      </c>
      <c r="K129" s="3" t="s">
        <v>993</v>
      </c>
      <c r="L129" s="3">
        <f>IF(G129="High",3,IF(G129="Medium",2,1))</f>
        <v>2</v>
      </c>
    </row>
    <row r="130" spans="1:12">
      <c r="A130" s="3" t="s">
        <v>1123</v>
      </c>
      <c r="B130" s="3" t="s">
        <v>395</v>
      </c>
      <c r="C130" s="3" t="s">
        <v>965</v>
      </c>
      <c r="D130" s="3" t="s">
        <v>988</v>
      </c>
      <c r="E130" s="3" t="s">
        <v>47</v>
      </c>
      <c r="F130" s="3" t="s">
        <v>942</v>
      </c>
      <c r="G130" s="3" t="str">
        <f>INDEX(Risk_Matrix!$B$2:$D$4,MATCH(E130,Risk_Matrix!$A$2:$A$4,0),MATCH(F130,Risk_Matrix!$B$1:$D$1,0))</f>
        <v>Low</v>
      </c>
      <c r="H130" s="10">
        <v>46197</v>
      </c>
      <c r="I130" s="3" t="s">
        <v>973</v>
      </c>
      <c r="J130" s="3" t="s">
        <v>974</v>
      </c>
      <c r="K130" s="3" t="s">
        <v>969</v>
      </c>
      <c r="L130" s="3">
        <f>IF(G130="High",3,IF(G130="Medium",2,1))</f>
        <v>1</v>
      </c>
    </row>
    <row r="131" spans="1:12">
      <c r="A131" s="3" t="s">
        <v>1124</v>
      </c>
      <c r="B131" s="3" t="s">
        <v>395</v>
      </c>
      <c r="C131" s="3" t="s">
        <v>971</v>
      </c>
      <c r="D131" s="3" t="s">
        <v>1016</v>
      </c>
      <c r="E131" s="3" t="s">
        <v>47</v>
      </c>
      <c r="F131" s="3" t="s">
        <v>942</v>
      </c>
      <c r="G131" s="3" t="str">
        <f>INDEX(Risk_Matrix!$B$2:$D$4,MATCH(E131,Risk_Matrix!$A$2:$A$4,0),MATCH(F131,Risk_Matrix!$B$1:$D$1,0))</f>
        <v>Low</v>
      </c>
      <c r="H131" s="10">
        <v>46163</v>
      </c>
      <c r="I131" s="3" t="s">
        <v>967</v>
      </c>
      <c r="J131" s="3" t="s">
        <v>968</v>
      </c>
      <c r="K131" s="3" t="s">
        <v>983</v>
      </c>
      <c r="L131" s="3">
        <f>IF(G131="High",3,IF(G131="Medium",2,1))</f>
        <v>1</v>
      </c>
    </row>
    <row r="132" spans="1:12">
      <c r="A132" s="3" t="s">
        <v>1125</v>
      </c>
      <c r="B132" s="3" t="s">
        <v>395</v>
      </c>
      <c r="C132" s="3" t="s">
        <v>976</v>
      </c>
      <c r="D132" s="3" t="s">
        <v>1002</v>
      </c>
      <c r="E132" s="3" t="s">
        <v>47</v>
      </c>
      <c r="F132" s="3" t="s">
        <v>942</v>
      </c>
      <c r="G132" s="3" t="str">
        <f>INDEX(Risk_Matrix!$B$2:$D$4,MATCH(E132,Risk_Matrix!$A$2:$A$4,0),MATCH(F132,Risk_Matrix!$B$1:$D$1,0))</f>
        <v>Low</v>
      </c>
      <c r="H132" s="10">
        <v>46066</v>
      </c>
      <c r="I132" s="3" t="s">
        <v>973</v>
      </c>
      <c r="J132" s="3" t="s">
        <v>974</v>
      </c>
      <c r="K132" s="3" t="s">
        <v>1000</v>
      </c>
      <c r="L132" s="3">
        <f>IF(G132="High",3,IF(G132="Medium",2,1))</f>
        <v>1</v>
      </c>
    </row>
    <row r="133" spans="1:12">
      <c r="A133" s="3" t="s">
        <v>1126</v>
      </c>
      <c r="B133" s="3" t="s">
        <v>395</v>
      </c>
      <c r="C133" s="3" t="s">
        <v>979</v>
      </c>
      <c r="D133" s="3" t="s">
        <v>1004</v>
      </c>
      <c r="E133" s="3" t="s">
        <v>942</v>
      </c>
      <c r="F133" s="3" t="s">
        <v>942</v>
      </c>
      <c r="G133" s="3" t="str">
        <f>INDEX(Risk_Matrix!$B$2:$D$4,MATCH(E133,Risk_Matrix!$A$2:$A$4,0),MATCH(F133,Risk_Matrix!$B$1:$D$1,0))</f>
        <v>Medium</v>
      </c>
      <c r="H133" s="10">
        <v>46060</v>
      </c>
      <c r="I133" s="3" t="s">
        <v>973</v>
      </c>
      <c r="J133" s="3" t="s">
        <v>974</v>
      </c>
      <c r="K133" s="3" t="s">
        <v>969</v>
      </c>
      <c r="L133" s="3">
        <f>IF(G133="High",3,IF(G133="Medium",2,1))</f>
        <v>2</v>
      </c>
    </row>
    <row r="134" spans="1:12">
      <c r="A134" s="3" t="s">
        <v>1127</v>
      </c>
      <c r="B134" s="3" t="s">
        <v>397</v>
      </c>
      <c r="C134" s="3" t="s">
        <v>956</v>
      </c>
      <c r="D134" s="3" t="s">
        <v>957</v>
      </c>
      <c r="E134" s="3" t="s">
        <v>42</v>
      </c>
      <c r="F134" s="3" t="s">
        <v>47</v>
      </c>
      <c r="G134" s="3" t="str">
        <f>INDEX(Risk_Matrix!$B$2:$D$4,MATCH(E134,Risk_Matrix!$A$2:$A$4,0),MATCH(F134,Risk_Matrix!$B$1:$D$1,0))</f>
        <v>Medium</v>
      </c>
      <c r="H134" s="10">
        <v>46063</v>
      </c>
      <c r="I134" s="3" t="s">
        <v>958</v>
      </c>
      <c r="J134" s="3" t="s">
        <v>959</v>
      </c>
      <c r="K134" s="3" t="s">
        <v>969</v>
      </c>
      <c r="L134" s="3">
        <f>IF(G134="High",3,IF(G134="Medium",2,1))</f>
        <v>2</v>
      </c>
    </row>
    <row r="135" spans="1:12">
      <c r="A135" s="3" t="s">
        <v>1128</v>
      </c>
      <c r="B135" s="3" t="s">
        <v>397</v>
      </c>
      <c r="C135" s="3" t="s">
        <v>962</v>
      </c>
      <c r="D135" s="3" t="s">
        <v>963</v>
      </c>
      <c r="E135" s="3" t="s">
        <v>47</v>
      </c>
      <c r="F135" s="3" t="s">
        <v>47</v>
      </c>
      <c r="G135" s="3" t="str">
        <f>INDEX(Risk_Matrix!$B$2:$D$4,MATCH(E135,Risk_Matrix!$A$2:$A$4,0),MATCH(F135,Risk_Matrix!$B$1:$D$1,0))</f>
        <v>Low</v>
      </c>
      <c r="H135" s="10">
        <v>46125</v>
      </c>
      <c r="I135" s="3" t="s">
        <v>967</v>
      </c>
      <c r="J135" s="3" t="s">
        <v>968</v>
      </c>
      <c r="K135" s="3" t="s">
        <v>983</v>
      </c>
      <c r="L135" s="3">
        <f>IF(G135="High",3,IF(G135="Medium",2,1))</f>
        <v>1</v>
      </c>
    </row>
    <row r="136" spans="1:12">
      <c r="A136" s="3" t="s">
        <v>1129</v>
      </c>
      <c r="B136" s="3" t="s">
        <v>397</v>
      </c>
      <c r="C136" s="3" t="s">
        <v>965</v>
      </c>
      <c r="D136" s="3" t="s">
        <v>966</v>
      </c>
      <c r="E136" s="3" t="s">
        <v>942</v>
      </c>
      <c r="F136" s="3" t="s">
        <v>942</v>
      </c>
      <c r="G136" s="3" t="str">
        <f>INDEX(Risk_Matrix!$B$2:$D$4,MATCH(E136,Risk_Matrix!$A$2:$A$4,0),MATCH(F136,Risk_Matrix!$B$1:$D$1,0))</f>
        <v>Medium</v>
      </c>
      <c r="H136" s="10">
        <v>46189</v>
      </c>
      <c r="I136" s="3" t="s">
        <v>967</v>
      </c>
      <c r="J136" s="3" t="s">
        <v>968</v>
      </c>
      <c r="K136" s="3" t="s">
        <v>969</v>
      </c>
      <c r="L136" s="3">
        <f>IF(G136="High",3,IF(G136="Medium",2,1))</f>
        <v>2</v>
      </c>
    </row>
    <row r="137" spans="1:12">
      <c r="A137" s="3" t="s">
        <v>1130</v>
      </c>
      <c r="B137" s="3" t="s">
        <v>397</v>
      </c>
      <c r="C137" s="3" t="s">
        <v>971</v>
      </c>
      <c r="D137" s="3" t="s">
        <v>1025</v>
      </c>
      <c r="E137" s="3" t="s">
        <v>47</v>
      </c>
      <c r="F137" s="3" t="s">
        <v>942</v>
      </c>
      <c r="G137" s="3" t="str">
        <f>INDEX(Risk_Matrix!$B$2:$D$4,MATCH(E137,Risk_Matrix!$A$2:$A$4,0),MATCH(F137,Risk_Matrix!$B$1:$D$1,0))</f>
        <v>Low</v>
      </c>
      <c r="H137" s="10">
        <v>46194</v>
      </c>
      <c r="I137" s="3" t="s">
        <v>973</v>
      </c>
      <c r="J137" s="3" t="s">
        <v>974</v>
      </c>
      <c r="K137" s="3" t="s">
        <v>1000</v>
      </c>
      <c r="L137" s="3">
        <f>IF(G137="High",3,IF(G137="Medium",2,1))</f>
        <v>1</v>
      </c>
    </row>
    <row r="138" spans="1:12">
      <c r="A138" s="3" t="s">
        <v>1131</v>
      </c>
      <c r="B138" s="3" t="s">
        <v>397</v>
      </c>
      <c r="C138" s="3" t="s">
        <v>976</v>
      </c>
      <c r="D138" s="3" t="s">
        <v>977</v>
      </c>
      <c r="E138" s="3" t="s">
        <v>47</v>
      </c>
      <c r="F138" s="3" t="s">
        <v>47</v>
      </c>
      <c r="G138" s="3" t="str">
        <f>INDEX(Risk_Matrix!$B$2:$D$4,MATCH(E138,Risk_Matrix!$A$2:$A$4,0),MATCH(F138,Risk_Matrix!$B$1:$D$1,0))</f>
        <v>Low</v>
      </c>
      <c r="H138" s="10">
        <v>46205</v>
      </c>
      <c r="I138" s="3" t="s">
        <v>967</v>
      </c>
      <c r="J138" s="3" t="s">
        <v>968</v>
      </c>
      <c r="K138" s="3" t="s">
        <v>983</v>
      </c>
      <c r="L138" s="3">
        <f>IF(G138="High",3,IF(G138="Medium",2,1))</f>
        <v>1</v>
      </c>
    </row>
    <row r="139" spans="1:12">
      <c r="A139" s="3" t="s">
        <v>1132</v>
      </c>
      <c r="B139" s="3" t="s">
        <v>397</v>
      </c>
      <c r="C139" s="3" t="s">
        <v>979</v>
      </c>
      <c r="D139" s="3" t="s">
        <v>980</v>
      </c>
      <c r="E139" s="3" t="s">
        <v>942</v>
      </c>
      <c r="F139" s="3" t="s">
        <v>47</v>
      </c>
      <c r="G139" s="3" t="str">
        <f>INDEX(Risk_Matrix!$B$2:$D$4,MATCH(E139,Risk_Matrix!$A$2:$A$4,0),MATCH(F139,Risk_Matrix!$B$1:$D$1,0))</f>
        <v>Low</v>
      </c>
      <c r="H139" s="10">
        <v>46199</v>
      </c>
      <c r="I139" s="3" t="s">
        <v>967</v>
      </c>
      <c r="J139" s="3" t="s">
        <v>968</v>
      </c>
      <c r="K139" s="3" t="s">
        <v>993</v>
      </c>
      <c r="L139" s="3">
        <f>IF(G139="High",3,IF(G139="Medium",2,1))</f>
        <v>1</v>
      </c>
    </row>
    <row r="140" spans="1:12">
      <c r="A140" s="3" t="s">
        <v>1133</v>
      </c>
      <c r="B140" s="3" t="s">
        <v>399</v>
      </c>
      <c r="C140" s="3" t="s">
        <v>956</v>
      </c>
      <c r="D140" s="3" t="s">
        <v>1020</v>
      </c>
      <c r="E140" s="3" t="s">
        <v>42</v>
      </c>
      <c r="F140" s="3" t="s">
        <v>942</v>
      </c>
      <c r="G140" s="3" t="str">
        <f>INDEX(Risk_Matrix!$B$2:$D$4,MATCH(E140,Risk_Matrix!$A$2:$A$4,0),MATCH(F140,Risk_Matrix!$B$1:$D$1,0))</f>
        <v>High</v>
      </c>
      <c r="H140" s="10">
        <v>46078</v>
      </c>
      <c r="I140" s="3" t="s">
        <v>981</v>
      </c>
      <c r="J140" s="3" t="s">
        <v>982</v>
      </c>
      <c r="K140" s="3" t="s">
        <v>1000</v>
      </c>
      <c r="L140" s="3">
        <f>IF(G140="High",3,IF(G140="Medium",2,1))</f>
        <v>3</v>
      </c>
    </row>
    <row r="141" spans="1:12">
      <c r="A141" s="3" t="s">
        <v>1134</v>
      </c>
      <c r="B141" s="3" t="s">
        <v>399</v>
      </c>
      <c r="C141" s="3" t="s">
        <v>962</v>
      </c>
      <c r="D141" s="3" t="s">
        <v>986</v>
      </c>
      <c r="E141" s="3" t="s">
        <v>47</v>
      </c>
      <c r="F141" s="3" t="s">
        <v>942</v>
      </c>
      <c r="G141" s="3" t="str">
        <f>INDEX(Risk_Matrix!$B$2:$D$4,MATCH(E141,Risk_Matrix!$A$2:$A$4,0),MATCH(F141,Risk_Matrix!$B$1:$D$1,0))</f>
        <v>Low</v>
      </c>
      <c r="H141" s="10">
        <v>46157</v>
      </c>
      <c r="I141" s="3" t="s">
        <v>973</v>
      </c>
      <c r="J141" s="3" t="s">
        <v>974</v>
      </c>
      <c r="K141" s="3" t="s">
        <v>1000</v>
      </c>
      <c r="L141" s="3">
        <f>IF(G141="High",3,IF(G141="Medium",2,1))</f>
        <v>1</v>
      </c>
    </row>
    <row r="142" spans="1:12">
      <c r="A142" s="3" t="s">
        <v>1135</v>
      </c>
      <c r="B142" s="3" t="s">
        <v>399</v>
      </c>
      <c r="C142" s="3" t="s">
        <v>965</v>
      </c>
      <c r="D142" s="3" t="s">
        <v>1039</v>
      </c>
      <c r="E142" s="3" t="s">
        <v>42</v>
      </c>
      <c r="F142" s="3" t="s">
        <v>942</v>
      </c>
      <c r="G142" s="3" t="str">
        <f>INDEX(Risk_Matrix!$B$2:$D$4,MATCH(E142,Risk_Matrix!$A$2:$A$4,0),MATCH(F142,Risk_Matrix!$B$1:$D$1,0))</f>
        <v>High</v>
      </c>
      <c r="H142" s="10">
        <v>46198</v>
      </c>
      <c r="I142" s="3" t="s">
        <v>981</v>
      </c>
      <c r="J142" s="3" t="s">
        <v>982</v>
      </c>
      <c r="K142" s="3" t="s">
        <v>960</v>
      </c>
      <c r="L142" s="3">
        <f>IF(G142="High",3,IF(G142="Medium",2,1))</f>
        <v>3</v>
      </c>
    </row>
    <row r="143" spans="1:12">
      <c r="A143" s="3" t="s">
        <v>1136</v>
      </c>
      <c r="B143" s="3" t="s">
        <v>399</v>
      </c>
      <c r="C143" s="3" t="s">
        <v>971</v>
      </c>
      <c r="D143" s="3" t="s">
        <v>1016</v>
      </c>
      <c r="E143" s="3" t="s">
        <v>942</v>
      </c>
      <c r="F143" s="3" t="s">
        <v>47</v>
      </c>
      <c r="G143" s="3" t="str">
        <f>INDEX(Risk_Matrix!$B$2:$D$4,MATCH(E143,Risk_Matrix!$A$2:$A$4,0),MATCH(F143,Risk_Matrix!$B$1:$D$1,0))</f>
        <v>Low</v>
      </c>
      <c r="H143" s="10">
        <v>46184</v>
      </c>
      <c r="I143" s="3" t="s">
        <v>973</v>
      </c>
      <c r="J143" s="3" t="s">
        <v>974</v>
      </c>
      <c r="K143" s="3" t="s">
        <v>969</v>
      </c>
      <c r="L143" s="3">
        <f>IF(G143="High",3,IF(G143="Medium",2,1))</f>
        <v>1</v>
      </c>
    </row>
    <row r="144" spans="1:12">
      <c r="A144" s="3" t="s">
        <v>1137</v>
      </c>
      <c r="B144" s="3" t="s">
        <v>399</v>
      </c>
      <c r="C144" s="3" t="s">
        <v>976</v>
      </c>
      <c r="D144" s="3" t="s">
        <v>991</v>
      </c>
      <c r="E144" s="3" t="s">
        <v>47</v>
      </c>
      <c r="F144" s="3" t="s">
        <v>47</v>
      </c>
      <c r="G144" s="3" t="str">
        <f>INDEX(Risk_Matrix!$B$2:$D$4,MATCH(E144,Risk_Matrix!$A$2:$A$4,0),MATCH(F144,Risk_Matrix!$B$1:$D$1,0))</f>
        <v>Low</v>
      </c>
      <c r="H144" s="10">
        <v>46103</v>
      </c>
      <c r="I144" s="3" t="s">
        <v>981</v>
      </c>
      <c r="J144" s="3" t="s">
        <v>982</v>
      </c>
      <c r="K144" s="3" t="s">
        <v>960</v>
      </c>
      <c r="L144" s="3">
        <f>IF(G144="High",3,IF(G144="Medium",2,1))</f>
        <v>1</v>
      </c>
    </row>
    <row r="145" spans="1:12">
      <c r="A145" s="3" t="s">
        <v>1138</v>
      </c>
      <c r="B145" s="3" t="s">
        <v>399</v>
      </c>
      <c r="C145" s="3" t="s">
        <v>979</v>
      </c>
      <c r="D145" s="3" t="s">
        <v>980</v>
      </c>
      <c r="E145" s="3" t="s">
        <v>942</v>
      </c>
      <c r="F145" s="3" t="s">
        <v>42</v>
      </c>
      <c r="G145" s="3" t="str">
        <f>INDEX(Risk_Matrix!$B$2:$D$4,MATCH(E145,Risk_Matrix!$A$2:$A$4,0),MATCH(F145,Risk_Matrix!$B$1:$D$1,0))</f>
        <v>High</v>
      </c>
      <c r="H145" s="10">
        <v>46067</v>
      </c>
      <c r="I145" s="3" t="s">
        <v>973</v>
      </c>
      <c r="J145" s="3" t="s">
        <v>974</v>
      </c>
      <c r="K145" s="3" t="s">
        <v>969</v>
      </c>
      <c r="L145" s="3">
        <f>IF(G145="High",3,IF(G145="Medium",2,1))</f>
        <v>3</v>
      </c>
    </row>
    <row r="146" spans="1:12">
      <c r="A146" s="3" t="s">
        <v>1139</v>
      </c>
      <c r="B146" s="3" t="s">
        <v>402</v>
      </c>
      <c r="C146" s="3" t="s">
        <v>956</v>
      </c>
      <c r="D146" s="3" t="s">
        <v>1012</v>
      </c>
      <c r="E146" s="3" t="s">
        <v>47</v>
      </c>
      <c r="F146" s="3" t="s">
        <v>942</v>
      </c>
      <c r="G146" s="3" t="str">
        <f>INDEX(Risk_Matrix!$B$2:$D$4,MATCH(E146,Risk_Matrix!$A$2:$A$4,0),MATCH(F146,Risk_Matrix!$B$1:$D$1,0))</f>
        <v>Low</v>
      </c>
      <c r="H146" s="10">
        <v>46176</v>
      </c>
      <c r="I146" s="3" t="s">
        <v>981</v>
      </c>
      <c r="J146" s="3" t="s">
        <v>982</v>
      </c>
      <c r="K146" s="3" t="s">
        <v>993</v>
      </c>
      <c r="L146" s="3">
        <f>IF(G146="High",3,IF(G146="Medium",2,1))</f>
        <v>1</v>
      </c>
    </row>
    <row r="147" spans="1:12">
      <c r="A147" s="3" t="s">
        <v>1140</v>
      </c>
      <c r="B147" s="3" t="s">
        <v>402</v>
      </c>
      <c r="C147" s="3" t="s">
        <v>962</v>
      </c>
      <c r="D147" s="3" t="s">
        <v>986</v>
      </c>
      <c r="E147" s="3" t="s">
        <v>47</v>
      </c>
      <c r="F147" s="3" t="s">
        <v>942</v>
      </c>
      <c r="G147" s="3" t="str">
        <f>INDEX(Risk_Matrix!$B$2:$D$4,MATCH(E147,Risk_Matrix!$A$2:$A$4,0),MATCH(F147,Risk_Matrix!$B$1:$D$1,0))</f>
        <v>Low</v>
      </c>
      <c r="H147" s="10">
        <v>46173</v>
      </c>
      <c r="I147" s="3" t="s">
        <v>973</v>
      </c>
      <c r="J147" s="3" t="s">
        <v>974</v>
      </c>
      <c r="K147" s="3" t="s">
        <v>1000</v>
      </c>
      <c r="L147" s="3">
        <f>IF(G147="High",3,IF(G147="Medium",2,1))</f>
        <v>1</v>
      </c>
    </row>
    <row r="148" spans="1:12">
      <c r="A148" s="3" t="s">
        <v>1141</v>
      </c>
      <c r="B148" s="3" t="s">
        <v>402</v>
      </c>
      <c r="C148" s="3" t="s">
        <v>965</v>
      </c>
      <c r="D148" s="3" t="s">
        <v>966</v>
      </c>
      <c r="E148" s="3" t="s">
        <v>47</v>
      </c>
      <c r="F148" s="3" t="s">
        <v>942</v>
      </c>
      <c r="G148" s="3" t="str">
        <f>INDEX(Risk_Matrix!$B$2:$D$4,MATCH(E148,Risk_Matrix!$A$2:$A$4,0),MATCH(F148,Risk_Matrix!$B$1:$D$1,0))</f>
        <v>Low</v>
      </c>
      <c r="H148" s="10">
        <v>46107</v>
      </c>
      <c r="I148" s="3" t="s">
        <v>981</v>
      </c>
      <c r="J148" s="3" t="s">
        <v>982</v>
      </c>
      <c r="K148" s="3" t="s">
        <v>1000</v>
      </c>
      <c r="L148" s="3">
        <f>IF(G148="High",3,IF(G148="Medium",2,1))</f>
        <v>1</v>
      </c>
    </row>
    <row r="149" spans="1:12">
      <c r="A149" s="3" t="s">
        <v>1142</v>
      </c>
      <c r="B149" s="3" t="s">
        <v>402</v>
      </c>
      <c r="C149" s="3" t="s">
        <v>971</v>
      </c>
      <c r="D149" s="3" t="s">
        <v>1025</v>
      </c>
      <c r="E149" s="3" t="s">
        <v>47</v>
      </c>
      <c r="F149" s="3" t="s">
        <v>47</v>
      </c>
      <c r="G149" s="3" t="str">
        <f>INDEX(Risk_Matrix!$B$2:$D$4,MATCH(E149,Risk_Matrix!$A$2:$A$4,0),MATCH(F149,Risk_Matrix!$B$1:$D$1,0))</f>
        <v>Low</v>
      </c>
      <c r="H149" s="10">
        <v>46156</v>
      </c>
      <c r="I149" s="3" t="s">
        <v>967</v>
      </c>
      <c r="J149" s="3" t="s">
        <v>968</v>
      </c>
      <c r="K149" s="3" t="s">
        <v>1000</v>
      </c>
      <c r="L149" s="3">
        <f>IF(G149="High",3,IF(G149="Medium",2,1))</f>
        <v>1</v>
      </c>
    </row>
    <row r="150" spans="1:12">
      <c r="A150" s="3" t="s">
        <v>1143</v>
      </c>
      <c r="B150" s="3" t="s">
        <v>402</v>
      </c>
      <c r="C150" s="3" t="s">
        <v>976</v>
      </c>
      <c r="D150" s="3" t="s">
        <v>977</v>
      </c>
      <c r="E150" s="3" t="s">
        <v>42</v>
      </c>
      <c r="F150" s="3" t="s">
        <v>47</v>
      </c>
      <c r="G150" s="3" t="str">
        <f>INDEX(Risk_Matrix!$B$2:$D$4,MATCH(E150,Risk_Matrix!$A$2:$A$4,0),MATCH(F150,Risk_Matrix!$B$1:$D$1,0))</f>
        <v>Medium</v>
      </c>
      <c r="H150" s="10">
        <v>46101</v>
      </c>
      <c r="I150" s="3" t="s">
        <v>958</v>
      </c>
      <c r="J150" s="3" t="s">
        <v>959</v>
      </c>
      <c r="K150" s="3" t="s">
        <v>1000</v>
      </c>
      <c r="L150" s="3">
        <f>IF(G150="High",3,IF(G150="Medium",2,1))</f>
        <v>2</v>
      </c>
    </row>
    <row r="151" spans="1:12">
      <c r="A151" s="3" t="s">
        <v>1144</v>
      </c>
      <c r="B151" s="3" t="s">
        <v>402</v>
      </c>
      <c r="C151" s="3" t="s">
        <v>979</v>
      </c>
      <c r="D151" s="3" t="s">
        <v>1004</v>
      </c>
      <c r="E151" s="3" t="s">
        <v>942</v>
      </c>
      <c r="F151" s="3" t="s">
        <v>47</v>
      </c>
      <c r="G151" s="3" t="str">
        <f>INDEX(Risk_Matrix!$B$2:$D$4,MATCH(E151,Risk_Matrix!$A$2:$A$4,0),MATCH(F151,Risk_Matrix!$B$1:$D$1,0))</f>
        <v>Low</v>
      </c>
      <c r="H151" s="10">
        <v>46184</v>
      </c>
      <c r="I151" s="3" t="s">
        <v>967</v>
      </c>
      <c r="J151" s="3" t="s">
        <v>968</v>
      </c>
      <c r="K151" s="3" t="s">
        <v>960</v>
      </c>
      <c r="L151" s="3">
        <f>IF(G151="High",3,IF(G151="Medium",2,1))</f>
        <v>1</v>
      </c>
    </row>
    <row r="152" spans="1:12">
      <c r="A152" s="3" t="s">
        <v>1145</v>
      </c>
      <c r="B152" s="3" t="s">
        <v>404</v>
      </c>
      <c r="C152" s="3" t="s">
        <v>956</v>
      </c>
      <c r="D152" s="3" t="s">
        <v>957</v>
      </c>
      <c r="E152" s="3" t="s">
        <v>47</v>
      </c>
      <c r="F152" s="3" t="s">
        <v>942</v>
      </c>
      <c r="G152" s="3" t="str">
        <f>INDEX(Risk_Matrix!$B$2:$D$4,MATCH(E152,Risk_Matrix!$A$2:$A$4,0),MATCH(F152,Risk_Matrix!$B$1:$D$1,0))</f>
        <v>Low</v>
      </c>
      <c r="H152" s="10">
        <v>46127</v>
      </c>
      <c r="I152" s="3" t="s">
        <v>981</v>
      </c>
      <c r="J152" s="3" t="s">
        <v>982</v>
      </c>
      <c r="K152" s="3" t="s">
        <v>993</v>
      </c>
      <c r="L152" s="3">
        <f>IF(G152="High",3,IF(G152="Medium",2,1))</f>
        <v>1</v>
      </c>
    </row>
    <row r="153" spans="1:12">
      <c r="A153" s="3" t="s">
        <v>1146</v>
      </c>
      <c r="B153" s="3" t="s">
        <v>404</v>
      </c>
      <c r="C153" s="3" t="s">
        <v>962</v>
      </c>
      <c r="D153" s="3" t="s">
        <v>1037</v>
      </c>
      <c r="E153" s="3" t="s">
        <v>47</v>
      </c>
      <c r="F153" s="3" t="s">
        <v>942</v>
      </c>
      <c r="G153" s="3" t="str">
        <f>INDEX(Risk_Matrix!$B$2:$D$4,MATCH(E153,Risk_Matrix!$A$2:$A$4,0),MATCH(F153,Risk_Matrix!$B$1:$D$1,0))</f>
        <v>Low</v>
      </c>
      <c r="H153" s="10">
        <v>46220</v>
      </c>
      <c r="I153" s="3" t="s">
        <v>973</v>
      </c>
      <c r="J153" s="3" t="s">
        <v>974</v>
      </c>
      <c r="K153" s="3" t="s">
        <v>993</v>
      </c>
      <c r="L153" s="3">
        <f>IF(G153="High",3,IF(G153="Medium",2,1))</f>
        <v>1</v>
      </c>
    </row>
    <row r="154" spans="1:12">
      <c r="A154" s="3" t="s">
        <v>1147</v>
      </c>
      <c r="B154" s="3" t="s">
        <v>404</v>
      </c>
      <c r="C154" s="3" t="s">
        <v>965</v>
      </c>
      <c r="D154" s="3" t="s">
        <v>1039</v>
      </c>
      <c r="E154" s="3" t="s">
        <v>942</v>
      </c>
      <c r="F154" s="3" t="s">
        <v>942</v>
      </c>
      <c r="G154" s="3" t="str">
        <f>INDEX(Risk_Matrix!$B$2:$D$4,MATCH(E154,Risk_Matrix!$A$2:$A$4,0),MATCH(F154,Risk_Matrix!$B$1:$D$1,0))</f>
        <v>Medium</v>
      </c>
      <c r="H154" s="10">
        <v>46180</v>
      </c>
      <c r="I154" s="3" t="s">
        <v>967</v>
      </c>
      <c r="J154" s="3" t="s">
        <v>968</v>
      </c>
      <c r="K154" s="3" t="s">
        <v>969</v>
      </c>
      <c r="L154" s="3">
        <f>IF(G154="High",3,IF(G154="Medium",2,1))</f>
        <v>2</v>
      </c>
    </row>
    <row r="155" spans="1:12">
      <c r="A155" s="3" t="s">
        <v>1148</v>
      </c>
      <c r="B155" s="3" t="s">
        <v>404</v>
      </c>
      <c r="C155" s="3" t="s">
        <v>971</v>
      </c>
      <c r="D155" s="3" t="s">
        <v>1025</v>
      </c>
      <c r="E155" s="3" t="s">
        <v>47</v>
      </c>
      <c r="F155" s="3" t="s">
        <v>942</v>
      </c>
      <c r="G155" s="3" t="str">
        <f>INDEX(Risk_Matrix!$B$2:$D$4,MATCH(E155,Risk_Matrix!$A$2:$A$4,0),MATCH(F155,Risk_Matrix!$B$1:$D$1,0))</f>
        <v>Low</v>
      </c>
      <c r="H155" s="10">
        <v>46234</v>
      </c>
      <c r="I155" s="3" t="s">
        <v>967</v>
      </c>
      <c r="J155" s="3" t="s">
        <v>968</v>
      </c>
      <c r="K155" s="3" t="s">
        <v>960</v>
      </c>
      <c r="L155" s="3">
        <f>IF(G155="High",3,IF(G155="Medium",2,1))</f>
        <v>1</v>
      </c>
    </row>
    <row r="156" spans="1:12">
      <c r="A156" s="3" t="s">
        <v>1149</v>
      </c>
      <c r="B156" s="3" t="s">
        <v>404</v>
      </c>
      <c r="C156" s="3" t="s">
        <v>976</v>
      </c>
      <c r="D156" s="3" t="s">
        <v>1002</v>
      </c>
      <c r="E156" s="3" t="s">
        <v>47</v>
      </c>
      <c r="F156" s="3" t="s">
        <v>47</v>
      </c>
      <c r="G156" s="3" t="str">
        <f>INDEX(Risk_Matrix!$B$2:$D$4,MATCH(E156,Risk_Matrix!$A$2:$A$4,0),MATCH(F156,Risk_Matrix!$B$1:$D$1,0))</f>
        <v>Low</v>
      </c>
      <c r="H156" s="10">
        <v>46222</v>
      </c>
      <c r="I156" s="3" t="s">
        <v>967</v>
      </c>
      <c r="J156" s="3" t="s">
        <v>968</v>
      </c>
      <c r="K156" s="3" t="s">
        <v>1000</v>
      </c>
      <c r="L156" s="3">
        <f>IF(G156="High",3,IF(G156="Medium",2,1))</f>
        <v>1</v>
      </c>
    </row>
    <row r="157" spans="1:12">
      <c r="A157" s="3" t="s">
        <v>1150</v>
      </c>
      <c r="B157" s="3" t="s">
        <v>404</v>
      </c>
      <c r="C157" s="3" t="s">
        <v>979</v>
      </c>
      <c r="D157" s="3" t="s">
        <v>1004</v>
      </c>
      <c r="E157" s="3" t="s">
        <v>942</v>
      </c>
      <c r="F157" s="3" t="s">
        <v>47</v>
      </c>
      <c r="G157" s="3" t="str">
        <f>INDEX(Risk_Matrix!$B$2:$D$4,MATCH(E157,Risk_Matrix!$A$2:$A$4,0),MATCH(F157,Risk_Matrix!$B$1:$D$1,0))</f>
        <v>Low</v>
      </c>
      <c r="H157" s="10">
        <v>46211</v>
      </c>
      <c r="I157" s="3" t="s">
        <v>981</v>
      </c>
      <c r="J157" s="3" t="s">
        <v>982</v>
      </c>
      <c r="K157" s="3" t="s">
        <v>969</v>
      </c>
      <c r="L157" s="3">
        <f>IF(G157="High",3,IF(G157="Medium",2,1))</f>
        <v>1</v>
      </c>
    </row>
    <row r="158" spans="1:12">
      <c r="A158" s="3" t="s">
        <v>1151</v>
      </c>
      <c r="B158" s="3" t="s">
        <v>405</v>
      </c>
      <c r="C158" s="3" t="s">
        <v>956</v>
      </c>
      <c r="D158" s="3" t="s">
        <v>995</v>
      </c>
      <c r="E158" s="3" t="s">
        <v>942</v>
      </c>
      <c r="F158" s="3" t="s">
        <v>47</v>
      </c>
      <c r="G158" s="3" t="str">
        <f>INDEX(Risk_Matrix!$B$2:$D$4,MATCH(E158,Risk_Matrix!$A$2:$A$4,0),MATCH(F158,Risk_Matrix!$B$1:$D$1,0))</f>
        <v>Low</v>
      </c>
      <c r="H158" s="10">
        <v>46141</v>
      </c>
      <c r="I158" s="3" t="s">
        <v>981</v>
      </c>
      <c r="J158" s="3" t="s">
        <v>982</v>
      </c>
      <c r="K158" s="3" t="s">
        <v>960</v>
      </c>
      <c r="L158" s="3">
        <f>IF(G158="High",3,IF(G158="Medium",2,1))</f>
        <v>1</v>
      </c>
    </row>
    <row r="159" spans="1:12">
      <c r="A159" s="3" t="s">
        <v>1152</v>
      </c>
      <c r="B159" s="3" t="s">
        <v>405</v>
      </c>
      <c r="C159" s="3" t="s">
        <v>962</v>
      </c>
      <c r="D159" s="3" t="s">
        <v>963</v>
      </c>
      <c r="E159" s="3" t="s">
        <v>47</v>
      </c>
      <c r="F159" s="3" t="s">
        <v>942</v>
      </c>
      <c r="G159" s="3" t="str">
        <f>INDEX(Risk_Matrix!$B$2:$D$4,MATCH(E159,Risk_Matrix!$A$2:$A$4,0),MATCH(F159,Risk_Matrix!$B$1:$D$1,0))</f>
        <v>Low</v>
      </c>
      <c r="H159" s="10">
        <v>46138</v>
      </c>
      <c r="I159" s="3" t="s">
        <v>973</v>
      </c>
      <c r="J159" s="3" t="s">
        <v>974</v>
      </c>
      <c r="K159" s="3" t="s">
        <v>1000</v>
      </c>
      <c r="L159" s="3">
        <f>IF(G159="High",3,IF(G159="Medium",2,1))</f>
        <v>1</v>
      </c>
    </row>
    <row r="160" spans="1:12">
      <c r="A160" s="3" t="s">
        <v>1153</v>
      </c>
      <c r="B160" s="3" t="s">
        <v>405</v>
      </c>
      <c r="C160" s="3" t="s">
        <v>965</v>
      </c>
      <c r="D160" s="3" t="s">
        <v>966</v>
      </c>
      <c r="E160" s="3" t="s">
        <v>42</v>
      </c>
      <c r="F160" s="3" t="s">
        <v>47</v>
      </c>
      <c r="G160" s="3" t="str">
        <f>INDEX(Risk_Matrix!$B$2:$D$4,MATCH(E160,Risk_Matrix!$A$2:$A$4,0),MATCH(F160,Risk_Matrix!$B$1:$D$1,0))</f>
        <v>Medium</v>
      </c>
      <c r="H160" s="10">
        <v>46073</v>
      </c>
      <c r="I160" s="3" t="s">
        <v>967</v>
      </c>
      <c r="J160" s="3" t="s">
        <v>968</v>
      </c>
      <c r="K160" s="3" t="s">
        <v>969</v>
      </c>
      <c r="L160" s="3">
        <f>IF(G160="High",3,IF(G160="Medium",2,1))</f>
        <v>2</v>
      </c>
    </row>
    <row r="161" spans="1:12">
      <c r="A161" s="3" t="s">
        <v>1154</v>
      </c>
      <c r="B161" s="3" t="s">
        <v>405</v>
      </c>
      <c r="C161" s="3" t="s">
        <v>971</v>
      </c>
      <c r="D161" s="3" t="s">
        <v>972</v>
      </c>
      <c r="E161" s="3" t="s">
        <v>942</v>
      </c>
      <c r="F161" s="3" t="s">
        <v>942</v>
      </c>
      <c r="G161" s="3" t="str">
        <f>INDEX(Risk_Matrix!$B$2:$D$4,MATCH(E161,Risk_Matrix!$A$2:$A$4,0),MATCH(F161,Risk_Matrix!$B$1:$D$1,0))</f>
        <v>Medium</v>
      </c>
      <c r="H161" s="10">
        <v>46237</v>
      </c>
      <c r="I161" s="3" t="s">
        <v>973</v>
      </c>
      <c r="J161" s="3" t="s">
        <v>974</v>
      </c>
      <c r="K161" s="3" t="s">
        <v>1000</v>
      </c>
      <c r="L161" s="3">
        <f>IF(G161="High",3,IF(G161="Medium",2,1))</f>
        <v>2</v>
      </c>
    </row>
    <row r="162" spans="1:12">
      <c r="A162" s="3" t="s">
        <v>1155</v>
      </c>
      <c r="B162" s="3" t="s">
        <v>405</v>
      </c>
      <c r="C162" s="3" t="s">
        <v>976</v>
      </c>
      <c r="D162" s="3" t="s">
        <v>1002</v>
      </c>
      <c r="E162" s="3" t="s">
        <v>47</v>
      </c>
      <c r="F162" s="3" t="s">
        <v>942</v>
      </c>
      <c r="G162" s="3" t="str">
        <f>INDEX(Risk_Matrix!$B$2:$D$4,MATCH(E162,Risk_Matrix!$A$2:$A$4,0),MATCH(F162,Risk_Matrix!$B$1:$D$1,0))</f>
        <v>Low</v>
      </c>
      <c r="H162" s="10">
        <v>46185</v>
      </c>
      <c r="I162" s="3" t="s">
        <v>973</v>
      </c>
      <c r="J162" s="3" t="s">
        <v>974</v>
      </c>
      <c r="K162" s="3" t="s">
        <v>969</v>
      </c>
      <c r="L162" s="3">
        <f>IF(G162="High",3,IF(G162="Medium",2,1))</f>
        <v>1</v>
      </c>
    </row>
    <row r="163" spans="1:12">
      <c r="A163" s="3" t="s">
        <v>1156</v>
      </c>
      <c r="B163" s="3" t="s">
        <v>405</v>
      </c>
      <c r="C163" s="3" t="s">
        <v>979</v>
      </c>
      <c r="D163" s="3" t="s">
        <v>1004</v>
      </c>
      <c r="E163" s="3" t="s">
        <v>47</v>
      </c>
      <c r="F163" s="3" t="s">
        <v>942</v>
      </c>
      <c r="G163" s="3" t="str">
        <f>INDEX(Risk_Matrix!$B$2:$D$4,MATCH(E163,Risk_Matrix!$A$2:$A$4,0),MATCH(F163,Risk_Matrix!$B$1:$D$1,0))</f>
        <v>Low</v>
      </c>
      <c r="H163" s="10">
        <v>46197</v>
      </c>
      <c r="I163" s="3" t="s">
        <v>967</v>
      </c>
      <c r="J163" s="3" t="s">
        <v>968</v>
      </c>
      <c r="K163" s="3" t="s">
        <v>983</v>
      </c>
      <c r="L163" s="3">
        <f>IF(G163="High",3,IF(G163="Medium",2,1))</f>
        <v>1</v>
      </c>
    </row>
    <row r="164" spans="1:12">
      <c r="A164" s="3" t="s">
        <v>1157</v>
      </c>
      <c r="B164" s="3" t="s">
        <v>408</v>
      </c>
      <c r="C164" s="3" t="s">
        <v>956</v>
      </c>
      <c r="D164" s="3" t="s">
        <v>1020</v>
      </c>
      <c r="E164" s="3" t="s">
        <v>942</v>
      </c>
      <c r="F164" s="3" t="s">
        <v>47</v>
      </c>
      <c r="G164" s="3" t="str">
        <f>INDEX(Risk_Matrix!$B$2:$D$4,MATCH(E164,Risk_Matrix!$A$2:$A$4,0),MATCH(F164,Risk_Matrix!$B$1:$D$1,0))</f>
        <v>Low</v>
      </c>
      <c r="H164" s="10">
        <v>46067</v>
      </c>
      <c r="I164" s="3" t="s">
        <v>973</v>
      </c>
      <c r="J164" s="3" t="s">
        <v>974</v>
      </c>
      <c r="K164" s="3" t="s">
        <v>1000</v>
      </c>
      <c r="L164" s="3">
        <f>IF(G164="High",3,IF(G164="Medium",2,1))</f>
        <v>1</v>
      </c>
    </row>
    <row r="165" spans="1:12">
      <c r="A165" s="3" t="s">
        <v>1158</v>
      </c>
      <c r="B165" s="3" t="s">
        <v>408</v>
      </c>
      <c r="C165" s="3" t="s">
        <v>962</v>
      </c>
      <c r="D165" s="3" t="s">
        <v>963</v>
      </c>
      <c r="E165" s="3" t="s">
        <v>42</v>
      </c>
      <c r="F165" s="3" t="s">
        <v>42</v>
      </c>
      <c r="G165" s="3" t="str">
        <f>INDEX(Risk_Matrix!$B$2:$D$4,MATCH(E165,Risk_Matrix!$A$2:$A$4,0),MATCH(F165,Risk_Matrix!$B$1:$D$1,0))</f>
        <v>High</v>
      </c>
      <c r="H165" s="10">
        <v>46120</v>
      </c>
      <c r="I165" s="3" t="s">
        <v>958</v>
      </c>
      <c r="J165" s="3" t="s">
        <v>959</v>
      </c>
      <c r="K165" s="3" t="s">
        <v>1000</v>
      </c>
      <c r="L165" s="3">
        <f>IF(G165="High",3,IF(G165="Medium",2,1))</f>
        <v>3</v>
      </c>
    </row>
    <row r="166" spans="1:12">
      <c r="A166" s="3" t="s">
        <v>1159</v>
      </c>
      <c r="B166" s="3" t="s">
        <v>408</v>
      </c>
      <c r="C166" s="3" t="s">
        <v>965</v>
      </c>
      <c r="D166" s="3" t="s">
        <v>1023</v>
      </c>
      <c r="E166" s="3" t="s">
        <v>47</v>
      </c>
      <c r="F166" s="3" t="s">
        <v>47</v>
      </c>
      <c r="G166" s="3" t="str">
        <f>INDEX(Risk_Matrix!$B$2:$D$4,MATCH(E166,Risk_Matrix!$A$2:$A$4,0),MATCH(F166,Risk_Matrix!$B$1:$D$1,0))</f>
        <v>Low</v>
      </c>
      <c r="H166" s="10">
        <v>46090</v>
      </c>
      <c r="I166" s="3" t="s">
        <v>973</v>
      </c>
      <c r="J166" s="3" t="s">
        <v>974</v>
      </c>
      <c r="K166" s="3" t="s">
        <v>960</v>
      </c>
      <c r="L166" s="3">
        <f>IF(G166="High",3,IF(G166="Medium",2,1))</f>
        <v>1</v>
      </c>
    </row>
    <row r="167" spans="1:12">
      <c r="A167" s="3" t="s">
        <v>1160</v>
      </c>
      <c r="B167" s="3" t="s">
        <v>408</v>
      </c>
      <c r="C167" s="3" t="s">
        <v>971</v>
      </c>
      <c r="D167" s="3" t="s">
        <v>1025</v>
      </c>
      <c r="E167" s="3" t="s">
        <v>47</v>
      </c>
      <c r="F167" s="3" t="s">
        <v>942</v>
      </c>
      <c r="G167" s="3" t="str">
        <f>INDEX(Risk_Matrix!$B$2:$D$4,MATCH(E167,Risk_Matrix!$A$2:$A$4,0),MATCH(F167,Risk_Matrix!$B$1:$D$1,0))</f>
        <v>Low</v>
      </c>
      <c r="H167" s="10">
        <v>46166</v>
      </c>
      <c r="I167" s="3" t="s">
        <v>973</v>
      </c>
      <c r="J167" s="3" t="s">
        <v>974</v>
      </c>
      <c r="K167" s="3" t="s">
        <v>1000</v>
      </c>
      <c r="L167" s="3">
        <f>IF(G167="High",3,IF(G167="Medium",2,1))</f>
        <v>1</v>
      </c>
    </row>
    <row r="168" spans="1:12">
      <c r="A168" s="3" t="s">
        <v>1161</v>
      </c>
      <c r="B168" s="3" t="s">
        <v>408</v>
      </c>
      <c r="C168" s="3" t="s">
        <v>976</v>
      </c>
      <c r="D168" s="3" t="s">
        <v>977</v>
      </c>
      <c r="E168" s="3" t="s">
        <v>42</v>
      </c>
      <c r="F168" s="3" t="s">
        <v>47</v>
      </c>
      <c r="G168" s="3" t="str">
        <f>INDEX(Risk_Matrix!$B$2:$D$4,MATCH(E168,Risk_Matrix!$A$2:$A$4,0),MATCH(F168,Risk_Matrix!$B$1:$D$1,0))</f>
        <v>Medium</v>
      </c>
      <c r="H168" s="10">
        <v>46081</v>
      </c>
      <c r="I168" s="3" t="s">
        <v>967</v>
      </c>
      <c r="J168" s="3" t="s">
        <v>968</v>
      </c>
      <c r="K168" s="3" t="s">
        <v>969</v>
      </c>
      <c r="L168" s="3">
        <f>IF(G168="High",3,IF(G168="Medium",2,1))</f>
        <v>2</v>
      </c>
    </row>
    <row r="169" spans="1:12">
      <c r="A169" s="3" t="s">
        <v>1162</v>
      </c>
      <c r="B169" s="3" t="s">
        <v>408</v>
      </c>
      <c r="C169" s="3" t="s">
        <v>979</v>
      </c>
      <c r="D169" s="3" t="s">
        <v>980</v>
      </c>
      <c r="E169" s="3" t="s">
        <v>942</v>
      </c>
      <c r="F169" s="3" t="s">
        <v>942</v>
      </c>
      <c r="G169" s="3" t="str">
        <f>INDEX(Risk_Matrix!$B$2:$D$4,MATCH(E169,Risk_Matrix!$A$2:$A$4,0),MATCH(F169,Risk_Matrix!$B$1:$D$1,0))</f>
        <v>Medium</v>
      </c>
      <c r="H169" s="10">
        <v>46158</v>
      </c>
      <c r="I169" s="3" t="s">
        <v>973</v>
      </c>
      <c r="J169" s="3" t="s">
        <v>974</v>
      </c>
      <c r="K169" s="3" t="s">
        <v>960</v>
      </c>
      <c r="L169" s="3">
        <f>IF(G169="High",3,IF(G169="Medium",2,1))</f>
        <v>2</v>
      </c>
    </row>
    <row r="170" spans="1:12">
      <c r="A170" s="3" t="s">
        <v>1163</v>
      </c>
      <c r="B170" s="3" t="s">
        <v>411</v>
      </c>
      <c r="C170" s="3" t="s">
        <v>956</v>
      </c>
      <c r="D170" s="3" t="s">
        <v>1020</v>
      </c>
      <c r="E170" s="3" t="s">
        <v>47</v>
      </c>
      <c r="F170" s="3" t="s">
        <v>47</v>
      </c>
      <c r="G170" s="3" t="str">
        <f>INDEX(Risk_Matrix!$B$2:$D$4,MATCH(E170,Risk_Matrix!$A$2:$A$4,0),MATCH(F170,Risk_Matrix!$B$1:$D$1,0))</f>
        <v>Low</v>
      </c>
      <c r="H170" s="10">
        <v>46074</v>
      </c>
      <c r="I170" s="3" t="s">
        <v>973</v>
      </c>
      <c r="J170" s="3" t="s">
        <v>974</v>
      </c>
      <c r="K170" s="3" t="s">
        <v>960</v>
      </c>
      <c r="L170" s="3">
        <f>IF(G170="High",3,IF(G170="Medium",2,1))</f>
        <v>1</v>
      </c>
    </row>
    <row r="171" spans="1:12">
      <c r="A171" s="3" t="s">
        <v>1164</v>
      </c>
      <c r="B171" s="3" t="s">
        <v>411</v>
      </c>
      <c r="C171" s="3" t="s">
        <v>962</v>
      </c>
      <c r="D171" s="3" t="s">
        <v>986</v>
      </c>
      <c r="E171" s="3" t="s">
        <v>942</v>
      </c>
      <c r="F171" s="3" t="s">
        <v>47</v>
      </c>
      <c r="G171" s="3" t="str">
        <f>INDEX(Risk_Matrix!$B$2:$D$4,MATCH(E171,Risk_Matrix!$A$2:$A$4,0),MATCH(F171,Risk_Matrix!$B$1:$D$1,0))</f>
        <v>Low</v>
      </c>
      <c r="H171" s="10">
        <v>46116</v>
      </c>
      <c r="I171" s="3" t="s">
        <v>967</v>
      </c>
      <c r="J171" s="3" t="s">
        <v>968</v>
      </c>
      <c r="K171" s="3" t="s">
        <v>960</v>
      </c>
      <c r="L171" s="3">
        <f>IF(G171="High",3,IF(G171="Medium",2,1))</f>
        <v>1</v>
      </c>
    </row>
    <row r="172" spans="1:12">
      <c r="A172" s="3" t="s">
        <v>1165</v>
      </c>
      <c r="B172" s="3" t="s">
        <v>411</v>
      </c>
      <c r="C172" s="3" t="s">
        <v>965</v>
      </c>
      <c r="D172" s="3" t="s">
        <v>988</v>
      </c>
      <c r="E172" s="3" t="s">
        <v>47</v>
      </c>
      <c r="F172" s="3" t="s">
        <v>47</v>
      </c>
      <c r="G172" s="3" t="str">
        <f>INDEX(Risk_Matrix!$B$2:$D$4,MATCH(E172,Risk_Matrix!$A$2:$A$4,0),MATCH(F172,Risk_Matrix!$B$1:$D$1,0))</f>
        <v>Low</v>
      </c>
      <c r="H172" s="10">
        <v>46194</v>
      </c>
      <c r="I172" s="3" t="s">
        <v>967</v>
      </c>
      <c r="J172" s="3" t="s">
        <v>968</v>
      </c>
      <c r="K172" s="3" t="s">
        <v>1000</v>
      </c>
      <c r="L172" s="3">
        <f>IF(G172="High",3,IF(G172="Medium",2,1))</f>
        <v>1</v>
      </c>
    </row>
    <row r="173" spans="1:12">
      <c r="A173" s="3" t="s">
        <v>1166</v>
      </c>
      <c r="B173" s="3" t="s">
        <v>411</v>
      </c>
      <c r="C173" s="3" t="s">
        <v>971</v>
      </c>
      <c r="D173" s="3" t="s">
        <v>972</v>
      </c>
      <c r="E173" s="3" t="s">
        <v>942</v>
      </c>
      <c r="F173" s="3" t="s">
        <v>42</v>
      </c>
      <c r="G173" s="3" t="str">
        <f>INDEX(Risk_Matrix!$B$2:$D$4,MATCH(E173,Risk_Matrix!$A$2:$A$4,0),MATCH(F173,Risk_Matrix!$B$1:$D$1,0))</f>
        <v>High</v>
      </c>
      <c r="H173" s="10">
        <v>46101</v>
      </c>
      <c r="I173" s="3" t="s">
        <v>973</v>
      </c>
      <c r="J173" s="3" t="s">
        <v>974</v>
      </c>
      <c r="K173" s="3" t="s">
        <v>983</v>
      </c>
      <c r="L173" s="3">
        <f>IF(G173="High",3,IF(G173="Medium",2,1))</f>
        <v>3</v>
      </c>
    </row>
    <row r="174" spans="1:12">
      <c r="A174" s="3" t="s">
        <v>1167</v>
      </c>
      <c r="B174" s="3" t="s">
        <v>411</v>
      </c>
      <c r="C174" s="3" t="s">
        <v>976</v>
      </c>
      <c r="D174" s="3" t="s">
        <v>991</v>
      </c>
      <c r="E174" s="3" t="s">
        <v>942</v>
      </c>
      <c r="F174" s="3" t="s">
        <v>942</v>
      </c>
      <c r="G174" s="3" t="str">
        <f>INDEX(Risk_Matrix!$B$2:$D$4,MATCH(E174,Risk_Matrix!$A$2:$A$4,0),MATCH(F174,Risk_Matrix!$B$1:$D$1,0))</f>
        <v>Medium</v>
      </c>
      <c r="H174" s="10">
        <v>46234</v>
      </c>
      <c r="I174" s="3" t="s">
        <v>967</v>
      </c>
      <c r="J174" s="3" t="s">
        <v>968</v>
      </c>
      <c r="K174" s="3" t="s">
        <v>1000</v>
      </c>
      <c r="L174" s="3">
        <f>IF(G174="High",3,IF(G174="Medium",2,1))</f>
        <v>2</v>
      </c>
    </row>
    <row r="175" spans="1:12">
      <c r="A175" s="3" t="s">
        <v>1168</v>
      </c>
      <c r="B175" s="3" t="s">
        <v>411</v>
      </c>
      <c r="C175" s="3" t="s">
        <v>979</v>
      </c>
      <c r="D175" s="3" t="s">
        <v>980</v>
      </c>
      <c r="E175" s="3" t="s">
        <v>47</v>
      </c>
      <c r="F175" s="3" t="s">
        <v>942</v>
      </c>
      <c r="G175" s="3" t="str">
        <f>INDEX(Risk_Matrix!$B$2:$D$4,MATCH(E175,Risk_Matrix!$A$2:$A$4,0),MATCH(F175,Risk_Matrix!$B$1:$D$1,0))</f>
        <v>Low</v>
      </c>
      <c r="H175" s="10">
        <v>46087</v>
      </c>
      <c r="I175" s="3" t="s">
        <v>967</v>
      </c>
      <c r="J175" s="3" t="s">
        <v>968</v>
      </c>
      <c r="K175" s="3" t="s">
        <v>983</v>
      </c>
      <c r="L175" s="3">
        <f>IF(G175="High",3,IF(G175="Medium",2,1))</f>
        <v>1</v>
      </c>
    </row>
    <row r="176" spans="1:12">
      <c r="A176" s="3" t="s">
        <v>1169</v>
      </c>
      <c r="B176" s="3" t="s">
        <v>413</v>
      </c>
      <c r="C176" s="3" t="s">
        <v>956</v>
      </c>
      <c r="D176" s="3" t="s">
        <v>957</v>
      </c>
      <c r="E176" s="3" t="s">
        <v>942</v>
      </c>
      <c r="F176" s="3" t="s">
        <v>942</v>
      </c>
      <c r="G176" s="3" t="str">
        <f>INDEX(Risk_Matrix!$B$2:$D$4,MATCH(E176,Risk_Matrix!$A$2:$A$4,0),MATCH(F176,Risk_Matrix!$B$1:$D$1,0))</f>
        <v>Medium</v>
      </c>
      <c r="H176" s="10">
        <v>46118</v>
      </c>
      <c r="I176" s="3" t="s">
        <v>958</v>
      </c>
      <c r="J176" s="3" t="s">
        <v>959</v>
      </c>
      <c r="K176" s="3" t="s">
        <v>983</v>
      </c>
      <c r="L176" s="3">
        <f>IF(G176="High",3,IF(G176="Medium",2,1))</f>
        <v>2</v>
      </c>
    </row>
    <row r="177" spans="1:12">
      <c r="A177" s="3" t="s">
        <v>1170</v>
      </c>
      <c r="B177" s="3" t="s">
        <v>413</v>
      </c>
      <c r="C177" s="3" t="s">
        <v>962</v>
      </c>
      <c r="D177" s="3" t="s">
        <v>986</v>
      </c>
      <c r="E177" s="3" t="s">
        <v>47</v>
      </c>
      <c r="F177" s="3" t="s">
        <v>42</v>
      </c>
      <c r="G177" s="3" t="str">
        <f>INDEX(Risk_Matrix!$B$2:$D$4,MATCH(E177,Risk_Matrix!$A$2:$A$4,0),MATCH(F177,Risk_Matrix!$B$1:$D$1,0))</f>
        <v>Medium</v>
      </c>
      <c r="H177" s="10">
        <v>46164</v>
      </c>
      <c r="I177" s="3" t="s">
        <v>967</v>
      </c>
      <c r="J177" s="3" t="s">
        <v>968</v>
      </c>
      <c r="K177" s="3" t="s">
        <v>983</v>
      </c>
      <c r="L177" s="3">
        <f>IF(G177="High",3,IF(G177="Medium",2,1))</f>
        <v>2</v>
      </c>
    </row>
    <row r="178" spans="1:12">
      <c r="A178" s="3" t="s">
        <v>1171</v>
      </c>
      <c r="B178" s="3" t="s">
        <v>413</v>
      </c>
      <c r="C178" s="3" t="s">
        <v>965</v>
      </c>
      <c r="D178" s="3" t="s">
        <v>988</v>
      </c>
      <c r="E178" s="3" t="s">
        <v>942</v>
      </c>
      <c r="F178" s="3" t="s">
        <v>47</v>
      </c>
      <c r="G178" s="3" t="str">
        <f>INDEX(Risk_Matrix!$B$2:$D$4,MATCH(E178,Risk_Matrix!$A$2:$A$4,0),MATCH(F178,Risk_Matrix!$B$1:$D$1,0))</f>
        <v>Low</v>
      </c>
      <c r="H178" s="10">
        <v>46236</v>
      </c>
      <c r="I178" s="3" t="s">
        <v>973</v>
      </c>
      <c r="J178" s="3" t="s">
        <v>974</v>
      </c>
      <c r="K178" s="3" t="s">
        <v>983</v>
      </c>
      <c r="L178" s="3">
        <f>IF(G178="High",3,IF(G178="Medium",2,1))</f>
        <v>1</v>
      </c>
    </row>
    <row r="179" spans="1:12">
      <c r="A179" s="3" t="s">
        <v>1172</v>
      </c>
      <c r="B179" s="3" t="s">
        <v>413</v>
      </c>
      <c r="C179" s="3" t="s">
        <v>971</v>
      </c>
      <c r="D179" s="3" t="s">
        <v>1016</v>
      </c>
      <c r="E179" s="3" t="s">
        <v>942</v>
      </c>
      <c r="F179" s="3" t="s">
        <v>942</v>
      </c>
      <c r="G179" s="3" t="str">
        <f>INDEX(Risk_Matrix!$B$2:$D$4,MATCH(E179,Risk_Matrix!$A$2:$A$4,0),MATCH(F179,Risk_Matrix!$B$1:$D$1,0))</f>
        <v>Medium</v>
      </c>
      <c r="H179" s="10">
        <v>46198</v>
      </c>
      <c r="I179" s="3" t="s">
        <v>973</v>
      </c>
      <c r="J179" s="3" t="s">
        <v>974</v>
      </c>
      <c r="K179" s="3" t="s">
        <v>983</v>
      </c>
      <c r="L179" s="3">
        <f>IF(G179="High",3,IF(G179="Medium",2,1))</f>
        <v>2</v>
      </c>
    </row>
    <row r="180" spans="1:12">
      <c r="A180" s="3" t="s">
        <v>1173</v>
      </c>
      <c r="B180" s="3" t="s">
        <v>413</v>
      </c>
      <c r="C180" s="3" t="s">
        <v>976</v>
      </c>
      <c r="D180" s="3" t="s">
        <v>1002</v>
      </c>
      <c r="E180" s="3" t="s">
        <v>42</v>
      </c>
      <c r="F180" s="3" t="s">
        <v>942</v>
      </c>
      <c r="G180" s="3" t="str">
        <f>INDEX(Risk_Matrix!$B$2:$D$4,MATCH(E180,Risk_Matrix!$A$2:$A$4,0),MATCH(F180,Risk_Matrix!$B$1:$D$1,0))</f>
        <v>High</v>
      </c>
      <c r="H180" s="10">
        <v>46115</v>
      </c>
      <c r="I180" s="3" t="s">
        <v>958</v>
      </c>
      <c r="J180" s="3" t="s">
        <v>959</v>
      </c>
      <c r="K180" s="3" t="s">
        <v>969</v>
      </c>
      <c r="L180" s="3">
        <f>IF(G180="High",3,IF(G180="Medium",2,1))</f>
        <v>3</v>
      </c>
    </row>
    <row r="181" spans="1:12">
      <c r="A181" s="3" t="s">
        <v>1174</v>
      </c>
      <c r="B181" s="3" t="s">
        <v>413</v>
      </c>
      <c r="C181" s="3" t="s">
        <v>979</v>
      </c>
      <c r="D181" s="3" t="s">
        <v>1004</v>
      </c>
      <c r="E181" s="3" t="s">
        <v>47</v>
      </c>
      <c r="F181" s="3" t="s">
        <v>47</v>
      </c>
      <c r="G181" s="3" t="str">
        <f>INDEX(Risk_Matrix!$B$2:$D$4,MATCH(E181,Risk_Matrix!$A$2:$A$4,0),MATCH(F181,Risk_Matrix!$B$1:$D$1,0))</f>
        <v>Low</v>
      </c>
      <c r="H181" s="10">
        <v>46144</v>
      </c>
      <c r="I181" s="3" t="s">
        <v>973</v>
      </c>
      <c r="J181" s="3" t="s">
        <v>974</v>
      </c>
      <c r="K181" s="3" t="s">
        <v>983</v>
      </c>
      <c r="L181" s="3">
        <f>IF(G181="High",3,IF(G181="Medium",2,1))</f>
        <v>1</v>
      </c>
    </row>
    <row r="182" spans="1:12">
      <c r="A182" s="3" t="s">
        <v>1175</v>
      </c>
      <c r="B182" s="3" t="s">
        <v>416</v>
      </c>
      <c r="C182" s="3" t="s">
        <v>956</v>
      </c>
      <c r="D182" s="3" t="s">
        <v>957</v>
      </c>
      <c r="E182" s="3" t="s">
        <v>942</v>
      </c>
      <c r="F182" s="3" t="s">
        <v>942</v>
      </c>
      <c r="G182" s="3" t="str">
        <f>INDEX(Risk_Matrix!$B$2:$D$4,MATCH(E182,Risk_Matrix!$A$2:$A$4,0),MATCH(F182,Risk_Matrix!$B$1:$D$1,0))</f>
        <v>Medium</v>
      </c>
      <c r="H182" s="10">
        <v>46139</v>
      </c>
      <c r="I182" s="3" t="s">
        <v>981</v>
      </c>
      <c r="J182" s="3" t="s">
        <v>982</v>
      </c>
      <c r="K182" s="3" t="s">
        <v>960</v>
      </c>
      <c r="L182" s="3">
        <f>IF(G182="High",3,IF(G182="Medium",2,1))</f>
        <v>2</v>
      </c>
    </row>
    <row r="183" spans="1:12">
      <c r="A183" s="3" t="s">
        <v>1176</v>
      </c>
      <c r="B183" s="3" t="s">
        <v>416</v>
      </c>
      <c r="C183" s="3" t="s">
        <v>962</v>
      </c>
      <c r="D183" s="3" t="s">
        <v>997</v>
      </c>
      <c r="E183" s="3" t="s">
        <v>42</v>
      </c>
      <c r="F183" s="3" t="s">
        <v>47</v>
      </c>
      <c r="G183" s="3" t="str">
        <f>INDEX(Risk_Matrix!$B$2:$D$4,MATCH(E183,Risk_Matrix!$A$2:$A$4,0),MATCH(F183,Risk_Matrix!$B$1:$D$1,0))</f>
        <v>Medium</v>
      </c>
      <c r="H183" s="10">
        <v>46212</v>
      </c>
      <c r="I183" s="3" t="s">
        <v>967</v>
      </c>
      <c r="J183" s="3" t="s">
        <v>968</v>
      </c>
      <c r="K183" s="3" t="s">
        <v>1000</v>
      </c>
      <c r="L183" s="3">
        <f>IF(G183="High",3,IF(G183="Medium",2,1))</f>
        <v>2</v>
      </c>
    </row>
    <row r="184" spans="1:12">
      <c r="A184" s="3" t="s">
        <v>1177</v>
      </c>
      <c r="B184" s="3" t="s">
        <v>416</v>
      </c>
      <c r="C184" s="3" t="s">
        <v>965</v>
      </c>
      <c r="D184" s="3" t="s">
        <v>966</v>
      </c>
      <c r="E184" s="3" t="s">
        <v>942</v>
      </c>
      <c r="F184" s="3" t="s">
        <v>47</v>
      </c>
      <c r="G184" s="3" t="str">
        <f>INDEX(Risk_Matrix!$B$2:$D$4,MATCH(E184,Risk_Matrix!$A$2:$A$4,0),MATCH(F184,Risk_Matrix!$B$1:$D$1,0))</f>
        <v>Low</v>
      </c>
      <c r="H184" s="10">
        <v>46194</v>
      </c>
      <c r="I184" s="3" t="s">
        <v>967</v>
      </c>
      <c r="J184" s="3" t="s">
        <v>968</v>
      </c>
      <c r="K184" s="3" t="s">
        <v>960</v>
      </c>
      <c r="L184" s="3">
        <f>IF(G184="High",3,IF(G184="Medium",2,1))</f>
        <v>1</v>
      </c>
    </row>
    <row r="185" spans="1:12">
      <c r="A185" s="3" t="s">
        <v>1178</v>
      </c>
      <c r="B185" s="3" t="s">
        <v>416</v>
      </c>
      <c r="C185" s="3" t="s">
        <v>971</v>
      </c>
      <c r="D185" s="3" t="s">
        <v>1016</v>
      </c>
      <c r="E185" s="3" t="s">
        <v>47</v>
      </c>
      <c r="F185" s="3" t="s">
        <v>942</v>
      </c>
      <c r="G185" s="3" t="str">
        <f>INDEX(Risk_Matrix!$B$2:$D$4,MATCH(E185,Risk_Matrix!$A$2:$A$4,0),MATCH(F185,Risk_Matrix!$B$1:$D$1,0))</f>
        <v>Low</v>
      </c>
      <c r="H185" s="10">
        <v>46219</v>
      </c>
      <c r="I185" s="3" t="s">
        <v>981</v>
      </c>
      <c r="J185" s="3" t="s">
        <v>982</v>
      </c>
      <c r="K185" s="3" t="s">
        <v>1000</v>
      </c>
      <c r="L185" s="3">
        <f>IF(G185="High",3,IF(G185="Medium",2,1))</f>
        <v>1</v>
      </c>
    </row>
    <row r="186" spans="1:12">
      <c r="A186" s="3" t="s">
        <v>1179</v>
      </c>
      <c r="B186" s="3" t="s">
        <v>416</v>
      </c>
      <c r="C186" s="3" t="s">
        <v>976</v>
      </c>
      <c r="D186" s="3" t="s">
        <v>991</v>
      </c>
      <c r="E186" s="3" t="s">
        <v>47</v>
      </c>
      <c r="F186" s="3" t="s">
        <v>42</v>
      </c>
      <c r="G186" s="3" t="str">
        <f>INDEX(Risk_Matrix!$B$2:$D$4,MATCH(E186,Risk_Matrix!$A$2:$A$4,0),MATCH(F186,Risk_Matrix!$B$1:$D$1,0))</f>
        <v>Medium</v>
      </c>
      <c r="H186" s="10">
        <v>46148</v>
      </c>
      <c r="I186" s="3" t="s">
        <v>967</v>
      </c>
      <c r="J186" s="3" t="s">
        <v>968</v>
      </c>
      <c r="K186" s="3" t="s">
        <v>969</v>
      </c>
      <c r="L186" s="3">
        <f>IF(G186="High",3,IF(G186="Medium",2,1))</f>
        <v>2</v>
      </c>
    </row>
    <row r="187" spans="1:12">
      <c r="A187" s="3" t="s">
        <v>1180</v>
      </c>
      <c r="B187" s="3" t="s">
        <v>416</v>
      </c>
      <c r="C187" s="3" t="s">
        <v>979</v>
      </c>
      <c r="D187" s="3" t="s">
        <v>1028</v>
      </c>
      <c r="E187" s="3" t="s">
        <v>942</v>
      </c>
      <c r="F187" s="3" t="s">
        <v>42</v>
      </c>
      <c r="G187" s="3" t="str">
        <f>INDEX(Risk_Matrix!$B$2:$D$4,MATCH(E187,Risk_Matrix!$A$2:$A$4,0),MATCH(F187,Risk_Matrix!$B$1:$D$1,0))</f>
        <v>High</v>
      </c>
      <c r="H187" s="10">
        <v>46203</v>
      </c>
      <c r="I187" s="3" t="s">
        <v>973</v>
      </c>
      <c r="J187" s="3" t="s">
        <v>974</v>
      </c>
      <c r="K187" s="3" t="s">
        <v>960</v>
      </c>
      <c r="L187" s="3">
        <f>IF(G187="High",3,IF(G187="Medium",2,1))</f>
        <v>3</v>
      </c>
    </row>
    <row r="188" spans="1:12">
      <c r="A188" s="3" t="s">
        <v>1181</v>
      </c>
      <c r="B188" s="3" t="s">
        <v>419</v>
      </c>
      <c r="C188" s="3" t="s">
        <v>956</v>
      </c>
      <c r="D188" s="3" t="s">
        <v>1020</v>
      </c>
      <c r="E188" s="3" t="s">
        <v>47</v>
      </c>
      <c r="F188" s="3" t="s">
        <v>942</v>
      </c>
      <c r="G188" s="3" t="str">
        <f>INDEX(Risk_Matrix!$B$2:$D$4,MATCH(E188,Risk_Matrix!$A$2:$A$4,0),MATCH(F188,Risk_Matrix!$B$1:$D$1,0))</f>
        <v>Low</v>
      </c>
      <c r="H188" s="10">
        <v>46200</v>
      </c>
      <c r="I188" s="3" t="s">
        <v>973</v>
      </c>
      <c r="J188" s="3" t="s">
        <v>974</v>
      </c>
      <c r="K188" s="3" t="s">
        <v>983</v>
      </c>
      <c r="L188" s="3">
        <f>IF(G188="High",3,IF(G188="Medium",2,1))</f>
        <v>1</v>
      </c>
    </row>
    <row r="189" spans="1:12">
      <c r="A189" s="3" t="s">
        <v>1182</v>
      </c>
      <c r="B189" s="3" t="s">
        <v>419</v>
      </c>
      <c r="C189" s="3" t="s">
        <v>962</v>
      </c>
      <c r="D189" s="3" t="s">
        <v>1037</v>
      </c>
      <c r="E189" s="3" t="s">
        <v>47</v>
      </c>
      <c r="F189" s="3" t="s">
        <v>942</v>
      </c>
      <c r="G189" s="3" t="str">
        <f>INDEX(Risk_Matrix!$B$2:$D$4,MATCH(E189,Risk_Matrix!$A$2:$A$4,0),MATCH(F189,Risk_Matrix!$B$1:$D$1,0))</f>
        <v>Low</v>
      </c>
      <c r="H189" s="10">
        <v>46180</v>
      </c>
      <c r="I189" s="3" t="s">
        <v>973</v>
      </c>
      <c r="J189" s="3" t="s">
        <v>974</v>
      </c>
      <c r="K189" s="3" t="s">
        <v>960</v>
      </c>
      <c r="L189" s="3">
        <f>IF(G189="High",3,IF(G189="Medium",2,1))</f>
        <v>1</v>
      </c>
    </row>
    <row r="190" spans="1:12">
      <c r="A190" s="3" t="s">
        <v>1183</v>
      </c>
      <c r="B190" s="3" t="s">
        <v>419</v>
      </c>
      <c r="C190" s="3" t="s">
        <v>965</v>
      </c>
      <c r="D190" s="3" t="s">
        <v>966</v>
      </c>
      <c r="E190" s="3" t="s">
        <v>942</v>
      </c>
      <c r="F190" s="3" t="s">
        <v>47</v>
      </c>
      <c r="G190" s="3" t="str">
        <f>INDEX(Risk_Matrix!$B$2:$D$4,MATCH(E190,Risk_Matrix!$A$2:$A$4,0),MATCH(F190,Risk_Matrix!$B$1:$D$1,0))</f>
        <v>Low</v>
      </c>
      <c r="H190" s="10">
        <v>46185</v>
      </c>
      <c r="I190" s="3" t="s">
        <v>967</v>
      </c>
      <c r="J190" s="3" t="s">
        <v>968</v>
      </c>
      <c r="K190" s="3" t="s">
        <v>1000</v>
      </c>
      <c r="L190" s="3">
        <f>IF(G190="High",3,IF(G190="Medium",2,1))</f>
        <v>1</v>
      </c>
    </row>
    <row r="191" spans="1:12">
      <c r="A191" s="3" t="s">
        <v>1184</v>
      </c>
      <c r="B191" s="3" t="s">
        <v>419</v>
      </c>
      <c r="C191" s="3" t="s">
        <v>971</v>
      </c>
      <c r="D191" s="3" t="s">
        <v>972</v>
      </c>
      <c r="E191" s="3" t="s">
        <v>942</v>
      </c>
      <c r="F191" s="3" t="s">
        <v>47</v>
      </c>
      <c r="G191" s="3" t="str">
        <f>INDEX(Risk_Matrix!$B$2:$D$4,MATCH(E191,Risk_Matrix!$A$2:$A$4,0),MATCH(F191,Risk_Matrix!$B$1:$D$1,0))</f>
        <v>Low</v>
      </c>
      <c r="H191" s="10">
        <v>46206</v>
      </c>
      <c r="I191" s="3" t="s">
        <v>973</v>
      </c>
      <c r="J191" s="3" t="s">
        <v>974</v>
      </c>
      <c r="K191" s="3" t="s">
        <v>1000</v>
      </c>
      <c r="L191" s="3">
        <f>IF(G191="High",3,IF(G191="Medium",2,1))</f>
        <v>1</v>
      </c>
    </row>
    <row r="192" spans="1:12">
      <c r="A192" s="3" t="s">
        <v>1185</v>
      </c>
      <c r="B192" s="3" t="s">
        <v>419</v>
      </c>
      <c r="C192" s="3" t="s">
        <v>976</v>
      </c>
      <c r="D192" s="3" t="s">
        <v>1002</v>
      </c>
      <c r="E192" s="3" t="s">
        <v>47</v>
      </c>
      <c r="F192" s="3" t="s">
        <v>942</v>
      </c>
      <c r="G192" s="3" t="str">
        <f>INDEX(Risk_Matrix!$B$2:$D$4,MATCH(E192,Risk_Matrix!$A$2:$A$4,0),MATCH(F192,Risk_Matrix!$B$1:$D$1,0))</f>
        <v>Low</v>
      </c>
      <c r="H192" s="10">
        <v>46092</v>
      </c>
      <c r="I192" s="3" t="s">
        <v>973</v>
      </c>
      <c r="J192" s="3" t="s">
        <v>974</v>
      </c>
      <c r="K192" s="3" t="s">
        <v>983</v>
      </c>
      <c r="L192" s="3">
        <f>IF(G192="High",3,IF(G192="Medium",2,1))</f>
        <v>1</v>
      </c>
    </row>
    <row r="193" spans="1:12">
      <c r="A193" s="3" t="s">
        <v>1186</v>
      </c>
      <c r="B193" s="3" t="s">
        <v>419</v>
      </c>
      <c r="C193" s="3" t="s">
        <v>979</v>
      </c>
      <c r="D193" s="3" t="s">
        <v>1004</v>
      </c>
      <c r="E193" s="3" t="s">
        <v>47</v>
      </c>
      <c r="F193" s="3" t="s">
        <v>42</v>
      </c>
      <c r="G193" s="3" t="str">
        <f>INDEX(Risk_Matrix!$B$2:$D$4,MATCH(E193,Risk_Matrix!$A$2:$A$4,0),MATCH(F193,Risk_Matrix!$B$1:$D$1,0))</f>
        <v>Medium</v>
      </c>
      <c r="H193" s="10">
        <v>46135</v>
      </c>
      <c r="I193" s="3" t="s">
        <v>967</v>
      </c>
      <c r="J193" s="3" t="s">
        <v>968</v>
      </c>
      <c r="K193" s="3" t="s">
        <v>1000</v>
      </c>
      <c r="L193" s="3">
        <f>IF(G193="High",3,IF(G193="Medium",2,1))</f>
        <v>2</v>
      </c>
    </row>
    <row r="194" spans="1:12">
      <c r="A194" s="3" t="s">
        <v>1187</v>
      </c>
      <c r="B194" s="3" t="s">
        <v>421</v>
      </c>
      <c r="C194" s="3" t="s">
        <v>956</v>
      </c>
      <c r="D194" s="3" t="s">
        <v>957</v>
      </c>
      <c r="E194" s="3" t="s">
        <v>42</v>
      </c>
      <c r="F194" s="3" t="s">
        <v>942</v>
      </c>
      <c r="G194" s="3" t="str">
        <f>INDEX(Risk_Matrix!$B$2:$D$4,MATCH(E194,Risk_Matrix!$A$2:$A$4,0),MATCH(F194,Risk_Matrix!$B$1:$D$1,0))</f>
        <v>High</v>
      </c>
      <c r="H194" s="10">
        <v>46217</v>
      </c>
      <c r="I194" s="3" t="s">
        <v>981</v>
      </c>
      <c r="J194" s="3" t="s">
        <v>982</v>
      </c>
      <c r="K194" s="3" t="s">
        <v>983</v>
      </c>
      <c r="L194" s="3">
        <f>IF(G194="High",3,IF(G194="Medium",2,1))</f>
        <v>3</v>
      </c>
    </row>
    <row r="195" spans="1:12">
      <c r="A195" s="3" t="s">
        <v>1188</v>
      </c>
      <c r="B195" s="3" t="s">
        <v>421</v>
      </c>
      <c r="C195" s="3" t="s">
        <v>962</v>
      </c>
      <c r="D195" s="3" t="s">
        <v>997</v>
      </c>
      <c r="E195" s="3" t="s">
        <v>942</v>
      </c>
      <c r="F195" s="3" t="s">
        <v>47</v>
      </c>
      <c r="G195" s="3" t="str">
        <f>INDEX(Risk_Matrix!$B$2:$D$4,MATCH(E195,Risk_Matrix!$A$2:$A$4,0),MATCH(F195,Risk_Matrix!$B$1:$D$1,0))</f>
        <v>Low</v>
      </c>
      <c r="H195" s="10">
        <v>46182</v>
      </c>
      <c r="I195" s="3" t="s">
        <v>967</v>
      </c>
      <c r="J195" s="3" t="s">
        <v>968</v>
      </c>
      <c r="K195" s="3" t="s">
        <v>960</v>
      </c>
      <c r="L195" s="3">
        <f>IF(G195="High",3,IF(G195="Medium",2,1))</f>
        <v>1</v>
      </c>
    </row>
    <row r="196" spans="1:12">
      <c r="A196" s="3" t="s">
        <v>1189</v>
      </c>
      <c r="B196" s="3" t="s">
        <v>421</v>
      </c>
      <c r="C196" s="3" t="s">
        <v>965</v>
      </c>
      <c r="D196" s="3" t="s">
        <v>1039</v>
      </c>
      <c r="E196" s="3" t="s">
        <v>942</v>
      </c>
      <c r="F196" s="3" t="s">
        <v>942</v>
      </c>
      <c r="G196" s="3" t="str">
        <f>INDEX(Risk_Matrix!$B$2:$D$4,MATCH(E196,Risk_Matrix!$A$2:$A$4,0),MATCH(F196,Risk_Matrix!$B$1:$D$1,0))</f>
        <v>Medium</v>
      </c>
      <c r="H196" s="10">
        <v>46070</v>
      </c>
      <c r="I196" s="3" t="s">
        <v>973</v>
      </c>
      <c r="J196" s="3" t="s">
        <v>974</v>
      </c>
      <c r="K196" s="3" t="s">
        <v>1000</v>
      </c>
      <c r="L196" s="3">
        <f>IF(G196="High",3,IF(G196="Medium",2,1))</f>
        <v>2</v>
      </c>
    </row>
    <row r="197" spans="1:12">
      <c r="A197" s="3" t="s">
        <v>1190</v>
      </c>
      <c r="B197" s="3" t="s">
        <v>421</v>
      </c>
      <c r="C197" s="3" t="s">
        <v>971</v>
      </c>
      <c r="D197" s="3" t="s">
        <v>1025</v>
      </c>
      <c r="E197" s="3" t="s">
        <v>47</v>
      </c>
      <c r="F197" s="3" t="s">
        <v>942</v>
      </c>
      <c r="G197" s="3" t="str">
        <f>INDEX(Risk_Matrix!$B$2:$D$4,MATCH(E197,Risk_Matrix!$A$2:$A$4,0),MATCH(F197,Risk_Matrix!$B$1:$D$1,0))</f>
        <v>Low</v>
      </c>
      <c r="H197" s="10">
        <v>46086</v>
      </c>
      <c r="I197" s="3" t="s">
        <v>981</v>
      </c>
      <c r="J197" s="3" t="s">
        <v>982</v>
      </c>
      <c r="K197" s="3" t="s">
        <v>1000</v>
      </c>
      <c r="L197" s="3">
        <f>IF(G197="High",3,IF(G197="Medium",2,1))</f>
        <v>1</v>
      </c>
    </row>
    <row r="198" spans="1:12">
      <c r="A198" s="3" t="s">
        <v>1191</v>
      </c>
      <c r="B198" s="3" t="s">
        <v>421</v>
      </c>
      <c r="C198" s="3" t="s">
        <v>976</v>
      </c>
      <c r="D198" s="3" t="s">
        <v>977</v>
      </c>
      <c r="E198" s="3" t="s">
        <v>47</v>
      </c>
      <c r="F198" s="3" t="s">
        <v>47</v>
      </c>
      <c r="G198" s="3" t="str">
        <f>INDEX(Risk_Matrix!$B$2:$D$4,MATCH(E198,Risk_Matrix!$A$2:$A$4,0),MATCH(F198,Risk_Matrix!$B$1:$D$1,0))</f>
        <v>Low</v>
      </c>
      <c r="H198" s="10">
        <v>46187</v>
      </c>
      <c r="I198" s="3" t="s">
        <v>973</v>
      </c>
      <c r="J198" s="3" t="s">
        <v>974</v>
      </c>
      <c r="K198" s="3" t="s">
        <v>1000</v>
      </c>
      <c r="L198" s="3">
        <f>IF(G198="High",3,IF(G198="Medium",2,1))</f>
        <v>1</v>
      </c>
    </row>
    <row r="199" spans="1:12">
      <c r="A199" s="3" t="s">
        <v>1192</v>
      </c>
      <c r="B199" s="3" t="s">
        <v>421</v>
      </c>
      <c r="C199" s="3" t="s">
        <v>979</v>
      </c>
      <c r="D199" s="3" t="s">
        <v>980</v>
      </c>
      <c r="E199" s="3" t="s">
        <v>942</v>
      </c>
      <c r="F199" s="3" t="s">
        <v>942</v>
      </c>
      <c r="G199" s="3" t="str">
        <f>INDEX(Risk_Matrix!$B$2:$D$4,MATCH(E199,Risk_Matrix!$A$2:$A$4,0),MATCH(F199,Risk_Matrix!$B$1:$D$1,0))</f>
        <v>Medium</v>
      </c>
      <c r="H199" s="10">
        <v>46193</v>
      </c>
      <c r="I199" s="3" t="s">
        <v>967</v>
      </c>
      <c r="J199" s="3" t="s">
        <v>968</v>
      </c>
      <c r="K199" s="3" t="s">
        <v>960</v>
      </c>
      <c r="L199" s="3">
        <f>IF(G199="High",3,IF(G199="Medium",2,1))</f>
        <v>2</v>
      </c>
    </row>
    <row r="200" spans="1:12">
      <c r="A200" s="3" t="s">
        <v>1193</v>
      </c>
      <c r="B200" s="3" t="s">
        <v>423</v>
      </c>
      <c r="C200" s="3" t="s">
        <v>956</v>
      </c>
      <c r="D200" s="3" t="s">
        <v>957</v>
      </c>
      <c r="E200" s="3" t="s">
        <v>42</v>
      </c>
      <c r="F200" s="3" t="s">
        <v>942</v>
      </c>
      <c r="G200" s="3" t="str">
        <f>INDEX(Risk_Matrix!$B$2:$D$4,MATCH(E200,Risk_Matrix!$A$2:$A$4,0),MATCH(F200,Risk_Matrix!$B$1:$D$1,0))</f>
        <v>High</v>
      </c>
      <c r="H200" s="10">
        <v>46215</v>
      </c>
      <c r="I200" s="3" t="s">
        <v>981</v>
      </c>
      <c r="J200" s="3" t="s">
        <v>982</v>
      </c>
      <c r="K200" s="3" t="s">
        <v>960</v>
      </c>
      <c r="L200" s="3">
        <f>IF(G200="High",3,IF(G200="Medium",2,1))</f>
        <v>3</v>
      </c>
    </row>
    <row r="201" spans="1:12">
      <c r="A201" s="3" t="s">
        <v>1194</v>
      </c>
      <c r="B201" s="3" t="s">
        <v>423</v>
      </c>
      <c r="C201" s="3" t="s">
        <v>962</v>
      </c>
      <c r="D201" s="3" t="s">
        <v>1037</v>
      </c>
      <c r="E201" s="3" t="s">
        <v>42</v>
      </c>
      <c r="F201" s="3" t="s">
        <v>942</v>
      </c>
      <c r="G201" s="3" t="str">
        <f>INDEX(Risk_Matrix!$B$2:$D$4,MATCH(E201,Risk_Matrix!$A$2:$A$4,0),MATCH(F201,Risk_Matrix!$B$1:$D$1,0))</f>
        <v>High</v>
      </c>
      <c r="H201" s="10">
        <v>46065</v>
      </c>
      <c r="I201" s="3" t="s">
        <v>973</v>
      </c>
      <c r="J201" s="3" t="s">
        <v>974</v>
      </c>
      <c r="K201" s="3" t="s">
        <v>960</v>
      </c>
      <c r="L201" s="3">
        <f>IF(G201="High",3,IF(G201="Medium",2,1))</f>
        <v>3</v>
      </c>
    </row>
    <row r="202" spans="1:12">
      <c r="A202" s="3" t="s">
        <v>1195</v>
      </c>
      <c r="B202" s="3" t="s">
        <v>423</v>
      </c>
      <c r="C202" s="3" t="s">
        <v>965</v>
      </c>
      <c r="D202" s="3" t="s">
        <v>988</v>
      </c>
      <c r="E202" s="3" t="s">
        <v>47</v>
      </c>
      <c r="F202" s="3" t="s">
        <v>47</v>
      </c>
      <c r="G202" s="3" t="str">
        <f>INDEX(Risk_Matrix!$B$2:$D$4,MATCH(E202,Risk_Matrix!$A$2:$A$4,0),MATCH(F202,Risk_Matrix!$B$1:$D$1,0))</f>
        <v>Low</v>
      </c>
      <c r="H202" s="10">
        <v>46180</v>
      </c>
      <c r="I202" s="3" t="s">
        <v>967</v>
      </c>
      <c r="J202" s="3" t="s">
        <v>968</v>
      </c>
      <c r="K202" s="3" t="s">
        <v>960</v>
      </c>
      <c r="L202" s="3">
        <f>IF(G202="High",3,IF(G202="Medium",2,1))</f>
        <v>1</v>
      </c>
    </row>
    <row r="203" spans="1:12">
      <c r="A203" s="3" t="s">
        <v>1196</v>
      </c>
      <c r="B203" s="3" t="s">
        <v>423</v>
      </c>
      <c r="C203" s="3" t="s">
        <v>971</v>
      </c>
      <c r="D203" s="3" t="s">
        <v>1025</v>
      </c>
      <c r="E203" s="3" t="s">
        <v>47</v>
      </c>
      <c r="F203" s="3" t="s">
        <v>942</v>
      </c>
      <c r="G203" s="3" t="str">
        <f>INDEX(Risk_Matrix!$B$2:$D$4,MATCH(E203,Risk_Matrix!$A$2:$A$4,0),MATCH(F203,Risk_Matrix!$B$1:$D$1,0))</f>
        <v>Low</v>
      </c>
      <c r="H203" s="10">
        <v>46060</v>
      </c>
      <c r="I203" s="3" t="s">
        <v>981</v>
      </c>
      <c r="J203" s="3" t="s">
        <v>982</v>
      </c>
      <c r="K203" s="3" t="s">
        <v>1000</v>
      </c>
      <c r="L203" s="3">
        <f>IF(G203="High",3,IF(G203="Medium",2,1))</f>
        <v>1</v>
      </c>
    </row>
    <row r="204" spans="1:12">
      <c r="A204" s="3" t="s">
        <v>1197</v>
      </c>
      <c r="B204" s="3" t="s">
        <v>423</v>
      </c>
      <c r="C204" s="3" t="s">
        <v>976</v>
      </c>
      <c r="D204" s="3" t="s">
        <v>977</v>
      </c>
      <c r="E204" s="3" t="s">
        <v>47</v>
      </c>
      <c r="F204" s="3" t="s">
        <v>47</v>
      </c>
      <c r="G204" s="3" t="str">
        <f>INDEX(Risk_Matrix!$B$2:$D$4,MATCH(E204,Risk_Matrix!$A$2:$A$4,0),MATCH(F204,Risk_Matrix!$B$1:$D$1,0))</f>
        <v>Low</v>
      </c>
      <c r="H204" s="10">
        <v>46217</v>
      </c>
      <c r="I204" s="3" t="s">
        <v>981</v>
      </c>
      <c r="J204" s="3" t="s">
        <v>982</v>
      </c>
      <c r="K204" s="3" t="s">
        <v>969</v>
      </c>
      <c r="L204" s="3">
        <f>IF(G204="High",3,IF(G204="Medium",2,1))</f>
        <v>1</v>
      </c>
    </row>
    <row r="205" spans="1:12">
      <c r="A205" s="3" t="s">
        <v>1198</v>
      </c>
      <c r="B205" s="3" t="s">
        <v>423</v>
      </c>
      <c r="C205" s="3" t="s">
        <v>979</v>
      </c>
      <c r="D205" s="3" t="s">
        <v>980</v>
      </c>
      <c r="E205" s="3" t="s">
        <v>42</v>
      </c>
      <c r="F205" s="3" t="s">
        <v>47</v>
      </c>
      <c r="G205" s="3" t="str">
        <f>INDEX(Risk_Matrix!$B$2:$D$4,MATCH(E205,Risk_Matrix!$A$2:$A$4,0),MATCH(F205,Risk_Matrix!$B$1:$D$1,0))</f>
        <v>Medium</v>
      </c>
      <c r="H205" s="10">
        <v>46237</v>
      </c>
      <c r="I205" s="3" t="s">
        <v>973</v>
      </c>
      <c r="J205" s="3" t="s">
        <v>974</v>
      </c>
      <c r="K205" s="3" t="s">
        <v>1000</v>
      </c>
      <c r="L205" s="3">
        <f>IF(G205="High",3,IF(G205="Medium",2,1))</f>
        <v>2</v>
      </c>
    </row>
    <row r="206" spans="1:12">
      <c r="A206" s="3" t="s">
        <v>1199</v>
      </c>
      <c r="B206" s="3" t="s">
        <v>426</v>
      </c>
      <c r="C206" s="3" t="s">
        <v>956</v>
      </c>
      <c r="D206" s="3" t="s">
        <v>957</v>
      </c>
      <c r="E206" s="3" t="s">
        <v>942</v>
      </c>
      <c r="F206" s="3" t="s">
        <v>47</v>
      </c>
      <c r="G206" s="3" t="str">
        <f>INDEX(Risk_Matrix!$B$2:$D$4,MATCH(E206,Risk_Matrix!$A$2:$A$4,0),MATCH(F206,Risk_Matrix!$B$1:$D$1,0))</f>
        <v>Low</v>
      </c>
      <c r="H206" s="10">
        <v>46158</v>
      </c>
      <c r="I206" s="3" t="s">
        <v>973</v>
      </c>
      <c r="J206" s="3" t="s">
        <v>974</v>
      </c>
      <c r="K206" s="3" t="s">
        <v>960</v>
      </c>
      <c r="L206" s="3">
        <f>IF(G206="High",3,IF(G206="Medium",2,1))</f>
        <v>1</v>
      </c>
    </row>
    <row r="207" spans="1:12">
      <c r="A207" s="3" t="s">
        <v>1200</v>
      </c>
      <c r="B207" s="3" t="s">
        <v>426</v>
      </c>
      <c r="C207" s="3" t="s">
        <v>962</v>
      </c>
      <c r="D207" s="3" t="s">
        <v>986</v>
      </c>
      <c r="E207" s="3" t="s">
        <v>47</v>
      </c>
      <c r="F207" s="3" t="s">
        <v>47</v>
      </c>
      <c r="G207" s="3" t="str">
        <f>INDEX(Risk_Matrix!$B$2:$D$4,MATCH(E207,Risk_Matrix!$A$2:$A$4,0),MATCH(F207,Risk_Matrix!$B$1:$D$1,0))</f>
        <v>Low</v>
      </c>
      <c r="H207" s="10">
        <v>46172</v>
      </c>
      <c r="I207" s="3" t="s">
        <v>967</v>
      </c>
      <c r="J207" s="3" t="s">
        <v>968</v>
      </c>
      <c r="K207" s="3" t="s">
        <v>1000</v>
      </c>
      <c r="L207" s="3">
        <f>IF(G207="High",3,IF(G207="Medium",2,1))</f>
        <v>1</v>
      </c>
    </row>
    <row r="208" spans="1:12">
      <c r="A208" s="3" t="s">
        <v>1201</v>
      </c>
      <c r="B208" s="3" t="s">
        <v>426</v>
      </c>
      <c r="C208" s="3" t="s">
        <v>965</v>
      </c>
      <c r="D208" s="3" t="s">
        <v>988</v>
      </c>
      <c r="E208" s="3" t="s">
        <v>942</v>
      </c>
      <c r="F208" s="3" t="s">
        <v>942</v>
      </c>
      <c r="G208" s="3" t="str">
        <f>INDEX(Risk_Matrix!$B$2:$D$4,MATCH(E208,Risk_Matrix!$A$2:$A$4,0),MATCH(F208,Risk_Matrix!$B$1:$D$1,0))</f>
        <v>Medium</v>
      </c>
      <c r="H208" s="10">
        <v>46137</v>
      </c>
      <c r="I208" s="3" t="s">
        <v>958</v>
      </c>
      <c r="J208" s="3" t="s">
        <v>959</v>
      </c>
      <c r="K208" s="3" t="s">
        <v>983</v>
      </c>
      <c r="L208" s="3">
        <f>IF(G208="High",3,IF(G208="Medium",2,1))</f>
        <v>2</v>
      </c>
    </row>
    <row r="209" spans="1:12">
      <c r="A209" s="3" t="s">
        <v>1202</v>
      </c>
      <c r="B209" s="3" t="s">
        <v>426</v>
      </c>
      <c r="C209" s="3" t="s">
        <v>971</v>
      </c>
      <c r="D209" s="3" t="s">
        <v>1025</v>
      </c>
      <c r="E209" s="3" t="s">
        <v>942</v>
      </c>
      <c r="F209" s="3" t="s">
        <v>942</v>
      </c>
      <c r="G209" s="3" t="str">
        <f>INDEX(Risk_Matrix!$B$2:$D$4,MATCH(E209,Risk_Matrix!$A$2:$A$4,0),MATCH(F209,Risk_Matrix!$B$1:$D$1,0))</f>
        <v>Medium</v>
      </c>
      <c r="H209" s="10">
        <v>46095</v>
      </c>
      <c r="I209" s="3" t="s">
        <v>973</v>
      </c>
      <c r="J209" s="3" t="s">
        <v>974</v>
      </c>
      <c r="K209" s="3" t="s">
        <v>1000</v>
      </c>
      <c r="L209" s="3">
        <f>IF(G209="High",3,IF(G209="Medium",2,1))</f>
        <v>2</v>
      </c>
    </row>
    <row r="210" spans="1:12">
      <c r="A210" s="3" t="s">
        <v>1203</v>
      </c>
      <c r="B210" s="3" t="s">
        <v>426</v>
      </c>
      <c r="C210" s="3" t="s">
        <v>976</v>
      </c>
      <c r="D210" s="3" t="s">
        <v>991</v>
      </c>
      <c r="E210" s="3" t="s">
        <v>47</v>
      </c>
      <c r="F210" s="3" t="s">
        <v>47</v>
      </c>
      <c r="G210" s="3" t="str">
        <f>INDEX(Risk_Matrix!$B$2:$D$4,MATCH(E210,Risk_Matrix!$A$2:$A$4,0),MATCH(F210,Risk_Matrix!$B$1:$D$1,0))</f>
        <v>Low</v>
      </c>
      <c r="H210" s="10">
        <v>46137</v>
      </c>
      <c r="I210" s="3" t="s">
        <v>973</v>
      </c>
      <c r="J210" s="3" t="s">
        <v>974</v>
      </c>
      <c r="K210" s="3" t="s">
        <v>983</v>
      </c>
      <c r="L210" s="3">
        <f>IF(G210="High",3,IF(G210="Medium",2,1))</f>
        <v>1</v>
      </c>
    </row>
    <row r="211" spans="1:12">
      <c r="A211" s="3" t="s">
        <v>1204</v>
      </c>
      <c r="B211" s="3" t="s">
        <v>426</v>
      </c>
      <c r="C211" s="3" t="s">
        <v>979</v>
      </c>
      <c r="D211" s="3" t="s">
        <v>980</v>
      </c>
      <c r="E211" s="3" t="s">
        <v>47</v>
      </c>
      <c r="F211" s="3" t="s">
        <v>47</v>
      </c>
      <c r="G211" s="3" t="str">
        <f>INDEX(Risk_Matrix!$B$2:$D$4,MATCH(E211,Risk_Matrix!$A$2:$A$4,0),MATCH(F211,Risk_Matrix!$B$1:$D$1,0))</f>
        <v>Low</v>
      </c>
      <c r="H211" s="10">
        <v>46197</v>
      </c>
      <c r="I211" s="3" t="s">
        <v>981</v>
      </c>
      <c r="J211" s="3" t="s">
        <v>982</v>
      </c>
      <c r="K211" s="3" t="s">
        <v>993</v>
      </c>
      <c r="L211" s="3">
        <f>IF(G211="High",3,IF(G211="Medium",2,1))</f>
        <v>1</v>
      </c>
    </row>
    <row r="212" spans="1:12">
      <c r="A212" s="3" t="s">
        <v>1205</v>
      </c>
      <c r="B212" s="3" t="s">
        <v>429</v>
      </c>
      <c r="C212" s="3" t="s">
        <v>956</v>
      </c>
      <c r="D212" s="3" t="s">
        <v>1020</v>
      </c>
      <c r="E212" s="3" t="s">
        <v>942</v>
      </c>
      <c r="F212" s="3" t="s">
        <v>942</v>
      </c>
      <c r="G212" s="3" t="str">
        <f>INDEX(Risk_Matrix!$B$2:$D$4,MATCH(E212,Risk_Matrix!$A$2:$A$4,0),MATCH(F212,Risk_Matrix!$B$1:$D$1,0))</f>
        <v>Medium</v>
      </c>
      <c r="H212" s="10">
        <v>46081</v>
      </c>
      <c r="I212" s="3" t="s">
        <v>981</v>
      </c>
      <c r="J212" s="3" t="s">
        <v>982</v>
      </c>
      <c r="K212" s="3" t="s">
        <v>993</v>
      </c>
      <c r="L212" s="3">
        <f>IF(G212="High",3,IF(G212="Medium",2,1))</f>
        <v>2</v>
      </c>
    </row>
    <row r="213" spans="1:12">
      <c r="A213" s="3" t="s">
        <v>1206</v>
      </c>
      <c r="B213" s="3" t="s">
        <v>429</v>
      </c>
      <c r="C213" s="3" t="s">
        <v>962</v>
      </c>
      <c r="D213" s="3" t="s">
        <v>1037</v>
      </c>
      <c r="E213" s="3" t="s">
        <v>47</v>
      </c>
      <c r="F213" s="3" t="s">
        <v>942</v>
      </c>
      <c r="G213" s="3" t="str">
        <f>INDEX(Risk_Matrix!$B$2:$D$4,MATCH(E213,Risk_Matrix!$A$2:$A$4,0),MATCH(F213,Risk_Matrix!$B$1:$D$1,0))</f>
        <v>Low</v>
      </c>
      <c r="H213" s="10">
        <v>46201</v>
      </c>
      <c r="I213" s="3" t="s">
        <v>981</v>
      </c>
      <c r="J213" s="3" t="s">
        <v>982</v>
      </c>
      <c r="K213" s="3" t="s">
        <v>960</v>
      </c>
      <c r="L213" s="3">
        <f>IF(G213="High",3,IF(G213="Medium",2,1))</f>
        <v>1</v>
      </c>
    </row>
    <row r="214" spans="1:12">
      <c r="A214" s="3" t="s">
        <v>1207</v>
      </c>
      <c r="B214" s="3" t="s">
        <v>429</v>
      </c>
      <c r="C214" s="3" t="s">
        <v>965</v>
      </c>
      <c r="D214" s="3" t="s">
        <v>988</v>
      </c>
      <c r="E214" s="3" t="s">
        <v>47</v>
      </c>
      <c r="F214" s="3" t="s">
        <v>47</v>
      </c>
      <c r="G214" s="3" t="str">
        <f>INDEX(Risk_Matrix!$B$2:$D$4,MATCH(E214,Risk_Matrix!$A$2:$A$4,0),MATCH(F214,Risk_Matrix!$B$1:$D$1,0))</f>
        <v>Low</v>
      </c>
      <c r="H214" s="10">
        <v>46083</v>
      </c>
      <c r="I214" s="3" t="s">
        <v>973</v>
      </c>
      <c r="J214" s="3" t="s">
        <v>974</v>
      </c>
      <c r="K214" s="3" t="s">
        <v>993</v>
      </c>
      <c r="L214" s="3">
        <f>IF(G214="High",3,IF(G214="Medium",2,1))</f>
        <v>1</v>
      </c>
    </row>
    <row r="215" spans="1:12">
      <c r="A215" s="3" t="s">
        <v>1208</v>
      </c>
      <c r="B215" s="3" t="s">
        <v>429</v>
      </c>
      <c r="C215" s="3" t="s">
        <v>971</v>
      </c>
      <c r="D215" s="3" t="s">
        <v>1016</v>
      </c>
      <c r="E215" s="3" t="s">
        <v>47</v>
      </c>
      <c r="F215" s="3" t="s">
        <v>42</v>
      </c>
      <c r="G215" s="3" t="str">
        <f>INDEX(Risk_Matrix!$B$2:$D$4,MATCH(E215,Risk_Matrix!$A$2:$A$4,0),MATCH(F215,Risk_Matrix!$B$1:$D$1,0))</f>
        <v>Medium</v>
      </c>
      <c r="H215" s="10">
        <v>46105</v>
      </c>
      <c r="I215" s="3" t="s">
        <v>967</v>
      </c>
      <c r="J215" s="3" t="s">
        <v>968</v>
      </c>
      <c r="K215" s="3" t="s">
        <v>969</v>
      </c>
      <c r="L215" s="3">
        <f>IF(G215="High",3,IF(G215="Medium",2,1))</f>
        <v>2</v>
      </c>
    </row>
    <row r="216" spans="1:12">
      <c r="A216" s="3" t="s">
        <v>1209</v>
      </c>
      <c r="B216" s="3" t="s">
        <v>429</v>
      </c>
      <c r="C216" s="3" t="s">
        <v>976</v>
      </c>
      <c r="D216" s="3" t="s">
        <v>1002</v>
      </c>
      <c r="E216" s="3" t="s">
        <v>42</v>
      </c>
      <c r="F216" s="3" t="s">
        <v>47</v>
      </c>
      <c r="G216" s="3" t="str">
        <f>INDEX(Risk_Matrix!$B$2:$D$4,MATCH(E216,Risk_Matrix!$A$2:$A$4,0),MATCH(F216,Risk_Matrix!$B$1:$D$1,0))</f>
        <v>Medium</v>
      </c>
      <c r="H216" s="10">
        <v>46194</v>
      </c>
      <c r="I216" s="3" t="s">
        <v>981</v>
      </c>
      <c r="J216" s="3" t="s">
        <v>982</v>
      </c>
      <c r="K216" s="3" t="s">
        <v>960</v>
      </c>
      <c r="L216" s="3">
        <f>IF(G216="High",3,IF(G216="Medium",2,1))</f>
        <v>2</v>
      </c>
    </row>
    <row r="217" spans="1:12">
      <c r="A217" s="3" t="s">
        <v>1210</v>
      </c>
      <c r="B217" s="3" t="s">
        <v>429</v>
      </c>
      <c r="C217" s="3" t="s">
        <v>979</v>
      </c>
      <c r="D217" s="3" t="s">
        <v>1028</v>
      </c>
      <c r="E217" s="3" t="s">
        <v>47</v>
      </c>
      <c r="F217" s="3" t="s">
        <v>42</v>
      </c>
      <c r="G217" s="3" t="str">
        <f>INDEX(Risk_Matrix!$B$2:$D$4,MATCH(E217,Risk_Matrix!$A$2:$A$4,0),MATCH(F217,Risk_Matrix!$B$1:$D$1,0))</f>
        <v>Medium</v>
      </c>
      <c r="H217" s="10">
        <v>46106</v>
      </c>
      <c r="I217" s="3" t="s">
        <v>981</v>
      </c>
      <c r="J217" s="3" t="s">
        <v>982</v>
      </c>
      <c r="K217" s="3" t="s">
        <v>969</v>
      </c>
      <c r="L217" s="3">
        <f>IF(G217="High",3,IF(G217="Medium",2,1))</f>
        <v>2</v>
      </c>
    </row>
    <row r="218" spans="1:12">
      <c r="A218" s="3" t="s">
        <v>1211</v>
      </c>
      <c r="B218" s="3" t="s">
        <v>431</v>
      </c>
      <c r="C218" s="3" t="s">
        <v>956</v>
      </c>
      <c r="D218" s="3" t="s">
        <v>1020</v>
      </c>
      <c r="E218" s="3" t="s">
        <v>47</v>
      </c>
      <c r="F218" s="3" t="s">
        <v>942</v>
      </c>
      <c r="G218" s="3" t="str">
        <f>INDEX(Risk_Matrix!$B$2:$D$4,MATCH(E218,Risk_Matrix!$A$2:$A$4,0),MATCH(F218,Risk_Matrix!$B$1:$D$1,0))</f>
        <v>Low</v>
      </c>
      <c r="H218" s="10">
        <v>46179</v>
      </c>
      <c r="I218" s="3" t="s">
        <v>967</v>
      </c>
      <c r="J218" s="3" t="s">
        <v>968</v>
      </c>
      <c r="K218" s="3" t="s">
        <v>1000</v>
      </c>
      <c r="L218" s="3">
        <f>IF(G218="High",3,IF(G218="Medium",2,1))</f>
        <v>1</v>
      </c>
    </row>
    <row r="219" spans="1:12">
      <c r="A219" s="3" t="s">
        <v>1212</v>
      </c>
      <c r="B219" s="3" t="s">
        <v>431</v>
      </c>
      <c r="C219" s="3" t="s">
        <v>962</v>
      </c>
      <c r="D219" s="3" t="s">
        <v>1037</v>
      </c>
      <c r="E219" s="3" t="s">
        <v>942</v>
      </c>
      <c r="F219" s="3" t="s">
        <v>47</v>
      </c>
      <c r="G219" s="3" t="str">
        <f>INDEX(Risk_Matrix!$B$2:$D$4,MATCH(E219,Risk_Matrix!$A$2:$A$4,0),MATCH(F219,Risk_Matrix!$B$1:$D$1,0))</f>
        <v>Low</v>
      </c>
      <c r="H219" s="10">
        <v>46198</v>
      </c>
      <c r="I219" s="3" t="s">
        <v>967</v>
      </c>
      <c r="J219" s="3" t="s">
        <v>968</v>
      </c>
      <c r="K219" s="3" t="s">
        <v>993</v>
      </c>
      <c r="L219" s="3">
        <f>IF(G219="High",3,IF(G219="Medium",2,1))</f>
        <v>1</v>
      </c>
    </row>
    <row r="220" spans="1:12">
      <c r="A220" s="3" t="s">
        <v>1213</v>
      </c>
      <c r="B220" s="3" t="s">
        <v>431</v>
      </c>
      <c r="C220" s="3" t="s">
        <v>965</v>
      </c>
      <c r="D220" s="3" t="s">
        <v>966</v>
      </c>
      <c r="E220" s="3" t="s">
        <v>942</v>
      </c>
      <c r="F220" s="3" t="s">
        <v>47</v>
      </c>
      <c r="G220" s="3" t="str">
        <f>INDEX(Risk_Matrix!$B$2:$D$4,MATCH(E220,Risk_Matrix!$A$2:$A$4,0),MATCH(F220,Risk_Matrix!$B$1:$D$1,0))</f>
        <v>Low</v>
      </c>
      <c r="H220" s="10">
        <v>46088</v>
      </c>
      <c r="I220" s="3" t="s">
        <v>973</v>
      </c>
      <c r="J220" s="3" t="s">
        <v>974</v>
      </c>
      <c r="K220" s="3" t="s">
        <v>983</v>
      </c>
      <c r="L220" s="3">
        <f>IF(G220="High",3,IF(G220="Medium",2,1))</f>
        <v>1</v>
      </c>
    </row>
    <row r="221" spans="1:12">
      <c r="A221" s="3" t="s">
        <v>1214</v>
      </c>
      <c r="B221" s="3" t="s">
        <v>431</v>
      </c>
      <c r="C221" s="3" t="s">
        <v>971</v>
      </c>
      <c r="D221" s="3" t="s">
        <v>1016</v>
      </c>
      <c r="E221" s="3" t="s">
        <v>47</v>
      </c>
      <c r="F221" s="3" t="s">
        <v>942</v>
      </c>
      <c r="G221" s="3" t="str">
        <f>INDEX(Risk_Matrix!$B$2:$D$4,MATCH(E221,Risk_Matrix!$A$2:$A$4,0),MATCH(F221,Risk_Matrix!$B$1:$D$1,0))</f>
        <v>Low</v>
      </c>
      <c r="H221" s="10">
        <v>46098</v>
      </c>
      <c r="I221" s="3" t="s">
        <v>981</v>
      </c>
      <c r="J221" s="3" t="s">
        <v>982</v>
      </c>
      <c r="K221" s="3" t="s">
        <v>969</v>
      </c>
      <c r="L221" s="3">
        <f>IF(G221="High",3,IF(G221="Medium",2,1))</f>
        <v>1</v>
      </c>
    </row>
    <row r="222" spans="1:12">
      <c r="A222" s="3" t="s">
        <v>1215</v>
      </c>
      <c r="B222" s="3" t="s">
        <v>431</v>
      </c>
      <c r="C222" s="3" t="s">
        <v>976</v>
      </c>
      <c r="D222" s="3" t="s">
        <v>1002</v>
      </c>
      <c r="E222" s="3" t="s">
        <v>942</v>
      </c>
      <c r="F222" s="3" t="s">
        <v>42</v>
      </c>
      <c r="G222" s="3" t="str">
        <f>INDEX(Risk_Matrix!$B$2:$D$4,MATCH(E222,Risk_Matrix!$A$2:$A$4,0),MATCH(F222,Risk_Matrix!$B$1:$D$1,0))</f>
        <v>High</v>
      </c>
      <c r="H222" s="10">
        <v>46168</v>
      </c>
      <c r="I222" s="3" t="s">
        <v>973</v>
      </c>
      <c r="J222" s="3" t="s">
        <v>974</v>
      </c>
      <c r="K222" s="3" t="s">
        <v>983</v>
      </c>
      <c r="L222" s="3">
        <f>IF(G222="High",3,IF(G222="Medium",2,1))</f>
        <v>3</v>
      </c>
    </row>
    <row r="223" spans="1:12">
      <c r="A223" s="3" t="s">
        <v>1216</v>
      </c>
      <c r="B223" s="3" t="s">
        <v>431</v>
      </c>
      <c r="C223" s="3" t="s">
        <v>979</v>
      </c>
      <c r="D223" s="3" t="s">
        <v>980</v>
      </c>
      <c r="E223" s="3" t="s">
        <v>42</v>
      </c>
      <c r="F223" s="3" t="s">
        <v>47</v>
      </c>
      <c r="G223" s="3" t="str">
        <f>INDEX(Risk_Matrix!$B$2:$D$4,MATCH(E223,Risk_Matrix!$A$2:$A$4,0),MATCH(F223,Risk_Matrix!$B$1:$D$1,0))</f>
        <v>Medium</v>
      </c>
      <c r="H223" s="10">
        <v>46237</v>
      </c>
      <c r="I223" s="3" t="s">
        <v>967</v>
      </c>
      <c r="J223" s="3" t="s">
        <v>968</v>
      </c>
      <c r="K223" s="3" t="s">
        <v>969</v>
      </c>
      <c r="L223" s="3">
        <f>IF(G223="High",3,IF(G223="Medium",2,1))</f>
        <v>2</v>
      </c>
    </row>
    <row r="224" spans="1:12">
      <c r="A224" s="3" t="s">
        <v>1217</v>
      </c>
      <c r="B224" s="3" t="s">
        <v>433</v>
      </c>
      <c r="C224" s="3" t="s">
        <v>956</v>
      </c>
      <c r="D224" s="3" t="s">
        <v>1020</v>
      </c>
      <c r="E224" s="3" t="s">
        <v>47</v>
      </c>
      <c r="F224" s="3" t="s">
        <v>47</v>
      </c>
      <c r="G224" s="3" t="str">
        <f>INDEX(Risk_Matrix!$B$2:$D$4,MATCH(E224,Risk_Matrix!$A$2:$A$4,0),MATCH(F224,Risk_Matrix!$B$1:$D$1,0))</f>
        <v>Low</v>
      </c>
      <c r="H224" s="10">
        <v>46163</v>
      </c>
      <c r="I224" s="3" t="s">
        <v>973</v>
      </c>
      <c r="J224" s="3" t="s">
        <v>974</v>
      </c>
      <c r="K224" s="3" t="s">
        <v>969</v>
      </c>
      <c r="L224" s="3">
        <f>IF(G224="High",3,IF(G224="Medium",2,1))</f>
        <v>1</v>
      </c>
    </row>
    <row r="225" spans="1:12">
      <c r="A225" s="3" t="s">
        <v>1218</v>
      </c>
      <c r="B225" s="3" t="s">
        <v>433</v>
      </c>
      <c r="C225" s="3" t="s">
        <v>962</v>
      </c>
      <c r="D225" s="3" t="s">
        <v>963</v>
      </c>
      <c r="E225" s="3" t="s">
        <v>942</v>
      </c>
      <c r="F225" s="3" t="s">
        <v>42</v>
      </c>
      <c r="G225" s="3" t="str">
        <f>INDEX(Risk_Matrix!$B$2:$D$4,MATCH(E225,Risk_Matrix!$A$2:$A$4,0),MATCH(F225,Risk_Matrix!$B$1:$D$1,0))</f>
        <v>High</v>
      </c>
      <c r="H225" s="10">
        <v>46091</v>
      </c>
      <c r="I225" s="3" t="s">
        <v>981</v>
      </c>
      <c r="J225" s="3" t="s">
        <v>982</v>
      </c>
      <c r="K225" s="3" t="s">
        <v>969</v>
      </c>
      <c r="L225" s="3">
        <f>IF(G225="High",3,IF(G225="Medium",2,1))</f>
        <v>3</v>
      </c>
    </row>
    <row r="226" spans="1:12">
      <c r="A226" s="3" t="s">
        <v>1219</v>
      </c>
      <c r="B226" s="3" t="s">
        <v>433</v>
      </c>
      <c r="C226" s="3" t="s">
        <v>965</v>
      </c>
      <c r="D226" s="3" t="s">
        <v>988</v>
      </c>
      <c r="E226" s="3" t="s">
        <v>42</v>
      </c>
      <c r="F226" s="3" t="s">
        <v>942</v>
      </c>
      <c r="G226" s="3" t="str">
        <f>INDEX(Risk_Matrix!$B$2:$D$4,MATCH(E226,Risk_Matrix!$A$2:$A$4,0),MATCH(F226,Risk_Matrix!$B$1:$D$1,0))</f>
        <v>High</v>
      </c>
      <c r="H226" s="10">
        <v>46152</v>
      </c>
      <c r="I226" s="3" t="s">
        <v>981</v>
      </c>
      <c r="J226" s="3" t="s">
        <v>982</v>
      </c>
      <c r="K226" s="3" t="s">
        <v>960</v>
      </c>
      <c r="L226" s="3">
        <f>IF(G226="High",3,IF(G226="Medium",2,1))</f>
        <v>3</v>
      </c>
    </row>
    <row r="227" spans="1:12">
      <c r="A227" s="3" t="s">
        <v>1220</v>
      </c>
      <c r="B227" s="3" t="s">
        <v>433</v>
      </c>
      <c r="C227" s="3" t="s">
        <v>971</v>
      </c>
      <c r="D227" s="3" t="s">
        <v>1016</v>
      </c>
      <c r="E227" s="3" t="s">
        <v>47</v>
      </c>
      <c r="F227" s="3" t="s">
        <v>942</v>
      </c>
      <c r="G227" s="3" t="str">
        <f>INDEX(Risk_Matrix!$B$2:$D$4,MATCH(E227,Risk_Matrix!$A$2:$A$4,0),MATCH(F227,Risk_Matrix!$B$1:$D$1,0))</f>
        <v>Low</v>
      </c>
      <c r="H227" s="10">
        <v>46209</v>
      </c>
      <c r="I227" s="3" t="s">
        <v>973</v>
      </c>
      <c r="J227" s="3" t="s">
        <v>974</v>
      </c>
      <c r="K227" s="3" t="s">
        <v>969</v>
      </c>
      <c r="L227" s="3">
        <f>IF(G227="High",3,IF(G227="Medium",2,1))</f>
        <v>1</v>
      </c>
    </row>
    <row r="228" spans="1:12">
      <c r="A228" s="3" t="s">
        <v>1221</v>
      </c>
      <c r="B228" s="3" t="s">
        <v>433</v>
      </c>
      <c r="C228" s="3" t="s">
        <v>976</v>
      </c>
      <c r="D228" s="3" t="s">
        <v>977</v>
      </c>
      <c r="E228" s="3" t="s">
        <v>47</v>
      </c>
      <c r="F228" s="3" t="s">
        <v>942</v>
      </c>
      <c r="G228" s="3" t="str">
        <f>INDEX(Risk_Matrix!$B$2:$D$4,MATCH(E228,Risk_Matrix!$A$2:$A$4,0),MATCH(F228,Risk_Matrix!$B$1:$D$1,0))</f>
        <v>Low</v>
      </c>
      <c r="H228" s="10">
        <v>46059</v>
      </c>
      <c r="I228" s="3" t="s">
        <v>973</v>
      </c>
      <c r="J228" s="3" t="s">
        <v>974</v>
      </c>
      <c r="K228" s="3" t="s">
        <v>983</v>
      </c>
      <c r="L228" s="3">
        <f>IF(G228="High",3,IF(G228="Medium",2,1))</f>
        <v>1</v>
      </c>
    </row>
    <row r="229" spans="1:12">
      <c r="A229" s="3" t="s">
        <v>1222</v>
      </c>
      <c r="B229" s="3" t="s">
        <v>433</v>
      </c>
      <c r="C229" s="3" t="s">
        <v>979</v>
      </c>
      <c r="D229" s="3" t="s">
        <v>1028</v>
      </c>
      <c r="E229" s="3" t="s">
        <v>47</v>
      </c>
      <c r="F229" s="3" t="s">
        <v>47</v>
      </c>
      <c r="G229" s="3" t="str">
        <f>INDEX(Risk_Matrix!$B$2:$D$4,MATCH(E229,Risk_Matrix!$A$2:$A$4,0),MATCH(F229,Risk_Matrix!$B$1:$D$1,0))</f>
        <v>Low</v>
      </c>
      <c r="H229" s="10">
        <v>46059</v>
      </c>
      <c r="I229" s="3" t="s">
        <v>967</v>
      </c>
      <c r="J229" s="3" t="s">
        <v>968</v>
      </c>
      <c r="K229" s="3" t="s">
        <v>969</v>
      </c>
      <c r="L229" s="3">
        <f>IF(G229="High",3,IF(G229="Medium",2,1))</f>
        <v>1</v>
      </c>
    </row>
    <row r="230" spans="1:12">
      <c r="A230" s="3" t="s">
        <v>1223</v>
      </c>
      <c r="B230" s="3" t="s">
        <v>435</v>
      </c>
      <c r="C230" s="3" t="s">
        <v>956</v>
      </c>
      <c r="D230" s="3" t="s">
        <v>1020</v>
      </c>
      <c r="E230" s="3" t="s">
        <v>47</v>
      </c>
      <c r="F230" s="3" t="s">
        <v>47</v>
      </c>
      <c r="G230" s="3" t="str">
        <f>INDEX(Risk_Matrix!$B$2:$D$4,MATCH(E230,Risk_Matrix!$A$2:$A$4,0),MATCH(F230,Risk_Matrix!$B$1:$D$1,0))</f>
        <v>Low</v>
      </c>
      <c r="H230" s="10">
        <v>46151</v>
      </c>
      <c r="I230" s="3" t="s">
        <v>967</v>
      </c>
      <c r="J230" s="3" t="s">
        <v>968</v>
      </c>
      <c r="K230" s="3" t="s">
        <v>993</v>
      </c>
      <c r="L230" s="3">
        <f>IF(G230="High",3,IF(G230="Medium",2,1))</f>
        <v>1</v>
      </c>
    </row>
    <row r="231" spans="1:12">
      <c r="A231" s="3" t="s">
        <v>1224</v>
      </c>
      <c r="B231" s="3" t="s">
        <v>435</v>
      </c>
      <c r="C231" s="3" t="s">
        <v>962</v>
      </c>
      <c r="D231" s="3" t="s">
        <v>1037</v>
      </c>
      <c r="E231" s="3" t="s">
        <v>47</v>
      </c>
      <c r="F231" s="3" t="s">
        <v>47</v>
      </c>
      <c r="G231" s="3" t="str">
        <f>INDEX(Risk_Matrix!$B$2:$D$4,MATCH(E231,Risk_Matrix!$A$2:$A$4,0),MATCH(F231,Risk_Matrix!$B$1:$D$1,0))</f>
        <v>Low</v>
      </c>
      <c r="H231" s="10">
        <v>46170</v>
      </c>
      <c r="I231" s="3" t="s">
        <v>981</v>
      </c>
      <c r="J231" s="3" t="s">
        <v>982</v>
      </c>
      <c r="K231" s="3" t="s">
        <v>983</v>
      </c>
      <c r="L231" s="3">
        <f>IF(G231="High",3,IF(G231="Medium",2,1))</f>
        <v>1</v>
      </c>
    </row>
    <row r="232" spans="1:12">
      <c r="A232" s="3" t="s">
        <v>1225</v>
      </c>
      <c r="B232" s="3" t="s">
        <v>435</v>
      </c>
      <c r="C232" s="3" t="s">
        <v>965</v>
      </c>
      <c r="D232" s="3" t="s">
        <v>1039</v>
      </c>
      <c r="E232" s="3" t="s">
        <v>47</v>
      </c>
      <c r="F232" s="3" t="s">
        <v>47</v>
      </c>
      <c r="G232" s="3" t="str">
        <f>INDEX(Risk_Matrix!$B$2:$D$4,MATCH(E232,Risk_Matrix!$A$2:$A$4,0),MATCH(F232,Risk_Matrix!$B$1:$D$1,0))</f>
        <v>Low</v>
      </c>
      <c r="H232" s="10">
        <v>46171</v>
      </c>
      <c r="I232" s="3" t="s">
        <v>967</v>
      </c>
      <c r="J232" s="3" t="s">
        <v>968</v>
      </c>
      <c r="K232" s="3" t="s">
        <v>983</v>
      </c>
      <c r="L232" s="3">
        <f>IF(G232="High",3,IF(G232="Medium",2,1))</f>
        <v>1</v>
      </c>
    </row>
    <row r="233" spans="1:12">
      <c r="A233" s="3" t="s">
        <v>1226</v>
      </c>
      <c r="B233" s="3" t="s">
        <v>435</v>
      </c>
      <c r="C233" s="3" t="s">
        <v>971</v>
      </c>
      <c r="D233" s="3" t="s">
        <v>972</v>
      </c>
      <c r="E233" s="3" t="s">
        <v>47</v>
      </c>
      <c r="F233" s="3" t="s">
        <v>47</v>
      </c>
      <c r="G233" s="3" t="str">
        <f>INDEX(Risk_Matrix!$B$2:$D$4,MATCH(E233,Risk_Matrix!$A$2:$A$4,0),MATCH(F233,Risk_Matrix!$B$1:$D$1,0))</f>
        <v>Low</v>
      </c>
      <c r="H233" s="10">
        <v>46199</v>
      </c>
      <c r="I233" s="3" t="s">
        <v>967</v>
      </c>
      <c r="J233" s="3" t="s">
        <v>968</v>
      </c>
      <c r="K233" s="3" t="s">
        <v>993</v>
      </c>
      <c r="L233" s="3">
        <f>IF(G233="High",3,IF(G233="Medium",2,1))</f>
        <v>1</v>
      </c>
    </row>
    <row r="234" spans="1:12">
      <c r="A234" s="3" t="s">
        <v>1227</v>
      </c>
      <c r="B234" s="3" t="s">
        <v>435</v>
      </c>
      <c r="C234" s="3" t="s">
        <v>976</v>
      </c>
      <c r="D234" s="3" t="s">
        <v>977</v>
      </c>
      <c r="E234" s="3" t="s">
        <v>42</v>
      </c>
      <c r="F234" s="3" t="s">
        <v>942</v>
      </c>
      <c r="G234" s="3" t="str">
        <f>INDEX(Risk_Matrix!$B$2:$D$4,MATCH(E234,Risk_Matrix!$A$2:$A$4,0),MATCH(F234,Risk_Matrix!$B$1:$D$1,0))</f>
        <v>High</v>
      </c>
      <c r="H234" s="10">
        <v>46081</v>
      </c>
      <c r="I234" s="3" t="s">
        <v>967</v>
      </c>
      <c r="J234" s="3" t="s">
        <v>968</v>
      </c>
      <c r="K234" s="3" t="s">
        <v>993</v>
      </c>
      <c r="L234" s="3">
        <f>IF(G234="High",3,IF(G234="Medium",2,1))</f>
        <v>3</v>
      </c>
    </row>
    <row r="235" spans="1:12">
      <c r="A235" s="3" t="s">
        <v>1228</v>
      </c>
      <c r="B235" s="3" t="s">
        <v>435</v>
      </c>
      <c r="C235" s="3" t="s">
        <v>979</v>
      </c>
      <c r="D235" s="3" t="s">
        <v>980</v>
      </c>
      <c r="E235" s="3" t="s">
        <v>42</v>
      </c>
      <c r="F235" s="3" t="s">
        <v>942</v>
      </c>
      <c r="G235" s="3" t="str">
        <f>INDEX(Risk_Matrix!$B$2:$D$4,MATCH(E235,Risk_Matrix!$A$2:$A$4,0),MATCH(F235,Risk_Matrix!$B$1:$D$1,0))</f>
        <v>High</v>
      </c>
      <c r="H235" s="10">
        <v>46158</v>
      </c>
      <c r="I235" s="3" t="s">
        <v>973</v>
      </c>
      <c r="J235" s="3" t="s">
        <v>974</v>
      </c>
      <c r="K235" s="3" t="s">
        <v>960</v>
      </c>
      <c r="L235" s="3">
        <f>IF(G235="High",3,IF(G235="Medium",2,1))</f>
        <v>3</v>
      </c>
    </row>
    <row r="236" spans="1:12">
      <c r="A236" s="3" t="s">
        <v>1229</v>
      </c>
      <c r="B236" s="3" t="s">
        <v>437</v>
      </c>
      <c r="C236" s="3" t="s">
        <v>956</v>
      </c>
      <c r="D236" s="3" t="s">
        <v>995</v>
      </c>
      <c r="E236" s="3" t="s">
        <v>47</v>
      </c>
      <c r="F236" s="3" t="s">
        <v>42</v>
      </c>
      <c r="G236" s="3" t="str">
        <f>INDEX(Risk_Matrix!$B$2:$D$4,MATCH(E236,Risk_Matrix!$A$2:$A$4,0),MATCH(F236,Risk_Matrix!$B$1:$D$1,0))</f>
        <v>Medium</v>
      </c>
      <c r="H236" s="10">
        <v>46167</v>
      </c>
      <c r="I236" s="3" t="s">
        <v>981</v>
      </c>
      <c r="J236" s="3" t="s">
        <v>982</v>
      </c>
      <c r="K236" s="3" t="s">
        <v>960</v>
      </c>
      <c r="L236" s="3">
        <f>IF(G236="High",3,IF(G236="Medium",2,1))</f>
        <v>2</v>
      </c>
    </row>
    <row r="237" spans="1:12">
      <c r="A237" s="3" t="s">
        <v>1230</v>
      </c>
      <c r="B237" s="3" t="s">
        <v>437</v>
      </c>
      <c r="C237" s="3" t="s">
        <v>962</v>
      </c>
      <c r="D237" s="3" t="s">
        <v>1037</v>
      </c>
      <c r="E237" s="3" t="s">
        <v>942</v>
      </c>
      <c r="F237" s="3" t="s">
        <v>47</v>
      </c>
      <c r="G237" s="3" t="str">
        <f>INDEX(Risk_Matrix!$B$2:$D$4,MATCH(E237,Risk_Matrix!$A$2:$A$4,0),MATCH(F237,Risk_Matrix!$B$1:$D$1,0))</f>
        <v>Low</v>
      </c>
      <c r="H237" s="10">
        <v>46130</v>
      </c>
      <c r="I237" s="3" t="s">
        <v>967</v>
      </c>
      <c r="J237" s="3" t="s">
        <v>968</v>
      </c>
      <c r="K237" s="3" t="s">
        <v>960</v>
      </c>
      <c r="L237" s="3">
        <f>IF(G237="High",3,IF(G237="Medium",2,1))</f>
        <v>1</v>
      </c>
    </row>
    <row r="238" spans="1:12">
      <c r="A238" s="3" t="s">
        <v>1231</v>
      </c>
      <c r="B238" s="3" t="s">
        <v>437</v>
      </c>
      <c r="C238" s="3" t="s">
        <v>965</v>
      </c>
      <c r="D238" s="3" t="s">
        <v>1023</v>
      </c>
      <c r="E238" s="3" t="s">
        <v>942</v>
      </c>
      <c r="F238" s="3" t="s">
        <v>47</v>
      </c>
      <c r="G238" s="3" t="str">
        <f>INDEX(Risk_Matrix!$B$2:$D$4,MATCH(E238,Risk_Matrix!$A$2:$A$4,0),MATCH(F238,Risk_Matrix!$B$1:$D$1,0))</f>
        <v>Low</v>
      </c>
      <c r="H238" s="10">
        <v>46194</v>
      </c>
      <c r="I238" s="3" t="s">
        <v>967</v>
      </c>
      <c r="J238" s="3" t="s">
        <v>968</v>
      </c>
      <c r="K238" s="3" t="s">
        <v>960</v>
      </c>
      <c r="L238" s="3">
        <f>IF(G238="High",3,IF(G238="Medium",2,1))</f>
        <v>1</v>
      </c>
    </row>
    <row r="239" spans="1:12">
      <c r="A239" s="3" t="s">
        <v>1232</v>
      </c>
      <c r="B239" s="3" t="s">
        <v>437</v>
      </c>
      <c r="C239" s="3" t="s">
        <v>971</v>
      </c>
      <c r="D239" s="3" t="s">
        <v>972</v>
      </c>
      <c r="E239" s="3" t="s">
        <v>942</v>
      </c>
      <c r="F239" s="3" t="s">
        <v>47</v>
      </c>
      <c r="G239" s="3" t="str">
        <f>INDEX(Risk_Matrix!$B$2:$D$4,MATCH(E239,Risk_Matrix!$A$2:$A$4,0),MATCH(F239,Risk_Matrix!$B$1:$D$1,0))</f>
        <v>Low</v>
      </c>
      <c r="H239" s="10">
        <v>46235</v>
      </c>
      <c r="I239" s="3" t="s">
        <v>967</v>
      </c>
      <c r="J239" s="3" t="s">
        <v>968</v>
      </c>
      <c r="K239" s="3" t="s">
        <v>983</v>
      </c>
      <c r="L239" s="3">
        <f>IF(G239="High",3,IF(G239="Medium",2,1))</f>
        <v>1</v>
      </c>
    </row>
    <row r="240" spans="1:12">
      <c r="A240" s="3" t="s">
        <v>1233</v>
      </c>
      <c r="B240" s="3" t="s">
        <v>437</v>
      </c>
      <c r="C240" s="3" t="s">
        <v>976</v>
      </c>
      <c r="D240" s="3" t="s">
        <v>991</v>
      </c>
      <c r="E240" s="3" t="s">
        <v>942</v>
      </c>
      <c r="F240" s="3" t="s">
        <v>47</v>
      </c>
      <c r="G240" s="3" t="str">
        <f>INDEX(Risk_Matrix!$B$2:$D$4,MATCH(E240,Risk_Matrix!$A$2:$A$4,0),MATCH(F240,Risk_Matrix!$B$1:$D$1,0))</f>
        <v>Low</v>
      </c>
      <c r="H240" s="10">
        <v>46172</v>
      </c>
      <c r="I240" s="3" t="s">
        <v>967</v>
      </c>
      <c r="J240" s="3" t="s">
        <v>968</v>
      </c>
      <c r="K240" s="3" t="s">
        <v>983</v>
      </c>
      <c r="L240" s="3">
        <f>IF(G240="High",3,IF(G240="Medium",2,1))</f>
        <v>1</v>
      </c>
    </row>
    <row r="241" spans="1:12">
      <c r="A241" s="3" t="s">
        <v>1234</v>
      </c>
      <c r="B241" s="3" t="s">
        <v>437</v>
      </c>
      <c r="C241" s="3" t="s">
        <v>979</v>
      </c>
      <c r="D241" s="3" t="s">
        <v>980</v>
      </c>
      <c r="E241" s="3" t="s">
        <v>47</v>
      </c>
      <c r="F241" s="3" t="s">
        <v>47</v>
      </c>
      <c r="G241" s="3" t="str">
        <f>INDEX(Risk_Matrix!$B$2:$D$4,MATCH(E241,Risk_Matrix!$A$2:$A$4,0),MATCH(F241,Risk_Matrix!$B$1:$D$1,0))</f>
        <v>Low</v>
      </c>
      <c r="H241" s="10">
        <v>46151</v>
      </c>
      <c r="I241" s="3" t="s">
        <v>958</v>
      </c>
      <c r="J241" s="3" t="s">
        <v>959</v>
      </c>
      <c r="K241" s="3" t="s">
        <v>969</v>
      </c>
      <c r="L241" s="3">
        <f>IF(G241="High",3,IF(G241="Medium",2,1))</f>
        <v>1</v>
      </c>
    </row>
    <row r="242" spans="1:12">
      <c r="A242" s="3" t="s">
        <v>1235</v>
      </c>
      <c r="B242" s="3" t="s">
        <v>440</v>
      </c>
      <c r="C242" s="3" t="s">
        <v>956</v>
      </c>
      <c r="D242" s="3" t="s">
        <v>1020</v>
      </c>
      <c r="E242" s="3" t="s">
        <v>47</v>
      </c>
      <c r="F242" s="3" t="s">
        <v>47</v>
      </c>
      <c r="G242" s="3" t="str">
        <f>INDEX(Risk_Matrix!$B$2:$D$4,MATCH(E242,Risk_Matrix!$A$2:$A$4,0),MATCH(F242,Risk_Matrix!$B$1:$D$1,0))</f>
        <v>Low</v>
      </c>
      <c r="H242" s="10">
        <v>46143</v>
      </c>
      <c r="I242" s="3" t="s">
        <v>967</v>
      </c>
      <c r="J242" s="3" t="s">
        <v>968</v>
      </c>
      <c r="K242" s="3" t="s">
        <v>969</v>
      </c>
      <c r="L242" s="3">
        <f>IF(G242="High",3,IF(G242="Medium",2,1))</f>
        <v>1</v>
      </c>
    </row>
    <row r="243" spans="1:12">
      <c r="A243" s="3" t="s">
        <v>1236</v>
      </c>
      <c r="B243" s="3" t="s">
        <v>440</v>
      </c>
      <c r="C243" s="3" t="s">
        <v>962</v>
      </c>
      <c r="D243" s="3" t="s">
        <v>997</v>
      </c>
      <c r="E243" s="3" t="s">
        <v>47</v>
      </c>
      <c r="F243" s="3" t="s">
        <v>47</v>
      </c>
      <c r="G243" s="3" t="str">
        <f>INDEX(Risk_Matrix!$B$2:$D$4,MATCH(E243,Risk_Matrix!$A$2:$A$4,0),MATCH(F243,Risk_Matrix!$B$1:$D$1,0))</f>
        <v>Low</v>
      </c>
      <c r="H243" s="10">
        <v>46091</v>
      </c>
      <c r="I243" s="3" t="s">
        <v>973</v>
      </c>
      <c r="J243" s="3" t="s">
        <v>974</v>
      </c>
      <c r="K243" s="3" t="s">
        <v>983</v>
      </c>
      <c r="L243" s="3">
        <f>IF(G243="High",3,IF(G243="Medium",2,1))</f>
        <v>1</v>
      </c>
    </row>
    <row r="244" spans="1:12">
      <c r="A244" s="3" t="s">
        <v>1237</v>
      </c>
      <c r="B244" s="3" t="s">
        <v>440</v>
      </c>
      <c r="C244" s="3" t="s">
        <v>965</v>
      </c>
      <c r="D244" s="3" t="s">
        <v>1023</v>
      </c>
      <c r="E244" s="3" t="s">
        <v>942</v>
      </c>
      <c r="F244" s="3" t="s">
        <v>942</v>
      </c>
      <c r="G244" s="3" t="str">
        <f>INDEX(Risk_Matrix!$B$2:$D$4,MATCH(E244,Risk_Matrix!$A$2:$A$4,0),MATCH(F244,Risk_Matrix!$B$1:$D$1,0))</f>
        <v>Medium</v>
      </c>
      <c r="H244" s="10">
        <v>46141</v>
      </c>
      <c r="I244" s="3" t="s">
        <v>967</v>
      </c>
      <c r="J244" s="3" t="s">
        <v>968</v>
      </c>
      <c r="K244" s="3" t="s">
        <v>983</v>
      </c>
      <c r="L244" s="3">
        <f>IF(G244="High",3,IF(G244="Medium",2,1))</f>
        <v>2</v>
      </c>
    </row>
    <row r="245" spans="1:12">
      <c r="A245" s="3" t="s">
        <v>1238</v>
      </c>
      <c r="B245" s="3" t="s">
        <v>440</v>
      </c>
      <c r="C245" s="3" t="s">
        <v>971</v>
      </c>
      <c r="D245" s="3" t="s">
        <v>972</v>
      </c>
      <c r="E245" s="3" t="s">
        <v>942</v>
      </c>
      <c r="F245" s="3" t="s">
        <v>942</v>
      </c>
      <c r="G245" s="3" t="str">
        <f>INDEX(Risk_Matrix!$B$2:$D$4,MATCH(E245,Risk_Matrix!$A$2:$A$4,0),MATCH(F245,Risk_Matrix!$B$1:$D$1,0))</f>
        <v>Medium</v>
      </c>
      <c r="H245" s="10">
        <v>46236</v>
      </c>
      <c r="I245" s="3" t="s">
        <v>967</v>
      </c>
      <c r="J245" s="3" t="s">
        <v>968</v>
      </c>
      <c r="K245" s="3" t="s">
        <v>983</v>
      </c>
      <c r="L245" s="3">
        <f>IF(G245="High",3,IF(G245="Medium",2,1))</f>
        <v>2</v>
      </c>
    </row>
    <row r="246" spans="1:12">
      <c r="A246" s="3" t="s">
        <v>1239</v>
      </c>
      <c r="B246" s="3" t="s">
        <v>440</v>
      </c>
      <c r="C246" s="3" t="s">
        <v>976</v>
      </c>
      <c r="D246" s="3" t="s">
        <v>991</v>
      </c>
      <c r="E246" s="3" t="s">
        <v>47</v>
      </c>
      <c r="F246" s="3" t="s">
        <v>42</v>
      </c>
      <c r="G246" s="3" t="str">
        <f>INDEX(Risk_Matrix!$B$2:$D$4,MATCH(E246,Risk_Matrix!$A$2:$A$4,0),MATCH(F246,Risk_Matrix!$B$1:$D$1,0))</f>
        <v>Medium</v>
      </c>
      <c r="H246" s="10">
        <v>46106</v>
      </c>
      <c r="I246" s="3" t="s">
        <v>981</v>
      </c>
      <c r="J246" s="3" t="s">
        <v>982</v>
      </c>
      <c r="K246" s="3" t="s">
        <v>1000</v>
      </c>
      <c r="L246" s="3">
        <f>IF(G246="High",3,IF(G246="Medium",2,1))</f>
        <v>2</v>
      </c>
    </row>
    <row r="247" spans="1:12">
      <c r="A247" s="3" t="s">
        <v>1240</v>
      </c>
      <c r="B247" s="3" t="s">
        <v>440</v>
      </c>
      <c r="C247" s="3" t="s">
        <v>979</v>
      </c>
      <c r="D247" s="3" t="s">
        <v>980</v>
      </c>
      <c r="E247" s="3" t="s">
        <v>47</v>
      </c>
      <c r="F247" s="3" t="s">
        <v>47</v>
      </c>
      <c r="G247" s="3" t="str">
        <f>INDEX(Risk_Matrix!$B$2:$D$4,MATCH(E247,Risk_Matrix!$A$2:$A$4,0),MATCH(F247,Risk_Matrix!$B$1:$D$1,0))</f>
        <v>Low</v>
      </c>
      <c r="H247" s="10">
        <v>46093</v>
      </c>
      <c r="I247" s="3" t="s">
        <v>973</v>
      </c>
      <c r="J247" s="3" t="s">
        <v>974</v>
      </c>
      <c r="K247" s="3" t="s">
        <v>993</v>
      </c>
      <c r="L247" s="3">
        <f>IF(G247="High",3,IF(G247="Medium",2,1))</f>
        <v>1</v>
      </c>
    </row>
    <row r="248" spans="1:12">
      <c r="A248" s="3" t="s">
        <v>1241</v>
      </c>
      <c r="B248" s="3" t="s">
        <v>442</v>
      </c>
      <c r="C248" s="3" t="s">
        <v>956</v>
      </c>
      <c r="D248" s="3" t="s">
        <v>1012</v>
      </c>
      <c r="E248" s="3" t="s">
        <v>47</v>
      </c>
      <c r="F248" s="3" t="s">
        <v>47</v>
      </c>
      <c r="G248" s="3" t="str">
        <f>INDEX(Risk_Matrix!$B$2:$D$4,MATCH(E248,Risk_Matrix!$A$2:$A$4,0),MATCH(F248,Risk_Matrix!$B$1:$D$1,0))</f>
        <v>Low</v>
      </c>
      <c r="H248" s="10">
        <v>46173</v>
      </c>
      <c r="I248" s="3" t="s">
        <v>973</v>
      </c>
      <c r="J248" s="3" t="s">
        <v>974</v>
      </c>
      <c r="K248" s="3" t="s">
        <v>960</v>
      </c>
      <c r="L248" s="3">
        <f>IF(G248="High",3,IF(G248="Medium",2,1))</f>
        <v>1</v>
      </c>
    </row>
    <row r="249" spans="1:12">
      <c r="A249" s="3" t="s">
        <v>1242</v>
      </c>
      <c r="B249" s="3" t="s">
        <v>442</v>
      </c>
      <c r="C249" s="3" t="s">
        <v>962</v>
      </c>
      <c r="D249" s="3" t="s">
        <v>963</v>
      </c>
      <c r="E249" s="3" t="s">
        <v>47</v>
      </c>
      <c r="F249" s="3" t="s">
        <v>47</v>
      </c>
      <c r="G249" s="3" t="str">
        <f>INDEX(Risk_Matrix!$B$2:$D$4,MATCH(E249,Risk_Matrix!$A$2:$A$4,0),MATCH(F249,Risk_Matrix!$B$1:$D$1,0))</f>
        <v>Low</v>
      </c>
      <c r="H249" s="10">
        <v>46095</v>
      </c>
      <c r="I249" s="3" t="s">
        <v>973</v>
      </c>
      <c r="J249" s="3" t="s">
        <v>974</v>
      </c>
      <c r="K249" s="3" t="s">
        <v>1000</v>
      </c>
      <c r="L249" s="3">
        <f>IF(G249="High",3,IF(G249="Medium",2,1))</f>
        <v>1</v>
      </c>
    </row>
    <row r="250" spans="1:12">
      <c r="A250" s="3" t="s">
        <v>1243</v>
      </c>
      <c r="B250" s="3" t="s">
        <v>442</v>
      </c>
      <c r="C250" s="3" t="s">
        <v>965</v>
      </c>
      <c r="D250" s="3" t="s">
        <v>966</v>
      </c>
      <c r="E250" s="3" t="s">
        <v>47</v>
      </c>
      <c r="F250" s="3" t="s">
        <v>47</v>
      </c>
      <c r="G250" s="3" t="str">
        <f>INDEX(Risk_Matrix!$B$2:$D$4,MATCH(E250,Risk_Matrix!$A$2:$A$4,0),MATCH(F250,Risk_Matrix!$B$1:$D$1,0))</f>
        <v>Low</v>
      </c>
      <c r="H250" s="10">
        <v>46065</v>
      </c>
      <c r="I250" s="3" t="s">
        <v>973</v>
      </c>
      <c r="J250" s="3" t="s">
        <v>974</v>
      </c>
      <c r="K250" s="3" t="s">
        <v>1000</v>
      </c>
      <c r="L250" s="3">
        <f>IF(G250="High",3,IF(G250="Medium",2,1))</f>
        <v>1</v>
      </c>
    </row>
    <row r="251" spans="1:12">
      <c r="A251" s="3" t="s">
        <v>1244</v>
      </c>
      <c r="B251" s="3" t="s">
        <v>442</v>
      </c>
      <c r="C251" s="3" t="s">
        <v>971</v>
      </c>
      <c r="D251" s="3" t="s">
        <v>972</v>
      </c>
      <c r="E251" s="3" t="s">
        <v>942</v>
      </c>
      <c r="F251" s="3" t="s">
        <v>942</v>
      </c>
      <c r="G251" s="3" t="str">
        <f>INDEX(Risk_Matrix!$B$2:$D$4,MATCH(E251,Risk_Matrix!$A$2:$A$4,0),MATCH(F251,Risk_Matrix!$B$1:$D$1,0))</f>
        <v>Medium</v>
      </c>
      <c r="H251" s="10">
        <v>46166</v>
      </c>
      <c r="I251" s="3" t="s">
        <v>967</v>
      </c>
      <c r="J251" s="3" t="s">
        <v>968</v>
      </c>
      <c r="K251" s="3" t="s">
        <v>969</v>
      </c>
      <c r="L251" s="3">
        <f>IF(G251="High",3,IF(G251="Medium",2,1))</f>
        <v>2</v>
      </c>
    </row>
    <row r="252" spans="1:12">
      <c r="A252" s="3" t="s">
        <v>1245</v>
      </c>
      <c r="B252" s="3" t="s">
        <v>442</v>
      </c>
      <c r="C252" s="3" t="s">
        <v>976</v>
      </c>
      <c r="D252" s="3" t="s">
        <v>991</v>
      </c>
      <c r="E252" s="3" t="s">
        <v>942</v>
      </c>
      <c r="F252" s="3" t="s">
        <v>47</v>
      </c>
      <c r="G252" s="3" t="str">
        <f>INDEX(Risk_Matrix!$B$2:$D$4,MATCH(E252,Risk_Matrix!$A$2:$A$4,0),MATCH(F252,Risk_Matrix!$B$1:$D$1,0))</f>
        <v>Low</v>
      </c>
      <c r="H252" s="10">
        <v>46218</v>
      </c>
      <c r="I252" s="3" t="s">
        <v>967</v>
      </c>
      <c r="J252" s="3" t="s">
        <v>968</v>
      </c>
      <c r="K252" s="3" t="s">
        <v>960</v>
      </c>
      <c r="L252" s="3">
        <f>IF(G252="High",3,IF(G252="Medium",2,1))</f>
        <v>1</v>
      </c>
    </row>
    <row r="253" spans="1:12">
      <c r="A253" s="3" t="s">
        <v>1246</v>
      </c>
      <c r="B253" s="3" t="s">
        <v>442</v>
      </c>
      <c r="C253" s="3" t="s">
        <v>979</v>
      </c>
      <c r="D253" s="3" t="s">
        <v>980</v>
      </c>
      <c r="E253" s="3" t="s">
        <v>47</v>
      </c>
      <c r="F253" s="3" t="s">
        <v>942</v>
      </c>
      <c r="G253" s="3" t="str">
        <f>INDEX(Risk_Matrix!$B$2:$D$4,MATCH(E253,Risk_Matrix!$A$2:$A$4,0),MATCH(F253,Risk_Matrix!$B$1:$D$1,0))</f>
        <v>Low</v>
      </c>
      <c r="H253" s="10">
        <v>46196</v>
      </c>
      <c r="I253" s="3" t="s">
        <v>973</v>
      </c>
      <c r="J253" s="3" t="s">
        <v>974</v>
      </c>
      <c r="K253" s="3" t="s">
        <v>969</v>
      </c>
      <c r="L253" s="3">
        <f>IF(G253="High",3,IF(G253="Medium",2,1))</f>
        <v>1</v>
      </c>
    </row>
    <row r="254" spans="1:12">
      <c r="A254" s="3" t="s">
        <v>1247</v>
      </c>
      <c r="B254" s="3" t="s">
        <v>443</v>
      </c>
      <c r="C254" s="3" t="s">
        <v>956</v>
      </c>
      <c r="D254" s="3" t="s">
        <v>1012</v>
      </c>
      <c r="E254" s="3" t="s">
        <v>942</v>
      </c>
      <c r="F254" s="3" t="s">
        <v>942</v>
      </c>
      <c r="G254" s="3" t="str">
        <f>INDEX(Risk_Matrix!$B$2:$D$4,MATCH(E254,Risk_Matrix!$A$2:$A$4,0),MATCH(F254,Risk_Matrix!$B$1:$D$1,0))</f>
        <v>Medium</v>
      </c>
      <c r="H254" s="10">
        <v>46220</v>
      </c>
      <c r="I254" s="3" t="s">
        <v>981</v>
      </c>
      <c r="J254" s="3" t="s">
        <v>982</v>
      </c>
      <c r="K254" s="3" t="s">
        <v>993</v>
      </c>
      <c r="L254" s="3">
        <f>IF(G254="High",3,IF(G254="Medium",2,1))</f>
        <v>2</v>
      </c>
    </row>
    <row r="255" spans="1:12">
      <c r="A255" s="3" t="s">
        <v>1248</v>
      </c>
      <c r="B255" s="3" t="s">
        <v>443</v>
      </c>
      <c r="C255" s="3" t="s">
        <v>962</v>
      </c>
      <c r="D255" s="3" t="s">
        <v>1037</v>
      </c>
      <c r="E255" s="3" t="s">
        <v>47</v>
      </c>
      <c r="F255" s="3" t="s">
        <v>47</v>
      </c>
      <c r="G255" s="3" t="str">
        <f>INDEX(Risk_Matrix!$B$2:$D$4,MATCH(E255,Risk_Matrix!$A$2:$A$4,0),MATCH(F255,Risk_Matrix!$B$1:$D$1,0))</f>
        <v>Low</v>
      </c>
      <c r="H255" s="10">
        <v>46170</v>
      </c>
      <c r="I255" s="3" t="s">
        <v>967</v>
      </c>
      <c r="J255" s="3" t="s">
        <v>968</v>
      </c>
      <c r="K255" s="3" t="s">
        <v>1000</v>
      </c>
      <c r="L255" s="3">
        <f>IF(G255="High",3,IF(G255="Medium",2,1))</f>
        <v>1</v>
      </c>
    </row>
    <row r="256" spans="1:12">
      <c r="A256" s="3" t="s">
        <v>1249</v>
      </c>
      <c r="B256" s="3" t="s">
        <v>443</v>
      </c>
      <c r="C256" s="3" t="s">
        <v>965</v>
      </c>
      <c r="D256" s="3" t="s">
        <v>988</v>
      </c>
      <c r="E256" s="3" t="s">
        <v>47</v>
      </c>
      <c r="F256" s="3" t="s">
        <v>47</v>
      </c>
      <c r="G256" s="3" t="str">
        <f>INDEX(Risk_Matrix!$B$2:$D$4,MATCH(E256,Risk_Matrix!$A$2:$A$4,0),MATCH(F256,Risk_Matrix!$B$1:$D$1,0))</f>
        <v>Low</v>
      </c>
      <c r="H256" s="10">
        <v>46146</v>
      </c>
      <c r="I256" s="3" t="s">
        <v>981</v>
      </c>
      <c r="J256" s="3" t="s">
        <v>982</v>
      </c>
      <c r="K256" s="3" t="s">
        <v>1000</v>
      </c>
      <c r="L256" s="3">
        <f>IF(G256="High",3,IF(G256="Medium",2,1))</f>
        <v>1</v>
      </c>
    </row>
    <row r="257" spans="1:12">
      <c r="A257" s="3" t="s">
        <v>1250</v>
      </c>
      <c r="B257" s="3" t="s">
        <v>443</v>
      </c>
      <c r="C257" s="3" t="s">
        <v>971</v>
      </c>
      <c r="D257" s="3" t="s">
        <v>1016</v>
      </c>
      <c r="E257" s="3" t="s">
        <v>42</v>
      </c>
      <c r="F257" s="3" t="s">
        <v>47</v>
      </c>
      <c r="G257" s="3" t="str">
        <f>INDEX(Risk_Matrix!$B$2:$D$4,MATCH(E257,Risk_Matrix!$A$2:$A$4,0),MATCH(F257,Risk_Matrix!$B$1:$D$1,0))</f>
        <v>Medium</v>
      </c>
      <c r="H257" s="10">
        <v>46233</v>
      </c>
      <c r="I257" s="3" t="s">
        <v>973</v>
      </c>
      <c r="J257" s="3" t="s">
        <v>974</v>
      </c>
      <c r="K257" s="3" t="s">
        <v>983</v>
      </c>
      <c r="L257" s="3">
        <f>IF(G257="High",3,IF(G257="Medium",2,1))</f>
        <v>2</v>
      </c>
    </row>
    <row r="258" spans="1:12">
      <c r="A258" s="3" t="s">
        <v>1251</v>
      </c>
      <c r="B258" s="3" t="s">
        <v>443</v>
      </c>
      <c r="C258" s="3" t="s">
        <v>976</v>
      </c>
      <c r="D258" s="3" t="s">
        <v>1002</v>
      </c>
      <c r="E258" s="3" t="s">
        <v>47</v>
      </c>
      <c r="F258" s="3" t="s">
        <v>47</v>
      </c>
      <c r="G258" s="3" t="str">
        <f>INDEX(Risk_Matrix!$B$2:$D$4,MATCH(E258,Risk_Matrix!$A$2:$A$4,0),MATCH(F258,Risk_Matrix!$B$1:$D$1,0))</f>
        <v>Low</v>
      </c>
      <c r="H258" s="10">
        <v>46218</v>
      </c>
      <c r="I258" s="3" t="s">
        <v>967</v>
      </c>
      <c r="J258" s="3" t="s">
        <v>968</v>
      </c>
      <c r="K258" s="3" t="s">
        <v>983</v>
      </c>
      <c r="L258" s="3">
        <f>IF(G258="High",3,IF(G258="Medium",2,1))</f>
        <v>1</v>
      </c>
    </row>
    <row r="259" spans="1:12">
      <c r="A259" s="3" t="s">
        <v>1252</v>
      </c>
      <c r="B259" s="3" t="s">
        <v>443</v>
      </c>
      <c r="C259" s="3" t="s">
        <v>979</v>
      </c>
      <c r="D259" s="3" t="s">
        <v>1004</v>
      </c>
      <c r="E259" s="3" t="s">
        <v>47</v>
      </c>
      <c r="F259" s="3" t="s">
        <v>47</v>
      </c>
      <c r="G259" s="3" t="str">
        <f>INDEX(Risk_Matrix!$B$2:$D$4,MATCH(E259,Risk_Matrix!$A$2:$A$4,0),MATCH(F259,Risk_Matrix!$B$1:$D$1,0))</f>
        <v>Low</v>
      </c>
      <c r="H259" s="10">
        <v>46117</v>
      </c>
      <c r="I259" s="3" t="s">
        <v>981</v>
      </c>
      <c r="J259" s="3" t="s">
        <v>982</v>
      </c>
      <c r="K259" s="3" t="s">
        <v>1000</v>
      </c>
      <c r="L259" s="3">
        <f>IF(G259="High",3,IF(G259="Medium",2,1))</f>
        <v>1</v>
      </c>
    </row>
    <row r="260" spans="1:12">
      <c r="A260" s="3" t="s">
        <v>1253</v>
      </c>
      <c r="B260" s="3" t="s">
        <v>445</v>
      </c>
      <c r="C260" s="3" t="s">
        <v>956</v>
      </c>
      <c r="D260" s="3" t="s">
        <v>957</v>
      </c>
      <c r="E260" s="3" t="s">
        <v>47</v>
      </c>
      <c r="F260" s="3" t="s">
        <v>47</v>
      </c>
      <c r="G260" s="3" t="str">
        <f>INDEX(Risk_Matrix!$B$2:$D$4,MATCH(E260,Risk_Matrix!$A$2:$A$4,0),MATCH(F260,Risk_Matrix!$B$1:$D$1,0))</f>
        <v>Low</v>
      </c>
      <c r="H260" s="10">
        <v>46217</v>
      </c>
      <c r="I260" s="3" t="s">
        <v>981</v>
      </c>
      <c r="J260" s="3" t="s">
        <v>982</v>
      </c>
      <c r="K260" s="3" t="s">
        <v>993</v>
      </c>
      <c r="L260" s="3">
        <f>IF(G260="High",3,IF(G260="Medium",2,1))</f>
        <v>1</v>
      </c>
    </row>
    <row r="261" spans="1:12">
      <c r="A261" s="3" t="s">
        <v>1254</v>
      </c>
      <c r="B261" s="3" t="s">
        <v>445</v>
      </c>
      <c r="C261" s="3" t="s">
        <v>962</v>
      </c>
      <c r="D261" s="3" t="s">
        <v>986</v>
      </c>
      <c r="E261" s="3" t="s">
        <v>942</v>
      </c>
      <c r="F261" s="3" t="s">
        <v>47</v>
      </c>
      <c r="G261" s="3" t="str">
        <f>INDEX(Risk_Matrix!$B$2:$D$4,MATCH(E261,Risk_Matrix!$A$2:$A$4,0),MATCH(F261,Risk_Matrix!$B$1:$D$1,0))</f>
        <v>Low</v>
      </c>
      <c r="H261" s="10">
        <v>46139</v>
      </c>
      <c r="I261" s="3" t="s">
        <v>981</v>
      </c>
      <c r="J261" s="3" t="s">
        <v>982</v>
      </c>
      <c r="K261" s="3" t="s">
        <v>969</v>
      </c>
      <c r="L261" s="3">
        <f>IF(G261="High",3,IF(G261="Medium",2,1))</f>
        <v>1</v>
      </c>
    </row>
    <row r="262" spans="1:12">
      <c r="A262" s="3" t="s">
        <v>1255</v>
      </c>
      <c r="B262" s="3" t="s">
        <v>445</v>
      </c>
      <c r="C262" s="3" t="s">
        <v>965</v>
      </c>
      <c r="D262" s="3" t="s">
        <v>1039</v>
      </c>
      <c r="E262" s="3" t="s">
        <v>47</v>
      </c>
      <c r="F262" s="3" t="s">
        <v>47</v>
      </c>
      <c r="G262" s="3" t="str">
        <f>INDEX(Risk_Matrix!$B$2:$D$4,MATCH(E262,Risk_Matrix!$A$2:$A$4,0),MATCH(F262,Risk_Matrix!$B$1:$D$1,0))</f>
        <v>Low</v>
      </c>
      <c r="H262" s="10">
        <v>46205</v>
      </c>
      <c r="I262" s="3" t="s">
        <v>967</v>
      </c>
      <c r="J262" s="3" t="s">
        <v>968</v>
      </c>
      <c r="K262" s="3" t="s">
        <v>1000</v>
      </c>
      <c r="L262" s="3">
        <f>IF(G262="High",3,IF(G262="Medium",2,1))</f>
        <v>1</v>
      </c>
    </row>
    <row r="263" spans="1:12">
      <c r="A263" s="3" t="s">
        <v>1256</v>
      </c>
      <c r="B263" s="3" t="s">
        <v>445</v>
      </c>
      <c r="C263" s="3" t="s">
        <v>971</v>
      </c>
      <c r="D263" s="3" t="s">
        <v>972</v>
      </c>
      <c r="E263" s="3" t="s">
        <v>47</v>
      </c>
      <c r="F263" s="3" t="s">
        <v>942</v>
      </c>
      <c r="G263" s="3" t="str">
        <f>INDEX(Risk_Matrix!$B$2:$D$4,MATCH(E263,Risk_Matrix!$A$2:$A$4,0),MATCH(F263,Risk_Matrix!$B$1:$D$1,0))</f>
        <v>Low</v>
      </c>
      <c r="H263" s="10">
        <v>46155</v>
      </c>
      <c r="I263" s="3" t="s">
        <v>981</v>
      </c>
      <c r="J263" s="3" t="s">
        <v>982</v>
      </c>
      <c r="K263" s="3" t="s">
        <v>960</v>
      </c>
      <c r="L263" s="3">
        <f>IF(G263="High",3,IF(G263="Medium",2,1))</f>
        <v>1</v>
      </c>
    </row>
    <row r="264" spans="1:12">
      <c r="A264" s="3" t="s">
        <v>1257</v>
      </c>
      <c r="B264" s="3" t="s">
        <v>445</v>
      </c>
      <c r="C264" s="3" t="s">
        <v>976</v>
      </c>
      <c r="D264" s="3" t="s">
        <v>991</v>
      </c>
      <c r="E264" s="3" t="s">
        <v>42</v>
      </c>
      <c r="F264" s="3" t="s">
        <v>942</v>
      </c>
      <c r="G264" s="3" t="str">
        <f>INDEX(Risk_Matrix!$B$2:$D$4,MATCH(E264,Risk_Matrix!$A$2:$A$4,0),MATCH(F264,Risk_Matrix!$B$1:$D$1,0))</f>
        <v>High</v>
      </c>
      <c r="H264" s="10">
        <v>46125</v>
      </c>
      <c r="I264" s="3" t="s">
        <v>973</v>
      </c>
      <c r="J264" s="3" t="s">
        <v>974</v>
      </c>
      <c r="K264" s="3" t="s">
        <v>983</v>
      </c>
      <c r="L264" s="3">
        <f>IF(G264="High",3,IF(G264="Medium",2,1))</f>
        <v>3</v>
      </c>
    </row>
    <row r="265" spans="1:12">
      <c r="A265" s="3" t="s">
        <v>1258</v>
      </c>
      <c r="B265" s="3" t="s">
        <v>445</v>
      </c>
      <c r="C265" s="3" t="s">
        <v>979</v>
      </c>
      <c r="D265" s="3" t="s">
        <v>980</v>
      </c>
      <c r="E265" s="3" t="s">
        <v>942</v>
      </c>
      <c r="F265" s="3" t="s">
        <v>942</v>
      </c>
      <c r="G265" s="3" t="str">
        <f>INDEX(Risk_Matrix!$B$2:$D$4,MATCH(E265,Risk_Matrix!$A$2:$A$4,0),MATCH(F265,Risk_Matrix!$B$1:$D$1,0))</f>
        <v>Medium</v>
      </c>
      <c r="H265" s="10">
        <v>46076</v>
      </c>
      <c r="I265" s="3" t="s">
        <v>967</v>
      </c>
      <c r="J265" s="3" t="s">
        <v>968</v>
      </c>
      <c r="K265" s="3" t="s">
        <v>1000</v>
      </c>
      <c r="L265" s="3">
        <f>IF(G265="High",3,IF(G265="Medium",2,1))</f>
        <v>2</v>
      </c>
    </row>
    <row r="266" spans="1:12">
      <c r="A266" s="3" t="s">
        <v>1259</v>
      </c>
      <c r="B266" s="3" t="s">
        <v>447</v>
      </c>
      <c r="C266" s="3" t="s">
        <v>956</v>
      </c>
      <c r="D266" s="3" t="s">
        <v>1012</v>
      </c>
      <c r="E266" s="3" t="s">
        <v>942</v>
      </c>
      <c r="F266" s="3" t="s">
        <v>942</v>
      </c>
      <c r="G266" s="3" t="str">
        <f>INDEX(Risk_Matrix!$B$2:$D$4,MATCH(E266,Risk_Matrix!$A$2:$A$4,0),MATCH(F266,Risk_Matrix!$B$1:$D$1,0))</f>
        <v>Medium</v>
      </c>
      <c r="H266" s="10">
        <v>46150</v>
      </c>
      <c r="I266" s="3" t="s">
        <v>973</v>
      </c>
      <c r="J266" s="3" t="s">
        <v>974</v>
      </c>
      <c r="K266" s="3" t="s">
        <v>960</v>
      </c>
      <c r="L266" s="3">
        <f>IF(G266="High",3,IF(G266="Medium",2,1))</f>
        <v>2</v>
      </c>
    </row>
    <row r="267" spans="1:12">
      <c r="A267" s="3" t="s">
        <v>1260</v>
      </c>
      <c r="B267" s="3" t="s">
        <v>447</v>
      </c>
      <c r="C267" s="3" t="s">
        <v>962</v>
      </c>
      <c r="D267" s="3" t="s">
        <v>1037</v>
      </c>
      <c r="E267" s="3" t="s">
        <v>942</v>
      </c>
      <c r="F267" s="3" t="s">
        <v>47</v>
      </c>
      <c r="G267" s="3" t="str">
        <f>INDEX(Risk_Matrix!$B$2:$D$4,MATCH(E267,Risk_Matrix!$A$2:$A$4,0),MATCH(F267,Risk_Matrix!$B$1:$D$1,0))</f>
        <v>Low</v>
      </c>
      <c r="H267" s="10">
        <v>46172</v>
      </c>
      <c r="I267" s="3" t="s">
        <v>973</v>
      </c>
      <c r="J267" s="3" t="s">
        <v>974</v>
      </c>
      <c r="K267" s="3" t="s">
        <v>983</v>
      </c>
      <c r="L267" s="3">
        <f>IF(G267="High",3,IF(G267="Medium",2,1))</f>
        <v>1</v>
      </c>
    </row>
    <row r="268" spans="1:12">
      <c r="A268" s="3" t="s">
        <v>1261</v>
      </c>
      <c r="B268" s="3" t="s">
        <v>447</v>
      </c>
      <c r="C268" s="3" t="s">
        <v>965</v>
      </c>
      <c r="D268" s="3" t="s">
        <v>966</v>
      </c>
      <c r="E268" s="3" t="s">
        <v>47</v>
      </c>
      <c r="F268" s="3" t="s">
        <v>942</v>
      </c>
      <c r="G268" s="3" t="str">
        <f>INDEX(Risk_Matrix!$B$2:$D$4,MATCH(E268,Risk_Matrix!$A$2:$A$4,0),MATCH(F268,Risk_Matrix!$B$1:$D$1,0))</f>
        <v>Low</v>
      </c>
      <c r="H268" s="10">
        <v>46204</v>
      </c>
      <c r="I268" s="3" t="s">
        <v>981</v>
      </c>
      <c r="J268" s="3" t="s">
        <v>982</v>
      </c>
      <c r="K268" s="3" t="s">
        <v>969</v>
      </c>
      <c r="L268" s="3">
        <f>IF(G268="High",3,IF(G268="Medium",2,1))</f>
        <v>1</v>
      </c>
    </row>
    <row r="269" spans="1:12">
      <c r="A269" s="3" t="s">
        <v>1262</v>
      </c>
      <c r="B269" s="3" t="s">
        <v>447</v>
      </c>
      <c r="C269" s="3" t="s">
        <v>971</v>
      </c>
      <c r="D269" s="3" t="s">
        <v>1025</v>
      </c>
      <c r="E269" s="3" t="s">
        <v>47</v>
      </c>
      <c r="F269" s="3" t="s">
        <v>47</v>
      </c>
      <c r="G269" s="3" t="str">
        <f>INDEX(Risk_Matrix!$B$2:$D$4,MATCH(E269,Risk_Matrix!$A$2:$A$4,0),MATCH(F269,Risk_Matrix!$B$1:$D$1,0))</f>
        <v>Low</v>
      </c>
      <c r="H269" s="10">
        <v>46116</v>
      </c>
      <c r="I269" s="3" t="s">
        <v>981</v>
      </c>
      <c r="J269" s="3" t="s">
        <v>982</v>
      </c>
      <c r="K269" s="3" t="s">
        <v>969</v>
      </c>
      <c r="L269" s="3">
        <f>IF(G269="High",3,IF(G269="Medium",2,1))</f>
        <v>1</v>
      </c>
    </row>
    <row r="270" spans="1:12">
      <c r="A270" s="3" t="s">
        <v>1263</v>
      </c>
      <c r="B270" s="3" t="s">
        <v>447</v>
      </c>
      <c r="C270" s="3" t="s">
        <v>976</v>
      </c>
      <c r="D270" s="3" t="s">
        <v>977</v>
      </c>
      <c r="E270" s="3" t="s">
        <v>942</v>
      </c>
      <c r="F270" s="3" t="s">
        <v>942</v>
      </c>
      <c r="G270" s="3" t="str">
        <f>INDEX(Risk_Matrix!$B$2:$D$4,MATCH(E270,Risk_Matrix!$A$2:$A$4,0),MATCH(F270,Risk_Matrix!$B$1:$D$1,0))</f>
        <v>Medium</v>
      </c>
      <c r="H270" s="10">
        <v>46237</v>
      </c>
      <c r="I270" s="3" t="s">
        <v>967</v>
      </c>
      <c r="J270" s="3" t="s">
        <v>968</v>
      </c>
      <c r="K270" s="3" t="s">
        <v>1000</v>
      </c>
      <c r="L270" s="3">
        <f>IF(G270="High",3,IF(G270="Medium",2,1))</f>
        <v>2</v>
      </c>
    </row>
    <row r="271" spans="1:12">
      <c r="A271" s="3" t="s">
        <v>1264</v>
      </c>
      <c r="B271" s="3" t="s">
        <v>447</v>
      </c>
      <c r="C271" s="3" t="s">
        <v>979</v>
      </c>
      <c r="D271" s="3" t="s">
        <v>1028</v>
      </c>
      <c r="E271" s="3" t="s">
        <v>47</v>
      </c>
      <c r="F271" s="3" t="s">
        <v>42</v>
      </c>
      <c r="G271" s="3" t="str">
        <f>INDEX(Risk_Matrix!$B$2:$D$4,MATCH(E271,Risk_Matrix!$A$2:$A$4,0),MATCH(F271,Risk_Matrix!$B$1:$D$1,0))</f>
        <v>Medium</v>
      </c>
      <c r="H271" s="10">
        <v>46175</v>
      </c>
      <c r="I271" s="3" t="s">
        <v>967</v>
      </c>
      <c r="J271" s="3" t="s">
        <v>968</v>
      </c>
      <c r="K271" s="3" t="s">
        <v>983</v>
      </c>
      <c r="L271" s="3">
        <f>IF(G271="High",3,IF(G271="Medium",2,1))</f>
        <v>2</v>
      </c>
    </row>
    <row r="272" spans="1:12">
      <c r="A272" s="3" t="s">
        <v>1265</v>
      </c>
      <c r="B272" s="3" t="s">
        <v>449</v>
      </c>
      <c r="C272" s="3" t="s">
        <v>956</v>
      </c>
      <c r="D272" s="3" t="s">
        <v>1012</v>
      </c>
      <c r="E272" s="3" t="s">
        <v>942</v>
      </c>
      <c r="F272" s="3" t="s">
        <v>47</v>
      </c>
      <c r="G272" s="3" t="str">
        <f>INDEX(Risk_Matrix!$B$2:$D$4,MATCH(E272,Risk_Matrix!$A$2:$A$4,0),MATCH(F272,Risk_Matrix!$B$1:$D$1,0))</f>
        <v>Low</v>
      </c>
      <c r="H272" s="10">
        <v>46078</v>
      </c>
      <c r="I272" s="3" t="s">
        <v>973</v>
      </c>
      <c r="J272" s="3" t="s">
        <v>974</v>
      </c>
      <c r="K272" s="3" t="s">
        <v>983</v>
      </c>
      <c r="L272" s="3">
        <f>IF(G272="High",3,IF(G272="Medium",2,1))</f>
        <v>1</v>
      </c>
    </row>
    <row r="273" spans="1:12">
      <c r="A273" s="3" t="s">
        <v>1266</v>
      </c>
      <c r="B273" s="3" t="s">
        <v>449</v>
      </c>
      <c r="C273" s="3" t="s">
        <v>962</v>
      </c>
      <c r="D273" s="3" t="s">
        <v>986</v>
      </c>
      <c r="E273" s="3" t="s">
        <v>47</v>
      </c>
      <c r="F273" s="3" t="s">
        <v>942</v>
      </c>
      <c r="G273" s="3" t="str">
        <f>INDEX(Risk_Matrix!$B$2:$D$4,MATCH(E273,Risk_Matrix!$A$2:$A$4,0),MATCH(F273,Risk_Matrix!$B$1:$D$1,0))</f>
        <v>Low</v>
      </c>
      <c r="H273" s="10">
        <v>46133</v>
      </c>
      <c r="I273" s="3" t="s">
        <v>981</v>
      </c>
      <c r="J273" s="3" t="s">
        <v>982</v>
      </c>
      <c r="K273" s="3" t="s">
        <v>983</v>
      </c>
      <c r="L273" s="3">
        <f>IF(G273="High",3,IF(G273="Medium",2,1))</f>
        <v>1</v>
      </c>
    </row>
    <row r="274" spans="1:12">
      <c r="A274" s="3" t="s">
        <v>1267</v>
      </c>
      <c r="B274" s="3" t="s">
        <v>449</v>
      </c>
      <c r="C274" s="3" t="s">
        <v>965</v>
      </c>
      <c r="D274" s="3" t="s">
        <v>1023</v>
      </c>
      <c r="E274" s="3" t="s">
        <v>47</v>
      </c>
      <c r="F274" s="3" t="s">
        <v>47</v>
      </c>
      <c r="G274" s="3" t="str">
        <f>INDEX(Risk_Matrix!$B$2:$D$4,MATCH(E274,Risk_Matrix!$A$2:$A$4,0),MATCH(F274,Risk_Matrix!$B$1:$D$1,0))</f>
        <v>Low</v>
      </c>
      <c r="H274" s="10">
        <v>46080</v>
      </c>
      <c r="I274" s="3" t="s">
        <v>967</v>
      </c>
      <c r="J274" s="3" t="s">
        <v>968</v>
      </c>
      <c r="K274" s="3" t="s">
        <v>960</v>
      </c>
      <c r="L274" s="3">
        <f>IF(G274="High",3,IF(G274="Medium",2,1))</f>
        <v>1</v>
      </c>
    </row>
    <row r="275" spans="1:12">
      <c r="A275" s="3" t="s">
        <v>1268</v>
      </c>
      <c r="B275" s="3" t="s">
        <v>449</v>
      </c>
      <c r="C275" s="3" t="s">
        <v>971</v>
      </c>
      <c r="D275" s="3" t="s">
        <v>1025</v>
      </c>
      <c r="E275" s="3" t="s">
        <v>942</v>
      </c>
      <c r="F275" s="3" t="s">
        <v>47</v>
      </c>
      <c r="G275" s="3" t="str">
        <f>INDEX(Risk_Matrix!$B$2:$D$4,MATCH(E275,Risk_Matrix!$A$2:$A$4,0),MATCH(F275,Risk_Matrix!$B$1:$D$1,0))</f>
        <v>Low</v>
      </c>
      <c r="H275" s="10">
        <v>46200</v>
      </c>
      <c r="I275" s="3" t="s">
        <v>973</v>
      </c>
      <c r="J275" s="3" t="s">
        <v>974</v>
      </c>
      <c r="K275" s="3" t="s">
        <v>993</v>
      </c>
      <c r="L275" s="3">
        <f>IF(G275="High",3,IF(G275="Medium",2,1))</f>
        <v>1</v>
      </c>
    </row>
    <row r="276" spans="1:12">
      <c r="A276" s="3" t="s">
        <v>1269</v>
      </c>
      <c r="B276" s="3" t="s">
        <v>449</v>
      </c>
      <c r="C276" s="3" t="s">
        <v>976</v>
      </c>
      <c r="D276" s="3" t="s">
        <v>1002</v>
      </c>
      <c r="E276" s="3" t="s">
        <v>47</v>
      </c>
      <c r="F276" s="3" t="s">
        <v>42</v>
      </c>
      <c r="G276" s="3" t="str">
        <f>INDEX(Risk_Matrix!$B$2:$D$4,MATCH(E276,Risk_Matrix!$A$2:$A$4,0),MATCH(F276,Risk_Matrix!$B$1:$D$1,0))</f>
        <v>Medium</v>
      </c>
      <c r="H276" s="10">
        <v>46206</v>
      </c>
      <c r="I276" s="3" t="s">
        <v>973</v>
      </c>
      <c r="J276" s="3" t="s">
        <v>974</v>
      </c>
      <c r="K276" s="3" t="s">
        <v>960</v>
      </c>
      <c r="L276" s="3">
        <f>IF(G276="High",3,IF(G276="Medium",2,1))</f>
        <v>2</v>
      </c>
    </row>
    <row r="277" spans="1:12">
      <c r="A277" s="3" t="s">
        <v>1270</v>
      </c>
      <c r="B277" s="3" t="s">
        <v>449</v>
      </c>
      <c r="C277" s="3" t="s">
        <v>979</v>
      </c>
      <c r="D277" s="3" t="s">
        <v>980</v>
      </c>
      <c r="E277" s="3" t="s">
        <v>47</v>
      </c>
      <c r="F277" s="3" t="s">
        <v>47</v>
      </c>
      <c r="G277" s="3" t="str">
        <f>INDEX(Risk_Matrix!$B$2:$D$4,MATCH(E277,Risk_Matrix!$A$2:$A$4,0),MATCH(F277,Risk_Matrix!$B$1:$D$1,0))</f>
        <v>Low</v>
      </c>
      <c r="H277" s="10">
        <v>46183</v>
      </c>
      <c r="I277" s="3" t="s">
        <v>973</v>
      </c>
      <c r="J277" s="3" t="s">
        <v>974</v>
      </c>
      <c r="K277" s="3" t="s">
        <v>969</v>
      </c>
      <c r="L277" s="3">
        <f>IF(G277="High",3,IF(G277="Medium",2,1))</f>
        <v>1</v>
      </c>
    </row>
    <row r="278" spans="1:12">
      <c r="A278" s="3" t="s">
        <v>1271</v>
      </c>
      <c r="B278" s="3" t="s">
        <v>452</v>
      </c>
      <c r="C278" s="3" t="s">
        <v>956</v>
      </c>
      <c r="D278" s="3" t="s">
        <v>1012</v>
      </c>
      <c r="E278" s="3" t="s">
        <v>47</v>
      </c>
      <c r="F278" s="3" t="s">
        <v>942</v>
      </c>
      <c r="G278" s="3" t="str">
        <f>INDEX(Risk_Matrix!$B$2:$D$4,MATCH(E278,Risk_Matrix!$A$2:$A$4,0),MATCH(F278,Risk_Matrix!$B$1:$D$1,0))</f>
        <v>Low</v>
      </c>
      <c r="H278" s="10">
        <v>46120</v>
      </c>
      <c r="I278" s="3" t="s">
        <v>958</v>
      </c>
      <c r="J278" s="3" t="s">
        <v>959</v>
      </c>
      <c r="K278" s="3" t="s">
        <v>993</v>
      </c>
      <c r="L278" s="3">
        <f>IF(G278="High",3,IF(G278="Medium",2,1))</f>
        <v>1</v>
      </c>
    </row>
    <row r="279" spans="1:12">
      <c r="A279" s="3" t="s">
        <v>1272</v>
      </c>
      <c r="B279" s="3" t="s">
        <v>452</v>
      </c>
      <c r="C279" s="3" t="s">
        <v>962</v>
      </c>
      <c r="D279" s="3" t="s">
        <v>986</v>
      </c>
      <c r="E279" s="3" t="s">
        <v>47</v>
      </c>
      <c r="F279" s="3" t="s">
        <v>942</v>
      </c>
      <c r="G279" s="3" t="str">
        <f>INDEX(Risk_Matrix!$B$2:$D$4,MATCH(E279,Risk_Matrix!$A$2:$A$4,0),MATCH(F279,Risk_Matrix!$B$1:$D$1,0))</f>
        <v>Low</v>
      </c>
      <c r="H279" s="10">
        <v>46170</v>
      </c>
      <c r="I279" s="3" t="s">
        <v>973</v>
      </c>
      <c r="J279" s="3" t="s">
        <v>974</v>
      </c>
      <c r="K279" s="3" t="s">
        <v>960</v>
      </c>
      <c r="L279" s="3">
        <f>IF(G279="High",3,IF(G279="Medium",2,1))</f>
        <v>1</v>
      </c>
    </row>
    <row r="280" spans="1:12">
      <c r="A280" s="3" t="s">
        <v>1273</v>
      </c>
      <c r="B280" s="3" t="s">
        <v>452</v>
      </c>
      <c r="C280" s="3" t="s">
        <v>965</v>
      </c>
      <c r="D280" s="3" t="s">
        <v>1023</v>
      </c>
      <c r="E280" s="3" t="s">
        <v>942</v>
      </c>
      <c r="F280" s="3" t="s">
        <v>47</v>
      </c>
      <c r="G280" s="3" t="str">
        <f>INDEX(Risk_Matrix!$B$2:$D$4,MATCH(E280,Risk_Matrix!$A$2:$A$4,0),MATCH(F280,Risk_Matrix!$B$1:$D$1,0))</f>
        <v>Low</v>
      </c>
      <c r="H280" s="10">
        <v>46174</v>
      </c>
      <c r="I280" s="3" t="s">
        <v>981</v>
      </c>
      <c r="J280" s="3" t="s">
        <v>982</v>
      </c>
      <c r="K280" s="3" t="s">
        <v>960</v>
      </c>
      <c r="L280" s="3">
        <f>IF(G280="High",3,IF(G280="Medium",2,1))</f>
        <v>1</v>
      </c>
    </row>
    <row r="281" spans="1:12">
      <c r="A281" s="3" t="s">
        <v>1274</v>
      </c>
      <c r="B281" s="3" t="s">
        <v>452</v>
      </c>
      <c r="C281" s="3" t="s">
        <v>971</v>
      </c>
      <c r="D281" s="3" t="s">
        <v>972</v>
      </c>
      <c r="E281" s="3" t="s">
        <v>47</v>
      </c>
      <c r="F281" s="3" t="s">
        <v>942</v>
      </c>
      <c r="G281" s="3" t="str">
        <f>INDEX(Risk_Matrix!$B$2:$D$4,MATCH(E281,Risk_Matrix!$A$2:$A$4,0),MATCH(F281,Risk_Matrix!$B$1:$D$1,0))</f>
        <v>Low</v>
      </c>
      <c r="H281" s="10">
        <v>46125</v>
      </c>
      <c r="I281" s="3" t="s">
        <v>973</v>
      </c>
      <c r="J281" s="3" t="s">
        <v>974</v>
      </c>
      <c r="K281" s="3" t="s">
        <v>983</v>
      </c>
      <c r="L281" s="3">
        <f>IF(G281="High",3,IF(G281="Medium",2,1))</f>
        <v>1</v>
      </c>
    </row>
    <row r="282" spans="1:12">
      <c r="A282" s="3" t="s">
        <v>1275</v>
      </c>
      <c r="B282" s="3" t="s">
        <v>452</v>
      </c>
      <c r="C282" s="3" t="s">
        <v>976</v>
      </c>
      <c r="D282" s="3" t="s">
        <v>1002</v>
      </c>
      <c r="E282" s="3" t="s">
        <v>42</v>
      </c>
      <c r="F282" s="3" t="s">
        <v>47</v>
      </c>
      <c r="G282" s="3" t="str">
        <f>INDEX(Risk_Matrix!$B$2:$D$4,MATCH(E282,Risk_Matrix!$A$2:$A$4,0),MATCH(F282,Risk_Matrix!$B$1:$D$1,0))</f>
        <v>Medium</v>
      </c>
      <c r="H282" s="10">
        <v>46214</v>
      </c>
      <c r="I282" s="3" t="s">
        <v>967</v>
      </c>
      <c r="J282" s="3" t="s">
        <v>968</v>
      </c>
      <c r="K282" s="3" t="s">
        <v>1000</v>
      </c>
      <c r="L282" s="3">
        <f>IF(G282="High",3,IF(G282="Medium",2,1))</f>
        <v>2</v>
      </c>
    </row>
    <row r="283" spans="1:12">
      <c r="A283" s="3" t="s">
        <v>1276</v>
      </c>
      <c r="B283" s="3" t="s">
        <v>452</v>
      </c>
      <c r="C283" s="3" t="s">
        <v>979</v>
      </c>
      <c r="D283" s="3" t="s">
        <v>980</v>
      </c>
      <c r="E283" s="3" t="s">
        <v>42</v>
      </c>
      <c r="F283" s="3" t="s">
        <v>47</v>
      </c>
      <c r="G283" s="3" t="str">
        <f>INDEX(Risk_Matrix!$B$2:$D$4,MATCH(E283,Risk_Matrix!$A$2:$A$4,0),MATCH(F283,Risk_Matrix!$B$1:$D$1,0))</f>
        <v>Medium</v>
      </c>
      <c r="H283" s="10">
        <v>46159</v>
      </c>
      <c r="I283" s="3" t="s">
        <v>967</v>
      </c>
      <c r="J283" s="3" t="s">
        <v>968</v>
      </c>
      <c r="K283" s="3" t="s">
        <v>969</v>
      </c>
      <c r="L283" s="3">
        <f>IF(G283="High",3,IF(G283="Medium",2,1))</f>
        <v>2</v>
      </c>
    </row>
    <row r="284" spans="1:12">
      <c r="A284" s="3" t="s">
        <v>1277</v>
      </c>
      <c r="B284" s="3" t="s">
        <v>454</v>
      </c>
      <c r="C284" s="3" t="s">
        <v>956</v>
      </c>
      <c r="D284" s="3" t="s">
        <v>1020</v>
      </c>
      <c r="E284" s="3" t="s">
        <v>942</v>
      </c>
      <c r="F284" s="3" t="s">
        <v>47</v>
      </c>
      <c r="G284" s="3" t="str">
        <f>INDEX(Risk_Matrix!$B$2:$D$4,MATCH(E284,Risk_Matrix!$A$2:$A$4,0),MATCH(F284,Risk_Matrix!$B$1:$D$1,0))</f>
        <v>Low</v>
      </c>
      <c r="H284" s="10">
        <v>46105</v>
      </c>
      <c r="I284" s="3" t="s">
        <v>981</v>
      </c>
      <c r="J284" s="3" t="s">
        <v>982</v>
      </c>
      <c r="K284" s="3" t="s">
        <v>993</v>
      </c>
      <c r="L284" s="3">
        <f>IF(G284="High",3,IF(G284="Medium",2,1))</f>
        <v>1</v>
      </c>
    </row>
    <row r="285" spans="1:12">
      <c r="A285" s="3" t="s">
        <v>1278</v>
      </c>
      <c r="B285" s="3" t="s">
        <v>454</v>
      </c>
      <c r="C285" s="3" t="s">
        <v>962</v>
      </c>
      <c r="D285" s="3" t="s">
        <v>986</v>
      </c>
      <c r="E285" s="3" t="s">
        <v>47</v>
      </c>
      <c r="F285" s="3" t="s">
        <v>47</v>
      </c>
      <c r="G285" s="3" t="str">
        <f>INDEX(Risk_Matrix!$B$2:$D$4,MATCH(E285,Risk_Matrix!$A$2:$A$4,0),MATCH(F285,Risk_Matrix!$B$1:$D$1,0))</f>
        <v>Low</v>
      </c>
      <c r="H285" s="10">
        <v>46225</v>
      </c>
      <c r="I285" s="3" t="s">
        <v>973</v>
      </c>
      <c r="J285" s="3" t="s">
        <v>974</v>
      </c>
      <c r="K285" s="3" t="s">
        <v>983</v>
      </c>
      <c r="L285" s="3">
        <f>IF(G285="High",3,IF(G285="Medium",2,1))</f>
        <v>1</v>
      </c>
    </row>
    <row r="286" spans="1:12">
      <c r="A286" s="3" t="s">
        <v>1279</v>
      </c>
      <c r="B286" s="3" t="s">
        <v>454</v>
      </c>
      <c r="C286" s="3" t="s">
        <v>965</v>
      </c>
      <c r="D286" s="3" t="s">
        <v>1023</v>
      </c>
      <c r="E286" s="3" t="s">
        <v>47</v>
      </c>
      <c r="F286" s="3" t="s">
        <v>47</v>
      </c>
      <c r="G286" s="3" t="str">
        <f>INDEX(Risk_Matrix!$B$2:$D$4,MATCH(E286,Risk_Matrix!$A$2:$A$4,0),MATCH(F286,Risk_Matrix!$B$1:$D$1,0))</f>
        <v>Low</v>
      </c>
      <c r="H286" s="10">
        <v>46168</v>
      </c>
      <c r="I286" s="3" t="s">
        <v>973</v>
      </c>
      <c r="J286" s="3" t="s">
        <v>974</v>
      </c>
      <c r="K286" s="3" t="s">
        <v>1000</v>
      </c>
      <c r="L286" s="3">
        <f>IF(G286="High",3,IF(G286="Medium",2,1))</f>
        <v>1</v>
      </c>
    </row>
    <row r="287" spans="1:12">
      <c r="A287" s="3" t="s">
        <v>1280</v>
      </c>
      <c r="B287" s="3" t="s">
        <v>454</v>
      </c>
      <c r="C287" s="3" t="s">
        <v>971</v>
      </c>
      <c r="D287" s="3" t="s">
        <v>972</v>
      </c>
      <c r="E287" s="3" t="s">
        <v>47</v>
      </c>
      <c r="F287" s="3" t="s">
        <v>47</v>
      </c>
      <c r="G287" s="3" t="str">
        <f>INDEX(Risk_Matrix!$B$2:$D$4,MATCH(E287,Risk_Matrix!$A$2:$A$4,0),MATCH(F287,Risk_Matrix!$B$1:$D$1,0))</f>
        <v>Low</v>
      </c>
      <c r="H287" s="10">
        <v>46090</v>
      </c>
      <c r="I287" s="3" t="s">
        <v>958</v>
      </c>
      <c r="J287" s="3" t="s">
        <v>959</v>
      </c>
      <c r="K287" s="3" t="s">
        <v>960</v>
      </c>
      <c r="L287" s="3">
        <f>IF(G287="High",3,IF(G287="Medium",2,1))</f>
        <v>1</v>
      </c>
    </row>
    <row r="288" spans="1:12">
      <c r="A288" s="3" t="s">
        <v>1281</v>
      </c>
      <c r="B288" s="3" t="s">
        <v>454</v>
      </c>
      <c r="C288" s="3" t="s">
        <v>976</v>
      </c>
      <c r="D288" s="3" t="s">
        <v>1002</v>
      </c>
      <c r="E288" s="3" t="s">
        <v>942</v>
      </c>
      <c r="F288" s="3" t="s">
        <v>47</v>
      </c>
      <c r="G288" s="3" t="str">
        <f>INDEX(Risk_Matrix!$B$2:$D$4,MATCH(E288,Risk_Matrix!$A$2:$A$4,0),MATCH(F288,Risk_Matrix!$B$1:$D$1,0))</f>
        <v>Low</v>
      </c>
      <c r="H288" s="10">
        <v>46198</v>
      </c>
      <c r="I288" s="3" t="s">
        <v>973</v>
      </c>
      <c r="J288" s="3" t="s">
        <v>974</v>
      </c>
      <c r="K288" s="3" t="s">
        <v>960</v>
      </c>
      <c r="L288" s="3">
        <f>IF(G288="High",3,IF(G288="Medium",2,1))</f>
        <v>1</v>
      </c>
    </row>
    <row r="289" spans="1:12">
      <c r="A289" s="3" t="s">
        <v>1282</v>
      </c>
      <c r="B289" s="3" t="s">
        <v>454</v>
      </c>
      <c r="C289" s="3" t="s">
        <v>979</v>
      </c>
      <c r="D289" s="3" t="s">
        <v>1004</v>
      </c>
      <c r="E289" s="3" t="s">
        <v>942</v>
      </c>
      <c r="F289" s="3" t="s">
        <v>47</v>
      </c>
      <c r="G289" s="3" t="str">
        <f>INDEX(Risk_Matrix!$B$2:$D$4,MATCH(E289,Risk_Matrix!$A$2:$A$4,0),MATCH(F289,Risk_Matrix!$B$1:$D$1,0))</f>
        <v>Low</v>
      </c>
      <c r="H289" s="10">
        <v>46078</v>
      </c>
      <c r="I289" s="3" t="s">
        <v>958</v>
      </c>
      <c r="J289" s="3" t="s">
        <v>959</v>
      </c>
      <c r="K289" s="3" t="s">
        <v>993</v>
      </c>
      <c r="L289" s="3">
        <f>IF(G289="High",3,IF(G289="Medium",2,1))</f>
        <v>1</v>
      </c>
    </row>
    <row r="290" spans="1:12">
      <c r="A290" s="3" t="s">
        <v>1283</v>
      </c>
      <c r="B290" s="3" t="s">
        <v>457</v>
      </c>
      <c r="C290" s="3" t="s">
        <v>956</v>
      </c>
      <c r="D290" s="3" t="s">
        <v>957</v>
      </c>
      <c r="E290" s="3" t="s">
        <v>47</v>
      </c>
      <c r="F290" s="3" t="s">
        <v>47</v>
      </c>
      <c r="G290" s="3" t="str">
        <f>INDEX(Risk_Matrix!$B$2:$D$4,MATCH(E290,Risk_Matrix!$A$2:$A$4,0),MATCH(F290,Risk_Matrix!$B$1:$D$1,0))</f>
        <v>Low</v>
      </c>
      <c r="H290" s="10">
        <v>46211</v>
      </c>
      <c r="I290" s="3" t="s">
        <v>967</v>
      </c>
      <c r="J290" s="3" t="s">
        <v>968</v>
      </c>
      <c r="K290" s="3" t="s">
        <v>983</v>
      </c>
      <c r="L290" s="3">
        <f>IF(G290="High",3,IF(G290="Medium",2,1))</f>
        <v>1</v>
      </c>
    </row>
    <row r="291" spans="1:12">
      <c r="A291" s="3" t="s">
        <v>1284</v>
      </c>
      <c r="B291" s="3" t="s">
        <v>457</v>
      </c>
      <c r="C291" s="3" t="s">
        <v>962</v>
      </c>
      <c r="D291" s="3" t="s">
        <v>997</v>
      </c>
      <c r="E291" s="3" t="s">
        <v>47</v>
      </c>
      <c r="F291" s="3" t="s">
        <v>42</v>
      </c>
      <c r="G291" s="3" t="str">
        <f>INDEX(Risk_Matrix!$B$2:$D$4,MATCH(E291,Risk_Matrix!$A$2:$A$4,0),MATCH(F291,Risk_Matrix!$B$1:$D$1,0))</f>
        <v>Medium</v>
      </c>
      <c r="H291" s="10">
        <v>46150</v>
      </c>
      <c r="I291" s="3" t="s">
        <v>981</v>
      </c>
      <c r="J291" s="3" t="s">
        <v>982</v>
      </c>
      <c r="K291" s="3" t="s">
        <v>960</v>
      </c>
      <c r="L291" s="3">
        <f>IF(G291="High",3,IF(G291="Medium",2,1))</f>
        <v>2</v>
      </c>
    </row>
    <row r="292" spans="1:12">
      <c r="A292" s="3" t="s">
        <v>1285</v>
      </c>
      <c r="B292" s="3" t="s">
        <v>457</v>
      </c>
      <c r="C292" s="3" t="s">
        <v>965</v>
      </c>
      <c r="D292" s="3" t="s">
        <v>1039</v>
      </c>
      <c r="E292" s="3" t="s">
        <v>47</v>
      </c>
      <c r="F292" s="3" t="s">
        <v>47</v>
      </c>
      <c r="G292" s="3" t="str">
        <f>INDEX(Risk_Matrix!$B$2:$D$4,MATCH(E292,Risk_Matrix!$A$2:$A$4,0),MATCH(F292,Risk_Matrix!$B$1:$D$1,0))</f>
        <v>Low</v>
      </c>
      <c r="H292" s="10">
        <v>46174</v>
      </c>
      <c r="I292" s="3" t="s">
        <v>967</v>
      </c>
      <c r="J292" s="3" t="s">
        <v>968</v>
      </c>
      <c r="K292" s="3" t="s">
        <v>993</v>
      </c>
      <c r="L292" s="3">
        <f>IF(G292="High",3,IF(G292="Medium",2,1))</f>
        <v>1</v>
      </c>
    </row>
    <row r="293" spans="1:12">
      <c r="A293" s="3" t="s">
        <v>1286</v>
      </c>
      <c r="B293" s="3" t="s">
        <v>457</v>
      </c>
      <c r="C293" s="3" t="s">
        <v>971</v>
      </c>
      <c r="D293" s="3" t="s">
        <v>1025</v>
      </c>
      <c r="E293" s="3" t="s">
        <v>942</v>
      </c>
      <c r="F293" s="3" t="s">
        <v>942</v>
      </c>
      <c r="G293" s="3" t="str">
        <f>INDEX(Risk_Matrix!$B$2:$D$4,MATCH(E293,Risk_Matrix!$A$2:$A$4,0),MATCH(F293,Risk_Matrix!$B$1:$D$1,0))</f>
        <v>Medium</v>
      </c>
      <c r="H293" s="10">
        <v>46113</v>
      </c>
      <c r="I293" s="3" t="s">
        <v>967</v>
      </c>
      <c r="J293" s="3" t="s">
        <v>968</v>
      </c>
      <c r="K293" s="3" t="s">
        <v>983</v>
      </c>
      <c r="L293" s="3">
        <f>IF(G293="High",3,IF(G293="Medium",2,1))</f>
        <v>2</v>
      </c>
    </row>
    <row r="294" spans="1:12">
      <c r="A294" s="3" t="s">
        <v>1287</v>
      </c>
      <c r="B294" s="3" t="s">
        <v>457</v>
      </c>
      <c r="C294" s="3" t="s">
        <v>976</v>
      </c>
      <c r="D294" s="3" t="s">
        <v>1002</v>
      </c>
      <c r="E294" s="3" t="s">
        <v>47</v>
      </c>
      <c r="F294" s="3" t="s">
        <v>47</v>
      </c>
      <c r="G294" s="3" t="str">
        <f>INDEX(Risk_Matrix!$B$2:$D$4,MATCH(E294,Risk_Matrix!$A$2:$A$4,0),MATCH(F294,Risk_Matrix!$B$1:$D$1,0))</f>
        <v>Low</v>
      </c>
      <c r="H294" s="10">
        <v>46168</v>
      </c>
      <c r="I294" s="3" t="s">
        <v>967</v>
      </c>
      <c r="J294" s="3" t="s">
        <v>968</v>
      </c>
      <c r="K294" s="3" t="s">
        <v>1000</v>
      </c>
      <c r="L294" s="3">
        <f>IF(G294="High",3,IF(G294="Medium",2,1))</f>
        <v>1</v>
      </c>
    </row>
    <row r="295" spans="1:12">
      <c r="A295" s="3" t="s">
        <v>1288</v>
      </c>
      <c r="B295" s="3" t="s">
        <v>457</v>
      </c>
      <c r="C295" s="3" t="s">
        <v>979</v>
      </c>
      <c r="D295" s="3" t="s">
        <v>980</v>
      </c>
      <c r="E295" s="3" t="s">
        <v>47</v>
      </c>
      <c r="F295" s="3" t="s">
        <v>942</v>
      </c>
      <c r="G295" s="3" t="str">
        <f>INDEX(Risk_Matrix!$B$2:$D$4,MATCH(E295,Risk_Matrix!$A$2:$A$4,0),MATCH(F295,Risk_Matrix!$B$1:$D$1,0))</f>
        <v>Low</v>
      </c>
      <c r="H295" s="10">
        <v>46171</v>
      </c>
      <c r="I295" s="3" t="s">
        <v>967</v>
      </c>
      <c r="J295" s="3" t="s">
        <v>968</v>
      </c>
      <c r="K295" s="3" t="s">
        <v>1000</v>
      </c>
      <c r="L295" s="3">
        <f>IF(G295="High",3,IF(G295="Medium",2,1))</f>
        <v>1</v>
      </c>
    </row>
    <row r="296" spans="1:12">
      <c r="A296" s="3" t="s">
        <v>1289</v>
      </c>
      <c r="B296" s="3" t="s">
        <v>459</v>
      </c>
      <c r="C296" s="3" t="s">
        <v>956</v>
      </c>
      <c r="D296" s="3" t="s">
        <v>995</v>
      </c>
      <c r="E296" s="3" t="s">
        <v>47</v>
      </c>
      <c r="F296" s="3" t="s">
        <v>942</v>
      </c>
      <c r="G296" s="3" t="str">
        <f>INDEX(Risk_Matrix!$B$2:$D$4,MATCH(E296,Risk_Matrix!$A$2:$A$4,0),MATCH(F296,Risk_Matrix!$B$1:$D$1,0))</f>
        <v>Low</v>
      </c>
      <c r="H296" s="10">
        <v>46191</v>
      </c>
      <c r="I296" s="3" t="s">
        <v>967</v>
      </c>
      <c r="J296" s="3" t="s">
        <v>968</v>
      </c>
      <c r="K296" s="3" t="s">
        <v>993</v>
      </c>
      <c r="L296" s="3">
        <f>IF(G296="High",3,IF(G296="Medium",2,1))</f>
        <v>1</v>
      </c>
    </row>
    <row r="297" spans="1:12">
      <c r="A297" s="3" t="s">
        <v>1290</v>
      </c>
      <c r="B297" s="3" t="s">
        <v>459</v>
      </c>
      <c r="C297" s="3" t="s">
        <v>962</v>
      </c>
      <c r="D297" s="3" t="s">
        <v>986</v>
      </c>
      <c r="E297" s="3" t="s">
        <v>942</v>
      </c>
      <c r="F297" s="3" t="s">
        <v>47</v>
      </c>
      <c r="G297" s="3" t="str">
        <f>INDEX(Risk_Matrix!$B$2:$D$4,MATCH(E297,Risk_Matrix!$A$2:$A$4,0),MATCH(F297,Risk_Matrix!$B$1:$D$1,0))</f>
        <v>Low</v>
      </c>
      <c r="H297" s="10">
        <v>46070</v>
      </c>
      <c r="I297" s="3" t="s">
        <v>967</v>
      </c>
      <c r="J297" s="3" t="s">
        <v>968</v>
      </c>
      <c r="K297" s="3" t="s">
        <v>1000</v>
      </c>
      <c r="L297" s="3">
        <f>IF(G297="High",3,IF(G297="Medium",2,1))</f>
        <v>1</v>
      </c>
    </row>
    <row r="298" spans="1:12">
      <c r="A298" s="3" t="s">
        <v>1291</v>
      </c>
      <c r="B298" s="3" t="s">
        <v>459</v>
      </c>
      <c r="C298" s="3" t="s">
        <v>965</v>
      </c>
      <c r="D298" s="3" t="s">
        <v>988</v>
      </c>
      <c r="E298" s="3" t="s">
        <v>47</v>
      </c>
      <c r="F298" s="3" t="s">
        <v>942</v>
      </c>
      <c r="G298" s="3" t="str">
        <f>INDEX(Risk_Matrix!$B$2:$D$4,MATCH(E298,Risk_Matrix!$A$2:$A$4,0),MATCH(F298,Risk_Matrix!$B$1:$D$1,0))</f>
        <v>Low</v>
      </c>
      <c r="H298" s="10">
        <v>46199</v>
      </c>
      <c r="I298" s="3" t="s">
        <v>981</v>
      </c>
      <c r="J298" s="3" t="s">
        <v>982</v>
      </c>
      <c r="K298" s="3" t="s">
        <v>1000</v>
      </c>
      <c r="L298" s="3">
        <f>IF(G298="High",3,IF(G298="Medium",2,1))</f>
        <v>1</v>
      </c>
    </row>
    <row r="299" spans="1:12">
      <c r="A299" s="3" t="s">
        <v>1292</v>
      </c>
      <c r="B299" s="3" t="s">
        <v>459</v>
      </c>
      <c r="C299" s="3" t="s">
        <v>971</v>
      </c>
      <c r="D299" s="3" t="s">
        <v>1025</v>
      </c>
      <c r="E299" s="3" t="s">
        <v>47</v>
      </c>
      <c r="F299" s="3" t="s">
        <v>942</v>
      </c>
      <c r="G299" s="3" t="str">
        <f>INDEX(Risk_Matrix!$B$2:$D$4,MATCH(E299,Risk_Matrix!$A$2:$A$4,0),MATCH(F299,Risk_Matrix!$B$1:$D$1,0))</f>
        <v>Low</v>
      </c>
      <c r="H299" s="10">
        <v>46105</v>
      </c>
      <c r="I299" s="3" t="s">
        <v>973</v>
      </c>
      <c r="J299" s="3" t="s">
        <v>974</v>
      </c>
      <c r="K299" s="3" t="s">
        <v>993</v>
      </c>
      <c r="L299" s="3">
        <f>IF(G299="High",3,IF(G299="Medium",2,1))</f>
        <v>1</v>
      </c>
    </row>
    <row r="300" spans="1:12">
      <c r="A300" s="3" t="s">
        <v>1293</v>
      </c>
      <c r="B300" s="3" t="s">
        <v>459</v>
      </c>
      <c r="C300" s="3" t="s">
        <v>976</v>
      </c>
      <c r="D300" s="3" t="s">
        <v>977</v>
      </c>
      <c r="E300" s="3" t="s">
        <v>942</v>
      </c>
      <c r="F300" s="3" t="s">
        <v>47</v>
      </c>
      <c r="G300" s="3" t="str">
        <f>INDEX(Risk_Matrix!$B$2:$D$4,MATCH(E300,Risk_Matrix!$A$2:$A$4,0),MATCH(F300,Risk_Matrix!$B$1:$D$1,0))</f>
        <v>Low</v>
      </c>
      <c r="H300" s="10">
        <v>46187</v>
      </c>
      <c r="I300" s="3" t="s">
        <v>981</v>
      </c>
      <c r="J300" s="3" t="s">
        <v>982</v>
      </c>
      <c r="K300" s="3" t="s">
        <v>993</v>
      </c>
      <c r="L300" s="3">
        <f>IF(G300="High",3,IF(G300="Medium",2,1))</f>
        <v>1</v>
      </c>
    </row>
    <row r="301" spans="1:12">
      <c r="A301" s="3" t="s">
        <v>1294</v>
      </c>
      <c r="B301" s="3" t="s">
        <v>459</v>
      </c>
      <c r="C301" s="3" t="s">
        <v>979</v>
      </c>
      <c r="D301" s="3" t="s">
        <v>1028</v>
      </c>
      <c r="E301" s="3" t="s">
        <v>47</v>
      </c>
      <c r="F301" s="3" t="s">
        <v>47</v>
      </c>
      <c r="G301" s="3" t="str">
        <f>INDEX(Risk_Matrix!$B$2:$D$4,MATCH(E301,Risk_Matrix!$A$2:$A$4,0),MATCH(F301,Risk_Matrix!$B$1:$D$1,0))</f>
        <v>Low</v>
      </c>
      <c r="H301" s="10">
        <v>46139</v>
      </c>
      <c r="I301" s="3" t="s">
        <v>967</v>
      </c>
      <c r="J301" s="3" t="s">
        <v>968</v>
      </c>
      <c r="K301" s="3" t="s">
        <v>960</v>
      </c>
      <c r="L301" s="3">
        <f>IF(G301="High",3,IF(G301="Medium",2,1))</f>
        <v>1</v>
      </c>
    </row>
    <row r="302" spans="1:12">
      <c r="A302" s="3" t="s">
        <v>1295</v>
      </c>
      <c r="B302" s="3" t="s">
        <v>461</v>
      </c>
      <c r="C302" s="3" t="s">
        <v>956</v>
      </c>
      <c r="D302" s="3" t="s">
        <v>995</v>
      </c>
      <c r="E302" s="3" t="s">
        <v>47</v>
      </c>
      <c r="F302" s="3" t="s">
        <v>47</v>
      </c>
      <c r="G302" s="3" t="str">
        <f>INDEX(Risk_Matrix!$B$2:$D$4,MATCH(E302,Risk_Matrix!$A$2:$A$4,0),MATCH(F302,Risk_Matrix!$B$1:$D$1,0))</f>
        <v>Low</v>
      </c>
      <c r="H302" s="10">
        <v>46235</v>
      </c>
      <c r="I302" s="3" t="s">
        <v>967</v>
      </c>
      <c r="J302" s="3" t="s">
        <v>968</v>
      </c>
      <c r="K302" s="3" t="s">
        <v>983</v>
      </c>
      <c r="L302" s="3">
        <f>IF(G302="High",3,IF(G302="Medium",2,1))</f>
        <v>1</v>
      </c>
    </row>
    <row r="303" spans="1:12">
      <c r="A303" s="3" t="s">
        <v>1296</v>
      </c>
      <c r="B303" s="3" t="s">
        <v>461</v>
      </c>
      <c r="C303" s="3" t="s">
        <v>962</v>
      </c>
      <c r="D303" s="3" t="s">
        <v>997</v>
      </c>
      <c r="E303" s="3" t="s">
        <v>42</v>
      </c>
      <c r="F303" s="3" t="s">
        <v>942</v>
      </c>
      <c r="G303" s="3" t="str">
        <f>INDEX(Risk_Matrix!$B$2:$D$4,MATCH(E303,Risk_Matrix!$A$2:$A$4,0),MATCH(F303,Risk_Matrix!$B$1:$D$1,0))</f>
        <v>High</v>
      </c>
      <c r="H303" s="10">
        <v>46075</v>
      </c>
      <c r="I303" s="3" t="s">
        <v>967</v>
      </c>
      <c r="J303" s="3" t="s">
        <v>968</v>
      </c>
      <c r="K303" s="3" t="s">
        <v>993</v>
      </c>
      <c r="L303" s="3">
        <f>IF(G303="High",3,IF(G303="Medium",2,1))</f>
        <v>3</v>
      </c>
    </row>
    <row r="304" spans="1:12">
      <c r="A304" s="3" t="s">
        <v>1297</v>
      </c>
      <c r="B304" s="3" t="s">
        <v>461</v>
      </c>
      <c r="C304" s="3" t="s">
        <v>965</v>
      </c>
      <c r="D304" s="3" t="s">
        <v>966</v>
      </c>
      <c r="E304" s="3" t="s">
        <v>942</v>
      </c>
      <c r="F304" s="3" t="s">
        <v>42</v>
      </c>
      <c r="G304" s="3" t="str">
        <f>INDEX(Risk_Matrix!$B$2:$D$4,MATCH(E304,Risk_Matrix!$A$2:$A$4,0),MATCH(F304,Risk_Matrix!$B$1:$D$1,0))</f>
        <v>High</v>
      </c>
      <c r="H304" s="10">
        <v>46144</v>
      </c>
      <c r="I304" s="3" t="s">
        <v>967</v>
      </c>
      <c r="J304" s="3" t="s">
        <v>968</v>
      </c>
      <c r="K304" s="3" t="s">
        <v>993</v>
      </c>
      <c r="L304" s="3">
        <f>IF(G304="High",3,IF(G304="Medium",2,1))</f>
        <v>3</v>
      </c>
    </row>
    <row r="305" spans="1:12">
      <c r="A305" s="3" t="s">
        <v>1298</v>
      </c>
      <c r="B305" s="3" t="s">
        <v>461</v>
      </c>
      <c r="C305" s="3" t="s">
        <v>971</v>
      </c>
      <c r="D305" s="3" t="s">
        <v>1016</v>
      </c>
      <c r="E305" s="3" t="s">
        <v>47</v>
      </c>
      <c r="F305" s="3" t="s">
        <v>47</v>
      </c>
      <c r="G305" s="3" t="str">
        <f>INDEX(Risk_Matrix!$B$2:$D$4,MATCH(E305,Risk_Matrix!$A$2:$A$4,0),MATCH(F305,Risk_Matrix!$B$1:$D$1,0))</f>
        <v>Low</v>
      </c>
      <c r="H305" s="10">
        <v>46161</v>
      </c>
      <c r="I305" s="3" t="s">
        <v>973</v>
      </c>
      <c r="J305" s="3" t="s">
        <v>974</v>
      </c>
      <c r="K305" s="3" t="s">
        <v>993</v>
      </c>
      <c r="L305" s="3">
        <f>IF(G305="High",3,IF(G305="Medium",2,1))</f>
        <v>1</v>
      </c>
    </row>
    <row r="306" spans="1:12">
      <c r="A306" s="3" t="s">
        <v>1299</v>
      </c>
      <c r="B306" s="3" t="s">
        <v>461</v>
      </c>
      <c r="C306" s="3" t="s">
        <v>976</v>
      </c>
      <c r="D306" s="3" t="s">
        <v>977</v>
      </c>
      <c r="E306" s="3" t="s">
        <v>42</v>
      </c>
      <c r="F306" s="3" t="s">
        <v>47</v>
      </c>
      <c r="G306" s="3" t="str">
        <f>INDEX(Risk_Matrix!$B$2:$D$4,MATCH(E306,Risk_Matrix!$A$2:$A$4,0),MATCH(F306,Risk_Matrix!$B$1:$D$1,0))</f>
        <v>Medium</v>
      </c>
      <c r="H306" s="10">
        <v>46102</v>
      </c>
      <c r="I306" s="3" t="s">
        <v>967</v>
      </c>
      <c r="J306" s="3" t="s">
        <v>968</v>
      </c>
      <c r="K306" s="3" t="s">
        <v>960</v>
      </c>
      <c r="L306" s="3">
        <f>IF(G306="High",3,IF(G306="Medium",2,1))</f>
        <v>2</v>
      </c>
    </row>
    <row r="307" spans="1:12">
      <c r="A307" s="3" t="s">
        <v>1300</v>
      </c>
      <c r="B307" s="3" t="s">
        <v>461</v>
      </c>
      <c r="C307" s="3" t="s">
        <v>979</v>
      </c>
      <c r="D307" s="3" t="s">
        <v>1004</v>
      </c>
      <c r="E307" s="3" t="s">
        <v>47</v>
      </c>
      <c r="F307" s="3" t="s">
        <v>942</v>
      </c>
      <c r="G307" s="3" t="str">
        <f>INDEX(Risk_Matrix!$B$2:$D$4,MATCH(E307,Risk_Matrix!$A$2:$A$4,0),MATCH(F307,Risk_Matrix!$B$1:$D$1,0))</f>
        <v>Low</v>
      </c>
      <c r="H307" s="10">
        <v>46193</v>
      </c>
      <c r="I307" s="3" t="s">
        <v>967</v>
      </c>
      <c r="J307" s="3" t="s">
        <v>968</v>
      </c>
      <c r="K307" s="3" t="s">
        <v>1000</v>
      </c>
      <c r="L307" s="3">
        <f>IF(G307="High",3,IF(G307="Medium",2,1))</f>
        <v>1</v>
      </c>
    </row>
    <row r="308" spans="1:12">
      <c r="A308" s="3" t="s">
        <v>1301</v>
      </c>
      <c r="B308" s="3" t="s">
        <v>462</v>
      </c>
      <c r="C308" s="3" t="s">
        <v>956</v>
      </c>
      <c r="D308" s="3" t="s">
        <v>1012</v>
      </c>
      <c r="E308" s="3" t="s">
        <v>942</v>
      </c>
      <c r="F308" s="3" t="s">
        <v>942</v>
      </c>
      <c r="G308" s="3" t="str">
        <f>INDEX(Risk_Matrix!$B$2:$D$4,MATCH(E308,Risk_Matrix!$A$2:$A$4,0),MATCH(F308,Risk_Matrix!$B$1:$D$1,0))</f>
        <v>Medium</v>
      </c>
      <c r="H308" s="10">
        <v>46066</v>
      </c>
      <c r="I308" s="3" t="s">
        <v>967</v>
      </c>
      <c r="J308" s="3" t="s">
        <v>968</v>
      </c>
      <c r="K308" s="3" t="s">
        <v>960</v>
      </c>
      <c r="L308" s="3">
        <f>IF(G308="High",3,IF(G308="Medium",2,1))</f>
        <v>2</v>
      </c>
    </row>
    <row r="309" spans="1:12">
      <c r="A309" s="3" t="s">
        <v>1302</v>
      </c>
      <c r="B309" s="3" t="s">
        <v>462</v>
      </c>
      <c r="C309" s="3" t="s">
        <v>962</v>
      </c>
      <c r="D309" s="3" t="s">
        <v>997</v>
      </c>
      <c r="E309" s="3" t="s">
        <v>42</v>
      </c>
      <c r="F309" s="3" t="s">
        <v>47</v>
      </c>
      <c r="G309" s="3" t="str">
        <f>INDEX(Risk_Matrix!$B$2:$D$4,MATCH(E309,Risk_Matrix!$A$2:$A$4,0),MATCH(F309,Risk_Matrix!$B$1:$D$1,0))</f>
        <v>Medium</v>
      </c>
      <c r="H309" s="10">
        <v>46136</v>
      </c>
      <c r="I309" s="3" t="s">
        <v>973</v>
      </c>
      <c r="J309" s="3" t="s">
        <v>974</v>
      </c>
      <c r="K309" s="3" t="s">
        <v>1000</v>
      </c>
      <c r="L309" s="3">
        <f>IF(G309="High",3,IF(G309="Medium",2,1))</f>
        <v>2</v>
      </c>
    </row>
    <row r="310" spans="1:12">
      <c r="A310" s="3" t="s">
        <v>1303</v>
      </c>
      <c r="B310" s="3" t="s">
        <v>462</v>
      </c>
      <c r="C310" s="3" t="s">
        <v>965</v>
      </c>
      <c r="D310" s="3" t="s">
        <v>966</v>
      </c>
      <c r="E310" s="3" t="s">
        <v>942</v>
      </c>
      <c r="F310" s="3" t="s">
        <v>942</v>
      </c>
      <c r="G310" s="3" t="str">
        <f>INDEX(Risk_Matrix!$B$2:$D$4,MATCH(E310,Risk_Matrix!$A$2:$A$4,0),MATCH(F310,Risk_Matrix!$B$1:$D$1,0))</f>
        <v>Medium</v>
      </c>
      <c r="H310" s="10">
        <v>46148</v>
      </c>
      <c r="I310" s="3" t="s">
        <v>967</v>
      </c>
      <c r="J310" s="3" t="s">
        <v>968</v>
      </c>
      <c r="K310" s="3" t="s">
        <v>969</v>
      </c>
      <c r="L310" s="3">
        <f>IF(G310="High",3,IF(G310="Medium",2,1))</f>
        <v>2</v>
      </c>
    </row>
    <row r="311" spans="1:12">
      <c r="A311" s="3" t="s">
        <v>1304</v>
      </c>
      <c r="B311" s="3" t="s">
        <v>462</v>
      </c>
      <c r="C311" s="3" t="s">
        <v>971</v>
      </c>
      <c r="D311" s="3" t="s">
        <v>1016</v>
      </c>
      <c r="E311" s="3" t="s">
        <v>42</v>
      </c>
      <c r="F311" s="3" t="s">
        <v>47</v>
      </c>
      <c r="G311" s="3" t="str">
        <f>INDEX(Risk_Matrix!$B$2:$D$4,MATCH(E311,Risk_Matrix!$A$2:$A$4,0),MATCH(F311,Risk_Matrix!$B$1:$D$1,0))</f>
        <v>Medium</v>
      </c>
      <c r="H311" s="10">
        <v>46076</v>
      </c>
      <c r="I311" s="3" t="s">
        <v>973</v>
      </c>
      <c r="J311" s="3" t="s">
        <v>974</v>
      </c>
      <c r="K311" s="3" t="s">
        <v>960</v>
      </c>
      <c r="L311" s="3">
        <f>IF(G311="High",3,IF(G311="Medium",2,1))</f>
        <v>2</v>
      </c>
    </row>
    <row r="312" spans="1:12">
      <c r="A312" s="3" t="s">
        <v>1305</v>
      </c>
      <c r="B312" s="3" t="s">
        <v>462</v>
      </c>
      <c r="C312" s="3" t="s">
        <v>976</v>
      </c>
      <c r="D312" s="3" t="s">
        <v>1002</v>
      </c>
      <c r="E312" s="3" t="s">
        <v>47</v>
      </c>
      <c r="F312" s="3" t="s">
        <v>47</v>
      </c>
      <c r="G312" s="3" t="str">
        <f>INDEX(Risk_Matrix!$B$2:$D$4,MATCH(E312,Risk_Matrix!$A$2:$A$4,0),MATCH(F312,Risk_Matrix!$B$1:$D$1,0))</f>
        <v>Low</v>
      </c>
      <c r="H312" s="10">
        <v>46142</v>
      </c>
      <c r="I312" s="3" t="s">
        <v>967</v>
      </c>
      <c r="J312" s="3" t="s">
        <v>968</v>
      </c>
      <c r="K312" s="3" t="s">
        <v>1000</v>
      </c>
      <c r="L312" s="3">
        <f>IF(G312="High",3,IF(G312="Medium",2,1))</f>
        <v>1</v>
      </c>
    </row>
    <row r="313" spans="1:12">
      <c r="A313" s="3" t="s">
        <v>1306</v>
      </c>
      <c r="B313" s="3" t="s">
        <v>462</v>
      </c>
      <c r="C313" s="3" t="s">
        <v>979</v>
      </c>
      <c r="D313" s="3" t="s">
        <v>980</v>
      </c>
      <c r="E313" s="3" t="s">
        <v>47</v>
      </c>
      <c r="F313" s="3" t="s">
        <v>42</v>
      </c>
      <c r="G313" s="3" t="str">
        <f>INDEX(Risk_Matrix!$B$2:$D$4,MATCH(E313,Risk_Matrix!$A$2:$A$4,0),MATCH(F313,Risk_Matrix!$B$1:$D$1,0))</f>
        <v>Medium</v>
      </c>
      <c r="H313" s="10">
        <v>46137</v>
      </c>
      <c r="I313" s="3" t="s">
        <v>967</v>
      </c>
      <c r="J313" s="3" t="s">
        <v>968</v>
      </c>
      <c r="K313" s="3" t="s">
        <v>993</v>
      </c>
      <c r="L313" s="3">
        <f>IF(G313="High",3,IF(G313="Medium",2,1))</f>
        <v>2</v>
      </c>
    </row>
    <row r="314" spans="1:12">
      <c r="A314" s="3" t="s">
        <v>1307</v>
      </c>
      <c r="B314" s="3" t="s">
        <v>464</v>
      </c>
      <c r="C314" s="3" t="s">
        <v>956</v>
      </c>
      <c r="D314" s="3" t="s">
        <v>957</v>
      </c>
      <c r="E314" s="3" t="s">
        <v>42</v>
      </c>
      <c r="F314" s="3" t="s">
        <v>942</v>
      </c>
      <c r="G314" s="3" t="str">
        <f>INDEX(Risk_Matrix!$B$2:$D$4,MATCH(E314,Risk_Matrix!$A$2:$A$4,0),MATCH(F314,Risk_Matrix!$B$1:$D$1,0))</f>
        <v>High</v>
      </c>
      <c r="H314" s="10">
        <v>46161</v>
      </c>
      <c r="I314" s="3" t="s">
        <v>967</v>
      </c>
      <c r="J314" s="3" t="s">
        <v>968</v>
      </c>
      <c r="K314" s="3" t="s">
        <v>993</v>
      </c>
      <c r="L314" s="3">
        <f>IF(G314="High",3,IF(G314="Medium",2,1))</f>
        <v>3</v>
      </c>
    </row>
    <row r="315" spans="1:12">
      <c r="A315" s="3" t="s">
        <v>1308</v>
      </c>
      <c r="B315" s="3" t="s">
        <v>464</v>
      </c>
      <c r="C315" s="3" t="s">
        <v>962</v>
      </c>
      <c r="D315" s="3" t="s">
        <v>986</v>
      </c>
      <c r="E315" s="3" t="s">
        <v>42</v>
      </c>
      <c r="F315" s="3" t="s">
        <v>47</v>
      </c>
      <c r="G315" s="3" t="str">
        <f>INDEX(Risk_Matrix!$B$2:$D$4,MATCH(E315,Risk_Matrix!$A$2:$A$4,0),MATCH(F315,Risk_Matrix!$B$1:$D$1,0))</f>
        <v>Medium</v>
      </c>
      <c r="H315" s="10">
        <v>46062</v>
      </c>
      <c r="I315" s="3" t="s">
        <v>973</v>
      </c>
      <c r="J315" s="3" t="s">
        <v>974</v>
      </c>
      <c r="K315" s="3" t="s">
        <v>969</v>
      </c>
      <c r="L315" s="3">
        <f>IF(G315="High",3,IF(G315="Medium",2,1))</f>
        <v>2</v>
      </c>
    </row>
    <row r="316" spans="1:12">
      <c r="A316" s="3" t="s">
        <v>1309</v>
      </c>
      <c r="B316" s="3" t="s">
        <v>464</v>
      </c>
      <c r="C316" s="3" t="s">
        <v>965</v>
      </c>
      <c r="D316" s="3" t="s">
        <v>1039</v>
      </c>
      <c r="E316" s="3" t="s">
        <v>47</v>
      </c>
      <c r="F316" s="3" t="s">
        <v>47</v>
      </c>
      <c r="G316" s="3" t="str">
        <f>INDEX(Risk_Matrix!$B$2:$D$4,MATCH(E316,Risk_Matrix!$A$2:$A$4,0),MATCH(F316,Risk_Matrix!$B$1:$D$1,0))</f>
        <v>Low</v>
      </c>
      <c r="H316" s="10">
        <v>46171</v>
      </c>
      <c r="I316" s="3" t="s">
        <v>973</v>
      </c>
      <c r="J316" s="3" t="s">
        <v>974</v>
      </c>
      <c r="K316" s="3" t="s">
        <v>969</v>
      </c>
      <c r="L316" s="3">
        <f>IF(G316="High",3,IF(G316="Medium",2,1))</f>
        <v>1</v>
      </c>
    </row>
    <row r="317" spans="1:12">
      <c r="A317" s="3" t="s">
        <v>1310</v>
      </c>
      <c r="B317" s="3" t="s">
        <v>464</v>
      </c>
      <c r="C317" s="3" t="s">
        <v>971</v>
      </c>
      <c r="D317" s="3" t="s">
        <v>1016</v>
      </c>
      <c r="E317" s="3" t="s">
        <v>47</v>
      </c>
      <c r="F317" s="3" t="s">
        <v>47</v>
      </c>
      <c r="G317" s="3" t="str">
        <f>INDEX(Risk_Matrix!$B$2:$D$4,MATCH(E317,Risk_Matrix!$A$2:$A$4,0),MATCH(F317,Risk_Matrix!$B$1:$D$1,0))</f>
        <v>Low</v>
      </c>
      <c r="H317" s="10">
        <v>46092</v>
      </c>
      <c r="I317" s="3" t="s">
        <v>973</v>
      </c>
      <c r="J317" s="3" t="s">
        <v>974</v>
      </c>
      <c r="K317" s="3" t="s">
        <v>960</v>
      </c>
      <c r="L317" s="3">
        <f>IF(G317="High",3,IF(G317="Medium",2,1))</f>
        <v>1</v>
      </c>
    </row>
    <row r="318" spans="1:12">
      <c r="A318" s="3" t="s">
        <v>1311</v>
      </c>
      <c r="B318" s="3" t="s">
        <v>464</v>
      </c>
      <c r="C318" s="3" t="s">
        <v>976</v>
      </c>
      <c r="D318" s="3" t="s">
        <v>1002</v>
      </c>
      <c r="E318" s="3" t="s">
        <v>42</v>
      </c>
      <c r="F318" s="3" t="s">
        <v>942</v>
      </c>
      <c r="G318" s="3" t="str">
        <f>INDEX(Risk_Matrix!$B$2:$D$4,MATCH(E318,Risk_Matrix!$A$2:$A$4,0),MATCH(F318,Risk_Matrix!$B$1:$D$1,0))</f>
        <v>High</v>
      </c>
      <c r="H318" s="10">
        <v>46115</v>
      </c>
      <c r="I318" s="3" t="s">
        <v>967</v>
      </c>
      <c r="J318" s="3" t="s">
        <v>968</v>
      </c>
      <c r="K318" s="3" t="s">
        <v>983</v>
      </c>
      <c r="L318" s="3">
        <f>IF(G318="High",3,IF(G318="Medium",2,1))</f>
        <v>3</v>
      </c>
    </row>
    <row r="319" spans="1:12">
      <c r="A319" s="3" t="s">
        <v>1312</v>
      </c>
      <c r="B319" s="3" t="s">
        <v>464</v>
      </c>
      <c r="C319" s="3" t="s">
        <v>979</v>
      </c>
      <c r="D319" s="3" t="s">
        <v>1028</v>
      </c>
      <c r="E319" s="3" t="s">
        <v>942</v>
      </c>
      <c r="F319" s="3" t="s">
        <v>942</v>
      </c>
      <c r="G319" s="3" t="str">
        <f>INDEX(Risk_Matrix!$B$2:$D$4,MATCH(E319,Risk_Matrix!$A$2:$A$4,0),MATCH(F319,Risk_Matrix!$B$1:$D$1,0))</f>
        <v>Medium</v>
      </c>
      <c r="H319" s="10">
        <v>46214</v>
      </c>
      <c r="I319" s="3" t="s">
        <v>967</v>
      </c>
      <c r="J319" s="3" t="s">
        <v>968</v>
      </c>
      <c r="K319" s="3" t="s">
        <v>1000</v>
      </c>
      <c r="L319" s="3">
        <f>IF(G319="High",3,IF(G319="Medium",2,1))</f>
        <v>2</v>
      </c>
    </row>
    <row r="320" spans="1:12">
      <c r="A320" s="3" t="s">
        <v>1313</v>
      </c>
      <c r="B320" s="3" t="s">
        <v>466</v>
      </c>
      <c r="C320" s="3" t="s">
        <v>956</v>
      </c>
      <c r="D320" s="3" t="s">
        <v>995</v>
      </c>
      <c r="E320" s="3" t="s">
        <v>47</v>
      </c>
      <c r="F320" s="3" t="s">
        <v>942</v>
      </c>
      <c r="G320" s="3" t="str">
        <f>INDEX(Risk_Matrix!$B$2:$D$4,MATCH(E320,Risk_Matrix!$A$2:$A$4,0),MATCH(F320,Risk_Matrix!$B$1:$D$1,0))</f>
        <v>Low</v>
      </c>
      <c r="H320" s="10">
        <v>46224</v>
      </c>
      <c r="I320" s="3" t="s">
        <v>973</v>
      </c>
      <c r="J320" s="3" t="s">
        <v>974</v>
      </c>
      <c r="K320" s="3" t="s">
        <v>969</v>
      </c>
      <c r="L320" s="3">
        <f>IF(G320="High",3,IF(G320="Medium",2,1))</f>
        <v>1</v>
      </c>
    </row>
    <row r="321" spans="1:12">
      <c r="A321" s="3" t="s">
        <v>1314</v>
      </c>
      <c r="B321" s="3" t="s">
        <v>466</v>
      </c>
      <c r="C321" s="3" t="s">
        <v>962</v>
      </c>
      <c r="D321" s="3" t="s">
        <v>986</v>
      </c>
      <c r="E321" s="3" t="s">
        <v>42</v>
      </c>
      <c r="F321" s="3" t="s">
        <v>47</v>
      </c>
      <c r="G321" s="3" t="str">
        <f>INDEX(Risk_Matrix!$B$2:$D$4,MATCH(E321,Risk_Matrix!$A$2:$A$4,0),MATCH(F321,Risk_Matrix!$B$1:$D$1,0))</f>
        <v>Medium</v>
      </c>
      <c r="H321" s="10">
        <v>46208</v>
      </c>
      <c r="I321" s="3" t="s">
        <v>981</v>
      </c>
      <c r="J321" s="3" t="s">
        <v>982</v>
      </c>
      <c r="K321" s="3" t="s">
        <v>983</v>
      </c>
      <c r="L321" s="3">
        <f>IF(G321="High",3,IF(G321="Medium",2,1))</f>
        <v>2</v>
      </c>
    </row>
    <row r="322" spans="1:12">
      <c r="A322" s="3" t="s">
        <v>1315</v>
      </c>
      <c r="B322" s="3" t="s">
        <v>466</v>
      </c>
      <c r="C322" s="3" t="s">
        <v>965</v>
      </c>
      <c r="D322" s="3" t="s">
        <v>1023</v>
      </c>
      <c r="E322" s="3" t="s">
        <v>942</v>
      </c>
      <c r="F322" s="3" t="s">
        <v>942</v>
      </c>
      <c r="G322" s="3" t="str">
        <f>INDEX(Risk_Matrix!$B$2:$D$4,MATCH(E322,Risk_Matrix!$A$2:$A$4,0),MATCH(F322,Risk_Matrix!$B$1:$D$1,0))</f>
        <v>Medium</v>
      </c>
      <c r="H322" s="10">
        <v>46104</v>
      </c>
      <c r="I322" s="3" t="s">
        <v>973</v>
      </c>
      <c r="J322" s="3" t="s">
        <v>974</v>
      </c>
      <c r="K322" s="3" t="s">
        <v>993</v>
      </c>
      <c r="L322" s="3">
        <f>IF(G322="High",3,IF(G322="Medium",2,1))</f>
        <v>2</v>
      </c>
    </row>
    <row r="323" spans="1:12">
      <c r="A323" s="3" t="s">
        <v>1316</v>
      </c>
      <c r="B323" s="3" t="s">
        <v>466</v>
      </c>
      <c r="C323" s="3" t="s">
        <v>971</v>
      </c>
      <c r="D323" s="3" t="s">
        <v>1025</v>
      </c>
      <c r="E323" s="3" t="s">
        <v>942</v>
      </c>
      <c r="F323" s="3" t="s">
        <v>47</v>
      </c>
      <c r="G323" s="3" t="str">
        <f>INDEX(Risk_Matrix!$B$2:$D$4,MATCH(E323,Risk_Matrix!$A$2:$A$4,0),MATCH(F323,Risk_Matrix!$B$1:$D$1,0))</f>
        <v>Low</v>
      </c>
      <c r="H323" s="10">
        <v>46182</v>
      </c>
      <c r="I323" s="3" t="s">
        <v>967</v>
      </c>
      <c r="J323" s="3" t="s">
        <v>968</v>
      </c>
      <c r="K323" s="3" t="s">
        <v>983</v>
      </c>
      <c r="L323" s="3">
        <f>IF(G323="High",3,IF(G323="Medium",2,1))</f>
        <v>1</v>
      </c>
    </row>
    <row r="324" spans="1:12">
      <c r="A324" s="3" t="s">
        <v>1317</v>
      </c>
      <c r="B324" s="3" t="s">
        <v>466</v>
      </c>
      <c r="C324" s="3" t="s">
        <v>976</v>
      </c>
      <c r="D324" s="3" t="s">
        <v>977</v>
      </c>
      <c r="E324" s="3" t="s">
        <v>942</v>
      </c>
      <c r="F324" s="3" t="s">
        <v>42</v>
      </c>
      <c r="G324" s="3" t="str">
        <f>INDEX(Risk_Matrix!$B$2:$D$4,MATCH(E324,Risk_Matrix!$A$2:$A$4,0),MATCH(F324,Risk_Matrix!$B$1:$D$1,0))</f>
        <v>High</v>
      </c>
      <c r="H324" s="10">
        <v>46086</v>
      </c>
      <c r="I324" s="3" t="s">
        <v>958</v>
      </c>
      <c r="J324" s="3" t="s">
        <v>959</v>
      </c>
      <c r="K324" s="3" t="s">
        <v>1000</v>
      </c>
      <c r="L324" s="3">
        <f>IF(G324="High",3,IF(G324="Medium",2,1))</f>
        <v>3</v>
      </c>
    </row>
    <row r="325" spans="1:12">
      <c r="A325" s="3" t="s">
        <v>1318</v>
      </c>
      <c r="B325" s="3" t="s">
        <v>466</v>
      </c>
      <c r="C325" s="3" t="s">
        <v>979</v>
      </c>
      <c r="D325" s="3" t="s">
        <v>980</v>
      </c>
      <c r="E325" s="3" t="s">
        <v>47</v>
      </c>
      <c r="F325" s="3" t="s">
        <v>47</v>
      </c>
      <c r="G325" s="3" t="str">
        <f>INDEX(Risk_Matrix!$B$2:$D$4,MATCH(E325,Risk_Matrix!$A$2:$A$4,0),MATCH(F325,Risk_Matrix!$B$1:$D$1,0))</f>
        <v>Low</v>
      </c>
      <c r="H325" s="10">
        <v>46201</v>
      </c>
      <c r="I325" s="3" t="s">
        <v>981</v>
      </c>
      <c r="J325" s="3" t="s">
        <v>982</v>
      </c>
      <c r="K325" s="3" t="s">
        <v>983</v>
      </c>
      <c r="L325" s="3">
        <f>IF(G325="High",3,IF(G325="Medium",2,1))</f>
        <v>1</v>
      </c>
    </row>
    <row r="326" spans="1:12">
      <c r="A326" s="3" t="s">
        <v>1319</v>
      </c>
      <c r="B326" s="3" t="s">
        <v>468</v>
      </c>
      <c r="C326" s="3" t="s">
        <v>956</v>
      </c>
      <c r="D326" s="3" t="s">
        <v>995</v>
      </c>
      <c r="E326" s="3" t="s">
        <v>47</v>
      </c>
      <c r="F326" s="3" t="s">
        <v>942</v>
      </c>
      <c r="G326" s="3" t="str">
        <f>INDEX(Risk_Matrix!$B$2:$D$4,MATCH(E326,Risk_Matrix!$A$2:$A$4,0),MATCH(F326,Risk_Matrix!$B$1:$D$1,0))</f>
        <v>Low</v>
      </c>
      <c r="H326" s="10">
        <v>46136</v>
      </c>
      <c r="I326" s="3" t="s">
        <v>973</v>
      </c>
      <c r="J326" s="3" t="s">
        <v>974</v>
      </c>
      <c r="K326" s="3" t="s">
        <v>969</v>
      </c>
      <c r="L326" s="3">
        <f>IF(G326="High",3,IF(G326="Medium",2,1))</f>
        <v>1</v>
      </c>
    </row>
    <row r="327" spans="1:12">
      <c r="A327" s="3" t="s">
        <v>1320</v>
      </c>
      <c r="B327" s="3" t="s">
        <v>468</v>
      </c>
      <c r="C327" s="3" t="s">
        <v>962</v>
      </c>
      <c r="D327" s="3" t="s">
        <v>963</v>
      </c>
      <c r="E327" s="3" t="s">
        <v>47</v>
      </c>
      <c r="F327" s="3" t="s">
        <v>47</v>
      </c>
      <c r="G327" s="3" t="str">
        <f>INDEX(Risk_Matrix!$B$2:$D$4,MATCH(E327,Risk_Matrix!$A$2:$A$4,0),MATCH(F327,Risk_Matrix!$B$1:$D$1,0))</f>
        <v>Low</v>
      </c>
      <c r="H327" s="10">
        <v>46204</v>
      </c>
      <c r="I327" s="3" t="s">
        <v>967</v>
      </c>
      <c r="J327" s="3" t="s">
        <v>968</v>
      </c>
      <c r="K327" s="3" t="s">
        <v>960</v>
      </c>
      <c r="L327" s="3">
        <f>IF(G327="High",3,IF(G327="Medium",2,1))</f>
        <v>1</v>
      </c>
    </row>
    <row r="328" spans="1:12">
      <c r="A328" s="3" t="s">
        <v>1321</v>
      </c>
      <c r="B328" s="3" t="s">
        <v>468</v>
      </c>
      <c r="C328" s="3" t="s">
        <v>965</v>
      </c>
      <c r="D328" s="3" t="s">
        <v>1039</v>
      </c>
      <c r="E328" s="3" t="s">
        <v>47</v>
      </c>
      <c r="F328" s="3" t="s">
        <v>942</v>
      </c>
      <c r="G328" s="3" t="str">
        <f>INDEX(Risk_Matrix!$B$2:$D$4,MATCH(E328,Risk_Matrix!$A$2:$A$4,0),MATCH(F328,Risk_Matrix!$B$1:$D$1,0))</f>
        <v>Low</v>
      </c>
      <c r="H328" s="10">
        <v>46081</v>
      </c>
      <c r="I328" s="3" t="s">
        <v>973</v>
      </c>
      <c r="J328" s="3" t="s">
        <v>974</v>
      </c>
      <c r="K328" s="3" t="s">
        <v>1000</v>
      </c>
      <c r="L328" s="3">
        <f>IF(G328="High",3,IF(G328="Medium",2,1))</f>
        <v>1</v>
      </c>
    </row>
    <row r="329" spans="1:12">
      <c r="A329" s="3" t="s">
        <v>1322</v>
      </c>
      <c r="B329" s="3" t="s">
        <v>468</v>
      </c>
      <c r="C329" s="3" t="s">
        <v>971</v>
      </c>
      <c r="D329" s="3" t="s">
        <v>972</v>
      </c>
      <c r="E329" s="3" t="s">
        <v>47</v>
      </c>
      <c r="F329" s="3" t="s">
        <v>47</v>
      </c>
      <c r="G329" s="3" t="str">
        <f>INDEX(Risk_Matrix!$B$2:$D$4,MATCH(E329,Risk_Matrix!$A$2:$A$4,0),MATCH(F329,Risk_Matrix!$B$1:$D$1,0))</f>
        <v>Low</v>
      </c>
      <c r="H329" s="10">
        <v>46063</v>
      </c>
      <c r="I329" s="3" t="s">
        <v>967</v>
      </c>
      <c r="J329" s="3" t="s">
        <v>968</v>
      </c>
      <c r="K329" s="3" t="s">
        <v>1000</v>
      </c>
      <c r="L329" s="3">
        <f>IF(G329="High",3,IF(G329="Medium",2,1))</f>
        <v>1</v>
      </c>
    </row>
    <row r="330" spans="1:12">
      <c r="A330" s="3" t="s">
        <v>1323</v>
      </c>
      <c r="B330" s="3" t="s">
        <v>468</v>
      </c>
      <c r="C330" s="3" t="s">
        <v>976</v>
      </c>
      <c r="D330" s="3" t="s">
        <v>977</v>
      </c>
      <c r="E330" s="3" t="s">
        <v>47</v>
      </c>
      <c r="F330" s="3" t="s">
        <v>47</v>
      </c>
      <c r="G330" s="3" t="str">
        <f>INDEX(Risk_Matrix!$B$2:$D$4,MATCH(E330,Risk_Matrix!$A$2:$A$4,0),MATCH(F330,Risk_Matrix!$B$1:$D$1,0))</f>
        <v>Low</v>
      </c>
      <c r="H330" s="10">
        <v>46190</v>
      </c>
      <c r="I330" s="3" t="s">
        <v>973</v>
      </c>
      <c r="J330" s="3" t="s">
        <v>974</v>
      </c>
      <c r="K330" s="3" t="s">
        <v>969</v>
      </c>
      <c r="L330" s="3">
        <f>IF(G330="High",3,IF(G330="Medium",2,1))</f>
        <v>1</v>
      </c>
    </row>
    <row r="331" spans="1:12">
      <c r="A331" s="3" t="s">
        <v>1324</v>
      </c>
      <c r="B331" s="3" t="s">
        <v>468</v>
      </c>
      <c r="C331" s="3" t="s">
        <v>979</v>
      </c>
      <c r="D331" s="3" t="s">
        <v>1028</v>
      </c>
      <c r="E331" s="3" t="s">
        <v>942</v>
      </c>
      <c r="F331" s="3" t="s">
        <v>47</v>
      </c>
      <c r="G331" s="3" t="str">
        <f>INDEX(Risk_Matrix!$B$2:$D$4,MATCH(E331,Risk_Matrix!$A$2:$A$4,0),MATCH(F331,Risk_Matrix!$B$1:$D$1,0))</f>
        <v>Low</v>
      </c>
      <c r="H331" s="10">
        <v>46149</v>
      </c>
      <c r="I331" s="3" t="s">
        <v>973</v>
      </c>
      <c r="J331" s="3" t="s">
        <v>974</v>
      </c>
      <c r="K331" s="3" t="s">
        <v>1000</v>
      </c>
      <c r="L331" s="3">
        <f>IF(G331="High",3,IF(G331="Medium",2,1))</f>
        <v>1</v>
      </c>
    </row>
    <row r="332" spans="1:12">
      <c r="A332" s="3" t="s">
        <v>1325</v>
      </c>
      <c r="B332" s="3" t="s">
        <v>470</v>
      </c>
      <c r="C332" s="3" t="s">
        <v>956</v>
      </c>
      <c r="D332" s="3" t="s">
        <v>1012</v>
      </c>
      <c r="E332" s="3" t="s">
        <v>942</v>
      </c>
      <c r="F332" s="3" t="s">
        <v>47</v>
      </c>
      <c r="G332" s="3" t="str">
        <f>INDEX(Risk_Matrix!$B$2:$D$4,MATCH(E332,Risk_Matrix!$A$2:$A$4,0),MATCH(F332,Risk_Matrix!$B$1:$D$1,0))</f>
        <v>Low</v>
      </c>
      <c r="H332" s="10">
        <v>46179</v>
      </c>
      <c r="I332" s="3" t="s">
        <v>981</v>
      </c>
      <c r="J332" s="3" t="s">
        <v>982</v>
      </c>
      <c r="K332" s="3" t="s">
        <v>983</v>
      </c>
      <c r="L332" s="3">
        <f>IF(G332="High",3,IF(G332="Medium",2,1))</f>
        <v>1</v>
      </c>
    </row>
    <row r="333" spans="1:12">
      <c r="A333" s="3" t="s">
        <v>1326</v>
      </c>
      <c r="B333" s="3" t="s">
        <v>470</v>
      </c>
      <c r="C333" s="3" t="s">
        <v>962</v>
      </c>
      <c r="D333" s="3" t="s">
        <v>986</v>
      </c>
      <c r="E333" s="3" t="s">
        <v>47</v>
      </c>
      <c r="F333" s="3" t="s">
        <v>942</v>
      </c>
      <c r="G333" s="3" t="str">
        <f>INDEX(Risk_Matrix!$B$2:$D$4,MATCH(E333,Risk_Matrix!$A$2:$A$4,0),MATCH(F333,Risk_Matrix!$B$1:$D$1,0))</f>
        <v>Low</v>
      </c>
      <c r="H333" s="10">
        <v>46225</v>
      </c>
      <c r="I333" s="3" t="s">
        <v>973</v>
      </c>
      <c r="J333" s="3" t="s">
        <v>974</v>
      </c>
      <c r="K333" s="3" t="s">
        <v>983</v>
      </c>
      <c r="L333" s="3">
        <f>IF(G333="High",3,IF(G333="Medium",2,1))</f>
        <v>1</v>
      </c>
    </row>
    <row r="334" spans="1:12">
      <c r="A334" s="3" t="s">
        <v>1327</v>
      </c>
      <c r="B334" s="3" t="s">
        <v>470</v>
      </c>
      <c r="C334" s="3" t="s">
        <v>965</v>
      </c>
      <c r="D334" s="3" t="s">
        <v>1039</v>
      </c>
      <c r="E334" s="3" t="s">
        <v>42</v>
      </c>
      <c r="F334" s="3" t="s">
        <v>942</v>
      </c>
      <c r="G334" s="3" t="str">
        <f>INDEX(Risk_Matrix!$B$2:$D$4,MATCH(E334,Risk_Matrix!$A$2:$A$4,0),MATCH(F334,Risk_Matrix!$B$1:$D$1,0))</f>
        <v>High</v>
      </c>
      <c r="H334" s="10">
        <v>46061</v>
      </c>
      <c r="I334" s="3" t="s">
        <v>973</v>
      </c>
      <c r="J334" s="3" t="s">
        <v>974</v>
      </c>
      <c r="K334" s="3" t="s">
        <v>993</v>
      </c>
      <c r="L334" s="3">
        <f>IF(G334="High",3,IF(G334="Medium",2,1))</f>
        <v>3</v>
      </c>
    </row>
    <row r="335" spans="1:12">
      <c r="A335" s="3" t="s">
        <v>1328</v>
      </c>
      <c r="B335" s="3" t="s">
        <v>470</v>
      </c>
      <c r="C335" s="3" t="s">
        <v>971</v>
      </c>
      <c r="D335" s="3" t="s">
        <v>1025</v>
      </c>
      <c r="E335" s="3" t="s">
        <v>47</v>
      </c>
      <c r="F335" s="3" t="s">
        <v>47</v>
      </c>
      <c r="G335" s="3" t="str">
        <f>INDEX(Risk_Matrix!$B$2:$D$4,MATCH(E335,Risk_Matrix!$A$2:$A$4,0),MATCH(F335,Risk_Matrix!$B$1:$D$1,0))</f>
        <v>Low</v>
      </c>
      <c r="H335" s="10">
        <v>46101</v>
      </c>
      <c r="I335" s="3" t="s">
        <v>973</v>
      </c>
      <c r="J335" s="3" t="s">
        <v>974</v>
      </c>
      <c r="K335" s="3" t="s">
        <v>983</v>
      </c>
      <c r="L335" s="3">
        <f>IF(G335="High",3,IF(G335="Medium",2,1))</f>
        <v>1</v>
      </c>
    </row>
    <row r="336" spans="1:12">
      <c r="A336" s="3" t="s">
        <v>1329</v>
      </c>
      <c r="B336" s="3" t="s">
        <v>470</v>
      </c>
      <c r="C336" s="3" t="s">
        <v>976</v>
      </c>
      <c r="D336" s="3" t="s">
        <v>977</v>
      </c>
      <c r="E336" s="3" t="s">
        <v>942</v>
      </c>
      <c r="F336" s="3" t="s">
        <v>942</v>
      </c>
      <c r="G336" s="3" t="str">
        <f>INDEX(Risk_Matrix!$B$2:$D$4,MATCH(E336,Risk_Matrix!$A$2:$A$4,0),MATCH(F336,Risk_Matrix!$B$1:$D$1,0))</f>
        <v>Medium</v>
      </c>
      <c r="H336" s="10">
        <v>46079</v>
      </c>
      <c r="I336" s="3" t="s">
        <v>967</v>
      </c>
      <c r="J336" s="3" t="s">
        <v>968</v>
      </c>
      <c r="K336" s="3" t="s">
        <v>983</v>
      </c>
      <c r="L336" s="3">
        <f>IF(G336="High",3,IF(G336="Medium",2,1))</f>
        <v>2</v>
      </c>
    </row>
    <row r="337" spans="1:12">
      <c r="A337" s="3" t="s">
        <v>1330</v>
      </c>
      <c r="B337" s="3" t="s">
        <v>470</v>
      </c>
      <c r="C337" s="3" t="s">
        <v>979</v>
      </c>
      <c r="D337" s="3" t="s">
        <v>980</v>
      </c>
      <c r="E337" s="3" t="s">
        <v>942</v>
      </c>
      <c r="F337" s="3" t="s">
        <v>47</v>
      </c>
      <c r="G337" s="3" t="str">
        <f>INDEX(Risk_Matrix!$B$2:$D$4,MATCH(E337,Risk_Matrix!$A$2:$A$4,0),MATCH(F337,Risk_Matrix!$B$1:$D$1,0))</f>
        <v>Low</v>
      </c>
      <c r="H337" s="10">
        <v>46069</v>
      </c>
      <c r="I337" s="3" t="s">
        <v>967</v>
      </c>
      <c r="J337" s="3" t="s">
        <v>968</v>
      </c>
      <c r="K337" s="3" t="s">
        <v>1000</v>
      </c>
      <c r="L337" s="3">
        <f>IF(G337="High",3,IF(G337="Medium",2,1))</f>
        <v>1</v>
      </c>
    </row>
    <row r="338" spans="1:12">
      <c r="A338" s="3" t="s">
        <v>1331</v>
      </c>
      <c r="B338" s="3" t="s">
        <v>472</v>
      </c>
      <c r="C338" s="3" t="s">
        <v>956</v>
      </c>
      <c r="D338" s="3" t="s">
        <v>957</v>
      </c>
      <c r="E338" s="3" t="s">
        <v>47</v>
      </c>
      <c r="F338" s="3" t="s">
        <v>47</v>
      </c>
      <c r="G338" s="3" t="str">
        <f>INDEX(Risk_Matrix!$B$2:$D$4,MATCH(E338,Risk_Matrix!$A$2:$A$4,0),MATCH(F338,Risk_Matrix!$B$1:$D$1,0))</f>
        <v>Low</v>
      </c>
      <c r="H338" s="10">
        <v>46060</v>
      </c>
      <c r="I338" s="3" t="s">
        <v>973</v>
      </c>
      <c r="J338" s="3" t="s">
        <v>974</v>
      </c>
      <c r="K338" s="3" t="s">
        <v>1000</v>
      </c>
      <c r="L338" s="3">
        <f>IF(G338="High",3,IF(G338="Medium",2,1))</f>
        <v>1</v>
      </c>
    </row>
    <row r="339" spans="1:12">
      <c r="A339" s="3" t="s">
        <v>1332</v>
      </c>
      <c r="B339" s="3" t="s">
        <v>472</v>
      </c>
      <c r="C339" s="3" t="s">
        <v>962</v>
      </c>
      <c r="D339" s="3" t="s">
        <v>986</v>
      </c>
      <c r="E339" s="3" t="s">
        <v>47</v>
      </c>
      <c r="F339" s="3" t="s">
        <v>942</v>
      </c>
      <c r="G339" s="3" t="str">
        <f>INDEX(Risk_Matrix!$B$2:$D$4,MATCH(E339,Risk_Matrix!$A$2:$A$4,0),MATCH(F339,Risk_Matrix!$B$1:$D$1,0))</f>
        <v>Low</v>
      </c>
      <c r="H339" s="10">
        <v>46139</v>
      </c>
      <c r="I339" s="3" t="s">
        <v>973</v>
      </c>
      <c r="J339" s="3" t="s">
        <v>974</v>
      </c>
      <c r="K339" s="3" t="s">
        <v>969</v>
      </c>
      <c r="L339" s="3">
        <f>IF(G339="High",3,IF(G339="Medium",2,1))</f>
        <v>1</v>
      </c>
    </row>
    <row r="340" spans="1:12">
      <c r="A340" s="3" t="s">
        <v>1333</v>
      </c>
      <c r="B340" s="3" t="s">
        <v>472</v>
      </c>
      <c r="C340" s="3" t="s">
        <v>965</v>
      </c>
      <c r="D340" s="3" t="s">
        <v>966</v>
      </c>
      <c r="E340" s="3" t="s">
        <v>42</v>
      </c>
      <c r="F340" s="3" t="s">
        <v>47</v>
      </c>
      <c r="G340" s="3" t="str">
        <f>INDEX(Risk_Matrix!$B$2:$D$4,MATCH(E340,Risk_Matrix!$A$2:$A$4,0),MATCH(F340,Risk_Matrix!$B$1:$D$1,0))</f>
        <v>Medium</v>
      </c>
      <c r="H340" s="10">
        <v>46072</v>
      </c>
      <c r="I340" s="3" t="s">
        <v>981</v>
      </c>
      <c r="J340" s="3" t="s">
        <v>982</v>
      </c>
      <c r="K340" s="3" t="s">
        <v>960</v>
      </c>
      <c r="L340" s="3">
        <f>IF(G340="High",3,IF(G340="Medium",2,1))</f>
        <v>2</v>
      </c>
    </row>
    <row r="341" spans="1:12">
      <c r="A341" s="3" t="s">
        <v>1334</v>
      </c>
      <c r="B341" s="3" t="s">
        <v>472</v>
      </c>
      <c r="C341" s="3" t="s">
        <v>971</v>
      </c>
      <c r="D341" s="3" t="s">
        <v>972</v>
      </c>
      <c r="E341" s="3" t="s">
        <v>42</v>
      </c>
      <c r="F341" s="3" t="s">
        <v>942</v>
      </c>
      <c r="G341" s="3" t="str">
        <f>INDEX(Risk_Matrix!$B$2:$D$4,MATCH(E341,Risk_Matrix!$A$2:$A$4,0),MATCH(F341,Risk_Matrix!$B$1:$D$1,0))</f>
        <v>High</v>
      </c>
      <c r="H341" s="10">
        <v>46158</v>
      </c>
      <c r="I341" s="3" t="s">
        <v>967</v>
      </c>
      <c r="J341" s="3" t="s">
        <v>968</v>
      </c>
      <c r="K341" s="3" t="s">
        <v>960</v>
      </c>
      <c r="L341" s="3">
        <f>IF(G341="High",3,IF(G341="Medium",2,1))</f>
        <v>3</v>
      </c>
    </row>
    <row r="342" spans="1:12">
      <c r="A342" s="3" t="s">
        <v>1335</v>
      </c>
      <c r="B342" s="3" t="s">
        <v>472</v>
      </c>
      <c r="C342" s="3" t="s">
        <v>976</v>
      </c>
      <c r="D342" s="3" t="s">
        <v>1002</v>
      </c>
      <c r="E342" s="3" t="s">
        <v>942</v>
      </c>
      <c r="F342" s="3" t="s">
        <v>47</v>
      </c>
      <c r="G342" s="3" t="str">
        <f>INDEX(Risk_Matrix!$B$2:$D$4,MATCH(E342,Risk_Matrix!$A$2:$A$4,0),MATCH(F342,Risk_Matrix!$B$1:$D$1,0))</f>
        <v>Low</v>
      </c>
      <c r="H342" s="10">
        <v>46121</v>
      </c>
      <c r="I342" s="3" t="s">
        <v>967</v>
      </c>
      <c r="J342" s="3" t="s">
        <v>968</v>
      </c>
      <c r="K342" s="3" t="s">
        <v>1000</v>
      </c>
      <c r="L342" s="3">
        <f>IF(G342="High",3,IF(G342="Medium",2,1))</f>
        <v>1</v>
      </c>
    </row>
    <row r="343" spans="1:12">
      <c r="A343" s="3" t="s">
        <v>1336</v>
      </c>
      <c r="B343" s="3" t="s">
        <v>472</v>
      </c>
      <c r="C343" s="3" t="s">
        <v>979</v>
      </c>
      <c r="D343" s="3" t="s">
        <v>980</v>
      </c>
      <c r="E343" s="3" t="s">
        <v>47</v>
      </c>
      <c r="F343" s="3" t="s">
        <v>47</v>
      </c>
      <c r="G343" s="3" t="str">
        <f>INDEX(Risk_Matrix!$B$2:$D$4,MATCH(E343,Risk_Matrix!$A$2:$A$4,0),MATCH(F343,Risk_Matrix!$B$1:$D$1,0))</f>
        <v>Low</v>
      </c>
      <c r="H343" s="10">
        <v>46153</v>
      </c>
      <c r="I343" s="3" t="s">
        <v>967</v>
      </c>
      <c r="J343" s="3" t="s">
        <v>968</v>
      </c>
      <c r="K343" s="3" t="s">
        <v>960</v>
      </c>
      <c r="L343" s="3">
        <f>IF(G343="High",3,IF(G343="Medium",2,1))</f>
        <v>1</v>
      </c>
    </row>
    <row r="344" spans="1:12">
      <c r="A344" s="3" t="s">
        <v>1337</v>
      </c>
      <c r="B344" s="3" t="s">
        <v>474</v>
      </c>
      <c r="C344" s="3" t="s">
        <v>956</v>
      </c>
      <c r="D344" s="3" t="s">
        <v>1012</v>
      </c>
      <c r="E344" s="3" t="s">
        <v>942</v>
      </c>
      <c r="F344" s="3" t="s">
        <v>47</v>
      </c>
      <c r="G344" s="3" t="str">
        <f>INDEX(Risk_Matrix!$B$2:$D$4,MATCH(E344,Risk_Matrix!$A$2:$A$4,0),MATCH(F344,Risk_Matrix!$B$1:$D$1,0))</f>
        <v>Low</v>
      </c>
      <c r="H344" s="10">
        <v>46148</v>
      </c>
      <c r="I344" s="3" t="s">
        <v>967</v>
      </c>
      <c r="J344" s="3" t="s">
        <v>968</v>
      </c>
      <c r="K344" s="3" t="s">
        <v>969</v>
      </c>
      <c r="L344" s="3">
        <f>IF(G344="High",3,IF(G344="Medium",2,1))</f>
        <v>1</v>
      </c>
    </row>
    <row r="345" spans="1:12">
      <c r="A345" s="3" t="s">
        <v>1338</v>
      </c>
      <c r="B345" s="3" t="s">
        <v>474</v>
      </c>
      <c r="C345" s="3" t="s">
        <v>962</v>
      </c>
      <c r="D345" s="3" t="s">
        <v>1037</v>
      </c>
      <c r="E345" s="3" t="s">
        <v>42</v>
      </c>
      <c r="F345" s="3" t="s">
        <v>42</v>
      </c>
      <c r="G345" s="3" t="str">
        <f>INDEX(Risk_Matrix!$B$2:$D$4,MATCH(E345,Risk_Matrix!$A$2:$A$4,0),MATCH(F345,Risk_Matrix!$B$1:$D$1,0))</f>
        <v>High</v>
      </c>
      <c r="H345" s="10">
        <v>46223</v>
      </c>
      <c r="I345" s="3" t="s">
        <v>973</v>
      </c>
      <c r="J345" s="3" t="s">
        <v>974</v>
      </c>
      <c r="K345" s="3" t="s">
        <v>969</v>
      </c>
      <c r="L345" s="3">
        <f>IF(G345="High",3,IF(G345="Medium",2,1))</f>
        <v>3</v>
      </c>
    </row>
    <row r="346" spans="1:12">
      <c r="A346" s="3" t="s">
        <v>1339</v>
      </c>
      <c r="B346" s="3" t="s">
        <v>474</v>
      </c>
      <c r="C346" s="3" t="s">
        <v>965</v>
      </c>
      <c r="D346" s="3" t="s">
        <v>988</v>
      </c>
      <c r="E346" s="3" t="s">
        <v>42</v>
      </c>
      <c r="F346" s="3" t="s">
        <v>942</v>
      </c>
      <c r="G346" s="3" t="str">
        <f>INDEX(Risk_Matrix!$B$2:$D$4,MATCH(E346,Risk_Matrix!$A$2:$A$4,0),MATCH(F346,Risk_Matrix!$B$1:$D$1,0))</f>
        <v>High</v>
      </c>
      <c r="H346" s="10">
        <v>46096</v>
      </c>
      <c r="I346" s="3" t="s">
        <v>973</v>
      </c>
      <c r="J346" s="3" t="s">
        <v>974</v>
      </c>
      <c r="K346" s="3" t="s">
        <v>969</v>
      </c>
      <c r="L346" s="3">
        <f>IF(G346="High",3,IF(G346="Medium",2,1))</f>
        <v>3</v>
      </c>
    </row>
    <row r="347" spans="1:12">
      <c r="A347" s="3" t="s">
        <v>1340</v>
      </c>
      <c r="B347" s="3" t="s">
        <v>474</v>
      </c>
      <c r="C347" s="3" t="s">
        <v>971</v>
      </c>
      <c r="D347" s="3" t="s">
        <v>972</v>
      </c>
      <c r="E347" s="3" t="s">
        <v>47</v>
      </c>
      <c r="F347" s="3" t="s">
        <v>42</v>
      </c>
      <c r="G347" s="3" t="str">
        <f>INDEX(Risk_Matrix!$B$2:$D$4,MATCH(E347,Risk_Matrix!$A$2:$A$4,0),MATCH(F347,Risk_Matrix!$B$1:$D$1,0))</f>
        <v>Medium</v>
      </c>
      <c r="H347" s="10">
        <v>46216</v>
      </c>
      <c r="I347" s="3" t="s">
        <v>967</v>
      </c>
      <c r="J347" s="3" t="s">
        <v>968</v>
      </c>
      <c r="K347" s="3" t="s">
        <v>960</v>
      </c>
      <c r="L347" s="3">
        <f>IF(G347="High",3,IF(G347="Medium",2,1))</f>
        <v>2</v>
      </c>
    </row>
    <row r="348" spans="1:12">
      <c r="A348" s="3" t="s">
        <v>1341</v>
      </c>
      <c r="B348" s="3" t="s">
        <v>474</v>
      </c>
      <c r="C348" s="3" t="s">
        <v>976</v>
      </c>
      <c r="D348" s="3" t="s">
        <v>1002</v>
      </c>
      <c r="E348" s="3" t="s">
        <v>42</v>
      </c>
      <c r="F348" s="3" t="s">
        <v>942</v>
      </c>
      <c r="G348" s="3" t="str">
        <f>INDEX(Risk_Matrix!$B$2:$D$4,MATCH(E348,Risk_Matrix!$A$2:$A$4,0),MATCH(F348,Risk_Matrix!$B$1:$D$1,0))</f>
        <v>High</v>
      </c>
      <c r="H348" s="10">
        <v>46180</v>
      </c>
      <c r="I348" s="3" t="s">
        <v>967</v>
      </c>
      <c r="J348" s="3" t="s">
        <v>968</v>
      </c>
      <c r="K348" s="3" t="s">
        <v>960</v>
      </c>
      <c r="L348" s="3">
        <f>IF(G348="High",3,IF(G348="Medium",2,1))</f>
        <v>3</v>
      </c>
    </row>
    <row r="349" spans="1:12">
      <c r="A349" s="3" t="s">
        <v>1342</v>
      </c>
      <c r="B349" s="3" t="s">
        <v>474</v>
      </c>
      <c r="C349" s="3" t="s">
        <v>979</v>
      </c>
      <c r="D349" s="3" t="s">
        <v>1004</v>
      </c>
      <c r="E349" s="3" t="s">
        <v>942</v>
      </c>
      <c r="F349" s="3" t="s">
        <v>47</v>
      </c>
      <c r="G349" s="3" t="str">
        <f>INDEX(Risk_Matrix!$B$2:$D$4,MATCH(E349,Risk_Matrix!$A$2:$A$4,0),MATCH(F349,Risk_Matrix!$B$1:$D$1,0))</f>
        <v>Low</v>
      </c>
      <c r="H349" s="10">
        <v>46084</v>
      </c>
      <c r="I349" s="3" t="s">
        <v>973</v>
      </c>
      <c r="J349" s="3" t="s">
        <v>974</v>
      </c>
      <c r="K349" s="3" t="s">
        <v>969</v>
      </c>
      <c r="L349" s="3">
        <f>IF(G349="High",3,IF(G349="Medium",2,1))</f>
        <v>1</v>
      </c>
    </row>
    <row r="350" spans="1:12">
      <c r="A350" s="3" t="s">
        <v>1343</v>
      </c>
      <c r="B350" s="3" t="s">
        <v>476</v>
      </c>
      <c r="C350" s="3" t="s">
        <v>956</v>
      </c>
      <c r="D350" s="3" t="s">
        <v>1012</v>
      </c>
      <c r="E350" s="3" t="s">
        <v>942</v>
      </c>
      <c r="F350" s="3" t="s">
        <v>47</v>
      </c>
      <c r="G350" s="3" t="str">
        <f>INDEX(Risk_Matrix!$B$2:$D$4,MATCH(E350,Risk_Matrix!$A$2:$A$4,0),MATCH(F350,Risk_Matrix!$B$1:$D$1,0))</f>
        <v>Low</v>
      </c>
      <c r="H350" s="10">
        <v>46100</v>
      </c>
      <c r="I350" s="3" t="s">
        <v>973</v>
      </c>
      <c r="J350" s="3" t="s">
        <v>974</v>
      </c>
      <c r="K350" s="3" t="s">
        <v>983</v>
      </c>
      <c r="L350" s="3">
        <f>IF(G350="High",3,IF(G350="Medium",2,1))</f>
        <v>1</v>
      </c>
    </row>
    <row r="351" spans="1:12">
      <c r="A351" s="3" t="s">
        <v>1344</v>
      </c>
      <c r="B351" s="3" t="s">
        <v>476</v>
      </c>
      <c r="C351" s="3" t="s">
        <v>962</v>
      </c>
      <c r="D351" s="3" t="s">
        <v>1037</v>
      </c>
      <c r="E351" s="3" t="s">
        <v>47</v>
      </c>
      <c r="F351" s="3" t="s">
        <v>942</v>
      </c>
      <c r="G351" s="3" t="str">
        <f>INDEX(Risk_Matrix!$B$2:$D$4,MATCH(E351,Risk_Matrix!$A$2:$A$4,0),MATCH(F351,Risk_Matrix!$B$1:$D$1,0))</f>
        <v>Low</v>
      </c>
      <c r="H351" s="10">
        <v>46204</v>
      </c>
      <c r="I351" s="3" t="s">
        <v>967</v>
      </c>
      <c r="J351" s="3" t="s">
        <v>968</v>
      </c>
      <c r="K351" s="3" t="s">
        <v>960</v>
      </c>
      <c r="L351" s="3">
        <f>IF(G351="High",3,IF(G351="Medium",2,1))</f>
        <v>1</v>
      </c>
    </row>
    <row r="352" spans="1:12">
      <c r="A352" s="3" t="s">
        <v>1345</v>
      </c>
      <c r="B352" s="3" t="s">
        <v>476</v>
      </c>
      <c r="C352" s="3" t="s">
        <v>965</v>
      </c>
      <c r="D352" s="3" t="s">
        <v>1039</v>
      </c>
      <c r="E352" s="3" t="s">
        <v>942</v>
      </c>
      <c r="F352" s="3" t="s">
        <v>942</v>
      </c>
      <c r="G352" s="3" t="str">
        <f>INDEX(Risk_Matrix!$B$2:$D$4,MATCH(E352,Risk_Matrix!$A$2:$A$4,0),MATCH(F352,Risk_Matrix!$B$1:$D$1,0))</f>
        <v>Medium</v>
      </c>
      <c r="H352" s="10">
        <v>46221</v>
      </c>
      <c r="I352" s="3" t="s">
        <v>973</v>
      </c>
      <c r="J352" s="3" t="s">
        <v>974</v>
      </c>
      <c r="K352" s="3" t="s">
        <v>1000</v>
      </c>
      <c r="L352" s="3">
        <f>IF(G352="High",3,IF(G352="Medium",2,1))</f>
        <v>2</v>
      </c>
    </row>
    <row r="353" spans="1:12">
      <c r="A353" s="3" t="s">
        <v>1346</v>
      </c>
      <c r="B353" s="3" t="s">
        <v>476</v>
      </c>
      <c r="C353" s="3" t="s">
        <v>971</v>
      </c>
      <c r="D353" s="3" t="s">
        <v>1016</v>
      </c>
      <c r="E353" s="3" t="s">
        <v>42</v>
      </c>
      <c r="F353" s="3" t="s">
        <v>47</v>
      </c>
      <c r="G353" s="3" t="str">
        <f>INDEX(Risk_Matrix!$B$2:$D$4,MATCH(E353,Risk_Matrix!$A$2:$A$4,0),MATCH(F353,Risk_Matrix!$B$1:$D$1,0))</f>
        <v>Medium</v>
      </c>
      <c r="H353" s="10">
        <v>46201</v>
      </c>
      <c r="I353" s="3" t="s">
        <v>973</v>
      </c>
      <c r="J353" s="3" t="s">
        <v>974</v>
      </c>
      <c r="K353" s="3" t="s">
        <v>993</v>
      </c>
      <c r="L353" s="3">
        <f>IF(G353="High",3,IF(G353="Medium",2,1))</f>
        <v>2</v>
      </c>
    </row>
    <row r="354" spans="1:12">
      <c r="A354" s="3" t="s">
        <v>1347</v>
      </c>
      <c r="B354" s="3" t="s">
        <v>476</v>
      </c>
      <c r="C354" s="3" t="s">
        <v>976</v>
      </c>
      <c r="D354" s="3" t="s">
        <v>991</v>
      </c>
      <c r="E354" s="3" t="s">
        <v>42</v>
      </c>
      <c r="F354" s="3" t="s">
        <v>47</v>
      </c>
      <c r="G354" s="3" t="str">
        <f>INDEX(Risk_Matrix!$B$2:$D$4,MATCH(E354,Risk_Matrix!$A$2:$A$4,0),MATCH(F354,Risk_Matrix!$B$1:$D$1,0))</f>
        <v>Medium</v>
      </c>
      <c r="H354" s="10">
        <v>46125</v>
      </c>
      <c r="I354" s="3" t="s">
        <v>967</v>
      </c>
      <c r="J354" s="3" t="s">
        <v>968</v>
      </c>
      <c r="K354" s="3" t="s">
        <v>969</v>
      </c>
      <c r="L354" s="3">
        <f>IF(G354="High",3,IF(G354="Medium",2,1))</f>
        <v>2</v>
      </c>
    </row>
    <row r="355" spans="1:12">
      <c r="A355" s="3" t="s">
        <v>1348</v>
      </c>
      <c r="B355" s="3" t="s">
        <v>476</v>
      </c>
      <c r="C355" s="3" t="s">
        <v>979</v>
      </c>
      <c r="D355" s="3" t="s">
        <v>1004</v>
      </c>
      <c r="E355" s="3" t="s">
        <v>942</v>
      </c>
      <c r="F355" s="3" t="s">
        <v>47</v>
      </c>
      <c r="G355" s="3" t="str">
        <f>INDEX(Risk_Matrix!$B$2:$D$4,MATCH(E355,Risk_Matrix!$A$2:$A$4,0),MATCH(F355,Risk_Matrix!$B$1:$D$1,0))</f>
        <v>Low</v>
      </c>
      <c r="H355" s="10">
        <v>46082</v>
      </c>
      <c r="I355" s="3" t="s">
        <v>973</v>
      </c>
      <c r="J355" s="3" t="s">
        <v>974</v>
      </c>
      <c r="K355" s="3" t="s">
        <v>1000</v>
      </c>
      <c r="L355" s="3">
        <f>IF(G355="High",3,IF(G355="Medium",2,1))</f>
        <v>1</v>
      </c>
    </row>
    <row r="356" spans="1:12">
      <c r="A356" s="3" t="s">
        <v>1349</v>
      </c>
      <c r="B356" s="3" t="s">
        <v>478</v>
      </c>
      <c r="C356" s="3" t="s">
        <v>956</v>
      </c>
      <c r="D356" s="3" t="s">
        <v>995</v>
      </c>
      <c r="E356" s="3" t="s">
        <v>942</v>
      </c>
      <c r="F356" s="3" t="s">
        <v>942</v>
      </c>
      <c r="G356" s="3" t="str">
        <f>INDEX(Risk_Matrix!$B$2:$D$4,MATCH(E356,Risk_Matrix!$A$2:$A$4,0),MATCH(F356,Risk_Matrix!$B$1:$D$1,0))</f>
        <v>Medium</v>
      </c>
      <c r="H356" s="10">
        <v>46179</v>
      </c>
      <c r="I356" s="3" t="s">
        <v>967</v>
      </c>
      <c r="J356" s="3" t="s">
        <v>968</v>
      </c>
      <c r="K356" s="3" t="s">
        <v>993</v>
      </c>
      <c r="L356" s="3">
        <f>IF(G356="High",3,IF(G356="Medium",2,1))</f>
        <v>2</v>
      </c>
    </row>
    <row r="357" spans="1:12">
      <c r="A357" s="3" t="s">
        <v>1350</v>
      </c>
      <c r="B357" s="3" t="s">
        <v>478</v>
      </c>
      <c r="C357" s="3" t="s">
        <v>962</v>
      </c>
      <c r="D357" s="3" t="s">
        <v>986</v>
      </c>
      <c r="E357" s="3" t="s">
        <v>47</v>
      </c>
      <c r="F357" s="3" t="s">
        <v>942</v>
      </c>
      <c r="G357" s="3" t="str">
        <f>INDEX(Risk_Matrix!$B$2:$D$4,MATCH(E357,Risk_Matrix!$A$2:$A$4,0),MATCH(F357,Risk_Matrix!$B$1:$D$1,0))</f>
        <v>Low</v>
      </c>
      <c r="H357" s="10">
        <v>46084</v>
      </c>
      <c r="I357" s="3" t="s">
        <v>973</v>
      </c>
      <c r="J357" s="3" t="s">
        <v>974</v>
      </c>
      <c r="K357" s="3" t="s">
        <v>960</v>
      </c>
      <c r="L357" s="3">
        <f>IF(G357="High",3,IF(G357="Medium",2,1))</f>
        <v>1</v>
      </c>
    </row>
    <row r="358" spans="1:12">
      <c r="A358" s="3" t="s">
        <v>1351</v>
      </c>
      <c r="B358" s="3" t="s">
        <v>478</v>
      </c>
      <c r="C358" s="3" t="s">
        <v>965</v>
      </c>
      <c r="D358" s="3" t="s">
        <v>966</v>
      </c>
      <c r="E358" s="3" t="s">
        <v>47</v>
      </c>
      <c r="F358" s="3" t="s">
        <v>47</v>
      </c>
      <c r="G358" s="3" t="str">
        <f>INDEX(Risk_Matrix!$B$2:$D$4,MATCH(E358,Risk_Matrix!$A$2:$A$4,0),MATCH(F358,Risk_Matrix!$B$1:$D$1,0))</f>
        <v>Low</v>
      </c>
      <c r="H358" s="10">
        <v>46197</v>
      </c>
      <c r="I358" s="3" t="s">
        <v>967</v>
      </c>
      <c r="J358" s="3" t="s">
        <v>968</v>
      </c>
      <c r="K358" s="3" t="s">
        <v>983</v>
      </c>
      <c r="L358" s="3">
        <f>IF(G358="High",3,IF(G358="Medium",2,1))</f>
        <v>1</v>
      </c>
    </row>
    <row r="359" spans="1:12">
      <c r="A359" s="3" t="s">
        <v>1352</v>
      </c>
      <c r="B359" s="3" t="s">
        <v>478</v>
      </c>
      <c r="C359" s="3" t="s">
        <v>971</v>
      </c>
      <c r="D359" s="3" t="s">
        <v>972</v>
      </c>
      <c r="E359" s="3" t="s">
        <v>47</v>
      </c>
      <c r="F359" s="3" t="s">
        <v>942</v>
      </c>
      <c r="G359" s="3" t="str">
        <f>INDEX(Risk_Matrix!$B$2:$D$4,MATCH(E359,Risk_Matrix!$A$2:$A$4,0),MATCH(F359,Risk_Matrix!$B$1:$D$1,0))</f>
        <v>Low</v>
      </c>
      <c r="H359" s="10">
        <v>46169</v>
      </c>
      <c r="I359" s="3" t="s">
        <v>973</v>
      </c>
      <c r="J359" s="3" t="s">
        <v>974</v>
      </c>
      <c r="K359" s="3" t="s">
        <v>960</v>
      </c>
      <c r="L359" s="3">
        <f>IF(G359="High",3,IF(G359="Medium",2,1))</f>
        <v>1</v>
      </c>
    </row>
    <row r="360" spans="1:12">
      <c r="A360" s="3" t="s">
        <v>1353</v>
      </c>
      <c r="B360" s="3" t="s">
        <v>478</v>
      </c>
      <c r="C360" s="3" t="s">
        <v>976</v>
      </c>
      <c r="D360" s="3" t="s">
        <v>977</v>
      </c>
      <c r="E360" s="3" t="s">
        <v>942</v>
      </c>
      <c r="F360" s="3" t="s">
        <v>42</v>
      </c>
      <c r="G360" s="3" t="str">
        <f>INDEX(Risk_Matrix!$B$2:$D$4,MATCH(E360,Risk_Matrix!$A$2:$A$4,0),MATCH(F360,Risk_Matrix!$B$1:$D$1,0))</f>
        <v>High</v>
      </c>
      <c r="H360" s="10">
        <v>46222</v>
      </c>
      <c r="I360" s="3" t="s">
        <v>981</v>
      </c>
      <c r="J360" s="3" t="s">
        <v>982</v>
      </c>
      <c r="K360" s="3" t="s">
        <v>983</v>
      </c>
      <c r="L360" s="3">
        <f>IF(G360="High",3,IF(G360="Medium",2,1))</f>
        <v>3</v>
      </c>
    </row>
    <row r="361" spans="1:12">
      <c r="A361" s="3" t="s">
        <v>1354</v>
      </c>
      <c r="B361" s="3" t="s">
        <v>478</v>
      </c>
      <c r="C361" s="3" t="s">
        <v>979</v>
      </c>
      <c r="D361" s="3" t="s">
        <v>1028</v>
      </c>
      <c r="E361" s="3" t="s">
        <v>42</v>
      </c>
      <c r="F361" s="3" t="s">
        <v>47</v>
      </c>
      <c r="G361" s="3" t="str">
        <f>INDEX(Risk_Matrix!$B$2:$D$4,MATCH(E361,Risk_Matrix!$A$2:$A$4,0),MATCH(F361,Risk_Matrix!$B$1:$D$1,0))</f>
        <v>Medium</v>
      </c>
      <c r="H361" s="10">
        <v>46121</v>
      </c>
      <c r="I361" s="3" t="s">
        <v>973</v>
      </c>
      <c r="J361" s="3" t="s">
        <v>974</v>
      </c>
      <c r="K361" s="3" t="s">
        <v>983</v>
      </c>
      <c r="L361" s="3">
        <f>IF(G361="High",3,IF(G361="Medium",2,1))</f>
        <v>2</v>
      </c>
    </row>
    <row r="362" spans="1:12">
      <c r="A362" s="3" t="s">
        <v>1355</v>
      </c>
      <c r="B362" s="3" t="s">
        <v>480</v>
      </c>
      <c r="C362" s="3" t="s">
        <v>956</v>
      </c>
      <c r="D362" s="3" t="s">
        <v>1012</v>
      </c>
      <c r="E362" s="3" t="s">
        <v>47</v>
      </c>
      <c r="F362" s="3" t="s">
        <v>47</v>
      </c>
      <c r="G362" s="3" t="str">
        <f>INDEX(Risk_Matrix!$B$2:$D$4,MATCH(E362,Risk_Matrix!$A$2:$A$4,0),MATCH(F362,Risk_Matrix!$B$1:$D$1,0))</f>
        <v>Low</v>
      </c>
      <c r="H362" s="10">
        <v>46141</v>
      </c>
      <c r="I362" s="3" t="s">
        <v>967</v>
      </c>
      <c r="J362" s="3" t="s">
        <v>968</v>
      </c>
      <c r="K362" s="3" t="s">
        <v>969</v>
      </c>
      <c r="L362" s="3">
        <f>IF(G362="High",3,IF(G362="Medium",2,1))</f>
        <v>1</v>
      </c>
    </row>
    <row r="363" spans="1:12">
      <c r="A363" s="3" t="s">
        <v>1356</v>
      </c>
      <c r="B363" s="3" t="s">
        <v>480</v>
      </c>
      <c r="C363" s="3" t="s">
        <v>962</v>
      </c>
      <c r="D363" s="3" t="s">
        <v>997</v>
      </c>
      <c r="E363" s="3" t="s">
        <v>942</v>
      </c>
      <c r="F363" s="3" t="s">
        <v>942</v>
      </c>
      <c r="G363" s="3" t="str">
        <f>INDEX(Risk_Matrix!$B$2:$D$4,MATCH(E363,Risk_Matrix!$A$2:$A$4,0),MATCH(F363,Risk_Matrix!$B$1:$D$1,0))</f>
        <v>Medium</v>
      </c>
      <c r="H363" s="10">
        <v>46104</v>
      </c>
      <c r="I363" s="3" t="s">
        <v>967</v>
      </c>
      <c r="J363" s="3" t="s">
        <v>968</v>
      </c>
      <c r="K363" s="3" t="s">
        <v>993</v>
      </c>
      <c r="L363" s="3">
        <f>IF(G363="High",3,IF(G363="Medium",2,1))</f>
        <v>2</v>
      </c>
    </row>
    <row r="364" spans="1:12">
      <c r="A364" s="3" t="s">
        <v>1357</v>
      </c>
      <c r="B364" s="3" t="s">
        <v>480</v>
      </c>
      <c r="C364" s="3" t="s">
        <v>965</v>
      </c>
      <c r="D364" s="3" t="s">
        <v>1023</v>
      </c>
      <c r="E364" s="3" t="s">
        <v>47</v>
      </c>
      <c r="F364" s="3" t="s">
        <v>942</v>
      </c>
      <c r="G364" s="3" t="str">
        <f>INDEX(Risk_Matrix!$B$2:$D$4,MATCH(E364,Risk_Matrix!$A$2:$A$4,0),MATCH(F364,Risk_Matrix!$B$1:$D$1,0))</f>
        <v>Low</v>
      </c>
      <c r="H364" s="10">
        <v>46176</v>
      </c>
      <c r="I364" s="3" t="s">
        <v>973</v>
      </c>
      <c r="J364" s="3" t="s">
        <v>974</v>
      </c>
      <c r="K364" s="3" t="s">
        <v>1000</v>
      </c>
      <c r="L364" s="3">
        <f>IF(G364="High",3,IF(G364="Medium",2,1))</f>
        <v>1</v>
      </c>
    </row>
    <row r="365" spans="1:12">
      <c r="A365" s="3" t="s">
        <v>1358</v>
      </c>
      <c r="B365" s="3" t="s">
        <v>480</v>
      </c>
      <c r="C365" s="3" t="s">
        <v>971</v>
      </c>
      <c r="D365" s="3" t="s">
        <v>1016</v>
      </c>
      <c r="E365" s="3" t="s">
        <v>47</v>
      </c>
      <c r="F365" s="3" t="s">
        <v>942</v>
      </c>
      <c r="G365" s="3" t="str">
        <f>INDEX(Risk_Matrix!$B$2:$D$4,MATCH(E365,Risk_Matrix!$A$2:$A$4,0),MATCH(F365,Risk_Matrix!$B$1:$D$1,0))</f>
        <v>Low</v>
      </c>
      <c r="H365" s="10">
        <v>46106</v>
      </c>
      <c r="I365" s="3" t="s">
        <v>967</v>
      </c>
      <c r="J365" s="3" t="s">
        <v>968</v>
      </c>
      <c r="K365" s="3" t="s">
        <v>993</v>
      </c>
      <c r="L365" s="3">
        <f>IF(G365="High",3,IF(G365="Medium",2,1))</f>
        <v>1</v>
      </c>
    </row>
    <row r="366" spans="1:12">
      <c r="A366" s="3" t="s">
        <v>1359</v>
      </c>
      <c r="B366" s="3" t="s">
        <v>480</v>
      </c>
      <c r="C366" s="3" t="s">
        <v>976</v>
      </c>
      <c r="D366" s="3" t="s">
        <v>977</v>
      </c>
      <c r="E366" s="3" t="s">
        <v>47</v>
      </c>
      <c r="F366" s="3" t="s">
        <v>47</v>
      </c>
      <c r="G366" s="3" t="str">
        <f>INDEX(Risk_Matrix!$B$2:$D$4,MATCH(E366,Risk_Matrix!$A$2:$A$4,0),MATCH(F366,Risk_Matrix!$B$1:$D$1,0))</f>
        <v>Low</v>
      </c>
      <c r="H366" s="10">
        <v>46165</v>
      </c>
      <c r="I366" s="3" t="s">
        <v>973</v>
      </c>
      <c r="J366" s="3" t="s">
        <v>974</v>
      </c>
      <c r="K366" s="3" t="s">
        <v>960</v>
      </c>
      <c r="L366" s="3">
        <f>IF(G366="High",3,IF(G366="Medium",2,1))</f>
        <v>1</v>
      </c>
    </row>
    <row r="367" spans="1:12">
      <c r="A367" s="3" t="s">
        <v>1360</v>
      </c>
      <c r="B367" s="3" t="s">
        <v>480</v>
      </c>
      <c r="C367" s="3" t="s">
        <v>979</v>
      </c>
      <c r="D367" s="3" t="s">
        <v>1004</v>
      </c>
      <c r="E367" s="3" t="s">
        <v>47</v>
      </c>
      <c r="F367" s="3" t="s">
        <v>942</v>
      </c>
      <c r="G367" s="3" t="str">
        <f>INDEX(Risk_Matrix!$B$2:$D$4,MATCH(E367,Risk_Matrix!$A$2:$A$4,0),MATCH(F367,Risk_Matrix!$B$1:$D$1,0))</f>
        <v>Low</v>
      </c>
      <c r="H367" s="10">
        <v>46106</v>
      </c>
      <c r="I367" s="3" t="s">
        <v>973</v>
      </c>
      <c r="J367" s="3" t="s">
        <v>974</v>
      </c>
      <c r="K367" s="3" t="s">
        <v>983</v>
      </c>
      <c r="L367" s="3">
        <f>IF(G367="High",3,IF(G367="Medium",2,1))</f>
        <v>1</v>
      </c>
    </row>
    <row r="368" spans="1:12">
      <c r="A368" s="3" t="s">
        <v>1361</v>
      </c>
      <c r="B368" s="3" t="s">
        <v>482</v>
      </c>
      <c r="C368" s="3" t="s">
        <v>956</v>
      </c>
      <c r="D368" s="3" t="s">
        <v>1012</v>
      </c>
      <c r="E368" s="3" t="s">
        <v>942</v>
      </c>
      <c r="F368" s="3" t="s">
        <v>47</v>
      </c>
      <c r="G368" s="3" t="str">
        <f>INDEX(Risk_Matrix!$B$2:$D$4,MATCH(E368,Risk_Matrix!$A$2:$A$4,0),MATCH(F368,Risk_Matrix!$B$1:$D$1,0))</f>
        <v>Low</v>
      </c>
      <c r="H368" s="10">
        <v>46210</v>
      </c>
      <c r="I368" s="3" t="s">
        <v>967</v>
      </c>
      <c r="J368" s="3" t="s">
        <v>968</v>
      </c>
      <c r="K368" s="3" t="s">
        <v>983</v>
      </c>
      <c r="L368" s="3">
        <f>IF(G368="High",3,IF(G368="Medium",2,1))</f>
        <v>1</v>
      </c>
    </row>
    <row r="369" spans="1:12">
      <c r="A369" s="3" t="s">
        <v>1362</v>
      </c>
      <c r="B369" s="3" t="s">
        <v>482</v>
      </c>
      <c r="C369" s="3" t="s">
        <v>962</v>
      </c>
      <c r="D369" s="3" t="s">
        <v>1037</v>
      </c>
      <c r="E369" s="3" t="s">
        <v>47</v>
      </c>
      <c r="F369" s="3" t="s">
        <v>47</v>
      </c>
      <c r="G369" s="3" t="str">
        <f>INDEX(Risk_Matrix!$B$2:$D$4,MATCH(E369,Risk_Matrix!$A$2:$A$4,0),MATCH(F369,Risk_Matrix!$B$1:$D$1,0))</f>
        <v>Low</v>
      </c>
      <c r="H369" s="10">
        <v>46122</v>
      </c>
      <c r="I369" s="3" t="s">
        <v>973</v>
      </c>
      <c r="J369" s="3" t="s">
        <v>974</v>
      </c>
      <c r="K369" s="3" t="s">
        <v>1000</v>
      </c>
      <c r="L369" s="3">
        <f>IF(G369="High",3,IF(G369="Medium",2,1))</f>
        <v>1</v>
      </c>
    </row>
    <row r="370" spans="1:12">
      <c r="A370" s="3" t="s">
        <v>1363</v>
      </c>
      <c r="B370" s="3" t="s">
        <v>482</v>
      </c>
      <c r="C370" s="3" t="s">
        <v>965</v>
      </c>
      <c r="D370" s="3" t="s">
        <v>1039</v>
      </c>
      <c r="E370" s="3" t="s">
        <v>42</v>
      </c>
      <c r="F370" s="3" t="s">
        <v>47</v>
      </c>
      <c r="G370" s="3" t="str">
        <f>INDEX(Risk_Matrix!$B$2:$D$4,MATCH(E370,Risk_Matrix!$A$2:$A$4,0),MATCH(F370,Risk_Matrix!$B$1:$D$1,0))</f>
        <v>Medium</v>
      </c>
      <c r="H370" s="10">
        <v>46072</v>
      </c>
      <c r="I370" s="3" t="s">
        <v>973</v>
      </c>
      <c r="J370" s="3" t="s">
        <v>974</v>
      </c>
      <c r="K370" s="3" t="s">
        <v>983</v>
      </c>
      <c r="L370" s="3">
        <f>IF(G370="High",3,IF(G370="Medium",2,1))</f>
        <v>2</v>
      </c>
    </row>
    <row r="371" spans="1:12">
      <c r="A371" s="3" t="s">
        <v>1364</v>
      </c>
      <c r="B371" s="3" t="s">
        <v>482</v>
      </c>
      <c r="C371" s="3" t="s">
        <v>971</v>
      </c>
      <c r="D371" s="3" t="s">
        <v>1016</v>
      </c>
      <c r="E371" s="3" t="s">
        <v>942</v>
      </c>
      <c r="F371" s="3" t="s">
        <v>47</v>
      </c>
      <c r="G371" s="3" t="str">
        <f>INDEX(Risk_Matrix!$B$2:$D$4,MATCH(E371,Risk_Matrix!$A$2:$A$4,0),MATCH(F371,Risk_Matrix!$B$1:$D$1,0))</f>
        <v>Low</v>
      </c>
      <c r="H371" s="10">
        <v>46076</v>
      </c>
      <c r="I371" s="3" t="s">
        <v>967</v>
      </c>
      <c r="J371" s="3" t="s">
        <v>968</v>
      </c>
      <c r="K371" s="3" t="s">
        <v>969</v>
      </c>
      <c r="L371" s="3">
        <f>IF(G371="High",3,IF(G371="Medium",2,1))</f>
        <v>1</v>
      </c>
    </row>
    <row r="372" spans="1:12">
      <c r="A372" s="3" t="s">
        <v>1365</v>
      </c>
      <c r="B372" s="3" t="s">
        <v>482</v>
      </c>
      <c r="C372" s="3" t="s">
        <v>976</v>
      </c>
      <c r="D372" s="3" t="s">
        <v>977</v>
      </c>
      <c r="E372" s="3" t="s">
        <v>942</v>
      </c>
      <c r="F372" s="3" t="s">
        <v>47</v>
      </c>
      <c r="G372" s="3" t="str">
        <f>INDEX(Risk_Matrix!$B$2:$D$4,MATCH(E372,Risk_Matrix!$A$2:$A$4,0),MATCH(F372,Risk_Matrix!$B$1:$D$1,0))</f>
        <v>Low</v>
      </c>
      <c r="H372" s="10">
        <v>46108</v>
      </c>
      <c r="I372" s="3" t="s">
        <v>981</v>
      </c>
      <c r="J372" s="3" t="s">
        <v>982</v>
      </c>
      <c r="K372" s="3" t="s">
        <v>1000</v>
      </c>
      <c r="L372" s="3">
        <f>IF(G372="High",3,IF(G372="Medium",2,1))</f>
        <v>1</v>
      </c>
    </row>
    <row r="373" spans="1:12">
      <c r="A373" s="3" t="s">
        <v>1366</v>
      </c>
      <c r="B373" s="3" t="s">
        <v>482</v>
      </c>
      <c r="C373" s="3" t="s">
        <v>979</v>
      </c>
      <c r="D373" s="3" t="s">
        <v>1004</v>
      </c>
      <c r="E373" s="3" t="s">
        <v>47</v>
      </c>
      <c r="F373" s="3" t="s">
        <v>47</v>
      </c>
      <c r="G373" s="3" t="str">
        <f>INDEX(Risk_Matrix!$B$2:$D$4,MATCH(E373,Risk_Matrix!$A$2:$A$4,0),MATCH(F373,Risk_Matrix!$B$1:$D$1,0))</f>
        <v>Low</v>
      </c>
      <c r="H373" s="10">
        <v>46153</v>
      </c>
      <c r="I373" s="3" t="s">
        <v>981</v>
      </c>
      <c r="J373" s="3" t="s">
        <v>982</v>
      </c>
      <c r="K373" s="3" t="s">
        <v>1000</v>
      </c>
      <c r="L373" s="3">
        <f>IF(G373="High",3,IF(G373="Medium",2,1))</f>
        <v>1</v>
      </c>
    </row>
    <row r="374" spans="1:12">
      <c r="A374" s="3" t="s">
        <v>1367</v>
      </c>
      <c r="B374" s="3" t="s">
        <v>484</v>
      </c>
      <c r="C374" s="3" t="s">
        <v>956</v>
      </c>
      <c r="D374" s="3" t="s">
        <v>1020</v>
      </c>
      <c r="E374" s="3" t="s">
        <v>47</v>
      </c>
      <c r="F374" s="3" t="s">
        <v>47</v>
      </c>
      <c r="G374" s="3" t="str">
        <f>INDEX(Risk_Matrix!$B$2:$D$4,MATCH(E374,Risk_Matrix!$A$2:$A$4,0),MATCH(F374,Risk_Matrix!$B$1:$D$1,0))</f>
        <v>Low</v>
      </c>
      <c r="H374" s="10">
        <v>46225</v>
      </c>
      <c r="I374" s="3" t="s">
        <v>981</v>
      </c>
      <c r="J374" s="3" t="s">
        <v>982</v>
      </c>
      <c r="K374" s="3" t="s">
        <v>960</v>
      </c>
      <c r="L374" s="3">
        <f>IF(G374="High",3,IF(G374="Medium",2,1))</f>
        <v>1</v>
      </c>
    </row>
    <row r="375" spans="1:12">
      <c r="A375" s="3" t="s">
        <v>1368</v>
      </c>
      <c r="B375" s="3" t="s">
        <v>484</v>
      </c>
      <c r="C375" s="3" t="s">
        <v>962</v>
      </c>
      <c r="D375" s="3" t="s">
        <v>986</v>
      </c>
      <c r="E375" s="3" t="s">
        <v>47</v>
      </c>
      <c r="F375" s="3" t="s">
        <v>942</v>
      </c>
      <c r="G375" s="3" t="str">
        <f>INDEX(Risk_Matrix!$B$2:$D$4,MATCH(E375,Risk_Matrix!$A$2:$A$4,0),MATCH(F375,Risk_Matrix!$B$1:$D$1,0))</f>
        <v>Low</v>
      </c>
      <c r="H375" s="10">
        <v>46078</v>
      </c>
      <c r="I375" s="3" t="s">
        <v>967</v>
      </c>
      <c r="J375" s="3" t="s">
        <v>968</v>
      </c>
      <c r="K375" s="3" t="s">
        <v>983</v>
      </c>
      <c r="L375" s="3">
        <f>IF(G375="High",3,IF(G375="Medium",2,1))</f>
        <v>1</v>
      </c>
    </row>
    <row r="376" spans="1:12">
      <c r="A376" s="3" t="s">
        <v>1369</v>
      </c>
      <c r="B376" s="3" t="s">
        <v>484</v>
      </c>
      <c r="C376" s="3" t="s">
        <v>965</v>
      </c>
      <c r="D376" s="3" t="s">
        <v>1023</v>
      </c>
      <c r="E376" s="3" t="s">
        <v>42</v>
      </c>
      <c r="F376" s="3" t="s">
        <v>42</v>
      </c>
      <c r="G376" s="3" t="str">
        <f>INDEX(Risk_Matrix!$B$2:$D$4,MATCH(E376,Risk_Matrix!$A$2:$A$4,0),MATCH(F376,Risk_Matrix!$B$1:$D$1,0))</f>
        <v>High</v>
      </c>
      <c r="H376" s="10">
        <v>46174</v>
      </c>
      <c r="I376" s="3" t="s">
        <v>973</v>
      </c>
      <c r="J376" s="3" t="s">
        <v>974</v>
      </c>
      <c r="K376" s="3" t="s">
        <v>993</v>
      </c>
      <c r="L376" s="3">
        <f>IF(G376="High",3,IF(G376="Medium",2,1))</f>
        <v>3</v>
      </c>
    </row>
    <row r="377" spans="1:12">
      <c r="A377" s="3" t="s">
        <v>1370</v>
      </c>
      <c r="B377" s="3" t="s">
        <v>484</v>
      </c>
      <c r="C377" s="3" t="s">
        <v>971</v>
      </c>
      <c r="D377" s="3" t="s">
        <v>1025</v>
      </c>
      <c r="E377" s="3" t="s">
        <v>47</v>
      </c>
      <c r="F377" s="3" t="s">
        <v>47</v>
      </c>
      <c r="G377" s="3" t="str">
        <f>INDEX(Risk_Matrix!$B$2:$D$4,MATCH(E377,Risk_Matrix!$A$2:$A$4,0),MATCH(F377,Risk_Matrix!$B$1:$D$1,0))</f>
        <v>Low</v>
      </c>
      <c r="H377" s="10">
        <v>46083</v>
      </c>
      <c r="I377" s="3" t="s">
        <v>981</v>
      </c>
      <c r="J377" s="3" t="s">
        <v>982</v>
      </c>
      <c r="K377" s="3" t="s">
        <v>960</v>
      </c>
      <c r="L377" s="3">
        <f>IF(G377="High",3,IF(G377="Medium",2,1))</f>
        <v>1</v>
      </c>
    </row>
    <row r="378" spans="1:12">
      <c r="A378" s="3" t="s">
        <v>1371</v>
      </c>
      <c r="B378" s="3" t="s">
        <v>484</v>
      </c>
      <c r="C378" s="3" t="s">
        <v>976</v>
      </c>
      <c r="D378" s="3" t="s">
        <v>977</v>
      </c>
      <c r="E378" s="3" t="s">
        <v>47</v>
      </c>
      <c r="F378" s="3" t="s">
        <v>942</v>
      </c>
      <c r="G378" s="3" t="str">
        <f>INDEX(Risk_Matrix!$B$2:$D$4,MATCH(E378,Risk_Matrix!$A$2:$A$4,0),MATCH(F378,Risk_Matrix!$B$1:$D$1,0))</f>
        <v>Low</v>
      </c>
      <c r="H378" s="10">
        <v>46125</v>
      </c>
      <c r="I378" s="3" t="s">
        <v>967</v>
      </c>
      <c r="J378" s="3" t="s">
        <v>968</v>
      </c>
      <c r="K378" s="3" t="s">
        <v>993</v>
      </c>
      <c r="L378" s="3">
        <f>IF(G378="High",3,IF(G378="Medium",2,1))</f>
        <v>1</v>
      </c>
    </row>
    <row r="379" spans="1:12">
      <c r="A379" s="3" t="s">
        <v>1372</v>
      </c>
      <c r="B379" s="3" t="s">
        <v>484</v>
      </c>
      <c r="C379" s="3" t="s">
        <v>979</v>
      </c>
      <c r="D379" s="3" t="s">
        <v>980</v>
      </c>
      <c r="E379" s="3" t="s">
        <v>942</v>
      </c>
      <c r="F379" s="3" t="s">
        <v>47</v>
      </c>
      <c r="G379" s="3" t="str">
        <f>INDEX(Risk_Matrix!$B$2:$D$4,MATCH(E379,Risk_Matrix!$A$2:$A$4,0),MATCH(F379,Risk_Matrix!$B$1:$D$1,0))</f>
        <v>Low</v>
      </c>
      <c r="H379" s="10">
        <v>46080</v>
      </c>
      <c r="I379" s="3" t="s">
        <v>967</v>
      </c>
      <c r="J379" s="3" t="s">
        <v>968</v>
      </c>
      <c r="K379" s="3" t="s">
        <v>1000</v>
      </c>
      <c r="L379" s="3">
        <f>IF(G379="High",3,IF(G379="Medium",2,1))</f>
        <v>1</v>
      </c>
    </row>
    <row r="380" spans="1:12">
      <c r="A380" s="3" t="s">
        <v>1373</v>
      </c>
      <c r="B380" s="3" t="s">
        <v>486</v>
      </c>
      <c r="C380" s="3" t="s">
        <v>956</v>
      </c>
      <c r="D380" s="3" t="s">
        <v>1020</v>
      </c>
      <c r="E380" s="3" t="s">
        <v>47</v>
      </c>
      <c r="F380" s="3" t="s">
        <v>47</v>
      </c>
      <c r="G380" s="3" t="str">
        <f>INDEX(Risk_Matrix!$B$2:$D$4,MATCH(E380,Risk_Matrix!$A$2:$A$4,0),MATCH(F380,Risk_Matrix!$B$1:$D$1,0))</f>
        <v>Low</v>
      </c>
      <c r="H380" s="10">
        <v>46229</v>
      </c>
      <c r="I380" s="3" t="s">
        <v>967</v>
      </c>
      <c r="J380" s="3" t="s">
        <v>968</v>
      </c>
      <c r="K380" s="3" t="s">
        <v>983</v>
      </c>
      <c r="L380" s="3">
        <f>IF(G380="High",3,IF(G380="Medium",2,1))</f>
        <v>1</v>
      </c>
    </row>
    <row r="381" spans="1:12">
      <c r="A381" s="3" t="s">
        <v>1374</v>
      </c>
      <c r="B381" s="3" t="s">
        <v>486</v>
      </c>
      <c r="C381" s="3" t="s">
        <v>962</v>
      </c>
      <c r="D381" s="3" t="s">
        <v>963</v>
      </c>
      <c r="E381" s="3" t="s">
        <v>942</v>
      </c>
      <c r="F381" s="3" t="s">
        <v>942</v>
      </c>
      <c r="G381" s="3" t="str">
        <f>INDEX(Risk_Matrix!$B$2:$D$4,MATCH(E381,Risk_Matrix!$A$2:$A$4,0),MATCH(F381,Risk_Matrix!$B$1:$D$1,0))</f>
        <v>Medium</v>
      </c>
      <c r="H381" s="10">
        <v>46216</v>
      </c>
      <c r="I381" s="3" t="s">
        <v>973</v>
      </c>
      <c r="J381" s="3" t="s">
        <v>974</v>
      </c>
      <c r="K381" s="3" t="s">
        <v>993</v>
      </c>
      <c r="L381" s="3">
        <f>IF(G381="High",3,IF(G381="Medium",2,1))</f>
        <v>2</v>
      </c>
    </row>
    <row r="382" spans="1:12">
      <c r="A382" s="3" t="s">
        <v>1375</v>
      </c>
      <c r="B382" s="3" t="s">
        <v>486</v>
      </c>
      <c r="C382" s="3" t="s">
        <v>965</v>
      </c>
      <c r="D382" s="3" t="s">
        <v>1023</v>
      </c>
      <c r="E382" s="3" t="s">
        <v>47</v>
      </c>
      <c r="F382" s="3" t="s">
        <v>47</v>
      </c>
      <c r="G382" s="3" t="str">
        <f>INDEX(Risk_Matrix!$B$2:$D$4,MATCH(E382,Risk_Matrix!$A$2:$A$4,0),MATCH(F382,Risk_Matrix!$B$1:$D$1,0))</f>
        <v>Low</v>
      </c>
      <c r="H382" s="10">
        <v>46082</v>
      </c>
      <c r="I382" s="3" t="s">
        <v>967</v>
      </c>
      <c r="J382" s="3" t="s">
        <v>968</v>
      </c>
      <c r="K382" s="3" t="s">
        <v>1000</v>
      </c>
      <c r="L382" s="3">
        <f>IF(G382="High",3,IF(G382="Medium",2,1))</f>
        <v>1</v>
      </c>
    </row>
    <row r="383" spans="1:12">
      <c r="A383" s="3" t="s">
        <v>1376</v>
      </c>
      <c r="B383" s="3" t="s">
        <v>486</v>
      </c>
      <c r="C383" s="3" t="s">
        <v>971</v>
      </c>
      <c r="D383" s="3" t="s">
        <v>1016</v>
      </c>
      <c r="E383" s="3" t="s">
        <v>942</v>
      </c>
      <c r="F383" s="3" t="s">
        <v>47</v>
      </c>
      <c r="G383" s="3" t="str">
        <f>INDEX(Risk_Matrix!$B$2:$D$4,MATCH(E383,Risk_Matrix!$A$2:$A$4,0),MATCH(F383,Risk_Matrix!$B$1:$D$1,0))</f>
        <v>Low</v>
      </c>
      <c r="H383" s="10">
        <v>46090</v>
      </c>
      <c r="I383" s="3" t="s">
        <v>967</v>
      </c>
      <c r="J383" s="3" t="s">
        <v>968</v>
      </c>
      <c r="K383" s="3" t="s">
        <v>969</v>
      </c>
      <c r="L383" s="3">
        <f>IF(G383="High",3,IF(G383="Medium",2,1))</f>
        <v>1</v>
      </c>
    </row>
    <row r="384" spans="1:12">
      <c r="A384" s="3" t="s">
        <v>1377</v>
      </c>
      <c r="B384" s="3" t="s">
        <v>486</v>
      </c>
      <c r="C384" s="3" t="s">
        <v>976</v>
      </c>
      <c r="D384" s="3" t="s">
        <v>977</v>
      </c>
      <c r="E384" s="3" t="s">
        <v>47</v>
      </c>
      <c r="F384" s="3" t="s">
        <v>47</v>
      </c>
      <c r="G384" s="3" t="str">
        <f>INDEX(Risk_Matrix!$B$2:$D$4,MATCH(E384,Risk_Matrix!$A$2:$A$4,0),MATCH(F384,Risk_Matrix!$B$1:$D$1,0))</f>
        <v>Low</v>
      </c>
      <c r="H384" s="10">
        <v>46141</v>
      </c>
      <c r="I384" s="3" t="s">
        <v>973</v>
      </c>
      <c r="J384" s="3" t="s">
        <v>974</v>
      </c>
      <c r="K384" s="3" t="s">
        <v>993</v>
      </c>
      <c r="L384" s="3">
        <f>IF(G384="High",3,IF(G384="Medium",2,1))</f>
        <v>1</v>
      </c>
    </row>
    <row r="385" spans="1:12">
      <c r="A385" s="3" t="s">
        <v>1378</v>
      </c>
      <c r="B385" s="3" t="s">
        <v>486</v>
      </c>
      <c r="C385" s="3" t="s">
        <v>979</v>
      </c>
      <c r="D385" s="3" t="s">
        <v>1028</v>
      </c>
      <c r="E385" s="3" t="s">
        <v>942</v>
      </c>
      <c r="F385" s="3" t="s">
        <v>47</v>
      </c>
      <c r="G385" s="3" t="str">
        <f>INDEX(Risk_Matrix!$B$2:$D$4,MATCH(E385,Risk_Matrix!$A$2:$A$4,0),MATCH(F385,Risk_Matrix!$B$1:$D$1,0))</f>
        <v>Low</v>
      </c>
      <c r="H385" s="10">
        <v>46207</v>
      </c>
      <c r="I385" s="3" t="s">
        <v>967</v>
      </c>
      <c r="J385" s="3" t="s">
        <v>968</v>
      </c>
      <c r="K385" s="3" t="s">
        <v>969</v>
      </c>
      <c r="L385" s="3">
        <f>IF(G385="High",3,IF(G385="Medium",2,1))</f>
        <v>1</v>
      </c>
    </row>
    <row r="386" spans="1:12">
      <c r="A386" s="3" t="s">
        <v>1379</v>
      </c>
      <c r="B386" s="3" t="s">
        <v>488</v>
      </c>
      <c r="C386" s="3" t="s">
        <v>956</v>
      </c>
      <c r="D386" s="3" t="s">
        <v>995</v>
      </c>
      <c r="E386" s="3" t="s">
        <v>942</v>
      </c>
      <c r="F386" s="3" t="s">
        <v>942</v>
      </c>
      <c r="G386" s="3" t="str">
        <f>INDEX(Risk_Matrix!$B$2:$D$4,MATCH(E386,Risk_Matrix!$A$2:$A$4,0),MATCH(F386,Risk_Matrix!$B$1:$D$1,0))</f>
        <v>Medium</v>
      </c>
      <c r="H386" s="10">
        <v>46082</v>
      </c>
      <c r="I386" s="3" t="s">
        <v>967</v>
      </c>
      <c r="J386" s="3" t="s">
        <v>968</v>
      </c>
      <c r="K386" s="3" t="s">
        <v>993</v>
      </c>
      <c r="L386" s="3">
        <f>IF(G386="High",3,IF(G386="Medium",2,1))</f>
        <v>2</v>
      </c>
    </row>
    <row r="387" spans="1:12">
      <c r="A387" s="3" t="s">
        <v>1380</v>
      </c>
      <c r="B387" s="3" t="s">
        <v>488</v>
      </c>
      <c r="C387" s="3" t="s">
        <v>962</v>
      </c>
      <c r="D387" s="3" t="s">
        <v>963</v>
      </c>
      <c r="E387" s="3" t="s">
        <v>942</v>
      </c>
      <c r="F387" s="3" t="s">
        <v>42</v>
      </c>
      <c r="G387" s="3" t="str">
        <f>INDEX(Risk_Matrix!$B$2:$D$4,MATCH(E387,Risk_Matrix!$A$2:$A$4,0),MATCH(F387,Risk_Matrix!$B$1:$D$1,0))</f>
        <v>High</v>
      </c>
      <c r="H387" s="10">
        <v>46216</v>
      </c>
      <c r="I387" s="3" t="s">
        <v>967</v>
      </c>
      <c r="J387" s="3" t="s">
        <v>968</v>
      </c>
      <c r="K387" s="3" t="s">
        <v>960</v>
      </c>
      <c r="L387" s="3">
        <f>IF(G387="High",3,IF(G387="Medium",2,1))</f>
        <v>3</v>
      </c>
    </row>
    <row r="388" spans="1:12">
      <c r="A388" s="3" t="s">
        <v>1381</v>
      </c>
      <c r="B388" s="3" t="s">
        <v>488</v>
      </c>
      <c r="C388" s="3" t="s">
        <v>965</v>
      </c>
      <c r="D388" s="3" t="s">
        <v>966</v>
      </c>
      <c r="E388" s="3" t="s">
        <v>47</v>
      </c>
      <c r="F388" s="3" t="s">
        <v>942</v>
      </c>
      <c r="G388" s="3" t="str">
        <f>INDEX(Risk_Matrix!$B$2:$D$4,MATCH(E388,Risk_Matrix!$A$2:$A$4,0),MATCH(F388,Risk_Matrix!$B$1:$D$1,0))</f>
        <v>Low</v>
      </c>
      <c r="H388" s="10">
        <v>46091</v>
      </c>
      <c r="I388" s="3" t="s">
        <v>973</v>
      </c>
      <c r="J388" s="3" t="s">
        <v>974</v>
      </c>
      <c r="K388" s="3" t="s">
        <v>1000</v>
      </c>
      <c r="L388" s="3">
        <f>IF(G388="High",3,IF(G388="Medium",2,1))</f>
        <v>1</v>
      </c>
    </row>
    <row r="389" spans="1:12">
      <c r="A389" s="3" t="s">
        <v>1382</v>
      </c>
      <c r="B389" s="3" t="s">
        <v>488</v>
      </c>
      <c r="C389" s="3" t="s">
        <v>971</v>
      </c>
      <c r="D389" s="3" t="s">
        <v>1025</v>
      </c>
      <c r="E389" s="3" t="s">
        <v>42</v>
      </c>
      <c r="F389" s="3" t="s">
        <v>942</v>
      </c>
      <c r="G389" s="3" t="str">
        <f>INDEX(Risk_Matrix!$B$2:$D$4,MATCH(E389,Risk_Matrix!$A$2:$A$4,0),MATCH(F389,Risk_Matrix!$B$1:$D$1,0))</f>
        <v>High</v>
      </c>
      <c r="H389" s="10">
        <v>46077</v>
      </c>
      <c r="I389" s="3" t="s">
        <v>967</v>
      </c>
      <c r="J389" s="3" t="s">
        <v>968</v>
      </c>
      <c r="K389" s="3" t="s">
        <v>960</v>
      </c>
      <c r="L389" s="3">
        <f>IF(G389="High",3,IF(G389="Medium",2,1))</f>
        <v>3</v>
      </c>
    </row>
    <row r="390" spans="1:12">
      <c r="A390" s="3" t="s">
        <v>1383</v>
      </c>
      <c r="B390" s="3" t="s">
        <v>488</v>
      </c>
      <c r="C390" s="3" t="s">
        <v>976</v>
      </c>
      <c r="D390" s="3" t="s">
        <v>991</v>
      </c>
      <c r="E390" s="3" t="s">
        <v>942</v>
      </c>
      <c r="F390" s="3" t="s">
        <v>42</v>
      </c>
      <c r="G390" s="3" t="str">
        <f>INDEX(Risk_Matrix!$B$2:$D$4,MATCH(E390,Risk_Matrix!$A$2:$A$4,0),MATCH(F390,Risk_Matrix!$B$1:$D$1,0))</f>
        <v>High</v>
      </c>
      <c r="H390" s="10">
        <v>46164</v>
      </c>
      <c r="I390" s="3" t="s">
        <v>973</v>
      </c>
      <c r="J390" s="3" t="s">
        <v>974</v>
      </c>
      <c r="K390" s="3" t="s">
        <v>983</v>
      </c>
      <c r="L390" s="3">
        <f>IF(G390="High",3,IF(G390="Medium",2,1))</f>
        <v>3</v>
      </c>
    </row>
    <row r="391" spans="1:12">
      <c r="A391" s="3" t="s">
        <v>1384</v>
      </c>
      <c r="B391" s="3" t="s">
        <v>488</v>
      </c>
      <c r="C391" s="3" t="s">
        <v>979</v>
      </c>
      <c r="D391" s="3" t="s">
        <v>1004</v>
      </c>
      <c r="E391" s="3" t="s">
        <v>47</v>
      </c>
      <c r="F391" s="3" t="s">
        <v>47</v>
      </c>
      <c r="G391" s="3" t="str">
        <f>INDEX(Risk_Matrix!$B$2:$D$4,MATCH(E391,Risk_Matrix!$A$2:$A$4,0),MATCH(F391,Risk_Matrix!$B$1:$D$1,0))</f>
        <v>Low</v>
      </c>
      <c r="H391" s="10">
        <v>46185</v>
      </c>
      <c r="I391" s="3" t="s">
        <v>981</v>
      </c>
      <c r="J391" s="3" t="s">
        <v>982</v>
      </c>
      <c r="K391" s="3" t="s">
        <v>1000</v>
      </c>
      <c r="L391" s="3">
        <f>IF(G391="High",3,IF(G391="Medium",2,1))</f>
        <v>1</v>
      </c>
    </row>
    <row r="392" spans="1:12">
      <c r="A392" s="3" t="s">
        <v>1385</v>
      </c>
      <c r="B392" s="3" t="s">
        <v>490</v>
      </c>
      <c r="C392" s="3" t="s">
        <v>956</v>
      </c>
      <c r="D392" s="3" t="s">
        <v>1012</v>
      </c>
      <c r="E392" s="3" t="s">
        <v>47</v>
      </c>
      <c r="F392" s="3" t="s">
        <v>47</v>
      </c>
      <c r="G392" s="3" t="str">
        <f>INDEX(Risk_Matrix!$B$2:$D$4,MATCH(E392,Risk_Matrix!$A$2:$A$4,0),MATCH(F392,Risk_Matrix!$B$1:$D$1,0))</f>
        <v>Low</v>
      </c>
      <c r="H392" s="10">
        <v>46075</v>
      </c>
      <c r="I392" s="3" t="s">
        <v>967</v>
      </c>
      <c r="J392" s="3" t="s">
        <v>968</v>
      </c>
      <c r="K392" s="3" t="s">
        <v>983</v>
      </c>
      <c r="L392" s="3">
        <f>IF(G392="High",3,IF(G392="Medium",2,1))</f>
        <v>1</v>
      </c>
    </row>
    <row r="393" spans="1:12">
      <c r="A393" s="3" t="s">
        <v>1386</v>
      </c>
      <c r="B393" s="3" t="s">
        <v>490</v>
      </c>
      <c r="C393" s="3" t="s">
        <v>962</v>
      </c>
      <c r="D393" s="3" t="s">
        <v>963</v>
      </c>
      <c r="E393" s="3" t="s">
        <v>942</v>
      </c>
      <c r="F393" s="3" t="s">
        <v>942</v>
      </c>
      <c r="G393" s="3" t="str">
        <f>INDEX(Risk_Matrix!$B$2:$D$4,MATCH(E393,Risk_Matrix!$A$2:$A$4,0),MATCH(F393,Risk_Matrix!$B$1:$D$1,0))</f>
        <v>Medium</v>
      </c>
      <c r="H393" s="10">
        <v>46221</v>
      </c>
      <c r="I393" s="3" t="s">
        <v>973</v>
      </c>
      <c r="J393" s="3" t="s">
        <v>974</v>
      </c>
      <c r="K393" s="3" t="s">
        <v>969</v>
      </c>
      <c r="L393" s="3">
        <f>IF(G393="High",3,IF(G393="Medium",2,1))</f>
        <v>2</v>
      </c>
    </row>
    <row r="394" spans="1:12">
      <c r="A394" s="3" t="s">
        <v>1387</v>
      </c>
      <c r="B394" s="3" t="s">
        <v>490</v>
      </c>
      <c r="C394" s="3" t="s">
        <v>965</v>
      </c>
      <c r="D394" s="3" t="s">
        <v>966</v>
      </c>
      <c r="E394" s="3" t="s">
        <v>942</v>
      </c>
      <c r="F394" s="3" t="s">
        <v>47</v>
      </c>
      <c r="G394" s="3" t="str">
        <f>INDEX(Risk_Matrix!$B$2:$D$4,MATCH(E394,Risk_Matrix!$A$2:$A$4,0),MATCH(F394,Risk_Matrix!$B$1:$D$1,0))</f>
        <v>Low</v>
      </c>
      <c r="H394" s="10">
        <v>46063</v>
      </c>
      <c r="I394" s="3" t="s">
        <v>973</v>
      </c>
      <c r="J394" s="3" t="s">
        <v>974</v>
      </c>
      <c r="K394" s="3" t="s">
        <v>969</v>
      </c>
      <c r="L394" s="3">
        <f>IF(G394="High",3,IF(G394="Medium",2,1))</f>
        <v>1</v>
      </c>
    </row>
    <row r="395" spans="1:12">
      <c r="A395" s="3" t="s">
        <v>1388</v>
      </c>
      <c r="B395" s="3" t="s">
        <v>490</v>
      </c>
      <c r="C395" s="3" t="s">
        <v>971</v>
      </c>
      <c r="D395" s="3" t="s">
        <v>1025</v>
      </c>
      <c r="E395" s="3" t="s">
        <v>47</v>
      </c>
      <c r="F395" s="3" t="s">
        <v>942</v>
      </c>
      <c r="G395" s="3" t="str">
        <f>INDEX(Risk_Matrix!$B$2:$D$4,MATCH(E395,Risk_Matrix!$A$2:$A$4,0),MATCH(F395,Risk_Matrix!$B$1:$D$1,0))</f>
        <v>Low</v>
      </c>
      <c r="H395" s="10">
        <v>46194</v>
      </c>
      <c r="I395" s="3" t="s">
        <v>958</v>
      </c>
      <c r="J395" s="3" t="s">
        <v>959</v>
      </c>
      <c r="K395" s="3" t="s">
        <v>983</v>
      </c>
      <c r="L395" s="3">
        <f>IF(G395="High",3,IF(G395="Medium",2,1))</f>
        <v>1</v>
      </c>
    </row>
    <row r="396" spans="1:12">
      <c r="A396" s="3" t="s">
        <v>1389</v>
      </c>
      <c r="B396" s="3" t="s">
        <v>490</v>
      </c>
      <c r="C396" s="3" t="s">
        <v>976</v>
      </c>
      <c r="D396" s="3" t="s">
        <v>991</v>
      </c>
      <c r="E396" s="3" t="s">
        <v>942</v>
      </c>
      <c r="F396" s="3" t="s">
        <v>42</v>
      </c>
      <c r="G396" s="3" t="str">
        <f>INDEX(Risk_Matrix!$B$2:$D$4,MATCH(E396,Risk_Matrix!$A$2:$A$4,0),MATCH(F396,Risk_Matrix!$B$1:$D$1,0))</f>
        <v>High</v>
      </c>
      <c r="H396" s="10">
        <v>46117</v>
      </c>
      <c r="I396" s="3" t="s">
        <v>967</v>
      </c>
      <c r="J396" s="3" t="s">
        <v>968</v>
      </c>
      <c r="K396" s="3" t="s">
        <v>993</v>
      </c>
      <c r="L396" s="3">
        <f>IF(G396="High",3,IF(G396="Medium",2,1))</f>
        <v>3</v>
      </c>
    </row>
    <row r="397" spans="1:12">
      <c r="A397" s="3" t="s">
        <v>1390</v>
      </c>
      <c r="B397" s="3" t="s">
        <v>490</v>
      </c>
      <c r="C397" s="3" t="s">
        <v>979</v>
      </c>
      <c r="D397" s="3" t="s">
        <v>980</v>
      </c>
      <c r="E397" s="3" t="s">
        <v>47</v>
      </c>
      <c r="F397" s="3" t="s">
        <v>47</v>
      </c>
      <c r="G397" s="3" t="str">
        <f>INDEX(Risk_Matrix!$B$2:$D$4,MATCH(E397,Risk_Matrix!$A$2:$A$4,0),MATCH(F397,Risk_Matrix!$B$1:$D$1,0))</f>
        <v>Low</v>
      </c>
      <c r="H397" s="10">
        <v>46101</v>
      </c>
      <c r="I397" s="3" t="s">
        <v>967</v>
      </c>
      <c r="J397" s="3" t="s">
        <v>968</v>
      </c>
      <c r="K397" s="3" t="s">
        <v>969</v>
      </c>
      <c r="L397" s="3">
        <f>IF(G397="High",3,IF(G397="Medium",2,1))</f>
        <v>1</v>
      </c>
    </row>
    <row r="398" spans="1:12">
      <c r="A398" s="3" t="s">
        <v>1391</v>
      </c>
      <c r="B398" s="3" t="s">
        <v>492</v>
      </c>
      <c r="C398" s="3" t="s">
        <v>956</v>
      </c>
      <c r="D398" s="3" t="s">
        <v>1012</v>
      </c>
      <c r="E398" s="3" t="s">
        <v>942</v>
      </c>
      <c r="F398" s="3" t="s">
        <v>47</v>
      </c>
      <c r="G398" s="3" t="str">
        <f>INDEX(Risk_Matrix!$B$2:$D$4,MATCH(E398,Risk_Matrix!$A$2:$A$4,0),MATCH(F398,Risk_Matrix!$B$1:$D$1,0))</f>
        <v>Low</v>
      </c>
      <c r="H398" s="10">
        <v>46105</v>
      </c>
      <c r="I398" s="3" t="s">
        <v>967</v>
      </c>
      <c r="J398" s="3" t="s">
        <v>968</v>
      </c>
      <c r="K398" s="3" t="s">
        <v>969</v>
      </c>
      <c r="L398" s="3">
        <f>IF(G398="High",3,IF(G398="Medium",2,1))</f>
        <v>1</v>
      </c>
    </row>
    <row r="399" spans="1:12">
      <c r="A399" s="3" t="s">
        <v>1392</v>
      </c>
      <c r="B399" s="3" t="s">
        <v>492</v>
      </c>
      <c r="C399" s="3" t="s">
        <v>962</v>
      </c>
      <c r="D399" s="3" t="s">
        <v>986</v>
      </c>
      <c r="E399" s="3" t="s">
        <v>942</v>
      </c>
      <c r="F399" s="3" t="s">
        <v>47</v>
      </c>
      <c r="G399" s="3" t="str">
        <f>INDEX(Risk_Matrix!$B$2:$D$4,MATCH(E399,Risk_Matrix!$A$2:$A$4,0),MATCH(F399,Risk_Matrix!$B$1:$D$1,0))</f>
        <v>Low</v>
      </c>
      <c r="H399" s="10">
        <v>46154</v>
      </c>
      <c r="I399" s="3" t="s">
        <v>967</v>
      </c>
      <c r="J399" s="3" t="s">
        <v>968</v>
      </c>
      <c r="K399" s="3" t="s">
        <v>969</v>
      </c>
      <c r="L399" s="3">
        <f>IF(G399="High",3,IF(G399="Medium",2,1))</f>
        <v>1</v>
      </c>
    </row>
    <row r="400" spans="1:12">
      <c r="A400" s="3" t="s">
        <v>1393</v>
      </c>
      <c r="B400" s="3" t="s">
        <v>492</v>
      </c>
      <c r="C400" s="3" t="s">
        <v>965</v>
      </c>
      <c r="D400" s="3" t="s">
        <v>1023</v>
      </c>
      <c r="E400" s="3" t="s">
        <v>42</v>
      </c>
      <c r="F400" s="3" t="s">
        <v>47</v>
      </c>
      <c r="G400" s="3" t="str">
        <f>INDEX(Risk_Matrix!$B$2:$D$4,MATCH(E400,Risk_Matrix!$A$2:$A$4,0),MATCH(F400,Risk_Matrix!$B$1:$D$1,0))</f>
        <v>Medium</v>
      </c>
      <c r="H400" s="10">
        <v>46142</v>
      </c>
      <c r="I400" s="3" t="s">
        <v>973</v>
      </c>
      <c r="J400" s="3" t="s">
        <v>974</v>
      </c>
      <c r="K400" s="3" t="s">
        <v>1000</v>
      </c>
      <c r="L400" s="3">
        <f>IF(G400="High",3,IF(G400="Medium",2,1))</f>
        <v>2</v>
      </c>
    </row>
    <row r="401" spans="1:12">
      <c r="A401" s="3" t="s">
        <v>1394</v>
      </c>
      <c r="B401" s="3" t="s">
        <v>492</v>
      </c>
      <c r="C401" s="3" t="s">
        <v>971</v>
      </c>
      <c r="D401" s="3" t="s">
        <v>972</v>
      </c>
      <c r="E401" s="3" t="s">
        <v>942</v>
      </c>
      <c r="F401" s="3" t="s">
        <v>47</v>
      </c>
      <c r="G401" s="3" t="str">
        <f>INDEX(Risk_Matrix!$B$2:$D$4,MATCH(E401,Risk_Matrix!$A$2:$A$4,0),MATCH(F401,Risk_Matrix!$B$1:$D$1,0))</f>
        <v>Low</v>
      </c>
      <c r="H401" s="10">
        <v>46160</v>
      </c>
      <c r="I401" s="3" t="s">
        <v>967</v>
      </c>
      <c r="J401" s="3" t="s">
        <v>968</v>
      </c>
      <c r="K401" s="3" t="s">
        <v>969</v>
      </c>
      <c r="L401" s="3">
        <f>IF(G401="High",3,IF(G401="Medium",2,1))</f>
        <v>1</v>
      </c>
    </row>
    <row r="402" spans="1:12">
      <c r="A402" s="3" t="s">
        <v>1395</v>
      </c>
      <c r="B402" s="3" t="s">
        <v>492</v>
      </c>
      <c r="C402" s="3" t="s">
        <v>976</v>
      </c>
      <c r="D402" s="3" t="s">
        <v>1002</v>
      </c>
      <c r="E402" s="3" t="s">
        <v>47</v>
      </c>
      <c r="F402" s="3" t="s">
        <v>47</v>
      </c>
      <c r="G402" s="3" t="str">
        <f>INDEX(Risk_Matrix!$B$2:$D$4,MATCH(E402,Risk_Matrix!$A$2:$A$4,0),MATCH(F402,Risk_Matrix!$B$1:$D$1,0))</f>
        <v>Low</v>
      </c>
      <c r="H402" s="10">
        <v>46178</v>
      </c>
      <c r="I402" s="3" t="s">
        <v>967</v>
      </c>
      <c r="J402" s="3" t="s">
        <v>968</v>
      </c>
      <c r="K402" s="3" t="s">
        <v>969</v>
      </c>
      <c r="L402" s="3">
        <f>IF(G402="High",3,IF(G402="Medium",2,1))</f>
        <v>1</v>
      </c>
    </row>
    <row r="403" spans="1:12">
      <c r="A403" s="3" t="s">
        <v>1396</v>
      </c>
      <c r="B403" s="3" t="s">
        <v>492</v>
      </c>
      <c r="C403" s="3" t="s">
        <v>979</v>
      </c>
      <c r="D403" s="3" t="s">
        <v>1028</v>
      </c>
      <c r="E403" s="3" t="s">
        <v>942</v>
      </c>
      <c r="F403" s="3" t="s">
        <v>47</v>
      </c>
      <c r="G403" s="3" t="str">
        <f>INDEX(Risk_Matrix!$B$2:$D$4,MATCH(E403,Risk_Matrix!$A$2:$A$4,0),MATCH(F403,Risk_Matrix!$B$1:$D$1,0))</f>
        <v>Low</v>
      </c>
      <c r="H403" s="10">
        <v>46194</v>
      </c>
      <c r="I403" s="3" t="s">
        <v>967</v>
      </c>
      <c r="J403" s="3" t="s">
        <v>968</v>
      </c>
      <c r="K403" s="3" t="s">
        <v>993</v>
      </c>
      <c r="L403" s="3">
        <f>IF(G403="High",3,IF(G403="Medium",2,1))</f>
        <v>1</v>
      </c>
    </row>
    <row r="404" spans="1:12">
      <c r="A404" s="3" t="s">
        <v>1397</v>
      </c>
      <c r="B404" s="3" t="s">
        <v>494</v>
      </c>
      <c r="C404" s="3" t="s">
        <v>956</v>
      </c>
      <c r="D404" s="3" t="s">
        <v>995</v>
      </c>
      <c r="E404" s="3" t="s">
        <v>942</v>
      </c>
      <c r="F404" s="3" t="s">
        <v>942</v>
      </c>
      <c r="G404" s="3" t="str">
        <f>INDEX(Risk_Matrix!$B$2:$D$4,MATCH(E404,Risk_Matrix!$A$2:$A$4,0),MATCH(F404,Risk_Matrix!$B$1:$D$1,0))</f>
        <v>Medium</v>
      </c>
      <c r="H404" s="10">
        <v>46125</v>
      </c>
      <c r="I404" s="3" t="s">
        <v>981</v>
      </c>
      <c r="J404" s="3" t="s">
        <v>982</v>
      </c>
      <c r="K404" s="3" t="s">
        <v>1000</v>
      </c>
      <c r="L404" s="3">
        <f>IF(G404="High",3,IF(G404="Medium",2,1))</f>
        <v>2</v>
      </c>
    </row>
    <row r="405" spans="1:12">
      <c r="A405" s="3" t="s">
        <v>1398</v>
      </c>
      <c r="B405" s="3" t="s">
        <v>494</v>
      </c>
      <c r="C405" s="3" t="s">
        <v>962</v>
      </c>
      <c r="D405" s="3" t="s">
        <v>963</v>
      </c>
      <c r="E405" s="3" t="s">
        <v>942</v>
      </c>
      <c r="F405" s="3" t="s">
        <v>42</v>
      </c>
      <c r="G405" s="3" t="str">
        <f>INDEX(Risk_Matrix!$B$2:$D$4,MATCH(E405,Risk_Matrix!$A$2:$A$4,0),MATCH(F405,Risk_Matrix!$B$1:$D$1,0))</f>
        <v>High</v>
      </c>
      <c r="H405" s="10">
        <v>46151</v>
      </c>
      <c r="I405" s="3" t="s">
        <v>973</v>
      </c>
      <c r="J405" s="3" t="s">
        <v>974</v>
      </c>
      <c r="K405" s="3" t="s">
        <v>960</v>
      </c>
      <c r="L405" s="3">
        <f>IF(G405="High",3,IF(G405="Medium",2,1))</f>
        <v>3</v>
      </c>
    </row>
    <row r="406" spans="1:12">
      <c r="A406" s="3" t="s">
        <v>1399</v>
      </c>
      <c r="B406" s="3" t="s">
        <v>494</v>
      </c>
      <c r="C406" s="3" t="s">
        <v>965</v>
      </c>
      <c r="D406" s="3" t="s">
        <v>966</v>
      </c>
      <c r="E406" s="3" t="s">
        <v>942</v>
      </c>
      <c r="F406" s="3" t="s">
        <v>47</v>
      </c>
      <c r="G406" s="3" t="str">
        <f>INDEX(Risk_Matrix!$B$2:$D$4,MATCH(E406,Risk_Matrix!$A$2:$A$4,0),MATCH(F406,Risk_Matrix!$B$1:$D$1,0))</f>
        <v>Low</v>
      </c>
      <c r="H406" s="10">
        <v>46106</v>
      </c>
      <c r="I406" s="3" t="s">
        <v>981</v>
      </c>
      <c r="J406" s="3" t="s">
        <v>982</v>
      </c>
      <c r="K406" s="3" t="s">
        <v>983</v>
      </c>
      <c r="L406" s="3">
        <f>IF(G406="High",3,IF(G406="Medium",2,1))</f>
        <v>1</v>
      </c>
    </row>
    <row r="407" spans="1:12">
      <c r="A407" s="3" t="s">
        <v>1400</v>
      </c>
      <c r="B407" s="3" t="s">
        <v>494</v>
      </c>
      <c r="C407" s="3" t="s">
        <v>971</v>
      </c>
      <c r="D407" s="3" t="s">
        <v>972</v>
      </c>
      <c r="E407" s="3" t="s">
        <v>942</v>
      </c>
      <c r="F407" s="3" t="s">
        <v>47</v>
      </c>
      <c r="G407" s="3" t="str">
        <f>INDEX(Risk_Matrix!$B$2:$D$4,MATCH(E407,Risk_Matrix!$A$2:$A$4,0),MATCH(F407,Risk_Matrix!$B$1:$D$1,0))</f>
        <v>Low</v>
      </c>
      <c r="H407" s="10">
        <v>46105</v>
      </c>
      <c r="I407" s="3" t="s">
        <v>967</v>
      </c>
      <c r="J407" s="3" t="s">
        <v>968</v>
      </c>
      <c r="K407" s="3" t="s">
        <v>993</v>
      </c>
      <c r="L407" s="3">
        <f>IF(G407="High",3,IF(G407="Medium",2,1))</f>
        <v>1</v>
      </c>
    </row>
    <row r="408" spans="1:12">
      <c r="A408" s="3" t="s">
        <v>1401</v>
      </c>
      <c r="B408" s="3" t="s">
        <v>494</v>
      </c>
      <c r="C408" s="3" t="s">
        <v>976</v>
      </c>
      <c r="D408" s="3" t="s">
        <v>977</v>
      </c>
      <c r="E408" s="3" t="s">
        <v>47</v>
      </c>
      <c r="F408" s="3" t="s">
        <v>47</v>
      </c>
      <c r="G408" s="3" t="str">
        <f>INDEX(Risk_Matrix!$B$2:$D$4,MATCH(E408,Risk_Matrix!$A$2:$A$4,0),MATCH(F408,Risk_Matrix!$B$1:$D$1,0))</f>
        <v>Low</v>
      </c>
      <c r="H408" s="10">
        <v>46216</v>
      </c>
      <c r="I408" s="3" t="s">
        <v>981</v>
      </c>
      <c r="J408" s="3" t="s">
        <v>982</v>
      </c>
      <c r="K408" s="3" t="s">
        <v>969</v>
      </c>
      <c r="L408" s="3">
        <f>IF(G408="High",3,IF(G408="Medium",2,1))</f>
        <v>1</v>
      </c>
    </row>
    <row r="409" spans="1:12">
      <c r="A409" s="3" t="s">
        <v>1402</v>
      </c>
      <c r="B409" s="3" t="s">
        <v>494</v>
      </c>
      <c r="C409" s="3" t="s">
        <v>979</v>
      </c>
      <c r="D409" s="3" t="s">
        <v>1028</v>
      </c>
      <c r="E409" s="3" t="s">
        <v>42</v>
      </c>
      <c r="F409" s="3" t="s">
        <v>47</v>
      </c>
      <c r="G409" s="3" t="str">
        <f>INDEX(Risk_Matrix!$B$2:$D$4,MATCH(E409,Risk_Matrix!$A$2:$A$4,0),MATCH(F409,Risk_Matrix!$B$1:$D$1,0))</f>
        <v>Medium</v>
      </c>
      <c r="H409" s="10">
        <v>46159</v>
      </c>
      <c r="I409" s="3" t="s">
        <v>981</v>
      </c>
      <c r="J409" s="3" t="s">
        <v>982</v>
      </c>
      <c r="K409" s="3" t="s">
        <v>993</v>
      </c>
      <c r="L409" s="3">
        <f>IF(G409="High",3,IF(G409="Medium",2,1))</f>
        <v>2</v>
      </c>
    </row>
    <row r="410" spans="1:12">
      <c r="A410" s="3" t="s">
        <v>1403</v>
      </c>
      <c r="B410" s="3" t="s">
        <v>496</v>
      </c>
      <c r="C410" s="3" t="s">
        <v>956</v>
      </c>
      <c r="D410" s="3" t="s">
        <v>995</v>
      </c>
      <c r="E410" s="3" t="s">
        <v>942</v>
      </c>
      <c r="F410" s="3" t="s">
        <v>47</v>
      </c>
      <c r="G410" s="3" t="str">
        <f>INDEX(Risk_Matrix!$B$2:$D$4,MATCH(E410,Risk_Matrix!$A$2:$A$4,0),MATCH(F410,Risk_Matrix!$B$1:$D$1,0))</f>
        <v>Low</v>
      </c>
      <c r="H410" s="10">
        <v>46165</v>
      </c>
      <c r="I410" s="3" t="s">
        <v>973</v>
      </c>
      <c r="J410" s="3" t="s">
        <v>974</v>
      </c>
      <c r="K410" s="3" t="s">
        <v>969</v>
      </c>
      <c r="L410" s="3">
        <f>IF(G410="High",3,IF(G410="Medium",2,1))</f>
        <v>1</v>
      </c>
    </row>
    <row r="411" spans="1:12">
      <c r="A411" s="3" t="s">
        <v>1404</v>
      </c>
      <c r="B411" s="3" t="s">
        <v>496</v>
      </c>
      <c r="C411" s="3" t="s">
        <v>962</v>
      </c>
      <c r="D411" s="3" t="s">
        <v>986</v>
      </c>
      <c r="E411" s="3" t="s">
        <v>942</v>
      </c>
      <c r="F411" s="3" t="s">
        <v>942</v>
      </c>
      <c r="G411" s="3" t="str">
        <f>INDEX(Risk_Matrix!$B$2:$D$4,MATCH(E411,Risk_Matrix!$A$2:$A$4,0),MATCH(F411,Risk_Matrix!$B$1:$D$1,0))</f>
        <v>Medium</v>
      </c>
      <c r="H411" s="10">
        <v>46198</v>
      </c>
      <c r="I411" s="3" t="s">
        <v>973</v>
      </c>
      <c r="J411" s="3" t="s">
        <v>974</v>
      </c>
      <c r="K411" s="3" t="s">
        <v>969</v>
      </c>
      <c r="L411" s="3">
        <f>IF(G411="High",3,IF(G411="Medium",2,1))</f>
        <v>2</v>
      </c>
    </row>
    <row r="412" spans="1:12">
      <c r="A412" s="3" t="s">
        <v>1405</v>
      </c>
      <c r="B412" s="3" t="s">
        <v>496</v>
      </c>
      <c r="C412" s="3" t="s">
        <v>965</v>
      </c>
      <c r="D412" s="3" t="s">
        <v>1023</v>
      </c>
      <c r="E412" s="3" t="s">
        <v>47</v>
      </c>
      <c r="F412" s="3" t="s">
        <v>942</v>
      </c>
      <c r="G412" s="3" t="str">
        <f>INDEX(Risk_Matrix!$B$2:$D$4,MATCH(E412,Risk_Matrix!$A$2:$A$4,0),MATCH(F412,Risk_Matrix!$B$1:$D$1,0))</f>
        <v>Low</v>
      </c>
      <c r="H412" s="10">
        <v>46186</v>
      </c>
      <c r="I412" s="3" t="s">
        <v>967</v>
      </c>
      <c r="J412" s="3" t="s">
        <v>968</v>
      </c>
      <c r="K412" s="3" t="s">
        <v>1000</v>
      </c>
      <c r="L412" s="3">
        <f>IF(G412="High",3,IF(G412="Medium",2,1))</f>
        <v>1</v>
      </c>
    </row>
    <row r="413" spans="1:12">
      <c r="A413" s="3" t="s">
        <v>1406</v>
      </c>
      <c r="B413" s="3" t="s">
        <v>496</v>
      </c>
      <c r="C413" s="3" t="s">
        <v>971</v>
      </c>
      <c r="D413" s="3" t="s">
        <v>1025</v>
      </c>
      <c r="E413" s="3" t="s">
        <v>942</v>
      </c>
      <c r="F413" s="3" t="s">
        <v>47</v>
      </c>
      <c r="G413" s="3" t="str">
        <f>INDEX(Risk_Matrix!$B$2:$D$4,MATCH(E413,Risk_Matrix!$A$2:$A$4,0),MATCH(F413,Risk_Matrix!$B$1:$D$1,0))</f>
        <v>Low</v>
      </c>
      <c r="H413" s="10">
        <v>46166</v>
      </c>
      <c r="I413" s="3" t="s">
        <v>981</v>
      </c>
      <c r="J413" s="3" t="s">
        <v>982</v>
      </c>
      <c r="K413" s="3" t="s">
        <v>1000</v>
      </c>
      <c r="L413" s="3">
        <f>IF(G413="High",3,IF(G413="Medium",2,1))</f>
        <v>1</v>
      </c>
    </row>
    <row r="414" spans="1:12">
      <c r="A414" s="3" t="s">
        <v>1407</v>
      </c>
      <c r="B414" s="3" t="s">
        <v>496</v>
      </c>
      <c r="C414" s="3" t="s">
        <v>976</v>
      </c>
      <c r="D414" s="3" t="s">
        <v>977</v>
      </c>
      <c r="E414" s="3" t="s">
        <v>47</v>
      </c>
      <c r="F414" s="3" t="s">
        <v>47</v>
      </c>
      <c r="G414" s="3" t="str">
        <f>INDEX(Risk_Matrix!$B$2:$D$4,MATCH(E414,Risk_Matrix!$A$2:$A$4,0),MATCH(F414,Risk_Matrix!$B$1:$D$1,0))</f>
        <v>Low</v>
      </c>
      <c r="H414" s="10">
        <v>46100</v>
      </c>
      <c r="I414" s="3" t="s">
        <v>981</v>
      </c>
      <c r="J414" s="3" t="s">
        <v>982</v>
      </c>
      <c r="K414" s="3" t="s">
        <v>960</v>
      </c>
      <c r="L414" s="3">
        <f>IF(G414="High",3,IF(G414="Medium",2,1))</f>
        <v>1</v>
      </c>
    </row>
    <row r="415" spans="1:12">
      <c r="A415" s="3" t="s">
        <v>1408</v>
      </c>
      <c r="B415" s="3" t="s">
        <v>496</v>
      </c>
      <c r="C415" s="3" t="s">
        <v>979</v>
      </c>
      <c r="D415" s="3" t="s">
        <v>1004</v>
      </c>
      <c r="E415" s="3" t="s">
        <v>47</v>
      </c>
      <c r="F415" s="3" t="s">
        <v>47</v>
      </c>
      <c r="G415" s="3" t="str">
        <f>INDEX(Risk_Matrix!$B$2:$D$4,MATCH(E415,Risk_Matrix!$A$2:$A$4,0),MATCH(F415,Risk_Matrix!$B$1:$D$1,0))</f>
        <v>Low</v>
      </c>
      <c r="H415" s="10">
        <v>46211</v>
      </c>
      <c r="I415" s="3" t="s">
        <v>967</v>
      </c>
      <c r="J415" s="3" t="s">
        <v>968</v>
      </c>
      <c r="K415" s="3" t="s">
        <v>960</v>
      </c>
      <c r="L415" s="3">
        <f>IF(G415="High",3,IF(G415="Medium",2,1))</f>
        <v>1</v>
      </c>
    </row>
    <row r="416" spans="1:12">
      <c r="A416" s="3" t="s">
        <v>1409</v>
      </c>
      <c r="B416" s="3" t="s">
        <v>498</v>
      </c>
      <c r="C416" s="3" t="s">
        <v>956</v>
      </c>
      <c r="D416" s="3" t="s">
        <v>957</v>
      </c>
      <c r="E416" s="3" t="s">
        <v>47</v>
      </c>
      <c r="F416" s="3" t="s">
        <v>47</v>
      </c>
      <c r="G416" s="3" t="str">
        <f>INDEX(Risk_Matrix!$B$2:$D$4,MATCH(E416,Risk_Matrix!$A$2:$A$4,0),MATCH(F416,Risk_Matrix!$B$1:$D$1,0))</f>
        <v>Low</v>
      </c>
      <c r="H416" s="10">
        <v>46087</v>
      </c>
      <c r="I416" s="3" t="s">
        <v>967</v>
      </c>
      <c r="J416" s="3" t="s">
        <v>968</v>
      </c>
      <c r="K416" s="3" t="s">
        <v>960</v>
      </c>
      <c r="L416" s="3">
        <f>IF(G416="High",3,IF(G416="Medium",2,1))</f>
        <v>1</v>
      </c>
    </row>
    <row r="417" spans="1:12">
      <c r="A417" s="3" t="s">
        <v>1410</v>
      </c>
      <c r="B417" s="3" t="s">
        <v>498</v>
      </c>
      <c r="C417" s="3" t="s">
        <v>962</v>
      </c>
      <c r="D417" s="3" t="s">
        <v>986</v>
      </c>
      <c r="E417" s="3" t="s">
        <v>47</v>
      </c>
      <c r="F417" s="3" t="s">
        <v>942</v>
      </c>
      <c r="G417" s="3" t="str">
        <f>INDEX(Risk_Matrix!$B$2:$D$4,MATCH(E417,Risk_Matrix!$A$2:$A$4,0),MATCH(F417,Risk_Matrix!$B$1:$D$1,0))</f>
        <v>Low</v>
      </c>
      <c r="H417" s="10">
        <v>46067</v>
      </c>
      <c r="I417" s="3" t="s">
        <v>967</v>
      </c>
      <c r="J417" s="3" t="s">
        <v>968</v>
      </c>
      <c r="K417" s="3" t="s">
        <v>1000</v>
      </c>
      <c r="L417" s="3">
        <f>IF(G417="High",3,IF(G417="Medium",2,1))</f>
        <v>1</v>
      </c>
    </row>
    <row r="418" spans="1:12">
      <c r="A418" s="3" t="s">
        <v>1411</v>
      </c>
      <c r="B418" s="3" t="s">
        <v>498</v>
      </c>
      <c r="C418" s="3" t="s">
        <v>965</v>
      </c>
      <c r="D418" s="3" t="s">
        <v>1023</v>
      </c>
      <c r="E418" s="3" t="s">
        <v>42</v>
      </c>
      <c r="F418" s="3" t="s">
        <v>942</v>
      </c>
      <c r="G418" s="3" t="str">
        <f>INDEX(Risk_Matrix!$B$2:$D$4,MATCH(E418,Risk_Matrix!$A$2:$A$4,0),MATCH(F418,Risk_Matrix!$B$1:$D$1,0))</f>
        <v>High</v>
      </c>
      <c r="H418" s="10">
        <v>46205</v>
      </c>
      <c r="I418" s="3" t="s">
        <v>967</v>
      </c>
      <c r="J418" s="3" t="s">
        <v>968</v>
      </c>
      <c r="K418" s="3" t="s">
        <v>993</v>
      </c>
      <c r="L418" s="3">
        <f>IF(G418="High",3,IF(G418="Medium",2,1))</f>
        <v>3</v>
      </c>
    </row>
    <row r="419" spans="1:12">
      <c r="A419" s="3" t="s">
        <v>1412</v>
      </c>
      <c r="B419" s="3" t="s">
        <v>498</v>
      </c>
      <c r="C419" s="3" t="s">
        <v>971</v>
      </c>
      <c r="D419" s="3" t="s">
        <v>1016</v>
      </c>
      <c r="E419" s="3" t="s">
        <v>47</v>
      </c>
      <c r="F419" s="3" t="s">
        <v>47</v>
      </c>
      <c r="G419" s="3" t="str">
        <f>INDEX(Risk_Matrix!$B$2:$D$4,MATCH(E419,Risk_Matrix!$A$2:$A$4,0),MATCH(F419,Risk_Matrix!$B$1:$D$1,0))</f>
        <v>Low</v>
      </c>
      <c r="H419" s="10">
        <v>46119</v>
      </c>
      <c r="I419" s="3" t="s">
        <v>967</v>
      </c>
      <c r="J419" s="3" t="s">
        <v>968</v>
      </c>
      <c r="K419" s="3" t="s">
        <v>960</v>
      </c>
      <c r="L419" s="3">
        <f>IF(G419="High",3,IF(G419="Medium",2,1))</f>
        <v>1</v>
      </c>
    </row>
    <row r="420" spans="1:12">
      <c r="A420" s="3" t="s">
        <v>1413</v>
      </c>
      <c r="B420" s="3" t="s">
        <v>498</v>
      </c>
      <c r="C420" s="3" t="s">
        <v>976</v>
      </c>
      <c r="D420" s="3" t="s">
        <v>977</v>
      </c>
      <c r="E420" s="3" t="s">
        <v>42</v>
      </c>
      <c r="F420" s="3" t="s">
        <v>47</v>
      </c>
      <c r="G420" s="3" t="str">
        <f>INDEX(Risk_Matrix!$B$2:$D$4,MATCH(E420,Risk_Matrix!$A$2:$A$4,0),MATCH(F420,Risk_Matrix!$B$1:$D$1,0))</f>
        <v>Medium</v>
      </c>
      <c r="H420" s="10">
        <v>46172</v>
      </c>
      <c r="I420" s="3" t="s">
        <v>981</v>
      </c>
      <c r="J420" s="3" t="s">
        <v>982</v>
      </c>
      <c r="K420" s="3" t="s">
        <v>969</v>
      </c>
      <c r="L420" s="3">
        <f>IF(G420="High",3,IF(G420="Medium",2,1))</f>
        <v>2</v>
      </c>
    </row>
    <row r="421" spans="1:12">
      <c r="A421" s="3" t="s">
        <v>1414</v>
      </c>
      <c r="B421" s="3" t="s">
        <v>498</v>
      </c>
      <c r="C421" s="3" t="s">
        <v>979</v>
      </c>
      <c r="D421" s="3" t="s">
        <v>1028</v>
      </c>
      <c r="E421" s="3" t="s">
        <v>47</v>
      </c>
      <c r="F421" s="3" t="s">
        <v>42</v>
      </c>
      <c r="G421" s="3" t="str">
        <f>INDEX(Risk_Matrix!$B$2:$D$4,MATCH(E421,Risk_Matrix!$A$2:$A$4,0),MATCH(F421,Risk_Matrix!$B$1:$D$1,0))</f>
        <v>Medium</v>
      </c>
      <c r="H421" s="10">
        <v>46155</v>
      </c>
      <c r="I421" s="3" t="s">
        <v>973</v>
      </c>
      <c r="J421" s="3" t="s">
        <v>974</v>
      </c>
      <c r="K421" s="3" t="s">
        <v>960</v>
      </c>
      <c r="L421" s="3">
        <f>IF(G421="High",3,IF(G421="Medium",2,1))</f>
        <v>2</v>
      </c>
    </row>
    <row r="422" spans="1:12">
      <c r="A422" s="3" t="s">
        <v>1415</v>
      </c>
      <c r="B422" s="3" t="s">
        <v>500</v>
      </c>
      <c r="C422" s="3" t="s">
        <v>956</v>
      </c>
      <c r="D422" s="3" t="s">
        <v>1012</v>
      </c>
      <c r="E422" s="3" t="s">
        <v>47</v>
      </c>
      <c r="F422" s="3" t="s">
        <v>47</v>
      </c>
      <c r="G422" s="3" t="str">
        <f>INDEX(Risk_Matrix!$B$2:$D$4,MATCH(E422,Risk_Matrix!$A$2:$A$4,0),MATCH(F422,Risk_Matrix!$B$1:$D$1,0))</f>
        <v>Low</v>
      </c>
      <c r="H422" s="10">
        <v>46120</v>
      </c>
      <c r="I422" s="3" t="s">
        <v>973</v>
      </c>
      <c r="J422" s="3" t="s">
        <v>974</v>
      </c>
      <c r="K422" s="3" t="s">
        <v>983</v>
      </c>
      <c r="L422" s="3">
        <f>IF(G422="High",3,IF(G422="Medium",2,1))</f>
        <v>1</v>
      </c>
    </row>
    <row r="423" spans="1:12">
      <c r="A423" s="3" t="s">
        <v>1416</v>
      </c>
      <c r="B423" s="3" t="s">
        <v>500</v>
      </c>
      <c r="C423" s="3" t="s">
        <v>962</v>
      </c>
      <c r="D423" s="3" t="s">
        <v>986</v>
      </c>
      <c r="E423" s="3" t="s">
        <v>942</v>
      </c>
      <c r="F423" s="3" t="s">
        <v>942</v>
      </c>
      <c r="G423" s="3" t="str">
        <f>INDEX(Risk_Matrix!$B$2:$D$4,MATCH(E423,Risk_Matrix!$A$2:$A$4,0),MATCH(F423,Risk_Matrix!$B$1:$D$1,0))</f>
        <v>Medium</v>
      </c>
      <c r="H423" s="10">
        <v>46212</v>
      </c>
      <c r="I423" s="3" t="s">
        <v>973</v>
      </c>
      <c r="J423" s="3" t="s">
        <v>974</v>
      </c>
      <c r="K423" s="3" t="s">
        <v>960</v>
      </c>
      <c r="L423" s="3">
        <f>IF(G423="High",3,IF(G423="Medium",2,1))</f>
        <v>2</v>
      </c>
    </row>
    <row r="424" spans="1:12">
      <c r="A424" s="3" t="s">
        <v>1417</v>
      </c>
      <c r="B424" s="3" t="s">
        <v>500</v>
      </c>
      <c r="C424" s="3" t="s">
        <v>965</v>
      </c>
      <c r="D424" s="3" t="s">
        <v>1023</v>
      </c>
      <c r="E424" s="3" t="s">
        <v>47</v>
      </c>
      <c r="F424" s="3" t="s">
        <v>942</v>
      </c>
      <c r="G424" s="3" t="str">
        <f>INDEX(Risk_Matrix!$B$2:$D$4,MATCH(E424,Risk_Matrix!$A$2:$A$4,0),MATCH(F424,Risk_Matrix!$B$1:$D$1,0))</f>
        <v>Low</v>
      </c>
      <c r="H424" s="10">
        <v>46102</v>
      </c>
      <c r="I424" s="3" t="s">
        <v>981</v>
      </c>
      <c r="J424" s="3" t="s">
        <v>982</v>
      </c>
      <c r="K424" s="3" t="s">
        <v>960</v>
      </c>
      <c r="L424" s="3">
        <f>IF(G424="High",3,IF(G424="Medium",2,1))</f>
        <v>1</v>
      </c>
    </row>
    <row r="425" spans="1:12">
      <c r="A425" s="3" t="s">
        <v>1418</v>
      </c>
      <c r="B425" s="3" t="s">
        <v>500</v>
      </c>
      <c r="C425" s="3" t="s">
        <v>971</v>
      </c>
      <c r="D425" s="3" t="s">
        <v>1025</v>
      </c>
      <c r="E425" s="3" t="s">
        <v>942</v>
      </c>
      <c r="F425" s="3" t="s">
        <v>47</v>
      </c>
      <c r="G425" s="3" t="str">
        <f>INDEX(Risk_Matrix!$B$2:$D$4,MATCH(E425,Risk_Matrix!$A$2:$A$4,0),MATCH(F425,Risk_Matrix!$B$1:$D$1,0))</f>
        <v>Low</v>
      </c>
      <c r="H425" s="10">
        <v>46198</v>
      </c>
      <c r="I425" s="3" t="s">
        <v>973</v>
      </c>
      <c r="J425" s="3" t="s">
        <v>974</v>
      </c>
      <c r="K425" s="3" t="s">
        <v>960</v>
      </c>
      <c r="L425" s="3">
        <f>IF(G425="High",3,IF(G425="Medium",2,1))</f>
        <v>1</v>
      </c>
    </row>
    <row r="426" spans="1:12">
      <c r="A426" s="3" t="s">
        <v>1419</v>
      </c>
      <c r="B426" s="3" t="s">
        <v>500</v>
      </c>
      <c r="C426" s="3" t="s">
        <v>976</v>
      </c>
      <c r="D426" s="3" t="s">
        <v>991</v>
      </c>
      <c r="E426" s="3" t="s">
        <v>47</v>
      </c>
      <c r="F426" s="3" t="s">
        <v>47</v>
      </c>
      <c r="G426" s="3" t="str">
        <f>INDEX(Risk_Matrix!$B$2:$D$4,MATCH(E426,Risk_Matrix!$A$2:$A$4,0),MATCH(F426,Risk_Matrix!$B$1:$D$1,0))</f>
        <v>Low</v>
      </c>
      <c r="H426" s="10">
        <v>46128</v>
      </c>
      <c r="I426" s="3" t="s">
        <v>967</v>
      </c>
      <c r="J426" s="3" t="s">
        <v>968</v>
      </c>
      <c r="K426" s="3" t="s">
        <v>960</v>
      </c>
      <c r="L426" s="3">
        <f>IF(G426="High",3,IF(G426="Medium",2,1))</f>
        <v>1</v>
      </c>
    </row>
    <row r="427" spans="1:12">
      <c r="A427" s="3" t="s">
        <v>1420</v>
      </c>
      <c r="B427" s="3" t="s">
        <v>500</v>
      </c>
      <c r="C427" s="3" t="s">
        <v>979</v>
      </c>
      <c r="D427" s="3" t="s">
        <v>980</v>
      </c>
      <c r="E427" s="3" t="s">
        <v>942</v>
      </c>
      <c r="F427" s="3" t="s">
        <v>942</v>
      </c>
      <c r="G427" s="3" t="str">
        <f>INDEX(Risk_Matrix!$B$2:$D$4,MATCH(E427,Risk_Matrix!$A$2:$A$4,0),MATCH(F427,Risk_Matrix!$B$1:$D$1,0))</f>
        <v>Medium</v>
      </c>
      <c r="H427" s="10">
        <v>46069</v>
      </c>
      <c r="I427" s="3" t="s">
        <v>973</v>
      </c>
      <c r="J427" s="3" t="s">
        <v>974</v>
      </c>
      <c r="K427" s="3" t="s">
        <v>993</v>
      </c>
      <c r="L427" s="3">
        <f>IF(G427="High",3,IF(G427="Medium",2,1))</f>
        <v>2</v>
      </c>
    </row>
    <row r="428" spans="1:12">
      <c r="A428" s="3" t="s">
        <v>1421</v>
      </c>
      <c r="B428" s="3" t="s">
        <v>502</v>
      </c>
      <c r="C428" s="3" t="s">
        <v>956</v>
      </c>
      <c r="D428" s="3" t="s">
        <v>1012</v>
      </c>
      <c r="E428" s="3" t="s">
        <v>47</v>
      </c>
      <c r="F428" s="3" t="s">
        <v>942</v>
      </c>
      <c r="G428" s="3" t="str">
        <f>INDEX(Risk_Matrix!$B$2:$D$4,MATCH(E428,Risk_Matrix!$A$2:$A$4,0),MATCH(F428,Risk_Matrix!$B$1:$D$1,0))</f>
        <v>Low</v>
      </c>
      <c r="H428" s="10">
        <v>46214</v>
      </c>
      <c r="I428" s="3" t="s">
        <v>973</v>
      </c>
      <c r="J428" s="3" t="s">
        <v>974</v>
      </c>
      <c r="K428" s="3" t="s">
        <v>960</v>
      </c>
      <c r="L428" s="3">
        <f>IF(G428="High",3,IF(G428="Medium",2,1))</f>
        <v>1</v>
      </c>
    </row>
    <row r="429" spans="1:12">
      <c r="A429" s="3" t="s">
        <v>1422</v>
      </c>
      <c r="B429" s="3" t="s">
        <v>502</v>
      </c>
      <c r="C429" s="3" t="s">
        <v>962</v>
      </c>
      <c r="D429" s="3" t="s">
        <v>1037</v>
      </c>
      <c r="E429" s="3" t="s">
        <v>47</v>
      </c>
      <c r="F429" s="3" t="s">
        <v>47</v>
      </c>
      <c r="G429" s="3" t="str">
        <f>INDEX(Risk_Matrix!$B$2:$D$4,MATCH(E429,Risk_Matrix!$A$2:$A$4,0),MATCH(F429,Risk_Matrix!$B$1:$D$1,0))</f>
        <v>Low</v>
      </c>
      <c r="H429" s="10">
        <v>46063</v>
      </c>
      <c r="I429" s="3" t="s">
        <v>967</v>
      </c>
      <c r="J429" s="3" t="s">
        <v>968</v>
      </c>
      <c r="K429" s="3" t="s">
        <v>1000</v>
      </c>
      <c r="L429" s="3">
        <f>IF(G429="High",3,IF(G429="Medium",2,1))</f>
        <v>1</v>
      </c>
    </row>
    <row r="430" spans="1:12">
      <c r="A430" s="3" t="s">
        <v>1423</v>
      </c>
      <c r="B430" s="3" t="s">
        <v>502</v>
      </c>
      <c r="C430" s="3" t="s">
        <v>965</v>
      </c>
      <c r="D430" s="3" t="s">
        <v>988</v>
      </c>
      <c r="E430" s="3" t="s">
        <v>47</v>
      </c>
      <c r="F430" s="3" t="s">
        <v>942</v>
      </c>
      <c r="G430" s="3" t="str">
        <f>INDEX(Risk_Matrix!$B$2:$D$4,MATCH(E430,Risk_Matrix!$A$2:$A$4,0),MATCH(F430,Risk_Matrix!$B$1:$D$1,0))</f>
        <v>Low</v>
      </c>
      <c r="H430" s="10">
        <v>46183</v>
      </c>
      <c r="I430" s="3" t="s">
        <v>973</v>
      </c>
      <c r="J430" s="3" t="s">
        <v>974</v>
      </c>
      <c r="K430" s="3" t="s">
        <v>983</v>
      </c>
      <c r="L430" s="3">
        <f>IF(G430="High",3,IF(G430="Medium",2,1))</f>
        <v>1</v>
      </c>
    </row>
    <row r="431" spans="1:12">
      <c r="A431" s="3" t="s">
        <v>1424</v>
      </c>
      <c r="B431" s="3" t="s">
        <v>502</v>
      </c>
      <c r="C431" s="3" t="s">
        <v>971</v>
      </c>
      <c r="D431" s="3" t="s">
        <v>1016</v>
      </c>
      <c r="E431" s="3" t="s">
        <v>42</v>
      </c>
      <c r="F431" s="3" t="s">
        <v>942</v>
      </c>
      <c r="G431" s="3" t="str">
        <f>INDEX(Risk_Matrix!$B$2:$D$4,MATCH(E431,Risk_Matrix!$A$2:$A$4,0),MATCH(F431,Risk_Matrix!$B$1:$D$1,0))</f>
        <v>High</v>
      </c>
      <c r="H431" s="10">
        <v>46201</v>
      </c>
      <c r="I431" s="3" t="s">
        <v>973</v>
      </c>
      <c r="J431" s="3" t="s">
        <v>974</v>
      </c>
      <c r="K431" s="3" t="s">
        <v>983</v>
      </c>
      <c r="L431" s="3">
        <f>IF(G431="High",3,IF(G431="Medium",2,1))</f>
        <v>3</v>
      </c>
    </row>
    <row r="432" spans="1:12">
      <c r="A432" s="3" t="s">
        <v>1425</v>
      </c>
      <c r="B432" s="3" t="s">
        <v>502</v>
      </c>
      <c r="C432" s="3" t="s">
        <v>976</v>
      </c>
      <c r="D432" s="3" t="s">
        <v>991</v>
      </c>
      <c r="E432" s="3" t="s">
        <v>942</v>
      </c>
      <c r="F432" s="3" t="s">
        <v>47</v>
      </c>
      <c r="G432" s="3" t="str">
        <f>INDEX(Risk_Matrix!$B$2:$D$4,MATCH(E432,Risk_Matrix!$A$2:$A$4,0),MATCH(F432,Risk_Matrix!$B$1:$D$1,0))</f>
        <v>Low</v>
      </c>
      <c r="H432" s="10">
        <v>46188</v>
      </c>
      <c r="I432" s="3" t="s">
        <v>967</v>
      </c>
      <c r="J432" s="3" t="s">
        <v>968</v>
      </c>
      <c r="K432" s="3" t="s">
        <v>983</v>
      </c>
      <c r="L432" s="3">
        <f>IF(G432="High",3,IF(G432="Medium",2,1))</f>
        <v>1</v>
      </c>
    </row>
    <row r="433" spans="1:12">
      <c r="A433" s="3" t="s">
        <v>1426</v>
      </c>
      <c r="B433" s="3" t="s">
        <v>502</v>
      </c>
      <c r="C433" s="3" t="s">
        <v>979</v>
      </c>
      <c r="D433" s="3" t="s">
        <v>980</v>
      </c>
      <c r="E433" s="3" t="s">
        <v>42</v>
      </c>
      <c r="F433" s="3" t="s">
        <v>47</v>
      </c>
      <c r="G433" s="3" t="str">
        <f>INDEX(Risk_Matrix!$B$2:$D$4,MATCH(E433,Risk_Matrix!$A$2:$A$4,0),MATCH(F433,Risk_Matrix!$B$1:$D$1,0))</f>
        <v>Medium</v>
      </c>
      <c r="H433" s="10">
        <v>46065</v>
      </c>
      <c r="I433" s="3" t="s">
        <v>981</v>
      </c>
      <c r="J433" s="3" t="s">
        <v>982</v>
      </c>
      <c r="K433" s="3" t="s">
        <v>969</v>
      </c>
      <c r="L433" s="3">
        <f>IF(G433="High",3,IF(G433="Medium",2,1))</f>
        <v>2</v>
      </c>
    </row>
    <row r="434" spans="1:12">
      <c r="A434" s="3" t="s">
        <v>1427</v>
      </c>
      <c r="B434" s="3" t="s">
        <v>504</v>
      </c>
      <c r="C434" s="3" t="s">
        <v>956</v>
      </c>
      <c r="D434" s="3" t="s">
        <v>1012</v>
      </c>
      <c r="E434" s="3" t="s">
        <v>942</v>
      </c>
      <c r="F434" s="3" t="s">
        <v>42</v>
      </c>
      <c r="G434" s="3" t="str">
        <f>INDEX(Risk_Matrix!$B$2:$D$4,MATCH(E434,Risk_Matrix!$A$2:$A$4,0),MATCH(F434,Risk_Matrix!$B$1:$D$1,0))</f>
        <v>High</v>
      </c>
      <c r="H434" s="10">
        <v>46089</v>
      </c>
      <c r="I434" s="3" t="s">
        <v>958</v>
      </c>
      <c r="J434" s="3" t="s">
        <v>959</v>
      </c>
      <c r="K434" s="3" t="s">
        <v>993</v>
      </c>
      <c r="L434" s="3">
        <f>IF(G434="High",3,IF(G434="Medium",2,1))</f>
        <v>3</v>
      </c>
    </row>
    <row r="435" spans="1:12">
      <c r="A435" s="3" t="s">
        <v>1428</v>
      </c>
      <c r="B435" s="3" t="s">
        <v>504</v>
      </c>
      <c r="C435" s="3" t="s">
        <v>962</v>
      </c>
      <c r="D435" s="3" t="s">
        <v>997</v>
      </c>
      <c r="E435" s="3" t="s">
        <v>942</v>
      </c>
      <c r="F435" s="3" t="s">
        <v>42</v>
      </c>
      <c r="G435" s="3" t="str">
        <f>INDEX(Risk_Matrix!$B$2:$D$4,MATCH(E435,Risk_Matrix!$A$2:$A$4,0),MATCH(F435,Risk_Matrix!$B$1:$D$1,0))</f>
        <v>High</v>
      </c>
      <c r="H435" s="10">
        <v>46098</v>
      </c>
      <c r="I435" s="3" t="s">
        <v>973</v>
      </c>
      <c r="J435" s="3" t="s">
        <v>974</v>
      </c>
      <c r="K435" s="3" t="s">
        <v>993</v>
      </c>
      <c r="L435" s="3">
        <f>IF(G435="High",3,IF(G435="Medium",2,1))</f>
        <v>3</v>
      </c>
    </row>
    <row r="436" spans="1:12">
      <c r="A436" s="3" t="s">
        <v>1429</v>
      </c>
      <c r="B436" s="3" t="s">
        <v>504</v>
      </c>
      <c r="C436" s="3" t="s">
        <v>965</v>
      </c>
      <c r="D436" s="3" t="s">
        <v>1023</v>
      </c>
      <c r="E436" s="3" t="s">
        <v>942</v>
      </c>
      <c r="F436" s="3" t="s">
        <v>942</v>
      </c>
      <c r="G436" s="3" t="str">
        <f>INDEX(Risk_Matrix!$B$2:$D$4,MATCH(E436,Risk_Matrix!$A$2:$A$4,0),MATCH(F436,Risk_Matrix!$B$1:$D$1,0))</f>
        <v>Medium</v>
      </c>
      <c r="H436" s="10">
        <v>46166</v>
      </c>
      <c r="I436" s="3" t="s">
        <v>973</v>
      </c>
      <c r="J436" s="3" t="s">
        <v>974</v>
      </c>
      <c r="K436" s="3" t="s">
        <v>993</v>
      </c>
      <c r="L436" s="3">
        <f>IF(G436="High",3,IF(G436="Medium",2,1))</f>
        <v>2</v>
      </c>
    </row>
    <row r="437" spans="1:12">
      <c r="A437" s="3" t="s">
        <v>1430</v>
      </c>
      <c r="B437" s="3" t="s">
        <v>504</v>
      </c>
      <c r="C437" s="3" t="s">
        <v>971</v>
      </c>
      <c r="D437" s="3" t="s">
        <v>972</v>
      </c>
      <c r="E437" s="3" t="s">
        <v>47</v>
      </c>
      <c r="F437" s="3" t="s">
        <v>942</v>
      </c>
      <c r="G437" s="3" t="str">
        <f>INDEX(Risk_Matrix!$B$2:$D$4,MATCH(E437,Risk_Matrix!$A$2:$A$4,0),MATCH(F437,Risk_Matrix!$B$1:$D$1,0))</f>
        <v>Low</v>
      </c>
      <c r="H437" s="10">
        <v>46141</v>
      </c>
      <c r="I437" s="3" t="s">
        <v>967</v>
      </c>
      <c r="J437" s="3" t="s">
        <v>968</v>
      </c>
      <c r="K437" s="3" t="s">
        <v>960</v>
      </c>
      <c r="L437" s="3">
        <f>IF(G437="High",3,IF(G437="Medium",2,1))</f>
        <v>1</v>
      </c>
    </row>
    <row r="438" spans="1:12">
      <c r="A438" s="3" t="s">
        <v>1431</v>
      </c>
      <c r="B438" s="3" t="s">
        <v>504</v>
      </c>
      <c r="C438" s="3" t="s">
        <v>976</v>
      </c>
      <c r="D438" s="3" t="s">
        <v>991</v>
      </c>
      <c r="E438" s="3" t="s">
        <v>47</v>
      </c>
      <c r="F438" s="3" t="s">
        <v>47</v>
      </c>
      <c r="G438" s="3" t="str">
        <f>INDEX(Risk_Matrix!$B$2:$D$4,MATCH(E438,Risk_Matrix!$A$2:$A$4,0),MATCH(F438,Risk_Matrix!$B$1:$D$1,0))</f>
        <v>Low</v>
      </c>
      <c r="H438" s="10">
        <v>46203</v>
      </c>
      <c r="I438" s="3" t="s">
        <v>973</v>
      </c>
      <c r="J438" s="3" t="s">
        <v>974</v>
      </c>
      <c r="K438" s="3" t="s">
        <v>983</v>
      </c>
      <c r="L438" s="3">
        <f>IF(G438="High",3,IF(G438="Medium",2,1))</f>
        <v>1</v>
      </c>
    </row>
    <row r="439" spans="1:12">
      <c r="A439" s="3" t="s">
        <v>1432</v>
      </c>
      <c r="B439" s="3" t="s">
        <v>504</v>
      </c>
      <c r="C439" s="3" t="s">
        <v>979</v>
      </c>
      <c r="D439" s="3" t="s">
        <v>980</v>
      </c>
      <c r="E439" s="3" t="s">
        <v>47</v>
      </c>
      <c r="F439" s="3" t="s">
        <v>42</v>
      </c>
      <c r="G439" s="3" t="str">
        <f>INDEX(Risk_Matrix!$B$2:$D$4,MATCH(E439,Risk_Matrix!$A$2:$A$4,0),MATCH(F439,Risk_Matrix!$B$1:$D$1,0))</f>
        <v>Medium</v>
      </c>
      <c r="H439" s="10">
        <v>46199</v>
      </c>
      <c r="I439" s="3" t="s">
        <v>981</v>
      </c>
      <c r="J439" s="3" t="s">
        <v>982</v>
      </c>
      <c r="K439" s="3" t="s">
        <v>969</v>
      </c>
      <c r="L439" s="3">
        <f>IF(G439="High",3,IF(G439="Medium",2,1))</f>
        <v>2</v>
      </c>
    </row>
    <row r="440" spans="1:12">
      <c r="A440" s="3" t="s">
        <v>1433</v>
      </c>
      <c r="B440" s="3" t="s">
        <v>505</v>
      </c>
      <c r="C440" s="3" t="s">
        <v>956</v>
      </c>
      <c r="D440" s="3" t="s">
        <v>1020</v>
      </c>
      <c r="E440" s="3" t="s">
        <v>47</v>
      </c>
      <c r="F440" s="3" t="s">
        <v>47</v>
      </c>
      <c r="G440" s="3" t="str">
        <f>INDEX(Risk_Matrix!$B$2:$D$4,MATCH(E440,Risk_Matrix!$A$2:$A$4,0),MATCH(F440,Risk_Matrix!$B$1:$D$1,0))</f>
        <v>Low</v>
      </c>
      <c r="H440" s="10">
        <v>46114</v>
      </c>
      <c r="I440" s="3" t="s">
        <v>973</v>
      </c>
      <c r="J440" s="3" t="s">
        <v>974</v>
      </c>
      <c r="K440" s="3" t="s">
        <v>960</v>
      </c>
      <c r="L440" s="3">
        <f>IF(G440="High",3,IF(G440="Medium",2,1))</f>
        <v>1</v>
      </c>
    </row>
    <row r="441" spans="1:12">
      <c r="A441" s="3" t="s">
        <v>1434</v>
      </c>
      <c r="B441" s="3" t="s">
        <v>505</v>
      </c>
      <c r="C441" s="3" t="s">
        <v>962</v>
      </c>
      <c r="D441" s="3" t="s">
        <v>1037</v>
      </c>
      <c r="E441" s="3" t="s">
        <v>47</v>
      </c>
      <c r="F441" s="3" t="s">
        <v>942</v>
      </c>
      <c r="G441" s="3" t="str">
        <f>INDEX(Risk_Matrix!$B$2:$D$4,MATCH(E441,Risk_Matrix!$A$2:$A$4,0),MATCH(F441,Risk_Matrix!$B$1:$D$1,0))</f>
        <v>Low</v>
      </c>
      <c r="H441" s="10">
        <v>46122</v>
      </c>
      <c r="I441" s="3" t="s">
        <v>967</v>
      </c>
      <c r="J441" s="3" t="s">
        <v>968</v>
      </c>
      <c r="K441" s="3" t="s">
        <v>1000</v>
      </c>
      <c r="L441" s="3">
        <f>IF(G441="High",3,IF(G441="Medium",2,1))</f>
        <v>1</v>
      </c>
    </row>
    <row r="442" spans="1:12">
      <c r="A442" s="3" t="s">
        <v>1435</v>
      </c>
      <c r="B442" s="3" t="s">
        <v>505</v>
      </c>
      <c r="C442" s="3" t="s">
        <v>965</v>
      </c>
      <c r="D442" s="3" t="s">
        <v>988</v>
      </c>
      <c r="E442" s="3" t="s">
        <v>942</v>
      </c>
      <c r="F442" s="3" t="s">
        <v>47</v>
      </c>
      <c r="G442" s="3" t="str">
        <f>INDEX(Risk_Matrix!$B$2:$D$4,MATCH(E442,Risk_Matrix!$A$2:$A$4,0),MATCH(F442,Risk_Matrix!$B$1:$D$1,0))</f>
        <v>Low</v>
      </c>
      <c r="H442" s="10">
        <v>46123</v>
      </c>
      <c r="I442" s="3" t="s">
        <v>967</v>
      </c>
      <c r="J442" s="3" t="s">
        <v>968</v>
      </c>
      <c r="K442" s="3" t="s">
        <v>960</v>
      </c>
      <c r="L442" s="3">
        <f>IF(G442="High",3,IF(G442="Medium",2,1))</f>
        <v>1</v>
      </c>
    </row>
    <row r="443" spans="1:12">
      <c r="A443" s="3" t="s">
        <v>1436</v>
      </c>
      <c r="B443" s="3" t="s">
        <v>505</v>
      </c>
      <c r="C443" s="3" t="s">
        <v>971</v>
      </c>
      <c r="D443" s="3" t="s">
        <v>1025</v>
      </c>
      <c r="E443" s="3" t="s">
        <v>47</v>
      </c>
      <c r="F443" s="3" t="s">
        <v>47</v>
      </c>
      <c r="G443" s="3" t="str">
        <f>INDEX(Risk_Matrix!$B$2:$D$4,MATCH(E443,Risk_Matrix!$A$2:$A$4,0),MATCH(F443,Risk_Matrix!$B$1:$D$1,0))</f>
        <v>Low</v>
      </c>
      <c r="H443" s="10">
        <v>46111</v>
      </c>
      <c r="I443" s="3" t="s">
        <v>973</v>
      </c>
      <c r="J443" s="3" t="s">
        <v>974</v>
      </c>
      <c r="K443" s="3" t="s">
        <v>983</v>
      </c>
      <c r="L443" s="3">
        <f>IF(G443="High",3,IF(G443="Medium",2,1))</f>
        <v>1</v>
      </c>
    </row>
    <row r="444" spans="1:12">
      <c r="A444" s="3" t="s">
        <v>1437</v>
      </c>
      <c r="B444" s="3" t="s">
        <v>505</v>
      </c>
      <c r="C444" s="3" t="s">
        <v>976</v>
      </c>
      <c r="D444" s="3" t="s">
        <v>1002</v>
      </c>
      <c r="E444" s="3" t="s">
        <v>942</v>
      </c>
      <c r="F444" s="3" t="s">
        <v>47</v>
      </c>
      <c r="G444" s="3" t="str">
        <f>INDEX(Risk_Matrix!$B$2:$D$4,MATCH(E444,Risk_Matrix!$A$2:$A$4,0),MATCH(F444,Risk_Matrix!$B$1:$D$1,0))</f>
        <v>Low</v>
      </c>
      <c r="H444" s="10">
        <v>46145</v>
      </c>
      <c r="I444" s="3" t="s">
        <v>967</v>
      </c>
      <c r="J444" s="3" t="s">
        <v>968</v>
      </c>
      <c r="K444" s="3" t="s">
        <v>993</v>
      </c>
      <c r="L444" s="3">
        <f>IF(G444="High",3,IF(G444="Medium",2,1))</f>
        <v>1</v>
      </c>
    </row>
    <row r="445" spans="1:12">
      <c r="A445" s="3" t="s">
        <v>1438</v>
      </c>
      <c r="B445" s="3" t="s">
        <v>505</v>
      </c>
      <c r="C445" s="3" t="s">
        <v>979</v>
      </c>
      <c r="D445" s="3" t="s">
        <v>1004</v>
      </c>
      <c r="E445" s="3" t="s">
        <v>942</v>
      </c>
      <c r="F445" s="3" t="s">
        <v>942</v>
      </c>
      <c r="G445" s="3" t="str">
        <f>INDEX(Risk_Matrix!$B$2:$D$4,MATCH(E445,Risk_Matrix!$A$2:$A$4,0),MATCH(F445,Risk_Matrix!$B$1:$D$1,0))</f>
        <v>Medium</v>
      </c>
      <c r="H445" s="10">
        <v>46115</v>
      </c>
      <c r="I445" s="3" t="s">
        <v>973</v>
      </c>
      <c r="J445" s="3" t="s">
        <v>974</v>
      </c>
      <c r="K445" s="3" t="s">
        <v>993</v>
      </c>
      <c r="L445" s="3">
        <f>IF(G445="High",3,IF(G445="Medium",2,1))</f>
        <v>2</v>
      </c>
    </row>
    <row r="446" spans="1:12">
      <c r="A446" s="3" t="s">
        <v>1439</v>
      </c>
      <c r="B446" s="3" t="s">
        <v>507</v>
      </c>
      <c r="C446" s="3" t="s">
        <v>956</v>
      </c>
      <c r="D446" s="3" t="s">
        <v>1020</v>
      </c>
      <c r="E446" s="3" t="s">
        <v>942</v>
      </c>
      <c r="F446" s="3" t="s">
        <v>942</v>
      </c>
      <c r="G446" s="3" t="str">
        <f>INDEX(Risk_Matrix!$B$2:$D$4,MATCH(E446,Risk_Matrix!$A$2:$A$4,0),MATCH(F446,Risk_Matrix!$B$1:$D$1,0))</f>
        <v>Medium</v>
      </c>
      <c r="H446" s="10">
        <v>46167</v>
      </c>
      <c r="I446" s="3" t="s">
        <v>981</v>
      </c>
      <c r="J446" s="3" t="s">
        <v>982</v>
      </c>
      <c r="K446" s="3" t="s">
        <v>960</v>
      </c>
      <c r="L446" s="3">
        <f>IF(G446="High",3,IF(G446="Medium",2,1))</f>
        <v>2</v>
      </c>
    </row>
    <row r="447" spans="1:12">
      <c r="A447" s="3" t="s">
        <v>1440</v>
      </c>
      <c r="B447" s="3" t="s">
        <v>507</v>
      </c>
      <c r="C447" s="3" t="s">
        <v>962</v>
      </c>
      <c r="D447" s="3" t="s">
        <v>963</v>
      </c>
      <c r="E447" s="3" t="s">
        <v>942</v>
      </c>
      <c r="F447" s="3" t="s">
        <v>942</v>
      </c>
      <c r="G447" s="3" t="str">
        <f>INDEX(Risk_Matrix!$B$2:$D$4,MATCH(E447,Risk_Matrix!$A$2:$A$4,0),MATCH(F447,Risk_Matrix!$B$1:$D$1,0))</f>
        <v>Medium</v>
      </c>
      <c r="H447" s="10">
        <v>46077</v>
      </c>
      <c r="I447" s="3" t="s">
        <v>973</v>
      </c>
      <c r="J447" s="3" t="s">
        <v>974</v>
      </c>
      <c r="K447" s="3" t="s">
        <v>993</v>
      </c>
      <c r="L447" s="3">
        <f>IF(G447="High",3,IF(G447="Medium",2,1))</f>
        <v>2</v>
      </c>
    </row>
    <row r="448" spans="1:12">
      <c r="A448" s="3" t="s">
        <v>1441</v>
      </c>
      <c r="B448" s="3" t="s">
        <v>507</v>
      </c>
      <c r="C448" s="3" t="s">
        <v>965</v>
      </c>
      <c r="D448" s="3" t="s">
        <v>966</v>
      </c>
      <c r="E448" s="3" t="s">
        <v>942</v>
      </c>
      <c r="F448" s="3" t="s">
        <v>42</v>
      </c>
      <c r="G448" s="3" t="str">
        <f>INDEX(Risk_Matrix!$B$2:$D$4,MATCH(E448,Risk_Matrix!$A$2:$A$4,0),MATCH(F448,Risk_Matrix!$B$1:$D$1,0))</f>
        <v>High</v>
      </c>
      <c r="H448" s="10">
        <v>46236</v>
      </c>
      <c r="I448" s="3" t="s">
        <v>967</v>
      </c>
      <c r="J448" s="3" t="s">
        <v>968</v>
      </c>
      <c r="K448" s="3" t="s">
        <v>960</v>
      </c>
      <c r="L448" s="3">
        <f>IF(G448="High",3,IF(G448="Medium",2,1))</f>
        <v>3</v>
      </c>
    </row>
    <row r="449" spans="1:12">
      <c r="A449" s="3" t="s">
        <v>1442</v>
      </c>
      <c r="B449" s="3" t="s">
        <v>507</v>
      </c>
      <c r="C449" s="3" t="s">
        <v>971</v>
      </c>
      <c r="D449" s="3" t="s">
        <v>1025</v>
      </c>
      <c r="E449" s="3" t="s">
        <v>942</v>
      </c>
      <c r="F449" s="3" t="s">
        <v>47</v>
      </c>
      <c r="G449" s="3" t="str">
        <f>INDEX(Risk_Matrix!$B$2:$D$4,MATCH(E449,Risk_Matrix!$A$2:$A$4,0),MATCH(F449,Risk_Matrix!$B$1:$D$1,0))</f>
        <v>Low</v>
      </c>
      <c r="H449" s="10">
        <v>46131</v>
      </c>
      <c r="I449" s="3" t="s">
        <v>967</v>
      </c>
      <c r="J449" s="3" t="s">
        <v>968</v>
      </c>
      <c r="K449" s="3" t="s">
        <v>969</v>
      </c>
      <c r="L449" s="3">
        <f>IF(G449="High",3,IF(G449="Medium",2,1))</f>
        <v>1</v>
      </c>
    </row>
    <row r="450" spans="1:12">
      <c r="A450" s="3" t="s">
        <v>1443</v>
      </c>
      <c r="B450" s="3" t="s">
        <v>507</v>
      </c>
      <c r="C450" s="3" t="s">
        <v>976</v>
      </c>
      <c r="D450" s="3" t="s">
        <v>991</v>
      </c>
      <c r="E450" s="3" t="s">
        <v>47</v>
      </c>
      <c r="F450" s="3" t="s">
        <v>47</v>
      </c>
      <c r="G450" s="3" t="str">
        <f>INDEX(Risk_Matrix!$B$2:$D$4,MATCH(E450,Risk_Matrix!$A$2:$A$4,0),MATCH(F450,Risk_Matrix!$B$1:$D$1,0))</f>
        <v>Low</v>
      </c>
      <c r="H450" s="10">
        <v>46161</v>
      </c>
      <c r="I450" s="3" t="s">
        <v>981</v>
      </c>
      <c r="J450" s="3" t="s">
        <v>982</v>
      </c>
      <c r="K450" s="3" t="s">
        <v>1000</v>
      </c>
      <c r="L450" s="3">
        <f>IF(G450="High",3,IF(G450="Medium",2,1))</f>
        <v>1</v>
      </c>
    </row>
    <row r="451" spans="1:12">
      <c r="A451" s="3" t="s">
        <v>1444</v>
      </c>
      <c r="B451" s="3" t="s">
        <v>507</v>
      </c>
      <c r="C451" s="3" t="s">
        <v>979</v>
      </c>
      <c r="D451" s="3" t="s">
        <v>1028</v>
      </c>
      <c r="E451" s="3" t="s">
        <v>47</v>
      </c>
      <c r="F451" s="3" t="s">
        <v>47</v>
      </c>
      <c r="G451" s="3" t="str">
        <f>INDEX(Risk_Matrix!$B$2:$D$4,MATCH(E451,Risk_Matrix!$A$2:$A$4,0),MATCH(F451,Risk_Matrix!$B$1:$D$1,0))</f>
        <v>Low</v>
      </c>
      <c r="H451" s="10">
        <v>46225</v>
      </c>
      <c r="I451" s="3" t="s">
        <v>973</v>
      </c>
      <c r="J451" s="3" t="s">
        <v>974</v>
      </c>
      <c r="K451" s="3" t="s">
        <v>969</v>
      </c>
      <c r="L451" s="3">
        <f>IF(G451="High",3,IF(G451="Medium",2,1))</f>
        <v>1</v>
      </c>
    </row>
    <row r="452" spans="1:12">
      <c r="A452" s="3" t="s">
        <v>1445</v>
      </c>
      <c r="B452" s="3" t="s">
        <v>509</v>
      </c>
      <c r="C452" s="3" t="s">
        <v>956</v>
      </c>
      <c r="D452" s="3" t="s">
        <v>957</v>
      </c>
      <c r="E452" s="3" t="s">
        <v>47</v>
      </c>
      <c r="F452" s="3" t="s">
        <v>47</v>
      </c>
      <c r="G452" s="3" t="str">
        <f>INDEX(Risk_Matrix!$B$2:$D$4,MATCH(E452,Risk_Matrix!$A$2:$A$4,0),MATCH(F452,Risk_Matrix!$B$1:$D$1,0))</f>
        <v>Low</v>
      </c>
      <c r="H452" s="10">
        <v>46167</v>
      </c>
      <c r="I452" s="3" t="s">
        <v>967</v>
      </c>
      <c r="J452" s="3" t="s">
        <v>968</v>
      </c>
      <c r="K452" s="3" t="s">
        <v>969</v>
      </c>
      <c r="L452" s="3">
        <f>IF(G452="High",3,IF(G452="Medium",2,1))</f>
        <v>1</v>
      </c>
    </row>
    <row r="453" spans="1:12">
      <c r="A453" s="3" t="s">
        <v>1446</v>
      </c>
      <c r="B453" s="3" t="s">
        <v>509</v>
      </c>
      <c r="C453" s="3" t="s">
        <v>962</v>
      </c>
      <c r="D453" s="3" t="s">
        <v>1037</v>
      </c>
      <c r="E453" s="3" t="s">
        <v>942</v>
      </c>
      <c r="F453" s="3" t="s">
        <v>47</v>
      </c>
      <c r="G453" s="3" t="str">
        <f>INDEX(Risk_Matrix!$B$2:$D$4,MATCH(E453,Risk_Matrix!$A$2:$A$4,0),MATCH(F453,Risk_Matrix!$B$1:$D$1,0))</f>
        <v>Low</v>
      </c>
      <c r="H453" s="10">
        <v>46210</v>
      </c>
      <c r="I453" s="3" t="s">
        <v>973</v>
      </c>
      <c r="J453" s="3" t="s">
        <v>974</v>
      </c>
      <c r="K453" s="3" t="s">
        <v>1000</v>
      </c>
      <c r="L453" s="3">
        <f>IF(G453="High",3,IF(G453="Medium",2,1))</f>
        <v>1</v>
      </c>
    </row>
    <row r="454" spans="1:12">
      <c r="A454" s="3" t="s">
        <v>1447</v>
      </c>
      <c r="B454" s="3" t="s">
        <v>509</v>
      </c>
      <c r="C454" s="3" t="s">
        <v>965</v>
      </c>
      <c r="D454" s="3" t="s">
        <v>1039</v>
      </c>
      <c r="E454" s="3" t="s">
        <v>42</v>
      </c>
      <c r="F454" s="3" t="s">
        <v>942</v>
      </c>
      <c r="G454" s="3" t="str">
        <f>INDEX(Risk_Matrix!$B$2:$D$4,MATCH(E454,Risk_Matrix!$A$2:$A$4,0),MATCH(F454,Risk_Matrix!$B$1:$D$1,0))</f>
        <v>High</v>
      </c>
      <c r="H454" s="10">
        <v>46144</v>
      </c>
      <c r="I454" s="3" t="s">
        <v>967</v>
      </c>
      <c r="J454" s="3" t="s">
        <v>968</v>
      </c>
      <c r="K454" s="3" t="s">
        <v>983</v>
      </c>
      <c r="L454" s="3">
        <f>IF(G454="High",3,IF(G454="Medium",2,1))</f>
        <v>3</v>
      </c>
    </row>
    <row r="455" spans="1:12">
      <c r="A455" s="3" t="s">
        <v>1448</v>
      </c>
      <c r="B455" s="3" t="s">
        <v>509</v>
      </c>
      <c r="C455" s="3" t="s">
        <v>971</v>
      </c>
      <c r="D455" s="3" t="s">
        <v>1025</v>
      </c>
      <c r="E455" s="3" t="s">
        <v>942</v>
      </c>
      <c r="F455" s="3" t="s">
        <v>47</v>
      </c>
      <c r="G455" s="3" t="str">
        <f>INDEX(Risk_Matrix!$B$2:$D$4,MATCH(E455,Risk_Matrix!$A$2:$A$4,0),MATCH(F455,Risk_Matrix!$B$1:$D$1,0))</f>
        <v>Low</v>
      </c>
      <c r="H455" s="10">
        <v>46103</v>
      </c>
      <c r="I455" s="3" t="s">
        <v>973</v>
      </c>
      <c r="J455" s="3" t="s">
        <v>974</v>
      </c>
      <c r="K455" s="3" t="s">
        <v>993</v>
      </c>
      <c r="L455" s="3">
        <f>IF(G455="High",3,IF(G455="Medium",2,1))</f>
        <v>1</v>
      </c>
    </row>
    <row r="456" spans="1:12">
      <c r="A456" s="3" t="s">
        <v>1449</v>
      </c>
      <c r="B456" s="3" t="s">
        <v>509</v>
      </c>
      <c r="C456" s="3" t="s">
        <v>976</v>
      </c>
      <c r="D456" s="3" t="s">
        <v>991</v>
      </c>
      <c r="E456" s="3" t="s">
        <v>42</v>
      </c>
      <c r="F456" s="3" t="s">
        <v>42</v>
      </c>
      <c r="G456" s="3" t="str">
        <f>INDEX(Risk_Matrix!$B$2:$D$4,MATCH(E456,Risk_Matrix!$A$2:$A$4,0),MATCH(F456,Risk_Matrix!$B$1:$D$1,0))</f>
        <v>High</v>
      </c>
      <c r="H456" s="10">
        <v>46199</v>
      </c>
      <c r="I456" s="3" t="s">
        <v>967</v>
      </c>
      <c r="J456" s="3" t="s">
        <v>968</v>
      </c>
      <c r="K456" s="3" t="s">
        <v>960</v>
      </c>
      <c r="L456" s="3">
        <f>IF(G456="High",3,IF(G456="Medium",2,1))</f>
        <v>3</v>
      </c>
    </row>
    <row r="457" spans="1:12">
      <c r="A457" s="3" t="s">
        <v>1450</v>
      </c>
      <c r="B457" s="3" t="s">
        <v>509</v>
      </c>
      <c r="C457" s="3" t="s">
        <v>979</v>
      </c>
      <c r="D457" s="3" t="s">
        <v>1028</v>
      </c>
      <c r="E457" s="3" t="s">
        <v>942</v>
      </c>
      <c r="F457" s="3" t="s">
        <v>47</v>
      </c>
      <c r="G457" s="3" t="str">
        <f>INDEX(Risk_Matrix!$B$2:$D$4,MATCH(E457,Risk_Matrix!$A$2:$A$4,0),MATCH(F457,Risk_Matrix!$B$1:$D$1,0))</f>
        <v>Low</v>
      </c>
      <c r="H457" s="10">
        <v>46075</v>
      </c>
      <c r="I457" s="3" t="s">
        <v>967</v>
      </c>
      <c r="J457" s="3" t="s">
        <v>968</v>
      </c>
      <c r="K457" s="3" t="s">
        <v>983</v>
      </c>
      <c r="L457" s="3">
        <f>IF(G457="High",3,IF(G457="Medium",2,1))</f>
        <v>1</v>
      </c>
    </row>
    <row r="458" spans="1:12">
      <c r="A458" s="3" t="s">
        <v>1451</v>
      </c>
      <c r="B458" s="3" t="s">
        <v>511</v>
      </c>
      <c r="C458" s="3" t="s">
        <v>956</v>
      </c>
      <c r="D458" s="3" t="s">
        <v>1020</v>
      </c>
      <c r="E458" s="3" t="s">
        <v>942</v>
      </c>
      <c r="F458" s="3" t="s">
        <v>942</v>
      </c>
      <c r="G458" s="3" t="str">
        <f>INDEX(Risk_Matrix!$B$2:$D$4,MATCH(E458,Risk_Matrix!$A$2:$A$4,0),MATCH(F458,Risk_Matrix!$B$1:$D$1,0))</f>
        <v>Medium</v>
      </c>
      <c r="H458" s="10">
        <v>46171</v>
      </c>
      <c r="I458" s="3" t="s">
        <v>973</v>
      </c>
      <c r="J458" s="3" t="s">
        <v>974</v>
      </c>
      <c r="K458" s="3" t="s">
        <v>993</v>
      </c>
      <c r="L458" s="3">
        <f>IF(G458="High",3,IF(G458="Medium",2,1))</f>
        <v>2</v>
      </c>
    </row>
    <row r="459" spans="1:12">
      <c r="A459" s="3" t="s">
        <v>1452</v>
      </c>
      <c r="B459" s="3" t="s">
        <v>511</v>
      </c>
      <c r="C459" s="3" t="s">
        <v>962</v>
      </c>
      <c r="D459" s="3" t="s">
        <v>963</v>
      </c>
      <c r="E459" s="3" t="s">
        <v>47</v>
      </c>
      <c r="F459" s="3" t="s">
        <v>47</v>
      </c>
      <c r="G459" s="3" t="str">
        <f>INDEX(Risk_Matrix!$B$2:$D$4,MATCH(E459,Risk_Matrix!$A$2:$A$4,0),MATCH(F459,Risk_Matrix!$B$1:$D$1,0))</f>
        <v>Low</v>
      </c>
      <c r="H459" s="10">
        <v>46102</v>
      </c>
      <c r="I459" s="3" t="s">
        <v>973</v>
      </c>
      <c r="J459" s="3" t="s">
        <v>974</v>
      </c>
      <c r="K459" s="3" t="s">
        <v>983</v>
      </c>
      <c r="L459" s="3">
        <f>IF(G459="High",3,IF(G459="Medium",2,1))</f>
        <v>1</v>
      </c>
    </row>
    <row r="460" spans="1:12">
      <c r="A460" s="3" t="s">
        <v>1453</v>
      </c>
      <c r="B460" s="3" t="s">
        <v>511</v>
      </c>
      <c r="C460" s="3" t="s">
        <v>965</v>
      </c>
      <c r="D460" s="3" t="s">
        <v>988</v>
      </c>
      <c r="E460" s="3" t="s">
        <v>942</v>
      </c>
      <c r="F460" s="3" t="s">
        <v>47</v>
      </c>
      <c r="G460" s="3" t="str">
        <f>INDEX(Risk_Matrix!$B$2:$D$4,MATCH(E460,Risk_Matrix!$A$2:$A$4,0),MATCH(F460,Risk_Matrix!$B$1:$D$1,0))</f>
        <v>Low</v>
      </c>
      <c r="H460" s="10">
        <v>46103</v>
      </c>
      <c r="I460" s="3" t="s">
        <v>973</v>
      </c>
      <c r="J460" s="3" t="s">
        <v>974</v>
      </c>
      <c r="K460" s="3" t="s">
        <v>960</v>
      </c>
      <c r="L460" s="3">
        <f>IF(G460="High",3,IF(G460="Medium",2,1))</f>
        <v>1</v>
      </c>
    </row>
    <row r="461" spans="1:12">
      <c r="A461" s="3" t="s">
        <v>1454</v>
      </c>
      <c r="B461" s="3" t="s">
        <v>511</v>
      </c>
      <c r="C461" s="3" t="s">
        <v>971</v>
      </c>
      <c r="D461" s="3" t="s">
        <v>972</v>
      </c>
      <c r="E461" s="3" t="s">
        <v>47</v>
      </c>
      <c r="F461" s="3" t="s">
        <v>942</v>
      </c>
      <c r="G461" s="3" t="str">
        <f>INDEX(Risk_Matrix!$B$2:$D$4,MATCH(E461,Risk_Matrix!$A$2:$A$4,0),MATCH(F461,Risk_Matrix!$B$1:$D$1,0))</f>
        <v>Low</v>
      </c>
      <c r="H461" s="10">
        <v>46158</v>
      </c>
      <c r="I461" s="3" t="s">
        <v>973</v>
      </c>
      <c r="J461" s="3" t="s">
        <v>974</v>
      </c>
      <c r="K461" s="3" t="s">
        <v>1000</v>
      </c>
      <c r="L461" s="3">
        <f>IF(G461="High",3,IF(G461="Medium",2,1))</f>
        <v>1</v>
      </c>
    </row>
    <row r="462" spans="1:12">
      <c r="A462" s="3" t="s">
        <v>1455</v>
      </c>
      <c r="B462" s="3" t="s">
        <v>511</v>
      </c>
      <c r="C462" s="3" t="s">
        <v>976</v>
      </c>
      <c r="D462" s="3" t="s">
        <v>1002</v>
      </c>
      <c r="E462" s="3" t="s">
        <v>42</v>
      </c>
      <c r="F462" s="3" t="s">
        <v>47</v>
      </c>
      <c r="G462" s="3" t="str">
        <f>INDEX(Risk_Matrix!$B$2:$D$4,MATCH(E462,Risk_Matrix!$A$2:$A$4,0),MATCH(F462,Risk_Matrix!$B$1:$D$1,0))</f>
        <v>Medium</v>
      </c>
      <c r="H462" s="10">
        <v>46148</v>
      </c>
      <c r="I462" s="3" t="s">
        <v>967</v>
      </c>
      <c r="J462" s="3" t="s">
        <v>968</v>
      </c>
      <c r="K462" s="3" t="s">
        <v>960</v>
      </c>
      <c r="L462" s="3">
        <f>IF(G462="High",3,IF(G462="Medium",2,1))</f>
        <v>2</v>
      </c>
    </row>
    <row r="463" spans="1:12">
      <c r="A463" s="3" t="s">
        <v>1456</v>
      </c>
      <c r="B463" s="3" t="s">
        <v>511</v>
      </c>
      <c r="C463" s="3" t="s">
        <v>979</v>
      </c>
      <c r="D463" s="3" t="s">
        <v>980</v>
      </c>
      <c r="E463" s="3" t="s">
        <v>42</v>
      </c>
      <c r="F463" s="3" t="s">
        <v>42</v>
      </c>
      <c r="G463" s="3" t="str">
        <f>INDEX(Risk_Matrix!$B$2:$D$4,MATCH(E463,Risk_Matrix!$A$2:$A$4,0),MATCH(F463,Risk_Matrix!$B$1:$D$1,0))</f>
        <v>High</v>
      </c>
      <c r="H463" s="10">
        <v>46170</v>
      </c>
      <c r="I463" s="3" t="s">
        <v>973</v>
      </c>
      <c r="J463" s="3" t="s">
        <v>974</v>
      </c>
      <c r="K463" s="3" t="s">
        <v>993</v>
      </c>
      <c r="L463" s="3">
        <f>IF(G463="High",3,IF(G463="Medium",2,1))</f>
        <v>3</v>
      </c>
    </row>
    <row r="464" spans="1:12">
      <c r="A464" s="3" t="s">
        <v>1457</v>
      </c>
      <c r="B464" s="3" t="s">
        <v>512</v>
      </c>
      <c r="C464" s="3" t="s">
        <v>956</v>
      </c>
      <c r="D464" s="3" t="s">
        <v>995</v>
      </c>
      <c r="E464" s="3" t="s">
        <v>942</v>
      </c>
      <c r="F464" s="3" t="s">
        <v>47</v>
      </c>
      <c r="G464" s="3" t="str">
        <f>INDEX(Risk_Matrix!$B$2:$D$4,MATCH(E464,Risk_Matrix!$A$2:$A$4,0),MATCH(F464,Risk_Matrix!$B$1:$D$1,0))</f>
        <v>Low</v>
      </c>
      <c r="H464" s="10">
        <v>46177</v>
      </c>
      <c r="I464" s="3" t="s">
        <v>981</v>
      </c>
      <c r="J464" s="3" t="s">
        <v>982</v>
      </c>
      <c r="K464" s="3" t="s">
        <v>1000</v>
      </c>
      <c r="L464" s="3">
        <f>IF(G464="High",3,IF(G464="Medium",2,1))</f>
        <v>1</v>
      </c>
    </row>
    <row r="465" spans="1:12">
      <c r="A465" s="3" t="s">
        <v>1458</v>
      </c>
      <c r="B465" s="3" t="s">
        <v>512</v>
      </c>
      <c r="C465" s="3" t="s">
        <v>962</v>
      </c>
      <c r="D465" s="3" t="s">
        <v>1037</v>
      </c>
      <c r="E465" s="3" t="s">
        <v>942</v>
      </c>
      <c r="F465" s="3" t="s">
        <v>942</v>
      </c>
      <c r="G465" s="3" t="str">
        <f>INDEX(Risk_Matrix!$B$2:$D$4,MATCH(E465,Risk_Matrix!$A$2:$A$4,0),MATCH(F465,Risk_Matrix!$B$1:$D$1,0))</f>
        <v>Medium</v>
      </c>
      <c r="H465" s="10">
        <v>46158</v>
      </c>
      <c r="I465" s="3" t="s">
        <v>958</v>
      </c>
      <c r="J465" s="3" t="s">
        <v>959</v>
      </c>
      <c r="K465" s="3" t="s">
        <v>1000</v>
      </c>
      <c r="L465" s="3">
        <f>IF(G465="High",3,IF(G465="Medium",2,1))</f>
        <v>2</v>
      </c>
    </row>
    <row r="466" spans="1:12">
      <c r="A466" s="3" t="s">
        <v>1459</v>
      </c>
      <c r="B466" s="3" t="s">
        <v>512</v>
      </c>
      <c r="C466" s="3" t="s">
        <v>965</v>
      </c>
      <c r="D466" s="3" t="s">
        <v>1023</v>
      </c>
      <c r="E466" s="3" t="s">
        <v>942</v>
      </c>
      <c r="F466" s="3" t="s">
        <v>942</v>
      </c>
      <c r="G466" s="3" t="str">
        <f>INDEX(Risk_Matrix!$B$2:$D$4,MATCH(E466,Risk_Matrix!$A$2:$A$4,0),MATCH(F466,Risk_Matrix!$B$1:$D$1,0))</f>
        <v>Medium</v>
      </c>
      <c r="H466" s="10">
        <v>46213</v>
      </c>
      <c r="I466" s="3" t="s">
        <v>973</v>
      </c>
      <c r="J466" s="3" t="s">
        <v>974</v>
      </c>
      <c r="K466" s="3" t="s">
        <v>1000</v>
      </c>
      <c r="L466" s="3">
        <f>IF(G466="High",3,IF(G466="Medium",2,1))</f>
        <v>2</v>
      </c>
    </row>
    <row r="467" spans="1:12">
      <c r="A467" s="3" t="s">
        <v>1460</v>
      </c>
      <c r="B467" s="3" t="s">
        <v>512</v>
      </c>
      <c r="C467" s="3" t="s">
        <v>971</v>
      </c>
      <c r="D467" s="3" t="s">
        <v>972</v>
      </c>
      <c r="E467" s="3" t="s">
        <v>942</v>
      </c>
      <c r="F467" s="3" t="s">
        <v>47</v>
      </c>
      <c r="G467" s="3" t="str">
        <f>INDEX(Risk_Matrix!$B$2:$D$4,MATCH(E467,Risk_Matrix!$A$2:$A$4,0),MATCH(F467,Risk_Matrix!$B$1:$D$1,0))</f>
        <v>Low</v>
      </c>
      <c r="H467" s="10">
        <v>46174</v>
      </c>
      <c r="I467" s="3" t="s">
        <v>967</v>
      </c>
      <c r="J467" s="3" t="s">
        <v>968</v>
      </c>
      <c r="K467" s="3" t="s">
        <v>983</v>
      </c>
      <c r="L467" s="3">
        <f>IF(G467="High",3,IF(G467="Medium",2,1))</f>
        <v>1</v>
      </c>
    </row>
    <row r="468" spans="1:12">
      <c r="A468" s="3" t="s">
        <v>1461</v>
      </c>
      <c r="B468" s="3" t="s">
        <v>512</v>
      </c>
      <c r="C468" s="3" t="s">
        <v>976</v>
      </c>
      <c r="D468" s="3" t="s">
        <v>977</v>
      </c>
      <c r="E468" s="3" t="s">
        <v>47</v>
      </c>
      <c r="F468" s="3" t="s">
        <v>47</v>
      </c>
      <c r="G468" s="3" t="str">
        <f>INDEX(Risk_Matrix!$B$2:$D$4,MATCH(E468,Risk_Matrix!$A$2:$A$4,0),MATCH(F468,Risk_Matrix!$B$1:$D$1,0))</f>
        <v>Low</v>
      </c>
      <c r="H468" s="10">
        <v>46070</v>
      </c>
      <c r="I468" s="3" t="s">
        <v>981</v>
      </c>
      <c r="J468" s="3" t="s">
        <v>982</v>
      </c>
      <c r="K468" s="3" t="s">
        <v>983</v>
      </c>
      <c r="L468" s="3">
        <f>IF(G468="High",3,IF(G468="Medium",2,1))</f>
        <v>1</v>
      </c>
    </row>
    <row r="469" spans="1:12">
      <c r="A469" s="3" t="s">
        <v>1462</v>
      </c>
      <c r="B469" s="3" t="s">
        <v>512</v>
      </c>
      <c r="C469" s="3" t="s">
        <v>979</v>
      </c>
      <c r="D469" s="3" t="s">
        <v>980</v>
      </c>
      <c r="E469" s="3" t="s">
        <v>942</v>
      </c>
      <c r="F469" s="3" t="s">
        <v>942</v>
      </c>
      <c r="G469" s="3" t="str">
        <f>INDEX(Risk_Matrix!$B$2:$D$4,MATCH(E469,Risk_Matrix!$A$2:$A$4,0),MATCH(F469,Risk_Matrix!$B$1:$D$1,0))</f>
        <v>Medium</v>
      </c>
      <c r="H469" s="10">
        <v>46084</v>
      </c>
      <c r="I469" s="3" t="s">
        <v>973</v>
      </c>
      <c r="J469" s="3" t="s">
        <v>974</v>
      </c>
      <c r="K469" s="3" t="s">
        <v>983</v>
      </c>
      <c r="L469" s="3">
        <f>IF(G469="High",3,IF(G469="Medium",2,1))</f>
        <v>2</v>
      </c>
    </row>
    <row r="470" spans="1:12">
      <c r="A470" s="3" t="s">
        <v>1463</v>
      </c>
      <c r="B470" s="3" t="s">
        <v>514</v>
      </c>
      <c r="C470" s="3" t="s">
        <v>956</v>
      </c>
      <c r="D470" s="3" t="s">
        <v>1012</v>
      </c>
      <c r="E470" s="3" t="s">
        <v>942</v>
      </c>
      <c r="F470" s="3" t="s">
        <v>42</v>
      </c>
      <c r="G470" s="3" t="str">
        <f>INDEX(Risk_Matrix!$B$2:$D$4,MATCH(E470,Risk_Matrix!$A$2:$A$4,0),MATCH(F470,Risk_Matrix!$B$1:$D$1,0))</f>
        <v>High</v>
      </c>
      <c r="H470" s="10">
        <v>46191</v>
      </c>
      <c r="I470" s="3" t="s">
        <v>967</v>
      </c>
      <c r="J470" s="3" t="s">
        <v>968</v>
      </c>
      <c r="K470" s="3" t="s">
        <v>993</v>
      </c>
      <c r="L470" s="3">
        <f>IF(G470="High",3,IF(G470="Medium",2,1))</f>
        <v>3</v>
      </c>
    </row>
    <row r="471" spans="1:12">
      <c r="A471" s="3" t="s">
        <v>1464</v>
      </c>
      <c r="B471" s="3" t="s">
        <v>514</v>
      </c>
      <c r="C471" s="3" t="s">
        <v>962</v>
      </c>
      <c r="D471" s="3" t="s">
        <v>1037</v>
      </c>
      <c r="E471" s="3" t="s">
        <v>47</v>
      </c>
      <c r="F471" s="3" t="s">
        <v>47</v>
      </c>
      <c r="G471" s="3" t="str">
        <f>INDEX(Risk_Matrix!$B$2:$D$4,MATCH(E471,Risk_Matrix!$A$2:$A$4,0),MATCH(F471,Risk_Matrix!$B$1:$D$1,0))</f>
        <v>Low</v>
      </c>
      <c r="H471" s="10">
        <v>46075</v>
      </c>
      <c r="I471" s="3" t="s">
        <v>981</v>
      </c>
      <c r="J471" s="3" t="s">
        <v>982</v>
      </c>
      <c r="K471" s="3" t="s">
        <v>960</v>
      </c>
      <c r="L471" s="3">
        <f>IF(G471="High",3,IF(G471="Medium",2,1))</f>
        <v>1</v>
      </c>
    </row>
    <row r="472" spans="1:12">
      <c r="A472" s="3" t="s">
        <v>1465</v>
      </c>
      <c r="B472" s="3" t="s">
        <v>514</v>
      </c>
      <c r="C472" s="3" t="s">
        <v>965</v>
      </c>
      <c r="D472" s="3" t="s">
        <v>966</v>
      </c>
      <c r="E472" s="3" t="s">
        <v>942</v>
      </c>
      <c r="F472" s="3" t="s">
        <v>942</v>
      </c>
      <c r="G472" s="3" t="str">
        <f>INDEX(Risk_Matrix!$B$2:$D$4,MATCH(E472,Risk_Matrix!$A$2:$A$4,0),MATCH(F472,Risk_Matrix!$B$1:$D$1,0))</f>
        <v>Medium</v>
      </c>
      <c r="H472" s="10">
        <v>46156</v>
      </c>
      <c r="I472" s="3" t="s">
        <v>967</v>
      </c>
      <c r="J472" s="3" t="s">
        <v>968</v>
      </c>
      <c r="K472" s="3" t="s">
        <v>969</v>
      </c>
      <c r="L472" s="3">
        <f>IF(G472="High",3,IF(G472="Medium",2,1))</f>
        <v>2</v>
      </c>
    </row>
    <row r="473" spans="1:12">
      <c r="A473" s="3" t="s">
        <v>1466</v>
      </c>
      <c r="B473" s="3" t="s">
        <v>514</v>
      </c>
      <c r="C473" s="3" t="s">
        <v>971</v>
      </c>
      <c r="D473" s="3" t="s">
        <v>972</v>
      </c>
      <c r="E473" s="3" t="s">
        <v>942</v>
      </c>
      <c r="F473" s="3" t="s">
        <v>47</v>
      </c>
      <c r="G473" s="3" t="str">
        <f>INDEX(Risk_Matrix!$B$2:$D$4,MATCH(E473,Risk_Matrix!$A$2:$A$4,0),MATCH(F473,Risk_Matrix!$B$1:$D$1,0))</f>
        <v>Low</v>
      </c>
      <c r="H473" s="10">
        <v>46139</v>
      </c>
      <c r="I473" s="3" t="s">
        <v>973</v>
      </c>
      <c r="J473" s="3" t="s">
        <v>974</v>
      </c>
      <c r="K473" s="3" t="s">
        <v>969</v>
      </c>
      <c r="L473" s="3">
        <f>IF(G473="High",3,IF(G473="Medium",2,1))</f>
        <v>1</v>
      </c>
    </row>
    <row r="474" spans="1:12">
      <c r="A474" s="3" t="s">
        <v>1467</v>
      </c>
      <c r="B474" s="3" t="s">
        <v>514</v>
      </c>
      <c r="C474" s="3" t="s">
        <v>976</v>
      </c>
      <c r="D474" s="3" t="s">
        <v>977</v>
      </c>
      <c r="E474" s="3" t="s">
        <v>47</v>
      </c>
      <c r="F474" s="3" t="s">
        <v>942</v>
      </c>
      <c r="G474" s="3" t="str">
        <f>INDEX(Risk_Matrix!$B$2:$D$4,MATCH(E474,Risk_Matrix!$A$2:$A$4,0),MATCH(F474,Risk_Matrix!$B$1:$D$1,0))</f>
        <v>Low</v>
      </c>
      <c r="H474" s="10">
        <v>46221</v>
      </c>
      <c r="I474" s="3" t="s">
        <v>973</v>
      </c>
      <c r="J474" s="3" t="s">
        <v>974</v>
      </c>
      <c r="K474" s="3" t="s">
        <v>960</v>
      </c>
      <c r="L474" s="3">
        <f>IF(G474="High",3,IF(G474="Medium",2,1))</f>
        <v>1</v>
      </c>
    </row>
    <row r="475" spans="1:12">
      <c r="A475" s="3" t="s">
        <v>1468</v>
      </c>
      <c r="B475" s="3" t="s">
        <v>514</v>
      </c>
      <c r="C475" s="3" t="s">
        <v>979</v>
      </c>
      <c r="D475" s="3" t="s">
        <v>1004</v>
      </c>
      <c r="E475" s="3" t="s">
        <v>942</v>
      </c>
      <c r="F475" s="3" t="s">
        <v>47</v>
      </c>
      <c r="G475" s="3" t="str">
        <f>INDEX(Risk_Matrix!$B$2:$D$4,MATCH(E475,Risk_Matrix!$A$2:$A$4,0),MATCH(F475,Risk_Matrix!$B$1:$D$1,0))</f>
        <v>Low</v>
      </c>
      <c r="H475" s="10">
        <v>46202</v>
      </c>
      <c r="I475" s="3" t="s">
        <v>967</v>
      </c>
      <c r="J475" s="3" t="s">
        <v>968</v>
      </c>
      <c r="K475" s="3" t="s">
        <v>1000</v>
      </c>
      <c r="L475" s="3">
        <f>IF(G475="High",3,IF(G475="Medium",2,1))</f>
        <v>1</v>
      </c>
    </row>
    <row r="476" spans="1:12">
      <c r="A476" s="3" t="s">
        <v>1469</v>
      </c>
      <c r="B476" s="3" t="s">
        <v>517</v>
      </c>
      <c r="C476" s="3" t="s">
        <v>956</v>
      </c>
      <c r="D476" s="3" t="s">
        <v>1012</v>
      </c>
      <c r="E476" s="3" t="s">
        <v>47</v>
      </c>
      <c r="F476" s="3" t="s">
        <v>942</v>
      </c>
      <c r="G476" s="3" t="str">
        <f>INDEX(Risk_Matrix!$B$2:$D$4,MATCH(E476,Risk_Matrix!$A$2:$A$4,0),MATCH(F476,Risk_Matrix!$B$1:$D$1,0))</f>
        <v>Low</v>
      </c>
      <c r="H476" s="10">
        <v>46172</v>
      </c>
      <c r="I476" s="3" t="s">
        <v>981</v>
      </c>
      <c r="J476" s="3" t="s">
        <v>982</v>
      </c>
      <c r="K476" s="3" t="s">
        <v>993</v>
      </c>
      <c r="L476" s="3">
        <f>IF(G476="High",3,IF(G476="Medium",2,1))</f>
        <v>1</v>
      </c>
    </row>
    <row r="477" spans="1:12">
      <c r="A477" s="3" t="s">
        <v>1470</v>
      </c>
      <c r="B477" s="3" t="s">
        <v>517</v>
      </c>
      <c r="C477" s="3" t="s">
        <v>962</v>
      </c>
      <c r="D477" s="3" t="s">
        <v>963</v>
      </c>
      <c r="E477" s="3" t="s">
        <v>47</v>
      </c>
      <c r="F477" s="3" t="s">
        <v>942</v>
      </c>
      <c r="G477" s="3" t="str">
        <f>INDEX(Risk_Matrix!$B$2:$D$4,MATCH(E477,Risk_Matrix!$A$2:$A$4,0),MATCH(F477,Risk_Matrix!$B$1:$D$1,0))</f>
        <v>Low</v>
      </c>
      <c r="H477" s="10">
        <v>46124</v>
      </c>
      <c r="I477" s="3" t="s">
        <v>973</v>
      </c>
      <c r="J477" s="3" t="s">
        <v>974</v>
      </c>
      <c r="K477" s="3" t="s">
        <v>993</v>
      </c>
      <c r="L477" s="3">
        <f>IF(G477="High",3,IF(G477="Medium",2,1))</f>
        <v>1</v>
      </c>
    </row>
    <row r="478" spans="1:12">
      <c r="A478" s="3" t="s">
        <v>1471</v>
      </c>
      <c r="B478" s="3" t="s">
        <v>517</v>
      </c>
      <c r="C478" s="3" t="s">
        <v>965</v>
      </c>
      <c r="D478" s="3" t="s">
        <v>988</v>
      </c>
      <c r="E478" s="3" t="s">
        <v>47</v>
      </c>
      <c r="F478" s="3" t="s">
        <v>942</v>
      </c>
      <c r="G478" s="3" t="str">
        <f>INDEX(Risk_Matrix!$B$2:$D$4,MATCH(E478,Risk_Matrix!$A$2:$A$4,0),MATCH(F478,Risk_Matrix!$B$1:$D$1,0))</f>
        <v>Low</v>
      </c>
      <c r="H478" s="10">
        <v>46068</v>
      </c>
      <c r="I478" s="3" t="s">
        <v>981</v>
      </c>
      <c r="J478" s="3" t="s">
        <v>982</v>
      </c>
      <c r="K478" s="3" t="s">
        <v>960</v>
      </c>
      <c r="L478" s="3">
        <f>IF(G478="High",3,IF(G478="Medium",2,1))</f>
        <v>1</v>
      </c>
    </row>
    <row r="479" spans="1:12">
      <c r="A479" s="3" t="s">
        <v>1472</v>
      </c>
      <c r="B479" s="3" t="s">
        <v>517</v>
      </c>
      <c r="C479" s="3" t="s">
        <v>971</v>
      </c>
      <c r="D479" s="3" t="s">
        <v>1025</v>
      </c>
      <c r="E479" s="3" t="s">
        <v>47</v>
      </c>
      <c r="F479" s="3" t="s">
        <v>47</v>
      </c>
      <c r="G479" s="3" t="str">
        <f>INDEX(Risk_Matrix!$B$2:$D$4,MATCH(E479,Risk_Matrix!$A$2:$A$4,0),MATCH(F479,Risk_Matrix!$B$1:$D$1,0))</f>
        <v>Low</v>
      </c>
      <c r="H479" s="10">
        <v>46238</v>
      </c>
      <c r="I479" s="3" t="s">
        <v>973</v>
      </c>
      <c r="J479" s="3" t="s">
        <v>974</v>
      </c>
      <c r="K479" s="3" t="s">
        <v>1000</v>
      </c>
      <c r="L479" s="3">
        <f>IF(G479="High",3,IF(G479="Medium",2,1))</f>
        <v>1</v>
      </c>
    </row>
    <row r="480" spans="1:12">
      <c r="A480" s="3" t="s">
        <v>1473</v>
      </c>
      <c r="B480" s="3" t="s">
        <v>517</v>
      </c>
      <c r="C480" s="3" t="s">
        <v>976</v>
      </c>
      <c r="D480" s="3" t="s">
        <v>1002</v>
      </c>
      <c r="E480" s="3" t="s">
        <v>42</v>
      </c>
      <c r="F480" s="3" t="s">
        <v>47</v>
      </c>
      <c r="G480" s="3" t="str">
        <f>INDEX(Risk_Matrix!$B$2:$D$4,MATCH(E480,Risk_Matrix!$A$2:$A$4,0),MATCH(F480,Risk_Matrix!$B$1:$D$1,0))</f>
        <v>Medium</v>
      </c>
      <c r="H480" s="10">
        <v>46221</v>
      </c>
      <c r="I480" s="3" t="s">
        <v>967</v>
      </c>
      <c r="J480" s="3" t="s">
        <v>968</v>
      </c>
      <c r="K480" s="3" t="s">
        <v>1000</v>
      </c>
      <c r="L480" s="3">
        <f>IF(G480="High",3,IF(G480="Medium",2,1))</f>
        <v>2</v>
      </c>
    </row>
    <row r="481" spans="1:12">
      <c r="A481" s="3" t="s">
        <v>1474</v>
      </c>
      <c r="B481" s="3" t="s">
        <v>517</v>
      </c>
      <c r="C481" s="3" t="s">
        <v>979</v>
      </c>
      <c r="D481" s="3" t="s">
        <v>1004</v>
      </c>
      <c r="E481" s="3" t="s">
        <v>47</v>
      </c>
      <c r="F481" s="3" t="s">
        <v>42</v>
      </c>
      <c r="G481" s="3" t="str">
        <f>INDEX(Risk_Matrix!$B$2:$D$4,MATCH(E481,Risk_Matrix!$A$2:$A$4,0),MATCH(F481,Risk_Matrix!$B$1:$D$1,0))</f>
        <v>Medium</v>
      </c>
      <c r="H481" s="10">
        <v>46115</v>
      </c>
      <c r="I481" s="3" t="s">
        <v>981</v>
      </c>
      <c r="J481" s="3" t="s">
        <v>982</v>
      </c>
      <c r="K481" s="3" t="s">
        <v>993</v>
      </c>
      <c r="L481" s="3">
        <f>IF(G481="High",3,IF(G481="Medium",2,1))</f>
        <v>2</v>
      </c>
    </row>
    <row r="482" spans="1:12">
      <c r="A482" s="3" t="s">
        <v>1475</v>
      </c>
      <c r="B482" s="3" t="s">
        <v>519</v>
      </c>
      <c r="C482" s="3" t="s">
        <v>956</v>
      </c>
      <c r="D482" s="3" t="s">
        <v>995</v>
      </c>
      <c r="E482" s="3" t="s">
        <v>47</v>
      </c>
      <c r="F482" s="3" t="s">
        <v>47</v>
      </c>
      <c r="G482" s="3" t="str">
        <f>INDEX(Risk_Matrix!$B$2:$D$4,MATCH(E482,Risk_Matrix!$A$2:$A$4,0),MATCH(F482,Risk_Matrix!$B$1:$D$1,0))</f>
        <v>Low</v>
      </c>
      <c r="H482" s="10">
        <v>46073</v>
      </c>
      <c r="I482" s="3" t="s">
        <v>973</v>
      </c>
      <c r="J482" s="3" t="s">
        <v>974</v>
      </c>
      <c r="K482" s="3" t="s">
        <v>993</v>
      </c>
      <c r="L482" s="3">
        <f>IF(G482="High",3,IF(G482="Medium",2,1))</f>
        <v>1</v>
      </c>
    </row>
    <row r="483" spans="1:12">
      <c r="A483" s="3" t="s">
        <v>1476</v>
      </c>
      <c r="B483" s="3" t="s">
        <v>519</v>
      </c>
      <c r="C483" s="3" t="s">
        <v>962</v>
      </c>
      <c r="D483" s="3" t="s">
        <v>986</v>
      </c>
      <c r="E483" s="3" t="s">
        <v>942</v>
      </c>
      <c r="F483" s="3" t="s">
        <v>42</v>
      </c>
      <c r="G483" s="3" t="str">
        <f>INDEX(Risk_Matrix!$B$2:$D$4,MATCH(E483,Risk_Matrix!$A$2:$A$4,0),MATCH(F483,Risk_Matrix!$B$1:$D$1,0))</f>
        <v>High</v>
      </c>
      <c r="H483" s="10">
        <v>46121</v>
      </c>
      <c r="I483" s="3" t="s">
        <v>973</v>
      </c>
      <c r="J483" s="3" t="s">
        <v>974</v>
      </c>
      <c r="K483" s="3" t="s">
        <v>969</v>
      </c>
      <c r="L483" s="3">
        <f>IF(G483="High",3,IF(G483="Medium",2,1))</f>
        <v>3</v>
      </c>
    </row>
    <row r="484" spans="1:12">
      <c r="A484" s="3" t="s">
        <v>1477</v>
      </c>
      <c r="B484" s="3" t="s">
        <v>519</v>
      </c>
      <c r="C484" s="3" t="s">
        <v>965</v>
      </c>
      <c r="D484" s="3" t="s">
        <v>1039</v>
      </c>
      <c r="E484" s="3" t="s">
        <v>47</v>
      </c>
      <c r="F484" s="3" t="s">
        <v>47</v>
      </c>
      <c r="G484" s="3" t="str">
        <f>INDEX(Risk_Matrix!$B$2:$D$4,MATCH(E484,Risk_Matrix!$A$2:$A$4,0),MATCH(F484,Risk_Matrix!$B$1:$D$1,0))</f>
        <v>Low</v>
      </c>
      <c r="H484" s="10">
        <v>46190</v>
      </c>
      <c r="I484" s="3" t="s">
        <v>973</v>
      </c>
      <c r="J484" s="3" t="s">
        <v>974</v>
      </c>
      <c r="K484" s="3" t="s">
        <v>969</v>
      </c>
      <c r="L484" s="3">
        <f>IF(G484="High",3,IF(G484="Medium",2,1))</f>
        <v>1</v>
      </c>
    </row>
    <row r="485" spans="1:12">
      <c r="A485" s="3" t="s">
        <v>1478</v>
      </c>
      <c r="B485" s="3" t="s">
        <v>519</v>
      </c>
      <c r="C485" s="3" t="s">
        <v>971</v>
      </c>
      <c r="D485" s="3" t="s">
        <v>1016</v>
      </c>
      <c r="E485" s="3" t="s">
        <v>47</v>
      </c>
      <c r="F485" s="3" t="s">
        <v>47</v>
      </c>
      <c r="G485" s="3" t="str">
        <f>INDEX(Risk_Matrix!$B$2:$D$4,MATCH(E485,Risk_Matrix!$A$2:$A$4,0),MATCH(F485,Risk_Matrix!$B$1:$D$1,0))</f>
        <v>Low</v>
      </c>
      <c r="H485" s="10">
        <v>46114</v>
      </c>
      <c r="I485" s="3" t="s">
        <v>967</v>
      </c>
      <c r="J485" s="3" t="s">
        <v>968</v>
      </c>
      <c r="K485" s="3" t="s">
        <v>993</v>
      </c>
      <c r="L485" s="3">
        <f>IF(G485="High",3,IF(G485="Medium",2,1))</f>
        <v>1</v>
      </c>
    </row>
    <row r="486" spans="1:12">
      <c r="A486" s="3" t="s">
        <v>1479</v>
      </c>
      <c r="B486" s="3" t="s">
        <v>519</v>
      </c>
      <c r="C486" s="3" t="s">
        <v>976</v>
      </c>
      <c r="D486" s="3" t="s">
        <v>1002</v>
      </c>
      <c r="E486" s="3" t="s">
        <v>47</v>
      </c>
      <c r="F486" s="3" t="s">
        <v>47</v>
      </c>
      <c r="G486" s="3" t="str">
        <f>INDEX(Risk_Matrix!$B$2:$D$4,MATCH(E486,Risk_Matrix!$A$2:$A$4,0),MATCH(F486,Risk_Matrix!$B$1:$D$1,0))</f>
        <v>Low</v>
      </c>
      <c r="H486" s="10">
        <v>46232</v>
      </c>
      <c r="I486" s="3" t="s">
        <v>973</v>
      </c>
      <c r="J486" s="3" t="s">
        <v>974</v>
      </c>
      <c r="K486" s="3" t="s">
        <v>1000</v>
      </c>
      <c r="L486" s="3">
        <f>IF(G486="High",3,IF(G486="Medium",2,1))</f>
        <v>1</v>
      </c>
    </row>
    <row r="487" spans="1:12">
      <c r="A487" s="3" t="s">
        <v>1480</v>
      </c>
      <c r="B487" s="3" t="s">
        <v>519</v>
      </c>
      <c r="C487" s="3" t="s">
        <v>979</v>
      </c>
      <c r="D487" s="3" t="s">
        <v>1004</v>
      </c>
      <c r="E487" s="3" t="s">
        <v>47</v>
      </c>
      <c r="F487" s="3" t="s">
        <v>47</v>
      </c>
      <c r="G487" s="3" t="str">
        <f>INDEX(Risk_Matrix!$B$2:$D$4,MATCH(E487,Risk_Matrix!$A$2:$A$4,0),MATCH(F487,Risk_Matrix!$B$1:$D$1,0))</f>
        <v>Low</v>
      </c>
      <c r="H487" s="10">
        <v>46160</v>
      </c>
      <c r="I487" s="3" t="s">
        <v>967</v>
      </c>
      <c r="J487" s="3" t="s">
        <v>968</v>
      </c>
      <c r="K487" s="3" t="s">
        <v>960</v>
      </c>
      <c r="L487" s="3">
        <f>IF(G487="High",3,IF(G487="Medium",2,1))</f>
        <v>1</v>
      </c>
    </row>
    <row r="488" spans="1:12">
      <c r="A488" s="3" t="s">
        <v>1481</v>
      </c>
      <c r="B488" s="3" t="s">
        <v>521</v>
      </c>
      <c r="C488" s="3" t="s">
        <v>956</v>
      </c>
      <c r="D488" s="3" t="s">
        <v>1012</v>
      </c>
      <c r="E488" s="3" t="s">
        <v>42</v>
      </c>
      <c r="F488" s="3" t="s">
        <v>47</v>
      </c>
      <c r="G488" s="3" t="str">
        <f>INDEX(Risk_Matrix!$B$2:$D$4,MATCH(E488,Risk_Matrix!$A$2:$A$4,0),MATCH(F488,Risk_Matrix!$B$1:$D$1,0))</f>
        <v>Medium</v>
      </c>
      <c r="H488" s="10">
        <v>46152</v>
      </c>
      <c r="I488" s="3" t="s">
        <v>973</v>
      </c>
      <c r="J488" s="3" t="s">
        <v>974</v>
      </c>
      <c r="K488" s="3" t="s">
        <v>993</v>
      </c>
      <c r="L488" s="3">
        <f>IF(G488="High",3,IF(G488="Medium",2,1))</f>
        <v>2</v>
      </c>
    </row>
    <row r="489" spans="1:12">
      <c r="A489" s="3" t="s">
        <v>1482</v>
      </c>
      <c r="B489" s="3" t="s">
        <v>521</v>
      </c>
      <c r="C489" s="3" t="s">
        <v>962</v>
      </c>
      <c r="D489" s="3" t="s">
        <v>997</v>
      </c>
      <c r="E489" s="3" t="s">
        <v>47</v>
      </c>
      <c r="F489" s="3" t="s">
        <v>942</v>
      </c>
      <c r="G489" s="3" t="str">
        <f>INDEX(Risk_Matrix!$B$2:$D$4,MATCH(E489,Risk_Matrix!$A$2:$A$4,0),MATCH(F489,Risk_Matrix!$B$1:$D$1,0))</f>
        <v>Low</v>
      </c>
      <c r="H489" s="10">
        <v>46121</v>
      </c>
      <c r="I489" s="3" t="s">
        <v>967</v>
      </c>
      <c r="J489" s="3" t="s">
        <v>968</v>
      </c>
      <c r="K489" s="3" t="s">
        <v>1000</v>
      </c>
      <c r="L489" s="3">
        <f>IF(G489="High",3,IF(G489="Medium",2,1))</f>
        <v>1</v>
      </c>
    </row>
    <row r="490" spans="1:12">
      <c r="A490" s="3" t="s">
        <v>1483</v>
      </c>
      <c r="B490" s="3" t="s">
        <v>521</v>
      </c>
      <c r="C490" s="3" t="s">
        <v>965</v>
      </c>
      <c r="D490" s="3" t="s">
        <v>1039</v>
      </c>
      <c r="E490" s="3" t="s">
        <v>942</v>
      </c>
      <c r="F490" s="3" t="s">
        <v>47</v>
      </c>
      <c r="G490" s="3" t="str">
        <f>INDEX(Risk_Matrix!$B$2:$D$4,MATCH(E490,Risk_Matrix!$A$2:$A$4,0),MATCH(F490,Risk_Matrix!$B$1:$D$1,0))</f>
        <v>Low</v>
      </c>
      <c r="H490" s="10">
        <v>46202</v>
      </c>
      <c r="I490" s="3" t="s">
        <v>973</v>
      </c>
      <c r="J490" s="3" t="s">
        <v>974</v>
      </c>
      <c r="K490" s="3" t="s">
        <v>960</v>
      </c>
      <c r="L490" s="3">
        <f>IF(G490="High",3,IF(G490="Medium",2,1))</f>
        <v>1</v>
      </c>
    </row>
    <row r="491" spans="1:12">
      <c r="A491" s="3" t="s">
        <v>1484</v>
      </c>
      <c r="B491" s="3" t="s">
        <v>521</v>
      </c>
      <c r="C491" s="3" t="s">
        <v>971</v>
      </c>
      <c r="D491" s="3" t="s">
        <v>1016</v>
      </c>
      <c r="E491" s="3" t="s">
        <v>47</v>
      </c>
      <c r="F491" s="3" t="s">
        <v>42</v>
      </c>
      <c r="G491" s="3" t="str">
        <f>INDEX(Risk_Matrix!$B$2:$D$4,MATCH(E491,Risk_Matrix!$A$2:$A$4,0),MATCH(F491,Risk_Matrix!$B$1:$D$1,0))</f>
        <v>Medium</v>
      </c>
      <c r="H491" s="10">
        <v>46176</v>
      </c>
      <c r="I491" s="3" t="s">
        <v>967</v>
      </c>
      <c r="J491" s="3" t="s">
        <v>968</v>
      </c>
      <c r="K491" s="3" t="s">
        <v>983</v>
      </c>
      <c r="L491" s="3">
        <f>IF(G491="High",3,IF(G491="Medium",2,1))</f>
        <v>2</v>
      </c>
    </row>
    <row r="492" spans="1:12">
      <c r="A492" s="3" t="s">
        <v>1485</v>
      </c>
      <c r="B492" s="3" t="s">
        <v>521</v>
      </c>
      <c r="C492" s="3" t="s">
        <v>976</v>
      </c>
      <c r="D492" s="3" t="s">
        <v>977</v>
      </c>
      <c r="E492" s="3" t="s">
        <v>47</v>
      </c>
      <c r="F492" s="3" t="s">
        <v>47</v>
      </c>
      <c r="G492" s="3" t="str">
        <f>INDEX(Risk_Matrix!$B$2:$D$4,MATCH(E492,Risk_Matrix!$A$2:$A$4,0),MATCH(F492,Risk_Matrix!$B$1:$D$1,0))</f>
        <v>Low</v>
      </c>
      <c r="H492" s="10">
        <v>46214</v>
      </c>
      <c r="I492" s="3" t="s">
        <v>973</v>
      </c>
      <c r="J492" s="3" t="s">
        <v>974</v>
      </c>
      <c r="K492" s="3" t="s">
        <v>960</v>
      </c>
      <c r="L492" s="3">
        <f>IF(G492="High",3,IF(G492="Medium",2,1))</f>
        <v>1</v>
      </c>
    </row>
    <row r="493" spans="1:12">
      <c r="A493" s="3" t="s">
        <v>1486</v>
      </c>
      <c r="B493" s="3" t="s">
        <v>521</v>
      </c>
      <c r="C493" s="3" t="s">
        <v>979</v>
      </c>
      <c r="D493" s="3" t="s">
        <v>980</v>
      </c>
      <c r="E493" s="3" t="s">
        <v>47</v>
      </c>
      <c r="F493" s="3" t="s">
        <v>942</v>
      </c>
      <c r="G493" s="3" t="str">
        <f>INDEX(Risk_Matrix!$B$2:$D$4,MATCH(E493,Risk_Matrix!$A$2:$A$4,0),MATCH(F493,Risk_Matrix!$B$1:$D$1,0))</f>
        <v>Low</v>
      </c>
      <c r="H493" s="10">
        <v>46211</v>
      </c>
      <c r="I493" s="3" t="s">
        <v>981</v>
      </c>
      <c r="J493" s="3" t="s">
        <v>982</v>
      </c>
      <c r="K493" s="3" t="s">
        <v>993</v>
      </c>
      <c r="L493" s="3">
        <f>IF(G493="High",3,IF(G493="Medium",2,1))</f>
        <v>1</v>
      </c>
    </row>
    <row r="494" spans="1:12">
      <c r="A494" s="3" t="s">
        <v>1487</v>
      </c>
      <c r="B494" s="3" t="s">
        <v>523</v>
      </c>
      <c r="C494" s="3" t="s">
        <v>956</v>
      </c>
      <c r="D494" s="3" t="s">
        <v>1012</v>
      </c>
      <c r="E494" s="3" t="s">
        <v>942</v>
      </c>
      <c r="F494" s="3" t="s">
        <v>942</v>
      </c>
      <c r="G494" s="3" t="str">
        <f>INDEX(Risk_Matrix!$B$2:$D$4,MATCH(E494,Risk_Matrix!$A$2:$A$4,0),MATCH(F494,Risk_Matrix!$B$1:$D$1,0))</f>
        <v>Medium</v>
      </c>
      <c r="H494" s="10">
        <v>46187</v>
      </c>
      <c r="I494" s="3" t="s">
        <v>973</v>
      </c>
      <c r="J494" s="3" t="s">
        <v>974</v>
      </c>
      <c r="K494" s="3" t="s">
        <v>960</v>
      </c>
      <c r="L494" s="3">
        <f>IF(G494="High",3,IF(G494="Medium",2,1))</f>
        <v>2</v>
      </c>
    </row>
    <row r="495" spans="1:12">
      <c r="A495" s="3" t="s">
        <v>1488</v>
      </c>
      <c r="B495" s="3" t="s">
        <v>523</v>
      </c>
      <c r="C495" s="3" t="s">
        <v>962</v>
      </c>
      <c r="D495" s="3" t="s">
        <v>986</v>
      </c>
      <c r="E495" s="3" t="s">
        <v>942</v>
      </c>
      <c r="F495" s="3" t="s">
        <v>42</v>
      </c>
      <c r="G495" s="3" t="str">
        <f>INDEX(Risk_Matrix!$B$2:$D$4,MATCH(E495,Risk_Matrix!$A$2:$A$4,0),MATCH(F495,Risk_Matrix!$B$1:$D$1,0))</f>
        <v>High</v>
      </c>
      <c r="H495" s="10">
        <v>46155</v>
      </c>
      <c r="I495" s="3" t="s">
        <v>967</v>
      </c>
      <c r="J495" s="3" t="s">
        <v>968</v>
      </c>
      <c r="K495" s="3" t="s">
        <v>993</v>
      </c>
      <c r="L495" s="3">
        <f>IF(G495="High",3,IF(G495="Medium",2,1))</f>
        <v>3</v>
      </c>
    </row>
    <row r="496" spans="1:12">
      <c r="A496" s="3" t="s">
        <v>1489</v>
      </c>
      <c r="B496" s="3" t="s">
        <v>523</v>
      </c>
      <c r="C496" s="3" t="s">
        <v>965</v>
      </c>
      <c r="D496" s="3" t="s">
        <v>1039</v>
      </c>
      <c r="E496" s="3" t="s">
        <v>47</v>
      </c>
      <c r="F496" s="3" t="s">
        <v>42</v>
      </c>
      <c r="G496" s="3" t="str">
        <f>INDEX(Risk_Matrix!$B$2:$D$4,MATCH(E496,Risk_Matrix!$A$2:$A$4,0),MATCH(F496,Risk_Matrix!$B$1:$D$1,0))</f>
        <v>Medium</v>
      </c>
      <c r="H496" s="10">
        <v>46227</v>
      </c>
      <c r="I496" s="3" t="s">
        <v>973</v>
      </c>
      <c r="J496" s="3" t="s">
        <v>974</v>
      </c>
      <c r="K496" s="3" t="s">
        <v>1000</v>
      </c>
      <c r="L496" s="3">
        <f>IF(G496="High",3,IF(G496="Medium",2,1))</f>
        <v>2</v>
      </c>
    </row>
    <row r="497" spans="1:12">
      <c r="A497" s="3" t="s">
        <v>1490</v>
      </c>
      <c r="B497" s="3" t="s">
        <v>523</v>
      </c>
      <c r="C497" s="3" t="s">
        <v>971</v>
      </c>
      <c r="D497" s="3" t="s">
        <v>972</v>
      </c>
      <c r="E497" s="3" t="s">
        <v>47</v>
      </c>
      <c r="F497" s="3" t="s">
        <v>47</v>
      </c>
      <c r="G497" s="3" t="str">
        <f>INDEX(Risk_Matrix!$B$2:$D$4,MATCH(E497,Risk_Matrix!$A$2:$A$4,0),MATCH(F497,Risk_Matrix!$B$1:$D$1,0))</f>
        <v>Low</v>
      </c>
      <c r="H497" s="10">
        <v>46132</v>
      </c>
      <c r="I497" s="3" t="s">
        <v>973</v>
      </c>
      <c r="J497" s="3" t="s">
        <v>974</v>
      </c>
      <c r="K497" s="3" t="s">
        <v>983</v>
      </c>
      <c r="L497" s="3">
        <f>IF(G497="High",3,IF(G497="Medium",2,1))</f>
        <v>1</v>
      </c>
    </row>
    <row r="498" spans="1:12">
      <c r="A498" s="3" t="s">
        <v>1491</v>
      </c>
      <c r="B498" s="3" t="s">
        <v>523</v>
      </c>
      <c r="C498" s="3" t="s">
        <v>976</v>
      </c>
      <c r="D498" s="3" t="s">
        <v>1002</v>
      </c>
      <c r="E498" s="3" t="s">
        <v>47</v>
      </c>
      <c r="F498" s="3" t="s">
        <v>47</v>
      </c>
      <c r="G498" s="3" t="str">
        <f>INDEX(Risk_Matrix!$B$2:$D$4,MATCH(E498,Risk_Matrix!$A$2:$A$4,0),MATCH(F498,Risk_Matrix!$B$1:$D$1,0))</f>
        <v>Low</v>
      </c>
      <c r="H498" s="10">
        <v>46090</v>
      </c>
      <c r="I498" s="3" t="s">
        <v>973</v>
      </c>
      <c r="J498" s="3" t="s">
        <v>974</v>
      </c>
      <c r="K498" s="3" t="s">
        <v>993</v>
      </c>
      <c r="L498" s="3">
        <f>IF(G498="High",3,IF(G498="Medium",2,1))</f>
        <v>1</v>
      </c>
    </row>
    <row r="499" spans="1:12">
      <c r="A499" s="3" t="s">
        <v>1492</v>
      </c>
      <c r="B499" s="3" t="s">
        <v>523</v>
      </c>
      <c r="C499" s="3" t="s">
        <v>979</v>
      </c>
      <c r="D499" s="3" t="s">
        <v>1004</v>
      </c>
      <c r="E499" s="3" t="s">
        <v>47</v>
      </c>
      <c r="F499" s="3" t="s">
        <v>942</v>
      </c>
      <c r="G499" s="3" t="str">
        <f>INDEX(Risk_Matrix!$B$2:$D$4,MATCH(E499,Risk_Matrix!$A$2:$A$4,0),MATCH(F499,Risk_Matrix!$B$1:$D$1,0))</f>
        <v>Low</v>
      </c>
      <c r="H499" s="10">
        <v>46198</v>
      </c>
      <c r="I499" s="3" t="s">
        <v>967</v>
      </c>
      <c r="J499" s="3" t="s">
        <v>968</v>
      </c>
      <c r="K499" s="3" t="s">
        <v>993</v>
      </c>
      <c r="L499" s="3">
        <f>IF(G499="High",3,IF(G499="Medium",2,1))</f>
        <v>1</v>
      </c>
    </row>
    <row r="500" spans="1:12">
      <c r="A500" s="3" t="s">
        <v>1493</v>
      </c>
      <c r="B500" s="3" t="s">
        <v>525</v>
      </c>
      <c r="C500" s="3" t="s">
        <v>956</v>
      </c>
      <c r="D500" s="3" t="s">
        <v>1012</v>
      </c>
      <c r="E500" s="3" t="s">
        <v>47</v>
      </c>
      <c r="F500" s="3" t="s">
        <v>47</v>
      </c>
      <c r="G500" s="3" t="str">
        <f>INDEX(Risk_Matrix!$B$2:$D$4,MATCH(E500,Risk_Matrix!$A$2:$A$4,0),MATCH(F500,Risk_Matrix!$B$1:$D$1,0))</f>
        <v>Low</v>
      </c>
      <c r="H500" s="10">
        <v>46072</v>
      </c>
      <c r="I500" s="3" t="s">
        <v>981</v>
      </c>
      <c r="J500" s="3" t="s">
        <v>982</v>
      </c>
      <c r="K500" s="3" t="s">
        <v>1000</v>
      </c>
      <c r="L500" s="3">
        <f>IF(G500="High",3,IF(G500="Medium",2,1))</f>
        <v>1</v>
      </c>
    </row>
    <row r="501" spans="1:12">
      <c r="A501" s="3" t="s">
        <v>1494</v>
      </c>
      <c r="B501" s="3" t="s">
        <v>525</v>
      </c>
      <c r="C501" s="3" t="s">
        <v>962</v>
      </c>
      <c r="D501" s="3" t="s">
        <v>986</v>
      </c>
      <c r="E501" s="3" t="s">
        <v>47</v>
      </c>
      <c r="F501" s="3" t="s">
        <v>942</v>
      </c>
      <c r="G501" s="3" t="str">
        <f>INDEX(Risk_Matrix!$B$2:$D$4,MATCH(E501,Risk_Matrix!$A$2:$A$4,0),MATCH(F501,Risk_Matrix!$B$1:$D$1,0))</f>
        <v>Low</v>
      </c>
      <c r="H501" s="10">
        <v>46061</v>
      </c>
      <c r="I501" s="3" t="s">
        <v>981</v>
      </c>
      <c r="J501" s="3" t="s">
        <v>982</v>
      </c>
      <c r="K501" s="3" t="s">
        <v>983</v>
      </c>
      <c r="L501" s="3">
        <f>IF(G501="High",3,IF(G501="Medium",2,1))</f>
        <v>1</v>
      </c>
    </row>
    <row r="502" spans="1:12">
      <c r="A502" s="3" t="s">
        <v>1495</v>
      </c>
      <c r="B502" s="3" t="s">
        <v>525</v>
      </c>
      <c r="C502" s="3" t="s">
        <v>965</v>
      </c>
      <c r="D502" s="3" t="s">
        <v>1039</v>
      </c>
      <c r="E502" s="3" t="s">
        <v>47</v>
      </c>
      <c r="F502" s="3" t="s">
        <v>47</v>
      </c>
      <c r="G502" s="3" t="str">
        <f>INDEX(Risk_Matrix!$B$2:$D$4,MATCH(E502,Risk_Matrix!$A$2:$A$4,0),MATCH(F502,Risk_Matrix!$B$1:$D$1,0))</f>
        <v>Low</v>
      </c>
      <c r="H502" s="10">
        <v>46177</v>
      </c>
      <c r="I502" s="3" t="s">
        <v>967</v>
      </c>
      <c r="J502" s="3" t="s">
        <v>968</v>
      </c>
      <c r="K502" s="3" t="s">
        <v>983</v>
      </c>
      <c r="L502" s="3">
        <f>IF(G502="High",3,IF(G502="Medium",2,1))</f>
        <v>1</v>
      </c>
    </row>
    <row r="503" spans="1:12">
      <c r="A503" s="3" t="s">
        <v>1496</v>
      </c>
      <c r="B503" s="3" t="s">
        <v>525</v>
      </c>
      <c r="C503" s="3" t="s">
        <v>971</v>
      </c>
      <c r="D503" s="3" t="s">
        <v>1016</v>
      </c>
      <c r="E503" s="3" t="s">
        <v>942</v>
      </c>
      <c r="F503" s="3" t="s">
        <v>942</v>
      </c>
      <c r="G503" s="3" t="str">
        <f>INDEX(Risk_Matrix!$B$2:$D$4,MATCH(E503,Risk_Matrix!$A$2:$A$4,0),MATCH(F503,Risk_Matrix!$B$1:$D$1,0))</f>
        <v>Medium</v>
      </c>
      <c r="H503" s="10">
        <v>46082</v>
      </c>
      <c r="I503" s="3" t="s">
        <v>967</v>
      </c>
      <c r="J503" s="3" t="s">
        <v>968</v>
      </c>
      <c r="K503" s="3" t="s">
        <v>993</v>
      </c>
      <c r="L503" s="3">
        <f>IF(G503="High",3,IF(G503="Medium",2,1))</f>
        <v>2</v>
      </c>
    </row>
    <row r="504" spans="1:12">
      <c r="A504" s="3" t="s">
        <v>1497</v>
      </c>
      <c r="B504" s="3" t="s">
        <v>525</v>
      </c>
      <c r="C504" s="3" t="s">
        <v>976</v>
      </c>
      <c r="D504" s="3" t="s">
        <v>1002</v>
      </c>
      <c r="E504" s="3" t="s">
        <v>942</v>
      </c>
      <c r="F504" s="3" t="s">
        <v>47</v>
      </c>
      <c r="G504" s="3" t="str">
        <f>INDEX(Risk_Matrix!$B$2:$D$4,MATCH(E504,Risk_Matrix!$A$2:$A$4,0),MATCH(F504,Risk_Matrix!$B$1:$D$1,0))</f>
        <v>Low</v>
      </c>
      <c r="H504" s="10">
        <v>46096</v>
      </c>
      <c r="I504" s="3" t="s">
        <v>967</v>
      </c>
      <c r="J504" s="3" t="s">
        <v>968</v>
      </c>
      <c r="K504" s="3" t="s">
        <v>983</v>
      </c>
      <c r="L504" s="3">
        <f>IF(G504="High",3,IF(G504="Medium",2,1))</f>
        <v>1</v>
      </c>
    </row>
    <row r="505" spans="1:12">
      <c r="A505" s="3" t="s">
        <v>1498</v>
      </c>
      <c r="B505" s="3" t="s">
        <v>525</v>
      </c>
      <c r="C505" s="3" t="s">
        <v>979</v>
      </c>
      <c r="D505" s="3" t="s">
        <v>1004</v>
      </c>
      <c r="E505" s="3" t="s">
        <v>47</v>
      </c>
      <c r="F505" s="3" t="s">
        <v>942</v>
      </c>
      <c r="G505" s="3" t="str">
        <f>INDEX(Risk_Matrix!$B$2:$D$4,MATCH(E505,Risk_Matrix!$A$2:$A$4,0),MATCH(F505,Risk_Matrix!$B$1:$D$1,0))</f>
        <v>Low</v>
      </c>
      <c r="H505" s="10">
        <v>46146</v>
      </c>
      <c r="I505" s="3" t="s">
        <v>973</v>
      </c>
      <c r="J505" s="3" t="s">
        <v>974</v>
      </c>
      <c r="K505" s="3" t="s">
        <v>1000</v>
      </c>
      <c r="L505" s="3">
        <f>IF(G505="High",3,IF(G505="Medium",2,1))</f>
        <v>1</v>
      </c>
    </row>
    <row r="506" spans="1:12">
      <c r="A506" s="3" t="s">
        <v>1499</v>
      </c>
      <c r="B506" s="3" t="s">
        <v>526</v>
      </c>
      <c r="C506" s="3" t="s">
        <v>956</v>
      </c>
      <c r="D506" s="3" t="s">
        <v>1020</v>
      </c>
      <c r="E506" s="3" t="s">
        <v>47</v>
      </c>
      <c r="F506" s="3" t="s">
        <v>942</v>
      </c>
      <c r="G506" s="3" t="str">
        <f>INDEX(Risk_Matrix!$B$2:$D$4,MATCH(E506,Risk_Matrix!$A$2:$A$4,0),MATCH(F506,Risk_Matrix!$B$1:$D$1,0))</f>
        <v>Low</v>
      </c>
      <c r="H506" s="10">
        <v>46225</v>
      </c>
      <c r="I506" s="3" t="s">
        <v>973</v>
      </c>
      <c r="J506" s="3" t="s">
        <v>974</v>
      </c>
      <c r="K506" s="3" t="s">
        <v>983</v>
      </c>
      <c r="L506" s="3">
        <f>IF(G506="High",3,IF(G506="Medium",2,1))</f>
        <v>1</v>
      </c>
    </row>
    <row r="507" spans="1:12">
      <c r="A507" s="3" t="s">
        <v>1500</v>
      </c>
      <c r="B507" s="3" t="s">
        <v>526</v>
      </c>
      <c r="C507" s="3" t="s">
        <v>962</v>
      </c>
      <c r="D507" s="3" t="s">
        <v>963</v>
      </c>
      <c r="E507" s="3" t="s">
        <v>942</v>
      </c>
      <c r="F507" s="3" t="s">
        <v>942</v>
      </c>
      <c r="G507" s="3" t="str">
        <f>INDEX(Risk_Matrix!$B$2:$D$4,MATCH(E507,Risk_Matrix!$A$2:$A$4,0),MATCH(F507,Risk_Matrix!$B$1:$D$1,0))</f>
        <v>Medium</v>
      </c>
      <c r="H507" s="10">
        <v>46117</v>
      </c>
      <c r="I507" s="3" t="s">
        <v>958</v>
      </c>
      <c r="J507" s="3" t="s">
        <v>959</v>
      </c>
      <c r="K507" s="3" t="s">
        <v>960</v>
      </c>
      <c r="L507" s="3">
        <f>IF(G507="High",3,IF(G507="Medium",2,1))</f>
        <v>2</v>
      </c>
    </row>
    <row r="508" spans="1:12">
      <c r="A508" s="3" t="s">
        <v>1501</v>
      </c>
      <c r="B508" s="3" t="s">
        <v>526</v>
      </c>
      <c r="C508" s="3" t="s">
        <v>965</v>
      </c>
      <c r="D508" s="3" t="s">
        <v>1039</v>
      </c>
      <c r="E508" s="3" t="s">
        <v>47</v>
      </c>
      <c r="F508" s="3" t="s">
        <v>42</v>
      </c>
      <c r="G508" s="3" t="str">
        <f>INDEX(Risk_Matrix!$B$2:$D$4,MATCH(E508,Risk_Matrix!$A$2:$A$4,0),MATCH(F508,Risk_Matrix!$B$1:$D$1,0))</f>
        <v>Medium</v>
      </c>
      <c r="H508" s="10">
        <v>46145</v>
      </c>
      <c r="I508" s="3" t="s">
        <v>973</v>
      </c>
      <c r="J508" s="3" t="s">
        <v>974</v>
      </c>
      <c r="K508" s="3" t="s">
        <v>969</v>
      </c>
      <c r="L508" s="3">
        <f>IF(G508="High",3,IF(G508="Medium",2,1))</f>
        <v>2</v>
      </c>
    </row>
    <row r="509" spans="1:12">
      <c r="A509" s="3" t="s">
        <v>1502</v>
      </c>
      <c r="B509" s="3" t="s">
        <v>526</v>
      </c>
      <c r="C509" s="3" t="s">
        <v>971</v>
      </c>
      <c r="D509" s="3" t="s">
        <v>972</v>
      </c>
      <c r="E509" s="3" t="s">
        <v>47</v>
      </c>
      <c r="F509" s="3" t="s">
        <v>47</v>
      </c>
      <c r="G509" s="3" t="str">
        <f>INDEX(Risk_Matrix!$B$2:$D$4,MATCH(E509,Risk_Matrix!$A$2:$A$4,0),MATCH(F509,Risk_Matrix!$B$1:$D$1,0))</f>
        <v>Low</v>
      </c>
      <c r="H509" s="10">
        <v>46122</v>
      </c>
      <c r="I509" s="3" t="s">
        <v>981</v>
      </c>
      <c r="J509" s="3" t="s">
        <v>982</v>
      </c>
      <c r="K509" s="3" t="s">
        <v>993</v>
      </c>
      <c r="L509" s="3">
        <f>IF(G509="High",3,IF(G509="Medium",2,1))</f>
        <v>1</v>
      </c>
    </row>
    <row r="510" spans="1:12">
      <c r="A510" s="3" t="s">
        <v>1503</v>
      </c>
      <c r="B510" s="3" t="s">
        <v>526</v>
      </c>
      <c r="C510" s="3" t="s">
        <v>976</v>
      </c>
      <c r="D510" s="3" t="s">
        <v>977</v>
      </c>
      <c r="E510" s="3" t="s">
        <v>942</v>
      </c>
      <c r="F510" s="3" t="s">
        <v>42</v>
      </c>
      <c r="G510" s="3" t="str">
        <f>INDEX(Risk_Matrix!$B$2:$D$4,MATCH(E510,Risk_Matrix!$A$2:$A$4,0),MATCH(F510,Risk_Matrix!$B$1:$D$1,0))</f>
        <v>High</v>
      </c>
      <c r="H510" s="10">
        <v>46231</v>
      </c>
      <c r="I510" s="3" t="s">
        <v>973</v>
      </c>
      <c r="J510" s="3" t="s">
        <v>974</v>
      </c>
      <c r="K510" s="3" t="s">
        <v>960</v>
      </c>
      <c r="L510" s="3">
        <f>IF(G510="High",3,IF(G510="Medium",2,1))</f>
        <v>3</v>
      </c>
    </row>
    <row r="511" spans="1:12">
      <c r="A511" s="3" t="s">
        <v>1504</v>
      </c>
      <c r="B511" s="3" t="s">
        <v>526</v>
      </c>
      <c r="C511" s="3" t="s">
        <v>979</v>
      </c>
      <c r="D511" s="3" t="s">
        <v>980</v>
      </c>
      <c r="E511" s="3" t="s">
        <v>47</v>
      </c>
      <c r="F511" s="3" t="s">
        <v>42</v>
      </c>
      <c r="G511" s="3" t="str">
        <f>INDEX(Risk_Matrix!$B$2:$D$4,MATCH(E511,Risk_Matrix!$A$2:$A$4,0),MATCH(F511,Risk_Matrix!$B$1:$D$1,0))</f>
        <v>Medium</v>
      </c>
      <c r="H511" s="10">
        <v>46087</v>
      </c>
      <c r="I511" s="3" t="s">
        <v>967</v>
      </c>
      <c r="J511" s="3" t="s">
        <v>968</v>
      </c>
      <c r="K511" s="3" t="s">
        <v>1000</v>
      </c>
      <c r="L511" s="3">
        <f>IF(G511="High",3,IF(G511="Medium",2,1))</f>
        <v>2</v>
      </c>
    </row>
    <row r="512" spans="1:12">
      <c r="A512" s="3" t="s">
        <v>1505</v>
      </c>
      <c r="B512" s="3" t="s">
        <v>528</v>
      </c>
      <c r="C512" s="3" t="s">
        <v>956</v>
      </c>
      <c r="D512" s="3" t="s">
        <v>995</v>
      </c>
      <c r="E512" s="3" t="s">
        <v>47</v>
      </c>
      <c r="F512" s="3" t="s">
        <v>942</v>
      </c>
      <c r="G512" s="3" t="str">
        <f>INDEX(Risk_Matrix!$B$2:$D$4,MATCH(E512,Risk_Matrix!$A$2:$A$4,0),MATCH(F512,Risk_Matrix!$B$1:$D$1,0))</f>
        <v>Low</v>
      </c>
      <c r="H512" s="10">
        <v>46180</v>
      </c>
      <c r="I512" s="3" t="s">
        <v>981</v>
      </c>
      <c r="J512" s="3" t="s">
        <v>982</v>
      </c>
      <c r="K512" s="3" t="s">
        <v>993</v>
      </c>
      <c r="L512" s="3">
        <f>IF(G512="High",3,IF(G512="Medium",2,1))</f>
        <v>1</v>
      </c>
    </row>
    <row r="513" spans="1:12">
      <c r="A513" s="3" t="s">
        <v>1506</v>
      </c>
      <c r="B513" s="3" t="s">
        <v>528</v>
      </c>
      <c r="C513" s="3" t="s">
        <v>962</v>
      </c>
      <c r="D513" s="3" t="s">
        <v>986</v>
      </c>
      <c r="E513" s="3" t="s">
        <v>47</v>
      </c>
      <c r="F513" s="3" t="s">
        <v>47</v>
      </c>
      <c r="G513" s="3" t="str">
        <f>INDEX(Risk_Matrix!$B$2:$D$4,MATCH(E513,Risk_Matrix!$A$2:$A$4,0),MATCH(F513,Risk_Matrix!$B$1:$D$1,0))</f>
        <v>Low</v>
      </c>
      <c r="H513" s="10">
        <v>46187</v>
      </c>
      <c r="I513" s="3" t="s">
        <v>967</v>
      </c>
      <c r="J513" s="3" t="s">
        <v>968</v>
      </c>
      <c r="K513" s="3" t="s">
        <v>960</v>
      </c>
      <c r="L513" s="3">
        <f>IF(G513="High",3,IF(G513="Medium",2,1))</f>
        <v>1</v>
      </c>
    </row>
    <row r="514" spans="1:12">
      <c r="A514" s="3" t="s">
        <v>1507</v>
      </c>
      <c r="B514" s="3" t="s">
        <v>528</v>
      </c>
      <c r="C514" s="3" t="s">
        <v>965</v>
      </c>
      <c r="D514" s="3" t="s">
        <v>1039</v>
      </c>
      <c r="E514" s="3" t="s">
        <v>47</v>
      </c>
      <c r="F514" s="3" t="s">
        <v>942</v>
      </c>
      <c r="G514" s="3" t="str">
        <f>INDEX(Risk_Matrix!$B$2:$D$4,MATCH(E514,Risk_Matrix!$A$2:$A$4,0),MATCH(F514,Risk_Matrix!$B$1:$D$1,0))</f>
        <v>Low</v>
      </c>
      <c r="H514" s="10">
        <v>46127</v>
      </c>
      <c r="I514" s="3" t="s">
        <v>973</v>
      </c>
      <c r="J514" s="3" t="s">
        <v>974</v>
      </c>
      <c r="K514" s="3" t="s">
        <v>983</v>
      </c>
      <c r="L514" s="3">
        <f>IF(G514="High",3,IF(G514="Medium",2,1))</f>
        <v>1</v>
      </c>
    </row>
    <row r="515" spans="1:12">
      <c r="A515" s="3" t="s">
        <v>1508</v>
      </c>
      <c r="B515" s="3" t="s">
        <v>528</v>
      </c>
      <c r="C515" s="3" t="s">
        <v>971</v>
      </c>
      <c r="D515" s="3" t="s">
        <v>972</v>
      </c>
      <c r="E515" s="3" t="s">
        <v>42</v>
      </c>
      <c r="F515" s="3" t="s">
        <v>47</v>
      </c>
      <c r="G515" s="3" t="str">
        <f>INDEX(Risk_Matrix!$B$2:$D$4,MATCH(E515,Risk_Matrix!$A$2:$A$4,0),MATCH(F515,Risk_Matrix!$B$1:$D$1,0))</f>
        <v>Medium</v>
      </c>
      <c r="H515" s="10">
        <v>46204</v>
      </c>
      <c r="I515" s="3" t="s">
        <v>973</v>
      </c>
      <c r="J515" s="3" t="s">
        <v>974</v>
      </c>
      <c r="K515" s="3" t="s">
        <v>960</v>
      </c>
      <c r="L515" s="3">
        <f>IF(G515="High",3,IF(G515="Medium",2,1))</f>
        <v>2</v>
      </c>
    </row>
    <row r="516" spans="1:12">
      <c r="A516" s="3" t="s">
        <v>1509</v>
      </c>
      <c r="B516" s="3" t="s">
        <v>528</v>
      </c>
      <c r="C516" s="3" t="s">
        <v>976</v>
      </c>
      <c r="D516" s="3" t="s">
        <v>1002</v>
      </c>
      <c r="E516" s="3" t="s">
        <v>47</v>
      </c>
      <c r="F516" s="3" t="s">
        <v>47</v>
      </c>
      <c r="G516" s="3" t="str">
        <f>INDEX(Risk_Matrix!$B$2:$D$4,MATCH(E516,Risk_Matrix!$A$2:$A$4,0),MATCH(F516,Risk_Matrix!$B$1:$D$1,0))</f>
        <v>Low</v>
      </c>
      <c r="H516" s="10">
        <v>46153</v>
      </c>
      <c r="I516" s="3" t="s">
        <v>973</v>
      </c>
      <c r="J516" s="3" t="s">
        <v>974</v>
      </c>
      <c r="K516" s="3" t="s">
        <v>983</v>
      </c>
      <c r="L516" s="3">
        <f>IF(G516="High",3,IF(G516="Medium",2,1))</f>
        <v>1</v>
      </c>
    </row>
    <row r="517" spans="1:12">
      <c r="A517" s="3" t="s">
        <v>1510</v>
      </c>
      <c r="B517" s="3" t="s">
        <v>528</v>
      </c>
      <c r="C517" s="3" t="s">
        <v>979</v>
      </c>
      <c r="D517" s="3" t="s">
        <v>1004</v>
      </c>
      <c r="E517" s="3" t="s">
        <v>942</v>
      </c>
      <c r="F517" s="3" t="s">
        <v>47</v>
      </c>
      <c r="G517" s="3" t="str">
        <f>INDEX(Risk_Matrix!$B$2:$D$4,MATCH(E517,Risk_Matrix!$A$2:$A$4,0),MATCH(F517,Risk_Matrix!$B$1:$D$1,0))</f>
        <v>Low</v>
      </c>
      <c r="H517" s="10">
        <v>46119</v>
      </c>
      <c r="I517" s="3" t="s">
        <v>973</v>
      </c>
      <c r="J517" s="3" t="s">
        <v>974</v>
      </c>
      <c r="K517" s="3" t="s">
        <v>960</v>
      </c>
      <c r="L517" s="3">
        <f>IF(G517="High",3,IF(G517="Medium",2,1))</f>
        <v>1</v>
      </c>
    </row>
    <row r="518" spans="1:12">
      <c r="A518" s="3" t="s">
        <v>1511</v>
      </c>
      <c r="B518" s="3" t="s">
        <v>530</v>
      </c>
      <c r="C518" s="3" t="s">
        <v>956</v>
      </c>
      <c r="D518" s="3" t="s">
        <v>1012</v>
      </c>
      <c r="E518" s="3" t="s">
        <v>47</v>
      </c>
      <c r="F518" s="3" t="s">
        <v>47</v>
      </c>
      <c r="G518" s="3" t="str">
        <f>INDEX(Risk_Matrix!$B$2:$D$4,MATCH(E518,Risk_Matrix!$A$2:$A$4,0),MATCH(F518,Risk_Matrix!$B$1:$D$1,0))</f>
        <v>Low</v>
      </c>
      <c r="H518" s="10">
        <v>46084</v>
      </c>
      <c r="I518" s="3" t="s">
        <v>981</v>
      </c>
      <c r="J518" s="3" t="s">
        <v>982</v>
      </c>
      <c r="K518" s="3" t="s">
        <v>983</v>
      </c>
      <c r="L518" s="3">
        <f>IF(G518="High",3,IF(G518="Medium",2,1))</f>
        <v>1</v>
      </c>
    </row>
    <row r="519" spans="1:12">
      <c r="A519" s="3" t="s">
        <v>1512</v>
      </c>
      <c r="B519" s="3" t="s">
        <v>530</v>
      </c>
      <c r="C519" s="3" t="s">
        <v>962</v>
      </c>
      <c r="D519" s="3" t="s">
        <v>1037</v>
      </c>
      <c r="E519" s="3" t="s">
        <v>942</v>
      </c>
      <c r="F519" s="3" t="s">
        <v>942</v>
      </c>
      <c r="G519" s="3" t="str">
        <f>INDEX(Risk_Matrix!$B$2:$D$4,MATCH(E519,Risk_Matrix!$A$2:$A$4,0),MATCH(F519,Risk_Matrix!$B$1:$D$1,0))</f>
        <v>Medium</v>
      </c>
      <c r="H519" s="10">
        <v>46133</v>
      </c>
      <c r="I519" s="3" t="s">
        <v>973</v>
      </c>
      <c r="J519" s="3" t="s">
        <v>974</v>
      </c>
      <c r="K519" s="3" t="s">
        <v>1000</v>
      </c>
      <c r="L519" s="3">
        <f>IF(G519="High",3,IF(G519="Medium",2,1))</f>
        <v>2</v>
      </c>
    </row>
    <row r="520" spans="1:12">
      <c r="A520" s="3" t="s">
        <v>1513</v>
      </c>
      <c r="B520" s="3" t="s">
        <v>530</v>
      </c>
      <c r="C520" s="3" t="s">
        <v>965</v>
      </c>
      <c r="D520" s="3" t="s">
        <v>988</v>
      </c>
      <c r="E520" s="3" t="s">
        <v>42</v>
      </c>
      <c r="F520" s="3" t="s">
        <v>47</v>
      </c>
      <c r="G520" s="3" t="str">
        <f>INDEX(Risk_Matrix!$B$2:$D$4,MATCH(E520,Risk_Matrix!$A$2:$A$4,0),MATCH(F520,Risk_Matrix!$B$1:$D$1,0))</f>
        <v>Medium</v>
      </c>
      <c r="H520" s="10">
        <v>46120</v>
      </c>
      <c r="I520" s="3" t="s">
        <v>967</v>
      </c>
      <c r="J520" s="3" t="s">
        <v>968</v>
      </c>
      <c r="K520" s="3" t="s">
        <v>969</v>
      </c>
      <c r="L520" s="3">
        <f>IF(G520="High",3,IF(G520="Medium",2,1))</f>
        <v>2</v>
      </c>
    </row>
    <row r="521" spans="1:12">
      <c r="A521" s="3" t="s">
        <v>1514</v>
      </c>
      <c r="B521" s="3" t="s">
        <v>530</v>
      </c>
      <c r="C521" s="3" t="s">
        <v>971</v>
      </c>
      <c r="D521" s="3" t="s">
        <v>972</v>
      </c>
      <c r="E521" s="3" t="s">
        <v>942</v>
      </c>
      <c r="F521" s="3" t="s">
        <v>942</v>
      </c>
      <c r="G521" s="3" t="str">
        <f>INDEX(Risk_Matrix!$B$2:$D$4,MATCH(E521,Risk_Matrix!$A$2:$A$4,0),MATCH(F521,Risk_Matrix!$B$1:$D$1,0))</f>
        <v>Medium</v>
      </c>
      <c r="H521" s="10">
        <v>46155</v>
      </c>
      <c r="I521" s="3" t="s">
        <v>973</v>
      </c>
      <c r="J521" s="3" t="s">
        <v>974</v>
      </c>
      <c r="K521" s="3" t="s">
        <v>960</v>
      </c>
      <c r="L521" s="3">
        <f>IF(G521="High",3,IF(G521="Medium",2,1))</f>
        <v>2</v>
      </c>
    </row>
    <row r="522" spans="1:12">
      <c r="A522" s="3" t="s">
        <v>1515</v>
      </c>
      <c r="B522" s="3" t="s">
        <v>530</v>
      </c>
      <c r="C522" s="3" t="s">
        <v>976</v>
      </c>
      <c r="D522" s="3" t="s">
        <v>1002</v>
      </c>
      <c r="E522" s="3" t="s">
        <v>47</v>
      </c>
      <c r="F522" s="3" t="s">
        <v>42</v>
      </c>
      <c r="G522" s="3" t="str">
        <f>INDEX(Risk_Matrix!$B$2:$D$4,MATCH(E522,Risk_Matrix!$A$2:$A$4,0),MATCH(F522,Risk_Matrix!$B$1:$D$1,0))</f>
        <v>Medium</v>
      </c>
      <c r="H522" s="10">
        <v>46092</v>
      </c>
      <c r="I522" s="3" t="s">
        <v>981</v>
      </c>
      <c r="J522" s="3" t="s">
        <v>982</v>
      </c>
      <c r="K522" s="3" t="s">
        <v>993</v>
      </c>
      <c r="L522" s="3">
        <f>IF(G522="High",3,IF(G522="Medium",2,1))</f>
        <v>2</v>
      </c>
    </row>
    <row r="523" spans="1:12">
      <c r="A523" s="3" t="s">
        <v>1516</v>
      </c>
      <c r="B523" s="3" t="s">
        <v>530</v>
      </c>
      <c r="C523" s="3" t="s">
        <v>979</v>
      </c>
      <c r="D523" s="3" t="s">
        <v>1028</v>
      </c>
      <c r="E523" s="3" t="s">
        <v>42</v>
      </c>
      <c r="F523" s="3" t="s">
        <v>47</v>
      </c>
      <c r="G523" s="3" t="str">
        <f>INDEX(Risk_Matrix!$B$2:$D$4,MATCH(E523,Risk_Matrix!$A$2:$A$4,0),MATCH(F523,Risk_Matrix!$B$1:$D$1,0))</f>
        <v>Medium</v>
      </c>
      <c r="H523" s="10">
        <v>46109</v>
      </c>
      <c r="I523" s="3" t="s">
        <v>967</v>
      </c>
      <c r="J523" s="3" t="s">
        <v>968</v>
      </c>
      <c r="K523" s="3" t="s">
        <v>993</v>
      </c>
      <c r="L523" s="3">
        <f>IF(G523="High",3,IF(G523="Medium",2,1))</f>
        <v>2</v>
      </c>
    </row>
    <row r="524" spans="1:12">
      <c r="A524" s="3" t="s">
        <v>1517</v>
      </c>
      <c r="B524" s="3" t="s">
        <v>532</v>
      </c>
      <c r="C524" s="3" t="s">
        <v>956</v>
      </c>
      <c r="D524" s="3" t="s">
        <v>1012</v>
      </c>
      <c r="E524" s="3" t="s">
        <v>942</v>
      </c>
      <c r="F524" s="3" t="s">
        <v>47</v>
      </c>
      <c r="G524" s="3" t="str">
        <f>INDEX(Risk_Matrix!$B$2:$D$4,MATCH(E524,Risk_Matrix!$A$2:$A$4,0),MATCH(F524,Risk_Matrix!$B$1:$D$1,0))</f>
        <v>Low</v>
      </c>
      <c r="H524" s="10">
        <v>46213</v>
      </c>
      <c r="I524" s="3" t="s">
        <v>981</v>
      </c>
      <c r="J524" s="3" t="s">
        <v>982</v>
      </c>
      <c r="K524" s="3" t="s">
        <v>960</v>
      </c>
      <c r="L524" s="3">
        <f>IF(G524="High",3,IF(G524="Medium",2,1))</f>
        <v>1</v>
      </c>
    </row>
    <row r="525" spans="1:12">
      <c r="A525" s="3" t="s">
        <v>1518</v>
      </c>
      <c r="B525" s="3" t="s">
        <v>532</v>
      </c>
      <c r="C525" s="3" t="s">
        <v>962</v>
      </c>
      <c r="D525" s="3" t="s">
        <v>997</v>
      </c>
      <c r="E525" s="3" t="s">
        <v>47</v>
      </c>
      <c r="F525" s="3" t="s">
        <v>942</v>
      </c>
      <c r="G525" s="3" t="str">
        <f>INDEX(Risk_Matrix!$B$2:$D$4,MATCH(E525,Risk_Matrix!$A$2:$A$4,0),MATCH(F525,Risk_Matrix!$B$1:$D$1,0))</f>
        <v>Low</v>
      </c>
      <c r="H525" s="10">
        <v>46134</v>
      </c>
      <c r="I525" s="3" t="s">
        <v>973</v>
      </c>
      <c r="J525" s="3" t="s">
        <v>974</v>
      </c>
      <c r="K525" s="3" t="s">
        <v>983</v>
      </c>
      <c r="L525" s="3">
        <f>IF(G525="High",3,IF(G525="Medium",2,1))</f>
        <v>1</v>
      </c>
    </row>
    <row r="526" spans="1:12">
      <c r="A526" s="3" t="s">
        <v>1519</v>
      </c>
      <c r="B526" s="3" t="s">
        <v>532</v>
      </c>
      <c r="C526" s="3" t="s">
        <v>965</v>
      </c>
      <c r="D526" s="3" t="s">
        <v>1039</v>
      </c>
      <c r="E526" s="3" t="s">
        <v>47</v>
      </c>
      <c r="F526" s="3" t="s">
        <v>47</v>
      </c>
      <c r="G526" s="3" t="str">
        <f>INDEX(Risk_Matrix!$B$2:$D$4,MATCH(E526,Risk_Matrix!$A$2:$A$4,0),MATCH(F526,Risk_Matrix!$B$1:$D$1,0))</f>
        <v>Low</v>
      </c>
      <c r="H526" s="10">
        <v>46234</v>
      </c>
      <c r="I526" s="3" t="s">
        <v>958</v>
      </c>
      <c r="J526" s="3" t="s">
        <v>959</v>
      </c>
      <c r="K526" s="3" t="s">
        <v>960</v>
      </c>
      <c r="L526" s="3">
        <f>IF(G526="High",3,IF(G526="Medium",2,1))</f>
        <v>1</v>
      </c>
    </row>
    <row r="527" spans="1:12">
      <c r="A527" s="3" t="s">
        <v>1520</v>
      </c>
      <c r="B527" s="3" t="s">
        <v>532</v>
      </c>
      <c r="C527" s="3" t="s">
        <v>971</v>
      </c>
      <c r="D527" s="3" t="s">
        <v>1016</v>
      </c>
      <c r="E527" s="3" t="s">
        <v>47</v>
      </c>
      <c r="F527" s="3" t="s">
        <v>942</v>
      </c>
      <c r="G527" s="3" t="str">
        <f>INDEX(Risk_Matrix!$B$2:$D$4,MATCH(E527,Risk_Matrix!$A$2:$A$4,0),MATCH(F527,Risk_Matrix!$B$1:$D$1,0))</f>
        <v>Low</v>
      </c>
      <c r="H527" s="10">
        <v>46089</v>
      </c>
      <c r="I527" s="3" t="s">
        <v>981</v>
      </c>
      <c r="J527" s="3" t="s">
        <v>982</v>
      </c>
      <c r="K527" s="3" t="s">
        <v>993</v>
      </c>
      <c r="L527" s="3">
        <f>IF(G527="High",3,IF(G527="Medium",2,1))</f>
        <v>1</v>
      </c>
    </row>
    <row r="528" spans="1:12">
      <c r="A528" s="3" t="s">
        <v>1521</v>
      </c>
      <c r="B528" s="3" t="s">
        <v>532</v>
      </c>
      <c r="C528" s="3" t="s">
        <v>976</v>
      </c>
      <c r="D528" s="3" t="s">
        <v>991</v>
      </c>
      <c r="E528" s="3" t="s">
        <v>47</v>
      </c>
      <c r="F528" s="3" t="s">
        <v>47</v>
      </c>
      <c r="G528" s="3" t="str">
        <f>INDEX(Risk_Matrix!$B$2:$D$4,MATCH(E528,Risk_Matrix!$A$2:$A$4,0),MATCH(F528,Risk_Matrix!$B$1:$D$1,0))</f>
        <v>Low</v>
      </c>
      <c r="H528" s="10">
        <v>46191</v>
      </c>
      <c r="I528" s="3" t="s">
        <v>967</v>
      </c>
      <c r="J528" s="3" t="s">
        <v>968</v>
      </c>
      <c r="K528" s="3" t="s">
        <v>969</v>
      </c>
      <c r="L528" s="3">
        <f>IF(G528="High",3,IF(G528="Medium",2,1))</f>
        <v>1</v>
      </c>
    </row>
    <row r="529" spans="1:12">
      <c r="A529" s="3" t="s">
        <v>1522</v>
      </c>
      <c r="B529" s="3" t="s">
        <v>532</v>
      </c>
      <c r="C529" s="3" t="s">
        <v>979</v>
      </c>
      <c r="D529" s="3" t="s">
        <v>980</v>
      </c>
      <c r="E529" s="3" t="s">
        <v>47</v>
      </c>
      <c r="F529" s="3" t="s">
        <v>942</v>
      </c>
      <c r="G529" s="3" t="str">
        <f>INDEX(Risk_Matrix!$B$2:$D$4,MATCH(E529,Risk_Matrix!$A$2:$A$4,0),MATCH(F529,Risk_Matrix!$B$1:$D$1,0))</f>
        <v>Low</v>
      </c>
      <c r="H529" s="10">
        <v>46220</v>
      </c>
      <c r="I529" s="3" t="s">
        <v>981</v>
      </c>
      <c r="J529" s="3" t="s">
        <v>982</v>
      </c>
      <c r="K529" s="3" t="s">
        <v>960</v>
      </c>
      <c r="L529" s="3">
        <f>IF(G529="High",3,IF(G529="Medium",2,1))</f>
        <v>1</v>
      </c>
    </row>
    <row r="530" spans="1:12">
      <c r="A530" s="3" t="s">
        <v>1523</v>
      </c>
      <c r="B530" s="3" t="s">
        <v>534</v>
      </c>
      <c r="C530" s="3" t="s">
        <v>956</v>
      </c>
      <c r="D530" s="3" t="s">
        <v>995</v>
      </c>
      <c r="E530" s="3" t="s">
        <v>942</v>
      </c>
      <c r="F530" s="3" t="s">
        <v>47</v>
      </c>
      <c r="G530" s="3" t="str">
        <f>INDEX(Risk_Matrix!$B$2:$D$4,MATCH(E530,Risk_Matrix!$A$2:$A$4,0),MATCH(F530,Risk_Matrix!$B$1:$D$1,0))</f>
        <v>Low</v>
      </c>
      <c r="H530" s="10">
        <v>46060</v>
      </c>
      <c r="I530" s="3" t="s">
        <v>981</v>
      </c>
      <c r="J530" s="3" t="s">
        <v>982</v>
      </c>
      <c r="K530" s="3" t="s">
        <v>1000</v>
      </c>
      <c r="L530" s="3">
        <f>IF(G530="High",3,IF(G530="Medium",2,1))</f>
        <v>1</v>
      </c>
    </row>
    <row r="531" spans="1:12">
      <c r="A531" s="3" t="s">
        <v>1524</v>
      </c>
      <c r="B531" s="3" t="s">
        <v>534</v>
      </c>
      <c r="C531" s="3" t="s">
        <v>962</v>
      </c>
      <c r="D531" s="3" t="s">
        <v>1037</v>
      </c>
      <c r="E531" s="3" t="s">
        <v>942</v>
      </c>
      <c r="F531" s="3" t="s">
        <v>47</v>
      </c>
      <c r="G531" s="3" t="str">
        <f>INDEX(Risk_Matrix!$B$2:$D$4,MATCH(E531,Risk_Matrix!$A$2:$A$4,0),MATCH(F531,Risk_Matrix!$B$1:$D$1,0))</f>
        <v>Low</v>
      </c>
      <c r="H531" s="10">
        <v>46224</v>
      </c>
      <c r="I531" s="3" t="s">
        <v>981</v>
      </c>
      <c r="J531" s="3" t="s">
        <v>982</v>
      </c>
      <c r="K531" s="3" t="s">
        <v>1000</v>
      </c>
      <c r="L531" s="3">
        <f>IF(G531="High",3,IF(G531="Medium",2,1))</f>
        <v>1</v>
      </c>
    </row>
    <row r="532" spans="1:12">
      <c r="A532" s="3" t="s">
        <v>1525</v>
      </c>
      <c r="B532" s="3" t="s">
        <v>534</v>
      </c>
      <c r="C532" s="3" t="s">
        <v>965</v>
      </c>
      <c r="D532" s="3" t="s">
        <v>966</v>
      </c>
      <c r="E532" s="3" t="s">
        <v>42</v>
      </c>
      <c r="F532" s="3" t="s">
        <v>47</v>
      </c>
      <c r="G532" s="3" t="str">
        <f>INDEX(Risk_Matrix!$B$2:$D$4,MATCH(E532,Risk_Matrix!$A$2:$A$4,0),MATCH(F532,Risk_Matrix!$B$1:$D$1,0))</f>
        <v>Medium</v>
      </c>
      <c r="H532" s="10">
        <v>46080</v>
      </c>
      <c r="I532" s="3" t="s">
        <v>973</v>
      </c>
      <c r="J532" s="3" t="s">
        <v>974</v>
      </c>
      <c r="K532" s="3" t="s">
        <v>993</v>
      </c>
      <c r="L532" s="3">
        <f>IF(G532="High",3,IF(G532="Medium",2,1))</f>
        <v>2</v>
      </c>
    </row>
    <row r="533" spans="1:12">
      <c r="A533" s="3" t="s">
        <v>1526</v>
      </c>
      <c r="B533" s="3" t="s">
        <v>534</v>
      </c>
      <c r="C533" s="3" t="s">
        <v>971</v>
      </c>
      <c r="D533" s="3" t="s">
        <v>1025</v>
      </c>
      <c r="E533" s="3" t="s">
        <v>47</v>
      </c>
      <c r="F533" s="3" t="s">
        <v>942</v>
      </c>
      <c r="G533" s="3" t="str">
        <f>INDEX(Risk_Matrix!$B$2:$D$4,MATCH(E533,Risk_Matrix!$A$2:$A$4,0),MATCH(F533,Risk_Matrix!$B$1:$D$1,0))</f>
        <v>Low</v>
      </c>
      <c r="H533" s="10">
        <v>46095</v>
      </c>
      <c r="I533" s="3" t="s">
        <v>967</v>
      </c>
      <c r="J533" s="3" t="s">
        <v>968</v>
      </c>
      <c r="K533" s="3" t="s">
        <v>983</v>
      </c>
      <c r="L533" s="3">
        <f>IF(G533="High",3,IF(G533="Medium",2,1))</f>
        <v>1</v>
      </c>
    </row>
    <row r="534" spans="1:12">
      <c r="A534" s="3" t="s">
        <v>1527</v>
      </c>
      <c r="B534" s="3" t="s">
        <v>534</v>
      </c>
      <c r="C534" s="3" t="s">
        <v>976</v>
      </c>
      <c r="D534" s="3" t="s">
        <v>977</v>
      </c>
      <c r="E534" s="3" t="s">
        <v>42</v>
      </c>
      <c r="F534" s="3" t="s">
        <v>47</v>
      </c>
      <c r="G534" s="3" t="str">
        <f>INDEX(Risk_Matrix!$B$2:$D$4,MATCH(E534,Risk_Matrix!$A$2:$A$4,0),MATCH(F534,Risk_Matrix!$B$1:$D$1,0))</f>
        <v>Medium</v>
      </c>
      <c r="H534" s="10">
        <v>46116</v>
      </c>
      <c r="I534" s="3" t="s">
        <v>973</v>
      </c>
      <c r="J534" s="3" t="s">
        <v>974</v>
      </c>
      <c r="K534" s="3" t="s">
        <v>1000</v>
      </c>
      <c r="L534" s="3">
        <f>IF(G534="High",3,IF(G534="Medium",2,1))</f>
        <v>2</v>
      </c>
    </row>
    <row r="535" spans="1:12">
      <c r="A535" s="3" t="s">
        <v>1528</v>
      </c>
      <c r="B535" s="3" t="s">
        <v>534</v>
      </c>
      <c r="C535" s="3" t="s">
        <v>979</v>
      </c>
      <c r="D535" s="3" t="s">
        <v>980</v>
      </c>
      <c r="E535" s="3" t="s">
        <v>47</v>
      </c>
      <c r="F535" s="3" t="s">
        <v>942</v>
      </c>
      <c r="G535" s="3" t="str">
        <f>INDEX(Risk_Matrix!$B$2:$D$4,MATCH(E535,Risk_Matrix!$A$2:$A$4,0),MATCH(F535,Risk_Matrix!$B$1:$D$1,0))</f>
        <v>Low</v>
      </c>
      <c r="H535" s="10">
        <v>46148</v>
      </c>
      <c r="I535" s="3" t="s">
        <v>973</v>
      </c>
      <c r="J535" s="3" t="s">
        <v>974</v>
      </c>
      <c r="K535" s="3" t="s">
        <v>969</v>
      </c>
      <c r="L535" s="3">
        <f>IF(G535="High",3,IF(G535="Medium",2,1))</f>
        <v>1</v>
      </c>
    </row>
    <row r="536" spans="1:12">
      <c r="A536" s="3" t="s">
        <v>1529</v>
      </c>
      <c r="B536" s="3" t="s">
        <v>536</v>
      </c>
      <c r="C536" s="3" t="s">
        <v>956</v>
      </c>
      <c r="D536" s="3" t="s">
        <v>1012</v>
      </c>
      <c r="E536" s="3" t="s">
        <v>47</v>
      </c>
      <c r="F536" s="3" t="s">
        <v>47</v>
      </c>
      <c r="G536" s="3" t="str">
        <f>INDEX(Risk_Matrix!$B$2:$D$4,MATCH(E536,Risk_Matrix!$A$2:$A$4,0),MATCH(F536,Risk_Matrix!$B$1:$D$1,0))</f>
        <v>Low</v>
      </c>
      <c r="H536" s="10">
        <v>46114</v>
      </c>
      <c r="I536" s="3" t="s">
        <v>973</v>
      </c>
      <c r="J536" s="3" t="s">
        <v>974</v>
      </c>
      <c r="K536" s="3" t="s">
        <v>1000</v>
      </c>
      <c r="L536" s="3">
        <f>IF(G536="High",3,IF(G536="Medium",2,1))</f>
        <v>1</v>
      </c>
    </row>
    <row r="537" spans="1:12">
      <c r="A537" s="3" t="s">
        <v>1530</v>
      </c>
      <c r="B537" s="3" t="s">
        <v>536</v>
      </c>
      <c r="C537" s="3" t="s">
        <v>962</v>
      </c>
      <c r="D537" s="3" t="s">
        <v>963</v>
      </c>
      <c r="E537" s="3" t="s">
        <v>47</v>
      </c>
      <c r="F537" s="3" t="s">
        <v>942</v>
      </c>
      <c r="G537" s="3" t="str">
        <f>INDEX(Risk_Matrix!$B$2:$D$4,MATCH(E537,Risk_Matrix!$A$2:$A$4,0),MATCH(F537,Risk_Matrix!$B$1:$D$1,0))</f>
        <v>Low</v>
      </c>
      <c r="H537" s="10">
        <v>46164</v>
      </c>
      <c r="I537" s="3" t="s">
        <v>981</v>
      </c>
      <c r="J537" s="3" t="s">
        <v>982</v>
      </c>
      <c r="K537" s="3" t="s">
        <v>960</v>
      </c>
      <c r="L537" s="3">
        <f>IF(G537="High",3,IF(G537="Medium",2,1))</f>
        <v>1</v>
      </c>
    </row>
    <row r="538" spans="1:12">
      <c r="A538" s="3" t="s">
        <v>1531</v>
      </c>
      <c r="B538" s="3" t="s">
        <v>536</v>
      </c>
      <c r="C538" s="3" t="s">
        <v>965</v>
      </c>
      <c r="D538" s="3" t="s">
        <v>966</v>
      </c>
      <c r="E538" s="3" t="s">
        <v>942</v>
      </c>
      <c r="F538" s="3" t="s">
        <v>42</v>
      </c>
      <c r="G538" s="3" t="str">
        <f>INDEX(Risk_Matrix!$B$2:$D$4,MATCH(E538,Risk_Matrix!$A$2:$A$4,0),MATCH(F538,Risk_Matrix!$B$1:$D$1,0))</f>
        <v>High</v>
      </c>
      <c r="H538" s="10">
        <v>46222</v>
      </c>
      <c r="I538" s="3" t="s">
        <v>981</v>
      </c>
      <c r="J538" s="3" t="s">
        <v>982</v>
      </c>
      <c r="K538" s="3" t="s">
        <v>983</v>
      </c>
      <c r="L538" s="3">
        <f>IF(G538="High",3,IF(G538="Medium",2,1))</f>
        <v>3</v>
      </c>
    </row>
    <row r="539" spans="1:12">
      <c r="A539" s="3" t="s">
        <v>1532</v>
      </c>
      <c r="B539" s="3" t="s">
        <v>536</v>
      </c>
      <c r="C539" s="3" t="s">
        <v>971</v>
      </c>
      <c r="D539" s="3" t="s">
        <v>1025</v>
      </c>
      <c r="E539" s="3" t="s">
        <v>47</v>
      </c>
      <c r="F539" s="3" t="s">
        <v>47</v>
      </c>
      <c r="G539" s="3" t="str">
        <f>INDEX(Risk_Matrix!$B$2:$D$4,MATCH(E539,Risk_Matrix!$A$2:$A$4,0),MATCH(F539,Risk_Matrix!$B$1:$D$1,0))</f>
        <v>Low</v>
      </c>
      <c r="H539" s="10">
        <v>46219</v>
      </c>
      <c r="I539" s="3" t="s">
        <v>973</v>
      </c>
      <c r="J539" s="3" t="s">
        <v>974</v>
      </c>
      <c r="K539" s="3" t="s">
        <v>993</v>
      </c>
      <c r="L539" s="3">
        <f>IF(G539="High",3,IF(G539="Medium",2,1))</f>
        <v>1</v>
      </c>
    </row>
    <row r="540" spans="1:12">
      <c r="A540" s="3" t="s">
        <v>1533</v>
      </c>
      <c r="B540" s="3" t="s">
        <v>536</v>
      </c>
      <c r="C540" s="3" t="s">
        <v>976</v>
      </c>
      <c r="D540" s="3" t="s">
        <v>977</v>
      </c>
      <c r="E540" s="3" t="s">
        <v>47</v>
      </c>
      <c r="F540" s="3" t="s">
        <v>942</v>
      </c>
      <c r="G540" s="3" t="str">
        <f>INDEX(Risk_Matrix!$B$2:$D$4,MATCH(E540,Risk_Matrix!$A$2:$A$4,0),MATCH(F540,Risk_Matrix!$B$1:$D$1,0))</f>
        <v>Low</v>
      </c>
      <c r="H540" s="10">
        <v>46186</v>
      </c>
      <c r="I540" s="3" t="s">
        <v>967</v>
      </c>
      <c r="J540" s="3" t="s">
        <v>968</v>
      </c>
      <c r="K540" s="3" t="s">
        <v>1000</v>
      </c>
      <c r="L540" s="3">
        <f>IF(G540="High",3,IF(G540="Medium",2,1))</f>
        <v>1</v>
      </c>
    </row>
    <row r="541" spans="1:12">
      <c r="A541" s="3" t="s">
        <v>1534</v>
      </c>
      <c r="B541" s="3" t="s">
        <v>536</v>
      </c>
      <c r="C541" s="3" t="s">
        <v>979</v>
      </c>
      <c r="D541" s="3" t="s">
        <v>980</v>
      </c>
      <c r="E541" s="3" t="s">
        <v>47</v>
      </c>
      <c r="F541" s="3" t="s">
        <v>47</v>
      </c>
      <c r="G541" s="3" t="str">
        <f>INDEX(Risk_Matrix!$B$2:$D$4,MATCH(E541,Risk_Matrix!$A$2:$A$4,0),MATCH(F541,Risk_Matrix!$B$1:$D$1,0))</f>
        <v>Low</v>
      </c>
      <c r="H541" s="10">
        <v>46205</v>
      </c>
      <c r="I541" s="3" t="s">
        <v>967</v>
      </c>
      <c r="J541" s="3" t="s">
        <v>968</v>
      </c>
      <c r="K541" s="3" t="s">
        <v>960</v>
      </c>
      <c r="L541" s="3">
        <f>IF(G541="High",3,IF(G541="Medium",2,1))</f>
        <v>1</v>
      </c>
    </row>
    <row r="542" spans="1:12">
      <c r="A542" s="3" t="s">
        <v>1535</v>
      </c>
      <c r="B542" s="3" t="s">
        <v>538</v>
      </c>
      <c r="C542" s="3" t="s">
        <v>956</v>
      </c>
      <c r="D542" s="3" t="s">
        <v>995</v>
      </c>
      <c r="E542" s="3" t="s">
        <v>47</v>
      </c>
      <c r="F542" s="3" t="s">
        <v>942</v>
      </c>
      <c r="G542" s="3" t="str">
        <f>INDEX(Risk_Matrix!$B$2:$D$4,MATCH(E542,Risk_Matrix!$A$2:$A$4,0),MATCH(F542,Risk_Matrix!$B$1:$D$1,0))</f>
        <v>Low</v>
      </c>
      <c r="H542" s="10">
        <v>46190</v>
      </c>
      <c r="I542" s="3" t="s">
        <v>973</v>
      </c>
      <c r="J542" s="3" t="s">
        <v>974</v>
      </c>
      <c r="K542" s="3" t="s">
        <v>993</v>
      </c>
      <c r="L542" s="3">
        <f>IF(G542="High",3,IF(G542="Medium",2,1))</f>
        <v>1</v>
      </c>
    </row>
    <row r="543" spans="1:12">
      <c r="A543" s="3" t="s">
        <v>1536</v>
      </c>
      <c r="B543" s="3" t="s">
        <v>538</v>
      </c>
      <c r="C543" s="3" t="s">
        <v>962</v>
      </c>
      <c r="D543" s="3" t="s">
        <v>963</v>
      </c>
      <c r="E543" s="3" t="s">
        <v>42</v>
      </c>
      <c r="F543" s="3" t="s">
        <v>47</v>
      </c>
      <c r="G543" s="3" t="str">
        <f>INDEX(Risk_Matrix!$B$2:$D$4,MATCH(E543,Risk_Matrix!$A$2:$A$4,0),MATCH(F543,Risk_Matrix!$B$1:$D$1,0))</f>
        <v>Medium</v>
      </c>
      <c r="H543" s="10">
        <v>46073</v>
      </c>
      <c r="I543" s="3" t="s">
        <v>981</v>
      </c>
      <c r="J543" s="3" t="s">
        <v>982</v>
      </c>
      <c r="K543" s="3" t="s">
        <v>969</v>
      </c>
      <c r="L543" s="3">
        <f>IF(G543="High",3,IF(G543="Medium",2,1))</f>
        <v>2</v>
      </c>
    </row>
    <row r="544" spans="1:12">
      <c r="A544" s="3" t="s">
        <v>1537</v>
      </c>
      <c r="B544" s="3" t="s">
        <v>538</v>
      </c>
      <c r="C544" s="3" t="s">
        <v>965</v>
      </c>
      <c r="D544" s="3" t="s">
        <v>988</v>
      </c>
      <c r="E544" s="3" t="s">
        <v>942</v>
      </c>
      <c r="F544" s="3" t="s">
        <v>942</v>
      </c>
      <c r="G544" s="3" t="str">
        <f>INDEX(Risk_Matrix!$B$2:$D$4,MATCH(E544,Risk_Matrix!$A$2:$A$4,0),MATCH(F544,Risk_Matrix!$B$1:$D$1,0))</f>
        <v>Medium</v>
      </c>
      <c r="H544" s="10">
        <v>46114</v>
      </c>
      <c r="I544" s="3" t="s">
        <v>981</v>
      </c>
      <c r="J544" s="3" t="s">
        <v>982</v>
      </c>
      <c r="K544" s="3" t="s">
        <v>1000</v>
      </c>
      <c r="L544" s="3">
        <f>IF(G544="High",3,IF(G544="Medium",2,1))</f>
        <v>2</v>
      </c>
    </row>
    <row r="545" spans="1:12">
      <c r="A545" s="3" t="s">
        <v>1538</v>
      </c>
      <c r="B545" s="3" t="s">
        <v>538</v>
      </c>
      <c r="C545" s="3" t="s">
        <v>971</v>
      </c>
      <c r="D545" s="3" t="s">
        <v>1016</v>
      </c>
      <c r="E545" s="3" t="s">
        <v>942</v>
      </c>
      <c r="F545" s="3" t="s">
        <v>942</v>
      </c>
      <c r="G545" s="3" t="str">
        <f>INDEX(Risk_Matrix!$B$2:$D$4,MATCH(E545,Risk_Matrix!$A$2:$A$4,0),MATCH(F545,Risk_Matrix!$B$1:$D$1,0))</f>
        <v>Medium</v>
      </c>
      <c r="H545" s="10">
        <v>46161</v>
      </c>
      <c r="I545" s="3" t="s">
        <v>967</v>
      </c>
      <c r="J545" s="3" t="s">
        <v>968</v>
      </c>
      <c r="K545" s="3" t="s">
        <v>1000</v>
      </c>
      <c r="L545" s="3">
        <f>IF(G545="High",3,IF(G545="Medium",2,1))</f>
        <v>2</v>
      </c>
    </row>
    <row r="546" spans="1:12">
      <c r="A546" s="3" t="s">
        <v>1539</v>
      </c>
      <c r="B546" s="3" t="s">
        <v>538</v>
      </c>
      <c r="C546" s="3" t="s">
        <v>976</v>
      </c>
      <c r="D546" s="3" t="s">
        <v>977</v>
      </c>
      <c r="E546" s="3" t="s">
        <v>42</v>
      </c>
      <c r="F546" s="3" t="s">
        <v>47</v>
      </c>
      <c r="G546" s="3" t="str">
        <f>INDEX(Risk_Matrix!$B$2:$D$4,MATCH(E546,Risk_Matrix!$A$2:$A$4,0),MATCH(F546,Risk_Matrix!$B$1:$D$1,0))</f>
        <v>Medium</v>
      </c>
      <c r="H546" s="10">
        <v>46180</v>
      </c>
      <c r="I546" s="3" t="s">
        <v>981</v>
      </c>
      <c r="J546" s="3" t="s">
        <v>982</v>
      </c>
      <c r="K546" s="3" t="s">
        <v>960</v>
      </c>
      <c r="L546" s="3">
        <f>IF(G546="High",3,IF(G546="Medium",2,1))</f>
        <v>2</v>
      </c>
    </row>
    <row r="547" spans="1:12">
      <c r="A547" s="3" t="s">
        <v>1540</v>
      </c>
      <c r="B547" s="3" t="s">
        <v>538</v>
      </c>
      <c r="C547" s="3" t="s">
        <v>979</v>
      </c>
      <c r="D547" s="3" t="s">
        <v>1028</v>
      </c>
      <c r="E547" s="3" t="s">
        <v>42</v>
      </c>
      <c r="F547" s="3" t="s">
        <v>942</v>
      </c>
      <c r="G547" s="3" t="str">
        <f>INDEX(Risk_Matrix!$B$2:$D$4,MATCH(E547,Risk_Matrix!$A$2:$A$4,0),MATCH(F547,Risk_Matrix!$B$1:$D$1,0))</f>
        <v>High</v>
      </c>
      <c r="H547" s="10">
        <v>46148</v>
      </c>
      <c r="I547" s="3" t="s">
        <v>973</v>
      </c>
      <c r="J547" s="3" t="s">
        <v>974</v>
      </c>
      <c r="K547" s="3" t="s">
        <v>969</v>
      </c>
      <c r="L547" s="3">
        <f>IF(G547="High",3,IF(G547="Medium",2,1))</f>
        <v>3</v>
      </c>
    </row>
    <row r="548" spans="1:12">
      <c r="A548" s="3" t="s">
        <v>1541</v>
      </c>
      <c r="B548" s="3" t="s">
        <v>540</v>
      </c>
      <c r="C548" s="3" t="s">
        <v>956</v>
      </c>
      <c r="D548" s="3" t="s">
        <v>1012</v>
      </c>
      <c r="E548" s="3" t="s">
        <v>42</v>
      </c>
      <c r="F548" s="3" t="s">
        <v>942</v>
      </c>
      <c r="G548" s="3" t="str">
        <f>INDEX(Risk_Matrix!$B$2:$D$4,MATCH(E548,Risk_Matrix!$A$2:$A$4,0),MATCH(F548,Risk_Matrix!$B$1:$D$1,0))</f>
        <v>High</v>
      </c>
      <c r="H548" s="10">
        <v>46101</v>
      </c>
      <c r="I548" s="3" t="s">
        <v>973</v>
      </c>
      <c r="J548" s="3" t="s">
        <v>974</v>
      </c>
      <c r="K548" s="3" t="s">
        <v>969</v>
      </c>
      <c r="L548" s="3">
        <f>IF(G548="High",3,IF(G548="Medium",2,1))</f>
        <v>3</v>
      </c>
    </row>
    <row r="549" spans="1:12">
      <c r="A549" s="3" t="s">
        <v>1542</v>
      </c>
      <c r="B549" s="3" t="s">
        <v>540</v>
      </c>
      <c r="C549" s="3" t="s">
        <v>962</v>
      </c>
      <c r="D549" s="3" t="s">
        <v>1037</v>
      </c>
      <c r="E549" s="3" t="s">
        <v>42</v>
      </c>
      <c r="F549" s="3" t="s">
        <v>942</v>
      </c>
      <c r="G549" s="3" t="str">
        <f>INDEX(Risk_Matrix!$B$2:$D$4,MATCH(E549,Risk_Matrix!$A$2:$A$4,0),MATCH(F549,Risk_Matrix!$B$1:$D$1,0))</f>
        <v>High</v>
      </c>
      <c r="H549" s="10">
        <v>46068</v>
      </c>
      <c r="I549" s="3" t="s">
        <v>967</v>
      </c>
      <c r="J549" s="3" t="s">
        <v>968</v>
      </c>
      <c r="K549" s="3" t="s">
        <v>983</v>
      </c>
      <c r="L549" s="3">
        <f>IF(G549="High",3,IF(G549="Medium",2,1))</f>
        <v>3</v>
      </c>
    </row>
    <row r="550" spans="1:12">
      <c r="A550" s="3" t="s">
        <v>1543</v>
      </c>
      <c r="B550" s="3" t="s">
        <v>540</v>
      </c>
      <c r="C550" s="3" t="s">
        <v>965</v>
      </c>
      <c r="D550" s="3" t="s">
        <v>1039</v>
      </c>
      <c r="E550" s="3" t="s">
        <v>47</v>
      </c>
      <c r="F550" s="3" t="s">
        <v>47</v>
      </c>
      <c r="G550" s="3" t="str">
        <f>INDEX(Risk_Matrix!$B$2:$D$4,MATCH(E550,Risk_Matrix!$A$2:$A$4,0),MATCH(F550,Risk_Matrix!$B$1:$D$1,0))</f>
        <v>Low</v>
      </c>
      <c r="H550" s="10">
        <v>46206</v>
      </c>
      <c r="I550" s="3" t="s">
        <v>973</v>
      </c>
      <c r="J550" s="3" t="s">
        <v>974</v>
      </c>
      <c r="K550" s="3" t="s">
        <v>960</v>
      </c>
      <c r="L550" s="3">
        <f>IF(G550="High",3,IF(G550="Medium",2,1))</f>
        <v>1</v>
      </c>
    </row>
    <row r="551" spans="1:12">
      <c r="A551" s="3" t="s">
        <v>1544</v>
      </c>
      <c r="B551" s="3" t="s">
        <v>540</v>
      </c>
      <c r="C551" s="3" t="s">
        <v>971</v>
      </c>
      <c r="D551" s="3" t="s">
        <v>1025</v>
      </c>
      <c r="E551" s="3" t="s">
        <v>47</v>
      </c>
      <c r="F551" s="3" t="s">
        <v>47</v>
      </c>
      <c r="G551" s="3" t="str">
        <f>INDEX(Risk_Matrix!$B$2:$D$4,MATCH(E551,Risk_Matrix!$A$2:$A$4,0),MATCH(F551,Risk_Matrix!$B$1:$D$1,0))</f>
        <v>Low</v>
      </c>
      <c r="H551" s="10">
        <v>46068</v>
      </c>
      <c r="I551" s="3" t="s">
        <v>967</v>
      </c>
      <c r="J551" s="3" t="s">
        <v>968</v>
      </c>
      <c r="K551" s="3" t="s">
        <v>969</v>
      </c>
      <c r="L551" s="3">
        <f>IF(G551="High",3,IF(G551="Medium",2,1))</f>
        <v>1</v>
      </c>
    </row>
    <row r="552" spans="1:12">
      <c r="A552" s="3" t="s">
        <v>1545</v>
      </c>
      <c r="B552" s="3" t="s">
        <v>540</v>
      </c>
      <c r="C552" s="3" t="s">
        <v>976</v>
      </c>
      <c r="D552" s="3" t="s">
        <v>991</v>
      </c>
      <c r="E552" s="3" t="s">
        <v>47</v>
      </c>
      <c r="F552" s="3" t="s">
        <v>47</v>
      </c>
      <c r="G552" s="3" t="str">
        <f>INDEX(Risk_Matrix!$B$2:$D$4,MATCH(E552,Risk_Matrix!$A$2:$A$4,0),MATCH(F552,Risk_Matrix!$B$1:$D$1,0))</f>
        <v>Low</v>
      </c>
      <c r="H552" s="10">
        <v>46102</v>
      </c>
      <c r="I552" s="3" t="s">
        <v>958</v>
      </c>
      <c r="J552" s="3" t="s">
        <v>959</v>
      </c>
      <c r="K552" s="3" t="s">
        <v>969</v>
      </c>
      <c r="L552" s="3">
        <f>IF(G552="High",3,IF(G552="Medium",2,1))</f>
        <v>1</v>
      </c>
    </row>
    <row r="553" spans="1:12">
      <c r="A553" s="3" t="s">
        <v>1546</v>
      </c>
      <c r="B553" s="3" t="s">
        <v>540</v>
      </c>
      <c r="C553" s="3" t="s">
        <v>979</v>
      </c>
      <c r="D553" s="3" t="s">
        <v>1004</v>
      </c>
      <c r="E553" s="3" t="s">
        <v>42</v>
      </c>
      <c r="F553" s="3" t="s">
        <v>47</v>
      </c>
      <c r="G553" s="3" t="str">
        <f>INDEX(Risk_Matrix!$B$2:$D$4,MATCH(E553,Risk_Matrix!$A$2:$A$4,0),MATCH(F553,Risk_Matrix!$B$1:$D$1,0))</f>
        <v>Medium</v>
      </c>
      <c r="H553" s="10">
        <v>46201</v>
      </c>
      <c r="I553" s="3" t="s">
        <v>967</v>
      </c>
      <c r="J553" s="3" t="s">
        <v>968</v>
      </c>
      <c r="K553" s="3" t="s">
        <v>960</v>
      </c>
      <c r="L553" s="3">
        <f>IF(G553="High",3,IF(G553="Medium",2,1))</f>
        <v>2</v>
      </c>
    </row>
    <row r="554" spans="1:12">
      <c r="A554" s="3" t="s">
        <v>1547</v>
      </c>
      <c r="B554" s="3" t="s">
        <v>541</v>
      </c>
      <c r="C554" s="3" t="s">
        <v>956</v>
      </c>
      <c r="D554" s="3" t="s">
        <v>995</v>
      </c>
      <c r="E554" s="3" t="s">
        <v>47</v>
      </c>
      <c r="F554" s="3" t="s">
        <v>42</v>
      </c>
      <c r="G554" s="3" t="str">
        <f>INDEX(Risk_Matrix!$B$2:$D$4,MATCH(E554,Risk_Matrix!$A$2:$A$4,0),MATCH(F554,Risk_Matrix!$B$1:$D$1,0))</f>
        <v>Medium</v>
      </c>
      <c r="H554" s="10">
        <v>46109</v>
      </c>
      <c r="I554" s="3" t="s">
        <v>967</v>
      </c>
      <c r="J554" s="3" t="s">
        <v>968</v>
      </c>
      <c r="K554" s="3" t="s">
        <v>969</v>
      </c>
      <c r="L554" s="3">
        <f>IF(G554="High",3,IF(G554="Medium",2,1))</f>
        <v>2</v>
      </c>
    </row>
    <row r="555" spans="1:12">
      <c r="A555" s="3" t="s">
        <v>1548</v>
      </c>
      <c r="B555" s="3" t="s">
        <v>541</v>
      </c>
      <c r="C555" s="3" t="s">
        <v>962</v>
      </c>
      <c r="D555" s="3" t="s">
        <v>986</v>
      </c>
      <c r="E555" s="3" t="s">
        <v>47</v>
      </c>
      <c r="F555" s="3" t="s">
        <v>47</v>
      </c>
      <c r="G555" s="3" t="str">
        <f>INDEX(Risk_Matrix!$B$2:$D$4,MATCH(E555,Risk_Matrix!$A$2:$A$4,0),MATCH(F555,Risk_Matrix!$B$1:$D$1,0))</f>
        <v>Low</v>
      </c>
      <c r="H555" s="10">
        <v>46092</v>
      </c>
      <c r="I555" s="3" t="s">
        <v>981</v>
      </c>
      <c r="J555" s="3" t="s">
        <v>982</v>
      </c>
      <c r="K555" s="3" t="s">
        <v>983</v>
      </c>
      <c r="L555" s="3">
        <f>IF(G555="High",3,IF(G555="Medium",2,1))</f>
        <v>1</v>
      </c>
    </row>
    <row r="556" spans="1:12">
      <c r="A556" s="3" t="s">
        <v>1549</v>
      </c>
      <c r="B556" s="3" t="s">
        <v>541</v>
      </c>
      <c r="C556" s="3" t="s">
        <v>965</v>
      </c>
      <c r="D556" s="3" t="s">
        <v>988</v>
      </c>
      <c r="E556" s="3" t="s">
        <v>47</v>
      </c>
      <c r="F556" s="3" t="s">
        <v>47</v>
      </c>
      <c r="G556" s="3" t="str">
        <f>INDEX(Risk_Matrix!$B$2:$D$4,MATCH(E556,Risk_Matrix!$A$2:$A$4,0),MATCH(F556,Risk_Matrix!$B$1:$D$1,0))</f>
        <v>Low</v>
      </c>
      <c r="H556" s="10">
        <v>46228</v>
      </c>
      <c r="I556" s="3" t="s">
        <v>967</v>
      </c>
      <c r="J556" s="3" t="s">
        <v>968</v>
      </c>
      <c r="K556" s="3" t="s">
        <v>983</v>
      </c>
      <c r="L556" s="3">
        <f>IF(G556="High",3,IF(G556="Medium",2,1))</f>
        <v>1</v>
      </c>
    </row>
    <row r="557" spans="1:12">
      <c r="A557" s="3" t="s">
        <v>1550</v>
      </c>
      <c r="B557" s="3" t="s">
        <v>541</v>
      </c>
      <c r="C557" s="3" t="s">
        <v>971</v>
      </c>
      <c r="D557" s="3" t="s">
        <v>1016</v>
      </c>
      <c r="E557" s="3" t="s">
        <v>942</v>
      </c>
      <c r="F557" s="3" t="s">
        <v>47</v>
      </c>
      <c r="G557" s="3" t="str">
        <f>INDEX(Risk_Matrix!$B$2:$D$4,MATCH(E557,Risk_Matrix!$A$2:$A$4,0),MATCH(F557,Risk_Matrix!$B$1:$D$1,0))</f>
        <v>Low</v>
      </c>
      <c r="H557" s="10">
        <v>46182</v>
      </c>
      <c r="I557" s="3" t="s">
        <v>967</v>
      </c>
      <c r="J557" s="3" t="s">
        <v>968</v>
      </c>
      <c r="K557" s="3" t="s">
        <v>960</v>
      </c>
      <c r="L557" s="3">
        <f>IF(G557="High",3,IF(G557="Medium",2,1))</f>
        <v>1</v>
      </c>
    </row>
    <row r="558" spans="1:12">
      <c r="A558" s="3" t="s">
        <v>1551</v>
      </c>
      <c r="B558" s="3" t="s">
        <v>541</v>
      </c>
      <c r="C558" s="3" t="s">
        <v>976</v>
      </c>
      <c r="D558" s="3" t="s">
        <v>991</v>
      </c>
      <c r="E558" s="3" t="s">
        <v>47</v>
      </c>
      <c r="F558" s="3" t="s">
        <v>47</v>
      </c>
      <c r="G558" s="3" t="str">
        <f>INDEX(Risk_Matrix!$B$2:$D$4,MATCH(E558,Risk_Matrix!$A$2:$A$4,0),MATCH(F558,Risk_Matrix!$B$1:$D$1,0))</f>
        <v>Low</v>
      </c>
      <c r="H558" s="10">
        <v>46089</v>
      </c>
      <c r="I558" s="3" t="s">
        <v>967</v>
      </c>
      <c r="J558" s="3" t="s">
        <v>968</v>
      </c>
      <c r="K558" s="3" t="s">
        <v>1000</v>
      </c>
      <c r="L558" s="3">
        <f>IF(G558="High",3,IF(G558="Medium",2,1))</f>
        <v>1</v>
      </c>
    </row>
    <row r="559" spans="1:12">
      <c r="A559" s="3" t="s">
        <v>1552</v>
      </c>
      <c r="B559" s="3" t="s">
        <v>541</v>
      </c>
      <c r="C559" s="3" t="s">
        <v>979</v>
      </c>
      <c r="D559" s="3" t="s">
        <v>1004</v>
      </c>
      <c r="E559" s="3" t="s">
        <v>942</v>
      </c>
      <c r="F559" s="3" t="s">
        <v>942</v>
      </c>
      <c r="G559" s="3" t="str">
        <f>INDEX(Risk_Matrix!$B$2:$D$4,MATCH(E559,Risk_Matrix!$A$2:$A$4,0),MATCH(F559,Risk_Matrix!$B$1:$D$1,0))</f>
        <v>Medium</v>
      </c>
      <c r="H559" s="10">
        <v>46217</v>
      </c>
      <c r="I559" s="3" t="s">
        <v>973</v>
      </c>
      <c r="J559" s="3" t="s">
        <v>974</v>
      </c>
      <c r="K559" s="3" t="s">
        <v>1000</v>
      </c>
      <c r="L559" s="3">
        <f>IF(G559="High",3,IF(G559="Medium",2,1))</f>
        <v>2</v>
      </c>
    </row>
    <row r="560" spans="1:12">
      <c r="A560" s="3" t="s">
        <v>1553</v>
      </c>
      <c r="B560" s="3" t="s">
        <v>542</v>
      </c>
      <c r="C560" s="3" t="s">
        <v>956</v>
      </c>
      <c r="D560" s="3" t="s">
        <v>1012</v>
      </c>
      <c r="E560" s="3" t="s">
        <v>942</v>
      </c>
      <c r="F560" s="3" t="s">
        <v>42</v>
      </c>
      <c r="G560" s="3" t="str">
        <f>INDEX(Risk_Matrix!$B$2:$D$4,MATCH(E560,Risk_Matrix!$A$2:$A$4,0),MATCH(F560,Risk_Matrix!$B$1:$D$1,0))</f>
        <v>High</v>
      </c>
      <c r="H560" s="10">
        <v>46138</v>
      </c>
      <c r="I560" s="3" t="s">
        <v>958</v>
      </c>
      <c r="J560" s="3" t="s">
        <v>959</v>
      </c>
      <c r="K560" s="3" t="s">
        <v>983</v>
      </c>
      <c r="L560" s="3">
        <f>IF(G560="High",3,IF(G560="Medium",2,1))</f>
        <v>3</v>
      </c>
    </row>
    <row r="561" spans="1:12">
      <c r="A561" s="3" t="s">
        <v>1554</v>
      </c>
      <c r="B561" s="3" t="s">
        <v>542</v>
      </c>
      <c r="C561" s="3" t="s">
        <v>962</v>
      </c>
      <c r="D561" s="3" t="s">
        <v>997</v>
      </c>
      <c r="E561" s="3" t="s">
        <v>47</v>
      </c>
      <c r="F561" s="3" t="s">
        <v>942</v>
      </c>
      <c r="G561" s="3" t="str">
        <f>INDEX(Risk_Matrix!$B$2:$D$4,MATCH(E561,Risk_Matrix!$A$2:$A$4,0),MATCH(F561,Risk_Matrix!$B$1:$D$1,0))</f>
        <v>Low</v>
      </c>
      <c r="H561" s="10">
        <v>46068</v>
      </c>
      <c r="I561" s="3" t="s">
        <v>981</v>
      </c>
      <c r="J561" s="3" t="s">
        <v>982</v>
      </c>
      <c r="K561" s="3" t="s">
        <v>969</v>
      </c>
      <c r="L561" s="3">
        <f>IF(G561="High",3,IF(G561="Medium",2,1))</f>
        <v>1</v>
      </c>
    </row>
    <row r="562" spans="1:12">
      <c r="A562" s="3" t="s">
        <v>1555</v>
      </c>
      <c r="B562" s="3" t="s">
        <v>542</v>
      </c>
      <c r="C562" s="3" t="s">
        <v>965</v>
      </c>
      <c r="D562" s="3" t="s">
        <v>988</v>
      </c>
      <c r="E562" s="3" t="s">
        <v>47</v>
      </c>
      <c r="F562" s="3" t="s">
        <v>42</v>
      </c>
      <c r="G562" s="3" t="str">
        <f>INDEX(Risk_Matrix!$B$2:$D$4,MATCH(E562,Risk_Matrix!$A$2:$A$4,0),MATCH(F562,Risk_Matrix!$B$1:$D$1,0))</f>
        <v>Medium</v>
      </c>
      <c r="H562" s="10">
        <v>46143</v>
      </c>
      <c r="I562" s="3" t="s">
        <v>973</v>
      </c>
      <c r="J562" s="3" t="s">
        <v>974</v>
      </c>
      <c r="K562" s="3" t="s">
        <v>993</v>
      </c>
      <c r="L562" s="3">
        <f>IF(G562="High",3,IF(G562="Medium",2,1))</f>
        <v>2</v>
      </c>
    </row>
    <row r="563" spans="1:12">
      <c r="A563" s="3" t="s">
        <v>1556</v>
      </c>
      <c r="B563" s="3" t="s">
        <v>542</v>
      </c>
      <c r="C563" s="3" t="s">
        <v>971</v>
      </c>
      <c r="D563" s="3" t="s">
        <v>1025</v>
      </c>
      <c r="E563" s="3" t="s">
        <v>47</v>
      </c>
      <c r="F563" s="3" t="s">
        <v>47</v>
      </c>
      <c r="G563" s="3" t="str">
        <f>INDEX(Risk_Matrix!$B$2:$D$4,MATCH(E563,Risk_Matrix!$A$2:$A$4,0),MATCH(F563,Risk_Matrix!$B$1:$D$1,0))</f>
        <v>Low</v>
      </c>
      <c r="H563" s="10">
        <v>46095</v>
      </c>
      <c r="I563" s="3" t="s">
        <v>967</v>
      </c>
      <c r="J563" s="3" t="s">
        <v>968</v>
      </c>
      <c r="K563" s="3" t="s">
        <v>993</v>
      </c>
      <c r="L563" s="3">
        <f>IF(G563="High",3,IF(G563="Medium",2,1))</f>
        <v>1</v>
      </c>
    </row>
    <row r="564" spans="1:12">
      <c r="A564" s="3" t="s">
        <v>1557</v>
      </c>
      <c r="B564" s="3" t="s">
        <v>542</v>
      </c>
      <c r="C564" s="3" t="s">
        <v>976</v>
      </c>
      <c r="D564" s="3" t="s">
        <v>977</v>
      </c>
      <c r="E564" s="3" t="s">
        <v>942</v>
      </c>
      <c r="F564" s="3" t="s">
        <v>47</v>
      </c>
      <c r="G564" s="3" t="str">
        <f>INDEX(Risk_Matrix!$B$2:$D$4,MATCH(E564,Risk_Matrix!$A$2:$A$4,0),MATCH(F564,Risk_Matrix!$B$1:$D$1,0))</f>
        <v>Low</v>
      </c>
      <c r="H564" s="10">
        <v>46125</v>
      </c>
      <c r="I564" s="3" t="s">
        <v>958</v>
      </c>
      <c r="J564" s="3" t="s">
        <v>959</v>
      </c>
      <c r="K564" s="3" t="s">
        <v>969</v>
      </c>
      <c r="L564" s="3">
        <f>IF(G564="High",3,IF(G564="Medium",2,1))</f>
        <v>1</v>
      </c>
    </row>
    <row r="565" spans="1:12">
      <c r="A565" s="3" t="s">
        <v>1558</v>
      </c>
      <c r="B565" s="3" t="s">
        <v>542</v>
      </c>
      <c r="C565" s="3" t="s">
        <v>979</v>
      </c>
      <c r="D565" s="3" t="s">
        <v>1004</v>
      </c>
      <c r="E565" s="3" t="s">
        <v>942</v>
      </c>
      <c r="F565" s="3" t="s">
        <v>42</v>
      </c>
      <c r="G565" s="3" t="str">
        <f>INDEX(Risk_Matrix!$B$2:$D$4,MATCH(E565,Risk_Matrix!$A$2:$A$4,0),MATCH(F565,Risk_Matrix!$B$1:$D$1,0))</f>
        <v>High</v>
      </c>
      <c r="H565" s="10">
        <v>46132</v>
      </c>
      <c r="I565" s="3" t="s">
        <v>967</v>
      </c>
      <c r="J565" s="3" t="s">
        <v>968</v>
      </c>
      <c r="K565" s="3" t="s">
        <v>983</v>
      </c>
      <c r="L565" s="3">
        <f>IF(G565="High",3,IF(G565="Medium",2,1))</f>
        <v>3</v>
      </c>
    </row>
    <row r="566" spans="1:12">
      <c r="A566" s="3" t="s">
        <v>1559</v>
      </c>
      <c r="B566" s="3" t="s">
        <v>543</v>
      </c>
      <c r="C566" s="3" t="s">
        <v>956</v>
      </c>
      <c r="D566" s="3" t="s">
        <v>957</v>
      </c>
      <c r="E566" s="3" t="s">
        <v>47</v>
      </c>
      <c r="F566" s="3" t="s">
        <v>47</v>
      </c>
      <c r="G566" s="3" t="str">
        <f>INDEX(Risk_Matrix!$B$2:$D$4,MATCH(E566,Risk_Matrix!$A$2:$A$4,0),MATCH(F566,Risk_Matrix!$B$1:$D$1,0))</f>
        <v>Low</v>
      </c>
      <c r="H566" s="10">
        <v>46104</v>
      </c>
      <c r="I566" s="3" t="s">
        <v>958</v>
      </c>
      <c r="J566" s="3" t="s">
        <v>959</v>
      </c>
      <c r="K566" s="3" t="s">
        <v>969</v>
      </c>
      <c r="L566" s="3">
        <f>IF(G566="High",3,IF(G566="Medium",2,1))</f>
        <v>1</v>
      </c>
    </row>
    <row r="567" spans="1:12">
      <c r="A567" s="3" t="s">
        <v>1560</v>
      </c>
      <c r="B567" s="3" t="s">
        <v>543</v>
      </c>
      <c r="C567" s="3" t="s">
        <v>962</v>
      </c>
      <c r="D567" s="3" t="s">
        <v>963</v>
      </c>
      <c r="E567" s="3" t="s">
        <v>42</v>
      </c>
      <c r="F567" s="3" t="s">
        <v>942</v>
      </c>
      <c r="G567" s="3" t="str">
        <f>INDEX(Risk_Matrix!$B$2:$D$4,MATCH(E567,Risk_Matrix!$A$2:$A$4,0),MATCH(F567,Risk_Matrix!$B$1:$D$1,0))</f>
        <v>High</v>
      </c>
      <c r="H567" s="10">
        <v>46237</v>
      </c>
      <c r="I567" s="3" t="s">
        <v>973</v>
      </c>
      <c r="J567" s="3" t="s">
        <v>974</v>
      </c>
      <c r="K567" s="3" t="s">
        <v>960</v>
      </c>
      <c r="L567" s="3">
        <f>IF(G567="High",3,IF(G567="Medium",2,1))</f>
        <v>3</v>
      </c>
    </row>
    <row r="568" spans="1:12">
      <c r="A568" s="3" t="s">
        <v>1561</v>
      </c>
      <c r="B568" s="3" t="s">
        <v>543</v>
      </c>
      <c r="C568" s="3" t="s">
        <v>965</v>
      </c>
      <c r="D568" s="3" t="s">
        <v>966</v>
      </c>
      <c r="E568" s="3" t="s">
        <v>47</v>
      </c>
      <c r="F568" s="3" t="s">
        <v>942</v>
      </c>
      <c r="G568" s="3" t="str">
        <f>INDEX(Risk_Matrix!$B$2:$D$4,MATCH(E568,Risk_Matrix!$A$2:$A$4,0),MATCH(F568,Risk_Matrix!$B$1:$D$1,0))</f>
        <v>Low</v>
      </c>
      <c r="H568" s="10">
        <v>46203</v>
      </c>
      <c r="I568" s="3" t="s">
        <v>967</v>
      </c>
      <c r="J568" s="3" t="s">
        <v>968</v>
      </c>
      <c r="K568" s="3" t="s">
        <v>983</v>
      </c>
      <c r="L568" s="3">
        <f>IF(G568="High",3,IF(G568="Medium",2,1))</f>
        <v>1</v>
      </c>
    </row>
    <row r="569" spans="1:12">
      <c r="A569" s="3" t="s">
        <v>1562</v>
      </c>
      <c r="B569" s="3" t="s">
        <v>543</v>
      </c>
      <c r="C569" s="3" t="s">
        <v>971</v>
      </c>
      <c r="D569" s="3" t="s">
        <v>972</v>
      </c>
      <c r="E569" s="3" t="s">
        <v>942</v>
      </c>
      <c r="F569" s="3" t="s">
        <v>47</v>
      </c>
      <c r="G569" s="3" t="str">
        <f>INDEX(Risk_Matrix!$B$2:$D$4,MATCH(E569,Risk_Matrix!$A$2:$A$4,0),MATCH(F569,Risk_Matrix!$B$1:$D$1,0))</f>
        <v>Low</v>
      </c>
      <c r="H569" s="10">
        <v>46161</v>
      </c>
      <c r="I569" s="3" t="s">
        <v>967</v>
      </c>
      <c r="J569" s="3" t="s">
        <v>968</v>
      </c>
      <c r="K569" s="3" t="s">
        <v>1000</v>
      </c>
      <c r="L569" s="3">
        <f>IF(G569="High",3,IF(G569="Medium",2,1))</f>
        <v>1</v>
      </c>
    </row>
    <row r="570" spans="1:12">
      <c r="A570" s="3" t="s">
        <v>1563</v>
      </c>
      <c r="B570" s="3" t="s">
        <v>543</v>
      </c>
      <c r="C570" s="3" t="s">
        <v>976</v>
      </c>
      <c r="D570" s="3" t="s">
        <v>991</v>
      </c>
      <c r="E570" s="3" t="s">
        <v>47</v>
      </c>
      <c r="F570" s="3" t="s">
        <v>942</v>
      </c>
      <c r="G570" s="3" t="str">
        <f>INDEX(Risk_Matrix!$B$2:$D$4,MATCH(E570,Risk_Matrix!$A$2:$A$4,0),MATCH(F570,Risk_Matrix!$B$1:$D$1,0))</f>
        <v>Low</v>
      </c>
      <c r="H570" s="10">
        <v>46238</v>
      </c>
      <c r="I570" s="3" t="s">
        <v>973</v>
      </c>
      <c r="J570" s="3" t="s">
        <v>974</v>
      </c>
      <c r="K570" s="3" t="s">
        <v>983</v>
      </c>
      <c r="L570" s="3">
        <f>IF(G570="High",3,IF(G570="Medium",2,1))</f>
        <v>1</v>
      </c>
    </row>
    <row r="571" spans="1:12">
      <c r="A571" s="3" t="s">
        <v>1564</v>
      </c>
      <c r="B571" s="3" t="s">
        <v>543</v>
      </c>
      <c r="C571" s="3" t="s">
        <v>979</v>
      </c>
      <c r="D571" s="3" t="s">
        <v>1028</v>
      </c>
      <c r="E571" s="3" t="s">
        <v>47</v>
      </c>
      <c r="F571" s="3" t="s">
        <v>942</v>
      </c>
      <c r="G571" s="3" t="str">
        <f>INDEX(Risk_Matrix!$B$2:$D$4,MATCH(E571,Risk_Matrix!$A$2:$A$4,0),MATCH(F571,Risk_Matrix!$B$1:$D$1,0))</f>
        <v>Low</v>
      </c>
      <c r="H571" s="10">
        <v>46207</v>
      </c>
      <c r="I571" s="3" t="s">
        <v>967</v>
      </c>
      <c r="J571" s="3" t="s">
        <v>968</v>
      </c>
      <c r="K571" s="3" t="s">
        <v>969</v>
      </c>
      <c r="L571" s="3">
        <f>IF(G571="High",3,IF(G571="Medium",2,1))</f>
        <v>1</v>
      </c>
    </row>
    <row r="572" spans="1:12">
      <c r="A572" s="3" t="s">
        <v>1565</v>
      </c>
      <c r="B572" s="3" t="s">
        <v>545</v>
      </c>
      <c r="C572" s="3" t="s">
        <v>956</v>
      </c>
      <c r="D572" s="3" t="s">
        <v>1012</v>
      </c>
      <c r="E572" s="3" t="s">
        <v>47</v>
      </c>
      <c r="F572" s="3" t="s">
        <v>42</v>
      </c>
      <c r="G572" s="3" t="str">
        <f>INDEX(Risk_Matrix!$B$2:$D$4,MATCH(E572,Risk_Matrix!$A$2:$A$4,0),MATCH(F572,Risk_Matrix!$B$1:$D$1,0))</f>
        <v>Medium</v>
      </c>
      <c r="H572" s="10">
        <v>46231</v>
      </c>
      <c r="I572" s="3" t="s">
        <v>967</v>
      </c>
      <c r="J572" s="3" t="s">
        <v>968</v>
      </c>
      <c r="K572" s="3" t="s">
        <v>993</v>
      </c>
      <c r="L572" s="3">
        <f>IF(G572="High",3,IF(G572="Medium",2,1))</f>
        <v>2</v>
      </c>
    </row>
    <row r="573" spans="1:12">
      <c r="A573" s="3" t="s">
        <v>1566</v>
      </c>
      <c r="B573" s="3" t="s">
        <v>545</v>
      </c>
      <c r="C573" s="3" t="s">
        <v>962</v>
      </c>
      <c r="D573" s="3" t="s">
        <v>986</v>
      </c>
      <c r="E573" s="3" t="s">
        <v>47</v>
      </c>
      <c r="F573" s="3" t="s">
        <v>42</v>
      </c>
      <c r="G573" s="3" t="str">
        <f>INDEX(Risk_Matrix!$B$2:$D$4,MATCH(E573,Risk_Matrix!$A$2:$A$4,0),MATCH(F573,Risk_Matrix!$B$1:$D$1,0))</f>
        <v>Medium</v>
      </c>
      <c r="H573" s="10">
        <v>46146</v>
      </c>
      <c r="I573" s="3" t="s">
        <v>967</v>
      </c>
      <c r="J573" s="3" t="s">
        <v>968</v>
      </c>
      <c r="K573" s="3" t="s">
        <v>1000</v>
      </c>
      <c r="L573" s="3">
        <f>IF(G573="High",3,IF(G573="Medium",2,1))</f>
        <v>2</v>
      </c>
    </row>
    <row r="574" spans="1:12">
      <c r="A574" s="3" t="s">
        <v>1567</v>
      </c>
      <c r="B574" s="3" t="s">
        <v>545</v>
      </c>
      <c r="C574" s="3" t="s">
        <v>965</v>
      </c>
      <c r="D574" s="3" t="s">
        <v>988</v>
      </c>
      <c r="E574" s="3" t="s">
        <v>942</v>
      </c>
      <c r="F574" s="3" t="s">
        <v>42</v>
      </c>
      <c r="G574" s="3" t="str">
        <f>INDEX(Risk_Matrix!$B$2:$D$4,MATCH(E574,Risk_Matrix!$A$2:$A$4,0),MATCH(F574,Risk_Matrix!$B$1:$D$1,0))</f>
        <v>High</v>
      </c>
      <c r="H574" s="10">
        <v>46117</v>
      </c>
      <c r="I574" s="3" t="s">
        <v>967</v>
      </c>
      <c r="J574" s="3" t="s">
        <v>968</v>
      </c>
      <c r="K574" s="3" t="s">
        <v>993</v>
      </c>
      <c r="L574" s="3">
        <f>IF(G574="High",3,IF(G574="Medium",2,1))</f>
        <v>3</v>
      </c>
    </row>
    <row r="575" spans="1:12">
      <c r="A575" s="3" t="s">
        <v>1568</v>
      </c>
      <c r="B575" s="3" t="s">
        <v>545</v>
      </c>
      <c r="C575" s="3" t="s">
        <v>971</v>
      </c>
      <c r="D575" s="3" t="s">
        <v>1025</v>
      </c>
      <c r="E575" s="3" t="s">
        <v>942</v>
      </c>
      <c r="F575" s="3" t="s">
        <v>942</v>
      </c>
      <c r="G575" s="3" t="str">
        <f>INDEX(Risk_Matrix!$B$2:$D$4,MATCH(E575,Risk_Matrix!$A$2:$A$4,0),MATCH(F575,Risk_Matrix!$B$1:$D$1,0))</f>
        <v>Medium</v>
      </c>
      <c r="H575" s="10">
        <v>46197</v>
      </c>
      <c r="I575" s="3" t="s">
        <v>981</v>
      </c>
      <c r="J575" s="3" t="s">
        <v>982</v>
      </c>
      <c r="K575" s="3" t="s">
        <v>1000</v>
      </c>
      <c r="L575" s="3">
        <f>IF(G575="High",3,IF(G575="Medium",2,1))</f>
        <v>2</v>
      </c>
    </row>
    <row r="576" spans="1:12">
      <c r="A576" s="3" t="s">
        <v>1569</v>
      </c>
      <c r="B576" s="3" t="s">
        <v>545</v>
      </c>
      <c r="C576" s="3" t="s">
        <v>976</v>
      </c>
      <c r="D576" s="3" t="s">
        <v>977</v>
      </c>
      <c r="E576" s="3" t="s">
        <v>47</v>
      </c>
      <c r="F576" s="3" t="s">
        <v>47</v>
      </c>
      <c r="G576" s="3" t="str">
        <f>INDEX(Risk_Matrix!$B$2:$D$4,MATCH(E576,Risk_Matrix!$A$2:$A$4,0),MATCH(F576,Risk_Matrix!$B$1:$D$1,0))</f>
        <v>Low</v>
      </c>
      <c r="H576" s="10">
        <v>46147</v>
      </c>
      <c r="I576" s="3" t="s">
        <v>967</v>
      </c>
      <c r="J576" s="3" t="s">
        <v>968</v>
      </c>
      <c r="K576" s="3" t="s">
        <v>983</v>
      </c>
      <c r="L576" s="3">
        <f>IF(G576="High",3,IF(G576="Medium",2,1))</f>
        <v>1</v>
      </c>
    </row>
    <row r="577" spans="1:12">
      <c r="A577" s="3" t="s">
        <v>1570</v>
      </c>
      <c r="B577" s="3" t="s">
        <v>545</v>
      </c>
      <c r="C577" s="3" t="s">
        <v>979</v>
      </c>
      <c r="D577" s="3" t="s">
        <v>1004</v>
      </c>
      <c r="E577" s="3" t="s">
        <v>47</v>
      </c>
      <c r="F577" s="3" t="s">
        <v>47</v>
      </c>
      <c r="G577" s="3" t="str">
        <f>INDEX(Risk_Matrix!$B$2:$D$4,MATCH(E577,Risk_Matrix!$A$2:$A$4,0),MATCH(F577,Risk_Matrix!$B$1:$D$1,0))</f>
        <v>Low</v>
      </c>
      <c r="H577" s="10">
        <v>46147</v>
      </c>
      <c r="I577" s="3" t="s">
        <v>981</v>
      </c>
      <c r="J577" s="3" t="s">
        <v>982</v>
      </c>
      <c r="K577" s="3" t="s">
        <v>993</v>
      </c>
      <c r="L577" s="3">
        <f>IF(G577="High",3,IF(G577="Medium",2,1))</f>
        <v>1</v>
      </c>
    </row>
    <row r="578" spans="1:12">
      <c r="A578" s="3" t="s">
        <v>1571</v>
      </c>
      <c r="B578" s="3" t="s">
        <v>546</v>
      </c>
      <c r="C578" s="3" t="s">
        <v>956</v>
      </c>
      <c r="D578" s="3" t="s">
        <v>995</v>
      </c>
      <c r="E578" s="3" t="s">
        <v>47</v>
      </c>
      <c r="F578" s="3" t="s">
        <v>942</v>
      </c>
      <c r="G578" s="3" t="str">
        <f>INDEX(Risk_Matrix!$B$2:$D$4,MATCH(E578,Risk_Matrix!$A$2:$A$4,0),MATCH(F578,Risk_Matrix!$B$1:$D$1,0))</f>
        <v>Low</v>
      </c>
      <c r="H578" s="10">
        <v>46189</v>
      </c>
      <c r="I578" s="3" t="s">
        <v>973</v>
      </c>
      <c r="J578" s="3" t="s">
        <v>974</v>
      </c>
      <c r="K578" s="3" t="s">
        <v>983</v>
      </c>
      <c r="L578" s="3">
        <f>IF(G578="High",3,IF(G578="Medium",2,1))</f>
        <v>1</v>
      </c>
    </row>
    <row r="579" spans="1:12">
      <c r="A579" s="3" t="s">
        <v>1572</v>
      </c>
      <c r="B579" s="3" t="s">
        <v>546</v>
      </c>
      <c r="C579" s="3" t="s">
        <v>962</v>
      </c>
      <c r="D579" s="3" t="s">
        <v>963</v>
      </c>
      <c r="E579" s="3" t="s">
        <v>942</v>
      </c>
      <c r="F579" s="3" t="s">
        <v>47</v>
      </c>
      <c r="G579" s="3" t="str">
        <f>INDEX(Risk_Matrix!$B$2:$D$4,MATCH(E579,Risk_Matrix!$A$2:$A$4,0),MATCH(F579,Risk_Matrix!$B$1:$D$1,0))</f>
        <v>Low</v>
      </c>
      <c r="H579" s="10">
        <v>46158</v>
      </c>
      <c r="I579" s="3" t="s">
        <v>973</v>
      </c>
      <c r="J579" s="3" t="s">
        <v>974</v>
      </c>
      <c r="K579" s="3" t="s">
        <v>969</v>
      </c>
      <c r="L579" s="3">
        <f>IF(G579="High",3,IF(G579="Medium",2,1))</f>
        <v>1</v>
      </c>
    </row>
    <row r="580" spans="1:12">
      <c r="A580" s="3" t="s">
        <v>1573</v>
      </c>
      <c r="B580" s="3" t="s">
        <v>546</v>
      </c>
      <c r="C580" s="3" t="s">
        <v>965</v>
      </c>
      <c r="D580" s="3" t="s">
        <v>966</v>
      </c>
      <c r="E580" s="3" t="s">
        <v>942</v>
      </c>
      <c r="F580" s="3" t="s">
        <v>942</v>
      </c>
      <c r="G580" s="3" t="str">
        <f>INDEX(Risk_Matrix!$B$2:$D$4,MATCH(E580,Risk_Matrix!$A$2:$A$4,0),MATCH(F580,Risk_Matrix!$B$1:$D$1,0))</f>
        <v>Medium</v>
      </c>
      <c r="H580" s="10">
        <v>46090</v>
      </c>
      <c r="I580" s="3" t="s">
        <v>973</v>
      </c>
      <c r="J580" s="3" t="s">
        <v>974</v>
      </c>
      <c r="K580" s="3" t="s">
        <v>969</v>
      </c>
      <c r="L580" s="3">
        <f>IF(G580="High",3,IF(G580="Medium",2,1))</f>
        <v>2</v>
      </c>
    </row>
    <row r="581" spans="1:12">
      <c r="A581" s="3" t="s">
        <v>1574</v>
      </c>
      <c r="B581" s="3" t="s">
        <v>546</v>
      </c>
      <c r="C581" s="3" t="s">
        <v>971</v>
      </c>
      <c r="D581" s="3" t="s">
        <v>972</v>
      </c>
      <c r="E581" s="3" t="s">
        <v>47</v>
      </c>
      <c r="F581" s="3" t="s">
        <v>942</v>
      </c>
      <c r="G581" s="3" t="str">
        <f>INDEX(Risk_Matrix!$B$2:$D$4,MATCH(E581,Risk_Matrix!$A$2:$A$4,0),MATCH(F581,Risk_Matrix!$B$1:$D$1,0))</f>
        <v>Low</v>
      </c>
      <c r="H581" s="10">
        <v>46114</v>
      </c>
      <c r="I581" s="3" t="s">
        <v>973</v>
      </c>
      <c r="J581" s="3" t="s">
        <v>974</v>
      </c>
      <c r="K581" s="3" t="s">
        <v>960</v>
      </c>
      <c r="L581" s="3">
        <f>IF(G581="High",3,IF(G581="Medium",2,1))</f>
        <v>1</v>
      </c>
    </row>
    <row r="582" spans="1:12">
      <c r="A582" s="3" t="s">
        <v>1575</v>
      </c>
      <c r="B582" s="3" t="s">
        <v>546</v>
      </c>
      <c r="C582" s="3" t="s">
        <v>976</v>
      </c>
      <c r="D582" s="3" t="s">
        <v>991</v>
      </c>
      <c r="E582" s="3" t="s">
        <v>42</v>
      </c>
      <c r="F582" s="3" t="s">
        <v>47</v>
      </c>
      <c r="G582" s="3" t="str">
        <f>INDEX(Risk_Matrix!$B$2:$D$4,MATCH(E582,Risk_Matrix!$A$2:$A$4,0),MATCH(F582,Risk_Matrix!$B$1:$D$1,0))</f>
        <v>Medium</v>
      </c>
      <c r="H582" s="10">
        <v>46110</v>
      </c>
      <c r="I582" s="3" t="s">
        <v>973</v>
      </c>
      <c r="J582" s="3" t="s">
        <v>974</v>
      </c>
      <c r="K582" s="3" t="s">
        <v>983</v>
      </c>
      <c r="L582" s="3">
        <f>IF(G582="High",3,IF(G582="Medium",2,1))</f>
        <v>2</v>
      </c>
    </row>
    <row r="583" spans="1:12">
      <c r="A583" s="3" t="s">
        <v>1576</v>
      </c>
      <c r="B583" s="3" t="s">
        <v>546</v>
      </c>
      <c r="C583" s="3" t="s">
        <v>979</v>
      </c>
      <c r="D583" s="3" t="s">
        <v>1004</v>
      </c>
      <c r="E583" s="3" t="s">
        <v>942</v>
      </c>
      <c r="F583" s="3" t="s">
        <v>942</v>
      </c>
      <c r="G583" s="3" t="str">
        <f>INDEX(Risk_Matrix!$B$2:$D$4,MATCH(E583,Risk_Matrix!$A$2:$A$4,0),MATCH(F583,Risk_Matrix!$B$1:$D$1,0))</f>
        <v>Medium</v>
      </c>
      <c r="H583" s="10">
        <v>46104</v>
      </c>
      <c r="I583" s="3" t="s">
        <v>967</v>
      </c>
      <c r="J583" s="3" t="s">
        <v>968</v>
      </c>
      <c r="K583" s="3" t="s">
        <v>1000</v>
      </c>
      <c r="L583" s="3">
        <f>IF(G583="High",3,IF(G583="Medium",2,1))</f>
        <v>2</v>
      </c>
    </row>
    <row r="584" spans="1:12">
      <c r="A584" s="3" t="s">
        <v>1577</v>
      </c>
      <c r="B584" s="3" t="s">
        <v>548</v>
      </c>
      <c r="C584" s="3" t="s">
        <v>956</v>
      </c>
      <c r="D584" s="3" t="s">
        <v>957</v>
      </c>
      <c r="E584" s="3" t="s">
        <v>47</v>
      </c>
      <c r="F584" s="3" t="s">
        <v>42</v>
      </c>
      <c r="G584" s="3" t="str">
        <f>INDEX(Risk_Matrix!$B$2:$D$4,MATCH(E584,Risk_Matrix!$A$2:$A$4,0),MATCH(F584,Risk_Matrix!$B$1:$D$1,0))</f>
        <v>Medium</v>
      </c>
      <c r="H584" s="10">
        <v>46205</v>
      </c>
      <c r="I584" s="3" t="s">
        <v>973</v>
      </c>
      <c r="J584" s="3" t="s">
        <v>974</v>
      </c>
      <c r="K584" s="3" t="s">
        <v>993</v>
      </c>
      <c r="L584" s="3">
        <f>IF(G584="High",3,IF(G584="Medium",2,1))</f>
        <v>2</v>
      </c>
    </row>
    <row r="585" spans="1:12">
      <c r="A585" s="3" t="s">
        <v>1578</v>
      </c>
      <c r="B585" s="3" t="s">
        <v>548</v>
      </c>
      <c r="C585" s="3" t="s">
        <v>962</v>
      </c>
      <c r="D585" s="3" t="s">
        <v>997</v>
      </c>
      <c r="E585" s="3" t="s">
        <v>47</v>
      </c>
      <c r="F585" s="3" t="s">
        <v>942</v>
      </c>
      <c r="G585" s="3" t="str">
        <f>INDEX(Risk_Matrix!$B$2:$D$4,MATCH(E585,Risk_Matrix!$A$2:$A$4,0),MATCH(F585,Risk_Matrix!$B$1:$D$1,0))</f>
        <v>Low</v>
      </c>
      <c r="H585" s="10">
        <v>46125</v>
      </c>
      <c r="I585" s="3" t="s">
        <v>973</v>
      </c>
      <c r="J585" s="3" t="s">
        <v>974</v>
      </c>
      <c r="K585" s="3" t="s">
        <v>1000</v>
      </c>
      <c r="L585" s="3">
        <f>IF(G585="High",3,IF(G585="Medium",2,1))</f>
        <v>1</v>
      </c>
    </row>
    <row r="586" spans="1:12">
      <c r="A586" s="3" t="s">
        <v>1579</v>
      </c>
      <c r="B586" s="3" t="s">
        <v>548</v>
      </c>
      <c r="C586" s="3" t="s">
        <v>965</v>
      </c>
      <c r="D586" s="3" t="s">
        <v>966</v>
      </c>
      <c r="E586" s="3" t="s">
        <v>47</v>
      </c>
      <c r="F586" s="3" t="s">
        <v>47</v>
      </c>
      <c r="G586" s="3" t="str">
        <f>INDEX(Risk_Matrix!$B$2:$D$4,MATCH(E586,Risk_Matrix!$A$2:$A$4,0),MATCH(F586,Risk_Matrix!$B$1:$D$1,0))</f>
        <v>Low</v>
      </c>
      <c r="H586" s="10">
        <v>46208</v>
      </c>
      <c r="I586" s="3" t="s">
        <v>967</v>
      </c>
      <c r="J586" s="3" t="s">
        <v>968</v>
      </c>
      <c r="K586" s="3" t="s">
        <v>983</v>
      </c>
      <c r="L586" s="3">
        <f>IF(G586="High",3,IF(G586="Medium",2,1))</f>
        <v>1</v>
      </c>
    </row>
    <row r="587" spans="1:12">
      <c r="A587" s="3" t="s">
        <v>1580</v>
      </c>
      <c r="B587" s="3" t="s">
        <v>548</v>
      </c>
      <c r="C587" s="3" t="s">
        <v>971</v>
      </c>
      <c r="D587" s="3" t="s">
        <v>972</v>
      </c>
      <c r="E587" s="3" t="s">
        <v>42</v>
      </c>
      <c r="F587" s="3" t="s">
        <v>47</v>
      </c>
      <c r="G587" s="3" t="str">
        <f>INDEX(Risk_Matrix!$B$2:$D$4,MATCH(E587,Risk_Matrix!$A$2:$A$4,0),MATCH(F587,Risk_Matrix!$B$1:$D$1,0))</f>
        <v>Medium</v>
      </c>
      <c r="H587" s="10">
        <v>46206</v>
      </c>
      <c r="I587" s="3" t="s">
        <v>973</v>
      </c>
      <c r="J587" s="3" t="s">
        <v>974</v>
      </c>
      <c r="K587" s="3" t="s">
        <v>983</v>
      </c>
      <c r="L587" s="3">
        <f>IF(G587="High",3,IF(G587="Medium",2,1))</f>
        <v>2</v>
      </c>
    </row>
    <row r="588" spans="1:12">
      <c r="A588" s="3" t="s">
        <v>1581</v>
      </c>
      <c r="B588" s="3" t="s">
        <v>548</v>
      </c>
      <c r="C588" s="3" t="s">
        <v>976</v>
      </c>
      <c r="D588" s="3" t="s">
        <v>977</v>
      </c>
      <c r="E588" s="3" t="s">
        <v>42</v>
      </c>
      <c r="F588" s="3" t="s">
        <v>47</v>
      </c>
      <c r="G588" s="3" t="str">
        <f>INDEX(Risk_Matrix!$B$2:$D$4,MATCH(E588,Risk_Matrix!$A$2:$A$4,0),MATCH(F588,Risk_Matrix!$B$1:$D$1,0))</f>
        <v>Medium</v>
      </c>
      <c r="H588" s="10">
        <v>46210</v>
      </c>
      <c r="I588" s="3" t="s">
        <v>981</v>
      </c>
      <c r="J588" s="3" t="s">
        <v>982</v>
      </c>
      <c r="K588" s="3" t="s">
        <v>993</v>
      </c>
      <c r="L588" s="3">
        <f>IF(G588="High",3,IF(G588="Medium",2,1))</f>
        <v>2</v>
      </c>
    </row>
    <row r="589" spans="1:12">
      <c r="A589" s="3" t="s">
        <v>1582</v>
      </c>
      <c r="B589" s="3" t="s">
        <v>548</v>
      </c>
      <c r="C589" s="3" t="s">
        <v>979</v>
      </c>
      <c r="D589" s="3" t="s">
        <v>1004</v>
      </c>
      <c r="E589" s="3" t="s">
        <v>942</v>
      </c>
      <c r="F589" s="3" t="s">
        <v>942</v>
      </c>
      <c r="G589" s="3" t="str">
        <f>INDEX(Risk_Matrix!$B$2:$D$4,MATCH(E589,Risk_Matrix!$A$2:$A$4,0),MATCH(F589,Risk_Matrix!$B$1:$D$1,0))</f>
        <v>Medium</v>
      </c>
      <c r="H589" s="10">
        <v>46211</v>
      </c>
      <c r="I589" s="3" t="s">
        <v>973</v>
      </c>
      <c r="J589" s="3" t="s">
        <v>974</v>
      </c>
      <c r="K589" s="3" t="s">
        <v>993</v>
      </c>
      <c r="L589" s="3">
        <f>IF(G589="High",3,IF(G589="Medium",2,1))</f>
        <v>2</v>
      </c>
    </row>
    <row r="590" spans="1:12">
      <c r="A590" s="3" t="s">
        <v>1583</v>
      </c>
      <c r="B590" s="3" t="s">
        <v>550</v>
      </c>
      <c r="C590" s="3" t="s">
        <v>956</v>
      </c>
      <c r="D590" s="3" t="s">
        <v>957</v>
      </c>
      <c r="E590" s="3" t="s">
        <v>47</v>
      </c>
      <c r="F590" s="3" t="s">
        <v>42</v>
      </c>
      <c r="G590" s="3" t="str">
        <f>INDEX(Risk_Matrix!$B$2:$D$4,MATCH(E590,Risk_Matrix!$A$2:$A$4,0),MATCH(F590,Risk_Matrix!$B$1:$D$1,0))</f>
        <v>Medium</v>
      </c>
      <c r="H590" s="10">
        <v>46161</v>
      </c>
      <c r="I590" s="3" t="s">
        <v>973</v>
      </c>
      <c r="J590" s="3" t="s">
        <v>974</v>
      </c>
      <c r="K590" s="3" t="s">
        <v>993</v>
      </c>
      <c r="L590" s="3">
        <f>IF(G590="High",3,IF(G590="Medium",2,1))</f>
        <v>2</v>
      </c>
    </row>
    <row r="591" spans="1:12">
      <c r="A591" s="3" t="s">
        <v>1584</v>
      </c>
      <c r="B591" s="3" t="s">
        <v>550</v>
      </c>
      <c r="C591" s="3" t="s">
        <v>962</v>
      </c>
      <c r="D591" s="3" t="s">
        <v>963</v>
      </c>
      <c r="E591" s="3" t="s">
        <v>942</v>
      </c>
      <c r="F591" s="3" t="s">
        <v>42</v>
      </c>
      <c r="G591" s="3" t="str">
        <f>INDEX(Risk_Matrix!$B$2:$D$4,MATCH(E591,Risk_Matrix!$A$2:$A$4,0),MATCH(F591,Risk_Matrix!$B$1:$D$1,0))</f>
        <v>High</v>
      </c>
      <c r="H591" s="10">
        <v>46187</v>
      </c>
      <c r="I591" s="3" t="s">
        <v>973</v>
      </c>
      <c r="J591" s="3" t="s">
        <v>974</v>
      </c>
      <c r="K591" s="3" t="s">
        <v>983</v>
      </c>
      <c r="L591" s="3">
        <f>IF(G591="High",3,IF(G591="Medium",2,1))</f>
        <v>3</v>
      </c>
    </row>
    <row r="592" spans="1:12">
      <c r="A592" s="3" t="s">
        <v>1585</v>
      </c>
      <c r="B592" s="3" t="s">
        <v>550</v>
      </c>
      <c r="C592" s="3" t="s">
        <v>965</v>
      </c>
      <c r="D592" s="3" t="s">
        <v>966</v>
      </c>
      <c r="E592" s="3" t="s">
        <v>47</v>
      </c>
      <c r="F592" s="3" t="s">
        <v>47</v>
      </c>
      <c r="G592" s="3" t="str">
        <f>INDEX(Risk_Matrix!$B$2:$D$4,MATCH(E592,Risk_Matrix!$A$2:$A$4,0),MATCH(F592,Risk_Matrix!$B$1:$D$1,0))</f>
        <v>Low</v>
      </c>
      <c r="H592" s="10">
        <v>46167</v>
      </c>
      <c r="I592" s="3" t="s">
        <v>967</v>
      </c>
      <c r="J592" s="3" t="s">
        <v>968</v>
      </c>
      <c r="K592" s="3" t="s">
        <v>1000</v>
      </c>
      <c r="L592" s="3">
        <f>IF(G592="High",3,IF(G592="Medium",2,1))</f>
        <v>1</v>
      </c>
    </row>
    <row r="593" spans="1:12">
      <c r="A593" s="3" t="s">
        <v>1586</v>
      </c>
      <c r="B593" s="3" t="s">
        <v>550</v>
      </c>
      <c r="C593" s="3" t="s">
        <v>971</v>
      </c>
      <c r="D593" s="3" t="s">
        <v>1025</v>
      </c>
      <c r="E593" s="3" t="s">
        <v>47</v>
      </c>
      <c r="F593" s="3" t="s">
        <v>42</v>
      </c>
      <c r="G593" s="3" t="str">
        <f>INDEX(Risk_Matrix!$B$2:$D$4,MATCH(E593,Risk_Matrix!$A$2:$A$4,0),MATCH(F593,Risk_Matrix!$B$1:$D$1,0))</f>
        <v>Medium</v>
      </c>
      <c r="H593" s="10">
        <v>46082</v>
      </c>
      <c r="I593" s="3" t="s">
        <v>981</v>
      </c>
      <c r="J593" s="3" t="s">
        <v>982</v>
      </c>
      <c r="K593" s="3" t="s">
        <v>983</v>
      </c>
      <c r="L593" s="3">
        <f>IF(G593="High",3,IF(G593="Medium",2,1))</f>
        <v>2</v>
      </c>
    </row>
    <row r="594" spans="1:12">
      <c r="A594" s="3" t="s">
        <v>1587</v>
      </c>
      <c r="B594" s="3" t="s">
        <v>550</v>
      </c>
      <c r="C594" s="3" t="s">
        <v>976</v>
      </c>
      <c r="D594" s="3" t="s">
        <v>1002</v>
      </c>
      <c r="E594" s="3" t="s">
        <v>942</v>
      </c>
      <c r="F594" s="3" t="s">
        <v>47</v>
      </c>
      <c r="G594" s="3" t="str">
        <f>INDEX(Risk_Matrix!$B$2:$D$4,MATCH(E594,Risk_Matrix!$A$2:$A$4,0),MATCH(F594,Risk_Matrix!$B$1:$D$1,0))</f>
        <v>Low</v>
      </c>
      <c r="H594" s="10">
        <v>46235</v>
      </c>
      <c r="I594" s="3" t="s">
        <v>967</v>
      </c>
      <c r="J594" s="3" t="s">
        <v>968</v>
      </c>
      <c r="K594" s="3" t="s">
        <v>1000</v>
      </c>
      <c r="L594" s="3">
        <f>IF(G594="High",3,IF(G594="Medium",2,1))</f>
        <v>1</v>
      </c>
    </row>
    <row r="595" spans="1:12">
      <c r="A595" s="3" t="s">
        <v>1588</v>
      </c>
      <c r="B595" s="3" t="s">
        <v>550</v>
      </c>
      <c r="C595" s="3" t="s">
        <v>979</v>
      </c>
      <c r="D595" s="3" t="s">
        <v>1004</v>
      </c>
      <c r="E595" s="3" t="s">
        <v>942</v>
      </c>
      <c r="F595" s="3" t="s">
        <v>42</v>
      </c>
      <c r="G595" s="3" t="str">
        <f>INDEX(Risk_Matrix!$B$2:$D$4,MATCH(E595,Risk_Matrix!$A$2:$A$4,0),MATCH(F595,Risk_Matrix!$B$1:$D$1,0))</f>
        <v>High</v>
      </c>
      <c r="H595" s="10">
        <v>46101</v>
      </c>
      <c r="I595" s="3" t="s">
        <v>973</v>
      </c>
      <c r="J595" s="3" t="s">
        <v>974</v>
      </c>
      <c r="K595" s="3" t="s">
        <v>993</v>
      </c>
      <c r="L595" s="3">
        <f>IF(G595="High",3,IF(G595="Medium",2,1))</f>
        <v>3</v>
      </c>
    </row>
    <row r="596" spans="1:12">
      <c r="A596" s="3" t="s">
        <v>1589</v>
      </c>
      <c r="B596" s="3" t="s">
        <v>552</v>
      </c>
      <c r="C596" s="3" t="s">
        <v>956</v>
      </c>
      <c r="D596" s="3" t="s">
        <v>957</v>
      </c>
      <c r="E596" s="3" t="s">
        <v>42</v>
      </c>
      <c r="F596" s="3" t="s">
        <v>42</v>
      </c>
      <c r="G596" s="3" t="str">
        <f>INDEX(Risk_Matrix!$B$2:$D$4,MATCH(E596,Risk_Matrix!$A$2:$A$4,0),MATCH(F596,Risk_Matrix!$B$1:$D$1,0))</f>
        <v>High</v>
      </c>
      <c r="H596" s="10">
        <v>46117</v>
      </c>
      <c r="I596" s="3" t="s">
        <v>981</v>
      </c>
      <c r="J596" s="3" t="s">
        <v>982</v>
      </c>
      <c r="K596" s="3" t="s">
        <v>969</v>
      </c>
      <c r="L596" s="3">
        <f>IF(G596="High",3,IF(G596="Medium",2,1))</f>
        <v>3</v>
      </c>
    </row>
    <row r="597" spans="1:12">
      <c r="A597" s="3" t="s">
        <v>1590</v>
      </c>
      <c r="B597" s="3" t="s">
        <v>552</v>
      </c>
      <c r="C597" s="3" t="s">
        <v>962</v>
      </c>
      <c r="D597" s="3" t="s">
        <v>1037</v>
      </c>
      <c r="E597" s="3" t="s">
        <v>47</v>
      </c>
      <c r="F597" s="3" t="s">
        <v>42</v>
      </c>
      <c r="G597" s="3" t="str">
        <f>INDEX(Risk_Matrix!$B$2:$D$4,MATCH(E597,Risk_Matrix!$A$2:$A$4,0),MATCH(F597,Risk_Matrix!$B$1:$D$1,0))</f>
        <v>Medium</v>
      </c>
      <c r="H597" s="10">
        <v>46148</v>
      </c>
      <c r="I597" s="3" t="s">
        <v>973</v>
      </c>
      <c r="J597" s="3" t="s">
        <v>974</v>
      </c>
      <c r="K597" s="3" t="s">
        <v>960</v>
      </c>
      <c r="L597" s="3">
        <f>IF(G597="High",3,IF(G597="Medium",2,1))</f>
        <v>2</v>
      </c>
    </row>
    <row r="598" spans="1:12">
      <c r="A598" s="3" t="s">
        <v>1591</v>
      </c>
      <c r="B598" s="3" t="s">
        <v>552</v>
      </c>
      <c r="C598" s="3" t="s">
        <v>965</v>
      </c>
      <c r="D598" s="3" t="s">
        <v>988</v>
      </c>
      <c r="E598" s="3" t="s">
        <v>47</v>
      </c>
      <c r="F598" s="3" t="s">
        <v>47</v>
      </c>
      <c r="G598" s="3" t="str">
        <f>INDEX(Risk_Matrix!$B$2:$D$4,MATCH(E598,Risk_Matrix!$A$2:$A$4,0),MATCH(F598,Risk_Matrix!$B$1:$D$1,0))</f>
        <v>Low</v>
      </c>
      <c r="H598" s="10">
        <v>46158</v>
      </c>
      <c r="I598" s="3" t="s">
        <v>973</v>
      </c>
      <c r="J598" s="3" t="s">
        <v>974</v>
      </c>
      <c r="K598" s="3" t="s">
        <v>993</v>
      </c>
      <c r="L598" s="3">
        <f>IF(G598="High",3,IF(G598="Medium",2,1))</f>
        <v>1</v>
      </c>
    </row>
    <row r="599" spans="1:12">
      <c r="A599" s="3" t="s">
        <v>1592</v>
      </c>
      <c r="B599" s="3" t="s">
        <v>552</v>
      </c>
      <c r="C599" s="3" t="s">
        <v>971</v>
      </c>
      <c r="D599" s="3" t="s">
        <v>1025</v>
      </c>
      <c r="E599" s="3" t="s">
        <v>47</v>
      </c>
      <c r="F599" s="3" t="s">
        <v>47</v>
      </c>
      <c r="G599" s="3" t="str">
        <f>INDEX(Risk_Matrix!$B$2:$D$4,MATCH(E599,Risk_Matrix!$A$2:$A$4,0),MATCH(F599,Risk_Matrix!$B$1:$D$1,0))</f>
        <v>Low</v>
      </c>
      <c r="H599" s="10">
        <v>46165</v>
      </c>
      <c r="I599" s="3" t="s">
        <v>981</v>
      </c>
      <c r="J599" s="3" t="s">
        <v>982</v>
      </c>
      <c r="K599" s="3" t="s">
        <v>1000</v>
      </c>
      <c r="L599" s="3">
        <f>IF(G599="High",3,IF(G599="Medium",2,1))</f>
        <v>1</v>
      </c>
    </row>
    <row r="600" spans="1:12">
      <c r="A600" s="3" t="s">
        <v>1593</v>
      </c>
      <c r="B600" s="3" t="s">
        <v>552</v>
      </c>
      <c r="C600" s="3" t="s">
        <v>976</v>
      </c>
      <c r="D600" s="3" t="s">
        <v>1002</v>
      </c>
      <c r="E600" s="3" t="s">
        <v>47</v>
      </c>
      <c r="F600" s="3" t="s">
        <v>47</v>
      </c>
      <c r="G600" s="3" t="str">
        <f>INDEX(Risk_Matrix!$B$2:$D$4,MATCH(E600,Risk_Matrix!$A$2:$A$4,0),MATCH(F600,Risk_Matrix!$B$1:$D$1,0))</f>
        <v>Low</v>
      </c>
      <c r="H600" s="10">
        <v>46166</v>
      </c>
      <c r="I600" s="3" t="s">
        <v>973</v>
      </c>
      <c r="J600" s="3" t="s">
        <v>974</v>
      </c>
      <c r="K600" s="3" t="s">
        <v>960</v>
      </c>
      <c r="L600" s="3">
        <f>IF(G600="High",3,IF(G600="Medium",2,1))</f>
        <v>1</v>
      </c>
    </row>
    <row r="601" spans="1:12">
      <c r="A601" s="3" t="s">
        <v>1594</v>
      </c>
      <c r="B601" s="3" t="s">
        <v>552</v>
      </c>
      <c r="C601" s="3" t="s">
        <v>979</v>
      </c>
      <c r="D601" s="3" t="s">
        <v>980</v>
      </c>
      <c r="E601" s="3" t="s">
        <v>942</v>
      </c>
      <c r="F601" s="3" t="s">
        <v>942</v>
      </c>
      <c r="G601" s="3" t="str">
        <f>INDEX(Risk_Matrix!$B$2:$D$4,MATCH(E601,Risk_Matrix!$A$2:$A$4,0),MATCH(F601,Risk_Matrix!$B$1:$D$1,0))</f>
        <v>Medium</v>
      </c>
      <c r="H601" s="10">
        <v>46181</v>
      </c>
      <c r="I601" s="3" t="s">
        <v>981</v>
      </c>
      <c r="J601" s="3" t="s">
        <v>982</v>
      </c>
      <c r="K601" s="3" t="s">
        <v>1000</v>
      </c>
      <c r="L601" s="3">
        <f>IF(G601="High",3,IF(G601="Medium",2,1))</f>
        <v>2</v>
      </c>
    </row>
    <row r="602" spans="1:12">
      <c r="A602" s="3" t="s">
        <v>1595</v>
      </c>
      <c r="B602" s="3" t="s">
        <v>554</v>
      </c>
      <c r="C602" s="3" t="s">
        <v>956</v>
      </c>
      <c r="D602" s="3" t="s">
        <v>1012</v>
      </c>
      <c r="E602" s="3" t="s">
        <v>47</v>
      </c>
      <c r="F602" s="3" t="s">
        <v>42</v>
      </c>
      <c r="G602" s="3" t="str">
        <f>INDEX(Risk_Matrix!$B$2:$D$4,MATCH(E602,Risk_Matrix!$A$2:$A$4,0),MATCH(F602,Risk_Matrix!$B$1:$D$1,0))</f>
        <v>Medium</v>
      </c>
      <c r="H602" s="10">
        <v>46221</v>
      </c>
      <c r="I602" s="3" t="s">
        <v>973</v>
      </c>
      <c r="J602" s="3" t="s">
        <v>974</v>
      </c>
      <c r="K602" s="3" t="s">
        <v>960</v>
      </c>
      <c r="L602" s="3">
        <f>IF(G602="High",3,IF(G602="Medium",2,1))</f>
        <v>2</v>
      </c>
    </row>
    <row r="603" spans="1:12">
      <c r="A603" s="3" t="s">
        <v>1596</v>
      </c>
      <c r="B603" s="3" t="s">
        <v>554</v>
      </c>
      <c r="C603" s="3" t="s">
        <v>962</v>
      </c>
      <c r="D603" s="3" t="s">
        <v>986</v>
      </c>
      <c r="E603" s="3" t="s">
        <v>47</v>
      </c>
      <c r="F603" s="3" t="s">
        <v>42</v>
      </c>
      <c r="G603" s="3" t="str">
        <f>INDEX(Risk_Matrix!$B$2:$D$4,MATCH(E603,Risk_Matrix!$A$2:$A$4,0),MATCH(F603,Risk_Matrix!$B$1:$D$1,0))</f>
        <v>Medium</v>
      </c>
      <c r="H603" s="10">
        <v>46212</v>
      </c>
      <c r="I603" s="3" t="s">
        <v>967</v>
      </c>
      <c r="J603" s="3" t="s">
        <v>968</v>
      </c>
      <c r="K603" s="3" t="s">
        <v>960</v>
      </c>
      <c r="L603" s="3">
        <f>IF(G603="High",3,IF(G603="Medium",2,1))</f>
        <v>2</v>
      </c>
    </row>
    <row r="604" spans="1:12">
      <c r="A604" s="3" t="s">
        <v>1597</v>
      </c>
      <c r="B604" s="3" t="s">
        <v>554</v>
      </c>
      <c r="C604" s="3" t="s">
        <v>965</v>
      </c>
      <c r="D604" s="3" t="s">
        <v>988</v>
      </c>
      <c r="E604" s="3" t="s">
        <v>942</v>
      </c>
      <c r="F604" s="3" t="s">
        <v>942</v>
      </c>
      <c r="G604" s="3" t="str">
        <f>INDEX(Risk_Matrix!$B$2:$D$4,MATCH(E604,Risk_Matrix!$A$2:$A$4,0),MATCH(F604,Risk_Matrix!$B$1:$D$1,0))</f>
        <v>Medium</v>
      </c>
      <c r="H604" s="10">
        <v>46137</v>
      </c>
      <c r="I604" s="3" t="s">
        <v>973</v>
      </c>
      <c r="J604" s="3" t="s">
        <v>974</v>
      </c>
      <c r="K604" s="3" t="s">
        <v>960</v>
      </c>
      <c r="L604" s="3">
        <f>IF(G604="High",3,IF(G604="Medium",2,1))</f>
        <v>2</v>
      </c>
    </row>
    <row r="605" spans="1:12">
      <c r="A605" s="3" t="s">
        <v>1598</v>
      </c>
      <c r="B605" s="3" t="s">
        <v>554</v>
      </c>
      <c r="C605" s="3" t="s">
        <v>971</v>
      </c>
      <c r="D605" s="3" t="s">
        <v>1016</v>
      </c>
      <c r="E605" s="3" t="s">
        <v>942</v>
      </c>
      <c r="F605" s="3" t="s">
        <v>47</v>
      </c>
      <c r="G605" s="3" t="str">
        <f>INDEX(Risk_Matrix!$B$2:$D$4,MATCH(E605,Risk_Matrix!$A$2:$A$4,0),MATCH(F605,Risk_Matrix!$B$1:$D$1,0))</f>
        <v>Low</v>
      </c>
      <c r="H605" s="10">
        <v>46195</v>
      </c>
      <c r="I605" s="3" t="s">
        <v>981</v>
      </c>
      <c r="J605" s="3" t="s">
        <v>982</v>
      </c>
      <c r="K605" s="3" t="s">
        <v>993</v>
      </c>
      <c r="L605" s="3">
        <f>IF(G605="High",3,IF(G605="Medium",2,1))</f>
        <v>1</v>
      </c>
    </row>
    <row r="606" spans="1:12">
      <c r="A606" s="3" t="s">
        <v>1599</v>
      </c>
      <c r="B606" s="3" t="s">
        <v>554</v>
      </c>
      <c r="C606" s="3" t="s">
        <v>976</v>
      </c>
      <c r="D606" s="3" t="s">
        <v>991</v>
      </c>
      <c r="E606" s="3" t="s">
        <v>42</v>
      </c>
      <c r="F606" s="3" t="s">
        <v>47</v>
      </c>
      <c r="G606" s="3" t="str">
        <f>INDEX(Risk_Matrix!$B$2:$D$4,MATCH(E606,Risk_Matrix!$A$2:$A$4,0),MATCH(F606,Risk_Matrix!$B$1:$D$1,0))</f>
        <v>Medium</v>
      </c>
      <c r="H606" s="10">
        <v>46135</v>
      </c>
      <c r="I606" s="3" t="s">
        <v>967</v>
      </c>
      <c r="J606" s="3" t="s">
        <v>968</v>
      </c>
      <c r="K606" s="3" t="s">
        <v>993</v>
      </c>
      <c r="L606" s="3">
        <f>IF(G606="High",3,IF(G606="Medium",2,1))</f>
        <v>2</v>
      </c>
    </row>
    <row r="607" spans="1:12">
      <c r="A607" s="3" t="s">
        <v>1600</v>
      </c>
      <c r="B607" s="3" t="s">
        <v>554</v>
      </c>
      <c r="C607" s="3" t="s">
        <v>979</v>
      </c>
      <c r="D607" s="3" t="s">
        <v>1004</v>
      </c>
      <c r="E607" s="3" t="s">
        <v>942</v>
      </c>
      <c r="F607" s="3" t="s">
        <v>942</v>
      </c>
      <c r="G607" s="3" t="str">
        <f>INDEX(Risk_Matrix!$B$2:$D$4,MATCH(E607,Risk_Matrix!$A$2:$A$4,0),MATCH(F607,Risk_Matrix!$B$1:$D$1,0))</f>
        <v>Medium</v>
      </c>
      <c r="H607" s="10">
        <v>46090</v>
      </c>
      <c r="I607" s="3" t="s">
        <v>973</v>
      </c>
      <c r="J607" s="3" t="s">
        <v>974</v>
      </c>
      <c r="K607" s="3" t="s">
        <v>1000</v>
      </c>
      <c r="L607" s="3">
        <f>IF(G607="High",3,IF(G607="Medium",2,1))</f>
        <v>2</v>
      </c>
    </row>
    <row r="608" spans="1:12">
      <c r="A608" s="3" t="s">
        <v>1601</v>
      </c>
      <c r="B608" s="3" t="s">
        <v>556</v>
      </c>
      <c r="C608" s="3" t="s">
        <v>956</v>
      </c>
      <c r="D608" s="3" t="s">
        <v>995</v>
      </c>
      <c r="E608" s="3" t="s">
        <v>942</v>
      </c>
      <c r="F608" s="3" t="s">
        <v>942</v>
      </c>
      <c r="G608" s="3" t="str">
        <f>INDEX(Risk_Matrix!$B$2:$D$4,MATCH(E608,Risk_Matrix!$A$2:$A$4,0),MATCH(F608,Risk_Matrix!$B$1:$D$1,0))</f>
        <v>Medium</v>
      </c>
      <c r="H608" s="10">
        <v>46147</v>
      </c>
      <c r="I608" s="3" t="s">
        <v>981</v>
      </c>
      <c r="J608" s="3" t="s">
        <v>982</v>
      </c>
      <c r="K608" s="3" t="s">
        <v>960</v>
      </c>
      <c r="L608" s="3">
        <f>IF(G608="High",3,IF(G608="Medium",2,1))</f>
        <v>2</v>
      </c>
    </row>
    <row r="609" spans="1:12">
      <c r="A609" s="3" t="s">
        <v>1602</v>
      </c>
      <c r="B609" s="3" t="s">
        <v>556</v>
      </c>
      <c r="C609" s="3" t="s">
        <v>962</v>
      </c>
      <c r="D609" s="3" t="s">
        <v>997</v>
      </c>
      <c r="E609" s="3" t="s">
        <v>42</v>
      </c>
      <c r="F609" s="3" t="s">
        <v>942</v>
      </c>
      <c r="G609" s="3" t="str">
        <f>INDEX(Risk_Matrix!$B$2:$D$4,MATCH(E609,Risk_Matrix!$A$2:$A$4,0),MATCH(F609,Risk_Matrix!$B$1:$D$1,0))</f>
        <v>High</v>
      </c>
      <c r="H609" s="10">
        <v>46122</v>
      </c>
      <c r="I609" s="3" t="s">
        <v>973</v>
      </c>
      <c r="J609" s="3" t="s">
        <v>974</v>
      </c>
      <c r="K609" s="3" t="s">
        <v>993</v>
      </c>
      <c r="L609" s="3">
        <f>IF(G609="High",3,IF(G609="Medium",2,1))</f>
        <v>3</v>
      </c>
    </row>
    <row r="610" spans="1:12">
      <c r="A610" s="3" t="s">
        <v>1603</v>
      </c>
      <c r="B610" s="3" t="s">
        <v>556</v>
      </c>
      <c r="C610" s="3" t="s">
        <v>965</v>
      </c>
      <c r="D610" s="3" t="s">
        <v>1023</v>
      </c>
      <c r="E610" s="3" t="s">
        <v>47</v>
      </c>
      <c r="F610" s="3" t="s">
        <v>47</v>
      </c>
      <c r="G610" s="3" t="str">
        <f>INDEX(Risk_Matrix!$B$2:$D$4,MATCH(E610,Risk_Matrix!$A$2:$A$4,0),MATCH(F610,Risk_Matrix!$B$1:$D$1,0))</f>
        <v>Low</v>
      </c>
      <c r="H610" s="10">
        <v>46204</v>
      </c>
      <c r="I610" s="3" t="s">
        <v>967</v>
      </c>
      <c r="J610" s="3" t="s">
        <v>968</v>
      </c>
      <c r="K610" s="3" t="s">
        <v>993</v>
      </c>
      <c r="L610" s="3">
        <f>IF(G610="High",3,IF(G610="Medium",2,1))</f>
        <v>1</v>
      </c>
    </row>
    <row r="611" spans="1:12">
      <c r="A611" s="3" t="s">
        <v>1604</v>
      </c>
      <c r="B611" s="3" t="s">
        <v>556</v>
      </c>
      <c r="C611" s="3" t="s">
        <v>971</v>
      </c>
      <c r="D611" s="3" t="s">
        <v>972</v>
      </c>
      <c r="E611" s="3" t="s">
        <v>942</v>
      </c>
      <c r="F611" s="3" t="s">
        <v>942</v>
      </c>
      <c r="G611" s="3" t="str">
        <f>INDEX(Risk_Matrix!$B$2:$D$4,MATCH(E611,Risk_Matrix!$A$2:$A$4,0),MATCH(F611,Risk_Matrix!$B$1:$D$1,0))</f>
        <v>Medium</v>
      </c>
      <c r="H611" s="10">
        <v>46232</v>
      </c>
      <c r="I611" s="3" t="s">
        <v>967</v>
      </c>
      <c r="J611" s="3" t="s">
        <v>968</v>
      </c>
      <c r="K611" s="3" t="s">
        <v>983</v>
      </c>
      <c r="L611" s="3">
        <f>IF(G611="High",3,IF(G611="Medium",2,1))</f>
        <v>2</v>
      </c>
    </row>
    <row r="612" spans="1:12">
      <c r="A612" s="3" t="s">
        <v>1605</v>
      </c>
      <c r="B612" s="3" t="s">
        <v>556</v>
      </c>
      <c r="C612" s="3" t="s">
        <v>976</v>
      </c>
      <c r="D612" s="3" t="s">
        <v>991</v>
      </c>
      <c r="E612" s="3" t="s">
        <v>942</v>
      </c>
      <c r="F612" s="3" t="s">
        <v>47</v>
      </c>
      <c r="G612" s="3" t="str">
        <f>INDEX(Risk_Matrix!$B$2:$D$4,MATCH(E612,Risk_Matrix!$A$2:$A$4,0),MATCH(F612,Risk_Matrix!$B$1:$D$1,0))</f>
        <v>Low</v>
      </c>
      <c r="H612" s="10">
        <v>46079</v>
      </c>
      <c r="I612" s="3" t="s">
        <v>973</v>
      </c>
      <c r="J612" s="3" t="s">
        <v>974</v>
      </c>
      <c r="K612" s="3" t="s">
        <v>993</v>
      </c>
      <c r="L612" s="3">
        <f>IF(G612="High",3,IF(G612="Medium",2,1))</f>
        <v>1</v>
      </c>
    </row>
    <row r="613" spans="1:12">
      <c r="A613" s="3" t="s">
        <v>1606</v>
      </c>
      <c r="B613" s="3" t="s">
        <v>556</v>
      </c>
      <c r="C613" s="3" t="s">
        <v>979</v>
      </c>
      <c r="D613" s="3" t="s">
        <v>1004</v>
      </c>
      <c r="E613" s="3" t="s">
        <v>942</v>
      </c>
      <c r="F613" s="3" t="s">
        <v>942</v>
      </c>
      <c r="G613" s="3" t="str">
        <f>INDEX(Risk_Matrix!$B$2:$D$4,MATCH(E613,Risk_Matrix!$A$2:$A$4,0),MATCH(F613,Risk_Matrix!$B$1:$D$1,0))</f>
        <v>Medium</v>
      </c>
      <c r="H613" s="10">
        <v>46119</v>
      </c>
      <c r="I613" s="3" t="s">
        <v>967</v>
      </c>
      <c r="J613" s="3" t="s">
        <v>968</v>
      </c>
      <c r="K613" s="3" t="s">
        <v>983</v>
      </c>
      <c r="L613" s="3">
        <f>IF(G613="High",3,IF(G613="Medium",2,1))</f>
        <v>2</v>
      </c>
    </row>
    <row r="614" spans="1:12">
      <c r="A614" s="3" t="s">
        <v>1607</v>
      </c>
      <c r="B614" s="3" t="s">
        <v>558</v>
      </c>
      <c r="C614" s="3" t="s">
        <v>956</v>
      </c>
      <c r="D614" s="3" t="s">
        <v>995</v>
      </c>
      <c r="E614" s="3" t="s">
        <v>942</v>
      </c>
      <c r="F614" s="3" t="s">
        <v>47</v>
      </c>
      <c r="G614" s="3" t="str">
        <f>INDEX(Risk_Matrix!$B$2:$D$4,MATCH(E614,Risk_Matrix!$A$2:$A$4,0),MATCH(F614,Risk_Matrix!$B$1:$D$1,0))</f>
        <v>Low</v>
      </c>
      <c r="H614" s="10">
        <v>46151</v>
      </c>
      <c r="I614" s="3" t="s">
        <v>973</v>
      </c>
      <c r="J614" s="3" t="s">
        <v>974</v>
      </c>
      <c r="K614" s="3" t="s">
        <v>1000</v>
      </c>
      <c r="L614" s="3">
        <f>IF(G614="High",3,IF(G614="Medium",2,1))</f>
        <v>1</v>
      </c>
    </row>
    <row r="615" spans="1:12">
      <c r="A615" s="3" t="s">
        <v>1608</v>
      </c>
      <c r="B615" s="3" t="s">
        <v>558</v>
      </c>
      <c r="C615" s="3" t="s">
        <v>962</v>
      </c>
      <c r="D615" s="3" t="s">
        <v>963</v>
      </c>
      <c r="E615" s="3" t="s">
        <v>42</v>
      </c>
      <c r="F615" s="3" t="s">
        <v>47</v>
      </c>
      <c r="G615" s="3" t="str">
        <f>INDEX(Risk_Matrix!$B$2:$D$4,MATCH(E615,Risk_Matrix!$A$2:$A$4,0),MATCH(F615,Risk_Matrix!$B$1:$D$1,0))</f>
        <v>Medium</v>
      </c>
      <c r="H615" s="10">
        <v>46208</v>
      </c>
      <c r="I615" s="3" t="s">
        <v>967</v>
      </c>
      <c r="J615" s="3" t="s">
        <v>968</v>
      </c>
      <c r="K615" s="3" t="s">
        <v>960</v>
      </c>
      <c r="L615" s="3">
        <f>IF(G615="High",3,IF(G615="Medium",2,1))</f>
        <v>2</v>
      </c>
    </row>
    <row r="616" spans="1:12">
      <c r="A616" s="3" t="s">
        <v>1609</v>
      </c>
      <c r="B616" s="3" t="s">
        <v>558</v>
      </c>
      <c r="C616" s="3" t="s">
        <v>965</v>
      </c>
      <c r="D616" s="3" t="s">
        <v>988</v>
      </c>
      <c r="E616" s="3" t="s">
        <v>47</v>
      </c>
      <c r="F616" s="3" t="s">
        <v>47</v>
      </c>
      <c r="G616" s="3" t="str">
        <f>INDEX(Risk_Matrix!$B$2:$D$4,MATCH(E616,Risk_Matrix!$A$2:$A$4,0),MATCH(F616,Risk_Matrix!$B$1:$D$1,0))</f>
        <v>Low</v>
      </c>
      <c r="H616" s="10">
        <v>46230</v>
      </c>
      <c r="I616" s="3" t="s">
        <v>967</v>
      </c>
      <c r="J616" s="3" t="s">
        <v>968</v>
      </c>
      <c r="K616" s="3" t="s">
        <v>983</v>
      </c>
      <c r="L616" s="3">
        <f>IF(G616="High",3,IF(G616="Medium",2,1))</f>
        <v>1</v>
      </c>
    </row>
    <row r="617" spans="1:12">
      <c r="A617" s="3" t="s">
        <v>1610</v>
      </c>
      <c r="B617" s="3" t="s">
        <v>558</v>
      </c>
      <c r="C617" s="3" t="s">
        <v>971</v>
      </c>
      <c r="D617" s="3" t="s">
        <v>1016</v>
      </c>
      <c r="E617" s="3" t="s">
        <v>942</v>
      </c>
      <c r="F617" s="3" t="s">
        <v>942</v>
      </c>
      <c r="G617" s="3" t="str">
        <f>INDEX(Risk_Matrix!$B$2:$D$4,MATCH(E617,Risk_Matrix!$A$2:$A$4,0),MATCH(F617,Risk_Matrix!$B$1:$D$1,0))</f>
        <v>Medium</v>
      </c>
      <c r="H617" s="10">
        <v>46196</v>
      </c>
      <c r="I617" s="3" t="s">
        <v>981</v>
      </c>
      <c r="J617" s="3" t="s">
        <v>982</v>
      </c>
      <c r="K617" s="3" t="s">
        <v>960</v>
      </c>
      <c r="L617" s="3">
        <f>IF(G617="High",3,IF(G617="Medium",2,1))</f>
        <v>2</v>
      </c>
    </row>
    <row r="618" spans="1:12">
      <c r="A618" s="3" t="s">
        <v>1611</v>
      </c>
      <c r="B618" s="3" t="s">
        <v>558</v>
      </c>
      <c r="C618" s="3" t="s">
        <v>976</v>
      </c>
      <c r="D618" s="3" t="s">
        <v>991</v>
      </c>
      <c r="E618" s="3" t="s">
        <v>47</v>
      </c>
      <c r="F618" s="3" t="s">
        <v>942</v>
      </c>
      <c r="G618" s="3" t="str">
        <f>INDEX(Risk_Matrix!$B$2:$D$4,MATCH(E618,Risk_Matrix!$A$2:$A$4,0),MATCH(F618,Risk_Matrix!$B$1:$D$1,0))</f>
        <v>Low</v>
      </c>
      <c r="H618" s="10">
        <v>46210</v>
      </c>
      <c r="I618" s="3" t="s">
        <v>967</v>
      </c>
      <c r="J618" s="3" t="s">
        <v>968</v>
      </c>
      <c r="K618" s="3" t="s">
        <v>1000</v>
      </c>
      <c r="L618" s="3">
        <f>IF(G618="High",3,IF(G618="Medium",2,1))</f>
        <v>1</v>
      </c>
    </row>
    <row r="619" spans="1:12">
      <c r="A619" s="3" t="s">
        <v>1612</v>
      </c>
      <c r="B619" s="3" t="s">
        <v>558</v>
      </c>
      <c r="C619" s="3" t="s">
        <v>979</v>
      </c>
      <c r="D619" s="3" t="s">
        <v>980</v>
      </c>
      <c r="E619" s="3" t="s">
        <v>47</v>
      </c>
      <c r="F619" s="3" t="s">
        <v>942</v>
      </c>
      <c r="G619" s="3" t="str">
        <f>INDEX(Risk_Matrix!$B$2:$D$4,MATCH(E619,Risk_Matrix!$A$2:$A$4,0),MATCH(F619,Risk_Matrix!$B$1:$D$1,0))</f>
        <v>Low</v>
      </c>
      <c r="H619" s="10">
        <v>46118</v>
      </c>
      <c r="I619" s="3" t="s">
        <v>967</v>
      </c>
      <c r="J619" s="3" t="s">
        <v>968</v>
      </c>
      <c r="K619" s="3" t="s">
        <v>960</v>
      </c>
      <c r="L619" s="3">
        <f>IF(G619="High",3,IF(G619="Medium",2,1))</f>
        <v>1</v>
      </c>
    </row>
    <row r="620" spans="1:12">
      <c r="A620" s="3" t="s">
        <v>1613</v>
      </c>
      <c r="B620" s="3" t="s">
        <v>560</v>
      </c>
      <c r="C620" s="3" t="s">
        <v>956</v>
      </c>
      <c r="D620" s="3" t="s">
        <v>1020</v>
      </c>
      <c r="E620" s="3" t="s">
        <v>942</v>
      </c>
      <c r="F620" s="3" t="s">
        <v>47</v>
      </c>
      <c r="G620" s="3" t="str">
        <f>INDEX(Risk_Matrix!$B$2:$D$4,MATCH(E620,Risk_Matrix!$A$2:$A$4,0),MATCH(F620,Risk_Matrix!$B$1:$D$1,0))</f>
        <v>Low</v>
      </c>
      <c r="H620" s="10">
        <v>46142</v>
      </c>
      <c r="I620" s="3" t="s">
        <v>967</v>
      </c>
      <c r="J620" s="3" t="s">
        <v>968</v>
      </c>
      <c r="K620" s="3" t="s">
        <v>1000</v>
      </c>
      <c r="L620" s="3">
        <f>IF(G620="High",3,IF(G620="Medium",2,1))</f>
        <v>1</v>
      </c>
    </row>
    <row r="621" spans="1:12">
      <c r="A621" s="3" t="s">
        <v>1614</v>
      </c>
      <c r="B621" s="3" t="s">
        <v>560</v>
      </c>
      <c r="C621" s="3" t="s">
        <v>962</v>
      </c>
      <c r="D621" s="3" t="s">
        <v>986</v>
      </c>
      <c r="E621" s="3" t="s">
        <v>942</v>
      </c>
      <c r="F621" s="3" t="s">
        <v>47</v>
      </c>
      <c r="G621" s="3" t="str">
        <f>INDEX(Risk_Matrix!$B$2:$D$4,MATCH(E621,Risk_Matrix!$A$2:$A$4,0),MATCH(F621,Risk_Matrix!$B$1:$D$1,0))</f>
        <v>Low</v>
      </c>
      <c r="H621" s="10">
        <v>46087</v>
      </c>
      <c r="I621" s="3" t="s">
        <v>973</v>
      </c>
      <c r="J621" s="3" t="s">
        <v>974</v>
      </c>
      <c r="K621" s="3" t="s">
        <v>993</v>
      </c>
      <c r="L621" s="3">
        <f>IF(G621="High",3,IF(G621="Medium",2,1))</f>
        <v>1</v>
      </c>
    </row>
    <row r="622" spans="1:12">
      <c r="A622" s="3" t="s">
        <v>1615</v>
      </c>
      <c r="B622" s="3" t="s">
        <v>560</v>
      </c>
      <c r="C622" s="3" t="s">
        <v>965</v>
      </c>
      <c r="D622" s="3" t="s">
        <v>1039</v>
      </c>
      <c r="E622" s="3" t="s">
        <v>942</v>
      </c>
      <c r="F622" s="3" t="s">
        <v>47</v>
      </c>
      <c r="G622" s="3" t="str">
        <f>INDEX(Risk_Matrix!$B$2:$D$4,MATCH(E622,Risk_Matrix!$A$2:$A$4,0),MATCH(F622,Risk_Matrix!$B$1:$D$1,0))</f>
        <v>Low</v>
      </c>
      <c r="H622" s="10">
        <v>46232</v>
      </c>
      <c r="I622" s="3" t="s">
        <v>967</v>
      </c>
      <c r="J622" s="3" t="s">
        <v>968</v>
      </c>
      <c r="K622" s="3" t="s">
        <v>969</v>
      </c>
      <c r="L622" s="3">
        <f>IF(G622="High",3,IF(G622="Medium",2,1))</f>
        <v>1</v>
      </c>
    </row>
    <row r="623" spans="1:12">
      <c r="A623" s="3" t="s">
        <v>1616</v>
      </c>
      <c r="B623" s="3" t="s">
        <v>560</v>
      </c>
      <c r="C623" s="3" t="s">
        <v>971</v>
      </c>
      <c r="D623" s="3" t="s">
        <v>1025</v>
      </c>
      <c r="E623" s="3" t="s">
        <v>47</v>
      </c>
      <c r="F623" s="3" t="s">
        <v>47</v>
      </c>
      <c r="G623" s="3" t="str">
        <f>INDEX(Risk_Matrix!$B$2:$D$4,MATCH(E623,Risk_Matrix!$A$2:$A$4,0),MATCH(F623,Risk_Matrix!$B$1:$D$1,0))</f>
        <v>Low</v>
      </c>
      <c r="H623" s="10">
        <v>46149</v>
      </c>
      <c r="I623" s="3" t="s">
        <v>973</v>
      </c>
      <c r="J623" s="3" t="s">
        <v>974</v>
      </c>
      <c r="K623" s="3" t="s">
        <v>993</v>
      </c>
      <c r="L623" s="3">
        <f>IF(G623="High",3,IF(G623="Medium",2,1))</f>
        <v>1</v>
      </c>
    </row>
    <row r="624" spans="1:12">
      <c r="A624" s="3" t="s">
        <v>1617</v>
      </c>
      <c r="B624" s="3" t="s">
        <v>560</v>
      </c>
      <c r="C624" s="3" t="s">
        <v>976</v>
      </c>
      <c r="D624" s="3" t="s">
        <v>1002</v>
      </c>
      <c r="E624" s="3" t="s">
        <v>47</v>
      </c>
      <c r="F624" s="3" t="s">
        <v>47</v>
      </c>
      <c r="G624" s="3" t="str">
        <f>INDEX(Risk_Matrix!$B$2:$D$4,MATCH(E624,Risk_Matrix!$A$2:$A$4,0),MATCH(F624,Risk_Matrix!$B$1:$D$1,0))</f>
        <v>Low</v>
      </c>
      <c r="H624" s="10">
        <v>46217</v>
      </c>
      <c r="I624" s="3" t="s">
        <v>973</v>
      </c>
      <c r="J624" s="3" t="s">
        <v>974</v>
      </c>
      <c r="K624" s="3" t="s">
        <v>993</v>
      </c>
      <c r="L624" s="3">
        <f>IF(G624="High",3,IF(G624="Medium",2,1))</f>
        <v>1</v>
      </c>
    </row>
    <row r="625" spans="1:12">
      <c r="A625" s="3" t="s">
        <v>1618</v>
      </c>
      <c r="B625" s="3" t="s">
        <v>560</v>
      </c>
      <c r="C625" s="3" t="s">
        <v>979</v>
      </c>
      <c r="D625" s="3" t="s">
        <v>1028</v>
      </c>
      <c r="E625" s="3" t="s">
        <v>47</v>
      </c>
      <c r="F625" s="3" t="s">
        <v>47</v>
      </c>
      <c r="G625" s="3" t="str">
        <f>INDEX(Risk_Matrix!$B$2:$D$4,MATCH(E625,Risk_Matrix!$A$2:$A$4,0),MATCH(F625,Risk_Matrix!$B$1:$D$1,0))</f>
        <v>Low</v>
      </c>
      <c r="H625" s="10">
        <v>46229</v>
      </c>
      <c r="I625" s="3" t="s">
        <v>967</v>
      </c>
      <c r="J625" s="3" t="s">
        <v>968</v>
      </c>
      <c r="K625" s="3" t="s">
        <v>960</v>
      </c>
      <c r="L625" s="3">
        <f>IF(G625="High",3,IF(G625="Medium",2,1))</f>
        <v>1</v>
      </c>
    </row>
    <row r="626" spans="1:12">
      <c r="A626" s="3" t="s">
        <v>1619</v>
      </c>
      <c r="B626" s="3" t="s">
        <v>562</v>
      </c>
      <c r="C626" s="3" t="s">
        <v>956</v>
      </c>
      <c r="D626" s="3" t="s">
        <v>1012</v>
      </c>
      <c r="E626" s="3" t="s">
        <v>942</v>
      </c>
      <c r="F626" s="3" t="s">
        <v>42</v>
      </c>
      <c r="G626" s="3" t="str">
        <f>INDEX(Risk_Matrix!$B$2:$D$4,MATCH(E626,Risk_Matrix!$A$2:$A$4,0),MATCH(F626,Risk_Matrix!$B$1:$D$1,0))</f>
        <v>High</v>
      </c>
      <c r="H626" s="10">
        <v>46060</v>
      </c>
      <c r="I626" s="3" t="s">
        <v>973</v>
      </c>
      <c r="J626" s="3" t="s">
        <v>974</v>
      </c>
      <c r="K626" s="3" t="s">
        <v>960</v>
      </c>
      <c r="L626" s="3">
        <f>IF(G626="High",3,IF(G626="Medium",2,1))</f>
        <v>3</v>
      </c>
    </row>
    <row r="627" spans="1:12">
      <c r="A627" s="3" t="s">
        <v>1620</v>
      </c>
      <c r="B627" s="3" t="s">
        <v>562</v>
      </c>
      <c r="C627" s="3" t="s">
        <v>962</v>
      </c>
      <c r="D627" s="3" t="s">
        <v>963</v>
      </c>
      <c r="E627" s="3" t="s">
        <v>42</v>
      </c>
      <c r="F627" s="3" t="s">
        <v>47</v>
      </c>
      <c r="G627" s="3" t="str">
        <f>INDEX(Risk_Matrix!$B$2:$D$4,MATCH(E627,Risk_Matrix!$A$2:$A$4,0),MATCH(F627,Risk_Matrix!$B$1:$D$1,0))</f>
        <v>Medium</v>
      </c>
      <c r="H627" s="10">
        <v>46092</v>
      </c>
      <c r="I627" s="3" t="s">
        <v>973</v>
      </c>
      <c r="J627" s="3" t="s">
        <v>974</v>
      </c>
      <c r="K627" s="3" t="s">
        <v>993</v>
      </c>
      <c r="L627" s="3">
        <f>IF(G627="High",3,IF(G627="Medium",2,1))</f>
        <v>2</v>
      </c>
    </row>
    <row r="628" spans="1:12">
      <c r="A628" s="3" t="s">
        <v>1621</v>
      </c>
      <c r="B628" s="3" t="s">
        <v>562</v>
      </c>
      <c r="C628" s="3" t="s">
        <v>965</v>
      </c>
      <c r="D628" s="3" t="s">
        <v>988</v>
      </c>
      <c r="E628" s="3" t="s">
        <v>47</v>
      </c>
      <c r="F628" s="3" t="s">
        <v>942</v>
      </c>
      <c r="G628" s="3" t="str">
        <f>INDEX(Risk_Matrix!$B$2:$D$4,MATCH(E628,Risk_Matrix!$A$2:$A$4,0),MATCH(F628,Risk_Matrix!$B$1:$D$1,0))</f>
        <v>Low</v>
      </c>
      <c r="H628" s="10">
        <v>46110</v>
      </c>
      <c r="I628" s="3" t="s">
        <v>973</v>
      </c>
      <c r="J628" s="3" t="s">
        <v>974</v>
      </c>
      <c r="K628" s="3" t="s">
        <v>969</v>
      </c>
      <c r="L628" s="3">
        <f>IF(G628="High",3,IF(G628="Medium",2,1))</f>
        <v>1</v>
      </c>
    </row>
    <row r="629" spans="1:12">
      <c r="A629" s="3" t="s">
        <v>1622</v>
      </c>
      <c r="B629" s="3" t="s">
        <v>562</v>
      </c>
      <c r="C629" s="3" t="s">
        <v>971</v>
      </c>
      <c r="D629" s="3" t="s">
        <v>972</v>
      </c>
      <c r="E629" s="3" t="s">
        <v>942</v>
      </c>
      <c r="F629" s="3" t="s">
        <v>47</v>
      </c>
      <c r="G629" s="3" t="str">
        <f>INDEX(Risk_Matrix!$B$2:$D$4,MATCH(E629,Risk_Matrix!$A$2:$A$4,0),MATCH(F629,Risk_Matrix!$B$1:$D$1,0))</f>
        <v>Low</v>
      </c>
      <c r="H629" s="10">
        <v>46111</v>
      </c>
      <c r="I629" s="3" t="s">
        <v>967</v>
      </c>
      <c r="J629" s="3" t="s">
        <v>968</v>
      </c>
      <c r="K629" s="3" t="s">
        <v>993</v>
      </c>
      <c r="L629" s="3">
        <f>IF(G629="High",3,IF(G629="Medium",2,1))</f>
        <v>1</v>
      </c>
    </row>
    <row r="630" spans="1:12">
      <c r="A630" s="3" t="s">
        <v>1623</v>
      </c>
      <c r="B630" s="3" t="s">
        <v>562</v>
      </c>
      <c r="C630" s="3" t="s">
        <v>976</v>
      </c>
      <c r="D630" s="3" t="s">
        <v>1002</v>
      </c>
      <c r="E630" s="3" t="s">
        <v>47</v>
      </c>
      <c r="F630" s="3" t="s">
        <v>47</v>
      </c>
      <c r="G630" s="3" t="str">
        <f>INDEX(Risk_Matrix!$B$2:$D$4,MATCH(E630,Risk_Matrix!$A$2:$A$4,0),MATCH(F630,Risk_Matrix!$B$1:$D$1,0))</f>
        <v>Low</v>
      </c>
      <c r="H630" s="10">
        <v>46092</v>
      </c>
      <c r="I630" s="3" t="s">
        <v>973</v>
      </c>
      <c r="J630" s="3" t="s">
        <v>974</v>
      </c>
      <c r="K630" s="3" t="s">
        <v>960</v>
      </c>
      <c r="L630" s="3">
        <f>IF(G630="High",3,IF(G630="Medium",2,1))</f>
        <v>1</v>
      </c>
    </row>
    <row r="631" spans="1:12">
      <c r="A631" s="3" t="s">
        <v>1624</v>
      </c>
      <c r="B631" s="3" t="s">
        <v>562</v>
      </c>
      <c r="C631" s="3" t="s">
        <v>979</v>
      </c>
      <c r="D631" s="3" t="s">
        <v>1004</v>
      </c>
      <c r="E631" s="3" t="s">
        <v>942</v>
      </c>
      <c r="F631" s="3" t="s">
        <v>42</v>
      </c>
      <c r="G631" s="3" t="str">
        <f>INDEX(Risk_Matrix!$B$2:$D$4,MATCH(E631,Risk_Matrix!$A$2:$A$4,0),MATCH(F631,Risk_Matrix!$B$1:$D$1,0))</f>
        <v>High</v>
      </c>
      <c r="H631" s="10">
        <v>46090</v>
      </c>
      <c r="I631" s="3" t="s">
        <v>967</v>
      </c>
      <c r="J631" s="3" t="s">
        <v>968</v>
      </c>
      <c r="K631" s="3" t="s">
        <v>993</v>
      </c>
      <c r="L631" s="3">
        <f>IF(G631="High",3,IF(G631="Medium",2,1))</f>
        <v>3</v>
      </c>
    </row>
    <row r="632" spans="1:12">
      <c r="A632" s="3" t="s">
        <v>1625</v>
      </c>
      <c r="B632" s="3" t="s">
        <v>564</v>
      </c>
      <c r="C632" s="3" t="s">
        <v>956</v>
      </c>
      <c r="D632" s="3" t="s">
        <v>995</v>
      </c>
      <c r="E632" s="3" t="s">
        <v>47</v>
      </c>
      <c r="F632" s="3" t="s">
        <v>942</v>
      </c>
      <c r="G632" s="3" t="str">
        <f>INDEX(Risk_Matrix!$B$2:$D$4,MATCH(E632,Risk_Matrix!$A$2:$A$4,0),MATCH(F632,Risk_Matrix!$B$1:$D$1,0))</f>
        <v>Low</v>
      </c>
      <c r="H632" s="10">
        <v>46129</v>
      </c>
      <c r="I632" s="3" t="s">
        <v>967</v>
      </c>
      <c r="J632" s="3" t="s">
        <v>968</v>
      </c>
      <c r="K632" s="3" t="s">
        <v>983</v>
      </c>
      <c r="L632" s="3">
        <f>IF(G632="High",3,IF(G632="Medium",2,1))</f>
        <v>1</v>
      </c>
    </row>
    <row r="633" spans="1:12">
      <c r="A633" s="3" t="s">
        <v>1626</v>
      </c>
      <c r="B633" s="3" t="s">
        <v>564</v>
      </c>
      <c r="C633" s="3" t="s">
        <v>962</v>
      </c>
      <c r="D633" s="3" t="s">
        <v>986</v>
      </c>
      <c r="E633" s="3" t="s">
        <v>942</v>
      </c>
      <c r="F633" s="3" t="s">
        <v>942</v>
      </c>
      <c r="G633" s="3" t="str">
        <f>INDEX(Risk_Matrix!$B$2:$D$4,MATCH(E633,Risk_Matrix!$A$2:$A$4,0),MATCH(F633,Risk_Matrix!$B$1:$D$1,0))</f>
        <v>Medium</v>
      </c>
      <c r="H633" s="10">
        <v>46162</v>
      </c>
      <c r="I633" s="3" t="s">
        <v>973</v>
      </c>
      <c r="J633" s="3" t="s">
        <v>974</v>
      </c>
      <c r="K633" s="3" t="s">
        <v>960</v>
      </c>
      <c r="L633" s="3">
        <f>IF(G633="High",3,IF(G633="Medium",2,1))</f>
        <v>2</v>
      </c>
    </row>
    <row r="634" spans="1:12">
      <c r="A634" s="3" t="s">
        <v>1627</v>
      </c>
      <c r="B634" s="3" t="s">
        <v>564</v>
      </c>
      <c r="C634" s="3" t="s">
        <v>965</v>
      </c>
      <c r="D634" s="3" t="s">
        <v>966</v>
      </c>
      <c r="E634" s="3" t="s">
        <v>47</v>
      </c>
      <c r="F634" s="3" t="s">
        <v>47</v>
      </c>
      <c r="G634" s="3" t="str">
        <f>INDEX(Risk_Matrix!$B$2:$D$4,MATCH(E634,Risk_Matrix!$A$2:$A$4,0),MATCH(F634,Risk_Matrix!$B$1:$D$1,0))</f>
        <v>Low</v>
      </c>
      <c r="H634" s="10">
        <v>46122</v>
      </c>
      <c r="I634" s="3" t="s">
        <v>967</v>
      </c>
      <c r="J634" s="3" t="s">
        <v>968</v>
      </c>
      <c r="K634" s="3" t="s">
        <v>1000</v>
      </c>
      <c r="L634" s="3">
        <f>IF(G634="High",3,IF(G634="Medium",2,1))</f>
        <v>1</v>
      </c>
    </row>
    <row r="635" spans="1:12">
      <c r="A635" s="3" t="s">
        <v>1628</v>
      </c>
      <c r="B635" s="3" t="s">
        <v>564</v>
      </c>
      <c r="C635" s="3" t="s">
        <v>971</v>
      </c>
      <c r="D635" s="3" t="s">
        <v>972</v>
      </c>
      <c r="E635" s="3" t="s">
        <v>42</v>
      </c>
      <c r="F635" s="3" t="s">
        <v>942</v>
      </c>
      <c r="G635" s="3" t="str">
        <f>INDEX(Risk_Matrix!$B$2:$D$4,MATCH(E635,Risk_Matrix!$A$2:$A$4,0),MATCH(F635,Risk_Matrix!$B$1:$D$1,0))</f>
        <v>High</v>
      </c>
      <c r="H635" s="10">
        <v>46191</v>
      </c>
      <c r="I635" s="3" t="s">
        <v>967</v>
      </c>
      <c r="J635" s="3" t="s">
        <v>968</v>
      </c>
      <c r="K635" s="3" t="s">
        <v>1000</v>
      </c>
      <c r="L635" s="3">
        <f>IF(G635="High",3,IF(G635="Medium",2,1))</f>
        <v>3</v>
      </c>
    </row>
    <row r="636" spans="1:12">
      <c r="A636" s="3" t="s">
        <v>1629</v>
      </c>
      <c r="B636" s="3" t="s">
        <v>564</v>
      </c>
      <c r="C636" s="3" t="s">
        <v>976</v>
      </c>
      <c r="D636" s="3" t="s">
        <v>991</v>
      </c>
      <c r="E636" s="3" t="s">
        <v>47</v>
      </c>
      <c r="F636" s="3" t="s">
        <v>42</v>
      </c>
      <c r="G636" s="3" t="str">
        <f>INDEX(Risk_Matrix!$B$2:$D$4,MATCH(E636,Risk_Matrix!$A$2:$A$4,0),MATCH(F636,Risk_Matrix!$B$1:$D$1,0))</f>
        <v>Medium</v>
      </c>
      <c r="H636" s="10">
        <v>46119</v>
      </c>
      <c r="I636" s="3" t="s">
        <v>967</v>
      </c>
      <c r="J636" s="3" t="s">
        <v>968</v>
      </c>
      <c r="K636" s="3" t="s">
        <v>969</v>
      </c>
      <c r="L636" s="3">
        <f>IF(G636="High",3,IF(G636="Medium",2,1))</f>
        <v>2</v>
      </c>
    </row>
    <row r="637" spans="1:12">
      <c r="A637" s="3" t="s">
        <v>1630</v>
      </c>
      <c r="B637" s="3" t="s">
        <v>564</v>
      </c>
      <c r="C637" s="3" t="s">
        <v>979</v>
      </c>
      <c r="D637" s="3" t="s">
        <v>980</v>
      </c>
      <c r="E637" s="3" t="s">
        <v>942</v>
      </c>
      <c r="F637" s="3" t="s">
        <v>942</v>
      </c>
      <c r="G637" s="3" t="str">
        <f>INDEX(Risk_Matrix!$B$2:$D$4,MATCH(E637,Risk_Matrix!$A$2:$A$4,0),MATCH(F637,Risk_Matrix!$B$1:$D$1,0))</f>
        <v>Medium</v>
      </c>
      <c r="H637" s="10">
        <v>46127</v>
      </c>
      <c r="I637" s="3" t="s">
        <v>981</v>
      </c>
      <c r="J637" s="3" t="s">
        <v>982</v>
      </c>
      <c r="K637" s="3" t="s">
        <v>1000</v>
      </c>
      <c r="L637" s="3">
        <f>IF(G637="High",3,IF(G637="Medium",2,1))</f>
        <v>2</v>
      </c>
    </row>
    <row r="638" spans="1:12">
      <c r="A638" s="3" t="s">
        <v>1631</v>
      </c>
      <c r="B638" s="3" t="s">
        <v>565</v>
      </c>
      <c r="C638" s="3" t="s">
        <v>956</v>
      </c>
      <c r="D638" s="3" t="s">
        <v>957</v>
      </c>
      <c r="E638" s="3" t="s">
        <v>942</v>
      </c>
      <c r="F638" s="3" t="s">
        <v>47</v>
      </c>
      <c r="G638" s="3" t="str">
        <f>INDEX(Risk_Matrix!$B$2:$D$4,MATCH(E638,Risk_Matrix!$A$2:$A$4,0),MATCH(F638,Risk_Matrix!$B$1:$D$1,0))</f>
        <v>Low</v>
      </c>
      <c r="H638" s="10">
        <v>46200</v>
      </c>
      <c r="I638" s="3" t="s">
        <v>973</v>
      </c>
      <c r="J638" s="3" t="s">
        <v>974</v>
      </c>
      <c r="K638" s="3" t="s">
        <v>969</v>
      </c>
      <c r="L638" s="3">
        <f>IF(G638="High",3,IF(G638="Medium",2,1))</f>
        <v>1</v>
      </c>
    </row>
    <row r="639" spans="1:12">
      <c r="A639" s="3" t="s">
        <v>1632</v>
      </c>
      <c r="B639" s="3" t="s">
        <v>565</v>
      </c>
      <c r="C639" s="3" t="s">
        <v>962</v>
      </c>
      <c r="D639" s="3" t="s">
        <v>997</v>
      </c>
      <c r="E639" s="3" t="s">
        <v>47</v>
      </c>
      <c r="F639" s="3" t="s">
        <v>42</v>
      </c>
      <c r="G639" s="3" t="str">
        <f>INDEX(Risk_Matrix!$B$2:$D$4,MATCH(E639,Risk_Matrix!$A$2:$A$4,0),MATCH(F639,Risk_Matrix!$B$1:$D$1,0))</f>
        <v>Medium</v>
      </c>
      <c r="H639" s="10">
        <v>46076</v>
      </c>
      <c r="I639" s="3" t="s">
        <v>981</v>
      </c>
      <c r="J639" s="3" t="s">
        <v>982</v>
      </c>
      <c r="K639" s="3" t="s">
        <v>983</v>
      </c>
      <c r="L639" s="3">
        <f>IF(G639="High",3,IF(G639="Medium",2,1))</f>
        <v>2</v>
      </c>
    </row>
    <row r="640" spans="1:12">
      <c r="A640" s="3" t="s">
        <v>1633</v>
      </c>
      <c r="B640" s="3" t="s">
        <v>565</v>
      </c>
      <c r="C640" s="3" t="s">
        <v>965</v>
      </c>
      <c r="D640" s="3" t="s">
        <v>988</v>
      </c>
      <c r="E640" s="3" t="s">
        <v>47</v>
      </c>
      <c r="F640" s="3" t="s">
        <v>47</v>
      </c>
      <c r="G640" s="3" t="str">
        <f>INDEX(Risk_Matrix!$B$2:$D$4,MATCH(E640,Risk_Matrix!$A$2:$A$4,0),MATCH(F640,Risk_Matrix!$B$1:$D$1,0))</f>
        <v>Low</v>
      </c>
      <c r="H640" s="10">
        <v>46063</v>
      </c>
      <c r="I640" s="3" t="s">
        <v>973</v>
      </c>
      <c r="J640" s="3" t="s">
        <v>974</v>
      </c>
      <c r="K640" s="3" t="s">
        <v>1000</v>
      </c>
      <c r="L640" s="3">
        <f>IF(G640="High",3,IF(G640="Medium",2,1))</f>
        <v>1</v>
      </c>
    </row>
    <row r="641" spans="1:12">
      <c r="A641" s="3" t="s">
        <v>1634</v>
      </c>
      <c r="B641" s="3" t="s">
        <v>565</v>
      </c>
      <c r="C641" s="3" t="s">
        <v>971</v>
      </c>
      <c r="D641" s="3" t="s">
        <v>972</v>
      </c>
      <c r="E641" s="3" t="s">
        <v>47</v>
      </c>
      <c r="F641" s="3" t="s">
        <v>47</v>
      </c>
      <c r="G641" s="3" t="str">
        <f>INDEX(Risk_Matrix!$B$2:$D$4,MATCH(E641,Risk_Matrix!$A$2:$A$4,0),MATCH(F641,Risk_Matrix!$B$1:$D$1,0))</f>
        <v>Low</v>
      </c>
      <c r="H641" s="10">
        <v>46176</v>
      </c>
      <c r="I641" s="3" t="s">
        <v>973</v>
      </c>
      <c r="J641" s="3" t="s">
        <v>974</v>
      </c>
      <c r="K641" s="3" t="s">
        <v>969</v>
      </c>
      <c r="L641" s="3">
        <f>IF(G641="High",3,IF(G641="Medium",2,1))</f>
        <v>1</v>
      </c>
    </row>
    <row r="642" spans="1:12">
      <c r="A642" s="3" t="s">
        <v>1635</v>
      </c>
      <c r="B642" s="3" t="s">
        <v>565</v>
      </c>
      <c r="C642" s="3" t="s">
        <v>976</v>
      </c>
      <c r="D642" s="3" t="s">
        <v>991</v>
      </c>
      <c r="E642" s="3" t="s">
        <v>47</v>
      </c>
      <c r="F642" s="3" t="s">
        <v>42</v>
      </c>
      <c r="G642" s="3" t="str">
        <f>INDEX(Risk_Matrix!$B$2:$D$4,MATCH(E642,Risk_Matrix!$A$2:$A$4,0),MATCH(F642,Risk_Matrix!$B$1:$D$1,0))</f>
        <v>Medium</v>
      </c>
      <c r="H642" s="10">
        <v>46229</v>
      </c>
      <c r="I642" s="3" t="s">
        <v>967</v>
      </c>
      <c r="J642" s="3" t="s">
        <v>968</v>
      </c>
      <c r="K642" s="3" t="s">
        <v>983</v>
      </c>
      <c r="L642" s="3">
        <f>IF(G642="High",3,IF(G642="Medium",2,1))</f>
        <v>2</v>
      </c>
    </row>
    <row r="643" spans="1:12">
      <c r="A643" s="3" t="s">
        <v>1636</v>
      </c>
      <c r="B643" s="3" t="s">
        <v>565</v>
      </c>
      <c r="C643" s="3" t="s">
        <v>979</v>
      </c>
      <c r="D643" s="3" t="s">
        <v>1004</v>
      </c>
      <c r="E643" s="3" t="s">
        <v>47</v>
      </c>
      <c r="F643" s="3" t="s">
        <v>47</v>
      </c>
      <c r="G643" s="3" t="str">
        <f>INDEX(Risk_Matrix!$B$2:$D$4,MATCH(E643,Risk_Matrix!$A$2:$A$4,0),MATCH(F643,Risk_Matrix!$B$1:$D$1,0))</f>
        <v>Low</v>
      </c>
      <c r="H643" s="10">
        <v>46167</v>
      </c>
      <c r="I643" s="3" t="s">
        <v>981</v>
      </c>
      <c r="J643" s="3" t="s">
        <v>982</v>
      </c>
      <c r="K643" s="3" t="s">
        <v>1000</v>
      </c>
      <c r="L643" s="3">
        <f>IF(G643="High",3,IF(G643="Medium",2,1))</f>
        <v>1</v>
      </c>
    </row>
    <row r="644" spans="1:12">
      <c r="A644" s="3" t="s">
        <v>1637</v>
      </c>
      <c r="B644" s="3" t="s">
        <v>567</v>
      </c>
      <c r="C644" s="3" t="s">
        <v>956</v>
      </c>
      <c r="D644" s="3" t="s">
        <v>1020</v>
      </c>
      <c r="E644" s="3" t="s">
        <v>942</v>
      </c>
      <c r="F644" s="3" t="s">
        <v>47</v>
      </c>
      <c r="G644" s="3" t="str">
        <f>INDEX(Risk_Matrix!$B$2:$D$4,MATCH(E644,Risk_Matrix!$A$2:$A$4,0),MATCH(F644,Risk_Matrix!$B$1:$D$1,0))</f>
        <v>Low</v>
      </c>
      <c r="H644" s="10">
        <v>46233</v>
      </c>
      <c r="I644" s="3" t="s">
        <v>967</v>
      </c>
      <c r="J644" s="3" t="s">
        <v>968</v>
      </c>
      <c r="K644" s="3" t="s">
        <v>993</v>
      </c>
      <c r="L644" s="3">
        <f>IF(G644="High",3,IF(G644="Medium",2,1))</f>
        <v>1</v>
      </c>
    </row>
    <row r="645" spans="1:12">
      <c r="A645" s="3" t="s">
        <v>1638</v>
      </c>
      <c r="B645" s="3" t="s">
        <v>567</v>
      </c>
      <c r="C645" s="3" t="s">
        <v>962</v>
      </c>
      <c r="D645" s="3" t="s">
        <v>963</v>
      </c>
      <c r="E645" s="3" t="s">
        <v>47</v>
      </c>
      <c r="F645" s="3" t="s">
        <v>47</v>
      </c>
      <c r="G645" s="3" t="str">
        <f>INDEX(Risk_Matrix!$B$2:$D$4,MATCH(E645,Risk_Matrix!$A$2:$A$4,0),MATCH(F645,Risk_Matrix!$B$1:$D$1,0))</f>
        <v>Low</v>
      </c>
      <c r="H645" s="10">
        <v>46134</v>
      </c>
      <c r="I645" s="3" t="s">
        <v>973</v>
      </c>
      <c r="J645" s="3" t="s">
        <v>974</v>
      </c>
      <c r="K645" s="3" t="s">
        <v>969</v>
      </c>
      <c r="L645" s="3">
        <f>IF(G645="High",3,IF(G645="Medium",2,1))</f>
        <v>1</v>
      </c>
    </row>
    <row r="646" spans="1:12">
      <c r="A646" s="3" t="s">
        <v>1639</v>
      </c>
      <c r="B646" s="3" t="s">
        <v>567</v>
      </c>
      <c r="C646" s="3" t="s">
        <v>965</v>
      </c>
      <c r="D646" s="3" t="s">
        <v>1023</v>
      </c>
      <c r="E646" s="3" t="s">
        <v>47</v>
      </c>
      <c r="F646" s="3" t="s">
        <v>942</v>
      </c>
      <c r="G646" s="3" t="str">
        <f>INDEX(Risk_Matrix!$B$2:$D$4,MATCH(E646,Risk_Matrix!$A$2:$A$4,0),MATCH(F646,Risk_Matrix!$B$1:$D$1,0))</f>
        <v>Low</v>
      </c>
      <c r="H646" s="10">
        <v>46178</v>
      </c>
      <c r="I646" s="3" t="s">
        <v>981</v>
      </c>
      <c r="J646" s="3" t="s">
        <v>982</v>
      </c>
      <c r="K646" s="3" t="s">
        <v>993</v>
      </c>
      <c r="L646" s="3">
        <f>IF(G646="High",3,IF(G646="Medium",2,1))</f>
        <v>1</v>
      </c>
    </row>
    <row r="647" spans="1:12">
      <c r="A647" s="3" t="s">
        <v>1640</v>
      </c>
      <c r="B647" s="3" t="s">
        <v>567</v>
      </c>
      <c r="C647" s="3" t="s">
        <v>971</v>
      </c>
      <c r="D647" s="3" t="s">
        <v>1016</v>
      </c>
      <c r="E647" s="3" t="s">
        <v>942</v>
      </c>
      <c r="F647" s="3" t="s">
        <v>42</v>
      </c>
      <c r="G647" s="3" t="str">
        <f>INDEX(Risk_Matrix!$B$2:$D$4,MATCH(E647,Risk_Matrix!$A$2:$A$4,0),MATCH(F647,Risk_Matrix!$B$1:$D$1,0))</f>
        <v>High</v>
      </c>
      <c r="H647" s="10">
        <v>46090</v>
      </c>
      <c r="I647" s="3" t="s">
        <v>967</v>
      </c>
      <c r="J647" s="3" t="s">
        <v>968</v>
      </c>
      <c r="K647" s="3" t="s">
        <v>1000</v>
      </c>
      <c r="L647" s="3">
        <f>IF(G647="High",3,IF(G647="Medium",2,1))</f>
        <v>3</v>
      </c>
    </row>
    <row r="648" spans="1:12">
      <c r="A648" s="3" t="s">
        <v>1641</v>
      </c>
      <c r="B648" s="3" t="s">
        <v>567</v>
      </c>
      <c r="C648" s="3" t="s">
        <v>976</v>
      </c>
      <c r="D648" s="3" t="s">
        <v>991</v>
      </c>
      <c r="E648" s="3" t="s">
        <v>47</v>
      </c>
      <c r="F648" s="3" t="s">
        <v>47</v>
      </c>
      <c r="G648" s="3" t="str">
        <f>INDEX(Risk_Matrix!$B$2:$D$4,MATCH(E648,Risk_Matrix!$A$2:$A$4,0),MATCH(F648,Risk_Matrix!$B$1:$D$1,0))</f>
        <v>Low</v>
      </c>
      <c r="H648" s="10">
        <v>46158</v>
      </c>
      <c r="I648" s="3" t="s">
        <v>967</v>
      </c>
      <c r="J648" s="3" t="s">
        <v>968</v>
      </c>
      <c r="K648" s="3" t="s">
        <v>969</v>
      </c>
      <c r="L648" s="3">
        <f>IF(G648="High",3,IF(G648="Medium",2,1))</f>
        <v>1</v>
      </c>
    </row>
    <row r="649" spans="1:12">
      <c r="A649" s="3" t="s">
        <v>1642</v>
      </c>
      <c r="B649" s="3" t="s">
        <v>567</v>
      </c>
      <c r="C649" s="3" t="s">
        <v>979</v>
      </c>
      <c r="D649" s="3" t="s">
        <v>980</v>
      </c>
      <c r="E649" s="3" t="s">
        <v>942</v>
      </c>
      <c r="F649" s="3" t="s">
        <v>942</v>
      </c>
      <c r="G649" s="3" t="str">
        <f>INDEX(Risk_Matrix!$B$2:$D$4,MATCH(E649,Risk_Matrix!$A$2:$A$4,0),MATCH(F649,Risk_Matrix!$B$1:$D$1,0))</f>
        <v>Medium</v>
      </c>
      <c r="H649" s="10">
        <v>46130</v>
      </c>
      <c r="I649" s="3" t="s">
        <v>967</v>
      </c>
      <c r="J649" s="3" t="s">
        <v>968</v>
      </c>
      <c r="K649" s="3" t="s">
        <v>983</v>
      </c>
      <c r="L649" s="3">
        <f>IF(G649="High",3,IF(G649="Medium",2,1))</f>
        <v>2</v>
      </c>
    </row>
    <row r="650" spans="1:12">
      <c r="A650" s="3" t="s">
        <v>1643</v>
      </c>
      <c r="B650" s="3" t="s">
        <v>568</v>
      </c>
      <c r="C650" s="3" t="s">
        <v>956</v>
      </c>
      <c r="D650" s="3" t="s">
        <v>1020</v>
      </c>
      <c r="E650" s="3" t="s">
        <v>47</v>
      </c>
      <c r="F650" s="3" t="s">
        <v>47</v>
      </c>
      <c r="G650" s="3" t="str">
        <f>INDEX(Risk_Matrix!$B$2:$D$4,MATCH(E650,Risk_Matrix!$A$2:$A$4,0),MATCH(F650,Risk_Matrix!$B$1:$D$1,0))</f>
        <v>Low</v>
      </c>
      <c r="H650" s="10">
        <v>46134</v>
      </c>
      <c r="I650" s="3" t="s">
        <v>973</v>
      </c>
      <c r="J650" s="3" t="s">
        <v>974</v>
      </c>
      <c r="K650" s="3" t="s">
        <v>969</v>
      </c>
      <c r="L650" s="3">
        <f>IF(G650="High",3,IF(G650="Medium",2,1))</f>
        <v>1</v>
      </c>
    </row>
    <row r="651" spans="1:12">
      <c r="A651" s="3" t="s">
        <v>1644</v>
      </c>
      <c r="B651" s="3" t="s">
        <v>568</v>
      </c>
      <c r="C651" s="3" t="s">
        <v>962</v>
      </c>
      <c r="D651" s="3" t="s">
        <v>963</v>
      </c>
      <c r="E651" s="3" t="s">
        <v>47</v>
      </c>
      <c r="F651" s="3" t="s">
        <v>47</v>
      </c>
      <c r="G651" s="3" t="str">
        <f>INDEX(Risk_Matrix!$B$2:$D$4,MATCH(E651,Risk_Matrix!$A$2:$A$4,0),MATCH(F651,Risk_Matrix!$B$1:$D$1,0))</f>
        <v>Low</v>
      </c>
      <c r="H651" s="10">
        <v>46157</v>
      </c>
      <c r="I651" s="3" t="s">
        <v>981</v>
      </c>
      <c r="J651" s="3" t="s">
        <v>982</v>
      </c>
      <c r="K651" s="3" t="s">
        <v>1000</v>
      </c>
      <c r="L651" s="3">
        <f>IF(G651="High",3,IF(G651="Medium",2,1))</f>
        <v>1</v>
      </c>
    </row>
    <row r="652" spans="1:12">
      <c r="A652" s="3" t="s">
        <v>1645</v>
      </c>
      <c r="B652" s="3" t="s">
        <v>568</v>
      </c>
      <c r="C652" s="3" t="s">
        <v>965</v>
      </c>
      <c r="D652" s="3" t="s">
        <v>988</v>
      </c>
      <c r="E652" s="3" t="s">
        <v>47</v>
      </c>
      <c r="F652" s="3" t="s">
        <v>47</v>
      </c>
      <c r="G652" s="3" t="str">
        <f>INDEX(Risk_Matrix!$B$2:$D$4,MATCH(E652,Risk_Matrix!$A$2:$A$4,0),MATCH(F652,Risk_Matrix!$B$1:$D$1,0))</f>
        <v>Low</v>
      </c>
      <c r="H652" s="10">
        <v>46201</v>
      </c>
      <c r="I652" s="3" t="s">
        <v>973</v>
      </c>
      <c r="J652" s="3" t="s">
        <v>974</v>
      </c>
      <c r="K652" s="3" t="s">
        <v>969</v>
      </c>
      <c r="L652" s="3">
        <f>IF(G652="High",3,IF(G652="Medium",2,1))</f>
        <v>1</v>
      </c>
    </row>
    <row r="653" spans="1:12">
      <c r="A653" s="3" t="s">
        <v>1646</v>
      </c>
      <c r="B653" s="3" t="s">
        <v>568</v>
      </c>
      <c r="C653" s="3" t="s">
        <v>971</v>
      </c>
      <c r="D653" s="3" t="s">
        <v>1025</v>
      </c>
      <c r="E653" s="3" t="s">
        <v>942</v>
      </c>
      <c r="F653" s="3" t="s">
        <v>942</v>
      </c>
      <c r="G653" s="3" t="str">
        <f>INDEX(Risk_Matrix!$B$2:$D$4,MATCH(E653,Risk_Matrix!$A$2:$A$4,0),MATCH(F653,Risk_Matrix!$B$1:$D$1,0))</f>
        <v>Medium</v>
      </c>
      <c r="H653" s="10">
        <v>46083</v>
      </c>
      <c r="I653" s="3" t="s">
        <v>973</v>
      </c>
      <c r="J653" s="3" t="s">
        <v>974</v>
      </c>
      <c r="K653" s="3" t="s">
        <v>993</v>
      </c>
      <c r="L653" s="3">
        <f>IF(G653="High",3,IF(G653="Medium",2,1))</f>
        <v>2</v>
      </c>
    </row>
    <row r="654" spans="1:12">
      <c r="A654" s="3" t="s">
        <v>1647</v>
      </c>
      <c r="B654" s="3" t="s">
        <v>568</v>
      </c>
      <c r="C654" s="3" t="s">
        <v>976</v>
      </c>
      <c r="D654" s="3" t="s">
        <v>1002</v>
      </c>
      <c r="E654" s="3" t="s">
        <v>942</v>
      </c>
      <c r="F654" s="3" t="s">
        <v>42</v>
      </c>
      <c r="G654" s="3" t="str">
        <f>INDEX(Risk_Matrix!$B$2:$D$4,MATCH(E654,Risk_Matrix!$A$2:$A$4,0),MATCH(F654,Risk_Matrix!$B$1:$D$1,0))</f>
        <v>High</v>
      </c>
      <c r="H654" s="10">
        <v>46067</v>
      </c>
      <c r="I654" s="3" t="s">
        <v>967</v>
      </c>
      <c r="J654" s="3" t="s">
        <v>968</v>
      </c>
      <c r="K654" s="3" t="s">
        <v>983</v>
      </c>
      <c r="L654" s="3">
        <f>IF(G654="High",3,IF(G654="Medium",2,1))</f>
        <v>3</v>
      </c>
    </row>
    <row r="655" spans="1:12">
      <c r="A655" s="3" t="s">
        <v>1648</v>
      </c>
      <c r="B655" s="3" t="s">
        <v>568</v>
      </c>
      <c r="C655" s="3" t="s">
        <v>979</v>
      </c>
      <c r="D655" s="3" t="s">
        <v>1028</v>
      </c>
      <c r="E655" s="3" t="s">
        <v>942</v>
      </c>
      <c r="F655" s="3" t="s">
        <v>47</v>
      </c>
      <c r="G655" s="3" t="str">
        <f>INDEX(Risk_Matrix!$B$2:$D$4,MATCH(E655,Risk_Matrix!$A$2:$A$4,0),MATCH(F655,Risk_Matrix!$B$1:$D$1,0))</f>
        <v>Low</v>
      </c>
      <c r="H655" s="10">
        <v>46146</v>
      </c>
      <c r="I655" s="3" t="s">
        <v>958</v>
      </c>
      <c r="J655" s="3" t="s">
        <v>959</v>
      </c>
      <c r="K655" s="3" t="s">
        <v>993</v>
      </c>
      <c r="L655" s="3">
        <f>IF(G655="High",3,IF(G655="Medium",2,1))</f>
        <v>1</v>
      </c>
    </row>
    <row r="656" spans="1:12">
      <c r="A656" s="3" t="s">
        <v>1649</v>
      </c>
      <c r="B656" s="3" t="s">
        <v>569</v>
      </c>
      <c r="C656" s="3" t="s">
        <v>956</v>
      </c>
      <c r="D656" s="3" t="s">
        <v>1020</v>
      </c>
      <c r="E656" s="3" t="s">
        <v>42</v>
      </c>
      <c r="F656" s="3" t="s">
        <v>47</v>
      </c>
      <c r="G656" s="3" t="str">
        <f>INDEX(Risk_Matrix!$B$2:$D$4,MATCH(E656,Risk_Matrix!$A$2:$A$4,0),MATCH(F656,Risk_Matrix!$B$1:$D$1,0))</f>
        <v>Medium</v>
      </c>
      <c r="H656" s="10">
        <v>46138</v>
      </c>
      <c r="I656" s="3" t="s">
        <v>981</v>
      </c>
      <c r="J656" s="3" t="s">
        <v>982</v>
      </c>
      <c r="K656" s="3" t="s">
        <v>969</v>
      </c>
      <c r="L656" s="3">
        <f>IF(G656="High",3,IF(G656="Medium",2,1))</f>
        <v>2</v>
      </c>
    </row>
    <row r="657" spans="1:12">
      <c r="A657" s="3" t="s">
        <v>1650</v>
      </c>
      <c r="B657" s="3" t="s">
        <v>569</v>
      </c>
      <c r="C657" s="3" t="s">
        <v>962</v>
      </c>
      <c r="D657" s="3" t="s">
        <v>986</v>
      </c>
      <c r="E657" s="3" t="s">
        <v>47</v>
      </c>
      <c r="F657" s="3" t="s">
        <v>942</v>
      </c>
      <c r="G657" s="3" t="str">
        <f>INDEX(Risk_Matrix!$B$2:$D$4,MATCH(E657,Risk_Matrix!$A$2:$A$4,0),MATCH(F657,Risk_Matrix!$B$1:$D$1,0))</f>
        <v>Low</v>
      </c>
      <c r="H657" s="10">
        <v>46185</v>
      </c>
      <c r="I657" s="3" t="s">
        <v>973</v>
      </c>
      <c r="J657" s="3" t="s">
        <v>974</v>
      </c>
      <c r="K657" s="3" t="s">
        <v>983</v>
      </c>
      <c r="L657" s="3">
        <f>IF(G657="High",3,IF(G657="Medium",2,1))</f>
        <v>1</v>
      </c>
    </row>
    <row r="658" spans="1:12">
      <c r="A658" s="3" t="s">
        <v>1651</v>
      </c>
      <c r="B658" s="3" t="s">
        <v>569</v>
      </c>
      <c r="C658" s="3" t="s">
        <v>965</v>
      </c>
      <c r="D658" s="3" t="s">
        <v>988</v>
      </c>
      <c r="E658" s="3" t="s">
        <v>942</v>
      </c>
      <c r="F658" s="3" t="s">
        <v>42</v>
      </c>
      <c r="G658" s="3" t="str">
        <f>INDEX(Risk_Matrix!$B$2:$D$4,MATCH(E658,Risk_Matrix!$A$2:$A$4,0),MATCH(F658,Risk_Matrix!$B$1:$D$1,0))</f>
        <v>High</v>
      </c>
      <c r="H658" s="10">
        <v>46134</v>
      </c>
      <c r="I658" s="3" t="s">
        <v>981</v>
      </c>
      <c r="J658" s="3" t="s">
        <v>982</v>
      </c>
      <c r="K658" s="3" t="s">
        <v>993</v>
      </c>
      <c r="L658" s="3">
        <f>IF(G658="High",3,IF(G658="Medium",2,1))</f>
        <v>3</v>
      </c>
    </row>
    <row r="659" spans="1:12">
      <c r="A659" s="3" t="s">
        <v>1652</v>
      </c>
      <c r="B659" s="3" t="s">
        <v>569</v>
      </c>
      <c r="C659" s="3" t="s">
        <v>971</v>
      </c>
      <c r="D659" s="3" t="s">
        <v>1025</v>
      </c>
      <c r="E659" s="3" t="s">
        <v>42</v>
      </c>
      <c r="F659" s="3" t="s">
        <v>942</v>
      </c>
      <c r="G659" s="3" t="str">
        <f>INDEX(Risk_Matrix!$B$2:$D$4,MATCH(E659,Risk_Matrix!$A$2:$A$4,0),MATCH(F659,Risk_Matrix!$B$1:$D$1,0))</f>
        <v>High</v>
      </c>
      <c r="H659" s="10">
        <v>46118</v>
      </c>
      <c r="I659" s="3" t="s">
        <v>981</v>
      </c>
      <c r="J659" s="3" t="s">
        <v>982</v>
      </c>
      <c r="K659" s="3" t="s">
        <v>960</v>
      </c>
      <c r="L659" s="3">
        <f>IF(G659="High",3,IF(G659="Medium",2,1))</f>
        <v>3</v>
      </c>
    </row>
    <row r="660" spans="1:12">
      <c r="A660" s="3" t="s">
        <v>1653</v>
      </c>
      <c r="B660" s="3" t="s">
        <v>569</v>
      </c>
      <c r="C660" s="3" t="s">
        <v>976</v>
      </c>
      <c r="D660" s="3" t="s">
        <v>991</v>
      </c>
      <c r="E660" s="3" t="s">
        <v>942</v>
      </c>
      <c r="F660" s="3" t="s">
        <v>42</v>
      </c>
      <c r="G660" s="3" t="str">
        <f>INDEX(Risk_Matrix!$B$2:$D$4,MATCH(E660,Risk_Matrix!$A$2:$A$4,0),MATCH(F660,Risk_Matrix!$B$1:$D$1,0))</f>
        <v>High</v>
      </c>
      <c r="H660" s="10">
        <v>46197</v>
      </c>
      <c r="I660" s="3" t="s">
        <v>981</v>
      </c>
      <c r="J660" s="3" t="s">
        <v>982</v>
      </c>
      <c r="K660" s="3" t="s">
        <v>969</v>
      </c>
      <c r="L660" s="3">
        <f>IF(G660="High",3,IF(G660="Medium",2,1))</f>
        <v>3</v>
      </c>
    </row>
    <row r="661" spans="1:12">
      <c r="A661" s="3" t="s">
        <v>1654</v>
      </c>
      <c r="B661" s="3" t="s">
        <v>569</v>
      </c>
      <c r="C661" s="3" t="s">
        <v>979</v>
      </c>
      <c r="D661" s="3" t="s">
        <v>980</v>
      </c>
      <c r="E661" s="3" t="s">
        <v>47</v>
      </c>
      <c r="F661" s="3" t="s">
        <v>47</v>
      </c>
      <c r="G661" s="3" t="str">
        <f>INDEX(Risk_Matrix!$B$2:$D$4,MATCH(E661,Risk_Matrix!$A$2:$A$4,0),MATCH(F661,Risk_Matrix!$B$1:$D$1,0))</f>
        <v>Low</v>
      </c>
      <c r="H661" s="10">
        <v>46098</v>
      </c>
      <c r="I661" s="3" t="s">
        <v>967</v>
      </c>
      <c r="J661" s="3" t="s">
        <v>968</v>
      </c>
      <c r="K661" s="3" t="s">
        <v>969</v>
      </c>
      <c r="L661" s="3">
        <f>IF(G661="High",3,IF(G661="Medium",2,1))</f>
        <v>1</v>
      </c>
    </row>
    <row r="662" spans="1:12">
      <c r="A662" s="3" t="s">
        <v>1655</v>
      </c>
      <c r="B662" s="3" t="s">
        <v>570</v>
      </c>
      <c r="C662" s="3" t="s">
        <v>956</v>
      </c>
      <c r="D662" s="3" t="s">
        <v>1012</v>
      </c>
      <c r="E662" s="3" t="s">
        <v>942</v>
      </c>
      <c r="F662" s="3" t="s">
        <v>942</v>
      </c>
      <c r="G662" s="3" t="str">
        <f>INDEX(Risk_Matrix!$B$2:$D$4,MATCH(E662,Risk_Matrix!$A$2:$A$4,0),MATCH(F662,Risk_Matrix!$B$1:$D$1,0))</f>
        <v>Medium</v>
      </c>
      <c r="H662" s="10">
        <v>46191</v>
      </c>
      <c r="I662" s="3" t="s">
        <v>967</v>
      </c>
      <c r="J662" s="3" t="s">
        <v>968</v>
      </c>
      <c r="K662" s="3" t="s">
        <v>960</v>
      </c>
      <c r="L662" s="3">
        <f>IF(G662="High",3,IF(G662="Medium",2,1))</f>
        <v>2</v>
      </c>
    </row>
    <row r="663" spans="1:12">
      <c r="A663" s="3" t="s">
        <v>1656</v>
      </c>
      <c r="B663" s="3" t="s">
        <v>570</v>
      </c>
      <c r="C663" s="3" t="s">
        <v>962</v>
      </c>
      <c r="D663" s="3" t="s">
        <v>1037</v>
      </c>
      <c r="E663" s="3" t="s">
        <v>47</v>
      </c>
      <c r="F663" s="3" t="s">
        <v>47</v>
      </c>
      <c r="G663" s="3" t="str">
        <f>INDEX(Risk_Matrix!$B$2:$D$4,MATCH(E663,Risk_Matrix!$A$2:$A$4,0),MATCH(F663,Risk_Matrix!$B$1:$D$1,0))</f>
        <v>Low</v>
      </c>
      <c r="H663" s="10">
        <v>46091</v>
      </c>
      <c r="I663" s="3" t="s">
        <v>973</v>
      </c>
      <c r="J663" s="3" t="s">
        <v>974</v>
      </c>
      <c r="K663" s="3" t="s">
        <v>993</v>
      </c>
      <c r="L663" s="3">
        <f>IF(G663="High",3,IF(G663="Medium",2,1))</f>
        <v>1</v>
      </c>
    </row>
    <row r="664" spans="1:12">
      <c r="A664" s="3" t="s">
        <v>1657</v>
      </c>
      <c r="B664" s="3" t="s">
        <v>570</v>
      </c>
      <c r="C664" s="3" t="s">
        <v>965</v>
      </c>
      <c r="D664" s="3" t="s">
        <v>1023</v>
      </c>
      <c r="E664" s="3" t="s">
        <v>47</v>
      </c>
      <c r="F664" s="3" t="s">
        <v>942</v>
      </c>
      <c r="G664" s="3" t="str">
        <f>INDEX(Risk_Matrix!$B$2:$D$4,MATCH(E664,Risk_Matrix!$A$2:$A$4,0),MATCH(F664,Risk_Matrix!$B$1:$D$1,0))</f>
        <v>Low</v>
      </c>
      <c r="H664" s="10">
        <v>46072</v>
      </c>
      <c r="I664" s="3" t="s">
        <v>958</v>
      </c>
      <c r="J664" s="3" t="s">
        <v>959</v>
      </c>
      <c r="K664" s="3" t="s">
        <v>983</v>
      </c>
      <c r="L664" s="3">
        <f>IF(G664="High",3,IF(G664="Medium",2,1))</f>
        <v>1</v>
      </c>
    </row>
    <row r="665" spans="1:12">
      <c r="A665" s="3" t="s">
        <v>1658</v>
      </c>
      <c r="B665" s="3" t="s">
        <v>570</v>
      </c>
      <c r="C665" s="3" t="s">
        <v>971</v>
      </c>
      <c r="D665" s="3" t="s">
        <v>1016</v>
      </c>
      <c r="E665" s="3" t="s">
        <v>942</v>
      </c>
      <c r="F665" s="3" t="s">
        <v>942</v>
      </c>
      <c r="G665" s="3" t="str">
        <f>INDEX(Risk_Matrix!$B$2:$D$4,MATCH(E665,Risk_Matrix!$A$2:$A$4,0),MATCH(F665,Risk_Matrix!$B$1:$D$1,0))</f>
        <v>Medium</v>
      </c>
      <c r="H665" s="10">
        <v>46116</v>
      </c>
      <c r="I665" s="3" t="s">
        <v>973</v>
      </c>
      <c r="J665" s="3" t="s">
        <v>974</v>
      </c>
      <c r="K665" s="3" t="s">
        <v>983</v>
      </c>
      <c r="L665" s="3">
        <f>IF(G665="High",3,IF(G665="Medium",2,1))</f>
        <v>2</v>
      </c>
    </row>
    <row r="666" spans="1:12">
      <c r="A666" s="3" t="s">
        <v>1659</v>
      </c>
      <c r="B666" s="3" t="s">
        <v>570</v>
      </c>
      <c r="C666" s="3" t="s">
        <v>976</v>
      </c>
      <c r="D666" s="3" t="s">
        <v>991</v>
      </c>
      <c r="E666" s="3" t="s">
        <v>47</v>
      </c>
      <c r="F666" s="3" t="s">
        <v>942</v>
      </c>
      <c r="G666" s="3" t="str">
        <f>INDEX(Risk_Matrix!$B$2:$D$4,MATCH(E666,Risk_Matrix!$A$2:$A$4,0),MATCH(F666,Risk_Matrix!$B$1:$D$1,0))</f>
        <v>Low</v>
      </c>
      <c r="H666" s="10">
        <v>46166</v>
      </c>
      <c r="I666" s="3" t="s">
        <v>973</v>
      </c>
      <c r="J666" s="3" t="s">
        <v>974</v>
      </c>
      <c r="K666" s="3" t="s">
        <v>983</v>
      </c>
      <c r="L666" s="3">
        <f>IF(G666="High",3,IF(G666="Medium",2,1))</f>
        <v>1</v>
      </c>
    </row>
    <row r="667" spans="1:12">
      <c r="A667" s="3" t="s">
        <v>1660</v>
      </c>
      <c r="B667" s="3" t="s">
        <v>570</v>
      </c>
      <c r="C667" s="3" t="s">
        <v>979</v>
      </c>
      <c r="D667" s="3" t="s">
        <v>1004</v>
      </c>
      <c r="E667" s="3" t="s">
        <v>47</v>
      </c>
      <c r="F667" s="3" t="s">
        <v>47</v>
      </c>
      <c r="G667" s="3" t="str">
        <f>INDEX(Risk_Matrix!$B$2:$D$4,MATCH(E667,Risk_Matrix!$A$2:$A$4,0),MATCH(F667,Risk_Matrix!$B$1:$D$1,0))</f>
        <v>Low</v>
      </c>
      <c r="H667" s="10">
        <v>46092</v>
      </c>
      <c r="I667" s="3" t="s">
        <v>981</v>
      </c>
      <c r="J667" s="3" t="s">
        <v>982</v>
      </c>
      <c r="K667" s="3" t="s">
        <v>983</v>
      </c>
      <c r="L667" s="3">
        <f>IF(G667="High",3,IF(G667="Medium",2,1))</f>
        <v>1</v>
      </c>
    </row>
    <row r="668" spans="1:12">
      <c r="A668" s="3" t="s">
        <v>1661</v>
      </c>
      <c r="B668" s="3" t="s">
        <v>572</v>
      </c>
      <c r="C668" s="3" t="s">
        <v>956</v>
      </c>
      <c r="D668" s="3" t="s">
        <v>957</v>
      </c>
      <c r="E668" s="3" t="s">
        <v>42</v>
      </c>
      <c r="F668" s="3" t="s">
        <v>42</v>
      </c>
      <c r="G668" s="3" t="str">
        <f>INDEX(Risk_Matrix!$B$2:$D$4,MATCH(E668,Risk_Matrix!$A$2:$A$4,0),MATCH(F668,Risk_Matrix!$B$1:$D$1,0))</f>
        <v>High</v>
      </c>
      <c r="H668" s="10">
        <v>46078</v>
      </c>
      <c r="I668" s="3" t="s">
        <v>967</v>
      </c>
      <c r="J668" s="3" t="s">
        <v>968</v>
      </c>
      <c r="K668" s="3" t="s">
        <v>983</v>
      </c>
      <c r="L668" s="3">
        <f>IF(G668="High",3,IF(G668="Medium",2,1))</f>
        <v>3</v>
      </c>
    </row>
    <row r="669" spans="1:12">
      <c r="A669" s="3" t="s">
        <v>1662</v>
      </c>
      <c r="B669" s="3" t="s">
        <v>572</v>
      </c>
      <c r="C669" s="3" t="s">
        <v>962</v>
      </c>
      <c r="D669" s="3" t="s">
        <v>963</v>
      </c>
      <c r="E669" s="3" t="s">
        <v>42</v>
      </c>
      <c r="F669" s="3" t="s">
        <v>47</v>
      </c>
      <c r="G669" s="3" t="str">
        <f>INDEX(Risk_Matrix!$B$2:$D$4,MATCH(E669,Risk_Matrix!$A$2:$A$4,0),MATCH(F669,Risk_Matrix!$B$1:$D$1,0))</f>
        <v>Medium</v>
      </c>
      <c r="H669" s="10">
        <v>46195</v>
      </c>
      <c r="I669" s="3" t="s">
        <v>967</v>
      </c>
      <c r="J669" s="3" t="s">
        <v>968</v>
      </c>
      <c r="K669" s="3" t="s">
        <v>993</v>
      </c>
      <c r="L669" s="3">
        <f>IF(G669="High",3,IF(G669="Medium",2,1))</f>
        <v>2</v>
      </c>
    </row>
    <row r="670" spans="1:12">
      <c r="A670" s="3" t="s">
        <v>1663</v>
      </c>
      <c r="B670" s="3" t="s">
        <v>572</v>
      </c>
      <c r="C670" s="3" t="s">
        <v>965</v>
      </c>
      <c r="D670" s="3" t="s">
        <v>988</v>
      </c>
      <c r="E670" s="3" t="s">
        <v>942</v>
      </c>
      <c r="F670" s="3" t="s">
        <v>942</v>
      </c>
      <c r="G670" s="3" t="str">
        <f>INDEX(Risk_Matrix!$B$2:$D$4,MATCH(E670,Risk_Matrix!$A$2:$A$4,0),MATCH(F670,Risk_Matrix!$B$1:$D$1,0))</f>
        <v>Medium</v>
      </c>
      <c r="H670" s="10">
        <v>46144</v>
      </c>
      <c r="I670" s="3" t="s">
        <v>973</v>
      </c>
      <c r="J670" s="3" t="s">
        <v>974</v>
      </c>
      <c r="K670" s="3" t="s">
        <v>983</v>
      </c>
      <c r="L670" s="3">
        <f>IF(G670="High",3,IF(G670="Medium",2,1))</f>
        <v>2</v>
      </c>
    </row>
    <row r="671" spans="1:12">
      <c r="A671" s="3" t="s">
        <v>1664</v>
      </c>
      <c r="B671" s="3" t="s">
        <v>572</v>
      </c>
      <c r="C671" s="3" t="s">
        <v>971</v>
      </c>
      <c r="D671" s="3" t="s">
        <v>1016</v>
      </c>
      <c r="E671" s="3" t="s">
        <v>47</v>
      </c>
      <c r="F671" s="3" t="s">
        <v>942</v>
      </c>
      <c r="G671" s="3" t="str">
        <f>INDEX(Risk_Matrix!$B$2:$D$4,MATCH(E671,Risk_Matrix!$A$2:$A$4,0),MATCH(F671,Risk_Matrix!$B$1:$D$1,0))</f>
        <v>Low</v>
      </c>
      <c r="H671" s="10">
        <v>46122</v>
      </c>
      <c r="I671" s="3" t="s">
        <v>967</v>
      </c>
      <c r="J671" s="3" t="s">
        <v>968</v>
      </c>
      <c r="K671" s="3" t="s">
        <v>960</v>
      </c>
      <c r="L671" s="3">
        <f>IF(G671="High",3,IF(G671="Medium",2,1))</f>
        <v>1</v>
      </c>
    </row>
    <row r="672" spans="1:12">
      <c r="A672" s="3" t="s">
        <v>1665</v>
      </c>
      <c r="B672" s="3" t="s">
        <v>572</v>
      </c>
      <c r="C672" s="3" t="s">
        <v>976</v>
      </c>
      <c r="D672" s="3" t="s">
        <v>977</v>
      </c>
      <c r="E672" s="3" t="s">
        <v>47</v>
      </c>
      <c r="F672" s="3" t="s">
        <v>47</v>
      </c>
      <c r="G672" s="3" t="str">
        <f>INDEX(Risk_Matrix!$B$2:$D$4,MATCH(E672,Risk_Matrix!$A$2:$A$4,0),MATCH(F672,Risk_Matrix!$B$1:$D$1,0))</f>
        <v>Low</v>
      </c>
      <c r="H672" s="10">
        <v>46170</v>
      </c>
      <c r="I672" s="3" t="s">
        <v>981</v>
      </c>
      <c r="J672" s="3" t="s">
        <v>982</v>
      </c>
      <c r="K672" s="3" t="s">
        <v>969</v>
      </c>
      <c r="L672" s="3">
        <f>IF(G672="High",3,IF(G672="Medium",2,1))</f>
        <v>1</v>
      </c>
    </row>
    <row r="673" spans="1:12">
      <c r="A673" s="3" t="s">
        <v>1666</v>
      </c>
      <c r="B673" s="3" t="s">
        <v>572</v>
      </c>
      <c r="C673" s="3" t="s">
        <v>979</v>
      </c>
      <c r="D673" s="3" t="s">
        <v>980</v>
      </c>
      <c r="E673" s="3" t="s">
        <v>47</v>
      </c>
      <c r="F673" s="3" t="s">
        <v>47</v>
      </c>
      <c r="G673" s="3" t="str">
        <f>INDEX(Risk_Matrix!$B$2:$D$4,MATCH(E673,Risk_Matrix!$A$2:$A$4,0),MATCH(F673,Risk_Matrix!$B$1:$D$1,0))</f>
        <v>Low</v>
      </c>
      <c r="H673" s="10">
        <v>46085</v>
      </c>
      <c r="I673" s="3" t="s">
        <v>981</v>
      </c>
      <c r="J673" s="3" t="s">
        <v>982</v>
      </c>
      <c r="K673" s="3" t="s">
        <v>983</v>
      </c>
      <c r="L673" s="3">
        <f>IF(G673="High",3,IF(G673="Medium",2,1))</f>
        <v>1</v>
      </c>
    </row>
    <row r="674" spans="1:12">
      <c r="A674" s="3" t="s">
        <v>1667</v>
      </c>
      <c r="B674" s="3" t="s">
        <v>574</v>
      </c>
      <c r="C674" s="3" t="s">
        <v>956</v>
      </c>
      <c r="D674" s="3" t="s">
        <v>995</v>
      </c>
      <c r="E674" s="3" t="s">
        <v>942</v>
      </c>
      <c r="F674" s="3" t="s">
        <v>47</v>
      </c>
      <c r="G674" s="3" t="str">
        <f>INDEX(Risk_Matrix!$B$2:$D$4,MATCH(E674,Risk_Matrix!$A$2:$A$4,0),MATCH(F674,Risk_Matrix!$B$1:$D$1,0))</f>
        <v>Low</v>
      </c>
      <c r="H674" s="10">
        <v>46201</v>
      </c>
      <c r="I674" s="3" t="s">
        <v>973</v>
      </c>
      <c r="J674" s="3" t="s">
        <v>974</v>
      </c>
      <c r="K674" s="3" t="s">
        <v>993</v>
      </c>
      <c r="L674" s="3">
        <f>IF(G674="High",3,IF(G674="Medium",2,1))</f>
        <v>1</v>
      </c>
    </row>
    <row r="675" spans="1:12">
      <c r="A675" s="3" t="s">
        <v>1668</v>
      </c>
      <c r="B675" s="3" t="s">
        <v>574</v>
      </c>
      <c r="C675" s="3" t="s">
        <v>962</v>
      </c>
      <c r="D675" s="3" t="s">
        <v>986</v>
      </c>
      <c r="E675" s="3" t="s">
        <v>42</v>
      </c>
      <c r="F675" s="3" t="s">
        <v>47</v>
      </c>
      <c r="G675" s="3" t="str">
        <f>INDEX(Risk_Matrix!$B$2:$D$4,MATCH(E675,Risk_Matrix!$A$2:$A$4,0),MATCH(F675,Risk_Matrix!$B$1:$D$1,0))</f>
        <v>Medium</v>
      </c>
      <c r="H675" s="10">
        <v>46175</v>
      </c>
      <c r="I675" s="3" t="s">
        <v>967</v>
      </c>
      <c r="J675" s="3" t="s">
        <v>968</v>
      </c>
      <c r="K675" s="3" t="s">
        <v>969</v>
      </c>
      <c r="L675" s="3">
        <f>IF(G675="High",3,IF(G675="Medium",2,1))</f>
        <v>2</v>
      </c>
    </row>
    <row r="676" spans="1:12">
      <c r="A676" s="3" t="s">
        <v>1669</v>
      </c>
      <c r="B676" s="3" t="s">
        <v>574</v>
      </c>
      <c r="C676" s="3" t="s">
        <v>965</v>
      </c>
      <c r="D676" s="3" t="s">
        <v>988</v>
      </c>
      <c r="E676" s="3" t="s">
        <v>47</v>
      </c>
      <c r="F676" s="3" t="s">
        <v>47</v>
      </c>
      <c r="G676" s="3" t="str">
        <f>INDEX(Risk_Matrix!$B$2:$D$4,MATCH(E676,Risk_Matrix!$A$2:$A$4,0),MATCH(F676,Risk_Matrix!$B$1:$D$1,0))</f>
        <v>Low</v>
      </c>
      <c r="H676" s="10">
        <v>46061</v>
      </c>
      <c r="I676" s="3" t="s">
        <v>981</v>
      </c>
      <c r="J676" s="3" t="s">
        <v>982</v>
      </c>
      <c r="K676" s="3" t="s">
        <v>960</v>
      </c>
      <c r="L676" s="3">
        <f>IF(G676="High",3,IF(G676="Medium",2,1))</f>
        <v>1</v>
      </c>
    </row>
    <row r="677" spans="1:12">
      <c r="A677" s="3" t="s">
        <v>1670</v>
      </c>
      <c r="B677" s="3" t="s">
        <v>574</v>
      </c>
      <c r="C677" s="3" t="s">
        <v>971</v>
      </c>
      <c r="D677" s="3" t="s">
        <v>1016</v>
      </c>
      <c r="E677" s="3" t="s">
        <v>47</v>
      </c>
      <c r="F677" s="3" t="s">
        <v>47</v>
      </c>
      <c r="G677" s="3" t="str">
        <f>INDEX(Risk_Matrix!$B$2:$D$4,MATCH(E677,Risk_Matrix!$A$2:$A$4,0),MATCH(F677,Risk_Matrix!$B$1:$D$1,0))</f>
        <v>Low</v>
      </c>
      <c r="H677" s="10">
        <v>46086</v>
      </c>
      <c r="I677" s="3" t="s">
        <v>967</v>
      </c>
      <c r="J677" s="3" t="s">
        <v>968</v>
      </c>
      <c r="K677" s="3" t="s">
        <v>969</v>
      </c>
      <c r="L677" s="3">
        <f>IF(G677="High",3,IF(G677="Medium",2,1))</f>
        <v>1</v>
      </c>
    </row>
    <row r="678" spans="1:12">
      <c r="A678" s="3" t="s">
        <v>1671</v>
      </c>
      <c r="B678" s="3" t="s">
        <v>574</v>
      </c>
      <c r="C678" s="3" t="s">
        <v>976</v>
      </c>
      <c r="D678" s="3" t="s">
        <v>977</v>
      </c>
      <c r="E678" s="3" t="s">
        <v>47</v>
      </c>
      <c r="F678" s="3" t="s">
        <v>47</v>
      </c>
      <c r="G678" s="3" t="str">
        <f>INDEX(Risk_Matrix!$B$2:$D$4,MATCH(E678,Risk_Matrix!$A$2:$A$4,0),MATCH(F678,Risk_Matrix!$B$1:$D$1,0))</f>
        <v>Low</v>
      </c>
      <c r="H678" s="10">
        <v>46178</v>
      </c>
      <c r="I678" s="3" t="s">
        <v>973</v>
      </c>
      <c r="J678" s="3" t="s">
        <v>974</v>
      </c>
      <c r="K678" s="3" t="s">
        <v>960</v>
      </c>
      <c r="L678" s="3">
        <f>IF(G678="High",3,IF(G678="Medium",2,1))</f>
        <v>1</v>
      </c>
    </row>
    <row r="679" spans="1:12">
      <c r="A679" s="3" t="s">
        <v>1672</v>
      </c>
      <c r="B679" s="3" t="s">
        <v>574</v>
      </c>
      <c r="C679" s="3" t="s">
        <v>979</v>
      </c>
      <c r="D679" s="3" t="s">
        <v>1028</v>
      </c>
      <c r="E679" s="3" t="s">
        <v>42</v>
      </c>
      <c r="F679" s="3" t="s">
        <v>42</v>
      </c>
      <c r="G679" s="3" t="str">
        <f>INDEX(Risk_Matrix!$B$2:$D$4,MATCH(E679,Risk_Matrix!$A$2:$A$4,0),MATCH(F679,Risk_Matrix!$B$1:$D$1,0))</f>
        <v>High</v>
      </c>
      <c r="H679" s="10">
        <v>46085</v>
      </c>
      <c r="I679" s="3" t="s">
        <v>958</v>
      </c>
      <c r="J679" s="3" t="s">
        <v>959</v>
      </c>
      <c r="K679" s="3" t="s">
        <v>993</v>
      </c>
      <c r="L679" s="3">
        <f>IF(G679="High",3,IF(G679="Medium",2,1))</f>
        <v>3</v>
      </c>
    </row>
    <row r="680" spans="1:12">
      <c r="A680" s="3" t="s">
        <v>1673</v>
      </c>
      <c r="B680" s="3" t="s">
        <v>576</v>
      </c>
      <c r="C680" s="3" t="s">
        <v>956</v>
      </c>
      <c r="D680" s="3" t="s">
        <v>957</v>
      </c>
      <c r="E680" s="3" t="s">
        <v>47</v>
      </c>
      <c r="F680" s="3" t="s">
        <v>942</v>
      </c>
      <c r="G680" s="3" t="str">
        <f>INDEX(Risk_Matrix!$B$2:$D$4,MATCH(E680,Risk_Matrix!$A$2:$A$4,0),MATCH(F680,Risk_Matrix!$B$1:$D$1,0))</f>
        <v>Low</v>
      </c>
      <c r="H680" s="10">
        <v>46137</v>
      </c>
      <c r="I680" s="3" t="s">
        <v>973</v>
      </c>
      <c r="J680" s="3" t="s">
        <v>974</v>
      </c>
      <c r="K680" s="3" t="s">
        <v>969</v>
      </c>
      <c r="L680" s="3">
        <f>IF(G680="High",3,IF(G680="Medium",2,1))</f>
        <v>1</v>
      </c>
    </row>
    <row r="681" spans="1:12">
      <c r="A681" s="3" t="s">
        <v>1674</v>
      </c>
      <c r="B681" s="3" t="s">
        <v>576</v>
      </c>
      <c r="C681" s="3" t="s">
        <v>962</v>
      </c>
      <c r="D681" s="3" t="s">
        <v>1037</v>
      </c>
      <c r="E681" s="3" t="s">
        <v>42</v>
      </c>
      <c r="F681" s="3" t="s">
        <v>942</v>
      </c>
      <c r="G681" s="3" t="str">
        <f>INDEX(Risk_Matrix!$B$2:$D$4,MATCH(E681,Risk_Matrix!$A$2:$A$4,0),MATCH(F681,Risk_Matrix!$B$1:$D$1,0))</f>
        <v>High</v>
      </c>
      <c r="H681" s="10">
        <v>46172</v>
      </c>
      <c r="I681" s="3" t="s">
        <v>967</v>
      </c>
      <c r="J681" s="3" t="s">
        <v>968</v>
      </c>
      <c r="K681" s="3" t="s">
        <v>983</v>
      </c>
      <c r="L681" s="3">
        <f>IF(G681="High",3,IF(G681="Medium",2,1))</f>
        <v>3</v>
      </c>
    </row>
    <row r="682" spans="1:12">
      <c r="A682" s="3" t="s">
        <v>1675</v>
      </c>
      <c r="B682" s="3" t="s">
        <v>576</v>
      </c>
      <c r="C682" s="3" t="s">
        <v>965</v>
      </c>
      <c r="D682" s="3" t="s">
        <v>988</v>
      </c>
      <c r="E682" s="3" t="s">
        <v>42</v>
      </c>
      <c r="F682" s="3" t="s">
        <v>42</v>
      </c>
      <c r="G682" s="3" t="str">
        <f>INDEX(Risk_Matrix!$B$2:$D$4,MATCH(E682,Risk_Matrix!$A$2:$A$4,0),MATCH(F682,Risk_Matrix!$B$1:$D$1,0))</f>
        <v>High</v>
      </c>
      <c r="H682" s="10">
        <v>46157</v>
      </c>
      <c r="I682" s="3" t="s">
        <v>973</v>
      </c>
      <c r="J682" s="3" t="s">
        <v>974</v>
      </c>
      <c r="K682" s="3" t="s">
        <v>1000</v>
      </c>
      <c r="L682" s="3">
        <f>IF(G682="High",3,IF(G682="Medium",2,1))</f>
        <v>3</v>
      </c>
    </row>
    <row r="683" spans="1:12">
      <c r="A683" s="3" t="s">
        <v>1676</v>
      </c>
      <c r="B683" s="3" t="s">
        <v>576</v>
      </c>
      <c r="C683" s="3" t="s">
        <v>971</v>
      </c>
      <c r="D683" s="3" t="s">
        <v>1025</v>
      </c>
      <c r="E683" s="3" t="s">
        <v>47</v>
      </c>
      <c r="F683" s="3" t="s">
        <v>47</v>
      </c>
      <c r="G683" s="3" t="str">
        <f>INDEX(Risk_Matrix!$B$2:$D$4,MATCH(E683,Risk_Matrix!$A$2:$A$4,0),MATCH(F683,Risk_Matrix!$B$1:$D$1,0))</f>
        <v>Low</v>
      </c>
      <c r="H683" s="10">
        <v>46206</v>
      </c>
      <c r="I683" s="3" t="s">
        <v>973</v>
      </c>
      <c r="J683" s="3" t="s">
        <v>974</v>
      </c>
      <c r="K683" s="3" t="s">
        <v>960</v>
      </c>
      <c r="L683" s="3">
        <f>IF(G683="High",3,IF(G683="Medium",2,1))</f>
        <v>1</v>
      </c>
    </row>
    <row r="684" spans="1:12">
      <c r="A684" s="3" t="s">
        <v>1677</v>
      </c>
      <c r="B684" s="3" t="s">
        <v>576</v>
      </c>
      <c r="C684" s="3" t="s">
        <v>976</v>
      </c>
      <c r="D684" s="3" t="s">
        <v>991</v>
      </c>
      <c r="E684" s="3" t="s">
        <v>942</v>
      </c>
      <c r="F684" s="3" t="s">
        <v>42</v>
      </c>
      <c r="G684" s="3" t="str">
        <f>INDEX(Risk_Matrix!$B$2:$D$4,MATCH(E684,Risk_Matrix!$A$2:$A$4,0),MATCH(F684,Risk_Matrix!$B$1:$D$1,0))</f>
        <v>High</v>
      </c>
      <c r="H684" s="10">
        <v>46171</v>
      </c>
      <c r="I684" s="3" t="s">
        <v>973</v>
      </c>
      <c r="J684" s="3" t="s">
        <v>974</v>
      </c>
      <c r="K684" s="3" t="s">
        <v>1000</v>
      </c>
      <c r="L684" s="3">
        <f>IF(G684="High",3,IF(G684="Medium",2,1))</f>
        <v>3</v>
      </c>
    </row>
    <row r="685" spans="1:12">
      <c r="A685" s="3" t="s">
        <v>1678</v>
      </c>
      <c r="B685" s="3" t="s">
        <v>576</v>
      </c>
      <c r="C685" s="3" t="s">
        <v>979</v>
      </c>
      <c r="D685" s="3" t="s">
        <v>1028</v>
      </c>
      <c r="E685" s="3" t="s">
        <v>942</v>
      </c>
      <c r="F685" s="3" t="s">
        <v>47</v>
      </c>
      <c r="G685" s="3" t="str">
        <f>INDEX(Risk_Matrix!$B$2:$D$4,MATCH(E685,Risk_Matrix!$A$2:$A$4,0),MATCH(F685,Risk_Matrix!$B$1:$D$1,0))</f>
        <v>Low</v>
      </c>
      <c r="H685" s="10">
        <v>46113</v>
      </c>
      <c r="I685" s="3" t="s">
        <v>973</v>
      </c>
      <c r="J685" s="3" t="s">
        <v>974</v>
      </c>
      <c r="K685" s="3" t="s">
        <v>983</v>
      </c>
      <c r="L685" s="3">
        <f>IF(G685="High",3,IF(G685="Medium",2,1))</f>
        <v>1</v>
      </c>
    </row>
    <row r="686" spans="1:12">
      <c r="A686" s="3" t="s">
        <v>1679</v>
      </c>
      <c r="B686" s="3" t="s">
        <v>578</v>
      </c>
      <c r="C686" s="3" t="s">
        <v>956</v>
      </c>
      <c r="D686" s="3" t="s">
        <v>1012</v>
      </c>
      <c r="E686" s="3" t="s">
        <v>47</v>
      </c>
      <c r="F686" s="3" t="s">
        <v>47</v>
      </c>
      <c r="G686" s="3" t="str">
        <f>INDEX(Risk_Matrix!$B$2:$D$4,MATCH(E686,Risk_Matrix!$A$2:$A$4,0),MATCH(F686,Risk_Matrix!$B$1:$D$1,0))</f>
        <v>Low</v>
      </c>
      <c r="H686" s="10">
        <v>46229</v>
      </c>
      <c r="I686" s="3" t="s">
        <v>973</v>
      </c>
      <c r="J686" s="3" t="s">
        <v>974</v>
      </c>
      <c r="K686" s="3" t="s">
        <v>960</v>
      </c>
      <c r="L686" s="3">
        <f>IF(G686="High",3,IF(G686="Medium",2,1))</f>
        <v>1</v>
      </c>
    </row>
    <row r="687" spans="1:12">
      <c r="A687" s="3" t="s">
        <v>1680</v>
      </c>
      <c r="B687" s="3" t="s">
        <v>578</v>
      </c>
      <c r="C687" s="3" t="s">
        <v>962</v>
      </c>
      <c r="D687" s="3" t="s">
        <v>986</v>
      </c>
      <c r="E687" s="3" t="s">
        <v>47</v>
      </c>
      <c r="F687" s="3" t="s">
        <v>47</v>
      </c>
      <c r="G687" s="3" t="str">
        <f>INDEX(Risk_Matrix!$B$2:$D$4,MATCH(E687,Risk_Matrix!$A$2:$A$4,0),MATCH(F687,Risk_Matrix!$B$1:$D$1,0))</f>
        <v>Low</v>
      </c>
      <c r="H687" s="10">
        <v>46112</v>
      </c>
      <c r="I687" s="3" t="s">
        <v>973</v>
      </c>
      <c r="J687" s="3" t="s">
        <v>974</v>
      </c>
      <c r="K687" s="3" t="s">
        <v>993</v>
      </c>
      <c r="L687" s="3">
        <f>IF(G687="High",3,IF(G687="Medium",2,1))</f>
        <v>1</v>
      </c>
    </row>
    <row r="688" spans="1:12">
      <c r="A688" s="3" t="s">
        <v>1681</v>
      </c>
      <c r="B688" s="3" t="s">
        <v>578</v>
      </c>
      <c r="C688" s="3" t="s">
        <v>965</v>
      </c>
      <c r="D688" s="3" t="s">
        <v>988</v>
      </c>
      <c r="E688" s="3" t="s">
        <v>47</v>
      </c>
      <c r="F688" s="3" t="s">
        <v>942</v>
      </c>
      <c r="G688" s="3" t="str">
        <f>INDEX(Risk_Matrix!$B$2:$D$4,MATCH(E688,Risk_Matrix!$A$2:$A$4,0),MATCH(F688,Risk_Matrix!$B$1:$D$1,0))</f>
        <v>Low</v>
      </c>
      <c r="H688" s="10">
        <v>46112</v>
      </c>
      <c r="I688" s="3" t="s">
        <v>967</v>
      </c>
      <c r="J688" s="3" t="s">
        <v>968</v>
      </c>
      <c r="K688" s="3" t="s">
        <v>993</v>
      </c>
      <c r="L688" s="3">
        <f>IF(G688="High",3,IF(G688="Medium",2,1))</f>
        <v>1</v>
      </c>
    </row>
    <row r="689" spans="1:12">
      <c r="A689" s="3" t="s">
        <v>1682</v>
      </c>
      <c r="B689" s="3" t="s">
        <v>578</v>
      </c>
      <c r="C689" s="3" t="s">
        <v>971</v>
      </c>
      <c r="D689" s="3" t="s">
        <v>1016</v>
      </c>
      <c r="E689" s="3" t="s">
        <v>42</v>
      </c>
      <c r="F689" s="3" t="s">
        <v>47</v>
      </c>
      <c r="G689" s="3" t="str">
        <f>INDEX(Risk_Matrix!$B$2:$D$4,MATCH(E689,Risk_Matrix!$A$2:$A$4,0),MATCH(F689,Risk_Matrix!$B$1:$D$1,0))</f>
        <v>Medium</v>
      </c>
      <c r="H689" s="10">
        <v>46166</v>
      </c>
      <c r="I689" s="3" t="s">
        <v>973</v>
      </c>
      <c r="J689" s="3" t="s">
        <v>974</v>
      </c>
      <c r="K689" s="3" t="s">
        <v>983</v>
      </c>
      <c r="L689" s="3">
        <f>IF(G689="High",3,IF(G689="Medium",2,1))</f>
        <v>2</v>
      </c>
    </row>
    <row r="690" spans="1:12">
      <c r="A690" s="3" t="s">
        <v>1683</v>
      </c>
      <c r="B690" s="3" t="s">
        <v>578</v>
      </c>
      <c r="C690" s="3" t="s">
        <v>976</v>
      </c>
      <c r="D690" s="3" t="s">
        <v>977</v>
      </c>
      <c r="E690" s="3" t="s">
        <v>942</v>
      </c>
      <c r="F690" s="3" t="s">
        <v>942</v>
      </c>
      <c r="G690" s="3" t="str">
        <f>INDEX(Risk_Matrix!$B$2:$D$4,MATCH(E690,Risk_Matrix!$A$2:$A$4,0),MATCH(F690,Risk_Matrix!$B$1:$D$1,0))</f>
        <v>Medium</v>
      </c>
      <c r="H690" s="10">
        <v>46069</v>
      </c>
      <c r="I690" s="3" t="s">
        <v>967</v>
      </c>
      <c r="J690" s="3" t="s">
        <v>968</v>
      </c>
      <c r="K690" s="3" t="s">
        <v>1000</v>
      </c>
      <c r="L690" s="3">
        <f>IF(G690="High",3,IF(G690="Medium",2,1))</f>
        <v>2</v>
      </c>
    </row>
    <row r="691" spans="1:12">
      <c r="A691" s="3" t="s">
        <v>1684</v>
      </c>
      <c r="B691" s="3" t="s">
        <v>578</v>
      </c>
      <c r="C691" s="3" t="s">
        <v>979</v>
      </c>
      <c r="D691" s="3" t="s">
        <v>1004</v>
      </c>
      <c r="E691" s="3" t="s">
        <v>942</v>
      </c>
      <c r="F691" s="3" t="s">
        <v>42</v>
      </c>
      <c r="G691" s="3" t="str">
        <f>INDEX(Risk_Matrix!$B$2:$D$4,MATCH(E691,Risk_Matrix!$A$2:$A$4,0),MATCH(F691,Risk_Matrix!$B$1:$D$1,0))</f>
        <v>High</v>
      </c>
      <c r="H691" s="10">
        <v>46092</v>
      </c>
      <c r="I691" s="3" t="s">
        <v>967</v>
      </c>
      <c r="J691" s="3" t="s">
        <v>968</v>
      </c>
      <c r="K691" s="3" t="s">
        <v>983</v>
      </c>
      <c r="L691" s="3">
        <f>IF(G691="High",3,IF(G691="Medium",2,1))</f>
        <v>3</v>
      </c>
    </row>
    <row r="692" spans="1:12">
      <c r="A692" s="3" t="s">
        <v>1685</v>
      </c>
      <c r="B692" s="3" t="s">
        <v>579</v>
      </c>
      <c r="C692" s="3" t="s">
        <v>956</v>
      </c>
      <c r="D692" s="3" t="s">
        <v>1012</v>
      </c>
      <c r="E692" s="3" t="s">
        <v>42</v>
      </c>
      <c r="F692" s="3" t="s">
        <v>47</v>
      </c>
      <c r="G692" s="3" t="str">
        <f>INDEX(Risk_Matrix!$B$2:$D$4,MATCH(E692,Risk_Matrix!$A$2:$A$4,0),MATCH(F692,Risk_Matrix!$B$1:$D$1,0))</f>
        <v>Medium</v>
      </c>
      <c r="H692" s="10">
        <v>46214</v>
      </c>
      <c r="I692" s="3" t="s">
        <v>967</v>
      </c>
      <c r="J692" s="3" t="s">
        <v>968</v>
      </c>
      <c r="K692" s="3" t="s">
        <v>969</v>
      </c>
      <c r="L692" s="3">
        <f>IF(G692="High",3,IF(G692="Medium",2,1))</f>
        <v>2</v>
      </c>
    </row>
    <row r="693" spans="1:12">
      <c r="A693" s="3" t="s">
        <v>1686</v>
      </c>
      <c r="B693" s="3" t="s">
        <v>579</v>
      </c>
      <c r="C693" s="3" t="s">
        <v>962</v>
      </c>
      <c r="D693" s="3" t="s">
        <v>963</v>
      </c>
      <c r="E693" s="3" t="s">
        <v>47</v>
      </c>
      <c r="F693" s="3" t="s">
        <v>42</v>
      </c>
      <c r="G693" s="3" t="str">
        <f>INDEX(Risk_Matrix!$B$2:$D$4,MATCH(E693,Risk_Matrix!$A$2:$A$4,0),MATCH(F693,Risk_Matrix!$B$1:$D$1,0))</f>
        <v>Medium</v>
      </c>
      <c r="H693" s="10">
        <v>46143</v>
      </c>
      <c r="I693" s="3" t="s">
        <v>973</v>
      </c>
      <c r="J693" s="3" t="s">
        <v>974</v>
      </c>
      <c r="K693" s="3" t="s">
        <v>1000</v>
      </c>
      <c r="L693" s="3">
        <f>IF(G693="High",3,IF(G693="Medium",2,1))</f>
        <v>2</v>
      </c>
    </row>
    <row r="694" spans="1:12">
      <c r="A694" s="3" t="s">
        <v>1687</v>
      </c>
      <c r="B694" s="3" t="s">
        <v>579</v>
      </c>
      <c r="C694" s="3" t="s">
        <v>965</v>
      </c>
      <c r="D694" s="3" t="s">
        <v>1023</v>
      </c>
      <c r="E694" s="3" t="s">
        <v>942</v>
      </c>
      <c r="F694" s="3" t="s">
        <v>47</v>
      </c>
      <c r="G694" s="3" t="str">
        <f>INDEX(Risk_Matrix!$B$2:$D$4,MATCH(E694,Risk_Matrix!$A$2:$A$4,0),MATCH(F694,Risk_Matrix!$B$1:$D$1,0))</f>
        <v>Low</v>
      </c>
      <c r="H694" s="10">
        <v>46070</v>
      </c>
      <c r="I694" s="3" t="s">
        <v>973</v>
      </c>
      <c r="J694" s="3" t="s">
        <v>974</v>
      </c>
      <c r="K694" s="3" t="s">
        <v>960</v>
      </c>
      <c r="L694" s="3">
        <f>IF(G694="High",3,IF(G694="Medium",2,1))</f>
        <v>1</v>
      </c>
    </row>
    <row r="695" spans="1:12">
      <c r="A695" s="3" t="s">
        <v>1688</v>
      </c>
      <c r="B695" s="3" t="s">
        <v>579</v>
      </c>
      <c r="C695" s="3" t="s">
        <v>971</v>
      </c>
      <c r="D695" s="3" t="s">
        <v>1025</v>
      </c>
      <c r="E695" s="3" t="s">
        <v>942</v>
      </c>
      <c r="F695" s="3" t="s">
        <v>47</v>
      </c>
      <c r="G695" s="3" t="str">
        <f>INDEX(Risk_Matrix!$B$2:$D$4,MATCH(E695,Risk_Matrix!$A$2:$A$4,0),MATCH(F695,Risk_Matrix!$B$1:$D$1,0))</f>
        <v>Low</v>
      </c>
      <c r="H695" s="10">
        <v>46154</v>
      </c>
      <c r="I695" s="3" t="s">
        <v>967</v>
      </c>
      <c r="J695" s="3" t="s">
        <v>968</v>
      </c>
      <c r="K695" s="3" t="s">
        <v>993</v>
      </c>
      <c r="L695" s="3">
        <f>IF(G695="High",3,IF(G695="Medium",2,1))</f>
        <v>1</v>
      </c>
    </row>
    <row r="696" spans="1:12">
      <c r="A696" s="3" t="s">
        <v>1689</v>
      </c>
      <c r="B696" s="3" t="s">
        <v>579</v>
      </c>
      <c r="C696" s="3" t="s">
        <v>976</v>
      </c>
      <c r="D696" s="3" t="s">
        <v>1002</v>
      </c>
      <c r="E696" s="3" t="s">
        <v>942</v>
      </c>
      <c r="F696" s="3" t="s">
        <v>47</v>
      </c>
      <c r="G696" s="3" t="str">
        <f>INDEX(Risk_Matrix!$B$2:$D$4,MATCH(E696,Risk_Matrix!$A$2:$A$4,0),MATCH(F696,Risk_Matrix!$B$1:$D$1,0))</f>
        <v>Low</v>
      </c>
      <c r="H696" s="10">
        <v>46093</v>
      </c>
      <c r="I696" s="3" t="s">
        <v>981</v>
      </c>
      <c r="J696" s="3" t="s">
        <v>982</v>
      </c>
      <c r="K696" s="3" t="s">
        <v>983</v>
      </c>
      <c r="L696" s="3">
        <f>IF(G696="High",3,IF(G696="Medium",2,1))</f>
        <v>1</v>
      </c>
    </row>
    <row r="697" spans="1:12">
      <c r="A697" s="3" t="s">
        <v>1690</v>
      </c>
      <c r="B697" s="3" t="s">
        <v>579</v>
      </c>
      <c r="C697" s="3" t="s">
        <v>979</v>
      </c>
      <c r="D697" s="3" t="s">
        <v>1004</v>
      </c>
      <c r="E697" s="3" t="s">
        <v>42</v>
      </c>
      <c r="F697" s="3" t="s">
        <v>942</v>
      </c>
      <c r="G697" s="3" t="str">
        <f>INDEX(Risk_Matrix!$B$2:$D$4,MATCH(E697,Risk_Matrix!$A$2:$A$4,0),MATCH(F697,Risk_Matrix!$B$1:$D$1,0))</f>
        <v>High</v>
      </c>
      <c r="H697" s="10">
        <v>46224</v>
      </c>
      <c r="I697" s="3" t="s">
        <v>973</v>
      </c>
      <c r="J697" s="3" t="s">
        <v>974</v>
      </c>
      <c r="K697" s="3" t="s">
        <v>993</v>
      </c>
      <c r="L697" s="3">
        <f>IF(G697="High",3,IF(G697="Medium",2,1))</f>
        <v>3</v>
      </c>
    </row>
    <row r="698" spans="1:12">
      <c r="A698" s="3" t="s">
        <v>1691</v>
      </c>
      <c r="B698" s="3" t="s">
        <v>582</v>
      </c>
      <c r="C698" s="3" t="s">
        <v>956</v>
      </c>
      <c r="D698" s="3" t="s">
        <v>1012</v>
      </c>
      <c r="E698" s="3" t="s">
        <v>47</v>
      </c>
      <c r="F698" s="3" t="s">
        <v>47</v>
      </c>
      <c r="G698" s="3" t="str">
        <f>INDEX(Risk_Matrix!$B$2:$D$4,MATCH(E698,Risk_Matrix!$A$2:$A$4,0),MATCH(F698,Risk_Matrix!$B$1:$D$1,0))</f>
        <v>Low</v>
      </c>
      <c r="H698" s="10">
        <v>46136</v>
      </c>
      <c r="I698" s="3" t="s">
        <v>973</v>
      </c>
      <c r="J698" s="3" t="s">
        <v>974</v>
      </c>
      <c r="K698" s="3" t="s">
        <v>993</v>
      </c>
      <c r="L698" s="3">
        <f>IF(G698="High",3,IF(G698="Medium",2,1))</f>
        <v>1</v>
      </c>
    </row>
    <row r="699" spans="1:12">
      <c r="A699" s="3" t="s">
        <v>1692</v>
      </c>
      <c r="B699" s="3" t="s">
        <v>582</v>
      </c>
      <c r="C699" s="3" t="s">
        <v>962</v>
      </c>
      <c r="D699" s="3" t="s">
        <v>963</v>
      </c>
      <c r="E699" s="3" t="s">
        <v>42</v>
      </c>
      <c r="F699" s="3" t="s">
        <v>47</v>
      </c>
      <c r="G699" s="3" t="str">
        <f>INDEX(Risk_Matrix!$B$2:$D$4,MATCH(E699,Risk_Matrix!$A$2:$A$4,0),MATCH(F699,Risk_Matrix!$B$1:$D$1,0))</f>
        <v>Medium</v>
      </c>
      <c r="H699" s="10">
        <v>46166</v>
      </c>
      <c r="I699" s="3" t="s">
        <v>981</v>
      </c>
      <c r="J699" s="3" t="s">
        <v>982</v>
      </c>
      <c r="K699" s="3" t="s">
        <v>983</v>
      </c>
      <c r="L699" s="3">
        <f>IF(G699="High",3,IF(G699="Medium",2,1))</f>
        <v>2</v>
      </c>
    </row>
    <row r="700" spans="1:12">
      <c r="A700" s="3" t="s">
        <v>1693</v>
      </c>
      <c r="B700" s="3" t="s">
        <v>582</v>
      </c>
      <c r="C700" s="3" t="s">
        <v>965</v>
      </c>
      <c r="D700" s="3" t="s">
        <v>1023</v>
      </c>
      <c r="E700" s="3" t="s">
        <v>47</v>
      </c>
      <c r="F700" s="3" t="s">
        <v>942</v>
      </c>
      <c r="G700" s="3" t="str">
        <f>INDEX(Risk_Matrix!$B$2:$D$4,MATCH(E700,Risk_Matrix!$A$2:$A$4,0),MATCH(F700,Risk_Matrix!$B$1:$D$1,0))</f>
        <v>Low</v>
      </c>
      <c r="H700" s="10">
        <v>46159</v>
      </c>
      <c r="I700" s="3" t="s">
        <v>967</v>
      </c>
      <c r="J700" s="3" t="s">
        <v>968</v>
      </c>
      <c r="K700" s="3" t="s">
        <v>1000</v>
      </c>
      <c r="L700" s="3">
        <f>IF(G700="High",3,IF(G700="Medium",2,1))</f>
        <v>1</v>
      </c>
    </row>
    <row r="701" spans="1:12">
      <c r="A701" s="3" t="s">
        <v>1694</v>
      </c>
      <c r="B701" s="3" t="s">
        <v>582</v>
      </c>
      <c r="C701" s="3" t="s">
        <v>971</v>
      </c>
      <c r="D701" s="3" t="s">
        <v>972</v>
      </c>
      <c r="E701" s="3" t="s">
        <v>47</v>
      </c>
      <c r="F701" s="3" t="s">
        <v>47</v>
      </c>
      <c r="G701" s="3" t="str">
        <f>INDEX(Risk_Matrix!$B$2:$D$4,MATCH(E701,Risk_Matrix!$A$2:$A$4,0),MATCH(F701,Risk_Matrix!$B$1:$D$1,0))</f>
        <v>Low</v>
      </c>
      <c r="H701" s="10">
        <v>46187</v>
      </c>
      <c r="I701" s="3" t="s">
        <v>973</v>
      </c>
      <c r="J701" s="3" t="s">
        <v>974</v>
      </c>
      <c r="K701" s="3" t="s">
        <v>960</v>
      </c>
      <c r="L701" s="3">
        <f>IF(G701="High",3,IF(G701="Medium",2,1))</f>
        <v>1</v>
      </c>
    </row>
    <row r="702" spans="1:12">
      <c r="A702" s="3" t="s">
        <v>1695</v>
      </c>
      <c r="B702" s="3" t="s">
        <v>582</v>
      </c>
      <c r="C702" s="3" t="s">
        <v>976</v>
      </c>
      <c r="D702" s="3" t="s">
        <v>991</v>
      </c>
      <c r="E702" s="3" t="s">
        <v>42</v>
      </c>
      <c r="F702" s="3" t="s">
        <v>47</v>
      </c>
      <c r="G702" s="3" t="str">
        <f>INDEX(Risk_Matrix!$B$2:$D$4,MATCH(E702,Risk_Matrix!$A$2:$A$4,0),MATCH(F702,Risk_Matrix!$B$1:$D$1,0))</f>
        <v>Medium</v>
      </c>
      <c r="H702" s="10">
        <v>46130</v>
      </c>
      <c r="I702" s="3" t="s">
        <v>967</v>
      </c>
      <c r="J702" s="3" t="s">
        <v>968</v>
      </c>
      <c r="K702" s="3" t="s">
        <v>993</v>
      </c>
      <c r="L702" s="3">
        <f>IF(G702="High",3,IF(G702="Medium",2,1))</f>
        <v>2</v>
      </c>
    </row>
    <row r="703" spans="1:12">
      <c r="A703" s="3" t="s">
        <v>1696</v>
      </c>
      <c r="B703" s="3" t="s">
        <v>582</v>
      </c>
      <c r="C703" s="3" t="s">
        <v>979</v>
      </c>
      <c r="D703" s="3" t="s">
        <v>1028</v>
      </c>
      <c r="E703" s="3" t="s">
        <v>942</v>
      </c>
      <c r="F703" s="3" t="s">
        <v>942</v>
      </c>
      <c r="G703" s="3" t="str">
        <f>INDEX(Risk_Matrix!$B$2:$D$4,MATCH(E703,Risk_Matrix!$A$2:$A$4,0),MATCH(F703,Risk_Matrix!$B$1:$D$1,0))</f>
        <v>Medium</v>
      </c>
      <c r="H703" s="10">
        <v>46129</v>
      </c>
      <c r="I703" s="3" t="s">
        <v>967</v>
      </c>
      <c r="J703" s="3" t="s">
        <v>968</v>
      </c>
      <c r="K703" s="3" t="s">
        <v>993</v>
      </c>
      <c r="L703" s="3">
        <f>IF(G703="High",3,IF(G703="Medium",2,1))</f>
        <v>2</v>
      </c>
    </row>
    <row r="704" spans="1:12">
      <c r="A704" s="3" t="s">
        <v>1697</v>
      </c>
      <c r="B704" s="3" t="s">
        <v>584</v>
      </c>
      <c r="C704" s="3" t="s">
        <v>956</v>
      </c>
      <c r="D704" s="3" t="s">
        <v>957</v>
      </c>
      <c r="E704" s="3" t="s">
        <v>942</v>
      </c>
      <c r="F704" s="3" t="s">
        <v>42</v>
      </c>
      <c r="G704" s="3" t="str">
        <f>INDEX(Risk_Matrix!$B$2:$D$4,MATCH(E704,Risk_Matrix!$A$2:$A$4,0),MATCH(F704,Risk_Matrix!$B$1:$D$1,0))</f>
        <v>High</v>
      </c>
      <c r="H704" s="10">
        <v>46073</v>
      </c>
      <c r="I704" s="3" t="s">
        <v>967</v>
      </c>
      <c r="J704" s="3" t="s">
        <v>968</v>
      </c>
      <c r="K704" s="3" t="s">
        <v>983</v>
      </c>
      <c r="L704" s="3">
        <f>IF(G704="High",3,IF(G704="Medium",2,1))</f>
        <v>3</v>
      </c>
    </row>
    <row r="705" spans="1:12">
      <c r="A705" s="3" t="s">
        <v>1698</v>
      </c>
      <c r="B705" s="3" t="s">
        <v>584</v>
      </c>
      <c r="C705" s="3" t="s">
        <v>962</v>
      </c>
      <c r="D705" s="3" t="s">
        <v>997</v>
      </c>
      <c r="E705" s="3" t="s">
        <v>942</v>
      </c>
      <c r="F705" s="3" t="s">
        <v>942</v>
      </c>
      <c r="G705" s="3" t="str">
        <f>INDEX(Risk_Matrix!$B$2:$D$4,MATCH(E705,Risk_Matrix!$A$2:$A$4,0),MATCH(F705,Risk_Matrix!$B$1:$D$1,0))</f>
        <v>Medium</v>
      </c>
      <c r="H705" s="10">
        <v>46119</v>
      </c>
      <c r="I705" s="3" t="s">
        <v>973</v>
      </c>
      <c r="J705" s="3" t="s">
        <v>974</v>
      </c>
      <c r="K705" s="3" t="s">
        <v>960</v>
      </c>
      <c r="L705" s="3">
        <f>IF(G705="High",3,IF(G705="Medium",2,1))</f>
        <v>2</v>
      </c>
    </row>
    <row r="706" spans="1:12">
      <c r="A706" s="3" t="s">
        <v>1699</v>
      </c>
      <c r="B706" s="3" t="s">
        <v>584</v>
      </c>
      <c r="C706" s="3" t="s">
        <v>965</v>
      </c>
      <c r="D706" s="3" t="s">
        <v>1023</v>
      </c>
      <c r="E706" s="3" t="s">
        <v>42</v>
      </c>
      <c r="F706" s="3" t="s">
        <v>47</v>
      </c>
      <c r="G706" s="3" t="str">
        <f>INDEX(Risk_Matrix!$B$2:$D$4,MATCH(E706,Risk_Matrix!$A$2:$A$4,0),MATCH(F706,Risk_Matrix!$B$1:$D$1,0))</f>
        <v>Medium</v>
      </c>
      <c r="H706" s="10">
        <v>46206</v>
      </c>
      <c r="I706" s="3" t="s">
        <v>973</v>
      </c>
      <c r="J706" s="3" t="s">
        <v>974</v>
      </c>
      <c r="K706" s="3" t="s">
        <v>969</v>
      </c>
      <c r="L706" s="3">
        <f>IF(G706="High",3,IF(G706="Medium",2,1))</f>
        <v>2</v>
      </c>
    </row>
    <row r="707" spans="1:12">
      <c r="A707" s="3" t="s">
        <v>1700</v>
      </c>
      <c r="B707" s="3" t="s">
        <v>584</v>
      </c>
      <c r="C707" s="3" t="s">
        <v>971</v>
      </c>
      <c r="D707" s="3" t="s">
        <v>972</v>
      </c>
      <c r="E707" s="3" t="s">
        <v>942</v>
      </c>
      <c r="F707" s="3" t="s">
        <v>47</v>
      </c>
      <c r="G707" s="3" t="str">
        <f>INDEX(Risk_Matrix!$B$2:$D$4,MATCH(E707,Risk_Matrix!$A$2:$A$4,0),MATCH(F707,Risk_Matrix!$B$1:$D$1,0))</f>
        <v>Low</v>
      </c>
      <c r="H707" s="10">
        <v>46219</v>
      </c>
      <c r="I707" s="3" t="s">
        <v>973</v>
      </c>
      <c r="J707" s="3" t="s">
        <v>974</v>
      </c>
      <c r="K707" s="3" t="s">
        <v>993</v>
      </c>
      <c r="L707" s="3">
        <f>IF(G707="High",3,IF(G707="Medium",2,1))</f>
        <v>1</v>
      </c>
    </row>
    <row r="708" spans="1:12">
      <c r="A708" s="3" t="s">
        <v>1701</v>
      </c>
      <c r="B708" s="3" t="s">
        <v>584</v>
      </c>
      <c r="C708" s="3" t="s">
        <v>976</v>
      </c>
      <c r="D708" s="3" t="s">
        <v>1002</v>
      </c>
      <c r="E708" s="3" t="s">
        <v>47</v>
      </c>
      <c r="F708" s="3" t="s">
        <v>47</v>
      </c>
      <c r="G708" s="3" t="str">
        <f>INDEX(Risk_Matrix!$B$2:$D$4,MATCH(E708,Risk_Matrix!$A$2:$A$4,0),MATCH(F708,Risk_Matrix!$B$1:$D$1,0))</f>
        <v>Low</v>
      </c>
      <c r="H708" s="10">
        <v>46069</v>
      </c>
      <c r="I708" s="3" t="s">
        <v>973</v>
      </c>
      <c r="J708" s="3" t="s">
        <v>974</v>
      </c>
      <c r="K708" s="3" t="s">
        <v>1000</v>
      </c>
      <c r="L708" s="3">
        <f>IF(G708="High",3,IF(G708="Medium",2,1))</f>
        <v>1</v>
      </c>
    </row>
    <row r="709" spans="1:12">
      <c r="A709" s="3" t="s">
        <v>1702</v>
      </c>
      <c r="B709" s="3" t="s">
        <v>584</v>
      </c>
      <c r="C709" s="3" t="s">
        <v>979</v>
      </c>
      <c r="D709" s="3" t="s">
        <v>1028</v>
      </c>
      <c r="E709" s="3" t="s">
        <v>47</v>
      </c>
      <c r="F709" s="3" t="s">
        <v>942</v>
      </c>
      <c r="G709" s="3" t="str">
        <f>INDEX(Risk_Matrix!$B$2:$D$4,MATCH(E709,Risk_Matrix!$A$2:$A$4,0),MATCH(F709,Risk_Matrix!$B$1:$D$1,0))</f>
        <v>Low</v>
      </c>
      <c r="H709" s="10">
        <v>46234</v>
      </c>
      <c r="I709" s="3" t="s">
        <v>981</v>
      </c>
      <c r="J709" s="3" t="s">
        <v>982</v>
      </c>
      <c r="K709" s="3" t="s">
        <v>993</v>
      </c>
      <c r="L709" s="3">
        <f>IF(G709="High",3,IF(G709="Medium",2,1))</f>
        <v>1</v>
      </c>
    </row>
    <row r="710" spans="1:12">
      <c r="A710" s="3" t="s">
        <v>1703</v>
      </c>
      <c r="B710" s="3" t="s">
        <v>585</v>
      </c>
      <c r="C710" s="3" t="s">
        <v>956</v>
      </c>
      <c r="D710" s="3" t="s">
        <v>1012</v>
      </c>
      <c r="E710" s="3" t="s">
        <v>47</v>
      </c>
      <c r="F710" s="3" t="s">
        <v>47</v>
      </c>
      <c r="G710" s="3" t="str">
        <f>INDEX(Risk_Matrix!$B$2:$D$4,MATCH(E710,Risk_Matrix!$A$2:$A$4,0),MATCH(F710,Risk_Matrix!$B$1:$D$1,0))</f>
        <v>Low</v>
      </c>
      <c r="H710" s="10">
        <v>46217</v>
      </c>
      <c r="I710" s="3" t="s">
        <v>973</v>
      </c>
      <c r="J710" s="3" t="s">
        <v>974</v>
      </c>
      <c r="K710" s="3" t="s">
        <v>960</v>
      </c>
      <c r="L710" s="3">
        <f>IF(G710="High",3,IF(G710="Medium",2,1))</f>
        <v>1</v>
      </c>
    </row>
    <row r="711" spans="1:12">
      <c r="A711" s="3" t="s">
        <v>1704</v>
      </c>
      <c r="B711" s="3" t="s">
        <v>585</v>
      </c>
      <c r="C711" s="3" t="s">
        <v>962</v>
      </c>
      <c r="D711" s="3" t="s">
        <v>986</v>
      </c>
      <c r="E711" s="3" t="s">
        <v>47</v>
      </c>
      <c r="F711" s="3" t="s">
        <v>942</v>
      </c>
      <c r="G711" s="3" t="str">
        <f>INDEX(Risk_Matrix!$B$2:$D$4,MATCH(E711,Risk_Matrix!$A$2:$A$4,0),MATCH(F711,Risk_Matrix!$B$1:$D$1,0))</f>
        <v>Low</v>
      </c>
      <c r="H711" s="10">
        <v>46123</v>
      </c>
      <c r="I711" s="3" t="s">
        <v>981</v>
      </c>
      <c r="J711" s="3" t="s">
        <v>982</v>
      </c>
      <c r="K711" s="3" t="s">
        <v>1000</v>
      </c>
      <c r="L711" s="3">
        <f>IF(G711="High",3,IF(G711="Medium",2,1))</f>
        <v>1</v>
      </c>
    </row>
    <row r="712" spans="1:12">
      <c r="A712" s="3" t="s">
        <v>1705</v>
      </c>
      <c r="B712" s="3" t="s">
        <v>585</v>
      </c>
      <c r="C712" s="3" t="s">
        <v>965</v>
      </c>
      <c r="D712" s="3" t="s">
        <v>966</v>
      </c>
      <c r="E712" s="3" t="s">
        <v>47</v>
      </c>
      <c r="F712" s="3" t="s">
        <v>42</v>
      </c>
      <c r="G712" s="3" t="str">
        <f>INDEX(Risk_Matrix!$B$2:$D$4,MATCH(E712,Risk_Matrix!$A$2:$A$4,0),MATCH(F712,Risk_Matrix!$B$1:$D$1,0))</f>
        <v>Medium</v>
      </c>
      <c r="H712" s="10">
        <v>46184</v>
      </c>
      <c r="I712" s="3" t="s">
        <v>981</v>
      </c>
      <c r="J712" s="3" t="s">
        <v>982</v>
      </c>
      <c r="K712" s="3" t="s">
        <v>983</v>
      </c>
      <c r="L712" s="3">
        <f>IF(G712="High",3,IF(G712="Medium",2,1))</f>
        <v>2</v>
      </c>
    </row>
    <row r="713" spans="1:12">
      <c r="A713" s="3" t="s">
        <v>1706</v>
      </c>
      <c r="B713" s="3" t="s">
        <v>585</v>
      </c>
      <c r="C713" s="3" t="s">
        <v>971</v>
      </c>
      <c r="D713" s="3" t="s">
        <v>972</v>
      </c>
      <c r="E713" s="3" t="s">
        <v>942</v>
      </c>
      <c r="F713" s="3" t="s">
        <v>942</v>
      </c>
      <c r="G713" s="3" t="str">
        <f>INDEX(Risk_Matrix!$B$2:$D$4,MATCH(E713,Risk_Matrix!$A$2:$A$4,0),MATCH(F713,Risk_Matrix!$B$1:$D$1,0))</f>
        <v>Medium</v>
      </c>
      <c r="H713" s="10">
        <v>46211</v>
      </c>
      <c r="I713" s="3" t="s">
        <v>981</v>
      </c>
      <c r="J713" s="3" t="s">
        <v>982</v>
      </c>
      <c r="K713" s="3" t="s">
        <v>960</v>
      </c>
      <c r="L713" s="3">
        <f>IF(G713="High",3,IF(G713="Medium",2,1))</f>
        <v>2</v>
      </c>
    </row>
    <row r="714" spans="1:12">
      <c r="A714" s="3" t="s">
        <v>1707</v>
      </c>
      <c r="B714" s="3" t="s">
        <v>585</v>
      </c>
      <c r="C714" s="3" t="s">
        <v>976</v>
      </c>
      <c r="D714" s="3" t="s">
        <v>1002</v>
      </c>
      <c r="E714" s="3" t="s">
        <v>47</v>
      </c>
      <c r="F714" s="3" t="s">
        <v>47</v>
      </c>
      <c r="G714" s="3" t="str">
        <f>INDEX(Risk_Matrix!$B$2:$D$4,MATCH(E714,Risk_Matrix!$A$2:$A$4,0),MATCH(F714,Risk_Matrix!$B$1:$D$1,0))</f>
        <v>Low</v>
      </c>
      <c r="H714" s="10">
        <v>46071</v>
      </c>
      <c r="I714" s="3" t="s">
        <v>973</v>
      </c>
      <c r="J714" s="3" t="s">
        <v>974</v>
      </c>
      <c r="K714" s="3" t="s">
        <v>960</v>
      </c>
      <c r="L714" s="3">
        <f>IF(G714="High",3,IF(G714="Medium",2,1))</f>
        <v>1</v>
      </c>
    </row>
    <row r="715" spans="1:12">
      <c r="A715" s="3" t="s">
        <v>1708</v>
      </c>
      <c r="B715" s="3" t="s">
        <v>585</v>
      </c>
      <c r="C715" s="3" t="s">
        <v>979</v>
      </c>
      <c r="D715" s="3" t="s">
        <v>1028</v>
      </c>
      <c r="E715" s="3" t="s">
        <v>942</v>
      </c>
      <c r="F715" s="3" t="s">
        <v>42</v>
      </c>
      <c r="G715" s="3" t="str">
        <f>INDEX(Risk_Matrix!$B$2:$D$4,MATCH(E715,Risk_Matrix!$A$2:$A$4,0),MATCH(F715,Risk_Matrix!$B$1:$D$1,0))</f>
        <v>High</v>
      </c>
      <c r="H715" s="10">
        <v>46084</v>
      </c>
      <c r="I715" s="3" t="s">
        <v>958</v>
      </c>
      <c r="J715" s="3" t="s">
        <v>959</v>
      </c>
      <c r="K715" s="3" t="s">
        <v>960</v>
      </c>
      <c r="L715" s="3">
        <f>IF(G715="High",3,IF(G715="Medium",2,1))</f>
        <v>3</v>
      </c>
    </row>
    <row r="716" spans="1:12">
      <c r="A716" s="3" t="s">
        <v>1709</v>
      </c>
      <c r="B716" s="3" t="s">
        <v>587</v>
      </c>
      <c r="C716" s="3" t="s">
        <v>956</v>
      </c>
      <c r="D716" s="3" t="s">
        <v>995</v>
      </c>
      <c r="E716" s="3" t="s">
        <v>942</v>
      </c>
      <c r="F716" s="3" t="s">
        <v>42</v>
      </c>
      <c r="G716" s="3" t="str">
        <f>INDEX(Risk_Matrix!$B$2:$D$4,MATCH(E716,Risk_Matrix!$A$2:$A$4,0),MATCH(F716,Risk_Matrix!$B$1:$D$1,0))</f>
        <v>High</v>
      </c>
      <c r="H716" s="10">
        <v>46066</v>
      </c>
      <c r="I716" s="3" t="s">
        <v>973</v>
      </c>
      <c r="J716" s="3" t="s">
        <v>974</v>
      </c>
      <c r="K716" s="3" t="s">
        <v>960</v>
      </c>
      <c r="L716" s="3">
        <f>IF(G716="High",3,IF(G716="Medium",2,1))</f>
        <v>3</v>
      </c>
    </row>
    <row r="717" spans="1:12">
      <c r="A717" s="3" t="s">
        <v>1710</v>
      </c>
      <c r="B717" s="3" t="s">
        <v>587</v>
      </c>
      <c r="C717" s="3" t="s">
        <v>962</v>
      </c>
      <c r="D717" s="3" t="s">
        <v>986</v>
      </c>
      <c r="E717" s="3" t="s">
        <v>47</v>
      </c>
      <c r="F717" s="3" t="s">
        <v>47</v>
      </c>
      <c r="G717" s="3" t="str">
        <f>INDEX(Risk_Matrix!$B$2:$D$4,MATCH(E717,Risk_Matrix!$A$2:$A$4,0),MATCH(F717,Risk_Matrix!$B$1:$D$1,0))</f>
        <v>Low</v>
      </c>
      <c r="H717" s="10">
        <v>46234</v>
      </c>
      <c r="I717" s="3" t="s">
        <v>973</v>
      </c>
      <c r="J717" s="3" t="s">
        <v>974</v>
      </c>
      <c r="K717" s="3" t="s">
        <v>983</v>
      </c>
      <c r="L717" s="3">
        <f>IF(G717="High",3,IF(G717="Medium",2,1))</f>
        <v>1</v>
      </c>
    </row>
    <row r="718" spans="1:12">
      <c r="A718" s="3" t="s">
        <v>1711</v>
      </c>
      <c r="B718" s="3" t="s">
        <v>587</v>
      </c>
      <c r="C718" s="3" t="s">
        <v>965</v>
      </c>
      <c r="D718" s="3" t="s">
        <v>1023</v>
      </c>
      <c r="E718" s="3" t="s">
        <v>47</v>
      </c>
      <c r="F718" s="3" t="s">
        <v>942</v>
      </c>
      <c r="G718" s="3" t="str">
        <f>INDEX(Risk_Matrix!$B$2:$D$4,MATCH(E718,Risk_Matrix!$A$2:$A$4,0),MATCH(F718,Risk_Matrix!$B$1:$D$1,0))</f>
        <v>Low</v>
      </c>
      <c r="H718" s="10">
        <v>46127</v>
      </c>
      <c r="I718" s="3" t="s">
        <v>967</v>
      </c>
      <c r="J718" s="3" t="s">
        <v>968</v>
      </c>
      <c r="K718" s="3" t="s">
        <v>1000</v>
      </c>
      <c r="L718" s="3">
        <f>IF(G718="High",3,IF(G718="Medium",2,1))</f>
        <v>1</v>
      </c>
    </row>
    <row r="719" spans="1:12">
      <c r="A719" s="3" t="s">
        <v>1712</v>
      </c>
      <c r="B719" s="3" t="s">
        <v>587</v>
      </c>
      <c r="C719" s="3" t="s">
        <v>971</v>
      </c>
      <c r="D719" s="3" t="s">
        <v>972</v>
      </c>
      <c r="E719" s="3" t="s">
        <v>47</v>
      </c>
      <c r="F719" s="3" t="s">
        <v>942</v>
      </c>
      <c r="G719" s="3" t="str">
        <f>INDEX(Risk_Matrix!$B$2:$D$4,MATCH(E719,Risk_Matrix!$A$2:$A$4,0),MATCH(F719,Risk_Matrix!$B$1:$D$1,0))</f>
        <v>Low</v>
      </c>
      <c r="H719" s="10">
        <v>46130</v>
      </c>
      <c r="I719" s="3" t="s">
        <v>973</v>
      </c>
      <c r="J719" s="3" t="s">
        <v>974</v>
      </c>
      <c r="K719" s="3" t="s">
        <v>993</v>
      </c>
      <c r="L719" s="3">
        <f>IF(G719="High",3,IF(G719="Medium",2,1))</f>
        <v>1</v>
      </c>
    </row>
    <row r="720" spans="1:12">
      <c r="A720" s="3" t="s">
        <v>1713</v>
      </c>
      <c r="B720" s="3" t="s">
        <v>587</v>
      </c>
      <c r="C720" s="3" t="s">
        <v>976</v>
      </c>
      <c r="D720" s="3" t="s">
        <v>977</v>
      </c>
      <c r="E720" s="3" t="s">
        <v>47</v>
      </c>
      <c r="F720" s="3" t="s">
        <v>47</v>
      </c>
      <c r="G720" s="3" t="str">
        <f>INDEX(Risk_Matrix!$B$2:$D$4,MATCH(E720,Risk_Matrix!$A$2:$A$4,0),MATCH(F720,Risk_Matrix!$B$1:$D$1,0))</f>
        <v>Low</v>
      </c>
      <c r="H720" s="10">
        <v>46114</v>
      </c>
      <c r="I720" s="3" t="s">
        <v>967</v>
      </c>
      <c r="J720" s="3" t="s">
        <v>968</v>
      </c>
      <c r="K720" s="3" t="s">
        <v>960</v>
      </c>
      <c r="L720" s="3">
        <f>IF(G720="High",3,IF(G720="Medium",2,1))</f>
        <v>1</v>
      </c>
    </row>
    <row r="721" spans="1:12">
      <c r="A721" s="3" t="s">
        <v>1714</v>
      </c>
      <c r="B721" s="3" t="s">
        <v>587</v>
      </c>
      <c r="C721" s="3" t="s">
        <v>979</v>
      </c>
      <c r="D721" s="3" t="s">
        <v>1004</v>
      </c>
      <c r="E721" s="3" t="s">
        <v>42</v>
      </c>
      <c r="F721" s="3" t="s">
        <v>942</v>
      </c>
      <c r="G721" s="3" t="str">
        <f>INDEX(Risk_Matrix!$B$2:$D$4,MATCH(E721,Risk_Matrix!$A$2:$A$4,0),MATCH(F721,Risk_Matrix!$B$1:$D$1,0))</f>
        <v>High</v>
      </c>
      <c r="H721" s="10">
        <v>46093</v>
      </c>
      <c r="I721" s="3" t="s">
        <v>973</v>
      </c>
      <c r="J721" s="3" t="s">
        <v>974</v>
      </c>
      <c r="K721" s="3" t="s">
        <v>960</v>
      </c>
      <c r="L721" s="3">
        <f>IF(G721="High",3,IF(G721="Medium",2,1))</f>
        <v>3</v>
      </c>
    </row>
    <row r="722" spans="1:12">
      <c r="A722" s="3" t="s">
        <v>1715</v>
      </c>
      <c r="B722" s="3" t="s">
        <v>588</v>
      </c>
      <c r="C722" s="3" t="s">
        <v>956</v>
      </c>
      <c r="D722" s="3" t="s">
        <v>957</v>
      </c>
      <c r="E722" s="3" t="s">
        <v>47</v>
      </c>
      <c r="F722" s="3" t="s">
        <v>47</v>
      </c>
      <c r="G722" s="3" t="str">
        <f>INDEX(Risk_Matrix!$B$2:$D$4,MATCH(E722,Risk_Matrix!$A$2:$A$4,0),MATCH(F722,Risk_Matrix!$B$1:$D$1,0))</f>
        <v>Low</v>
      </c>
      <c r="H722" s="10">
        <v>46128</v>
      </c>
      <c r="I722" s="3" t="s">
        <v>981</v>
      </c>
      <c r="J722" s="3" t="s">
        <v>982</v>
      </c>
      <c r="K722" s="3" t="s">
        <v>960</v>
      </c>
      <c r="L722" s="3">
        <f>IF(G722="High",3,IF(G722="Medium",2,1))</f>
        <v>1</v>
      </c>
    </row>
    <row r="723" spans="1:12">
      <c r="A723" s="3" t="s">
        <v>1716</v>
      </c>
      <c r="B723" s="3" t="s">
        <v>588</v>
      </c>
      <c r="C723" s="3" t="s">
        <v>962</v>
      </c>
      <c r="D723" s="3" t="s">
        <v>997</v>
      </c>
      <c r="E723" s="3" t="s">
        <v>942</v>
      </c>
      <c r="F723" s="3" t="s">
        <v>942</v>
      </c>
      <c r="G723" s="3" t="str">
        <f>INDEX(Risk_Matrix!$B$2:$D$4,MATCH(E723,Risk_Matrix!$A$2:$A$4,0),MATCH(F723,Risk_Matrix!$B$1:$D$1,0))</f>
        <v>Medium</v>
      </c>
      <c r="H723" s="10">
        <v>46164</v>
      </c>
      <c r="I723" s="3" t="s">
        <v>967</v>
      </c>
      <c r="J723" s="3" t="s">
        <v>968</v>
      </c>
      <c r="K723" s="3" t="s">
        <v>993</v>
      </c>
      <c r="L723" s="3">
        <f>IF(G723="High",3,IF(G723="Medium",2,1))</f>
        <v>2</v>
      </c>
    </row>
    <row r="724" spans="1:12">
      <c r="A724" s="3" t="s">
        <v>1717</v>
      </c>
      <c r="B724" s="3" t="s">
        <v>588</v>
      </c>
      <c r="C724" s="3" t="s">
        <v>965</v>
      </c>
      <c r="D724" s="3" t="s">
        <v>988</v>
      </c>
      <c r="E724" s="3" t="s">
        <v>47</v>
      </c>
      <c r="F724" s="3" t="s">
        <v>942</v>
      </c>
      <c r="G724" s="3" t="str">
        <f>INDEX(Risk_Matrix!$B$2:$D$4,MATCH(E724,Risk_Matrix!$A$2:$A$4,0),MATCH(F724,Risk_Matrix!$B$1:$D$1,0))</f>
        <v>Low</v>
      </c>
      <c r="H724" s="10">
        <v>46065</v>
      </c>
      <c r="I724" s="3" t="s">
        <v>967</v>
      </c>
      <c r="J724" s="3" t="s">
        <v>968</v>
      </c>
      <c r="K724" s="3" t="s">
        <v>960</v>
      </c>
      <c r="L724" s="3">
        <f>IF(G724="High",3,IF(G724="Medium",2,1))</f>
        <v>1</v>
      </c>
    </row>
    <row r="725" spans="1:12">
      <c r="A725" s="3" t="s">
        <v>1718</v>
      </c>
      <c r="B725" s="3" t="s">
        <v>588</v>
      </c>
      <c r="C725" s="3" t="s">
        <v>971</v>
      </c>
      <c r="D725" s="3" t="s">
        <v>972</v>
      </c>
      <c r="E725" s="3" t="s">
        <v>942</v>
      </c>
      <c r="F725" s="3" t="s">
        <v>942</v>
      </c>
      <c r="G725" s="3" t="str">
        <f>INDEX(Risk_Matrix!$B$2:$D$4,MATCH(E725,Risk_Matrix!$A$2:$A$4,0),MATCH(F725,Risk_Matrix!$B$1:$D$1,0))</f>
        <v>Medium</v>
      </c>
      <c r="H725" s="10">
        <v>46158</v>
      </c>
      <c r="I725" s="3" t="s">
        <v>967</v>
      </c>
      <c r="J725" s="3" t="s">
        <v>968</v>
      </c>
      <c r="K725" s="3" t="s">
        <v>1000</v>
      </c>
      <c r="L725" s="3">
        <f>IF(G725="High",3,IF(G725="Medium",2,1))</f>
        <v>2</v>
      </c>
    </row>
    <row r="726" spans="1:12">
      <c r="A726" s="3" t="s">
        <v>1719</v>
      </c>
      <c r="B726" s="3" t="s">
        <v>588</v>
      </c>
      <c r="C726" s="3" t="s">
        <v>976</v>
      </c>
      <c r="D726" s="3" t="s">
        <v>977</v>
      </c>
      <c r="E726" s="3" t="s">
        <v>47</v>
      </c>
      <c r="F726" s="3" t="s">
        <v>942</v>
      </c>
      <c r="G726" s="3" t="str">
        <f>INDEX(Risk_Matrix!$B$2:$D$4,MATCH(E726,Risk_Matrix!$A$2:$A$4,0),MATCH(F726,Risk_Matrix!$B$1:$D$1,0))</f>
        <v>Low</v>
      </c>
      <c r="H726" s="10">
        <v>46209</v>
      </c>
      <c r="I726" s="3" t="s">
        <v>981</v>
      </c>
      <c r="J726" s="3" t="s">
        <v>982</v>
      </c>
      <c r="K726" s="3" t="s">
        <v>960</v>
      </c>
      <c r="L726" s="3">
        <f>IF(G726="High",3,IF(G726="Medium",2,1))</f>
        <v>1</v>
      </c>
    </row>
    <row r="727" spans="1:12">
      <c r="A727" s="3" t="s">
        <v>1720</v>
      </c>
      <c r="B727" s="3" t="s">
        <v>588</v>
      </c>
      <c r="C727" s="3" t="s">
        <v>979</v>
      </c>
      <c r="D727" s="3" t="s">
        <v>980</v>
      </c>
      <c r="E727" s="3" t="s">
        <v>42</v>
      </c>
      <c r="F727" s="3" t="s">
        <v>47</v>
      </c>
      <c r="G727" s="3" t="str">
        <f>INDEX(Risk_Matrix!$B$2:$D$4,MATCH(E727,Risk_Matrix!$A$2:$A$4,0),MATCH(F727,Risk_Matrix!$B$1:$D$1,0))</f>
        <v>Medium</v>
      </c>
      <c r="H727" s="10">
        <v>46233</v>
      </c>
      <c r="I727" s="3" t="s">
        <v>967</v>
      </c>
      <c r="J727" s="3" t="s">
        <v>968</v>
      </c>
      <c r="K727" s="3" t="s">
        <v>983</v>
      </c>
      <c r="L727" s="3">
        <f>IF(G727="High",3,IF(G727="Medium",2,1))</f>
        <v>2</v>
      </c>
    </row>
    <row r="728" spans="1:12">
      <c r="A728" s="3" t="s">
        <v>1721</v>
      </c>
      <c r="B728" s="3" t="s">
        <v>589</v>
      </c>
      <c r="C728" s="3" t="s">
        <v>956</v>
      </c>
      <c r="D728" s="3" t="s">
        <v>995</v>
      </c>
      <c r="E728" s="3" t="s">
        <v>942</v>
      </c>
      <c r="F728" s="3" t="s">
        <v>47</v>
      </c>
      <c r="G728" s="3" t="str">
        <f>INDEX(Risk_Matrix!$B$2:$D$4,MATCH(E728,Risk_Matrix!$A$2:$A$4,0),MATCH(F728,Risk_Matrix!$B$1:$D$1,0))</f>
        <v>Low</v>
      </c>
      <c r="H728" s="10">
        <v>46109</v>
      </c>
      <c r="I728" s="3" t="s">
        <v>967</v>
      </c>
      <c r="J728" s="3" t="s">
        <v>968</v>
      </c>
      <c r="K728" s="3" t="s">
        <v>983</v>
      </c>
      <c r="L728" s="3">
        <f>IF(G728="High",3,IF(G728="Medium",2,1))</f>
        <v>1</v>
      </c>
    </row>
    <row r="729" spans="1:12">
      <c r="A729" s="3" t="s">
        <v>1722</v>
      </c>
      <c r="B729" s="3" t="s">
        <v>589</v>
      </c>
      <c r="C729" s="3" t="s">
        <v>962</v>
      </c>
      <c r="D729" s="3" t="s">
        <v>986</v>
      </c>
      <c r="E729" s="3" t="s">
        <v>42</v>
      </c>
      <c r="F729" s="3" t="s">
        <v>42</v>
      </c>
      <c r="G729" s="3" t="str">
        <f>INDEX(Risk_Matrix!$B$2:$D$4,MATCH(E729,Risk_Matrix!$A$2:$A$4,0),MATCH(F729,Risk_Matrix!$B$1:$D$1,0))</f>
        <v>High</v>
      </c>
      <c r="H729" s="10">
        <v>46119</v>
      </c>
      <c r="I729" s="3" t="s">
        <v>967</v>
      </c>
      <c r="J729" s="3" t="s">
        <v>968</v>
      </c>
      <c r="K729" s="3" t="s">
        <v>983</v>
      </c>
      <c r="L729" s="3">
        <f>IF(G729="High",3,IF(G729="Medium",2,1))</f>
        <v>3</v>
      </c>
    </row>
    <row r="730" spans="1:12">
      <c r="A730" s="3" t="s">
        <v>1723</v>
      </c>
      <c r="B730" s="3" t="s">
        <v>589</v>
      </c>
      <c r="C730" s="3" t="s">
        <v>965</v>
      </c>
      <c r="D730" s="3" t="s">
        <v>966</v>
      </c>
      <c r="E730" s="3" t="s">
        <v>942</v>
      </c>
      <c r="F730" s="3" t="s">
        <v>47</v>
      </c>
      <c r="G730" s="3" t="str">
        <f>INDEX(Risk_Matrix!$B$2:$D$4,MATCH(E730,Risk_Matrix!$A$2:$A$4,0),MATCH(F730,Risk_Matrix!$B$1:$D$1,0))</f>
        <v>Low</v>
      </c>
      <c r="H730" s="10">
        <v>46066</v>
      </c>
      <c r="I730" s="3" t="s">
        <v>967</v>
      </c>
      <c r="J730" s="3" t="s">
        <v>968</v>
      </c>
      <c r="K730" s="3" t="s">
        <v>969</v>
      </c>
      <c r="L730" s="3">
        <f>IF(G730="High",3,IF(G730="Medium",2,1))</f>
        <v>1</v>
      </c>
    </row>
    <row r="731" spans="1:12">
      <c r="A731" s="3" t="s">
        <v>1724</v>
      </c>
      <c r="B731" s="3" t="s">
        <v>589</v>
      </c>
      <c r="C731" s="3" t="s">
        <v>971</v>
      </c>
      <c r="D731" s="3" t="s">
        <v>1025</v>
      </c>
      <c r="E731" s="3" t="s">
        <v>942</v>
      </c>
      <c r="F731" s="3" t="s">
        <v>942</v>
      </c>
      <c r="G731" s="3" t="str">
        <f>INDEX(Risk_Matrix!$B$2:$D$4,MATCH(E731,Risk_Matrix!$A$2:$A$4,0),MATCH(F731,Risk_Matrix!$B$1:$D$1,0))</f>
        <v>Medium</v>
      </c>
      <c r="H731" s="10">
        <v>46166</v>
      </c>
      <c r="I731" s="3" t="s">
        <v>967</v>
      </c>
      <c r="J731" s="3" t="s">
        <v>968</v>
      </c>
      <c r="K731" s="3" t="s">
        <v>993</v>
      </c>
      <c r="L731" s="3">
        <f>IF(G731="High",3,IF(G731="Medium",2,1))</f>
        <v>2</v>
      </c>
    </row>
    <row r="732" spans="1:12">
      <c r="A732" s="3" t="s">
        <v>1725</v>
      </c>
      <c r="B732" s="3" t="s">
        <v>589</v>
      </c>
      <c r="C732" s="3" t="s">
        <v>976</v>
      </c>
      <c r="D732" s="3" t="s">
        <v>1002</v>
      </c>
      <c r="E732" s="3" t="s">
        <v>47</v>
      </c>
      <c r="F732" s="3" t="s">
        <v>47</v>
      </c>
      <c r="G732" s="3" t="str">
        <f>INDEX(Risk_Matrix!$B$2:$D$4,MATCH(E732,Risk_Matrix!$A$2:$A$4,0),MATCH(F732,Risk_Matrix!$B$1:$D$1,0))</f>
        <v>Low</v>
      </c>
      <c r="H732" s="10">
        <v>46113</v>
      </c>
      <c r="I732" s="3" t="s">
        <v>973</v>
      </c>
      <c r="J732" s="3" t="s">
        <v>974</v>
      </c>
      <c r="K732" s="3" t="s">
        <v>993</v>
      </c>
      <c r="L732" s="3">
        <f>IF(G732="High",3,IF(G732="Medium",2,1))</f>
        <v>1</v>
      </c>
    </row>
    <row r="733" spans="1:12">
      <c r="A733" s="3" t="s">
        <v>1726</v>
      </c>
      <c r="B733" s="3" t="s">
        <v>589</v>
      </c>
      <c r="C733" s="3" t="s">
        <v>979</v>
      </c>
      <c r="D733" s="3" t="s">
        <v>1028</v>
      </c>
      <c r="E733" s="3" t="s">
        <v>42</v>
      </c>
      <c r="F733" s="3" t="s">
        <v>47</v>
      </c>
      <c r="G733" s="3" t="str">
        <f>INDEX(Risk_Matrix!$B$2:$D$4,MATCH(E733,Risk_Matrix!$A$2:$A$4,0),MATCH(F733,Risk_Matrix!$B$1:$D$1,0))</f>
        <v>Medium</v>
      </c>
      <c r="H733" s="10">
        <v>46096</v>
      </c>
      <c r="I733" s="3" t="s">
        <v>973</v>
      </c>
      <c r="J733" s="3" t="s">
        <v>974</v>
      </c>
      <c r="K733" s="3" t="s">
        <v>993</v>
      </c>
      <c r="L733" s="3">
        <f>IF(G733="High",3,IF(G733="Medium",2,1))</f>
        <v>2</v>
      </c>
    </row>
    <row r="734" spans="1:12">
      <c r="A734" s="3" t="s">
        <v>1727</v>
      </c>
      <c r="B734" s="3" t="s">
        <v>590</v>
      </c>
      <c r="C734" s="3" t="s">
        <v>956</v>
      </c>
      <c r="D734" s="3" t="s">
        <v>957</v>
      </c>
      <c r="E734" s="3" t="s">
        <v>47</v>
      </c>
      <c r="F734" s="3" t="s">
        <v>47</v>
      </c>
      <c r="G734" s="3" t="str">
        <f>INDEX(Risk_Matrix!$B$2:$D$4,MATCH(E734,Risk_Matrix!$A$2:$A$4,0),MATCH(F734,Risk_Matrix!$B$1:$D$1,0))</f>
        <v>Low</v>
      </c>
      <c r="H734" s="10">
        <v>46194</v>
      </c>
      <c r="I734" s="3" t="s">
        <v>967</v>
      </c>
      <c r="J734" s="3" t="s">
        <v>968</v>
      </c>
      <c r="K734" s="3" t="s">
        <v>1000</v>
      </c>
      <c r="L734" s="3">
        <f>IF(G734="High",3,IF(G734="Medium",2,1))</f>
        <v>1</v>
      </c>
    </row>
    <row r="735" spans="1:12">
      <c r="A735" s="3" t="s">
        <v>1728</v>
      </c>
      <c r="B735" s="3" t="s">
        <v>590</v>
      </c>
      <c r="C735" s="3" t="s">
        <v>962</v>
      </c>
      <c r="D735" s="3" t="s">
        <v>963</v>
      </c>
      <c r="E735" s="3" t="s">
        <v>942</v>
      </c>
      <c r="F735" s="3" t="s">
        <v>47</v>
      </c>
      <c r="G735" s="3" t="str">
        <f>INDEX(Risk_Matrix!$B$2:$D$4,MATCH(E735,Risk_Matrix!$A$2:$A$4,0),MATCH(F735,Risk_Matrix!$B$1:$D$1,0))</f>
        <v>Low</v>
      </c>
      <c r="H735" s="10">
        <v>46180</v>
      </c>
      <c r="I735" s="3" t="s">
        <v>973</v>
      </c>
      <c r="J735" s="3" t="s">
        <v>974</v>
      </c>
      <c r="K735" s="3" t="s">
        <v>993</v>
      </c>
      <c r="L735" s="3">
        <f>IF(G735="High",3,IF(G735="Medium",2,1))</f>
        <v>1</v>
      </c>
    </row>
    <row r="736" spans="1:12">
      <c r="A736" s="3" t="s">
        <v>1729</v>
      </c>
      <c r="B736" s="3" t="s">
        <v>590</v>
      </c>
      <c r="C736" s="3" t="s">
        <v>965</v>
      </c>
      <c r="D736" s="3" t="s">
        <v>1039</v>
      </c>
      <c r="E736" s="3" t="s">
        <v>47</v>
      </c>
      <c r="F736" s="3" t="s">
        <v>42</v>
      </c>
      <c r="G736" s="3" t="str">
        <f>INDEX(Risk_Matrix!$B$2:$D$4,MATCH(E736,Risk_Matrix!$A$2:$A$4,0),MATCH(F736,Risk_Matrix!$B$1:$D$1,0))</f>
        <v>Medium</v>
      </c>
      <c r="H736" s="10">
        <v>46227</v>
      </c>
      <c r="I736" s="3" t="s">
        <v>981</v>
      </c>
      <c r="J736" s="3" t="s">
        <v>982</v>
      </c>
      <c r="K736" s="3" t="s">
        <v>1000</v>
      </c>
      <c r="L736" s="3">
        <f>IF(G736="High",3,IF(G736="Medium",2,1))</f>
        <v>2</v>
      </c>
    </row>
    <row r="737" spans="1:12">
      <c r="A737" s="3" t="s">
        <v>1730</v>
      </c>
      <c r="B737" s="3" t="s">
        <v>590</v>
      </c>
      <c r="C737" s="3" t="s">
        <v>971</v>
      </c>
      <c r="D737" s="3" t="s">
        <v>1025</v>
      </c>
      <c r="E737" s="3" t="s">
        <v>42</v>
      </c>
      <c r="F737" s="3" t="s">
        <v>42</v>
      </c>
      <c r="G737" s="3" t="str">
        <f>INDEX(Risk_Matrix!$B$2:$D$4,MATCH(E737,Risk_Matrix!$A$2:$A$4,0),MATCH(F737,Risk_Matrix!$B$1:$D$1,0))</f>
        <v>High</v>
      </c>
      <c r="H737" s="10">
        <v>46084</v>
      </c>
      <c r="I737" s="3" t="s">
        <v>981</v>
      </c>
      <c r="J737" s="3" t="s">
        <v>982</v>
      </c>
      <c r="K737" s="3" t="s">
        <v>993</v>
      </c>
      <c r="L737" s="3">
        <f>IF(G737="High",3,IF(G737="Medium",2,1))</f>
        <v>3</v>
      </c>
    </row>
    <row r="738" spans="1:12">
      <c r="A738" s="3" t="s">
        <v>1731</v>
      </c>
      <c r="B738" s="3" t="s">
        <v>590</v>
      </c>
      <c r="C738" s="3" t="s">
        <v>976</v>
      </c>
      <c r="D738" s="3" t="s">
        <v>1002</v>
      </c>
      <c r="E738" s="3" t="s">
        <v>47</v>
      </c>
      <c r="F738" s="3" t="s">
        <v>42</v>
      </c>
      <c r="G738" s="3" t="str">
        <f>INDEX(Risk_Matrix!$B$2:$D$4,MATCH(E738,Risk_Matrix!$A$2:$A$4,0),MATCH(F738,Risk_Matrix!$B$1:$D$1,0))</f>
        <v>Medium</v>
      </c>
      <c r="H738" s="10">
        <v>46210</v>
      </c>
      <c r="I738" s="3" t="s">
        <v>981</v>
      </c>
      <c r="J738" s="3" t="s">
        <v>982</v>
      </c>
      <c r="K738" s="3" t="s">
        <v>993</v>
      </c>
      <c r="L738" s="3">
        <f>IF(G738="High",3,IF(G738="Medium",2,1))</f>
        <v>2</v>
      </c>
    </row>
    <row r="739" spans="1:12">
      <c r="A739" s="3" t="s">
        <v>1732</v>
      </c>
      <c r="B739" s="3" t="s">
        <v>590</v>
      </c>
      <c r="C739" s="3" t="s">
        <v>979</v>
      </c>
      <c r="D739" s="3" t="s">
        <v>980</v>
      </c>
      <c r="E739" s="3" t="s">
        <v>942</v>
      </c>
      <c r="F739" s="3" t="s">
        <v>42</v>
      </c>
      <c r="G739" s="3" t="str">
        <f>INDEX(Risk_Matrix!$B$2:$D$4,MATCH(E739,Risk_Matrix!$A$2:$A$4,0),MATCH(F739,Risk_Matrix!$B$1:$D$1,0))</f>
        <v>High</v>
      </c>
      <c r="H739" s="10">
        <v>46095</v>
      </c>
      <c r="I739" s="3" t="s">
        <v>973</v>
      </c>
      <c r="J739" s="3" t="s">
        <v>974</v>
      </c>
      <c r="K739" s="3" t="s">
        <v>993</v>
      </c>
      <c r="L739" s="3">
        <f>IF(G739="High",3,IF(G739="Medium",2,1))</f>
        <v>3</v>
      </c>
    </row>
    <row r="740" spans="1:12">
      <c r="A740" s="3" t="s">
        <v>1733</v>
      </c>
      <c r="B740" s="3" t="s">
        <v>592</v>
      </c>
      <c r="C740" s="3" t="s">
        <v>956</v>
      </c>
      <c r="D740" s="3" t="s">
        <v>957</v>
      </c>
      <c r="E740" s="3" t="s">
        <v>47</v>
      </c>
      <c r="F740" s="3" t="s">
        <v>47</v>
      </c>
      <c r="G740" s="3" t="str">
        <f>INDEX(Risk_Matrix!$B$2:$D$4,MATCH(E740,Risk_Matrix!$A$2:$A$4,0),MATCH(F740,Risk_Matrix!$B$1:$D$1,0))</f>
        <v>Low</v>
      </c>
      <c r="H740" s="10">
        <v>46146</v>
      </c>
      <c r="I740" s="3" t="s">
        <v>973</v>
      </c>
      <c r="J740" s="3" t="s">
        <v>974</v>
      </c>
      <c r="K740" s="3" t="s">
        <v>983</v>
      </c>
      <c r="L740" s="3">
        <f>IF(G740="High",3,IF(G740="Medium",2,1))</f>
        <v>1</v>
      </c>
    </row>
    <row r="741" spans="1:12">
      <c r="A741" s="3" t="s">
        <v>1734</v>
      </c>
      <c r="B741" s="3" t="s">
        <v>592</v>
      </c>
      <c r="C741" s="3" t="s">
        <v>962</v>
      </c>
      <c r="D741" s="3" t="s">
        <v>986</v>
      </c>
      <c r="E741" s="3" t="s">
        <v>942</v>
      </c>
      <c r="F741" s="3" t="s">
        <v>942</v>
      </c>
      <c r="G741" s="3" t="str">
        <f>INDEX(Risk_Matrix!$B$2:$D$4,MATCH(E741,Risk_Matrix!$A$2:$A$4,0),MATCH(F741,Risk_Matrix!$B$1:$D$1,0))</f>
        <v>Medium</v>
      </c>
      <c r="H741" s="10">
        <v>46213</v>
      </c>
      <c r="I741" s="3" t="s">
        <v>967</v>
      </c>
      <c r="J741" s="3" t="s">
        <v>968</v>
      </c>
      <c r="K741" s="3" t="s">
        <v>983</v>
      </c>
      <c r="L741" s="3">
        <f>IF(G741="High",3,IF(G741="Medium",2,1))</f>
        <v>2</v>
      </c>
    </row>
    <row r="742" spans="1:12">
      <c r="A742" s="3" t="s">
        <v>1735</v>
      </c>
      <c r="B742" s="3" t="s">
        <v>592</v>
      </c>
      <c r="C742" s="3" t="s">
        <v>965</v>
      </c>
      <c r="D742" s="3" t="s">
        <v>966</v>
      </c>
      <c r="E742" s="3" t="s">
        <v>47</v>
      </c>
      <c r="F742" s="3" t="s">
        <v>47</v>
      </c>
      <c r="G742" s="3" t="str">
        <f>INDEX(Risk_Matrix!$B$2:$D$4,MATCH(E742,Risk_Matrix!$A$2:$A$4,0),MATCH(F742,Risk_Matrix!$B$1:$D$1,0))</f>
        <v>Low</v>
      </c>
      <c r="H742" s="10">
        <v>46126</v>
      </c>
      <c r="I742" s="3" t="s">
        <v>981</v>
      </c>
      <c r="J742" s="3" t="s">
        <v>982</v>
      </c>
      <c r="K742" s="3" t="s">
        <v>960</v>
      </c>
      <c r="L742" s="3">
        <f>IF(G742="High",3,IF(G742="Medium",2,1))</f>
        <v>1</v>
      </c>
    </row>
    <row r="743" spans="1:12">
      <c r="A743" s="3" t="s">
        <v>1736</v>
      </c>
      <c r="B743" s="3" t="s">
        <v>592</v>
      </c>
      <c r="C743" s="3" t="s">
        <v>971</v>
      </c>
      <c r="D743" s="3" t="s">
        <v>972</v>
      </c>
      <c r="E743" s="3" t="s">
        <v>47</v>
      </c>
      <c r="F743" s="3" t="s">
        <v>942</v>
      </c>
      <c r="G743" s="3" t="str">
        <f>INDEX(Risk_Matrix!$B$2:$D$4,MATCH(E743,Risk_Matrix!$A$2:$A$4,0),MATCH(F743,Risk_Matrix!$B$1:$D$1,0))</f>
        <v>Low</v>
      </c>
      <c r="H743" s="10">
        <v>46109</v>
      </c>
      <c r="I743" s="3" t="s">
        <v>973</v>
      </c>
      <c r="J743" s="3" t="s">
        <v>974</v>
      </c>
      <c r="K743" s="3" t="s">
        <v>983</v>
      </c>
      <c r="L743" s="3">
        <f>IF(G743="High",3,IF(G743="Medium",2,1))</f>
        <v>1</v>
      </c>
    </row>
    <row r="744" spans="1:12">
      <c r="A744" s="3" t="s">
        <v>1737</v>
      </c>
      <c r="B744" s="3" t="s">
        <v>592</v>
      </c>
      <c r="C744" s="3" t="s">
        <v>976</v>
      </c>
      <c r="D744" s="3" t="s">
        <v>977</v>
      </c>
      <c r="E744" s="3" t="s">
        <v>47</v>
      </c>
      <c r="F744" s="3" t="s">
        <v>942</v>
      </c>
      <c r="G744" s="3" t="str">
        <f>INDEX(Risk_Matrix!$B$2:$D$4,MATCH(E744,Risk_Matrix!$A$2:$A$4,0),MATCH(F744,Risk_Matrix!$B$1:$D$1,0))</f>
        <v>Low</v>
      </c>
      <c r="H744" s="10">
        <v>46077</v>
      </c>
      <c r="I744" s="3" t="s">
        <v>967</v>
      </c>
      <c r="J744" s="3" t="s">
        <v>968</v>
      </c>
      <c r="K744" s="3" t="s">
        <v>983</v>
      </c>
      <c r="L744" s="3">
        <f>IF(G744="High",3,IF(G744="Medium",2,1))</f>
        <v>1</v>
      </c>
    </row>
    <row r="745" spans="1:12">
      <c r="A745" s="3" t="s">
        <v>1738</v>
      </c>
      <c r="B745" s="3" t="s">
        <v>592</v>
      </c>
      <c r="C745" s="3" t="s">
        <v>979</v>
      </c>
      <c r="D745" s="3" t="s">
        <v>1004</v>
      </c>
      <c r="E745" s="3" t="s">
        <v>942</v>
      </c>
      <c r="F745" s="3" t="s">
        <v>942</v>
      </c>
      <c r="G745" s="3" t="str">
        <f>INDEX(Risk_Matrix!$B$2:$D$4,MATCH(E745,Risk_Matrix!$A$2:$A$4,0),MATCH(F745,Risk_Matrix!$B$1:$D$1,0))</f>
        <v>Medium</v>
      </c>
      <c r="H745" s="10">
        <v>46203</v>
      </c>
      <c r="I745" s="3" t="s">
        <v>981</v>
      </c>
      <c r="J745" s="3" t="s">
        <v>982</v>
      </c>
      <c r="K745" s="3" t="s">
        <v>960</v>
      </c>
      <c r="L745" s="3">
        <f>IF(G745="High",3,IF(G745="Medium",2,1))</f>
        <v>2</v>
      </c>
    </row>
    <row r="746" spans="1:12">
      <c r="A746" s="3" t="s">
        <v>1739</v>
      </c>
      <c r="B746" s="3" t="s">
        <v>594</v>
      </c>
      <c r="C746" s="3" t="s">
        <v>956</v>
      </c>
      <c r="D746" s="3" t="s">
        <v>1012</v>
      </c>
      <c r="E746" s="3" t="s">
        <v>42</v>
      </c>
      <c r="F746" s="3" t="s">
        <v>42</v>
      </c>
      <c r="G746" s="3" t="str">
        <f>INDEX(Risk_Matrix!$B$2:$D$4,MATCH(E746,Risk_Matrix!$A$2:$A$4,0),MATCH(F746,Risk_Matrix!$B$1:$D$1,0))</f>
        <v>High</v>
      </c>
      <c r="H746" s="10">
        <v>46106</v>
      </c>
      <c r="I746" s="3" t="s">
        <v>958</v>
      </c>
      <c r="J746" s="3" t="s">
        <v>959</v>
      </c>
      <c r="K746" s="3" t="s">
        <v>969</v>
      </c>
      <c r="L746" s="3">
        <f>IF(G746="High",3,IF(G746="Medium",2,1))</f>
        <v>3</v>
      </c>
    </row>
    <row r="747" spans="1:12">
      <c r="A747" s="3" t="s">
        <v>1740</v>
      </c>
      <c r="B747" s="3" t="s">
        <v>594</v>
      </c>
      <c r="C747" s="3" t="s">
        <v>962</v>
      </c>
      <c r="D747" s="3" t="s">
        <v>963</v>
      </c>
      <c r="E747" s="3" t="s">
        <v>47</v>
      </c>
      <c r="F747" s="3" t="s">
        <v>942</v>
      </c>
      <c r="G747" s="3" t="str">
        <f>INDEX(Risk_Matrix!$B$2:$D$4,MATCH(E747,Risk_Matrix!$A$2:$A$4,0),MATCH(F747,Risk_Matrix!$B$1:$D$1,0))</f>
        <v>Low</v>
      </c>
      <c r="H747" s="10">
        <v>46106</v>
      </c>
      <c r="I747" s="3" t="s">
        <v>967</v>
      </c>
      <c r="J747" s="3" t="s">
        <v>968</v>
      </c>
      <c r="K747" s="3" t="s">
        <v>993</v>
      </c>
      <c r="L747" s="3">
        <f>IF(G747="High",3,IF(G747="Medium",2,1))</f>
        <v>1</v>
      </c>
    </row>
    <row r="748" spans="1:12">
      <c r="A748" s="3" t="s">
        <v>1741</v>
      </c>
      <c r="B748" s="3" t="s">
        <v>594</v>
      </c>
      <c r="C748" s="3" t="s">
        <v>965</v>
      </c>
      <c r="D748" s="3" t="s">
        <v>1023</v>
      </c>
      <c r="E748" s="3" t="s">
        <v>47</v>
      </c>
      <c r="F748" s="3" t="s">
        <v>47</v>
      </c>
      <c r="G748" s="3" t="str">
        <f>INDEX(Risk_Matrix!$B$2:$D$4,MATCH(E748,Risk_Matrix!$A$2:$A$4,0),MATCH(F748,Risk_Matrix!$B$1:$D$1,0))</f>
        <v>Low</v>
      </c>
      <c r="H748" s="10">
        <v>46127</v>
      </c>
      <c r="I748" s="3" t="s">
        <v>981</v>
      </c>
      <c r="J748" s="3" t="s">
        <v>982</v>
      </c>
      <c r="K748" s="3" t="s">
        <v>993</v>
      </c>
      <c r="L748" s="3">
        <f>IF(G748="High",3,IF(G748="Medium",2,1))</f>
        <v>1</v>
      </c>
    </row>
    <row r="749" spans="1:12">
      <c r="A749" s="3" t="s">
        <v>1742</v>
      </c>
      <c r="B749" s="3" t="s">
        <v>594</v>
      </c>
      <c r="C749" s="3" t="s">
        <v>971</v>
      </c>
      <c r="D749" s="3" t="s">
        <v>1025</v>
      </c>
      <c r="E749" s="3" t="s">
        <v>942</v>
      </c>
      <c r="F749" s="3" t="s">
        <v>942</v>
      </c>
      <c r="G749" s="3" t="str">
        <f>INDEX(Risk_Matrix!$B$2:$D$4,MATCH(E749,Risk_Matrix!$A$2:$A$4,0),MATCH(F749,Risk_Matrix!$B$1:$D$1,0))</f>
        <v>Medium</v>
      </c>
      <c r="H749" s="10">
        <v>46091</v>
      </c>
      <c r="I749" s="3" t="s">
        <v>967</v>
      </c>
      <c r="J749" s="3" t="s">
        <v>968</v>
      </c>
      <c r="K749" s="3" t="s">
        <v>993</v>
      </c>
      <c r="L749" s="3">
        <f>IF(G749="High",3,IF(G749="Medium",2,1))</f>
        <v>2</v>
      </c>
    </row>
    <row r="750" spans="1:12">
      <c r="A750" s="3" t="s">
        <v>1743</v>
      </c>
      <c r="B750" s="3" t="s">
        <v>594</v>
      </c>
      <c r="C750" s="3" t="s">
        <v>976</v>
      </c>
      <c r="D750" s="3" t="s">
        <v>1002</v>
      </c>
      <c r="E750" s="3" t="s">
        <v>42</v>
      </c>
      <c r="F750" s="3" t="s">
        <v>942</v>
      </c>
      <c r="G750" s="3" t="str">
        <f>INDEX(Risk_Matrix!$B$2:$D$4,MATCH(E750,Risk_Matrix!$A$2:$A$4,0),MATCH(F750,Risk_Matrix!$B$1:$D$1,0))</f>
        <v>High</v>
      </c>
      <c r="H750" s="10">
        <v>46163</v>
      </c>
      <c r="I750" s="3" t="s">
        <v>981</v>
      </c>
      <c r="J750" s="3" t="s">
        <v>982</v>
      </c>
      <c r="K750" s="3" t="s">
        <v>960</v>
      </c>
      <c r="L750" s="3">
        <f>IF(G750="High",3,IF(G750="Medium",2,1))</f>
        <v>3</v>
      </c>
    </row>
    <row r="751" spans="1:12">
      <c r="A751" s="3" t="s">
        <v>1744</v>
      </c>
      <c r="B751" s="3" t="s">
        <v>594</v>
      </c>
      <c r="C751" s="3" t="s">
        <v>979</v>
      </c>
      <c r="D751" s="3" t="s">
        <v>1028</v>
      </c>
      <c r="E751" s="3" t="s">
        <v>42</v>
      </c>
      <c r="F751" s="3" t="s">
        <v>942</v>
      </c>
      <c r="G751" s="3" t="str">
        <f>INDEX(Risk_Matrix!$B$2:$D$4,MATCH(E751,Risk_Matrix!$A$2:$A$4,0),MATCH(F751,Risk_Matrix!$B$1:$D$1,0))</f>
        <v>High</v>
      </c>
      <c r="H751" s="10">
        <v>46158</v>
      </c>
      <c r="I751" s="3" t="s">
        <v>981</v>
      </c>
      <c r="J751" s="3" t="s">
        <v>982</v>
      </c>
      <c r="K751" s="3" t="s">
        <v>969</v>
      </c>
      <c r="L751" s="3">
        <f>IF(G751="High",3,IF(G751="Medium",2,1))</f>
        <v>3</v>
      </c>
    </row>
    <row r="752" spans="1:12">
      <c r="A752" s="3" t="s">
        <v>1745</v>
      </c>
      <c r="B752" s="3" t="s">
        <v>595</v>
      </c>
      <c r="C752" s="3" t="s">
        <v>956</v>
      </c>
      <c r="D752" s="3" t="s">
        <v>957</v>
      </c>
      <c r="E752" s="3" t="s">
        <v>942</v>
      </c>
      <c r="F752" s="3" t="s">
        <v>42</v>
      </c>
      <c r="G752" s="3" t="str">
        <f>INDEX(Risk_Matrix!$B$2:$D$4,MATCH(E752,Risk_Matrix!$A$2:$A$4,0),MATCH(F752,Risk_Matrix!$B$1:$D$1,0))</f>
        <v>High</v>
      </c>
      <c r="H752" s="10">
        <v>46201</v>
      </c>
      <c r="I752" s="3" t="s">
        <v>967</v>
      </c>
      <c r="J752" s="3" t="s">
        <v>968</v>
      </c>
      <c r="K752" s="3" t="s">
        <v>960</v>
      </c>
      <c r="L752" s="3">
        <f>IF(G752="High",3,IF(G752="Medium",2,1))</f>
        <v>3</v>
      </c>
    </row>
    <row r="753" spans="1:12">
      <c r="A753" s="3" t="s">
        <v>1746</v>
      </c>
      <c r="B753" s="3" t="s">
        <v>595</v>
      </c>
      <c r="C753" s="3" t="s">
        <v>962</v>
      </c>
      <c r="D753" s="3" t="s">
        <v>997</v>
      </c>
      <c r="E753" s="3" t="s">
        <v>942</v>
      </c>
      <c r="F753" s="3" t="s">
        <v>42</v>
      </c>
      <c r="G753" s="3" t="str">
        <f>INDEX(Risk_Matrix!$B$2:$D$4,MATCH(E753,Risk_Matrix!$A$2:$A$4,0),MATCH(F753,Risk_Matrix!$B$1:$D$1,0))</f>
        <v>High</v>
      </c>
      <c r="H753" s="10">
        <v>46080</v>
      </c>
      <c r="I753" s="3" t="s">
        <v>967</v>
      </c>
      <c r="J753" s="3" t="s">
        <v>968</v>
      </c>
      <c r="K753" s="3" t="s">
        <v>960</v>
      </c>
      <c r="L753" s="3">
        <f>IF(G753="High",3,IF(G753="Medium",2,1))</f>
        <v>3</v>
      </c>
    </row>
    <row r="754" spans="1:12">
      <c r="A754" s="3" t="s">
        <v>1747</v>
      </c>
      <c r="B754" s="3" t="s">
        <v>595</v>
      </c>
      <c r="C754" s="3" t="s">
        <v>965</v>
      </c>
      <c r="D754" s="3" t="s">
        <v>966</v>
      </c>
      <c r="E754" s="3" t="s">
        <v>42</v>
      </c>
      <c r="F754" s="3" t="s">
        <v>942</v>
      </c>
      <c r="G754" s="3" t="str">
        <f>INDEX(Risk_Matrix!$B$2:$D$4,MATCH(E754,Risk_Matrix!$A$2:$A$4,0),MATCH(F754,Risk_Matrix!$B$1:$D$1,0))</f>
        <v>High</v>
      </c>
      <c r="H754" s="10">
        <v>46188</v>
      </c>
      <c r="I754" s="3" t="s">
        <v>967</v>
      </c>
      <c r="J754" s="3" t="s">
        <v>968</v>
      </c>
      <c r="K754" s="3" t="s">
        <v>969</v>
      </c>
      <c r="L754" s="3">
        <f>IF(G754="High",3,IF(G754="Medium",2,1))</f>
        <v>3</v>
      </c>
    </row>
    <row r="755" spans="1:12">
      <c r="A755" s="3" t="s">
        <v>1748</v>
      </c>
      <c r="B755" s="3" t="s">
        <v>595</v>
      </c>
      <c r="C755" s="3" t="s">
        <v>971</v>
      </c>
      <c r="D755" s="3" t="s">
        <v>972</v>
      </c>
      <c r="E755" s="3" t="s">
        <v>47</v>
      </c>
      <c r="F755" s="3" t="s">
        <v>47</v>
      </c>
      <c r="G755" s="3" t="str">
        <f>INDEX(Risk_Matrix!$B$2:$D$4,MATCH(E755,Risk_Matrix!$A$2:$A$4,0),MATCH(F755,Risk_Matrix!$B$1:$D$1,0))</f>
        <v>Low</v>
      </c>
      <c r="H755" s="10">
        <v>46206</v>
      </c>
      <c r="I755" s="3" t="s">
        <v>967</v>
      </c>
      <c r="J755" s="3" t="s">
        <v>968</v>
      </c>
      <c r="K755" s="3" t="s">
        <v>1000</v>
      </c>
      <c r="L755" s="3">
        <f>IF(G755="High",3,IF(G755="Medium",2,1))</f>
        <v>1</v>
      </c>
    </row>
    <row r="756" spans="1:12">
      <c r="A756" s="3" t="s">
        <v>1749</v>
      </c>
      <c r="B756" s="3" t="s">
        <v>595</v>
      </c>
      <c r="C756" s="3" t="s">
        <v>976</v>
      </c>
      <c r="D756" s="3" t="s">
        <v>1002</v>
      </c>
      <c r="E756" s="3" t="s">
        <v>47</v>
      </c>
      <c r="F756" s="3" t="s">
        <v>47</v>
      </c>
      <c r="G756" s="3" t="str">
        <f>INDEX(Risk_Matrix!$B$2:$D$4,MATCH(E756,Risk_Matrix!$A$2:$A$4,0),MATCH(F756,Risk_Matrix!$B$1:$D$1,0))</f>
        <v>Low</v>
      </c>
      <c r="H756" s="10">
        <v>46105</v>
      </c>
      <c r="I756" s="3" t="s">
        <v>967</v>
      </c>
      <c r="J756" s="3" t="s">
        <v>968</v>
      </c>
      <c r="K756" s="3" t="s">
        <v>969</v>
      </c>
      <c r="L756" s="3">
        <f>IF(G756="High",3,IF(G756="Medium",2,1))</f>
        <v>1</v>
      </c>
    </row>
    <row r="757" spans="1:12">
      <c r="A757" s="3" t="s">
        <v>1750</v>
      </c>
      <c r="B757" s="3" t="s">
        <v>595</v>
      </c>
      <c r="C757" s="3" t="s">
        <v>979</v>
      </c>
      <c r="D757" s="3" t="s">
        <v>980</v>
      </c>
      <c r="E757" s="3" t="s">
        <v>47</v>
      </c>
      <c r="F757" s="3" t="s">
        <v>47</v>
      </c>
      <c r="G757" s="3" t="str">
        <f>INDEX(Risk_Matrix!$B$2:$D$4,MATCH(E757,Risk_Matrix!$A$2:$A$4,0),MATCH(F757,Risk_Matrix!$B$1:$D$1,0))</f>
        <v>Low</v>
      </c>
      <c r="H757" s="10">
        <v>46087</v>
      </c>
      <c r="I757" s="3" t="s">
        <v>981</v>
      </c>
      <c r="J757" s="3" t="s">
        <v>982</v>
      </c>
      <c r="K757" s="3" t="s">
        <v>969</v>
      </c>
      <c r="L757" s="3">
        <f>IF(G757="High",3,IF(G757="Medium",2,1))</f>
        <v>1</v>
      </c>
    </row>
    <row r="758" spans="1:12">
      <c r="A758" s="3" t="s">
        <v>1751</v>
      </c>
      <c r="B758" s="3" t="s">
        <v>597</v>
      </c>
      <c r="C758" s="3" t="s">
        <v>956</v>
      </c>
      <c r="D758" s="3" t="s">
        <v>1020</v>
      </c>
      <c r="E758" s="3" t="s">
        <v>942</v>
      </c>
      <c r="F758" s="3" t="s">
        <v>47</v>
      </c>
      <c r="G758" s="3" t="str">
        <f>INDEX(Risk_Matrix!$B$2:$D$4,MATCH(E758,Risk_Matrix!$A$2:$A$4,0),MATCH(F758,Risk_Matrix!$B$1:$D$1,0))</f>
        <v>Low</v>
      </c>
      <c r="H758" s="10">
        <v>46109</v>
      </c>
      <c r="I758" s="3" t="s">
        <v>967</v>
      </c>
      <c r="J758" s="3" t="s">
        <v>968</v>
      </c>
      <c r="K758" s="3" t="s">
        <v>993</v>
      </c>
      <c r="L758" s="3">
        <f>IF(G758="High",3,IF(G758="Medium",2,1))</f>
        <v>1</v>
      </c>
    </row>
    <row r="759" spans="1:12">
      <c r="A759" s="3" t="s">
        <v>1752</v>
      </c>
      <c r="B759" s="3" t="s">
        <v>597</v>
      </c>
      <c r="C759" s="3" t="s">
        <v>962</v>
      </c>
      <c r="D759" s="3" t="s">
        <v>963</v>
      </c>
      <c r="E759" s="3" t="s">
        <v>942</v>
      </c>
      <c r="F759" s="3" t="s">
        <v>47</v>
      </c>
      <c r="G759" s="3" t="str">
        <f>INDEX(Risk_Matrix!$B$2:$D$4,MATCH(E759,Risk_Matrix!$A$2:$A$4,0),MATCH(F759,Risk_Matrix!$B$1:$D$1,0))</f>
        <v>Low</v>
      </c>
      <c r="H759" s="10">
        <v>46207</v>
      </c>
      <c r="I759" s="3" t="s">
        <v>967</v>
      </c>
      <c r="J759" s="3" t="s">
        <v>968</v>
      </c>
      <c r="K759" s="3" t="s">
        <v>993</v>
      </c>
      <c r="L759" s="3">
        <f>IF(G759="High",3,IF(G759="Medium",2,1))</f>
        <v>1</v>
      </c>
    </row>
    <row r="760" spans="1:12">
      <c r="A760" s="3" t="s">
        <v>1753</v>
      </c>
      <c r="B760" s="3" t="s">
        <v>597</v>
      </c>
      <c r="C760" s="3" t="s">
        <v>965</v>
      </c>
      <c r="D760" s="3" t="s">
        <v>1023</v>
      </c>
      <c r="E760" s="3" t="s">
        <v>47</v>
      </c>
      <c r="F760" s="3" t="s">
        <v>942</v>
      </c>
      <c r="G760" s="3" t="str">
        <f>INDEX(Risk_Matrix!$B$2:$D$4,MATCH(E760,Risk_Matrix!$A$2:$A$4,0),MATCH(F760,Risk_Matrix!$B$1:$D$1,0))</f>
        <v>Low</v>
      </c>
      <c r="H760" s="10">
        <v>46152</v>
      </c>
      <c r="I760" s="3" t="s">
        <v>973</v>
      </c>
      <c r="J760" s="3" t="s">
        <v>974</v>
      </c>
      <c r="K760" s="3" t="s">
        <v>983</v>
      </c>
      <c r="L760" s="3">
        <f>IF(G760="High",3,IF(G760="Medium",2,1))</f>
        <v>1</v>
      </c>
    </row>
    <row r="761" spans="1:12">
      <c r="A761" s="3" t="s">
        <v>1754</v>
      </c>
      <c r="B761" s="3" t="s">
        <v>597</v>
      </c>
      <c r="C761" s="3" t="s">
        <v>971</v>
      </c>
      <c r="D761" s="3" t="s">
        <v>1016</v>
      </c>
      <c r="E761" s="3" t="s">
        <v>42</v>
      </c>
      <c r="F761" s="3" t="s">
        <v>942</v>
      </c>
      <c r="G761" s="3" t="str">
        <f>INDEX(Risk_Matrix!$B$2:$D$4,MATCH(E761,Risk_Matrix!$A$2:$A$4,0),MATCH(F761,Risk_Matrix!$B$1:$D$1,0))</f>
        <v>High</v>
      </c>
      <c r="H761" s="10">
        <v>46078</v>
      </c>
      <c r="I761" s="3" t="s">
        <v>981</v>
      </c>
      <c r="J761" s="3" t="s">
        <v>982</v>
      </c>
      <c r="K761" s="3" t="s">
        <v>1000</v>
      </c>
      <c r="L761" s="3">
        <f>IF(G761="High",3,IF(G761="Medium",2,1))</f>
        <v>3</v>
      </c>
    </row>
    <row r="762" spans="1:12">
      <c r="A762" s="3" t="s">
        <v>1755</v>
      </c>
      <c r="B762" s="3" t="s">
        <v>597</v>
      </c>
      <c r="C762" s="3" t="s">
        <v>976</v>
      </c>
      <c r="D762" s="3" t="s">
        <v>1002</v>
      </c>
      <c r="E762" s="3" t="s">
        <v>47</v>
      </c>
      <c r="F762" s="3" t="s">
        <v>47</v>
      </c>
      <c r="G762" s="3" t="str">
        <f>INDEX(Risk_Matrix!$B$2:$D$4,MATCH(E762,Risk_Matrix!$A$2:$A$4,0),MATCH(F762,Risk_Matrix!$B$1:$D$1,0))</f>
        <v>Low</v>
      </c>
      <c r="H762" s="10">
        <v>46092</v>
      </c>
      <c r="I762" s="3" t="s">
        <v>967</v>
      </c>
      <c r="J762" s="3" t="s">
        <v>968</v>
      </c>
      <c r="K762" s="3" t="s">
        <v>983</v>
      </c>
      <c r="L762" s="3">
        <f>IF(G762="High",3,IF(G762="Medium",2,1))</f>
        <v>1</v>
      </c>
    </row>
    <row r="763" spans="1:12">
      <c r="A763" s="3" t="s">
        <v>1756</v>
      </c>
      <c r="B763" s="3" t="s">
        <v>597</v>
      </c>
      <c r="C763" s="3" t="s">
        <v>979</v>
      </c>
      <c r="D763" s="3" t="s">
        <v>980</v>
      </c>
      <c r="E763" s="3" t="s">
        <v>47</v>
      </c>
      <c r="F763" s="3" t="s">
        <v>942</v>
      </c>
      <c r="G763" s="3" t="str">
        <f>INDEX(Risk_Matrix!$B$2:$D$4,MATCH(E763,Risk_Matrix!$A$2:$A$4,0),MATCH(F763,Risk_Matrix!$B$1:$D$1,0))</f>
        <v>Low</v>
      </c>
      <c r="H763" s="10">
        <v>46106</v>
      </c>
      <c r="I763" s="3" t="s">
        <v>973</v>
      </c>
      <c r="J763" s="3" t="s">
        <v>974</v>
      </c>
      <c r="K763" s="3" t="s">
        <v>1000</v>
      </c>
      <c r="L763" s="3">
        <f>IF(G763="High",3,IF(G763="Medium",2,1))</f>
        <v>1</v>
      </c>
    </row>
    <row r="764" spans="1:12">
      <c r="A764" s="3" t="s">
        <v>1757</v>
      </c>
      <c r="B764" s="3" t="s">
        <v>598</v>
      </c>
      <c r="C764" s="3" t="s">
        <v>956</v>
      </c>
      <c r="D764" s="3" t="s">
        <v>1020</v>
      </c>
      <c r="E764" s="3" t="s">
        <v>942</v>
      </c>
      <c r="F764" s="3" t="s">
        <v>47</v>
      </c>
      <c r="G764" s="3" t="str">
        <f>INDEX(Risk_Matrix!$B$2:$D$4,MATCH(E764,Risk_Matrix!$A$2:$A$4,0),MATCH(F764,Risk_Matrix!$B$1:$D$1,0))</f>
        <v>Low</v>
      </c>
      <c r="H764" s="10">
        <v>46130</v>
      </c>
      <c r="I764" s="3" t="s">
        <v>973</v>
      </c>
      <c r="J764" s="3" t="s">
        <v>974</v>
      </c>
      <c r="K764" s="3" t="s">
        <v>960</v>
      </c>
      <c r="L764" s="3">
        <f>IF(G764="High",3,IF(G764="Medium",2,1))</f>
        <v>1</v>
      </c>
    </row>
    <row r="765" spans="1:12">
      <c r="A765" s="3" t="s">
        <v>1758</v>
      </c>
      <c r="B765" s="3" t="s">
        <v>598</v>
      </c>
      <c r="C765" s="3" t="s">
        <v>962</v>
      </c>
      <c r="D765" s="3" t="s">
        <v>963</v>
      </c>
      <c r="E765" s="3" t="s">
        <v>47</v>
      </c>
      <c r="F765" s="3" t="s">
        <v>47</v>
      </c>
      <c r="G765" s="3" t="str">
        <f>INDEX(Risk_Matrix!$B$2:$D$4,MATCH(E765,Risk_Matrix!$A$2:$A$4,0),MATCH(F765,Risk_Matrix!$B$1:$D$1,0))</f>
        <v>Low</v>
      </c>
      <c r="H765" s="10">
        <v>46184</v>
      </c>
      <c r="I765" s="3" t="s">
        <v>973</v>
      </c>
      <c r="J765" s="3" t="s">
        <v>974</v>
      </c>
      <c r="K765" s="3" t="s">
        <v>960</v>
      </c>
      <c r="L765" s="3">
        <f>IF(G765="High",3,IF(G765="Medium",2,1))</f>
        <v>1</v>
      </c>
    </row>
    <row r="766" spans="1:12">
      <c r="A766" s="3" t="s">
        <v>1759</v>
      </c>
      <c r="B766" s="3" t="s">
        <v>598</v>
      </c>
      <c r="C766" s="3" t="s">
        <v>965</v>
      </c>
      <c r="D766" s="3" t="s">
        <v>1023</v>
      </c>
      <c r="E766" s="3" t="s">
        <v>47</v>
      </c>
      <c r="F766" s="3" t="s">
        <v>942</v>
      </c>
      <c r="G766" s="3" t="str">
        <f>INDEX(Risk_Matrix!$B$2:$D$4,MATCH(E766,Risk_Matrix!$A$2:$A$4,0),MATCH(F766,Risk_Matrix!$B$1:$D$1,0))</f>
        <v>Low</v>
      </c>
      <c r="H766" s="10">
        <v>46106</v>
      </c>
      <c r="I766" s="3" t="s">
        <v>967</v>
      </c>
      <c r="J766" s="3" t="s">
        <v>968</v>
      </c>
      <c r="K766" s="3" t="s">
        <v>960</v>
      </c>
      <c r="L766" s="3">
        <f>IF(G766="High",3,IF(G766="Medium",2,1))</f>
        <v>1</v>
      </c>
    </row>
    <row r="767" spans="1:12">
      <c r="A767" s="3" t="s">
        <v>1760</v>
      </c>
      <c r="B767" s="3" t="s">
        <v>598</v>
      </c>
      <c r="C767" s="3" t="s">
        <v>971</v>
      </c>
      <c r="D767" s="3" t="s">
        <v>1025</v>
      </c>
      <c r="E767" s="3" t="s">
        <v>942</v>
      </c>
      <c r="F767" s="3" t="s">
        <v>942</v>
      </c>
      <c r="G767" s="3" t="str">
        <f>INDEX(Risk_Matrix!$B$2:$D$4,MATCH(E767,Risk_Matrix!$A$2:$A$4,0),MATCH(F767,Risk_Matrix!$B$1:$D$1,0))</f>
        <v>Medium</v>
      </c>
      <c r="H767" s="10">
        <v>46062</v>
      </c>
      <c r="I767" s="3" t="s">
        <v>958</v>
      </c>
      <c r="J767" s="3" t="s">
        <v>959</v>
      </c>
      <c r="K767" s="3" t="s">
        <v>960</v>
      </c>
      <c r="L767" s="3">
        <f>IF(G767="High",3,IF(G767="Medium",2,1))</f>
        <v>2</v>
      </c>
    </row>
    <row r="768" spans="1:12">
      <c r="A768" s="3" t="s">
        <v>1761</v>
      </c>
      <c r="B768" s="3" t="s">
        <v>598</v>
      </c>
      <c r="C768" s="3" t="s">
        <v>976</v>
      </c>
      <c r="D768" s="3" t="s">
        <v>1002</v>
      </c>
      <c r="E768" s="3" t="s">
        <v>42</v>
      </c>
      <c r="F768" s="3" t="s">
        <v>942</v>
      </c>
      <c r="G768" s="3" t="str">
        <f>INDEX(Risk_Matrix!$B$2:$D$4,MATCH(E768,Risk_Matrix!$A$2:$A$4,0),MATCH(F768,Risk_Matrix!$B$1:$D$1,0))</f>
        <v>High</v>
      </c>
      <c r="H768" s="10">
        <v>46206</v>
      </c>
      <c r="I768" s="3" t="s">
        <v>973</v>
      </c>
      <c r="J768" s="3" t="s">
        <v>974</v>
      </c>
      <c r="K768" s="3" t="s">
        <v>960</v>
      </c>
      <c r="L768" s="3">
        <f>IF(G768="High",3,IF(G768="Medium",2,1))</f>
        <v>3</v>
      </c>
    </row>
    <row r="769" spans="1:12">
      <c r="A769" s="3" t="s">
        <v>1762</v>
      </c>
      <c r="B769" s="3" t="s">
        <v>598</v>
      </c>
      <c r="C769" s="3" t="s">
        <v>979</v>
      </c>
      <c r="D769" s="3" t="s">
        <v>980</v>
      </c>
      <c r="E769" s="3" t="s">
        <v>47</v>
      </c>
      <c r="F769" s="3" t="s">
        <v>42</v>
      </c>
      <c r="G769" s="3" t="str">
        <f>INDEX(Risk_Matrix!$B$2:$D$4,MATCH(E769,Risk_Matrix!$A$2:$A$4,0),MATCH(F769,Risk_Matrix!$B$1:$D$1,0))</f>
        <v>Medium</v>
      </c>
      <c r="H769" s="10">
        <v>46103</v>
      </c>
      <c r="I769" s="3" t="s">
        <v>967</v>
      </c>
      <c r="J769" s="3" t="s">
        <v>968</v>
      </c>
      <c r="K769" s="3" t="s">
        <v>993</v>
      </c>
      <c r="L769" s="3">
        <f>IF(G769="High",3,IF(G769="Medium",2,1))</f>
        <v>2</v>
      </c>
    </row>
    <row r="770" spans="1:12">
      <c r="A770" s="3" t="s">
        <v>1763</v>
      </c>
      <c r="B770" s="3" t="s">
        <v>600</v>
      </c>
      <c r="C770" s="3" t="s">
        <v>956</v>
      </c>
      <c r="D770" s="3" t="s">
        <v>1020</v>
      </c>
      <c r="E770" s="3" t="s">
        <v>47</v>
      </c>
      <c r="F770" s="3" t="s">
        <v>47</v>
      </c>
      <c r="G770" s="3" t="str">
        <f>INDEX(Risk_Matrix!$B$2:$D$4,MATCH(E770,Risk_Matrix!$A$2:$A$4,0),MATCH(F770,Risk_Matrix!$B$1:$D$1,0))</f>
        <v>Low</v>
      </c>
      <c r="H770" s="10">
        <v>46095</v>
      </c>
      <c r="I770" s="3" t="s">
        <v>973</v>
      </c>
      <c r="J770" s="3" t="s">
        <v>974</v>
      </c>
      <c r="K770" s="3" t="s">
        <v>969</v>
      </c>
      <c r="L770" s="3">
        <f>IF(G770="High",3,IF(G770="Medium",2,1))</f>
        <v>1</v>
      </c>
    </row>
    <row r="771" spans="1:12">
      <c r="A771" s="3" t="s">
        <v>1764</v>
      </c>
      <c r="B771" s="3" t="s">
        <v>600</v>
      </c>
      <c r="C771" s="3" t="s">
        <v>962</v>
      </c>
      <c r="D771" s="3" t="s">
        <v>963</v>
      </c>
      <c r="E771" s="3" t="s">
        <v>942</v>
      </c>
      <c r="F771" s="3" t="s">
        <v>47</v>
      </c>
      <c r="G771" s="3" t="str">
        <f>INDEX(Risk_Matrix!$B$2:$D$4,MATCH(E771,Risk_Matrix!$A$2:$A$4,0),MATCH(F771,Risk_Matrix!$B$1:$D$1,0))</f>
        <v>Low</v>
      </c>
      <c r="H771" s="10">
        <v>46092</v>
      </c>
      <c r="I771" s="3" t="s">
        <v>973</v>
      </c>
      <c r="J771" s="3" t="s">
        <v>974</v>
      </c>
      <c r="K771" s="3" t="s">
        <v>969</v>
      </c>
      <c r="L771" s="3">
        <f>IF(G771="High",3,IF(G771="Medium",2,1))</f>
        <v>1</v>
      </c>
    </row>
    <row r="772" spans="1:12">
      <c r="A772" s="3" t="s">
        <v>1765</v>
      </c>
      <c r="B772" s="3" t="s">
        <v>600</v>
      </c>
      <c r="C772" s="3" t="s">
        <v>965</v>
      </c>
      <c r="D772" s="3" t="s">
        <v>1023</v>
      </c>
      <c r="E772" s="3" t="s">
        <v>942</v>
      </c>
      <c r="F772" s="3" t="s">
        <v>47</v>
      </c>
      <c r="G772" s="3" t="str">
        <f>INDEX(Risk_Matrix!$B$2:$D$4,MATCH(E772,Risk_Matrix!$A$2:$A$4,0),MATCH(F772,Risk_Matrix!$B$1:$D$1,0))</f>
        <v>Low</v>
      </c>
      <c r="H772" s="10">
        <v>46143</v>
      </c>
      <c r="I772" s="3" t="s">
        <v>973</v>
      </c>
      <c r="J772" s="3" t="s">
        <v>974</v>
      </c>
      <c r="K772" s="3" t="s">
        <v>969</v>
      </c>
      <c r="L772" s="3">
        <f>IF(G772="High",3,IF(G772="Medium",2,1))</f>
        <v>1</v>
      </c>
    </row>
    <row r="773" spans="1:12">
      <c r="A773" s="3" t="s">
        <v>1766</v>
      </c>
      <c r="B773" s="3" t="s">
        <v>600</v>
      </c>
      <c r="C773" s="3" t="s">
        <v>971</v>
      </c>
      <c r="D773" s="3" t="s">
        <v>1025</v>
      </c>
      <c r="E773" s="3" t="s">
        <v>47</v>
      </c>
      <c r="F773" s="3" t="s">
        <v>942</v>
      </c>
      <c r="G773" s="3" t="str">
        <f>INDEX(Risk_Matrix!$B$2:$D$4,MATCH(E773,Risk_Matrix!$A$2:$A$4,0),MATCH(F773,Risk_Matrix!$B$1:$D$1,0))</f>
        <v>Low</v>
      </c>
      <c r="H773" s="10">
        <v>46088</v>
      </c>
      <c r="I773" s="3" t="s">
        <v>973</v>
      </c>
      <c r="J773" s="3" t="s">
        <v>974</v>
      </c>
      <c r="K773" s="3" t="s">
        <v>960</v>
      </c>
      <c r="L773" s="3">
        <f>IF(G773="High",3,IF(G773="Medium",2,1))</f>
        <v>1</v>
      </c>
    </row>
    <row r="774" spans="1:12">
      <c r="A774" s="3" t="s">
        <v>1767</v>
      </c>
      <c r="B774" s="3" t="s">
        <v>600</v>
      </c>
      <c r="C774" s="3" t="s">
        <v>976</v>
      </c>
      <c r="D774" s="3" t="s">
        <v>977</v>
      </c>
      <c r="E774" s="3" t="s">
        <v>42</v>
      </c>
      <c r="F774" s="3" t="s">
        <v>47</v>
      </c>
      <c r="G774" s="3" t="str">
        <f>INDEX(Risk_Matrix!$B$2:$D$4,MATCH(E774,Risk_Matrix!$A$2:$A$4,0),MATCH(F774,Risk_Matrix!$B$1:$D$1,0))</f>
        <v>Medium</v>
      </c>
      <c r="H774" s="10">
        <v>46192</v>
      </c>
      <c r="I774" s="3" t="s">
        <v>973</v>
      </c>
      <c r="J774" s="3" t="s">
        <v>974</v>
      </c>
      <c r="K774" s="3" t="s">
        <v>960</v>
      </c>
      <c r="L774" s="3">
        <f>IF(G774="High",3,IF(G774="Medium",2,1))</f>
        <v>2</v>
      </c>
    </row>
    <row r="775" spans="1:12">
      <c r="A775" s="3" t="s">
        <v>1768</v>
      </c>
      <c r="B775" s="3" t="s">
        <v>600</v>
      </c>
      <c r="C775" s="3" t="s">
        <v>979</v>
      </c>
      <c r="D775" s="3" t="s">
        <v>1004</v>
      </c>
      <c r="E775" s="3" t="s">
        <v>47</v>
      </c>
      <c r="F775" s="3" t="s">
        <v>47</v>
      </c>
      <c r="G775" s="3" t="str">
        <f>INDEX(Risk_Matrix!$B$2:$D$4,MATCH(E775,Risk_Matrix!$A$2:$A$4,0),MATCH(F775,Risk_Matrix!$B$1:$D$1,0))</f>
        <v>Low</v>
      </c>
      <c r="H775" s="10">
        <v>46132</v>
      </c>
      <c r="I775" s="3" t="s">
        <v>981</v>
      </c>
      <c r="J775" s="3" t="s">
        <v>982</v>
      </c>
      <c r="K775" s="3" t="s">
        <v>960</v>
      </c>
      <c r="L775" s="3">
        <f>IF(G775="High",3,IF(G775="Medium",2,1))</f>
        <v>1</v>
      </c>
    </row>
    <row r="776" spans="1:12">
      <c r="A776" s="3" t="s">
        <v>1769</v>
      </c>
      <c r="B776" s="3" t="s">
        <v>602</v>
      </c>
      <c r="C776" s="3" t="s">
        <v>956</v>
      </c>
      <c r="D776" s="3" t="s">
        <v>995</v>
      </c>
      <c r="E776" s="3" t="s">
        <v>942</v>
      </c>
      <c r="F776" s="3" t="s">
        <v>42</v>
      </c>
      <c r="G776" s="3" t="str">
        <f>INDEX(Risk_Matrix!$B$2:$D$4,MATCH(E776,Risk_Matrix!$A$2:$A$4,0),MATCH(F776,Risk_Matrix!$B$1:$D$1,0))</f>
        <v>High</v>
      </c>
      <c r="H776" s="10">
        <v>46117</v>
      </c>
      <c r="I776" s="3" t="s">
        <v>981</v>
      </c>
      <c r="J776" s="3" t="s">
        <v>982</v>
      </c>
      <c r="K776" s="3" t="s">
        <v>1000</v>
      </c>
      <c r="L776" s="3">
        <f>IF(G776="High",3,IF(G776="Medium",2,1))</f>
        <v>3</v>
      </c>
    </row>
    <row r="777" spans="1:12">
      <c r="A777" s="3" t="s">
        <v>1770</v>
      </c>
      <c r="B777" s="3" t="s">
        <v>602</v>
      </c>
      <c r="C777" s="3" t="s">
        <v>962</v>
      </c>
      <c r="D777" s="3" t="s">
        <v>1037</v>
      </c>
      <c r="E777" s="3" t="s">
        <v>942</v>
      </c>
      <c r="F777" s="3" t="s">
        <v>942</v>
      </c>
      <c r="G777" s="3" t="str">
        <f>INDEX(Risk_Matrix!$B$2:$D$4,MATCH(E777,Risk_Matrix!$A$2:$A$4,0),MATCH(F777,Risk_Matrix!$B$1:$D$1,0))</f>
        <v>Medium</v>
      </c>
      <c r="H777" s="10">
        <v>46123</v>
      </c>
      <c r="I777" s="3" t="s">
        <v>967</v>
      </c>
      <c r="J777" s="3" t="s">
        <v>968</v>
      </c>
      <c r="K777" s="3" t="s">
        <v>960</v>
      </c>
      <c r="L777" s="3">
        <f>IF(G777="High",3,IF(G777="Medium",2,1))</f>
        <v>2</v>
      </c>
    </row>
    <row r="778" spans="1:12">
      <c r="A778" s="3" t="s">
        <v>1771</v>
      </c>
      <c r="B778" s="3" t="s">
        <v>602</v>
      </c>
      <c r="C778" s="3" t="s">
        <v>965</v>
      </c>
      <c r="D778" s="3" t="s">
        <v>1039</v>
      </c>
      <c r="E778" s="3" t="s">
        <v>42</v>
      </c>
      <c r="F778" s="3" t="s">
        <v>47</v>
      </c>
      <c r="G778" s="3" t="str">
        <f>INDEX(Risk_Matrix!$B$2:$D$4,MATCH(E778,Risk_Matrix!$A$2:$A$4,0),MATCH(F778,Risk_Matrix!$B$1:$D$1,0))</f>
        <v>Medium</v>
      </c>
      <c r="H778" s="10">
        <v>46068</v>
      </c>
      <c r="I778" s="3" t="s">
        <v>981</v>
      </c>
      <c r="J778" s="3" t="s">
        <v>982</v>
      </c>
      <c r="K778" s="3" t="s">
        <v>1000</v>
      </c>
      <c r="L778" s="3">
        <f>IF(G778="High",3,IF(G778="Medium",2,1))</f>
        <v>2</v>
      </c>
    </row>
    <row r="779" spans="1:12">
      <c r="A779" s="3" t="s">
        <v>1772</v>
      </c>
      <c r="B779" s="3" t="s">
        <v>602</v>
      </c>
      <c r="C779" s="3" t="s">
        <v>971</v>
      </c>
      <c r="D779" s="3" t="s">
        <v>1025</v>
      </c>
      <c r="E779" s="3" t="s">
        <v>47</v>
      </c>
      <c r="F779" s="3" t="s">
        <v>42</v>
      </c>
      <c r="G779" s="3" t="str">
        <f>INDEX(Risk_Matrix!$B$2:$D$4,MATCH(E779,Risk_Matrix!$A$2:$A$4,0),MATCH(F779,Risk_Matrix!$B$1:$D$1,0))</f>
        <v>Medium</v>
      </c>
      <c r="H779" s="10">
        <v>46227</v>
      </c>
      <c r="I779" s="3" t="s">
        <v>973</v>
      </c>
      <c r="J779" s="3" t="s">
        <v>974</v>
      </c>
      <c r="K779" s="3" t="s">
        <v>960</v>
      </c>
      <c r="L779" s="3">
        <f>IF(G779="High",3,IF(G779="Medium",2,1))</f>
        <v>2</v>
      </c>
    </row>
    <row r="780" spans="1:12">
      <c r="A780" s="3" t="s">
        <v>1773</v>
      </c>
      <c r="B780" s="3" t="s">
        <v>602</v>
      </c>
      <c r="C780" s="3" t="s">
        <v>976</v>
      </c>
      <c r="D780" s="3" t="s">
        <v>1002</v>
      </c>
      <c r="E780" s="3" t="s">
        <v>47</v>
      </c>
      <c r="F780" s="3" t="s">
        <v>47</v>
      </c>
      <c r="G780" s="3" t="str">
        <f>INDEX(Risk_Matrix!$B$2:$D$4,MATCH(E780,Risk_Matrix!$A$2:$A$4,0),MATCH(F780,Risk_Matrix!$B$1:$D$1,0))</f>
        <v>Low</v>
      </c>
      <c r="H780" s="10">
        <v>46232</v>
      </c>
      <c r="I780" s="3" t="s">
        <v>973</v>
      </c>
      <c r="J780" s="3" t="s">
        <v>974</v>
      </c>
      <c r="K780" s="3" t="s">
        <v>1000</v>
      </c>
      <c r="L780" s="3">
        <f>IF(G780="High",3,IF(G780="Medium",2,1))</f>
        <v>1</v>
      </c>
    </row>
    <row r="781" spans="1:12">
      <c r="A781" s="3" t="s">
        <v>1774</v>
      </c>
      <c r="B781" s="3" t="s">
        <v>602</v>
      </c>
      <c r="C781" s="3" t="s">
        <v>979</v>
      </c>
      <c r="D781" s="3" t="s">
        <v>980</v>
      </c>
      <c r="E781" s="3" t="s">
        <v>942</v>
      </c>
      <c r="F781" s="3" t="s">
        <v>942</v>
      </c>
      <c r="G781" s="3" t="str">
        <f>INDEX(Risk_Matrix!$B$2:$D$4,MATCH(E781,Risk_Matrix!$A$2:$A$4,0),MATCH(F781,Risk_Matrix!$B$1:$D$1,0))</f>
        <v>Medium</v>
      </c>
      <c r="H781" s="10">
        <v>46207</v>
      </c>
      <c r="I781" s="3" t="s">
        <v>967</v>
      </c>
      <c r="J781" s="3" t="s">
        <v>968</v>
      </c>
      <c r="K781" s="3" t="s">
        <v>1000</v>
      </c>
      <c r="L781" s="3">
        <f>IF(G781="High",3,IF(G781="Medium",2,1))</f>
        <v>2</v>
      </c>
    </row>
    <row r="782" spans="1:12">
      <c r="A782" s="3" t="s">
        <v>1775</v>
      </c>
      <c r="B782" s="3" t="s">
        <v>603</v>
      </c>
      <c r="C782" s="3" t="s">
        <v>956</v>
      </c>
      <c r="D782" s="3" t="s">
        <v>957</v>
      </c>
      <c r="E782" s="3" t="s">
        <v>47</v>
      </c>
      <c r="F782" s="3" t="s">
        <v>942</v>
      </c>
      <c r="G782" s="3" t="str">
        <f>INDEX(Risk_Matrix!$B$2:$D$4,MATCH(E782,Risk_Matrix!$A$2:$A$4,0),MATCH(F782,Risk_Matrix!$B$1:$D$1,0))</f>
        <v>Low</v>
      </c>
      <c r="H782" s="10">
        <v>46225</v>
      </c>
      <c r="I782" s="3" t="s">
        <v>967</v>
      </c>
      <c r="J782" s="3" t="s">
        <v>968</v>
      </c>
      <c r="K782" s="3" t="s">
        <v>1000</v>
      </c>
      <c r="L782" s="3">
        <f>IF(G782="High",3,IF(G782="Medium",2,1))</f>
        <v>1</v>
      </c>
    </row>
    <row r="783" spans="1:12">
      <c r="A783" s="3" t="s">
        <v>1776</v>
      </c>
      <c r="B783" s="3" t="s">
        <v>603</v>
      </c>
      <c r="C783" s="3" t="s">
        <v>962</v>
      </c>
      <c r="D783" s="3" t="s">
        <v>1037</v>
      </c>
      <c r="E783" s="3" t="s">
        <v>942</v>
      </c>
      <c r="F783" s="3" t="s">
        <v>942</v>
      </c>
      <c r="G783" s="3" t="str">
        <f>INDEX(Risk_Matrix!$B$2:$D$4,MATCH(E783,Risk_Matrix!$A$2:$A$4,0),MATCH(F783,Risk_Matrix!$B$1:$D$1,0))</f>
        <v>Medium</v>
      </c>
      <c r="H783" s="10">
        <v>46070</v>
      </c>
      <c r="I783" s="3" t="s">
        <v>973</v>
      </c>
      <c r="J783" s="3" t="s">
        <v>974</v>
      </c>
      <c r="K783" s="3" t="s">
        <v>1000</v>
      </c>
      <c r="L783" s="3">
        <f>IF(G783="High",3,IF(G783="Medium",2,1))</f>
        <v>2</v>
      </c>
    </row>
    <row r="784" spans="1:12">
      <c r="A784" s="3" t="s">
        <v>1777</v>
      </c>
      <c r="B784" s="3" t="s">
        <v>603</v>
      </c>
      <c r="C784" s="3" t="s">
        <v>965</v>
      </c>
      <c r="D784" s="3" t="s">
        <v>1039</v>
      </c>
      <c r="E784" s="3" t="s">
        <v>42</v>
      </c>
      <c r="F784" s="3" t="s">
        <v>47</v>
      </c>
      <c r="G784" s="3" t="str">
        <f>INDEX(Risk_Matrix!$B$2:$D$4,MATCH(E784,Risk_Matrix!$A$2:$A$4,0),MATCH(F784,Risk_Matrix!$B$1:$D$1,0))</f>
        <v>Medium</v>
      </c>
      <c r="H784" s="10">
        <v>46090</v>
      </c>
      <c r="I784" s="3" t="s">
        <v>973</v>
      </c>
      <c r="J784" s="3" t="s">
        <v>974</v>
      </c>
      <c r="K784" s="3" t="s">
        <v>960</v>
      </c>
      <c r="L784" s="3">
        <f>IF(G784="High",3,IF(G784="Medium",2,1))</f>
        <v>2</v>
      </c>
    </row>
    <row r="785" spans="1:12">
      <c r="A785" s="3" t="s">
        <v>1778</v>
      </c>
      <c r="B785" s="3" t="s">
        <v>603</v>
      </c>
      <c r="C785" s="3" t="s">
        <v>971</v>
      </c>
      <c r="D785" s="3" t="s">
        <v>972</v>
      </c>
      <c r="E785" s="3" t="s">
        <v>942</v>
      </c>
      <c r="F785" s="3" t="s">
        <v>942</v>
      </c>
      <c r="G785" s="3" t="str">
        <f>INDEX(Risk_Matrix!$B$2:$D$4,MATCH(E785,Risk_Matrix!$A$2:$A$4,0),MATCH(F785,Risk_Matrix!$B$1:$D$1,0))</f>
        <v>Medium</v>
      </c>
      <c r="H785" s="10">
        <v>46227</v>
      </c>
      <c r="I785" s="3" t="s">
        <v>967</v>
      </c>
      <c r="J785" s="3" t="s">
        <v>968</v>
      </c>
      <c r="K785" s="3" t="s">
        <v>960</v>
      </c>
      <c r="L785" s="3">
        <f>IF(G785="High",3,IF(G785="Medium",2,1))</f>
        <v>2</v>
      </c>
    </row>
    <row r="786" spans="1:12">
      <c r="A786" s="3" t="s">
        <v>1779</v>
      </c>
      <c r="B786" s="3" t="s">
        <v>603</v>
      </c>
      <c r="C786" s="3" t="s">
        <v>976</v>
      </c>
      <c r="D786" s="3" t="s">
        <v>977</v>
      </c>
      <c r="E786" s="3" t="s">
        <v>47</v>
      </c>
      <c r="F786" s="3" t="s">
        <v>47</v>
      </c>
      <c r="G786" s="3" t="str">
        <f>INDEX(Risk_Matrix!$B$2:$D$4,MATCH(E786,Risk_Matrix!$A$2:$A$4,0),MATCH(F786,Risk_Matrix!$B$1:$D$1,0))</f>
        <v>Low</v>
      </c>
      <c r="H786" s="10">
        <v>46103</v>
      </c>
      <c r="I786" s="3" t="s">
        <v>973</v>
      </c>
      <c r="J786" s="3" t="s">
        <v>974</v>
      </c>
      <c r="K786" s="3" t="s">
        <v>969</v>
      </c>
      <c r="L786" s="3">
        <f>IF(G786="High",3,IF(G786="Medium",2,1))</f>
        <v>1</v>
      </c>
    </row>
    <row r="787" spans="1:12">
      <c r="A787" s="3" t="s">
        <v>1780</v>
      </c>
      <c r="B787" s="3" t="s">
        <v>603</v>
      </c>
      <c r="C787" s="3" t="s">
        <v>979</v>
      </c>
      <c r="D787" s="3" t="s">
        <v>1028</v>
      </c>
      <c r="E787" s="3" t="s">
        <v>47</v>
      </c>
      <c r="F787" s="3" t="s">
        <v>47</v>
      </c>
      <c r="G787" s="3" t="str">
        <f>INDEX(Risk_Matrix!$B$2:$D$4,MATCH(E787,Risk_Matrix!$A$2:$A$4,0),MATCH(F787,Risk_Matrix!$B$1:$D$1,0))</f>
        <v>Low</v>
      </c>
      <c r="H787" s="10">
        <v>46195</v>
      </c>
      <c r="I787" s="3" t="s">
        <v>973</v>
      </c>
      <c r="J787" s="3" t="s">
        <v>974</v>
      </c>
      <c r="K787" s="3" t="s">
        <v>969</v>
      </c>
      <c r="L787" s="3">
        <f>IF(G787="High",3,IF(G787="Medium",2,1))</f>
        <v>1</v>
      </c>
    </row>
    <row r="788" spans="1:12">
      <c r="A788" s="3" t="s">
        <v>1781</v>
      </c>
      <c r="B788" s="3" t="s">
        <v>605</v>
      </c>
      <c r="C788" s="3" t="s">
        <v>956</v>
      </c>
      <c r="D788" s="3" t="s">
        <v>1020</v>
      </c>
      <c r="E788" s="3" t="s">
        <v>47</v>
      </c>
      <c r="F788" s="3" t="s">
        <v>942</v>
      </c>
      <c r="G788" s="3" t="str">
        <f>INDEX(Risk_Matrix!$B$2:$D$4,MATCH(E788,Risk_Matrix!$A$2:$A$4,0),MATCH(F788,Risk_Matrix!$B$1:$D$1,0))</f>
        <v>Low</v>
      </c>
      <c r="H788" s="10">
        <v>46134</v>
      </c>
      <c r="I788" s="3" t="s">
        <v>973</v>
      </c>
      <c r="J788" s="3" t="s">
        <v>974</v>
      </c>
      <c r="K788" s="3" t="s">
        <v>983</v>
      </c>
      <c r="L788" s="3">
        <f>IF(G788="High",3,IF(G788="Medium",2,1))</f>
        <v>1</v>
      </c>
    </row>
    <row r="789" spans="1:12">
      <c r="A789" s="3" t="s">
        <v>1782</v>
      </c>
      <c r="B789" s="3" t="s">
        <v>605</v>
      </c>
      <c r="C789" s="3" t="s">
        <v>962</v>
      </c>
      <c r="D789" s="3" t="s">
        <v>963</v>
      </c>
      <c r="E789" s="3" t="s">
        <v>942</v>
      </c>
      <c r="F789" s="3" t="s">
        <v>47</v>
      </c>
      <c r="G789" s="3" t="str">
        <f>INDEX(Risk_Matrix!$B$2:$D$4,MATCH(E789,Risk_Matrix!$A$2:$A$4,0),MATCH(F789,Risk_Matrix!$B$1:$D$1,0))</f>
        <v>Low</v>
      </c>
      <c r="H789" s="10">
        <v>46224</v>
      </c>
      <c r="I789" s="3" t="s">
        <v>973</v>
      </c>
      <c r="J789" s="3" t="s">
        <v>974</v>
      </c>
      <c r="K789" s="3" t="s">
        <v>969</v>
      </c>
      <c r="L789" s="3">
        <f>IF(G789="High",3,IF(G789="Medium",2,1))</f>
        <v>1</v>
      </c>
    </row>
    <row r="790" spans="1:12">
      <c r="A790" s="3" t="s">
        <v>1783</v>
      </c>
      <c r="B790" s="3" t="s">
        <v>605</v>
      </c>
      <c r="C790" s="3" t="s">
        <v>965</v>
      </c>
      <c r="D790" s="3" t="s">
        <v>988</v>
      </c>
      <c r="E790" s="3" t="s">
        <v>47</v>
      </c>
      <c r="F790" s="3" t="s">
        <v>47</v>
      </c>
      <c r="G790" s="3" t="str">
        <f>INDEX(Risk_Matrix!$B$2:$D$4,MATCH(E790,Risk_Matrix!$A$2:$A$4,0),MATCH(F790,Risk_Matrix!$B$1:$D$1,0))</f>
        <v>Low</v>
      </c>
      <c r="H790" s="10">
        <v>46172</v>
      </c>
      <c r="I790" s="3" t="s">
        <v>981</v>
      </c>
      <c r="J790" s="3" t="s">
        <v>982</v>
      </c>
      <c r="K790" s="3" t="s">
        <v>960</v>
      </c>
      <c r="L790" s="3">
        <f>IF(G790="High",3,IF(G790="Medium",2,1))</f>
        <v>1</v>
      </c>
    </row>
    <row r="791" spans="1:12">
      <c r="A791" s="3" t="s">
        <v>1784</v>
      </c>
      <c r="B791" s="3" t="s">
        <v>605</v>
      </c>
      <c r="C791" s="3" t="s">
        <v>971</v>
      </c>
      <c r="D791" s="3" t="s">
        <v>972</v>
      </c>
      <c r="E791" s="3" t="s">
        <v>47</v>
      </c>
      <c r="F791" s="3" t="s">
        <v>47</v>
      </c>
      <c r="G791" s="3" t="str">
        <f>INDEX(Risk_Matrix!$B$2:$D$4,MATCH(E791,Risk_Matrix!$A$2:$A$4,0),MATCH(F791,Risk_Matrix!$B$1:$D$1,0))</f>
        <v>Low</v>
      </c>
      <c r="H791" s="10">
        <v>46178</v>
      </c>
      <c r="I791" s="3" t="s">
        <v>967</v>
      </c>
      <c r="J791" s="3" t="s">
        <v>968</v>
      </c>
      <c r="K791" s="3" t="s">
        <v>960</v>
      </c>
      <c r="L791" s="3">
        <f>IF(G791="High",3,IF(G791="Medium",2,1))</f>
        <v>1</v>
      </c>
    </row>
    <row r="792" spans="1:12">
      <c r="A792" s="3" t="s">
        <v>1785</v>
      </c>
      <c r="B792" s="3" t="s">
        <v>605</v>
      </c>
      <c r="C792" s="3" t="s">
        <v>976</v>
      </c>
      <c r="D792" s="3" t="s">
        <v>1002</v>
      </c>
      <c r="E792" s="3" t="s">
        <v>942</v>
      </c>
      <c r="F792" s="3" t="s">
        <v>47</v>
      </c>
      <c r="G792" s="3" t="str">
        <f>INDEX(Risk_Matrix!$B$2:$D$4,MATCH(E792,Risk_Matrix!$A$2:$A$4,0),MATCH(F792,Risk_Matrix!$B$1:$D$1,0))</f>
        <v>Low</v>
      </c>
      <c r="H792" s="10">
        <v>46223</v>
      </c>
      <c r="I792" s="3" t="s">
        <v>973</v>
      </c>
      <c r="J792" s="3" t="s">
        <v>974</v>
      </c>
      <c r="K792" s="3" t="s">
        <v>969</v>
      </c>
      <c r="L792" s="3">
        <f>IF(G792="High",3,IF(G792="Medium",2,1))</f>
        <v>1</v>
      </c>
    </row>
    <row r="793" spans="1:12">
      <c r="A793" s="3" t="s">
        <v>1786</v>
      </c>
      <c r="B793" s="3" t="s">
        <v>605</v>
      </c>
      <c r="C793" s="3" t="s">
        <v>979</v>
      </c>
      <c r="D793" s="3" t="s">
        <v>1028</v>
      </c>
      <c r="E793" s="3" t="s">
        <v>942</v>
      </c>
      <c r="F793" s="3" t="s">
        <v>47</v>
      </c>
      <c r="G793" s="3" t="str">
        <f>INDEX(Risk_Matrix!$B$2:$D$4,MATCH(E793,Risk_Matrix!$A$2:$A$4,0),MATCH(F793,Risk_Matrix!$B$1:$D$1,0))</f>
        <v>Low</v>
      </c>
      <c r="H793" s="10">
        <v>46076</v>
      </c>
      <c r="I793" s="3" t="s">
        <v>973</v>
      </c>
      <c r="J793" s="3" t="s">
        <v>974</v>
      </c>
      <c r="K793" s="3" t="s">
        <v>983</v>
      </c>
      <c r="L793" s="3">
        <f>IF(G793="High",3,IF(G793="Medium",2,1))</f>
        <v>1</v>
      </c>
    </row>
    <row r="794" spans="1:12">
      <c r="A794" s="3" t="s">
        <v>1787</v>
      </c>
      <c r="B794" s="3" t="s">
        <v>606</v>
      </c>
      <c r="C794" s="3" t="s">
        <v>956</v>
      </c>
      <c r="D794" s="3" t="s">
        <v>957</v>
      </c>
      <c r="E794" s="3" t="s">
        <v>47</v>
      </c>
      <c r="F794" s="3" t="s">
        <v>42</v>
      </c>
      <c r="G794" s="3" t="str">
        <f>INDEX(Risk_Matrix!$B$2:$D$4,MATCH(E794,Risk_Matrix!$A$2:$A$4,0),MATCH(F794,Risk_Matrix!$B$1:$D$1,0))</f>
        <v>Medium</v>
      </c>
      <c r="H794" s="10">
        <v>46175</v>
      </c>
      <c r="I794" s="3" t="s">
        <v>967</v>
      </c>
      <c r="J794" s="3" t="s">
        <v>968</v>
      </c>
      <c r="K794" s="3" t="s">
        <v>1000</v>
      </c>
      <c r="L794" s="3">
        <f>IF(G794="High",3,IF(G794="Medium",2,1))</f>
        <v>2</v>
      </c>
    </row>
    <row r="795" spans="1:12">
      <c r="A795" s="3" t="s">
        <v>1788</v>
      </c>
      <c r="B795" s="3" t="s">
        <v>606</v>
      </c>
      <c r="C795" s="3" t="s">
        <v>962</v>
      </c>
      <c r="D795" s="3" t="s">
        <v>1037</v>
      </c>
      <c r="E795" s="3" t="s">
        <v>47</v>
      </c>
      <c r="F795" s="3" t="s">
        <v>47</v>
      </c>
      <c r="G795" s="3" t="str">
        <f>INDEX(Risk_Matrix!$B$2:$D$4,MATCH(E795,Risk_Matrix!$A$2:$A$4,0),MATCH(F795,Risk_Matrix!$B$1:$D$1,0))</f>
        <v>Low</v>
      </c>
      <c r="H795" s="10">
        <v>46076</v>
      </c>
      <c r="I795" s="3" t="s">
        <v>973</v>
      </c>
      <c r="J795" s="3" t="s">
        <v>974</v>
      </c>
      <c r="K795" s="3" t="s">
        <v>1000</v>
      </c>
      <c r="L795" s="3">
        <f>IF(G795="High",3,IF(G795="Medium",2,1))</f>
        <v>1</v>
      </c>
    </row>
    <row r="796" spans="1:12">
      <c r="A796" s="3" t="s">
        <v>1789</v>
      </c>
      <c r="B796" s="3" t="s">
        <v>606</v>
      </c>
      <c r="C796" s="3" t="s">
        <v>965</v>
      </c>
      <c r="D796" s="3" t="s">
        <v>1039</v>
      </c>
      <c r="E796" s="3" t="s">
        <v>942</v>
      </c>
      <c r="F796" s="3" t="s">
        <v>47</v>
      </c>
      <c r="G796" s="3" t="str">
        <f>INDEX(Risk_Matrix!$B$2:$D$4,MATCH(E796,Risk_Matrix!$A$2:$A$4,0),MATCH(F796,Risk_Matrix!$B$1:$D$1,0))</f>
        <v>Low</v>
      </c>
      <c r="H796" s="10">
        <v>46195</v>
      </c>
      <c r="I796" s="3" t="s">
        <v>967</v>
      </c>
      <c r="J796" s="3" t="s">
        <v>968</v>
      </c>
      <c r="K796" s="3" t="s">
        <v>983</v>
      </c>
      <c r="L796" s="3">
        <f>IF(G796="High",3,IF(G796="Medium",2,1))</f>
        <v>1</v>
      </c>
    </row>
    <row r="797" spans="1:12">
      <c r="A797" s="3" t="s">
        <v>1790</v>
      </c>
      <c r="B797" s="3" t="s">
        <v>606</v>
      </c>
      <c r="C797" s="3" t="s">
        <v>971</v>
      </c>
      <c r="D797" s="3" t="s">
        <v>1016</v>
      </c>
      <c r="E797" s="3" t="s">
        <v>42</v>
      </c>
      <c r="F797" s="3" t="s">
        <v>42</v>
      </c>
      <c r="G797" s="3" t="str">
        <f>INDEX(Risk_Matrix!$B$2:$D$4,MATCH(E797,Risk_Matrix!$A$2:$A$4,0),MATCH(F797,Risk_Matrix!$B$1:$D$1,0))</f>
        <v>High</v>
      </c>
      <c r="H797" s="10">
        <v>46228</v>
      </c>
      <c r="I797" s="3" t="s">
        <v>967</v>
      </c>
      <c r="J797" s="3" t="s">
        <v>968</v>
      </c>
      <c r="K797" s="3" t="s">
        <v>993</v>
      </c>
      <c r="L797" s="3">
        <f>IF(G797="High",3,IF(G797="Medium",2,1))</f>
        <v>3</v>
      </c>
    </row>
    <row r="798" spans="1:12">
      <c r="A798" s="3" t="s">
        <v>1791</v>
      </c>
      <c r="B798" s="3" t="s">
        <v>606</v>
      </c>
      <c r="C798" s="3" t="s">
        <v>976</v>
      </c>
      <c r="D798" s="3" t="s">
        <v>991</v>
      </c>
      <c r="E798" s="3" t="s">
        <v>42</v>
      </c>
      <c r="F798" s="3" t="s">
        <v>942</v>
      </c>
      <c r="G798" s="3" t="str">
        <f>INDEX(Risk_Matrix!$B$2:$D$4,MATCH(E798,Risk_Matrix!$A$2:$A$4,0),MATCH(F798,Risk_Matrix!$B$1:$D$1,0))</f>
        <v>High</v>
      </c>
      <c r="H798" s="10">
        <v>46196</v>
      </c>
      <c r="I798" s="3" t="s">
        <v>967</v>
      </c>
      <c r="J798" s="3" t="s">
        <v>968</v>
      </c>
      <c r="K798" s="3" t="s">
        <v>993</v>
      </c>
      <c r="L798" s="3">
        <f>IF(G798="High",3,IF(G798="Medium",2,1))</f>
        <v>3</v>
      </c>
    </row>
    <row r="799" spans="1:12">
      <c r="A799" s="3" t="s">
        <v>1792</v>
      </c>
      <c r="B799" s="3" t="s">
        <v>606</v>
      </c>
      <c r="C799" s="3" t="s">
        <v>979</v>
      </c>
      <c r="D799" s="3" t="s">
        <v>1004</v>
      </c>
      <c r="E799" s="3" t="s">
        <v>42</v>
      </c>
      <c r="F799" s="3" t="s">
        <v>47</v>
      </c>
      <c r="G799" s="3" t="str">
        <f>INDEX(Risk_Matrix!$B$2:$D$4,MATCH(E799,Risk_Matrix!$A$2:$A$4,0),MATCH(F799,Risk_Matrix!$B$1:$D$1,0))</f>
        <v>Medium</v>
      </c>
      <c r="H799" s="10">
        <v>46064</v>
      </c>
      <c r="I799" s="3" t="s">
        <v>967</v>
      </c>
      <c r="J799" s="3" t="s">
        <v>968</v>
      </c>
      <c r="K799" s="3" t="s">
        <v>960</v>
      </c>
      <c r="L799" s="3">
        <f>IF(G799="High",3,IF(G799="Medium",2,1))</f>
        <v>2</v>
      </c>
    </row>
    <row r="800" spans="1:12">
      <c r="A800" s="3" t="s">
        <v>1793</v>
      </c>
      <c r="B800" s="3" t="s">
        <v>608</v>
      </c>
      <c r="C800" s="3" t="s">
        <v>956</v>
      </c>
      <c r="D800" s="3" t="s">
        <v>995</v>
      </c>
      <c r="E800" s="3" t="s">
        <v>942</v>
      </c>
      <c r="F800" s="3" t="s">
        <v>47</v>
      </c>
      <c r="G800" s="3" t="str">
        <f>INDEX(Risk_Matrix!$B$2:$D$4,MATCH(E800,Risk_Matrix!$A$2:$A$4,0),MATCH(F800,Risk_Matrix!$B$1:$D$1,0))</f>
        <v>Low</v>
      </c>
      <c r="H800" s="10">
        <v>46166</v>
      </c>
      <c r="I800" s="3" t="s">
        <v>981</v>
      </c>
      <c r="J800" s="3" t="s">
        <v>982</v>
      </c>
      <c r="K800" s="3" t="s">
        <v>993</v>
      </c>
      <c r="L800" s="3">
        <f>IF(G800="High",3,IF(G800="Medium",2,1))</f>
        <v>1</v>
      </c>
    </row>
    <row r="801" spans="1:12">
      <c r="A801" s="3" t="s">
        <v>1794</v>
      </c>
      <c r="B801" s="3" t="s">
        <v>608</v>
      </c>
      <c r="C801" s="3" t="s">
        <v>962</v>
      </c>
      <c r="D801" s="3" t="s">
        <v>1037</v>
      </c>
      <c r="E801" s="3" t="s">
        <v>942</v>
      </c>
      <c r="F801" s="3" t="s">
        <v>942</v>
      </c>
      <c r="G801" s="3" t="str">
        <f>INDEX(Risk_Matrix!$B$2:$D$4,MATCH(E801,Risk_Matrix!$A$2:$A$4,0),MATCH(F801,Risk_Matrix!$B$1:$D$1,0))</f>
        <v>Medium</v>
      </c>
      <c r="H801" s="10">
        <v>46137</v>
      </c>
      <c r="I801" s="3" t="s">
        <v>973</v>
      </c>
      <c r="J801" s="3" t="s">
        <v>974</v>
      </c>
      <c r="K801" s="3" t="s">
        <v>993</v>
      </c>
      <c r="L801" s="3">
        <f>IF(G801="High",3,IF(G801="Medium",2,1))</f>
        <v>2</v>
      </c>
    </row>
    <row r="802" spans="1:12">
      <c r="A802" s="3" t="s">
        <v>1795</v>
      </c>
      <c r="B802" s="3" t="s">
        <v>608</v>
      </c>
      <c r="C802" s="3" t="s">
        <v>965</v>
      </c>
      <c r="D802" s="3" t="s">
        <v>1039</v>
      </c>
      <c r="E802" s="3" t="s">
        <v>942</v>
      </c>
      <c r="F802" s="3" t="s">
        <v>42</v>
      </c>
      <c r="G802" s="3" t="str">
        <f>INDEX(Risk_Matrix!$B$2:$D$4,MATCH(E802,Risk_Matrix!$A$2:$A$4,0),MATCH(F802,Risk_Matrix!$B$1:$D$1,0))</f>
        <v>High</v>
      </c>
      <c r="H802" s="10">
        <v>46185</v>
      </c>
      <c r="I802" s="3" t="s">
        <v>981</v>
      </c>
      <c r="J802" s="3" t="s">
        <v>982</v>
      </c>
      <c r="K802" s="3" t="s">
        <v>1000</v>
      </c>
      <c r="L802" s="3">
        <f>IF(G802="High",3,IF(G802="Medium",2,1))</f>
        <v>3</v>
      </c>
    </row>
    <row r="803" spans="1:12">
      <c r="A803" s="3" t="s">
        <v>1796</v>
      </c>
      <c r="B803" s="3" t="s">
        <v>608</v>
      </c>
      <c r="C803" s="3" t="s">
        <v>971</v>
      </c>
      <c r="D803" s="3" t="s">
        <v>1016</v>
      </c>
      <c r="E803" s="3" t="s">
        <v>42</v>
      </c>
      <c r="F803" s="3" t="s">
        <v>47</v>
      </c>
      <c r="G803" s="3" t="str">
        <f>INDEX(Risk_Matrix!$B$2:$D$4,MATCH(E803,Risk_Matrix!$A$2:$A$4,0),MATCH(F803,Risk_Matrix!$B$1:$D$1,0))</f>
        <v>Medium</v>
      </c>
      <c r="H803" s="10">
        <v>46151</v>
      </c>
      <c r="I803" s="3" t="s">
        <v>967</v>
      </c>
      <c r="J803" s="3" t="s">
        <v>968</v>
      </c>
      <c r="K803" s="3" t="s">
        <v>969</v>
      </c>
      <c r="L803" s="3">
        <f>IF(G803="High",3,IF(G803="Medium",2,1))</f>
        <v>2</v>
      </c>
    </row>
    <row r="804" spans="1:12">
      <c r="A804" s="3" t="s">
        <v>1797</v>
      </c>
      <c r="B804" s="3" t="s">
        <v>608</v>
      </c>
      <c r="C804" s="3" t="s">
        <v>976</v>
      </c>
      <c r="D804" s="3" t="s">
        <v>1002</v>
      </c>
      <c r="E804" s="3" t="s">
        <v>47</v>
      </c>
      <c r="F804" s="3" t="s">
        <v>47</v>
      </c>
      <c r="G804" s="3" t="str">
        <f>INDEX(Risk_Matrix!$B$2:$D$4,MATCH(E804,Risk_Matrix!$A$2:$A$4,0),MATCH(F804,Risk_Matrix!$B$1:$D$1,0))</f>
        <v>Low</v>
      </c>
      <c r="H804" s="10">
        <v>46151</v>
      </c>
      <c r="I804" s="3" t="s">
        <v>958</v>
      </c>
      <c r="J804" s="3" t="s">
        <v>959</v>
      </c>
      <c r="K804" s="3" t="s">
        <v>983</v>
      </c>
      <c r="L804" s="3">
        <f>IF(G804="High",3,IF(G804="Medium",2,1))</f>
        <v>1</v>
      </c>
    </row>
    <row r="805" spans="1:12">
      <c r="A805" s="3" t="s">
        <v>1798</v>
      </c>
      <c r="B805" s="3" t="s">
        <v>608</v>
      </c>
      <c r="C805" s="3" t="s">
        <v>979</v>
      </c>
      <c r="D805" s="3" t="s">
        <v>1028</v>
      </c>
      <c r="E805" s="3" t="s">
        <v>42</v>
      </c>
      <c r="F805" s="3" t="s">
        <v>47</v>
      </c>
      <c r="G805" s="3" t="str">
        <f>INDEX(Risk_Matrix!$B$2:$D$4,MATCH(E805,Risk_Matrix!$A$2:$A$4,0),MATCH(F805,Risk_Matrix!$B$1:$D$1,0))</f>
        <v>Medium</v>
      </c>
      <c r="H805" s="10">
        <v>46204</v>
      </c>
      <c r="I805" s="3" t="s">
        <v>981</v>
      </c>
      <c r="J805" s="3" t="s">
        <v>982</v>
      </c>
      <c r="K805" s="3" t="s">
        <v>993</v>
      </c>
      <c r="L805" s="3">
        <f>IF(G805="High",3,IF(G805="Medium",2,1))</f>
        <v>2</v>
      </c>
    </row>
    <row r="806" spans="1:12">
      <c r="A806" s="3" t="s">
        <v>1799</v>
      </c>
      <c r="B806" s="3" t="s">
        <v>609</v>
      </c>
      <c r="C806" s="3" t="s">
        <v>956</v>
      </c>
      <c r="D806" s="3" t="s">
        <v>1012</v>
      </c>
      <c r="E806" s="3" t="s">
        <v>47</v>
      </c>
      <c r="F806" s="3" t="s">
        <v>47</v>
      </c>
      <c r="G806" s="3" t="str">
        <f>INDEX(Risk_Matrix!$B$2:$D$4,MATCH(E806,Risk_Matrix!$A$2:$A$4,0),MATCH(F806,Risk_Matrix!$B$1:$D$1,0))</f>
        <v>Low</v>
      </c>
      <c r="H806" s="10">
        <v>46096</v>
      </c>
      <c r="I806" s="3" t="s">
        <v>973</v>
      </c>
      <c r="J806" s="3" t="s">
        <v>974</v>
      </c>
      <c r="K806" s="3" t="s">
        <v>960</v>
      </c>
      <c r="L806" s="3">
        <f>IF(G806="High",3,IF(G806="Medium",2,1))</f>
        <v>1</v>
      </c>
    </row>
    <row r="807" spans="1:12">
      <c r="A807" s="3" t="s">
        <v>1800</v>
      </c>
      <c r="B807" s="3" t="s">
        <v>609</v>
      </c>
      <c r="C807" s="3" t="s">
        <v>962</v>
      </c>
      <c r="D807" s="3" t="s">
        <v>997</v>
      </c>
      <c r="E807" s="3" t="s">
        <v>942</v>
      </c>
      <c r="F807" s="3" t="s">
        <v>942</v>
      </c>
      <c r="G807" s="3" t="str">
        <f>INDEX(Risk_Matrix!$B$2:$D$4,MATCH(E807,Risk_Matrix!$A$2:$A$4,0),MATCH(F807,Risk_Matrix!$B$1:$D$1,0))</f>
        <v>Medium</v>
      </c>
      <c r="H807" s="10">
        <v>46219</v>
      </c>
      <c r="I807" s="3" t="s">
        <v>967</v>
      </c>
      <c r="J807" s="3" t="s">
        <v>968</v>
      </c>
      <c r="K807" s="3" t="s">
        <v>1000</v>
      </c>
      <c r="L807" s="3">
        <f>IF(G807="High",3,IF(G807="Medium",2,1))</f>
        <v>2</v>
      </c>
    </row>
    <row r="808" spans="1:12">
      <c r="A808" s="3" t="s">
        <v>1801</v>
      </c>
      <c r="B808" s="3" t="s">
        <v>609</v>
      </c>
      <c r="C808" s="3" t="s">
        <v>965</v>
      </c>
      <c r="D808" s="3" t="s">
        <v>1023</v>
      </c>
      <c r="E808" s="3" t="s">
        <v>42</v>
      </c>
      <c r="F808" s="3" t="s">
        <v>942</v>
      </c>
      <c r="G808" s="3" t="str">
        <f>INDEX(Risk_Matrix!$B$2:$D$4,MATCH(E808,Risk_Matrix!$A$2:$A$4,0),MATCH(F808,Risk_Matrix!$B$1:$D$1,0))</f>
        <v>High</v>
      </c>
      <c r="H808" s="10">
        <v>46207</v>
      </c>
      <c r="I808" s="3" t="s">
        <v>967</v>
      </c>
      <c r="J808" s="3" t="s">
        <v>968</v>
      </c>
      <c r="K808" s="3" t="s">
        <v>969</v>
      </c>
      <c r="L808" s="3">
        <f>IF(G808="High",3,IF(G808="Medium",2,1))</f>
        <v>3</v>
      </c>
    </row>
    <row r="809" spans="1:12">
      <c r="A809" s="3" t="s">
        <v>1802</v>
      </c>
      <c r="B809" s="3" t="s">
        <v>609</v>
      </c>
      <c r="C809" s="3" t="s">
        <v>971</v>
      </c>
      <c r="D809" s="3" t="s">
        <v>1025</v>
      </c>
      <c r="E809" s="3" t="s">
        <v>942</v>
      </c>
      <c r="F809" s="3" t="s">
        <v>47</v>
      </c>
      <c r="G809" s="3" t="str">
        <f>INDEX(Risk_Matrix!$B$2:$D$4,MATCH(E809,Risk_Matrix!$A$2:$A$4,0),MATCH(F809,Risk_Matrix!$B$1:$D$1,0))</f>
        <v>Low</v>
      </c>
      <c r="H809" s="10">
        <v>46060</v>
      </c>
      <c r="I809" s="3" t="s">
        <v>973</v>
      </c>
      <c r="J809" s="3" t="s">
        <v>974</v>
      </c>
      <c r="K809" s="3" t="s">
        <v>993</v>
      </c>
      <c r="L809" s="3">
        <f>IF(G809="High",3,IF(G809="Medium",2,1))</f>
        <v>1</v>
      </c>
    </row>
    <row r="810" spans="1:12">
      <c r="A810" s="3" t="s">
        <v>1803</v>
      </c>
      <c r="B810" s="3" t="s">
        <v>609</v>
      </c>
      <c r="C810" s="3" t="s">
        <v>976</v>
      </c>
      <c r="D810" s="3" t="s">
        <v>977</v>
      </c>
      <c r="E810" s="3" t="s">
        <v>47</v>
      </c>
      <c r="F810" s="3" t="s">
        <v>42</v>
      </c>
      <c r="G810" s="3" t="str">
        <f>INDEX(Risk_Matrix!$B$2:$D$4,MATCH(E810,Risk_Matrix!$A$2:$A$4,0),MATCH(F810,Risk_Matrix!$B$1:$D$1,0))</f>
        <v>Medium</v>
      </c>
      <c r="H810" s="10">
        <v>46182</v>
      </c>
      <c r="I810" s="3" t="s">
        <v>967</v>
      </c>
      <c r="J810" s="3" t="s">
        <v>968</v>
      </c>
      <c r="K810" s="3" t="s">
        <v>993</v>
      </c>
      <c r="L810" s="3">
        <f>IF(G810="High",3,IF(G810="Medium",2,1))</f>
        <v>2</v>
      </c>
    </row>
    <row r="811" spans="1:12">
      <c r="A811" s="3" t="s">
        <v>1804</v>
      </c>
      <c r="B811" s="3" t="s">
        <v>609</v>
      </c>
      <c r="C811" s="3" t="s">
        <v>979</v>
      </c>
      <c r="D811" s="3" t="s">
        <v>1028</v>
      </c>
      <c r="E811" s="3" t="s">
        <v>942</v>
      </c>
      <c r="F811" s="3" t="s">
        <v>942</v>
      </c>
      <c r="G811" s="3" t="str">
        <f>INDEX(Risk_Matrix!$B$2:$D$4,MATCH(E811,Risk_Matrix!$A$2:$A$4,0),MATCH(F811,Risk_Matrix!$B$1:$D$1,0))</f>
        <v>Medium</v>
      </c>
      <c r="H811" s="10">
        <v>46081</v>
      </c>
      <c r="I811" s="3" t="s">
        <v>973</v>
      </c>
      <c r="J811" s="3" t="s">
        <v>974</v>
      </c>
      <c r="K811" s="3" t="s">
        <v>969</v>
      </c>
      <c r="L811" s="3">
        <f>IF(G811="High",3,IF(G811="Medium",2,1))</f>
        <v>2</v>
      </c>
    </row>
    <row r="812" spans="1:12">
      <c r="A812" s="3" t="s">
        <v>1805</v>
      </c>
      <c r="B812" s="3" t="s">
        <v>611</v>
      </c>
      <c r="C812" s="3" t="s">
        <v>956</v>
      </c>
      <c r="D812" s="3" t="s">
        <v>1020</v>
      </c>
      <c r="E812" s="3" t="s">
        <v>47</v>
      </c>
      <c r="F812" s="3" t="s">
        <v>47</v>
      </c>
      <c r="G812" s="3" t="str">
        <f>INDEX(Risk_Matrix!$B$2:$D$4,MATCH(E812,Risk_Matrix!$A$2:$A$4,0),MATCH(F812,Risk_Matrix!$B$1:$D$1,0))</f>
        <v>Low</v>
      </c>
      <c r="H812" s="10">
        <v>46167</v>
      </c>
      <c r="I812" s="3" t="s">
        <v>973</v>
      </c>
      <c r="J812" s="3" t="s">
        <v>974</v>
      </c>
      <c r="K812" s="3" t="s">
        <v>960</v>
      </c>
      <c r="L812" s="3">
        <f>IF(G812="High",3,IF(G812="Medium",2,1))</f>
        <v>1</v>
      </c>
    </row>
    <row r="813" spans="1:12">
      <c r="A813" s="3" t="s">
        <v>1806</v>
      </c>
      <c r="B813" s="3" t="s">
        <v>611</v>
      </c>
      <c r="C813" s="3" t="s">
        <v>962</v>
      </c>
      <c r="D813" s="3" t="s">
        <v>1037</v>
      </c>
      <c r="E813" s="3" t="s">
        <v>47</v>
      </c>
      <c r="F813" s="3" t="s">
        <v>42</v>
      </c>
      <c r="G813" s="3" t="str">
        <f>INDEX(Risk_Matrix!$B$2:$D$4,MATCH(E813,Risk_Matrix!$A$2:$A$4,0),MATCH(F813,Risk_Matrix!$B$1:$D$1,0))</f>
        <v>Medium</v>
      </c>
      <c r="H813" s="10">
        <v>46210</v>
      </c>
      <c r="I813" s="3" t="s">
        <v>967</v>
      </c>
      <c r="J813" s="3" t="s">
        <v>968</v>
      </c>
      <c r="K813" s="3" t="s">
        <v>969</v>
      </c>
      <c r="L813" s="3">
        <f>IF(G813="High",3,IF(G813="Medium",2,1))</f>
        <v>2</v>
      </c>
    </row>
    <row r="814" spans="1:12">
      <c r="A814" s="3" t="s">
        <v>1807</v>
      </c>
      <c r="B814" s="3" t="s">
        <v>611</v>
      </c>
      <c r="C814" s="3" t="s">
        <v>965</v>
      </c>
      <c r="D814" s="3" t="s">
        <v>988</v>
      </c>
      <c r="E814" s="3" t="s">
        <v>47</v>
      </c>
      <c r="F814" s="3" t="s">
        <v>47</v>
      </c>
      <c r="G814" s="3" t="str">
        <f>INDEX(Risk_Matrix!$B$2:$D$4,MATCH(E814,Risk_Matrix!$A$2:$A$4,0),MATCH(F814,Risk_Matrix!$B$1:$D$1,0))</f>
        <v>Low</v>
      </c>
      <c r="H814" s="10">
        <v>46066</v>
      </c>
      <c r="I814" s="3" t="s">
        <v>967</v>
      </c>
      <c r="J814" s="3" t="s">
        <v>968</v>
      </c>
      <c r="K814" s="3" t="s">
        <v>1000</v>
      </c>
      <c r="L814" s="3">
        <f>IF(G814="High",3,IF(G814="Medium",2,1))</f>
        <v>1</v>
      </c>
    </row>
    <row r="815" spans="1:12">
      <c r="A815" s="3" t="s">
        <v>1808</v>
      </c>
      <c r="B815" s="3" t="s">
        <v>611</v>
      </c>
      <c r="C815" s="3" t="s">
        <v>971</v>
      </c>
      <c r="D815" s="3" t="s">
        <v>1016</v>
      </c>
      <c r="E815" s="3" t="s">
        <v>47</v>
      </c>
      <c r="F815" s="3" t="s">
        <v>942</v>
      </c>
      <c r="G815" s="3" t="str">
        <f>INDEX(Risk_Matrix!$B$2:$D$4,MATCH(E815,Risk_Matrix!$A$2:$A$4,0),MATCH(F815,Risk_Matrix!$B$1:$D$1,0))</f>
        <v>Low</v>
      </c>
      <c r="H815" s="10">
        <v>46206</v>
      </c>
      <c r="I815" s="3" t="s">
        <v>967</v>
      </c>
      <c r="J815" s="3" t="s">
        <v>968</v>
      </c>
      <c r="K815" s="3" t="s">
        <v>969</v>
      </c>
      <c r="L815" s="3">
        <f>IF(G815="High",3,IF(G815="Medium",2,1))</f>
        <v>1</v>
      </c>
    </row>
    <row r="816" spans="1:12">
      <c r="A816" s="3" t="s">
        <v>1809</v>
      </c>
      <c r="B816" s="3" t="s">
        <v>611</v>
      </c>
      <c r="C816" s="3" t="s">
        <v>976</v>
      </c>
      <c r="D816" s="3" t="s">
        <v>1002</v>
      </c>
      <c r="E816" s="3" t="s">
        <v>42</v>
      </c>
      <c r="F816" s="3" t="s">
        <v>42</v>
      </c>
      <c r="G816" s="3" t="str">
        <f>INDEX(Risk_Matrix!$B$2:$D$4,MATCH(E816,Risk_Matrix!$A$2:$A$4,0),MATCH(F816,Risk_Matrix!$B$1:$D$1,0))</f>
        <v>High</v>
      </c>
      <c r="H816" s="10">
        <v>46168</v>
      </c>
      <c r="I816" s="3" t="s">
        <v>967</v>
      </c>
      <c r="J816" s="3" t="s">
        <v>968</v>
      </c>
      <c r="K816" s="3" t="s">
        <v>983</v>
      </c>
      <c r="L816" s="3">
        <f>IF(G816="High",3,IF(G816="Medium",2,1))</f>
        <v>3</v>
      </c>
    </row>
    <row r="817" spans="1:12">
      <c r="A817" s="3" t="s">
        <v>1810</v>
      </c>
      <c r="B817" s="3" t="s">
        <v>611</v>
      </c>
      <c r="C817" s="3" t="s">
        <v>979</v>
      </c>
      <c r="D817" s="3" t="s">
        <v>980</v>
      </c>
      <c r="E817" s="3" t="s">
        <v>47</v>
      </c>
      <c r="F817" s="3" t="s">
        <v>42</v>
      </c>
      <c r="G817" s="3" t="str">
        <f>INDEX(Risk_Matrix!$B$2:$D$4,MATCH(E817,Risk_Matrix!$A$2:$A$4,0),MATCH(F817,Risk_Matrix!$B$1:$D$1,0))</f>
        <v>Medium</v>
      </c>
      <c r="H817" s="10">
        <v>46081</v>
      </c>
      <c r="I817" s="3" t="s">
        <v>967</v>
      </c>
      <c r="J817" s="3" t="s">
        <v>968</v>
      </c>
      <c r="K817" s="3" t="s">
        <v>969</v>
      </c>
      <c r="L817" s="3">
        <f>IF(G817="High",3,IF(G817="Medium",2,1))</f>
        <v>2</v>
      </c>
    </row>
    <row r="818" spans="1:12">
      <c r="A818" s="3" t="s">
        <v>1811</v>
      </c>
      <c r="B818" s="3" t="s">
        <v>613</v>
      </c>
      <c r="C818" s="3" t="s">
        <v>956</v>
      </c>
      <c r="D818" s="3" t="s">
        <v>1012</v>
      </c>
      <c r="E818" s="3" t="s">
        <v>47</v>
      </c>
      <c r="F818" s="3" t="s">
        <v>47</v>
      </c>
      <c r="G818" s="3" t="str">
        <f>INDEX(Risk_Matrix!$B$2:$D$4,MATCH(E818,Risk_Matrix!$A$2:$A$4,0),MATCH(F818,Risk_Matrix!$B$1:$D$1,0))</f>
        <v>Low</v>
      </c>
      <c r="H818" s="10">
        <v>46072</v>
      </c>
      <c r="I818" s="3" t="s">
        <v>967</v>
      </c>
      <c r="J818" s="3" t="s">
        <v>968</v>
      </c>
      <c r="K818" s="3" t="s">
        <v>993</v>
      </c>
      <c r="L818" s="3">
        <f>IF(G818="High",3,IF(G818="Medium",2,1))</f>
        <v>1</v>
      </c>
    </row>
    <row r="819" spans="1:12">
      <c r="A819" s="3" t="s">
        <v>1812</v>
      </c>
      <c r="B819" s="3" t="s">
        <v>613</v>
      </c>
      <c r="C819" s="3" t="s">
        <v>962</v>
      </c>
      <c r="D819" s="3" t="s">
        <v>986</v>
      </c>
      <c r="E819" s="3" t="s">
        <v>47</v>
      </c>
      <c r="F819" s="3" t="s">
        <v>42</v>
      </c>
      <c r="G819" s="3" t="str">
        <f>INDEX(Risk_Matrix!$B$2:$D$4,MATCH(E819,Risk_Matrix!$A$2:$A$4,0),MATCH(F819,Risk_Matrix!$B$1:$D$1,0))</f>
        <v>Medium</v>
      </c>
      <c r="H819" s="10">
        <v>46064</v>
      </c>
      <c r="I819" s="3" t="s">
        <v>973</v>
      </c>
      <c r="J819" s="3" t="s">
        <v>974</v>
      </c>
      <c r="K819" s="3" t="s">
        <v>1000</v>
      </c>
      <c r="L819" s="3">
        <f>IF(G819="High",3,IF(G819="Medium",2,1))</f>
        <v>2</v>
      </c>
    </row>
    <row r="820" spans="1:12">
      <c r="A820" s="3" t="s">
        <v>1813</v>
      </c>
      <c r="B820" s="3" t="s">
        <v>613</v>
      </c>
      <c r="C820" s="3" t="s">
        <v>965</v>
      </c>
      <c r="D820" s="3" t="s">
        <v>988</v>
      </c>
      <c r="E820" s="3" t="s">
        <v>47</v>
      </c>
      <c r="F820" s="3" t="s">
        <v>942</v>
      </c>
      <c r="G820" s="3" t="str">
        <f>INDEX(Risk_Matrix!$B$2:$D$4,MATCH(E820,Risk_Matrix!$A$2:$A$4,0),MATCH(F820,Risk_Matrix!$B$1:$D$1,0))</f>
        <v>Low</v>
      </c>
      <c r="H820" s="10">
        <v>46181</v>
      </c>
      <c r="I820" s="3" t="s">
        <v>973</v>
      </c>
      <c r="J820" s="3" t="s">
        <v>974</v>
      </c>
      <c r="K820" s="3" t="s">
        <v>993</v>
      </c>
      <c r="L820" s="3">
        <f>IF(G820="High",3,IF(G820="Medium",2,1))</f>
        <v>1</v>
      </c>
    </row>
    <row r="821" spans="1:12">
      <c r="A821" s="3" t="s">
        <v>1814</v>
      </c>
      <c r="B821" s="3" t="s">
        <v>613</v>
      </c>
      <c r="C821" s="3" t="s">
        <v>971</v>
      </c>
      <c r="D821" s="3" t="s">
        <v>1025</v>
      </c>
      <c r="E821" s="3" t="s">
        <v>42</v>
      </c>
      <c r="F821" s="3" t="s">
        <v>942</v>
      </c>
      <c r="G821" s="3" t="str">
        <f>INDEX(Risk_Matrix!$B$2:$D$4,MATCH(E821,Risk_Matrix!$A$2:$A$4,0),MATCH(F821,Risk_Matrix!$B$1:$D$1,0))</f>
        <v>High</v>
      </c>
      <c r="H821" s="10">
        <v>46138</v>
      </c>
      <c r="I821" s="3" t="s">
        <v>973</v>
      </c>
      <c r="J821" s="3" t="s">
        <v>974</v>
      </c>
      <c r="K821" s="3" t="s">
        <v>983</v>
      </c>
      <c r="L821" s="3">
        <f>IF(G821="High",3,IF(G821="Medium",2,1))</f>
        <v>3</v>
      </c>
    </row>
    <row r="822" spans="1:12">
      <c r="A822" s="3" t="s">
        <v>1815</v>
      </c>
      <c r="B822" s="3" t="s">
        <v>613</v>
      </c>
      <c r="C822" s="3" t="s">
        <v>976</v>
      </c>
      <c r="D822" s="3" t="s">
        <v>991</v>
      </c>
      <c r="E822" s="3" t="s">
        <v>47</v>
      </c>
      <c r="F822" s="3" t="s">
        <v>942</v>
      </c>
      <c r="G822" s="3" t="str">
        <f>INDEX(Risk_Matrix!$B$2:$D$4,MATCH(E822,Risk_Matrix!$A$2:$A$4,0),MATCH(F822,Risk_Matrix!$B$1:$D$1,0))</f>
        <v>Low</v>
      </c>
      <c r="H822" s="10">
        <v>46181</v>
      </c>
      <c r="I822" s="3" t="s">
        <v>973</v>
      </c>
      <c r="J822" s="3" t="s">
        <v>974</v>
      </c>
      <c r="K822" s="3" t="s">
        <v>960</v>
      </c>
      <c r="L822" s="3">
        <f>IF(G822="High",3,IF(G822="Medium",2,1))</f>
        <v>1</v>
      </c>
    </row>
    <row r="823" spans="1:12">
      <c r="A823" s="3" t="s">
        <v>1816</v>
      </c>
      <c r="B823" s="3" t="s">
        <v>613</v>
      </c>
      <c r="C823" s="3" t="s">
        <v>979</v>
      </c>
      <c r="D823" s="3" t="s">
        <v>1004</v>
      </c>
      <c r="E823" s="3" t="s">
        <v>42</v>
      </c>
      <c r="F823" s="3" t="s">
        <v>47</v>
      </c>
      <c r="G823" s="3" t="str">
        <f>INDEX(Risk_Matrix!$B$2:$D$4,MATCH(E823,Risk_Matrix!$A$2:$A$4,0),MATCH(F823,Risk_Matrix!$B$1:$D$1,0))</f>
        <v>Medium</v>
      </c>
      <c r="H823" s="10">
        <v>46222</v>
      </c>
      <c r="I823" s="3" t="s">
        <v>973</v>
      </c>
      <c r="J823" s="3" t="s">
        <v>974</v>
      </c>
      <c r="K823" s="3" t="s">
        <v>993</v>
      </c>
      <c r="L823" s="3">
        <f>IF(G823="High",3,IF(G823="Medium",2,1))</f>
        <v>2</v>
      </c>
    </row>
    <row r="824" spans="1:12">
      <c r="A824" s="3" t="s">
        <v>1817</v>
      </c>
      <c r="B824" s="3" t="s">
        <v>614</v>
      </c>
      <c r="C824" s="3" t="s">
        <v>956</v>
      </c>
      <c r="D824" s="3" t="s">
        <v>957</v>
      </c>
      <c r="E824" s="3" t="s">
        <v>47</v>
      </c>
      <c r="F824" s="3" t="s">
        <v>942</v>
      </c>
      <c r="G824" s="3" t="str">
        <f>INDEX(Risk_Matrix!$B$2:$D$4,MATCH(E824,Risk_Matrix!$A$2:$A$4,0),MATCH(F824,Risk_Matrix!$B$1:$D$1,0))</f>
        <v>Low</v>
      </c>
      <c r="H824" s="10">
        <v>46078</v>
      </c>
      <c r="I824" s="3" t="s">
        <v>967</v>
      </c>
      <c r="J824" s="3" t="s">
        <v>968</v>
      </c>
      <c r="K824" s="3" t="s">
        <v>969</v>
      </c>
      <c r="L824" s="3">
        <f>IF(G824="High",3,IF(G824="Medium",2,1))</f>
        <v>1</v>
      </c>
    </row>
    <row r="825" spans="1:12">
      <c r="A825" s="3" t="s">
        <v>1818</v>
      </c>
      <c r="B825" s="3" t="s">
        <v>614</v>
      </c>
      <c r="C825" s="3" t="s">
        <v>962</v>
      </c>
      <c r="D825" s="3" t="s">
        <v>986</v>
      </c>
      <c r="E825" s="3" t="s">
        <v>47</v>
      </c>
      <c r="F825" s="3" t="s">
        <v>47</v>
      </c>
      <c r="G825" s="3" t="str">
        <f>INDEX(Risk_Matrix!$B$2:$D$4,MATCH(E825,Risk_Matrix!$A$2:$A$4,0),MATCH(F825,Risk_Matrix!$B$1:$D$1,0))</f>
        <v>Low</v>
      </c>
      <c r="H825" s="10">
        <v>46225</v>
      </c>
      <c r="I825" s="3" t="s">
        <v>958</v>
      </c>
      <c r="J825" s="3" t="s">
        <v>959</v>
      </c>
      <c r="K825" s="3" t="s">
        <v>969</v>
      </c>
      <c r="L825" s="3">
        <f>IF(G825="High",3,IF(G825="Medium",2,1))</f>
        <v>1</v>
      </c>
    </row>
    <row r="826" spans="1:12">
      <c r="A826" s="3" t="s">
        <v>1819</v>
      </c>
      <c r="B826" s="3" t="s">
        <v>614</v>
      </c>
      <c r="C826" s="3" t="s">
        <v>965</v>
      </c>
      <c r="D826" s="3" t="s">
        <v>1039</v>
      </c>
      <c r="E826" s="3" t="s">
        <v>42</v>
      </c>
      <c r="F826" s="3" t="s">
        <v>942</v>
      </c>
      <c r="G826" s="3" t="str">
        <f>INDEX(Risk_Matrix!$B$2:$D$4,MATCH(E826,Risk_Matrix!$A$2:$A$4,0),MATCH(F826,Risk_Matrix!$B$1:$D$1,0))</f>
        <v>High</v>
      </c>
      <c r="H826" s="10">
        <v>46214</v>
      </c>
      <c r="I826" s="3" t="s">
        <v>967</v>
      </c>
      <c r="J826" s="3" t="s">
        <v>968</v>
      </c>
      <c r="K826" s="3" t="s">
        <v>960</v>
      </c>
      <c r="L826" s="3">
        <f>IF(G826="High",3,IF(G826="Medium",2,1))</f>
        <v>3</v>
      </c>
    </row>
    <row r="827" spans="1:12">
      <c r="A827" s="3" t="s">
        <v>1820</v>
      </c>
      <c r="B827" s="3" t="s">
        <v>614</v>
      </c>
      <c r="C827" s="3" t="s">
        <v>971</v>
      </c>
      <c r="D827" s="3" t="s">
        <v>1016</v>
      </c>
      <c r="E827" s="3" t="s">
        <v>47</v>
      </c>
      <c r="F827" s="3" t="s">
        <v>42</v>
      </c>
      <c r="G827" s="3" t="str">
        <f>INDEX(Risk_Matrix!$B$2:$D$4,MATCH(E827,Risk_Matrix!$A$2:$A$4,0),MATCH(F827,Risk_Matrix!$B$1:$D$1,0))</f>
        <v>Medium</v>
      </c>
      <c r="H827" s="10">
        <v>46142</v>
      </c>
      <c r="I827" s="3" t="s">
        <v>981</v>
      </c>
      <c r="J827" s="3" t="s">
        <v>982</v>
      </c>
      <c r="K827" s="3" t="s">
        <v>969</v>
      </c>
      <c r="L827" s="3">
        <f>IF(G827="High",3,IF(G827="Medium",2,1))</f>
        <v>2</v>
      </c>
    </row>
    <row r="828" spans="1:12">
      <c r="A828" s="3" t="s">
        <v>1821</v>
      </c>
      <c r="B828" s="3" t="s">
        <v>614</v>
      </c>
      <c r="C828" s="3" t="s">
        <v>976</v>
      </c>
      <c r="D828" s="3" t="s">
        <v>1002</v>
      </c>
      <c r="E828" s="3" t="s">
        <v>47</v>
      </c>
      <c r="F828" s="3" t="s">
        <v>47</v>
      </c>
      <c r="G828" s="3" t="str">
        <f>INDEX(Risk_Matrix!$B$2:$D$4,MATCH(E828,Risk_Matrix!$A$2:$A$4,0),MATCH(F828,Risk_Matrix!$B$1:$D$1,0))</f>
        <v>Low</v>
      </c>
      <c r="H828" s="10">
        <v>46125</v>
      </c>
      <c r="I828" s="3" t="s">
        <v>981</v>
      </c>
      <c r="J828" s="3" t="s">
        <v>982</v>
      </c>
      <c r="K828" s="3" t="s">
        <v>993</v>
      </c>
      <c r="L828" s="3">
        <f>IF(G828="High",3,IF(G828="Medium",2,1))</f>
        <v>1</v>
      </c>
    </row>
    <row r="829" spans="1:12">
      <c r="A829" s="3" t="s">
        <v>1822</v>
      </c>
      <c r="B829" s="3" t="s">
        <v>614</v>
      </c>
      <c r="C829" s="3" t="s">
        <v>979</v>
      </c>
      <c r="D829" s="3" t="s">
        <v>1028</v>
      </c>
      <c r="E829" s="3" t="s">
        <v>942</v>
      </c>
      <c r="F829" s="3" t="s">
        <v>47</v>
      </c>
      <c r="G829" s="3" t="str">
        <f>INDEX(Risk_Matrix!$B$2:$D$4,MATCH(E829,Risk_Matrix!$A$2:$A$4,0),MATCH(F829,Risk_Matrix!$B$1:$D$1,0))</f>
        <v>Low</v>
      </c>
      <c r="H829" s="10">
        <v>46224</v>
      </c>
      <c r="I829" s="3" t="s">
        <v>973</v>
      </c>
      <c r="J829" s="3" t="s">
        <v>974</v>
      </c>
      <c r="K829" s="3" t="s">
        <v>1000</v>
      </c>
      <c r="L829" s="3">
        <f>IF(G829="High",3,IF(G829="Medium",2,1))</f>
        <v>1</v>
      </c>
    </row>
    <row r="830" spans="1:12">
      <c r="A830" s="3" t="s">
        <v>1823</v>
      </c>
      <c r="B830" s="3" t="s">
        <v>616</v>
      </c>
      <c r="C830" s="3" t="s">
        <v>956</v>
      </c>
      <c r="D830" s="3" t="s">
        <v>957</v>
      </c>
      <c r="E830" s="3" t="s">
        <v>47</v>
      </c>
      <c r="F830" s="3" t="s">
        <v>47</v>
      </c>
      <c r="G830" s="3" t="str">
        <f>INDEX(Risk_Matrix!$B$2:$D$4,MATCH(E830,Risk_Matrix!$A$2:$A$4,0),MATCH(F830,Risk_Matrix!$B$1:$D$1,0))</f>
        <v>Low</v>
      </c>
      <c r="H830" s="10">
        <v>46133</v>
      </c>
      <c r="I830" s="3" t="s">
        <v>973</v>
      </c>
      <c r="J830" s="3" t="s">
        <v>974</v>
      </c>
      <c r="K830" s="3" t="s">
        <v>983</v>
      </c>
      <c r="L830" s="3">
        <f>IF(G830="High",3,IF(G830="Medium",2,1))</f>
        <v>1</v>
      </c>
    </row>
    <row r="831" spans="1:12">
      <c r="A831" s="3" t="s">
        <v>1824</v>
      </c>
      <c r="B831" s="3" t="s">
        <v>616</v>
      </c>
      <c r="C831" s="3" t="s">
        <v>962</v>
      </c>
      <c r="D831" s="3" t="s">
        <v>963</v>
      </c>
      <c r="E831" s="3" t="s">
        <v>47</v>
      </c>
      <c r="F831" s="3" t="s">
        <v>47</v>
      </c>
      <c r="G831" s="3" t="str">
        <f>INDEX(Risk_Matrix!$B$2:$D$4,MATCH(E831,Risk_Matrix!$A$2:$A$4,0),MATCH(F831,Risk_Matrix!$B$1:$D$1,0))</f>
        <v>Low</v>
      </c>
      <c r="H831" s="10">
        <v>46080</v>
      </c>
      <c r="I831" s="3" t="s">
        <v>967</v>
      </c>
      <c r="J831" s="3" t="s">
        <v>968</v>
      </c>
      <c r="K831" s="3" t="s">
        <v>1000</v>
      </c>
      <c r="L831" s="3">
        <f>IF(G831="High",3,IF(G831="Medium",2,1))</f>
        <v>1</v>
      </c>
    </row>
    <row r="832" spans="1:12">
      <c r="A832" s="3" t="s">
        <v>1825</v>
      </c>
      <c r="B832" s="3" t="s">
        <v>616</v>
      </c>
      <c r="C832" s="3" t="s">
        <v>965</v>
      </c>
      <c r="D832" s="3" t="s">
        <v>1023</v>
      </c>
      <c r="E832" s="3" t="s">
        <v>47</v>
      </c>
      <c r="F832" s="3" t="s">
        <v>42</v>
      </c>
      <c r="G832" s="3" t="str">
        <f>INDEX(Risk_Matrix!$B$2:$D$4,MATCH(E832,Risk_Matrix!$A$2:$A$4,0),MATCH(F832,Risk_Matrix!$B$1:$D$1,0))</f>
        <v>Medium</v>
      </c>
      <c r="H832" s="10">
        <v>46122</v>
      </c>
      <c r="I832" s="3" t="s">
        <v>981</v>
      </c>
      <c r="J832" s="3" t="s">
        <v>982</v>
      </c>
      <c r="K832" s="3" t="s">
        <v>1000</v>
      </c>
      <c r="L832" s="3">
        <f>IF(G832="High",3,IF(G832="Medium",2,1))</f>
        <v>2</v>
      </c>
    </row>
    <row r="833" spans="1:12">
      <c r="A833" s="3" t="s">
        <v>1826</v>
      </c>
      <c r="B833" s="3" t="s">
        <v>616</v>
      </c>
      <c r="C833" s="3" t="s">
        <v>971</v>
      </c>
      <c r="D833" s="3" t="s">
        <v>1025</v>
      </c>
      <c r="E833" s="3" t="s">
        <v>942</v>
      </c>
      <c r="F833" s="3" t="s">
        <v>47</v>
      </c>
      <c r="G833" s="3" t="str">
        <f>INDEX(Risk_Matrix!$B$2:$D$4,MATCH(E833,Risk_Matrix!$A$2:$A$4,0),MATCH(F833,Risk_Matrix!$B$1:$D$1,0))</f>
        <v>Low</v>
      </c>
      <c r="H833" s="10">
        <v>46221</v>
      </c>
      <c r="I833" s="3" t="s">
        <v>973</v>
      </c>
      <c r="J833" s="3" t="s">
        <v>974</v>
      </c>
      <c r="K833" s="3" t="s">
        <v>1000</v>
      </c>
      <c r="L833" s="3">
        <f>IF(G833="High",3,IF(G833="Medium",2,1))</f>
        <v>1</v>
      </c>
    </row>
    <row r="834" spans="1:12">
      <c r="A834" s="3" t="s">
        <v>1827</v>
      </c>
      <c r="B834" s="3" t="s">
        <v>616</v>
      </c>
      <c r="C834" s="3" t="s">
        <v>976</v>
      </c>
      <c r="D834" s="3" t="s">
        <v>977</v>
      </c>
      <c r="E834" s="3" t="s">
        <v>42</v>
      </c>
      <c r="F834" s="3" t="s">
        <v>47</v>
      </c>
      <c r="G834" s="3" t="str">
        <f>INDEX(Risk_Matrix!$B$2:$D$4,MATCH(E834,Risk_Matrix!$A$2:$A$4,0),MATCH(F834,Risk_Matrix!$B$1:$D$1,0))</f>
        <v>Medium</v>
      </c>
      <c r="H834" s="10">
        <v>46148</v>
      </c>
      <c r="I834" s="3" t="s">
        <v>967</v>
      </c>
      <c r="J834" s="3" t="s">
        <v>968</v>
      </c>
      <c r="K834" s="3" t="s">
        <v>960</v>
      </c>
      <c r="L834" s="3">
        <f>IF(G834="High",3,IF(G834="Medium",2,1))</f>
        <v>2</v>
      </c>
    </row>
    <row r="835" spans="1:12">
      <c r="A835" s="3" t="s">
        <v>1828</v>
      </c>
      <c r="B835" s="3" t="s">
        <v>616</v>
      </c>
      <c r="C835" s="3" t="s">
        <v>979</v>
      </c>
      <c r="D835" s="3" t="s">
        <v>1028</v>
      </c>
      <c r="E835" s="3" t="s">
        <v>942</v>
      </c>
      <c r="F835" s="3" t="s">
        <v>47</v>
      </c>
      <c r="G835" s="3" t="str">
        <f>INDEX(Risk_Matrix!$B$2:$D$4,MATCH(E835,Risk_Matrix!$A$2:$A$4,0),MATCH(F835,Risk_Matrix!$B$1:$D$1,0))</f>
        <v>Low</v>
      </c>
      <c r="H835" s="10">
        <v>46227</v>
      </c>
      <c r="I835" s="3" t="s">
        <v>973</v>
      </c>
      <c r="J835" s="3" t="s">
        <v>974</v>
      </c>
      <c r="K835" s="3" t="s">
        <v>993</v>
      </c>
      <c r="L835" s="3">
        <f>IF(G835="High",3,IF(G835="Medium",2,1))</f>
        <v>1</v>
      </c>
    </row>
    <row r="836" spans="1:12">
      <c r="A836" s="3" t="s">
        <v>1829</v>
      </c>
      <c r="B836" s="3" t="s">
        <v>618</v>
      </c>
      <c r="C836" s="3" t="s">
        <v>956</v>
      </c>
      <c r="D836" s="3" t="s">
        <v>1020</v>
      </c>
      <c r="E836" s="3" t="s">
        <v>47</v>
      </c>
      <c r="F836" s="3" t="s">
        <v>47</v>
      </c>
      <c r="G836" s="3" t="str">
        <f>INDEX(Risk_Matrix!$B$2:$D$4,MATCH(E836,Risk_Matrix!$A$2:$A$4,0),MATCH(F836,Risk_Matrix!$B$1:$D$1,0))</f>
        <v>Low</v>
      </c>
      <c r="H836" s="10">
        <v>46147</v>
      </c>
      <c r="I836" s="3" t="s">
        <v>958</v>
      </c>
      <c r="J836" s="3" t="s">
        <v>959</v>
      </c>
      <c r="K836" s="3" t="s">
        <v>969</v>
      </c>
      <c r="L836" s="3">
        <f>IF(G836="High",3,IF(G836="Medium",2,1))</f>
        <v>1</v>
      </c>
    </row>
    <row r="837" spans="1:12">
      <c r="A837" s="3" t="s">
        <v>1830</v>
      </c>
      <c r="B837" s="3" t="s">
        <v>618</v>
      </c>
      <c r="C837" s="3" t="s">
        <v>962</v>
      </c>
      <c r="D837" s="3" t="s">
        <v>1037</v>
      </c>
      <c r="E837" s="3" t="s">
        <v>47</v>
      </c>
      <c r="F837" s="3" t="s">
        <v>47</v>
      </c>
      <c r="G837" s="3" t="str">
        <f>INDEX(Risk_Matrix!$B$2:$D$4,MATCH(E837,Risk_Matrix!$A$2:$A$4,0),MATCH(F837,Risk_Matrix!$B$1:$D$1,0))</f>
        <v>Low</v>
      </c>
      <c r="H837" s="10">
        <v>46144</v>
      </c>
      <c r="I837" s="3" t="s">
        <v>973</v>
      </c>
      <c r="J837" s="3" t="s">
        <v>974</v>
      </c>
      <c r="K837" s="3" t="s">
        <v>993</v>
      </c>
      <c r="L837" s="3">
        <f>IF(G837="High",3,IF(G837="Medium",2,1))</f>
        <v>1</v>
      </c>
    </row>
    <row r="838" spans="1:12">
      <c r="A838" s="3" t="s">
        <v>1831</v>
      </c>
      <c r="B838" s="3" t="s">
        <v>618</v>
      </c>
      <c r="C838" s="3" t="s">
        <v>965</v>
      </c>
      <c r="D838" s="3" t="s">
        <v>1039</v>
      </c>
      <c r="E838" s="3" t="s">
        <v>47</v>
      </c>
      <c r="F838" s="3" t="s">
        <v>942</v>
      </c>
      <c r="G838" s="3" t="str">
        <f>INDEX(Risk_Matrix!$B$2:$D$4,MATCH(E838,Risk_Matrix!$A$2:$A$4,0),MATCH(F838,Risk_Matrix!$B$1:$D$1,0))</f>
        <v>Low</v>
      </c>
      <c r="H838" s="10">
        <v>46225</v>
      </c>
      <c r="I838" s="3" t="s">
        <v>981</v>
      </c>
      <c r="J838" s="3" t="s">
        <v>982</v>
      </c>
      <c r="K838" s="3" t="s">
        <v>960</v>
      </c>
      <c r="L838" s="3">
        <f>IF(G838="High",3,IF(G838="Medium",2,1))</f>
        <v>1</v>
      </c>
    </row>
    <row r="839" spans="1:12">
      <c r="A839" s="3" t="s">
        <v>1832</v>
      </c>
      <c r="B839" s="3" t="s">
        <v>618</v>
      </c>
      <c r="C839" s="3" t="s">
        <v>971</v>
      </c>
      <c r="D839" s="3" t="s">
        <v>1025</v>
      </c>
      <c r="E839" s="3" t="s">
        <v>47</v>
      </c>
      <c r="F839" s="3" t="s">
        <v>47</v>
      </c>
      <c r="G839" s="3" t="str">
        <f>INDEX(Risk_Matrix!$B$2:$D$4,MATCH(E839,Risk_Matrix!$A$2:$A$4,0),MATCH(F839,Risk_Matrix!$B$1:$D$1,0))</f>
        <v>Low</v>
      </c>
      <c r="H839" s="10">
        <v>46221</v>
      </c>
      <c r="I839" s="3" t="s">
        <v>981</v>
      </c>
      <c r="J839" s="3" t="s">
        <v>982</v>
      </c>
      <c r="K839" s="3" t="s">
        <v>969</v>
      </c>
      <c r="L839" s="3">
        <f>IF(G839="High",3,IF(G839="Medium",2,1))</f>
        <v>1</v>
      </c>
    </row>
    <row r="840" spans="1:12">
      <c r="A840" s="3" t="s">
        <v>1833</v>
      </c>
      <c r="B840" s="3" t="s">
        <v>618</v>
      </c>
      <c r="C840" s="3" t="s">
        <v>976</v>
      </c>
      <c r="D840" s="3" t="s">
        <v>977</v>
      </c>
      <c r="E840" s="3" t="s">
        <v>942</v>
      </c>
      <c r="F840" s="3" t="s">
        <v>942</v>
      </c>
      <c r="G840" s="3" t="str">
        <f>INDEX(Risk_Matrix!$B$2:$D$4,MATCH(E840,Risk_Matrix!$A$2:$A$4,0),MATCH(F840,Risk_Matrix!$B$1:$D$1,0))</f>
        <v>Medium</v>
      </c>
      <c r="H840" s="10">
        <v>46085</v>
      </c>
      <c r="I840" s="3" t="s">
        <v>958</v>
      </c>
      <c r="J840" s="3" t="s">
        <v>959</v>
      </c>
      <c r="K840" s="3" t="s">
        <v>969</v>
      </c>
      <c r="L840" s="3">
        <f>IF(G840="High",3,IF(G840="Medium",2,1))</f>
        <v>2</v>
      </c>
    </row>
    <row r="841" spans="1:12">
      <c r="A841" s="3" t="s">
        <v>1834</v>
      </c>
      <c r="B841" s="3" t="s">
        <v>618</v>
      </c>
      <c r="C841" s="3" t="s">
        <v>979</v>
      </c>
      <c r="D841" s="3" t="s">
        <v>980</v>
      </c>
      <c r="E841" s="3" t="s">
        <v>942</v>
      </c>
      <c r="F841" s="3" t="s">
        <v>47</v>
      </c>
      <c r="G841" s="3" t="str">
        <f>INDEX(Risk_Matrix!$B$2:$D$4,MATCH(E841,Risk_Matrix!$A$2:$A$4,0),MATCH(F841,Risk_Matrix!$B$1:$D$1,0))</f>
        <v>Low</v>
      </c>
      <c r="H841" s="10">
        <v>46154</v>
      </c>
      <c r="I841" s="3" t="s">
        <v>973</v>
      </c>
      <c r="J841" s="3" t="s">
        <v>974</v>
      </c>
      <c r="K841" s="3" t="s">
        <v>983</v>
      </c>
      <c r="L841" s="3">
        <f>IF(G841="High",3,IF(G841="Medium",2,1))</f>
        <v>1</v>
      </c>
    </row>
    <row r="842" spans="1:12">
      <c r="A842" s="3" t="s">
        <v>1835</v>
      </c>
      <c r="B842" s="3" t="s">
        <v>620</v>
      </c>
      <c r="C842" s="3" t="s">
        <v>956</v>
      </c>
      <c r="D842" s="3" t="s">
        <v>957</v>
      </c>
      <c r="E842" s="3" t="s">
        <v>47</v>
      </c>
      <c r="F842" s="3" t="s">
        <v>942</v>
      </c>
      <c r="G842" s="3" t="str">
        <f>INDEX(Risk_Matrix!$B$2:$D$4,MATCH(E842,Risk_Matrix!$A$2:$A$4,0),MATCH(F842,Risk_Matrix!$B$1:$D$1,0))</f>
        <v>Low</v>
      </c>
      <c r="H842" s="10">
        <v>46182</v>
      </c>
      <c r="I842" s="3" t="s">
        <v>973</v>
      </c>
      <c r="J842" s="3" t="s">
        <v>974</v>
      </c>
      <c r="K842" s="3" t="s">
        <v>993</v>
      </c>
      <c r="L842" s="3">
        <f>IF(G842="High",3,IF(G842="Medium",2,1))</f>
        <v>1</v>
      </c>
    </row>
    <row r="843" spans="1:12">
      <c r="A843" s="3" t="s">
        <v>1836</v>
      </c>
      <c r="B843" s="3" t="s">
        <v>620</v>
      </c>
      <c r="C843" s="3" t="s">
        <v>962</v>
      </c>
      <c r="D843" s="3" t="s">
        <v>1037</v>
      </c>
      <c r="E843" s="3" t="s">
        <v>942</v>
      </c>
      <c r="F843" s="3" t="s">
        <v>47</v>
      </c>
      <c r="G843" s="3" t="str">
        <f>INDEX(Risk_Matrix!$B$2:$D$4,MATCH(E843,Risk_Matrix!$A$2:$A$4,0),MATCH(F843,Risk_Matrix!$B$1:$D$1,0))</f>
        <v>Low</v>
      </c>
      <c r="H843" s="10">
        <v>46115</v>
      </c>
      <c r="I843" s="3" t="s">
        <v>973</v>
      </c>
      <c r="J843" s="3" t="s">
        <v>974</v>
      </c>
      <c r="K843" s="3" t="s">
        <v>969</v>
      </c>
      <c r="L843" s="3">
        <f>IF(G843="High",3,IF(G843="Medium",2,1))</f>
        <v>1</v>
      </c>
    </row>
    <row r="844" spans="1:12">
      <c r="A844" s="3" t="s">
        <v>1837</v>
      </c>
      <c r="B844" s="3" t="s">
        <v>620</v>
      </c>
      <c r="C844" s="3" t="s">
        <v>965</v>
      </c>
      <c r="D844" s="3" t="s">
        <v>988</v>
      </c>
      <c r="E844" s="3" t="s">
        <v>47</v>
      </c>
      <c r="F844" s="3" t="s">
        <v>47</v>
      </c>
      <c r="G844" s="3" t="str">
        <f>INDEX(Risk_Matrix!$B$2:$D$4,MATCH(E844,Risk_Matrix!$A$2:$A$4,0),MATCH(F844,Risk_Matrix!$B$1:$D$1,0))</f>
        <v>Low</v>
      </c>
      <c r="H844" s="10">
        <v>46146</v>
      </c>
      <c r="I844" s="3" t="s">
        <v>958</v>
      </c>
      <c r="J844" s="3" t="s">
        <v>959</v>
      </c>
      <c r="K844" s="3" t="s">
        <v>993</v>
      </c>
      <c r="L844" s="3">
        <f>IF(G844="High",3,IF(G844="Medium",2,1))</f>
        <v>1</v>
      </c>
    </row>
    <row r="845" spans="1:12">
      <c r="A845" s="3" t="s">
        <v>1838</v>
      </c>
      <c r="B845" s="3" t="s">
        <v>620</v>
      </c>
      <c r="C845" s="3" t="s">
        <v>971</v>
      </c>
      <c r="D845" s="3" t="s">
        <v>972</v>
      </c>
      <c r="E845" s="3" t="s">
        <v>47</v>
      </c>
      <c r="F845" s="3" t="s">
        <v>942</v>
      </c>
      <c r="G845" s="3" t="str">
        <f>INDEX(Risk_Matrix!$B$2:$D$4,MATCH(E845,Risk_Matrix!$A$2:$A$4,0),MATCH(F845,Risk_Matrix!$B$1:$D$1,0))</f>
        <v>Low</v>
      </c>
      <c r="H845" s="10">
        <v>46126</v>
      </c>
      <c r="I845" s="3" t="s">
        <v>973</v>
      </c>
      <c r="J845" s="3" t="s">
        <v>974</v>
      </c>
      <c r="K845" s="3" t="s">
        <v>983</v>
      </c>
      <c r="L845" s="3">
        <f>IF(G845="High",3,IF(G845="Medium",2,1))</f>
        <v>1</v>
      </c>
    </row>
    <row r="846" spans="1:12">
      <c r="A846" s="3" t="s">
        <v>1839</v>
      </c>
      <c r="B846" s="3" t="s">
        <v>620</v>
      </c>
      <c r="C846" s="3" t="s">
        <v>976</v>
      </c>
      <c r="D846" s="3" t="s">
        <v>1002</v>
      </c>
      <c r="E846" s="3" t="s">
        <v>942</v>
      </c>
      <c r="F846" s="3" t="s">
        <v>942</v>
      </c>
      <c r="G846" s="3" t="str">
        <f>INDEX(Risk_Matrix!$B$2:$D$4,MATCH(E846,Risk_Matrix!$A$2:$A$4,0),MATCH(F846,Risk_Matrix!$B$1:$D$1,0))</f>
        <v>Medium</v>
      </c>
      <c r="H846" s="10">
        <v>46231</v>
      </c>
      <c r="I846" s="3" t="s">
        <v>973</v>
      </c>
      <c r="J846" s="3" t="s">
        <v>974</v>
      </c>
      <c r="K846" s="3" t="s">
        <v>983</v>
      </c>
      <c r="L846" s="3">
        <f>IF(G846="High",3,IF(G846="Medium",2,1))</f>
        <v>2</v>
      </c>
    </row>
    <row r="847" spans="1:12">
      <c r="A847" s="3" t="s">
        <v>1840</v>
      </c>
      <c r="B847" s="3" t="s">
        <v>620</v>
      </c>
      <c r="C847" s="3" t="s">
        <v>979</v>
      </c>
      <c r="D847" s="3" t="s">
        <v>1004</v>
      </c>
      <c r="E847" s="3" t="s">
        <v>47</v>
      </c>
      <c r="F847" s="3" t="s">
        <v>47</v>
      </c>
      <c r="G847" s="3" t="str">
        <f>INDEX(Risk_Matrix!$B$2:$D$4,MATCH(E847,Risk_Matrix!$A$2:$A$4,0),MATCH(F847,Risk_Matrix!$B$1:$D$1,0))</f>
        <v>Low</v>
      </c>
      <c r="H847" s="10">
        <v>46194</v>
      </c>
      <c r="I847" s="3" t="s">
        <v>973</v>
      </c>
      <c r="J847" s="3" t="s">
        <v>974</v>
      </c>
      <c r="K847" s="3" t="s">
        <v>969</v>
      </c>
      <c r="L847" s="3">
        <f>IF(G847="High",3,IF(G847="Medium",2,1))</f>
        <v>1</v>
      </c>
    </row>
    <row r="848" spans="1:12">
      <c r="A848" s="3" t="s">
        <v>1841</v>
      </c>
      <c r="B848" s="3" t="s">
        <v>622</v>
      </c>
      <c r="C848" s="3" t="s">
        <v>956</v>
      </c>
      <c r="D848" s="3" t="s">
        <v>1020</v>
      </c>
      <c r="E848" s="3" t="s">
        <v>47</v>
      </c>
      <c r="F848" s="3" t="s">
        <v>47</v>
      </c>
      <c r="G848" s="3" t="str">
        <f>INDEX(Risk_Matrix!$B$2:$D$4,MATCH(E848,Risk_Matrix!$A$2:$A$4,0),MATCH(F848,Risk_Matrix!$B$1:$D$1,0))</f>
        <v>Low</v>
      </c>
      <c r="H848" s="10">
        <v>46213</v>
      </c>
      <c r="I848" s="3" t="s">
        <v>981</v>
      </c>
      <c r="J848" s="3" t="s">
        <v>982</v>
      </c>
      <c r="K848" s="3" t="s">
        <v>993</v>
      </c>
      <c r="L848" s="3">
        <f>IF(G848="High",3,IF(G848="Medium",2,1))</f>
        <v>1</v>
      </c>
    </row>
    <row r="849" spans="1:12">
      <c r="A849" s="3" t="s">
        <v>1842</v>
      </c>
      <c r="B849" s="3" t="s">
        <v>622</v>
      </c>
      <c r="C849" s="3" t="s">
        <v>962</v>
      </c>
      <c r="D849" s="3" t="s">
        <v>1037</v>
      </c>
      <c r="E849" s="3" t="s">
        <v>47</v>
      </c>
      <c r="F849" s="3" t="s">
        <v>942</v>
      </c>
      <c r="G849" s="3" t="str">
        <f>INDEX(Risk_Matrix!$B$2:$D$4,MATCH(E849,Risk_Matrix!$A$2:$A$4,0),MATCH(F849,Risk_Matrix!$B$1:$D$1,0))</f>
        <v>Low</v>
      </c>
      <c r="H849" s="10">
        <v>46185</v>
      </c>
      <c r="I849" s="3" t="s">
        <v>973</v>
      </c>
      <c r="J849" s="3" t="s">
        <v>974</v>
      </c>
      <c r="K849" s="3" t="s">
        <v>969</v>
      </c>
      <c r="L849" s="3">
        <f>IF(G849="High",3,IF(G849="Medium",2,1))</f>
        <v>1</v>
      </c>
    </row>
    <row r="850" spans="1:12">
      <c r="A850" s="3" t="s">
        <v>1843</v>
      </c>
      <c r="B850" s="3" t="s">
        <v>622</v>
      </c>
      <c r="C850" s="3" t="s">
        <v>965</v>
      </c>
      <c r="D850" s="3" t="s">
        <v>988</v>
      </c>
      <c r="E850" s="3" t="s">
        <v>47</v>
      </c>
      <c r="F850" s="3" t="s">
        <v>942</v>
      </c>
      <c r="G850" s="3" t="str">
        <f>INDEX(Risk_Matrix!$B$2:$D$4,MATCH(E850,Risk_Matrix!$A$2:$A$4,0),MATCH(F850,Risk_Matrix!$B$1:$D$1,0))</f>
        <v>Low</v>
      </c>
      <c r="H850" s="10">
        <v>46104</v>
      </c>
      <c r="I850" s="3" t="s">
        <v>967</v>
      </c>
      <c r="J850" s="3" t="s">
        <v>968</v>
      </c>
      <c r="K850" s="3" t="s">
        <v>1000</v>
      </c>
      <c r="L850" s="3">
        <f>IF(G850="High",3,IF(G850="Medium",2,1))</f>
        <v>1</v>
      </c>
    </row>
    <row r="851" spans="1:12">
      <c r="A851" s="3" t="s">
        <v>1844</v>
      </c>
      <c r="B851" s="3" t="s">
        <v>622</v>
      </c>
      <c r="C851" s="3" t="s">
        <v>971</v>
      </c>
      <c r="D851" s="3" t="s">
        <v>1025</v>
      </c>
      <c r="E851" s="3" t="s">
        <v>42</v>
      </c>
      <c r="F851" s="3" t="s">
        <v>47</v>
      </c>
      <c r="G851" s="3" t="str">
        <f>INDEX(Risk_Matrix!$B$2:$D$4,MATCH(E851,Risk_Matrix!$A$2:$A$4,0),MATCH(F851,Risk_Matrix!$B$1:$D$1,0))</f>
        <v>Medium</v>
      </c>
      <c r="H851" s="10">
        <v>46205</v>
      </c>
      <c r="I851" s="3" t="s">
        <v>973</v>
      </c>
      <c r="J851" s="3" t="s">
        <v>974</v>
      </c>
      <c r="K851" s="3" t="s">
        <v>983</v>
      </c>
      <c r="L851" s="3">
        <f>IF(G851="High",3,IF(G851="Medium",2,1))</f>
        <v>2</v>
      </c>
    </row>
    <row r="852" spans="1:12">
      <c r="A852" s="3" t="s">
        <v>1845</v>
      </c>
      <c r="B852" s="3" t="s">
        <v>622</v>
      </c>
      <c r="C852" s="3" t="s">
        <v>976</v>
      </c>
      <c r="D852" s="3" t="s">
        <v>977</v>
      </c>
      <c r="E852" s="3" t="s">
        <v>942</v>
      </c>
      <c r="F852" s="3" t="s">
        <v>942</v>
      </c>
      <c r="G852" s="3" t="str">
        <f>INDEX(Risk_Matrix!$B$2:$D$4,MATCH(E852,Risk_Matrix!$A$2:$A$4,0),MATCH(F852,Risk_Matrix!$B$1:$D$1,0))</f>
        <v>Medium</v>
      </c>
      <c r="H852" s="10">
        <v>46129</v>
      </c>
      <c r="I852" s="3" t="s">
        <v>973</v>
      </c>
      <c r="J852" s="3" t="s">
        <v>974</v>
      </c>
      <c r="K852" s="3" t="s">
        <v>983</v>
      </c>
      <c r="L852" s="3">
        <f>IF(G852="High",3,IF(G852="Medium",2,1))</f>
        <v>2</v>
      </c>
    </row>
    <row r="853" spans="1:12">
      <c r="A853" s="3" t="s">
        <v>1846</v>
      </c>
      <c r="B853" s="3" t="s">
        <v>622</v>
      </c>
      <c r="C853" s="3" t="s">
        <v>979</v>
      </c>
      <c r="D853" s="3" t="s">
        <v>1004</v>
      </c>
      <c r="E853" s="3" t="s">
        <v>942</v>
      </c>
      <c r="F853" s="3" t="s">
        <v>942</v>
      </c>
      <c r="G853" s="3" t="str">
        <f>INDEX(Risk_Matrix!$B$2:$D$4,MATCH(E853,Risk_Matrix!$A$2:$A$4,0),MATCH(F853,Risk_Matrix!$B$1:$D$1,0))</f>
        <v>Medium</v>
      </c>
      <c r="H853" s="10">
        <v>46163</v>
      </c>
      <c r="I853" s="3" t="s">
        <v>981</v>
      </c>
      <c r="J853" s="3" t="s">
        <v>982</v>
      </c>
      <c r="K853" s="3" t="s">
        <v>983</v>
      </c>
      <c r="L853" s="3">
        <f>IF(G853="High",3,IF(G853="Medium",2,1))</f>
        <v>2</v>
      </c>
    </row>
    <row r="854" spans="1:12">
      <c r="A854" s="3" t="s">
        <v>1847</v>
      </c>
      <c r="B854" s="3" t="s">
        <v>624</v>
      </c>
      <c r="C854" s="3" t="s">
        <v>956</v>
      </c>
      <c r="D854" s="3" t="s">
        <v>995</v>
      </c>
      <c r="E854" s="3" t="s">
        <v>47</v>
      </c>
      <c r="F854" s="3" t="s">
        <v>942</v>
      </c>
      <c r="G854" s="3" t="str">
        <f>INDEX(Risk_Matrix!$B$2:$D$4,MATCH(E854,Risk_Matrix!$A$2:$A$4,0),MATCH(F854,Risk_Matrix!$B$1:$D$1,0))</f>
        <v>Low</v>
      </c>
      <c r="H854" s="10">
        <v>46206</v>
      </c>
      <c r="I854" s="3" t="s">
        <v>973</v>
      </c>
      <c r="J854" s="3" t="s">
        <v>974</v>
      </c>
      <c r="K854" s="3" t="s">
        <v>1000</v>
      </c>
      <c r="L854" s="3">
        <f>IF(G854="High",3,IF(G854="Medium",2,1))</f>
        <v>1</v>
      </c>
    </row>
    <row r="855" spans="1:12">
      <c r="A855" s="3" t="s">
        <v>1848</v>
      </c>
      <c r="B855" s="3" t="s">
        <v>624</v>
      </c>
      <c r="C855" s="3" t="s">
        <v>962</v>
      </c>
      <c r="D855" s="3" t="s">
        <v>997</v>
      </c>
      <c r="E855" s="3" t="s">
        <v>47</v>
      </c>
      <c r="F855" s="3" t="s">
        <v>47</v>
      </c>
      <c r="G855" s="3" t="str">
        <f>INDEX(Risk_Matrix!$B$2:$D$4,MATCH(E855,Risk_Matrix!$A$2:$A$4,0),MATCH(F855,Risk_Matrix!$B$1:$D$1,0))</f>
        <v>Low</v>
      </c>
      <c r="H855" s="10">
        <v>46069</v>
      </c>
      <c r="I855" s="3" t="s">
        <v>967</v>
      </c>
      <c r="J855" s="3" t="s">
        <v>968</v>
      </c>
      <c r="K855" s="3" t="s">
        <v>1000</v>
      </c>
      <c r="L855" s="3">
        <f>IF(G855="High",3,IF(G855="Medium",2,1))</f>
        <v>1</v>
      </c>
    </row>
    <row r="856" spans="1:12">
      <c r="A856" s="3" t="s">
        <v>1849</v>
      </c>
      <c r="B856" s="3" t="s">
        <v>624</v>
      </c>
      <c r="C856" s="3" t="s">
        <v>965</v>
      </c>
      <c r="D856" s="3" t="s">
        <v>1023</v>
      </c>
      <c r="E856" s="3" t="s">
        <v>47</v>
      </c>
      <c r="F856" s="3" t="s">
        <v>47</v>
      </c>
      <c r="G856" s="3" t="str">
        <f>INDEX(Risk_Matrix!$B$2:$D$4,MATCH(E856,Risk_Matrix!$A$2:$A$4,0),MATCH(F856,Risk_Matrix!$B$1:$D$1,0))</f>
        <v>Low</v>
      </c>
      <c r="H856" s="10">
        <v>46108</v>
      </c>
      <c r="I856" s="3" t="s">
        <v>981</v>
      </c>
      <c r="J856" s="3" t="s">
        <v>982</v>
      </c>
      <c r="K856" s="3" t="s">
        <v>969</v>
      </c>
      <c r="L856" s="3">
        <f>IF(G856="High",3,IF(G856="Medium",2,1))</f>
        <v>1</v>
      </c>
    </row>
    <row r="857" spans="1:12">
      <c r="A857" s="3" t="s">
        <v>1850</v>
      </c>
      <c r="B857" s="3" t="s">
        <v>624</v>
      </c>
      <c r="C857" s="3" t="s">
        <v>971</v>
      </c>
      <c r="D857" s="3" t="s">
        <v>1025</v>
      </c>
      <c r="E857" s="3" t="s">
        <v>942</v>
      </c>
      <c r="F857" s="3" t="s">
        <v>47</v>
      </c>
      <c r="G857" s="3" t="str">
        <f>INDEX(Risk_Matrix!$B$2:$D$4,MATCH(E857,Risk_Matrix!$A$2:$A$4,0),MATCH(F857,Risk_Matrix!$B$1:$D$1,0))</f>
        <v>Low</v>
      </c>
      <c r="H857" s="10">
        <v>46104</v>
      </c>
      <c r="I857" s="3" t="s">
        <v>967</v>
      </c>
      <c r="J857" s="3" t="s">
        <v>968</v>
      </c>
      <c r="K857" s="3" t="s">
        <v>960</v>
      </c>
      <c r="L857" s="3">
        <f>IF(G857="High",3,IF(G857="Medium",2,1))</f>
        <v>1</v>
      </c>
    </row>
    <row r="858" spans="1:12">
      <c r="A858" s="3" t="s">
        <v>1851</v>
      </c>
      <c r="B858" s="3" t="s">
        <v>624</v>
      </c>
      <c r="C858" s="3" t="s">
        <v>976</v>
      </c>
      <c r="D858" s="3" t="s">
        <v>1002</v>
      </c>
      <c r="E858" s="3" t="s">
        <v>42</v>
      </c>
      <c r="F858" s="3" t="s">
        <v>47</v>
      </c>
      <c r="G858" s="3" t="str">
        <f>INDEX(Risk_Matrix!$B$2:$D$4,MATCH(E858,Risk_Matrix!$A$2:$A$4,0),MATCH(F858,Risk_Matrix!$B$1:$D$1,0))</f>
        <v>Medium</v>
      </c>
      <c r="H858" s="10">
        <v>46075</v>
      </c>
      <c r="I858" s="3" t="s">
        <v>967</v>
      </c>
      <c r="J858" s="3" t="s">
        <v>968</v>
      </c>
      <c r="K858" s="3" t="s">
        <v>1000</v>
      </c>
      <c r="L858" s="3">
        <f>IF(G858="High",3,IF(G858="Medium",2,1))</f>
        <v>2</v>
      </c>
    </row>
    <row r="859" spans="1:12">
      <c r="A859" s="3" t="s">
        <v>1852</v>
      </c>
      <c r="B859" s="3" t="s">
        <v>624</v>
      </c>
      <c r="C859" s="3" t="s">
        <v>979</v>
      </c>
      <c r="D859" s="3" t="s">
        <v>980</v>
      </c>
      <c r="E859" s="3" t="s">
        <v>47</v>
      </c>
      <c r="F859" s="3" t="s">
        <v>47</v>
      </c>
      <c r="G859" s="3" t="str">
        <f>INDEX(Risk_Matrix!$B$2:$D$4,MATCH(E859,Risk_Matrix!$A$2:$A$4,0),MATCH(F859,Risk_Matrix!$B$1:$D$1,0))</f>
        <v>Low</v>
      </c>
      <c r="H859" s="10">
        <v>46178</v>
      </c>
      <c r="I859" s="3" t="s">
        <v>973</v>
      </c>
      <c r="J859" s="3" t="s">
        <v>974</v>
      </c>
      <c r="K859" s="3" t="s">
        <v>960</v>
      </c>
      <c r="L859" s="3">
        <f>IF(G859="High",3,IF(G859="Medium",2,1))</f>
        <v>1</v>
      </c>
    </row>
    <row r="860" spans="1:12">
      <c r="A860" s="3" t="s">
        <v>1853</v>
      </c>
      <c r="B860" s="3" t="s">
        <v>625</v>
      </c>
      <c r="C860" s="3" t="s">
        <v>956</v>
      </c>
      <c r="D860" s="3" t="s">
        <v>1020</v>
      </c>
      <c r="E860" s="3" t="s">
        <v>47</v>
      </c>
      <c r="F860" s="3" t="s">
        <v>42</v>
      </c>
      <c r="G860" s="3" t="str">
        <f>INDEX(Risk_Matrix!$B$2:$D$4,MATCH(E860,Risk_Matrix!$A$2:$A$4,0),MATCH(F860,Risk_Matrix!$B$1:$D$1,0))</f>
        <v>Medium</v>
      </c>
      <c r="H860" s="10">
        <v>46143</v>
      </c>
      <c r="I860" s="3" t="s">
        <v>967</v>
      </c>
      <c r="J860" s="3" t="s">
        <v>968</v>
      </c>
      <c r="K860" s="3" t="s">
        <v>969</v>
      </c>
      <c r="L860" s="3">
        <f>IF(G860="High",3,IF(G860="Medium",2,1))</f>
        <v>2</v>
      </c>
    </row>
    <row r="861" spans="1:12">
      <c r="A861" s="3" t="s">
        <v>1854</v>
      </c>
      <c r="B861" s="3" t="s">
        <v>625</v>
      </c>
      <c r="C861" s="3" t="s">
        <v>962</v>
      </c>
      <c r="D861" s="3" t="s">
        <v>963</v>
      </c>
      <c r="E861" s="3" t="s">
        <v>47</v>
      </c>
      <c r="F861" s="3" t="s">
        <v>47</v>
      </c>
      <c r="G861" s="3" t="str">
        <f>INDEX(Risk_Matrix!$B$2:$D$4,MATCH(E861,Risk_Matrix!$A$2:$A$4,0),MATCH(F861,Risk_Matrix!$B$1:$D$1,0))</f>
        <v>Low</v>
      </c>
      <c r="H861" s="10">
        <v>46148</v>
      </c>
      <c r="I861" s="3" t="s">
        <v>967</v>
      </c>
      <c r="J861" s="3" t="s">
        <v>968</v>
      </c>
      <c r="K861" s="3" t="s">
        <v>983</v>
      </c>
      <c r="L861" s="3">
        <f>IF(G861="High",3,IF(G861="Medium",2,1))</f>
        <v>1</v>
      </c>
    </row>
    <row r="862" spans="1:12">
      <c r="A862" s="3" t="s">
        <v>1855</v>
      </c>
      <c r="B862" s="3" t="s">
        <v>625</v>
      </c>
      <c r="C862" s="3" t="s">
        <v>965</v>
      </c>
      <c r="D862" s="3" t="s">
        <v>1023</v>
      </c>
      <c r="E862" s="3" t="s">
        <v>47</v>
      </c>
      <c r="F862" s="3" t="s">
        <v>942</v>
      </c>
      <c r="G862" s="3" t="str">
        <f>INDEX(Risk_Matrix!$B$2:$D$4,MATCH(E862,Risk_Matrix!$A$2:$A$4,0),MATCH(F862,Risk_Matrix!$B$1:$D$1,0))</f>
        <v>Low</v>
      </c>
      <c r="H862" s="10">
        <v>46119</v>
      </c>
      <c r="I862" s="3" t="s">
        <v>967</v>
      </c>
      <c r="J862" s="3" t="s">
        <v>968</v>
      </c>
      <c r="K862" s="3" t="s">
        <v>960</v>
      </c>
      <c r="L862" s="3">
        <f>IF(G862="High",3,IF(G862="Medium",2,1))</f>
        <v>1</v>
      </c>
    </row>
    <row r="863" spans="1:12">
      <c r="A863" s="3" t="s">
        <v>1856</v>
      </c>
      <c r="B863" s="3" t="s">
        <v>625</v>
      </c>
      <c r="C863" s="3" t="s">
        <v>971</v>
      </c>
      <c r="D863" s="3" t="s">
        <v>1025</v>
      </c>
      <c r="E863" s="3" t="s">
        <v>47</v>
      </c>
      <c r="F863" s="3" t="s">
        <v>47</v>
      </c>
      <c r="G863" s="3" t="str">
        <f>INDEX(Risk_Matrix!$B$2:$D$4,MATCH(E863,Risk_Matrix!$A$2:$A$4,0),MATCH(F863,Risk_Matrix!$B$1:$D$1,0))</f>
        <v>Low</v>
      </c>
      <c r="H863" s="10">
        <v>46232</v>
      </c>
      <c r="I863" s="3" t="s">
        <v>973</v>
      </c>
      <c r="J863" s="3" t="s">
        <v>974</v>
      </c>
      <c r="K863" s="3" t="s">
        <v>983</v>
      </c>
      <c r="L863" s="3">
        <f>IF(G863="High",3,IF(G863="Medium",2,1))</f>
        <v>1</v>
      </c>
    </row>
    <row r="864" spans="1:12">
      <c r="A864" s="3" t="s">
        <v>1857</v>
      </c>
      <c r="B864" s="3" t="s">
        <v>625</v>
      </c>
      <c r="C864" s="3" t="s">
        <v>976</v>
      </c>
      <c r="D864" s="3" t="s">
        <v>991</v>
      </c>
      <c r="E864" s="3" t="s">
        <v>47</v>
      </c>
      <c r="F864" s="3" t="s">
        <v>942</v>
      </c>
      <c r="G864" s="3" t="str">
        <f>INDEX(Risk_Matrix!$B$2:$D$4,MATCH(E864,Risk_Matrix!$A$2:$A$4,0),MATCH(F864,Risk_Matrix!$B$1:$D$1,0))</f>
        <v>Low</v>
      </c>
      <c r="H864" s="10">
        <v>46217</v>
      </c>
      <c r="I864" s="3" t="s">
        <v>973</v>
      </c>
      <c r="J864" s="3" t="s">
        <v>974</v>
      </c>
      <c r="K864" s="3" t="s">
        <v>969</v>
      </c>
      <c r="L864" s="3">
        <f>IF(G864="High",3,IF(G864="Medium",2,1))</f>
        <v>1</v>
      </c>
    </row>
    <row r="865" spans="1:12">
      <c r="A865" s="3" t="s">
        <v>1858</v>
      </c>
      <c r="B865" s="3" t="s">
        <v>625</v>
      </c>
      <c r="C865" s="3" t="s">
        <v>979</v>
      </c>
      <c r="D865" s="3" t="s">
        <v>980</v>
      </c>
      <c r="E865" s="3" t="s">
        <v>942</v>
      </c>
      <c r="F865" s="3" t="s">
        <v>942</v>
      </c>
      <c r="G865" s="3" t="str">
        <f>INDEX(Risk_Matrix!$B$2:$D$4,MATCH(E865,Risk_Matrix!$A$2:$A$4,0),MATCH(F865,Risk_Matrix!$B$1:$D$1,0))</f>
        <v>Medium</v>
      </c>
      <c r="H865" s="10">
        <v>46180</v>
      </c>
      <c r="I865" s="3" t="s">
        <v>981</v>
      </c>
      <c r="J865" s="3" t="s">
        <v>982</v>
      </c>
      <c r="K865" s="3" t="s">
        <v>993</v>
      </c>
      <c r="L865" s="3">
        <f>IF(G865="High",3,IF(G865="Medium",2,1))</f>
        <v>2</v>
      </c>
    </row>
    <row r="866" spans="1:12">
      <c r="A866" s="3" t="s">
        <v>1859</v>
      </c>
      <c r="B866" s="3" t="s">
        <v>627</v>
      </c>
      <c r="C866" s="3" t="s">
        <v>956</v>
      </c>
      <c r="D866" s="3" t="s">
        <v>957</v>
      </c>
      <c r="E866" s="3" t="s">
        <v>47</v>
      </c>
      <c r="F866" s="3" t="s">
        <v>47</v>
      </c>
      <c r="G866" s="3" t="str">
        <f>INDEX(Risk_Matrix!$B$2:$D$4,MATCH(E866,Risk_Matrix!$A$2:$A$4,0),MATCH(F866,Risk_Matrix!$B$1:$D$1,0))</f>
        <v>Low</v>
      </c>
      <c r="H866" s="10">
        <v>46188</v>
      </c>
      <c r="I866" s="3" t="s">
        <v>973</v>
      </c>
      <c r="J866" s="3" t="s">
        <v>974</v>
      </c>
      <c r="K866" s="3" t="s">
        <v>969</v>
      </c>
      <c r="L866" s="3">
        <f>IF(G866="High",3,IF(G866="Medium",2,1))</f>
        <v>1</v>
      </c>
    </row>
    <row r="867" spans="1:12">
      <c r="A867" s="3" t="s">
        <v>1860</v>
      </c>
      <c r="B867" s="3" t="s">
        <v>627</v>
      </c>
      <c r="C867" s="3" t="s">
        <v>962</v>
      </c>
      <c r="D867" s="3" t="s">
        <v>986</v>
      </c>
      <c r="E867" s="3" t="s">
        <v>47</v>
      </c>
      <c r="F867" s="3" t="s">
        <v>942</v>
      </c>
      <c r="G867" s="3" t="str">
        <f>INDEX(Risk_Matrix!$B$2:$D$4,MATCH(E867,Risk_Matrix!$A$2:$A$4,0),MATCH(F867,Risk_Matrix!$B$1:$D$1,0))</f>
        <v>Low</v>
      </c>
      <c r="H867" s="10">
        <v>46168</v>
      </c>
      <c r="I867" s="3" t="s">
        <v>967</v>
      </c>
      <c r="J867" s="3" t="s">
        <v>968</v>
      </c>
      <c r="K867" s="3" t="s">
        <v>983</v>
      </c>
      <c r="L867" s="3">
        <f>IF(G867="High",3,IF(G867="Medium",2,1))</f>
        <v>1</v>
      </c>
    </row>
    <row r="868" spans="1:12">
      <c r="A868" s="3" t="s">
        <v>1861</v>
      </c>
      <c r="B868" s="3" t="s">
        <v>627</v>
      </c>
      <c r="C868" s="3" t="s">
        <v>965</v>
      </c>
      <c r="D868" s="3" t="s">
        <v>1039</v>
      </c>
      <c r="E868" s="3" t="s">
        <v>42</v>
      </c>
      <c r="F868" s="3" t="s">
        <v>942</v>
      </c>
      <c r="G868" s="3" t="str">
        <f>INDEX(Risk_Matrix!$B$2:$D$4,MATCH(E868,Risk_Matrix!$A$2:$A$4,0),MATCH(F868,Risk_Matrix!$B$1:$D$1,0))</f>
        <v>High</v>
      </c>
      <c r="H868" s="10">
        <v>46172</v>
      </c>
      <c r="I868" s="3" t="s">
        <v>967</v>
      </c>
      <c r="J868" s="3" t="s">
        <v>968</v>
      </c>
      <c r="K868" s="3" t="s">
        <v>993</v>
      </c>
      <c r="L868" s="3">
        <f>IF(G868="High",3,IF(G868="Medium",2,1))</f>
        <v>3</v>
      </c>
    </row>
    <row r="869" spans="1:12">
      <c r="A869" s="3" t="s">
        <v>1862</v>
      </c>
      <c r="B869" s="3" t="s">
        <v>627</v>
      </c>
      <c r="C869" s="3" t="s">
        <v>971</v>
      </c>
      <c r="D869" s="3" t="s">
        <v>1025</v>
      </c>
      <c r="E869" s="3" t="s">
        <v>47</v>
      </c>
      <c r="F869" s="3" t="s">
        <v>47</v>
      </c>
      <c r="G869" s="3" t="str">
        <f>INDEX(Risk_Matrix!$B$2:$D$4,MATCH(E869,Risk_Matrix!$A$2:$A$4,0),MATCH(F869,Risk_Matrix!$B$1:$D$1,0))</f>
        <v>Low</v>
      </c>
      <c r="H869" s="10">
        <v>46135</v>
      </c>
      <c r="I869" s="3" t="s">
        <v>958</v>
      </c>
      <c r="J869" s="3" t="s">
        <v>959</v>
      </c>
      <c r="K869" s="3" t="s">
        <v>1000</v>
      </c>
      <c r="L869" s="3">
        <f>IF(G869="High",3,IF(G869="Medium",2,1))</f>
        <v>1</v>
      </c>
    </row>
    <row r="870" spans="1:12">
      <c r="A870" s="3" t="s">
        <v>1863</v>
      </c>
      <c r="B870" s="3" t="s">
        <v>627</v>
      </c>
      <c r="C870" s="3" t="s">
        <v>976</v>
      </c>
      <c r="D870" s="3" t="s">
        <v>1002</v>
      </c>
      <c r="E870" s="3" t="s">
        <v>47</v>
      </c>
      <c r="F870" s="3" t="s">
        <v>942</v>
      </c>
      <c r="G870" s="3" t="str">
        <f>INDEX(Risk_Matrix!$B$2:$D$4,MATCH(E870,Risk_Matrix!$A$2:$A$4,0),MATCH(F870,Risk_Matrix!$B$1:$D$1,0))</f>
        <v>Low</v>
      </c>
      <c r="H870" s="10">
        <v>46200</v>
      </c>
      <c r="I870" s="3" t="s">
        <v>958</v>
      </c>
      <c r="J870" s="3" t="s">
        <v>959</v>
      </c>
      <c r="K870" s="3" t="s">
        <v>960</v>
      </c>
      <c r="L870" s="3">
        <f>IF(G870="High",3,IF(G870="Medium",2,1))</f>
        <v>1</v>
      </c>
    </row>
    <row r="871" spans="1:12">
      <c r="A871" s="3" t="s">
        <v>1864</v>
      </c>
      <c r="B871" s="3" t="s">
        <v>627</v>
      </c>
      <c r="C871" s="3" t="s">
        <v>979</v>
      </c>
      <c r="D871" s="3" t="s">
        <v>1004</v>
      </c>
      <c r="E871" s="3" t="s">
        <v>47</v>
      </c>
      <c r="F871" s="3" t="s">
        <v>942</v>
      </c>
      <c r="G871" s="3" t="str">
        <f>INDEX(Risk_Matrix!$B$2:$D$4,MATCH(E871,Risk_Matrix!$A$2:$A$4,0),MATCH(F871,Risk_Matrix!$B$1:$D$1,0))</f>
        <v>Low</v>
      </c>
      <c r="H871" s="10">
        <v>46106</v>
      </c>
      <c r="I871" s="3" t="s">
        <v>967</v>
      </c>
      <c r="J871" s="3" t="s">
        <v>968</v>
      </c>
      <c r="K871" s="3" t="s">
        <v>1000</v>
      </c>
      <c r="L871" s="3">
        <f>IF(G871="High",3,IF(G871="Medium",2,1))</f>
        <v>1</v>
      </c>
    </row>
    <row r="872" spans="1:12">
      <c r="A872" s="3" t="s">
        <v>1865</v>
      </c>
      <c r="B872" s="3" t="s">
        <v>629</v>
      </c>
      <c r="C872" s="3" t="s">
        <v>956</v>
      </c>
      <c r="D872" s="3" t="s">
        <v>1012</v>
      </c>
      <c r="E872" s="3" t="s">
        <v>942</v>
      </c>
      <c r="F872" s="3" t="s">
        <v>47</v>
      </c>
      <c r="G872" s="3" t="str">
        <f>INDEX(Risk_Matrix!$B$2:$D$4,MATCH(E872,Risk_Matrix!$A$2:$A$4,0),MATCH(F872,Risk_Matrix!$B$1:$D$1,0))</f>
        <v>Low</v>
      </c>
      <c r="H872" s="10">
        <v>46158</v>
      </c>
      <c r="I872" s="3" t="s">
        <v>981</v>
      </c>
      <c r="J872" s="3" t="s">
        <v>982</v>
      </c>
      <c r="K872" s="3" t="s">
        <v>983</v>
      </c>
      <c r="L872" s="3">
        <f>IF(G872="High",3,IF(G872="Medium",2,1))</f>
        <v>1</v>
      </c>
    </row>
    <row r="873" spans="1:12">
      <c r="A873" s="3" t="s">
        <v>1866</v>
      </c>
      <c r="B873" s="3" t="s">
        <v>629</v>
      </c>
      <c r="C873" s="3" t="s">
        <v>962</v>
      </c>
      <c r="D873" s="3" t="s">
        <v>997</v>
      </c>
      <c r="E873" s="3" t="s">
        <v>942</v>
      </c>
      <c r="F873" s="3" t="s">
        <v>942</v>
      </c>
      <c r="G873" s="3" t="str">
        <f>INDEX(Risk_Matrix!$B$2:$D$4,MATCH(E873,Risk_Matrix!$A$2:$A$4,0),MATCH(F873,Risk_Matrix!$B$1:$D$1,0))</f>
        <v>Medium</v>
      </c>
      <c r="H873" s="10">
        <v>46123</v>
      </c>
      <c r="I873" s="3" t="s">
        <v>973</v>
      </c>
      <c r="J873" s="3" t="s">
        <v>974</v>
      </c>
      <c r="K873" s="3" t="s">
        <v>1000</v>
      </c>
      <c r="L873" s="3">
        <f>IF(G873="High",3,IF(G873="Medium",2,1))</f>
        <v>2</v>
      </c>
    </row>
    <row r="874" spans="1:12">
      <c r="A874" s="3" t="s">
        <v>1867</v>
      </c>
      <c r="B874" s="3" t="s">
        <v>629</v>
      </c>
      <c r="C874" s="3" t="s">
        <v>965</v>
      </c>
      <c r="D874" s="3" t="s">
        <v>1023</v>
      </c>
      <c r="E874" s="3" t="s">
        <v>47</v>
      </c>
      <c r="F874" s="3" t="s">
        <v>942</v>
      </c>
      <c r="G874" s="3" t="str">
        <f>INDEX(Risk_Matrix!$B$2:$D$4,MATCH(E874,Risk_Matrix!$A$2:$A$4,0),MATCH(F874,Risk_Matrix!$B$1:$D$1,0))</f>
        <v>Low</v>
      </c>
      <c r="H874" s="10">
        <v>46236</v>
      </c>
      <c r="I874" s="3" t="s">
        <v>973</v>
      </c>
      <c r="J874" s="3" t="s">
        <v>974</v>
      </c>
      <c r="K874" s="3" t="s">
        <v>960</v>
      </c>
      <c r="L874" s="3">
        <f>IF(G874="High",3,IF(G874="Medium",2,1))</f>
        <v>1</v>
      </c>
    </row>
    <row r="875" spans="1:12">
      <c r="A875" s="3" t="s">
        <v>1868</v>
      </c>
      <c r="B875" s="3" t="s">
        <v>629</v>
      </c>
      <c r="C875" s="3" t="s">
        <v>971</v>
      </c>
      <c r="D875" s="3" t="s">
        <v>1016</v>
      </c>
      <c r="E875" s="3" t="s">
        <v>942</v>
      </c>
      <c r="F875" s="3" t="s">
        <v>47</v>
      </c>
      <c r="G875" s="3" t="str">
        <f>INDEX(Risk_Matrix!$B$2:$D$4,MATCH(E875,Risk_Matrix!$A$2:$A$4,0),MATCH(F875,Risk_Matrix!$B$1:$D$1,0))</f>
        <v>Low</v>
      </c>
      <c r="H875" s="10">
        <v>46063</v>
      </c>
      <c r="I875" s="3" t="s">
        <v>967</v>
      </c>
      <c r="J875" s="3" t="s">
        <v>968</v>
      </c>
      <c r="K875" s="3" t="s">
        <v>960</v>
      </c>
      <c r="L875" s="3">
        <f>IF(G875="High",3,IF(G875="Medium",2,1))</f>
        <v>1</v>
      </c>
    </row>
    <row r="876" spans="1:12">
      <c r="A876" s="3" t="s">
        <v>1869</v>
      </c>
      <c r="B876" s="3" t="s">
        <v>629</v>
      </c>
      <c r="C876" s="3" t="s">
        <v>976</v>
      </c>
      <c r="D876" s="3" t="s">
        <v>1002</v>
      </c>
      <c r="E876" s="3" t="s">
        <v>942</v>
      </c>
      <c r="F876" s="3" t="s">
        <v>47</v>
      </c>
      <c r="G876" s="3" t="str">
        <f>INDEX(Risk_Matrix!$B$2:$D$4,MATCH(E876,Risk_Matrix!$A$2:$A$4,0),MATCH(F876,Risk_Matrix!$B$1:$D$1,0))</f>
        <v>Low</v>
      </c>
      <c r="H876" s="10">
        <v>46230</v>
      </c>
      <c r="I876" s="3" t="s">
        <v>973</v>
      </c>
      <c r="J876" s="3" t="s">
        <v>974</v>
      </c>
      <c r="K876" s="3" t="s">
        <v>983</v>
      </c>
      <c r="L876" s="3">
        <f>IF(G876="High",3,IF(G876="Medium",2,1))</f>
        <v>1</v>
      </c>
    </row>
    <row r="877" spans="1:12">
      <c r="A877" s="3" t="s">
        <v>1870</v>
      </c>
      <c r="B877" s="3" t="s">
        <v>629</v>
      </c>
      <c r="C877" s="3" t="s">
        <v>979</v>
      </c>
      <c r="D877" s="3" t="s">
        <v>1004</v>
      </c>
      <c r="E877" s="3" t="s">
        <v>42</v>
      </c>
      <c r="F877" s="3" t="s">
        <v>42</v>
      </c>
      <c r="G877" s="3" t="str">
        <f>INDEX(Risk_Matrix!$B$2:$D$4,MATCH(E877,Risk_Matrix!$A$2:$A$4,0),MATCH(F877,Risk_Matrix!$B$1:$D$1,0))</f>
        <v>High</v>
      </c>
      <c r="H877" s="10">
        <v>46084</v>
      </c>
      <c r="I877" s="3" t="s">
        <v>967</v>
      </c>
      <c r="J877" s="3" t="s">
        <v>968</v>
      </c>
      <c r="K877" s="3" t="s">
        <v>1000</v>
      </c>
      <c r="L877" s="3">
        <f>IF(G877="High",3,IF(G877="Medium",2,1))</f>
        <v>3</v>
      </c>
    </row>
    <row r="878" spans="1:12">
      <c r="A878" s="3" t="s">
        <v>1871</v>
      </c>
      <c r="B878" s="3" t="s">
        <v>631</v>
      </c>
      <c r="C878" s="3" t="s">
        <v>956</v>
      </c>
      <c r="D878" s="3" t="s">
        <v>1012</v>
      </c>
      <c r="E878" s="3" t="s">
        <v>42</v>
      </c>
      <c r="F878" s="3" t="s">
        <v>47</v>
      </c>
      <c r="G878" s="3" t="str">
        <f>INDEX(Risk_Matrix!$B$2:$D$4,MATCH(E878,Risk_Matrix!$A$2:$A$4,0),MATCH(F878,Risk_Matrix!$B$1:$D$1,0))</f>
        <v>Medium</v>
      </c>
      <c r="H878" s="10">
        <v>46102</v>
      </c>
      <c r="I878" s="3" t="s">
        <v>973</v>
      </c>
      <c r="J878" s="3" t="s">
        <v>974</v>
      </c>
      <c r="K878" s="3" t="s">
        <v>960</v>
      </c>
      <c r="L878" s="3">
        <f>IF(G878="High",3,IF(G878="Medium",2,1))</f>
        <v>2</v>
      </c>
    </row>
    <row r="879" spans="1:12">
      <c r="A879" s="3" t="s">
        <v>1872</v>
      </c>
      <c r="B879" s="3" t="s">
        <v>631</v>
      </c>
      <c r="C879" s="3" t="s">
        <v>962</v>
      </c>
      <c r="D879" s="3" t="s">
        <v>1037</v>
      </c>
      <c r="E879" s="3" t="s">
        <v>47</v>
      </c>
      <c r="F879" s="3" t="s">
        <v>47</v>
      </c>
      <c r="G879" s="3" t="str">
        <f>INDEX(Risk_Matrix!$B$2:$D$4,MATCH(E879,Risk_Matrix!$A$2:$A$4,0),MATCH(F879,Risk_Matrix!$B$1:$D$1,0))</f>
        <v>Low</v>
      </c>
      <c r="H879" s="10">
        <v>46075</v>
      </c>
      <c r="I879" s="3" t="s">
        <v>958</v>
      </c>
      <c r="J879" s="3" t="s">
        <v>959</v>
      </c>
      <c r="K879" s="3" t="s">
        <v>969</v>
      </c>
      <c r="L879" s="3">
        <f>IF(G879="High",3,IF(G879="Medium",2,1))</f>
        <v>1</v>
      </c>
    </row>
    <row r="880" spans="1:12">
      <c r="A880" s="3" t="s">
        <v>1873</v>
      </c>
      <c r="B880" s="3" t="s">
        <v>631</v>
      </c>
      <c r="C880" s="3" t="s">
        <v>965</v>
      </c>
      <c r="D880" s="3" t="s">
        <v>1023</v>
      </c>
      <c r="E880" s="3" t="s">
        <v>47</v>
      </c>
      <c r="F880" s="3" t="s">
        <v>942</v>
      </c>
      <c r="G880" s="3" t="str">
        <f>INDEX(Risk_Matrix!$B$2:$D$4,MATCH(E880,Risk_Matrix!$A$2:$A$4,0),MATCH(F880,Risk_Matrix!$B$1:$D$1,0))</f>
        <v>Low</v>
      </c>
      <c r="H880" s="10">
        <v>46062</v>
      </c>
      <c r="I880" s="3" t="s">
        <v>973</v>
      </c>
      <c r="J880" s="3" t="s">
        <v>974</v>
      </c>
      <c r="K880" s="3" t="s">
        <v>1000</v>
      </c>
      <c r="L880" s="3">
        <f>IF(G880="High",3,IF(G880="Medium",2,1))</f>
        <v>1</v>
      </c>
    </row>
    <row r="881" spans="1:12">
      <c r="A881" s="3" t="s">
        <v>1874</v>
      </c>
      <c r="B881" s="3" t="s">
        <v>631</v>
      </c>
      <c r="C881" s="3" t="s">
        <v>971</v>
      </c>
      <c r="D881" s="3" t="s">
        <v>1025</v>
      </c>
      <c r="E881" s="3" t="s">
        <v>47</v>
      </c>
      <c r="F881" s="3" t="s">
        <v>47</v>
      </c>
      <c r="G881" s="3" t="str">
        <f>INDEX(Risk_Matrix!$B$2:$D$4,MATCH(E881,Risk_Matrix!$A$2:$A$4,0),MATCH(F881,Risk_Matrix!$B$1:$D$1,0))</f>
        <v>Low</v>
      </c>
      <c r="H881" s="10">
        <v>46140</v>
      </c>
      <c r="I881" s="3" t="s">
        <v>981</v>
      </c>
      <c r="J881" s="3" t="s">
        <v>982</v>
      </c>
      <c r="K881" s="3" t="s">
        <v>969</v>
      </c>
      <c r="L881" s="3">
        <f>IF(G881="High",3,IF(G881="Medium",2,1))</f>
        <v>1</v>
      </c>
    </row>
    <row r="882" spans="1:12">
      <c r="A882" s="3" t="s">
        <v>1875</v>
      </c>
      <c r="B882" s="3" t="s">
        <v>631</v>
      </c>
      <c r="C882" s="3" t="s">
        <v>976</v>
      </c>
      <c r="D882" s="3" t="s">
        <v>977</v>
      </c>
      <c r="E882" s="3" t="s">
        <v>47</v>
      </c>
      <c r="F882" s="3" t="s">
        <v>942</v>
      </c>
      <c r="G882" s="3" t="str">
        <f>INDEX(Risk_Matrix!$B$2:$D$4,MATCH(E882,Risk_Matrix!$A$2:$A$4,0),MATCH(F882,Risk_Matrix!$B$1:$D$1,0))</f>
        <v>Low</v>
      </c>
      <c r="H882" s="10">
        <v>46224</v>
      </c>
      <c r="I882" s="3" t="s">
        <v>973</v>
      </c>
      <c r="J882" s="3" t="s">
        <v>974</v>
      </c>
      <c r="K882" s="3" t="s">
        <v>969</v>
      </c>
      <c r="L882" s="3">
        <f>IF(G882="High",3,IF(G882="Medium",2,1))</f>
        <v>1</v>
      </c>
    </row>
    <row r="883" spans="1:12">
      <c r="A883" s="3" t="s">
        <v>1876</v>
      </c>
      <c r="B883" s="3" t="s">
        <v>631</v>
      </c>
      <c r="C883" s="3" t="s">
        <v>979</v>
      </c>
      <c r="D883" s="3" t="s">
        <v>980</v>
      </c>
      <c r="E883" s="3" t="s">
        <v>47</v>
      </c>
      <c r="F883" s="3" t="s">
        <v>47</v>
      </c>
      <c r="G883" s="3" t="str">
        <f>INDEX(Risk_Matrix!$B$2:$D$4,MATCH(E883,Risk_Matrix!$A$2:$A$4,0),MATCH(F883,Risk_Matrix!$B$1:$D$1,0))</f>
        <v>Low</v>
      </c>
      <c r="H883" s="10">
        <v>46138</v>
      </c>
      <c r="I883" s="3" t="s">
        <v>981</v>
      </c>
      <c r="J883" s="3" t="s">
        <v>982</v>
      </c>
      <c r="K883" s="3" t="s">
        <v>983</v>
      </c>
      <c r="L883" s="3">
        <f>IF(G883="High",3,IF(G883="Medium",2,1))</f>
        <v>1</v>
      </c>
    </row>
    <row r="884" spans="1:12">
      <c r="A884" s="3" t="s">
        <v>1877</v>
      </c>
      <c r="B884" s="3" t="s">
        <v>633</v>
      </c>
      <c r="C884" s="3" t="s">
        <v>956</v>
      </c>
      <c r="D884" s="3" t="s">
        <v>957</v>
      </c>
      <c r="E884" s="3" t="s">
        <v>47</v>
      </c>
      <c r="F884" s="3" t="s">
        <v>47</v>
      </c>
      <c r="G884" s="3" t="str">
        <f>INDEX(Risk_Matrix!$B$2:$D$4,MATCH(E884,Risk_Matrix!$A$2:$A$4,0),MATCH(F884,Risk_Matrix!$B$1:$D$1,0))</f>
        <v>Low</v>
      </c>
      <c r="H884" s="10">
        <v>46139</v>
      </c>
      <c r="I884" s="3" t="s">
        <v>967</v>
      </c>
      <c r="J884" s="3" t="s">
        <v>968</v>
      </c>
      <c r="K884" s="3" t="s">
        <v>983</v>
      </c>
      <c r="L884" s="3">
        <f>IF(G884="High",3,IF(G884="Medium",2,1))</f>
        <v>1</v>
      </c>
    </row>
    <row r="885" spans="1:12">
      <c r="A885" s="3" t="s">
        <v>1878</v>
      </c>
      <c r="B885" s="3" t="s">
        <v>633</v>
      </c>
      <c r="C885" s="3" t="s">
        <v>962</v>
      </c>
      <c r="D885" s="3" t="s">
        <v>1037</v>
      </c>
      <c r="E885" s="3" t="s">
        <v>42</v>
      </c>
      <c r="F885" s="3" t="s">
        <v>47</v>
      </c>
      <c r="G885" s="3" t="str">
        <f>INDEX(Risk_Matrix!$B$2:$D$4,MATCH(E885,Risk_Matrix!$A$2:$A$4,0),MATCH(F885,Risk_Matrix!$B$1:$D$1,0))</f>
        <v>Medium</v>
      </c>
      <c r="H885" s="10">
        <v>46068</v>
      </c>
      <c r="I885" s="3" t="s">
        <v>981</v>
      </c>
      <c r="J885" s="3" t="s">
        <v>982</v>
      </c>
      <c r="K885" s="3" t="s">
        <v>960</v>
      </c>
      <c r="L885" s="3">
        <f>IF(G885="High",3,IF(G885="Medium",2,1))</f>
        <v>2</v>
      </c>
    </row>
    <row r="886" spans="1:12">
      <c r="A886" s="3" t="s">
        <v>1879</v>
      </c>
      <c r="B886" s="3" t="s">
        <v>633</v>
      </c>
      <c r="C886" s="3" t="s">
        <v>965</v>
      </c>
      <c r="D886" s="3" t="s">
        <v>1039</v>
      </c>
      <c r="E886" s="3" t="s">
        <v>942</v>
      </c>
      <c r="F886" s="3" t="s">
        <v>42</v>
      </c>
      <c r="G886" s="3" t="str">
        <f>INDEX(Risk_Matrix!$B$2:$D$4,MATCH(E886,Risk_Matrix!$A$2:$A$4,0),MATCH(F886,Risk_Matrix!$B$1:$D$1,0))</f>
        <v>High</v>
      </c>
      <c r="H886" s="10">
        <v>46110</v>
      </c>
      <c r="I886" s="3" t="s">
        <v>967</v>
      </c>
      <c r="J886" s="3" t="s">
        <v>968</v>
      </c>
      <c r="K886" s="3" t="s">
        <v>960</v>
      </c>
      <c r="L886" s="3">
        <f>IF(G886="High",3,IF(G886="Medium",2,1))</f>
        <v>3</v>
      </c>
    </row>
    <row r="887" spans="1:12">
      <c r="A887" s="3" t="s">
        <v>1880</v>
      </c>
      <c r="B887" s="3" t="s">
        <v>633</v>
      </c>
      <c r="C887" s="3" t="s">
        <v>971</v>
      </c>
      <c r="D887" s="3" t="s">
        <v>1025</v>
      </c>
      <c r="E887" s="3" t="s">
        <v>47</v>
      </c>
      <c r="F887" s="3" t="s">
        <v>42</v>
      </c>
      <c r="G887" s="3" t="str">
        <f>INDEX(Risk_Matrix!$B$2:$D$4,MATCH(E887,Risk_Matrix!$A$2:$A$4,0),MATCH(F887,Risk_Matrix!$B$1:$D$1,0))</f>
        <v>Medium</v>
      </c>
      <c r="H887" s="10">
        <v>46136</v>
      </c>
      <c r="I887" s="3" t="s">
        <v>967</v>
      </c>
      <c r="J887" s="3" t="s">
        <v>968</v>
      </c>
      <c r="K887" s="3" t="s">
        <v>1000</v>
      </c>
      <c r="L887" s="3">
        <f>IF(G887="High",3,IF(G887="Medium",2,1))</f>
        <v>2</v>
      </c>
    </row>
    <row r="888" spans="1:12">
      <c r="A888" s="3" t="s">
        <v>1881</v>
      </c>
      <c r="B888" s="3" t="s">
        <v>633</v>
      </c>
      <c r="C888" s="3" t="s">
        <v>976</v>
      </c>
      <c r="D888" s="3" t="s">
        <v>977</v>
      </c>
      <c r="E888" s="3" t="s">
        <v>942</v>
      </c>
      <c r="F888" s="3" t="s">
        <v>42</v>
      </c>
      <c r="G888" s="3" t="str">
        <f>INDEX(Risk_Matrix!$B$2:$D$4,MATCH(E888,Risk_Matrix!$A$2:$A$4,0),MATCH(F888,Risk_Matrix!$B$1:$D$1,0))</f>
        <v>High</v>
      </c>
      <c r="H888" s="10">
        <v>46121</v>
      </c>
      <c r="I888" s="3" t="s">
        <v>981</v>
      </c>
      <c r="J888" s="3" t="s">
        <v>982</v>
      </c>
      <c r="K888" s="3" t="s">
        <v>960</v>
      </c>
      <c r="L888" s="3">
        <f>IF(G888="High",3,IF(G888="Medium",2,1))</f>
        <v>3</v>
      </c>
    </row>
    <row r="889" spans="1:12">
      <c r="A889" s="3" t="s">
        <v>1882</v>
      </c>
      <c r="B889" s="3" t="s">
        <v>633</v>
      </c>
      <c r="C889" s="3" t="s">
        <v>979</v>
      </c>
      <c r="D889" s="3" t="s">
        <v>980</v>
      </c>
      <c r="E889" s="3" t="s">
        <v>47</v>
      </c>
      <c r="F889" s="3" t="s">
        <v>47</v>
      </c>
      <c r="G889" s="3" t="str">
        <f>INDEX(Risk_Matrix!$B$2:$D$4,MATCH(E889,Risk_Matrix!$A$2:$A$4,0),MATCH(F889,Risk_Matrix!$B$1:$D$1,0))</f>
        <v>Low</v>
      </c>
      <c r="H889" s="10">
        <v>46122</v>
      </c>
      <c r="I889" s="3" t="s">
        <v>967</v>
      </c>
      <c r="J889" s="3" t="s">
        <v>968</v>
      </c>
      <c r="K889" s="3" t="s">
        <v>969</v>
      </c>
      <c r="L889" s="3">
        <f>IF(G889="High",3,IF(G889="Medium",2,1))</f>
        <v>1</v>
      </c>
    </row>
    <row r="890" spans="1:12">
      <c r="A890" s="3" t="s">
        <v>1883</v>
      </c>
      <c r="B890" s="3" t="s">
        <v>635</v>
      </c>
      <c r="C890" s="3" t="s">
        <v>956</v>
      </c>
      <c r="D890" s="3" t="s">
        <v>995</v>
      </c>
      <c r="E890" s="3" t="s">
        <v>47</v>
      </c>
      <c r="F890" s="3" t="s">
        <v>942</v>
      </c>
      <c r="G890" s="3" t="str">
        <f>INDEX(Risk_Matrix!$B$2:$D$4,MATCH(E890,Risk_Matrix!$A$2:$A$4,0),MATCH(F890,Risk_Matrix!$B$1:$D$1,0))</f>
        <v>Low</v>
      </c>
      <c r="H890" s="10">
        <v>46132</v>
      </c>
      <c r="I890" s="3" t="s">
        <v>981</v>
      </c>
      <c r="J890" s="3" t="s">
        <v>982</v>
      </c>
      <c r="K890" s="3" t="s">
        <v>983</v>
      </c>
      <c r="L890" s="3">
        <f>IF(G890="High",3,IF(G890="Medium",2,1))</f>
        <v>1</v>
      </c>
    </row>
    <row r="891" spans="1:12">
      <c r="A891" s="3" t="s">
        <v>1884</v>
      </c>
      <c r="B891" s="3" t="s">
        <v>635</v>
      </c>
      <c r="C891" s="3" t="s">
        <v>962</v>
      </c>
      <c r="D891" s="3" t="s">
        <v>1037</v>
      </c>
      <c r="E891" s="3" t="s">
        <v>42</v>
      </c>
      <c r="F891" s="3" t="s">
        <v>942</v>
      </c>
      <c r="G891" s="3" t="str">
        <f>INDEX(Risk_Matrix!$B$2:$D$4,MATCH(E891,Risk_Matrix!$A$2:$A$4,0),MATCH(F891,Risk_Matrix!$B$1:$D$1,0))</f>
        <v>High</v>
      </c>
      <c r="H891" s="10">
        <v>46070</v>
      </c>
      <c r="I891" s="3" t="s">
        <v>967</v>
      </c>
      <c r="J891" s="3" t="s">
        <v>968</v>
      </c>
      <c r="K891" s="3" t="s">
        <v>983</v>
      </c>
      <c r="L891" s="3">
        <f>IF(G891="High",3,IF(G891="Medium",2,1))</f>
        <v>3</v>
      </c>
    </row>
    <row r="892" spans="1:12">
      <c r="A892" s="3" t="s">
        <v>1885</v>
      </c>
      <c r="B892" s="3" t="s">
        <v>635</v>
      </c>
      <c r="C892" s="3" t="s">
        <v>965</v>
      </c>
      <c r="D892" s="3" t="s">
        <v>1023</v>
      </c>
      <c r="E892" s="3" t="s">
        <v>47</v>
      </c>
      <c r="F892" s="3" t="s">
        <v>42</v>
      </c>
      <c r="G892" s="3" t="str">
        <f>INDEX(Risk_Matrix!$B$2:$D$4,MATCH(E892,Risk_Matrix!$A$2:$A$4,0),MATCH(F892,Risk_Matrix!$B$1:$D$1,0))</f>
        <v>Medium</v>
      </c>
      <c r="H892" s="10">
        <v>46198</v>
      </c>
      <c r="I892" s="3" t="s">
        <v>973</v>
      </c>
      <c r="J892" s="3" t="s">
        <v>974</v>
      </c>
      <c r="K892" s="3" t="s">
        <v>969</v>
      </c>
      <c r="L892" s="3">
        <f>IF(G892="High",3,IF(G892="Medium",2,1))</f>
        <v>2</v>
      </c>
    </row>
    <row r="893" spans="1:12">
      <c r="A893" s="3" t="s">
        <v>1886</v>
      </c>
      <c r="B893" s="3" t="s">
        <v>635</v>
      </c>
      <c r="C893" s="3" t="s">
        <v>971</v>
      </c>
      <c r="D893" s="3" t="s">
        <v>1016</v>
      </c>
      <c r="E893" s="3" t="s">
        <v>942</v>
      </c>
      <c r="F893" s="3" t="s">
        <v>942</v>
      </c>
      <c r="G893" s="3" t="str">
        <f>INDEX(Risk_Matrix!$B$2:$D$4,MATCH(E893,Risk_Matrix!$A$2:$A$4,0),MATCH(F893,Risk_Matrix!$B$1:$D$1,0))</f>
        <v>Medium</v>
      </c>
      <c r="H893" s="10">
        <v>46183</v>
      </c>
      <c r="I893" s="3" t="s">
        <v>973</v>
      </c>
      <c r="J893" s="3" t="s">
        <v>974</v>
      </c>
      <c r="K893" s="3" t="s">
        <v>960</v>
      </c>
      <c r="L893" s="3">
        <f>IF(G893="High",3,IF(G893="Medium",2,1))</f>
        <v>2</v>
      </c>
    </row>
    <row r="894" spans="1:12">
      <c r="A894" s="3" t="s">
        <v>1887</v>
      </c>
      <c r="B894" s="3" t="s">
        <v>635</v>
      </c>
      <c r="C894" s="3" t="s">
        <v>976</v>
      </c>
      <c r="D894" s="3" t="s">
        <v>991</v>
      </c>
      <c r="E894" s="3" t="s">
        <v>42</v>
      </c>
      <c r="F894" s="3" t="s">
        <v>942</v>
      </c>
      <c r="G894" s="3" t="str">
        <f>INDEX(Risk_Matrix!$B$2:$D$4,MATCH(E894,Risk_Matrix!$A$2:$A$4,0),MATCH(F894,Risk_Matrix!$B$1:$D$1,0))</f>
        <v>High</v>
      </c>
      <c r="H894" s="10">
        <v>46219</v>
      </c>
      <c r="I894" s="3" t="s">
        <v>958</v>
      </c>
      <c r="J894" s="3" t="s">
        <v>959</v>
      </c>
      <c r="K894" s="3" t="s">
        <v>993</v>
      </c>
      <c r="L894" s="3">
        <f>IF(G894="High",3,IF(G894="Medium",2,1))</f>
        <v>3</v>
      </c>
    </row>
    <row r="895" spans="1:12">
      <c r="A895" s="3" t="s">
        <v>1888</v>
      </c>
      <c r="B895" s="3" t="s">
        <v>635</v>
      </c>
      <c r="C895" s="3" t="s">
        <v>979</v>
      </c>
      <c r="D895" s="3" t="s">
        <v>980</v>
      </c>
      <c r="E895" s="3" t="s">
        <v>942</v>
      </c>
      <c r="F895" s="3" t="s">
        <v>47</v>
      </c>
      <c r="G895" s="3" t="str">
        <f>INDEX(Risk_Matrix!$B$2:$D$4,MATCH(E895,Risk_Matrix!$A$2:$A$4,0),MATCH(F895,Risk_Matrix!$B$1:$D$1,0))</f>
        <v>Low</v>
      </c>
      <c r="H895" s="10">
        <v>46174</v>
      </c>
      <c r="I895" s="3" t="s">
        <v>967</v>
      </c>
      <c r="J895" s="3" t="s">
        <v>968</v>
      </c>
      <c r="K895" s="3" t="s">
        <v>983</v>
      </c>
      <c r="L895" s="3">
        <f>IF(G895="High",3,IF(G895="Medium",2,1))</f>
        <v>1</v>
      </c>
    </row>
    <row r="896" spans="1:12">
      <c r="A896" s="3" t="s">
        <v>1889</v>
      </c>
      <c r="B896" s="3" t="s">
        <v>637</v>
      </c>
      <c r="C896" s="3" t="s">
        <v>956</v>
      </c>
      <c r="D896" s="3" t="s">
        <v>957</v>
      </c>
      <c r="E896" s="3" t="s">
        <v>47</v>
      </c>
      <c r="F896" s="3" t="s">
        <v>47</v>
      </c>
      <c r="G896" s="3" t="str">
        <f>INDEX(Risk_Matrix!$B$2:$D$4,MATCH(E896,Risk_Matrix!$A$2:$A$4,0),MATCH(F896,Risk_Matrix!$B$1:$D$1,0))</f>
        <v>Low</v>
      </c>
      <c r="H896" s="10">
        <v>46120</v>
      </c>
      <c r="I896" s="3" t="s">
        <v>967</v>
      </c>
      <c r="J896" s="3" t="s">
        <v>968</v>
      </c>
      <c r="K896" s="3" t="s">
        <v>960</v>
      </c>
      <c r="L896" s="3">
        <f>IF(G896="High",3,IF(G896="Medium",2,1))</f>
        <v>1</v>
      </c>
    </row>
    <row r="897" spans="1:12">
      <c r="A897" s="3" t="s">
        <v>1890</v>
      </c>
      <c r="B897" s="3" t="s">
        <v>637</v>
      </c>
      <c r="C897" s="3" t="s">
        <v>962</v>
      </c>
      <c r="D897" s="3" t="s">
        <v>986</v>
      </c>
      <c r="E897" s="3" t="s">
        <v>942</v>
      </c>
      <c r="F897" s="3" t="s">
        <v>42</v>
      </c>
      <c r="G897" s="3" t="str">
        <f>INDEX(Risk_Matrix!$B$2:$D$4,MATCH(E897,Risk_Matrix!$A$2:$A$4,0),MATCH(F897,Risk_Matrix!$B$1:$D$1,0))</f>
        <v>High</v>
      </c>
      <c r="H897" s="10">
        <v>46236</v>
      </c>
      <c r="I897" s="3" t="s">
        <v>973</v>
      </c>
      <c r="J897" s="3" t="s">
        <v>974</v>
      </c>
      <c r="K897" s="3" t="s">
        <v>969</v>
      </c>
      <c r="L897" s="3">
        <f>IF(G897="High",3,IF(G897="Medium",2,1))</f>
        <v>3</v>
      </c>
    </row>
    <row r="898" spans="1:12">
      <c r="A898" s="3" t="s">
        <v>1891</v>
      </c>
      <c r="B898" s="3" t="s">
        <v>637</v>
      </c>
      <c r="C898" s="3" t="s">
        <v>965</v>
      </c>
      <c r="D898" s="3" t="s">
        <v>1023</v>
      </c>
      <c r="E898" s="3" t="s">
        <v>942</v>
      </c>
      <c r="F898" s="3" t="s">
        <v>47</v>
      </c>
      <c r="G898" s="3" t="str">
        <f>INDEX(Risk_Matrix!$B$2:$D$4,MATCH(E898,Risk_Matrix!$A$2:$A$4,0),MATCH(F898,Risk_Matrix!$B$1:$D$1,0))</f>
        <v>Low</v>
      </c>
      <c r="H898" s="10">
        <v>46120</v>
      </c>
      <c r="I898" s="3" t="s">
        <v>967</v>
      </c>
      <c r="J898" s="3" t="s">
        <v>968</v>
      </c>
      <c r="K898" s="3" t="s">
        <v>960</v>
      </c>
      <c r="L898" s="3">
        <f>IF(G898="High",3,IF(G898="Medium",2,1))</f>
        <v>1</v>
      </c>
    </row>
    <row r="899" spans="1:12">
      <c r="A899" s="3" t="s">
        <v>1892</v>
      </c>
      <c r="B899" s="3" t="s">
        <v>637</v>
      </c>
      <c r="C899" s="3" t="s">
        <v>971</v>
      </c>
      <c r="D899" s="3" t="s">
        <v>1025</v>
      </c>
      <c r="E899" s="3" t="s">
        <v>47</v>
      </c>
      <c r="F899" s="3" t="s">
        <v>942</v>
      </c>
      <c r="G899" s="3" t="str">
        <f>INDEX(Risk_Matrix!$B$2:$D$4,MATCH(E899,Risk_Matrix!$A$2:$A$4,0),MATCH(F899,Risk_Matrix!$B$1:$D$1,0))</f>
        <v>Low</v>
      </c>
      <c r="H899" s="10">
        <v>46126</v>
      </c>
      <c r="I899" s="3" t="s">
        <v>973</v>
      </c>
      <c r="J899" s="3" t="s">
        <v>974</v>
      </c>
      <c r="K899" s="3" t="s">
        <v>983</v>
      </c>
      <c r="L899" s="3">
        <f>IF(G899="High",3,IF(G899="Medium",2,1))</f>
        <v>1</v>
      </c>
    </row>
    <row r="900" spans="1:12">
      <c r="A900" s="3" t="s">
        <v>1893</v>
      </c>
      <c r="B900" s="3" t="s">
        <v>637</v>
      </c>
      <c r="C900" s="3" t="s">
        <v>976</v>
      </c>
      <c r="D900" s="3" t="s">
        <v>991</v>
      </c>
      <c r="E900" s="3" t="s">
        <v>942</v>
      </c>
      <c r="F900" s="3" t="s">
        <v>942</v>
      </c>
      <c r="G900" s="3" t="str">
        <f>INDEX(Risk_Matrix!$B$2:$D$4,MATCH(E900,Risk_Matrix!$A$2:$A$4,0),MATCH(F900,Risk_Matrix!$B$1:$D$1,0))</f>
        <v>Medium</v>
      </c>
      <c r="H900" s="10">
        <v>46234</v>
      </c>
      <c r="I900" s="3" t="s">
        <v>973</v>
      </c>
      <c r="J900" s="3" t="s">
        <v>974</v>
      </c>
      <c r="K900" s="3" t="s">
        <v>1000</v>
      </c>
      <c r="L900" s="3">
        <f>IF(G900="High",3,IF(G900="Medium",2,1))</f>
        <v>2</v>
      </c>
    </row>
    <row r="901" spans="1:12">
      <c r="A901" s="3" t="s">
        <v>1894</v>
      </c>
      <c r="B901" s="3" t="s">
        <v>637</v>
      </c>
      <c r="C901" s="3" t="s">
        <v>979</v>
      </c>
      <c r="D901" s="3" t="s">
        <v>1004</v>
      </c>
      <c r="E901" s="3" t="s">
        <v>47</v>
      </c>
      <c r="F901" s="3" t="s">
        <v>47</v>
      </c>
      <c r="G901" s="3" t="str">
        <f>INDEX(Risk_Matrix!$B$2:$D$4,MATCH(E901,Risk_Matrix!$A$2:$A$4,0),MATCH(F901,Risk_Matrix!$B$1:$D$1,0))</f>
        <v>Low</v>
      </c>
      <c r="H901" s="10">
        <v>46195</v>
      </c>
      <c r="I901" s="3" t="s">
        <v>967</v>
      </c>
      <c r="J901" s="3" t="s">
        <v>968</v>
      </c>
      <c r="K901" s="3" t="s">
        <v>993</v>
      </c>
      <c r="L901" s="3">
        <f>IF(G901="High",3,IF(G901="Medium",2,1))</f>
        <v>1</v>
      </c>
    </row>
    <row r="902" spans="1:12">
      <c r="A902" s="3" t="s">
        <v>1895</v>
      </c>
      <c r="B902" s="3" t="s">
        <v>638</v>
      </c>
      <c r="C902" s="3" t="s">
        <v>956</v>
      </c>
      <c r="D902" s="3" t="s">
        <v>957</v>
      </c>
      <c r="E902" s="3" t="s">
        <v>942</v>
      </c>
      <c r="F902" s="3" t="s">
        <v>47</v>
      </c>
      <c r="G902" s="3" t="str">
        <f>INDEX(Risk_Matrix!$B$2:$D$4,MATCH(E902,Risk_Matrix!$A$2:$A$4,0),MATCH(F902,Risk_Matrix!$B$1:$D$1,0))</f>
        <v>Low</v>
      </c>
      <c r="H902" s="10">
        <v>46183</v>
      </c>
      <c r="I902" s="3" t="s">
        <v>973</v>
      </c>
      <c r="J902" s="3" t="s">
        <v>974</v>
      </c>
      <c r="K902" s="3" t="s">
        <v>993</v>
      </c>
      <c r="L902" s="3">
        <f>IF(G902="High",3,IF(G902="Medium",2,1))</f>
        <v>1</v>
      </c>
    </row>
    <row r="903" spans="1:12">
      <c r="A903" s="3" t="s">
        <v>1896</v>
      </c>
      <c r="B903" s="3" t="s">
        <v>638</v>
      </c>
      <c r="C903" s="3" t="s">
        <v>962</v>
      </c>
      <c r="D903" s="3" t="s">
        <v>1037</v>
      </c>
      <c r="E903" s="3" t="s">
        <v>47</v>
      </c>
      <c r="F903" s="3" t="s">
        <v>47</v>
      </c>
      <c r="G903" s="3" t="str">
        <f>INDEX(Risk_Matrix!$B$2:$D$4,MATCH(E903,Risk_Matrix!$A$2:$A$4,0),MATCH(F903,Risk_Matrix!$B$1:$D$1,0))</f>
        <v>Low</v>
      </c>
      <c r="H903" s="10">
        <v>46105</v>
      </c>
      <c r="I903" s="3" t="s">
        <v>967</v>
      </c>
      <c r="J903" s="3" t="s">
        <v>968</v>
      </c>
      <c r="K903" s="3" t="s">
        <v>993</v>
      </c>
      <c r="L903" s="3">
        <f>IF(G903="High",3,IF(G903="Medium",2,1))</f>
        <v>1</v>
      </c>
    </row>
    <row r="904" spans="1:12">
      <c r="A904" s="3" t="s">
        <v>1897</v>
      </c>
      <c r="B904" s="3" t="s">
        <v>638</v>
      </c>
      <c r="C904" s="3" t="s">
        <v>965</v>
      </c>
      <c r="D904" s="3" t="s">
        <v>988</v>
      </c>
      <c r="E904" s="3" t="s">
        <v>942</v>
      </c>
      <c r="F904" s="3" t="s">
        <v>47</v>
      </c>
      <c r="G904" s="3" t="str">
        <f>INDEX(Risk_Matrix!$B$2:$D$4,MATCH(E904,Risk_Matrix!$A$2:$A$4,0),MATCH(F904,Risk_Matrix!$B$1:$D$1,0))</f>
        <v>Low</v>
      </c>
      <c r="H904" s="10">
        <v>46226</v>
      </c>
      <c r="I904" s="3" t="s">
        <v>967</v>
      </c>
      <c r="J904" s="3" t="s">
        <v>968</v>
      </c>
      <c r="K904" s="3" t="s">
        <v>960</v>
      </c>
      <c r="L904" s="3">
        <f>IF(G904="High",3,IF(G904="Medium",2,1))</f>
        <v>1</v>
      </c>
    </row>
    <row r="905" spans="1:12">
      <c r="A905" s="3" t="s">
        <v>1898</v>
      </c>
      <c r="B905" s="3" t="s">
        <v>638</v>
      </c>
      <c r="C905" s="3" t="s">
        <v>971</v>
      </c>
      <c r="D905" s="3" t="s">
        <v>972</v>
      </c>
      <c r="E905" s="3" t="s">
        <v>42</v>
      </c>
      <c r="F905" s="3" t="s">
        <v>47</v>
      </c>
      <c r="G905" s="3" t="str">
        <f>INDEX(Risk_Matrix!$B$2:$D$4,MATCH(E905,Risk_Matrix!$A$2:$A$4,0),MATCH(F905,Risk_Matrix!$B$1:$D$1,0))</f>
        <v>Medium</v>
      </c>
      <c r="H905" s="10">
        <v>46215</v>
      </c>
      <c r="I905" s="3" t="s">
        <v>973</v>
      </c>
      <c r="J905" s="3" t="s">
        <v>974</v>
      </c>
      <c r="K905" s="3" t="s">
        <v>993</v>
      </c>
      <c r="L905" s="3">
        <f>IF(G905="High",3,IF(G905="Medium",2,1))</f>
        <v>2</v>
      </c>
    </row>
    <row r="906" spans="1:12">
      <c r="A906" s="3" t="s">
        <v>1899</v>
      </c>
      <c r="B906" s="3" t="s">
        <v>638</v>
      </c>
      <c r="C906" s="3" t="s">
        <v>976</v>
      </c>
      <c r="D906" s="3" t="s">
        <v>991</v>
      </c>
      <c r="E906" s="3" t="s">
        <v>47</v>
      </c>
      <c r="F906" s="3" t="s">
        <v>47</v>
      </c>
      <c r="G906" s="3" t="str">
        <f>INDEX(Risk_Matrix!$B$2:$D$4,MATCH(E906,Risk_Matrix!$A$2:$A$4,0),MATCH(F906,Risk_Matrix!$B$1:$D$1,0))</f>
        <v>Low</v>
      </c>
      <c r="H906" s="10">
        <v>46064</v>
      </c>
      <c r="I906" s="3" t="s">
        <v>981</v>
      </c>
      <c r="J906" s="3" t="s">
        <v>982</v>
      </c>
      <c r="K906" s="3" t="s">
        <v>993</v>
      </c>
      <c r="L906" s="3">
        <f>IF(G906="High",3,IF(G906="Medium",2,1))</f>
        <v>1</v>
      </c>
    </row>
    <row r="907" spans="1:12">
      <c r="A907" s="3" t="s">
        <v>1900</v>
      </c>
      <c r="B907" s="3" t="s">
        <v>638</v>
      </c>
      <c r="C907" s="3" t="s">
        <v>979</v>
      </c>
      <c r="D907" s="3" t="s">
        <v>1004</v>
      </c>
      <c r="E907" s="3" t="s">
        <v>42</v>
      </c>
      <c r="F907" s="3" t="s">
        <v>47</v>
      </c>
      <c r="G907" s="3" t="str">
        <f>INDEX(Risk_Matrix!$B$2:$D$4,MATCH(E907,Risk_Matrix!$A$2:$A$4,0),MATCH(F907,Risk_Matrix!$B$1:$D$1,0))</f>
        <v>Medium</v>
      </c>
      <c r="H907" s="10">
        <v>46068</v>
      </c>
      <c r="I907" s="3" t="s">
        <v>981</v>
      </c>
      <c r="J907" s="3" t="s">
        <v>982</v>
      </c>
      <c r="K907" s="3" t="s">
        <v>983</v>
      </c>
      <c r="L907" s="3">
        <f>IF(G907="High",3,IF(G907="Medium",2,1))</f>
        <v>2</v>
      </c>
    </row>
    <row r="908" spans="1:12">
      <c r="A908" s="3" t="s">
        <v>1901</v>
      </c>
      <c r="B908" s="3" t="s">
        <v>640</v>
      </c>
      <c r="C908" s="3" t="s">
        <v>956</v>
      </c>
      <c r="D908" s="3" t="s">
        <v>1020</v>
      </c>
      <c r="E908" s="3" t="s">
        <v>47</v>
      </c>
      <c r="F908" s="3" t="s">
        <v>942</v>
      </c>
      <c r="G908" s="3" t="str">
        <f>INDEX(Risk_Matrix!$B$2:$D$4,MATCH(E908,Risk_Matrix!$A$2:$A$4,0),MATCH(F908,Risk_Matrix!$B$1:$D$1,0))</f>
        <v>Low</v>
      </c>
      <c r="H908" s="10">
        <v>46156</v>
      </c>
      <c r="I908" s="3" t="s">
        <v>981</v>
      </c>
      <c r="J908" s="3" t="s">
        <v>982</v>
      </c>
      <c r="K908" s="3" t="s">
        <v>1000</v>
      </c>
      <c r="L908" s="3">
        <f>IF(G908="High",3,IF(G908="Medium",2,1))</f>
        <v>1</v>
      </c>
    </row>
    <row r="909" spans="1:12">
      <c r="A909" s="3" t="s">
        <v>1902</v>
      </c>
      <c r="B909" s="3" t="s">
        <v>640</v>
      </c>
      <c r="C909" s="3" t="s">
        <v>962</v>
      </c>
      <c r="D909" s="3" t="s">
        <v>1037</v>
      </c>
      <c r="E909" s="3" t="s">
        <v>942</v>
      </c>
      <c r="F909" s="3" t="s">
        <v>42</v>
      </c>
      <c r="G909" s="3" t="str">
        <f>INDEX(Risk_Matrix!$B$2:$D$4,MATCH(E909,Risk_Matrix!$A$2:$A$4,0),MATCH(F909,Risk_Matrix!$B$1:$D$1,0))</f>
        <v>High</v>
      </c>
      <c r="H909" s="10">
        <v>46129</v>
      </c>
      <c r="I909" s="3" t="s">
        <v>973</v>
      </c>
      <c r="J909" s="3" t="s">
        <v>974</v>
      </c>
      <c r="K909" s="3" t="s">
        <v>993</v>
      </c>
      <c r="L909" s="3">
        <f>IF(G909="High",3,IF(G909="Medium",2,1))</f>
        <v>3</v>
      </c>
    </row>
    <row r="910" spans="1:12">
      <c r="A910" s="3" t="s">
        <v>1903</v>
      </c>
      <c r="B910" s="3" t="s">
        <v>640</v>
      </c>
      <c r="C910" s="3" t="s">
        <v>965</v>
      </c>
      <c r="D910" s="3" t="s">
        <v>1039</v>
      </c>
      <c r="E910" s="3" t="s">
        <v>47</v>
      </c>
      <c r="F910" s="3" t="s">
        <v>47</v>
      </c>
      <c r="G910" s="3" t="str">
        <f>INDEX(Risk_Matrix!$B$2:$D$4,MATCH(E910,Risk_Matrix!$A$2:$A$4,0),MATCH(F910,Risk_Matrix!$B$1:$D$1,0))</f>
        <v>Low</v>
      </c>
      <c r="H910" s="10">
        <v>46136</v>
      </c>
      <c r="I910" s="3" t="s">
        <v>973</v>
      </c>
      <c r="J910" s="3" t="s">
        <v>974</v>
      </c>
      <c r="K910" s="3" t="s">
        <v>969</v>
      </c>
      <c r="L910" s="3">
        <f>IF(G910="High",3,IF(G910="Medium",2,1))</f>
        <v>1</v>
      </c>
    </row>
    <row r="911" spans="1:12">
      <c r="A911" s="3" t="s">
        <v>1904</v>
      </c>
      <c r="B911" s="3" t="s">
        <v>640</v>
      </c>
      <c r="C911" s="3" t="s">
        <v>971</v>
      </c>
      <c r="D911" s="3" t="s">
        <v>972</v>
      </c>
      <c r="E911" s="3" t="s">
        <v>47</v>
      </c>
      <c r="F911" s="3" t="s">
        <v>47</v>
      </c>
      <c r="G911" s="3" t="str">
        <f>INDEX(Risk_Matrix!$B$2:$D$4,MATCH(E911,Risk_Matrix!$A$2:$A$4,0),MATCH(F911,Risk_Matrix!$B$1:$D$1,0))</f>
        <v>Low</v>
      </c>
      <c r="H911" s="10">
        <v>46167</v>
      </c>
      <c r="I911" s="3" t="s">
        <v>973</v>
      </c>
      <c r="J911" s="3" t="s">
        <v>974</v>
      </c>
      <c r="K911" s="3" t="s">
        <v>1000</v>
      </c>
      <c r="L911" s="3">
        <f>IF(G911="High",3,IF(G911="Medium",2,1))</f>
        <v>1</v>
      </c>
    </row>
    <row r="912" spans="1:12">
      <c r="A912" s="3" t="s">
        <v>1905</v>
      </c>
      <c r="B912" s="3" t="s">
        <v>640</v>
      </c>
      <c r="C912" s="3" t="s">
        <v>976</v>
      </c>
      <c r="D912" s="3" t="s">
        <v>991</v>
      </c>
      <c r="E912" s="3" t="s">
        <v>47</v>
      </c>
      <c r="F912" s="3" t="s">
        <v>42</v>
      </c>
      <c r="G912" s="3" t="str">
        <f>INDEX(Risk_Matrix!$B$2:$D$4,MATCH(E912,Risk_Matrix!$A$2:$A$4,0),MATCH(F912,Risk_Matrix!$B$1:$D$1,0))</f>
        <v>Medium</v>
      </c>
      <c r="H912" s="10">
        <v>46085</v>
      </c>
      <c r="I912" s="3" t="s">
        <v>967</v>
      </c>
      <c r="J912" s="3" t="s">
        <v>968</v>
      </c>
      <c r="K912" s="3" t="s">
        <v>960</v>
      </c>
      <c r="L912" s="3">
        <f>IF(G912="High",3,IF(G912="Medium",2,1))</f>
        <v>2</v>
      </c>
    </row>
    <row r="913" spans="1:12">
      <c r="A913" s="3" t="s">
        <v>1906</v>
      </c>
      <c r="B913" s="3" t="s">
        <v>640</v>
      </c>
      <c r="C913" s="3" t="s">
        <v>979</v>
      </c>
      <c r="D913" s="3" t="s">
        <v>1004</v>
      </c>
      <c r="E913" s="3" t="s">
        <v>942</v>
      </c>
      <c r="F913" s="3" t="s">
        <v>942</v>
      </c>
      <c r="G913" s="3" t="str">
        <f>INDEX(Risk_Matrix!$B$2:$D$4,MATCH(E913,Risk_Matrix!$A$2:$A$4,0),MATCH(F913,Risk_Matrix!$B$1:$D$1,0))</f>
        <v>Medium</v>
      </c>
      <c r="H913" s="10">
        <v>46093</v>
      </c>
      <c r="I913" s="3" t="s">
        <v>981</v>
      </c>
      <c r="J913" s="3" t="s">
        <v>982</v>
      </c>
      <c r="K913" s="3" t="s">
        <v>983</v>
      </c>
      <c r="L913" s="3">
        <f>IF(G913="High",3,IF(G913="Medium",2,1))</f>
        <v>2</v>
      </c>
    </row>
    <row r="914" spans="1:12">
      <c r="A914" s="3" t="s">
        <v>1907</v>
      </c>
      <c r="B914" s="3" t="s">
        <v>642</v>
      </c>
      <c r="C914" s="3" t="s">
        <v>956</v>
      </c>
      <c r="D914" s="3" t="s">
        <v>995</v>
      </c>
      <c r="E914" s="3" t="s">
        <v>42</v>
      </c>
      <c r="F914" s="3" t="s">
        <v>942</v>
      </c>
      <c r="G914" s="3" t="str">
        <f>INDEX(Risk_Matrix!$B$2:$D$4,MATCH(E914,Risk_Matrix!$A$2:$A$4,0),MATCH(F914,Risk_Matrix!$B$1:$D$1,0))</f>
        <v>High</v>
      </c>
      <c r="H914" s="10">
        <v>46060</v>
      </c>
      <c r="I914" s="3" t="s">
        <v>958</v>
      </c>
      <c r="J914" s="3" t="s">
        <v>959</v>
      </c>
      <c r="K914" s="3" t="s">
        <v>960</v>
      </c>
      <c r="L914" s="3">
        <f>IF(G914="High",3,IF(G914="Medium",2,1))</f>
        <v>3</v>
      </c>
    </row>
    <row r="915" spans="1:12">
      <c r="A915" s="3" t="s">
        <v>1908</v>
      </c>
      <c r="B915" s="3" t="s">
        <v>642</v>
      </c>
      <c r="C915" s="3" t="s">
        <v>962</v>
      </c>
      <c r="D915" s="3" t="s">
        <v>1037</v>
      </c>
      <c r="E915" s="3" t="s">
        <v>47</v>
      </c>
      <c r="F915" s="3" t="s">
        <v>942</v>
      </c>
      <c r="G915" s="3" t="str">
        <f>INDEX(Risk_Matrix!$B$2:$D$4,MATCH(E915,Risk_Matrix!$A$2:$A$4,0),MATCH(F915,Risk_Matrix!$B$1:$D$1,0))</f>
        <v>Low</v>
      </c>
      <c r="H915" s="10">
        <v>46157</v>
      </c>
      <c r="I915" s="3" t="s">
        <v>981</v>
      </c>
      <c r="J915" s="3" t="s">
        <v>982</v>
      </c>
      <c r="K915" s="3" t="s">
        <v>960</v>
      </c>
      <c r="L915" s="3">
        <f>IF(G915="High",3,IF(G915="Medium",2,1))</f>
        <v>1</v>
      </c>
    </row>
    <row r="916" spans="1:12">
      <c r="A916" s="3" t="s">
        <v>1909</v>
      </c>
      <c r="B916" s="3" t="s">
        <v>642</v>
      </c>
      <c r="C916" s="3" t="s">
        <v>965</v>
      </c>
      <c r="D916" s="3" t="s">
        <v>1023</v>
      </c>
      <c r="E916" s="3" t="s">
        <v>47</v>
      </c>
      <c r="F916" s="3" t="s">
        <v>942</v>
      </c>
      <c r="G916" s="3" t="str">
        <f>INDEX(Risk_Matrix!$B$2:$D$4,MATCH(E916,Risk_Matrix!$A$2:$A$4,0),MATCH(F916,Risk_Matrix!$B$1:$D$1,0))</f>
        <v>Low</v>
      </c>
      <c r="H916" s="10">
        <v>46141</v>
      </c>
      <c r="I916" s="3" t="s">
        <v>967</v>
      </c>
      <c r="J916" s="3" t="s">
        <v>968</v>
      </c>
      <c r="K916" s="3" t="s">
        <v>1000</v>
      </c>
      <c r="L916" s="3">
        <f>IF(G916="High",3,IF(G916="Medium",2,1))</f>
        <v>1</v>
      </c>
    </row>
    <row r="917" spans="1:12">
      <c r="A917" s="3" t="s">
        <v>1910</v>
      </c>
      <c r="B917" s="3" t="s">
        <v>642</v>
      </c>
      <c r="C917" s="3" t="s">
        <v>971</v>
      </c>
      <c r="D917" s="3" t="s">
        <v>1016</v>
      </c>
      <c r="E917" s="3" t="s">
        <v>942</v>
      </c>
      <c r="F917" s="3" t="s">
        <v>942</v>
      </c>
      <c r="G917" s="3" t="str">
        <f>INDEX(Risk_Matrix!$B$2:$D$4,MATCH(E917,Risk_Matrix!$A$2:$A$4,0),MATCH(F917,Risk_Matrix!$B$1:$D$1,0))</f>
        <v>Medium</v>
      </c>
      <c r="H917" s="10">
        <v>46235</v>
      </c>
      <c r="I917" s="3" t="s">
        <v>967</v>
      </c>
      <c r="J917" s="3" t="s">
        <v>968</v>
      </c>
      <c r="K917" s="3" t="s">
        <v>983</v>
      </c>
      <c r="L917" s="3">
        <f>IF(G917="High",3,IF(G917="Medium",2,1))</f>
        <v>2</v>
      </c>
    </row>
    <row r="918" spans="1:12">
      <c r="A918" s="3" t="s">
        <v>1911</v>
      </c>
      <c r="B918" s="3" t="s">
        <v>642</v>
      </c>
      <c r="C918" s="3" t="s">
        <v>976</v>
      </c>
      <c r="D918" s="3" t="s">
        <v>977</v>
      </c>
      <c r="E918" s="3" t="s">
        <v>942</v>
      </c>
      <c r="F918" s="3" t="s">
        <v>42</v>
      </c>
      <c r="G918" s="3" t="str">
        <f>INDEX(Risk_Matrix!$B$2:$D$4,MATCH(E918,Risk_Matrix!$A$2:$A$4,0),MATCH(F918,Risk_Matrix!$B$1:$D$1,0))</f>
        <v>High</v>
      </c>
      <c r="H918" s="10">
        <v>46129</v>
      </c>
      <c r="I918" s="3" t="s">
        <v>973</v>
      </c>
      <c r="J918" s="3" t="s">
        <v>974</v>
      </c>
      <c r="K918" s="3" t="s">
        <v>983</v>
      </c>
      <c r="L918" s="3">
        <f>IF(G918="High",3,IF(G918="Medium",2,1))</f>
        <v>3</v>
      </c>
    </row>
    <row r="919" spans="1:12">
      <c r="A919" s="3" t="s">
        <v>1912</v>
      </c>
      <c r="B919" s="3" t="s">
        <v>642</v>
      </c>
      <c r="C919" s="3" t="s">
        <v>979</v>
      </c>
      <c r="D919" s="3" t="s">
        <v>980</v>
      </c>
      <c r="E919" s="3" t="s">
        <v>47</v>
      </c>
      <c r="F919" s="3" t="s">
        <v>47</v>
      </c>
      <c r="G919" s="3" t="str">
        <f>INDEX(Risk_Matrix!$B$2:$D$4,MATCH(E919,Risk_Matrix!$A$2:$A$4,0),MATCH(F919,Risk_Matrix!$B$1:$D$1,0))</f>
        <v>Low</v>
      </c>
      <c r="H919" s="10">
        <v>46187</v>
      </c>
      <c r="I919" s="3" t="s">
        <v>967</v>
      </c>
      <c r="J919" s="3" t="s">
        <v>968</v>
      </c>
      <c r="K919" s="3" t="s">
        <v>983</v>
      </c>
      <c r="L919" s="3">
        <f>IF(G919="High",3,IF(G919="Medium",2,1))</f>
        <v>1</v>
      </c>
    </row>
    <row r="920" spans="1:12">
      <c r="A920" s="3" t="s">
        <v>1913</v>
      </c>
      <c r="B920" s="3" t="s">
        <v>643</v>
      </c>
      <c r="C920" s="3" t="s">
        <v>956</v>
      </c>
      <c r="D920" s="3" t="s">
        <v>1012</v>
      </c>
      <c r="E920" s="3" t="s">
        <v>47</v>
      </c>
      <c r="F920" s="3" t="s">
        <v>47</v>
      </c>
      <c r="G920" s="3" t="str">
        <f>INDEX(Risk_Matrix!$B$2:$D$4,MATCH(E920,Risk_Matrix!$A$2:$A$4,0),MATCH(F920,Risk_Matrix!$B$1:$D$1,0))</f>
        <v>Low</v>
      </c>
      <c r="H920" s="10">
        <v>46085</v>
      </c>
      <c r="I920" s="3" t="s">
        <v>981</v>
      </c>
      <c r="J920" s="3" t="s">
        <v>982</v>
      </c>
      <c r="K920" s="3" t="s">
        <v>960</v>
      </c>
      <c r="L920" s="3">
        <f>IF(G920="High",3,IF(G920="Medium",2,1))</f>
        <v>1</v>
      </c>
    </row>
    <row r="921" spans="1:12">
      <c r="A921" s="3" t="s">
        <v>1914</v>
      </c>
      <c r="B921" s="3" t="s">
        <v>643</v>
      </c>
      <c r="C921" s="3" t="s">
        <v>962</v>
      </c>
      <c r="D921" s="3" t="s">
        <v>986</v>
      </c>
      <c r="E921" s="3" t="s">
        <v>47</v>
      </c>
      <c r="F921" s="3" t="s">
        <v>47</v>
      </c>
      <c r="G921" s="3" t="str">
        <f>INDEX(Risk_Matrix!$B$2:$D$4,MATCH(E921,Risk_Matrix!$A$2:$A$4,0),MATCH(F921,Risk_Matrix!$B$1:$D$1,0))</f>
        <v>Low</v>
      </c>
      <c r="H921" s="10">
        <v>46228</v>
      </c>
      <c r="I921" s="3" t="s">
        <v>981</v>
      </c>
      <c r="J921" s="3" t="s">
        <v>982</v>
      </c>
      <c r="K921" s="3" t="s">
        <v>1000</v>
      </c>
      <c r="L921" s="3">
        <f>IF(G921="High",3,IF(G921="Medium",2,1))</f>
        <v>1</v>
      </c>
    </row>
    <row r="922" spans="1:12">
      <c r="A922" s="3" t="s">
        <v>1915</v>
      </c>
      <c r="B922" s="3" t="s">
        <v>643</v>
      </c>
      <c r="C922" s="3" t="s">
        <v>965</v>
      </c>
      <c r="D922" s="3" t="s">
        <v>988</v>
      </c>
      <c r="E922" s="3" t="s">
        <v>942</v>
      </c>
      <c r="F922" s="3" t="s">
        <v>47</v>
      </c>
      <c r="G922" s="3" t="str">
        <f>INDEX(Risk_Matrix!$B$2:$D$4,MATCH(E922,Risk_Matrix!$A$2:$A$4,0),MATCH(F922,Risk_Matrix!$B$1:$D$1,0))</f>
        <v>Low</v>
      </c>
      <c r="H922" s="10">
        <v>46154</v>
      </c>
      <c r="I922" s="3" t="s">
        <v>973</v>
      </c>
      <c r="J922" s="3" t="s">
        <v>974</v>
      </c>
      <c r="K922" s="3" t="s">
        <v>969</v>
      </c>
      <c r="L922" s="3">
        <f>IF(G922="High",3,IF(G922="Medium",2,1))</f>
        <v>1</v>
      </c>
    </row>
    <row r="923" spans="1:12">
      <c r="A923" s="3" t="s">
        <v>1916</v>
      </c>
      <c r="B923" s="3" t="s">
        <v>643</v>
      </c>
      <c r="C923" s="3" t="s">
        <v>971</v>
      </c>
      <c r="D923" s="3" t="s">
        <v>972</v>
      </c>
      <c r="E923" s="3" t="s">
        <v>47</v>
      </c>
      <c r="F923" s="3" t="s">
        <v>47</v>
      </c>
      <c r="G923" s="3" t="str">
        <f>INDEX(Risk_Matrix!$B$2:$D$4,MATCH(E923,Risk_Matrix!$A$2:$A$4,0),MATCH(F923,Risk_Matrix!$B$1:$D$1,0))</f>
        <v>Low</v>
      </c>
      <c r="H923" s="10">
        <v>46175</v>
      </c>
      <c r="I923" s="3" t="s">
        <v>981</v>
      </c>
      <c r="J923" s="3" t="s">
        <v>982</v>
      </c>
      <c r="K923" s="3" t="s">
        <v>983</v>
      </c>
      <c r="L923" s="3">
        <f>IF(G923="High",3,IF(G923="Medium",2,1))</f>
        <v>1</v>
      </c>
    </row>
    <row r="924" spans="1:12">
      <c r="A924" s="3" t="s">
        <v>1917</v>
      </c>
      <c r="B924" s="3" t="s">
        <v>643</v>
      </c>
      <c r="C924" s="3" t="s">
        <v>976</v>
      </c>
      <c r="D924" s="3" t="s">
        <v>1002</v>
      </c>
      <c r="E924" s="3" t="s">
        <v>42</v>
      </c>
      <c r="F924" s="3" t="s">
        <v>942</v>
      </c>
      <c r="G924" s="3" t="str">
        <f>INDEX(Risk_Matrix!$B$2:$D$4,MATCH(E924,Risk_Matrix!$A$2:$A$4,0),MATCH(F924,Risk_Matrix!$B$1:$D$1,0))</f>
        <v>High</v>
      </c>
      <c r="H924" s="10">
        <v>46077</v>
      </c>
      <c r="I924" s="3" t="s">
        <v>973</v>
      </c>
      <c r="J924" s="3" t="s">
        <v>974</v>
      </c>
      <c r="K924" s="3" t="s">
        <v>993</v>
      </c>
      <c r="L924" s="3">
        <f>IF(G924="High",3,IF(G924="Medium",2,1))</f>
        <v>3</v>
      </c>
    </row>
    <row r="925" spans="1:12">
      <c r="A925" s="3" t="s">
        <v>1918</v>
      </c>
      <c r="B925" s="3" t="s">
        <v>643</v>
      </c>
      <c r="C925" s="3" t="s">
        <v>979</v>
      </c>
      <c r="D925" s="3" t="s">
        <v>1004</v>
      </c>
      <c r="E925" s="3" t="s">
        <v>42</v>
      </c>
      <c r="F925" s="3" t="s">
        <v>47</v>
      </c>
      <c r="G925" s="3" t="str">
        <f>INDEX(Risk_Matrix!$B$2:$D$4,MATCH(E925,Risk_Matrix!$A$2:$A$4,0),MATCH(F925,Risk_Matrix!$B$1:$D$1,0))</f>
        <v>Medium</v>
      </c>
      <c r="H925" s="10">
        <v>46076</v>
      </c>
      <c r="I925" s="3" t="s">
        <v>973</v>
      </c>
      <c r="J925" s="3" t="s">
        <v>974</v>
      </c>
      <c r="K925" s="3" t="s">
        <v>983</v>
      </c>
      <c r="L925" s="3">
        <f>IF(G925="High",3,IF(G925="Medium",2,1))</f>
        <v>2</v>
      </c>
    </row>
    <row r="926" spans="1:12">
      <c r="A926" s="3" t="s">
        <v>1919</v>
      </c>
      <c r="B926" s="3" t="s">
        <v>645</v>
      </c>
      <c r="C926" s="3" t="s">
        <v>956</v>
      </c>
      <c r="D926" s="3" t="s">
        <v>1020</v>
      </c>
      <c r="E926" s="3" t="s">
        <v>47</v>
      </c>
      <c r="F926" s="3" t="s">
        <v>47</v>
      </c>
      <c r="G926" s="3" t="str">
        <f>INDEX(Risk_Matrix!$B$2:$D$4,MATCH(E926,Risk_Matrix!$A$2:$A$4,0),MATCH(F926,Risk_Matrix!$B$1:$D$1,0))</f>
        <v>Low</v>
      </c>
      <c r="H926" s="10">
        <v>46186</v>
      </c>
      <c r="I926" s="3" t="s">
        <v>967</v>
      </c>
      <c r="J926" s="3" t="s">
        <v>968</v>
      </c>
      <c r="K926" s="3" t="s">
        <v>983</v>
      </c>
      <c r="L926" s="3">
        <f>IF(G926="High",3,IF(G926="Medium",2,1))</f>
        <v>1</v>
      </c>
    </row>
    <row r="927" spans="1:12">
      <c r="A927" s="3" t="s">
        <v>1920</v>
      </c>
      <c r="B927" s="3" t="s">
        <v>645</v>
      </c>
      <c r="C927" s="3" t="s">
        <v>962</v>
      </c>
      <c r="D927" s="3" t="s">
        <v>963</v>
      </c>
      <c r="E927" s="3" t="s">
        <v>47</v>
      </c>
      <c r="F927" s="3" t="s">
        <v>47</v>
      </c>
      <c r="G927" s="3" t="str">
        <f>INDEX(Risk_Matrix!$B$2:$D$4,MATCH(E927,Risk_Matrix!$A$2:$A$4,0),MATCH(F927,Risk_Matrix!$B$1:$D$1,0))</f>
        <v>Low</v>
      </c>
      <c r="H927" s="10">
        <v>46188</v>
      </c>
      <c r="I927" s="3" t="s">
        <v>973</v>
      </c>
      <c r="J927" s="3" t="s">
        <v>974</v>
      </c>
      <c r="K927" s="3" t="s">
        <v>983</v>
      </c>
      <c r="L927" s="3">
        <f>IF(G927="High",3,IF(G927="Medium",2,1))</f>
        <v>1</v>
      </c>
    </row>
    <row r="928" spans="1:12">
      <c r="A928" s="3" t="s">
        <v>1921</v>
      </c>
      <c r="B928" s="3" t="s">
        <v>645</v>
      </c>
      <c r="C928" s="3" t="s">
        <v>965</v>
      </c>
      <c r="D928" s="3" t="s">
        <v>988</v>
      </c>
      <c r="E928" s="3" t="s">
        <v>47</v>
      </c>
      <c r="F928" s="3" t="s">
        <v>47</v>
      </c>
      <c r="G928" s="3" t="str">
        <f>INDEX(Risk_Matrix!$B$2:$D$4,MATCH(E928,Risk_Matrix!$A$2:$A$4,0),MATCH(F928,Risk_Matrix!$B$1:$D$1,0))</f>
        <v>Low</v>
      </c>
      <c r="H928" s="10">
        <v>46124</v>
      </c>
      <c r="I928" s="3" t="s">
        <v>973</v>
      </c>
      <c r="J928" s="3" t="s">
        <v>974</v>
      </c>
      <c r="K928" s="3" t="s">
        <v>983</v>
      </c>
      <c r="L928" s="3">
        <f>IF(G928="High",3,IF(G928="Medium",2,1))</f>
        <v>1</v>
      </c>
    </row>
    <row r="929" spans="1:12">
      <c r="A929" s="3" t="s">
        <v>1922</v>
      </c>
      <c r="B929" s="3" t="s">
        <v>645</v>
      </c>
      <c r="C929" s="3" t="s">
        <v>971</v>
      </c>
      <c r="D929" s="3" t="s">
        <v>1025</v>
      </c>
      <c r="E929" s="3" t="s">
        <v>42</v>
      </c>
      <c r="F929" s="3" t="s">
        <v>47</v>
      </c>
      <c r="G929" s="3" t="str">
        <f>INDEX(Risk_Matrix!$B$2:$D$4,MATCH(E929,Risk_Matrix!$A$2:$A$4,0),MATCH(F929,Risk_Matrix!$B$1:$D$1,0))</f>
        <v>Medium</v>
      </c>
      <c r="H929" s="10">
        <v>46146</v>
      </c>
      <c r="I929" s="3" t="s">
        <v>958</v>
      </c>
      <c r="J929" s="3" t="s">
        <v>959</v>
      </c>
      <c r="K929" s="3" t="s">
        <v>960</v>
      </c>
      <c r="L929" s="3">
        <f>IF(G929="High",3,IF(G929="Medium",2,1))</f>
        <v>2</v>
      </c>
    </row>
    <row r="930" spans="1:12">
      <c r="A930" s="3" t="s">
        <v>1923</v>
      </c>
      <c r="B930" s="3" t="s">
        <v>645</v>
      </c>
      <c r="C930" s="3" t="s">
        <v>976</v>
      </c>
      <c r="D930" s="3" t="s">
        <v>991</v>
      </c>
      <c r="E930" s="3" t="s">
        <v>47</v>
      </c>
      <c r="F930" s="3" t="s">
        <v>47</v>
      </c>
      <c r="G930" s="3" t="str">
        <f>INDEX(Risk_Matrix!$B$2:$D$4,MATCH(E930,Risk_Matrix!$A$2:$A$4,0),MATCH(F930,Risk_Matrix!$B$1:$D$1,0))</f>
        <v>Low</v>
      </c>
      <c r="H930" s="10">
        <v>46128</v>
      </c>
      <c r="I930" s="3" t="s">
        <v>967</v>
      </c>
      <c r="J930" s="3" t="s">
        <v>968</v>
      </c>
      <c r="K930" s="3" t="s">
        <v>983</v>
      </c>
      <c r="L930" s="3">
        <f>IF(G930="High",3,IF(G930="Medium",2,1))</f>
        <v>1</v>
      </c>
    </row>
    <row r="931" spans="1:12">
      <c r="A931" s="3" t="s">
        <v>1924</v>
      </c>
      <c r="B931" s="3" t="s">
        <v>645</v>
      </c>
      <c r="C931" s="3" t="s">
        <v>979</v>
      </c>
      <c r="D931" s="3" t="s">
        <v>1028</v>
      </c>
      <c r="E931" s="3" t="s">
        <v>47</v>
      </c>
      <c r="F931" s="3" t="s">
        <v>47</v>
      </c>
      <c r="G931" s="3" t="str">
        <f>INDEX(Risk_Matrix!$B$2:$D$4,MATCH(E931,Risk_Matrix!$A$2:$A$4,0),MATCH(F931,Risk_Matrix!$B$1:$D$1,0))</f>
        <v>Low</v>
      </c>
      <c r="H931" s="10">
        <v>46162</v>
      </c>
      <c r="I931" s="3" t="s">
        <v>981</v>
      </c>
      <c r="J931" s="3" t="s">
        <v>982</v>
      </c>
      <c r="K931" s="3" t="s">
        <v>1000</v>
      </c>
      <c r="L931" s="3">
        <f>IF(G931="High",3,IF(G931="Medium",2,1))</f>
        <v>1</v>
      </c>
    </row>
    <row r="932" spans="1:12">
      <c r="A932" s="3" t="s">
        <v>1925</v>
      </c>
      <c r="B932" s="3" t="s">
        <v>647</v>
      </c>
      <c r="C932" s="3" t="s">
        <v>956</v>
      </c>
      <c r="D932" s="3" t="s">
        <v>1020</v>
      </c>
      <c r="E932" s="3" t="s">
        <v>942</v>
      </c>
      <c r="F932" s="3" t="s">
        <v>47</v>
      </c>
      <c r="G932" s="3" t="str">
        <f>INDEX(Risk_Matrix!$B$2:$D$4,MATCH(E932,Risk_Matrix!$A$2:$A$4,0),MATCH(F932,Risk_Matrix!$B$1:$D$1,0))</f>
        <v>Low</v>
      </c>
      <c r="H932" s="10">
        <v>46160</v>
      </c>
      <c r="I932" s="3" t="s">
        <v>973</v>
      </c>
      <c r="J932" s="3" t="s">
        <v>974</v>
      </c>
      <c r="K932" s="3" t="s">
        <v>960</v>
      </c>
      <c r="L932" s="3">
        <f>IF(G932="High",3,IF(G932="Medium",2,1))</f>
        <v>1</v>
      </c>
    </row>
    <row r="933" spans="1:12">
      <c r="A933" s="3" t="s">
        <v>1926</v>
      </c>
      <c r="B933" s="3" t="s">
        <v>647</v>
      </c>
      <c r="C933" s="3" t="s">
        <v>962</v>
      </c>
      <c r="D933" s="3" t="s">
        <v>986</v>
      </c>
      <c r="E933" s="3" t="s">
        <v>47</v>
      </c>
      <c r="F933" s="3" t="s">
        <v>942</v>
      </c>
      <c r="G933" s="3" t="str">
        <f>INDEX(Risk_Matrix!$B$2:$D$4,MATCH(E933,Risk_Matrix!$A$2:$A$4,0),MATCH(F933,Risk_Matrix!$B$1:$D$1,0))</f>
        <v>Low</v>
      </c>
      <c r="H933" s="10">
        <v>46204</v>
      </c>
      <c r="I933" s="3" t="s">
        <v>973</v>
      </c>
      <c r="J933" s="3" t="s">
        <v>974</v>
      </c>
      <c r="K933" s="3" t="s">
        <v>960</v>
      </c>
      <c r="L933" s="3">
        <f>IF(G933="High",3,IF(G933="Medium",2,1))</f>
        <v>1</v>
      </c>
    </row>
    <row r="934" spans="1:12">
      <c r="A934" s="3" t="s">
        <v>1927</v>
      </c>
      <c r="B934" s="3" t="s">
        <v>647</v>
      </c>
      <c r="C934" s="3" t="s">
        <v>965</v>
      </c>
      <c r="D934" s="3" t="s">
        <v>1039</v>
      </c>
      <c r="E934" s="3" t="s">
        <v>47</v>
      </c>
      <c r="F934" s="3" t="s">
        <v>47</v>
      </c>
      <c r="G934" s="3" t="str">
        <f>INDEX(Risk_Matrix!$B$2:$D$4,MATCH(E934,Risk_Matrix!$A$2:$A$4,0),MATCH(F934,Risk_Matrix!$B$1:$D$1,0))</f>
        <v>Low</v>
      </c>
      <c r="H934" s="10">
        <v>46110</v>
      </c>
      <c r="I934" s="3" t="s">
        <v>973</v>
      </c>
      <c r="J934" s="3" t="s">
        <v>974</v>
      </c>
      <c r="K934" s="3" t="s">
        <v>969</v>
      </c>
      <c r="L934" s="3">
        <f>IF(G934="High",3,IF(G934="Medium",2,1))</f>
        <v>1</v>
      </c>
    </row>
    <row r="935" spans="1:12">
      <c r="A935" s="3" t="s">
        <v>1928</v>
      </c>
      <c r="B935" s="3" t="s">
        <v>647</v>
      </c>
      <c r="C935" s="3" t="s">
        <v>971</v>
      </c>
      <c r="D935" s="3" t="s">
        <v>1025</v>
      </c>
      <c r="E935" s="3" t="s">
        <v>47</v>
      </c>
      <c r="F935" s="3" t="s">
        <v>47</v>
      </c>
      <c r="G935" s="3" t="str">
        <f>INDEX(Risk_Matrix!$B$2:$D$4,MATCH(E935,Risk_Matrix!$A$2:$A$4,0),MATCH(F935,Risk_Matrix!$B$1:$D$1,0))</f>
        <v>Low</v>
      </c>
      <c r="H935" s="10">
        <v>46143</v>
      </c>
      <c r="I935" s="3" t="s">
        <v>973</v>
      </c>
      <c r="J935" s="3" t="s">
        <v>974</v>
      </c>
      <c r="K935" s="3" t="s">
        <v>960</v>
      </c>
      <c r="L935" s="3">
        <f>IF(G935="High",3,IF(G935="Medium",2,1))</f>
        <v>1</v>
      </c>
    </row>
    <row r="936" spans="1:12">
      <c r="A936" s="3" t="s">
        <v>1929</v>
      </c>
      <c r="B936" s="3" t="s">
        <v>647</v>
      </c>
      <c r="C936" s="3" t="s">
        <v>976</v>
      </c>
      <c r="D936" s="3" t="s">
        <v>991</v>
      </c>
      <c r="E936" s="3" t="s">
        <v>47</v>
      </c>
      <c r="F936" s="3" t="s">
        <v>42</v>
      </c>
      <c r="G936" s="3" t="str">
        <f>INDEX(Risk_Matrix!$B$2:$D$4,MATCH(E936,Risk_Matrix!$A$2:$A$4,0),MATCH(F936,Risk_Matrix!$B$1:$D$1,0))</f>
        <v>Medium</v>
      </c>
      <c r="H936" s="10">
        <v>46229</v>
      </c>
      <c r="I936" s="3" t="s">
        <v>973</v>
      </c>
      <c r="J936" s="3" t="s">
        <v>974</v>
      </c>
      <c r="K936" s="3" t="s">
        <v>993</v>
      </c>
      <c r="L936" s="3">
        <f>IF(G936="High",3,IF(G936="Medium",2,1))</f>
        <v>2</v>
      </c>
    </row>
    <row r="937" spans="1:12">
      <c r="A937" s="3" t="s">
        <v>1930</v>
      </c>
      <c r="B937" s="3" t="s">
        <v>647</v>
      </c>
      <c r="C937" s="3" t="s">
        <v>979</v>
      </c>
      <c r="D937" s="3" t="s">
        <v>1028</v>
      </c>
      <c r="E937" s="3" t="s">
        <v>42</v>
      </c>
      <c r="F937" s="3" t="s">
        <v>47</v>
      </c>
      <c r="G937" s="3" t="str">
        <f>INDEX(Risk_Matrix!$B$2:$D$4,MATCH(E937,Risk_Matrix!$A$2:$A$4,0),MATCH(F937,Risk_Matrix!$B$1:$D$1,0))</f>
        <v>Medium</v>
      </c>
      <c r="H937" s="10">
        <v>46173</v>
      </c>
      <c r="I937" s="3" t="s">
        <v>981</v>
      </c>
      <c r="J937" s="3" t="s">
        <v>982</v>
      </c>
      <c r="K937" s="3" t="s">
        <v>969</v>
      </c>
      <c r="L937" s="3">
        <f>IF(G937="High",3,IF(G937="Medium",2,1))</f>
        <v>2</v>
      </c>
    </row>
    <row r="938" spans="1:12">
      <c r="A938" s="3" t="s">
        <v>1931</v>
      </c>
      <c r="B938" s="3" t="s">
        <v>649</v>
      </c>
      <c r="C938" s="3" t="s">
        <v>956</v>
      </c>
      <c r="D938" s="3" t="s">
        <v>1012</v>
      </c>
      <c r="E938" s="3" t="s">
        <v>942</v>
      </c>
      <c r="F938" s="3" t="s">
        <v>47</v>
      </c>
      <c r="G938" s="3" t="str">
        <f>INDEX(Risk_Matrix!$B$2:$D$4,MATCH(E938,Risk_Matrix!$A$2:$A$4,0),MATCH(F938,Risk_Matrix!$B$1:$D$1,0))</f>
        <v>Low</v>
      </c>
      <c r="H938" s="10">
        <v>46140</v>
      </c>
      <c r="I938" s="3" t="s">
        <v>973</v>
      </c>
      <c r="J938" s="3" t="s">
        <v>974</v>
      </c>
      <c r="K938" s="3" t="s">
        <v>960</v>
      </c>
      <c r="L938" s="3">
        <f>IF(G938="High",3,IF(G938="Medium",2,1))</f>
        <v>1</v>
      </c>
    </row>
    <row r="939" spans="1:12">
      <c r="A939" s="3" t="s">
        <v>1932</v>
      </c>
      <c r="B939" s="3" t="s">
        <v>649</v>
      </c>
      <c r="C939" s="3" t="s">
        <v>962</v>
      </c>
      <c r="D939" s="3" t="s">
        <v>1037</v>
      </c>
      <c r="E939" s="3" t="s">
        <v>47</v>
      </c>
      <c r="F939" s="3" t="s">
        <v>47</v>
      </c>
      <c r="G939" s="3" t="str">
        <f>INDEX(Risk_Matrix!$B$2:$D$4,MATCH(E939,Risk_Matrix!$A$2:$A$4,0),MATCH(F939,Risk_Matrix!$B$1:$D$1,0))</f>
        <v>Low</v>
      </c>
      <c r="H939" s="10">
        <v>46077</v>
      </c>
      <c r="I939" s="3" t="s">
        <v>981</v>
      </c>
      <c r="J939" s="3" t="s">
        <v>982</v>
      </c>
      <c r="K939" s="3" t="s">
        <v>993</v>
      </c>
      <c r="L939" s="3">
        <f>IF(G939="High",3,IF(G939="Medium",2,1))</f>
        <v>1</v>
      </c>
    </row>
    <row r="940" spans="1:12">
      <c r="A940" s="3" t="s">
        <v>1933</v>
      </c>
      <c r="B940" s="3" t="s">
        <v>649</v>
      </c>
      <c r="C940" s="3" t="s">
        <v>965</v>
      </c>
      <c r="D940" s="3" t="s">
        <v>1039</v>
      </c>
      <c r="E940" s="3" t="s">
        <v>47</v>
      </c>
      <c r="F940" s="3" t="s">
        <v>47</v>
      </c>
      <c r="G940" s="3" t="str">
        <f>INDEX(Risk_Matrix!$B$2:$D$4,MATCH(E940,Risk_Matrix!$A$2:$A$4,0),MATCH(F940,Risk_Matrix!$B$1:$D$1,0))</f>
        <v>Low</v>
      </c>
      <c r="H940" s="10">
        <v>46173</v>
      </c>
      <c r="I940" s="3" t="s">
        <v>967</v>
      </c>
      <c r="J940" s="3" t="s">
        <v>968</v>
      </c>
      <c r="K940" s="3" t="s">
        <v>983</v>
      </c>
      <c r="L940" s="3">
        <f>IF(G940="High",3,IF(G940="Medium",2,1))</f>
        <v>1</v>
      </c>
    </row>
    <row r="941" spans="1:12">
      <c r="A941" s="3" t="s">
        <v>1934</v>
      </c>
      <c r="B941" s="3" t="s">
        <v>649</v>
      </c>
      <c r="C941" s="3" t="s">
        <v>971</v>
      </c>
      <c r="D941" s="3" t="s">
        <v>1016</v>
      </c>
      <c r="E941" s="3" t="s">
        <v>942</v>
      </c>
      <c r="F941" s="3" t="s">
        <v>942</v>
      </c>
      <c r="G941" s="3" t="str">
        <f>INDEX(Risk_Matrix!$B$2:$D$4,MATCH(E941,Risk_Matrix!$A$2:$A$4,0),MATCH(F941,Risk_Matrix!$B$1:$D$1,0))</f>
        <v>Medium</v>
      </c>
      <c r="H941" s="10">
        <v>46209</v>
      </c>
      <c r="I941" s="3" t="s">
        <v>973</v>
      </c>
      <c r="J941" s="3" t="s">
        <v>974</v>
      </c>
      <c r="K941" s="3" t="s">
        <v>993</v>
      </c>
      <c r="L941" s="3">
        <f>IF(G941="High",3,IF(G941="Medium",2,1))</f>
        <v>2</v>
      </c>
    </row>
    <row r="942" spans="1:12">
      <c r="A942" s="3" t="s">
        <v>1935</v>
      </c>
      <c r="B942" s="3" t="s">
        <v>649</v>
      </c>
      <c r="C942" s="3" t="s">
        <v>976</v>
      </c>
      <c r="D942" s="3" t="s">
        <v>1002</v>
      </c>
      <c r="E942" s="3" t="s">
        <v>942</v>
      </c>
      <c r="F942" s="3" t="s">
        <v>47</v>
      </c>
      <c r="G942" s="3" t="str">
        <f>INDEX(Risk_Matrix!$B$2:$D$4,MATCH(E942,Risk_Matrix!$A$2:$A$4,0),MATCH(F942,Risk_Matrix!$B$1:$D$1,0))</f>
        <v>Low</v>
      </c>
      <c r="H942" s="10">
        <v>46218</v>
      </c>
      <c r="I942" s="3" t="s">
        <v>967</v>
      </c>
      <c r="J942" s="3" t="s">
        <v>968</v>
      </c>
      <c r="K942" s="3" t="s">
        <v>1000</v>
      </c>
      <c r="L942" s="3">
        <f>IF(G942="High",3,IF(G942="Medium",2,1))</f>
        <v>1</v>
      </c>
    </row>
    <row r="943" spans="1:12">
      <c r="A943" s="3" t="s">
        <v>1936</v>
      </c>
      <c r="B943" s="3" t="s">
        <v>649</v>
      </c>
      <c r="C943" s="3" t="s">
        <v>979</v>
      </c>
      <c r="D943" s="3" t="s">
        <v>1004</v>
      </c>
      <c r="E943" s="3" t="s">
        <v>42</v>
      </c>
      <c r="F943" s="3" t="s">
        <v>47</v>
      </c>
      <c r="G943" s="3" t="str">
        <f>INDEX(Risk_Matrix!$B$2:$D$4,MATCH(E943,Risk_Matrix!$A$2:$A$4,0),MATCH(F943,Risk_Matrix!$B$1:$D$1,0))</f>
        <v>Medium</v>
      </c>
      <c r="H943" s="10">
        <v>46061</v>
      </c>
      <c r="I943" s="3" t="s">
        <v>967</v>
      </c>
      <c r="J943" s="3" t="s">
        <v>968</v>
      </c>
      <c r="K943" s="3" t="s">
        <v>969</v>
      </c>
      <c r="L943" s="3">
        <f>IF(G943="High",3,IF(G943="Medium",2,1))</f>
        <v>2</v>
      </c>
    </row>
    <row r="944" spans="1:12">
      <c r="A944" s="3" t="s">
        <v>1937</v>
      </c>
      <c r="B944" s="3" t="s">
        <v>651</v>
      </c>
      <c r="C944" s="3" t="s">
        <v>956</v>
      </c>
      <c r="D944" s="3" t="s">
        <v>1012</v>
      </c>
      <c r="E944" s="3" t="s">
        <v>942</v>
      </c>
      <c r="F944" s="3" t="s">
        <v>942</v>
      </c>
      <c r="G944" s="3" t="str">
        <f>INDEX(Risk_Matrix!$B$2:$D$4,MATCH(E944,Risk_Matrix!$A$2:$A$4,0),MATCH(F944,Risk_Matrix!$B$1:$D$1,0))</f>
        <v>Medium</v>
      </c>
      <c r="H944" s="10">
        <v>46216</v>
      </c>
      <c r="I944" s="3" t="s">
        <v>981</v>
      </c>
      <c r="J944" s="3" t="s">
        <v>982</v>
      </c>
      <c r="K944" s="3" t="s">
        <v>993</v>
      </c>
      <c r="L944" s="3">
        <f>IF(G944="High",3,IF(G944="Medium",2,1))</f>
        <v>2</v>
      </c>
    </row>
    <row r="945" spans="1:12">
      <c r="A945" s="3" t="s">
        <v>1938</v>
      </c>
      <c r="B945" s="3" t="s">
        <v>651</v>
      </c>
      <c r="C945" s="3" t="s">
        <v>962</v>
      </c>
      <c r="D945" s="3" t="s">
        <v>986</v>
      </c>
      <c r="E945" s="3" t="s">
        <v>942</v>
      </c>
      <c r="F945" s="3" t="s">
        <v>47</v>
      </c>
      <c r="G945" s="3" t="str">
        <f>INDEX(Risk_Matrix!$B$2:$D$4,MATCH(E945,Risk_Matrix!$A$2:$A$4,0),MATCH(F945,Risk_Matrix!$B$1:$D$1,0))</f>
        <v>Low</v>
      </c>
      <c r="H945" s="10">
        <v>46137</v>
      </c>
      <c r="I945" s="3" t="s">
        <v>973</v>
      </c>
      <c r="J945" s="3" t="s">
        <v>974</v>
      </c>
      <c r="K945" s="3" t="s">
        <v>969</v>
      </c>
      <c r="L945" s="3">
        <f>IF(G945="High",3,IF(G945="Medium",2,1))</f>
        <v>1</v>
      </c>
    </row>
    <row r="946" spans="1:12">
      <c r="A946" s="3" t="s">
        <v>1939</v>
      </c>
      <c r="B946" s="3" t="s">
        <v>651</v>
      </c>
      <c r="C946" s="3" t="s">
        <v>965</v>
      </c>
      <c r="D946" s="3" t="s">
        <v>1023</v>
      </c>
      <c r="E946" s="3" t="s">
        <v>42</v>
      </c>
      <c r="F946" s="3" t="s">
        <v>942</v>
      </c>
      <c r="G946" s="3" t="str">
        <f>INDEX(Risk_Matrix!$B$2:$D$4,MATCH(E946,Risk_Matrix!$A$2:$A$4,0),MATCH(F946,Risk_Matrix!$B$1:$D$1,0))</f>
        <v>High</v>
      </c>
      <c r="H946" s="10">
        <v>46221</v>
      </c>
      <c r="I946" s="3" t="s">
        <v>973</v>
      </c>
      <c r="J946" s="3" t="s">
        <v>974</v>
      </c>
      <c r="K946" s="3" t="s">
        <v>960</v>
      </c>
      <c r="L946" s="3">
        <f>IF(G946="High",3,IF(G946="Medium",2,1))</f>
        <v>3</v>
      </c>
    </row>
    <row r="947" spans="1:12">
      <c r="A947" s="3" t="s">
        <v>1940</v>
      </c>
      <c r="B947" s="3" t="s">
        <v>651</v>
      </c>
      <c r="C947" s="3" t="s">
        <v>971</v>
      </c>
      <c r="D947" s="3" t="s">
        <v>1016</v>
      </c>
      <c r="E947" s="3" t="s">
        <v>47</v>
      </c>
      <c r="F947" s="3" t="s">
        <v>47</v>
      </c>
      <c r="G947" s="3" t="str">
        <f>INDEX(Risk_Matrix!$B$2:$D$4,MATCH(E947,Risk_Matrix!$A$2:$A$4,0),MATCH(F947,Risk_Matrix!$B$1:$D$1,0))</f>
        <v>Low</v>
      </c>
      <c r="H947" s="10">
        <v>46193</v>
      </c>
      <c r="I947" s="3" t="s">
        <v>967</v>
      </c>
      <c r="J947" s="3" t="s">
        <v>968</v>
      </c>
      <c r="K947" s="3" t="s">
        <v>969</v>
      </c>
      <c r="L947" s="3">
        <f>IF(G947="High",3,IF(G947="Medium",2,1))</f>
        <v>1</v>
      </c>
    </row>
    <row r="948" spans="1:12">
      <c r="A948" s="3" t="s">
        <v>1941</v>
      </c>
      <c r="B948" s="3" t="s">
        <v>651</v>
      </c>
      <c r="C948" s="3" t="s">
        <v>976</v>
      </c>
      <c r="D948" s="3" t="s">
        <v>977</v>
      </c>
      <c r="E948" s="3" t="s">
        <v>942</v>
      </c>
      <c r="F948" s="3" t="s">
        <v>47</v>
      </c>
      <c r="G948" s="3" t="str">
        <f>INDEX(Risk_Matrix!$B$2:$D$4,MATCH(E948,Risk_Matrix!$A$2:$A$4,0),MATCH(F948,Risk_Matrix!$B$1:$D$1,0))</f>
        <v>Low</v>
      </c>
      <c r="H948" s="10">
        <v>46210</v>
      </c>
      <c r="I948" s="3" t="s">
        <v>973</v>
      </c>
      <c r="J948" s="3" t="s">
        <v>974</v>
      </c>
      <c r="K948" s="3" t="s">
        <v>960</v>
      </c>
      <c r="L948" s="3">
        <f>IF(G948="High",3,IF(G948="Medium",2,1))</f>
        <v>1</v>
      </c>
    </row>
    <row r="949" spans="1:12">
      <c r="A949" s="3" t="s">
        <v>1942</v>
      </c>
      <c r="B949" s="3" t="s">
        <v>651</v>
      </c>
      <c r="C949" s="3" t="s">
        <v>979</v>
      </c>
      <c r="D949" s="3" t="s">
        <v>980</v>
      </c>
      <c r="E949" s="3" t="s">
        <v>942</v>
      </c>
      <c r="F949" s="3" t="s">
        <v>47</v>
      </c>
      <c r="G949" s="3" t="str">
        <f>INDEX(Risk_Matrix!$B$2:$D$4,MATCH(E949,Risk_Matrix!$A$2:$A$4,0),MATCH(F949,Risk_Matrix!$B$1:$D$1,0))</f>
        <v>Low</v>
      </c>
      <c r="H949" s="10">
        <v>46192</v>
      </c>
      <c r="I949" s="3" t="s">
        <v>973</v>
      </c>
      <c r="J949" s="3" t="s">
        <v>974</v>
      </c>
      <c r="K949" s="3" t="s">
        <v>983</v>
      </c>
      <c r="L949" s="3">
        <f>IF(G949="High",3,IF(G949="Medium",2,1))</f>
        <v>1</v>
      </c>
    </row>
    <row r="950" spans="1:12">
      <c r="A950" s="3" t="s">
        <v>1943</v>
      </c>
      <c r="B950" s="3" t="s">
        <v>653</v>
      </c>
      <c r="C950" s="3" t="s">
        <v>956</v>
      </c>
      <c r="D950" s="3" t="s">
        <v>995</v>
      </c>
      <c r="E950" s="3" t="s">
        <v>42</v>
      </c>
      <c r="F950" s="3" t="s">
        <v>42</v>
      </c>
      <c r="G950" s="3" t="str">
        <f>INDEX(Risk_Matrix!$B$2:$D$4,MATCH(E950,Risk_Matrix!$A$2:$A$4,0),MATCH(F950,Risk_Matrix!$B$1:$D$1,0))</f>
        <v>High</v>
      </c>
      <c r="H950" s="10">
        <v>46079</v>
      </c>
      <c r="I950" s="3" t="s">
        <v>967</v>
      </c>
      <c r="J950" s="3" t="s">
        <v>968</v>
      </c>
      <c r="K950" s="3" t="s">
        <v>993</v>
      </c>
      <c r="L950" s="3">
        <f>IF(G950="High",3,IF(G950="Medium",2,1))</f>
        <v>3</v>
      </c>
    </row>
    <row r="951" spans="1:12">
      <c r="A951" s="3" t="s">
        <v>1944</v>
      </c>
      <c r="B951" s="3" t="s">
        <v>653</v>
      </c>
      <c r="C951" s="3" t="s">
        <v>962</v>
      </c>
      <c r="D951" s="3" t="s">
        <v>1037</v>
      </c>
      <c r="E951" s="3" t="s">
        <v>47</v>
      </c>
      <c r="F951" s="3" t="s">
        <v>47</v>
      </c>
      <c r="G951" s="3" t="str">
        <f>INDEX(Risk_Matrix!$B$2:$D$4,MATCH(E951,Risk_Matrix!$A$2:$A$4,0),MATCH(F951,Risk_Matrix!$B$1:$D$1,0))</f>
        <v>Low</v>
      </c>
      <c r="H951" s="10">
        <v>46222</v>
      </c>
      <c r="I951" s="3" t="s">
        <v>973</v>
      </c>
      <c r="J951" s="3" t="s">
        <v>974</v>
      </c>
      <c r="K951" s="3" t="s">
        <v>969</v>
      </c>
      <c r="L951" s="3">
        <f>IF(G951="High",3,IF(G951="Medium",2,1))</f>
        <v>1</v>
      </c>
    </row>
    <row r="952" spans="1:12">
      <c r="A952" s="3" t="s">
        <v>1945</v>
      </c>
      <c r="B952" s="3" t="s">
        <v>653</v>
      </c>
      <c r="C952" s="3" t="s">
        <v>965</v>
      </c>
      <c r="D952" s="3" t="s">
        <v>1023</v>
      </c>
      <c r="E952" s="3" t="s">
        <v>942</v>
      </c>
      <c r="F952" s="3" t="s">
        <v>47</v>
      </c>
      <c r="G952" s="3" t="str">
        <f>INDEX(Risk_Matrix!$B$2:$D$4,MATCH(E952,Risk_Matrix!$A$2:$A$4,0),MATCH(F952,Risk_Matrix!$B$1:$D$1,0))</f>
        <v>Low</v>
      </c>
      <c r="H952" s="10">
        <v>46213</v>
      </c>
      <c r="I952" s="3" t="s">
        <v>967</v>
      </c>
      <c r="J952" s="3" t="s">
        <v>968</v>
      </c>
      <c r="K952" s="3" t="s">
        <v>993</v>
      </c>
      <c r="L952" s="3">
        <f>IF(G952="High",3,IF(G952="Medium",2,1))</f>
        <v>1</v>
      </c>
    </row>
    <row r="953" spans="1:12">
      <c r="A953" s="3" t="s">
        <v>1946</v>
      </c>
      <c r="B953" s="3" t="s">
        <v>653</v>
      </c>
      <c r="C953" s="3" t="s">
        <v>971</v>
      </c>
      <c r="D953" s="3" t="s">
        <v>972</v>
      </c>
      <c r="E953" s="3" t="s">
        <v>47</v>
      </c>
      <c r="F953" s="3" t="s">
        <v>42</v>
      </c>
      <c r="G953" s="3" t="str">
        <f>INDEX(Risk_Matrix!$B$2:$D$4,MATCH(E953,Risk_Matrix!$A$2:$A$4,0),MATCH(F953,Risk_Matrix!$B$1:$D$1,0))</f>
        <v>Medium</v>
      </c>
      <c r="H953" s="10">
        <v>46228</v>
      </c>
      <c r="I953" s="3" t="s">
        <v>967</v>
      </c>
      <c r="J953" s="3" t="s">
        <v>968</v>
      </c>
      <c r="K953" s="3" t="s">
        <v>993</v>
      </c>
      <c r="L953" s="3">
        <f>IF(G953="High",3,IF(G953="Medium",2,1))</f>
        <v>2</v>
      </c>
    </row>
    <row r="954" spans="1:12">
      <c r="A954" s="3" t="s">
        <v>1947</v>
      </c>
      <c r="B954" s="3" t="s">
        <v>653</v>
      </c>
      <c r="C954" s="3" t="s">
        <v>976</v>
      </c>
      <c r="D954" s="3" t="s">
        <v>977</v>
      </c>
      <c r="E954" s="3" t="s">
        <v>942</v>
      </c>
      <c r="F954" s="3" t="s">
        <v>47</v>
      </c>
      <c r="G954" s="3" t="str">
        <f>INDEX(Risk_Matrix!$B$2:$D$4,MATCH(E954,Risk_Matrix!$A$2:$A$4,0),MATCH(F954,Risk_Matrix!$B$1:$D$1,0))</f>
        <v>Low</v>
      </c>
      <c r="H954" s="10">
        <v>46170</v>
      </c>
      <c r="I954" s="3" t="s">
        <v>967</v>
      </c>
      <c r="J954" s="3" t="s">
        <v>968</v>
      </c>
      <c r="K954" s="3" t="s">
        <v>960</v>
      </c>
      <c r="L954" s="3">
        <f>IF(G954="High",3,IF(G954="Medium",2,1))</f>
        <v>1</v>
      </c>
    </row>
    <row r="955" spans="1:12">
      <c r="A955" s="3" t="s">
        <v>1948</v>
      </c>
      <c r="B955" s="3" t="s">
        <v>653</v>
      </c>
      <c r="C955" s="3" t="s">
        <v>979</v>
      </c>
      <c r="D955" s="3" t="s">
        <v>1028</v>
      </c>
      <c r="E955" s="3" t="s">
        <v>942</v>
      </c>
      <c r="F955" s="3" t="s">
        <v>942</v>
      </c>
      <c r="G955" s="3" t="str">
        <f>INDEX(Risk_Matrix!$B$2:$D$4,MATCH(E955,Risk_Matrix!$A$2:$A$4,0),MATCH(F955,Risk_Matrix!$B$1:$D$1,0))</f>
        <v>Medium</v>
      </c>
      <c r="H955" s="10">
        <v>46064</v>
      </c>
      <c r="I955" s="3" t="s">
        <v>973</v>
      </c>
      <c r="J955" s="3" t="s">
        <v>974</v>
      </c>
      <c r="K955" s="3" t="s">
        <v>969</v>
      </c>
      <c r="L955" s="3">
        <f>IF(G955="High",3,IF(G955="Medium",2,1))</f>
        <v>2</v>
      </c>
    </row>
    <row r="956" spans="1:12">
      <c r="A956" s="3" t="s">
        <v>1949</v>
      </c>
      <c r="B956" s="3" t="s">
        <v>654</v>
      </c>
      <c r="C956" s="3" t="s">
        <v>956</v>
      </c>
      <c r="D956" s="3" t="s">
        <v>995</v>
      </c>
      <c r="E956" s="3" t="s">
        <v>942</v>
      </c>
      <c r="F956" s="3" t="s">
        <v>42</v>
      </c>
      <c r="G956" s="3" t="str">
        <f>INDEX(Risk_Matrix!$B$2:$D$4,MATCH(E956,Risk_Matrix!$A$2:$A$4,0),MATCH(F956,Risk_Matrix!$B$1:$D$1,0))</f>
        <v>High</v>
      </c>
      <c r="H956" s="10">
        <v>46142</v>
      </c>
      <c r="I956" s="3" t="s">
        <v>967</v>
      </c>
      <c r="J956" s="3" t="s">
        <v>968</v>
      </c>
      <c r="K956" s="3" t="s">
        <v>1000</v>
      </c>
      <c r="L956" s="3">
        <f>IF(G956="High",3,IF(G956="Medium",2,1))</f>
        <v>3</v>
      </c>
    </row>
    <row r="957" spans="1:12">
      <c r="A957" s="3" t="s">
        <v>1950</v>
      </c>
      <c r="B957" s="3" t="s">
        <v>654</v>
      </c>
      <c r="C957" s="3" t="s">
        <v>962</v>
      </c>
      <c r="D957" s="3" t="s">
        <v>963</v>
      </c>
      <c r="E957" s="3" t="s">
        <v>42</v>
      </c>
      <c r="F957" s="3" t="s">
        <v>42</v>
      </c>
      <c r="G957" s="3" t="str">
        <f>INDEX(Risk_Matrix!$B$2:$D$4,MATCH(E957,Risk_Matrix!$A$2:$A$4,0),MATCH(F957,Risk_Matrix!$B$1:$D$1,0))</f>
        <v>High</v>
      </c>
      <c r="H957" s="10">
        <v>46238</v>
      </c>
      <c r="I957" s="3" t="s">
        <v>981</v>
      </c>
      <c r="J957" s="3" t="s">
        <v>982</v>
      </c>
      <c r="K957" s="3" t="s">
        <v>960</v>
      </c>
      <c r="L957" s="3">
        <f>IF(G957="High",3,IF(G957="Medium",2,1))</f>
        <v>3</v>
      </c>
    </row>
    <row r="958" spans="1:12">
      <c r="A958" s="3" t="s">
        <v>1951</v>
      </c>
      <c r="B958" s="3" t="s">
        <v>654</v>
      </c>
      <c r="C958" s="3" t="s">
        <v>965</v>
      </c>
      <c r="D958" s="3" t="s">
        <v>988</v>
      </c>
      <c r="E958" s="3" t="s">
        <v>942</v>
      </c>
      <c r="F958" s="3" t="s">
        <v>42</v>
      </c>
      <c r="G958" s="3" t="str">
        <f>INDEX(Risk_Matrix!$B$2:$D$4,MATCH(E958,Risk_Matrix!$A$2:$A$4,0),MATCH(F958,Risk_Matrix!$B$1:$D$1,0))</f>
        <v>High</v>
      </c>
      <c r="H958" s="10">
        <v>46084</v>
      </c>
      <c r="I958" s="3" t="s">
        <v>973</v>
      </c>
      <c r="J958" s="3" t="s">
        <v>974</v>
      </c>
      <c r="K958" s="3" t="s">
        <v>993</v>
      </c>
      <c r="L958" s="3">
        <f>IF(G958="High",3,IF(G958="Medium",2,1))</f>
        <v>3</v>
      </c>
    </row>
    <row r="959" spans="1:12">
      <c r="A959" s="3" t="s">
        <v>1952</v>
      </c>
      <c r="B959" s="3" t="s">
        <v>654</v>
      </c>
      <c r="C959" s="3" t="s">
        <v>971</v>
      </c>
      <c r="D959" s="3" t="s">
        <v>1016</v>
      </c>
      <c r="E959" s="3" t="s">
        <v>47</v>
      </c>
      <c r="F959" s="3" t="s">
        <v>942</v>
      </c>
      <c r="G959" s="3" t="str">
        <f>INDEX(Risk_Matrix!$B$2:$D$4,MATCH(E959,Risk_Matrix!$A$2:$A$4,0),MATCH(F959,Risk_Matrix!$B$1:$D$1,0))</f>
        <v>Low</v>
      </c>
      <c r="H959" s="10">
        <v>46144</v>
      </c>
      <c r="I959" s="3" t="s">
        <v>981</v>
      </c>
      <c r="J959" s="3" t="s">
        <v>982</v>
      </c>
      <c r="K959" s="3" t="s">
        <v>960</v>
      </c>
      <c r="L959" s="3">
        <f>IF(G959="High",3,IF(G959="Medium",2,1))</f>
        <v>1</v>
      </c>
    </row>
    <row r="960" spans="1:12">
      <c r="A960" s="3" t="s">
        <v>1953</v>
      </c>
      <c r="B960" s="3" t="s">
        <v>654</v>
      </c>
      <c r="C960" s="3" t="s">
        <v>976</v>
      </c>
      <c r="D960" s="3" t="s">
        <v>1002</v>
      </c>
      <c r="E960" s="3" t="s">
        <v>942</v>
      </c>
      <c r="F960" s="3" t="s">
        <v>42</v>
      </c>
      <c r="G960" s="3" t="str">
        <f>INDEX(Risk_Matrix!$B$2:$D$4,MATCH(E960,Risk_Matrix!$A$2:$A$4,0),MATCH(F960,Risk_Matrix!$B$1:$D$1,0))</f>
        <v>High</v>
      </c>
      <c r="H960" s="10">
        <v>46069</v>
      </c>
      <c r="I960" s="3" t="s">
        <v>967</v>
      </c>
      <c r="J960" s="3" t="s">
        <v>968</v>
      </c>
      <c r="K960" s="3" t="s">
        <v>983</v>
      </c>
      <c r="L960" s="3">
        <f>IF(G960="High",3,IF(G960="Medium",2,1))</f>
        <v>3</v>
      </c>
    </row>
    <row r="961" spans="1:12">
      <c r="A961" s="3" t="s">
        <v>1954</v>
      </c>
      <c r="B961" s="3" t="s">
        <v>654</v>
      </c>
      <c r="C961" s="3" t="s">
        <v>979</v>
      </c>
      <c r="D961" s="3" t="s">
        <v>1004</v>
      </c>
      <c r="E961" s="3" t="s">
        <v>42</v>
      </c>
      <c r="F961" s="3" t="s">
        <v>42</v>
      </c>
      <c r="G961" s="3" t="str">
        <f>INDEX(Risk_Matrix!$B$2:$D$4,MATCH(E961,Risk_Matrix!$A$2:$A$4,0),MATCH(F961,Risk_Matrix!$B$1:$D$1,0))</f>
        <v>High</v>
      </c>
      <c r="H961" s="10">
        <v>46234</v>
      </c>
      <c r="I961" s="3" t="s">
        <v>981</v>
      </c>
      <c r="J961" s="3" t="s">
        <v>982</v>
      </c>
      <c r="K961" s="3" t="s">
        <v>969</v>
      </c>
      <c r="L961" s="3">
        <f>IF(G961="High",3,IF(G961="Medium",2,1))</f>
        <v>3</v>
      </c>
    </row>
    <row r="962" spans="1:12">
      <c r="A962" s="3" t="s">
        <v>1955</v>
      </c>
      <c r="B962" s="3" t="s">
        <v>655</v>
      </c>
      <c r="C962" s="3" t="s">
        <v>956</v>
      </c>
      <c r="D962" s="3" t="s">
        <v>957</v>
      </c>
      <c r="E962" s="3" t="s">
        <v>42</v>
      </c>
      <c r="F962" s="3" t="s">
        <v>942</v>
      </c>
      <c r="G962" s="3" t="str">
        <f>INDEX(Risk_Matrix!$B$2:$D$4,MATCH(E962,Risk_Matrix!$A$2:$A$4,0),MATCH(F962,Risk_Matrix!$B$1:$D$1,0))</f>
        <v>High</v>
      </c>
      <c r="H962" s="10">
        <v>46179</v>
      </c>
      <c r="I962" s="3" t="s">
        <v>967</v>
      </c>
      <c r="J962" s="3" t="s">
        <v>968</v>
      </c>
      <c r="K962" s="3" t="s">
        <v>1000</v>
      </c>
      <c r="L962" s="3">
        <f>IF(G962="High",3,IF(G962="Medium",2,1))</f>
        <v>3</v>
      </c>
    </row>
    <row r="963" spans="1:12">
      <c r="A963" s="3" t="s">
        <v>1956</v>
      </c>
      <c r="B963" s="3" t="s">
        <v>655</v>
      </c>
      <c r="C963" s="3" t="s">
        <v>962</v>
      </c>
      <c r="D963" s="3" t="s">
        <v>997</v>
      </c>
      <c r="E963" s="3" t="s">
        <v>47</v>
      </c>
      <c r="F963" s="3" t="s">
        <v>942</v>
      </c>
      <c r="G963" s="3" t="str">
        <f>INDEX(Risk_Matrix!$B$2:$D$4,MATCH(E963,Risk_Matrix!$A$2:$A$4,0),MATCH(F963,Risk_Matrix!$B$1:$D$1,0))</f>
        <v>Low</v>
      </c>
      <c r="H963" s="10">
        <v>46129</v>
      </c>
      <c r="I963" s="3" t="s">
        <v>973</v>
      </c>
      <c r="J963" s="3" t="s">
        <v>974</v>
      </c>
      <c r="K963" s="3" t="s">
        <v>960</v>
      </c>
      <c r="L963" s="3">
        <f>IF(G963="High",3,IF(G963="Medium",2,1))</f>
        <v>1</v>
      </c>
    </row>
    <row r="964" spans="1:12">
      <c r="A964" s="3" t="s">
        <v>1957</v>
      </c>
      <c r="B964" s="3" t="s">
        <v>655</v>
      </c>
      <c r="C964" s="3" t="s">
        <v>965</v>
      </c>
      <c r="D964" s="3" t="s">
        <v>1023</v>
      </c>
      <c r="E964" s="3" t="s">
        <v>942</v>
      </c>
      <c r="F964" s="3" t="s">
        <v>47</v>
      </c>
      <c r="G964" s="3" t="str">
        <f>INDEX(Risk_Matrix!$B$2:$D$4,MATCH(E964,Risk_Matrix!$A$2:$A$4,0),MATCH(F964,Risk_Matrix!$B$1:$D$1,0))</f>
        <v>Low</v>
      </c>
      <c r="H964" s="10">
        <v>46202</v>
      </c>
      <c r="I964" s="3" t="s">
        <v>973</v>
      </c>
      <c r="J964" s="3" t="s">
        <v>974</v>
      </c>
      <c r="K964" s="3" t="s">
        <v>1000</v>
      </c>
      <c r="L964" s="3">
        <f>IF(G964="High",3,IF(G964="Medium",2,1))</f>
        <v>1</v>
      </c>
    </row>
    <row r="965" spans="1:12">
      <c r="A965" s="3" t="s">
        <v>1958</v>
      </c>
      <c r="B965" s="3" t="s">
        <v>655</v>
      </c>
      <c r="C965" s="3" t="s">
        <v>971</v>
      </c>
      <c r="D965" s="3" t="s">
        <v>1016</v>
      </c>
      <c r="E965" s="3" t="s">
        <v>942</v>
      </c>
      <c r="F965" s="3" t="s">
        <v>942</v>
      </c>
      <c r="G965" s="3" t="str">
        <f>INDEX(Risk_Matrix!$B$2:$D$4,MATCH(E965,Risk_Matrix!$A$2:$A$4,0),MATCH(F965,Risk_Matrix!$B$1:$D$1,0))</f>
        <v>Medium</v>
      </c>
      <c r="H965" s="10">
        <v>46111</v>
      </c>
      <c r="I965" s="3" t="s">
        <v>973</v>
      </c>
      <c r="J965" s="3" t="s">
        <v>974</v>
      </c>
      <c r="K965" s="3" t="s">
        <v>993</v>
      </c>
      <c r="L965" s="3">
        <f>IF(G965="High",3,IF(G965="Medium",2,1))</f>
        <v>2</v>
      </c>
    </row>
    <row r="966" spans="1:12">
      <c r="A966" s="3" t="s">
        <v>1959</v>
      </c>
      <c r="B966" s="3" t="s">
        <v>655</v>
      </c>
      <c r="C966" s="3" t="s">
        <v>976</v>
      </c>
      <c r="D966" s="3" t="s">
        <v>991</v>
      </c>
      <c r="E966" s="3" t="s">
        <v>942</v>
      </c>
      <c r="F966" s="3" t="s">
        <v>42</v>
      </c>
      <c r="G966" s="3" t="str">
        <f>INDEX(Risk_Matrix!$B$2:$D$4,MATCH(E966,Risk_Matrix!$A$2:$A$4,0),MATCH(F966,Risk_Matrix!$B$1:$D$1,0))</f>
        <v>High</v>
      </c>
      <c r="H966" s="10">
        <v>46119</v>
      </c>
      <c r="I966" s="3" t="s">
        <v>958</v>
      </c>
      <c r="J966" s="3" t="s">
        <v>959</v>
      </c>
      <c r="K966" s="3" t="s">
        <v>983</v>
      </c>
      <c r="L966" s="3">
        <f>IF(G966="High",3,IF(G966="Medium",2,1))</f>
        <v>3</v>
      </c>
    </row>
    <row r="967" spans="1:12">
      <c r="A967" s="3" t="s">
        <v>1960</v>
      </c>
      <c r="B967" s="3" t="s">
        <v>655</v>
      </c>
      <c r="C967" s="3" t="s">
        <v>979</v>
      </c>
      <c r="D967" s="3" t="s">
        <v>1028</v>
      </c>
      <c r="E967" s="3" t="s">
        <v>42</v>
      </c>
      <c r="F967" s="3" t="s">
        <v>47</v>
      </c>
      <c r="G967" s="3" t="str">
        <f>INDEX(Risk_Matrix!$B$2:$D$4,MATCH(E967,Risk_Matrix!$A$2:$A$4,0),MATCH(F967,Risk_Matrix!$B$1:$D$1,0))</f>
        <v>Medium</v>
      </c>
      <c r="H967" s="10">
        <v>46176</v>
      </c>
      <c r="I967" s="3" t="s">
        <v>967</v>
      </c>
      <c r="J967" s="3" t="s">
        <v>968</v>
      </c>
      <c r="K967" s="3" t="s">
        <v>983</v>
      </c>
      <c r="L967" s="3">
        <f>IF(G967="High",3,IF(G967="Medium",2,1))</f>
        <v>2</v>
      </c>
    </row>
    <row r="968" spans="1:12">
      <c r="A968" s="3" t="s">
        <v>1961</v>
      </c>
      <c r="B968" s="3" t="s">
        <v>656</v>
      </c>
      <c r="C968" s="3" t="s">
        <v>956</v>
      </c>
      <c r="D968" s="3" t="s">
        <v>1020</v>
      </c>
      <c r="E968" s="3" t="s">
        <v>942</v>
      </c>
      <c r="F968" s="3" t="s">
        <v>942</v>
      </c>
      <c r="G968" s="3" t="str">
        <f>INDEX(Risk_Matrix!$B$2:$D$4,MATCH(E968,Risk_Matrix!$A$2:$A$4,0),MATCH(F968,Risk_Matrix!$B$1:$D$1,0))</f>
        <v>Medium</v>
      </c>
      <c r="H968" s="10">
        <v>46127</v>
      </c>
      <c r="I968" s="3" t="s">
        <v>973</v>
      </c>
      <c r="J968" s="3" t="s">
        <v>974</v>
      </c>
      <c r="K968" s="3" t="s">
        <v>993</v>
      </c>
      <c r="L968" s="3">
        <f>IF(G968="High",3,IF(G968="Medium",2,1))</f>
        <v>2</v>
      </c>
    </row>
    <row r="969" spans="1:12">
      <c r="A969" s="3" t="s">
        <v>1962</v>
      </c>
      <c r="B969" s="3" t="s">
        <v>656</v>
      </c>
      <c r="C969" s="3" t="s">
        <v>962</v>
      </c>
      <c r="D969" s="3" t="s">
        <v>1037</v>
      </c>
      <c r="E969" s="3" t="s">
        <v>42</v>
      </c>
      <c r="F969" s="3" t="s">
        <v>47</v>
      </c>
      <c r="G969" s="3" t="str">
        <f>INDEX(Risk_Matrix!$B$2:$D$4,MATCH(E969,Risk_Matrix!$A$2:$A$4,0),MATCH(F969,Risk_Matrix!$B$1:$D$1,0))</f>
        <v>Medium</v>
      </c>
      <c r="H969" s="10">
        <v>46167</v>
      </c>
      <c r="I969" s="3" t="s">
        <v>973</v>
      </c>
      <c r="J969" s="3" t="s">
        <v>974</v>
      </c>
      <c r="K969" s="3" t="s">
        <v>983</v>
      </c>
      <c r="L969" s="3">
        <f>IF(G969="High",3,IF(G969="Medium",2,1))</f>
        <v>2</v>
      </c>
    </row>
    <row r="970" spans="1:12">
      <c r="A970" s="3" t="s">
        <v>1963</v>
      </c>
      <c r="B970" s="3" t="s">
        <v>656</v>
      </c>
      <c r="C970" s="3" t="s">
        <v>965</v>
      </c>
      <c r="D970" s="3" t="s">
        <v>966</v>
      </c>
      <c r="E970" s="3" t="s">
        <v>942</v>
      </c>
      <c r="F970" s="3" t="s">
        <v>42</v>
      </c>
      <c r="G970" s="3" t="str">
        <f>INDEX(Risk_Matrix!$B$2:$D$4,MATCH(E970,Risk_Matrix!$A$2:$A$4,0),MATCH(F970,Risk_Matrix!$B$1:$D$1,0))</f>
        <v>High</v>
      </c>
      <c r="H970" s="10">
        <v>46068</v>
      </c>
      <c r="I970" s="3" t="s">
        <v>967</v>
      </c>
      <c r="J970" s="3" t="s">
        <v>968</v>
      </c>
      <c r="K970" s="3" t="s">
        <v>983</v>
      </c>
      <c r="L970" s="3">
        <f>IF(G970="High",3,IF(G970="Medium",2,1))</f>
        <v>3</v>
      </c>
    </row>
    <row r="971" spans="1:12">
      <c r="A971" s="3" t="s">
        <v>1964</v>
      </c>
      <c r="B971" s="3" t="s">
        <v>656</v>
      </c>
      <c r="C971" s="3" t="s">
        <v>971</v>
      </c>
      <c r="D971" s="3" t="s">
        <v>1016</v>
      </c>
      <c r="E971" s="3" t="s">
        <v>942</v>
      </c>
      <c r="F971" s="3" t="s">
        <v>47</v>
      </c>
      <c r="G971" s="3" t="str">
        <f>INDEX(Risk_Matrix!$B$2:$D$4,MATCH(E971,Risk_Matrix!$A$2:$A$4,0),MATCH(F971,Risk_Matrix!$B$1:$D$1,0))</f>
        <v>Low</v>
      </c>
      <c r="H971" s="10">
        <v>46153</v>
      </c>
      <c r="I971" s="3" t="s">
        <v>981</v>
      </c>
      <c r="J971" s="3" t="s">
        <v>982</v>
      </c>
      <c r="K971" s="3" t="s">
        <v>983</v>
      </c>
      <c r="L971" s="3">
        <f>IF(G971="High",3,IF(G971="Medium",2,1))</f>
        <v>1</v>
      </c>
    </row>
    <row r="972" spans="1:12">
      <c r="A972" s="3" t="s">
        <v>1965</v>
      </c>
      <c r="B972" s="3" t="s">
        <v>656</v>
      </c>
      <c r="C972" s="3" t="s">
        <v>976</v>
      </c>
      <c r="D972" s="3" t="s">
        <v>1002</v>
      </c>
      <c r="E972" s="3" t="s">
        <v>942</v>
      </c>
      <c r="F972" s="3" t="s">
        <v>942</v>
      </c>
      <c r="G972" s="3" t="str">
        <f>INDEX(Risk_Matrix!$B$2:$D$4,MATCH(E972,Risk_Matrix!$A$2:$A$4,0),MATCH(F972,Risk_Matrix!$B$1:$D$1,0))</f>
        <v>Medium</v>
      </c>
      <c r="H972" s="10">
        <v>46142</v>
      </c>
      <c r="I972" s="3" t="s">
        <v>967</v>
      </c>
      <c r="J972" s="3" t="s">
        <v>968</v>
      </c>
      <c r="K972" s="3" t="s">
        <v>960</v>
      </c>
      <c r="L972" s="3">
        <f>IF(G972="High",3,IF(G972="Medium",2,1))</f>
        <v>2</v>
      </c>
    </row>
    <row r="973" spans="1:12">
      <c r="A973" s="3" t="s">
        <v>1966</v>
      </c>
      <c r="B973" s="3" t="s">
        <v>656</v>
      </c>
      <c r="C973" s="3" t="s">
        <v>979</v>
      </c>
      <c r="D973" s="3" t="s">
        <v>980</v>
      </c>
      <c r="E973" s="3" t="s">
        <v>942</v>
      </c>
      <c r="F973" s="3" t="s">
        <v>942</v>
      </c>
      <c r="G973" s="3" t="str">
        <f>INDEX(Risk_Matrix!$B$2:$D$4,MATCH(E973,Risk_Matrix!$A$2:$A$4,0),MATCH(F973,Risk_Matrix!$B$1:$D$1,0))</f>
        <v>Medium</v>
      </c>
      <c r="H973" s="10">
        <v>46179</v>
      </c>
      <c r="I973" s="3" t="s">
        <v>981</v>
      </c>
      <c r="J973" s="3" t="s">
        <v>982</v>
      </c>
      <c r="K973" s="3" t="s">
        <v>983</v>
      </c>
      <c r="L973" s="3">
        <f>IF(G973="High",3,IF(G973="Medium",2,1))</f>
        <v>2</v>
      </c>
    </row>
    <row r="974" spans="1:12">
      <c r="A974" s="3" t="s">
        <v>1967</v>
      </c>
      <c r="B974" s="3" t="s">
        <v>658</v>
      </c>
      <c r="C974" s="3" t="s">
        <v>956</v>
      </c>
      <c r="D974" s="3" t="s">
        <v>995</v>
      </c>
      <c r="E974" s="3" t="s">
        <v>47</v>
      </c>
      <c r="F974" s="3" t="s">
        <v>47</v>
      </c>
      <c r="G974" s="3" t="str">
        <f>INDEX(Risk_Matrix!$B$2:$D$4,MATCH(E974,Risk_Matrix!$A$2:$A$4,0),MATCH(F974,Risk_Matrix!$B$1:$D$1,0))</f>
        <v>Low</v>
      </c>
      <c r="H974" s="10">
        <v>46087</v>
      </c>
      <c r="I974" s="3" t="s">
        <v>973</v>
      </c>
      <c r="J974" s="3" t="s">
        <v>974</v>
      </c>
      <c r="K974" s="3" t="s">
        <v>983</v>
      </c>
      <c r="L974" s="3">
        <f>IF(G974="High",3,IF(G974="Medium",2,1))</f>
        <v>1</v>
      </c>
    </row>
    <row r="975" spans="1:12">
      <c r="A975" s="3" t="s">
        <v>1968</v>
      </c>
      <c r="B975" s="3" t="s">
        <v>658</v>
      </c>
      <c r="C975" s="3" t="s">
        <v>962</v>
      </c>
      <c r="D975" s="3" t="s">
        <v>963</v>
      </c>
      <c r="E975" s="3" t="s">
        <v>942</v>
      </c>
      <c r="F975" s="3" t="s">
        <v>47</v>
      </c>
      <c r="G975" s="3" t="str">
        <f>INDEX(Risk_Matrix!$B$2:$D$4,MATCH(E975,Risk_Matrix!$A$2:$A$4,0),MATCH(F975,Risk_Matrix!$B$1:$D$1,0))</f>
        <v>Low</v>
      </c>
      <c r="H975" s="10">
        <v>46141</v>
      </c>
      <c r="I975" s="3" t="s">
        <v>973</v>
      </c>
      <c r="J975" s="3" t="s">
        <v>974</v>
      </c>
      <c r="K975" s="3" t="s">
        <v>1000</v>
      </c>
      <c r="L975" s="3">
        <f>IF(G975="High",3,IF(G975="Medium",2,1))</f>
        <v>1</v>
      </c>
    </row>
    <row r="976" spans="1:12">
      <c r="A976" s="3" t="s">
        <v>1969</v>
      </c>
      <c r="B976" s="3" t="s">
        <v>658</v>
      </c>
      <c r="C976" s="3" t="s">
        <v>965</v>
      </c>
      <c r="D976" s="3" t="s">
        <v>1023</v>
      </c>
      <c r="E976" s="3" t="s">
        <v>47</v>
      </c>
      <c r="F976" s="3" t="s">
        <v>942</v>
      </c>
      <c r="G976" s="3" t="str">
        <f>INDEX(Risk_Matrix!$B$2:$D$4,MATCH(E976,Risk_Matrix!$A$2:$A$4,0),MATCH(F976,Risk_Matrix!$B$1:$D$1,0))</f>
        <v>Low</v>
      </c>
      <c r="H976" s="10">
        <v>46139</v>
      </c>
      <c r="I976" s="3" t="s">
        <v>973</v>
      </c>
      <c r="J976" s="3" t="s">
        <v>974</v>
      </c>
      <c r="K976" s="3" t="s">
        <v>960</v>
      </c>
      <c r="L976" s="3">
        <f>IF(G976="High",3,IF(G976="Medium",2,1))</f>
        <v>1</v>
      </c>
    </row>
    <row r="977" spans="1:12">
      <c r="A977" s="3" t="s">
        <v>1970</v>
      </c>
      <c r="B977" s="3" t="s">
        <v>658</v>
      </c>
      <c r="C977" s="3" t="s">
        <v>971</v>
      </c>
      <c r="D977" s="3" t="s">
        <v>1025</v>
      </c>
      <c r="E977" s="3" t="s">
        <v>942</v>
      </c>
      <c r="F977" s="3" t="s">
        <v>942</v>
      </c>
      <c r="G977" s="3" t="str">
        <f>INDEX(Risk_Matrix!$B$2:$D$4,MATCH(E977,Risk_Matrix!$A$2:$A$4,0),MATCH(F977,Risk_Matrix!$B$1:$D$1,0))</f>
        <v>Medium</v>
      </c>
      <c r="H977" s="10">
        <v>46206</v>
      </c>
      <c r="I977" s="3" t="s">
        <v>981</v>
      </c>
      <c r="J977" s="3" t="s">
        <v>982</v>
      </c>
      <c r="K977" s="3" t="s">
        <v>1000</v>
      </c>
      <c r="L977" s="3">
        <f>IF(G977="High",3,IF(G977="Medium",2,1))</f>
        <v>2</v>
      </c>
    </row>
    <row r="978" spans="1:12">
      <c r="A978" s="3" t="s">
        <v>1971</v>
      </c>
      <c r="B978" s="3" t="s">
        <v>658</v>
      </c>
      <c r="C978" s="3" t="s">
        <v>976</v>
      </c>
      <c r="D978" s="3" t="s">
        <v>1002</v>
      </c>
      <c r="E978" s="3" t="s">
        <v>942</v>
      </c>
      <c r="F978" s="3" t="s">
        <v>47</v>
      </c>
      <c r="G978" s="3" t="str">
        <f>INDEX(Risk_Matrix!$B$2:$D$4,MATCH(E978,Risk_Matrix!$A$2:$A$4,0),MATCH(F978,Risk_Matrix!$B$1:$D$1,0))</f>
        <v>Low</v>
      </c>
      <c r="H978" s="10">
        <v>46101</v>
      </c>
      <c r="I978" s="3" t="s">
        <v>973</v>
      </c>
      <c r="J978" s="3" t="s">
        <v>974</v>
      </c>
      <c r="K978" s="3" t="s">
        <v>960</v>
      </c>
      <c r="L978" s="3">
        <f>IF(G978="High",3,IF(G978="Medium",2,1))</f>
        <v>1</v>
      </c>
    </row>
    <row r="979" spans="1:12">
      <c r="A979" s="3" t="s">
        <v>1972</v>
      </c>
      <c r="B979" s="3" t="s">
        <v>658</v>
      </c>
      <c r="C979" s="3" t="s">
        <v>979</v>
      </c>
      <c r="D979" s="3" t="s">
        <v>1028</v>
      </c>
      <c r="E979" s="3" t="s">
        <v>47</v>
      </c>
      <c r="F979" s="3" t="s">
        <v>42</v>
      </c>
      <c r="G979" s="3" t="str">
        <f>INDEX(Risk_Matrix!$B$2:$D$4,MATCH(E979,Risk_Matrix!$A$2:$A$4,0),MATCH(F979,Risk_Matrix!$B$1:$D$1,0))</f>
        <v>Medium</v>
      </c>
      <c r="H979" s="10">
        <v>46111</v>
      </c>
      <c r="I979" s="3" t="s">
        <v>981</v>
      </c>
      <c r="J979" s="3" t="s">
        <v>982</v>
      </c>
      <c r="K979" s="3" t="s">
        <v>960</v>
      </c>
      <c r="L979" s="3">
        <f>IF(G979="High",3,IF(G979="Medium",2,1))</f>
        <v>2</v>
      </c>
    </row>
    <row r="980" spans="1:12">
      <c r="A980" s="3" t="s">
        <v>1973</v>
      </c>
      <c r="B980" s="3" t="s">
        <v>660</v>
      </c>
      <c r="C980" s="3" t="s">
        <v>956</v>
      </c>
      <c r="D980" s="3" t="s">
        <v>1020</v>
      </c>
      <c r="E980" s="3" t="s">
        <v>942</v>
      </c>
      <c r="F980" s="3" t="s">
        <v>47</v>
      </c>
      <c r="G980" s="3" t="str">
        <f>INDEX(Risk_Matrix!$B$2:$D$4,MATCH(E980,Risk_Matrix!$A$2:$A$4,0),MATCH(F980,Risk_Matrix!$B$1:$D$1,0))</f>
        <v>Low</v>
      </c>
      <c r="H980" s="10">
        <v>46059</v>
      </c>
      <c r="I980" s="3" t="s">
        <v>967</v>
      </c>
      <c r="J980" s="3" t="s">
        <v>968</v>
      </c>
      <c r="K980" s="3" t="s">
        <v>993</v>
      </c>
      <c r="L980" s="3">
        <f>IF(G980="High",3,IF(G980="Medium",2,1))</f>
        <v>1</v>
      </c>
    </row>
    <row r="981" spans="1:12">
      <c r="A981" s="3" t="s">
        <v>1974</v>
      </c>
      <c r="B981" s="3" t="s">
        <v>660</v>
      </c>
      <c r="C981" s="3" t="s">
        <v>962</v>
      </c>
      <c r="D981" s="3" t="s">
        <v>986</v>
      </c>
      <c r="E981" s="3" t="s">
        <v>47</v>
      </c>
      <c r="F981" s="3" t="s">
        <v>42</v>
      </c>
      <c r="G981" s="3" t="str">
        <f>INDEX(Risk_Matrix!$B$2:$D$4,MATCH(E981,Risk_Matrix!$A$2:$A$4,0),MATCH(F981,Risk_Matrix!$B$1:$D$1,0))</f>
        <v>Medium</v>
      </c>
      <c r="H981" s="10">
        <v>46092</v>
      </c>
      <c r="I981" s="3" t="s">
        <v>973</v>
      </c>
      <c r="J981" s="3" t="s">
        <v>974</v>
      </c>
      <c r="K981" s="3" t="s">
        <v>960</v>
      </c>
      <c r="L981" s="3">
        <f>IF(G981="High",3,IF(G981="Medium",2,1))</f>
        <v>2</v>
      </c>
    </row>
    <row r="982" spans="1:12">
      <c r="A982" s="3" t="s">
        <v>1975</v>
      </c>
      <c r="B982" s="3" t="s">
        <v>660</v>
      </c>
      <c r="C982" s="3" t="s">
        <v>965</v>
      </c>
      <c r="D982" s="3" t="s">
        <v>1039</v>
      </c>
      <c r="E982" s="3" t="s">
        <v>47</v>
      </c>
      <c r="F982" s="3" t="s">
        <v>942</v>
      </c>
      <c r="G982" s="3" t="str">
        <f>INDEX(Risk_Matrix!$B$2:$D$4,MATCH(E982,Risk_Matrix!$A$2:$A$4,0),MATCH(F982,Risk_Matrix!$B$1:$D$1,0))</f>
        <v>Low</v>
      </c>
      <c r="H982" s="10">
        <v>46153</v>
      </c>
      <c r="I982" s="3" t="s">
        <v>973</v>
      </c>
      <c r="J982" s="3" t="s">
        <v>974</v>
      </c>
      <c r="K982" s="3" t="s">
        <v>983</v>
      </c>
      <c r="L982" s="3">
        <f>IF(G982="High",3,IF(G982="Medium",2,1))</f>
        <v>1</v>
      </c>
    </row>
    <row r="983" spans="1:12">
      <c r="A983" s="3" t="s">
        <v>1976</v>
      </c>
      <c r="B983" s="3" t="s">
        <v>660</v>
      </c>
      <c r="C983" s="3" t="s">
        <v>971</v>
      </c>
      <c r="D983" s="3" t="s">
        <v>1016</v>
      </c>
      <c r="E983" s="3" t="s">
        <v>47</v>
      </c>
      <c r="F983" s="3" t="s">
        <v>942</v>
      </c>
      <c r="G983" s="3" t="str">
        <f>INDEX(Risk_Matrix!$B$2:$D$4,MATCH(E983,Risk_Matrix!$A$2:$A$4,0),MATCH(F983,Risk_Matrix!$B$1:$D$1,0))</f>
        <v>Low</v>
      </c>
      <c r="H983" s="10">
        <v>46059</v>
      </c>
      <c r="I983" s="3" t="s">
        <v>981</v>
      </c>
      <c r="J983" s="3" t="s">
        <v>982</v>
      </c>
      <c r="K983" s="3" t="s">
        <v>993</v>
      </c>
      <c r="L983" s="3">
        <f>IF(G983="High",3,IF(G983="Medium",2,1))</f>
        <v>1</v>
      </c>
    </row>
    <row r="984" spans="1:12">
      <c r="A984" s="3" t="s">
        <v>1977</v>
      </c>
      <c r="B984" s="3" t="s">
        <v>660</v>
      </c>
      <c r="C984" s="3" t="s">
        <v>976</v>
      </c>
      <c r="D984" s="3" t="s">
        <v>977</v>
      </c>
      <c r="E984" s="3" t="s">
        <v>42</v>
      </c>
      <c r="F984" s="3" t="s">
        <v>942</v>
      </c>
      <c r="G984" s="3" t="str">
        <f>INDEX(Risk_Matrix!$B$2:$D$4,MATCH(E984,Risk_Matrix!$A$2:$A$4,0),MATCH(F984,Risk_Matrix!$B$1:$D$1,0))</f>
        <v>High</v>
      </c>
      <c r="H984" s="10">
        <v>46070</v>
      </c>
      <c r="I984" s="3" t="s">
        <v>973</v>
      </c>
      <c r="J984" s="3" t="s">
        <v>974</v>
      </c>
      <c r="K984" s="3" t="s">
        <v>983</v>
      </c>
      <c r="L984" s="3">
        <f>IF(G984="High",3,IF(G984="Medium",2,1))</f>
        <v>3</v>
      </c>
    </row>
    <row r="985" spans="1:12">
      <c r="A985" s="3" t="s">
        <v>1978</v>
      </c>
      <c r="B985" s="3" t="s">
        <v>660</v>
      </c>
      <c r="C985" s="3" t="s">
        <v>979</v>
      </c>
      <c r="D985" s="3" t="s">
        <v>1004</v>
      </c>
      <c r="E985" s="3" t="s">
        <v>942</v>
      </c>
      <c r="F985" s="3" t="s">
        <v>47</v>
      </c>
      <c r="G985" s="3" t="str">
        <f>INDEX(Risk_Matrix!$B$2:$D$4,MATCH(E985,Risk_Matrix!$A$2:$A$4,0),MATCH(F985,Risk_Matrix!$B$1:$D$1,0))</f>
        <v>Low</v>
      </c>
      <c r="H985" s="10">
        <v>46149</v>
      </c>
      <c r="I985" s="3" t="s">
        <v>967</v>
      </c>
      <c r="J985" s="3" t="s">
        <v>968</v>
      </c>
      <c r="K985" s="3" t="s">
        <v>960</v>
      </c>
      <c r="L985" s="3">
        <f>IF(G985="High",3,IF(G985="Medium",2,1))</f>
        <v>1</v>
      </c>
    </row>
    <row r="986" spans="1:12">
      <c r="A986" s="3" t="s">
        <v>1979</v>
      </c>
      <c r="B986" s="3" t="s">
        <v>662</v>
      </c>
      <c r="C986" s="3" t="s">
        <v>956</v>
      </c>
      <c r="D986" s="3" t="s">
        <v>1012</v>
      </c>
      <c r="E986" s="3" t="s">
        <v>47</v>
      </c>
      <c r="F986" s="3" t="s">
        <v>942</v>
      </c>
      <c r="G986" s="3" t="str">
        <f>INDEX(Risk_Matrix!$B$2:$D$4,MATCH(E986,Risk_Matrix!$A$2:$A$4,0),MATCH(F986,Risk_Matrix!$B$1:$D$1,0))</f>
        <v>Low</v>
      </c>
      <c r="H986" s="10">
        <v>46189</v>
      </c>
      <c r="I986" s="3" t="s">
        <v>973</v>
      </c>
      <c r="J986" s="3" t="s">
        <v>974</v>
      </c>
      <c r="K986" s="3" t="s">
        <v>1000</v>
      </c>
      <c r="L986" s="3">
        <f>IF(G986="High",3,IF(G986="Medium",2,1))</f>
        <v>1</v>
      </c>
    </row>
    <row r="987" spans="1:12">
      <c r="A987" s="3" t="s">
        <v>1980</v>
      </c>
      <c r="B987" s="3" t="s">
        <v>662</v>
      </c>
      <c r="C987" s="3" t="s">
        <v>962</v>
      </c>
      <c r="D987" s="3" t="s">
        <v>997</v>
      </c>
      <c r="E987" s="3" t="s">
        <v>47</v>
      </c>
      <c r="F987" s="3" t="s">
        <v>47</v>
      </c>
      <c r="G987" s="3" t="str">
        <f>INDEX(Risk_Matrix!$B$2:$D$4,MATCH(E987,Risk_Matrix!$A$2:$A$4,0),MATCH(F987,Risk_Matrix!$B$1:$D$1,0))</f>
        <v>Low</v>
      </c>
      <c r="H987" s="10">
        <v>46225</v>
      </c>
      <c r="I987" s="3" t="s">
        <v>981</v>
      </c>
      <c r="J987" s="3" t="s">
        <v>982</v>
      </c>
      <c r="K987" s="3" t="s">
        <v>969</v>
      </c>
      <c r="L987" s="3">
        <f>IF(G987="High",3,IF(G987="Medium",2,1))</f>
        <v>1</v>
      </c>
    </row>
    <row r="988" spans="1:12">
      <c r="A988" s="3" t="s">
        <v>1981</v>
      </c>
      <c r="B988" s="3" t="s">
        <v>662</v>
      </c>
      <c r="C988" s="3" t="s">
        <v>965</v>
      </c>
      <c r="D988" s="3" t="s">
        <v>988</v>
      </c>
      <c r="E988" s="3" t="s">
        <v>942</v>
      </c>
      <c r="F988" s="3" t="s">
        <v>942</v>
      </c>
      <c r="G988" s="3" t="str">
        <f>INDEX(Risk_Matrix!$B$2:$D$4,MATCH(E988,Risk_Matrix!$A$2:$A$4,0),MATCH(F988,Risk_Matrix!$B$1:$D$1,0))</f>
        <v>Medium</v>
      </c>
      <c r="H988" s="10">
        <v>46115</v>
      </c>
      <c r="I988" s="3" t="s">
        <v>967</v>
      </c>
      <c r="J988" s="3" t="s">
        <v>968</v>
      </c>
      <c r="K988" s="3" t="s">
        <v>969</v>
      </c>
      <c r="L988" s="3">
        <f>IF(G988="High",3,IF(G988="Medium",2,1))</f>
        <v>2</v>
      </c>
    </row>
    <row r="989" spans="1:12">
      <c r="A989" s="3" t="s">
        <v>1982</v>
      </c>
      <c r="B989" s="3" t="s">
        <v>662</v>
      </c>
      <c r="C989" s="3" t="s">
        <v>971</v>
      </c>
      <c r="D989" s="3" t="s">
        <v>972</v>
      </c>
      <c r="E989" s="3" t="s">
        <v>47</v>
      </c>
      <c r="F989" s="3" t="s">
        <v>942</v>
      </c>
      <c r="G989" s="3" t="str">
        <f>INDEX(Risk_Matrix!$B$2:$D$4,MATCH(E989,Risk_Matrix!$A$2:$A$4,0),MATCH(F989,Risk_Matrix!$B$1:$D$1,0))</f>
        <v>Low</v>
      </c>
      <c r="H989" s="10">
        <v>46072</v>
      </c>
      <c r="I989" s="3" t="s">
        <v>973</v>
      </c>
      <c r="J989" s="3" t="s">
        <v>974</v>
      </c>
      <c r="K989" s="3" t="s">
        <v>993</v>
      </c>
      <c r="L989" s="3">
        <f>IF(G989="High",3,IF(G989="Medium",2,1))</f>
        <v>1</v>
      </c>
    </row>
    <row r="990" spans="1:12">
      <c r="A990" s="3" t="s">
        <v>1983</v>
      </c>
      <c r="B990" s="3" t="s">
        <v>662</v>
      </c>
      <c r="C990" s="3" t="s">
        <v>976</v>
      </c>
      <c r="D990" s="3" t="s">
        <v>991</v>
      </c>
      <c r="E990" s="3" t="s">
        <v>942</v>
      </c>
      <c r="F990" s="3" t="s">
        <v>942</v>
      </c>
      <c r="G990" s="3" t="str">
        <f>INDEX(Risk_Matrix!$B$2:$D$4,MATCH(E990,Risk_Matrix!$A$2:$A$4,0),MATCH(F990,Risk_Matrix!$B$1:$D$1,0))</f>
        <v>Medium</v>
      </c>
      <c r="H990" s="10">
        <v>46201</v>
      </c>
      <c r="I990" s="3" t="s">
        <v>967</v>
      </c>
      <c r="J990" s="3" t="s">
        <v>968</v>
      </c>
      <c r="K990" s="3" t="s">
        <v>960</v>
      </c>
      <c r="L990" s="3">
        <f>IF(G990="High",3,IF(G990="Medium",2,1))</f>
        <v>2</v>
      </c>
    </row>
    <row r="991" spans="1:12">
      <c r="A991" s="3" t="s">
        <v>1984</v>
      </c>
      <c r="B991" s="3" t="s">
        <v>662</v>
      </c>
      <c r="C991" s="3" t="s">
        <v>979</v>
      </c>
      <c r="D991" s="3" t="s">
        <v>1028</v>
      </c>
      <c r="E991" s="3" t="s">
        <v>942</v>
      </c>
      <c r="F991" s="3" t="s">
        <v>47</v>
      </c>
      <c r="G991" s="3" t="str">
        <f>INDEX(Risk_Matrix!$B$2:$D$4,MATCH(E991,Risk_Matrix!$A$2:$A$4,0),MATCH(F991,Risk_Matrix!$B$1:$D$1,0))</f>
        <v>Low</v>
      </c>
      <c r="H991" s="10">
        <v>46147</v>
      </c>
      <c r="I991" s="3" t="s">
        <v>973</v>
      </c>
      <c r="J991" s="3" t="s">
        <v>974</v>
      </c>
      <c r="K991" s="3" t="s">
        <v>960</v>
      </c>
      <c r="L991" s="3">
        <f>IF(G991="High",3,IF(G991="Medium",2,1))</f>
        <v>1</v>
      </c>
    </row>
    <row r="992" spans="1:12">
      <c r="A992" s="3" t="s">
        <v>1985</v>
      </c>
      <c r="B992" s="3" t="s">
        <v>663</v>
      </c>
      <c r="C992" s="3" t="s">
        <v>956</v>
      </c>
      <c r="D992" s="3" t="s">
        <v>1020</v>
      </c>
      <c r="E992" s="3" t="s">
        <v>42</v>
      </c>
      <c r="F992" s="3" t="s">
        <v>47</v>
      </c>
      <c r="G992" s="3" t="str">
        <f>INDEX(Risk_Matrix!$B$2:$D$4,MATCH(E992,Risk_Matrix!$A$2:$A$4,0),MATCH(F992,Risk_Matrix!$B$1:$D$1,0))</f>
        <v>Medium</v>
      </c>
      <c r="H992" s="10">
        <v>46152</v>
      </c>
      <c r="I992" s="3" t="s">
        <v>967</v>
      </c>
      <c r="J992" s="3" t="s">
        <v>968</v>
      </c>
      <c r="K992" s="3" t="s">
        <v>1000</v>
      </c>
      <c r="L992" s="3">
        <f>IF(G992="High",3,IF(G992="Medium",2,1))</f>
        <v>2</v>
      </c>
    </row>
    <row r="993" spans="1:12">
      <c r="A993" s="3" t="s">
        <v>1986</v>
      </c>
      <c r="B993" s="3" t="s">
        <v>663</v>
      </c>
      <c r="C993" s="3" t="s">
        <v>962</v>
      </c>
      <c r="D993" s="3" t="s">
        <v>997</v>
      </c>
      <c r="E993" s="3" t="s">
        <v>42</v>
      </c>
      <c r="F993" s="3" t="s">
        <v>942</v>
      </c>
      <c r="G993" s="3" t="str">
        <f>INDEX(Risk_Matrix!$B$2:$D$4,MATCH(E993,Risk_Matrix!$A$2:$A$4,0),MATCH(F993,Risk_Matrix!$B$1:$D$1,0))</f>
        <v>High</v>
      </c>
      <c r="H993" s="10">
        <v>46230</v>
      </c>
      <c r="I993" s="3" t="s">
        <v>967</v>
      </c>
      <c r="J993" s="3" t="s">
        <v>968</v>
      </c>
      <c r="K993" s="3" t="s">
        <v>993</v>
      </c>
      <c r="L993" s="3">
        <f>IF(G993="High",3,IF(G993="Medium",2,1))</f>
        <v>3</v>
      </c>
    </row>
    <row r="994" spans="1:12">
      <c r="A994" s="3" t="s">
        <v>1987</v>
      </c>
      <c r="B994" s="3" t="s">
        <v>663</v>
      </c>
      <c r="C994" s="3" t="s">
        <v>965</v>
      </c>
      <c r="D994" s="3" t="s">
        <v>1039</v>
      </c>
      <c r="E994" s="3" t="s">
        <v>47</v>
      </c>
      <c r="F994" s="3" t="s">
        <v>47</v>
      </c>
      <c r="G994" s="3" t="str">
        <f>INDEX(Risk_Matrix!$B$2:$D$4,MATCH(E994,Risk_Matrix!$A$2:$A$4,0),MATCH(F994,Risk_Matrix!$B$1:$D$1,0))</f>
        <v>Low</v>
      </c>
      <c r="H994" s="10">
        <v>46194</v>
      </c>
      <c r="I994" s="3" t="s">
        <v>967</v>
      </c>
      <c r="J994" s="3" t="s">
        <v>968</v>
      </c>
      <c r="K994" s="3" t="s">
        <v>960</v>
      </c>
      <c r="L994" s="3">
        <f>IF(G994="High",3,IF(G994="Medium",2,1))</f>
        <v>1</v>
      </c>
    </row>
    <row r="995" spans="1:12">
      <c r="A995" s="3" t="s">
        <v>1988</v>
      </c>
      <c r="B995" s="3" t="s">
        <v>663</v>
      </c>
      <c r="C995" s="3" t="s">
        <v>971</v>
      </c>
      <c r="D995" s="3" t="s">
        <v>1016</v>
      </c>
      <c r="E995" s="3" t="s">
        <v>42</v>
      </c>
      <c r="F995" s="3" t="s">
        <v>942</v>
      </c>
      <c r="G995" s="3" t="str">
        <f>INDEX(Risk_Matrix!$B$2:$D$4,MATCH(E995,Risk_Matrix!$A$2:$A$4,0),MATCH(F995,Risk_Matrix!$B$1:$D$1,0))</f>
        <v>High</v>
      </c>
      <c r="H995" s="10">
        <v>46120</v>
      </c>
      <c r="I995" s="3" t="s">
        <v>973</v>
      </c>
      <c r="J995" s="3" t="s">
        <v>974</v>
      </c>
      <c r="K995" s="3" t="s">
        <v>960</v>
      </c>
      <c r="L995" s="3">
        <f>IF(G995="High",3,IF(G995="Medium",2,1))</f>
        <v>3</v>
      </c>
    </row>
    <row r="996" spans="1:12">
      <c r="A996" s="3" t="s">
        <v>1989</v>
      </c>
      <c r="B996" s="3" t="s">
        <v>663</v>
      </c>
      <c r="C996" s="3" t="s">
        <v>976</v>
      </c>
      <c r="D996" s="3" t="s">
        <v>991</v>
      </c>
      <c r="E996" s="3" t="s">
        <v>942</v>
      </c>
      <c r="F996" s="3" t="s">
        <v>47</v>
      </c>
      <c r="G996" s="3" t="str">
        <f>INDEX(Risk_Matrix!$B$2:$D$4,MATCH(E996,Risk_Matrix!$A$2:$A$4,0),MATCH(F996,Risk_Matrix!$B$1:$D$1,0))</f>
        <v>Low</v>
      </c>
      <c r="H996" s="10">
        <v>46209</v>
      </c>
      <c r="I996" s="3" t="s">
        <v>973</v>
      </c>
      <c r="J996" s="3" t="s">
        <v>974</v>
      </c>
      <c r="K996" s="3" t="s">
        <v>993</v>
      </c>
      <c r="L996" s="3">
        <f>IF(G996="High",3,IF(G996="Medium",2,1))</f>
        <v>1</v>
      </c>
    </row>
    <row r="997" spans="1:12">
      <c r="A997" s="3" t="s">
        <v>1990</v>
      </c>
      <c r="B997" s="3" t="s">
        <v>663</v>
      </c>
      <c r="C997" s="3" t="s">
        <v>979</v>
      </c>
      <c r="D997" s="3" t="s">
        <v>1004</v>
      </c>
      <c r="E997" s="3" t="s">
        <v>47</v>
      </c>
      <c r="F997" s="3" t="s">
        <v>942</v>
      </c>
      <c r="G997" s="3" t="str">
        <f>INDEX(Risk_Matrix!$B$2:$D$4,MATCH(E997,Risk_Matrix!$A$2:$A$4,0),MATCH(F997,Risk_Matrix!$B$1:$D$1,0))</f>
        <v>Low</v>
      </c>
      <c r="H997" s="10">
        <v>46233</v>
      </c>
      <c r="I997" s="3" t="s">
        <v>967</v>
      </c>
      <c r="J997" s="3" t="s">
        <v>968</v>
      </c>
      <c r="K997" s="3" t="s">
        <v>1000</v>
      </c>
      <c r="L997" s="3">
        <f>IF(G997="High",3,IF(G997="Medium",2,1))</f>
        <v>1</v>
      </c>
    </row>
    <row r="998" spans="1:12">
      <c r="A998" s="3" t="s">
        <v>1991</v>
      </c>
      <c r="B998" s="3" t="s">
        <v>664</v>
      </c>
      <c r="C998" s="3" t="s">
        <v>956</v>
      </c>
      <c r="D998" s="3" t="s">
        <v>1012</v>
      </c>
      <c r="E998" s="3" t="s">
        <v>47</v>
      </c>
      <c r="F998" s="3" t="s">
        <v>942</v>
      </c>
      <c r="G998" s="3" t="str">
        <f>INDEX(Risk_Matrix!$B$2:$D$4,MATCH(E998,Risk_Matrix!$A$2:$A$4,0),MATCH(F998,Risk_Matrix!$B$1:$D$1,0))</f>
        <v>Low</v>
      </c>
      <c r="H998" s="10">
        <v>46192</v>
      </c>
      <c r="I998" s="3" t="s">
        <v>981</v>
      </c>
      <c r="J998" s="3" t="s">
        <v>982</v>
      </c>
      <c r="K998" s="3" t="s">
        <v>960</v>
      </c>
      <c r="L998" s="3">
        <f>IF(G998="High",3,IF(G998="Medium",2,1))</f>
        <v>1</v>
      </c>
    </row>
    <row r="999" spans="1:12">
      <c r="A999" s="3" t="s">
        <v>1992</v>
      </c>
      <c r="B999" s="3" t="s">
        <v>664</v>
      </c>
      <c r="C999" s="3" t="s">
        <v>962</v>
      </c>
      <c r="D999" s="3" t="s">
        <v>997</v>
      </c>
      <c r="E999" s="3" t="s">
        <v>42</v>
      </c>
      <c r="F999" s="3" t="s">
        <v>942</v>
      </c>
      <c r="G999" s="3" t="str">
        <f>INDEX(Risk_Matrix!$B$2:$D$4,MATCH(E999,Risk_Matrix!$A$2:$A$4,0),MATCH(F999,Risk_Matrix!$B$1:$D$1,0))</f>
        <v>High</v>
      </c>
      <c r="H999" s="10">
        <v>46206</v>
      </c>
      <c r="I999" s="3" t="s">
        <v>973</v>
      </c>
      <c r="J999" s="3" t="s">
        <v>974</v>
      </c>
      <c r="K999" s="3" t="s">
        <v>993</v>
      </c>
      <c r="L999" s="3">
        <f>IF(G999="High",3,IF(G999="Medium",2,1))</f>
        <v>3</v>
      </c>
    </row>
    <row r="1000" spans="1:12">
      <c r="A1000" s="3" t="s">
        <v>1993</v>
      </c>
      <c r="B1000" s="3" t="s">
        <v>664</v>
      </c>
      <c r="C1000" s="3" t="s">
        <v>965</v>
      </c>
      <c r="D1000" s="3" t="s">
        <v>966</v>
      </c>
      <c r="E1000" s="3" t="s">
        <v>47</v>
      </c>
      <c r="F1000" s="3" t="s">
        <v>42</v>
      </c>
      <c r="G1000" s="3" t="str">
        <f>INDEX(Risk_Matrix!$B$2:$D$4,MATCH(E1000,Risk_Matrix!$A$2:$A$4,0),MATCH(F1000,Risk_Matrix!$B$1:$D$1,0))</f>
        <v>Medium</v>
      </c>
      <c r="H1000" s="10">
        <v>46191</v>
      </c>
      <c r="I1000" s="3" t="s">
        <v>981</v>
      </c>
      <c r="J1000" s="3" t="s">
        <v>982</v>
      </c>
      <c r="K1000" s="3" t="s">
        <v>960</v>
      </c>
      <c r="L1000" s="3">
        <f>IF(G1000="High",3,IF(G1000="Medium",2,1))</f>
        <v>2</v>
      </c>
    </row>
    <row r="1001" spans="1:12">
      <c r="A1001" s="3" t="s">
        <v>1994</v>
      </c>
      <c r="B1001" s="3" t="s">
        <v>664</v>
      </c>
      <c r="C1001" s="3" t="s">
        <v>971</v>
      </c>
      <c r="D1001" s="3" t="s">
        <v>1016</v>
      </c>
      <c r="E1001" s="3" t="s">
        <v>47</v>
      </c>
      <c r="F1001" s="3" t="s">
        <v>942</v>
      </c>
      <c r="G1001" s="3" t="str">
        <f>INDEX(Risk_Matrix!$B$2:$D$4,MATCH(E1001,Risk_Matrix!$A$2:$A$4,0),MATCH(F1001,Risk_Matrix!$B$1:$D$1,0))</f>
        <v>Low</v>
      </c>
      <c r="H1001" s="10">
        <v>46103</v>
      </c>
      <c r="I1001" s="3" t="s">
        <v>967</v>
      </c>
      <c r="J1001" s="3" t="s">
        <v>968</v>
      </c>
      <c r="K1001" s="3" t="s">
        <v>960</v>
      </c>
      <c r="L1001" s="3">
        <f>IF(G1001="High",3,IF(G1001="Medium",2,1))</f>
        <v>1</v>
      </c>
    </row>
    <row r="1002" spans="1:12">
      <c r="A1002" s="3" t="s">
        <v>1995</v>
      </c>
      <c r="B1002" s="3" t="s">
        <v>664</v>
      </c>
      <c r="C1002" s="3" t="s">
        <v>976</v>
      </c>
      <c r="D1002" s="3" t="s">
        <v>977</v>
      </c>
      <c r="E1002" s="3" t="s">
        <v>942</v>
      </c>
      <c r="F1002" s="3" t="s">
        <v>942</v>
      </c>
      <c r="G1002" s="3" t="str">
        <f>INDEX(Risk_Matrix!$B$2:$D$4,MATCH(E1002,Risk_Matrix!$A$2:$A$4,0),MATCH(F1002,Risk_Matrix!$B$1:$D$1,0))</f>
        <v>Medium</v>
      </c>
      <c r="H1002" s="10">
        <v>46072</v>
      </c>
      <c r="I1002" s="3" t="s">
        <v>967</v>
      </c>
      <c r="J1002" s="3" t="s">
        <v>968</v>
      </c>
      <c r="K1002" s="3" t="s">
        <v>993</v>
      </c>
      <c r="L1002" s="3">
        <f>IF(G1002="High",3,IF(G1002="Medium",2,1))</f>
        <v>2</v>
      </c>
    </row>
    <row r="1003" spans="1:12">
      <c r="A1003" s="3" t="s">
        <v>1996</v>
      </c>
      <c r="B1003" s="3" t="s">
        <v>664</v>
      </c>
      <c r="C1003" s="3" t="s">
        <v>979</v>
      </c>
      <c r="D1003" s="3" t="s">
        <v>1004</v>
      </c>
      <c r="E1003" s="3" t="s">
        <v>42</v>
      </c>
      <c r="F1003" s="3" t="s">
        <v>42</v>
      </c>
      <c r="G1003" s="3" t="str">
        <f>INDEX(Risk_Matrix!$B$2:$D$4,MATCH(E1003,Risk_Matrix!$A$2:$A$4,0),MATCH(F1003,Risk_Matrix!$B$1:$D$1,0))</f>
        <v>High</v>
      </c>
      <c r="H1003" s="10">
        <v>46085</v>
      </c>
      <c r="I1003" s="3" t="s">
        <v>973</v>
      </c>
      <c r="J1003" s="3" t="s">
        <v>974</v>
      </c>
      <c r="K1003" s="3" t="s">
        <v>983</v>
      </c>
      <c r="L1003" s="3">
        <f>IF(G1003="High",3,IF(G1003="Medium",2,1))</f>
        <v>3</v>
      </c>
    </row>
    <row r="1004" spans="1:12">
      <c r="A1004" s="3" t="s">
        <v>1997</v>
      </c>
      <c r="B1004" s="3" t="s">
        <v>666</v>
      </c>
      <c r="C1004" s="3" t="s">
        <v>956</v>
      </c>
      <c r="D1004" s="3" t="s">
        <v>957</v>
      </c>
      <c r="E1004" s="3" t="s">
        <v>942</v>
      </c>
      <c r="F1004" s="3" t="s">
        <v>942</v>
      </c>
      <c r="G1004" s="3" t="str">
        <f>INDEX(Risk_Matrix!$B$2:$D$4,MATCH(E1004,Risk_Matrix!$A$2:$A$4,0),MATCH(F1004,Risk_Matrix!$B$1:$D$1,0))</f>
        <v>Medium</v>
      </c>
      <c r="H1004" s="10">
        <v>46206</v>
      </c>
      <c r="I1004" s="3" t="s">
        <v>973</v>
      </c>
      <c r="J1004" s="3" t="s">
        <v>974</v>
      </c>
      <c r="K1004" s="3" t="s">
        <v>1000</v>
      </c>
      <c r="L1004" s="3">
        <f>IF(G1004="High",3,IF(G1004="Medium",2,1))</f>
        <v>2</v>
      </c>
    </row>
    <row r="1005" spans="1:12">
      <c r="A1005" s="3" t="s">
        <v>1998</v>
      </c>
      <c r="B1005" s="3" t="s">
        <v>666</v>
      </c>
      <c r="C1005" s="3" t="s">
        <v>962</v>
      </c>
      <c r="D1005" s="3" t="s">
        <v>1037</v>
      </c>
      <c r="E1005" s="3" t="s">
        <v>942</v>
      </c>
      <c r="F1005" s="3" t="s">
        <v>47</v>
      </c>
      <c r="G1005" s="3" t="str">
        <f>INDEX(Risk_Matrix!$B$2:$D$4,MATCH(E1005,Risk_Matrix!$A$2:$A$4,0),MATCH(F1005,Risk_Matrix!$B$1:$D$1,0))</f>
        <v>Low</v>
      </c>
      <c r="H1005" s="10">
        <v>46230</v>
      </c>
      <c r="I1005" s="3" t="s">
        <v>973</v>
      </c>
      <c r="J1005" s="3" t="s">
        <v>974</v>
      </c>
      <c r="K1005" s="3" t="s">
        <v>993</v>
      </c>
      <c r="L1005" s="3">
        <f>IF(G1005="High",3,IF(G1005="Medium",2,1))</f>
        <v>1</v>
      </c>
    </row>
    <row r="1006" spans="1:12">
      <c r="A1006" s="3" t="s">
        <v>1999</v>
      </c>
      <c r="B1006" s="3" t="s">
        <v>666</v>
      </c>
      <c r="C1006" s="3" t="s">
        <v>965</v>
      </c>
      <c r="D1006" s="3" t="s">
        <v>1023</v>
      </c>
      <c r="E1006" s="3" t="s">
        <v>942</v>
      </c>
      <c r="F1006" s="3" t="s">
        <v>47</v>
      </c>
      <c r="G1006" s="3" t="str">
        <f>INDEX(Risk_Matrix!$B$2:$D$4,MATCH(E1006,Risk_Matrix!$A$2:$A$4,0),MATCH(F1006,Risk_Matrix!$B$1:$D$1,0))</f>
        <v>Low</v>
      </c>
      <c r="H1006" s="10">
        <v>46130</v>
      </c>
      <c r="I1006" s="3" t="s">
        <v>967</v>
      </c>
      <c r="J1006" s="3" t="s">
        <v>968</v>
      </c>
      <c r="K1006" s="3" t="s">
        <v>993</v>
      </c>
      <c r="L1006" s="3">
        <f>IF(G1006="High",3,IF(G1006="Medium",2,1))</f>
        <v>1</v>
      </c>
    </row>
    <row r="1007" spans="1:12">
      <c r="A1007" s="3" t="s">
        <v>2000</v>
      </c>
      <c r="B1007" s="3" t="s">
        <v>666</v>
      </c>
      <c r="C1007" s="3" t="s">
        <v>971</v>
      </c>
      <c r="D1007" s="3" t="s">
        <v>972</v>
      </c>
      <c r="E1007" s="3" t="s">
        <v>47</v>
      </c>
      <c r="F1007" s="3" t="s">
        <v>42</v>
      </c>
      <c r="G1007" s="3" t="str">
        <f>INDEX(Risk_Matrix!$B$2:$D$4,MATCH(E1007,Risk_Matrix!$A$2:$A$4,0),MATCH(F1007,Risk_Matrix!$B$1:$D$1,0))</f>
        <v>Medium</v>
      </c>
      <c r="H1007" s="10">
        <v>46163</v>
      </c>
      <c r="I1007" s="3" t="s">
        <v>967</v>
      </c>
      <c r="J1007" s="3" t="s">
        <v>968</v>
      </c>
      <c r="K1007" s="3" t="s">
        <v>1000</v>
      </c>
      <c r="L1007" s="3">
        <f>IF(G1007="High",3,IF(G1007="Medium",2,1))</f>
        <v>2</v>
      </c>
    </row>
    <row r="1008" spans="1:12">
      <c r="A1008" s="3" t="s">
        <v>2001</v>
      </c>
      <c r="B1008" s="3" t="s">
        <v>666</v>
      </c>
      <c r="C1008" s="3" t="s">
        <v>976</v>
      </c>
      <c r="D1008" s="3" t="s">
        <v>991</v>
      </c>
      <c r="E1008" s="3" t="s">
        <v>47</v>
      </c>
      <c r="F1008" s="3" t="s">
        <v>47</v>
      </c>
      <c r="G1008" s="3" t="str">
        <f>INDEX(Risk_Matrix!$B$2:$D$4,MATCH(E1008,Risk_Matrix!$A$2:$A$4,0),MATCH(F1008,Risk_Matrix!$B$1:$D$1,0))</f>
        <v>Low</v>
      </c>
      <c r="H1008" s="10">
        <v>46148</v>
      </c>
      <c r="I1008" s="3" t="s">
        <v>973</v>
      </c>
      <c r="J1008" s="3" t="s">
        <v>974</v>
      </c>
      <c r="K1008" s="3" t="s">
        <v>1000</v>
      </c>
      <c r="L1008" s="3">
        <f>IF(G1008="High",3,IF(G1008="Medium",2,1))</f>
        <v>1</v>
      </c>
    </row>
    <row r="1009" spans="1:12">
      <c r="A1009" s="3" t="s">
        <v>2002</v>
      </c>
      <c r="B1009" s="3" t="s">
        <v>666</v>
      </c>
      <c r="C1009" s="3" t="s">
        <v>979</v>
      </c>
      <c r="D1009" s="3" t="s">
        <v>980</v>
      </c>
      <c r="E1009" s="3" t="s">
        <v>942</v>
      </c>
      <c r="F1009" s="3" t="s">
        <v>942</v>
      </c>
      <c r="G1009" s="3" t="str">
        <f>INDEX(Risk_Matrix!$B$2:$D$4,MATCH(E1009,Risk_Matrix!$A$2:$A$4,0),MATCH(F1009,Risk_Matrix!$B$1:$D$1,0))</f>
        <v>Medium</v>
      </c>
      <c r="H1009" s="10">
        <v>46227</v>
      </c>
      <c r="I1009" s="3" t="s">
        <v>967</v>
      </c>
      <c r="J1009" s="3" t="s">
        <v>968</v>
      </c>
      <c r="K1009" s="3" t="s">
        <v>983</v>
      </c>
      <c r="L1009" s="3">
        <f>IF(G1009="High",3,IF(G1009="Medium",2,1))</f>
        <v>2</v>
      </c>
    </row>
    <row r="1010" spans="1:12">
      <c r="A1010" s="3" t="s">
        <v>2003</v>
      </c>
      <c r="B1010" s="3" t="s">
        <v>667</v>
      </c>
      <c r="C1010" s="3" t="s">
        <v>956</v>
      </c>
      <c r="D1010" s="3" t="s">
        <v>957</v>
      </c>
      <c r="E1010" s="3" t="s">
        <v>47</v>
      </c>
      <c r="F1010" s="3" t="s">
        <v>47</v>
      </c>
      <c r="G1010" s="3" t="str">
        <f>INDEX(Risk_Matrix!$B$2:$D$4,MATCH(E1010,Risk_Matrix!$A$2:$A$4,0),MATCH(F1010,Risk_Matrix!$B$1:$D$1,0))</f>
        <v>Low</v>
      </c>
      <c r="H1010" s="10">
        <v>46204</v>
      </c>
      <c r="I1010" s="3" t="s">
        <v>981</v>
      </c>
      <c r="J1010" s="3" t="s">
        <v>982</v>
      </c>
      <c r="K1010" s="3" t="s">
        <v>1000</v>
      </c>
      <c r="L1010" s="3">
        <f>IF(G1010="High",3,IF(G1010="Medium",2,1))</f>
        <v>1</v>
      </c>
    </row>
    <row r="1011" spans="1:12">
      <c r="A1011" s="3" t="s">
        <v>2004</v>
      </c>
      <c r="B1011" s="3" t="s">
        <v>667</v>
      </c>
      <c r="C1011" s="3" t="s">
        <v>962</v>
      </c>
      <c r="D1011" s="3" t="s">
        <v>1037</v>
      </c>
      <c r="E1011" s="3" t="s">
        <v>942</v>
      </c>
      <c r="F1011" s="3" t="s">
        <v>47</v>
      </c>
      <c r="G1011" s="3" t="str">
        <f>INDEX(Risk_Matrix!$B$2:$D$4,MATCH(E1011,Risk_Matrix!$A$2:$A$4,0),MATCH(F1011,Risk_Matrix!$B$1:$D$1,0))</f>
        <v>Low</v>
      </c>
      <c r="H1011" s="10">
        <v>46130</v>
      </c>
      <c r="I1011" s="3" t="s">
        <v>967</v>
      </c>
      <c r="J1011" s="3" t="s">
        <v>968</v>
      </c>
      <c r="K1011" s="3" t="s">
        <v>993</v>
      </c>
      <c r="L1011" s="3">
        <f>IF(G1011="High",3,IF(G1011="Medium",2,1))</f>
        <v>1</v>
      </c>
    </row>
    <row r="1012" spans="1:12">
      <c r="A1012" s="3" t="s">
        <v>2005</v>
      </c>
      <c r="B1012" s="3" t="s">
        <v>667</v>
      </c>
      <c r="C1012" s="3" t="s">
        <v>965</v>
      </c>
      <c r="D1012" s="3" t="s">
        <v>966</v>
      </c>
      <c r="E1012" s="3" t="s">
        <v>47</v>
      </c>
      <c r="F1012" s="3" t="s">
        <v>942</v>
      </c>
      <c r="G1012" s="3" t="str">
        <f>INDEX(Risk_Matrix!$B$2:$D$4,MATCH(E1012,Risk_Matrix!$A$2:$A$4,0),MATCH(F1012,Risk_Matrix!$B$1:$D$1,0))</f>
        <v>Low</v>
      </c>
      <c r="H1012" s="10">
        <v>46122</v>
      </c>
      <c r="I1012" s="3" t="s">
        <v>973</v>
      </c>
      <c r="J1012" s="3" t="s">
        <v>974</v>
      </c>
      <c r="K1012" s="3" t="s">
        <v>993</v>
      </c>
      <c r="L1012" s="3">
        <f>IF(G1012="High",3,IF(G1012="Medium",2,1))</f>
        <v>1</v>
      </c>
    </row>
    <row r="1013" spans="1:12">
      <c r="A1013" s="3" t="s">
        <v>2006</v>
      </c>
      <c r="B1013" s="3" t="s">
        <v>667</v>
      </c>
      <c r="C1013" s="3" t="s">
        <v>971</v>
      </c>
      <c r="D1013" s="3" t="s">
        <v>1025</v>
      </c>
      <c r="E1013" s="3" t="s">
        <v>942</v>
      </c>
      <c r="F1013" s="3" t="s">
        <v>42</v>
      </c>
      <c r="G1013" s="3" t="str">
        <f>INDEX(Risk_Matrix!$B$2:$D$4,MATCH(E1013,Risk_Matrix!$A$2:$A$4,0),MATCH(F1013,Risk_Matrix!$B$1:$D$1,0))</f>
        <v>High</v>
      </c>
      <c r="H1013" s="10">
        <v>46186</v>
      </c>
      <c r="I1013" s="3" t="s">
        <v>973</v>
      </c>
      <c r="J1013" s="3" t="s">
        <v>974</v>
      </c>
      <c r="K1013" s="3" t="s">
        <v>993</v>
      </c>
      <c r="L1013" s="3">
        <f>IF(G1013="High",3,IF(G1013="Medium",2,1))</f>
        <v>3</v>
      </c>
    </row>
    <row r="1014" spans="1:12">
      <c r="A1014" s="3" t="s">
        <v>2007</v>
      </c>
      <c r="B1014" s="3" t="s">
        <v>667</v>
      </c>
      <c r="C1014" s="3" t="s">
        <v>976</v>
      </c>
      <c r="D1014" s="3" t="s">
        <v>1002</v>
      </c>
      <c r="E1014" s="3" t="s">
        <v>942</v>
      </c>
      <c r="F1014" s="3" t="s">
        <v>42</v>
      </c>
      <c r="G1014" s="3" t="str">
        <f>INDEX(Risk_Matrix!$B$2:$D$4,MATCH(E1014,Risk_Matrix!$A$2:$A$4,0),MATCH(F1014,Risk_Matrix!$B$1:$D$1,0))</f>
        <v>High</v>
      </c>
      <c r="H1014" s="10">
        <v>46189</v>
      </c>
      <c r="I1014" s="3" t="s">
        <v>967</v>
      </c>
      <c r="J1014" s="3" t="s">
        <v>968</v>
      </c>
      <c r="K1014" s="3" t="s">
        <v>969</v>
      </c>
      <c r="L1014" s="3">
        <f>IF(G1014="High",3,IF(G1014="Medium",2,1))</f>
        <v>3</v>
      </c>
    </row>
    <row r="1015" spans="1:12">
      <c r="A1015" s="3" t="s">
        <v>2008</v>
      </c>
      <c r="B1015" s="3" t="s">
        <v>667</v>
      </c>
      <c r="C1015" s="3" t="s">
        <v>979</v>
      </c>
      <c r="D1015" s="3" t="s">
        <v>980</v>
      </c>
      <c r="E1015" s="3" t="s">
        <v>942</v>
      </c>
      <c r="F1015" s="3" t="s">
        <v>942</v>
      </c>
      <c r="G1015" s="3" t="str">
        <f>INDEX(Risk_Matrix!$B$2:$D$4,MATCH(E1015,Risk_Matrix!$A$2:$A$4,0),MATCH(F1015,Risk_Matrix!$B$1:$D$1,0))</f>
        <v>Medium</v>
      </c>
      <c r="H1015" s="10">
        <v>46131</v>
      </c>
      <c r="I1015" s="3" t="s">
        <v>967</v>
      </c>
      <c r="J1015" s="3" t="s">
        <v>968</v>
      </c>
      <c r="K1015" s="3" t="s">
        <v>983</v>
      </c>
      <c r="L1015" s="3">
        <f>IF(G1015="High",3,IF(G1015="Medium",2,1))</f>
        <v>2</v>
      </c>
    </row>
    <row r="1016" spans="1:12">
      <c r="A1016" s="3" t="s">
        <v>2009</v>
      </c>
      <c r="B1016" s="3" t="s">
        <v>668</v>
      </c>
      <c r="C1016" s="3" t="s">
        <v>956</v>
      </c>
      <c r="D1016" s="3" t="s">
        <v>995</v>
      </c>
      <c r="E1016" s="3" t="s">
        <v>42</v>
      </c>
      <c r="F1016" s="3" t="s">
        <v>47</v>
      </c>
      <c r="G1016" s="3" t="str">
        <f>INDEX(Risk_Matrix!$B$2:$D$4,MATCH(E1016,Risk_Matrix!$A$2:$A$4,0),MATCH(F1016,Risk_Matrix!$B$1:$D$1,0))</f>
        <v>Medium</v>
      </c>
      <c r="H1016" s="10">
        <v>46084</v>
      </c>
      <c r="I1016" s="3" t="s">
        <v>973</v>
      </c>
      <c r="J1016" s="3" t="s">
        <v>974</v>
      </c>
      <c r="K1016" s="3" t="s">
        <v>983</v>
      </c>
      <c r="L1016" s="3">
        <f>IF(G1016="High",3,IF(G1016="Medium",2,1))</f>
        <v>2</v>
      </c>
    </row>
    <row r="1017" spans="1:12">
      <c r="A1017" s="3" t="s">
        <v>2010</v>
      </c>
      <c r="B1017" s="3" t="s">
        <v>668</v>
      </c>
      <c r="C1017" s="3" t="s">
        <v>962</v>
      </c>
      <c r="D1017" s="3" t="s">
        <v>963</v>
      </c>
      <c r="E1017" s="3" t="s">
        <v>47</v>
      </c>
      <c r="F1017" s="3" t="s">
        <v>942</v>
      </c>
      <c r="G1017" s="3" t="str">
        <f>INDEX(Risk_Matrix!$B$2:$D$4,MATCH(E1017,Risk_Matrix!$A$2:$A$4,0),MATCH(F1017,Risk_Matrix!$B$1:$D$1,0))</f>
        <v>Low</v>
      </c>
      <c r="H1017" s="10">
        <v>46134</v>
      </c>
      <c r="I1017" s="3" t="s">
        <v>967</v>
      </c>
      <c r="J1017" s="3" t="s">
        <v>968</v>
      </c>
      <c r="K1017" s="3" t="s">
        <v>993</v>
      </c>
      <c r="L1017" s="3">
        <f>IF(G1017="High",3,IF(G1017="Medium",2,1))</f>
        <v>1</v>
      </c>
    </row>
    <row r="1018" spans="1:12">
      <c r="A1018" s="3" t="s">
        <v>2011</v>
      </c>
      <c r="B1018" s="3" t="s">
        <v>668</v>
      </c>
      <c r="C1018" s="3" t="s">
        <v>965</v>
      </c>
      <c r="D1018" s="3" t="s">
        <v>966</v>
      </c>
      <c r="E1018" s="3" t="s">
        <v>942</v>
      </c>
      <c r="F1018" s="3" t="s">
        <v>47</v>
      </c>
      <c r="G1018" s="3" t="str">
        <f>INDEX(Risk_Matrix!$B$2:$D$4,MATCH(E1018,Risk_Matrix!$A$2:$A$4,0),MATCH(F1018,Risk_Matrix!$B$1:$D$1,0))</f>
        <v>Low</v>
      </c>
      <c r="H1018" s="10">
        <v>46169</v>
      </c>
      <c r="I1018" s="3" t="s">
        <v>973</v>
      </c>
      <c r="J1018" s="3" t="s">
        <v>974</v>
      </c>
      <c r="K1018" s="3" t="s">
        <v>983</v>
      </c>
      <c r="L1018" s="3">
        <f>IF(G1018="High",3,IF(G1018="Medium",2,1))</f>
        <v>1</v>
      </c>
    </row>
    <row r="1019" spans="1:12">
      <c r="A1019" s="3" t="s">
        <v>2012</v>
      </c>
      <c r="B1019" s="3" t="s">
        <v>668</v>
      </c>
      <c r="C1019" s="3" t="s">
        <v>971</v>
      </c>
      <c r="D1019" s="3" t="s">
        <v>972</v>
      </c>
      <c r="E1019" s="3" t="s">
        <v>47</v>
      </c>
      <c r="F1019" s="3" t="s">
        <v>47</v>
      </c>
      <c r="G1019" s="3" t="str">
        <f>INDEX(Risk_Matrix!$B$2:$D$4,MATCH(E1019,Risk_Matrix!$A$2:$A$4,0),MATCH(F1019,Risk_Matrix!$B$1:$D$1,0))</f>
        <v>Low</v>
      </c>
      <c r="H1019" s="10">
        <v>46182</v>
      </c>
      <c r="I1019" s="3" t="s">
        <v>958</v>
      </c>
      <c r="J1019" s="3" t="s">
        <v>959</v>
      </c>
      <c r="K1019" s="3" t="s">
        <v>960</v>
      </c>
      <c r="L1019" s="3">
        <f>IF(G1019="High",3,IF(G1019="Medium",2,1))</f>
        <v>1</v>
      </c>
    </row>
    <row r="1020" spans="1:12">
      <c r="A1020" s="3" t="s">
        <v>2013</v>
      </c>
      <c r="B1020" s="3" t="s">
        <v>668</v>
      </c>
      <c r="C1020" s="3" t="s">
        <v>976</v>
      </c>
      <c r="D1020" s="3" t="s">
        <v>977</v>
      </c>
      <c r="E1020" s="3" t="s">
        <v>942</v>
      </c>
      <c r="F1020" s="3" t="s">
        <v>47</v>
      </c>
      <c r="G1020" s="3" t="str">
        <f>INDEX(Risk_Matrix!$B$2:$D$4,MATCH(E1020,Risk_Matrix!$A$2:$A$4,0),MATCH(F1020,Risk_Matrix!$B$1:$D$1,0))</f>
        <v>Low</v>
      </c>
      <c r="H1020" s="10">
        <v>46160</v>
      </c>
      <c r="I1020" s="3" t="s">
        <v>967</v>
      </c>
      <c r="J1020" s="3" t="s">
        <v>968</v>
      </c>
      <c r="K1020" s="3" t="s">
        <v>1000</v>
      </c>
      <c r="L1020" s="3">
        <f>IF(G1020="High",3,IF(G1020="Medium",2,1))</f>
        <v>1</v>
      </c>
    </row>
    <row r="1021" spans="1:12">
      <c r="A1021" s="3" t="s">
        <v>2014</v>
      </c>
      <c r="B1021" s="3" t="s">
        <v>668</v>
      </c>
      <c r="C1021" s="3" t="s">
        <v>979</v>
      </c>
      <c r="D1021" s="3" t="s">
        <v>1028</v>
      </c>
      <c r="E1021" s="3" t="s">
        <v>47</v>
      </c>
      <c r="F1021" s="3" t="s">
        <v>47</v>
      </c>
      <c r="G1021" s="3" t="str">
        <f>INDEX(Risk_Matrix!$B$2:$D$4,MATCH(E1021,Risk_Matrix!$A$2:$A$4,0),MATCH(F1021,Risk_Matrix!$B$1:$D$1,0))</f>
        <v>Low</v>
      </c>
      <c r="H1021" s="10">
        <v>46166</v>
      </c>
      <c r="I1021" s="3" t="s">
        <v>967</v>
      </c>
      <c r="J1021" s="3" t="s">
        <v>968</v>
      </c>
      <c r="K1021" s="3" t="s">
        <v>1000</v>
      </c>
      <c r="L1021" s="3">
        <f>IF(G1021="High",3,IF(G1021="Medium",2,1))</f>
        <v>1</v>
      </c>
    </row>
    <row r="1022" spans="1:12">
      <c r="A1022" s="3" t="s">
        <v>2015</v>
      </c>
      <c r="B1022" s="3" t="s">
        <v>670</v>
      </c>
      <c r="C1022" s="3" t="s">
        <v>956</v>
      </c>
      <c r="D1022" s="3" t="s">
        <v>995</v>
      </c>
      <c r="E1022" s="3" t="s">
        <v>942</v>
      </c>
      <c r="F1022" s="3" t="s">
        <v>42</v>
      </c>
      <c r="G1022" s="3" t="str">
        <f>INDEX(Risk_Matrix!$B$2:$D$4,MATCH(E1022,Risk_Matrix!$A$2:$A$4,0),MATCH(F1022,Risk_Matrix!$B$1:$D$1,0))</f>
        <v>High</v>
      </c>
      <c r="H1022" s="10">
        <v>46139</v>
      </c>
      <c r="I1022" s="3" t="s">
        <v>973</v>
      </c>
      <c r="J1022" s="3" t="s">
        <v>974</v>
      </c>
      <c r="K1022" s="3" t="s">
        <v>983</v>
      </c>
      <c r="L1022" s="3">
        <f>IF(G1022="High",3,IF(G1022="Medium",2,1))</f>
        <v>3</v>
      </c>
    </row>
    <row r="1023" spans="1:12">
      <c r="A1023" s="3" t="s">
        <v>2016</v>
      </c>
      <c r="B1023" s="3" t="s">
        <v>670</v>
      </c>
      <c r="C1023" s="3" t="s">
        <v>962</v>
      </c>
      <c r="D1023" s="3" t="s">
        <v>986</v>
      </c>
      <c r="E1023" s="3" t="s">
        <v>942</v>
      </c>
      <c r="F1023" s="3" t="s">
        <v>942</v>
      </c>
      <c r="G1023" s="3" t="str">
        <f>INDEX(Risk_Matrix!$B$2:$D$4,MATCH(E1023,Risk_Matrix!$A$2:$A$4,0),MATCH(F1023,Risk_Matrix!$B$1:$D$1,0))</f>
        <v>Medium</v>
      </c>
      <c r="H1023" s="10">
        <v>46097</v>
      </c>
      <c r="I1023" s="3" t="s">
        <v>981</v>
      </c>
      <c r="J1023" s="3" t="s">
        <v>982</v>
      </c>
      <c r="K1023" s="3" t="s">
        <v>1000</v>
      </c>
      <c r="L1023" s="3">
        <f>IF(G1023="High",3,IF(G1023="Medium",2,1))</f>
        <v>2</v>
      </c>
    </row>
    <row r="1024" spans="1:12">
      <c r="A1024" s="3" t="s">
        <v>2017</v>
      </c>
      <c r="B1024" s="3" t="s">
        <v>670</v>
      </c>
      <c r="C1024" s="3" t="s">
        <v>965</v>
      </c>
      <c r="D1024" s="3" t="s">
        <v>988</v>
      </c>
      <c r="E1024" s="3" t="s">
        <v>47</v>
      </c>
      <c r="F1024" s="3" t="s">
        <v>47</v>
      </c>
      <c r="G1024" s="3" t="str">
        <f>INDEX(Risk_Matrix!$B$2:$D$4,MATCH(E1024,Risk_Matrix!$A$2:$A$4,0),MATCH(F1024,Risk_Matrix!$B$1:$D$1,0))</f>
        <v>Low</v>
      </c>
      <c r="H1024" s="10">
        <v>46107</v>
      </c>
      <c r="I1024" s="3" t="s">
        <v>973</v>
      </c>
      <c r="J1024" s="3" t="s">
        <v>974</v>
      </c>
      <c r="K1024" s="3" t="s">
        <v>983</v>
      </c>
      <c r="L1024" s="3">
        <f>IF(G1024="High",3,IF(G1024="Medium",2,1))</f>
        <v>1</v>
      </c>
    </row>
    <row r="1025" spans="1:12">
      <c r="A1025" s="3" t="s">
        <v>2018</v>
      </c>
      <c r="B1025" s="3" t="s">
        <v>670</v>
      </c>
      <c r="C1025" s="3" t="s">
        <v>971</v>
      </c>
      <c r="D1025" s="3" t="s">
        <v>1016</v>
      </c>
      <c r="E1025" s="3" t="s">
        <v>47</v>
      </c>
      <c r="F1025" s="3" t="s">
        <v>47</v>
      </c>
      <c r="G1025" s="3" t="str">
        <f>INDEX(Risk_Matrix!$B$2:$D$4,MATCH(E1025,Risk_Matrix!$A$2:$A$4,0),MATCH(F1025,Risk_Matrix!$B$1:$D$1,0))</f>
        <v>Low</v>
      </c>
      <c r="H1025" s="10">
        <v>46225</v>
      </c>
      <c r="I1025" s="3" t="s">
        <v>967</v>
      </c>
      <c r="J1025" s="3" t="s">
        <v>968</v>
      </c>
      <c r="K1025" s="3" t="s">
        <v>969</v>
      </c>
      <c r="L1025" s="3">
        <f>IF(G1025="High",3,IF(G1025="Medium",2,1))</f>
        <v>1</v>
      </c>
    </row>
    <row r="1026" spans="1:12">
      <c r="A1026" s="3" t="s">
        <v>2019</v>
      </c>
      <c r="B1026" s="3" t="s">
        <v>670</v>
      </c>
      <c r="C1026" s="3" t="s">
        <v>976</v>
      </c>
      <c r="D1026" s="3" t="s">
        <v>1002</v>
      </c>
      <c r="E1026" s="3" t="s">
        <v>942</v>
      </c>
      <c r="F1026" s="3" t="s">
        <v>942</v>
      </c>
      <c r="G1026" s="3" t="str">
        <f>INDEX(Risk_Matrix!$B$2:$D$4,MATCH(E1026,Risk_Matrix!$A$2:$A$4,0),MATCH(F1026,Risk_Matrix!$B$1:$D$1,0))</f>
        <v>Medium</v>
      </c>
      <c r="H1026" s="10">
        <v>46121</v>
      </c>
      <c r="I1026" s="3" t="s">
        <v>967</v>
      </c>
      <c r="J1026" s="3" t="s">
        <v>968</v>
      </c>
      <c r="K1026" s="3" t="s">
        <v>983</v>
      </c>
      <c r="L1026" s="3">
        <f>IF(G1026="High",3,IF(G1026="Medium",2,1))</f>
        <v>2</v>
      </c>
    </row>
    <row r="1027" spans="1:12">
      <c r="A1027" s="3" t="s">
        <v>2020</v>
      </c>
      <c r="B1027" s="3" t="s">
        <v>670</v>
      </c>
      <c r="C1027" s="3" t="s">
        <v>979</v>
      </c>
      <c r="D1027" s="3" t="s">
        <v>1028</v>
      </c>
      <c r="E1027" s="3" t="s">
        <v>42</v>
      </c>
      <c r="F1027" s="3" t="s">
        <v>942</v>
      </c>
      <c r="G1027" s="3" t="str">
        <f>INDEX(Risk_Matrix!$B$2:$D$4,MATCH(E1027,Risk_Matrix!$A$2:$A$4,0),MATCH(F1027,Risk_Matrix!$B$1:$D$1,0))</f>
        <v>High</v>
      </c>
      <c r="H1027" s="10">
        <v>46168</v>
      </c>
      <c r="I1027" s="3" t="s">
        <v>967</v>
      </c>
      <c r="J1027" s="3" t="s">
        <v>968</v>
      </c>
      <c r="K1027" s="3" t="s">
        <v>960</v>
      </c>
      <c r="L1027" s="3">
        <f>IF(G1027="High",3,IF(G1027="Medium",2,1))</f>
        <v>3</v>
      </c>
    </row>
    <row r="1028" spans="1:12">
      <c r="A1028" s="3" t="s">
        <v>2021</v>
      </c>
      <c r="B1028" s="3" t="s">
        <v>672</v>
      </c>
      <c r="C1028" s="3" t="s">
        <v>956</v>
      </c>
      <c r="D1028" s="3" t="s">
        <v>1020</v>
      </c>
      <c r="E1028" s="3" t="s">
        <v>47</v>
      </c>
      <c r="F1028" s="3" t="s">
        <v>42</v>
      </c>
      <c r="G1028" s="3" t="str">
        <f>INDEX(Risk_Matrix!$B$2:$D$4,MATCH(E1028,Risk_Matrix!$A$2:$A$4,0),MATCH(F1028,Risk_Matrix!$B$1:$D$1,0))</f>
        <v>Medium</v>
      </c>
      <c r="H1028" s="10">
        <v>46134</v>
      </c>
      <c r="I1028" s="3" t="s">
        <v>981</v>
      </c>
      <c r="J1028" s="3" t="s">
        <v>982</v>
      </c>
      <c r="K1028" s="3" t="s">
        <v>969</v>
      </c>
      <c r="L1028" s="3">
        <f>IF(G1028="High",3,IF(G1028="Medium",2,1))</f>
        <v>2</v>
      </c>
    </row>
    <row r="1029" spans="1:12">
      <c r="A1029" s="3" t="s">
        <v>2022</v>
      </c>
      <c r="B1029" s="3" t="s">
        <v>672</v>
      </c>
      <c r="C1029" s="3" t="s">
        <v>962</v>
      </c>
      <c r="D1029" s="3" t="s">
        <v>963</v>
      </c>
      <c r="E1029" s="3" t="s">
        <v>942</v>
      </c>
      <c r="F1029" s="3" t="s">
        <v>47</v>
      </c>
      <c r="G1029" s="3" t="str">
        <f>INDEX(Risk_Matrix!$B$2:$D$4,MATCH(E1029,Risk_Matrix!$A$2:$A$4,0),MATCH(F1029,Risk_Matrix!$B$1:$D$1,0))</f>
        <v>Low</v>
      </c>
      <c r="H1029" s="10">
        <v>46215</v>
      </c>
      <c r="I1029" s="3" t="s">
        <v>973</v>
      </c>
      <c r="J1029" s="3" t="s">
        <v>974</v>
      </c>
      <c r="K1029" s="3" t="s">
        <v>983</v>
      </c>
      <c r="L1029" s="3">
        <f>IF(G1029="High",3,IF(G1029="Medium",2,1))</f>
        <v>1</v>
      </c>
    </row>
    <row r="1030" spans="1:12">
      <c r="A1030" s="3" t="s">
        <v>2023</v>
      </c>
      <c r="B1030" s="3" t="s">
        <v>672</v>
      </c>
      <c r="C1030" s="3" t="s">
        <v>965</v>
      </c>
      <c r="D1030" s="3" t="s">
        <v>1023</v>
      </c>
      <c r="E1030" s="3" t="s">
        <v>47</v>
      </c>
      <c r="F1030" s="3" t="s">
        <v>47</v>
      </c>
      <c r="G1030" s="3" t="str">
        <f>INDEX(Risk_Matrix!$B$2:$D$4,MATCH(E1030,Risk_Matrix!$A$2:$A$4,0),MATCH(F1030,Risk_Matrix!$B$1:$D$1,0))</f>
        <v>Low</v>
      </c>
      <c r="H1030" s="10">
        <v>46236</v>
      </c>
      <c r="I1030" s="3" t="s">
        <v>981</v>
      </c>
      <c r="J1030" s="3" t="s">
        <v>982</v>
      </c>
      <c r="K1030" s="3" t="s">
        <v>960</v>
      </c>
      <c r="L1030" s="3">
        <f>IF(G1030="High",3,IF(G1030="Medium",2,1))</f>
        <v>1</v>
      </c>
    </row>
    <row r="1031" spans="1:12">
      <c r="A1031" s="3" t="s">
        <v>2024</v>
      </c>
      <c r="B1031" s="3" t="s">
        <v>672</v>
      </c>
      <c r="C1031" s="3" t="s">
        <v>971</v>
      </c>
      <c r="D1031" s="3" t="s">
        <v>1016</v>
      </c>
      <c r="E1031" s="3" t="s">
        <v>942</v>
      </c>
      <c r="F1031" s="3" t="s">
        <v>942</v>
      </c>
      <c r="G1031" s="3" t="str">
        <f>INDEX(Risk_Matrix!$B$2:$D$4,MATCH(E1031,Risk_Matrix!$A$2:$A$4,0),MATCH(F1031,Risk_Matrix!$B$1:$D$1,0))</f>
        <v>Medium</v>
      </c>
      <c r="H1031" s="10">
        <v>46107</v>
      </c>
      <c r="I1031" s="3" t="s">
        <v>967</v>
      </c>
      <c r="J1031" s="3" t="s">
        <v>968</v>
      </c>
      <c r="K1031" s="3" t="s">
        <v>1000</v>
      </c>
      <c r="L1031" s="3">
        <f>IF(G1031="High",3,IF(G1031="Medium",2,1))</f>
        <v>2</v>
      </c>
    </row>
    <row r="1032" spans="1:12">
      <c r="A1032" s="3" t="s">
        <v>2025</v>
      </c>
      <c r="B1032" s="3" t="s">
        <v>672</v>
      </c>
      <c r="C1032" s="3" t="s">
        <v>976</v>
      </c>
      <c r="D1032" s="3" t="s">
        <v>1002</v>
      </c>
      <c r="E1032" s="3" t="s">
        <v>47</v>
      </c>
      <c r="F1032" s="3" t="s">
        <v>47</v>
      </c>
      <c r="G1032" s="3" t="str">
        <f>INDEX(Risk_Matrix!$B$2:$D$4,MATCH(E1032,Risk_Matrix!$A$2:$A$4,0),MATCH(F1032,Risk_Matrix!$B$1:$D$1,0))</f>
        <v>Low</v>
      </c>
      <c r="H1032" s="10">
        <v>46237</v>
      </c>
      <c r="I1032" s="3" t="s">
        <v>973</v>
      </c>
      <c r="J1032" s="3" t="s">
        <v>974</v>
      </c>
      <c r="K1032" s="3" t="s">
        <v>960</v>
      </c>
      <c r="L1032" s="3">
        <f>IF(G1032="High",3,IF(G1032="Medium",2,1))</f>
        <v>1</v>
      </c>
    </row>
    <row r="1033" spans="1:12">
      <c r="A1033" s="3" t="s">
        <v>2026</v>
      </c>
      <c r="B1033" s="3" t="s">
        <v>672</v>
      </c>
      <c r="C1033" s="3" t="s">
        <v>979</v>
      </c>
      <c r="D1033" s="3" t="s">
        <v>980</v>
      </c>
      <c r="E1033" s="3" t="s">
        <v>942</v>
      </c>
      <c r="F1033" s="3" t="s">
        <v>47</v>
      </c>
      <c r="G1033" s="3" t="str">
        <f>INDEX(Risk_Matrix!$B$2:$D$4,MATCH(E1033,Risk_Matrix!$A$2:$A$4,0),MATCH(F1033,Risk_Matrix!$B$1:$D$1,0))</f>
        <v>Low</v>
      </c>
      <c r="H1033" s="10">
        <v>46069</v>
      </c>
      <c r="I1033" s="3" t="s">
        <v>958</v>
      </c>
      <c r="J1033" s="3" t="s">
        <v>959</v>
      </c>
      <c r="K1033" s="3" t="s">
        <v>1000</v>
      </c>
      <c r="L1033" s="3">
        <f>IF(G1033="High",3,IF(G1033="Medium",2,1))</f>
        <v>1</v>
      </c>
    </row>
    <row r="1034" spans="1:12">
      <c r="A1034" s="3" t="s">
        <v>2027</v>
      </c>
      <c r="B1034" s="3" t="s">
        <v>673</v>
      </c>
      <c r="C1034" s="3" t="s">
        <v>956</v>
      </c>
      <c r="D1034" s="3" t="s">
        <v>957</v>
      </c>
      <c r="E1034" s="3" t="s">
        <v>942</v>
      </c>
      <c r="F1034" s="3" t="s">
        <v>42</v>
      </c>
      <c r="G1034" s="3" t="str">
        <f>INDEX(Risk_Matrix!$B$2:$D$4,MATCH(E1034,Risk_Matrix!$A$2:$A$4,0),MATCH(F1034,Risk_Matrix!$B$1:$D$1,0))</f>
        <v>High</v>
      </c>
      <c r="H1034" s="10">
        <v>46104</v>
      </c>
      <c r="I1034" s="3" t="s">
        <v>967</v>
      </c>
      <c r="J1034" s="3" t="s">
        <v>968</v>
      </c>
      <c r="K1034" s="3" t="s">
        <v>983</v>
      </c>
      <c r="L1034" s="3">
        <f>IF(G1034="High",3,IF(G1034="Medium",2,1))</f>
        <v>3</v>
      </c>
    </row>
    <row r="1035" spans="1:12">
      <c r="A1035" s="3" t="s">
        <v>2028</v>
      </c>
      <c r="B1035" s="3" t="s">
        <v>673</v>
      </c>
      <c r="C1035" s="3" t="s">
        <v>962</v>
      </c>
      <c r="D1035" s="3" t="s">
        <v>1037</v>
      </c>
      <c r="E1035" s="3" t="s">
        <v>47</v>
      </c>
      <c r="F1035" s="3" t="s">
        <v>942</v>
      </c>
      <c r="G1035" s="3" t="str">
        <f>INDEX(Risk_Matrix!$B$2:$D$4,MATCH(E1035,Risk_Matrix!$A$2:$A$4,0),MATCH(F1035,Risk_Matrix!$B$1:$D$1,0))</f>
        <v>Low</v>
      </c>
      <c r="H1035" s="10">
        <v>46225</v>
      </c>
      <c r="I1035" s="3" t="s">
        <v>967</v>
      </c>
      <c r="J1035" s="3" t="s">
        <v>968</v>
      </c>
      <c r="K1035" s="3" t="s">
        <v>960</v>
      </c>
      <c r="L1035" s="3">
        <f>IF(G1035="High",3,IF(G1035="Medium",2,1))</f>
        <v>1</v>
      </c>
    </row>
    <row r="1036" spans="1:12">
      <c r="A1036" s="3" t="s">
        <v>2029</v>
      </c>
      <c r="B1036" s="3" t="s">
        <v>673</v>
      </c>
      <c r="C1036" s="3" t="s">
        <v>965</v>
      </c>
      <c r="D1036" s="3" t="s">
        <v>988</v>
      </c>
      <c r="E1036" s="3" t="s">
        <v>47</v>
      </c>
      <c r="F1036" s="3" t="s">
        <v>47</v>
      </c>
      <c r="G1036" s="3" t="str">
        <f>INDEX(Risk_Matrix!$B$2:$D$4,MATCH(E1036,Risk_Matrix!$A$2:$A$4,0),MATCH(F1036,Risk_Matrix!$B$1:$D$1,0))</f>
        <v>Low</v>
      </c>
      <c r="H1036" s="10">
        <v>46065</v>
      </c>
      <c r="I1036" s="3" t="s">
        <v>973</v>
      </c>
      <c r="J1036" s="3" t="s">
        <v>974</v>
      </c>
      <c r="K1036" s="3" t="s">
        <v>983</v>
      </c>
      <c r="L1036" s="3">
        <f>IF(G1036="High",3,IF(G1036="Medium",2,1))</f>
        <v>1</v>
      </c>
    </row>
    <row r="1037" spans="1:12">
      <c r="A1037" s="3" t="s">
        <v>2030</v>
      </c>
      <c r="B1037" s="3" t="s">
        <v>673</v>
      </c>
      <c r="C1037" s="3" t="s">
        <v>971</v>
      </c>
      <c r="D1037" s="3" t="s">
        <v>1016</v>
      </c>
      <c r="E1037" s="3" t="s">
        <v>42</v>
      </c>
      <c r="F1037" s="3" t="s">
        <v>42</v>
      </c>
      <c r="G1037" s="3" t="str">
        <f>INDEX(Risk_Matrix!$B$2:$D$4,MATCH(E1037,Risk_Matrix!$A$2:$A$4,0),MATCH(F1037,Risk_Matrix!$B$1:$D$1,0))</f>
        <v>High</v>
      </c>
      <c r="H1037" s="10">
        <v>46115</v>
      </c>
      <c r="I1037" s="3" t="s">
        <v>973</v>
      </c>
      <c r="J1037" s="3" t="s">
        <v>974</v>
      </c>
      <c r="K1037" s="3" t="s">
        <v>969</v>
      </c>
      <c r="L1037" s="3">
        <f>IF(G1037="High",3,IF(G1037="Medium",2,1))</f>
        <v>3</v>
      </c>
    </row>
    <row r="1038" spans="1:12">
      <c r="A1038" s="3" t="s">
        <v>2031</v>
      </c>
      <c r="B1038" s="3" t="s">
        <v>673</v>
      </c>
      <c r="C1038" s="3" t="s">
        <v>976</v>
      </c>
      <c r="D1038" s="3" t="s">
        <v>991</v>
      </c>
      <c r="E1038" s="3" t="s">
        <v>47</v>
      </c>
      <c r="F1038" s="3" t="s">
        <v>942</v>
      </c>
      <c r="G1038" s="3" t="str">
        <f>INDEX(Risk_Matrix!$B$2:$D$4,MATCH(E1038,Risk_Matrix!$A$2:$A$4,0),MATCH(F1038,Risk_Matrix!$B$1:$D$1,0))</f>
        <v>Low</v>
      </c>
      <c r="H1038" s="10">
        <v>46183</v>
      </c>
      <c r="I1038" s="3" t="s">
        <v>967</v>
      </c>
      <c r="J1038" s="3" t="s">
        <v>968</v>
      </c>
      <c r="K1038" s="3" t="s">
        <v>969</v>
      </c>
      <c r="L1038" s="3">
        <f>IF(G1038="High",3,IF(G1038="Medium",2,1))</f>
        <v>1</v>
      </c>
    </row>
    <row r="1039" spans="1:12">
      <c r="A1039" s="3" t="s">
        <v>2032</v>
      </c>
      <c r="B1039" s="3" t="s">
        <v>673</v>
      </c>
      <c r="C1039" s="3" t="s">
        <v>979</v>
      </c>
      <c r="D1039" s="3" t="s">
        <v>980</v>
      </c>
      <c r="E1039" s="3" t="s">
        <v>942</v>
      </c>
      <c r="F1039" s="3" t="s">
        <v>42</v>
      </c>
      <c r="G1039" s="3" t="str">
        <f>INDEX(Risk_Matrix!$B$2:$D$4,MATCH(E1039,Risk_Matrix!$A$2:$A$4,0),MATCH(F1039,Risk_Matrix!$B$1:$D$1,0))</f>
        <v>High</v>
      </c>
      <c r="H1039" s="10">
        <v>46080</v>
      </c>
      <c r="I1039" s="3" t="s">
        <v>981</v>
      </c>
      <c r="J1039" s="3" t="s">
        <v>982</v>
      </c>
      <c r="K1039" s="3" t="s">
        <v>960</v>
      </c>
      <c r="L1039" s="3">
        <f>IF(G1039="High",3,IF(G1039="Medium",2,1))</f>
        <v>3</v>
      </c>
    </row>
    <row r="1040" spans="1:12">
      <c r="A1040" s="3" t="s">
        <v>2033</v>
      </c>
      <c r="B1040" s="3" t="s">
        <v>674</v>
      </c>
      <c r="C1040" s="3" t="s">
        <v>956</v>
      </c>
      <c r="D1040" s="3" t="s">
        <v>957</v>
      </c>
      <c r="E1040" s="3" t="s">
        <v>47</v>
      </c>
      <c r="F1040" s="3" t="s">
        <v>942</v>
      </c>
      <c r="G1040" s="3" t="str">
        <f>INDEX(Risk_Matrix!$B$2:$D$4,MATCH(E1040,Risk_Matrix!$A$2:$A$4,0),MATCH(F1040,Risk_Matrix!$B$1:$D$1,0))</f>
        <v>Low</v>
      </c>
      <c r="H1040" s="10">
        <v>46148</v>
      </c>
      <c r="I1040" s="3" t="s">
        <v>973</v>
      </c>
      <c r="J1040" s="3" t="s">
        <v>974</v>
      </c>
      <c r="K1040" s="3" t="s">
        <v>993</v>
      </c>
      <c r="L1040" s="3">
        <f>IF(G1040="High",3,IF(G1040="Medium",2,1))</f>
        <v>1</v>
      </c>
    </row>
    <row r="1041" spans="1:12">
      <c r="A1041" s="3" t="s">
        <v>2034</v>
      </c>
      <c r="B1041" s="3" t="s">
        <v>674</v>
      </c>
      <c r="C1041" s="3" t="s">
        <v>962</v>
      </c>
      <c r="D1041" s="3" t="s">
        <v>963</v>
      </c>
      <c r="E1041" s="3" t="s">
        <v>47</v>
      </c>
      <c r="F1041" s="3" t="s">
        <v>942</v>
      </c>
      <c r="G1041" s="3" t="str">
        <f>INDEX(Risk_Matrix!$B$2:$D$4,MATCH(E1041,Risk_Matrix!$A$2:$A$4,0),MATCH(F1041,Risk_Matrix!$B$1:$D$1,0))</f>
        <v>Low</v>
      </c>
      <c r="H1041" s="10">
        <v>46236</v>
      </c>
      <c r="I1041" s="3" t="s">
        <v>967</v>
      </c>
      <c r="J1041" s="3" t="s">
        <v>968</v>
      </c>
      <c r="K1041" s="3" t="s">
        <v>993</v>
      </c>
      <c r="L1041" s="3">
        <f>IF(G1041="High",3,IF(G1041="Medium",2,1))</f>
        <v>1</v>
      </c>
    </row>
    <row r="1042" spans="1:12">
      <c r="A1042" s="3" t="s">
        <v>2035</v>
      </c>
      <c r="B1042" s="3" t="s">
        <v>674</v>
      </c>
      <c r="C1042" s="3" t="s">
        <v>965</v>
      </c>
      <c r="D1042" s="3" t="s">
        <v>988</v>
      </c>
      <c r="E1042" s="3" t="s">
        <v>47</v>
      </c>
      <c r="F1042" s="3" t="s">
        <v>47</v>
      </c>
      <c r="G1042" s="3" t="str">
        <f>INDEX(Risk_Matrix!$B$2:$D$4,MATCH(E1042,Risk_Matrix!$A$2:$A$4,0),MATCH(F1042,Risk_Matrix!$B$1:$D$1,0))</f>
        <v>Low</v>
      </c>
      <c r="H1042" s="10">
        <v>46199</v>
      </c>
      <c r="I1042" s="3" t="s">
        <v>967</v>
      </c>
      <c r="J1042" s="3" t="s">
        <v>968</v>
      </c>
      <c r="K1042" s="3" t="s">
        <v>960</v>
      </c>
      <c r="L1042" s="3">
        <f>IF(G1042="High",3,IF(G1042="Medium",2,1))</f>
        <v>1</v>
      </c>
    </row>
    <row r="1043" spans="1:12">
      <c r="A1043" s="3" t="s">
        <v>2036</v>
      </c>
      <c r="B1043" s="3" t="s">
        <v>674</v>
      </c>
      <c r="C1043" s="3" t="s">
        <v>971</v>
      </c>
      <c r="D1043" s="3" t="s">
        <v>972</v>
      </c>
      <c r="E1043" s="3" t="s">
        <v>42</v>
      </c>
      <c r="F1043" s="3" t="s">
        <v>47</v>
      </c>
      <c r="G1043" s="3" t="str">
        <f>INDEX(Risk_Matrix!$B$2:$D$4,MATCH(E1043,Risk_Matrix!$A$2:$A$4,0),MATCH(F1043,Risk_Matrix!$B$1:$D$1,0))</f>
        <v>Medium</v>
      </c>
      <c r="H1043" s="10">
        <v>46174</v>
      </c>
      <c r="I1043" s="3" t="s">
        <v>981</v>
      </c>
      <c r="J1043" s="3" t="s">
        <v>982</v>
      </c>
      <c r="K1043" s="3" t="s">
        <v>983</v>
      </c>
      <c r="L1043" s="3">
        <f>IF(G1043="High",3,IF(G1043="Medium",2,1))</f>
        <v>2</v>
      </c>
    </row>
    <row r="1044" spans="1:12">
      <c r="A1044" s="3" t="s">
        <v>2037</v>
      </c>
      <c r="B1044" s="3" t="s">
        <v>674</v>
      </c>
      <c r="C1044" s="3" t="s">
        <v>976</v>
      </c>
      <c r="D1044" s="3" t="s">
        <v>991</v>
      </c>
      <c r="E1044" s="3" t="s">
        <v>47</v>
      </c>
      <c r="F1044" s="3" t="s">
        <v>47</v>
      </c>
      <c r="G1044" s="3" t="str">
        <f>INDEX(Risk_Matrix!$B$2:$D$4,MATCH(E1044,Risk_Matrix!$A$2:$A$4,0),MATCH(F1044,Risk_Matrix!$B$1:$D$1,0))</f>
        <v>Low</v>
      </c>
      <c r="H1044" s="10">
        <v>46192</v>
      </c>
      <c r="I1044" s="3" t="s">
        <v>967</v>
      </c>
      <c r="J1044" s="3" t="s">
        <v>968</v>
      </c>
      <c r="K1044" s="3" t="s">
        <v>1000</v>
      </c>
      <c r="L1044" s="3">
        <f>IF(G1044="High",3,IF(G1044="Medium",2,1))</f>
        <v>1</v>
      </c>
    </row>
    <row r="1045" spans="1:12">
      <c r="A1045" s="3" t="s">
        <v>2038</v>
      </c>
      <c r="B1045" s="3" t="s">
        <v>674</v>
      </c>
      <c r="C1045" s="3" t="s">
        <v>979</v>
      </c>
      <c r="D1045" s="3" t="s">
        <v>1028</v>
      </c>
      <c r="E1045" s="3" t="s">
        <v>47</v>
      </c>
      <c r="F1045" s="3" t="s">
        <v>47</v>
      </c>
      <c r="G1045" s="3" t="str">
        <f>INDEX(Risk_Matrix!$B$2:$D$4,MATCH(E1045,Risk_Matrix!$A$2:$A$4,0),MATCH(F1045,Risk_Matrix!$B$1:$D$1,0))</f>
        <v>Low</v>
      </c>
      <c r="H1045" s="10">
        <v>46197</v>
      </c>
      <c r="I1045" s="3" t="s">
        <v>981</v>
      </c>
      <c r="J1045" s="3" t="s">
        <v>982</v>
      </c>
      <c r="K1045" s="3" t="s">
        <v>983</v>
      </c>
      <c r="L1045" s="3">
        <f>IF(G1045="High",3,IF(G1045="Medium",2,1))</f>
        <v>1</v>
      </c>
    </row>
    <row r="1046" spans="1:12">
      <c r="A1046" s="3" t="s">
        <v>2039</v>
      </c>
      <c r="B1046" s="3" t="s">
        <v>675</v>
      </c>
      <c r="C1046" s="3" t="s">
        <v>956</v>
      </c>
      <c r="D1046" s="3" t="s">
        <v>995</v>
      </c>
      <c r="E1046" s="3" t="s">
        <v>942</v>
      </c>
      <c r="F1046" s="3" t="s">
        <v>47</v>
      </c>
      <c r="G1046" s="3" t="str">
        <f>INDEX(Risk_Matrix!$B$2:$D$4,MATCH(E1046,Risk_Matrix!$A$2:$A$4,0),MATCH(F1046,Risk_Matrix!$B$1:$D$1,0))</f>
        <v>Low</v>
      </c>
      <c r="H1046" s="10">
        <v>46188</v>
      </c>
      <c r="I1046" s="3" t="s">
        <v>981</v>
      </c>
      <c r="J1046" s="3" t="s">
        <v>982</v>
      </c>
      <c r="K1046" s="3" t="s">
        <v>993</v>
      </c>
      <c r="L1046" s="3">
        <f>IF(G1046="High",3,IF(G1046="Medium",2,1))</f>
        <v>1</v>
      </c>
    </row>
    <row r="1047" spans="1:12">
      <c r="A1047" s="3" t="s">
        <v>2040</v>
      </c>
      <c r="B1047" s="3" t="s">
        <v>675</v>
      </c>
      <c r="C1047" s="3" t="s">
        <v>962</v>
      </c>
      <c r="D1047" s="3" t="s">
        <v>1037</v>
      </c>
      <c r="E1047" s="3" t="s">
        <v>47</v>
      </c>
      <c r="F1047" s="3" t="s">
        <v>47</v>
      </c>
      <c r="G1047" s="3" t="str">
        <f>INDEX(Risk_Matrix!$B$2:$D$4,MATCH(E1047,Risk_Matrix!$A$2:$A$4,0),MATCH(F1047,Risk_Matrix!$B$1:$D$1,0))</f>
        <v>Low</v>
      </c>
      <c r="H1047" s="10">
        <v>46154</v>
      </c>
      <c r="I1047" s="3" t="s">
        <v>967</v>
      </c>
      <c r="J1047" s="3" t="s">
        <v>968</v>
      </c>
      <c r="K1047" s="3" t="s">
        <v>993</v>
      </c>
      <c r="L1047" s="3">
        <f>IF(G1047="High",3,IF(G1047="Medium",2,1))</f>
        <v>1</v>
      </c>
    </row>
    <row r="1048" spans="1:12">
      <c r="A1048" s="3" t="s">
        <v>2041</v>
      </c>
      <c r="B1048" s="3" t="s">
        <v>675</v>
      </c>
      <c r="C1048" s="3" t="s">
        <v>965</v>
      </c>
      <c r="D1048" s="3" t="s">
        <v>1039</v>
      </c>
      <c r="E1048" s="3" t="s">
        <v>942</v>
      </c>
      <c r="F1048" s="3" t="s">
        <v>42</v>
      </c>
      <c r="G1048" s="3" t="str">
        <f>INDEX(Risk_Matrix!$B$2:$D$4,MATCH(E1048,Risk_Matrix!$A$2:$A$4,0),MATCH(F1048,Risk_Matrix!$B$1:$D$1,0))</f>
        <v>High</v>
      </c>
      <c r="H1048" s="10">
        <v>46170</v>
      </c>
      <c r="I1048" s="3" t="s">
        <v>958</v>
      </c>
      <c r="J1048" s="3" t="s">
        <v>959</v>
      </c>
      <c r="K1048" s="3" t="s">
        <v>993</v>
      </c>
      <c r="L1048" s="3">
        <f>IF(G1048="High",3,IF(G1048="Medium",2,1))</f>
        <v>3</v>
      </c>
    </row>
    <row r="1049" spans="1:12">
      <c r="A1049" s="3" t="s">
        <v>2042</v>
      </c>
      <c r="B1049" s="3" t="s">
        <v>675</v>
      </c>
      <c r="C1049" s="3" t="s">
        <v>971</v>
      </c>
      <c r="D1049" s="3" t="s">
        <v>1025</v>
      </c>
      <c r="E1049" s="3" t="s">
        <v>47</v>
      </c>
      <c r="F1049" s="3" t="s">
        <v>47</v>
      </c>
      <c r="G1049" s="3" t="str">
        <f>INDEX(Risk_Matrix!$B$2:$D$4,MATCH(E1049,Risk_Matrix!$A$2:$A$4,0),MATCH(F1049,Risk_Matrix!$B$1:$D$1,0))</f>
        <v>Low</v>
      </c>
      <c r="H1049" s="10">
        <v>46206</v>
      </c>
      <c r="I1049" s="3" t="s">
        <v>967</v>
      </c>
      <c r="J1049" s="3" t="s">
        <v>968</v>
      </c>
      <c r="K1049" s="3" t="s">
        <v>969</v>
      </c>
      <c r="L1049" s="3">
        <f>IF(G1049="High",3,IF(G1049="Medium",2,1))</f>
        <v>1</v>
      </c>
    </row>
    <row r="1050" spans="1:12">
      <c r="A1050" s="3" t="s">
        <v>2043</v>
      </c>
      <c r="B1050" s="3" t="s">
        <v>675</v>
      </c>
      <c r="C1050" s="3" t="s">
        <v>976</v>
      </c>
      <c r="D1050" s="3" t="s">
        <v>991</v>
      </c>
      <c r="E1050" s="3" t="s">
        <v>942</v>
      </c>
      <c r="F1050" s="3" t="s">
        <v>42</v>
      </c>
      <c r="G1050" s="3" t="str">
        <f>INDEX(Risk_Matrix!$B$2:$D$4,MATCH(E1050,Risk_Matrix!$A$2:$A$4,0),MATCH(F1050,Risk_Matrix!$B$1:$D$1,0))</f>
        <v>High</v>
      </c>
      <c r="H1050" s="10">
        <v>46139</v>
      </c>
      <c r="I1050" s="3" t="s">
        <v>981</v>
      </c>
      <c r="J1050" s="3" t="s">
        <v>982</v>
      </c>
      <c r="K1050" s="3" t="s">
        <v>983</v>
      </c>
      <c r="L1050" s="3">
        <f>IF(G1050="High",3,IF(G1050="Medium",2,1))</f>
        <v>3</v>
      </c>
    </row>
    <row r="1051" spans="1:12">
      <c r="A1051" s="3" t="s">
        <v>2044</v>
      </c>
      <c r="B1051" s="3" t="s">
        <v>675</v>
      </c>
      <c r="C1051" s="3" t="s">
        <v>979</v>
      </c>
      <c r="D1051" s="3" t="s">
        <v>1004</v>
      </c>
      <c r="E1051" s="3" t="s">
        <v>42</v>
      </c>
      <c r="F1051" s="3" t="s">
        <v>942</v>
      </c>
      <c r="G1051" s="3" t="str">
        <f>INDEX(Risk_Matrix!$B$2:$D$4,MATCH(E1051,Risk_Matrix!$A$2:$A$4,0),MATCH(F1051,Risk_Matrix!$B$1:$D$1,0))</f>
        <v>High</v>
      </c>
      <c r="H1051" s="10">
        <v>46150</v>
      </c>
      <c r="I1051" s="3" t="s">
        <v>973</v>
      </c>
      <c r="J1051" s="3" t="s">
        <v>974</v>
      </c>
      <c r="K1051" s="3" t="s">
        <v>1000</v>
      </c>
      <c r="L1051" s="3">
        <f>IF(G1051="High",3,IF(G1051="Medium",2,1))</f>
        <v>3</v>
      </c>
    </row>
    <row r="1052" spans="1:12">
      <c r="A1052" s="3" t="s">
        <v>2045</v>
      </c>
      <c r="B1052" s="3" t="s">
        <v>677</v>
      </c>
      <c r="C1052" s="3" t="s">
        <v>956</v>
      </c>
      <c r="D1052" s="3" t="s">
        <v>957</v>
      </c>
      <c r="E1052" s="3" t="s">
        <v>942</v>
      </c>
      <c r="F1052" s="3" t="s">
        <v>47</v>
      </c>
      <c r="G1052" s="3" t="str">
        <f>INDEX(Risk_Matrix!$B$2:$D$4,MATCH(E1052,Risk_Matrix!$A$2:$A$4,0),MATCH(F1052,Risk_Matrix!$B$1:$D$1,0))</f>
        <v>Low</v>
      </c>
      <c r="H1052" s="10">
        <v>46151</v>
      </c>
      <c r="I1052" s="3" t="s">
        <v>967</v>
      </c>
      <c r="J1052" s="3" t="s">
        <v>968</v>
      </c>
      <c r="K1052" s="3" t="s">
        <v>960</v>
      </c>
      <c r="L1052" s="3">
        <f>IF(G1052="High",3,IF(G1052="Medium",2,1))</f>
        <v>1</v>
      </c>
    </row>
    <row r="1053" spans="1:12">
      <c r="A1053" s="3" t="s">
        <v>2046</v>
      </c>
      <c r="B1053" s="3" t="s">
        <v>677</v>
      </c>
      <c r="C1053" s="3" t="s">
        <v>962</v>
      </c>
      <c r="D1053" s="3" t="s">
        <v>963</v>
      </c>
      <c r="E1053" s="3" t="s">
        <v>47</v>
      </c>
      <c r="F1053" s="3" t="s">
        <v>47</v>
      </c>
      <c r="G1053" s="3" t="str">
        <f>INDEX(Risk_Matrix!$B$2:$D$4,MATCH(E1053,Risk_Matrix!$A$2:$A$4,0),MATCH(F1053,Risk_Matrix!$B$1:$D$1,0))</f>
        <v>Low</v>
      </c>
      <c r="H1053" s="10">
        <v>46129</v>
      </c>
      <c r="I1053" s="3" t="s">
        <v>967</v>
      </c>
      <c r="J1053" s="3" t="s">
        <v>968</v>
      </c>
      <c r="K1053" s="3" t="s">
        <v>983</v>
      </c>
      <c r="L1053" s="3">
        <f>IF(G1053="High",3,IF(G1053="Medium",2,1))</f>
        <v>1</v>
      </c>
    </row>
    <row r="1054" spans="1:12">
      <c r="A1054" s="3" t="s">
        <v>2047</v>
      </c>
      <c r="B1054" s="3" t="s">
        <v>677</v>
      </c>
      <c r="C1054" s="3" t="s">
        <v>965</v>
      </c>
      <c r="D1054" s="3" t="s">
        <v>1039</v>
      </c>
      <c r="E1054" s="3" t="s">
        <v>942</v>
      </c>
      <c r="F1054" s="3" t="s">
        <v>47</v>
      </c>
      <c r="G1054" s="3" t="str">
        <f>INDEX(Risk_Matrix!$B$2:$D$4,MATCH(E1054,Risk_Matrix!$A$2:$A$4,0),MATCH(F1054,Risk_Matrix!$B$1:$D$1,0))</f>
        <v>Low</v>
      </c>
      <c r="H1054" s="10">
        <v>46209</v>
      </c>
      <c r="I1054" s="3" t="s">
        <v>973</v>
      </c>
      <c r="J1054" s="3" t="s">
        <v>974</v>
      </c>
      <c r="K1054" s="3" t="s">
        <v>969</v>
      </c>
      <c r="L1054" s="3">
        <f>IF(G1054="High",3,IF(G1054="Medium",2,1))</f>
        <v>1</v>
      </c>
    </row>
    <row r="1055" spans="1:12">
      <c r="A1055" s="3" t="s">
        <v>2048</v>
      </c>
      <c r="B1055" s="3" t="s">
        <v>677</v>
      </c>
      <c r="C1055" s="3" t="s">
        <v>971</v>
      </c>
      <c r="D1055" s="3" t="s">
        <v>1016</v>
      </c>
      <c r="E1055" s="3" t="s">
        <v>47</v>
      </c>
      <c r="F1055" s="3" t="s">
        <v>942</v>
      </c>
      <c r="G1055" s="3" t="str">
        <f>INDEX(Risk_Matrix!$B$2:$D$4,MATCH(E1055,Risk_Matrix!$A$2:$A$4,0),MATCH(F1055,Risk_Matrix!$B$1:$D$1,0))</f>
        <v>Low</v>
      </c>
      <c r="H1055" s="10">
        <v>46212</v>
      </c>
      <c r="I1055" s="3" t="s">
        <v>973</v>
      </c>
      <c r="J1055" s="3" t="s">
        <v>974</v>
      </c>
      <c r="K1055" s="3" t="s">
        <v>1000</v>
      </c>
      <c r="L1055" s="3">
        <f>IF(G1055="High",3,IF(G1055="Medium",2,1))</f>
        <v>1</v>
      </c>
    </row>
    <row r="1056" spans="1:12">
      <c r="A1056" s="3" t="s">
        <v>2049</v>
      </c>
      <c r="B1056" s="3" t="s">
        <v>677</v>
      </c>
      <c r="C1056" s="3" t="s">
        <v>976</v>
      </c>
      <c r="D1056" s="3" t="s">
        <v>1002</v>
      </c>
      <c r="E1056" s="3" t="s">
        <v>47</v>
      </c>
      <c r="F1056" s="3" t="s">
        <v>42</v>
      </c>
      <c r="G1056" s="3" t="str">
        <f>INDEX(Risk_Matrix!$B$2:$D$4,MATCH(E1056,Risk_Matrix!$A$2:$A$4,0),MATCH(F1056,Risk_Matrix!$B$1:$D$1,0))</f>
        <v>Medium</v>
      </c>
      <c r="H1056" s="10">
        <v>46076</v>
      </c>
      <c r="I1056" s="3" t="s">
        <v>967</v>
      </c>
      <c r="J1056" s="3" t="s">
        <v>968</v>
      </c>
      <c r="K1056" s="3" t="s">
        <v>983</v>
      </c>
      <c r="L1056" s="3">
        <f>IF(G1056="High",3,IF(G1056="Medium",2,1))</f>
        <v>2</v>
      </c>
    </row>
    <row r="1057" spans="1:12">
      <c r="A1057" s="3" t="s">
        <v>2050</v>
      </c>
      <c r="B1057" s="3" t="s">
        <v>677</v>
      </c>
      <c r="C1057" s="3" t="s">
        <v>979</v>
      </c>
      <c r="D1057" s="3" t="s">
        <v>1004</v>
      </c>
      <c r="E1057" s="3" t="s">
        <v>47</v>
      </c>
      <c r="F1057" s="3" t="s">
        <v>47</v>
      </c>
      <c r="G1057" s="3" t="str">
        <f>INDEX(Risk_Matrix!$B$2:$D$4,MATCH(E1057,Risk_Matrix!$A$2:$A$4,0),MATCH(F1057,Risk_Matrix!$B$1:$D$1,0))</f>
        <v>Low</v>
      </c>
      <c r="H1057" s="10">
        <v>46189</v>
      </c>
      <c r="I1057" s="3" t="s">
        <v>973</v>
      </c>
      <c r="J1057" s="3" t="s">
        <v>974</v>
      </c>
      <c r="K1057" s="3" t="s">
        <v>983</v>
      </c>
      <c r="L1057" s="3">
        <f>IF(G1057="High",3,IF(G1057="Medium",2,1))</f>
        <v>1</v>
      </c>
    </row>
    <row r="1058" spans="1:12">
      <c r="A1058" s="3" t="s">
        <v>2051</v>
      </c>
      <c r="B1058" s="3" t="s">
        <v>679</v>
      </c>
      <c r="C1058" s="3" t="s">
        <v>956</v>
      </c>
      <c r="D1058" s="3" t="s">
        <v>1012</v>
      </c>
      <c r="E1058" s="3" t="s">
        <v>47</v>
      </c>
      <c r="F1058" s="3" t="s">
        <v>47</v>
      </c>
      <c r="G1058" s="3" t="str">
        <f>INDEX(Risk_Matrix!$B$2:$D$4,MATCH(E1058,Risk_Matrix!$A$2:$A$4,0),MATCH(F1058,Risk_Matrix!$B$1:$D$1,0))</f>
        <v>Low</v>
      </c>
      <c r="H1058" s="10">
        <v>46141</v>
      </c>
      <c r="I1058" s="3" t="s">
        <v>981</v>
      </c>
      <c r="J1058" s="3" t="s">
        <v>982</v>
      </c>
      <c r="K1058" s="3" t="s">
        <v>960</v>
      </c>
      <c r="L1058" s="3">
        <f>IF(G1058="High",3,IF(G1058="Medium",2,1))</f>
        <v>1</v>
      </c>
    </row>
    <row r="1059" spans="1:12">
      <c r="A1059" s="3" t="s">
        <v>2052</v>
      </c>
      <c r="B1059" s="3" t="s">
        <v>679</v>
      </c>
      <c r="C1059" s="3" t="s">
        <v>962</v>
      </c>
      <c r="D1059" s="3" t="s">
        <v>986</v>
      </c>
      <c r="E1059" s="3" t="s">
        <v>942</v>
      </c>
      <c r="F1059" s="3" t="s">
        <v>42</v>
      </c>
      <c r="G1059" s="3" t="str">
        <f>INDEX(Risk_Matrix!$B$2:$D$4,MATCH(E1059,Risk_Matrix!$A$2:$A$4,0),MATCH(F1059,Risk_Matrix!$B$1:$D$1,0))</f>
        <v>High</v>
      </c>
      <c r="H1059" s="10">
        <v>46129</v>
      </c>
      <c r="I1059" s="3" t="s">
        <v>973</v>
      </c>
      <c r="J1059" s="3" t="s">
        <v>974</v>
      </c>
      <c r="K1059" s="3" t="s">
        <v>960</v>
      </c>
      <c r="L1059" s="3">
        <f>IF(G1059="High",3,IF(G1059="Medium",2,1))</f>
        <v>3</v>
      </c>
    </row>
    <row r="1060" spans="1:12">
      <c r="A1060" s="3" t="s">
        <v>2053</v>
      </c>
      <c r="B1060" s="3" t="s">
        <v>679</v>
      </c>
      <c r="C1060" s="3" t="s">
        <v>965</v>
      </c>
      <c r="D1060" s="3" t="s">
        <v>1023</v>
      </c>
      <c r="E1060" s="3" t="s">
        <v>942</v>
      </c>
      <c r="F1060" s="3" t="s">
        <v>942</v>
      </c>
      <c r="G1060" s="3" t="str">
        <f>INDEX(Risk_Matrix!$B$2:$D$4,MATCH(E1060,Risk_Matrix!$A$2:$A$4,0),MATCH(F1060,Risk_Matrix!$B$1:$D$1,0))</f>
        <v>Medium</v>
      </c>
      <c r="H1060" s="10">
        <v>46170</v>
      </c>
      <c r="I1060" s="3" t="s">
        <v>973</v>
      </c>
      <c r="J1060" s="3" t="s">
        <v>974</v>
      </c>
      <c r="K1060" s="3" t="s">
        <v>969</v>
      </c>
      <c r="L1060" s="3">
        <f>IF(G1060="High",3,IF(G1060="Medium",2,1))</f>
        <v>2</v>
      </c>
    </row>
    <row r="1061" spans="1:12">
      <c r="A1061" s="3" t="s">
        <v>2054</v>
      </c>
      <c r="B1061" s="3" t="s">
        <v>679</v>
      </c>
      <c r="C1061" s="3" t="s">
        <v>971</v>
      </c>
      <c r="D1061" s="3" t="s">
        <v>1025</v>
      </c>
      <c r="E1061" s="3" t="s">
        <v>42</v>
      </c>
      <c r="F1061" s="3" t="s">
        <v>942</v>
      </c>
      <c r="G1061" s="3" t="str">
        <f>INDEX(Risk_Matrix!$B$2:$D$4,MATCH(E1061,Risk_Matrix!$A$2:$A$4,0),MATCH(F1061,Risk_Matrix!$B$1:$D$1,0))</f>
        <v>High</v>
      </c>
      <c r="H1061" s="10">
        <v>46226</v>
      </c>
      <c r="I1061" s="3" t="s">
        <v>973</v>
      </c>
      <c r="J1061" s="3" t="s">
        <v>974</v>
      </c>
      <c r="K1061" s="3" t="s">
        <v>983</v>
      </c>
      <c r="L1061" s="3">
        <f>IF(G1061="High",3,IF(G1061="Medium",2,1))</f>
        <v>3</v>
      </c>
    </row>
    <row r="1062" spans="1:12">
      <c r="A1062" s="3" t="s">
        <v>2055</v>
      </c>
      <c r="B1062" s="3" t="s">
        <v>679</v>
      </c>
      <c r="C1062" s="3" t="s">
        <v>976</v>
      </c>
      <c r="D1062" s="3" t="s">
        <v>977</v>
      </c>
      <c r="E1062" s="3" t="s">
        <v>47</v>
      </c>
      <c r="F1062" s="3" t="s">
        <v>942</v>
      </c>
      <c r="G1062" s="3" t="str">
        <f>INDEX(Risk_Matrix!$B$2:$D$4,MATCH(E1062,Risk_Matrix!$A$2:$A$4,0),MATCH(F1062,Risk_Matrix!$B$1:$D$1,0))</f>
        <v>Low</v>
      </c>
      <c r="H1062" s="10">
        <v>46165</v>
      </c>
      <c r="I1062" s="3" t="s">
        <v>973</v>
      </c>
      <c r="J1062" s="3" t="s">
        <v>974</v>
      </c>
      <c r="K1062" s="3" t="s">
        <v>960</v>
      </c>
      <c r="L1062" s="3">
        <f>IF(G1062="High",3,IF(G1062="Medium",2,1))</f>
        <v>1</v>
      </c>
    </row>
    <row r="1063" spans="1:12">
      <c r="A1063" s="3" t="s">
        <v>2056</v>
      </c>
      <c r="B1063" s="3" t="s">
        <v>679</v>
      </c>
      <c r="C1063" s="3" t="s">
        <v>979</v>
      </c>
      <c r="D1063" s="3" t="s">
        <v>1028</v>
      </c>
      <c r="E1063" s="3" t="s">
        <v>42</v>
      </c>
      <c r="F1063" s="3" t="s">
        <v>47</v>
      </c>
      <c r="G1063" s="3" t="str">
        <f>INDEX(Risk_Matrix!$B$2:$D$4,MATCH(E1063,Risk_Matrix!$A$2:$A$4,0),MATCH(F1063,Risk_Matrix!$B$1:$D$1,0))</f>
        <v>Medium</v>
      </c>
      <c r="H1063" s="10">
        <v>46113</v>
      </c>
      <c r="I1063" s="3" t="s">
        <v>973</v>
      </c>
      <c r="J1063" s="3" t="s">
        <v>974</v>
      </c>
      <c r="K1063" s="3" t="s">
        <v>969</v>
      </c>
      <c r="L1063" s="3">
        <f>IF(G1063="High",3,IF(G1063="Medium",2,1))</f>
        <v>2</v>
      </c>
    </row>
    <row r="1064" spans="1:12">
      <c r="A1064" s="3" t="s">
        <v>2057</v>
      </c>
      <c r="B1064" s="3" t="s">
        <v>680</v>
      </c>
      <c r="C1064" s="3" t="s">
        <v>956</v>
      </c>
      <c r="D1064" s="3" t="s">
        <v>995</v>
      </c>
      <c r="E1064" s="3" t="s">
        <v>47</v>
      </c>
      <c r="F1064" s="3" t="s">
        <v>47</v>
      </c>
      <c r="G1064" s="3" t="str">
        <f>INDEX(Risk_Matrix!$B$2:$D$4,MATCH(E1064,Risk_Matrix!$A$2:$A$4,0),MATCH(F1064,Risk_Matrix!$B$1:$D$1,0))</f>
        <v>Low</v>
      </c>
      <c r="H1064" s="10">
        <v>46097</v>
      </c>
      <c r="I1064" s="3" t="s">
        <v>973</v>
      </c>
      <c r="J1064" s="3" t="s">
        <v>974</v>
      </c>
      <c r="K1064" s="3" t="s">
        <v>983</v>
      </c>
      <c r="L1064" s="3">
        <f>IF(G1064="High",3,IF(G1064="Medium",2,1))</f>
        <v>1</v>
      </c>
    </row>
    <row r="1065" spans="1:12">
      <c r="A1065" s="3" t="s">
        <v>2058</v>
      </c>
      <c r="B1065" s="3" t="s">
        <v>680</v>
      </c>
      <c r="C1065" s="3" t="s">
        <v>962</v>
      </c>
      <c r="D1065" s="3" t="s">
        <v>986</v>
      </c>
      <c r="E1065" s="3" t="s">
        <v>47</v>
      </c>
      <c r="F1065" s="3" t="s">
        <v>942</v>
      </c>
      <c r="G1065" s="3" t="str">
        <f>INDEX(Risk_Matrix!$B$2:$D$4,MATCH(E1065,Risk_Matrix!$A$2:$A$4,0),MATCH(F1065,Risk_Matrix!$B$1:$D$1,0))</f>
        <v>Low</v>
      </c>
      <c r="H1065" s="10">
        <v>46088</v>
      </c>
      <c r="I1065" s="3" t="s">
        <v>967</v>
      </c>
      <c r="J1065" s="3" t="s">
        <v>968</v>
      </c>
      <c r="K1065" s="3" t="s">
        <v>1000</v>
      </c>
      <c r="L1065" s="3">
        <f>IF(G1065="High",3,IF(G1065="Medium",2,1))</f>
        <v>1</v>
      </c>
    </row>
    <row r="1066" spans="1:12">
      <c r="A1066" s="3" t="s">
        <v>2059</v>
      </c>
      <c r="B1066" s="3" t="s">
        <v>680</v>
      </c>
      <c r="C1066" s="3" t="s">
        <v>965</v>
      </c>
      <c r="D1066" s="3" t="s">
        <v>966</v>
      </c>
      <c r="E1066" s="3" t="s">
        <v>47</v>
      </c>
      <c r="F1066" s="3" t="s">
        <v>47</v>
      </c>
      <c r="G1066" s="3" t="str">
        <f>INDEX(Risk_Matrix!$B$2:$D$4,MATCH(E1066,Risk_Matrix!$A$2:$A$4,0),MATCH(F1066,Risk_Matrix!$B$1:$D$1,0))</f>
        <v>Low</v>
      </c>
      <c r="H1066" s="10">
        <v>46216</v>
      </c>
      <c r="I1066" s="3" t="s">
        <v>967</v>
      </c>
      <c r="J1066" s="3" t="s">
        <v>968</v>
      </c>
      <c r="K1066" s="3" t="s">
        <v>993</v>
      </c>
      <c r="L1066" s="3">
        <f>IF(G1066="High",3,IF(G1066="Medium",2,1))</f>
        <v>1</v>
      </c>
    </row>
    <row r="1067" spans="1:12">
      <c r="A1067" s="3" t="s">
        <v>2060</v>
      </c>
      <c r="B1067" s="3" t="s">
        <v>680</v>
      </c>
      <c r="C1067" s="3" t="s">
        <v>971</v>
      </c>
      <c r="D1067" s="3" t="s">
        <v>972</v>
      </c>
      <c r="E1067" s="3" t="s">
        <v>942</v>
      </c>
      <c r="F1067" s="3" t="s">
        <v>942</v>
      </c>
      <c r="G1067" s="3" t="str">
        <f>INDEX(Risk_Matrix!$B$2:$D$4,MATCH(E1067,Risk_Matrix!$A$2:$A$4,0),MATCH(F1067,Risk_Matrix!$B$1:$D$1,0))</f>
        <v>Medium</v>
      </c>
      <c r="H1067" s="10">
        <v>46071</v>
      </c>
      <c r="I1067" s="3" t="s">
        <v>973</v>
      </c>
      <c r="J1067" s="3" t="s">
        <v>974</v>
      </c>
      <c r="K1067" s="3" t="s">
        <v>983</v>
      </c>
      <c r="L1067" s="3">
        <f>IF(G1067="High",3,IF(G1067="Medium",2,1))</f>
        <v>2</v>
      </c>
    </row>
    <row r="1068" spans="1:12">
      <c r="A1068" s="3" t="s">
        <v>2061</v>
      </c>
      <c r="B1068" s="3" t="s">
        <v>680</v>
      </c>
      <c r="C1068" s="3" t="s">
        <v>976</v>
      </c>
      <c r="D1068" s="3" t="s">
        <v>977</v>
      </c>
      <c r="E1068" s="3" t="s">
        <v>942</v>
      </c>
      <c r="F1068" s="3" t="s">
        <v>42</v>
      </c>
      <c r="G1068" s="3" t="str">
        <f>INDEX(Risk_Matrix!$B$2:$D$4,MATCH(E1068,Risk_Matrix!$A$2:$A$4,0),MATCH(F1068,Risk_Matrix!$B$1:$D$1,0))</f>
        <v>High</v>
      </c>
      <c r="H1068" s="10">
        <v>46099</v>
      </c>
      <c r="I1068" s="3" t="s">
        <v>973</v>
      </c>
      <c r="J1068" s="3" t="s">
        <v>974</v>
      </c>
      <c r="K1068" s="3" t="s">
        <v>1000</v>
      </c>
      <c r="L1068" s="3">
        <f>IF(G1068="High",3,IF(G1068="Medium",2,1))</f>
        <v>3</v>
      </c>
    </row>
    <row r="1069" spans="1:12">
      <c r="A1069" s="3" t="s">
        <v>2062</v>
      </c>
      <c r="B1069" s="3" t="s">
        <v>680</v>
      </c>
      <c r="C1069" s="3" t="s">
        <v>979</v>
      </c>
      <c r="D1069" s="3" t="s">
        <v>1028</v>
      </c>
      <c r="E1069" s="3" t="s">
        <v>47</v>
      </c>
      <c r="F1069" s="3" t="s">
        <v>47</v>
      </c>
      <c r="G1069" s="3" t="str">
        <f>INDEX(Risk_Matrix!$B$2:$D$4,MATCH(E1069,Risk_Matrix!$A$2:$A$4,0),MATCH(F1069,Risk_Matrix!$B$1:$D$1,0))</f>
        <v>Low</v>
      </c>
      <c r="H1069" s="10">
        <v>46102</v>
      </c>
      <c r="I1069" s="3" t="s">
        <v>981</v>
      </c>
      <c r="J1069" s="3" t="s">
        <v>982</v>
      </c>
      <c r="K1069" s="3" t="s">
        <v>983</v>
      </c>
      <c r="L1069" s="3">
        <f>IF(G1069="High",3,IF(G1069="Medium",2,1))</f>
        <v>1</v>
      </c>
    </row>
    <row r="1070" spans="1:12">
      <c r="A1070" s="3" t="s">
        <v>2063</v>
      </c>
      <c r="B1070" s="3" t="s">
        <v>681</v>
      </c>
      <c r="C1070" s="3" t="s">
        <v>956</v>
      </c>
      <c r="D1070" s="3" t="s">
        <v>957</v>
      </c>
      <c r="E1070" s="3" t="s">
        <v>47</v>
      </c>
      <c r="F1070" s="3" t="s">
        <v>47</v>
      </c>
      <c r="G1070" s="3" t="str">
        <f>INDEX(Risk_Matrix!$B$2:$D$4,MATCH(E1070,Risk_Matrix!$A$2:$A$4,0),MATCH(F1070,Risk_Matrix!$B$1:$D$1,0))</f>
        <v>Low</v>
      </c>
      <c r="H1070" s="10">
        <v>46095</v>
      </c>
      <c r="I1070" s="3" t="s">
        <v>967</v>
      </c>
      <c r="J1070" s="3" t="s">
        <v>968</v>
      </c>
      <c r="K1070" s="3" t="s">
        <v>969</v>
      </c>
      <c r="L1070" s="3">
        <f>IF(G1070="High",3,IF(G1070="Medium",2,1))</f>
        <v>1</v>
      </c>
    </row>
    <row r="1071" spans="1:12">
      <c r="A1071" s="3" t="s">
        <v>2064</v>
      </c>
      <c r="B1071" s="3" t="s">
        <v>681</v>
      </c>
      <c r="C1071" s="3" t="s">
        <v>962</v>
      </c>
      <c r="D1071" s="3" t="s">
        <v>986</v>
      </c>
      <c r="E1071" s="3" t="s">
        <v>47</v>
      </c>
      <c r="F1071" s="3" t="s">
        <v>942</v>
      </c>
      <c r="G1071" s="3" t="str">
        <f>INDEX(Risk_Matrix!$B$2:$D$4,MATCH(E1071,Risk_Matrix!$A$2:$A$4,0),MATCH(F1071,Risk_Matrix!$B$1:$D$1,0))</f>
        <v>Low</v>
      </c>
      <c r="H1071" s="10">
        <v>46221</v>
      </c>
      <c r="I1071" s="3" t="s">
        <v>981</v>
      </c>
      <c r="J1071" s="3" t="s">
        <v>982</v>
      </c>
      <c r="K1071" s="3" t="s">
        <v>960</v>
      </c>
      <c r="L1071" s="3">
        <f>IF(G1071="High",3,IF(G1071="Medium",2,1))</f>
        <v>1</v>
      </c>
    </row>
    <row r="1072" spans="1:12">
      <c r="A1072" s="3" t="s">
        <v>2065</v>
      </c>
      <c r="B1072" s="3" t="s">
        <v>681</v>
      </c>
      <c r="C1072" s="3" t="s">
        <v>965</v>
      </c>
      <c r="D1072" s="3" t="s">
        <v>988</v>
      </c>
      <c r="E1072" s="3" t="s">
        <v>942</v>
      </c>
      <c r="F1072" s="3" t="s">
        <v>42</v>
      </c>
      <c r="G1072" s="3" t="str">
        <f>INDEX(Risk_Matrix!$B$2:$D$4,MATCH(E1072,Risk_Matrix!$A$2:$A$4,0),MATCH(F1072,Risk_Matrix!$B$1:$D$1,0))</f>
        <v>High</v>
      </c>
      <c r="H1072" s="10">
        <v>46196</v>
      </c>
      <c r="I1072" s="3" t="s">
        <v>981</v>
      </c>
      <c r="J1072" s="3" t="s">
        <v>982</v>
      </c>
      <c r="K1072" s="3" t="s">
        <v>1000</v>
      </c>
      <c r="L1072" s="3">
        <f>IF(G1072="High",3,IF(G1072="Medium",2,1))</f>
        <v>3</v>
      </c>
    </row>
    <row r="1073" spans="1:12">
      <c r="A1073" s="3" t="s">
        <v>2066</v>
      </c>
      <c r="B1073" s="3" t="s">
        <v>681</v>
      </c>
      <c r="C1073" s="3" t="s">
        <v>971</v>
      </c>
      <c r="D1073" s="3" t="s">
        <v>1025</v>
      </c>
      <c r="E1073" s="3" t="s">
        <v>942</v>
      </c>
      <c r="F1073" s="3" t="s">
        <v>47</v>
      </c>
      <c r="G1073" s="3" t="str">
        <f>INDEX(Risk_Matrix!$B$2:$D$4,MATCH(E1073,Risk_Matrix!$A$2:$A$4,0),MATCH(F1073,Risk_Matrix!$B$1:$D$1,0))</f>
        <v>Low</v>
      </c>
      <c r="H1073" s="10">
        <v>46094</v>
      </c>
      <c r="I1073" s="3" t="s">
        <v>973</v>
      </c>
      <c r="J1073" s="3" t="s">
        <v>974</v>
      </c>
      <c r="K1073" s="3" t="s">
        <v>993</v>
      </c>
      <c r="L1073" s="3">
        <f>IF(G1073="High",3,IF(G1073="Medium",2,1))</f>
        <v>1</v>
      </c>
    </row>
    <row r="1074" spans="1:12">
      <c r="A1074" s="3" t="s">
        <v>2067</v>
      </c>
      <c r="B1074" s="3" t="s">
        <v>681</v>
      </c>
      <c r="C1074" s="3" t="s">
        <v>976</v>
      </c>
      <c r="D1074" s="3" t="s">
        <v>1002</v>
      </c>
      <c r="E1074" s="3" t="s">
        <v>47</v>
      </c>
      <c r="F1074" s="3" t="s">
        <v>942</v>
      </c>
      <c r="G1074" s="3" t="str">
        <f>INDEX(Risk_Matrix!$B$2:$D$4,MATCH(E1074,Risk_Matrix!$A$2:$A$4,0),MATCH(F1074,Risk_Matrix!$B$1:$D$1,0))</f>
        <v>Low</v>
      </c>
      <c r="H1074" s="10">
        <v>46102</v>
      </c>
      <c r="I1074" s="3" t="s">
        <v>967</v>
      </c>
      <c r="J1074" s="3" t="s">
        <v>968</v>
      </c>
      <c r="K1074" s="3" t="s">
        <v>1000</v>
      </c>
      <c r="L1074" s="3">
        <f>IF(G1074="High",3,IF(G1074="Medium",2,1))</f>
        <v>1</v>
      </c>
    </row>
    <row r="1075" spans="1:12">
      <c r="A1075" s="3" t="s">
        <v>2068</v>
      </c>
      <c r="B1075" s="3" t="s">
        <v>681</v>
      </c>
      <c r="C1075" s="3" t="s">
        <v>979</v>
      </c>
      <c r="D1075" s="3" t="s">
        <v>1004</v>
      </c>
      <c r="E1075" s="3" t="s">
        <v>47</v>
      </c>
      <c r="F1075" s="3" t="s">
        <v>942</v>
      </c>
      <c r="G1075" s="3" t="str">
        <f>INDEX(Risk_Matrix!$B$2:$D$4,MATCH(E1075,Risk_Matrix!$A$2:$A$4,0),MATCH(F1075,Risk_Matrix!$B$1:$D$1,0))</f>
        <v>Low</v>
      </c>
      <c r="H1075" s="10">
        <v>46139</v>
      </c>
      <c r="I1075" s="3" t="s">
        <v>973</v>
      </c>
      <c r="J1075" s="3" t="s">
        <v>974</v>
      </c>
      <c r="K1075" s="3" t="s">
        <v>960</v>
      </c>
      <c r="L1075" s="3">
        <f>IF(G1075="High",3,IF(G1075="Medium",2,1))</f>
        <v>1</v>
      </c>
    </row>
    <row r="1076" spans="1:12">
      <c r="A1076" s="3" t="s">
        <v>2069</v>
      </c>
      <c r="B1076" s="3" t="s">
        <v>683</v>
      </c>
      <c r="C1076" s="3" t="s">
        <v>956</v>
      </c>
      <c r="D1076" s="3" t="s">
        <v>995</v>
      </c>
      <c r="E1076" s="3" t="s">
        <v>47</v>
      </c>
      <c r="F1076" s="3" t="s">
        <v>47</v>
      </c>
      <c r="G1076" s="3" t="str">
        <f>INDEX(Risk_Matrix!$B$2:$D$4,MATCH(E1076,Risk_Matrix!$A$2:$A$4,0),MATCH(F1076,Risk_Matrix!$B$1:$D$1,0))</f>
        <v>Low</v>
      </c>
      <c r="H1076" s="10">
        <v>46087</v>
      </c>
      <c r="I1076" s="3" t="s">
        <v>967</v>
      </c>
      <c r="J1076" s="3" t="s">
        <v>968</v>
      </c>
      <c r="K1076" s="3" t="s">
        <v>993</v>
      </c>
      <c r="L1076" s="3">
        <f>IF(G1076="High",3,IF(G1076="Medium",2,1))</f>
        <v>1</v>
      </c>
    </row>
    <row r="1077" spans="1:12">
      <c r="A1077" s="3" t="s">
        <v>2070</v>
      </c>
      <c r="B1077" s="3" t="s">
        <v>683</v>
      </c>
      <c r="C1077" s="3" t="s">
        <v>962</v>
      </c>
      <c r="D1077" s="3" t="s">
        <v>997</v>
      </c>
      <c r="E1077" s="3" t="s">
        <v>942</v>
      </c>
      <c r="F1077" s="3" t="s">
        <v>942</v>
      </c>
      <c r="G1077" s="3" t="str">
        <f>INDEX(Risk_Matrix!$B$2:$D$4,MATCH(E1077,Risk_Matrix!$A$2:$A$4,0),MATCH(F1077,Risk_Matrix!$B$1:$D$1,0))</f>
        <v>Medium</v>
      </c>
      <c r="H1077" s="10">
        <v>46182</v>
      </c>
      <c r="I1077" s="3" t="s">
        <v>973</v>
      </c>
      <c r="J1077" s="3" t="s">
        <v>974</v>
      </c>
      <c r="K1077" s="3" t="s">
        <v>969</v>
      </c>
      <c r="L1077" s="3">
        <f>IF(G1077="High",3,IF(G1077="Medium",2,1))</f>
        <v>2</v>
      </c>
    </row>
    <row r="1078" spans="1:12">
      <c r="A1078" s="3" t="s">
        <v>2071</v>
      </c>
      <c r="B1078" s="3" t="s">
        <v>683</v>
      </c>
      <c r="C1078" s="3" t="s">
        <v>965</v>
      </c>
      <c r="D1078" s="3" t="s">
        <v>966</v>
      </c>
      <c r="E1078" s="3" t="s">
        <v>942</v>
      </c>
      <c r="F1078" s="3" t="s">
        <v>47</v>
      </c>
      <c r="G1078" s="3" t="str">
        <f>INDEX(Risk_Matrix!$B$2:$D$4,MATCH(E1078,Risk_Matrix!$A$2:$A$4,0),MATCH(F1078,Risk_Matrix!$B$1:$D$1,0))</f>
        <v>Low</v>
      </c>
      <c r="H1078" s="10">
        <v>46178</v>
      </c>
      <c r="I1078" s="3" t="s">
        <v>973</v>
      </c>
      <c r="J1078" s="3" t="s">
        <v>974</v>
      </c>
      <c r="K1078" s="3" t="s">
        <v>969</v>
      </c>
      <c r="L1078" s="3">
        <f>IF(G1078="High",3,IF(G1078="Medium",2,1))</f>
        <v>1</v>
      </c>
    </row>
    <row r="1079" spans="1:12">
      <c r="A1079" s="3" t="s">
        <v>2072</v>
      </c>
      <c r="B1079" s="3" t="s">
        <v>683</v>
      </c>
      <c r="C1079" s="3" t="s">
        <v>971</v>
      </c>
      <c r="D1079" s="3" t="s">
        <v>972</v>
      </c>
      <c r="E1079" s="3" t="s">
        <v>942</v>
      </c>
      <c r="F1079" s="3" t="s">
        <v>42</v>
      </c>
      <c r="G1079" s="3" t="str">
        <f>INDEX(Risk_Matrix!$B$2:$D$4,MATCH(E1079,Risk_Matrix!$A$2:$A$4,0),MATCH(F1079,Risk_Matrix!$B$1:$D$1,0))</f>
        <v>High</v>
      </c>
      <c r="H1079" s="10">
        <v>46204</v>
      </c>
      <c r="I1079" s="3" t="s">
        <v>973</v>
      </c>
      <c r="J1079" s="3" t="s">
        <v>974</v>
      </c>
      <c r="K1079" s="3" t="s">
        <v>969</v>
      </c>
      <c r="L1079" s="3">
        <f>IF(G1079="High",3,IF(G1079="Medium",2,1))</f>
        <v>3</v>
      </c>
    </row>
    <row r="1080" spans="1:12">
      <c r="A1080" s="3" t="s">
        <v>2073</v>
      </c>
      <c r="B1080" s="3" t="s">
        <v>683</v>
      </c>
      <c r="C1080" s="3" t="s">
        <v>976</v>
      </c>
      <c r="D1080" s="3" t="s">
        <v>977</v>
      </c>
      <c r="E1080" s="3" t="s">
        <v>942</v>
      </c>
      <c r="F1080" s="3" t="s">
        <v>47</v>
      </c>
      <c r="G1080" s="3" t="str">
        <f>INDEX(Risk_Matrix!$B$2:$D$4,MATCH(E1080,Risk_Matrix!$A$2:$A$4,0),MATCH(F1080,Risk_Matrix!$B$1:$D$1,0))</f>
        <v>Low</v>
      </c>
      <c r="H1080" s="10">
        <v>46102</v>
      </c>
      <c r="I1080" s="3" t="s">
        <v>981</v>
      </c>
      <c r="J1080" s="3" t="s">
        <v>982</v>
      </c>
      <c r="K1080" s="3" t="s">
        <v>993</v>
      </c>
      <c r="L1080" s="3">
        <f>IF(G1080="High",3,IF(G1080="Medium",2,1))</f>
        <v>1</v>
      </c>
    </row>
    <row r="1081" spans="1:12">
      <c r="A1081" s="3" t="s">
        <v>2074</v>
      </c>
      <c r="B1081" s="3" t="s">
        <v>683</v>
      </c>
      <c r="C1081" s="3" t="s">
        <v>979</v>
      </c>
      <c r="D1081" s="3" t="s">
        <v>1004</v>
      </c>
      <c r="E1081" s="3" t="s">
        <v>942</v>
      </c>
      <c r="F1081" s="3" t="s">
        <v>942</v>
      </c>
      <c r="G1081" s="3" t="str">
        <f>INDEX(Risk_Matrix!$B$2:$D$4,MATCH(E1081,Risk_Matrix!$A$2:$A$4,0),MATCH(F1081,Risk_Matrix!$B$1:$D$1,0))</f>
        <v>Medium</v>
      </c>
      <c r="H1081" s="10">
        <v>46155</v>
      </c>
      <c r="I1081" s="3" t="s">
        <v>958</v>
      </c>
      <c r="J1081" s="3" t="s">
        <v>959</v>
      </c>
      <c r="K1081" s="3" t="s">
        <v>993</v>
      </c>
      <c r="L1081" s="3">
        <f>IF(G1081="High",3,IF(G1081="Medium",2,1))</f>
        <v>2</v>
      </c>
    </row>
    <row r="1082" spans="1:12">
      <c r="A1082" s="3" t="s">
        <v>2075</v>
      </c>
      <c r="B1082" s="3" t="s">
        <v>685</v>
      </c>
      <c r="C1082" s="3" t="s">
        <v>956</v>
      </c>
      <c r="D1082" s="3" t="s">
        <v>995</v>
      </c>
      <c r="E1082" s="3" t="s">
        <v>942</v>
      </c>
      <c r="F1082" s="3" t="s">
        <v>47</v>
      </c>
      <c r="G1082" s="3" t="str">
        <f>INDEX(Risk_Matrix!$B$2:$D$4,MATCH(E1082,Risk_Matrix!$A$2:$A$4,0),MATCH(F1082,Risk_Matrix!$B$1:$D$1,0))</f>
        <v>Low</v>
      </c>
      <c r="H1082" s="10">
        <v>46155</v>
      </c>
      <c r="I1082" s="3" t="s">
        <v>967</v>
      </c>
      <c r="J1082" s="3" t="s">
        <v>968</v>
      </c>
      <c r="K1082" s="3" t="s">
        <v>993</v>
      </c>
      <c r="L1082" s="3">
        <f>IF(G1082="High",3,IF(G1082="Medium",2,1))</f>
        <v>1</v>
      </c>
    </row>
    <row r="1083" spans="1:12">
      <c r="A1083" s="3" t="s">
        <v>2076</v>
      </c>
      <c r="B1083" s="3" t="s">
        <v>685</v>
      </c>
      <c r="C1083" s="3" t="s">
        <v>962</v>
      </c>
      <c r="D1083" s="3" t="s">
        <v>963</v>
      </c>
      <c r="E1083" s="3" t="s">
        <v>942</v>
      </c>
      <c r="F1083" s="3" t="s">
        <v>47</v>
      </c>
      <c r="G1083" s="3" t="str">
        <f>INDEX(Risk_Matrix!$B$2:$D$4,MATCH(E1083,Risk_Matrix!$A$2:$A$4,0),MATCH(F1083,Risk_Matrix!$B$1:$D$1,0))</f>
        <v>Low</v>
      </c>
      <c r="H1083" s="10">
        <v>46193</v>
      </c>
      <c r="I1083" s="3" t="s">
        <v>958</v>
      </c>
      <c r="J1083" s="3" t="s">
        <v>959</v>
      </c>
      <c r="K1083" s="3" t="s">
        <v>969</v>
      </c>
      <c r="L1083" s="3">
        <f>IF(G1083="High",3,IF(G1083="Medium",2,1))</f>
        <v>1</v>
      </c>
    </row>
    <row r="1084" spans="1:12">
      <c r="A1084" s="3" t="s">
        <v>2077</v>
      </c>
      <c r="B1084" s="3" t="s">
        <v>685</v>
      </c>
      <c r="C1084" s="3" t="s">
        <v>965</v>
      </c>
      <c r="D1084" s="3" t="s">
        <v>1023</v>
      </c>
      <c r="E1084" s="3" t="s">
        <v>942</v>
      </c>
      <c r="F1084" s="3" t="s">
        <v>42</v>
      </c>
      <c r="G1084" s="3" t="str">
        <f>INDEX(Risk_Matrix!$B$2:$D$4,MATCH(E1084,Risk_Matrix!$A$2:$A$4,0),MATCH(F1084,Risk_Matrix!$B$1:$D$1,0))</f>
        <v>High</v>
      </c>
      <c r="H1084" s="10">
        <v>46089</v>
      </c>
      <c r="I1084" s="3" t="s">
        <v>981</v>
      </c>
      <c r="J1084" s="3" t="s">
        <v>982</v>
      </c>
      <c r="K1084" s="3" t="s">
        <v>993</v>
      </c>
      <c r="L1084" s="3">
        <f>IF(G1084="High",3,IF(G1084="Medium",2,1))</f>
        <v>3</v>
      </c>
    </row>
    <row r="1085" spans="1:12">
      <c r="A1085" s="3" t="s">
        <v>2078</v>
      </c>
      <c r="B1085" s="3" t="s">
        <v>685</v>
      </c>
      <c r="C1085" s="3" t="s">
        <v>971</v>
      </c>
      <c r="D1085" s="3" t="s">
        <v>1016</v>
      </c>
      <c r="E1085" s="3" t="s">
        <v>942</v>
      </c>
      <c r="F1085" s="3" t="s">
        <v>47</v>
      </c>
      <c r="G1085" s="3" t="str">
        <f>INDEX(Risk_Matrix!$B$2:$D$4,MATCH(E1085,Risk_Matrix!$A$2:$A$4,0),MATCH(F1085,Risk_Matrix!$B$1:$D$1,0))</f>
        <v>Low</v>
      </c>
      <c r="H1085" s="10">
        <v>46078</v>
      </c>
      <c r="I1085" s="3" t="s">
        <v>967</v>
      </c>
      <c r="J1085" s="3" t="s">
        <v>968</v>
      </c>
      <c r="K1085" s="3" t="s">
        <v>1000</v>
      </c>
      <c r="L1085" s="3">
        <f>IF(G1085="High",3,IF(G1085="Medium",2,1))</f>
        <v>1</v>
      </c>
    </row>
    <row r="1086" spans="1:12">
      <c r="A1086" s="3" t="s">
        <v>2079</v>
      </c>
      <c r="B1086" s="3" t="s">
        <v>685</v>
      </c>
      <c r="C1086" s="3" t="s">
        <v>976</v>
      </c>
      <c r="D1086" s="3" t="s">
        <v>1002</v>
      </c>
      <c r="E1086" s="3" t="s">
        <v>47</v>
      </c>
      <c r="F1086" s="3" t="s">
        <v>47</v>
      </c>
      <c r="G1086" s="3" t="str">
        <f>INDEX(Risk_Matrix!$B$2:$D$4,MATCH(E1086,Risk_Matrix!$A$2:$A$4,0),MATCH(F1086,Risk_Matrix!$B$1:$D$1,0))</f>
        <v>Low</v>
      </c>
      <c r="H1086" s="10">
        <v>46186</v>
      </c>
      <c r="I1086" s="3" t="s">
        <v>973</v>
      </c>
      <c r="J1086" s="3" t="s">
        <v>974</v>
      </c>
      <c r="K1086" s="3" t="s">
        <v>1000</v>
      </c>
      <c r="L1086" s="3">
        <f>IF(G1086="High",3,IF(G1086="Medium",2,1))</f>
        <v>1</v>
      </c>
    </row>
    <row r="1087" spans="1:12">
      <c r="A1087" s="3" t="s">
        <v>2080</v>
      </c>
      <c r="B1087" s="3" t="s">
        <v>685</v>
      </c>
      <c r="C1087" s="3" t="s">
        <v>979</v>
      </c>
      <c r="D1087" s="3" t="s">
        <v>980</v>
      </c>
      <c r="E1087" s="3" t="s">
        <v>942</v>
      </c>
      <c r="F1087" s="3" t="s">
        <v>942</v>
      </c>
      <c r="G1087" s="3" t="str">
        <f>INDEX(Risk_Matrix!$B$2:$D$4,MATCH(E1087,Risk_Matrix!$A$2:$A$4,0),MATCH(F1087,Risk_Matrix!$B$1:$D$1,0))</f>
        <v>Medium</v>
      </c>
      <c r="H1087" s="10">
        <v>46179</v>
      </c>
      <c r="I1087" s="3" t="s">
        <v>973</v>
      </c>
      <c r="J1087" s="3" t="s">
        <v>974</v>
      </c>
      <c r="K1087" s="3" t="s">
        <v>960</v>
      </c>
      <c r="L1087" s="3">
        <f>IF(G1087="High",3,IF(G1087="Medium",2,1))</f>
        <v>2</v>
      </c>
    </row>
    <row r="1088" spans="1:12">
      <c r="A1088" s="3" t="s">
        <v>2081</v>
      </c>
      <c r="B1088" s="3" t="s">
        <v>687</v>
      </c>
      <c r="C1088" s="3" t="s">
        <v>956</v>
      </c>
      <c r="D1088" s="3" t="s">
        <v>995</v>
      </c>
      <c r="E1088" s="3" t="s">
        <v>47</v>
      </c>
      <c r="F1088" s="3" t="s">
        <v>47</v>
      </c>
      <c r="G1088" s="3" t="str">
        <f>INDEX(Risk_Matrix!$B$2:$D$4,MATCH(E1088,Risk_Matrix!$A$2:$A$4,0),MATCH(F1088,Risk_Matrix!$B$1:$D$1,0))</f>
        <v>Low</v>
      </c>
      <c r="H1088" s="10">
        <v>46121</v>
      </c>
      <c r="I1088" s="3" t="s">
        <v>967</v>
      </c>
      <c r="J1088" s="3" t="s">
        <v>968</v>
      </c>
      <c r="K1088" s="3" t="s">
        <v>983</v>
      </c>
      <c r="L1088" s="3">
        <f>IF(G1088="High",3,IF(G1088="Medium",2,1))</f>
        <v>1</v>
      </c>
    </row>
    <row r="1089" spans="1:12">
      <c r="A1089" s="3" t="s">
        <v>2082</v>
      </c>
      <c r="B1089" s="3" t="s">
        <v>687</v>
      </c>
      <c r="C1089" s="3" t="s">
        <v>962</v>
      </c>
      <c r="D1089" s="3" t="s">
        <v>1037</v>
      </c>
      <c r="E1089" s="3" t="s">
        <v>47</v>
      </c>
      <c r="F1089" s="3" t="s">
        <v>47</v>
      </c>
      <c r="G1089" s="3" t="str">
        <f>INDEX(Risk_Matrix!$B$2:$D$4,MATCH(E1089,Risk_Matrix!$A$2:$A$4,0),MATCH(F1089,Risk_Matrix!$B$1:$D$1,0))</f>
        <v>Low</v>
      </c>
      <c r="H1089" s="10">
        <v>46073</v>
      </c>
      <c r="I1089" s="3" t="s">
        <v>967</v>
      </c>
      <c r="J1089" s="3" t="s">
        <v>968</v>
      </c>
      <c r="K1089" s="3" t="s">
        <v>969</v>
      </c>
      <c r="L1089" s="3">
        <f>IF(G1089="High",3,IF(G1089="Medium",2,1))</f>
        <v>1</v>
      </c>
    </row>
    <row r="1090" spans="1:12">
      <c r="A1090" s="3" t="s">
        <v>2083</v>
      </c>
      <c r="B1090" s="3" t="s">
        <v>687</v>
      </c>
      <c r="C1090" s="3" t="s">
        <v>965</v>
      </c>
      <c r="D1090" s="3" t="s">
        <v>1023</v>
      </c>
      <c r="E1090" s="3" t="s">
        <v>47</v>
      </c>
      <c r="F1090" s="3" t="s">
        <v>42</v>
      </c>
      <c r="G1090" s="3" t="str">
        <f>INDEX(Risk_Matrix!$B$2:$D$4,MATCH(E1090,Risk_Matrix!$A$2:$A$4,0),MATCH(F1090,Risk_Matrix!$B$1:$D$1,0))</f>
        <v>Medium</v>
      </c>
      <c r="H1090" s="10">
        <v>46063</v>
      </c>
      <c r="I1090" s="3" t="s">
        <v>981</v>
      </c>
      <c r="J1090" s="3" t="s">
        <v>982</v>
      </c>
      <c r="K1090" s="3" t="s">
        <v>1000</v>
      </c>
      <c r="L1090" s="3">
        <f>IF(G1090="High",3,IF(G1090="Medium",2,1))</f>
        <v>2</v>
      </c>
    </row>
    <row r="1091" spans="1:12">
      <c r="A1091" s="3" t="s">
        <v>2084</v>
      </c>
      <c r="B1091" s="3" t="s">
        <v>687</v>
      </c>
      <c r="C1091" s="3" t="s">
        <v>971</v>
      </c>
      <c r="D1091" s="3" t="s">
        <v>972</v>
      </c>
      <c r="E1091" s="3" t="s">
        <v>47</v>
      </c>
      <c r="F1091" s="3" t="s">
        <v>47</v>
      </c>
      <c r="G1091" s="3" t="str">
        <f>INDEX(Risk_Matrix!$B$2:$D$4,MATCH(E1091,Risk_Matrix!$A$2:$A$4,0),MATCH(F1091,Risk_Matrix!$B$1:$D$1,0))</f>
        <v>Low</v>
      </c>
      <c r="H1091" s="10">
        <v>46073</v>
      </c>
      <c r="I1091" s="3" t="s">
        <v>973</v>
      </c>
      <c r="J1091" s="3" t="s">
        <v>974</v>
      </c>
      <c r="K1091" s="3" t="s">
        <v>960</v>
      </c>
      <c r="L1091" s="3">
        <f>IF(G1091="High",3,IF(G1091="Medium",2,1))</f>
        <v>1</v>
      </c>
    </row>
    <row r="1092" spans="1:12">
      <c r="A1092" s="3" t="s">
        <v>2085</v>
      </c>
      <c r="B1092" s="3" t="s">
        <v>687</v>
      </c>
      <c r="C1092" s="3" t="s">
        <v>976</v>
      </c>
      <c r="D1092" s="3" t="s">
        <v>977</v>
      </c>
      <c r="E1092" s="3" t="s">
        <v>942</v>
      </c>
      <c r="F1092" s="3" t="s">
        <v>47</v>
      </c>
      <c r="G1092" s="3" t="str">
        <f>INDEX(Risk_Matrix!$B$2:$D$4,MATCH(E1092,Risk_Matrix!$A$2:$A$4,0),MATCH(F1092,Risk_Matrix!$B$1:$D$1,0))</f>
        <v>Low</v>
      </c>
      <c r="H1092" s="10">
        <v>46235</v>
      </c>
      <c r="I1092" s="3" t="s">
        <v>981</v>
      </c>
      <c r="J1092" s="3" t="s">
        <v>982</v>
      </c>
      <c r="K1092" s="3" t="s">
        <v>1000</v>
      </c>
      <c r="L1092" s="3">
        <f>IF(G1092="High",3,IF(G1092="Medium",2,1))</f>
        <v>1</v>
      </c>
    </row>
    <row r="1093" spans="1:12">
      <c r="A1093" s="3" t="s">
        <v>2086</v>
      </c>
      <c r="B1093" s="3" t="s">
        <v>687</v>
      </c>
      <c r="C1093" s="3" t="s">
        <v>979</v>
      </c>
      <c r="D1093" s="3" t="s">
        <v>1004</v>
      </c>
      <c r="E1093" s="3" t="s">
        <v>47</v>
      </c>
      <c r="F1093" s="3" t="s">
        <v>47</v>
      </c>
      <c r="G1093" s="3" t="str">
        <f>INDEX(Risk_Matrix!$B$2:$D$4,MATCH(E1093,Risk_Matrix!$A$2:$A$4,0),MATCH(F1093,Risk_Matrix!$B$1:$D$1,0))</f>
        <v>Low</v>
      </c>
      <c r="H1093" s="10">
        <v>46074</v>
      </c>
      <c r="I1093" s="3" t="s">
        <v>981</v>
      </c>
      <c r="J1093" s="3" t="s">
        <v>982</v>
      </c>
      <c r="K1093" s="3" t="s">
        <v>993</v>
      </c>
      <c r="L1093" s="3">
        <f>IF(G1093="High",3,IF(G1093="Medium",2,1))</f>
        <v>1</v>
      </c>
    </row>
    <row r="1094" spans="1:12">
      <c r="A1094" s="3" t="s">
        <v>2087</v>
      </c>
      <c r="B1094" s="3" t="s">
        <v>689</v>
      </c>
      <c r="C1094" s="3" t="s">
        <v>956</v>
      </c>
      <c r="D1094" s="3" t="s">
        <v>1020</v>
      </c>
      <c r="E1094" s="3" t="s">
        <v>47</v>
      </c>
      <c r="F1094" s="3" t="s">
        <v>47</v>
      </c>
      <c r="G1094" s="3" t="str">
        <f>INDEX(Risk_Matrix!$B$2:$D$4,MATCH(E1094,Risk_Matrix!$A$2:$A$4,0),MATCH(F1094,Risk_Matrix!$B$1:$D$1,0))</f>
        <v>Low</v>
      </c>
      <c r="H1094" s="10">
        <v>46078</v>
      </c>
      <c r="I1094" s="3" t="s">
        <v>973</v>
      </c>
      <c r="J1094" s="3" t="s">
        <v>974</v>
      </c>
      <c r="K1094" s="3" t="s">
        <v>1000</v>
      </c>
      <c r="L1094" s="3">
        <f>IF(G1094="High",3,IF(G1094="Medium",2,1))</f>
        <v>1</v>
      </c>
    </row>
    <row r="1095" spans="1:12">
      <c r="A1095" s="3" t="s">
        <v>2088</v>
      </c>
      <c r="B1095" s="3" t="s">
        <v>689</v>
      </c>
      <c r="C1095" s="3" t="s">
        <v>962</v>
      </c>
      <c r="D1095" s="3" t="s">
        <v>963</v>
      </c>
      <c r="E1095" s="3" t="s">
        <v>942</v>
      </c>
      <c r="F1095" s="3" t="s">
        <v>47</v>
      </c>
      <c r="G1095" s="3" t="str">
        <f>INDEX(Risk_Matrix!$B$2:$D$4,MATCH(E1095,Risk_Matrix!$A$2:$A$4,0),MATCH(F1095,Risk_Matrix!$B$1:$D$1,0))</f>
        <v>Low</v>
      </c>
      <c r="H1095" s="10">
        <v>46100</v>
      </c>
      <c r="I1095" s="3" t="s">
        <v>981</v>
      </c>
      <c r="J1095" s="3" t="s">
        <v>982</v>
      </c>
      <c r="K1095" s="3" t="s">
        <v>969</v>
      </c>
      <c r="L1095" s="3">
        <f>IF(G1095="High",3,IF(G1095="Medium",2,1))</f>
        <v>1</v>
      </c>
    </row>
    <row r="1096" spans="1:12">
      <c r="A1096" s="3" t="s">
        <v>2089</v>
      </c>
      <c r="B1096" s="3" t="s">
        <v>689</v>
      </c>
      <c r="C1096" s="3" t="s">
        <v>965</v>
      </c>
      <c r="D1096" s="3" t="s">
        <v>1023</v>
      </c>
      <c r="E1096" s="3" t="s">
        <v>47</v>
      </c>
      <c r="F1096" s="3" t="s">
        <v>47</v>
      </c>
      <c r="G1096" s="3" t="str">
        <f>INDEX(Risk_Matrix!$B$2:$D$4,MATCH(E1096,Risk_Matrix!$A$2:$A$4,0),MATCH(F1096,Risk_Matrix!$B$1:$D$1,0))</f>
        <v>Low</v>
      </c>
      <c r="H1096" s="10">
        <v>46125</v>
      </c>
      <c r="I1096" s="3" t="s">
        <v>967</v>
      </c>
      <c r="J1096" s="3" t="s">
        <v>968</v>
      </c>
      <c r="K1096" s="3" t="s">
        <v>983</v>
      </c>
      <c r="L1096" s="3">
        <f>IF(G1096="High",3,IF(G1096="Medium",2,1))</f>
        <v>1</v>
      </c>
    </row>
    <row r="1097" spans="1:12">
      <c r="A1097" s="3" t="s">
        <v>2090</v>
      </c>
      <c r="B1097" s="3" t="s">
        <v>689</v>
      </c>
      <c r="C1097" s="3" t="s">
        <v>971</v>
      </c>
      <c r="D1097" s="3" t="s">
        <v>1025</v>
      </c>
      <c r="E1097" s="3" t="s">
        <v>47</v>
      </c>
      <c r="F1097" s="3" t="s">
        <v>47</v>
      </c>
      <c r="G1097" s="3" t="str">
        <f>INDEX(Risk_Matrix!$B$2:$D$4,MATCH(E1097,Risk_Matrix!$A$2:$A$4,0),MATCH(F1097,Risk_Matrix!$B$1:$D$1,0))</f>
        <v>Low</v>
      </c>
      <c r="H1097" s="10">
        <v>46061</v>
      </c>
      <c r="I1097" s="3" t="s">
        <v>973</v>
      </c>
      <c r="J1097" s="3" t="s">
        <v>974</v>
      </c>
      <c r="K1097" s="3" t="s">
        <v>969</v>
      </c>
      <c r="L1097" s="3">
        <f>IF(G1097="High",3,IF(G1097="Medium",2,1))</f>
        <v>1</v>
      </c>
    </row>
    <row r="1098" spans="1:12">
      <c r="A1098" s="3" t="s">
        <v>2091</v>
      </c>
      <c r="B1098" s="3" t="s">
        <v>689</v>
      </c>
      <c r="C1098" s="3" t="s">
        <v>976</v>
      </c>
      <c r="D1098" s="3" t="s">
        <v>1002</v>
      </c>
      <c r="E1098" s="3" t="s">
        <v>942</v>
      </c>
      <c r="F1098" s="3" t="s">
        <v>47</v>
      </c>
      <c r="G1098" s="3" t="str">
        <f>INDEX(Risk_Matrix!$B$2:$D$4,MATCH(E1098,Risk_Matrix!$A$2:$A$4,0),MATCH(F1098,Risk_Matrix!$B$1:$D$1,0))</f>
        <v>Low</v>
      </c>
      <c r="H1098" s="10">
        <v>46099</v>
      </c>
      <c r="I1098" s="3" t="s">
        <v>973</v>
      </c>
      <c r="J1098" s="3" t="s">
        <v>974</v>
      </c>
      <c r="K1098" s="3" t="s">
        <v>969</v>
      </c>
      <c r="L1098" s="3">
        <f>IF(G1098="High",3,IF(G1098="Medium",2,1))</f>
        <v>1</v>
      </c>
    </row>
    <row r="1099" spans="1:12">
      <c r="A1099" s="3" t="s">
        <v>2092</v>
      </c>
      <c r="B1099" s="3" t="s">
        <v>689</v>
      </c>
      <c r="C1099" s="3" t="s">
        <v>979</v>
      </c>
      <c r="D1099" s="3" t="s">
        <v>1004</v>
      </c>
      <c r="E1099" s="3" t="s">
        <v>942</v>
      </c>
      <c r="F1099" s="3" t="s">
        <v>942</v>
      </c>
      <c r="G1099" s="3" t="str">
        <f>INDEX(Risk_Matrix!$B$2:$D$4,MATCH(E1099,Risk_Matrix!$A$2:$A$4,0),MATCH(F1099,Risk_Matrix!$B$1:$D$1,0))</f>
        <v>Medium</v>
      </c>
      <c r="H1099" s="10">
        <v>46181</v>
      </c>
      <c r="I1099" s="3" t="s">
        <v>973</v>
      </c>
      <c r="J1099" s="3" t="s">
        <v>974</v>
      </c>
      <c r="K1099" s="3" t="s">
        <v>993</v>
      </c>
      <c r="L1099" s="3">
        <f>IF(G1099="High",3,IF(G1099="Medium",2,1))</f>
        <v>2</v>
      </c>
    </row>
    <row r="1100" spans="1:12">
      <c r="A1100" s="3" t="s">
        <v>2093</v>
      </c>
      <c r="B1100" s="3" t="s">
        <v>691</v>
      </c>
      <c r="C1100" s="3" t="s">
        <v>956</v>
      </c>
      <c r="D1100" s="3" t="s">
        <v>1020</v>
      </c>
      <c r="E1100" s="3" t="s">
        <v>47</v>
      </c>
      <c r="F1100" s="3" t="s">
        <v>47</v>
      </c>
      <c r="G1100" s="3" t="str">
        <f>INDEX(Risk_Matrix!$B$2:$D$4,MATCH(E1100,Risk_Matrix!$A$2:$A$4,0),MATCH(F1100,Risk_Matrix!$B$1:$D$1,0))</f>
        <v>Low</v>
      </c>
      <c r="H1100" s="10">
        <v>46181</v>
      </c>
      <c r="I1100" s="3" t="s">
        <v>967</v>
      </c>
      <c r="J1100" s="3" t="s">
        <v>968</v>
      </c>
      <c r="K1100" s="3" t="s">
        <v>960</v>
      </c>
      <c r="L1100" s="3">
        <f>IF(G1100="High",3,IF(G1100="Medium",2,1))</f>
        <v>1</v>
      </c>
    </row>
    <row r="1101" spans="1:12">
      <c r="A1101" s="3" t="s">
        <v>2094</v>
      </c>
      <c r="B1101" s="3" t="s">
        <v>691</v>
      </c>
      <c r="C1101" s="3" t="s">
        <v>962</v>
      </c>
      <c r="D1101" s="3" t="s">
        <v>963</v>
      </c>
      <c r="E1101" s="3" t="s">
        <v>47</v>
      </c>
      <c r="F1101" s="3" t="s">
        <v>42</v>
      </c>
      <c r="G1101" s="3" t="str">
        <f>INDEX(Risk_Matrix!$B$2:$D$4,MATCH(E1101,Risk_Matrix!$A$2:$A$4,0),MATCH(F1101,Risk_Matrix!$B$1:$D$1,0))</f>
        <v>Medium</v>
      </c>
      <c r="H1101" s="10">
        <v>46166</v>
      </c>
      <c r="I1101" s="3" t="s">
        <v>973</v>
      </c>
      <c r="J1101" s="3" t="s">
        <v>974</v>
      </c>
      <c r="K1101" s="3" t="s">
        <v>969</v>
      </c>
      <c r="L1101" s="3">
        <f>IF(G1101="High",3,IF(G1101="Medium",2,1))</f>
        <v>2</v>
      </c>
    </row>
    <row r="1102" spans="1:12">
      <c r="A1102" s="3" t="s">
        <v>2095</v>
      </c>
      <c r="B1102" s="3" t="s">
        <v>691</v>
      </c>
      <c r="C1102" s="3" t="s">
        <v>965</v>
      </c>
      <c r="D1102" s="3" t="s">
        <v>1023</v>
      </c>
      <c r="E1102" s="3" t="s">
        <v>942</v>
      </c>
      <c r="F1102" s="3" t="s">
        <v>47</v>
      </c>
      <c r="G1102" s="3" t="str">
        <f>INDEX(Risk_Matrix!$B$2:$D$4,MATCH(E1102,Risk_Matrix!$A$2:$A$4,0),MATCH(F1102,Risk_Matrix!$B$1:$D$1,0))</f>
        <v>Low</v>
      </c>
      <c r="H1102" s="10">
        <v>46217</v>
      </c>
      <c r="I1102" s="3" t="s">
        <v>981</v>
      </c>
      <c r="J1102" s="3" t="s">
        <v>982</v>
      </c>
      <c r="K1102" s="3" t="s">
        <v>993</v>
      </c>
      <c r="L1102" s="3">
        <f>IF(G1102="High",3,IF(G1102="Medium",2,1))</f>
        <v>1</v>
      </c>
    </row>
    <row r="1103" spans="1:12">
      <c r="A1103" s="3" t="s">
        <v>2096</v>
      </c>
      <c r="B1103" s="3" t="s">
        <v>691</v>
      </c>
      <c r="C1103" s="3" t="s">
        <v>971</v>
      </c>
      <c r="D1103" s="3" t="s">
        <v>1016</v>
      </c>
      <c r="E1103" s="3" t="s">
        <v>47</v>
      </c>
      <c r="F1103" s="3" t="s">
        <v>47</v>
      </c>
      <c r="G1103" s="3" t="str">
        <f>INDEX(Risk_Matrix!$B$2:$D$4,MATCH(E1103,Risk_Matrix!$A$2:$A$4,0),MATCH(F1103,Risk_Matrix!$B$1:$D$1,0))</f>
        <v>Low</v>
      </c>
      <c r="H1103" s="10">
        <v>46192</v>
      </c>
      <c r="I1103" s="3" t="s">
        <v>973</v>
      </c>
      <c r="J1103" s="3" t="s">
        <v>974</v>
      </c>
      <c r="K1103" s="3" t="s">
        <v>960</v>
      </c>
      <c r="L1103" s="3">
        <f>IF(G1103="High",3,IF(G1103="Medium",2,1))</f>
        <v>1</v>
      </c>
    </row>
    <row r="1104" spans="1:12">
      <c r="A1104" s="3" t="s">
        <v>2097</v>
      </c>
      <c r="B1104" s="3" t="s">
        <v>691</v>
      </c>
      <c r="C1104" s="3" t="s">
        <v>976</v>
      </c>
      <c r="D1104" s="3" t="s">
        <v>977</v>
      </c>
      <c r="E1104" s="3" t="s">
        <v>42</v>
      </c>
      <c r="F1104" s="3" t="s">
        <v>942</v>
      </c>
      <c r="G1104" s="3" t="str">
        <f>INDEX(Risk_Matrix!$B$2:$D$4,MATCH(E1104,Risk_Matrix!$A$2:$A$4,0),MATCH(F1104,Risk_Matrix!$B$1:$D$1,0))</f>
        <v>High</v>
      </c>
      <c r="H1104" s="10">
        <v>46165</v>
      </c>
      <c r="I1104" s="3" t="s">
        <v>967</v>
      </c>
      <c r="J1104" s="3" t="s">
        <v>968</v>
      </c>
      <c r="K1104" s="3" t="s">
        <v>969</v>
      </c>
      <c r="L1104" s="3">
        <f>IF(G1104="High",3,IF(G1104="Medium",2,1))</f>
        <v>3</v>
      </c>
    </row>
    <row r="1105" spans="1:12">
      <c r="A1105" s="3" t="s">
        <v>2098</v>
      </c>
      <c r="B1105" s="3" t="s">
        <v>691</v>
      </c>
      <c r="C1105" s="3" t="s">
        <v>979</v>
      </c>
      <c r="D1105" s="3" t="s">
        <v>1004</v>
      </c>
      <c r="E1105" s="3" t="s">
        <v>47</v>
      </c>
      <c r="F1105" s="3" t="s">
        <v>47</v>
      </c>
      <c r="G1105" s="3" t="str">
        <f>INDEX(Risk_Matrix!$B$2:$D$4,MATCH(E1105,Risk_Matrix!$A$2:$A$4,0),MATCH(F1105,Risk_Matrix!$B$1:$D$1,0))</f>
        <v>Low</v>
      </c>
      <c r="H1105" s="10">
        <v>46171</v>
      </c>
      <c r="I1105" s="3" t="s">
        <v>973</v>
      </c>
      <c r="J1105" s="3" t="s">
        <v>974</v>
      </c>
      <c r="K1105" s="3" t="s">
        <v>993</v>
      </c>
      <c r="L1105" s="3">
        <f>IF(G1105="High",3,IF(G1105="Medium",2,1))</f>
        <v>1</v>
      </c>
    </row>
    <row r="1106" spans="1:12">
      <c r="A1106" s="3" t="s">
        <v>2099</v>
      </c>
      <c r="B1106" s="3" t="s">
        <v>693</v>
      </c>
      <c r="C1106" s="3" t="s">
        <v>956</v>
      </c>
      <c r="D1106" s="3" t="s">
        <v>957</v>
      </c>
      <c r="E1106" s="3" t="s">
        <v>42</v>
      </c>
      <c r="F1106" s="3" t="s">
        <v>42</v>
      </c>
      <c r="G1106" s="3" t="str">
        <f>INDEX(Risk_Matrix!$B$2:$D$4,MATCH(E1106,Risk_Matrix!$A$2:$A$4,0),MATCH(F1106,Risk_Matrix!$B$1:$D$1,0))</f>
        <v>High</v>
      </c>
      <c r="H1106" s="10">
        <v>46201</v>
      </c>
      <c r="I1106" s="3" t="s">
        <v>981</v>
      </c>
      <c r="J1106" s="3" t="s">
        <v>982</v>
      </c>
      <c r="K1106" s="3" t="s">
        <v>969</v>
      </c>
      <c r="L1106" s="3">
        <f>IF(G1106="High",3,IF(G1106="Medium",2,1))</f>
        <v>3</v>
      </c>
    </row>
    <row r="1107" spans="1:12">
      <c r="A1107" s="3" t="s">
        <v>2100</v>
      </c>
      <c r="B1107" s="3" t="s">
        <v>693</v>
      </c>
      <c r="C1107" s="3" t="s">
        <v>962</v>
      </c>
      <c r="D1107" s="3" t="s">
        <v>1037</v>
      </c>
      <c r="E1107" s="3" t="s">
        <v>47</v>
      </c>
      <c r="F1107" s="3" t="s">
        <v>942</v>
      </c>
      <c r="G1107" s="3" t="str">
        <f>INDEX(Risk_Matrix!$B$2:$D$4,MATCH(E1107,Risk_Matrix!$A$2:$A$4,0),MATCH(F1107,Risk_Matrix!$B$1:$D$1,0))</f>
        <v>Low</v>
      </c>
      <c r="H1107" s="10">
        <v>46116</v>
      </c>
      <c r="I1107" s="3" t="s">
        <v>981</v>
      </c>
      <c r="J1107" s="3" t="s">
        <v>982</v>
      </c>
      <c r="K1107" s="3" t="s">
        <v>993</v>
      </c>
      <c r="L1107" s="3">
        <f>IF(G1107="High",3,IF(G1107="Medium",2,1))</f>
        <v>1</v>
      </c>
    </row>
    <row r="1108" spans="1:12">
      <c r="A1108" s="3" t="s">
        <v>2101</v>
      </c>
      <c r="B1108" s="3" t="s">
        <v>693</v>
      </c>
      <c r="C1108" s="3" t="s">
        <v>965</v>
      </c>
      <c r="D1108" s="3" t="s">
        <v>1023</v>
      </c>
      <c r="E1108" s="3" t="s">
        <v>942</v>
      </c>
      <c r="F1108" s="3" t="s">
        <v>42</v>
      </c>
      <c r="G1108" s="3" t="str">
        <f>INDEX(Risk_Matrix!$B$2:$D$4,MATCH(E1108,Risk_Matrix!$A$2:$A$4,0),MATCH(F1108,Risk_Matrix!$B$1:$D$1,0))</f>
        <v>High</v>
      </c>
      <c r="H1108" s="10">
        <v>46215</v>
      </c>
      <c r="I1108" s="3" t="s">
        <v>973</v>
      </c>
      <c r="J1108" s="3" t="s">
        <v>974</v>
      </c>
      <c r="K1108" s="3" t="s">
        <v>969</v>
      </c>
      <c r="L1108" s="3">
        <f>IF(G1108="High",3,IF(G1108="Medium",2,1))</f>
        <v>3</v>
      </c>
    </row>
    <row r="1109" spans="1:12">
      <c r="A1109" s="3" t="s">
        <v>2102</v>
      </c>
      <c r="B1109" s="3" t="s">
        <v>693</v>
      </c>
      <c r="C1109" s="3" t="s">
        <v>971</v>
      </c>
      <c r="D1109" s="3" t="s">
        <v>972</v>
      </c>
      <c r="E1109" s="3" t="s">
        <v>47</v>
      </c>
      <c r="F1109" s="3" t="s">
        <v>47</v>
      </c>
      <c r="G1109" s="3" t="str">
        <f>INDEX(Risk_Matrix!$B$2:$D$4,MATCH(E1109,Risk_Matrix!$A$2:$A$4,0),MATCH(F1109,Risk_Matrix!$B$1:$D$1,0))</f>
        <v>Low</v>
      </c>
      <c r="H1109" s="10">
        <v>46130</v>
      </c>
      <c r="I1109" s="3" t="s">
        <v>973</v>
      </c>
      <c r="J1109" s="3" t="s">
        <v>974</v>
      </c>
      <c r="K1109" s="3" t="s">
        <v>960</v>
      </c>
      <c r="L1109" s="3">
        <f>IF(G1109="High",3,IF(G1109="Medium",2,1))</f>
        <v>1</v>
      </c>
    </row>
    <row r="1110" spans="1:12">
      <c r="A1110" s="3" t="s">
        <v>2103</v>
      </c>
      <c r="B1110" s="3" t="s">
        <v>693</v>
      </c>
      <c r="C1110" s="3" t="s">
        <v>976</v>
      </c>
      <c r="D1110" s="3" t="s">
        <v>1002</v>
      </c>
      <c r="E1110" s="3" t="s">
        <v>42</v>
      </c>
      <c r="F1110" s="3" t="s">
        <v>942</v>
      </c>
      <c r="G1110" s="3" t="str">
        <f>INDEX(Risk_Matrix!$B$2:$D$4,MATCH(E1110,Risk_Matrix!$A$2:$A$4,0),MATCH(F1110,Risk_Matrix!$B$1:$D$1,0))</f>
        <v>High</v>
      </c>
      <c r="H1110" s="10">
        <v>46203</v>
      </c>
      <c r="I1110" s="3" t="s">
        <v>967</v>
      </c>
      <c r="J1110" s="3" t="s">
        <v>968</v>
      </c>
      <c r="K1110" s="3" t="s">
        <v>983</v>
      </c>
      <c r="L1110" s="3">
        <f>IF(G1110="High",3,IF(G1110="Medium",2,1))</f>
        <v>3</v>
      </c>
    </row>
    <row r="1111" spans="1:12">
      <c r="A1111" s="3" t="s">
        <v>2104</v>
      </c>
      <c r="B1111" s="3" t="s">
        <v>693</v>
      </c>
      <c r="C1111" s="3" t="s">
        <v>979</v>
      </c>
      <c r="D1111" s="3" t="s">
        <v>1028</v>
      </c>
      <c r="E1111" s="3" t="s">
        <v>47</v>
      </c>
      <c r="F1111" s="3" t="s">
        <v>47</v>
      </c>
      <c r="G1111" s="3" t="str">
        <f>INDEX(Risk_Matrix!$B$2:$D$4,MATCH(E1111,Risk_Matrix!$A$2:$A$4,0),MATCH(F1111,Risk_Matrix!$B$1:$D$1,0))</f>
        <v>Low</v>
      </c>
      <c r="H1111" s="10">
        <v>46102</v>
      </c>
      <c r="I1111" s="3" t="s">
        <v>967</v>
      </c>
      <c r="J1111" s="3" t="s">
        <v>968</v>
      </c>
      <c r="K1111" s="3" t="s">
        <v>1000</v>
      </c>
      <c r="L1111" s="3">
        <f>IF(G1111="High",3,IF(G1111="Medium",2,1))</f>
        <v>1</v>
      </c>
    </row>
    <row r="1112" spans="1:12">
      <c r="A1112" s="3" t="s">
        <v>2105</v>
      </c>
      <c r="B1112" s="3" t="s">
        <v>694</v>
      </c>
      <c r="C1112" s="3" t="s">
        <v>956</v>
      </c>
      <c r="D1112" s="3" t="s">
        <v>1020</v>
      </c>
      <c r="E1112" s="3" t="s">
        <v>47</v>
      </c>
      <c r="F1112" s="3" t="s">
        <v>942</v>
      </c>
      <c r="G1112" s="3" t="str">
        <f>INDEX(Risk_Matrix!$B$2:$D$4,MATCH(E1112,Risk_Matrix!$A$2:$A$4,0),MATCH(F1112,Risk_Matrix!$B$1:$D$1,0))</f>
        <v>Low</v>
      </c>
      <c r="H1112" s="10">
        <v>46091</v>
      </c>
      <c r="I1112" s="3" t="s">
        <v>967</v>
      </c>
      <c r="J1112" s="3" t="s">
        <v>968</v>
      </c>
      <c r="K1112" s="3" t="s">
        <v>983</v>
      </c>
      <c r="L1112" s="3">
        <f>IF(G1112="High",3,IF(G1112="Medium",2,1))</f>
        <v>1</v>
      </c>
    </row>
    <row r="1113" spans="1:12">
      <c r="A1113" s="3" t="s">
        <v>2106</v>
      </c>
      <c r="B1113" s="3" t="s">
        <v>694</v>
      </c>
      <c r="C1113" s="3" t="s">
        <v>962</v>
      </c>
      <c r="D1113" s="3" t="s">
        <v>963</v>
      </c>
      <c r="E1113" s="3" t="s">
        <v>47</v>
      </c>
      <c r="F1113" s="3" t="s">
        <v>47</v>
      </c>
      <c r="G1113" s="3" t="str">
        <f>INDEX(Risk_Matrix!$B$2:$D$4,MATCH(E1113,Risk_Matrix!$A$2:$A$4,0),MATCH(F1113,Risk_Matrix!$B$1:$D$1,0))</f>
        <v>Low</v>
      </c>
      <c r="H1113" s="10">
        <v>46234</v>
      </c>
      <c r="I1113" s="3" t="s">
        <v>958</v>
      </c>
      <c r="J1113" s="3" t="s">
        <v>959</v>
      </c>
      <c r="K1113" s="3" t="s">
        <v>969</v>
      </c>
      <c r="L1113" s="3">
        <f>IF(G1113="High",3,IF(G1113="Medium",2,1))</f>
        <v>1</v>
      </c>
    </row>
    <row r="1114" spans="1:12">
      <c r="A1114" s="3" t="s">
        <v>2107</v>
      </c>
      <c r="B1114" s="3" t="s">
        <v>694</v>
      </c>
      <c r="C1114" s="3" t="s">
        <v>965</v>
      </c>
      <c r="D1114" s="3" t="s">
        <v>988</v>
      </c>
      <c r="E1114" s="3" t="s">
        <v>42</v>
      </c>
      <c r="F1114" s="3" t="s">
        <v>42</v>
      </c>
      <c r="G1114" s="3" t="str">
        <f>INDEX(Risk_Matrix!$B$2:$D$4,MATCH(E1114,Risk_Matrix!$A$2:$A$4,0),MATCH(F1114,Risk_Matrix!$B$1:$D$1,0))</f>
        <v>High</v>
      </c>
      <c r="H1114" s="10">
        <v>46149</v>
      </c>
      <c r="I1114" s="3" t="s">
        <v>973</v>
      </c>
      <c r="J1114" s="3" t="s">
        <v>974</v>
      </c>
      <c r="K1114" s="3" t="s">
        <v>969</v>
      </c>
      <c r="L1114" s="3">
        <f>IF(G1114="High",3,IF(G1114="Medium",2,1))</f>
        <v>3</v>
      </c>
    </row>
    <row r="1115" spans="1:12">
      <c r="A1115" s="3" t="s">
        <v>2108</v>
      </c>
      <c r="B1115" s="3" t="s">
        <v>694</v>
      </c>
      <c r="C1115" s="3" t="s">
        <v>971</v>
      </c>
      <c r="D1115" s="3" t="s">
        <v>972</v>
      </c>
      <c r="E1115" s="3" t="s">
        <v>47</v>
      </c>
      <c r="F1115" s="3" t="s">
        <v>47</v>
      </c>
      <c r="G1115" s="3" t="str">
        <f>INDEX(Risk_Matrix!$B$2:$D$4,MATCH(E1115,Risk_Matrix!$A$2:$A$4,0),MATCH(F1115,Risk_Matrix!$B$1:$D$1,0))</f>
        <v>Low</v>
      </c>
      <c r="H1115" s="10">
        <v>46131</v>
      </c>
      <c r="I1115" s="3" t="s">
        <v>981</v>
      </c>
      <c r="J1115" s="3" t="s">
        <v>982</v>
      </c>
      <c r="K1115" s="3" t="s">
        <v>983</v>
      </c>
      <c r="L1115" s="3">
        <f>IF(G1115="High",3,IF(G1115="Medium",2,1))</f>
        <v>1</v>
      </c>
    </row>
    <row r="1116" spans="1:12">
      <c r="A1116" s="3" t="s">
        <v>2109</v>
      </c>
      <c r="B1116" s="3" t="s">
        <v>694</v>
      </c>
      <c r="C1116" s="3" t="s">
        <v>976</v>
      </c>
      <c r="D1116" s="3" t="s">
        <v>977</v>
      </c>
      <c r="E1116" s="3" t="s">
        <v>942</v>
      </c>
      <c r="F1116" s="3" t="s">
        <v>47</v>
      </c>
      <c r="G1116" s="3" t="str">
        <f>INDEX(Risk_Matrix!$B$2:$D$4,MATCH(E1116,Risk_Matrix!$A$2:$A$4,0),MATCH(F1116,Risk_Matrix!$B$1:$D$1,0))</f>
        <v>Low</v>
      </c>
      <c r="H1116" s="10">
        <v>46060</v>
      </c>
      <c r="I1116" s="3" t="s">
        <v>973</v>
      </c>
      <c r="J1116" s="3" t="s">
        <v>974</v>
      </c>
      <c r="K1116" s="3" t="s">
        <v>983</v>
      </c>
      <c r="L1116" s="3">
        <f>IF(G1116="High",3,IF(G1116="Medium",2,1))</f>
        <v>1</v>
      </c>
    </row>
    <row r="1117" spans="1:12">
      <c r="A1117" s="3" t="s">
        <v>2110</v>
      </c>
      <c r="B1117" s="3" t="s">
        <v>694</v>
      </c>
      <c r="C1117" s="3" t="s">
        <v>979</v>
      </c>
      <c r="D1117" s="3" t="s">
        <v>1028</v>
      </c>
      <c r="E1117" s="3" t="s">
        <v>942</v>
      </c>
      <c r="F1117" s="3" t="s">
        <v>942</v>
      </c>
      <c r="G1117" s="3" t="str">
        <f>INDEX(Risk_Matrix!$B$2:$D$4,MATCH(E1117,Risk_Matrix!$A$2:$A$4,0),MATCH(F1117,Risk_Matrix!$B$1:$D$1,0))</f>
        <v>Medium</v>
      </c>
      <c r="H1117" s="10">
        <v>46225</v>
      </c>
      <c r="I1117" s="3" t="s">
        <v>967</v>
      </c>
      <c r="J1117" s="3" t="s">
        <v>968</v>
      </c>
      <c r="K1117" s="3" t="s">
        <v>993</v>
      </c>
      <c r="L1117" s="3">
        <f>IF(G1117="High",3,IF(G1117="Medium",2,1))</f>
        <v>2</v>
      </c>
    </row>
    <row r="1118" spans="1:12">
      <c r="A1118" s="3" t="s">
        <v>2111</v>
      </c>
      <c r="B1118" s="3" t="s">
        <v>696</v>
      </c>
      <c r="C1118" s="3" t="s">
        <v>956</v>
      </c>
      <c r="D1118" s="3" t="s">
        <v>957</v>
      </c>
      <c r="E1118" s="3" t="s">
        <v>47</v>
      </c>
      <c r="F1118" s="3" t="s">
        <v>942</v>
      </c>
      <c r="G1118" s="3" t="str">
        <f>INDEX(Risk_Matrix!$B$2:$D$4,MATCH(E1118,Risk_Matrix!$A$2:$A$4,0),MATCH(F1118,Risk_Matrix!$B$1:$D$1,0))</f>
        <v>Low</v>
      </c>
      <c r="H1118" s="10">
        <v>46201</v>
      </c>
      <c r="I1118" s="3" t="s">
        <v>973</v>
      </c>
      <c r="J1118" s="3" t="s">
        <v>974</v>
      </c>
      <c r="K1118" s="3" t="s">
        <v>969</v>
      </c>
      <c r="L1118" s="3">
        <f>IF(G1118="High",3,IF(G1118="Medium",2,1))</f>
        <v>1</v>
      </c>
    </row>
    <row r="1119" spans="1:12">
      <c r="A1119" s="3" t="s">
        <v>2112</v>
      </c>
      <c r="B1119" s="3" t="s">
        <v>696</v>
      </c>
      <c r="C1119" s="3" t="s">
        <v>962</v>
      </c>
      <c r="D1119" s="3" t="s">
        <v>1037</v>
      </c>
      <c r="E1119" s="3" t="s">
        <v>47</v>
      </c>
      <c r="F1119" s="3" t="s">
        <v>47</v>
      </c>
      <c r="G1119" s="3" t="str">
        <f>INDEX(Risk_Matrix!$B$2:$D$4,MATCH(E1119,Risk_Matrix!$A$2:$A$4,0),MATCH(F1119,Risk_Matrix!$B$1:$D$1,0))</f>
        <v>Low</v>
      </c>
      <c r="H1119" s="10">
        <v>46132</v>
      </c>
      <c r="I1119" s="3" t="s">
        <v>967</v>
      </c>
      <c r="J1119" s="3" t="s">
        <v>968</v>
      </c>
      <c r="K1119" s="3" t="s">
        <v>983</v>
      </c>
      <c r="L1119" s="3">
        <f>IF(G1119="High",3,IF(G1119="Medium",2,1))</f>
        <v>1</v>
      </c>
    </row>
    <row r="1120" spans="1:12">
      <c r="A1120" s="3" t="s">
        <v>2113</v>
      </c>
      <c r="B1120" s="3" t="s">
        <v>696</v>
      </c>
      <c r="C1120" s="3" t="s">
        <v>965</v>
      </c>
      <c r="D1120" s="3" t="s">
        <v>1039</v>
      </c>
      <c r="E1120" s="3" t="s">
        <v>47</v>
      </c>
      <c r="F1120" s="3" t="s">
        <v>47</v>
      </c>
      <c r="G1120" s="3" t="str">
        <f>INDEX(Risk_Matrix!$B$2:$D$4,MATCH(E1120,Risk_Matrix!$A$2:$A$4,0),MATCH(F1120,Risk_Matrix!$B$1:$D$1,0))</f>
        <v>Low</v>
      </c>
      <c r="H1120" s="10">
        <v>46162</v>
      </c>
      <c r="I1120" s="3" t="s">
        <v>967</v>
      </c>
      <c r="J1120" s="3" t="s">
        <v>968</v>
      </c>
      <c r="K1120" s="3" t="s">
        <v>960</v>
      </c>
      <c r="L1120" s="3">
        <f>IF(G1120="High",3,IF(G1120="Medium",2,1))</f>
        <v>1</v>
      </c>
    </row>
    <row r="1121" spans="1:12">
      <c r="A1121" s="3" t="s">
        <v>2114</v>
      </c>
      <c r="B1121" s="3" t="s">
        <v>696</v>
      </c>
      <c r="C1121" s="3" t="s">
        <v>971</v>
      </c>
      <c r="D1121" s="3" t="s">
        <v>1025</v>
      </c>
      <c r="E1121" s="3" t="s">
        <v>942</v>
      </c>
      <c r="F1121" s="3" t="s">
        <v>47</v>
      </c>
      <c r="G1121" s="3" t="str">
        <f>INDEX(Risk_Matrix!$B$2:$D$4,MATCH(E1121,Risk_Matrix!$A$2:$A$4,0),MATCH(F1121,Risk_Matrix!$B$1:$D$1,0))</f>
        <v>Low</v>
      </c>
      <c r="H1121" s="10">
        <v>46235</v>
      </c>
      <c r="I1121" s="3" t="s">
        <v>967</v>
      </c>
      <c r="J1121" s="3" t="s">
        <v>968</v>
      </c>
      <c r="K1121" s="3" t="s">
        <v>969</v>
      </c>
      <c r="L1121" s="3">
        <f>IF(G1121="High",3,IF(G1121="Medium",2,1))</f>
        <v>1</v>
      </c>
    </row>
    <row r="1122" spans="1:12">
      <c r="A1122" s="3" t="s">
        <v>2115</v>
      </c>
      <c r="B1122" s="3" t="s">
        <v>696</v>
      </c>
      <c r="C1122" s="3" t="s">
        <v>976</v>
      </c>
      <c r="D1122" s="3" t="s">
        <v>977</v>
      </c>
      <c r="E1122" s="3" t="s">
        <v>47</v>
      </c>
      <c r="F1122" s="3" t="s">
        <v>42</v>
      </c>
      <c r="G1122" s="3" t="str">
        <f>INDEX(Risk_Matrix!$B$2:$D$4,MATCH(E1122,Risk_Matrix!$A$2:$A$4,0),MATCH(F1122,Risk_Matrix!$B$1:$D$1,0))</f>
        <v>Medium</v>
      </c>
      <c r="H1122" s="10">
        <v>46194</v>
      </c>
      <c r="I1122" s="3" t="s">
        <v>973</v>
      </c>
      <c r="J1122" s="3" t="s">
        <v>974</v>
      </c>
      <c r="K1122" s="3" t="s">
        <v>1000</v>
      </c>
      <c r="L1122" s="3">
        <f>IF(G1122="High",3,IF(G1122="Medium",2,1))</f>
        <v>2</v>
      </c>
    </row>
    <row r="1123" spans="1:12">
      <c r="A1123" s="3" t="s">
        <v>2116</v>
      </c>
      <c r="B1123" s="3" t="s">
        <v>696</v>
      </c>
      <c r="C1123" s="3" t="s">
        <v>979</v>
      </c>
      <c r="D1123" s="3" t="s">
        <v>1004</v>
      </c>
      <c r="E1123" s="3" t="s">
        <v>47</v>
      </c>
      <c r="F1123" s="3" t="s">
        <v>942</v>
      </c>
      <c r="G1123" s="3" t="str">
        <f>INDEX(Risk_Matrix!$B$2:$D$4,MATCH(E1123,Risk_Matrix!$A$2:$A$4,0),MATCH(F1123,Risk_Matrix!$B$1:$D$1,0))</f>
        <v>Low</v>
      </c>
      <c r="H1123" s="10">
        <v>46122</v>
      </c>
      <c r="I1123" s="3" t="s">
        <v>967</v>
      </c>
      <c r="J1123" s="3" t="s">
        <v>968</v>
      </c>
      <c r="K1123" s="3" t="s">
        <v>1000</v>
      </c>
      <c r="L1123" s="3">
        <f>IF(G1123="High",3,IF(G1123="Medium",2,1))</f>
        <v>1</v>
      </c>
    </row>
    <row r="1124" spans="1:12">
      <c r="A1124" s="3" t="s">
        <v>2117</v>
      </c>
      <c r="B1124" s="3" t="s">
        <v>697</v>
      </c>
      <c r="C1124" s="3" t="s">
        <v>956</v>
      </c>
      <c r="D1124" s="3" t="s">
        <v>995</v>
      </c>
      <c r="E1124" s="3" t="s">
        <v>42</v>
      </c>
      <c r="F1124" s="3" t="s">
        <v>942</v>
      </c>
      <c r="G1124" s="3" t="str">
        <f>INDEX(Risk_Matrix!$B$2:$D$4,MATCH(E1124,Risk_Matrix!$A$2:$A$4,0),MATCH(F1124,Risk_Matrix!$B$1:$D$1,0))</f>
        <v>High</v>
      </c>
      <c r="H1124" s="10">
        <v>46130</v>
      </c>
      <c r="I1124" s="3" t="s">
        <v>967</v>
      </c>
      <c r="J1124" s="3" t="s">
        <v>968</v>
      </c>
      <c r="K1124" s="3" t="s">
        <v>983</v>
      </c>
      <c r="L1124" s="3">
        <f>IF(G1124="High",3,IF(G1124="Medium",2,1))</f>
        <v>3</v>
      </c>
    </row>
    <row r="1125" spans="1:12">
      <c r="A1125" s="3" t="s">
        <v>2118</v>
      </c>
      <c r="B1125" s="3" t="s">
        <v>697</v>
      </c>
      <c r="C1125" s="3" t="s">
        <v>962</v>
      </c>
      <c r="D1125" s="3" t="s">
        <v>986</v>
      </c>
      <c r="E1125" s="3" t="s">
        <v>42</v>
      </c>
      <c r="F1125" s="3" t="s">
        <v>942</v>
      </c>
      <c r="G1125" s="3" t="str">
        <f>INDEX(Risk_Matrix!$B$2:$D$4,MATCH(E1125,Risk_Matrix!$A$2:$A$4,0),MATCH(F1125,Risk_Matrix!$B$1:$D$1,0))</f>
        <v>High</v>
      </c>
      <c r="H1125" s="10">
        <v>46206</v>
      </c>
      <c r="I1125" s="3" t="s">
        <v>958</v>
      </c>
      <c r="J1125" s="3" t="s">
        <v>959</v>
      </c>
      <c r="K1125" s="3" t="s">
        <v>983</v>
      </c>
      <c r="L1125" s="3">
        <f>IF(G1125="High",3,IF(G1125="Medium",2,1))</f>
        <v>3</v>
      </c>
    </row>
    <row r="1126" spans="1:12">
      <c r="A1126" s="3" t="s">
        <v>2119</v>
      </c>
      <c r="B1126" s="3" t="s">
        <v>697</v>
      </c>
      <c r="C1126" s="3" t="s">
        <v>965</v>
      </c>
      <c r="D1126" s="3" t="s">
        <v>988</v>
      </c>
      <c r="E1126" s="3" t="s">
        <v>942</v>
      </c>
      <c r="F1126" s="3" t="s">
        <v>47</v>
      </c>
      <c r="G1126" s="3" t="str">
        <f>INDEX(Risk_Matrix!$B$2:$D$4,MATCH(E1126,Risk_Matrix!$A$2:$A$4,0),MATCH(F1126,Risk_Matrix!$B$1:$D$1,0))</f>
        <v>Low</v>
      </c>
      <c r="H1126" s="10">
        <v>46095</v>
      </c>
      <c r="I1126" s="3" t="s">
        <v>973</v>
      </c>
      <c r="J1126" s="3" t="s">
        <v>974</v>
      </c>
      <c r="K1126" s="3" t="s">
        <v>1000</v>
      </c>
      <c r="L1126" s="3">
        <f>IF(G1126="High",3,IF(G1126="Medium",2,1))</f>
        <v>1</v>
      </c>
    </row>
    <row r="1127" spans="1:12">
      <c r="A1127" s="3" t="s">
        <v>2120</v>
      </c>
      <c r="B1127" s="3" t="s">
        <v>697</v>
      </c>
      <c r="C1127" s="3" t="s">
        <v>971</v>
      </c>
      <c r="D1127" s="3" t="s">
        <v>972</v>
      </c>
      <c r="E1127" s="3" t="s">
        <v>942</v>
      </c>
      <c r="F1127" s="3" t="s">
        <v>47</v>
      </c>
      <c r="G1127" s="3" t="str">
        <f>INDEX(Risk_Matrix!$B$2:$D$4,MATCH(E1127,Risk_Matrix!$A$2:$A$4,0),MATCH(F1127,Risk_Matrix!$B$1:$D$1,0))</f>
        <v>Low</v>
      </c>
      <c r="H1127" s="10">
        <v>46074</v>
      </c>
      <c r="I1127" s="3" t="s">
        <v>973</v>
      </c>
      <c r="J1127" s="3" t="s">
        <v>974</v>
      </c>
      <c r="K1127" s="3" t="s">
        <v>960</v>
      </c>
      <c r="L1127" s="3">
        <f>IF(G1127="High",3,IF(G1127="Medium",2,1))</f>
        <v>1</v>
      </c>
    </row>
    <row r="1128" spans="1:12">
      <c r="A1128" s="3" t="s">
        <v>2121</v>
      </c>
      <c r="B1128" s="3" t="s">
        <v>697</v>
      </c>
      <c r="C1128" s="3" t="s">
        <v>976</v>
      </c>
      <c r="D1128" s="3" t="s">
        <v>991</v>
      </c>
      <c r="E1128" s="3" t="s">
        <v>47</v>
      </c>
      <c r="F1128" s="3" t="s">
        <v>942</v>
      </c>
      <c r="G1128" s="3" t="str">
        <f>INDEX(Risk_Matrix!$B$2:$D$4,MATCH(E1128,Risk_Matrix!$A$2:$A$4,0),MATCH(F1128,Risk_Matrix!$B$1:$D$1,0))</f>
        <v>Low</v>
      </c>
      <c r="H1128" s="10">
        <v>46189</v>
      </c>
      <c r="I1128" s="3" t="s">
        <v>967</v>
      </c>
      <c r="J1128" s="3" t="s">
        <v>968</v>
      </c>
      <c r="K1128" s="3" t="s">
        <v>969</v>
      </c>
      <c r="L1128" s="3">
        <f>IF(G1128="High",3,IF(G1128="Medium",2,1))</f>
        <v>1</v>
      </c>
    </row>
    <row r="1129" spans="1:12">
      <c r="A1129" s="3" t="s">
        <v>2122</v>
      </c>
      <c r="B1129" s="3" t="s">
        <v>697</v>
      </c>
      <c r="C1129" s="3" t="s">
        <v>979</v>
      </c>
      <c r="D1129" s="3" t="s">
        <v>1004</v>
      </c>
      <c r="E1129" s="3" t="s">
        <v>47</v>
      </c>
      <c r="F1129" s="3" t="s">
        <v>47</v>
      </c>
      <c r="G1129" s="3" t="str">
        <f>INDEX(Risk_Matrix!$B$2:$D$4,MATCH(E1129,Risk_Matrix!$A$2:$A$4,0),MATCH(F1129,Risk_Matrix!$B$1:$D$1,0))</f>
        <v>Low</v>
      </c>
      <c r="H1129" s="10">
        <v>46153</v>
      </c>
      <c r="I1129" s="3" t="s">
        <v>981</v>
      </c>
      <c r="J1129" s="3" t="s">
        <v>982</v>
      </c>
      <c r="K1129" s="3" t="s">
        <v>993</v>
      </c>
      <c r="L1129" s="3">
        <f>IF(G1129="High",3,IF(G1129="Medium",2,1))</f>
        <v>1</v>
      </c>
    </row>
    <row r="1130" spans="1:12">
      <c r="A1130" s="3" t="s">
        <v>2123</v>
      </c>
      <c r="B1130" s="3" t="s">
        <v>699</v>
      </c>
      <c r="C1130" s="3" t="s">
        <v>956</v>
      </c>
      <c r="D1130" s="3" t="s">
        <v>1020</v>
      </c>
      <c r="E1130" s="3" t="s">
        <v>47</v>
      </c>
      <c r="F1130" s="3" t="s">
        <v>942</v>
      </c>
      <c r="G1130" s="3" t="str">
        <f>INDEX(Risk_Matrix!$B$2:$D$4,MATCH(E1130,Risk_Matrix!$A$2:$A$4,0),MATCH(F1130,Risk_Matrix!$B$1:$D$1,0))</f>
        <v>Low</v>
      </c>
      <c r="H1130" s="10">
        <v>46086</v>
      </c>
      <c r="I1130" s="3" t="s">
        <v>973</v>
      </c>
      <c r="J1130" s="3" t="s">
        <v>974</v>
      </c>
      <c r="K1130" s="3" t="s">
        <v>993</v>
      </c>
      <c r="L1130" s="3">
        <f>IF(G1130="High",3,IF(G1130="Medium",2,1))</f>
        <v>1</v>
      </c>
    </row>
    <row r="1131" spans="1:12">
      <c r="A1131" s="3" t="s">
        <v>2124</v>
      </c>
      <c r="B1131" s="3" t="s">
        <v>699</v>
      </c>
      <c r="C1131" s="3" t="s">
        <v>962</v>
      </c>
      <c r="D1131" s="3" t="s">
        <v>986</v>
      </c>
      <c r="E1131" s="3" t="s">
        <v>47</v>
      </c>
      <c r="F1131" s="3" t="s">
        <v>47</v>
      </c>
      <c r="G1131" s="3" t="str">
        <f>INDEX(Risk_Matrix!$B$2:$D$4,MATCH(E1131,Risk_Matrix!$A$2:$A$4,0),MATCH(F1131,Risk_Matrix!$B$1:$D$1,0))</f>
        <v>Low</v>
      </c>
      <c r="H1131" s="10">
        <v>46177</v>
      </c>
      <c r="I1131" s="3" t="s">
        <v>981</v>
      </c>
      <c r="J1131" s="3" t="s">
        <v>982</v>
      </c>
      <c r="K1131" s="3" t="s">
        <v>969</v>
      </c>
      <c r="L1131" s="3">
        <f>IF(G1131="High",3,IF(G1131="Medium",2,1))</f>
        <v>1</v>
      </c>
    </row>
    <row r="1132" spans="1:12">
      <c r="A1132" s="3" t="s">
        <v>2125</v>
      </c>
      <c r="B1132" s="3" t="s">
        <v>699</v>
      </c>
      <c r="C1132" s="3" t="s">
        <v>965</v>
      </c>
      <c r="D1132" s="3" t="s">
        <v>1023</v>
      </c>
      <c r="E1132" s="3" t="s">
        <v>42</v>
      </c>
      <c r="F1132" s="3" t="s">
        <v>942</v>
      </c>
      <c r="G1132" s="3" t="str">
        <f>INDEX(Risk_Matrix!$B$2:$D$4,MATCH(E1132,Risk_Matrix!$A$2:$A$4,0),MATCH(F1132,Risk_Matrix!$B$1:$D$1,0))</f>
        <v>High</v>
      </c>
      <c r="H1132" s="10">
        <v>46115</v>
      </c>
      <c r="I1132" s="3" t="s">
        <v>967</v>
      </c>
      <c r="J1132" s="3" t="s">
        <v>968</v>
      </c>
      <c r="K1132" s="3" t="s">
        <v>993</v>
      </c>
      <c r="L1132" s="3">
        <f>IF(G1132="High",3,IF(G1132="Medium",2,1))</f>
        <v>3</v>
      </c>
    </row>
    <row r="1133" spans="1:12">
      <c r="A1133" s="3" t="s">
        <v>2126</v>
      </c>
      <c r="B1133" s="3" t="s">
        <v>699</v>
      </c>
      <c r="C1133" s="3" t="s">
        <v>971</v>
      </c>
      <c r="D1133" s="3" t="s">
        <v>972</v>
      </c>
      <c r="E1133" s="3" t="s">
        <v>47</v>
      </c>
      <c r="F1133" s="3" t="s">
        <v>42</v>
      </c>
      <c r="G1133" s="3" t="str">
        <f>INDEX(Risk_Matrix!$B$2:$D$4,MATCH(E1133,Risk_Matrix!$A$2:$A$4,0),MATCH(F1133,Risk_Matrix!$B$1:$D$1,0))</f>
        <v>Medium</v>
      </c>
      <c r="H1133" s="10">
        <v>46147</v>
      </c>
      <c r="I1133" s="3" t="s">
        <v>973</v>
      </c>
      <c r="J1133" s="3" t="s">
        <v>974</v>
      </c>
      <c r="K1133" s="3" t="s">
        <v>969</v>
      </c>
      <c r="L1133" s="3">
        <f>IF(G1133="High",3,IF(G1133="Medium",2,1))</f>
        <v>2</v>
      </c>
    </row>
    <row r="1134" spans="1:12">
      <c r="A1134" s="3" t="s">
        <v>2127</v>
      </c>
      <c r="B1134" s="3" t="s">
        <v>699</v>
      </c>
      <c r="C1134" s="3" t="s">
        <v>976</v>
      </c>
      <c r="D1134" s="3" t="s">
        <v>991</v>
      </c>
      <c r="E1134" s="3" t="s">
        <v>942</v>
      </c>
      <c r="F1134" s="3" t="s">
        <v>47</v>
      </c>
      <c r="G1134" s="3" t="str">
        <f>INDEX(Risk_Matrix!$B$2:$D$4,MATCH(E1134,Risk_Matrix!$A$2:$A$4,0),MATCH(F1134,Risk_Matrix!$B$1:$D$1,0))</f>
        <v>Low</v>
      </c>
      <c r="H1134" s="10">
        <v>46147</v>
      </c>
      <c r="I1134" s="3" t="s">
        <v>973</v>
      </c>
      <c r="J1134" s="3" t="s">
        <v>974</v>
      </c>
      <c r="K1134" s="3" t="s">
        <v>983</v>
      </c>
      <c r="L1134" s="3">
        <f>IF(G1134="High",3,IF(G1134="Medium",2,1))</f>
        <v>1</v>
      </c>
    </row>
    <row r="1135" spans="1:12">
      <c r="A1135" s="3" t="s">
        <v>2128</v>
      </c>
      <c r="B1135" s="3" t="s">
        <v>699</v>
      </c>
      <c r="C1135" s="3" t="s">
        <v>979</v>
      </c>
      <c r="D1135" s="3" t="s">
        <v>980</v>
      </c>
      <c r="E1135" s="3" t="s">
        <v>942</v>
      </c>
      <c r="F1135" s="3" t="s">
        <v>47</v>
      </c>
      <c r="G1135" s="3" t="str">
        <f>INDEX(Risk_Matrix!$B$2:$D$4,MATCH(E1135,Risk_Matrix!$A$2:$A$4,0),MATCH(F1135,Risk_Matrix!$B$1:$D$1,0))</f>
        <v>Low</v>
      </c>
      <c r="H1135" s="10">
        <v>46110</v>
      </c>
      <c r="I1135" s="3" t="s">
        <v>981</v>
      </c>
      <c r="J1135" s="3" t="s">
        <v>982</v>
      </c>
      <c r="K1135" s="3" t="s">
        <v>993</v>
      </c>
      <c r="L1135" s="3">
        <f>IF(G1135="High",3,IF(G1135="Medium",2,1))</f>
        <v>1</v>
      </c>
    </row>
    <row r="1136" spans="1:12">
      <c r="A1136" s="3" t="s">
        <v>2129</v>
      </c>
      <c r="B1136" s="3" t="s">
        <v>700</v>
      </c>
      <c r="C1136" s="3" t="s">
        <v>956</v>
      </c>
      <c r="D1136" s="3" t="s">
        <v>1020</v>
      </c>
      <c r="E1136" s="3" t="s">
        <v>47</v>
      </c>
      <c r="F1136" s="3" t="s">
        <v>942</v>
      </c>
      <c r="G1136" s="3" t="str">
        <f>INDEX(Risk_Matrix!$B$2:$D$4,MATCH(E1136,Risk_Matrix!$A$2:$A$4,0),MATCH(F1136,Risk_Matrix!$B$1:$D$1,0))</f>
        <v>Low</v>
      </c>
      <c r="H1136" s="10">
        <v>46229</v>
      </c>
      <c r="I1136" s="3" t="s">
        <v>967</v>
      </c>
      <c r="J1136" s="3" t="s">
        <v>968</v>
      </c>
      <c r="K1136" s="3" t="s">
        <v>969</v>
      </c>
      <c r="L1136" s="3">
        <f>IF(G1136="High",3,IF(G1136="Medium",2,1))</f>
        <v>1</v>
      </c>
    </row>
    <row r="1137" spans="1:12">
      <c r="A1137" s="3" t="s">
        <v>2130</v>
      </c>
      <c r="B1137" s="3" t="s">
        <v>700</v>
      </c>
      <c r="C1137" s="3" t="s">
        <v>962</v>
      </c>
      <c r="D1137" s="3" t="s">
        <v>1037</v>
      </c>
      <c r="E1137" s="3" t="s">
        <v>47</v>
      </c>
      <c r="F1137" s="3" t="s">
        <v>47</v>
      </c>
      <c r="G1137" s="3" t="str">
        <f>INDEX(Risk_Matrix!$B$2:$D$4,MATCH(E1137,Risk_Matrix!$A$2:$A$4,0),MATCH(F1137,Risk_Matrix!$B$1:$D$1,0))</f>
        <v>Low</v>
      </c>
      <c r="H1137" s="10">
        <v>46215</v>
      </c>
      <c r="I1137" s="3" t="s">
        <v>981</v>
      </c>
      <c r="J1137" s="3" t="s">
        <v>982</v>
      </c>
      <c r="K1137" s="3" t="s">
        <v>983</v>
      </c>
      <c r="L1137" s="3">
        <f>IF(G1137="High",3,IF(G1137="Medium",2,1))</f>
        <v>1</v>
      </c>
    </row>
    <row r="1138" spans="1:12">
      <c r="A1138" s="3" t="s">
        <v>2131</v>
      </c>
      <c r="B1138" s="3" t="s">
        <v>700</v>
      </c>
      <c r="C1138" s="3" t="s">
        <v>965</v>
      </c>
      <c r="D1138" s="3" t="s">
        <v>1039</v>
      </c>
      <c r="E1138" s="3" t="s">
        <v>942</v>
      </c>
      <c r="F1138" s="3" t="s">
        <v>942</v>
      </c>
      <c r="G1138" s="3" t="str">
        <f>INDEX(Risk_Matrix!$B$2:$D$4,MATCH(E1138,Risk_Matrix!$A$2:$A$4,0),MATCH(F1138,Risk_Matrix!$B$1:$D$1,0))</f>
        <v>Medium</v>
      </c>
      <c r="H1138" s="10">
        <v>46197</v>
      </c>
      <c r="I1138" s="3" t="s">
        <v>981</v>
      </c>
      <c r="J1138" s="3" t="s">
        <v>982</v>
      </c>
      <c r="K1138" s="3" t="s">
        <v>1000</v>
      </c>
      <c r="L1138" s="3">
        <f>IF(G1138="High",3,IF(G1138="Medium",2,1))</f>
        <v>2</v>
      </c>
    </row>
    <row r="1139" spans="1:12">
      <c r="A1139" s="3" t="s">
        <v>2132</v>
      </c>
      <c r="B1139" s="3" t="s">
        <v>700</v>
      </c>
      <c r="C1139" s="3" t="s">
        <v>971</v>
      </c>
      <c r="D1139" s="3" t="s">
        <v>1016</v>
      </c>
      <c r="E1139" s="3" t="s">
        <v>42</v>
      </c>
      <c r="F1139" s="3" t="s">
        <v>942</v>
      </c>
      <c r="G1139" s="3" t="str">
        <f>INDEX(Risk_Matrix!$B$2:$D$4,MATCH(E1139,Risk_Matrix!$A$2:$A$4,0),MATCH(F1139,Risk_Matrix!$B$1:$D$1,0))</f>
        <v>High</v>
      </c>
      <c r="H1139" s="10">
        <v>46151</v>
      </c>
      <c r="I1139" s="3" t="s">
        <v>967</v>
      </c>
      <c r="J1139" s="3" t="s">
        <v>968</v>
      </c>
      <c r="K1139" s="3" t="s">
        <v>960</v>
      </c>
      <c r="L1139" s="3">
        <f>IF(G1139="High",3,IF(G1139="Medium",2,1))</f>
        <v>3</v>
      </c>
    </row>
    <row r="1140" spans="1:12">
      <c r="A1140" s="3" t="s">
        <v>2133</v>
      </c>
      <c r="B1140" s="3" t="s">
        <v>700</v>
      </c>
      <c r="C1140" s="3" t="s">
        <v>976</v>
      </c>
      <c r="D1140" s="3" t="s">
        <v>977</v>
      </c>
      <c r="E1140" s="3" t="s">
        <v>47</v>
      </c>
      <c r="F1140" s="3" t="s">
        <v>47</v>
      </c>
      <c r="G1140" s="3" t="str">
        <f>INDEX(Risk_Matrix!$B$2:$D$4,MATCH(E1140,Risk_Matrix!$A$2:$A$4,0),MATCH(F1140,Risk_Matrix!$B$1:$D$1,0))</f>
        <v>Low</v>
      </c>
      <c r="H1140" s="10">
        <v>46128</v>
      </c>
      <c r="I1140" s="3" t="s">
        <v>981</v>
      </c>
      <c r="J1140" s="3" t="s">
        <v>982</v>
      </c>
      <c r="K1140" s="3" t="s">
        <v>993</v>
      </c>
      <c r="L1140" s="3">
        <f>IF(G1140="High",3,IF(G1140="Medium",2,1))</f>
        <v>1</v>
      </c>
    </row>
    <row r="1141" spans="1:12">
      <c r="A1141" s="3" t="s">
        <v>2134</v>
      </c>
      <c r="B1141" s="3" t="s">
        <v>700</v>
      </c>
      <c r="C1141" s="3" t="s">
        <v>979</v>
      </c>
      <c r="D1141" s="3" t="s">
        <v>980</v>
      </c>
      <c r="E1141" s="3" t="s">
        <v>942</v>
      </c>
      <c r="F1141" s="3" t="s">
        <v>47</v>
      </c>
      <c r="G1141" s="3" t="str">
        <f>INDEX(Risk_Matrix!$B$2:$D$4,MATCH(E1141,Risk_Matrix!$A$2:$A$4,0),MATCH(F1141,Risk_Matrix!$B$1:$D$1,0))</f>
        <v>Low</v>
      </c>
      <c r="H1141" s="10">
        <v>46082</v>
      </c>
      <c r="I1141" s="3" t="s">
        <v>973</v>
      </c>
      <c r="J1141" s="3" t="s">
        <v>974</v>
      </c>
      <c r="K1141" s="3" t="s">
        <v>1000</v>
      </c>
      <c r="L1141" s="3">
        <f>IF(G1141="High",3,IF(G1141="Medium",2,1))</f>
        <v>1</v>
      </c>
    </row>
    <row r="1142" spans="1:12">
      <c r="A1142" s="3" t="s">
        <v>2135</v>
      </c>
      <c r="B1142" s="3" t="s">
        <v>701</v>
      </c>
      <c r="C1142" s="3" t="s">
        <v>956</v>
      </c>
      <c r="D1142" s="3" t="s">
        <v>957</v>
      </c>
      <c r="E1142" s="3" t="s">
        <v>42</v>
      </c>
      <c r="F1142" s="3" t="s">
        <v>942</v>
      </c>
      <c r="G1142" s="3" t="str">
        <f>INDEX(Risk_Matrix!$B$2:$D$4,MATCH(E1142,Risk_Matrix!$A$2:$A$4,0),MATCH(F1142,Risk_Matrix!$B$1:$D$1,0))</f>
        <v>High</v>
      </c>
      <c r="H1142" s="10">
        <v>46214</v>
      </c>
      <c r="I1142" s="3" t="s">
        <v>958</v>
      </c>
      <c r="J1142" s="3" t="s">
        <v>959</v>
      </c>
      <c r="K1142" s="3" t="s">
        <v>993</v>
      </c>
      <c r="L1142" s="3">
        <f>IF(G1142="High",3,IF(G1142="Medium",2,1))</f>
        <v>3</v>
      </c>
    </row>
    <row r="1143" spans="1:12">
      <c r="A1143" s="3" t="s">
        <v>2136</v>
      </c>
      <c r="B1143" s="3" t="s">
        <v>701</v>
      </c>
      <c r="C1143" s="3" t="s">
        <v>962</v>
      </c>
      <c r="D1143" s="3" t="s">
        <v>1037</v>
      </c>
      <c r="E1143" s="3" t="s">
        <v>942</v>
      </c>
      <c r="F1143" s="3" t="s">
        <v>47</v>
      </c>
      <c r="G1143" s="3" t="str">
        <f>INDEX(Risk_Matrix!$B$2:$D$4,MATCH(E1143,Risk_Matrix!$A$2:$A$4,0),MATCH(F1143,Risk_Matrix!$B$1:$D$1,0))</f>
        <v>Low</v>
      </c>
      <c r="H1143" s="10">
        <v>46216</v>
      </c>
      <c r="I1143" s="3" t="s">
        <v>981</v>
      </c>
      <c r="J1143" s="3" t="s">
        <v>982</v>
      </c>
      <c r="K1143" s="3" t="s">
        <v>960</v>
      </c>
      <c r="L1143" s="3">
        <f>IF(G1143="High",3,IF(G1143="Medium",2,1))</f>
        <v>1</v>
      </c>
    </row>
    <row r="1144" spans="1:12">
      <c r="A1144" s="3" t="s">
        <v>2137</v>
      </c>
      <c r="B1144" s="3" t="s">
        <v>701</v>
      </c>
      <c r="C1144" s="3" t="s">
        <v>965</v>
      </c>
      <c r="D1144" s="3" t="s">
        <v>1023</v>
      </c>
      <c r="E1144" s="3" t="s">
        <v>47</v>
      </c>
      <c r="F1144" s="3" t="s">
        <v>47</v>
      </c>
      <c r="G1144" s="3" t="str">
        <f>INDEX(Risk_Matrix!$B$2:$D$4,MATCH(E1144,Risk_Matrix!$A$2:$A$4,0),MATCH(F1144,Risk_Matrix!$B$1:$D$1,0))</f>
        <v>Low</v>
      </c>
      <c r="H1144" s="10">
        <v>46221</v>
      </c>
      <c r="I1144" s="3" t="s">
        <v>973</v>
      </c>
      <c r="J1144" s="3" t="s">
        <v>974</v>
      </c>
      <c r="K1144" s="3" t="s">
        <v>969</v>
      </c>
      <c r="L1144" s="3">
        <f>IF(G1144="High",3,IF(G1144="Medium",2,1))</f>
        <v>1</v>
      </c>
    </row>
    <row r="1145" spans="1:12">
      <c r="A1145" s="3" t="s">
        <v>2138</v>
      </c>
      <c r="B1145" s="3" t="s">
        <v>701</v>
      </c>
      <c r="C1145" s="3" t="s">
        <v>971</v>
      </c>
      <c r="D1145" s="3" t="s">
        <v>1016</v>
      </c>
      <c r="E1145" s="3" t="s">
        <v>47</v>
      </c>
      <c r="F1145" s="3" t="s">
        <v>47</v>
      </c>
      <c r="G1145" s="3" t="str">
        <f>INDEX(Risk_Matrix!$B$2:$D$4,MATCH(E1145,Risk_Matrix!$A$2:$A$4,0),MATCH(F1145,Risk_Matrix!$B$1:$D$1,0))</f>
        <v>Low</v>
      </c>
      <c r="H1145" s="10">
        <v>46121</v>
      </c>
      <c r="I1145" s="3" t="s">
        <v>973</v>
      </c>
      <c r="J1145" s="3" t="s">
        <v>974</v>
      </c>
      <c r="K1145" s="3" t="s">
        <v>969</v>
      </c>
      <c r="L1145" s="3">
        <f>IF(G1145="High",3,IF(G1145="Medium",2,1))</f>
        <v>1</v>
      </c>
    </row>
    <row r="1146" spans="1:12">
      <c r="A1146" s="3" t="s">
        <v>2139</v>
      </c>
      <c r="B1146" s="3" t="s">
        <v>701</v>
      </c>
      <c r="C1146" s="3" t="s">
        <v>976</v>
      </c>
      <c r="D1146" s="3" t="s">
        <v>991</v>
      </c>
      <c r="E1146" s="3" t="s">
        <v>42</v>
      </c>
      <c r="F1146" s="3" t="s">
        <v>942</v>
      </c>
      <c r="G1146" s="3" t="str">
        <f>INDEX(Risk_Matrix!$B$2:$D$4,MATCH(E1146,Risk_Matrix!$A$2:$A$4,0),MATCH(F1146,Risk_Matrix!$B$1:$D$1,0))</f>
        <v>High</v>
      </c>
      <c r="H1146" s="10">
        <v>46203</v>
      </c>
      <c r="I1146" s="3" t="s">
        <v>967</v>
      </c>
      <c r="J1146" s="3" t="s">
        <v>968</v>
      </c>
      <c r="K1146" s="3" t="s">
        <v>993</v>
      </c>
      <c r="L1146" s="3">
        <f>IF(G1146="High",3,IF(G1146="Medium",2,1))</f>
        <v>3</v>
      </c>
    </row>
    <row r="1147" spans="1:12">
      <c r="A1147" s="3" t="s">
        <v>2140</v>
      </c>
      <c r="B1147" s="3" t="s">
        <v>701</v>
      </c>
      <c r="C1147" s="3" t="s">
        <v>979</v>
      </c>
      <c r="D1147" s="3" t="s">
        <v>980</v>
      </c>
      <c r="E1147" s="3" t="s">
        <v>47</v>
      </c>
      <c r="F1147" s="3" t="s">
        <v>47</v>
      </c>
      <c r="G1147" s="3" t="str">
        <f>INDEX(Risk_Matrix!$B$2:$D$4,MATCH(E1147,Risk_Matrix!$A$2:$A$4,0),MATCH(F1147,Risk_Matrix!$B$1:$D$1,0))</f>
        <v>Low</v>
      </c>
      <c r="H1147" s="10">
        <v>46134</v>
      </c>
      <c r="I1147" s="3" t="s">
        <v>973</v>
      </c>
      <c r="J1147" s="3" t="s">
        <v>974</v>
      </c>
      <c r="K1147" s="3" t="s">
        <v>1000</v>
      </c>
      <c r="L1147" s="3">
        <f>IF(G1147="High",3,IF(G1147="Medium",2,1))</f>
        <v>1</v>
      </c>
    </row>
    <row r="1148" spans="1:12">
      <c r="A1148" s="3" t="s">
        <v>2141</v>
      </c>
      <c r="B1148" s="3" t="s">
        <v>703</v>
      </c>
      <c r="C1148" s="3" t="s">
        <v>956</v>
      </c>
      <c r="D1148" s="3" t="s">
        <v>1020</v>
      </c>
      <c r="E1148" s="3" t="s">
        <v>47</v>
      </c>
      <c r="F1148" s="3" t="s">
        <v>942</v>
      </c>
      <c r="G1148" s="3" t="str">
        <f>INDEX(Risk_Matrix!$B$2:$D$4,MATCH(E1148,Risk_Matrix!$A$2:$A$4,0),MATCH(F1148,Risk_Matrix!$B$1:$D$1,0))</f>
        <v>Low</v>
      </c>
      <c r="H1148" s="10">
        <v>46158</v>
      </c>
      <c r="I1148" s="3" t="s">
        <v>967</v>
      </c>
      <c r="J1148" s="3" t="s">
        <v>968</v>
      </c>
      <c r="K1148" s="3" t="s">
        <v>969</v>
      </c>
      <c r="L1148" s="3">
        <f>IF(G1148="High",3,IF(G1148="Medium",2,1))</f>
        <v>1</v>
      </c>
    </row>
    <row r="1149" spans="1:12">
      <c r="A1149" s="3" t="s">
        <v>2142</v>
      </c>
      <c r="B1149" s="3" t="s">
        <v>703</v>
      </c>
      <c r="C1149" s="3" t="s">
        <v>962</v>
      </c>
      <c r="D1149" s="3" t="s">
        <v>963</v>
      </c>
      <c r="E1149" s="3" t="s">
        <v>942</v>
      </c>
      <c r="F1149" s="3" t="s">
        <v>942</v>
      </c>
      <c r="G1149" s="3" t="str">
        <f>INDEX(Risk_Matrix!$B$2:$D$4,MATCH(E1149,Risk_Matrix!$A$2:$A$4,0),MATCH(F1149,Risk_Matrix!$B$1:$D$1,0))</f>
        <v>Medium</v>
      </c>
      <c r="H1149" s="10">
        <v>46064</v>
      </c>
      <c r="I1149" s="3" t="s">
        <v>973</v>
      </c>
      <c r="J1149" s="3" t="s">
        <v>974</v>
      </c>
      <c r="K1149" s="3" t="s">
        <v>993</v>
      </c>
      <c r="L1149" s="3">
        <f>IF(G1149="High",3,IF(G1149="Medium",2,1))</f>
        <v>2</v>
      </c>
    </row>
    <row r="1150" spans="1:12">
      <c r="A1150" s="3" t="s">
        <v>2143</v>
      </c>
      <c r="B1150" s="3" t="s">
        <v>703</v>
      </c>
      <c r="C1150" s="3" t="s">
        <v>965</v>
      </c>
      <c r="D1150" s="3" t="s">
        <v>1023</v>
      </c>
      <c r="E1150" s="3" t="s">
        <v>942</v>
      </c>
      <c r="F1150" s="3" t="s">
        <v>47</v>
      </c>
      <c r="G1150" s="3" t="str">
        <f>INDEX(Risk_Matrix!$B$2:$D$4,MATCH(E1150,Risk_Matrix!$A$2:$A$4,0),MATCH(F1150,Risk_Matrix!$B$1:$D$1,0))</f>
        <v>Low</v>
      </c>
      <c r="H1150" s="10">
        <v>46236</v>
      </c>
      <c r="I1150" s="3" t="s">
        <v>981</v>
      </c>
      <c r="J1150" s="3" t="s">
        <v>982</v>
      </c>
      <c r="K1150" s="3" t="s">
        <v>983</v>
      </c>
      <c r="L1150" s="3">
        <f>IF(G1150="High",3,IF(G1150="Medium",2,1))</f>
        <v>1</v>
      </c>
    </row>
    <row r="1151" spans="1:12">
      <c r="A1151" s="3" t="s">
        <v>2144</v>
      </c>
      <c r="B1151" s="3" t="s">
        <v>703</v>
      </c>
      <c r="C1151" s="3" t="s">
        <v>971</v>
      </c>
      <c r="D1151" s="3" t="s">
        <v>972</v>
      </c>
      <c r="E1151" s="3" t="s">
        <v>47</v>
      </c>
      <c r="F1151" s="3" t="s">
        <v>47</v>
      </c>
      <c r="G1151" s="3" t="str">
        <f>INDEX(Risk_Matrix!$B$2:$D$4,MATCH(E1151,Risk_Matrix!$A$2:$A$4,0),MATCH(F1151,Risk_Matrix!$B$1:$D$1,0))</f>
        <v>Low</v>
      </c>
      <c r="H1151" s="10">
        <v>46220</v>
      </c>
      <c r="I1151" s="3" t="s">
        <v>973</v>
      </c>
      <c r="J1151" s="3" t="s">
        <v>974</v>
      </c>
      <c r="K1151" s="3" t="s">
        <v>983</v>
      </c>
      <c r="L1151" s="3">
        <f>IF(G1151="High",3,IF(G1151="Medium",2,1))</f>
        <v>1</v>
      </c>
    </row>
    <row r="1152" spans="1:12">
      <c r="A1152" s="3" t="s">
        <v>2145</v>
      </c>
      <c r="B1152" s="3" t="s">
        <v>703</v>
      </c>
      <c r="C1152" s="3" t="s">
        <v>976</v>
      </c>
      <c r="D1152" s="3" t="s">
        <v>991</v>
      </c>
      <c r="E1152" s="3" t="s">
        <v>42</v>
      </c>
      <c r="F1152" s="3" t="s">
        <v>942</v>
      </c>
      <c r="G1152" s="3" t="str">
        <f>INDEX(Risk_Matrix!$B$2:$D$4,MATCH(E1152,Risk_Matrix!$A$2:$A$4,0),MATCH(F1152,Risk_Matrix!$B$1:$D$1,0))</f>
        <v>High</v>
      </c>
      <c r="H1152" s="10">
        <v>46119</v>
      </c>
      <c r="I1152" s="3" t="s">
        <v>973</v>
      </c>
      <c r="J1152" s="3" t="s">
        <v>974</v>
      </c>
      <c r="K1152" s="3" t="s">
        <v>1000</v>
      </c>
      <c r="L1152" s="3">
        <f>IF(G1152="High",3,IF(G1152="Medium",2,1))</f>
        <v>3</v>
      </c>
    </row>
    <row r="1153" spans="1:12">
      <c r="A1153" s="3" t="s">
        <v>2146</v>
      </c>
      <c r="B1153" s="3" t="s">
        <v>703</v>
      </c>
      <c r="C1153" s="3" t="s">
        <v>979</v>
      </c>
      <c r="D1153" s="3" t="s">
        <v>1028</v>
      </c>
      <c r="E1153" s="3" t="s">
        <v>47</v>
      </c>
      <c r="F1153" s="3" t="s">
        <v>47</v>
      </c>
      <c r="G1153" s="3" t="str">
        <f>INDEX(Risk_Matrix!$B$2:$D$4,MATCH(E1153,Risk_Matrix!$A$2:$A$4,0),MATCH(F1153,Risk_Matrix!$B$1:$D$1,0))</f>
        <v>Low</v>
      </c>
      <c r="H1153" s="10">
        <v>46137</v>
      </c>
      <c r="I1153" s="3" t="s">
        <v>973</v>
      </c>
      <c r="J1153" s="3" t="s">
        <v>974</v>
      </c>
      <c r="K1153" s="3" t="s">
        <v>960</v>
      </c>
      <c r="L1153" s="3">
        <f>IF(G1153="High",3,IF(G1153="Medium",2,1))</f>
        <v>1</v>
      </c>
    </row>
    <row r="1154" spans="1:12">
      <c r="A1154" s="3" t="s">
        <v>2147</v>
      </c>
      <c r="B1154" s="3" t="s">
        <v>705</v>
      </c>
      <c r="C1154" s="3" t="s">
        <v>956</v>
      </c>
      <c r="D1154" s="3" t="s">
        <v>1020</v>
      </c>
      <c r="E1154" s="3" t="s">
        <v>47</v>
      </c>
      <c r="F1154" s="3" t="s">
        <v>47</v>
      </c>
      <c r="G1154" s="3" t="str">
        <f>INDEX(Risk_Matrix!$B$2:$D$4,MATCH(E1154,Risk_Matrix!$A$2:$A$4,0),MATCH(F1154,Risk_Matrix!$B$1:$D$1,0))</f>
        <v>Low</v>
      </c>
      <c r="H1154" s="10">
        <v>46084</v>
      </c>
      <c r="I1154" s="3" t="s">
        <v>973</v>
      </c>
      <c r="J1154" s="3" t="s">
        <v>974</v>
      </c>
      <c r="K1154" s="3" t="s">
        <v>960</v>
      </c>
      <c r="L1154" s="3">
        <f>IF(G1154="High",3,IF(G1154="Medium",2,1))</f>
        <v>1</v>
      </c>
    </row>
    <row r="1155" spans="1:12">
      <c r="A1155" s="3" t="s">
        <v>2148</v>
      </c>
      <c r="B1155" s="3" t="s">
        <v>705</v>
      </c>
      <c r="C1155" s="3" t="s">
        <v>962</v>
      </c>
      <c r="D1155" s="3" t="s">
        <v>1037</v>
      </c>
      <c r="E1155" s="3" t="s">
        <v>942</v>
      </c>
      <c r="F1155" s="3" t="s">
        <v>47</v>
      </c>
      <c r="G1155" s="3" t="str">
        <f>INDEX(Risk_Matrix!$B$2:$D$4,MATCH(E1155,Risk_Matrix!$A$2:$A$4,0),MATCH(F1155,Risk_Matrix!$B$1:$D$1,0))</f>
        <v>Low</v>
      </c>
      <c r="H1155" s="10">
        <v>46229</v>
      </c>
      <c r="I1155" s="3" t="s">
        <v>973</v>
      </c>
      <c r="J1155" s="3" t="s">
        <v>974</v>
      </c>
      <c r="K1155" s="3" t="s">
        <v>1000</v>
      </c>
      <c r="L1155" s="3">
        <f>IF(G1155="High",3,IF(G1155="Medium",2,1))</f>
        <v>1</v>
      </c>
    </row>
    <row r="1156" spans="1:12">
      <c r="A1156" s="3" t="s">
        <v>2149</v>
      </c>
      <c r="B1156" s="3" t="s">
        <v>705</v>
      </c>
      <c r="C1156" s="3" t="s">
        <v>965</v>
      </c>
      <c r="D1156" s="3" t="s">
        <v>1039</v>
      </c>
      <c r="E1156" s="3" t="s">
        <v>42</v>
      </c>
      <c r="F1156" s="3" t="s">
        <v>47</v>
      </c>
      <c r="G1156" s="3" t="str">
        <f>INDEX(Risk_Matrix!$B$2:$D$4,MATCH(E1156,Risk_Matrix!$A$2:$A$4,0),MATCH(F1156,Risk_Matrix!$B$1:$D$1,0))</f>
        <v>Medium</v>
      </c>
      <c r="H1156" s="10">
        <v>46093</v>
      </c>
      <c r="I1156" s="3" t="s">
        <v>973</v>
      </c>
      <c r="J1156" s="3" t="s">
        <v>974</v>
      </c>
      <c r="K1156" s="3" t="s">
        <v>993</v>
      </c>
      <c r="L1156" s="3">
        <f>IF(G1156="High",3,IF(G1156="Medium",2,1))</f>
        <v>2</v>
      </c>
    </row>
    <row r="1157" spans="1:12">
      <c r="A1157" s="3" t="s">
        <v>2150</v>
      </c>
      <c r="B1157" s="3" t="s">
        <v>705</v>
      </c>
      <c r="C1157" s="3" t="s">
        <v>971</v>
      </c>
      <c r="D1157" s="3" t="s">
        <v>1016</v>
      </c>
      <c r="E1157" s="3" t="s">
        <v>942</v>
      </c>
      <c r="F1157" s="3" t="s">
        <v>47</v>
      </c>
      <c r="G1157" s="3" t="str">
        <f>INDEX(Risk_Matrix!$B$2:$D$4,MATCH(E1157,Risk_Matrix!$A$2:$A$4,0),MATCH(F1157,Risk_Matrix!$B$1:$D$1,0))</f>
        <v>Low</v>
      </c>
      <c r="H1157" s="10">
        <v>46128</v>
      </c>
      <c r="I1157" s="3" t="s">
        <v>981</v>
      </c>
      <c r="J1157" s="3" t="s">
        <v>982</v>
      </c>
      <c r="K1157" s="3" t="s">
        <v>960</v>
      </c>
      <c r="L1157" s="3">
        <f>IF(G1157="High",3,IF(G1157="Medium",2,1))</f>
        <v>1</v>
      </c>
    </row>
    <row r="1158" spans="1:12">
      <c r="A1158" s="3" t="s">
        <v>2151</v>
      </c>
      <c r="B1158" s="3" t="s">
        <v>705</v>
      </c>
      <c r="C1158" s="3" t="s">
        <v>976</v>
      </c>
      <c r="D1158" s="3" t="s">
        <v>977</v>
      </c>
      <c r="E1158" s="3" t="s">
        <v>47</v>
      </c>
      <c r="F1158" s="3" t="s">
        <v>42</v>
      </c>
      <c r="G1158" s="3" t="str">
        <f>INDEX(Risk_Matrix!$B$2:$D$4,MATCH(E1158,Risk_Matrix!$A$2:$A$4,0),MATCH(F1158,Risk_Matrix!$B$1:$D$1,0))</f>
        <v>Medium</v>
      </c>
      <c r="H1158" s="10">
        <v>46063</v>
      </c>
      <c r="I1158" s="3" t="s">
        <v>958</v>
      </c>
      <c r="J1158" s="3" t="s">
        <v>959</v>
      </c>
      <c r="K1158" s="3" t="s">
        <v>960</v>
      </c>
      <c r="L1158" s="3">
        <f>IF(G1158="High",3,IF(G1158="Medium",2,1))</f>
        <v>2</v>
      </c>
    </row>
    <row r="1159" spans="1:12">
      <c r="A1159" s="3" t="s">
        <v>2152</v>
      </c>
      <c r="B1159" s="3" t="s">
        <v>705</v>
      </c>
      <c r="C1159" s="3" t="s">
        <v>979</v>
      </c>
      <c r="D1159" s="3" t="s">
        <v>1028</v>
      </c>
      <c r="E1159" s="3" t="s">
        <v>47</v>
      </c>
      <c r="F1159" s="3" t="s">
        <v>47</v>
      </c>
      <c r="G1159" s="3" t="str">
        <f>INDEX(Risk_Matrix!$B$2:$D$4,MATCH(E1159,Risk_Matrix!$A$2:$A$4,0),MATCH(F1159,Risk_Matrix!$B$1:$D$1,0))</f>
        <v>Low</v>
      </c>
      <c r="H1159" s="10">
        <v>46168</v>
      </c>
      <c r="I1159" s="3" t="s">
        <v>973</v>
      </c>
      <c r="J1159" s="3" t="s">
        <v>974</v>
      </c>
      <c r="K1159" s="3" t="s">
        <v>960</v>
      </c>
      <c r="L1159" s="3">
        <f>IF(G1159="High",3,IF(G1159="Medium",2,1))</f>
        <v>1</v>
      </c>
    </row>
    <row r="1160" spans="1:12">
      <c r="A1160" s="3" t="s">
        <v>2153</v>
      </c>
      <c r="B1160" s="3" t="s">
        <v>707</v>
      </c>
      <c r="C1160" s="3" t="s">
        <v>956</v>
      </c>
      <c r="D1160" s="3" t="s">
        <v>957</v>
      </c>
      <c r="E1160" s="3" t="s">
        <v>47</v>
      </c>
      <c r="F1160" s="3" t="s">
        <v>942</v>
      </c>
      <c r="G1160" s="3" t="str">
        <f>INDEX(Risk_Matrix!$B$2:$D$4,MATCH(E1160,Risk_Matrix!$A$2:$A$4,0),MATCH(F1160,Risk_Matrix!$B$1:$D$1,0))</f>
        <v>Low</v>
      </c>
      <c r="H1160" s="10">
        <v>46104</v>
      </c>
      <c r="I1160" s="3" t="s">
        <v>981</v>
      </c>
      <c r="J1160" s="3" t="s">
        <v>982</v>
      </c>
      <c r="K1160" s="3" t="s">
        <v>983</v>
      </c>
      <c r="L1160" s="3">
        <f>IF(G1160="High",3,IF(G1160="Medium",2,1))</f>
        <v>1</v>
      </c>
    </row>
    <row r="1161" spans="1:12">
      <c r="A1161" s="3" t="s">
        <v>2154</v>
      </c>
      <c r="B1161" s="3" t="s">
        <v>707</v>
      </c>
      <c r="C1161" s="3" t="s">
        <v>962</v>
      </c>
      <c r="D1161" s="3" t="s">
        <v>986</v>
      </c>
      <c r="E1161" s="3" t="s">
        <v>47</v>
      </c>
      <c r="F1161" s="3" t="s">
        <v>47</v>
      </c>
      <c r="G1161" s="3" t="str">
        <f>INDEX(Risk_Matrix!$B$2:$D$4,MATCH(E1161,Risk_Matrix!$A$2:$A$4,0),MATCH(F1161,Risk_Matrix!$B$1:$D$1,0))</f>
        <v>Low</v>
      </c>
      <c r="H1161" s="10">
        <v>46129</v>
      </c>
      <c r="I1161" s="3" t="s">
        <v>981</v>
      </c>
      <c r="J1161" s="3" t="s">
        <v>982</v>
      </c>
      <c r="K1161" s="3" t="s">
        <v>969</v>
      </c>
      <c r="L1161" s="3">
        <f>IF(G1161="High",3,IF(G1161="Medium",2,1))</f>
        <v>1</v>
      </c>
    </row>
    <row r="1162" spans="1:12">
      <c r="A1162" s="3" t="s">
        <v>2155</v>
      </c>
      <c r="B1162" s="3" t="s">
        <v>707</v>
      </c>
      <c r="C1162" s="3" t="s">
        <v>965</v>
      </c>
      <c r="D1162" s="3" t="s">
        <v>966</v>
      </c>
      <c r="E1162" s="3" t="s">
        <v>47</v>
      </c>
      <c r="F1162" s="3" t="s">
        <v>47</v>
      </c>
      <c r="G1162" s="3" t="str">
        <f>INDEX(Risk_Matrix!$B$2:$D$4,MATCH(E1162,Risk_Matrix!$A$2:$A$4,0),MATCH(F1162,Risk_Matrix!$B$1:$D$1,0))</f>
        <v>Low</v>
      </c>
      <c r="H1162" s="10">
        <v>46117</v>
      </c>
      <c r="I1162" s="3" t="s">
        <v>967</v>
      </c>
      <c r="J1162" s="3" t="s">
        <v>968</v>
      </c>
      <c r="K1162" s="3" t="s">
        <v>1000</v>
      </c>
      <c r="L1162" s="3">
        <f>IF(G1162="High",3,IF(G1162="Medium",2,1))</f>
        <v>1</v>
      </c>
    </row>
    <row r="1163" spans="1:12">
      <c r="A1163" s="3" t="s">
        <v>2156</v>
      </c>
      <c r="B1163" s="3" t="s">
        <v>707</v>
      </c>
      <c r="C1163" s="3" t="s">
        <v>971</v>
      </c>
      <c r="D1163" s="3" t="s">
        <v>1016</v>
      </c>
      <c r="E1163" s="3" t="s">
        <v>942</v>
      </c>
      <c r="F1163" s="3" t="s">
        <v>42</v>
      </c>
      <c r="G1163" s="3" t="str">
        <f>INDEX(Risk_Matrix!$B$2:$D$4,MATCH(E1163,Risk_Matrix!$A$2:$A$4,0),MATCH(F1163,Risk_Matrix!$B$1:$D$1,0))</f>
        <v>High</v>
      </c>
      <c r="H1163" s="10">
        <v>46061</v>
      </c>
      <c r="I1163" s="3" t="s">
        <v>967</v>
      </c>
      <c r="J1163" s="3" t="s">
        <v>968</v>
      </c>
      <c r="K1163" s="3" t="s">
        <v>1000</v>
      </c>
      <c r="L1163" s="3">
        <f>IF(G1163="High",3,IF(G1163="Medium",2,1))</f>
        <v>3</v>
      </c>
    </row>
    <row r="1164" spans="1:12">
      <c r="A1164" s="3" t="s">
        <v>2157</v>
      </c>
      <c r="B1164" s="3" t="s">
        <v>707</v>
      </c>
      <c r="C1164" s="3" t="s">
        <v>976</v>
      </c>
      <c r="D1164" s="3" t="s">
        <v>991</v>
      </c>
      <c r="E1164" s="3" t="s">
        <v>942</v>
      </c>
      <c r="F1164" s="3" t="s">
        <v>942</v>
      </c>
      <c r="G1164" s="3" t="str">
        <f>INDEX(Risk_Matrix!$B$2:$D$4,MATCH(E1164,Risk_Matrix!$A$2:$A$4,0),MATCH(F1164,Risk_Matrix!$B$1:$D$1,0))</f>
        <v>Medium</v>
      </c>
      <c r="H1164" s="10">
        <v>46188</v>
      </c>
      <c r="I1164" s="3" t="s">
        <v>981</v>
      </c>
      <c r="J1164" s="3" t="s">
        <v>982</v>
      </c>
      <c r="K1164" s="3" t="s">
        <v>993</v>
      </c>
      <c r="L1164" s="3">
        <f>IF(G1164="High",3,IF(G1164="Medium",2,1))</f>
        <v>2</v>
      </c>
    </row>
    <row r="1165" spans="1:12">
      <c r="A1165" s="3" t="s">
        <v>2158</v>
      </c>
      <c r="B1165" s="3" t="s">
        <v>707</v>
      </c>
      <c r="C1165" s="3" t="s">
        <v>979</v>
      </c>
      <c r="D1165" s="3" t="s">
        <v>980</v>
      </c>
      <c r="E1165" s="3" t="s">
        <v>942</v>
      </c>
      <c r="F1165" s="3" t="s">
        <v>942</v>
      </c>
      <c r="G1165" s="3" t="str">
        <f>INDEX(Risk_Matrix!$B$2:$D$4,MATCH(E1165,Risk_Matrix!$A$2:$A$4,0),MATCH(F1165,Risk_Matrix!$B$1:$D$1,0))</f>
        <v>Medium</v>
      </c>
      <c r="H1165" s="10">
        <v>46157</v>
      </c>
      <c r="I1165" s="3" t="s">
        <v>973</v>
      </c>
      <c r="J1165" s="3" t="s">
        <v>974</v>
      </c>
      <c r="K1165" s="3" t="s">
        <v>993</v>
      </c>
      <c r="L1165" s="3">
        <f>IF(G1165="High",3,IF(G1165="Medium",2,1))</f>
        <v>2</v>
      </c>
    </row>
    <row r="1166" spans="1:12">
      <c r="A1166" s="3" t="s">
        <v>2159</v>
      </c>
      <c r="B1166" s="3" t="s">
        <v>709</v>
      </c>
      <c r="C1166" s="3" t="s">
        <v>956</v>
      </c>
      <c r="D1166" s="3" t="s">
        <v>1020</v>
      </c>
      <c r="E1166" s="3" t="s">
        <v>42</v>
      </c>
      <c r="F1166" s="3" t="s">
        <v>42</v>
      </c>
      <c r="G1166" s="3" t="str">
        <f>INDEX(Risk_Matrix!$B$2:$D$4,MATCH(E1166,Risk_Matrix!$A$2:$A$4,0),MATCH(F1166,Risk_Matrix!$B$1:$D$1,0))</f>
        <v>High</v>
      </c>
      <c r="H1166" s="10">
        <v>46157</v>
      </c>
      <c r="I1166" s="3" t="s">
        <v>967</v>
      </c>
      <c r="J1166" s="3" t="s">
        <v>968</v>
      </c>
      <c r="K1166" s="3" t="s">
        <v>993</v>
      </c>
      <c r="L1166" s="3">
        <f>IF(G1166="High",3,IF(G1166="Medium",2,1))</f>
        <v>3</v>
      </c>
    </row>
    <row r="1167" spans="1:12">
      <c r="A1167" s="3" t="s">
        <v>2160</v>
      </c>
      <c r="B1167" s="3" t="s">
        <v>709</v>
      </c>
      <c r="C1167" s="3" t="s">
        <v>962</v>
      </c>
      <c r="D1167" s="3" t="s">
        <v>997</v>
      </c>
      <c r="E1167" s="3" t="s">
        <v>47</v>
      </c>
      <c r="F1167" s="3" t="s">
        <v>942</v>
      </c>
      <c r="G1167" s="3" t="str">
        <f>INDEX(Risk_Matrix!$B$2:$D$4,MATCH(E1167,Risk_Matrix!$A$2:$A$4,0),MATCH(F1167,Risk_Matrix!$B$1:$D$1,0))</f>
        <v>Low</v>
      </c>
      <c r="H1167" s="10">
        <v>46206</v>
      </c>
      <c r="I1167" s="3" t="s">
        <v>958</v>
      </c>
      <c r="J1167" s="3" t="s">
        <v>959</v>
      </c>
      <c r="K1167" s="3" t="s">
        <v>960</v>
      </c>
      <c r="L1167" s="3">
        <f>IF(G1167="High",3,IF(G1167="Medium",2,1))</f>
        <v>1</v>
      </c>
    </row>
    <row r="1168" spans="1:12">
      <c r="A1168" s="3" t="s">
        <v>2161</v>
      </c>
      <c r="B1168" s="3" t="s">
        <v>709</v>
      </c>
      <c r="C1168" s="3" t="s">
        <v>965</v>
      </c>
      <c r="D1168" s="3" t="s">
        <v>1023</v>
      </c>
      <c r="E1168" s="3" t="s">
        <v>47</v>
      </c>
      <c r="F1168" s="3" t="s">
        <v>942</v>
      </c>
      <c r="G1168" s="3" t="str">
        <f>INDEX(Risk_Matrix!$B$2:$D$4,MATCH(E1168,Risk_Matrix!$A$2:$A$4,0),MATCH(F1168,Risk_Matrix!$B$1:$D$1,0))</f>
        <v>Low</v>
      </c>
      <c r="H1168" s="10">
        <v>46060</v>
      </c>
      <c r="I1168" s="3" t="s">
        <v>973</v>
      </c>
      <c r="J1168" s="3" t="s">
        <v>974</v>
      </c>
      <c r="K1168" s="3" t="s">
        <v>1000</v>
      </c>
      <c r="L1168" s="3">
        <f>IF(G1168="High",3,IF(G1168="Medium",2,1))</f>
        <v>1</v>
      </c>
    </row>
    <row r="1169" spans="1:12">
      <c r="A1169" s="3" t="s">
        <v>2162</v>
      </c>
      <c r="B1169" s="3" t="s">
        <v>709</v>
      </c>
      <c r="C1169" s="3" t="s">
        <v>971</v>
      </c>
      <c r="D1169" s="3" t="s">
        <v>972</v>
      </c>
      <c r="E1169" s="3" t="s">
        <v>942</v>
      </c>
      <c r="F1169" s="3" t="s">
        <v>47</v>
      </c>
      <c r="G1169" s="3" t="str">
        <f>INDEX(Risk_Matrix!$B$2:$D$4,MATCH(E1169,Risk_Matrix!$A$2:$A$4,0),MATCH(F1169,Risk_Matrix!$B$1:$D$1,0))</f>
        <v>Low</v>
      </c>
      <c r="H1169" s="10">
        <v>46190</v>
      </c>
      <c r="I1169" s="3" t="s">
        <v>973</v>
      </c>
      <c r="J1169" s="3" t="s">
        <v>974</v>
      </c>
      <c r="K1169" s="3" t="s">
        <v>1000</v>
      </c>
      <c r="L1169" s="3">
        <f>IF(G1169="High",3,IF(G1169="Medium",2,1))</f>
        <v>1</v>
      </c>
    </row>
    <row r="1170" spans="1:12">
      <c r="A1170" s="3" t="s">
        <v>2163</v>
      </c>
      <c r="B1170" s="3" t="s">
        <v>709</v>
      </c>
      <c r="C1170" s="3" t="s">
        <v>976</v>
      </c>
      <c r="D1170" s="3" t="s">
        <v>977</v>
      </c>
      <c r="E1170" s="3" t="s">
        <v>47</v>
      </c>
      <c r="F1170" s="3" t="s">
        <v>47</v>
      </c>
      <c r="G1170" s="3" t="str">
        <f>INDEX(Risk_Matrix!$B$2:$D$4,MATCH(E1170,Risk_Matrix!$A$2:$A$4,0),MATCH(F1170,Risk_Matrix!$B$1:$D$1,0))</f>
        <v>Low</v>
      </c>
      <c r="H1170" s="10">
        <v>46160</v>
      </c>
      <c r="I1170" s="3" t="s">
        <v>973</v>
      </c>
      <c r="J1170" s="3" t="s">
        <v>974</v>
      </c>
      <c r="K1170" s="3" t="s">
        <v>1000</v>
      </c>
      <c r="L1170" s="3">
        <f>IF(G1170="High",3,IF(G1170="Medium",2,1))</f>
        <v>1</v>
      </c>
    </row>
    <row r="1171" spans="1:12">
      <c r="A1171" s="3" t="s">
        <v>2164</v>
      </c>
      <c r="B1171" s="3" t="s">
        <v>709</v>
      </c>
      <c r="C1171" s="3" t="s">
        <v>979</v>
      </c>
      <c r="D1171" s="3" t="s">
        <v>1004</v>
      </c>
      <c r="E1171" s="3" t="s">
        <v>942</v>
      </c>
      <c r="F1171" s="3" t="s">
        <v>942</v>
      </c>
      <c r="G1171" s="3" t="str">
        <f>INDEX(Risk_Matrix!$B$2:$D$4,MATCH(E1171,Risk_Matrix!$A$2:$A$4,0),MATCH(F1171,Risk_Matrix!$B$1:$D$1,0))</f>
        <v>Medium</v>
      </c>
      <c r="H1171" s="10">
        <v>46133</v>
      </c>
      <c r="I1171" s="3" t="s">
        <v>967</v>
      </c>
      <c r="J1171" s="3" t="s">
        <v>968</v>
      </c>
      <c r="K1171" s="3" t="s">
        <v>969</v>
      </c>
      <c r="L1171" s="3">
        <f>IF(G1171="High",3,IF(G1171="Medium",2,1))</f>
        <v>2</v>
      </c>
    </row>
    <row r="1172" spans="1:12">
      <c r="A1172" s="3" t="s">
        <v>2165</v>
      </c>
      <c r="B1172" s="3" t="s">
        <v>710</v>
      </c>
      <c r="C1172" s="3" t="s">
        <v>956</v>
      </c>
      <c r="D1172" s="3" t="s">
        <v>995</v>
      </c>
      <c r="E1172" s="3" t="s">
        <v>942</v>
      </c>
      <c r="F1172" s="3" t="s">
        <v>47</v>
      </c>
      <c r="G1172" s="3" t="str">
        <f>INDEX(Risk_Matrix!$B$2:$D$4,MATCH(E1172,Risk_Matrix!$A$2:$A$4,0),MATCH(F1172,Risk_Matrix!$B$1:$D$1,0))</f>
        <v>Low</v>
      </c>
      <c r="H1172" s="10">
        <v>46153</v>
      </c>
      <c r="I1172" s="3" t="s">
        <v>958</v>
      </c>
      <c r="J1172" s="3" t="s">
        <v>959</v>
      </c>
      <c r="K1172" s="3" t="s">
        <v>993</v>
      </c>
      <c r="L1172" s="3">
        <f>IF(G1172="High",3,IF(G1172="Medium",2,1))</f>
        <v>1</v>
      </c>
    </row>
    <row r="1173" spans="1:12">
      <c r="A1173" s="3" t="s">
        <v>2166</v>
      </c>
      <c r="B1173" s="3" t="s">
        <v>710</v>
      </c>
      <c r="C1173" s="3" t="s">
        <v>962</v>
      </c>
      <c r="D1173" s="3" t="s">
        <v>1037</v>
      </c>
      <c r="E1173" s="3" t="s">
        <v>47</v>
      </c>
      <c r="F1173" s="3" t="s">
        <v>47</v>
      </c>
      <c r="G1173" s="3" t="str">
        <f>INDEX(Risk_Matrix!$B$2:$D$4,MATCH(E1173,Risk_Matrix!$A$2:$A$4,0),MATCH(F1173,Risk_Matrix!$B$1:$D$1,0))</f>
        <v>Low</v>
      </c>
      <c r="H1173" s="10">
        <v>46197</v>
      </c>
      <c r="I1173" s="3" t="s">
        <v>967</v>
      </c>
      <c r="J1173" s="3" t="s">
        <v>968</v>
      </c>
      <c r="K1173" s="3" t="s">
        <v>1000</v>
      </c>
      <c r="L1173" s="3">
        <f>IF(G1173="High",3,IF(G1173="Medium",2,1))</f>
        <v>1</v>
      </c>
    </row>
    <row r="1174" spans="1:12">
      <c r="A1174" s="3" t="s">
        <v>2167</v>
      </c>
      <c r="B1174" s="3" t="s">
        <v>710</v>
      </c>
      <c r="C1174" s="3" t="s">
        <v>965</v>
      </c>
      <c r="D1174" s="3" t="s">
        <v>988</v>
      </c>
      <c r="E1174" s="3" t="s">
        <v>47</v>
      </c>
      <c r="F1174" s="3" t="s">
        <v>942</v>
      </c>
      <c r="G1174" s="3" t="str">
        <f>INDEX(Risk_Matrix!$B$2:$D$4,MATCH(E1174,Risk_Matrix!$A$2:$A$4,0),MATCH(F1174,Risk_Matrix!$B$1:$D$1,0))</f>
        <v>Low</v>
      </c>
      <c r="H1174" s="10">
        <v>46127</v>
      </c>
      <c r="I1174" s="3" t="s">
        <v>967</v>
      </c>
      <c r="J1174" s="3" t="s">
        <v>968</v>
      </c>
      <c r="K1174" s="3" t="s">
        <v>969</v>
      </c>
      <c r="L1174" s="3">
        <f>IF(G1174="High",3,IF(G1174="Medium",2,1))</f>
        <v>1</v>
      </c>
    </row>
    <row r="1175" spans="1:12">
      <c r="A1175" s="3" t="s">
        <v>2168</v>
      </c>
      <c r="B1175" s="3" t="s">
        <v>710</v>
      </c>
      <c r="C1175" s="3" t="s">
        <v>971</v>
      </c>
      <c r="D1175" s="3" t="s">
        <v>1016</v>
      </c>
      <c r="E1175" s="3" t="s">
        <v>942</v>
      </c>
      <c r="F1175" s="3" t="s">
        <v>42</v>
      </c>
      <c r="G1175" s="3" t="str">
        <f>INDEX(Risk_Matrix!$B$2:$D$4,MATCH(E1175,Risk_Matrix!$A$2:$A$4,0),MATCH(F1175,Risk_Matrix!$B$1:$D$1,0))</f>
        <v>High</v>
      </c>
      <c r="H1175" s="10">
        <v>46216</v>
      </c>
      <c r="I1175" s="3" t="s">
        <v>981</v>
      </c>
      <c r="J1175" s="3" t="s">
        <v>982</v>
      </c>
      <c r="K1175" s="3" t="s">
        <v>993</v>
      </c>
      <c r="L1175" s="3">
        <f>IF(G1175="High",3,IF(G1175="Medium",2,1))</f>
        <v>3</v>
      </c>
    </row>
    <row r="1176" spans="1:12">
      <c r="A1176" s="3" t="s">
        <v>2169</v>
      </c>
      <c r="B1176" s="3" t="s">
        <v>710</v>
      </c>
      <c r="C1176" s="3" t="s">
        <v>976</v>
      </c>
      <c r="D1176" s="3" t="s">
        <v>977</v>
      </c>
      <c r="E1176" s="3" t="s">
        <v>942</v>
      </c>
      <c r="F1176" s="3" t="s">
        <v>942</v>
      </c>
      <c r="G1176" s="3" t="str">
        <f>INDEX(Risk_Matrix!$B$2:$D$4,MATCH(E1176,Risk_Matrix!$A$2:$A$4,0),MATCH(F1176,Risk_Matrix!$B$1:$D$1,0))</f>
        <v>Medium</v>
      </c>
      <c r="H1176" s="10">
        <v>46111</v>
      </c>
      <c r="I1176" s="3" t="s">
        <v>967</v>
      </c>
      <c r="J1176" s="3" t="s">
        <v>968</v>
      </c>
      <c r="K1176" s="3" t="s">
        <v>1000</v>
      </c>
      <c r="L1176" s="3">
        <f>IF(G1176="High",3,IF(G1176="Medium",2,1))</f>
        <v>2</v>
      </c>
    </row>
    <row r="1177" spans="1:12">
      <c r="A1177" s="3" t="s">
        <v>2170</v>
      </c>
      <c r="B1177" s="3" t="s">
        <v>710</v>
      </c>
      <c r="C1177" s="3" t="s">
        <v>979</v>
      </c>
      <c r="D1177" s="3" t="s">
        <v>980</v>
      </c>
      <c r="E1177" s="3" t="s">
        <v>47</v>
      </c>
      <c r="F1177" s="3" t="s">
        <v>47</v>
      </c>
      <c r="G1177" s="3" t="str">
        <f>INDEX(Risk_Matrix!$B$2:$D$4,MATCH(E1177,Risk_Matrix!$A$2:$A$4,0),MATCH(F1177,Risk_Matrix!$B$1:$D$1,0))</f>
        <v>Low</v>
      </c>
      <c r="H1177" s="10">
        <v>46230</v>
      </c>
      <c r="I1177" s="3" t="s">
        <v>967</v>
      </c>
      <c r="J1177" s="3" t="s">
        <v>968</v>
      </c>
      <c r="K1177" s="3" t="s">
        <v>969</v>
      </c>
      <c r="L1177" s="3">
        <f>IF(G1177="High",3,IF(G1177="Medium",2,1))</f>
        <v>1</v>
      </c>
    </row>
    <row r="1178" spans="1:12">
      <c r="A1178" s="3" t="s">
        <v>2171</v>
      </c>
      <c r="B1178" s="3" t="s">
        <v>711</v>
      </c>
      <c r="C1178" s="3" t="s">
        <v>956</v>
      </c>
      <c r="D1178" s="3" t="s">
        <v>1012</v>
      </c>
      <c r="E1178" s="3" t="s">
        <v>47</v>
      </c>
      <c r="F1178" s="3" t="s">
        <v>942</v>
      </c>
      <c r="G1178" s="3" t="str">
        <f>INDEX(Risk_Matrix!$B$2:$D$4,MATCH(E1178,Risk_Matrix!$A$2:$A$4,0),MATCH(F1178,Risk_Matrix!$B$1:$D$1,0))</f>
        <v>Low</v>
      </c>
      <c r="H1178" s="10">
        <v>46209</v>
      </c>
      <c r="I1178" s="3" t="s">
        <v>967</v>
      </c>
      <c r="J1178" s="3" t="s">
        <v>968</v>
      </c>
      <c r="K1178" s="3" t="s">
        <v>983</v>
      </c>
      <c r="L1178" s="3">
        <f>IF(G1178="High",3,IF(G1178="Medium",2,1))</f>
        <v>1</v>
      </c>
    </row>
    <row r="1179" spans="1:12">
      <c r="A1179" s="3" t="s">
        <v>2172</v>
      </c>
      <c r="B1179" s="3" t="s">
        <v>711</v>
      </c>
      <c r="C1179" s="3" t="s">
        <v>962</v>
      </c>
      <c r="D1179" s="3" t="s">
        <v>997</v>
      </c>
      <c r="E1179" s="3" t="s">
        <v>42</v>
      </c>
      <c r="F1179" s="3" t="s">
        <v>47</v>
      </c>
      <c r="G1179" s="3" t="str">
        <f>INDEX(Risk_Matrix!$B$2:$D$4,MATCH(E1179,Risk_Matrix!$A$2:$A$4,0),MATCH(F1179,Risk_Matrix!$B$1:$D$1,0))</f>
        <v>Medium</v>
      </c>
      <c r="H1179" s="10">
        <v>46120</v>
      </c>
      <c r="I1179" s="3" t="s">
        <v>981</v>
      </c>
      <c r="J1179" s="3" t="s">
        <v>982</v>
      </c>
      <c r="K1179" s="3" t="s">
        <v>960</v>
      </c>
      <c r="L1179" s="3">
        <f>IF(G1179="High",3,IF(G1179="Medium",2,1))</f>
        <v>2</v>
      </c>
    </row>
    <row r="1180" spans="1:12">
      <c r="A1180" s="3" t="s">
        <v>2173</v>
      </c>
      <c r="B1180" s="3" t="s">
        <v>711</v>
      </c>
      <c r="C1180" s="3" t="s">
        <v>965</v>
      </c>
      <c r="D1180" s="3" t="s">
        <v>988</v>
      </c>
      <c r="E1180" s="3" t="s">
        <v>47</v>
      </c>
      <c r="F1180" s="3" t="s">
        <v>47</v>
      </c>
      <c r="G1180" s="3" t="str">
        <f>INDEX(Risk_Matrix!$B$2:$D$4,MATCH(E1180,Risk_Matrix!$A$2:$A$4,0),MATCH(F1180,Risk_Matrix!$B$1:$D$1,0))</f>
        <v>Low</v>
      </c>
      <c r="H1180" s="10">
        <v>46166</v>
      </c>
      <c r="I1180" s="3" t="s">
        <v>973</v>
      </c>
      <c r="J1180" s="3" t="s">
        <v>974</v>
      </c>
      <c r="K1180" s="3" t="s">
        <v>969</v>
      </c>
      <c r="L1180" s="3">
        <f>IF(G1180="High",3,IF(G1180="Medium",2,1))</f>
        <v>1</v>
      </c>
    </row>
    <row r="1181" spans="1:12">
      <c r="A1181" s="3" t="s">
        <v>2174</v>
      </c>
      <c r="B1181" s="3" t="s">
        <v>711</v>
      </c>
      <c r="C1181" s="3" t="s">
        <v>971</v>
      </c>
      <c r="D1181" s="3" t="s">
        <v>1016</v>
      </c>
      <c r="E1181" s="3" t="s">
        <v>47</v>
      </c>
      <c r="F1181" s="3" t="s">
        <v>942</v>
      </c>
      <c r="G1181" s="3" t="str">
        <f>INDEX(Risk_Matrix!$B$2:$D$4,MATCH(E1181,Risk_Matrix!$A$2:$A$4,0),MATCH(F1181,Risk_Matrix!$B$1:$D$1,0))</f>
        <v>Low</v>
      </c>
      <c r="H1181" s="10">
        <v>46132</v>
      </c>
      <c r="I1181" s="3" t="s">
        <v>981</v>
      </c>
      <c r="J1181" s="3" t="s">
        <v>982</v>
      </c>
      <c r="K1181" s="3" t="s">
        <v>983</v>
      </c>
      <c r="L1181" s="3">
        <f>IF(G1181="High",3,IF(G1181="Medium",2,1))</f>
        <v>1</v>
      </c>
    </row>
    <row r="1182" spans="1:12">
      <c r="A1182" s="3" t="s">
        <v>2175</v>
      </c>
      <c r="B1182" s="3" t="s">
        <v>711</v>
      </c>
      <c r="C1182" s="3" t="s">
        <v>976</v>
      </c>
      <c r="D1182" s="3" t="s">
        <v>977</v>
      </c>
      <c r="E1182" s="3" t="s">
        <v>42</v>
      </c>
      <c r="F1182" s="3" t="s">
        <v>47</v>
      </c>
      <c r="G1182" s="3" t="str">
        <f>INDEX(Risk_Matrix!$B$2:$D$4,MATCH(E1182,Risk_Matrix!$A$2:$A$4,0),MATCH(F1182,Risk_Matrix!$B$1:$D$1,0))</f>
        <v>Medium</v>
      </c>
      <c r="H1182" s="10">
        <v>46199</v>
      </c>
      <c r="I1182" s="3" t="s">
        <v>973</v>
      </c>
      <c r="J1182" s="3" t="s">
        <v>974</v>
      </c>
      <c r="K1182" s="3" t="s">
        <v>969</v>
      </c>
      <c r="L1182" s="3">
        <f>IF(G1182="High",3,IF(G1182="Medium",2,1))</f>
        <v>2</v>
      </c>
    </row>
    <row r="1183" spans="1:12">
      <c r="A1183" s="3" t="s">
        <v>2176</v>
      </c>
      <c r="B1183" s="3" t="s">
        <v>711</v>
      </c>
      <c r="C1183" s="3" t="s">
        <v>979</v>
      </c>
      <c r="D1183" s="3" t="s">
        <v>980</v>
      </c>
      <c r="E1183" s="3" t="s">
        <v>942</v>
      </c>
      <c r="F1183" s="3" t="s">
        <v>942</v>
      </c>
      <c r="G1183" s="3" t="str">
        <f>INDEX(Risk_Matrix!$B$2:$D$4,MATCH(E1183,Risk_Matrix!$A$2:$A$4,0),MATCH(F1183,Risk_Matrix!$B$1:$D$1,0))</f>
        <v>Medium</v>
      </c>
      <c r="H1183" s="10">
        <v>46092</v>
      </c>
      <c r="I1183" s="3" t="s">
        <v>973</v>
      </c>
      <c r="J1183" s="3" t="s">
        <v>974</v>
      </c>
      <c r="K1183" s="3" t="s">
        <v>960</v>
      </c>
      <c r="L1183" s="3">
        <f>IF(G1183="High",3,IF(G1183="Medium",2,1))</f>
        <v>2</v>
      </c>
    </row>
    <row r="1184" spans="1:12">
      <c r="A1184" s="3" t="s">
        <v>2177</v>
      </c>
      <c r="B1184" s="3" t="s">
        <v>712</v>
      </c>
      <c r="C1184" s="3" t="s">
        <v>956</v>
      </c>
      <c r="D1184" s="3" t="s">
        <v>1020</v>
      </c>
      <c r="E1184" s="3" t="s">
        <v>942</v>
      </c>
      <c r="F1184" s="3" t="s">
        <v>47</v>
      </c>
      <c r="G1184" s="3" t="str">
        <f>INDEX(Risk_Matrix!$B$2:$D$4,MATCH(E1184,Risk_Matrix!$A$2:$A$4,0),MATCH(F1184,Risk_Matrix!$B$1:$D$1,0))</f>
        <v>Low</v>
      </c>
      <c r="H1184" s="10">
        <v>46138</v>
      </c>
      <c r="I1184" s="3" t="s">
        <v>967</v>
      </c>
      <c r="J1184" s="3" t="s">
        <v>968</v>
      </c>
      <c r="K1184" s="3" t="s">
        <v>993</v>
      </c>
      <c r="L1184" s="3">
        <f>IF(G1184="High",3,IF(G1184="Medium",2,1))</f>
        <v>1</v>
      </c>
    </row>
    <row r="1185" spans="1:12">
      <c r="A1185" s="3" t="s">
        <v>2178</v>
      </c>
      <c r="B1185" s="3" t="s">
        <v>712</v>
      </c>
      <c r="C1185" s="3" t="s">
        <v>962</v>
      </c>
      <c r="D1185" s="3" t="s">
        <v>997</v>
      </c>
      <c r="E1185" s="3" t="s">
        <v>47</v>
      </c>
      <c r="F1185" s="3" t="s">
        <v>942</v>
      </c>
      <c r="G1185" s="3" t="str">
        <f>INDEX(Risk_Matrix!$B$2:$D$4,MATCH(E1185,Risk_Matrix!$A$2:$A$4,0),MATCH(F1185,Risk_Matrix!$B$1:$D$1,0))</f>
        <v>Low</v>
      </c>
      <c r="H1185" s="10">
        <v>46194</v>
      </c>
      <c r="I1185" s="3" t="s">
        <v>958</v>
      </c>
      <c r="J1185" s="3" t="s">
        <v>959</v>
      </c>
      <c r="K1185" s="3" t="s">
        <v>960</v>
      </c>
      <c r="L1185" s="3">
        <f>IF(G1185="High",3,IF(G1185="Medium",2,1))</f>
        <v>1</v>
      </c>
    </row>
    <row r="1186" spans="1:12">
      <c r="A1186" s="3" t="s">
        <v>2179</v>
      </c>
      <c r="B1186" s="3" t="s">
        <v>712</v>
      </c>
      <c r="C1186" s="3" t="s">
        <v>965</v>
      </c>
      <c r="D1186" s="3" t="s">
        <v>966</v>
      </c>
      <c r="E1186" s="3" t="s">
        <v>942</v>
      </c>
      <c r="F1186" s="3" t="s">
        <v>47</v>
      </c>
      <c r="G1186" s="3" t="str">
        <f>INDEX(Risk_Matrix!$B$2:$D$4,MATCH(E1186,Risk_Matrix!$A$2:$A$4,0),MATCH(F1186,Risk_Matrix!$B$1:$D$1,0))</f>
        <v>Low</v>
      </c>
      <c r="H1186" s="10">
        <v>46206</v>
      </c>
      <c r="I1186" s="3" t="s">
        <v>973</v>
      </c>
      <c r="J1186" s="3" t="s">
        <v>974</v>
      </c>
      <c r="K1186" s="3" t="s">
        <v>1000</v>
      </c>
      <c r="L1186" s="3">
        <f>IF(G1186="High",3,IF(G1186="Medium",2,1))</f>
        <v>1</v>
      </c>
    </row>
    <row r="1187" spans="1:12">
      <c r="A1187" s="3" t="s">
        <v>2180</v>
      </c>
      <c r="B1187" s="3" t="s">
        <v>712</v>
      </c>
      <c r="C1187" s="3" t="s">
        <v>971</v>
      </c>
      <c r="D1187" s="3" t="s">
        <v>972</v>
      </c>
      <c r="E1187" s="3" t="s">
        <v>942</v>
      </c>
      <c r="F1187" s="3" t="s">
        <v>942</v>
      </c>
      <c r="G1187" s="3" t="str">
        <f>INDEX(Risk_Matrix!$B$2:$D$4,MATCH(E1187,Risk_Matrix!$A$2:$A$4,0),MATCH(F1187,Risk_Matrix!$B$1:$D$1,0))</f>
        <v>Medium</v>
      </c>
      <c r="H1187" s="10">
        <v>46078</v>
      </c>
      <c r="I1187" s="3" t="s">
        <v>981</v>
      </c>
      <c r="J1187" s="3" t="s">
        <v>982</v>
      </c>
      <c r="K1187" s="3" t="s">
        <v>969</v>
      </c>
      <c r="L1187" s="3">
        <f>IF(G1187="High",3,IF(G1187="Medium",2,1))</f>
        <v>2</v>
      </c>
    </row>
    <row r="1188" spans="1:12">
      <c r="A1188" s="3" t="s">
        <v>2181</v>
      </c>
      <c r="B1188" s="3" t="s">
        <v>712</v>
      </c>
      <c r="C1188" s="3" t="s">
        <v>976</v>
      </c>
      <c r="D1188" s="3" t="s">
        <v>1002</v>
      </c>
      <c r="E1188" s="3" t="s">
        <v>47</v>
      </c>
      <c r="F1188" s="3" t="s">
        <v>47</v>
      </c>
      <c r="G1188" s="3" t="str">
        <f>INDEX(Risk_Matrix!$B$2:$D$4,MATCH(E1188,Risk_Matrix!$A$2:$A$4,0),MATCH(F1188,Risk_Matrix!$B$1:$D$1,0))</f>
        <v>Low</v>
      </c>
      <c r="H1188" s="10">
        <v>46232</v>
      </c>
      <c r="I1188" s="3" t="s">
        <v>973</v>
      </c>
      <c r="J1188" s="3" t="s">
        <v>974</v>
      </c>
      <c r="K1188" s="3" t="s">
        <v>960</v>
      </c>
      <c r="L1188" s="3">
        <f>IF(G1188="High",3,IF(G1188="Medium",2,1))</f>
        <v>1</v>
      </c>
    </row>
    <row r="1189" spans="1:12">
      <c r="A1189" s="3" t="s">
        <v>2182</v>
      </c>
      <c r="B1189" s="3" t="s">
        <v>712</v>
      </c>
      <c r="C1189" s="3" t="s">
        <v>979</v>
      </c>
      <c r="D1189" s="3" t="s">
        <v>1004</v>
      </c>
      <c r="E1189" s="3" t="s">
        <v>942</v>
      </c>
      <c r="F1189" s="3" t="s">
        <v>942</v>
      </c>
      <c r="G1189" s="3" t="str">
        <f>INDEX(Risk_Matrix!$B$2:$D$4,MATCH(E1189,Risk_Matrix!$A$2:$A$4,0),MATCH(F1189,Risk_Matrix!$B$1:$D$1,0))</f>
        <v>Medium</v>
      </c>
      <c r="H1189" s="10">
        <v>46099</v>
      </c>
      <c r="I1189" s="3" t="s">
        <v>973</v>
      </c>
      <c r="J1189" s="3" t="s">
        <v>974</v>
      </c>
      <c r="K1189" s="3" t="s">
        <v>993</v>
      </c>
      <c r="L1189" s="3">
        <f>IF(G1189="High",3,IF(G1189="Medium",2,1))</f>
        <v>2</v>
      </c>
    </row>
    <row r="1190" spans="1:12">
      <c r="A1190" s="3" t="s">
        <v>2183</v>
      </c>
      <c r="B1190" s="3" t="s">
        <v>713</v>
      </c>
      <c r="C1190" s="3" t="s">
        <v>956</v>
      </c>
      <c r="D1190" s="3" t="s">
        <v>1012</v>
      </c>
      <c r="E1190" s="3" t="s">
        <v>47</v>
      </c>
      <c r="F1190" s="3" t="s">
        <v>942</v>
      </c>
      <c r="G1190" s="3" t="str">
        <f>INDEX(Risk_Matrix!$B$2:$D$4,MATCH(E1190,Risk_Matrix!$A$2:$A$4,0),MATCH(F1190,Risk_Matrix!$B$1:$D$1,0))</f>
        <v>Low</v>
      </c>
      <c r="H1190" s="10">
        <v>46076</v>
      </c>
      <c r="I1190" s="3" t="s">
        <v>958</v>
      </c>
      <c r="J1190" s="3" t="s">
        <v>959</v>
      </c>
      <c r="K1190" s="3" t="s">
        <v>969</v>
      </c>
      <c r="L1190" s="3">
        <f>IF(G1190="High",3,IF(G1190="Medium",2,1))</f>
        <v>1</v>
      </c>
    </row>
    <row r="1191" spans="1:12">
      <c r="A1191" s="3" t="s">
        <v>2184</v>
      </c>
      <c r="B1191" s="3" t="s">
        <v>713</v>
      </c>
      <c r="C1191" s="3" t="s">
        <v>962</v>
      </c>
      <c r="D1191" s="3" t="s">
        <v>1037</v>
      </c>
      <c r="E1191" s="3" t="s">
        <v>47</v>
      </c>
      <c r="F1191" s="3" t="s">
        <v>42</v>
      </c>
      <c r="G1191" s="3" t="str">
        <f>INDEX(Risk_Matrix!$B$2:$D$4,MATCH(E1191,Risk_Matrix!$A$2:$A$4,0),MATCH(F1191,Risk_Matrix!$B$1:$D$1,0))</f>
        <v>Medium</v>
      </c>
      <c r="H1191" s="10">
        <v>46101</v>
      </c>
      <c r="I1191" s="3" t="s">
        <v>973</v>
      </c>
      <c r="J1191" s="3" t="s">
        <v>974</v>
      </c>
      <c r="K1191" s="3" t="s">
        <v>983</v>
      </c>
      <c r="L1191" s="3">
        <f>IF(G1191="High",3,IF(G1191="Medium",2,1))</f>
        <v>2</v>
      </c>
    </row>
    <row r="1192" spans="1:12">
      <c r="A1192" s="3" t="s">
        <v>2185</v>
      </c>
      <c r="B1192" s="3" t="s">
        <v>713</v>
      </c>
      <c r="C1192" s="3" t="s">
        <v>965</v>
      </c>
      <c r="D1192" s="3" t="s">
        <v>988</v>
      </c>
      <c r="E1192" s="3" t="s">
        <v>942</v>
      </c>
      <c r="F1192" s="3" t="s">
        <v>942</v>
      </c>
      <c r="G1192" s="3" t="str">
        <f>INDEX(Risk_Matrix!$B$2:$D$4,MATCH(E1192,Risk_Matrix!$A$2:$A$4,0),MATCH(F1192,Risk_Matrix!$B$1:$D$1,0))</f>
        <v>Medium</v>
      </c>
      <c r="H1192" s="10">
        <v>46202</v>
      </c>
      <c r="I1192" s="3" t="s">
        <v>973</v>
      </c>
      <c r="J1192" s="3" t="s">
        <v>974</v>
      </c>
      <c r="K1192" s="3" t="s">
        <v>993</v>
      </c>
      <c r="L1192" s="3">
        <f>IF(G1192="High",3,IF(G1192="Medium",2,1))</f>
        <v>2</v>
      </c>
    </row>
    <row r="1193" spans="1:12">
      <c r="A1193" s="3" t="s">
        <v>2186</v>
      </c>
      <c r="B1193" s="3" t="s">
        <v>713</v>
      </c>
      <c r="C1193" s="3" t="s">
        <v>971</v>
      </c>
      <c r="D1193" s="3" t="s">
        <v>1016</v>
      </c>
      <c r="E1193" s="3" t="s">
        <v>42</v>
      </c>
      <c r="F1193" s="3" t="s">
        <v>42</v>
      </c>
      <c r="G1193" s="3" t="str">
        <f>INDEX(Risk_Matrix!$B$2:$D$4,MATCH(E1193,Risk_Matrix!$A$2:$A$4,0),MATCH(F1193,Risk_Matrix!$B$1:$D$1,0))</f>
        <v>High</v>
      </c>
      <c r="H1193" s="10">
        <v>46086</v>
      </c>
      <c r="I1193" s="3" t="s">
        <v>973</v>
      </c>
      <c r="J1193" s="3" t="s">
        <v>974</v>
      </c>
      <c r="K1193" s="3" t="s">
        <v>993</v>
      </c>
      <c r="L1193" s="3">
        <f>IF(G1193="High",3,IF(G1193="Medium",2,1))</f>
        <v>3</v>
      </c>
    </row>
    <row r="1194" spans="1:12">
      <c r="A1194" s="3" t="s">
        <v>2187</v>
      </c>
      <c r="B1194" s="3" t="s">
        <v>713</v>
      </c>
      <c r="C1194" s="3" t="s">
        <v>976</v>
      </c>
      <c r="D1194" s="3" t="s">
        <v>977</v>
      </c>
      <c r="E1194" s="3" t="s">
        <v>47</v>
      </c>
      <c r="F1194" s="3" t="s">
        <v>47</v>
      </c>
      <c r="G1194" s="3" t="str">
        <f>INDEX(Risk_Matrix!$B$2:$D$4,MATCH(E1194,Risk_Matrix!$A$2:$A$4,0),MATCH(F1194,Risk_Matrix!$B$1:$D$1,0))</f>
        <v>Low</v>
      </c>
      <c r="H1194" s="10">
        <v>46219</v>
      </c>
      <c r="I1194" s="3" t="s">
        <v>973</v>
      </c>
      <c r="J1194" s="3" t="s">
        <v>974</v>
      </c>
      <c r="K1194" s="3" t="s">
        <v>960</v>
      </c>
      <c r="L1194" s="3">
        <f>IF(G1194="High",3,IF(G1194="Medium",2,1))</f>
        <v>1</v>
      </c>
    </row>
    <row r="1195" spans="1:12">
      <c r="A1195" s="3" t="s">
        <v>2188</v>
      </c>
      <c r="B1195" s="3" t="s">
        <v>713</v>
      </c>
      <c r="C1195" s="3" t="s">
        <v>979</v>
      </c>
      <c r="D1195" s="3" t="s">
        <v>1028</v>
      </c>
      <c r="E1195" s="3" t="s">
        <v>42</v>
      </c>
      <c r="F1195" s="3" t="s">
        <v>47</v>
      </c>
      <c r="G1195" s="3" t="str">
        <f>INDEX(Risk_Matrix!$B$2:$D$4,MATCH(E1195,Risk_Matrix!$A$2:$A$4,0),MATCH(F1195,Risk_Matrix!$B$1:$D$1,0))</f>
        <v>Medium</v>
      </c>
      <c r="H1195" s="10">
        <v>46233</v>
      </c>
      <c r="I1195" s="3" t="s">
        <v>973</v>
      </c>
      <c r="J1195" s="3" t="s">
        <v>974</v>
      </c>
      <c r="K1195" s="3" t="s">
        <v>960</v>
      </c>
      <c r="L1195" s="3">
        <f>IF(G1195="High",3,IF(G1195="Medium",2,1))</f>
        <v>2</v>
      </c>
    </row>
    <row r="1196" spans="1:12">
      <c r="A1196" s="3" t="s">
        <v>2189</v>
      </c>
      <c r="B1196" s="3" t="s">
        <v>714</v>
      </c>
      <c r="C1196" s="3" t="s">
        <v>956</v>
      </c>
      <c r="D1196" s="3" t="s">
        <v>957</v>
      </c>
      <c r="E1196" s="3" t="s">
        <v>47</v>
      </c>
      <c r="F1196" s="3" t="s">
        <v>942</v>
      </c>
      <c r="G1196" s="3" t="str">
        <f>INDEX(Risk_Matrix!$B$2:$D$4,MATCH(E1196,Risk_Matrix!$A$2:$A$4,0),MATCH(F1196,Risk_Matrix!$B$1:$D$1,0))</f>
        <v>Low</v>
      </c>
      <c r="H1196" s="10">
        <v>46131</v>
      </c>
      <c r="I1196" s="3" t="s">
        <v>973</v>
      </c>
      <c r="J1196" s="3" t="s">
        <v>974</v>
      </c>
      <c r="K1196" s="3" t="s">
        <v>960</v>
      </c>
      <c r="L1196" s="3">
        <f>IF(G1196="High",3,IF(G1196="Medium",2,1))</f>
        <v>1</v>
      </c>
    </row>
    <row r="1197" spans="1:12">
      <c r="A1197" s="3" t="s">
        <v>2190</v>
      </c>
      <c r="B1197" s="3" t="s">
        <v>714</v>
      </c>
      <c r="C1197" s="3" t="s">
        <v>962</v>
      </c>
      <c r="D1197" s="3" t="s">
        <v>986</v>
      </c>
      <c r="E1197" s="3" t="s">
        <v>942</v>
      </c>
      <c r="F1197" s="3" t="s">
        <v>47</v>
      </c>
      <c r="G1197" s="3" t="str">
        <f>INDEX(Risk_Matrix!$B$2:$D$4,MATCH(E1197,Risk_Matrix!$A$2:$A$4,0),MATCH(F1197,Risk_Matrix!$B$1:$D$1,0))</f>
        <v>Low</v>
      </c>
      <c r="H1197" s="10">
        <v>46162</v>
      </c>
      <c r="I1197" s="3" t="s">
        <v>973</v>
      </c>
      <c r="J1197" s="3" t="s">
        <v>974</v>
      </c>
      <c r="K1197" s="3" t="s">
        <v>993</v>
      </c>
      <c r="L1197" s="3">
        <f>IF(G1197="High",3,IF(G1197="Medium",2,1))</f>
        <v>1</v>
      </c>
    </row>
    <row r="1198" spans="1:12">
      <c r="A1198" s="3" t="s">
        <v>2191</v>
      </c>
      <c r="B1198" s="3" t="s">
        <v>714</v>
      </c>
      <c r="C1198" s="3" t="s">
        <v>965</v>
      </c>
      <c r="D1198" s="3" t="s">
        <v>1039</v>
      </c>
      <c r="E1198" s="3" t="s">
        <v>942</v>
      </c>
      <c r="F1198" s="3" t="s">
        <v>942</v>
      </c>
      <c r="G1198" s="3" t="str">
        <f>INDEX(Risk_Matrix!$B$2:$D$4,MATCH(E1198,Risk_Matrix!$A$2:$A$4,0),MATCH(F1198,Risk_Matrix!$B$1:$D$1,0))</f>
        <v>Medium</v>
      </c>
      <c r="H1198" s="10">
        <v>46208</v>
      </c>
      <c r="I1198" s="3" t="s">
        <v>981</v>
      </c>
      <c r="J1198" s="3" t="s">
        <v>982</v>
      </c>
      <c r="K1198" s="3" t="s">
        <v>969</v>
      </c>
      <c r="L1198" s="3">
        <f>IF(G1198="High",3,IF(G1198="Medium",2,1))</f>
        <v>2</v>
      </c>
    </row>
    <row r="1199" spans="1:12">
      <c r="A1199" s="3" t="s">
        <v>2192</v>
      </c>
      <c r="B1199" s="3" t="s">
        <v>714</v>
      </c>
      <c r="C1199" s="3" t="s">
        <v>971</v>
      </c>
      <c r="D1199" s="3" t="s">
        <v>1025</v>
      </c>
      <c r="E1199" s="3" t="s">
        <v>47</v>
      </c>
      <c r="F1199" s="3" t="s">
        <v>942</v>
      </c>
      <c r="G1199" s="3" t="str">
        <f>INDEX(Risk_Matrix!$B$2:$D$4,MATCH(E1199,Risk_Matrix!$A$2:$A$4,0),MATCH(F1199,Risk_Matrix!$B$1:$D$1,0))</f>
        <v>Low</v>
      </c>
      <c r="H1199" s="10">
        <v>46198</v>
      </c>
      <c r="I1199" s="3" t="s">
        <v>967</v>
      </c>
      <c r="J1199" s="3" t="s">
        <v>968</v>
      </c>
      <c r="K1199" s="3" t="s">
        <v>1000</v>
      </c>
      <c r="L1199" s="3">
        <f>IF(G1199="High",3,IF(G1199="Medium",2,1))</f>
        <v>1</v>
      </c>
    </row>
    <row r="1200" spans="1:12">
      <c r="A1200" s="3" t="s">
        <v>2193</v>
      </c>
      <c r="B1200" s="3" t="s">
        <v>714</v>
      </c>
      <c r="C1200" s="3" t="s">
        <v>976</v>
      </c>
      <c r="D1200" s="3" t="s">
        <v>1002</v>
      </c>
      <c r="E1200" s="3" t="s">
        <v>47</v>
      </c>
      <c r="F1200" s="3" t="s">
        <v>47</v>
      </c>
      <c r="G1200" s="3" t="str">
        <f>INDEX(Risk_Matrix!$B$2:$D$4,MATCH(E1200,Risk_Matrix!$A$2:$A$4,0),MATCH(F1200,Risk_Matrix!$B$1:$D$1,0))</f>
        <v>Low</v>
      </c>
      <c r="H1200" s="10">
        <v>46101</v>
      </c>
      <c r="I1200" s="3" t="s">
        <v>967</v>
      </c>
      <c r="J1200" s="3" t="s">
        <v>968</v>
      </c>
      <c r="K1200" s="3" t="s">
        <v>993</v>
      </c>
      <c r="L1200" s="3">
        <f>IF(G1200="High",3,IF(G1200="Medium",2,1))</f>
        <v>1</v>
      </c>
    </row>
    <row r="1201" spans="1:12">
      <c r="A1201" s="3" t="s">
        <v>2194</v>
      </c>
      <c r="B1201" s="3" t="s">
        <v>714</v>
      </c>
      <c r="C1201" s="3" t="s">
        <v>979</v>
      </c>
      <c r="D1201" s="3" t="s">
        <v>980</v>
      </c>
      <c r="E1201" s="3" t="s">
        <v>942</v>
      </c>
      <c r="F1201" s="3" t="s">
        <v>47</v>
      </c>
      <c r="G1201" s="3" t="str">
        <f>INDEX(Risk_Matrix!$B$2:$D$4,MATCH(E1201,Risk_Matrix!$A$2:$A$4,0),MATCH(F1201,Risk_Matrix!$B$1:$D$1,0))</f>
        <v>Low</v>
      </c>
      <c r="H1201" s="10">
        <v>46209</v>
      </c>
      <c r="I1201" s="3" t="s">
        <v>981</v>
      </c>
      <c r="J1201" s="3" t="s">
        <v>982</v>
      </c>
      <c r="K1201" s="3" t="s">
        <v>983</v>
      </c>
      <c r="L1201" s="3">
        <f>IF(G1201="High",3,IF(G1201="Medium",2,1))</f>
        <v>1</v>
      </c>
    </row>
    <row r="1202" spans="1:12">
      <c r="A1202" s="3" t="s">
        <v>2195</v>
      </c>
      <c r="B1202" s="3" t="s">
        <v>716</v>
      </c>
      <c r="C1202" s="3" t="s">
        <v>956</v>
      </c>
      <c r="D1202" s="3" t="s">
        <v>1020</v>
      </c>
      <c r="E1202" s="3" t="s">
        <v>47</v>
      </c>
      <c r="F1202" s="3" t="s">
        <v>47</v>
      </c>
      <c r="G1202" s="3" t="str">
        <f>INDEX([1]Risk_Matrix!$B$2:$D$4,MATCH(E1202,[1]Risk_Matrix!$A$2:$A$4,0),MATCH(F1202,[1]Risk_Matrix!$B$1:$D$1,0))</f>
        <v>Low</v>
      </c>
      <c r="H1202" s="10">
        <v>46121</v>
      </c>
      <c r="I1202" s="3" t="s">
        <v>967</v>
      </c>
      <c r="J1202" s="3" t="s">
        <v>968</v>
      </c>
      <c r="K1202" s="3" t="s">
        <v>960</v>
      </c>
      <c r="L1202" s="3">
        <f>IF(G1202="High",3,IF(G1202="Medium",2,1))</f>
        <v>1</v>
      </c>
    </row>
    <row r="1203" spans="1:12">
      <c r="A1203" s="3" t="s">
        <v>2196</v>
      </c>
      <c r="B1203" s="3" t="s">
        <v>716</v>
      </c>
      <c r="C1203" s="3" t="s">
        <v>962</v>
      </c>
      <c r="D1203" s="3" t="s">
        <v>1037</v>
      </c>
      <c r="E1203" s="3" t="s">
        <v>942</v>
      </c>
      <c r="F1203" s="3" t="s">
        <v>47</v>
      </c>
      <c r="G1203" s="3" t="str">
        <f>INDEX([1]Risk_Matrix!$B$2:$D$4,MATCH(E1203,[1]Risk_Matrix!$A$2:$A$4,0),MATCH(F1203,[1]Risk_Matrix!$B$1:$D$1,0))</f>
        <v>Low</v>
      </c>
      <c r="H1203" s="10">
        <v>46154</v>
      </c>
      <c r="I1203" s="3" t="s">
        <v>967</v>
      </c>
      <c r="J1203" s="3" t="s">
        <v>968</v>
      </c>
      <c r="K1203" s="3" t="s">
        <v>960</v>
      </c>
      <c r="L1203" s="3">
        <f>IF(G1203="High",3,IF(G1203="Medium",2,1))</f>
        <v>1</v>
      </c>
    </row>
    <row r="1204" spans="1:12">
      <c r="A1204" s="3" t="s">
        <v>2197</v>
      </c>
      <c r="B1204" s="3" t="s">
        <v>716</v>
      </c>
      <c r="C1204" s="3" t="s">
        <v>965</v>
      </c>
      <c r="D1204" s="3" t="s">
        <v>966</v>
      </c>
      <c r="E1204" s="3" t="s">
        <v>942</v>
      </c>
      <c r="F1204" s="3" t="s">
        <v>942</v>
      </c>
      <c r="G1204" s="3" t="str">
        <f>INDEX([1]Risk_Matrix!$B$2:$D$4,MATCH(E1204,[1]Risk_Matrix!$A$2:$A$4,0),MATCH(F1204,[1]Risk_Matrix!$B$1:$D$1,0))</f>
        <v>Medium</v>
      </c>
      <c r="H1204" s="10">
        <v>46201</v>
      </c>
      <c r="I1204" s="3" t="s">
        <v>981</v>
      </c>
      <c r="J1204" s="3" t="s">
        <v>982</v>
      </c>
      <c r="K1204" s="3" t="s">
        <v>1000</v>
      </c>
      <c r="L1204" s="3">
        <f>IF(G1204="High",3,IF(G1204="Medium",2,1))</f>
        <v>2</v>
      </c>
    </row>
    <row r="1205" spans="1:12">
      <c r="A1205" s="3" t="s">
        <v>2198</v>
      </c>
      <c r="B1205" s="3" t="s">
        <v>716</v>
      </c>
      <c r="C1205" s="3" t="s">
        <v>971</v>
      </c>
      <c r="D1205" s="3" t="s">
        <v>1025</v>
      </c>
      <c r="E1205" s="3" t="s">
        <v>47</v>
      </c>
      <c r="F1205" s="3" t="s">
        <v>42</v>
      </c>
      <c r="G1205" s="3" t="str">
        <f>INDEX([1]Risk_Matrix!$B$2:$D$4,MATCH(E1205,[1]Risk_Matrix!$A$2:$A$4,0),MATCH(F1205,[1]Risk_Matrix!$B$1:$D$1,0))</f>
        <v>Medium</v>
      </c>
      <c r="H1205" s="10">
        <v>46164</v>
      </c>
      <c r="I1205" s="3" t="s">
        <v>967</v>
      </c>
      <c r="J1205" s="3" t="s">
        <v>968</v>
      </c>
      <c r="K1205" s="3" t="s">
        <v>969</v>
      </c>
      <c r="L1205" s="3">
        <f>IF(G1205="High",3,IF(G1205="Medium",2,1))</f>
        <v>2</v>
      </c>
    </row>
    <row r="1206" spans="1:12">
      <c r="A1206" s="3" t="s">
        <v>2199</v>
      </c>
      <c r="B1206" s="3" t="s">
        <v>716</v>
      </c>
      <c r="C1206" s="3" t="s">
        <v>976</v>
      </c>
      <c r="D1206" s="3" t="s">
        <v>1002</v>
      </c>
      <c r="E1206" s="3" t="s">
        <v>47</v>
      </c>
      <c r="F1206" s="3" t="s">
        <v>942</v>
      </c>
      <c r="G1206" s="3" t="str">
        <f>INDEX([1]Risk_Matrix!$B$2:$D$4,MATCH(E1206,[1]Risk_Matrix!$A$2:$A$4,0),MATCH(F1206,[1]Risk_Matrix!$B$1:$D$1,0))</f>
        <v>Low</v>
      </c>
      <c r="H1206" s="10">
        <v>46126</v>
      </c>
      <c r="I1206" s="3" t="s">
        <v>967</v>
      </c>
      <c r="J1206" s="3" t="s">
        <v>968</v>
      </c>
      <c r="K1206" s="3" t="s">
        <v>969</v>
      </c>
      <c r="L1206" s="3">
        <f>IF(G1206="High",3,IF(G1206="Medium",2,1))</f>
        <v>1</v>
      </c>
    </row>
    <row r="1207" spans="1:12">
      <c r="A1207" s="3" t="s">
        <v>2200</v>
      </c>
      <c r="B1207" s="3" t="s">
        <v>716</v>
      </c>
      <c r="C1207" s="3" t="s">
        <v>979</v>
      </c>
      <c r="D1207" s="3" t="s">
        <v>1004</v>
      </c>
      <c r="E1207" s="3" t="s">
        <v>942</v>
      </c>
      <c r="F1207" s="3" t="s">
        <v>942</v>
      </c>
      <c r="G1207" s="3" t="str">
        <f>INDEX([1]Risk_Matrix!$B$2:$D$4,MATCH(E1207,[1]Risk_Matrix!$A$2:$A$4,0),MATCH(F1207,[1]Risk_Matrix!$B$1:$D$1,0))</f>
        <v>Medium</v>
      </c>
      <c r="H1207" s="10">
        <v>46164</v>
      </c>
      <c r="I1207" s="3" t="s">
        <v>973</v>
      </c>
      <c r="J1207" s="3" t="s">
        <v>974</v>
      </c>
      <c r="K1207" s="3" t="s">
        <v>960</v>
      </c>
      <c r="L1207" s="3">
        <f>IF(G1207="High",3,IF(G1207="Medium",2,1))</f>
        <v>2</v>
      </c>
    </row>
    <row r="1208" spans="1:12">
      <c r="A1208" s="3" t="s">
        <v>2201</v>
      </c>
      <c r="B1208" s="3" t="s">
        <v>719</v>
      </c>
      <c r="C1208" s="3" t="s">
        <v>956</v>
      </c>
      <c r="D1208" s="3" t="s">
        <v>995</v>
      </c>
      <c r="E1208" s="3" t="s">
        <v>942</v>
      </c>
      <c r="F1208" s="3" t="s">
        <v>47</v>
      </c>
      <c r="G1208" s="3" t="str">
        <f>INDEX([1]Risk_Matrix!$B$2:$D$4,MATCH(E1208,[1]Risk_Matrix!$A$2:$A$4,0),MATCH(F1208,[1]Risk_Matrix!$B$1:$D$1,0))</f>
        <v>Low</v>
      </c>
      <c r="H1208" s="10">
        <v>46161</v>
      </c>
      <c r="I1208" s="3" t="s">
        <v>973</v>
      </c>
      <c r="J1208" s="3" t="s">
        <v>974</v>
      </c>
      <c r="K1208" s="3" t="s">
        <v>983</v>
      </c>
      <c r="L1208" s="3">
        <f>IF(G1208="High",3,IF(G1208="Medium",2,1))</f>
        <v>1</v>
      </c>
    </row>
    <row r="1209" spans="1:12">
      <c r="A1209" s="3" t="s">
        <v>2202</v>
      </c>
      <c r="B1209" s="3" t="s">
        <v>719</v>
      </c>
      <c r="C1209" s="3" t="s">
        <v>962</v>
      </c>
      <c r="D1209" s="3" t="s">
        <v>963</v>
      </c>
      <c r="E1209" s="3" t="s">
        <v>47</v>
      </c>
      <c r="F1209" s="3" t="s">
        <v>942</v>
      </c>
      <c r="G1209" s="3" t="str">
        <f>INDEX([1]Risk_Matrix!$B$2:$D$4,MATCH(E1209,[1]Risk_Matrix!$A$2:$A$4,0),MATCH(F1209,[1]Risk_Matrix!$B$1:$D$1,0))</f>
        <v>Low</v>
      </c>
      <c r="H1209" s="10">
        <v>46106</v>
      </c>
      <c r="I1209" s="3" t="s">
        <v>967</v>
      </c>
      <c r="J1209" s="3" t="s">
        <v>968</v>
      </c>
      <c r="K1209" s="3" t="s">
        <v>960</v>
      </c>
      <c r="L1209" s="3">
        <f>IF(G1209="High",3,IF(G1209="Medium",2,1))</f>
        <v>1</v>
      </c>
    </row>
    <row r="1210" spans="1:12">
      <c r="A1210" s="3" t="s">
        <v>2203</v>
      </c>
      <c r="B1210" s="3" t="s">
        <v>719</v>
      </c>
      <c r="C1210" s="3" t="s">
        <v>965</v>
      </c>
      <c r="D1210" s="3" t="s">
        <v>988</v>
      </c>
      <c r="E1210" s="3" t="s">
        <v>942</v>
      </c>
      <c r="F1210" s="3" t="s">
        <v>47</v>
      </c>
      <c r="G1210" s="3" t="str">
        <f>INDEX([1]Risk_Matrix!$B$2:$D$4,MATCH(E1210,[1]Risk_Matrix!$A$2:$A$4,0),MATCH(F1210,[1]Risk_Matrix!$B$1:$D$1,0))</f>
        <v>Low</v>
      </c>
      <c r="H1210" s="10">
        <v>46199</v>
      </c>
      <c r="I1210" s="3" t="s">
        <v>973</v>
      </c>
      <c r="J1210" s="3" t="s">
        <v>974</v>
      </c>
      <c r="K1210" s="3" t="s">
        <v>1000</v>
      </c>
      <c r="L1210" s="3">
        <f>IF(G1210="High",3,IF(G1210="Medium",2,1))</f>
        <v>1</v>
      </c>
    </row>
    <row r="1211" spans="1:12">
      <c r="A1211" s="3" t="s">
        <v>2204</v>
      </c>
      <c r="B1211" s="3" t="s">
        <v>719</v>
      </c>
      <c r="C1211" s="3" t="s">
        <v>971</v>
      </c>
      <c r="D1211" s="3" t="s">
        <v>1016</v>
      </c>
      <c r="E1211" s="3" t="s">
        <v>47</v>
      </c>
      <c r="F1211" s="3" t="s">
        <v>47</v>
      </c>
      <c r="G1211" s="3" t="str">
        <f>INDEX([1]Risk_Matrix!$B$2:$D$4,MATCH(E1211,[1]Risk_Matrix!$A$2:$A$4,0),MATCH(F1211,[1]Risk_Matrix!$B$1:$D$1,0))</f>
        <v>Low</v>
      </c>
      <c r="H1211" s="10">
        <v>46114</v>
      </c>
      <c r="I1211" s="3" t="s">
        <v>981</v>
      </c>
      <c r="J1211" s="3" t="s">
        <v>982</v>
      </c>
      <c r="K1211" s="3" t="s">
        <v>983</v>
      </c>
      <c r="L1211" s="3">
        <f>IF(G1211="High",3,IF(G1211="Medium",2,1))</f>
        <v>1</v>
      </c>
    </row>
    <row r="1212" spans="1:12">
      <c r="A1212" s="3" t="s">
        <v>2205</v>
      </c>
      <c r="B1212" s="3" t="s">
        <v>719</v>
      </c>
      <c r="C1212" s="3" t="s">
        <v>976</v>
      </c>
      <c r="D1212" s="3" t="s">
        <v>1002</v>
      </c>
      <c r="E1212" s="3" t="s">
        <v>47</v>
      </c>
      <c r="F1212" s="3" t="s">
        <v>47</v>
      </c>
      <c r="G1212" s="3" t="str">
        <f>INDEX([1]Risk_Matrix!$B$2:$D$4,MATCH(E1212,[1]Risk_Matrix!$A$2:$A$4,0),MATCH(F1212,[1]Risk_Matrix!$B$1:$D$1,0))</f>
        <v>Low</v>
      </c>
      <c r="H1212" s="10">
        <v>46067</v>
      </c>
      <c r="I1212" s="3" t="s">
        <v>973</v>
      </c>
      <c r="J1212" s="3" t="s">
        <v>974</v>
      </c>
      <c r="K1212" s="3" t="s">
        <v>993</v>
      </c>
      <c r="L1212" s="3">
        <f>IF(G1212="High",3,IF(G1212="Medium",2,1))</f>
        <v>1</v>
      </c>
    </row>
    <row r="1213" spans="1:12">
      <c r="A1213" s="3" t="s">
        <v>2206</v>
      </c>
      <c r="B1213" s="3" t="s">
        <v>719</v>
      </c>
      <c r="C1213" s="3" t="s">
        <v>979</v>
      </c>
      <c r="D1213" s="3" t="s">
        <v>1028</v>
      </c>
      <c r="E1213" s="3" t="s">
        <v>47</v>
      </c>
      <c r="F1213" s="3" t="s">
        <v>47</v>
      </c>
      <c r="G1213" s="3" t="str">
        <f>INDEX([1]Risk_Matrix!$B$2:$D$4,MATCH(E1213,[1]Risk_Matrix!$A$2:$A$4,0),MATCH(F1213,[1]Risk_Matrix!$B$1:$D$1,0))</f>
        <v>Low</v>
      </c>
      <c r="H1213" s="10">
        <v>46083</v>
      </c>
      <c r="I1213" s="3" t="s">
        <v>973</v>
      </c>
      <c r="J1213" s="3" t="s">
        <v>974</v>
      </c>
      <c r="K1213" s="3" t="s">
        <v>993</v>
      </c>
      <c r="L1213" s="3">
        <f>IF(G1213="High",3,IF(G1213="Medium",2,1))</f>
        <v>1</v>
      </c>
    </row>
    <row r="1214" spans="1:12">
      <c r="A1214" s="3" t="s">
        <v>2207</v>
      </c>
      <c r="B1214" s="3" t="s">
        <v>722</v>
      </c>
      <c r="C1214" s="3" t="s">
        <v>956</v>
      </c>
      <c r="D1214" s="3" t="s">
        <v>1020</v>
      </c>
      <c r="E1214" s="3" t="s">
        <v>47</v>
      </c>
      <c r="F1214" s="3" t="s">
        <v>47</v>
      </c>
      <c r="G1214" s="3" t="str">
        <f>INDEX([1]Risk_Matrix!$B$2:$D$4,MATCH(E1214,[1]Risk_Matrix!$A$2:$A$4,0),MATCH(F1214,[1]Risk_Matrix!$B$1:$D$1,0))</f>
        <v>Low</v>
      </c>
      <c r="H1214" s="10">
        <v>46235</v>
      </c>
      <c r="I1214" s="3" t="s">
        <v>981</v>
      </c>
      <c r="J1214" s="3" t="s">
        <v>982</v>
      </c>
      <c r="K1214" s="3" t="s">
        <v>1000</v>
      </c>
      <c r="L1214" s="3">
        <f>IF(G1214="High",3,IF(G1214="Medium",2,1))</f>
        <v>1</v>
      </c>
    </row>
    <row r="1215" spans="1:12">
      <c r="A1215" s="3" t="s">
        <v>2208</v>
      </c>
      <c r="B1215" s="3" t="s">
        <v>722</v>
      </c>
      <c r="C1215" s="3" t="s">
        <v>962</v>
      </c>
      <c r="D1215" s="3" t="s">
        <v>1037</v>
      </c>
      <c r="E1215" s="3" t="s">
        <v>942</v>
      </c>
      <c r="F1215" s="3" t="s">
        <v>47</v>
      </c>
      <c r="G1215" s="3" t="str">
        <f>INDEX([1]Risk_Matrix!$B$2:$D$4,MATCH(E1215,[1]Risk_Matrix!$A$2:$A$4,0),MATCH(F1215,[1]Risk_Matrix!$B$1:$D$1,0))</f>
        <v>Low</v>
      </c>
      <c r="H1215" s="10">
        <v>46078</v>
      </c>
      <c r="I1215" s="3" t="s">
        <v>973</v>
      </c>
      <c r="J1215" s="3" t="s">
        <v>974</v>
      </c>
      <c r="K1215" s="3" t="s">
        <v>993</v>
      </c>
      <c r="L1215" s="3">
        <f>IF(G1215="High",3,IF(G1215="Medium",2,1))</f>
        <v>1</v>
      </c>
    </row>
    <row r="1216" spans="1:12">
      <c r="A1216" s="3" t="s">
        <v>2209</v>
      </c>
      <c r="B1216" s="3" t="s">
        <v>722</v>
      </c>
      <c r="C1216" s="3" t="s">
        <v>965</v>
      </c>
      <c r="D1216" s="3" t="s">
        <v>966</v>
      </c>
      <c r="E1216" s="3" t="s">
        <v>942</v>
      </c>
      <c r="F1216" s="3" t="s">
        <v>47</v>
      </c>
      <c r="G1216" s="3" t="str">
        <f>INDEX([1]Risk_Matrix!$B$2:$D$4,MATCH(E1216,[1]Risk_Matrix!$A$2:$A$4,0),MATCH(F1216,[1]Risk_Matrix!$B$1:$D$1,0))</f>
        <v>Low</v>
      </c>
      <c r="H1216" s="10">
        <v>46101</v>
      </c>
      <c r="I1216" s="3" t="s">
        <v>958</v>
      </c>
      <c r="J1216" s="3" t="s">
        <v>959</v>
      </c>
      <c r="K1216" s="3" t="s">
        <v>993</v>
      </c>
      <c r="L1216" s="3">
        <f>IF(G1216="High",3,IF(G1216="Medium",2,1))</f>
        <v>1</v>
      </c>
    </row>
    <row r="1217" spans="1:12">
      <c r="A1217" s="3" t="s">
        <v>2210</v>
      </c>
      <c r="B1217" s="3" t="s">
        <v>722</v>
      </c>
      <c r="C1217" s="3" t="s">
        <v>971</v>
      </c>
      <c r="D1217" s="3" t="s">
        <v>972</v>
      </c>
      <c r="E1217" s="3" t="s">
        <v>47</v>
      </c>
      <c r="F1217" s="3" t="s">
        <v>942</v>
      </c>
      <c r="G1217" s="3" t="str">
        <f>INDEX([1]Risk_Matrix!$B$2:$D$4,MATCH(E1217,[1]Risk_Matrix!$A$2:$A$4,0),MATCH(F1217,[1]Risk_Matrix!$B$1:$D$1,0))</f>
        <v>Low</v>
      </c>
      <c r="H1217" s="10">
        <v>46192</v>
      </c>
      <c r="I1217" s="3" t="s">
        <v>973</v>
      </c>
      <c r="J1217" s="3" t="s">
        <v>974</v>
      </c>
      <c r="K1217" s="3" t="s">
        <v>983</v>
      </c>
      <c r="L1217" s="3">
        <f>IF(G1217="High",3,IF(G1217="Medium",2,1))</f>
        <v>1</v>
      </c>
    </row>
    <row r="1218" spans="1:12">
      <c r="A1218" s="3" t="s">
        <v>2211</v>
      </c>
      <c r="B1218" s="3" t="s">
        <v>722</v>
      </c>
      <c r="C1218" s="3" t="s">
        <v>976</v>
      </c>
      <c r="D1218" s="3" t="s">
        <v>977</v>
      </c>
      <c r="E1218" s="3" t="s">
        <v>942</v>
      </c>
      <c r="F1218" s="3" t="s">
        <v>47</v>
      </c>
      <c r="G1218" s="3" t="str">
        <f>INDEX([1]Risk_Matrix!$B$2:$D$4,MATCH(E1218,[1]Risk_Matrix!$A$2:$A$4,0),MATCH(F1218,[1]Risk_Matrix!$B$1:$D$1,0))</f>
        <v>Low</v>
      </c>
      <c r="H1218" s="10">
        <v>46083</v>
      </c>
      <c r="I1218" s="3" t="s">
        <v>973</v>
      </c>
      <c r="J1218" s="3" t="s">
        <v>974</v>
      </c>
      <c r="K1218" s="3" t="s">
        <v>969</v>
      </c>
      <c r="L1218" s="3">
        <f>IF(G1218="High",3,IF(G1218="Medium",2,1))</f>
        <v>1</v>
      </c>
    </row>
    <row r="1219" spans="1:12">
      <c r="A1219" s="3" t="s">
        <v>2212</v>
      </c>
      <c r="B1219" s="3" t="s">
        <v>722</v>
      </c>
      <c r="C1219" s="3" t="s">
        <v>979</v>
      </c>
      <c r="D1219" s="3" t="s">
        <v>980</v>
      </c>
      <c r="E1219" s="3" t="s">
        <v>47</v>
      </c>
      <c r="F1219" s="3" t="s">
        <v>942</v>
      </c>
      <c r="G1219" s="3" t="str">
        <f>INDEX([1]Risk_Matrix!$B$2:$D$4,MATCH(E1219,[1]Risk_Matrix!$A$2:$A$4,0),MATCH(F1219,[1]Risk_Matrix!$B$1:$D$1,0))</f>
        <v>Low</v>
      </c>
      <c r="H1219" s="10">
        <v>46222</v>
      </c>
      <c r="I1219" s="3" t="s">
        <v>967</v>
      </c>
      <c r="J1219" s="3" t="s">
        <v>968</v>
      </c>
      <c r="K1219" s="3" t="s">
        <v>983</v>
      </c>
      <c r="L1219" s="3">
        <f>IF(G1219="High",3,IF(G1219="Medium",2,1))</f>
        <v>1</v>
      </c>
    </row>
    <row r="1220" spans="1:12">
      <c r="A1220" s="3" t="s">
        <v>2213</v>
      </c>
      <c r="B1220" s="3" t="s">
        <v>725</v>
      </c>
      <c r="C1220" s="3" t="s">
        <v>956</v>
      </c>
      <c r="D1220" s="3" t="s">
        <v>995</v>
      </c>
      <c r="E1220" s="3" t="s">
        <v>47</v>
      </c>
      <c r="F1220" s="3" t="s">
        <v>47</v>
      </c>
      <c r="G1220" s="3" t="str">
        <f>INDEX([1]Risk_Matrix!$B$2:$D$4,MATCH(E1220,[1]Risk_Matrix!$A$2:$A$4,0),MATCH(F1220,[1]Risk_Matrix!$B$1:$D$1,0))</f>
        <v>Low</v>
      </c>
      <c r="H1220" s="10">
        <v>46090</v>
      </c>
      <c r="I1220" s="3" t="s">
        <v>967</v>
      </c>
      <c r="J1220" s="3" t="s">
        <v>968</v>
      </c>
      <c r="K1220" s="3" t="s">
        <v>960</v>
      </c>
      <c r="L1220" s="3">
        <f>IF(G1220="High",3,IF(G1220="Medium",2,1))</f>
        <v>1</v>
      </c>
    </row>
    <row r="1221" spans="1:12">
      <c r="A1221" s="3" t="s">
        <v>2214</v>
      </c>
      <c r="B1221" s="3" t="s">
        <v>725</v>
      </c>
      <c r="C1221" s="3" t="s">
        <v>962</v>
      </c>
      <c r="D1221" s="3" t="s">
        <v>997</v>
      </c>
      <c r="E1221" s="3" t="s">
        <v>47</v>
      </c>
      <c r="F1221" s="3" t="s">
        <v>42</v>
      </c>
      <c r="G1221" s="3" t="str">
        <f>INDEX([1]Risk_Matrix!$B$2:$D$4,MATCH(E1221,[1]Risk_Matrix!$A$2:$A$4,0),MATCH(F1221,[1]Risk_Matrix!$B$1:$D$1,0))</f>
        <v>Medium</v>
      </c>
      <c r="H1221" s="10">
        <v>46076</v>
      </c>
      <c r="I1221" s="3" t="s">
        <v>973</v>
      </c>
      <c r="J1221" s="3" t="s">
        <v>974</v>
      </c>
      <c r="K1221" s="3" t="s">
        <v>993</v>
      </c>
      <c r="L1221" s="3">
        <f>IF(G1221="High",3,IF(G1221="Medium",2,1))</f>
        <v>2</v>
      </c>
    </row>
    <row r="1222" spans="1:12">
      <c r="A1222" s="3" t="s">
        <v>2215</v>
      </c>
      <c r="B1222" s="3" t="s">
        <v>725</v>
      </c>
      <c r="C1222" s="3" t="s">
        <v>965</v>
      </c>
      <c r="D1222" s="3" t="s">
        <v>1039</v>
      </c>
      <c r="E1222" s="3" t="s">
        <v>47</v>
      </c>
      <c r="F1222" s="3" t="s">
        <v>47</v>
      </c>
      <c r="G1222" s="3" t="str">
        <f>INDEX([1]Risk_Matrix!$B$2:$D$4,MATCH(E1222,[1]Risk_Matrix!$A$2:$A$4,0),MATCH(F1222,[1]Risk_Matrix!$B$1:$D$1,0))</f>
        <v>Low</v>
      </c>
      <c r="H1222" s="10">
        <v>46213</v>
      </c>
      <c r="I1222" s="3" t="s">
        <v>967</v>
      </c>
      <c r="J1222" s="3" t="s">
        <v>968</v>
      </c>
      <c r="K1222" s="3" t="s">
        <v>1000</v>
      </c>
      <c r="L1222" s="3">
        <f>IF(G1222="High",3,IF(G1222="Medium",2,1))</f>
        <v>1</v>
      </c>
    </row>
    <row r="1223" spans="1:12">
      <c r="A1223" s="3" t="s">
        <v>2216</v>
      </c>
      <c r="B1223" s="3" t="s">
        <v>725</v>
      </c>
      <c r="C1223" s="3" t="s">
        <v>971</v>
      </c>
      <c r="D1223" s="3" t="s">
        <v>1016</v>
      </c>
      <c r="E1223" s="3" t="s">
        <v>47</v>
      </c>
      <c r="F1223" s="3" t="s">
        <v>47</v>
      </c>
      <c r="G1223" s="3" t="str">
        <f>INDEX([1]Risk_Matrix!$B$2:$D$4,MATCH(E1223,[1]Risk_Matrix!$A$2:$A$4,0),MATCH(F1223,[1]Risk_Matrix!$B$1:$D$1,0))</f>
        <v>Low</v>
      </c>
      <c r="H1223" s="10">
        <v>46090</v>
      </c>
      <c r="I1223" s="3" t="s">
        <v>967</v>
      </c>
      <c r="J1223" s="3" t="s">
        <v>968</v>
      </c>
      <c r="K1223" s="3" t="s">
        <v>960</v>
      </c>
      <c r="L1223" s="3">
        <f>IF(G1223="High",3,IF(G1223="Medium",2,1))</f>
        <v>1</v>
      </c>
    </row>
    <row r="1224" spans="1:12">
      <c r="A1224" s="3" t="s">
        <v>2217</v>
      </c>
      <c r="B1224" s="3" t="s">
        <v>725</v>
      </c>
      <c r="C1224" s="3" t="s">
        <v>976</v>
      </c>
      <c r="D1224" s="3" t="s">
        <v>977</v>
      </c>
      <c r="E1224" s="3" t="s">
        <v>942</v>
      </c>
      <c r="F1224" s="3" t="s">
        <v>47</v>
      </c>
      <c r="G1224" s="3" t="str">
        <f>INDEX([1]Risk_Matrix!$B$2:$D$4,MATCH(E1224,[1]Risk_Matrix!$A$2:$A$4,0),MATCH(F1224,[1]Risk_Matrix!$B$1:$D$1,0))</f>
        <v>Low</v>
      </c>
      <c r="H1224" s="10">
        <v>46088</v>
      </c>
      <c r="I1224" s="3" t="s">
        <v>967</v>
      </c>
      <c r="J1224" s="3" t="s">
        <v>968</v>
      </c>
      <c r="K1224" s="3" t="s">
        <v>1000</v>
      </c>
      <c r="L1224" s="3">
        <f>IF(G1224="High",3,IF(G1224="Medium",2,1))</f>
        <v>1</v>
      </c>
    </row>
    <row r="1225" spans="1:12">
      <c r="A1225" s="3" t="s">
        <v>2218</v>
      </c>
      <c r="B1225" s="3" t="s">
        <v>725</v>
      </c>
      <c r="C1225" s="3" t="s">
        <v>979</v>
      </c>
      <c r="D1225" s="3" t="s">
        <v>1028</v>
      </c>
      <c r="E1225" s="3" t="s">
        <v>42</v>
      </c>
      <c r="F1225" s="3" t="s">
        <v>47</v>
      </c>
      <c r="G1225" s="3" t="str">
        <f>INDEX([1]Risk_Matrix!$B$2:$D$4,MATCH(E1225,[1]Risk_Matrix!$A$2:$A$4,0),MATCH(F1225,[1]Risk_Matrix!$B$1:$D$1,0))</f>
        <v>Medium</v>
      </c>
      <c r="H1225" s="10">
        <v>46169</v>
      </c>
      <c r="I1225" s="3" t="s">
        <v>967</v>
      </c>
      <c r="J1225" s="3" t="s">
        <v>968</v>
      </c>
      <c r="K1225" s="3" t="s">
        <v>960</v>
      </c>
      <c r="L1225" s="3">
        <f>IF(G1225="High",3,IF(G1225="Medium",2,1))</f>
        <v>2</v>
      </c>
    </row>
    <row r="1226" spans="1:12">
      <c r="A1226" s="3" t="s">
        <v>2219</v>
      </c>
      <c r="B1226" s="3" t="s">
        <v>728</v>
      </c>
      <c r="C1226" s="3" t="s">
        <v>956</v>
      </c>
      <c r="D1226" s="3" t="s">
        <v>1020</v>
      </c>
      <c r="E1226" s="3" t="s">
        <v>47</v>
      </c>
      <c r="F1226" s="3" t="s">
        <v>47</v>
      </c>
      <c r="G1226" s="3" t="str">
        <f>INDEX([1]Risk_Matrix!$B$2:$D$4,MATCH(E1226,[1]Risk_Matrix!$A$2:$A$4,0),MATCH(F1226,[1]Risk_Matrix!$B$1:$D$1,0))</f>
        <v>Low</v>
      </c>
      <c r="H1226" s="10">
        <v>46073</v>
      </c>
      <c r="I1226" s="3" t="s">
        <v>973</v>
      </c>
      <c r="J1226" s="3" t="s">
        <v>974</v>
      </c>
      <c r="K1226" s="3" t="s">
        <v>969</v>
      </c>
      <c r="L1226" s="3">
        <f>IF(G1226="High",3,IF(G1226="Medium",2,1))</f>
        <v>1</v>
      </c>
    </row>
    <row r="1227" spans="1:12">
      <c r="A1227" s="3" t="s">
        <v>2220</v>
      </c>
      <c r="B1227" s="3" t="s">
        <v>728</v>
      </c>
      <c r="C1227" s="3" t="s">
        <v>962</v>
      </c>
      <c r="D1227" s="3" t="s">
        <v>986</v>
      </c>
      <c r="E1227" s="3" t="s">
        <v>42</v>
      </c>
      <c r="F1227" s="3" t="s">
        <v>47</v>
      </c>
      <c r="G1227" s="3" t="str">
        <f>INDEX([1]Risk_Matrix!$B$2:$D$4,MATCH(E1227,[1]Risk_Matrix!$A$2:$A$4,0),MATCH(F1227,[1]Risk_Matrix!$B$1:$D$1,0))</f>
        <v>Medium</v>
      </c>
      <c r="H1227" s="10">
        <v>46095</v>
      </c>
      <c r="I1227" s="3" t="s">
        <v>973</v>
      </c>
      <c r="J1227" s="3" t="s">
        <v>974</v>
      </c>
      <c r="K1227" s="3" t="s">
        <v>1000</v>
      </c>
      <c r="L1227" s="3">
        <f>IF(G1227="High",3,IF(G1227="Medium",2,1))</f>
        <v>2</v>
      </c>
    </row>
    <row r="1228" spans="1:12">
      <c r="A1228" s="3" t="s">
        <v>2221</v>
      </c>
      <c r="B1228" s="3" t="s">
        <v>728</v>
      </c>
      <c r="C1228" s="3" t="s">
        <v>965</v>
      </c>
      <c r="D1228" s="3" t="s">
        <v>966</v>
      </c>
      <c r="E1228" s="3" t="s">
        <v>942</v>
      </c>
      <c r="F1228" s="3" t="s">
        <v>47</v>
      </c>
      <c r="G1228" s="3" t="str">
        <f>INDEX([1]Risk_Matrix!$B$2:$D$4,MATCH(E1228,[1]Risk_Matrix!$A$2:$A$4,0),MATCH(F1228,[1]Risk_Matrix!$B$1:$D$1,0))</f>
        <v>Low</v>
      </c>
      <c r="H1228" s="10">
        <v>46192</v>
      </c>
      <c r="I1228" s="3" t="s">
        <v>981</v>
      </c>
      <c r="J1228" s="3" t="s">
        <v>982</v>
      </c>
      <c r="K1228" s="3" t="s">
        <v>960</v>
      </c>
      <c r="L1228" s="3">
        <f>IF(G1228="High",3,IF(G1228="Medium",2,1))</f>
        <v>1</v>
      </c>
    </row>
    <row r="1229" spans="1:12">
      <c r="A1229" s="3" t="s">
        <v>2222</v>
      </c>
      <c r="B1229" s="3" t="s">
        <v>728</v>
      </c>
      <c r="C1229" s="3" t="s">
        <v>971</v>
      </c>
      <c r="D1229" s="3" t="s">
        <v>972</v>
      </c>
      <c r="E1229" s="3" t="s">
        <v>47</v>
      </c>
      <c r="F1229" s="3" t="s">
        <v>42</v>
      </c>
      <c r="G1229" s="3" t="str">
        <f>INDEX([1]Risk_Matrix!$B$2:$D$4,MATCH(E1229,[1]Risk_Matrix!$A$2:$A$4,0),MATCH(F1229,[1]Risk_Matrix!$B$1:$D$1,0))</f>
        <v>Medium</v>
      </c>
      <c r="H1229" s="10">
        <v>46197</v>
      </c>
      <c r="I1229" s="3" t="s">
        <v>967</v>
      </c>
      <c r="J1229" s="3" t="s">
        <v>968</v>
      </c>
      <c r="K1229" s="3" t="s">
        <v>983</v>
      </c>
      <c r="L1229" s="3">
        <f>IF(G1229="High",3,IF(G1229="Medium",2,1))</f>
        <v>2</v>
      </c>
    </row>
    <row r="1230" spans="1:12">
      <c r="A1230" s="3" t="s">
        <v>2223</v>
      </c>
      <c r="B1230" s="3" t="s">
        <v>728</v>
      </c>
      <c r="C1230" s="3" t="s">
        <v>976</v>
      </c>
      <c r="D1230" s="3" t="s">
        <v>977</v>
      </c>
      <c r="E1230" s="3" t="s">
        <v>942</v>
      </c>
      <c r="F1230" s="3" t="s">
        <v>942</v>
      </c>
      <c r="G1230" s="3" t="str">
        <f>INDEX([1]Risk_Matrix!$B$2:$D$4,MATCH(E1230,[1]Risk_Matrix!$A$2:$A$4,0),MATCH(F1230,[1]Risk_Matrix!$B$1:$D$1,0))</f>
        <v>Medium</v>
      </c>
      <c r="H1230" s="10">
        <v>46125</v>
      </c>
      <c r="I1230" s="3" t="s">
        <v>973</v>
      </c>
      <c r="J1230" s="3" t="s">
        <v>974</v>
      </c>
      <c r="K1230" s="3" t="s">
        <v>969</v>
      </c>
      <c r="L1230" s="3">
        <f>IF(G1230="High",3,IF(G1230="Medium",2,1))</f>
        <v>2</v>
      </c>
    </row>
    <row r="1231" spans="1:12">
      <c r="A1231" s="3" t="s">
        <v>2224</v>
      </c>
      <c r="B1231" s="3" t="s">
        <v>728</v>
      </c>
      <c r="C1231" s="3" t="s">
        <v>979</v>
      </c>
      <c r="D1231" s="3" t="s">
        <v>980</v>
      </c>
      <c r="E1231" s="3" t="s">
        <v>942</v>
      </c>
      <c r="F1231" s="3" t="s">
        <v>942</v>
      </c>
      <c r="G1231" s="3" t="str">
        <f>INDEX([1]Risk_Matrix!$B$2:$D$4,MATCH(E1231,[1]Risk_Matrix!$A$2:$A$4,0),MATCH(F1231,[1]Risk_Matrix!$B$1:$D$1,0))</f>
        <v>Medium</v>
      </c>
      <c r="H1231" s="10">
        <v>46211</v>
      </c>
      <c r="I1231" s="3" t="s">
        <v>973</v>
      </c>
      <c r="J1231" s="3" t="s">
        <v>974</v>
      </c>
      <c r="K1231" s="3" t="s">
        <v>983</v>
      </c>
      <c r="L1231" s="3">
        <f>IF(G1231="High",3,IF(G1231="Medium",2,1))</f>
        <v>2</v>
      </c>
    </row>
    <row r="1232" spans="1:12">
      <c r="A1232" s="3" t="s">
        <v>2225</v>
      </c>
      <c r="B1232" s="3" t="s">
        <v>731</v>
      </c>
      <c r="C1232" s="3" t="s">
        <v>956</v>
      </c>
      <c r="D1232" s="3" t="s">
        <v>1020</v>
      </c>
      <c r="E1232" s="3" t="s">
        <v>47</v>
      </c>
      <c r="F1232" s="3" t="s">
        <v>47</v>
      </c>
      <c r="G1232" s="3" t="str">
        <f>INDEX([1]Risk_Matrix!$B$2:$D$4,MATCH(E1232,[1]Risk_Matrix!$A$2:$A$4,0),MATCH(F1232,[1]Risk_Matrix!$B$1:$D$1,0))</f>
        <v>Low</v>
      </c>
      <c r="H1232" s="10">
        <v>46118</v>
      </c>
      <c r="I1232" s="3" t="s">
        <v>981</v>
      </c>
      <c r="J1232" s="3" t="s">
        <v>982</v>
      </c>
      <c r="K1232" s="3" t="s">
        <v>993</v>
      </c>
      <c r="L1232" s="3">
        <f>IF(G1232="High",3,IF(G1232="Medium",2,1))</f>
        <v>1</v>
      </c>
    </row>
    <row r="1233" spans="1:12">
      <c r="A1233" s="3" t="s">
        <v>2226</v>
      </c>
      <c r="B1233" s="3" t="s">
        <v>731</v>
      </c>
      <c r="C1233" s="3" t="s">
        <v>962</v>
      </c>
      <c r="D1233" s="3" t="s">
        <v>986</v>
      </c>
      <c r="E1233" s="3" t="s">
        <v>42</v>
      </c>
      <c r="F1233" s="3" t="s">
        <v>47</v>
      </c>
      <c r="G1233" s="3" t="str">
        <f>INDEX([1]Risk_Matrix!$B$2:$D$4,MATCH(E1233,[1]Risk_Matrix!$A$2:$A$4,0),MATCH(F1233,[1]Risk_Matrix!$B$1:$D$1,0))</f>
        <v>Medium</v>
      </c>
      <c r="H1233" s="10">
        <v>46156</v>
      </c>
      <c r="I1233" s="3" t="s">
        <v>967</v>
      </c>
      <c r="J1233" s="3" t="s">
        <v>968</v>
      </c>
      <c r="K1233" s="3" t="s">
        <v>983</v>
      </c>
      <c r="L1233" s="3">
        <f>IF(G1233="High",3,IF(G1233="Medium",2,1))</f>
        <v>2</v>
      </c>
    </row>
    <row r="1234" spans="1:12">
      <c r="A1234" s="3" t="s">
        <v>2227</v>
      </c>
      <c r="B1234" s="3" t="s">
        <v>731</v>
      </c>
      <c r="C1234" s="3" t="s">
        <v>965</v>
      </c>
      <c r="D1234" s="3" t="s">
        <v>1039</v>
      </c>
      <c r="E1234" s="3" t="s">
        <v>942</v>
      </c>
      <c r="F1234" s="3" t="s">
        <v>942</v>
      </c>
      <c r="G1234" s="3" t="str">
        <f>INDEX([1]Risk_Matrix!$B$2:$D$4,MATCH(E1234,[1]Risk_Matrix!$A$2:$A$4,0),MATCH(F1234,[1]Risk_Matrix!$B$1:$D$1,0))</f>
        <v>Medium</v>
      </c>
      <c r="H1234" s="10">
        <v>46082</v>
      </c>
      <c r="I1234" s="3" t="s">
        <v>981</v>
      </c>
      <c r="J1234" s="3" t="s">
        <v>982</v>
      </c>
      <c r="K1234" s="3" t="s">
        <v>983</v>
      </c>
      <c r="L1234" s="3">
        <f>IF(G1234="High",3,IF(G1234="Medium",2,1))</f>
        <v>2</v>
      </c>
    </row>
    <row r="1235" spans="1:12">
      <c r="A1235" s="3" t="s">
        <v>2228</v>
      </c>
      <c r="B1235" s="3" t="s">
        <v>731</v>
      </c>
      <c r="C1235" s="3" t="s">
        <v>971</v>
      </c>
      <c r="D1235" s="3" t="s">
        <v>1025</v>
      </c>
      <c r="E1235" s="3" t="s">
        <v>42</v>
      </c>
      <c r="F1235" s="3" t="s">
        <v>42</v>
      </c>
      <c r="G1235" s="3" t="str">
        <f>INDEX([1]Risk_Matrix!$B$2:$D$4,MATCH(E1235,[1]Risk_Matrix!$A$2:$A$4,0),MATCH(F1235,[1]Risk_Matrix!$B$1:$D$1,0))</f>
        <v>High</v>
      </c>
      <c r="H1235" s="10">
        <v>46132</v>
      </c>
      <c r="I1235" s="3" t="s">
        <v>967</v>
      </c>
      <c r="J1235" s="3" t="s">
        <v>968</v>
      </c>
      <c r="K1235" s="3" t="s">
        <v>969</v>
      </c>
      <c r="L1235" s="3">
        <f>IF(G1235="High",3,IF(G1235="Medium",2,1))</f>
        <v>3</v>
      </c>
    </row>
    <row r="1236" spans="1:12">
      <c r="A1236" s="3" t="s">
        <v>2229</v>
      </c>
      <c r="B1236" s="3" t="s">
        <v>731</v>
      </c>
      <c r="C1236" s="3" t="s">
        <v>976</v>
      </c>
      <c r="D1236" s="3" t="s">
        <v>977</v>
      </c>
      <c r="E1236" s="3" t="s">
        <v>42</v>
      </c>
      <c r="F1236" s="3" t="s">
        <v>47</v>
      </c>
      <c r="G1236" s="3" t="str">
        <f>INDEX([1]Risk_Matrix!$B$2:$D$4,MATCH(E1236,[1]Risk_Matrix!$A$2:$A$4,0),MATCH(F1236,[1]Risk_Matrix!$B$1:$D$1,0))</f>
        <v>Medium</v>
      </c>
      <c r="H1236" s="10">
        <v>46161</v>
      </c>
      <c r="I1236" s="3" t="s">
        <v>981</v>
      </c>
      <c r="J1236" s="3" t="s">
        <v>982</v>
      </c>
      <c r="K1236" s="3" t="s">
        <v>969</v>
      </c>
      <c r="L1236" s="3">
        <f>IF(G1236="High",3,IF(G1236="Medium",2,1))</f>
        <v>2</v>
      </c>
    </row>
    <row r="1237" spans="1:12">
      <c r="A1237" s="3" t="s">
        <v>2230</v>
      </c>
      <c r="B1237" s="3" t="s">
        <v>731</v>
      </c>
      <c r="C1237" s="3" t="s">
        <v>979</v>
      </c>
      <c r="D1237" s="3" t="s">
        <v>1004</v>
      </c>
      <c r="E1237" s="3" t="s">
        <v>47</v>
      </c>
      <c r="F1237" s="3" t="s">
        <v>942</v>
      </c>
      <c r="G1237" s="3" t="str">
        <f>INDEX([1]Risk_Matrix!$B$2:$D$4,MATCH(E1237,[1]Risk_Matrix!$A$2:$A$4,0),MATCH(F1237,[1]Risk_Matrix!$B$1:$D$1,0))</f>
        <v>Low</v>
      </c>
      <c r="H1237" s="10">
        <v>46158</v>
      </c>
      <c r="I1237" s="3" t="s">
        <v>981</v>
      </c>
      <c r="J1237" s="3" t="s">
        <v>982</v>
      </c>
      <c r="K1237" s="3" t="s">
        <v>960</v>
      </c>
      <c r="L1237" s="3">
        <f>IF(G1237="High",3,IF(G1237="Medium",2,1))</f>
        <v>1</v>
      </c>
    </row>
    <row r="1238" spans="1:12">
      <c r="A1238" s="3" t="s">
        <v>2231</v>
      </c>
      <c r="B1238" s="3" t="s">
        <v>734</v>
      </c>
      <c r="C1238" s="3" t="s">
        <v>956</v>
      </c>
      <c r="D1238" s="3" t="s">
        <v>995</v>
      </c>
      <c r="E1238" s="3" t="s">
        <v>47</v>
      </c>
      <c r="F1238" s="3" t="s">
        <v>47</v>
      </c>
      <c r="G1238" s="3" t="str">
        <f>INDEX([1]Risk_Matrix!$B$2:$D$4,MATCH(E1238,[1]Risk_Matrix!$A$2:$A$4,0),MATCH(F1238,[1]Risk_Matrix!$B$1:$D$1,0))</f>
        <v>Low</v>
      </c>
      <c r="H1238" s="10">
        <v>46135</v>
      </c>
      <c r="I1238" s="3" t="s">
        <v>967</v>
      </c>
      <c r="J1238" s="3" t="s">
        <v>968</v>
      </c>
      <c r="K1238" s="3" t="s">
        <v>993</v>
      </c>
      <c r="L1238" s="3">
        <f>IF(G1238="High",3,IF(G1238="Medium",2,1))</f>
        <v>1</v>
      </c>
    </row>
    <row r="1239" spans="1:12">
      <c r="A1239" s="3" t="s">
        <v>2232</v>
      </c>
      <c r="B1239" s="3" t="s">
        <v>734</v>
      </c>
      <c r="C1239" s="3" t="s">
        <v>962</v>
      </c>
      <c r="D1239" s="3" t="s">
        <v>997</v>
      </c>
      <c r="E1239" s="3" t="s">
        <v>47</v>
      </c>
      <c r="F1239" s="3" t="s">
        <v>942</v>
      </c>
      <c r="G1239" s="3" t="str">
        <f>INDEX([1]Risk_Matrix!$B$2:$D$4,MATCH(E1239,[1]Risk_Matrix!$A$2:$A$4,0),MATCH(F1239,[1]Risk_Matrix!$B$1:$D$1,0))</f>
        <v>Low</v>
      </c>
      <c r="H1239" s="10">
        <v>46168</v>
      </c>
      <c r="I1239" s="3" t="s">
        <v>958</v>
      </c>
      <c r="J1239" s="3" t="s">
        <v>959</v>
      </c>
      <c r="K1239" s="3" t="s">
        <v>993</v>
      </c>
      <c r="L1239" s="3">
        <f>IF(G1239="High",3,IF(G1239="Medium",2,1))</f>
        <v>1</v>
      </c>
    </row>
    <row r="1240" spans="1:12">
      <c r="A1240" s="3" t="s">
        <v>2233</v>
      </c>
      <c r="B1240" s="3" t="s">
        <v>734</v>
      </c>
      <c r="C1240" s="3" t="s">
        <v>965</v>
      </c>
      <c r="D1240" s="3" t="s">
        <v>1039</v>
      </c>
      <c r="E1240" s="3" t="s">
        <v>47</v>
      </c>
      <c r="F1240" s="3" t="s">
        <v>942</v>
      </c>
      <c r="G1240" s="3" t="str">
        <f>INDEX([1]Risk_Matrix!$B$2:$D$4,MATCH(E1240,[1]Risk_Matrix!$A$2:$A$4,0),MATCH(F1240,[1]Risk_Matrix!$B$1:$D$1,0))</f>
        <v>Low</v>
      </c>
      <c r="H1240" s="10">
        <v>46143</v>
      </c>
      <c r="I1240" s="3" t="s">
        <v>973</v>
      </c>
      <c r="J1240" s="3" t="s">
        <v>974</v>
      </c>
      <c r="K1240" s="3" t="s">
        <v>993</v>
      </c>
      <c r="L1240" s="3">
        <f>IF(G1240="High",3,IF(G1240="Medium",2,1))</f>
        <v>1</v>
      </c>
    </row>
    <row r="1241" spans="1:12">
      <c r="A1241" s="3" t="s">
        <v>2234</v>
      </c>
      <c r="B1241" s="3" t="s">
        <v>734</v>
      </c>
      <c r="C1241" s="3" t="s">
        <v>971</v>
      </c>
      <c r="D1241" s="3" t="s">
        <v>1025</v>
      </c>
      <c r="E1241" s="3" t="s">
        <v>47</v>
      </c>
      <c r="F1241" s="3" t="s">
        <v>47</v>
      </c>
      <c r="G1241" s="3" t="str">
        <f>INDEX([1]Risk_Matrix!$B$2:$D$4,MATCH(E1241,[1]Risk_Matrix!$A$2:$A$4,0),MATCH(F1241,[1]Risk_Matrix!$B$1:$D$1,0))</f>
        <v>Low</v>
      </c>
      <c r="H1241" s="10">
        <v>46187</v>
      </c>
      <c r="I1241" s="3" t="s">
        <v>967</v>
      </c>
      <c r="J1241" s="3" t="s">
        <v>968</v>
      </c>
      <c r="K1241" s="3" t="s">
        <v>983</v>
      </c>
      <c r="L1241" s="3">
        <f>IF(G1241="High",3,IF(G1241="Medium",2,1))</f>
        <v>1</v>
      </c>
    </row>
    <row r="1242" spans="1:12">
      <c r="A1242" s="3" t="s">
        <v>2235</v>
      </c>
      <c r="B1242" s="3" t="s">
        <v>734</v>
      </c>
      <c r="C1242" s="3" t="s">
        <v>976</v>
      </c>
      <c r="D1242" s="3" t="s">
        <v>1002</v>
      </c>
      <c r="E1242" s="3" t="s">
        <v>942</v>
      </c>
      <c r="F1242" s="3" t="s">
        <v>42</v>
      </c>
      <c r="G1242" s="3" t="str">
        <f>INDEX([1]Risk_Matrix!$B$2:$D$4,MATCH(E1242,[1]Risk_Matrix!$A$2:$A$4,0),MATCH(F1242,[1]Risk_Matrix!$B$1:$D$1,0))</f>
        <v>High</v>
      </c>
      <c r="H1242" s="10">
        <v>46176</v>
      </c>
      <c r="I1242" s="3" t="s">
        <v>973</v>
      </c>
      <c r="J1242" s="3" t="s">
        <v>974</v>
      </c>
      <c r="K1242" s="3" t="s">
        <v>983</v>
      </c>
      <c r="L1242" s="3">
        <f>IF(G1242="High",3,IF(G1242="Medium",2,1))</f>
        <v>3</v>
      </c>
    </row>
    <row r="1243" spans="1:12">
      <c r="A1243" s="3" t="s">
        <v>2236</v>
      </c>
      <c r="B1243" s="3" t="s">
        <v>734</v>
      </c>
      <c r="C1243" s="3" t="s">
        <v>979</v>
      </c>
      <c r="D1243" s="3" t="s">
        <v>1028</v>
      </c>
      <c r="E1243" s="3" t="s">
        <v>942</v>
      </c>
      <c r="F1243" s="3" t="s">
        <v>42</v>
      </c>
      <c r="G1243" s="3" t="str">
        <f>INDEX([1]Risk_Matrix!$B$2:$D$4,MATCH(E1243,[1]Risk_Matrix!$A$2:$A$4,0),MATCH(F1243,[1]Risk_Matrix!$B$1:$D$1,0))</f>
        <v>High</v>
      </c>
      <c r="H1243" s="10">
        <v>46227</v>
      </c>
      <c r="I1243" s="3" t="s">
        <v>967</v>
      </c>
      <c r="J1243" s="3" t="s">
        <v>968</v>
      </c>
      <c r="K1243" s="3" t="s">
        <v>960</v>
      </c>
      <c r="L1243" s="3">
        <f>IF(G1243="High",3,IF(G1243="Medium",2,1))</f>
        <v>3</v>
      </c>
    </row>
    <row r="1244" spans="1:12">
      <c r="A1244" s="3" t="s">
        <v>2237</v>
      </c>
      <c r="B1244" s="3" t="s">
        <v>737</v>
      </c>
      <c r="C1244" s="3" t="s">
        <v>956</v>
      </c>
      <c r="D1244" s="3" t="s">
        <v>1012</v>
      </c>
      <c r="E1244" s="3" t="s">
        <v>47</v>
      </c>
      <c r="F1244" s="3" t="s">
        <v>42</v>
      </c>
      <c r="G1244" s="3" t="str">
        <f>INDEX([1]Risk_Matrix!$B$2:$D$4,MATCH(E1244,[1]Risk_Matrix!$A$2:$A$4,0),MATCH(F1244,[1]Risk_Matrix!$B$1:$D$1,0))</f>
        <v>Medium</v>
      </c>
      <c r="H1244" s="10">
        <v>46223</v>
      </c>
      <c r="I1244" s="3" t="s">
        <v>967</v>
      </c>
      <c r="J1244" s="3" t="s">
        <v>968</v>
      </c>
      <c r="K1244" s="3" t="s">
        <v>993</v>
      </c>
      <c r="L1244" s="3">
        <f>IF(G1244="High",3,IF(G1244="Medium",2,1))</f>
        <v>2</v>
      </c>
    </row>
    <row r="1245" spans="1:12">
      <c r="A1245" s="3" t="s">
        <v>2238</v>
      </c>
      <c r="B1245" s="3" t="s">
        <v>737</v>
      </c>
      <c r="C1245" s="3" t="s">
        <v>962</v>
      </c>
      <c r="D1245" s="3" t="s">
        <v>963</v>
      </c>
      <c r="E1245" s="3" t="s">
        <v>942</v>
      </c>
      <c r="F1245" s="3" t="s">
        <v>47</v>
      </c>
      <c r="G1245" s="3" t="str">
        <f>INDEX([1]Risk_Matrix!$B$2:$D$4,MATCH(E1245,[1]Risk_Matrix!$A$2:$A$4,0),MATCH(F1245,[1]Risk_Matrix!$B$1:$D$1,0))</f>
        <v>Low</v>
      </c>
      <c r="H1245" s="10">
        <v>46166</v>
      </c>
      <c r="I1245" s="3" t="s">
        <v>973</v>
      </c>
      <c r="J1245" s="3" t="s">
        <v>974</v>
      </c>
      <c r="K1245" s="3" t="s">
        <v>993</v>
      </c>
      <c r="L1245" s="3">
        <f>IF(G1245="High",3,IF(G1245="Medium",2,1))</f>
        <v>1</v>
      </c>
    </row>
    <row r="1246" spans="1:12">
      <c r="A1246" s="3" t="s">
        <v>2239</v>
      </c>
      <c r="B1246" s="3" t="s">
        <v>737</v>
      </c>
      <c r="C1246" s="3" t="s">
        <v>965</v>
      </c>
      <c r="D1246" s="3" t="s">
        <v>988</v>
      </c>
      <c r="E1246" s="3" t="s">
        <v>47</v>
      </c>
      <c r="F1246" s="3" t="s">
        <v>942</v>
      </c>
      <c r="G1246" s="3" t="str">
        <f>INDEX([1]Risk_Matrix!$B$2:$D$4,MATCH(E1246,[1]Risk_Matrix!$A$2:$A$4,0),MATCH(F1246,[1]Risk_Matrix!$B$1:$D$1,0))</f>
        <v>Low</v>
      </c>
      <c r="H1246" s="10">
        <v>46133</v>
      </c>
      <c r="I1246" s="3" t="s">
        <v>973</v>
      </c>
      <c r="J1246" s="3" t="s">
        <v>974</v>
      </c>
      <c r="K1246" s="3" t="s">
        <v>983</v>
      </c>
      <c r="L1246" s="3">
        <f>IF(G1246="High",3,IF(G1246="Medium",2,1))</f>
        <v>1</v>
      </c>
    </row>
    <row r="1247" spans="1:12">
      <c r="A1247" s="3" t="s">
        <v>2240</v>
      </c>
      <c r="B1247" s="3" t="s">
        <v>737</v>
      </c>
      <c r="C1247" s="3" t="s">
        <v>971</v>
      </c>
      <c r="D1247" s="3" t="s">
        <v>972</v>
      </c>
      <c r="E1247" s="3" t="s">
        <v>942</v>
      </c>
      <c r="F1247" s="3" t="s">
        <v>942</v>
      </c>
      <c r="G1247" s="3" t="str">
        <f>INDEX([1]Risk_Matrix!$B$2:$D$4,MATCH(E1247,[1]Risk_Matrix!$A$2:$A$4,0),MATCH(F1247,[1]Risk_Matrix!$B$1:$D$1,0))</f>
        <v>Medium</v>
      </c>
      <c r="H1247" s="10">
        <v>46126</v>
      </c>
      <c r="I1247" s="3" t="s">
        <v>967</v>
      </c>
      <c r="J1247" s="3" t="s">
        <v>968</v>
      </c>
      <c r="K1247" s="3" t="s">
        <v>983</v>
      </c>
      <c r="L1247" s="3">
        <f>IF(G1247="High",3,IF(G1247="Medium",2,1))</f>
        <v>2</v>
      </c>
    </row>
    <row r="1248" spans="1:12">
      <c r="A1248" s="3" t="s">
        <v>2241</v>
      </c>
      <c r="B1248" s="3" t="s">
        <v>737</v>
      </c>
      <c r="C1248" s="3" t="s">
        <v>976</v>
      </c>
      <c r="D1248" s="3" t="s">
        <v>991</v>
      </c>
      <c r="E1248" s="3" t="s">
        <v>942</v>
      </c>
      <c r="F1248" s="3" t="s">
        <v>942</v>
      </c>
      <c r="G1248" s="3" t="str">
        <f>INDEX([1]Risk_Matrix!$B$2:$D$4,MATCH(E1248,[1]Risk_Matrix!$A$2:$A$4,0),MATCH(F1248,[1]Risk_Matrix!$B$1:$D$1,0))</f>
        <v>Medium</v>
      </c>
      <c r="H1248" s="10">
        <v>46103</v>
      </c>
      <c r="I1248" s="3" t="s">
        <v>973</v>
      </c>
      <c r="J1248" s="3" t="s">
        <v>974</v>
      </c>
      <c r="K1248" s="3" t="s">
        <v>969</v>
      </c>
      <c r="L1248" s="3">
        <f>IF(G1248="High",3,IF(G1248="Medium",2,1))</f>
        <v>2</v>
      </c>
    </row>
    <row r="1249" spans="1:12">
      <c r="A1249" s="3" t="s">
        <v>2242</v>
      </c>
      <c r="B1249" s="3" t="s">
        <v>737</v>
      </c>
      <c r="C1249" s="3" t="s">
        <v>979</v>
      </c>
      <c r="D1249" s="3" t="s">
        <v>980</v>
      </c>
      <c r="E1249" s="3" t="s">
        <v>47</v>
      </c>
      <c r="F1249" s="3" t="s">
        <v>942</v>
      </c>
      <c r="G1249" s="3" t="str">
        <f>INDEX([1]Risk_Matrix!$B$2:$D$4,MATCH(E1249,[1]Risk_Matrix!$A$2:$A$4,0),MATCH(F1249,[1]Risk_Matrix!$B$1:$D$1,0))</f>
        <v>Low</v>
      </c>
      <c r="H1249" s="10">
        <v>46059</v>
      </c>
      <c r="I1249" s="3" t="s">
        <v>973</v>
      </c>
      <c r="J1249" s="3" t="s">
        <v>974</v>
      </c>
      <c r="K1249" s="3" t="s">
        <v>969</v>
      </c>
      <c r="L1249" s="3">
        <f>IF(G1249="High",3,IF(G1249="Medium",2,1))</f>
        <v>1</v>
      </c>
    </row>
    <row r="1250" spans="1:12">
      <c r="A1250" s="3" t="s">
        <v>2243</v>
      </c>
      <c r="B1250" s="3" t="s">
        <v>740</v>
      </c>
      <c r="C1250" s="3" t="s">
        <v>956</v>
      </c>
      <c r="D1250" s="3" t="s">
        <v>995</v>
      </c>
      <c r="E1250" s="3" t="s">
        <v>42</v>
      </c>
      <c r="F1250" s="3" t="s">
        <v>47</v>
      </c>
      <c r="G1250" s="3" t="str">
        <f>INDEX([1]Risk_Matrix!$B$2:$D$4,MATCH(E1250,[1]Risk_Matrix!$A$2:$A$4,0),MATCH(F1250,[1]Risk_Matrix!$B$1:$D$1,0))</f>
        <v>Medium</v>
      </c>
      <c r="H1250" s="10">
        <v>46191</v>
      </c>
      <c r="I1250" s="3" t="s">
        <v>981</v>
      </c>
      <c r="J1250" s="3" t="s">
        <v>982</v>
      </c>
      <c r="K1250" s="3" t="s">
        <v>969</v>
      </c>
      <c r="L1250" s="3">
        <f>IF(G1250="High",3,IF(G1250="Medium",2,1))</f>
        <v>2</v>
      </c>
    </row>
    <row r="1251" spans="1:12">
      <c r="A1251" s="3" t="s">
        <v>2244</v>
      </c>
      <c r="B1251" s="3" t="s">
        <v>740</v>
      </c>
      <c r="C1251" s="3" t="s">
        <v>962</v>
      </c>
      <c r="D1251" s="3" t="s">
        <v>997</v>
      </c>
      <c r="E1251" s="3" t="s">
        <v>47</v>
      </c>
      <c r="F1251" s="3" t="s">
        <v>47</v>
      </c>
      <c r="G1251" s="3" t="str">
        <f>INDEX([1]Risk_Matrix!$B$2:$D$4,MATCH(E1251,[1]Risk_Matrix!$A$2:$A$4,0),MATCH(F1251,[1]Risk_Matrix!$B$1:$D$1,0))</f>
        <v>Low</v>
      </c>
      <c r="H1251" s="10">
        <v>46172</v>
      </c>
      <c r="I1251" s="3" t="s">
        <v>973</v>
      </c>
      <c r="J1251" s="3" t="s">
        <v>974</v>
      </c>
      <c r="K1251" s="3" t="s">
        <v>969</v>
      </c>
      <c r="L1251" s="3">
        <f>IF(G1251="High",3,IF(G1251="Medium",2,1))</f>
        <v>1</v>
      </c>
    </row>
    <row r="1252" spans="1:12">
      <c r="A1252" s="3" t="s">
        <v>2245</v>
      </c>
      <c r="B1252" s="3" t="s">
        <v>740</v>
      </c>
      <c r="C1252" s="3" t="s">
        <v>965</v>
      </c>
      <c r="D1252" s="3" t="s">
        <v>1023</v>
      </c>
      <c r="E1252" s="3" t="s">
        <v>47</v>
      </c>
      <c r="F1252" s="3" t="s">
        <v>942</v>
      </c>
      <c r="G1252" s="3" t="str">
        <f>INDEX([1]Risk_Matrix!$B$2:$D$4,MATCH(E1252,[1]Risk_Matrix!$A$2:$A$4,0),MATCH(F1252,[1]Risk_Matrix!$B$1:$D$1,0))</f>
        <v>Low</v>
      </c>
      <c r="H1252" s="10">
        <v>46114</v>
      </c>
      <c r="I1252" s="3" t="s">
        <v>967</v>
      </c>
      <c r="J1252" s="3" t="s">
        <v>968</v>
      </c>
      <c r="K1252" s="3" t="s">
        <v>993</v>
      </c>
      <c r="L1252" s="3">
        <f>IF(G1252="High",3,IF(G1252="Medium",2,1))</f>
        <v>1</v>
      </c>
    </row>
    <row r="1253" spans="1:12">
      <c r="A1253" s="3" t="s">
        <v>2246</v>
      </c>
      <c r="B1253" s="3" t="s">
        <v>740</v>
      </c>
      <c r="C1253" s="3" t="s">
        <v>971</v>
      </c>
      <c r="D1253" s="3" t="s">
        <v>1016</v>
      </c>
      <c r="E1253" s="3" t="s">
        <v>47</v>
      </c>
      <c r="F1253" s="3" t="s">
        <v>42</v>
      </c>
      <c r="G1253" s="3" t="str">
        <f>INDEX([1]Risk_Matrix!$B$2:$D$4,MATCH(E1253,[1]Risk_Matrix!$A$2:$A$4,0),MATCH(F1253,[1]Risk_Matrix!$B$1:$D$1,0))</f>
        <v>Medium</v>
      </c>
      <c r="H1253" s="10">
        <v>46094</v>
      </c>
      <c r="I1253" s="3" t="s">
        <v>973</v>
      </c>
      <c r="J1253" s="3" t="s">
        <v>974</v>
      </c>
      <c r="K1253" s="3" t="s">
        <v>960</v>
      </c>
      <c r="L1253" s="3">
        <f>IF(G1253="High",3,IF(G1253="Medium",2,1))</f>
        <v>2</v>
      </c>
    </row>
    <row r="1254" spans="1:12">
      <c r="A1254" s="3" t="s">
        <v>2247</v>
      </c>
      <c r="B1254" s="3" t="s">
        <v>740</v>
      </c>
      <c r="C1254" s="3" t="s">
        <v>976</v>
      </c>
      <c r="D1254" s="3" t="s">
        <v>977</v>
      </c>
      <c r="E1254" s="3" t="s">
        <v>42</v>
      </c>
      <c r="F1254" s="3" t="s">
        <v>42</v>
      </c>
      <c r="G1254" s="3" t="str">
        <f>INDEX([1]Risk_Matrix!$B$2:$D$4,MATCH(E1254,[1]Risk_Matrix!$A$2:$A$4,0),MATCH(F1254,[1]Risk_Matrix!$B$1:$D$1,0))</f>
        <v>High</v>
      </c>
      <c r="H1254" s="10">
        <v>46101</v>
      </c>
      <c r="I1254" s="3" t="s">
        <v>973</v>
      </c>
      <c r="J1254" s="3" t="s">
        <v>974</v>
      </c>
      <c r="K1254" s="3" t="s">
        <v>960</v>
      </c>
      <c r="L1254" s="3">
        <f>IF(G1254="High",3,IF(G1254="Medium",2,1))</f>
        <v>3</v>
      </c>
    </row>
    <row r="1255" spans="1:12">
      <c r="A1255" s="3" t="s">
        <v>2248</v>
      </c>
      <c r="B1255" s="3" t="s">
        <v>740</v>
      </c>
      <c r="C1255" s="3" t="s">
        <v>979</v>
      </c>
      <c r="D1255" s="3" t="s">
        <v>1028</v>
      </c>
      <c r="E1255" s="3" t="s">
        <v>942</v>
      </c>
      <c r="F1255" s="3" t="s">
        <v>942</v>
      </c>
      <c r="G1255" s="3" t="str">
        <f>INDEX([1]Risk_Matrix!$B$2:$D$4,MATCH(E1255,[1]Risk_Matrix!$A$2:$A$4,0),MATCH(F1255,[1]Risk_Matrix!$B$1:$D$1,0))</f>
        <v>Medium</v>
      </c>
      <c r="H1255" s="10">
        <v>46094</v>
      </c>
      <c r="I1255" s="3" t="s">
        <v>967</v>
      </c>
      <c r="J1255" s="3" t="s">
        <v>968</v>
      </c>
      <c r="K1255" s="3" t="s">
        <v>993</v>
      </c>
      <c r="L1255" s="3">
        <f>IF(G1255="High",3,IF(G1255="Medium",2,1))</f>
        <v>2</v>
      </c>
    </row>
    <row r="1256" spans="1:12">
      <c r="A1256" s="3" t="s">
        <v>2249</v>
      </c>
      <c r="B1256" s="3" t="s">
        <v>743</v>
      </c>
      <c r="C1256" s="3" t="s">
        <v>956</v>
      </c>
      <c r="D1256" s="3" t="s">
        <v>957</v>
      </c>
      <c r="E1256" s="3" t="s">
        <v>942</v>
      </c>
      <c r="F1256" s="3" t="s">
        <v>942</v>
      </c>
      <c r="G1256" s="3" t="str">
        <f>INDEX([1]Risk_Matrix!$B$2:$D$4,MATCH(E1256,[1]Risk_Matrix!$A$2:$A$4,0),MATCH(F1256,[1]Risk_Matrix!$B$1:$D$1,0))</f>
        <v>Medium</v>
      </c>
      <c r="H1256" s="10">
        <v>46216</v>
      </c>
      <c r="I1256" s="3" t="s">
        <v>981</v>
      </c>
      <c r="J1256" s="3" t="s">
        <v>982</v>
      </c>
      <c r="K1256" s="3" t="s">
        <v>1000</v>
      </c>
      <c r="L1256" s="3">
        <f>IF(G1256="High",3,IF(G1256="Medium",2,1))</f>
        <v>2</v>
      </c>
    </row>
    <row r="1257" spans="1:12">
      <c r="A1257" s="3" t="s">
        <v>2250</v>
      </c>
      <c r="B1257" s="3" t="s">
        <v>743</v>
      </c>
      <c r="C1257" s="3" t="s">
        <v>962</v>
      </c>
      <c r="D1257" s="3" t="s">
        <v>997</v>
      </c>
      <c r="E1257" s="3" t="s">
        <v>942</v>
      </c>
      <c r="F1257" s="3" t="s">
        <v>42</v>
      </c>
      <c r="G1257" s="3" t="str">
        <f>INDEX([1]Risk_Matrix!$B$2:$D$4,MATCH(E1257,[1]Risk_Matrix!$A$2:$A$4,0),MATCH(F1257,[1]Risk_Matrix!$B$1:$D$1,0))</f>
        <v>High</v>
      </c>
      <c r="H1257" s="10">
        <v>46063</v>
      </c>
      <c r="I1257" s="3" t="s">
        <v>981</v>
      </c>
      <c r="J1257" s="3" t="s">
        <v>982</v>
      </c>
      <c r="K1257" s="3" t="s">
        <v>960</v>
      </c>
      <c r="L1257" s="3">
        <f>IF(G1257="High",3,IF(G1257="Medium",2,1))</f>
        <v>3</v>
      </c>
    </row>
    <row r="1258" spans="1:12">
      <c r="A1258" s="3" t="s">
        <v>2251</v>
      </c>
      <c r="B1258" s="3" t="s">
        <v>743</v>
      </c>
      <c r="C1258" s="3" t="s">
        <v>965</v>
      </c>
      <c r="D1258" s="3" t="s">
        <v>966</v>
      </c>
      <c r="E1258" s="3" t="s">
        <v>47</v>
      </c>
      <c r="F1258" s="3" t="s">
        <v>42</v>
      </c>
      <c r="G1258" s="3" t="str">
        <f>INDEX([1]Risk_Matrix!$B$2:$D$4,MATCH(E1258,[1]Risk_Matrix!$A$2:$A$4,0),MATCH(F1258,[1]Risk_Matrix!$B$1:$D$1,0))</f>
        <v>Medium</v>
      </c>
      <c r="H1258" s="10">
        <v>46200</v>
      </c>
      <c r="I1258" s="3" t="s">
        <v>958</v>
      </c>
      <c r="J1258" s="3" t="s">
        <v>959</v>
      </c>
      <c r="K1258" s="3" t="s">
        <v>969</v>
      </c>
      <c r="L1258" s="3">
        <f>IF(G1258="High",3,IF(G1258="Medium",2,1))</f>
        <v>2</v>
      </c>
    </row>
    <row r="1259" spans="1:12">
      <c r="A1259" s="3" t="s">
        <v>2252</v>
      </c>
      <c r="B1259" s="3" t="s">
        <v>743</v>
      </c>
      <c r="C1259" s="3" t="s">
        <v>971</v>
      </c>
      <c r="D1259" s="3" t="s">
        <v>972</v>
      </c>
      <c r="E1259" s="3" t="s">
        <v>47</v>
      </c>
      <c r="F1259" s="3" t="s">
        <v>942</v>
      </c>
      <c r="G1259" s="3" t="str">
        <f>INDEX([1]Risk_Matrix!$B$2:$D$4,MATCH(E1259,[1]Risk_Matrix!$A$2:$A$4,0),MATCH(F1259,[1]Risk_Matrix!$B$1:$D$1,0))</f>
        <v>Low</v>
      </c>
      <c r="H1259" s="10">
        <v>46061</v>
      </c>
      <c r="I1259" s="3" t="s">
        <v>967</v>
      </c>
      <c r="J1259" s="3" t="s">
        <v>968</v>
      </c>
      <c r="K1259" s="3" t="s">
        <v>960</v>
      </c>
      <c r="L1259" s="3">
        <f>IF(G1259="High",3,IF(G1259="Medium",2,1))</f>
        <v>1</v>
      </c>
    </row>
    <row r="1260" spans="1:12">
      <c r="A1260" s="3" t="s">
        <v>2253</v>
      </c>
      <c r="B1260" s="3" t="s">
        <v>743</v>
      </c>
      <c r="C1260" s="3" t="s">
        <v>976</v>
      </c>
      <c r="D1260" s="3" t="s">
        <v>977</v>
      </c>
      <c r="E1260" s="3" t="s">
        <v>47</v>
      </c>
      <c r="F1260" s="3" t="s">
        <v>47</v>
      </c>
      <c r="G1260" s="3" t="str">
        <f>INDEX([1]Risk_Matrix!$B$2:$D$4,MATCH(E1260,[1]Risk_Matrix!$A$2:$A$4,0),MATCH(F1260,[1]Risk_Matrix!$B$1:$D$1,0))</f>
        <v>Low</v>
      </c>
      <c r="H1260" s="10">
        <v>46139</v>
      </c>
      <c r="I1260" s="3" t="s">
        <v>967</v>
      </c>
      <c r="J1260" s="3" t="s">
        <v>968</v>
      </c>
      <c r="K1260" s="3" t="s">
        <v>993</v>
      </c>
      <c r="L1260" s="3">
        <f>IF(G1260="High",3,IF(G1260="Medium",2,1))</f>
        <v>1</v>
      </c>
    </row>
    <row r="1261" spans="1:12">
      <c r="A1261" s="3" t="s">
        <v>2254</v>
      </c>
      <c r="B1261" s="3" t="s">
        <v>743</v>
      </c>
      <c r="C1261" s="3" t="s">
        <v>979</v>
      </c>
      <c r="D1261" s="3" t="s">
        <v>1004</v>
      </c>
      <c r="E1261" s="3" t="s">
        <v>47</v>
      </c>
      <c r="F1261" s="3" t="s">
        <v>47</v>
      </c>
      <c r="G1261" s="3" t="str">
        <f>INDEX([1]Risk_Matrix!$B$2:$D$4,MATCH(E1261,[1]Risk_Matrix!$A$2:$A$4,0),MATCH(F1261,[1]Risk_Matrix!$B$1:$D$1,0))</f>
        <v>Low</v>
      </c>
      <c r="H1261" s="10">
        <v>46181</v>
      </c>
      <c r="I1261" s="3" t="s">
        <v>973</v>
      </c>
      <c r="J1261" s="3" t="s">
        <v>974</v>
      </c>
      <c r="K1261" s="3" t="s">
        <v>1000</v>
      </c>
      <c r="L1261" s="3">
        <f>IF(G1261="High",3,IF(G1261="Medium",2,1))</f>
        <v>1</v>
      </c>
    </row>
    <row r="1262" spans="1:12">
      <c r="A1262" s="3" t="s">
        <v>2255</v>
      </c>
      <c r="B1262" s="3" t="s">
        <v>745</v>
      </c>
      <c r="C1262" s="3" t="s">
        <v>956</v>
      </c>
      <c r="D1262" s="3" t="s">
        <v>995</v>
      </c>
      <c r="E1262" s="3" t="s">
        <v>942</v>
      </c>
      <c r="F1262" s="3" t="s">
        <v>942</v>
      </c>
      <c r="G1262" s="3" t="str">
        <f>INDEX([1]Risk_Matrix!$B$2:$D$4,MATCH(E1262,[1]Risk_Matrix!$A$2:$A$4,0),MATCH(F1262,[1]Risk_Matrix!$B$1:$D$1,0))</f>
        <v>Medium</v>
      </c>
      <c r="H1262" s="10">
        <v>46091</v>
      </c>
      <c r="I1262" s="3" t="s">
        <v>973</v>
      </c>
      <c r="J1262" s="3" t="s">
        <v>974</v>
      </c>
      <c r="K1262" s="3" t="s">
        <v>969</v>
      </c>
      <c r="L1262" s="3">
        <f>IF(G1262="High",3,IF(G1262="Medium",2,1))</f>
        <v>2</v>
      </c>
    </row>
    <row r="1263" spans="1:12">
      <c r="A1263" s="3" t="s">
        <v>2256</v>
      </c>
      <c r="B1263" s="3" t="s">
        <v>745</v>
      </c>
      <c r="C1263" s="3" t="s">
        <v>962</v>
      </c>
      <c r="D1263" s="3" t="s">
        <v>1037</v>
      </c>
      <c r="E1263" s="3" t="s">
        <v>47</v>
      </c>
      <c r="F1263" s="3" t="s">
        <v>47</v>
      </c>
      <c r="G1263" s="3" t="str">
        <f>INDEX([1]Risk_Matrix!$B$2:$D$4,MATCH(E1263,[1]Risk_Matrix!$A$2:$A$4,0),MATCH(F1263,[1]Risk_Matrix!$B$1:$D$1,0))</f>
        <v>Low</v>
      </c>
      <c r="H1263" s="10">
        <v>46213</v>
      </c>
      <c r="I1263" s="3" t="s">
        <v>973</v>
      </c>
      <c r="J1263" s="3" t="s">
        <v>974</v>
      </c>
      <c r="K1263" s="3" t="s">
        <v>993</v>
      </c>
      <c r="L1263" s="3">
        <f>IF(G1263="High",3,IF(G1263="Medium",2,1))</f>
        <v>1</v>
      </c>
    </row>
    <row r="1264" spans="1:12">
      <c r="A1264" s="3" t="s">
        <v>2257</v>
      </c>
      <c r="B1264" s="3" t="s">
        <v>745</v>
      </c>
      <c r="C1264" s="3" t="s">
        <v>965</v>
      </c>
      <c r="D1264" s="3" t="s">
        <v>1023</v>
      </c>
      <c r="E1264" s="3" t="s">
        <v>942</v>
      </c>
      <c r="F1264" s="3" t="s">
        <v>942</v>
      </c>
      <c r="G1264" s="3" t="str">
        <f>INDEX([1]Risk_Matrix!$B$2:$D$4,MATCH(E1264,[1]Risk_Matrix!$A$2:$A$4,0),MATCH(F1264,[1]Risk_Matrix!$B$1:$D$1,0))</f>
        <v>Medium</v>
      </c>
      <c r="H1264" s="10">
        <v>46155</v>
      </c>
      <c r="I1264" s="3" t="s">
        <v>958</v>
      </c>
      <c r="J1264" s="3" t="s">
        <v>959</v>
      </c>
      <c r="K1264" s="3" t="s">
        <v>969</v>
      </c>
      <c r="L1264" s="3">
        <f>IF(G1264="High",3,IF(G1264="Medium",2,1))</f>
        <v>2</v>
      </c>
    </row>
    <row r="1265" spans="1:12">
      <c r="A1265" s="3" t="s">
        <v>2258</v>
      </c>
      <c r="B1265" s="3" t="s">
        <v>745</v>
      </c>
      <c r="C1265" s="3" t="s">
        <v>971</v>
      </c>
      <c r="D1265" s="3" t="s">
        <v>972</v>
      </c>
      <c r="E1265" s="3" t="s">
        <v>942</v>
      </c>
      <c r="F1265" s="3" t="s">
        <v>47</v>
      </c>
      <c r="G1265" s="3" t="str">
        <f>INDEX([1]Risk_Matrix!$B$2:$D$4,MATCH(E1265,[1]Risk_Matrix!$A$2:$A$4,0),MATCH(F1265,[1]Risk_Matrix!$B$1:$D$1,0))</f>
        <v>Low</v>
      </c>
      <c r="H1265" s="10">
        <v>46169</v>
      </c>
      <c r="I1265" s="3" t="s">
        <v>973</v>
      </c>
      <c r="J1265" s="3" t="s">
        <v>974</v>
      </c>
      <c r="K1265" s="3" t="s">
        <v>983</v>
      </c>
      <c r="L1265" s="3">
        <f>IF(G1265="High",3,IF(G1265="Medium",2,1))</f>
        <v>1</v>
      </c>
    </row>
    <row r="1266" spans="1:12">
      <c r="A1266" s="3" t="s">
        <v>2259</v>
      </c>
      <c r="B1266" s="3" t="s">
        <v>745</v>
      </c>
      <c r="C1266" s="3" t="s">
        <v>976</v>
      </c>
      <c r="D1266" s="3" t="s">
        <v>977</v>
      </c>
      <c r="E1266" s="3" t="s">
        <v>942</v>
      </c>
      <c r="F1266" s="3" t="s">
        <v>47</v>
      </c>
      <c r="G1266" s="3" t="str">
        <f>INDEX([1]Risk_Matrix!$B$2:$D$4,MATCH(E1266,[1]Risk_Matrix!$A$2:$A$4,0),MATCH(F1266,[1]Risk_Matrix!$B$1:$D$1,0))</f>
        <v>Low</v>
      </c>
      <c r="H1266" s="10">
        <v>46126</v>
      </c>
      <c r="I1266" s="3" t="s">
        <v>981</v>
      </c>
      <c r="J1266" s="3" t="s">
        <v>982</v>
      </c>
      <c r="K1266" s="3" t="s">
        <v>993</v>
      </c>
      <c r="L1266" s="3">
        <f>IF(G1266="High",3,IF(G1266="Medium",2,1))</f>
        <v>1</v>
      </c>
    </row>
    <row r="1267" spans="1:12">
      <c r="A1267" s="3" t="s">
        <v>2260</v>
      </c>
      <c r="B1267" s="3" t="s">
        <v>745</v>
      </c>
      <c r="C1267" s="3" t="s">
        <v>979</v>
      </c>
      <c r="D1267" s="3" t="s">
        <v>1028</v>
      </c>
      <c r="E1267" s="3" t="s">
        <v>47</v>
      </c>
      <c r="F1267" s="3" t="s">
        <v>42</v>
      </c>
      <c r="G1267" s="3" t="str">
        <f>INDEX([1]Risk_Matrix!$B$2:$D$4,MATCH(E1267,[1]Risk_Matrix!$A$2:$A$4,0),MATCH(F1267,[1]Risk_Matrix!$B$1:$D$1,0))</f>
        <v>Medium</v>
      </c>
      <c r="H1267" s="10">
        <v>46185</v>
      </c>
      <c r="I1267" s="3" t="s">
        <v>981</v>
      </c>
      <c r="J1267" s="3" t="s">
        <v>982</v>
      </c>
      <c r="K1267" s="3" t="s">
        <v>960</v>
      </c>
      <c r="L1267" s="3">
        <f>IF(G1267="High",3,IF(G1267="Medium",2,1))</f>
        <v>2</v>
      </c>
    </row>
    <row r="1268" spans="1:12">
      <c r="A1268" s="3" t="s">
        <v>2261</v>
      </c>
      <c r="B1268" s="3" t="s">
        <v>747</v>
      </c>
      <c r="C1268" s="3" t="s">
        <v>956</v>
      </c>
      <c r="D1268" s="3" t="s">
        <v>957</v>
      </c>
      <c r="E1268" s="3" t="s">
        <v>47</v>
      </c>
      <c r="F1268" s="3" t="s">
        <v>47</v>
      </c>
      <c r="G1268" s="3" t="str">
        <f>INDEX([1]Risk_Matrix!$B$2:$D$4,MATCH(E1268,[1]Risk_Matrix!$A$2:$A$4,0),MATCH(F1268,[1]Risk_Matrix!$B$1:$D$1,0))</f>
        <v>Low</v>
      </c>
      <c r="H1268" s="10">
        <v>46141</v>
      </c>
      <c r="I1268" s="3" t="s">
        <v>973</v>
      </c>
      <c r="J1268" s="3" t="s">
        <v>974</v>
      </c>
      <c r="K1268" s="3" t="s">
        <v>1000</v>
      </c>
      <c r="L1268" s="3">
        <f>IF(G1268="High",3,IF(G1268="Medium",2,1))</f>
        <v>1</v>
      </c>
    </row>
    <row r="1269" spans="1:12">
      <c r="A1269" s="3" t="s">
        <v>2262</v>
      </c>
      <c r="B1269" s="3" t="s">
        <v>747</v>
      </c>
      <c r="C1269" s="3" t="s">
        <v>962</v>
      </c>
      <c r="D1269" s="3" t="s">
        <v>963</v>
      </c>
      <c r="E1269" s="3" t="s">
        <v>47</v>
      </c>
      <c r="F1269" s="3" t="s">
        <v>47</v>
      </c>
      <c r="G1269" s="3" t="str">
        <f>INDEX([1]Risk_Matrix!$B$2:$D$4,MATCH(E1269,[1]Risk_Matrix!$A$2:$A$4,0),MATCH(F1269,[1]Risk_Matrix!$B$1:$D$1,0))</f>
        <v>Low</v>
      </c>
      <c r="H1269" s="10">
        <v>46106</v>
      </c>
      <c r="I1269" s="3" t="s">
        <v>981</v>
      </c>
      <c r="J1269" s="3" t="s">
        <v>982</v>
      </c>
      <c r="K1269" s="3" t="s">
        <v>993</v>
      </c>
      <c r="L1269" s="3">
        <f>IF(G1269="High",3,IF(G1269="Medium",2,1))</f>
        <v>1</v>
      </c>
    </row>
    <row r="1270" spans="1:12">
      <c r="A1270" s="3" t="s">
        <v>2263</v>
      </c>
      <c r="B1270" s="3" t="s">
        <v>747</v>
      </c>
      <c r="C1270" s="3" t="s">
        <v>965</v>
      </c>
      <c r="D1270" s="3" t="s">
        <v>1039</v>
      </c>
      <c r="E1270" s="3" t="s">
        <v>942</v>
      </c>
      <c r="F1270" s="3" t="s">
        <v>47</v>
      </c>
      <c r="G1270" s="3" t="str">
        <f>INDEX([1]Risk_Matrix!$B$2:$D$4,MATCH(E1270,[1]Risk_Matrix!$A$2:$A$4,0),MATCH(F1270,[1]Risk_Matrix!$B$1:$D$1,0))</f>
        <v>Low</v>
      </c>
      <c r="H1270" s="10">
        <v>46084</v>
      </c>
      <c r="I1270" s="3" t="s">
        <v>967</v>
      </c>
      <c r="J1270" s="3" t="s">
        <v>968</v>
      </c>
      <c r="K1270" s="3" t="s">
        <v>969</v>
      </c>
      <c r="L1270" s="3">
        <f>IF(G1270="High",3,IF(G1270="Medium",2,1))</f>
        <v>1</v>
      </c>
    </row>
    <row r="1271" spans="1:12">
      <c r="A1271" s="3" t="s">
        <v>2264</v>
      </c>
      <c r="B1271" s="3" t="s">
        <v>747</v>
      </c>
      <c r="C1271" s="3" t="s">
        <v>971</v>
      </c>
      <c r="D1271" s="3" t="s">
        <v>1016</v>
      </c>
      <c r="E1271" s="3" t="s">
        <v>42</v>
      </c>
      <c r="F1271" s="3" t="s">
        <v>47</v>
      </c>
      <c r="G1271" s="3" t="str">
        <f>INDEX([1]Risk_Matrix!$B$2:$D$4,MATCH(E1271,[1]Risk_Matrix!$A$2:$A$4,0),MATCH(F1271,[1]Risk_Matrix!$B$1:$D$1,0))</f>
        <v>Medium</v>
      </c>
      <c r="H1271" s="10">
        <v>46215</v>
      </c>
      <c r="I1271" s="3" t="s">
        <v>973</v>
      </c>
      <c r="J1271" s="3" t="s">
        <v>974</v>
      </c>
      <c r="K1271" s="3" t="s">
        <v>1000</v>
      </c>
      <c r="L1271" s="3">
        <f>IF(G1271="High",3,IF(G1271="Medium",2,1))</f>
        <v>2</v>
      </c>
    </row>
    <row r="1272" spans="1:12">
      <c r="A1272" s="3" t="s">
        <v>2265</v>
      </c>
      <c r="B1272" s="3" t="s">
        <v>747</v>
      </c>
      <c r="C1272" s="3" t="s">
        <v>976</v>
      </c>
      <c r="D1272" s="3" t="s">
        <v>991</v>
      </c>
      <c r="E1272" s="3" t="s">
        <v>47</v>
      </c>
      <c r="F1272" s="3" t="s">
        <v>942</v>
      </c>
      <c r="G1272" s="3" t="str">
        <f>INDEX([1]Risk_Matrix!$B$2:$D$4,MATCH(E1272,[1]Risk_Matrix!$A$2:$A$4,0),MATCH(F1272,[1]Risk_Matrix!$B$1:$D$1,0))</f>
        <v>Low</v>
      </c>
      <c r="H1272" s="10">
        <v>46234</v>
      </c>
      <c r="I1272" s="3" t="s">
        <v>981</v>
      </c>
      <c r="J1272" s="3" t="s">
        <v>982</v>
      </c>
      <c r="K1272" s="3" t="s">
        <v>993</v>
      </c>
      <c r="L1272" s="3">
        <f>IF(G1272="High",3,IF(G1272="Medium",2,1))</f>
        <v>1</v>
      </c>
    </row>
    <row r="1273" spans="1:12">
      <c r="A1273" s="3" t="s">
        <v>2266</v>
      </c>
      <c r="B1273" s="3" t="s">
        <v>747</v>
      </c>
      <c r="C1273" s="3" t="s">
        <v>979</v>
      </c>
      <c r="D1273" s="3" t="s">
        <v>1028</v>
      </c>
      <c r="E1273" s="3" t="s">
        <v>942</v>
      </c>
      <c r="F1273" s="3" t="s">
        <v>47</v>
      </c>
      <c r="G1273" s="3" t="str">
        <f>INDEX([1]Risk_Matrix!$B$2:$D$4,MATCH(E1273,[1]Risk_Matrix!$A$2:$A$4,0),MATCH(F1273,[1]Risk_Matrix!$B$1:$D$1,0))</f>
        <v>Low</v>
      </c>
      <c r="H1273" s="10">
        <v>46148</v>
      </c>
      <c r="I1273" s="3" t="s">
        <v>981</v>
      </c>
      <c r="J1273" s="3" t="s">
        <v>982</v>
      </c>
      <c r="K1273" s="3" t="s">
        <v>969</v>
      </c>
      <c r="L1273" s="3">
        <f>IF(G1273="High",3,IF(G1273="Medium",2,1))</f>
        <v>1</v>
      </c>
    </row>
    <row r="1274" spans="1:12">
      <c r="A1274" s="3" t="s">
        <v>2267</v>
      </c>
      <c r="B1274" s="3" t="s">
        <v>748</v>
      </c>
      <c r="C1274" s="3" t="s">
        <v>956</v>
      </c>
      <c r="D1274" s="3" t="s">
        <v>995</v>
      </c>
      <c r="E1274" s="3" t="s">
        <v>942</v>
      </c>
      <c r="F1274" s="3" t="s">
        <v>47</v>
      </c>
      <c r="G1274" s="3" t="str">
        <f>INDEX([1]Risk_Matrix!$B$2:$D$4,MATCH(E1274,[1]Risk_Matrix!$A$2:$A$4,0),MATCH(F1274,[1]Risk_Matrix!$B$1:$D$1,0))</f>
        <v>Low</v>
      </c>
      <c r="H1274" s="10">
        <v>46162</v>
      </c>
      <c r="I1274" s="3" t="s">
        <v>981</v>
      </c>
      <c r="J1274" s="3" t="s">
        <v>982</v>
      </c>
      <c r="K1274" s="3" t="s">
        <v>983</v>
      </c>
      <c r="L1274" s="3">
        <f>IF(G1274="High",3,IF(G1274="Medium",2,1))</f>
        <v>1</v>
      </c>
    </row>
    <row r="1275" spans="1:12">
      <c r="A1275" s="3" t="s">
        <v>2268</v>
      </c>
      <c r="B1275" s="3" t="s">
        <v>748</v>
      </c>
      <c r="C1275" s="3" t="s">
        <v>962</v>
      </c>
      <c r="D1275" s="3" t="s">
        <v>963</v>
      </c>
      <c r="E1275" s="3" t="s">
        <v>942</v>
      </c>
      <c r="F1275" s="3" t="s">
        <v>942</v>
      </c>
      <c r="G1275" s="3" t="str">
        <f>INDEX([1]Risk_Matrix!$B$2:$D$4,MATCH(E1275,[1]Risk_Matrix!$A$2:$A$4,0),MATCH(F1275,[1]Risk_Matrix!$B$1:$D$1,0))</f>
        <v>Medium</v>
      </c>
      <c r="H1275" s="10">
        <v>46234</v>
      </c>
      <c r="I1275" s="3" t="s">
        <v>981</v>
      </c>
      <c r="J1275" s="3" t="s">
        <v>982</v>
      </c>
      <c r="K1275" s="3" t="s">
        <v>969</v>
      </c>
      <c r="L1275" s="3">
        <f>IF(G1275="High",3,IF(G1275="Medium",2,1))</f>
        <v>2</v>
      </c>
    </row>
    <row r="1276" spans="1:12">
      <c r="A1276" s="3" t="s">
        <v>2269</v>
      </c>
      <c r="B1276" s="3" t="s">
        <v>748</v>
      </c>
      <c r="C1276" s="3" t="s">
        <v>965</v>
      </c>
      <c r="D1276" s="3" t="s">
        <v>966</v>
      </c>
      <c r="E1276" s="3" t="s">
        <v>47</v>
      </c>
      <c r="F1276" s="3" t="s">
        <v>942</v>
      </c>
      <c r="G1276" s="3" t="str">
        <f>INDEX([1]Risk_Matrix!$B$2:$D$4,MATCH(E1276,[1]Risk_Matrix!$A$2:$A$4,0),MATCH(F1276,[1]Risk_Matrix!$B$1:$D$1,0))</f>
        <v>Low</v>
      </c>
      <c r="H1276" s="10">
        <v>46236</v>
      </c>
      <c r="I1276" s="3" t="s">
        <v>973</v>
      </c>
      <c r="J1276" s="3" t="s">
        <v>974</v>
      </c>
      <c r="K1276" s="3" t="s">
        <v>983</v>
      </c>
      <c r="L1276" s="3">
        <f>IF(G1276="High",3,IF(G1276="Medium",2,1))</f>
        <v>1</v>
      </c>
    </row>
    <row r="1277" spans="1:12">
      <c r="A1277" s="3" t="s">
        <v>2270</v>
      </c>
      <c r="B1277" s="3" t="s">
        <v>748</v>
      </c>
      <c r="C1277" s="3" t="s">
        <v>971</v>
      </c>
      <c r="D1277" s="3" t="s">
        <v>1016</v>
      </c>
      <c r="E1277" s="3" t="s">
        <v>47</v>
      </c>
      <c r="F1277" s="3" t="s">
        <v>942</v>
      </c>
      <c r="G1277" s="3" t="str">
        <f>INDEX([1]Risk_Matrix!$B$2:$D$4,MATCH(E1277,[1]Risk_Matrix!$A$2:$A$4,0),MATCH(F1277,[1]Risk_Matrix!$B$1:$D$1,0))</f>
        <v>Low</v>
      </c>
      <c r="H1277" s="10">
        <v>46223</v>
      </c>
      <c r="I1277" s="3" t="s">
        <v>981</v>
      </c>
      <c r="J1277" s="3" t="s">
        <v>982</v>
      </c>
      <c r="K1277" s="3" t="s">
        <v>1000</v>
      </c>
      <c r="L1277" s="3">
        <f>IF(G1277="High",3,IF(G1277="Medium",2,1))</f>
        <v>1</v>
      </c>
    </row>
    <row r="1278" spans="1:12">
      <c r="A1278" s="3" t="s">
        <v>2271</v>
      </c>
      <c r="B1278" s="3" t="s">
        <v>748</v>
      </c>
      <c r="C1278" s="3" t="s">
        <v>976</v>
      </c>
      <c r="D1278" s="3" t="s">
        <v>977</v>
      </c>
      <c r="E1278" s="3" t="s">
        <v>42</v>
      </c>
      <c r="F1278" s="3" t="s">
        <v>942</v>
      </c>
      <c r="G1278" s="3" t="str">
        <f>INDEX([1]Risk_Matrix!$B$2:$D$4,MATCH(E1278,[1]Risk_Matrix!$A$2:$A$4,0),MATCH(F1278,[1]Risk_Matrix!$B$1:$D$1,0))</f>
        <v>High</v>
      </c>
      <c r="H1278" s="10">
        <v>46132</v>
      </c>
      <c r="I1278" s="3" t="s">
        <v>973</v>
      </c>
      <c r="J1278" s="3" t="s">
        <v>974</v>
      </c>
      <c r="K1278" s="3" t="s">
        <v>983</v>
      </c>
      <c r="L1278" s="3">
        <f>IF(G1278="High",3,IF(G1278="Medium",2,1))</f>
        <v>3</v>
      </c>
    </row>
    <row r="1279" spans="1:12">
      <c r="A1279" s="3" t="s">
        <v>2272</v>
      </c>
      <c r="B1279" s="3" t="s">
        <v>748</v>
      </c>
      <c r="C1279" s="3" t="s">
        <v>979</v>
      </c>
      <c r="D1279" s="3" t="s">
        <v>1028</v>
      </c>
      <c r="E1279" s="3" t="s">
        <v>47</v>
      </c>
      <c r="F1279" s="3" t="s">
        <v>42</v>
      </c>
      <c r="G1279" s="3" t="str">
        <f>INDEX([1]Risk_Matrix!$B$2:$D$4,MATCH(E1279,[1]Risk_Matrix!$A$2:$A$4,0),MATCH(F1279,[1]Risk_Matrix!$B$1:$D$1,0))</f>
        <v>Medium</v>
      </c>
      <c r="H1279" s="10">
        <v>46067</v>
      </c>
      <c r="I1279" s="3" t="s">
        <v>958</v>
      </c>
      <c r="J1279" s="3" t="s">
        <v>959</v>
      </c>
      <c r="K1279" s="3" t="s">
        <v>983</v>
      </c>
      <c r="L1279" s="3">
        <f>IF(G1279="High",3,IF(G1279="Medium",2,1))</f>
        <v>2</v>
      </c>
    </row>
    <row r="1280" spans="1:12">
      <c r="A1280" s="3" t="s">
        <v>2273</v>
      </c>
      <c r="B1280" s="3" t="s">
        <v>751</v>
      </c>
      <c r="C1280" s="3" t="s">
        <v>956</v>
      </c>
      <c r="D1280" s="3" t="s">
        <v>995</v>
      </c>
      <c r="E1280" s="3" t="s">
        <v>42</v>
      </c>
      <c r="F1280" s="3" t="s">
        <v>47</v>
      </c>
      <c r="G1280" s="3" t="str">
        <f>INDEX([1]Risk_Matrix!$B$2:$D$4,MATCH(E1280,[1]Risk_Matrix!$A$2:$A$4,0),MATCH(F1280,[1]Risk_Matrix!$B$1:$D$1,0))</f>
        <v>Medium</v>
      </c>
      <c r="H1280" s="10">
        <v>46111</v>
      </c>
      <c r="I1280" s="3" t="s">
        <v>973</v>
      </c>
      <c r="J1280" s="3" t="s">
        <v>974</v>
      </c>
      <c r="K1280" s="3" t="s">
        <v>983</v>
      </c>
      <c r="L1280" s="3">
        <f>IF(G1280="High",3,IF(G1280="Medium",2,1))</f>
        <v>2</v>
      </c>
    </row>
    <row r="1281" spans="1:12">
      <c r="A1281" s="3" t="s">
        <v>2274</v>
      </c>
      <c r="B1281" s="3" t="s">
        <v>751</v>
      </c>
      <c r="C1281" s="3" t="s">
        <v>962</v>
      </c>
      <c r="D1281" s="3" t="s">
        <v>986</v>
      </c>
      <c r="E1281" s="3" t="s">
        <v>47</v>
      </c>
      <c r="F1281" s="3" t="s">
        <v>47</v>
      </c>
      <c r="G1281" s="3" t="str">
        <f>INDEX([1]Risk_Matrix!$B$2:$D$4,MATCH(E1281,[1]Risk_Matrix!$A$2:$A$4,0),MATCH(F1281,[1]Risk_Matrix!$B$1:$D$1,0))</f>
        <v>Low</v>
      </c>
      <c r="H1281" s="10">
        <v>46079</v>
      </c>
      <c r="I1281" s="3" t="s">
        <v>981</v>
      </c>
      <c r="J1281" s="3" t="s">
        <v>982</v>
      </c>
      <c r="K1281" s="3" t="s">
        <v>969</v>
      </c>
      <c r="L1281" s="3">
        <f>IF(G1281="High",3,IF(G1281="Medium",2,1))</f>
        <v>1</v>
      </c>
    </row>
    <row r="1282" spans="1:12">
      <c r="A1282" s="3" t="s">
        <v>2275</v>
      </c>
      <c r="B1282" s="3" t="s">
        <v>751</v>
      </c>
      <c r="C1282" s="3" t="s">
        <v>965</v>
      </c>
      <c r="D1282" s="3" t="s">
        <v>1023</v>
      </c>
      <c r="E1282" s="3" t="s">
        <v>942</v>
      </c>
      <c r="F1282" s="3" t="s">
        <v>47</v>
      </c>
      <c r="G1282" s="3" t="str">
        <f>INDEX([1]Risk_Matrix!$B$2:$D$4,MATCH(E1282,[1]Risk_Matrix!$A$2:$A$4,0),MATCH(F1282,[1]Risk_Matrix!$B$1:$D$1,0))</f>
        <v>Low</v>
      </c>
      <c r="H1282" s="10">
        <v>46230</v>
      </c>
      <c r="I1282" s="3" t="s">
        <v>981</v>
      </c>
      <c r="J1282" s="3" t="s">
        <v>982</v>
      </c>
      <c r="K1282" s="3" t="s">
        <v>983</v>
      </c>
      <c r="L1282" s="3">
        <f>IF(G1282="High",3,IF(G1282="Medium",2,1))</f>
        <v>1</v>
      </c>
    </row>
    <row r="1283" spans="1:12">
      <c r="A1283" s="3" t="s">
        <v>2276</v>
      </c>
      <c r="B1283" s="3" t="s">
        <v>751</v>
      </c>
      <c r="C1283" s="3" t="s">
        <v>971</v>
      </c>
      <c r="D1283" s="3" t="s">
        <v>1025</v>
      </c>
      <c r="E1283" s="3" t="s">
        <v>47</v>
      </c>
      <c r="F1283" s="3" t="s">
        <v>47</v>
      </c>
      <c r="G1283" s="3" t="str">
        <f>INDEX([1]Risk_Matrix!$B$2:$D$4,MATCH(E1283,[1]Risk_Matrix!$A$2:$A$4,0),MATCH(F1283,[1]Risk_Matrix!$B$1:$D$1,0))</f>
        <v>Low</v>
      </c>
      <c r="H1283" s="10">
        <v>46104</v>
      </c>
      <c r="I1283" s="3" t="s">
        <v>967</v>
      </c>
      <c r="J1283" s="3" t="s">
        <v>968</v>
      </c>
      <c r="K1283" s="3" t="s">
        <v>983</v>
      </c>
      <c r="L1283" s="3">
        <f>IF(G1283="High",3,IF(G1283="Medium",2,1))</f>
        <v>1</v>
      </c>
    </row>
    <row r="1284" spans="1:12">
      <c r="A1284" s="3" t="s">
        <v>2277</v>
      </c>
      <c r="B1284" s="3" t="s">
        <v>751</v>
      </c>
      <c r="C1284" s="3" t="s">
        <v>976</v>
      </c>
      <c r="D1284" s="3" t="s">
        <v>977</v>
      </c>
      <c r="E1284" s="3" t="s">
        <v>47</v>
      </c>
      <c r="F1284" s="3" t="s">
        <v>47</v>
      </c>
      <c r="G1284" s="3" t="str">
        <f>INDEX([1]Risk_Matrix!$B$2:$D$4,MATCH(E1284,[1]Risk_Matrix!$A$2:$A$4,0),MATCH(F1284,[1]Risk_Matrix!$B$1:$D$1,0))</f>
        <v>Low</v>
      </c>
      <c r="H1284" s="10">
        <v>46131</v>
      </c>
      <c r="I1284" s="3" t="s">
        <v>973</v>
      </c>
      <c r="J1284" s="3" t="s">
        <v>974</v>
      </c>
      <c r="K1284" s="3" t="s">
        <v>993</v>
      </c>
      <c r="L1284" s="3">
        <f>IF(G1284="High",3,IF(G1284="Medium",2,1))</f>
        <v>1</v>
      </c>
    </row>
    <row r="1285" spans="1:12">
      <c r="A1285" s="3" t="s">
        <v>2278</v>
      </c>
      <c r="B1285" s="3" t="s">
        <v>751</v>
      </c>
      <c r="C1285" s="3" t="s">
        <v>979</v>
      </c>
      <c r="D1285" s="3" t="s">
        <v>1004</v>
      </c>
      <c r="E1285" s="3" t="s">
        <v>42</v>
      </c>
      <c r="F1285" s="3" t="s">
        <v>47</v>
      </c>
      <c r="G1285" s="3" t="str">
        <f>INDEX([1]Risk_Matrix!$B$2:$D$4,MATCH(E1285,[1]Risk_Matrix!$A$2:$A$4,0),MATCH(F1285,[1]Risk_Matrix!$B$1:$D$1,0))</f>
        <v>Medium</v>
      </c>
      <c r="H1285" s="10">
        <v>46101</v>
      </c>
      <c r="I1285" s="3" t="s">
        <v>967</v>
      </c>
      <c r="J1285" s="3" t="s">
        <v>968</v>
      </c>
      <c r="K1285" s="3" t="s">
        <v>960</v>
      </c>
      <c r="L1285" s="3">
        <f>IF(G1285="High",3,IF(G1285="Medium",2,1))</f>
        <v>2</v>
      </c>
    </row>
    <row r="1286" spans="1:12">
      <c r="A1286" s="3" t="s">
        <v>2279</v>
      </c>
      <c r="B1286" s="3" t="s">
        <v>754</v>
      </c>
      <c r="C1286" s="3" t="s">
        <v>956</v>
      </c>
      <c r="D1286" s="3" t="s">
        <v>1020</v>
      </c>
      <c r="E1286" s="3" t="s">
        <v>42</v>
      </c>
      <c r="F1286" s="3" t="s">
        <v>942</v>
      </c>
      <c r="G1286" s="3" t="str">
        <f>INDEX([1]Risk_Matrix!$B$2:$D$4,MATCH(E1286,[1]Risk_Matrix!$A$2:$A$4,0),MATCH(F1286,[1]Risk_Matrix!$B$1:$D$1,0))</f>
        <v>High</v>
      </c>
      <c r="H1286" s="10">
        <v>46117</v>
      </c>
      <c r="I1286" s="3" t="s">
        <v>973</v>
      </c>
      <c r="J1286" s="3" t="s">
        <v>974</v>
      </c>
      <c r="K1286" s="3" t="s">
        <v>960</v>
      </c>
      <c r="L1286" s="3">
        <f>IF(G1286="High",3,IF(G1286="Medium",2,1))</f>
        <v>3</v>
      </c>
    </row>
    <row r="1287" spans="1:12">
      <c r="A1287" s="3" t="s">
        <v>2280</v>
      </c>
      <c r="B1287" s="3" t="s">
        <v>754</v>
      </c>
      <c r="C1287" s="3" t="s">
        <v>962</v>
      </c>
      <c r="D1287" s="3" t="s">
        <v>986</v>
      </c>
      <c r="E1287" s="3" t="s">
        <v>47</v>
      </c>
      <c r="F1287" s="3" t="s">
        <v>942</v>
      </c>
      <c r="G1287" s="3" t="str">
        <f>INDEX([1]Risk_Matrix!$B$2:$D$4,MATCH(E1287,[1]Risk_Matrix!$A$2:$A$4,0),MATCH(F1287,[1]Risk_Matrix!$B$1:$D$1,0))</f>
        <v>Low</v>
      </c>
      <c r="H1287" s="10">
        <v>46081</v>
      </c>
      <c r="I1287" s="3" t="s">
        <v>973</v>
      </c>
      <c r="J1287" s="3" t="s">
        <v>974</v>
      </c>
      <c r="K1287" s="3" t="s">
        <v>993</v>
      </c>
      <c r="L1287" s="3">
        <f>IF(G1287="High",3,IF(G1287="Medium",2,1))</f>
        <v>1</v>
      </c>
    </row>
    <row r="1288" spans="1:12">
      <c r="A1288" s="3" t="s">
        <v>2281</v>
      </c>
      <c r="B1288" s="3" t="s">
        <v>754</v>
      </c>
      <c r="C1288" s="3" t="s">
        <v>965</v>
      </c>
      <c r="D1288" s="3" t="s">
        <v>988</v>
      </c>
      <c r="E1288" s="3" t="s">
        <v>47</v>
      </c>
      <c r="F1288" s="3" t="s">
        <v>942</v>
      </c>
      <c r="G1288" s="3" t="str">
        <f>INDEX([1]Risk_Matrix!$B$2:$D$4,MATCH(E1288,[1]Risk_Matrix!$A$2:$A$4,0),MATCH(F1288,[1]Risk_Matrix!$B$1:$D$1,0))</f>
        <v>Low</v>
      </c>
      <c r="H1288" s="10">
        <v>46206</v>
      </c>
      <c r="I1288" s="3" t="s">
        <v>967</v>
      </c>
      <c r="J1288" s="3" t="s">
        <v>968</v>
      </c>
      <c r="K1288" s="3" t="s">
        <v>983</v>
      </c>
      <c r="L1288" s="3">
        <f>IF(G1288="High",3,IF(G1288="Medium",2,1))</f>
        <v>1</v>
      </c>
    </row>
    <row r="1289" spans="1:12">
      <c r="A1289" s="3" t="s">
        <v>2282</v>
      </c>
      <c r="B1289" s="3" t="s">
        <v>754</v>
      </c>
      <c r="C1289" s="3" t="s">
        <v>971</v>
      </c>
      <c r="D1289" s="3" t="s">
        <v>1016</v>
      </c>
      <c r="E1289" s="3" t="s">
        <v>47</v>
      </c>
      <c r="F1289" s="3" t="s">
        <v>42</v>
      </c>
      <c r="G1289" s="3" t="str">
        <f>INDEX([1]Risk_Matrix!$B$2:$D$4,MATCH(E1289,[1]Risk_Matrix!$A$2:$A$4,0),MATCH(F1289,[1]Risk_Matrix!$B$1:$D$1,0))</f>
        <v>Medium</v>
      </c>
      <c r="H1289" s="10">
        <v>46217</v>
      </c>
      <c r="I1289" s="3" t="s">
        <v>973</v>
      </c>
      <c r="J1289" s="3" t="s">
        <v>974</v>
      </c>
      <c r="K1289" s="3" t="s">
        <v>993</v>
      </c>
      <c r="L1289" s="3">
        <f>IF(G1289="High",3,IF(G1289="Medium",2,1))</f>
        <v>2</v>
      </c>
    </row>
    <row r="1290" spans="1:12">
      <c r="A1290" s="3" t="s">
        <v>2283</v>
      </c>
      <c r="B1290" s="3" t="s">
        <v>754</v>
      </c>
      <c r="C1290" s="3" t="s">
        <v>976</v>
      </c>
      <c r="D1290" s="3" t="s">
        <v>1002</v>
      </c>
      <c r="E1290" s="3" t="s">
        <v>47</v>
      </c>
      <c r="F1290" s="3" t="s">
        <v>42</v>
      </c>
      <c r="G1290" s="3" t="str">
        <f>INDEX([1]Risk_Matrix!$B$2:$D$4,MATCH(E1290,[1]Risk_Matrix!$A$2:$A$4,0),MATCH(F1290,[1]Risk_Matrix!$B$1:$D$1,0))</f>
        <v>Medium</v>
      </c>
      <c r="H1290" s="10">
        <v>46181</v>
      </c>
      <c r="I1290" s="3" t="s">
        <v>973</v>
      </c>
      <c r="J1290" s="3" t="s">
        <v>974</v>
      </c>
      <c r="K1290" s="3" t="s">
        <v>969</v>
      </c>
      <c r="L1290" s="3">
        <f>IF(G1290="High",3,IF(G1290="Medium",2,1))</f>
        <v>2</v>
      </c>
    </row>
    <row r="1291" spans="1:12">
      <c r="A1291" s="3" t="s">
        <v>2284</v>
      </c>
      <c r="B1291" s="3" t="s">
        <v>754</v>
      </c>
      <c r="C1291" s="3" t="s">
        <v>979</v>
      </c>
      <c r="D1291" s="3" t="s">
        <v>1004</v>
      </c>
      <c r="E1291" s="3" t="s">
        <v>942</v>
      </c>
      <c r="F1291" s="3" t="s">
        <v>47</v>
      </c>
      <c r="G1291" s="3" t="str">
        <f>INDEX([1]Risk_Matrix!$B$2:$D$4,MATCH(E1291,[1]Risk_Matrix!$A$2:$A$4,0),MATCH(F1291,[1]Risk_Matrix!$B$1:$D$1,0))</f>
        <v>Low</v>
      </c>
      <c r="H1291" s="10">
        <v>46120</v>
      </c>
      <c r="I1291" s="3" t="s">
        <v>967</v>
      </c>
      <c r="J1291" s="3" t="s">
        <v>968</v>
      </c>
      <c r="K1291" s="3" t="s">
        <v>1000</v>
      </c>
      <c r="L1291" s="3">
        <f>IF(G1291="High",3,IF(G1291="Medium",2,1))</f>
        <v>1</v>
      </c>
    </row>
    <row r="1292" spans="1:12">
      <c r="A1292" s="3" t="s">
        <v>2285</v>
      </c>
      <c r="B1292" s="3" t="s">
        <v>756</v>
      </c>
      <c r="C1292" s="3" t="s">
        <v>956</v>
      </c>
      <c r="D1292" s="3" t="s">
        <v>995</v>
      </c>
      <c r="E1292" s="3" t="s">
        <v>942</v>
      </c>
      <c r="F1292" s="3" t="s">
        <v>47</v>
      </c>
      <c r="G1292" s="3" t="str">
        <f>INDEX([1]Risk_Matrix!$B$2:$D$4,MATCH(E1292,[1]Risk_Matrix!$A$2:$A$4,0),MATCH(F1292,[1]Risk_Matrix!$B$1:$D$1,0))</f>
        <v>Low</v>
      </c>
      <c r="H1292" s="10">
        <v>46069</v>
      </c>
      <c r="I1292" s="3" t="s">
        <v>967</v>
      </c>
      <c r="J1292" s="3" t="s">
        <v>968</v>
      </c>
      <c r="K1292" s="3" t="s">
        <v>983</v>
      </c>
      <c r="L1292" s="3">
        <f>IF(G1292="High",3,IF(G1292="Medium",2,1))</f>
        <v>1</v>
      </c>
    </row>
    <row r="1293" spans="1:12">
      <c r="A1293" s="3" t="s">
        <v>2286</v>
      </c>
      <c r="B1293" s="3" t="s">
        <v>756</v>
      </c>
      <c r="C1293" s="3" t="s">
        <v>962</v>
      </c>
      <c r="D1293" s="3" t="s">
        <v>963</v>
      </c>
      <c r="E1293" s="3" t="s">
        <v>942</v>
      </c>
      <c r="F1293" s="3" t="s">
        <v>942</v>
      </c>
      <c r="G1293" s="3" t="str">
        <f>INDEX([1]Risk_Matrix!$B$2:$D$4,MATCH(E1293,[1]Risk_Matrix!$A$2:$A$4,0),MATCH(F1293,[1]Risk_Matrix!$B$1:$D$1,0))</f>
        <v>Medium</v>
      </c>
      <c r="H1293" s="10">
        <v>46188</v>
      </c>
      <c r="I1293" s="3" t="s">
        <v>967</v>
      </c>
      <c r="J1293" s="3" t="s">
        <v>968</v>
      </c>
      <c r="K1293" s="3" t="s">
        <v>983</v>
      </c>
      <c r="L1293" s="3">
        <f>IF(G1293="High",3,IF(G1293="Medium",2,1))</f>
        <v>2</v>
      </c>
    </row>
    <row r="1294" spans="1:12">
      <c r="A1294" s="3" t="s">
        <v>2287</v>
      </c>
      <c r="B1294" s="3" t="s">
        <v>756</v>
      </c>
      <c r="C1294" s="3" t="s">
        <v>965</v>
      </c>
      <c r="D1294" s="3" t="s">
        <v>1023</v>
      </c>
      <c r="E1294" s="3" t="s">
        <v>47</v>
      </c>
      <c r="F1294" s="3" t="s">
        <v>47</v>
      </c>
      <c r="G1294" s="3" t="str">
        <f>INDEX([1]Risk_Matrix!$B$2:$D$4,MATCH(E1294,[1]Risk_Matrix!$A$2:$A$4,0),MATCH(F1294,[1]Risk_Matrix!$B$1:$D$1,0))</f>
        <v>Low</v>
      </c>
      <c r="H1294" s="10">
        <v>46197</v>
      </c>
      <c r="I1294" s="3" t="s">
        <v>981</v>
      </c>
      <c r="J1294" s="3" t="s">
        <v>982</v>
      </c>
      <c r="K1294" s="3" t="s">
        <v>960</v>
      </c>
      <c r="L1294" s="3">
        <f>IF(G1294="High",3,IF(G1294="Medium",2,1))</f>
        <v>1</v>
      </c>
    </row>
    <row r="1295" spans="1:12">
      <c r="A1295" s="3" t="s">
        <v>2288</v>
      </c>
      <c r="B1295" s="3" t="s">
        <v>756</v>
      </c>
      <c r="C1295" s="3" t="s">
        <v>971</v>
      </c>
      <c r="D1295" s="3" t="s">
        <v>1025</v>
      </c>
      <c r="E1295" s="3" t="s">
        <v>47</v>
      </c>
      <c r="F1295" s="3" t="s">
        <v>47</v>
      </c>
      <c r="G1295" s="3" t="str">
        <f>INDEX([1]Risk_Matrix!$B$2:$D$4,MATCH(E1295,[1]Risk_Matrix!$A$2:$A$4,0),MATCH(F1295,[1]Risk_Matrix!$B$1:$D$1,0))</f>
        <v>Low</v>
      </c>
      <c r="H1295" s="10">
        <v>46190</v>
      </c>
      <c r="I1295" s="3" t="s">
        <v>981</v>
      </c>
      <c r="J1295" s="3" t="s">
        <v>982</v>
      </c>
      <c r="K1295" s="3" t="s">
        <v>1000</v>
      </c>
      <c r="L1295" s="3">
        <f>IF(G1295="High",3,IF(G1295="Medium",2,1))</f>
        <v>1</v>
      </c>
    </row>
    <row r="1296" spans="1:12">
      <c r="A1296" s="3" t="s">
        <v>2289</v>
      </c>
      <c r="B1296" s="3" t="s">
        <v>756</v>
      </c>
      <c r="C1296" s="3" t="s">
        <v>976</v>
      </c>
      <c r="D1296" s="3" t="s">
        <v>991</v>
      </c>
      <c r="E1296" s="3" t="s">
        <v>47</v>
      </c>
      <c r="F1296" s="3" t="s">
        <v>47</v>
      </c>
      <c r="G1296" s="3" t="str">
        <f>INDEX([1]Risk_Matrix!$B$2:$D$4,MATCH(E1296,[1]Risk_Matrix!$A$2:$A$4,0),MATCH(F1296,[1]Risk_Matrix!$B$1:$D$1,0))</f>
        <v>Low</v>
      </c>
      <c r="H1296" s="10">
        <v>46099</v>
      </c>
      <c r="I1296" s="3" t="s">
        <v>967</v>
      </c>
      <c r="J1296" s="3" t="s">
        <v>968</v>
      </c>
      <c r="K1296" s="3" t="s">
        <v>960</v>
      </c>
      <c r="L1296" s="3">
        <f>IF(G1296="High",3,IF(G1296="Medium",2,1))</f>
        <v>1</v>
      </c>
    </row>
    <row r="1297" spans="1:12">
      <c r="A1297" s="3" t="s">
        <v>2290</v>
      </c>
      <c r="B1297" s="3" t="s">
        <v>756</v>
      </c>
      <c r="C1297" s="3" t="s">
        <v>979</v>
      </c>
      <c r="D1297" s="3" t="s">
        <v>1004</v>
      </c>
      <c r="E1297" s="3" t="s">
        <v>942</v>
      </c>
      <c r="F1297" s="3" t="s">
        <v>942</v>
      </c>
      <c r="G1297" s="3" t="str">
        <f>INDEX([1]Risk_Matrix!$B$2:$D$4,MATCH(E1297,[1]Risk_Matrix!$A$2:$A$4,0),MATCH(F1297,[1]Risk_Matrix!$B$1:$D$1,0))</f>
        <v>Medium</v>
      </c>
      <c r="H1297" s="10">
        <v>46152</v>
      </c>
      <c r="I1297" s="3" t="s">
        <v>967</v>
      </c>
      <c r="J1297" s="3" t="s">
        <v>968</v>
      </c>
      <c r="K1297" s="3" t="s">
        <v>969</v>
      </c>
      <c r="L1297" s="3">
        <f>IF(G1297="High",3,IF(G1297="Medium",2,1))</f>
        <v>2</v>
      </c>
    </row>
    <row r="1298" spans="1:12">
      <c r="A1298" s="3" t="s">
        <v>2291</v>
      </c>
      <c r="B1298" s="3" t="s">
        <v>758</v>
      </c>
      <c r="C1298" s="3" t="s">
        <v>956</v>
      </c>
      <c r="D1298" s="3" t="s">
        <v>1020</v>
      </c>
      <c r="E1298" s="3" t="s">
        <v>47</v>
      </c>
      <c r="F1298" s="3" t="s">
        <v>942</v>
      </c>
      <c r="G1298" s="3" t="str">
        <f>INDEX([1]Risk_Matrix!$B$2:$D$4,MATCH(E1298,[1]Risk_Matrix!$A$2:$A$4,0),MATCH(F1298,[1]Risk_Matrix!$B$1:$D$1,0))</f>
        <v>Low</v>
      </c>
      <c r="H1298" s="10">
        <v>46098</v>
      </c>
      <c r="I1298" s="3" t="s">
        <v>967</v>
      </c>
      <c r="J1298" s="3" t="s">
        <v>968</v>
      </c>
      <c r="K1298" s="3" t="s">
        <v>960</v>
      </c>
      <c r="L1298" s="3">
        <f>IF(G1298="High",3,IF(G1298="Medium",2,1))</f>
        <v>1</v>
      </c>
    </row>
    <row r="1299" spans="1:12">
      <c r="A1299" s="3" t="s">
        <v>2292</v>
      </c>
      <c r="B1299" s="3" t="s">
        <v>758</v>
      </c>
      <c r="C1299" s="3" t="s">
        <v>962</v>
      </c>
      <c r="D1299" s="3" t="s">
        <v>963</v>
      </c>
      <c r="E1299" s="3" t="s">
        <v>942</v>
      </c>
      <c r="F1299" s="3" t="s">
        <v>47</v>
      </c>
      <c r="G1299" s="3" t="str">
        <f>INDEX([1]Risk_Matrix!$B$2:$D$4,MATCH(E1299,[1]Risk_Matrix!$A$2:$A$4,0),MATCH(F1299,[1]Risk_Matrix!$B$1:$D$1,0))</f>
        <v>Low</v>
      </c>
      <c r="H1299" s="10">
        <v>46222</v>
      </c>
      <c r="I1299" s="3" t="s">
        <v>967</v>
      </c>
      <c r="J1299" s="3" t="s">
        <v>968</v>
      </c>
      <c r="K1299" s="3" t="s">
        <v>969</v>
      </c>
      <c r="L1299" s="3">
        <f>IF(G1299="High",3,IF(G1299="Medium",2,1))</f>
        <v>1</v>
      </c>
    </row>
    <row r="1300" spans="1:12">
      <c r="A1300" s="3" t="s">
        <v>2293</v>
      </c>
      <c r="B1300" s="3" t="s">
        <v>758</v>
      </c>
      <c r="C1300" s="3" t="s">
        <v>965</v>
      </c>
      <c r="D1300" s="3" t="s">
        <v>988</v>
      </c>
      <c r="E1300" s="3" t="s">
        <v>942</v>
      </c>
      <c r="F1300" s="3" t="s">
        <v>42</v>
      </c>
      <c r="G1300" s="3" t="str">
        <f>INDEX([1]Risk_Matrix!$B$2:$D$4,MATCH(E1300,[1]Risk_Matrix!$A$2:$A$4,0),MATCH(F1300,[1]Risk_Matrix!$B$1:$D$1,0))</f>
        <v>High</v>
      </c>
      <c r="H1300" s="10">
        <v>46180</v>
      </c>
      <c r="I1300" s="3" t="s">
        <v>973</v>
      </c>
      <c r="J1300" s="3" t="s">
        <v>974</v>
      </c>
      <c r="K1300" s="3" t="s">
        <v>960</v>
      </c>
      <c r="L1300" s="3">
        <f>IF(G1300="High",3,IF(G1300="Medium",2,1))</f>
        <v>3</v>
      </c>
    </row>
    <row r="1301" spans="1:12">
      <c r="A1301" s="3" t="s">
        <v>2294</v>
      </c>
      <c r="B1301" s="3" t="s">
        <v>758</v>
      </c>
      <c r="C1301" s="3" t="s">
        <v>971</v>
      </c>
      <c r="D1301" s="3" t="s">
        <v>972</v>
      </c>
      <c r="E1301" s="3" t="s">
        <v>47</v>
      </c>
      <c r="F1301" s="3" t="s">
        <v>942</v>
      </c>
      <c r="G1301" s="3" t="str">
        <f>INDEX([1]Risk_Matrix!$B$2:$D$4,MATCH(E1301,[1]Risk_Matrix!$A$2:$A$4,0),MATCH(F1301,[1]Risk_Matrix!$B$1:$D$1,0))</f>
        <v>Low</v>
      </c>
      <c r="H1301" s="10">
        <v>46150</v>
      </c>
      <c r="I1301" s="3" t="s">
        <v>973</v>
      </c>
      <c r="J1301" s="3" t="s">
        <v>974</v>
      </c>
      <c r="K1301" s="3" t="s">
        <v>969</v>
      </c>
      <c r="L1301" s="3">
        <f>IF(G1301="High",3,IF(G1301="Medium",2,1))</f>
        <v>1</v>
      </c>
    </row>
    <row r="1302" spans="1:12">
      <c r="A1302" s="3" t="s">
        <v>2295</v>
      </c>
      <c r="B1302" s="3" t="s">
        <v>758</v>
      </c>
      <c r="C1302" s="3" t="s">
        <v>976</v>
      </c>
      <c r="D1302" s="3" t="s">
        <v>991</v>
      </c>
      <c r="E1302" s="3" t="s">
        <v>47</v>
      </c>
      <c r="F1302" s="3" t="s">
        <v>42</v>
      </c>
      <c r="G1302" s="3" t="str">
        <f>INDEX([1]Risk_Matrix!$B$2:$D$4,MATCH(E1302,[1]Risk_Matrix!$A$2:$A$4,0),MATCH(F1302,[1]Risk_Matrix!$B$1:$D$1,0))</f>
        <v>Medium</v>
      </c>
      <c r="H1302" s="10">
        <v>46109</v>
      </c>
      <c r="I1302" s="3" t="s">
        <v>973</v>
      </c>
      <c r="J1302" s="3" t="s">
        <v>974</v>
      </c>
      <c r="K1302" s="3" t="s">
        <v>983</v>
      </c>
      <c r="L1302" s="3">
        <f>IF(G1302="High",3,IF(G1302="Medium",2,1))</f>
        <v>2</v>
      </c>
    </row>
    <row r="1303" spans="1:12">
      <c r="A1303" s="3" t="s">
        <v>2296</v>
      </c>
      <c r="B1303" s="3" t="s">
        <v>758</v>
      </c>
      <c r="C1303" s="3" t="s">
        <v>979</v>
      </c>
      <c r="D1303" s="3" t="s">
        <v>1028</v>
      </c>
      <c r="E1303" s="3" t="s">
        <v>942</v>
      </c>
      <c r="F1303" s="3" t="s">
        <v>42</v>
      </c>
      <c r="G1303" s="3" t="str">
        <f>INDEX([1]Risk_Matrix!$B$2:$D$4,MATCH(E1303,[1]Risk_Matrix!$A$2:$A$4,0),MATCH(F1303,[1]Risk_Matrix!$B$1:$D$1,0))</f>
        <v>High</v>
      </c>
      <c r="H1303" s="10">
        <v>46202</v>
      </c>
      <c r="I1303" s="3" t="s">
        <v>967</v>
      </c>
      <c r="J1303" s="3" t="s">
        <v>968</v>
      </c>
      <c r="K1303" s="3" t="s">
        <v>983</v>
      </c>
      <c r="L1303" s="3">
        <f>IF(G1303="High",3,IF(G1303="Medium",2,1))</f>
        <v>3</v>
      </c>
    </row>
    <row r="1304" spans="1:12">
      <c r="A1304" s="3" t="s">
        <v>2297</v>
      </c>
      <c r="B1304" s="3" t="s">
        <v>759</v>
      </c>
      <c r="C1304" s="3" t="s">
        <v>956</v>
      </c>
      <c r="D1304" s="3" t="s">
        <v>957</v>
      </c>
      <c r="E1304" s="3" t="s">
        <v>47</v>
      </c>
      <c r="F1304" s="3" t="s">
        <v>942</v>
      </c>
      <c r="G1304" s="3" t="str">
        <f>INDEX([1]Risk_Matrix!$B$2:$D$4,MATCH(E1304,[1]Risk_Matrix!$A$2:$A$4,0),MATCH(F1304,[1]Risk_Matrix!$B$1:$D$1,0))</f>
        <v>Low</v>
      </c>
      <c r="H1304" s="10">
        <v>46200</v>
      </c>
      <c r="I1304" s="3" t="s">
        <v>967</v>
      </c>
      <c r="J1304" s="3" t="s">
        <v>968</v>
      </c>
      <c r="K1304" s="3" t="s">
        <v>1000</v>
      </c>
      <c r="L1304" s="3">
        <f>IF(G1304="High",3,IF(G1304="Medium",2,1))</f>
        <v>1</v>
      </c>
    </row>
    <row r="1305" spans="1:12">
      <c r="A1305" s="3" t="s">
        <v>2298</v>
      </c>
      <c r="B1305" s="3" t="s">
        <v>759</v>
      </c>
      <c r="C1305" s="3" t="s">
        <v>962</v>
      </c>
      <c r="D1305" s="3" t="s">
        <v>963</v>
      </c>
      <c r="E1305" s="3" t="s">
        <v>942</v>
      </c>
      <c r="F1305" s="3" t="s">
        <v>47</v>
      </c>
      <c r="G1305" s="3" t="str">
        <f>INDEX([1]Risk_Matrix!$B$2:$D$4,MATCH(E1305,[1]Risk_Matrix!$A$2:$A$4,0),MATCH(F1305,[1]Risk_Matrix!$B$1:$D$1,0))</f>
        <v>Low</v>
      </c>
      <c r="H1305" s="10">
        <v>46103</v>
      </c>
      <c r="I1305" s="3" t="s">
        <v>973</v>
      </c>
      <c r="J1305" s="3" t="s">
        <v>974</v>
      </c>
      <c r="K1305" s="3" t="s">
        <v>983</v>
      </c>
      <c r="L1305" s="3">
        <f>IF(G1305="High",3,IF(G1305="Medium",2,1))</f>
        <v>1</v>
      </c>
    </row>
    <row r="1306" spans="1:12">
      <c r="A1306" s="3" t="s">
        <v>2299</v>
      </c>
      <c r="B1306" s="3" t="s">
        <v>759</v>
      </c>
      <c r="C1306" s="3" t="s">
        <v>965</v>
      </c>
      <c r="D1306" s="3" t="s">
        <v>966</v>
      </c>
      <c r="E1306" s="3" t="s">
        <v>47</v>
      </c>
      <c r="F1306" s="3" t="s">
        <v>942</v>
      </c>
      <c r="G1306" s="3" t="str">
        <f>INDEX([1]Risk_Matrix!$B$2:$D$4,MATCH(E1306,[1]Risk_Matrix!$A$2:$A$4,0),MATCH(F1306,[1]Risk_Matrix!$B$1:$D$1,0))</f>
        <v>Low</v>
      </c>
      <c r="H1306" s="10">
        <v>46080</v>
      </c>
      <c r="I1306" s="3" t="s">
        <v>967</v>
      </c>
      <c r="J1306" s="3" t="s">
        <v>968</v>
      </c>
      <c r="K1306" s="3" t="s">
        <v>983</v>
      </c>
      <c r="L1306" s="3">
        <f>IF(G1306="High",3,IF(G1306="Medium",2,1))</f>
        <v>1</v>
      </c>
    </row>
    <row r="1307" spans="1:12">
      <c r="A1307" s="3" t="s">
        <v>2300</v>
      </c>
      <c r="B1307" s="3" t="s">
        <v>759</v>
      </c>
      <c r="C1307" s="3" t="s">
        <v>971</v>
      </c>
      <c r="D1307" s="3" t="s">
        <v>1016</v>
      </c>
      <c r="E1307" s="3" t="s">
        <v>47</v>
      </c>
      <c r="F1307" s="3" t="s">
        <v>42</v>
      </c>
      <c r="G1307" s="3" t="str">
        <f>INDEX([1]Risk_Matrix!$B$2:$D$4,MATCH(E1307,[1]Risk_Matrix!$A$2:$A$4,0),MATCH(F1307,[1]Risk_Matrix!$B$1:$D$1,0))</f>
        <v>Medium</v>
      </c>
      <c r="H1307" s="10">
        <v>46187</v>
      </c>
      <c r="I1307" s="3" t="s">
        <v>967</v>
      </c>
      <c r="J1307" s="3" t="s">
        <v>968</v>
      </c>
      <c r="K1307" s="3" t="s">
        <v>969</v>
      </c>
      <c r="L1307" s="3">
        <f>IF(G1307="High",3,IF(G1307="Medium",2,1))</f>
        <v>2</v>
      </c>
    </row>
    <row r="1308" spans="1:12">
      <c r="A1308" s="3" t="s">
        <v>2301</v>
      </c>
      <c r="B1308" s="3" t="s">
        <v>759</v>
      </c>
      <c r="C1308" s="3" t="s">
        <v>976</v>
      </c>
      <c r="D1308" s="3" t="s">
        <v>977</v>
      </c>
      <c r="E1308" s="3" t="s">
        <v>42</v>
      </c>
      <c r="F1308" s="3" t="s">
        <v>42</v>
      </c>
      <c r="G1308" s="3" t="str">
        <f>INDEX([1]Risk_Matrix!$B$2:$D$4,MATCH(E1308,[1]Risk_Matrix!$A$2:$A$4,0),MATCH(F1308,[1]Risk_Matrix!$B$1:$D$1,0))</f>
        <v>High</v>
      </c>
      <c r="H1308" s="10">
        <v>46105</v>
      </c>
      <c r="I1308" s="3" t="s">
        <v>973</v>
      </c>
      <c r="J1308" s="3" t="s">
        <v>974</v>
      </c>
      <c r="K1308" s="3" t="s">
        <v>960</v>
      </c>
      <c r="L1308" s="3">
        <f>IF(G1308="High",3,IF(G1308="Medium",2,1))</f>
        <v>3</v>
      </c>
    </row>
    <row r="1309" spans="1:12">
      <c r="A1309" s="3" t="s">
        <v>2302</v>
      </c>
      <c r="B1309" s="3" t="s">
        <v>759</v>
      </c>
      <c r="C1309" s="3" t="s">
        <v>979</v>
      </c>
      <c r="D1309" s="3" t="s">
        <v>1028</v>
      </c>
      <c r="E1309" s="3" t="s">
        <v>47</v>
      </c>
      <c r="F1309" s="3" t="s">
        <v>47</v>
      </c>
      <c r="G1309" s="3" t="str">
        <f>INDEX([1]Risk_Matrix!$B$2:$D$4,MATCH(E1309,[1]Risk_Matrix!$A$2:$A$4,0),MATCH(F1309,[1]Risk_Matrix!$B$1:$D$1,0))</f>
        <v>Low</v>
      </c>
      <c r="H1309" s="10">
        <v>46238</v>
      </c>
      <c r="I1309" s="3" t="s">
        <v>981</v>
      </c>
      <c r="J1309" s="3" t="s">
        <v>982</v>
      </c>
      <c r="K1309" s="3" t="s">
        <v>993</v>
      </c>
      <c r="L1309" s="3">
        <f>IF(G1309="High",3,IF(G1309="Medium",2,1))</f>
        <v>1</v>
      </c>
    </row>
    <row r="1310" spans="1:12">
      <c r="A1310" s="3" t="s">
        <v>2303</v>
      </c>
      <c r="B1310" s="3" t="s">
        <v>761</v>
      </c>
      <c r="C1310" s="3" t="s">
        <v>956</v>
      </c>
      <c r="D1310" s="3" t="s">
        <v>995</v>
      </c>
      <c r="E1310" s="3" t="s">
        <v>942</v>
      </c>
      <c r="F1310" s="3" t="s">
        <v>942</v>
      </c>
      <c r="G1310" s="3" t="str">
        <f>INDEX([1]Risk_Matrix!$B$2:$D$4,MATCH(E1310,[1]Risk_Matrix!$A$2:$A$4,0),MATCH(F1310,[1]Risk_Matrix!$B$1:$D$1,0))</f>
        <v>Medium</v>
      </c>
      <c r="H1310" s="10">
        <v>46082</v>
      </c>
      <c r="I1310" s="3" t="s">
        <v>973</v>
      </c>
      <c r="J1310" s="3" t="s">
        <v>974</v>
      </c>
      <c r="K1310" s="3" t="s">
        <v>1000</v>
      </c>
      <c r="L1310" s="3">
        <f>IF(G1310="High",3,IF(G1310="Medium",2,1))</f>
        <v>2</v>
      </c>
    </row>
    <row r="1311" spans="1:12">
      <c r="A1311" s="3" t="s">
        <v>2304</v>
      </c>
      <c r="B1311" s="3" t="s">
        <v>761</v>
      </c>
      <c r="C1311" s="3" t="s">
        <v>962</v>
      </c>
      <c r="D1311" s="3" t="s">
        <v>963</v>
      </c>
      <c r="E1311" s="3" t="s">
        <v>47</v>
      </c>
      <c r="F1311" s="3" t="s">
        <v>47</v>
      </c>
      <c r="G1311" s="3" t="str">
        <f>INDEX([1]Risk_Matrix!$B$2:$D$4,MATCH(E1311,[1]Risk_Matrix!$A$2:$A$4,0),MATCH(F1311,[1]Risk_Matrix!$B$1:$D$1,0))</f>
        <v>Low</v>
      </c>
      <c r="H1311" s="10">
        <v>46197</v>
      </c>
      <c r="I1311" s="3" t="s">
        <v>973</v>
      </c>
      <c r="J1311" s="3" t="s">
        <v>974</v>
      </c>
      <c r="K1311" s="3" t="s">
        <v>983</v>
      </c>
      <c r="L1311" s="3">
        <f>IF(G1311="High",3,IF(G1311="Medium",2,1))</f>
        <v>1</v>
      </c>
    </row>
    <row r="1312" spans="1:12">
      <c r="A1312" s="3" t="s">
        <v>2305</v>
      </c>
      <c r="B1312" s="3" t="s">
        <v>761</v>
      </c>
      <c r="C1312" s="3" t="s">
        <v>965</v>
      </c>
      <c r="D1312" s="3" t="s">
        <v>988</v>
      </c>
      <c r="E1312" s="3" t="s">
        <v>942</v>
      </c>
      <c r="F1312" s="3" t="s">
        <v>942</v>
      </c>
      <c r="G1312" s="3" t="str">
        <f>INDEX([1]Risk_Matrix!$B$2:$D$4,MATCH(E1312,[1]Risk_Matrix!$A$2:$A$4,0),MATCH(F1312,[1]Risk_Matrix!$B$1:$D$1,0))</f>
        <v>Medium</v>
      </c>
      <c r="H1312" s="10">
        <v>46189</v>
      </c>
      <c r="I1312" s="3" t="s">
        <v>973</v>
      </c>
      <c r="J1312" s="3" t="s">
        <v>974</v>
      </c>
      <c r="K1312" s="3" t="s">
        <v>983</v>
      </c>
      <c r="L1312" s="3">
        <f>IF(G1312="High",3,IF(G1312="Medium",2,1))</f>
        <v>2</v>
      </c>
    </row>
    <row r="1313" spans="1:12">
      <c r="A1313" s="3" t="s">
        <v>2306</v>
      </c>
      <c r="B1313" s="3" t="s">
        <v>761</v>
      </c>
      <c r="C1313" s="3" t="s">
        <v>971</v>
      </c>
      <c r="D1313" s="3" t="s">
        <v>1025</v>
      </c>
      <c r="E1313" s="3" t="s">
        <v>47</v>
      </c>
      <c r="F1313" s="3" t="s">
        <v>42</v>
      </c>
      <c r="G1313" s="3" t="str">
        <f>INDEX([1]Risk_Matrix!$B$2:$D$4,MATCH(E1313,[1]Risk_Matrix!$A$2:$A$4,0),MATCH(F1313,[1]Risk_Matrix!$B$1:$D$1,0))</f>
        <v>Medium</v>
      </c>
      <c r="H1313" s="10">
        <v>46136</v>
      </c>
      <c r="I1313" s="3" t="s">
        <v>973</v>
      </c>
      <c r="J1313" s="3" t="s">
        <v>974</v>
      </c>
      <c r="K1313" s="3" t="s">
        <v>993</v>
      </c>
      <c r="L1313" s="3">
        <f>IF(G1313="High",3,IF(G1313="Medium",2,1))</f>
        <v>2</v>
      </c>
    </row>
    <row r="1314" spans="1:12">
      <c r="A1314" s="3" t="s">
        <v>2307</v>
      </c>
      <c r="B1314" s="3" t="s">
        <v>761</v>
      </c>
      <c r="C1314" s="3" t="s">
        <v>976</v>
      </c>
      <c r="D1314" s="3" t="s">
        <v>1002</v>
      </c>
      <c r="E1314" s="3" t="s">
        <v>942</v>
      </c>
      <c r="F1314" s="3" t="s">
        <v>42</v>
      </c>
      <c r="G1314" s="3" t="str">
        <f>INDEX([1]Risk_Matrix!$B$2:$D$4,MATCH(E1314,[1]Risk_Matrix!$A$2:$A$4,0),MATCH(F1314,[1]Risk_Matrix!$B$1:$D$1,0))</f>
        <v>High</v>
      </c>
      <c r="H1314" s="10">
        <v>46125</v>
      </c>
      <c r="I1314" s="3" t="s">
        <v>973</v>
      </c>
      <c r="J1314" s="3" t="s">
        <v>974</v>
      </c>
      <c r="K1314" s="3" t="s">
        <v>983</v>
      </c>
      <c r="L1314" s="3">
        <f>IF(G1314="High",3,IF(G1314="Medium",2,1))</f>
        <v>3</v>
      </c>
    </row>
    <row r="1315" spans="1:12">
      <c r="A1315" s="3" t="s">
        <v>2308</v>
      </c>
      <c r="B1315" s="3" t="s">
        <v>761</v>
      </c>
      <c r="C1315" s="3" t="s">
        <v>979</v>
      </c>
      <c r="D1315" s="3" t="s">
        <v>980</v>
      </c>
      <c r="E1315" s="3" t="s">
        <v>47</v>
      </c>
      <c r="F1315" s="3" t="s">
        <v>47</v>
      </c>
      <c r="G1315" s="3" t="str">
        <f>INDEX([1]Risk_Matrix!$B$2:$D$4,MATCH(E1315,[1]Risk_Matrix!$A$2:$A$4,0),MATCH(F1315,[1]Risk_Matrix!$B$1:$D$1,0))</f>
        <v>Low</v>
      </c>
      <c r="H1315" s="10">
        <v>46105</v>
      </c>
      <c r="I1315" s="3" t="s">
        <v>967</v>
      </c>
      <c r="J1315" s="3" t="s">
        <v>968</v>
      </c>
      <c r="K1315" s="3" t="s">
        <v>969</v>
      </c>
      <c r="L1315" s="3">
        <f>IF(G1315="High",3,IF(G1315="Medium",2,1))</f>
        <v>1</v>
      </c>
    </row>
    <row r="1316" spans="1:12">
      <c r="A1316" s="3" t="s">
        <v>2309</v>
      </c>
      <c r="B1316" s="3" t="s">
        <v>763</v>
      </c>
      <c r="C1316" s="3" t="s">
        <v>956</v>
      </c>
      <c r="D1316" s="3" t="s">
        <v>957</v>
      </c>
      <c r="E1316" s="3" t="s">
        <v>942</v>
      </c>
      <c r="F1316" s="3" t="s">
        <v>942</v>
      </c>
      <c r="G1316" s="3" t="str">
        <f>INDEX([1]Risk_Matrix!$B$2:$D$4,MATCH(E1316,[1]Risk_Matrix!$A$2:$A$4,0),MATCH(F1316,[1]Risk_Matrix!$B$1:$D$1,0))</f>
        <v>Medium</v>
      </c>
      <c r="H1316" s="10">
        <v>46126</v>
      </c>
      <c r="I1316" s="3" t="s">
        <v>973</v>
      </c>
      <c r="J1316" s="3" t="s">
        <v>974</v>
      </c>
      <c r="K1316" s="3" t="s">
        <v>969</v>
      </c>
      <c r="L1316" s="3">
        <f>IF(G1316="High",3,IF(G1316="Medium",2,1))</f>
        <v>2</v>
      </c>
    </row>
    <row r="1317" spans="1:12">
      <c r="A1317" s="3" t="s">
        <v>2310</v>
      </c>
      <c r="B1317" s="3" t="s">
        <v>763</v>
      </c>
      <c r="C1317" s="3" t="s">
        <v>962</v>
      </c>
      <c r="D1317" s="3" t="s">
        <v>963</v>
      </c>
      <c r="E1317" s="3" t="s">
        <v>942</v>
      </c>
      <c r="F1317" s="3" t="s">
        <v>942</v>
      </c>
      <c r="G1317" s="3" t="str">
        <f>INDEX([1]Risk_Matrix!$B$2:$D$4,MATCH(E1317,[1]Risk_Matrix!$A$2:$A$4,0),MATCH(F1317,[1]Risk_Matrix!$B$1:$D$1,0))</f>
        <v>Medium</v>
      </c>
      <c r="H1317" s="10">
        <v>46151</v>
      </c>
      <c r="I1317" s="3" t="s">
        <v>973</v>
      </c>
      <c r="J1317" s="3" t="s">
        <v>974</v>
      </c>
      <c r="K1317" s="3" t="s">
        <v>969</v>
      </c>
      <c r="L1317" s="3">
        <f>IF(G1317="High",3,IF(G1317="Medium",2,1))</f>
        <v>2</v>
      </c>
    </row>
    <row r="1318" spans="1:12">
      <c r="A1318" s="3" t="s">
        <v>2311</v>
      </c>
      <c r="B1318" s="3" t="s">
        <v>763</v>
      </c>
      <c r="C1318" s="3" t="s">
        <v>965</v>
      </c>
      <c r="D1318" s="3" t="s">
        <v>1023</v>
      </c>
      <c r="E1318" s="3" t="s">
        <v>47</v>
      </c>
      <c r="F1318" s="3" t="s">
        <v>42</v>
      </c>
      <c r="G1318" s="3" t="str">
        <f>INDEX([1]Risk_Matrix!$B$2:$D$4,MATCH(E1318,[1]Risk_Matrix!$A$2:$A$4,0),MATCH(F1318,[1]Risk_Matrix!$B$1:$D$1,0))</f>
        <v>Medium</v>
      </c>
      <c r="H1318" s="10">
        <v>46119</v>
      </c>
      <c r="I1318" s="3" t="s">
        <v>973</v>
      </c>
      <c r="J1318" s="3" t="s">
        <v>974</v>
      </c>
      <c r="K1318" s="3" t="s">
        <v>960</v>
      </c>
      <c r="L1318" s="3">
        <f>IF(G1318="High",3,IF(G1318="Medium",2,1))</f>
        <v>2</v>
      </c>
    </row>
    <row r="1319" spans="1:12">
      <c r="A1319" s="3" t="s">
        <v>2312</v>
      </c>
      <c r="B1319" s="3" t="s">
        <v>763</v>
      </c>
      <c r="C1319" s="3" t="s">
        <v>971</v>
      </c>
      <c r="D1319" s="3" t="s">
        <v>1016</v>
      </c>
      <c r="E1319" s="3" t="s">
        <v>47</v>
      </c>
      <c r="F1319" s="3" t="s">
        <v>942</v>
      </c>
      <c r="G1319" s="3" t="str">
        <f>INDEX([1]Risk_Matrix!$B$2:$D$4,MATCH(E1319,[1]Risk_Matrix!$A$2:$A$4,0),MATCH(F1319,[1]Risk_Matrix!$B$1:$D$1,0))</f>
        <v>Low</v>
      </c>
      <c r="H1319" s="10">
        <v>46114</v>
      </c>
      <c r="I1319" s="3" t="s">
        <v>981</v>
      </c>
      <c r="J1319" s="3" t="s">
        <v>982</v>
      </c>
      <c r="K1319" s="3" t="s">
        <v>969</v>
      </c>
      <c r="L1319" s="3">
        <f>IF(G1319="High",3,IF(G1319="Medium",2,1))</f>
        <v>1</v>
      </c>
    </row>
    <row r="1320" spans="1:12">
      <c r="A1320" s="3" t="s">
        <v>2313</v>
      </c>
      <c r="B1320" s="3" t="s">
        <v>763</v>
      </c>
      <c r="C1320" s="3" t="s">
        <v>976</v>
      </c>
      <c r="D1320" s="3" t="s">
        <v>977</v>
      </c>
      <c r="E1320" s="3" t="s">
        <v>942</v>
      </c>
      <c r="F1320" s="3" t="s">
        <v>47</v>
      </c>
      <c r="G1320" s="3" t="str">
        <f>INDEX([1]Risk_Matrix!$B$2:$D$4,MATCH(E1320,[1]Risk_Matrix!$A$2:$A$4,0),MATCH(F1320,[1]Risk_Matrix!$B$1:$D$1,0))</f>
        <v>Low</v>
      </c>
      <c r="H1320" s="10">
        <v>46085</v>
      </c>
      <c r="I1320" s="3" t="s">
        <v>967</v>
      </c>
      <c r="J1320" s="3" t="s">
        <v>968</v>
      </c>
      <c r="K1320" s="3" t="s">
        <v>969</v>
      </c>
      <c r="L1320" s="3">
        <f>IF(G1320="High",3,IF(G1320="Medium",2,1))</f>
        <v>1</v>
      </c>
    </row>
    <row r="1321" spans="1:12">
      <c r="A1321" s="3" t="s">
        <v>2314</v>
      </c>
      <c r="B1321" s="3" t="s">
        <v>763</v>
      </c>
      <c r="C1321" s="3" t="s">
        <v>979</v>
      </c>
      <c r="D1321" s="3" t="s">
        <v>1004</v>
      </c>
      <c r="E1321" s="3" t="s">
        <v>42</v>
      </c>
      <c r="F1321" s="3" t="s">
        <v>942</v>
      </c>
      <c r="G1321" s="3" t="str">
        <f>INDEX([1]Risk_Matrix!$B$2:$D$4,MATCH(E1321,[1]Risk_Matrix!$A$2:$A$4,0),MATCH(F1321,[1]Risk_Matrix!$B$1:$D$1,0))</f>
        <v>High</v>
      </c>
      <c r="H1321" s="10">
        <v>46128</v>
      </c>
      <c r="I1321" s="3" t="s">
        <v>981</v>
      </c>
      <c r="J1321" s="3" t="s">
        <v>982</v>
      </c>
      <c r="K1321" s="3" t="s">
        <v>960</v>
      </c>
      <c r="L1321" s="3">
        <f>IF(G1321="High",3,IF(G1321="Medium",2,1))</f>
        <v>3</v>
      </c>
    </row>
    <row r="1322" spans="1:12">
      <c r="A1322" s="3" t="s">
        <v>2315</v>
      </c>
      <c r="B1322" s="3" t="s">
        <v>765</v>
      </c>
      <c r="C1322" s="3" t="s">
        <v>956</v>
      </c>
      <c r="D1322" s="3" t="s">
        <v>957</v>
      </c>
      <c r="E1322" s="3" t="s">
        <v>942</v>
      </c>
      <c r="F1322" s="3" t="s">
        <v>42</v>
      </c>
      <c r="G1322" s="3" t="str">
        <f>INDEX([1]Risk_Matrix!$B$2:$D$4,MATCH(E1322,[1]Risk_Matrix!$A$2:$A$4,0),MATCH(F1322,[1]Risk_Matrix!$B$1:$D$1,0))</f>
        <v>High</v>
      </c>
      <c r="H1322" s="10">
        <v>46168</v>
      </c>
      <c r="I1322" s="3" t="s">
        <v>973</v>
      </c>
      <c r="J1322" s="3" t="s">
        <v>974</v>
      </c>
      <c r="K1322" s="3" t="s">
        <v>969</v>
      </c>
      <c r="L1322" s="3">
        <f>IF(G1322="High",3,IF(G1322="Medium",2,1))</f>
        <v>3</v>
      </c>
    </row>
    <row r="1323" spans="1:12">
      <c r="A1323" s="3" t="s">
        <v>2316</v>
      </c>
      <c r="B1323" s="3" t="s">
        <v>765</v>
      </c>
      <c r="C1323" s="3" t="s">
        <v>962</v>
      </c>
      <c r="D1323" s="3" t="s">
        <v>986</v>
      </c>
      <c r="E1323" s="3" t="s">
        <v>47</v>
      </c>
      <c r="F1323" s="3" t="s">
        <v>942</v>
      </c>
      <c r="G1323" s="3" t="str">
        <f>INDEX([1]Risk_Matrix!$B$2:$D$4,MATCH(E1323,[1]Risk_Matrix!$A$2:$A$4,0),MATCH(F1323,[1]Risk_Matrix!$B$1:$D$1,0))</f>
        <v>Low</v>
      </c>
      <c r="H1323" s="10">
        <v>46217</v>
      </c>
      <c r="I1323" s="3" t="s">
        <v>958</v>
      </c>
      <c r="J1323" s="3" t="s">
        <v>959</v>
      </c>
      <c r="K1323" s="3" t="s">
        <v>993</v>
      </c>
      <c r="L1323" s="3">
        <f>IF(G1323="High",3,IF(G1323="Medium",2,1))</f>
        <v>1</v>
      </c>
    </row>
    <row r="1324" spans="1:12">
      <c r="A1324" s="3" t="s">
        <v>2317</v>
      </c>
      <c r="B1324" s="3" t="s">
        <v>765</v>
      </c>
      <c r="C1324" s="3" t="s">
        <v>965</v>
      </c>
      <c r="D1324" s="3" t="s">
        <v>1023</v>
      </c>
      <c r="E1324" s="3" t="s">
        <v>942</v>
      </c>
      <c r="F1324" s="3" t="s">
        <v>47</v>
      </c>
      <c r="G1324" s="3" t="str">
        <f>INDEX([1]Risk_Matrix!$B$2:$D$4,MATCH(E1324,[1]Risk_Matrix!$A$2:$A$4,0),MATCH(F1324,[1]Risk_Matrix!$B$1:$D$1,0))</f>
        <v>Low</v>
      </c>
      <c r="H1324" s="10">
        <v>46182</v>
      </c>
      <c r="I1324" s="3" t="s">
        <v>967</v>
      </c>
      <c r="J1324" s="3" t="s">
        <v>968</v>
      </c>
      <c r="K1324" s="3" t="s">
        <v>1000</v>
      </c>
      <c r="L1324" s="3">
        <f>IF(G1324="High",3,IF(G1324="Medium",2,1))</f>
        <v>1</v>
      </c>
    </row>
    <row r="1325" spans="1:12">
      <c r="A1325" s="3" t="s">
        <v>2318</v>
      </c>
      <c r="B1325" s="3" t="s">
        <v>765</v>
      </c>
      <c r="C1325" s="3" t="s">
        <v>971</v>
      </c>
      <c r="D1325" s="3" t="s">
        <v>1025</v>
      </c>
      <c r="E1325" s="3" t="s">
        <v>942</v>
      </c>
      <c r="F1325" s="3" t="s">
        <v>47</v>
      </c>
      <c r="G1325" s="3" t="str">
        <f>INDEX([1]Risk_Matrix!$B$2:$D$4,MATCH(E1325,[1]Risk_Matrix!$A$2:$A$4,0),MATCH(F1325,[1]Risk_Matrix!$B$1:$D$1,0))</f>
        <v>Low</v>
      </c>
      <c r="H1325" s="10">
        <v>46114</v>
      </c>
      <c r="I1325" s="3" t="s">
        <v>981</v>
      </c>
      <c r="J1325" s="3" t="s">
        <v>982</v>
      </c>
      <c r="K1325" s="3" t="s">
        <v>1000</v>
      </c>
      <c r="L1325" s="3">
        <f>IF(G1325="High",3,IF(G1325="Medium",2,1))</f>
        <v>1</v>
      </c>
    </row>
    <row r="1326" spans="1:12">
      <c r="A1326" s="3" t="s">
        <v>2319</v>
      </c>
      <c r="B1326" s="3" t="s">
        <v>765</v>
      </c>
      <c r="C1326" s="3" t="s">
        <v>976</v>
      </c>
      <c r="D1326" s="3" t="s">
        <v>1002</v>
      </c>
      <c r="E1326" s="3" t="s">
        <v>942</v>
      </c>
      <c r="F1326" s="3" t="s">
        <v>47</v>
      </c>
      <c r="G1326" s="3" t="str">
        <f>INDEX([1]Risk_Matrix!$B$2:$D$4,MATCH(E1326,[1]Risk_Matrix!$A$2:$A$4,0),MATCH(F1326,[1]Risk_Matrix!$B$1:$D$1,0))</f>
        <v>Low</v>
      </c>
      <c r="H1326" s="10">
        <v>46068</v>
      </c>
      <c r="I1326" s="3" t="s">
        <v>967</v>
      </c>
      <c r="J1326" s="3" t="s">
        <v>968</v>
      </c>
      <c r="K1326" s="3" t="s">
        <v>960</v>
      </c>
      <c r="L1326" s="3">
        <f>IF(G1326="High",3,IF(G1326="Medium",2,1))</f>
        <v>1</v>
      </c>
    </row>
    <row r="1327" spans="1:12">
      <c r="A1327" s="3" t="s">
        <v>2320</v>
      </c>
      <c r="B1327" s="3" t="s">
        <v>765</v>
      </c>
      <c r="C1327" s="3" t="s">
        <v>979</v>
      </c>
      <c r="D1327" s="3" t="s">
        <v>1004</v>
      </c>
      <c r="E1327" s="3" t="s">
        <v>942</v>
      </c>
      <c r="F1327" s="3" t="s">
        <v>942</v>
      </c>
      <c r="G1327" s="3" t="str">
        <f>INDEX([1]Risk_Matrix!$B$2:$D$4,MATCH(E1327,[1]Risk_Matrix!$A$2:$A$4,0),MATCH(F1327,[1]Risk_Matrix!$B$1:$D$1,0))</f>
        <v>Medium</v>
      </c>
      <c r="H1327" s="10">
        <v>46213</v>
      </c>
      <c r="I1327" s="3" t="s">
        <v>981</v>
      </c>
      <c r="J1327" s="3" t="s">
        <v>982</v>
      </c>
      <c r="K1327" s="3" t="s">
        <v>1000</v>
      </c>
      <c r="L1327" s="3">
        <f>IF(G1327="High",3,IF(G1327="Medium",2,1))</f>
        <v>2</v>
      </c>
    </row>
    <row r="1328" spans="1:12">
      <c r="A1328" s="3" t="s">
        <v>2321</v>
      </c>
      <c r="B1328" s="3" t="s">
        <v>767</v>
      </c>
      <c r="C1328" s="3" t="s">
        <v>956</v>
      </c>
      <c r="D1328" s="3" t="s">
        <v>957</v>
      </c>
      <c r="E1328" s="3" t="s">
        <v>47</v>
      </c>
      <c r="F1328" s="3" t="s">
        <v>942</v>
      </c>
      <c r="G1328" s="3" t="str">
        <f>INDEX([1]Risk_Matrix!$B$2:$D$4,MATCH(E1328,[1]Risk_Matrix!$A$2:$A$4,0),MATCH(F1328,[1]Risk_Matrix!$B$1:$D$1,0))</f>
        <v>Low</v>
      </c>
      <c r="H1328" s="10">
        <v>46066</v>
      </c>
      <c r="I1328" s="3" t="s">
        <v>973</v>
      </c>
      <c r="J1328" s="3" t="s">
        <v>974</v>
      </c>
      <c r="K1328" s="3" t="s">
        <v>1000</v>
      </c>
      <c r="L1328" s="3">
        <f>IF(G1328="High",3,IF(G1328="Medium",2,1))</f>
        <v>1</v>
      </c>
    </row>
    <row r="1329" spans="1:12">
      <c r="A1329" s="3" t="s">
        <v>2322</v>
      </c>
      <c r="B1329" s="3" t="s">
        <v>767</v>
      </c>
      <c r="C1329" s="3" t="s">
        <v>962</v>
      </c>
      <c r="D1329" s="3" t="s">
        <v>997</v>
      </c>
      <c r="E1329" s="3" t="s">
        <v>942</v>
      </c>
      <c r="F1329" s="3" t="s">
        <v>942</v>
      </c>
      <c r="G1329" s="3" t="str">
        <f>INDEX([1]Risk_Matrix!$B$2:$D$4,MATCH(E1329,[1]Risk_Matrix!$A$2:$A$4,0),MATCH(F1329,[1]Risk_Matrix!$B$1:$D$1,0))</f>
        <v>Medium</v>
      </c>
      <c r="H1329" s="10">
        <v>46073</v>
      </c>
      <c r="I1329" s="3" t="s">
        <v>973</v>
      </c>
      <c r="J1329" s="3" t="s">
        <v>974</v>
      </c>
      <c r="K1329" s="3" t="s">
        <v>960</v>
      </c>
      <c r="L1329" s="3">
        <f>IF(G1329="High",3,IF(G1329="Medium",2,1))</f>
        <v>2</v>
      </c>
    </row>
    <row r="1330" spans="1:12">
      <c r="A1330" s="3" t="s">
        <v>2323</v>
      </c>
      <c r="B1330" s="3" t="s">
        <v>767</v>
      </c>
      <c r="C1330" s="3" t="s">
        <v>965</v>
      </c>
      <c r="D1330" s="3" t="s">
        <v>988</v>
      </c>
      <c r="E1330" s="3" t="s">
        <v>942</v>
      </c>
      <c r="F1330" s="3" t="s">
        <v>942</v>
      </c>
      <c r="G1330" s="3" t="str">
        <f>INDEX([1]Risk_Matrix!$B$2:$D$4,MATCH(E1330,[1]Risk_Matrix!$A$2:$A$4,0),MATCH(F1330,[1]Risk_Matrix!$B$1:$D$1,0))</f>
        <v>Medium</v>
      </c>
      <c r="H1330" s="10">
        <v>46078</v>
      </c>
      <c r="I1330" s="3" t="s">
        <v>981</v>
      </c>
      <c r="J1330" s="3" t="s">
        <v>982</v>
      </c>
      <c r="K1330" s="3" t="s">
        <v>960</v>
      </c>
      <c r="L1330" s="3">
        <f>IF(G1330="High",3,IF(G1330="Medium",2,1))</f>
        <v>2</v>
      </c>
    </row>
    <row r="1331" spans="1:12">
      <c r="A1331" s="3" t="s">
        <v>2324</v>
      </c>
      <c r="B1331" s="3" t="s">
        <v>767</v>
      </c>
      <c r="C1331" s="3" t="s">
        <v>971</v>
      </c>
      <c r="D1331" s="3" t="s">
        <v>1016</v>
      </c>
      <c r="E1331" s="3" t="s">
        <v>42</v>
      </c>
      <c r="F1331" s="3" t="s">
        <v>47</v>
      </c>
      <c r="G1331" s="3" t="str">
        <f>INDEX([1]Risk_Matrix!$B$2:$D$4,MATCH(E1331,[1]Risk_Matrix!$A$2:$A$4,0),MATCH(F1331,[1]Risk_Matrix!$B$1:$D$1,0))</f>
        <v>Medium</v>
      </c>
      <c r="H1331" s="10">
        <v>46077</v>
      </c>
      <c r="I1331" s="3" t="s">
        <v>973</v>
      </c>
      <c r="J1331" s="3" t="s">
        <v>974</v>
      </c>
      <c r="K1331" s="3" t="s">
        <v>969</v>
      </c>
      <c r="L1331" s="3">
        <f>IF(G1331="High",3,IF(G1331="Medium",2,1))</f>
        <v>2</v>
      </c>
    </row>
    <row r="1332" spans="1:12">
      <c r="A1332" s="3" t="s">
        <v>2325</v>
      </c>
      <c r="B1332" s="3" t="s">
        <v>767</v>
      </c>
      <c r="C1332" s="3" t="s">
        <v>976</v>
      </c>
      <c r="D1332" s="3" t="s">
        <v>977</v>
      </c>
      <c r="E1332" s="3" t="s">
        <v>47</v>
      </c>
      <c r="F1332" s="3" t="s">
        <v>47</v>
      </c>
      <c r="G1332" s="3" t="str">
        <f>INDEX([1]Risk_Matrix!$B$2:$D$4,MATCH(E1332,[1]Risk_Matrix!$A$2:$A$4,0),MATCH(F1332,[1]Risk_Matrix!$B$1:$D$1,0))</f>
        <v>Low</v>
      </c>
      <c r="H1332" s="10">
        <v>46122</v>
      </c>
      <c r="I1332" s="3" t="s">
        <v>973</v>
      </c>
      <c r="J1332" s="3" t="s">
        <v>974</v>
      </c>
      <c r="K1332" s="3" t="s">
        <v>969</v>
      </c>
      <c r="L1332" s="3">
        <f>IF(G1332="High",3,IF(G1332="Medium",2,1))</f>
        <v>1</v>
      </c>
    </row>
    <row r="1333" spans="1:12">
      <c r="A1333" s="3" t="s">
        <v>2326</v>
      </c>
      <c r="B1333" s="3" t="s">
        <v>767</v>
      </c>
      <c r="C1333" s="3" t="s">
        <v>979</v>
      </c>
      <c r="D1333" s="3" t="s">
        <v>1028</v>
      </c>
      <c r="E1333" s="3" t="s">
        <v>942</v>
      </c>
      <c r="F1333" s="3" t="s">
        <v>47</v>
      </c>
      <c r="G1333" s="3" t="str">
        <f>INDEX([1]Risk_Matrix!$B$2:$D$4,MATCH(E1333,[1]Risk_Matrix!$A$2:$A$4,0),MATCH(F1333,[1]Risk_Matrix!$B$1:$D$1,0))</f>
        <v>Low</v>
      </c>
      <c r="H1333" s="10">
        <v>46175</v>
      </c>
      <c r="I1333" s="3" t="s">
        <v>958</v>
      </c>
      <c r="J1333" s="3" t="s">
        <v>959</v>
      </c>
      <c r="K1333" s="3" t="s">
        <v>969</v>
      </c>
      <c r="L1333" s="3">
        <f>IF(G1333="High",3,IF(G1333="Medium",2,1))</f>
        <v>1</v>
      </c>
    </row>
    <row r="1334" spans="1:12">
      <c r="A1334" s="3" t="s">
        <v>2327</v>
      </c>
      <c r="B1334" s="3" t="s">
        <v>769</v>
      </c>
      <c r="C1334" s="3" t="s">
        <v>956</v>
      </c>
      <c r="D1334" s="3" t="s">
        <v>1012</v>
      </c>
      <c r="E1334" s="3" t="s">
        <v>942</v>
      </c>
      <c r="F1334" s="3" t="s">
        <v>47</v>
      </c>
      <c r="G1334" s="3" t="str">
        <f>INDEX([1]Risk_Matrix!$B$2:$D$4,MATCH(E1334,[1]Risk_Matrix!$A$2:$A$4,0),MATCH(F1334,[1]Risk_Matrix!$B$1:$D$1,0))</f>
        <v>Low</v>
      </c>
      <c r="H1334" s="10">
        <v>46076</v>
      </c>
      <c r="I1334" s="3" t="s">
        <v>967</v>
      </c>
      <c r="J1334" s="3" t="s">
        <v>968</v>
      </c>
      <c r="K1334" s="3" t="s">
        <v>969</v>
      </c>
      <c r="L1334" s="3">
        <f>IF(G1334="High",3,IF(G1334="Medium",2,1))</f>
        <v>1</v>
      </c>
    </row>
    <row r="1335" spans="1:12">
      <c r="A1335" s="3" t="s">
        <v>2328</v>
      </c>
      <c r="B1335" s="3" t="s">
        <v>769</v>
      </c>
      <c r="C1335" s="3" t="s">
        <v>962</v>
      </c>
      <c r="D1335" s="3" t="s">
        <v>1037</v>
      </c>
      <c r="E1335" s="3" t="s">
        <v>47</v>
      </c>
      <c r="F1335" s="3" t="s">
        <v>942</v>
      </c>
      <c r="G1335" s="3" t="str">
        <f>INDEX([1]Risk_Matrix!$B$2:$D$4,MATCH(E1335,[1]Risk_Matrix!$A$2:$A$4,0),MATCH(F1335,[1]Risk_Matrix!$B$1:$D$1,0))</f>
        <v>Low</v>
      </c>
      <c r="H1335" s="10">
        <v>46156</v>
      </c>
      <c r="I1335" s="3" t="s">
        <v>967</v>
      </c>
      <c r="J1335" s="3" t="s">
        <v>968</v>
      </c>
      <c r="K1335" s="3" t="s">
        <v>960</v>
      </c>
      <c r="L1335" s="3">
        <f>IF(G1335="High",3,IF(G1335="Medium",2,1))</f>
        <v>1</v>
      </c>
    </row>
    <row r="1336" spans="1:12">
      <c r="A1336" s="3" t="s">
        <v>2329</v>
      </c>
      <c r="B1336" s="3" t="s">
        <v>769</v>
      </c>
      <c r="C1336" s="3" t="s">
        <v>965</v>
      </c>
      <c r="D1336" s="3" t="s">
        <v>966</v>
      </c>
      <c r="E1336" s="3" t="s">
        <v>942</v>
      </c>
      <c r="F1336" s="3" t="s">
        <v>47</v>
      </c>
      <c r="G1336" s="3" t="str">
        <f>INDEX([1]Risk_Matrix!$B$2:$D$4,MATCH(E1336,[1]Risk_Matrix!$A$2:$A$4,0),MATCH(F1336,[1]Risk_Matrix!$B$1:$D$1,0))</f>
        <v>Low</v>
      </c>
      <c r="H1336" s="10">
        <v>46216</v>
      </c>
      <c r="I1336" s="3" t="s">
        <v>967</v>
      </c>
      <c r="J1336" s="3" t="s">
        <v>968</v>
      </c>
      <c r="K1336" s="3" t="s">
        <v>969</v>
      </c>
      <c r="L1336" s="3">
        <f>IF(G1336="High",3,IF(G1336="Medium",2,1))</f>
        <v>1</v>
      </c>
    </row>
    <row r="1337" spans="1:12">
      <c r="A1337" s="3" t="s">
        <v>2330</v>
      </c>
      <c r="B1337" s="3" t="s">
        <v>769</v>
      </c>
      <c r="C1337" s="3" t="s">
        <v>971</v>
      </c>
      <c r="D1337" s="3" t="s">
        <v>1025</v>
      </c>
      <c r="E1337" s="3" t="s">
        <v>942</v>
      </c>
      <c r="F1337" s="3" t="s">
        <v>942</v>
      </c>
      <c r="G1337" s="3" t="str">
        <f>INDEX([1]Risk_Matrix!$B$2:$D$4,MATCH(E1337,[1]Risk_Matrix!$A$2:$A$4,0),MATCH(F1337,[1]Risk_Matrix!$B$1:$D$1,0))</f>
        <v>Medium</v>
      </c>
      <c r="H1337" s="10">
        <v>46180</v>
      </c>
      <c r="I1337" s="3" t="s">
        <v>981</v>
      </c>
      <c r="J1337" s="3" t="s">
        <v>982</v>
      </c>
      <c r="K1337" s="3" t="s">
        <v>969</v>
      </c>
      <c r="L1337" s="3">
        <f>IF(G1337="High",3,IF(G1337="Medium",2,1))</f>
        <v>2</v>
      </c>
    </row>
    <row r="1338" spans="1:12">
      <c r="A1338" s="3" t="s">
        <v>2331</v>
      </c>
      <c r="B1338" s="3" t="s">
        <v>769</v>
      </c>
      <c r="C1338" s="3" t="s">
        <v>976</v>
      </c>
      <c r="D1338" s="3" t="s">
        <v>991</v>
      </c>
      <c r="E1338" s="3" t="s">
        <v>47</v>
      </c>
      <c r="F1338" s="3" t="s">
        <v>942</v>
      </c>
      <c r="G1338" s="3" t="str">
        <f>INDEX([1]Risk_Matrix!$B$2:$D$4,MATCH(E1338,[1]Risk_Matrix!$A$2:$A$4,0),MATCH(F1338,[1]Risk_Matrix!$B$1:$D$1,0))</f>
        <v>Low</v>
      </c>
      <c r="H1338" s="10">
        <v>46158</v>
      </c>
      <c r="I1338" s="3" t="s">
        <v>967</v>
      </c>
      <c r="J1338" s="3" t="s">
        <v>968</v>
      </c>
      <c r="K1338" s="3" t="s">
        <v>1000</v>
      </c>
      <c r="L1338" s="3">
        <f>IF(G1338="High",3,IF(G1338="Medium",2,1))</f>
        <v>1</v>
      </c>
    </row>
    <row r="1339" spans="1:12">
      <c r="A1339" s="3" t="s">
        <v>2332</v>
      </c>
      <c r="B1339" s="3" t="s">
        <v>769</v>
      </c>
      <c r="C1339" s="3" t="s">
        <v>979</v>
      </c>
      <c r="D1339" s="3" t="s">
        <v>1028</v>
      </c>
      <c r="E1339" s="3" t="s">
        <v>942</v>
      </c>
      <c r="F1339" s="3" t="s">
        <v>942</v>
      </c>
      <c r="G1339" s="3" t="str">
        <f>INDEX([1]Risk_Matrix!$B$2:$D$4,MATCH(E1339,[1]Risk_Matrix!$A$2:$A$4,0),MATCH(F1339,[1]Risk_Matrix!$B$1:$D$1,0))</f>
        <v>Medium</v>
      </c>
      <c r="H1339" s="10">
        <v>46114</v>
      </c>
      <c r="I1339" s="3" t="s">
        <v>973</v>
      </c>
      <c r="J1339" s="3" t="s">
        <v>974</v>
      </c>
      <c r="K1339" s="3" t="s">
        <v>969</v>
      </c>
      <c r="L1339" s="3">
        <f>IF(G1339="High",3,IF(G1339="Medium",2,1))</f>
        <v>2</v>
      </c>
    </row>
    <row r="1340" spans="1:12">
      <c r="A1340" s="3" t="s">
        <v>2333</v>
      </c>
      <c r="B1340" s="3" t="s">
        <v>771</v>
      </c>
      <c r="C1340" s="3" t="s">
        <v>956</v>
      </c>
      <c r="D1340" s="3" t="s">
        <v>995</v>
      </c>
      <c r="E1340" s="3" t="s">
        <v>942</v>
      </c>
      <c r="F1340" s="3" t="s">
        <v>42</v>
      </c>
      <c r="G1340" s="3" t="str">
        <f>INDEX([1]Risk_Matrix!$B$2:$D$4,MATCH(E1340,[1]Risk_Matrix!$A$2:$A$4,0),MATCH(F1340,[1]Risk_Matrix!$B$1:$D$1,0))</f>
        <v>High</v>
      </c>
      <c r="H1340" s="10">
        <v>46195</v>
      </c>
      <c r="I1340" s="3" t="s">
        <v>981</v>
      </c>
      <c r="J1340" s="3" t="s">
        <v>982</v>
      </c>
      <c r="K1340" s="3" t="s">
        <v>969</v>
      </c>
      <c r="L1340" s="3">
        <f>IF(G1340="High",3,IF(G1340="Medium",2,1))</f>
        <v>3</v>
      </c>
    </row>
    <row r="1341" spans="1:12">
      <c r="A1341" s="3" t="s">
        <v>2334</v>
      </c>
      <c r="B1341" s="3" t="s">
        <v>771</v>
      </c>
      <c r="C1341" s="3" t="s">
        <v>962</v>
      </c>
      <c r="D1341" s="3" t="s">
        <v>963</v>
      </c>
      <c r="E1341" s="3" t="s">
        <v>47</v>
      </c>
      <c r="F1341" s="3" t="s">
        <v>942</v>
      </c>
      <c r="G1341" s="3" t="str">
        <f>INDEX([1]Risk_Matrix!$B$2:$D$4,MATCH(E1341,[1]Risk_Matrix!$A$2:$A$4,0),MATCH(F1341,[1]Risk_Matrix!$B$1:$D$1,0))</f>
        <v>Low</v>
      </c>
      <c r="H1341" s="10">
        <v>46059</v>
      </c>
      <c r="I1341" s="3" t="s">
        <v>981</v>
      </c>
      <c r="J1341" s="3" t="s">
        <v>982</v>
      </c>
      <c r="K1341" s="3" t="s">
        <v>1000</v>
      </c>
      <c r="L1341" s="3">
        <f>IF(G1341="High",3,IF(G1341="Medium",2,1))</f>
        <v>1</v>
      </c>
    </row>
    <row r="1342" spans="1:12">
      <c r="A1342" s="3" t="s">
        <v>2335</v>
      </c>
      <c r="B1342" s="3" t="s">
        <v>771</v>
      </c>
      <c r="C1342" s="3" t="s">
        <v>965</v>
      </c>
      <c r="D1342" s="3" t="s">
        <v>966</v>
      </c>
      <c r="E1342" s="3" t="s">
        <v>942</v>
      </c>
      <c r="F1342" s="3" t="s">
        <v>942</v>
      </c>
      <c r="G1342" s="3" t="str">
        <f>INDEX([1]Risk_Matrix!$B$2:$D$4,MATCH(E1342,[1]Risk_Matrix!$A$2:$A$4,0),MATCH(F1342,[1]Risk_Matrix!$B$1:$D$1,0))</f>
        <v>Medium</v>
      </c>
      <c r="H1342" s="10">
        <v>46060</v>
      </c>
      <c r="I1342" s="3" t="s">
        <v>973</v>
      </c>
      <c r="J1342" s="3" t="s">
        <v>974</v>
      </c>
      <c r="K1342" s="3" t="s">
        <v>993</v>
      </c>
      <c r="L1342" s="3">
        <f>IF(G1342="High",3,IF(G1342="Medium",2,1))</f>
        <v>2</v>
      </c>
    </row>
    <row r="1343" spans="1:12">
      <c r="A1343" s="3" t="s">
        <v>2336</v>
      </c>
      <c r="B1343" s="3" t="s">
        <v>771</v>
      </c>
      <c r="C1343" s="3" t="s">
        <v>971</v>
      </c>
      <c r="D1343" s="3" t="s">
        <v>972</v>
      </c>
      <c r="E1343" s="3" t="s">
        <v>47</v>
      </c>
      <c r="F1343" s="3" t="s">
        <v>942</v>
      </c>
      <c r="G1343" s="3" t="str">
        <f>INDEX([1]Risk_Matrix!$B$2:$D$4,MATCH(E1343,[1]Risk_Matrix!$A$2:$A$4,0),MATCH(F1343,[1]Risk_Matrix!$B$1:$D$1,0))</f>
        <v>Low</v>
      </c>
      <c r="H1343" s="10">
        <v>46069</v>
      </c>
      <c r="I1343" s="3" t="s">
        <v>981</v>
      </c>
      <c r="J1343" s="3" t="s">
        <v>982</v>
      </c>
      <c r="K1343" s="3" t="s">
        <v>960</v>
      </c>
      <c r="L1343" s="3">
        <f>IF(G1343="High",3,IF(G1343="Medium",2,1))</f>
        <v>1</v>
      </c>
    </row>
    <row r="1344" spans="1:12">
      <c r="A1344" s="3" t="s">
        <v>2337</v>
      </c>
      <c r="B1344" s="3" t="s">
        <v>771</v>
      </c>
      <c r="C1344" s="3" t="s">
        <v>976</v>
      </c>
      <c r="D1344" s="3" t="s">
        <v>991</v>
      </c>
      <c r="E1344" s="3" t="s">
        <v>47</v>
      </c>
      <c r="F1344" s="3" t="s">
        <v>47</v>
      </c>
      <c r="G1344" s="3" t="str">
        <f>INDEX([1]Risk_Matrix!$B$2:$D$4,MATCH(E1344,[1]Risk_Matrix!$A$2:$A$4,0),MATCH(F1344,[1]Risk_Matrix!$B$1:$D$1,0))</f>
        <v>Low</v>
      </c>
      <c r="H1344" s="10">
        <v>46204</v>
      </c>
      <c r="I1344" s="3" t="s">
        <v>973</v>
      </c>
      <c r="J1344" s="3" t="s">
        <v>974</v>
      </c>
      <c r="K1344" s="3" t="s">
        <v>960</v>
      </c>
      <c r="L1344" s="3">
        <f>IF(G1344="High",3,IF(G1344="Medium",2,1))</f>
        <v>1</v>
      </c>
    </row>
    <row r="1345" spans="1:12">
      <c r="A1345" s="3" t="s">
        <v>2338</v>
      </c>
      <c r="B1345" s="3" t="s">
        <v>771</v>
      </c>
      <c r="C1345" s="3" t="s">
        <v>979</v>
      </c>
      <c r="D1345" s="3" t="s">
        <v>1004</v>
      </c>
      <c r="E1345" s="3" t="s">
        <v>942</v>
      </c>
      <c r="F1345" s="3" t="s">
        <v>942</v>
      </c>
      <c r="G1345" s="3" t="str">
        <f>INDEX([1]Risk_Matrix!$B$2:$D$4,MATCH(E1345,[1]Risk_Matrix!$A$2:$A$4,0),MATCH(F1345,[1]Risk_Matrix!$B$1:$D$1,0))</f>
        <v>Medium</v>
      </c>
      <c r="H1345" s="10">
        <v>46163</v>
      </c>
      <c r="I1345" s="3" t="s">
        <v>981</v>
      </c>
      <c r="J1345" s="3" t="s">
        <v>982</v>
      </c>
      <c r="K1345" s="3" t="s">
        <v>1000</v>
      </c>
      <c r="L1345" s="3">
        <f>IF(G1345="High",3,IF(G1345="Medium",2,1))</f>
        <v>2</v>
      </c>
    </row>
    <row r="1346" spans="1:12">
      <c r="A1346" s="3" t="s">
        <v>2339</v>
      </c>
      <c r="B1346" s="3" t="s">
        <v>774</v>
      </c>
      <c r="C1346" s="3" t="s">
        <v>956</v>
      </c>
      <c r="D1346" s="3" t="s">
        <v>957</v>
      </c>
      <c r="E1346" s="3" t="s">
        <v>47</v>
      </c>
      <c r="F1346" s="3" t="s">
        <v>47</v>
      </c>
      <c r="G1346" s="3" t="str">
        <f>INDEX([1]Risk_Matrix!$B$2:$D$4,MATCH(E1346,[1]Risk_Matrix!$A$2:$A$4,0),MATCH(F1346,[1]Risk_Matrix!$B$1:$D$1,0))</f>
        <v>Low</v>
      </c>
      <c r="H1346" s="10">
        <v>46176</v>
      </c>
      <c r="I1346" s="3" t="s">
        <v>981</v>
      </c>
      <c r="J1346" s="3" t="s">
        <v>982</v>
      </c>
      <c r="K1346" s="3" t="s">
        <v>1000</v>
      </c>
      <c r="L1346" s="3">
        <f>IF(G1346="High",3,IF(G1346="Medium",2,1))</f>
        <v>1</v>
      </c>
    </row>
    <row r="1347" spans="1:12">
      <c r="A1347" s="3" t="s">
        <v>2340</v>
      </c>
      <c r="B1347" s="3" t="s">
        <v>774</v>
      </c>
      <c r="C1347" s="3" t="s">
        <v>962</v>
      </c>
      <c r="D1347" s="3" t="s">
        <v>1037</v>
      </c>
      <c r="E1347" s="3" t="s">
        <v>942</v>
      </c>
      <c r="F1347" s="3" t="s">
        <v>47</v>
      </c>
      <c r="G1347" s="3" t="str">
        <f>INDEX([1]Risk_Matrix!$B$2:$D$4,MATCH(E1347,[1]Risk_Matrix!$A$2:$A$4,0),MATCH(F1347,[1]Risk_Matrix!$B$1:$D$1,0))</f>
        <v>Low</v>
      </c>
      <c r="H1347" s="10">
        <v>46061</v>
      </c>
      <c r="I1347" s="3" t="s">
        <v>967</v>
      </c>
      <c r="J1347" s="3" t="s">
        <v>968</v>
      </c>
      <c r="K1347" s="3" t="s">
        <v>983</v>
      </c>
      <c r="L1347" s="3">
        <f>IF(G1347="High",3,IF(G1347="Medium",2,1))</f>
        <v>1</v>
      </c>
    </row>
    <row r="1348" spans="1:12">
      <c r="A1348" s="3" t="s">
        <v>2341</v>
      </c>
      <c r="B1348" s="3" t="s">
        <v>774</v>
      </c>
      <c r="C1348" s="3" t="s">
        <v>965</v>
      </c>
      <c r="D1348" s="3" t="s">
        <v>1039</v>
      </c>
      <c r="E1348" s="3" t="s">
        <v>42</v>
      </c>
      <c r="F1348" s="3" t="s">
        <v>47</v>
      </c>
      <c r="G1348" s="3" t="str">
        <f>INDEX([1]Risk_Matrix!$B$2:$D$4,MATCH(E1348,[1]Risk_Matrix!$A$2:$A$4,0),MATCH(F1348,[1]Risk_Matrix!$B$1:$D$1,0))</f>
        <v>Medium</v>
      </c>
      <c r="H1348" s="10">
        <v>46201</v>
      </c>
      <c r="I1348" s="3" t="s">
        <v>981</v>
      </c>
      <c r="J1348" s="3" t="s">
        <v>982</v>
      </c>
      <c r="K1348" s="3" t="s">
        <v>993</v>
      </c>
      <c r="L1348" s="3">
        <f>IF(G1348="High",3,IF(G1348="Medium",2,1))</f>
        <v>2</v>
      </c>
    </row>
    <row r="1349" spans="1:12">
      <c r="A1349" s="3" t="s">
        <v>2342</v>
      </c>
      <c r="B1349" s="3" t="s">
        <v>774</v>
      </c>
      <c r="C1349" s="3" t="s">
        <v>971</v>
      </c>
      <c r="D1349" s="3" t="s">
        <v>1025</v>
      </c>
      <c r="E1349" s="3" t="s">
        <v>47</v>
      </c>
      <c r="F1349" s="3" t="s">
        <v>47</v>
      </c>
      <c r="G1349" s="3" t="str">
        <f>INDEX([1]Risk_Matrix!$B$2:$D$4,MATCH(E1349,[1]Risk_Matrix!$A$2:$A$4,0),MATCH(F1349,[1]Risk_Matrix!$B$1:$D$1,0))</f>
        <v>Low</v>
      </c>
      <c r="H1349" s="10">
        <v>46126</v>
      </c>
      <c r="I1349" s="3" t="s">
        <v>967</v>
      </c>
      <c r="J1349" s="3" t="s">
        <v>968</v>
      </c>
      <c r="K1349" s="3" t="s">
        <v>960</v>
      </c>
      <c r="L1349" s="3">
        <f>IF(G1349="High",3,IF(G1349="Medium",2,1))</f>
        <v>1</v>
      </c>
    </row>
    <row r="1350" spans="1:12">
      <c r="A1350" s="3" t="s">
        <v>2343</v>
      </c>
      <c r="B1350" s="3" t="s">
        <v>774</v>
      </c>
      <c r="C1350" s="3" t="s">
        <v>976</v>
      </c>
      <c r="D1350" s="3" t="s">
        <v>1002</v>
      </c>
      <c r="E1350" s="3" t="s">
        <v>942</v>
      </c>
      <c r="F1350" s="3" t="s">
        <v>942</v>
      </c>
      <c r="G1350" s="3" t="str">
        <f>INDEX([1]Risk_Matrix!$B$2:$D$4,MATCH(E1350,[1]Risk_Matrix!$A$2:$A$4,0),MATCH(F1350,[1]Risk_Matrix!$B$1:$D$1,0))</f>
        <v>Medium</v>
      </c>
      <c r="H1350" s="10">
        <v>46106</v>
      </c>
      <c r="I1350" s="3" t="s">
        <v>967</v>
      </c>
      <c r="J1350" s="3" t="s">
        <v>968</v>
      </c>
      <c r="K1350" s="3" t="s">
        <v>1000</v>
      </c>
      <c r="L1350" s="3">
        <f>IF(G1350="High",3,IF(G1350="Medium",2,1))</f>
        <v>2</v>
      </c>
    </row>
    <row r="1351" spans="1:12">
      <c r="A1351" s="3" t="s">
        <v>2344</v>
      </c>
      <c r="B1351" s="3" t="s">
        <v>774</v>
      </c>
      <c r="C1351" s="3" t="s">
        <v>979</v>
      </c>
      <c r="D1351" s="3" t="s">
        <v>1028</v>
      </c>
      <c r="E1351" s="3" t="s">
        <v>942</v>
      </c>
      <c r="F1351" s="3" t="s">
        <v>42</v>
      </c>
      <c r="G1351" s="3" t="str">
        <f>INDEX([1]Risk_Matrix!$B$2:$D$4,MATCH(E1351,[1]Risk_Matrix!$A$2:$A$4,0),MATCH(F1351,[1]Risk_Matrix!$B$1:$D$1,0))</f>
        <v>High</v>
      </c>
      <c r="H1351" s="10">
        <v>46172</v>
      </c>
      <c r="I1351" s="3" t="s">
        <v>958</v>
      </c>
      <c r="J1351" s="3" t="s">
        <v>959</v>
      </c>
      <c r="K1351" s="3" t="s">
        <v>969</v>
      </c>
      <c r="L1351" s="3">
        <f>IF(G1351="High",3,IF(G1351="Medium",2,1))</f>
        <v>3</v>
      </c>
    </row>
    <row r="1352" spans="1:12">
      <c r="A1352" s="3" t="s">
        <v>2345</v>
      </c>
      <c r="B1352" s="3" t="s">
        <v>777</v>
      </c>
      <c r="C1352" s="3" t="s">
        <v>956</v>
      </c>
      <c r="D1352" s="3" t="s">
        <v>995</v>
      </c>
      <c r="E1352" s="3" t="s">
        <v>47</v>
      </c>
      <c r="F1352" s="3" t="s">
        <v>47</v>
      </c>
      <c r="G1352" s="3" t="str">
        <f>INDEX([1]Risk_Matrix!$B$2:$D$4,MATCH(E1352,[1]Risk_Matrix!$A$2:$A$4,0),MATCH(F1352,[1]Risk_Matrix!$B$1:$D$1,0))</f>
        <v>Low</v>
      </c>
      <c r="H1352" s="10">
        <v>46178</v>
      </c>
      <c r="I1352" s="3" t="s">
        <v>981</v>
      </c>
      <c r="J1352" s="3" t="s">
        <v>982</v>
      </c>
      <c r="K1352" s="3" t="s">
        <v>969</v>
      </c>
      <c r="L1352" s="3">
        <f>IF(G1352="High",3,IF(G1352="Medium",2,1))</f>
        <v>1</v>
      </c>
    </row>
    <row r="1353" spans="1:12">
      <c r="A1353" s="3" t="s">
        <v>2346</v>
      </c>
      <c r="B1353" s="3" t="s">
        <v>777</v>
      </c>
      <c r="C1353" s="3" t="s">
        <v>962</v>
      </c>
      <c r="D1353" s="3" t="s">
        <v>986</v>
      </c>
      <c r="E1353" s="3" t="s">
        <v>47</v>
      </c>
      <c r="F1353" s="3" t="s">
        <v>942</v>
      </c>
      <c r="G1353" s="3" t="str">
        <f>INDEX([1]Risk_Matrix!$B$2:$D$4,MATCH(E1353,[1]Risk_Matrix!$A$2:$A$4,0),MATCH(F1353,[1]Risk_Matrix!$B$1:$D$1,0))</f>
        <v>Low</v>
      </c>
      <c r="H1353" s="10">
        <v>46059</v>
      </c>
      <c r="I1353" s="3" t="s">
        <v>973</v>
      </c>
      <c r="J1353" s="3" t="s">
        <v>974</v>
      </c>
      <c r="K1353" s="3" t="s">
        <v>983</v>
      </c>
      <c r="L1353" s="3">
        <f>IF(G1353="High",3,IF(G1353="Medium",2,1))</f>
        <v>1</v>
      </c>
    </row>
    <row r="1354" spans="1:12">
      <c r="A1354" s="3" t="s">
        <v>2347</v>
      </c>
      <c r="B1354" s="3" t="s">
        <v>777</v>
      </c>
      <c r="C1354" s="3" t="s">
        <v>965</v>
      </c>
      <c r="D1354" s="3" t="s">
        <v>1039</v>
      </c>
      <c r="E1354" s="3" t="s">
        <v>47</v>
      </c>
      <c r="F1354" s="3" t="s">
        <v>42</v>
      </c>
      <c r="G1354" s="3" t="str">
        <f>INDEX([1]Risk_Matrix!$B$2:$D$4,MATCH(E1354,[1]Risk_Matrix!$A$2:$A$4,0),MATCH(F1354,[1]Risk_Matrix!$B$1:$D$1,0))</f>
        <v>Medium</v>
      </c>
      <c r="H1354" s="10">
        <v>46117</v>
      </c>
      <c r="I1354" s="3" t="s">
        <v>958</v>
      </c>
      <c r="J1354" s="3" t="s">
        <v>959</v>
      </c>
      <c r="K1354" s="3" t="s">
        <v>1000</v>
      </c>
      <c r="L1354" s="3">
        <f>IF(G1354="High",3,IF(G1354="Medium",2,1))</f>
        <v>2</v>
      </c>
    </row>
    <row r="1355" spans="1:12">
      <c r="A1355" s="3" t="s">
        <v>2348</v>
      </c>
      <c r="B1355" s="3" t="s">
        <v>777</v>
      </c>
      <c r="C1355" s="3" t="s">
        <v>971</v>
      </c>
      <c r="D1355" s="3" t="s">
        <v>1025</v>
      </c>
      <c r="E1355" s="3" t="s">
        <v>47</v>
      </c>
      <c r="F1355" s="3" t="s">
        <v>942</v>
      </c>
      <c r="G1355" s="3" t="str">
        <f>INDEX([1]Risk_Matrix!$B$2:$D$4,MATCH(E1355,[1]Risk_Matrix!$A$2:$A$4,0),MATCH(F1355,[1]Risk_Matrix!$B$1:$D$1,0))</f>
        <v>Low</v>
      </c>
      <c r="H1355" s="10">
        <v>46149</v>
      </c>
      <c r="I1355" s="3" t="s">
        <v>973</v>
      </c>
      <c r="J1355" s="3" t="s">
        <v>974</v>
      </c>
      <c r="K1355" s="3" t="s">
        <v>1000</v>
      </c>
      <c r="L1355" s="3">
        <f>IF(G1355="High",3,IF(G1355="Medium",2,1))</f>
        <v>1</v>
      </c>
    </row>
    <row r="1356" spans="1:12">
      <c r="A1356" s="3" t="s">
        <v>2349</v>
      </c>
      <c r="B1356" s="3" t="s">
        <v>777</v>
      </c>
      <c r="C1356" s="3" t="s">
        <v>976</v>
      </c>
      <c r="D1356" s="3" t="s">
        <v>977</v>
      </c>
      <c r="E1356" s="3" t="s">
        <v>47</v>
      </c>
      <c r="F1356" s="3" t="s">
        <v>942</v>
      </c>
      <c r="G1356" s="3" t="str">
        <f>INDEX([1]Risk_Matrix!$B$2:$D$4,MATCH(E1356,[1]Risk_Matrix!$A$2:$A$4,0),MATCH(F1356,[1]Risk_Matrix!$B$1:$D$1,0))</f>
        <v>Low</v>
      </c>
      <c r="H1356" s="10">
        <v>46080</v>
      </c>
      <c r="I1356" s="3" t="s">
        <v>973</v>
      </c>
      <c r="J1356" s="3" t="s">
        <v>974</v>
      </c>
      <c r="K1356" s="3" t="s">
        <v>960</v>
      </c>
      <c r="L1356" s="3">
        <f>IF(G1356="High",3,IF(G1356="Medium",2,1))</f>
        <v>1</v>
      </c>
    </row>
    <row r="1357" spans="1:12">
      <c r="A1357" s="3" t="s">
        <v>2350</v>
      </c>
      <c r="B1357" s="3" t="s">
        <v>777</v>
      </c>
      <c r="C1357" s="3" t="s">
        <v>979</v>
      </c>
      <c r="D1357" s="3" t="s">
        <v>1028</v>
      </c>
      <c r="E1357" s="3" t="s">
        <v>942</v>
      </c>
      <c r="F1357" s="3" t="s">
        <v>47</v>
      </c>
      <c r="G1357" s="3" t="str">
        <f>INDEX([1]Risk_Matrix!$B$2:$D$4,MATCH(E1357,[1]Risk_Matrix!$A$2:$A$4,0),MATCH(F1357,[1]Risk_Matrix!$B$1:$D$1,0))</f>
        <v>Low</v>
      </c>
      <c r="H1357" s="10">
        <v>46233</v>
      </c>
      <c r="I1357" s="3" t="s">
        <v>958</v>
      </c>
      <c r="J1357" s="3" t="s">
        <v>959</v>
      </c>
      <c r="K1357" s="3" t="s">
        <v>1000</v>
      </c>
      <c r="L1357" s="3">
        <f>IF(G1357="High",3,IF(G1357="Medium",2,1))</f>
        <v>1</v>
      </c>
    </row>
    <row r="1358" spans="1:12">
      <c r="A1358" s="3" t="s">
        <v>2351</v>
      </c>
      <c r="B1358" s="3" t="s">
        <v>779</v>
      </c>
      <c r="C1358" s="3" t="s">
        <v>956</v>
      </c>
      <c r="D1358" s="3" t="s">
        <v>1012</v>
      </c>
      <c r="E1358" s="3" t="s">
        <v>942</v>
      </c>
      <c r="F1358" s="3" t="s">
        <v>47</v>
      </c>
      <c r="G1358" s="3" t="str">
        <f>INDEX([1]Risk_Matrix!$B$2:$D$4,MATCH(E1358,[1]Risk_Matrix!$A$2:$A$4,0),MATCH(F1358,[1]Risk_Matrix!$B$1:$D$1,0))</f>
        <v>Low</v>
      </c>
      <c r="H1358" s="10">
        <v>46201</v>
      </c>
      <c r="I1358" s="3" t="s">
        <v>973</v>
      </c>
      <c r="J1358" s="3" t="s">
        <v>974</v>
      </c>
      <c r="K1358" s="3" t="s">
        <v>993</v>
      </c>
      <c r="L1358" s="3">
        <f>IF(G1358="High",3,IF(G1358="Medium",2,1))</f>
        <v>1</v>
      </c>
    </row>
    <row r="1359" spans="1:12">
      <c r="A1359" s="3" t="s">
        <v>2352</v>
      </c>
      <c r="B1359" s="3" t="s">
        <v>779</v>
      </c>
      <c r="C1359" s="3" t="s">
        <v>962</v>
      </c>
      <c r="D1359" s="3" t="s">
        <v>986</v>
      </c>
      <c r="E1359" s="3" t="s">
        <v>47</v>
      </c>
      <c r="F1359" s="3" t="s">
        <v>942</v>
      </c>
      <c r="G1359" s="3" t="str">
        <f>INDEX([1]Risk_Matrix!$B$2:$D$4,MATCH(E1359,[1]Risk_Matrix!$A$2:$A$4,0),MATCH(F1359,[1]Risk_Matrix!$B$1:$D$1,0))</f>
        <v>Low</v>
      </c>
      <c r="H1359" s="10">
        <v>46231</v>
      </c>
      <c r="I1359" s="3" t="s">
        <v>967</v>
      </c>
      <c r="J1359" s="3" t="s">
        <v>968</v>
      </c>
      <c r="K1359" s="3" t="s">
        <v>1000</v>
      </c>
      <c r="L1359" s="3">
        <f>IF(G1359="High",3,IF(G1359="Medium",2,1))</f>
        <v>1</v>
      </c>
    </row>
    <row r="1360" spans="1:12">
      <c r="A1360" s="3" t="s">
        <v>2353</v>
      </c>
      <c r="B1360" s="3" t="s">
        <v>779</v>
      </c>
      <c r="C1360" s="3" t="s">
        <v>965</v>
      </c>
      <c r="D1360" s="3" t="s">
        <v>988</v>
      </c>
      <c r="E1360" s="3" t="s">
        <v>47</v>
      </c>
      <c r="F1360" s="3" t="s">
        <v>942</v>
      </c>
      <c r="G1360" s="3" t="str">
        <f>INDEX([1]Risk_Matrix!$B$2:$D$4,MATCH(E1360,[1]Risk_Matrix!$A$2:$A$4,0),MATCH(F1360,[1]Risk_Matrix!$B$1:$D$1,0))</f>
        <v>Low</v>
      </c>
      <c r="H1360" s="10">
        <v>46137</v>
      </c>
      <c r="I1360" s="3" t="s">
        <v>973</v>
      </c>
      <c r="J1360" s="3" t="s">
        <v>974</v>
      </c>
      <c r="K1360" s="3" t="s">
        <v>983</v>
      </c>
      <c r="L1360" s="3">
        <f>IF(G1360="High",3,IF(G1360="Medium",2,1))</f>
        <v>1</v>
      </c>
    </row>
    <row r="1361" spans="1:12">
      <c r="A1361" s="3" t="s">
        <v>2354</v>
      </c>
      <c r="B1361" s="3" t="s">
        <v>779</v>
      </c>
      <c r="C1361" s="3" t="s">
        <v>971</v>
      </c>
      <c r="D1361" s="3" t="s">
        <v>1016</v>
      </c>
      <c r="E1361" s="3" t="s">
        <v>47</v>
      </c>
      <c r="F1361" s="3" t="s">
        <v>942</v>
      </c>
      <c r="G1361" s="3" t="str">
        <f>INDEX([1]Risk_Matrix!$B$2:$D$4,MATCH(E1361,[1]Risk_Matrix!$A$2:$A$4,0),MATCH(F1361,[1]Risk_Matrix!$B$1:$D$1,0))</f>
        <v>Low</v>
      </c>
      <c r="H1361" s="10">
        <v>46154</v>
      </c>
      <c r="I1361" s="3" t="s">
        <v>967</v>
      </c>
      <c r="J1361" s="3" t="s">
        <v>968</v>
      </c>
      <c r="K1361" s="3" t="s">
        <v>983</v>
      </c>
      <c r="L1361" s="3">
        <f>IF(G1361="High",3,IF(G1361="Medium",2,1))</f>
        <v>1</v>
      </c>
    </row>
    <row r="1362" spans="1:12">
      <c r="A1362" s="3" t="s">
        <v>2355</v>
      </c>
      <c r="B1362" s="3" t="s">
        <v>779</v>
      </c>
      <c r="C1362" s="3" t="s">
        <v>976</v>
      </c>
      <c r="D1362" s="3" t="s">
        <v>1002</v>
      </c>
      <c r="E1362" s="3" t="s">
        <v>942</v>
      </c>
      <c r="F1362" s="3" t="s">
        <v>942</v>
      </c>
      <c r="G1362" s="3" t="str">
        <f>INDEX([1]Risk_Matrix!$B$2:$D$4,MATCH(E1362,[1]Risk_Matrix!$A$2:$A$4,0),MATCH(F1362,[1]Risk_Matrix!$B$1:$D$1,0))</f>
        <v>Medium</v>
      </c>
      <c r="H1362" s="10">
        <v>46100</v>
      </c>
      <c r="I1362" s="3" t="s">
        <v>967</v>
      </c>
      <c r="J1362" s="3" t="s">
        <v>968</v>
      </c>
      <c r="K1362" s="3" t="s">
        <v>1000</v>
      </c>
      <c r="L1362" s="3">
        <f>IF(G1362="High",3,IF(G1362="Medium",2,1))</f>
        <v>2</v>
      </c>
    </row>
    <row r="1363" spans="1:12">
      <c r="A1363" s="3" t="s">
        <v>2356</v>
      </c>
      <c r="B1363" s="3" t="s">
        <v>779</v>
      </c>
      <c r="C1363" s="3" t="s">
        <v>979</v>
      </c>
      <c r="D1363" s="3" t="s">
        <v>1028</v>
      </c>
      <c r="E1363" s="3" t="s">
        <v>42</v>
      </c>
      <c r="F1363" s="3" t="s">
        <v>42</v>
      </c>
      <c r="G1363" s="3" t="str">
        <f>INDEX([1]Risk_Matrix!$B$2:$D$4,MATCH(E1363,[1]Risk_Matrix!$A$2:$A$4,0),MATCH(F1363,[1]Risk_Matrix!$B$1:$D$1,0))</f>
        <v>High</v>
      </c>
      <c r="H1363" s="10">
        <v>46147</v>
      </c>
      <c r="I1363" s="3" t="s">
        <v>973</v>
      </c>
      <c r="J1363" s="3" t="s">
        <v>974</v>
      </c>
      <c r="K1363" s="3" t="s">
        <v>1000</v>
      </c>
      <c r="L1363" s="3">
        <f>IF(G1363="High",3,IF(G1363="Medium",2,1))</f>
        <v>3</v>
      </c>
    </row>
    <row r="1364" spans="1:12">
      <c r="A1364" s="3" t="s">
        <v>2357</v>
      </c>
      <c r="B1364" s="3" t="s">
        <v>781</v>
      </c>
      <c r="C1364" s="3" t="s">
        <v>956</v>
      </c>
      <c r="D1364" s="3" t="s">
        <v>957</v>
      </c>
      <c r="E1364" s="3" t="s">
        <v>942</v>
      </c>
      <c r="F1364" s="3" t="s">
        <v>47</v>
      </c>
      <c r="G1364" s="3" t="str">
        <f>INDEX([1]Risk_Matrix!$B$2:$D$4,MATCH(E1364,[1]Risk_Matrix!$A$2:$A$4,0),MATCH(F1364,[1]Risk_Matrix!$B$1:$D$1,0))</f>
        <v>Low</v>
      </c>
      <c r="H1364" s="10">
        <v>46133</v>
      </c>
      <c r="I1364" s="3" t="s">
        <v>973</v>
      </c>
      <c r="J1364" s="3" t="s">
        <v>974</v>
      </c>
      <c r="K1364" s="3" t="s">
        <v>983</v>
      </c>
      <c r="L1364" s="3">
        <f>IF(G1364="High",3,IF(G1364="Medium",2,1))</f>
        <v>1</v>
      </c>
    </row>
    <row r="1365" spans="1:12">
      <c r="A1365" s="3" t="s">
        <v>2358</v>
      </c>
      <c r="B1365" s="3" t="s">
        <v>781</v>
      </c>
      <c r="C1365" s="3" t="s">
        <v>962</v>
      </c>
      <c r="D1365" s="3" t="s">
        <v>1037</v>
      </c>
      <c r="E1365" s="3" t="s">
        <v>47</v>
      </c>
      <c r="F1365" s="3" t="s">
        <v>942</v>
      </c>
      <c r="G1365" s="3" t="str">
        <f>INDEX([1]Risk_Matrix!$B$2:$D$4,MATCH(E1365,[1]Risk_Matrix!$A$2:$A$4,0),MATCH(F1365,[1]Risk_Matrix!$B$1:$D$1,0))</f>
        <v>Low</v>
      </c>
      <c r="H1365" s="10">
        <v>46193</v>
      </c>
      <c r="I1365" s="3" t="s">
        <v>981</v>
      </c>
      <c r="J1365" s="3" t="s">
        <v>982</v>
      </c>
      <c r="K1365" s="3" t="s">
        <v>983</v>
      </c>
      <c r="L1365" s="3">
        <f>IF(G1365="High",3,IF(G1365="Medium",2,1))</f>
        <v>1</v>
      </c>
    </row>
    <row r="1366" spans="1:12">
      <c r="A1366" s="3" t="s">
        <v>2359</v>
      </c>
      <c r="B1366" s="3" t="s">
        <v>781</v>
      </c>
      <c r="C1366" s="3" t="s">
        <v>965</v>
      </c>
      <c r="D1366" s="3" t="s">
        <v>1023</v>
      </c>
      <c r="E1366" s="3" t="s">
        <v>942</v>
      </c>
      <c r="F1366" s="3" t="s">
        <v>47</v>
      </c>
      <c r="G1366" s="3" t="str">
        <f>INDEX([1]Risk_Matrix!$B$2:$D$4,MATCH(E1366,[1]Risk_Matrix!$A$2:$A$4,0),MATCH(F1366,[1]Risk_Matrix!$B$1:$D$1,0))</f>
        <v>Low</v>
      </c>
      <c r="H1366" s="10">
        <v>46216</v>
      </c>
      <c r="I1366" s="3" t="s">
        <v>973</v>
      </c>
      <c r="J1366" s="3" t="s">
        <v>974</v>
      </c>
      <c r="K1366" s="3" t="s">
        <v>993</v>
      </c>
      <c r="L1366" s="3">
        <f>IF(G1366="High",3,IF(G1366="Medium",2,1))</f>
        <v>1</v>
      </c>
    </row>
    <row r="1367" spans="1:12">
      <c r="A1367" s="3" t="s">
        <v>2360</v>
      </c>
      <c r="B1367" s="3" t="s">
        <v>781</v>
      </c>
      <c r="C1367" s="3" t="s">
        <v>971</v>
      </c>
      <c r="D1367" s="3" t="s">
        <v>1025</v>
      </c>
      <c r="E1367" s="3" t="s">
        <v>942</v>
      </c>
      <c r="F1367" s="3" t="s">
        <v>42</v>
      </c>
      <c r="G1367" s="3" t="str">
        <f>INDEX([1]Risk_Matrix!$B$2:$D$4,MATCH(E1367,[1]Risk_Matrix!$A$2:$A$4,0),MATCH(F1367,[1]Risk_Matrix!$B$1:$D$1,0))</f>
        <v>High</v>
      </c>
      <c r="H1367" s="10">
        <v>46134</v>
      </c>
      <c r="I1367" s="3" t="s">
        <v>973</v>
      </c>
      <c r="J1367" s="3" t="s">
        <v>974</v>
      </c>
      <c r="K1367" s="3" t="s">
        <v>960</v>
      </c>
      <c r="L1367" s="3">
        <f>IF(G1367="High",3,IF(G1367="Medium",2,1))</f>
        <v>3</v>
      </c>
    </row>
    <row r="1368" spans="1:12">
      <c r="A1368" s="3" t="s">
        <v>2361</v>
      </c>
      <c r="B1368" s="3" t="s">
        <v>781</v>
      </c>
      <c r="C1368" s="3" t="s">
        <v>976</v>
      </c>
      <c r="D1368" s="3" t="s">
        <v>1002</v>
      </c>
      <c r="E1368" s="3" t="s">
        <v>47</v>
      </c>
      <c r="F1368" s="3" t="s">
        <v>942</v>
      </c>
      <c r="G1368" s="3" t="str">
        <f>INDEX([1]Risk_Matrix!$B$2:$D$4,MATCH(E1368,[1]Risk_Matrix!$A$2:$A$4,0),MATCH(F1368,[1]Risk_Matrix!$B$1:$D$1,0))</f>
        <v>Low</v>
      </c>
      <c r="H1368" s="10">
        <v>46159</v>
      </c>
      <c r="I1368" s="3" t="s">
        <v>973</v>
      </c>
      <c r="J1368" s="3" t="s">
        <v>974</v>
      </c>
      <c r="K1368" s="3" t="s">
        <v>969</v>
      </c>
      <c r="L1368" s="3">
        <f>IF(G1368="High",3,IF(G1368="Medium",2,1))</f>
        <v>1</v>
      </c>
    </row>
    <row r="1369" spans="1:12">
      <c r="A1369" s="3" t="s">
        <v>2362</v>
      </c>
      <c r="B1369" s="3" t="s">
        <v>781</v>
      </c>
      <c r="C1369" s="3" t="s">
        <v>979</v>
      </c>
      <c r="D1369" s="3" t="s">
        <v>1004</v>
      </c>
      <c r="E1369" s="3" t="s">
        <v>942</v>
      </c>
      <c r="F1369" s="3" t="s">
        <v>42</v>
      </c>
      <c r="G1369" s="3" t="str">
        <f>INDEX([1]Risk_Matrix!$B$2:$D$4,MATCH(E1369,[1]Risk_Matrix!$A$2:$A$4,0),MATCH(F1369,[1]Risk_Matrix!$B$1:$D$1,0))</f>
        <v>High</v>
      </c>
      <c r="H1369" s="10">
        <v>46191</v>
      </c>
      <c r="I1369" s="3" t="s">
        <v>967</v>
      </c>
      <c r="J1369" s="3" t="s">
        <v>968</v>
      </c>
      <c r="K1369" s="3" t="s">
        <v>969</v>
      </c>
      <c r="L1369" s="3">
        <f>IF(G1369="High",3,IF(G1369="Medium",2,1))</f>
        <v>3</v>
      </c>
    </row>
    <row r="1370" spans="1:12">
      <c r="A1370" s="3" t="s">
        <v>2363</v>
      </c>
      <c r="B1370" s="3" t="s">
        <v>783</v>
      </c>
      <c r="C1370" s="3" t="s">
        <v>956</v>
      </c>
      <c r="D1370" s="3" t="s">
        <v>1012</v>
      </c>
      <c r="E1370" s="3" t="s">
        <v>47</v>
      </c>
      <c r="F1370" s="3" t="s">
        <v>47</v>
      </c>
      <c r="G1370" s="3" t="str">
        <f>INDEX([1]Risk_Matrix!$B$2:$D$4,MATCH(E1370,[1]Risk_Matrix!$A$2:$A$4,0),MATCH(F1370,[1]Risk_Matrix!$B$1:$D$1,0))</f>
        <v>Low</v>
      </c>
      <c r="H1370" s="10">
        <v>46218</v>
      </c>
      <c r="I1370" s="3" t="s">
        <v>967</v>
      </c>
      <c r="J1370" s="3" t="s">
        <v>968</v>
      </c>
      <c r="K1370" s="3" t="s">
        <v>969</v>
      </c>
      <c r="L1370" s="3">
        <f>IF(G1370="High",3,IF(G1370="Medium",2,1))</f>
        <v>1</v>
      </c>
    </row>
    <row r="1371" spans="1:12">
      <c r="A1371" s="3" t="s">
        <v>2364</v>
      </c>
      <c r="B1371" s="3" t="s">
        <v>783</v>
      </c>
      <c r="C1371" s="3" t="s">
        <v>962</v>
      </c>
      <c r="D1371" s="3" t="s">
        <v>997</v>
      </c>
      <c r="E1371" s="3" t="s">
        <v>942</v>
      </c>
      <c r="F1371" s="3" t="s">
        <v>942</v>
      </c>
      <c r="G1371" s="3" t="str">
        <f>INDEX([1]Risk_Matrix!$B$2:$D$4,MATCH(E1371,[1]Risk_Matrix!$A$2:$A$4,0),MATCH(F1371,[1]Risk_Matrix!$B$1:$D$1,0))</f>
        <v>Medium</v>
      </c>
      <c r="H1371" s="10">
        <v>46083</v>
      </c>
      <c r="I1371" s="3" t="s">
        <v>973</v>
      </c>
      <c r="J1371" s="3" t="s">
        <v>974</v>
      </c>
      <c r="K1371" s="3" t="s">
        <v>993</v>
      </c>
      <c r="L1371" s="3">
        <f>IF(G1371="High",3,IF(G1371="Medium",2,1))</f>
        <v>2</v>
      </c>
    </row>
    <row r="1372" spans="1:12">
      <c r="A1372" s="3" t="s">
        <v>2365</v>
      </c>
      <c r="B1372" s="3" t="s">
        <v>783</v>
      </c>
      <c r="C1372" s="3" t="s">
        <v>965</v>
      </c>
      <c r="D1372" s="3" t="s">
        <v>1023</v>
      </c>
      <c r="E1372" s="3" t="s">
        <v>942</v>
      </c>
      <c r="F1372" s="3" t="s">
        <v>47</v>
      </c>
      <c r="G1372" s="3" t="str">
        <f>INDEX([1]Risk_Matrix!$B$2:$D$4,MATCH(E1372,[1]Risk_Matrix!$A$2:$A$4,0),MATCH(F1372,[1]Risk_Matrix!$B$1:$D$1,0))</f>
        <v>Low</v>
      </c>
      <c r="H1372" s="10">
        <v>46103</v>
      </c>
      <c r="I1372" s="3" t="s">
        <v>973</v>
      </c>
      <c r="J1372" s="3" t="s">
        <v>974</v>
      </c>
      <c r="K1372" s="3" t="s">
        <v>993</v>
      </c>
      <c r="L1372" s="3">
        <f>IF(G1372="High",3,IF(G1372="Medium",2,1))</f>
        <v>1</v>
      </c>
    </row>
    <row r="1373" spans="1:12">
      <c r="A1373" s="3" t="s">
        <v>2366</v>
      </c>
      <c r="B1373" s="3" t="s">
        <v>783</v>
      </c>
      <c r="C1373" s="3" t="s">
        <v>971</v>
      </c>
      <c r="D1373" s="3" t="s">
        <v>972</v>
      </c>
      <c r="E1373" s="3" t="s">
        <v>47</v>
      </c>
      <c r="F1373" s="3" t="s">
        <v>47</v>
      </c>
      <c r="G1373" s="3" t="str">
        <f>INDEX([1]Risk_Matrix!$B$2:$D$4,MATCH(E1373,[1]Risk_Matrix!$A$2:$A$4,0),MATCH(F1373,[1]Risk_Matrix!$B$1:$D$1,0))</f>
        <v>Low</v>
      </c>
      <c r="H1373" s="10">
        <v>46093</v>
      </c>
      <c r="I1373" s="3" t="s">
        <v>981</v>
      </c>
      <c r="J1373" s="3" t="s">
        <v>982</v>
      </c>
      <c r="K1373" s="3" t="s">
        <v>1000</v>
      </c>
      <c r="L1373" s="3">
        <f>IF(G1373="High",3,IF(G1373="Medium",2,1))</f>
        <v>1</v>
      </c>
    </row>
    <row r="1374" spans="1:12">
      <c r="A1374" s="3" t="s">
        <v>2367</v>
      </c>
      <c r="B1374" s="3" t="s">
        <v>783</v>
      </c>
      <c r="C1374" s="3" t="s">
        <v>976</v>
      </c>
      <c r="D1374" s="3" t="s">
        <v>991</v>
      </c>
      <c r="E1374" s="3" t="s">
        <v>42</v>
      </c>
      <c r="F1374" s="3" t="s">
        <v>42</v>
      </c>
      <c r="G1374" s="3" t="str">
        <f>INDEX([1]Risk_Matrix!$B$2:$D$4,MATCH(E1374,[1]Risk_Matrix!$A$2:$A$4,0),MATCH(F1374,[1]Risk_Matrix!$B$1:$D$1,0))</f>
        <v>High</v>
      </c>
      <c r="H1374" s="10">
        <v>46080</v>
      </c>
      <c r="I1374" s="3" t="s">
        <v>973</v>
      </c>
      <c r="J1374" s="3" t="s">
        <v>974</v>
      </c>
      <c r="K1374" s="3" t="s">
        <v>960</v>
      </c>
      <c r="L1374" s="3">
        <f>IF(G1374="High",3,IF(G1374="Medium",2,1))</f>
        <v>3</v>
      </c>
    </row>
    <row r="1375" spans="1:12">
      <c r="A1375" s="3" t="s">
        <v>2368</v>
      </c>
      <c r="B1375" s="3" t="s">
        <v>783</v>
      </c>
      <c r="C1375" s="3" t="s">
        <v>979</v>
      </c>
      <c r="D1375" s="3" t="s">
        <v>1004</v>
      </c>
      <c r="E1375" s="3" t="s">
        <v>942</v>
      </c>
      <c r="F1375" s="3" t="s">
        <v>42</v>
      </c>
      <c r="G1375" s="3" t="str">
        <f>INDEX([1]Risk_Matrix!$B$2:$D$4,MATCH(E1375,[1]Risk_Matrix!$A$2:$A$4,0),MATCH(F1375,[1]Risk_Matrix!$B$1:$D$1,0))</f>
        <v>High</v>
      </c>
      <c r="H1375" s="10">
        <v>46064</v>
      </c>
      <c r="I1375" s="3" t="s">
        <v>973</v>
      </c>
      <c r="J1375" s="3" t="s">
        <v>974</v>
      </c>
      <c r="K1375" s="3" t="s">
        <v>983</v>
      </c>
      <c r="L1375" s="3">
        <f>IF(G1375="High",3,IF(G1375="Medium",2,1))</f>
        <v>3</v>
      </c>
    </row>
    <row r="1376" spans="1:12">
      <c r="A1376" s="3" t="s">
        <v>2369</v>
      </c>
      <c r="B1376" s="3" t="s">
        <v>786</v>
      </c>
      <c r="C1376" s="3" t="s">
        <v>956</v>
      </c>
      <c r="D1376" s="3" t="s">
        <v>995</v>
      </c>
      <c r="E1376" s="3" t="s">
        <v>942</v>
      </c>
      <c r="F1376" s="3" t="s">
        <v>42</v>
      </c>
      <c r="G1376" s="3" t="str">
        <f>INDEX([1]Risk_Matrix!$B$2:$D$4,MATCH(E1376,[1]Risk_Matrix!$A$2:$A$4,0),MATCH(F1376,[1]Risk_Matrix!$B$1:$D$1,0))</f>
        <v>High</v>
      </c>
      <c r="H1376" s="10">
        <v>46193</v>
      </c>
      <c r="I1376" s="3" t="s">
        <v>967</v>
      </c>
      <c r="J1376" s="3" t="s">
        <v>968</v>
      </c>
      <c r="K1376" s="3" t="s">
        <v>1000</v>
      </c>
      <c r="L1376" s="3">
        <f>IF(G1376="High",3,IF(G1376="Medium",2,1))</f>
        <v>3</v>
      </c>
    </row>
    <row r="1377" spans="1:12">
      <c r="A1377" s="3" t="s">
        <v>2370</v>
      </c>
      <c r="B1377" s="3" t="s">
        <v>786</v>
      </c>
      <c r="C1377" s="3" t="s">
        <v>962</v>
      </c>
      <c r="D1377" s="3" t="s">
        <v>1037</v>
      </c>
      <c r="E1377" s="3" t="s">
        <v>942</v>
      </c>
      <c r="F1377" s="3" t="s">
        <v>47</v>
      </c>
      <c r="G1377" s="3" t="str">
        <f>INDEX([1]Risk_Matrix!$B$2:$D$4,MATCH(E1377,[1]Risk_Matrix!$A$2:$A$4,0),MATCH(F1377,[1]Risk_Matrix!$B$1:$D$1,0))</f>
        <v>Low</v>
      </c>
      <c r="H1377" s="10">
        <v>46101</v>
      </c>
      <c r="I1377" s="3" t="s">
        <v>967</v>
      </c>
      <c r="J1377" s="3" t="s">
        <v>968</v>
      </c>
      <c r="K1377" s="3" t="s">
        <v>993</v>
      </c>
      <c r="L1377" s="3">
        <f>IF(G1377="High",3,IF(G1377="Medium",2,1))</f>
        <v>1</v>
      </c>
    </row>
    <row r="1378" spans="1:12">
      <c r="A1378" s="3" t="s">
        <v>2371</v>
      </c>
      <c r="B1378" s="3" t="s">
        <v>786</v>
      </c>
      <c r="C1378" s="3" t="s">
        <v>965</v>
      </c>
      <c r="D1378" s="3" t="s">
        <v>966</v>
      </c>
      <c r="E1378" s="3" t="s">
        <v>42</v>
      </c>
      <c r="F1378" s="3" t="s">
        <v>47</v>
      </c>
      <c r="G1378" s="3" t="str">
        <f>INDEX([1]Risk_Matrix!$B$2:$D$4,MATCH(E1378,[1]Risk_Matrix!$A$2:$A$4,0),MATCH(F1378,[1]Risk_Matrix!$B$1:$D$1,0))</f>
        <v>Medium</v>
      </c>
      <c r="H1378" s="10">
        <v>46087</v>
      </c>
      <c r="I1378" s="3" t="s">
        <v>967</v>
      </c>
      <c r="J1378" s="3" t="s">
        <v>968</v>
      </c>
      <c r="K1378" s="3" t="s">
        <v>1000</v>
      </c>
      <c r="L1378" s="3">
        <f>IF(G1378="High",3,IF(G1378="Medium",2,1))</f>
        <v>2</v>
      </c>
    </row>
    <row r="1379" spans="1:12">
      <c r="A1379" s="3" t="s">
        <v>2372</v>
      </c>
      <c r="B1379" s="3" t="s">
        <v>786</v>
      </c>
      <c r="C1379" s="3" t="s">
        <v>971</v>
      </c>
      <c r="D1379" s="3" t="s">
        <v>972</v>
      </c>
      <c r="E1379" s="3" t="s">
        <v>42</v>
      </c>
      <c r="F1379" s="3" t="s">
        <v>47</v>
      </c>
      <c r="G1379" s="3" t="str">
        <f>INDEX([1]Risk_Matrix!$B$2:$D$4,MATCH(E1379,[1]Risk_Matrix!$A$2:$A$4,0),MATCH(F1379,[1]Risk_Matrix!$B$1:$D$1,0))</f>
        <v>Medium</v>
      </c>
      <c r="H1379" s="10">
        <v>46082</v>
      </c>
      <c r="I1379" s="3" t="s">
        <v>967</v>
      </c>
      <c r="J1379" s="3" t="s">
        <v>968</v>
      </c>
      <c r="K1379" s="3" t="s">
        <v>969</v>
      </c>
      <c r="L1379" s="3">
        <f>IF(G1379="High",3,IF(G1379="Medium",2,1))</f>
        <v>2</v>
      </c>
    </row>
    <row r="1380" spans="1:12">
      <c r="A1380" s="3" t="s">
        <v>2373</v>
      </c>
      <c r="B1380" s="3" t="s">
        <v>786</v>
      </c>
      <c r="C1380" s="3" t="s">
        <v>976</v>
      </c>
      <c r="D1380" s="3" t="s">
        <v>991</v>
      </c>
      <c r="E1380" s="3" t="s">
        <v>42</v>
      </c>
      <c r="F1380" s="3" t="s">
        <v>942</v>
      </c>
      <c r="G1380" s="3" t="str">
        <f>INDEX([1]Risk_Matrix!$B$2:$D$4,MATCH(E1380,[1]Risk_Matrix!$A$2:$A$4,0),MATCH(F1380,[1]Risk_Matrix!$B$1:$D$1,0))</f>
        <v>High</v>
      </c>
      <c r="H1380" s="10">
        <v>46124</v>
      </c>
      <c r="I1380" s="3" t="s">
        <v>973</v>
      </c>
      <c r="J1380" s="3" t="s">
        <v>974</v>
      </c>
      <c r="K1380" s="3" t="s">
        <v>993</v>
      </c>
      <c r="L1380" s="3">
        <f>IF(G1380="High",3,IF(G1380="Medium",2,1))</f>
        <v>3</v>
      </c>
    </row>
    <row r="1381" spans="1:12">
      <c r="A1381" s="3" t="s">
        <v>2374</v>
      </c>
      <c r="B1381" s="3" t="s">
        <v>786</v>
      </c>
      <c r="C1381" s="3" t="s">
        <v>979</v>
      </c>
      <c r="D1381" s="3" t="s">
        <v>980</v>
      </c>
      <c r="E1381" s="3" t="s">
        <v>942</v>
      </c>
      <c r="F1381" s="3" t="s">
        <v>47</v>
      </c>
      <c r="G1381" s="3" t="str">
        <f>INDEX([1]Risk_Matrix!$B$2:$D$4,MATCH(E1381,[1]Risk_Matrix!$A$2:$A$4,0),MATCH(F1381,[1]Risk_Matrix!$B$1:$D$1,0))</f>
        <v>Low</v>
      </c>
      <c r="H1381" s="10">
        <v>46177</v>
      </c>
      <c r="I1381" s="3" t="s">
        <v>973</v>
      </c>
      <c r="J1381" s="3" t="s">
        <v>974</v>
      </c>
      <c r="K1381" s="3" t="s">
        <v>960</v>
      </c>
      <c r="L1381" s="3">
        <f>IF(G1381="High",3,IF(G1381="Medium",2,1))</f>
        <v>1</v>
      </c>
    </row>
    <row r="1382" spans="1:12">
      <c r="A1382" s="3" t="s">
        <v>2375</v>
      </c>
      <c r="B1382" s="3" t="s">
        <v>788</v>
      </c>
      <c r="C1382" s="3" t="s">
        <v>956</v>
      </c>
      <c r="D1382" s="3" t="s">
        <v>1020</v>
      </c>
      <c r="E1382" s="3" t="s">
        <v>942</v>
      </c>
      <c r="F1382" s="3" t="s">
        <v>47</v>
      </c>
      <c r="G1382" s="3" t="str">
        <f>INDEX([1]Risk_Matrix!$B$2:$D$4,MATCH(E1382,[1]Risk_Matrix!$A$2:$A$4,0),MATCH(F1382,[1]Risk_Matrix!$B$1:$D$1,0))</f>
        <v>Low</v>
      </c>
      <c r="H1382" s="10">
        <v>46116</v>
      </c>
      <c r="I1382" s="3" t="s">
        <v>973</v>
      </c>
      <c r="J1382" s="3" t="s">
        <v>974</v>
      </c>
      <c r="K1382" s="3" t="s">
        <v>1000</v>
      </c>
      <c r="L1382" s="3">
        <f>IF(G1382="High",3,IF(G1382="Medium",2,1))</f>
        <v>1</v>
      </c>
    </row>
    <row r="1383" spans="1:12">
      <c r="A1383" s="3" t="s">
        <v>2376</v>
      </c>
      <c r="B1383" s="3" t="s">
        <v>788</v>
      </c>
      <c r="C1383" s="3" t="s">
        <v>962</v>
      </c>
      <c r="D1383" s="3" t="s">
        <v>963</v>
      </c>
      <c r="E1383" s="3" t="s">
        <v>942</v>
      </c>
      <c r="F1383" s="3" t="s">
        <v>47</v>
      </c>
      <c r="G1383" s="3" t="str">
        <f>INDEX([1]Risk_Matrix!$B$2:$D$4,MATCH(E1383,[1]Risk_Matrix!$A$2:$A$4,0),MATCH(F1383,[1]Risk_Matrix!$B$1:$D$1,0))</f>
        <v>Low</v>
      </c>
      <c r="H1383" s="10">
        <v>46104</v>
      </c>
      <c r="I1383" s="3" t="s">
        <v>967</v>
      </c>
      <c r="J1383" s="3" t="s">
        <v>968</v>
      </c>
      <c r="K1383" s="3" t="s">
        <v>1000</v>
      </c>
      <c r="L1383" s="3">
        <f>IF(G1383="High",3,IF(G1383="Medium",2,1))</f>
        <v>1</v>
      </c>
    </row>
    <row r="1384" spans="1:12">
      <c r="A1384" s="3" t="s">
        <v>2377</v>
      </c>
      <c r="B1384" s="3" t="s">
        <v>788</v>
      </c>
      <c r="C1384" s="3" t="s">
        <v>965</v>
      </c>
      <c r="D1384" s="3" t="s">
        <v>988</v>
      </c>
      <c r="E1384" s="3" t="s">
        <v>942</v>
      </c>
      <c r="F1384" s="3" t="s">
        <v>942</v>
      </c>
      <c r="G1384" s="3" t="str">
        <f>INDEX([1]Risk_Matrix!$B$2:$D$4,MATCH(E1384,[1]Risk_Matrix!$A$2:$A$4,0),MATCH(F1384,[1]Risk_Matrix!$B$1:$D$1,0))</f>
        <v>Medium</v>
      </c>
      <c r="H1384" s="10">
        <v>46204</v>
      </c>
      <c r="I1384" s="3" t="s">
        <v>973</v>
      </c>
      <c r="J1384" s="3" t="s">
        <v>974</v>
      </c>
      <c r="K1384" s="3" t="s">
        <v>960</v>
      </c>
      <c r="L1384" s="3">
        <f>IF(G1384="High",3,IF(G1384="Medium",2,1))</f>
        <v>2</v>
      </c>
    </row>
    <row r="1385" spans="1:12">
      <c r="A1385" s="3" t="s">
        <v>2378</v>
      </c>
      <c r="B1385" s="3" t="s">
        <v>788</v>
      </c>
      <c r="C1385" s="3" t="s">
        <v>971</v>
      </c>
      <c r="D1385" s="3" t="s">
        <v>972</v>
      </c>
      <c r="E1385" s="3" t="s">
        <v>47</v>
      </c>
      <c r="F1385" s="3" t="s">
        <v>942</v>
      </c>
      <c r="G1385" s="3" t="str">
        <f>INDEX([1]Risk_Matrix!$B$2:$D$4,MATCH(E1385,[1]Risk_Matrix!$A$2:$A$4,0),MATCH(F1385,[1]Risk_Matrix!$B$1:$D$1,0))</f>
        <v>Low</v>
      </c>
      <c r="H1385" s="10">
        <v>46142</v>
      </c>
      <c r="I1385" s="3" t="s">
        <v>967</v>
      </c>
      <c r="J1385" s="3" t="s">
        <v>968</v>
      </c>
      <c r="K1385" s="3" t="s">
        <v>993</v>
      </c>
      <c r="L1385" s="3">
        <f>IF(G1385="High",3,IF(G1385="Medium",2,1))</f>
        <v>1</v>
      </c>
    </row>
    <row r="1386" spans="1:12">
      <c r="A1386" s="3" t="s">
        <v>2379</v>
      </c>
      <c r="B1386" s="3" t="s">
        <v>788</v>
      </c>
      <c r="C1386" s="3" t="s">
        <v>976</v>
      </c>
      <c r="D1386" s="3" t="s">
        <v>991</v>
      </c>
      <c r="E1386" s="3" t="s">
        <v>47</v>
      </c>
      <c r="F1386" s="3" t="s">
        <v>47</v>
      </c>
      <c r="G1386" s="3" t="str">
        <f>INDEX([1]Risk_Matrix!$B$2:$D$4,MATCH(E1386,[1]Risk_Matrix!$A$2:$A$4,0),MATCH(F1386,[1]Risk_Matrix!$B$1:$D$1,0))</f>
        <v>Low</v>
      </c>
      <c r="H1386" s="10">
        <v>46082</v>
      </c>
      <c r="I1386" s="3" t="s">
        <v>967</v>
      </c>
      <c r="J1386" s="3" t="s">
        <v>968</v>
      </c>
      <c r="K1386" s="3" t="s">
        <v>960</v>
      </c>
      <c r="L1386" s="3">
        <f>IF(G1386="High",3,IF(G1386="Medium",2,1))</f>
        <v>1</v>
      </c>
    </row>
    <row r="1387" spans="1:12">
      <c r="A1387" s="3" t="s">
        <v>2380</v>
      </c>
      <c r="B1387" s="3" t="s">
        <v>788</v>
      </c>
      <c r="C1387" s="3" t="s">
        <v>979</v>
      </c>
      <c r="D1387" s="3" t="s">
        <v>1028</v>
      </c>
      <c r="E1387" s="3" t="s">
        <v>47</v>
      </c>
      <c r="F1387" s="3" t="s">
        <v>942</v>
      </c>
      <c r="G1387" s="3" t="str">
        <f>INDEX([1]Risk_Matrix!$B$2:$D$4,MATCH(E1387,[1]Risk_Matrix!$A$2:$A$4,0),MATCH(F1387,[1]Risk_Matrix!$B$1:$D$1,0))</f>
        <v>Low</v>
      </c>
      <c r="H1387" s="10">
        <v>46063</v>
      </c>
      <c r="I1387" s="3" t="s">
        <v>973</v>
      </c>
      <c r="J1387" s="3" t="s">
        <v>974</v>
      </c>
      <c r="K1387" s="3" t="s">
        <v>993</v>
      </c>
      <c r="L1387" s="3">
        <f>IF(G1387="High",3,IF(G1387="Medium",2,1))</f>
        <v>1</v>
      </c>
    </row>
    <row r="1388" spans="1:12">
      <c r="A1388" s="3" t="s">
        <v>2381</v>
      </c>
      <c r="B1388" s="3" t="s">
        <v>789</v>
      </c>
      <c r="C1388" s="3" t="s">
        <v>956</v>
      </c>
      <c r="D1388" s="3" t="s">
        <v>957</v>
      </c>
      <c r="E1388" s="3" t="s">
        <v>47</v>
      </c>
      <c r="F1388" s="3" t="s">
        <v>47</v>
      </c>
      <c r="G1388" s="3" t="str">
        <f>INDEX([1]Risk_Matrix!$B$2:$D$4,MATCH(E1388,[1]Risk_Matrix!$A$2:$A$4,0),MATCH(F1388,[1]Risk_Matrix!$B$1:$D$1,0))</f>
        <v>Low</v>
      </c>
      <c r="H1388" s="10">
        <v>46092</v>
      </c>
      <c r="I1388" s="3" t="s">
        <v>981</v>
      </c>
      <c r="J1388" s="3" t="s">
        <v>982</v>
      </c>
      <c r="K1388" s="3" t="s">
        <v>1000</v>
      </c>
      <c r="L1388" s="3">
        <f>IF(G1388="High",3,IF(G1388="Medium",2,1))</f>
        <v>1</v>
      </c>
    </row>
    <row r="1389" spans="1:12">
      <c r="A1389" s="3" t="s">
        <v>2382</v>
      </c>
      <c r="B1389" s="3" t="s">
        <v>789</v>
      </c>
      <c r="C1389" s="3" t="s">
        <v>962</v>
      </c>
      <c r="D1389" s="3" t="s">
        <v>1037</v>
      </c>
      <c r="E1389" s="3" t="s">
        <v>942</v>
      </c>
      <c r="F1389" s="3" t="s">
        <v>942</v>
      </c>
      <c r="G1389" s="3" t="str">
        <f>INDEX([1]Risk_Matrix!$B$2:$D$4,MATCH(E1389,[1]Risk_Matrix!$A$2:$A$4,0),MATCH(F1389,[1]Risk_Matrix!$B$1:$D$1,0))</f>
        <v>Medium</v>
      </c>
      <c r="H1389" s="10">
        <v>46226</v>
      </c>
      <c r="I1389" s="3" t="s">
        <v>967</v>
      </c>
      <c r="J1389" s="3" t="s">
        <v>968</v>
      </c>
      <c r="K1389" s="3" t="s">
        <v>969</v>
      </c>
      <c r="L1389" s="3">
        <f>IF(G1389="High",3,IF(G1389="Medium",2,1))</f>
        <v>2</v>
      </c>
    </row>
    <row r="1390" spans="1:12">
      <c r="A1390" s="3" t="s">
        <v>2383</v>
      </c>
      <c r="B1390" s="3" t="s">
        <v>789</v>
      </c>
      <c r="C1390" s="3" t="s">
        <v>965</v>
      </c>
      <c r="D1390" s="3" t="s">
        <v>988</v>
      </c>
      <c r="E1390" s="3" t="s">
        <v>47</v>
      </c>
      <c r="F1390" s="3" t="s">
        <v>42</v>
      </c>
      <c r="G1390" s="3" t="str">
        <f>INDEX([1]Risk_Matrix!$B$2:$D$4,MATCH(E1390,[1]Risk_Matrix!$A$2:$A$4,0),MATCH(F1390,[1]Risk_Matrix!$B$1:$D$1,0))</f>
        <v>Medium</v>
      </c>
      <c r="H1390" s="10">
        <v>46063</v>
      </c>
      <c r="I1390" s="3" t="s">
        <v>973</v>
      </c>
      <c r="J1390" s="3" t="s">
        <v>974</v>
      </c>
      <c r="K1390" s="3" t="s">
        <v>960</v>
      </c>
      <c r="L1390" s="3">
        <f>IF(G1390="High",3,IF(G1390="Medium",2,1))</f>
        <v>2</v>
      </c>
    </row>
    <row r="1391" spans="1:12">
      <c r="A1391" s="3" t="s">
        <v>2384</v>
      </c>
      <c r="B1391" s="3" t="s">
        <v>789</v>
      </c>
      <c r="C1391" s="3" t="s">
        <v>971</v>
      </c>
      <c r="D1391" s="3" t="s">
        <v>1016</v>
      </c>
      <c r="E1391" s="3" t="s">
        <v>942</v>
      </c>
      <c r="F1391" s="3" t="s">
        <v>942</v>
      </c>
      <c r="G1391" s="3" t="str">
        <f>INDEX([1]Risk_Matrix!$B$2:$D$4,MATCH(E1391,[1]Risk_Matrix!$A$2:$A$4,0),MATCH(F1391,[1]Risk_Matrix!$B$1:$D$1,0))</f>
        <v>Medium</v>
      </c>
      <c r="H1391" s="10">
        <v>46064</v>
      </c>
      <c r="I1391" s="3" t="s">
        <v>967</v>
      </c>
      <c r="J1391" s="3" t="s">
        <v>968</v>
      </c>
      <c r="K1391" s="3" t="s">
        <v>993</v>
      </c>
      <c r="L1391" s="3">
        <f>IF(G1391="High",3,IF(G1391="Medium",2,1))</f>
        <v>2</v>
      </c>
    </row>
    <row r="1392" spans="1:12">
      <c r="A1392" s="3" t="s">
        <v>2385</v>
      </c>
      <c r="B1392" s="3" t="s">
        <v>789</v>
      </c>
      <c r="C1392" s="3" t="s">
        <v>976</v>
      </c>
      <c r="D1392" s="3" t="s">
        <v>977</v>
      </c>
      <c r="E1392" s="3" t="s">
        <v>47</v>
      </c>
      <c r="F1392" s="3" t="s">
        <v>42</v>
      </c>
      <c r="G1392" s="3" t="str">
        <f>INDEX([1]Risk_Matrix!$B$2:$D$4,MATCH(E1392,[1]Risk_Matrix!$A$2:$A$4,0),MATCH(F1392,[1]Risk_Matrix!$B$1:$D$1,0))</f>
        <v>Medium</v>
      </c>
      <c r="H1392" s="10">
        <v>46157</v>
      </c>
      <c r="I1392" s="3" t="s">
        <v>981</v>
      </c>
      <c r="J1392" s="3" t="s">
        <v>982</v>
      </c>
      <c r="K1392" s="3" t="s">
        <v>993</v>
      </c>
      <c r="L1392" s="3">
        <f>IF(G1392="High",3,IF(G1392="Medium",2,1))</f>
        <v>2</v>
      </c>
    </row>
    <row r="1393" spans="1:12">
      <c r="A1393" s="3" t="s">
        <v>2386</v>
      </c>
      <c r="B1393" s="3" t="s">
        <v>789</v>
      </c>
      <c r="C1393" s="3" t="s">
        <v>979</v>
      </c>
      <c r="D1393" s="3" t="s">
        <v>980</v>
      </c>
      <c r="E1393" s="3" t="s">
        <v>47</v>
      </c>
      <c r="F1393" s="3" t="s">
        <v>47</v>
      </c>
      <c r="G1393" s="3" t="str">
        <f>INDEX([1]Risk_Matrix!$B$2:$D$4,MATCH(E1393,[1]Risk_Matrix!$A$2:$A$4,0),MATCH(F1393,[1]Risk_Matrix!$B$1:$D$1,0))</f>
        <v>Low</v>
      </c>
      <c r="H1393" s="10">
        <v>46235</v>
      </c>
      <c r="I1393" s="3" t="s">
        <v>967</v>
      </c>
      <c r="J1393" s="3" t="s">
        <v>968</v>
      </c>
      <c r="K1393" s="3" t="s">
        <v>993</v>
      </c>
      <c r="L1393" s="3">
        <f>IF(G1393="High",3,IF(G1393="Medium",2,1))</f>
        <v>1</v>
      </c>
    </row>
    <row r="1394" spans="1:12">
      <c r="A1394" s="3" t="s">
        <v>2387</v>
      </c>
      <c r="B1394" s="3" t="s">
        <v>791</v>
      </c>
      <c r="C1394" s="3" t="s">
        <v>956</v>
      </c>
      <c r="D1394" s="3" t="s">
        <v>1012</v>
      </c>
      <c r="E1394" s="3" t="s">
        <v>47</v>
      </c>
      <c r="F1394" s="3" t="s">
        <v>942</v>
      </c>
      <c r="G1394" s="3" t="str">
        <f>INDEX([1]Risk_Matrix!$B$2:$D$4,MATCH(E1394,[1]Risk_Matrix!$A$2:$A$4,0),MATCH(F1394,[1]Risk_Matrix!$B$1:$D$1,0))</f>
        <v>Low</v>
      </c>
      <c r="H1394" s="10">
        <v>46237</v>
      </c>
      <c r="I1394" s="3" t="s">
        <v>981</v>
      </c>
      <c r="J1394" s="3" t="s">
        <v>982</v>
      </c>
      <c r="K1394" s="3" t="s">
        <v>983</v>
      </c>
      <c r="L1394" s="3">
        <f>IF(G1394="High",3,IF(G1394="Medium",2,1))</f>
        <v>1</v>
      </c>
    </row>
    <row r="1395" spans="1:12">
      <c r="A1395" s="3" t="s">
        <v>2388</v>
      </c>
      <c r="B1395" s="3" t="s">
        <v>791</v>
      </c>
      <c r="C1395" s="3" t="s">
        <v>962</v>
      </c>
      <c r="D1395" s="3" t="s">
        <v>986</v>
      </c>
      <c r="E1395" s="3" t="s">
        <v>42</v>
      </c>
      <c r="F1395" s="3" t="s">
        <v>42</v>
      </c>
      <c r="G1395" s="3" t="str">
        <f>INDEX([1]Risk_Matrix!$B$2:$D$4,MATCH(E1395,[1]Risk_Matrix!$A$2:$A$4,0),MATCH(F1395,[1]Risk_Matrix!$B$1:$D$1,0))</f>
        <v>High</v>
      </c>
      <c r="H1395" s="10">
        <v>46143</v>
      </c>
      <c r="I1395" s="3" t="s">
        <v>981</v>
      </c>
      <c r="J1395" s="3" t="s">
        <v>982</v>
      </c>
      <c r="K1395" s="3" t="s">
        <v>960</v>
      </c>
      <c r="L1395" s="3">
        <f>IF(G1395="High",3,IF(G1395="Medium",2,1))</f>
        <v>3</v>
      </c>
    </row>
    <row r="1396" spans="1:12">
      <c r="A1396" s="3" t="s">
        <v>2389</v>
      </c>
      <c r="B1396" s="3" t="s">
        <v>791</v>
      </c>
      <c r="C1396" s="3" t="s">
        <v>965</v>
      </c>
      <c r="D1396" s="3" t="s">
        <v>1023</v>
      </c>
      <c r="E1396" s="3" t="s">
        <v>47</v>
      </c>
      <c r="F1396" s="3" t="s">
        <v>942</v>
      </c>
      <c r="G1396" s="3" t="str">
        <f>INDEX([1]Risk_Matrix!$B$2:$D$4,MATCH(E1396,[1]Risk_Matrix!$A$2:$A$4,0),MATCH(F1396,[1]Risk_Matrix!$B$1:$D$1,0))</f>
        <v>Low</v>
      </c>
      <c r="H1396" s="10">
        <v>46172</v>
      </c>
      <c r="I1396" s="3" t="s">
        <v>967</v>
      </c>
      <c r="J1396" s="3" t="s">
        <v>968</v>
      </c>
      <c r="K1396" s="3" t="s">
        <v>960</v>
      </c>
      <c r="L1396" s="3">
        <f>IF(G1396="High",3,IF(G1396="Medium",2,1))</f>
        <v>1</v>
      </c>
    </row>
    <row r="1397" spans="1:12">
      <c r="A1397" s="3" t="s">
        <v>2390</v>
      </c>
      <c r="B1397" s="3" t="s">
        <v>791</v>
      </c>
      <c r="C1397" s="3" t="s">
        <v>971</v>
      </c>
      <c r="D1397" s="3" t="s">
        <v>1016</v>
      </c>
      <c r="E1397" s="3" t="s">
        <v>942</v>
      </c>
      <c r="F1397" s="3" t="s">
        <v>42</v>
      </c>
      <c r="G1397" s="3" t="str">
        <f>INDEX([1]Risk_Matrix!$B$2:$D$4,MATCH(E1397,[1]Risk_Matrix!$A$2:$A$4,0),MATCH(F1397,[1]Risk_Matrix!$B$1:$D$1,0))</f>
        <v>High</v>
      </c>
      <c r="H1397" s="10">
        <v>46186</v>
      </c>
      <c r="I1397" s="3" t="s">
        <v>967</v>
      </c>
      <c r="J1397" s="3" t="s">
        <v>968</v>
      </c>
      <c r="K1397" s="3" t="s">
        <v>969</v>
      </c>
      <c r="L1397" s="3">
        <f>IF(G1397="High",3,IF(G1397="Medium",2,1))</f>
        <v>3</v>
      </c>
    </row>
    <row r="1398" spans="1:12">
      <c r="A1398" s="3" t="s">
        <v>2391</v>
      </c>
      <c r="B1398" s="3" t="s">
        <v>791</v>
      </c>
      <c r="C1398" s="3" t="s">
        <v>976</v>
      </c>
      <c r="D1398" s="3" t="s">
        <v>991</v>
      </c>
      <c r="E1398" s="3" t="s">
        <v>942</v>
      </c>
      <c r="F1398" s="3" t="s">
        <v>47</v>
      </c>
      <c r="G1398" s="3" t="str">
        <f>INDEX([1]Risk_Matrix!$B$2:$D$4,MATCH(E1398,[1]Risk_Matrix!$A$2:$A$4,0),MATCH(F1398,[1]Risk_Matrix!$B$1:$D$1,0))</f>
        <v>Low</v>
      </c>
      <c r="H1398" s="10">
        <v>46167</v>
      </c>
      <c r="I1398" s="3" t="s">
        <v>967</v>
      </c>
      <c r="J1398" s="3" t="s">
        <v>968</v>
      </c>
      <c r="K1398" s="3" t="s">
        <v>983</v>
      </c>
      <c r="L1398" s="3">
        <f>IF(G1398="High",3,IF(G1398="Medium",2,1))</f>
        <v>1</v>
      </c>
    </row>
    <row r="1399" spans="1:12">
      <c r="A1399" s="3" t="s">
        <v>2392</v>
      </c>
      <c r="B1399" s="3" t="s">
        <v>791</v>
      </c>
      <c r="C1399" s="3" t="s">
        <v>979</v>
      </c>
      <c r="D1399" s="3" t="s">
        <v>1028</v>
      </c>
      <c r="E1399" s="3" t="s">
        <v>47</v>
      </c>
      <c r="F1399" s="3" t="s">
        <v>47</v>
      </c>
      <c r="G1399" s="3" t="str">
        <f>INDEX([1]Risk_Matrix!$B$2:$D$4,MATCH(E1399,[1]Risk_Matrix!$A$2:$A$4,0),MATCH(F1399,[1]Risk_Matrix!$B$1:$D$1,0))</f>
        <v>Low</v>
      </c>
      <c r="H1399" s="10">
        <v>46228</v>
      </c>
      <c r="I1399" s="3" t="s">
        <v>967</v>
      </c>
      <c r="J1399" s="3" t="s">
        <v>968</v>
      </c>
      <c r="K1399" s="3" t="s">
        <v>960</v>
      </c>
      <c r="L1399" s="3">
        <f>IF(G1399="High",3,IF(G1399="Medium",2,1))</f>
        <v>1</v>
      </c>
    </row>
    <row r="1400" spans="1:12">
      <c r="A1400" s="3" t="s">
        <v>2393</v>
      </c>
      <c r="B1400" s="3" t="s">
        <v>793</v>
      </c>
      <c r="C1400" s="3" t="s">
        <v>956</v>
      </c>
      <c r="D1400" s="3" t="s">
        <v>1020</v>
      </c>
      <c r="E1400" s="3" t="s">
        <v>942</v>
      </c>
      <c r="F1400" s="3" t="s">
        <v>47</v>
      </c>
      <c r="G1400" s="3" t="str">
        <f>INDEX([1]Risk_Matrix!$B$2:$D$4,MATCH(E1400,[1]Risk_Matrix!$A$2:$A$4,0),MATCH(F1400,[1]Risk_Matrix!$B$1:$D$1,0))</f>
        <v>Low</v>
      </c>
      <c r="H1400" s="10">
        <v>46209</v>
      </c>
      <c r="I1400" s="3" t="s">
        <v>967</v>
      </c>
      <c r="J1400" s="3" t="s">
        <v>968</v>
      </c>
      <c r="K1400" s="3" t="s">
        <v>983</v>
      </c>
      <c r="L1400" s="3">
        <f>IF(G1400="High",3,IF(G1400="Medium",2,1))</f>
        <v>1</v>
      </c>
    </row>
    <row r="1401" spans="1:12">
      <c r="A1401" s="3" t="s">
        <v>2394</v>
      </c>
      <c r="B1401" s="3" t="s">
        <v>793</v>
      </c>
      <c r="C1401" s="3" t="s">
        <v>962</v>
      </c>
      <c r="D1401" s="3" t="s">
        <v>997</v>
      </c>
      <c r="E1401" s="3" t="s">
        <v>47</v>
      </c>
      <c r="F1401" s="3" t="s">
        <v>942</v>
      </c>
      <c r="G1401" s="3" t="str">
        <f>INDEX([1]Risk_Matrix!$B$2:$D$4,MATCH(E1401,[1]Risk_Matrix!$A$2:$A$4,0),MATCH(F1401,[1]Risk_Matrix!$B$1:$D$1,0))</f>
        <v>Low</v>
      </c>
      <c r="H1401" s="10">
        <v>46173</v>
      </c>
      <c r="I1401" s="3" t="s">
        <v>973</v>
      </c>
      <c r="J1401" s="3" t="s">
        <v>974</v>
      </c>
      <c r="K1401" s="3" t="s">
        <v>960</v>
      </c>
      <c r="L1401" s="3">
        <f>IF(G1401="High",3,IF(G1401="Medium",2,1))</f>
        <v>1</v>
      </c>
    </row>
    <row r="1402" spans="1:12">
      <c r="A1402" s="3" t="s">
        <v>2395</v>
      </c>
      <c r="B1402" s="3" t="s">
        <v>793</v>
      </c>
      <c r="C1402" s="3" t="s">
        <v>965</v>
      </c>
      <c r="D1402" s="3" t="s">
        <v>966</v>
      </c>
      <c r="E1402" s="3" t="s">
        <v>942</v>
      </c>
      <c r="F1402" s="3" t="s">
        <v>47</v>
      </c>
      <c r="G1402" s="3" t="str">
        <f>INDEX([1]Risk_Matrix!$B$2:$D$4,MATCH(E1402,[1]Risk_Matrix!$A$2:$A$4,0),MATCH(F1402,[1]Risk_Matrix!$B$1:$D$1,0))</f>
        <v>Low</v>
      </c>
      <c r="H1402" s="10">
        <v>46211</v>
      </c>
      <c r="I1402" s="3" t="s">
        <v>967</v>
      </c>
      <c r="J1402" s="3" t="s">
        <v>968</v>
      </c>
      <c r="K1402" s="3" t="s">
        <v>993</v>
      </c>
      <c r="L1402" s="3">
        <f>IF(G1402="High",3,IF(G1402="Medium",2,1))</f>
        <v>1</v>
      </c>
    </row>
    <row r="1403" spans="1:12">
      <c r="A1403" s="3" t="s">
        <v>2396</v>
      </c>
      <c r="B1403" s="3" t="s">
        <v>793</v>
      </c>
      <c r="C1403" s="3" t="s">
        <v>971</v>
      </c>
      <c r="D1403" s="3" t="s">
        <v>1025</v>
      </c>
      <c r="E1403" s="3" t="s">
        <v>942</v>
      </c>
      <c r="F1403" s="3" t="s">
        <v>42</v>
      </c>
      <c r="G1403" s="3" t="str">
        <f>INDEX([1]Risk_Matrix!$B$2:$D$4,MATCH(E1403,[1]Risk_Matrix!$A$2:$A$4,0),MATCH(F1403,[1]Risk_Matrix!$B$1:$D$1,0))</f>
        <v>High</v>
      </c>
      <c r="H1403" s="10">
        <v>46096</v>
      </c>
      <c r="I1403" s="3" t="s">
        <v>958</v>
      </c>
      <c r="J1403" s="3" t="s">
        <v>959</v>
      </c>
      <c r="K1403" s="3" t="s">
        <v>960</v>
      </c>
      <c r="L1403" s="3">
        <f>IF(G1403="High",3,IF(G1403="Medium",2,1))</f>
        <v>3</v>
      </c>
    </row>
    <row r="1404" spans="1:12">
      <c r="A1404" s="3" t="s">
        <v>2397</v>
      </c>
      <c r="B1404" s="3" t="s">
        <v>793</v>
      </c>
      <c r="C1404" s="3" t="s">
        <v>976</v>
      </c>
      <c r="D1404" s="3" t="s">
        <v>977</v>
      </c>
      <c r="E1404" s="3" t="s">
        <v>47</v>
      </c>
      <c r="F1404" s="3" t="s">
        <v>42</v>
      </c>
      <c r="G1404" s="3" t="str">
        <f>INDEX([1]Risk_Matrix!$B$2:$D$4,MATCH(E1404,[1]Risk_Matrix!$A$2:$A$4,0),MATCH(F1404,[1]Risk_Matrix!$B$1:$D$1,0))</f>
        <v>Medium</v>
      </c>
      <c r="H1404" s="10">
        <v>46211</v>
      </c>
      <c r="I1404" s="3" t="s">
        <v>967</v>
      </c>
      <c r="J1404" s="3" t="s">
        <v>968</v>
      </c>
      <c r="K1404" s="3" t="s">
        <v>993</v>
      </c>
      <c r="L1404" s="3">
        <f>IF(G1404="High",3,IF(G1404="Medium",2,1))</f>
        <v>2</v>
      </c>
    </row>
    <row r="1405" spans="1:12">
      <c r="A1405" s="3" t="s">
        <v>2398</v>
      </c>
      <c r="B1405" s="3" t="s">
        <v>793</v>
      </c>
      <c r="C1405" s="3" t="s">
        <v>979</v>
      </c>
      <c r="D1405" s="3" t="s">
        <v>1004</v>
      </c>
      <c r="E1405" s="3" t="s">
        <v>47</v>
      </c>
      <c r="F1405" s="3" t="s">
        <v>47</v>
      </c>
      <c r="G1405" s="3" t="str">
        <f>INDEX([1]Risk_Matrix!$B$2:$D$4,MATCH(E1405,[1]Risk_Matrix!$A$2:$A$4,0),MATCH(F1405,[1]Risk_Matrix!$B$1:$D$1,0))</f>
        <v>Low</v>
      </c>
      <c r="H1405" s="10">
        <v>46061</v>
      </c>
      <c r="I1405" s="3" t="s">
        <v>973</v>
      </c>
      <c r="J1405" s="3" t="s">
        <v>974</v>
      </c>
      <c r="K1405" s="3" t="s">
        <v>993</v>
      </c>
      <c r="L1405" s="3">
        <f>IF(G1405="High",3,IF(G1405="Medium",2,1))</f>
        <v>1</v>
      </c>
    </row>
    <row r="1406" spans="1:12">
      <c r="A1406" s="3" t="s">
        <v>2399</v>
      </c>
      <c r="B1406" s="3" t="s">
        <v>794</v>
      </c>
      <c r="C1406" s="3" t="s">
        <v>956</v>
      </c>
      <c r="D1406" s="3" t="s">
        <v>1020</v>
      </c>
      <c r="E1406" s="3" t="s">
        <v>47</v>
      </c>
      <c r="F1406" s="3" t="s">
        <v>47</v>
      </c>
      <c r="G1406" s="3" t="str">
        <f>INDEX([1]Risk_Matrix!$B$2:$D$4,MATCH(E1406,[1]Risk_Matrix!$A$2:$A$4,0),MATCH(F1406,[1]Risk_Matrix!$B$1:$D$1,0))</f>
        <v>Low</v>
      </c>
      <c r="H1406" s="10">
        <v>46125</v>
      </c>
      <c r="I1406" s="3" t="s">
        <v>967</v>
      </c>
      <c r="J1406" s="3" t="s">
        <v>968</v>
      </c>
      <c r="K1406" s="3" t="s">
        <v>1000</v>
      </c>
      <c r="L1406" s="3">
        <f>IF(G1406="High",3,IF(G1406="Medium",2,1))</f>
        <v>1</v>
      </c>
    </row>
    <row r="1407" spans="1:12">
      <c r="A1407" s="3" t="s">
        <v>2400</v>
      </c>
      <c r="B1407" s="3" t="s">
        <v>794</v>
      </c>
      <c r="C1407" s="3" t="s">
        <v>962</v>
      </c>
      <c r="D1407" s="3" t="s">
        <v>963</v>
      </c>
      <c r="E1407" s="3" t="s">
        <v>942</v>
      </c>
      <c r="F1407" s="3" t="s">
        <v>942</v>
      </c>
      <c r="G1407" s="3" t="str">
        <f>INDEX([1]Risk_Matrix!$B$2:$D$4,MATCH(E1407,[1]Risk_Matrix!$A$2:$A$4,0),MATCH(F1407,[1]Risk_Matrix!$B$1:$D$1,0))</f>
        <v>Medium</v>
      </c>
      <c r="H1407" s="10">
        <v>46185</v>
      </c>
      <c r="I1407" s="3" t="s">
        <v>958</v>
      </c>
      <c r="J1407" s="3" t="s">
        <v>959</v>
      </c>
      <c r="K1407" s="3" t="s">
        <v>969</v>
      </c>
      <c r="L1407" s="3">
        <f>IF(G1407="High",3,IF(G1407="Medium",2,1))</f>
        <v>2</v>
      </c>
    </row>
    <row r="1408" spans="1:12">
      <c r="A1408" s="3" t="s">
        <v>2401</v>
      </c>
      <c r="B1408" s="3" t="s">
        <v>794</v>
      </c>
      <c r="C1408" s="3" t="s">
        <v>965</v>
      </c>
      <c r="D1408" s="3" t="s">
        <v>1023</v>
      </c>
      <c r="E1408" s="3" t="s">
        <v>942</v>
      </c>
      <c r="F1408" s="3" t="s">
        <v>42</v>
      </c>
      <c r="G1408" s="3" t="str">
        <f>INDEX([1]Risk_Matrix!$B$2:$D$4,MATCH(E1408,[1]Risk_Matrix!$A$2:$A$4,0),MATCH(F1408,[1]Risk_Matrix!$B$1:$D$1,0))</f>
        <v>High</v>
      </c>
      <c r="H1408" s="10">
        <v>46174</v>
      </c>
      <c r="I1408" s="3" t="s">
        <v>973</v>
      </c>
      <c r="J1408" s="3" t="s">
        <v>974</v>
      </c>
      <c r="K1408" s="3" t="s">
        <v>983</v>
      </c>
      <c r="L1408" s="3">
        <f>IF(G1408="High",3,IF(G1408="Medium",2,1))</f>
        <v>3</v>
      </c>
    </row>
    <row r="1409" spans="1:12">
      <c r="A1409" s="3" t="s">
        <v>2402</v>
      </c>
      <c r="B1409" s="3" t="s">
        <v>794</v>
      </c>
      <c r="C1409" s="3" t="s">
        <v>971</v>
      </c>
      <c r="D1409" s="3" t="s">
        <v>1025</v>
      </c>
      <c r="E1409" s="3" t="s">
        <v>47</v>
      </c>
      <c r="F1409" s="3" t="s">
        <v>42</v>
      </c>
      <c r="G1409" s="3" t="str">
        <f>INDEX([1]Risk_Matrix!$B$2:$D$4,MATCH(E1409,[1]Risk_Matrix!$A$2:$A$4,0),MATCH(F1409,[1]Risk_Matrix!$B$1:$D$1,0))</f>
        <v>Medium</v>
      </c>
      <c r="H1409" s="10">
        <v>46141</v>
      </c>
      <c r="I1409" s="3" t="s">
        <v>973</v>
      </c>
      <c r="J1409" s="3" t="s">
        <v>974</v>
      </c>
      <c r="K1409" s="3" t="s">
        <v>983</v>
      </c>
      <c r="L1409" s="3">
        <f>IF(G1409="High",3,IF(G1409="Medium",2,1))</f>
        <v>2</v>
      </c>
    </row>
    <row r="1410" spans="1:12">
      <c r="A1410" s="3" t="s">
        <v>2403</v>
      </c>
      <c r="B1410" s="3" t="s">
        <v>794</v>
      </c>
      <c r="C1410" s="3" t="s">
        <v>976</v>
      </c>
      <c r="D1410" s="3" t="s">
        <v>991</v>
      </c>
      <c r="E1410" s="3" t="s">
        <v>942</v>
      </c>
      <c r="F1410" s="3" t="s">
        <v>47</v>
      </c>
      <c r="G1410" s="3" t="str">
        <f>INDEX([1]Risk_Matrix!$B$2:$D$4,MATCH(E1410,[1]Risk_Matrix!$A$2:$A$4,0),MATCH(F1410,[1]Risk_Matrix!$B$1:$D$1,0))</f>
        <v>Low</v>
      </c>
      <c r="H1410" s="10">
        <v>46153</v>
      </c>
      <c r="I1410" s="3" t="s">
        <v>967</v>
      </c>
      <c r="J1410" s="3" t="s">
        <v>968</v>
      </c>
      <c r="K1410" s="3" t="s">
        <v>960</v>
      </c>
      <c r="L1410" s="3">
        <f>IF(G1410="High",3,IF(G1410="Medium",2,1))</f>
        <v>1</v>
      </c>
    </row>
    <row r="1411" spans="1:12">
      <c r="A1411" s="3" t="s">
        <v>2404</v>
      </c>
      <c r="B1411" s="3" t="s">
        <v>794</v>
      </c>
      <c r="C1411" s="3" t="s">
        <v>979</v>
      </c>
      <c r="D1411" s="3" t="s">
        <v>1004</v>
      </c>
      <c r="E1411" s="3" t="s">
        <v>42</v>
      </c>
      <c r="F1411" s="3" t="s">
        <v>47</v>
      </c>
      <c r="G1411" s="3" t="str">
        <f>INDEX([1]Risk_Matrix!$B$2:$D$4,MATCH(E1411,[1]Risk_Matrix!$A$2:$A$4,0),MATCH(F1411,[1]Risk_Matrix!$B$1:$D$1,0))</f>
        <v>Medium</v>
      </c>
      <c r="H1411" s="10">
        <v>46103</v>
      </c>
      <c r="I1411" s="3" t="s">
        <v>973</v>
      </c>
      <c r="J1411" s="3" t="s">
        <v>974</v>
      </c>
      <c r="K1411" s="3" t="s">
        <v>969</v>
      </c>
      <c r="L1411" s="3">
        <f>IF(G1411="High",3,IF(G1411="Medium",2,1))</f>
        <v>2</v>
      </c>
    </row>
    <row r="1412" spans="1:12">
      <c r="A1412" s="3" t="s">
        <v>2405</v>
      </c>
      <c r="B1412" s="3" t="s">
        <v>797</v>
      </c>
      <c r="C1412" s="3" t="s">
        <v>956</v>
      </c>
      <c r="D1412" s="3" t="s">
        <v>1020</v>
      </c>
      <c r="E1412" s="3" t="s">
        <v>47</v>
      </c>
      <c r="F1412" s="3" t="s">
        <v>42</v>
      </c>
      <c r="G1412" s="3" t="str">
        <f>INDEX([1]Risk_Matrix!$B$2:$D$4,MATCH(E1412,[1]Risk_Matrix!$A$2:$A$4,0),MATCH(F1412,[1]Risk_Matrix!$B$1:$D$1,0))</f>
        <v>Medium</v>
      </c>
      <c r="H1412" s="10">
        <v>46063</v>
      </c>
      <c r="I1412" s="3" t="s">
        <v>973</v>
      </c>
      <c r="J1412" s="3" t="s">
        <v>974</v>
      </c>
      <c r="K1412" s="3" t="s">
        <v>993</v>
      </c>
      <c r="L1412" s="3">
        <f>IF(G1412="High",3,IF(G1412="Medium",2,1))</f>
        <v>2</v>
      </c>
    </row>
    <row r="1413" spans="1:12">
      <c r="A1413" s="3" t="s">
        <v>2406</v>
      </c>
      <c r="B1413" s="3" t="s">
        <v>797</v>
      </c>
      <c r="C1413" s="3" t="s">
        <v>962</v>
      </c>
      <c r="D1413" s="3" t="s">
        <v>997</v>
      </c>
      <c r="E1413" s="3" t="s">
        <v>942</v>
      </c>
      <c r="F1413" s="3" t="s">
        <v>47</v>
      </c>
      <c r="G1413" s="3" t="str">
        <f>INDEX([1]Risk_Matrix!$B$2:$D$4,MATCH(E1413,[1]Risk_Matrix!$A$2:$A$4,0),MATCH(F1413,[1]Risk_Matrix!$B$1:$D$1,0))</f>
        <v>Low</v>
      </c>
      <c r="H1413" s="10">
        <v>46156</v>
      </c>
      <c r="I1413" s="3" t="s">
        <v>967</v>
      </c>
      <c r="J1413" s="3" t="s">
        <v>968</v>
      </c>
      <c r="K1413" s="3" t="s">
        <v>969</v>
      </c>
      <c r="L1413" s="3">
        <f>IF(G1413="High",3,IF(G1413="Medium",2,1))</f>
        <v>1</v>
      </c>
    </row>
    <row r="1414" spans="1:12">
      <c r="A1414" s="3" t="s">
        <v>2407</v>
      </c>
      <c r="B1414" s="3" t="s">
        <v>797</v>
      </c>
      <c r="C1414" s="3" t="s">
        <v>965</v>
      </c>
      <c r="D1414" s="3" t="s">
        <v>1023</v>
      </c>
      <c r="E1414" s="3" t="s">
        <v>47</v>
      </c>
      <c r="F1414" s="3" t="s">
        <v>47</v>
      </c>
      <c r="G1414" s="3" t="str">
        <f>INDEX([1]Risk_Matrix!$B$2:$D$4,MATCH(E1414,[1]Risk_Matrix!$A$2:$A$4,0),MATCH(F1414,[1]Risk_Matrix!$B$1:$D$1,0))</f>
        <v>Low</v>
      </c>
      <c r="H1414" s="10">
        <v>46141</v>
      </c>
      <c r="I1414" s="3" t="s">
        <v>973</v>
      </c>
      <c r="J1414" s="3" t="s">
        <v>974</v>
      </c>
      <c r="K1414" s="3" t="s">
        <v>993</v>
      </c>
      <c r="L1414" s="3">
        <f>IF(G1414="High",3,IF(G1414="Medium",2,1))</f>
        <v>1</v>
      </c>
    </row>
    <row r="1415" spans="1:12">
      <c r="A1415" s="3" t="s">
        <v>2408</v>
      </c>
      <c r="B1415" s="3" t="s">
        <v>797</v>
      </c>
      <c r="C1415" s="3" t="s">
        <v>971</v>
      </c>
      <c r="D1415" s="3" t="s">
        <v>1016</v>
      </c>
      <c r="E1415" s="3" t="s">
        <v>47</v>
      </c>
      <c r="F1415" s="3" t="s">
        <v>47</v>
      </c>
      <c r="G1415" s="3" t="str">
        <f>INDEX([1]Risk_Matrix!$B$2:$D$4,MATCH(E1415,[1]Risk_Matrix!$A$2:$A$4,0),MATCH(F1415,[1]Risk_Matrix!$B$1:$D$1,0))</f>
        <v>Low</v>
      </c>
      <c r="H1415" s="10">
        <v>46181</v>
      </c>
      <c r="I1415" s="3" t="s">
        <v>967</v>
      </c>
      <c r="J1415" s="3" t="s">
        <v>968</v>
      </c>
      <c r="K1415" s="3" t="s">
        <v>993</v>
      </c>
      <c r="L1415" s="3">
        <f>IF(G1415="High",3,IF(G1415="Medium",2,1))</f>
        <v>1</v>
      </c>
    </row>
    <row r="1416" spans="1:12">
      <c r="A1416" s="3" t="s">
        <v>2409</v>
      </c>
      <c r="B1416" s="3" t="s">
        <v>797</v>
      </c>
      <c r="C1416" s="3" t="s">
        <v>976</v>
      </c>
      <c r="D1416" s="3" t="s">
        <v>1002</v>
      </c>
      <c r="E1416" s="3" t="s">
        <v>942</v>
      </c>
      <c r="F1416" s="3" t="s">
        <v>47</v>
      </c>
      <c r="G1416" s="3" t="str">
        <f>INDEX([1]Risk_Matrix!$B$2:$D$4,MATCH(E1416,[1]Risk_Matrix!$A$2:$A$4,0),MATCH(F1416,[1]Risk_Matrix!$B$1:$D$1,0))</f>
        <v>Low</v>
      </c>
      <c r="H1416" s="10">
        <v>46117</v>
      </c>
      <c r="I1416" s="3" t="s">
        <v>981</v>
      </c>
      <c r="J1416" s="3" t="s">
        <v>982</v>
      </c>
      <c r="K1416" s="3" t="s">
        <v>1000</v>
      </c>
      <c r="L1416" s="3">
        <f>IF(G1416="High",3,IF(G1416="Medium",2,1))</f>
        <v>1</v>
      </c>
    </row>
    <row r="1417" spans="1:12">
      <c r="A1417" s="3" t="s">
        <v>2410</v>
      </c>
      <c r="B1417" s="3" t="s">
        <v>797</v>
      </c>
      <c r="C1417" s="3" t="s">
        <v>979</v>
      </c>
      <c r="D1417" s="3" t="s">
        <v>980</v>
      </c>
      <c r="E1417" s="3" t="s">
        <v>47</v>
      </c>
      <c r="F1417" s="3" t="s">
        <v>942</v>
      </c>
      <c r="G1417" s="3" t="str">
        <f>INDEX([1]Risk_Matrix!$B$2:$D$4,MATCH(E1417,[1]Risk_Matrix!$A$2:$A$4,0),MATCH(F1417,[1]Risk_Matrix!$B$1:$D$1,0))</f>
        <v>Low</v>
      </c>
      <c r="H1417" s="10">
        <v>46178</v>
      </c>
      <c r="I1417" s="3" t="s">
        <v>973</v>
      </c>
      <c r="J1417" s="3" t="s">
        <v>974</v>
      </c>
      <c r="K1417" s="3" t="s">
        <v>960</v>
      </c>
      <c r="L1417" s="3">
        <f>IF(G1417="High",3,IF(G1417="Medium",2,1))</f>
        <v>1</v>
      </c>
    </row>
    <row r="1418" spans="1:12">
      <c r="A1418" s="3" t="s">
        <v>2411</v>
      </c>
      <c r="B1418" s="3" t="s">
        <v>799</v>
      </c>
      <c r="C1418" s="3" t="s">
        <v>956</v>
      </c>
      <c r="D1418" s="3" t="s">
        <v>995</v>
      </c>
      <c r="E1418" s="3" t="s">
        <v>47</v>
      </c>
      <c r="F1418" s="3" t="s">
        <v>42</v>
      </c>
      <c r="G1418" s="3" t="str">
        <f>INDEX([1]Risk_Matrix!$B$2:$D$4,MATCH(E1418,[1]Risk_Matrix!$A$2:$A$4,0),MATCH(F1418,[1]Risk_Matrix!$B$1:$D$1,0))</f>
        <v>Medium</v>
      </c>
      <c r="H1418" s="10">
        <v>46199</v>
      </c>
      <c r="I1418" s="3" t="s">
        <v>967</v>
      </c>
      <c r="J1418" s="3" t="s">
        <v>968</v>
      </c>
      <c r="K1418" s="3" t="s">
        <v>960</v>
      </c>
      <c r="L1418" s="3">
        <f>IF(G1418="High",3,IF(G1418="Medium",2,1))</f>
        <v>2</v>
      </c>
    </row>
    <row r="1419" spans="1:12">
      <c r="A1419" s="3" t="s">
        <v>2412</v>
      </c>
      <c r="B1419" s="3" t="s">
        <v>799</v>
      </c>
      <c r="C1419" s="3" t="s">
        <v>962</v>
      </c>
      <c r="D1419" s="3" t="s">
        <v>986</v>
      </c>
      <c r="E1419" s="3" t="s">
        <v>47</v>
      </c>
      <c r="F1419" s="3" t="s">
        <v>47</v>
      </c>
      <c r="G1419" s="3" t="str">
        <f>INDEX([1]Risk_Matrix!$B$2:$D$4,MATCH(E1419,[1]Risk_Matrix!$A$2:$A$4,0),MATCH(F1419,[1]Risk_Matrix!$B$1:$D$1,0))</f>
        <v>Low</v>
      </c>
      <c r="H1419" s="10">
        <v>46139</v>
      </c>
      <c r="I1419" s="3" t="s">
        <v>967</v>
      </c>
      <c r="J1419" s="3" t="s">
        <v>968</v>
      </c>
      <c r="K1419" s="3" t="s">
        <v>969</v>
      </c>
      <c r="L1419" s="3">
        <f>IF(G1419="High",3,IF(G1419="Medium",2,1))</f>
        <v>1</v>
      </c>
    </row>
    <row r="1420" spans="1:12">
      <c r="A1420" s="3" t="s">
        <v>2413</v>
      </c>
      <c r="B1420" s="3" t="s">
        <v>799</v>
      </c>
      <c r="C1420" s="3" t="s">
        <v>965</v>
      </c>
      <c r="D1420" s="3" t="s">
        <v>1039</v>
      </c>
      <c r="E1420" s="3" t="s">
        <v>47</v>
      </c>
      <c r="F1420" s="3" t="s">
        <v>47</v>
      </c>
      <c r="G1420" s="3" t="str">
        <f>INDEX([1]Risk_Matrix!$B$2:$D$4,MATCH(E1420,[1]Risk_Matrix!$A$2:$A$4,0),MATCH(F1420,[1]Risk_Matrix!$B$1:$D$1,0))</f>
        <v>Low</v>
      </c>
      <c r="H1420" s="10">
        <v>46202</v>
      </c>
      <c r="I1420" s="3" t="s">
        <v>981</v>
      </c>
      <c r="J1420" s="3" t="s">
        <v>982</v>
      </c>
      <c r="K1420" s="3" t="s">
        <v>993</v>
      </c>
      <c r="L1420" s="3">
        <f>IF(G1420="High",3,IF(G1420="Medium",2,1))</f>
        <v>1</v>
      </c>
    </row>
    <row r="1421" spans="1:12">
      <c r="A1421" s="3" t="s">
        <v>2414</v>
      </c>
      <c r="B1421" s="3" t="s">
        <v>799</v>
      </c>
      <c r="C1421" s="3" t="s">
        <v>971</v>
      </c>
      <c r="D1421" s="3" t="s">
        <v>1025</v>
      </c>
      <c r="E1421" s="3" t="s">
        <v>47</v>
      </c>
      <c r="F1421" s="3" t="s">
        <v>42</v>
      </c>
      <c r="G1421" s="3" t="str">
        <f>INDEX([1]Risk_Matrix!$B$2:$D$4,MATCH(E1421,[1]Risk_Matrix!$A$2:$A$4,0),MATCH(F1421,[1]Risk_Matrix!$B$1:$D$1,0))</f>
        <v>Medium</v>
      </c>
      <c r="H1421" s="10">
        <v>46136</v>
      </c>
      <c r="I1421" s="3" t="s">
        <v>981</v>
      </c>
      <c r="J1421" s="3" t="s">
        <v>982</v>
      </c>
      <c r="K1421" s="3" t="s">
        <v>983</v>
      </c>
      <c r="L1421" s="3">
        <f>IF(G1421="High",3,IF(G1421="Medium",2,1))</f>
        <v>2</v>
      </c>
    </row>
    <row r="1422" spans="1:12">
      <c r="A1422" s="3" t="s">
        <v>2415</v>
      </c>
      <c r="B1422" s="3" t="s">
        <v>799</v>
      </c>
      <c r="C1422" s="3" t="s">
        <v>976</v>
      </c>
      <c r="D1422" s="3" t="s">
        <v>1002</v>
      </c>
      <c r="E1422" s="3" t="s">
        <v>47</v>
      </c>
      <c r="F1422" s="3" t="s">
        <v>42</v>
      </c>
      <c r="G1422" s="3" t="str">
        <f>INDEX([1]Risk_Matrix!$B$2:$D$4,MATCH(E1422,[1]Risk_Matrix!$A$2:$A$4,0),MATCH(F1422,[1]Risk_Matrix!$B$1:$D$1,0))</f>
        <v>Medium</v>
      </c>
      <c r="H1422" s="10">
        <v>46132</v>
      </c>
      <c r="I1422" s="3" t="s">
        <v>967</v>
      </c>
      <c r="J1422" s="3" t="s">
        <v>968</v>
      </c>
      <c r="K1422" s="3" t="s">
        <v>960</v>
      </c>
      <c r="L1422" s="3">
        <f>IF(G1422="High",3,IF(G1422="Medium",2,1))</f>
        <v>2</v>
      </c>
    </row>
    <row r="1423" spans="1:12">
      <c r="A1423" s="3" t="s">
        <v>2416</v>
      </c>
      <c r="B1423" s="3" t="s">
        <v>799</v>
      </c>
      <c r="C1423" s="3" t="s">
        <v>979</v>
      </c>
      <c r="D1423" s="3" t="s">
        <v>980</v>
      </c>
      <c r="E1423" s="3" t="s">
        <v>47</v>
      </c>
      <c r="F1423" s="3" t="s">
        <v>42</v>
      </c>
      <c r="G1423" s="3" t="str">
        <f>INDEX([1]Risk_Matrix!$B$2:$D$4,MATCH(E1423,[1]Risk_Matrix!$A$2:$A$4,0),MATCH(F1423,[1]Risk_Matrix!$B$1:$D$1,0))</f>
        <v>Medium</v>
      </c>
      <c r="H1423" s="10">
        <v>46152</v>
      </c>
      <c r="I1423" s="3" t="s">
        <v>967</v>
      </c>
      <c r="J1423" s="3" t="s">
        <v>968</v>
      </c>
      <c r="K1423" s="3" t="s">
        <v>969</v>
      </c>
      <c r="L1423" s="3">
        <f>IF(G1423="High",3,IF(G1423="Medium",2,1))</f>
        <v>2</v>
      </c>
    </row>
    <row r="1424" spans="1:12">
      <c r="A1424" s="3" t="s">
        <v>2417</v>
      </c>
      <c r="B1424" s="3" t="s">
        <v>801</v>
      </c>
      <c r="C1424" s="3" t="s">
        <v>956</v>
      </c>
      <c r="D1424" s="3" t="s">
        <v>1012</v>
      </c>
      <c r="E1424" s="3" t="s">
        <v>47</v>
      </c>
      <c r="F1424" s="3" t="s">
        <v>942</v>
      </c>
      <c r="G1424" s="3" t="str">
        <f>INDEX([1]Risk_Matrix!$B$2:$D$4,MATCH(E1424,[1]Risk_Matrix!$A$2:$A$4,0),MATCH(F1424,[1]Risk_Matrix!$B$1:$D$1,0))</f>
        <v>Low</v>
      </c>
      <c r="H1424" s="10">
        <v>46190</v>
      </c>
      <c r="I1424" s="3" t="s">
        <v>973</v>
      </c>
      <c r="J1424" s="3" t="s">
        <v>974</v>
      </c>
      <c r="K1424" s="3" t="s">
        <v>1000</v>
      </c>
      <c r="L1424" s="3">
        <f>IF(G1424="High",3,IF(G1424="Medium",2,1))</f>
        <v>1</v>
      </c>
    </row>
    <row r="1425" spans="1:12">
      <c r="A1425" s="3" t="s">
        <v>2418</v>
      </c>
      <c r="B1425" s="3" t="s">
        <v>801</v>
      </c>
      <c r="C1425" s="3" t="s">
        <v>962</v>
      </c>
      <c r="D1425" s="3" t="s">
        <v>1037</v>
      </c>
      <c r="E1425" s="3" t="s">
        <v>42</v>
      </c>
      <c r="F1425" s="3" t="s">
        <v>942</v>
      </c>
      <c r="G1425" s="3" t="str">
        <f>INDEX([1]Risk_Matrix!$B$2:$D$4,MATCH(E1425,[1]Risk_Matrix!$A$2:$A$4,0),MATCH(F1425,[1]Risk_Matrix!$B$1:$D$1,0))</f>
        <v>High</v>
      </c>
      <c r="H1425" s="10">
        <v>46145</v>
      </c>
      <c r="I1425" s="3" t="s">
        <v>981</v>
      </c>
      <c r="J1425" s="3" t="s">
        <v>982</v>
      </c>
      <c r="K1425" s="3" t="s">
        <v>960</v>
      </c>
      <c r="L1425" s="3">
        <f>IF(G1425="High",3,IF(G1425="Medium",2,1))</f>
        <v>3</v>
      </c>
    </row>
    <row r="1426" spans="1:12">
      <c r="A1426" s="3" t="s">
        <v>2419</v>
      </c>
      <c r="B1426" s="3" t="s">
        <v>801</v>
      </c>
      <c r="C1426" s="3" t="s">
        <v>965</v>
      </c>
      <c r="D1426" s="3" t="s">
        <v>988</v>
      </c>
      <c r="E1426" s="3" t="s">
        <v>47</v>
      </c>
      <c r="F1426" s="3" t="s">
        <v>47</v>
      </c>
      <c r="G1426" s="3" t="str">
        <f>INDEX([1]Risk_Matrix!$B$2:$D$4,MATCH(E1426,[1]Risk_Matrix!$A$2:$A$4,0),MATCH(F1426,[1]Risk_Matrix!$B$1:$D$1,0))</f>
        <v>Low</v>
      </c>
      <c r="H1426" s="10">
        <v>46118</v>
      </c>
      <c r="I1426" s="3" t="s">
        <v>973</v>
      </c>
      <c r="J1426" s="3" t="s">
        <v>974</v>
      </c>
      <c r="K1426" s="3" t="s">
        <v>993</v>
      </c>
      <c r="L1426" s="3">
        <f>IF(G1426="High",3,IF(G1426="Medium",2,1))</f>
        <v>1</v>
      </c>
    </row>
    <row r="1427" spans="1:12">
      <c r="A1427" s="3" t="s">
        <v>2420</v>
      </c>
      <c r="B1427" s="3" t="s">
        <v>801</v>
      </c>
      <c r="C1427" s="3" t="s">
        <v>971</v>
      </c>
      <c r="D1427" s="3" t="s">
        <v>1016</v>
      </c>
      <c r="E1427" s="3" t="s">
        <v>942</v>
      </c>
      <c r="F1427" s="3" t="s">
        <v>47</v>
      </c>
      <c r="G1427" s="3" t="str">
        <f>INDEX([1]Risk_Matrix!$B$2:$D$4,MATCH(E1427,[1]Risk_Matrix!$A$2:$A$4,0),MATCH(F1427,[1]Risk_Matrix!$B$1:$D$1,0))</f>
        <v>Low</v>
      </c>
      <c r="H1427" s="10">
        <v>46079</v>
      </c>
      <c r="I1427" s="3" t="s">
        <v>981</v>
      </c>
      <c r="J1427" s="3" t="s">
        <v>982</v>
      </c>
      <c r="K1427" s="3" t="s">
        <v>960</v>
      </c>
      <c r="L1427" s="3">
        <f>IF(G1427="High",3,IF(G1427="Medium",2,1))</f>
        <v>1</v>
      </c>
    </row>
    <row r="1428" spans="1:12">
      <c r="A1428" s="3" t="s">
        <v>2421</v>
      </c>
      <c r="B1428" s="3" t="s">
        <v>801</v>
      </c>
      <c r="C1428" s="3" t="s">
        <v>976</v>
      </c>
      <c r="D1428" s="3" t="s">
        <v>977</v>
      </c>
      <c r="E1428" s="3" t="s">
        <v>47</v>
      </c>
      <c r="F1428" s="3" t="s">
        <v>47</v>
      </c>
      <c r="G1428" s="3" t="str">
        <f>INDEX([1]Risk_Matrix!$B$2:$D$4,MATCH(E1428,[1]Risk_Matrix!$A$2:$A$4,0),MATCH(F1428,[1]Risk_Matrix!$B$1:$D$1,0))</f>
        <v>Low</v>
      </c>
      <c r="H1428" s="10">
        <v>46070</v>
      </c>
      <c r="I1428" s="3" t="s">
        <v>981</v>
      </c>
      <c r="J1428" s="3" t="s">
        <v>982</v>
      </c>
      <c r="K1428" s="3" t="s">
        <v>960</v>
      </c>
      <c r="L1428" s="3">
        <f>IF(G1428="High",3,IF(G1428="Medium",2,1))</f>
        <v>1</v>
      </c>
    </row>
    <row r="1429" spans="1:12">
      <c r="A1429" s="3" t="s">
        <v>2422</v>
      </c>
      <c r="B1429" s="3" t="s">
        <v>801</v>
      </c>
      <c r="C1429" s="3" t="s">
        <v>979</v>
      </c>
      <c r="D1429" s="3" t="s">
        <v>980</v>
      </c>
      <c r="E1429" s="3" t="s">
        <v>47</v>
      </c>
      <c r="F1429" s="3" t="s">
        <v>42</v>
      </c>
      <c r="G1429" s="3" t="str">
        <f>INDEX([1]Risk_Matrix!$B$2:$D$4,MATCH(E1429,[1]Risk_Matrix!$A$2:$A$4,0),MATCH(F1429,[1]Risk_Matrix!$B$1:$D$1,0))</f>
        <v>Medium</v>
      </c>
      <c r="H1429" s="10">
        <v>46186</v>
      </c>
      <c r="I1429" s="3" t="s">
        <v>973</v>
      </c>
      <c r="J1429" s="3" t="s">
        <v>974</v>
      </c>
      <c r="K1429" s="3" t="s">
        <v>960</v>
      </c>
      <c r="L1429" s="3">
        <f>IF(G1429="High",3,IF(G1429="Medium",2,1))</f>
        <v>2</v>
      </c>
    </row>
    <row r="1430" spans="1:12">
      <c r="A1430" s="3" t="s">
        <v>2423</v>
      </c>
      <c r="B1430" s="3" t="s">
        <v>804</v>
      </c>
      <c r="C1430" s="3" t="s">
        <v>956</v>
      </c>
      <c r="D1430" s="3" t="s">
        <v>1020</v>
      </c>
      <c r="E1430" s="3" t="s">
        <v>47</v>
      </c>
      <c r="F1430" s="3" t="s">
        <v>942</v>
      </c>
      <c r="G1430" s="3" t="str">
        <f>INDEX([1]Risk_Matrix!$B$2:$D$4,MATCH(E1430,[1]Risk_Matrix!$A$2:$A$4,0),MATCH(F1430,[1]Risk_Matrix!$B$1:$D$1,0))</f>
        <v>Low</v>
      </c>
      <c r="H1430" s="10">
        <v>46199</v>
      </c>
      <c r="I1430" s="3" t="s">
        <v>967</v>
      </c>
      <c r="J1430" s="3" t="s">
        <v>968</v>
      </c>
      <c r="K1430" s="3" t="s">
        <v>960</v>
      </c>
      <c r="L1430" s="3">
        <f>IF(G1430="High",3,IF(G1430="Medium",2,1))</f>
        <v>1</v>
      </c>
    </row>
    <row r="1431" spans="1:12">
      <c r="A1431" s="3" t="s">
        <v>2424</v>
      </c>
      <c r="B1431" s="3" t="s">
        <v>804</v>
      </c>
      <c r="C1431" s="3" t="s">
        <v>962</v>
      </c>
      <c r="D1431" s="3" t="s">
        <v>1037</v>
      </c>
      <c r="E1431" s="3" t="s">
        <v>47</v>
      </c>
      <c r="F1431" s="3" t="s">
        <v>47</v>
      </c>
      <c r="G1431" s="3" t="str">
        <f>INDEX([1]Risk_Matrix!$B$2:$D$4,MATCH(E1431,[1]Risk_Matrix!$A$2:$A$4,0),MATCH(F1431,[1]Risk_Matrix!$B$1:$D$1,0))</f>
        <v>Low</v>
      </c>
      <c r="H1431" s="10">
        <v>46205</v>
      </c>
      <c r="I1431" s="3" t="s">
        <v>973</v>
      </c>
      <c r="J1431" s="3" t="s">
        <v>974</v>
      </c>
      <c r="K1431" s="3" t="s">
        <v>960</v>
      </c>
      <c r="L1431" s="3">
        <f>IF(G1431="High",3,IF(G1431="Medium",2,1))</f>
        <v>1</v>
      </c>
    </row>
    <row r="1432" spans="1:12">
      <c r="A1432" s="3" t="s">
        <v>2425</v>
      </c>
      <c r="B1432" s="3" t="s">
        <v>804</v>
      </c>
      <c r="C1432" s="3" t="s">
        <v>965</v>
      </c>
      <c r="D1432" s="3" t="s">
        <v>966</v>
      </c>
      <c r="E1432" s="3" t="s">
        <v>942</v>
      </c>
      <c r="F1432" s="3" t="s">
        <v>942</v>
      </c>
      <c r="G1432" s="3" t="str">
        <f>INDEX([1]Risk_Matrix!$B$2:$D$4,MATCH(E1432,[1]Risk_Matrix!$A$2:$A$4,0),MATCH(F1432,[1]Risk_Matrix!$B$1:$D$1,0))</f>
        <v>Medium</v>
      </c>
      <c r="H1432" s="10">
        <v>46078</v>
      </c>
      <c r="I1432" s="3" t="s">
        <v>967</v>
      </c>
      <c r="J1432" s="3" t="s">
        <v>968</v>
      </c>
      <c r="K1432" s="3" t="s">
        <v>993</v>
      </c>
      <c r="L1432" s="3">
        <f>IF(G1432="High",3,IF(G1432="Medium",2,1))</f>
        <v>2</v>
      </c>
    </row>
    <row r="1433" spans="1:12">
      <c r="A1433" s="3" t="s">
        <v>2426</v>
      </c>
      <c r="B1433" s="3" t="s">
        <v>804</v>
      </c>
      <c r="C1433" s="3" t="s">
        <v>971</v>
      </c>
      <c r="D1433" s="3" t="s">
        <v>1016</v>
      </c>
      <c r="E1433" s="3" t="s">
        <v>47</v>
      </c>
      <c r="F1433" s="3" t="s">
        <v>47</v>
      </c>
      <c r="G1433" s="3" t="str">
        <f>INDEX([1]Risk_Matrix!$B$2:$D$4,MATCH(E1433,[1]Risk_Matrix!$A$2:$A$4,0),MATCH(F1433,[1]Risk_Matrix!$B$1:$D$1,0))</f>
        <v>Low</v>
      </c>
      <c r="H1433" s="10">
        <v>46225</v>
      </c>
      <c r="I1433" s="3" t="s">
        <v>973</v>
      </c>
      <c r="J1433" s="3" t="s">
        <v>974</v>
      </c>
      <c r="K1433" s="3" t="s">
        <v>969</v>
      </c>
      <c r="L1433" s="3">
        <f>IF(G1433="High",3,IF(G1433="Medium",2,1))</f>
        <v>1</v>
      </c>
    </row>
    <row r="1434" spans="1:12">
      <c r="A1434" s="3" t="s">
        <v>2427</v>
      </c>
      <c r="B1434" s="3" t="s">
        <v>804</v>
      </c>
      <c r="C1434" s="3" t="s">
        <v>976</v>
      </c>
      <c r="D1434" s="3" t="s">
        <v>977</v>
      </c>
      <c r="E1434" s="3" t="s">
        <v>47</v>
      </c>
      <c r="F1434" s="3" t="s">
        <v>42</v>
      </c>
      <c r="G1434" s="3" t="str">
        <f>INDEX([1]Risk_Matrix!$B$2:$D$4,MATCH(E1434,[1]Risk_Matrix!$A$2:$A$4,0),MATCH(F1434,[1]Risk_Matrix!$B$1:$D$1,0))</f>
        <v>Medium</v>
      </c>
      <c r="H1434" s="10">
        <v>46200</v>
      </c>
      <c r="I1434" s="3" t="s">
        <v>973</v>
      </c>
      <c r="J1434" s="3" t="s">
        <v>974</v>
      </c>
      <c r="K1434" s="3" t="s">
        <v>983</v>
      </c>
      <c r="L1434" s="3">
        <f>IF(G1434="High",3,IF(G1434="Medium",2,1))</f>
        <v>2</v>
      </c>
    </row>
    <row r="1435" spans="1:12">
      <c r="A1435" s="3" t="s">
        <v>2428</v>
      </c>
      <c r="B1435" s="3" t="s">
        <v>804</v>
      </c>
      <c r="C1435" s="3" t="s">
        <v>979</v>
      </c>
      <c r="D1435" s="3" t="s">
        <v>1028</v>
      </c>
      <c r="E1435" s="3" t="s">
        <v>942</v>
      </c>
      <c r="F1435" s="3" t="s">
        <v>47</v>
      </c>
      <c r="G1435" s="3" t="str">
        <f>INDEX([1]Risk_Matrix!$B$2:$D$4,MATCH(E1435,[1]Risk_Matrix!$A$2:$A$4,0),MATCH(F1435,[1]Risk_Matrix!$B$1:$D$1,0))</f>
        <v>Low</v>
      </c>
      <c r="H1435" s="10">
        <v>46089</v>
      </c>
      <c r="I1435" s="3" t="s">
        <v>981</v>
      </c>
      <c r="J1435" s="3" t="s">
        <v>982</v>
      </c>
      <c r="K1435" s="3" t="s">
        <v>960</v>
      </c>
      <c r="L1435" s="3">
        <f>IF(G1435="High",3,IF(G1435="Medium",2,1))</f>
        <v>1</v>
      </c>
    </row>
    <row r="1436" spans="1:12">
      <c r="A1436" s="3" t="s">
        <v>2429</v>
      </c>
      <c r="B1436" s="3" t="s">
        <v>807</v>
      </c>
      <c r="C1436" s="3" t="s">
        <v>956</v>
      </c>
      <c r="D1436" s="3" t="s">
        <v>1012</v>
      </c>
      <c r="E1436" s="3" t="s">
        <v>47</v>
      </c>
      <c r="F1436" s="3" t="s">
        <v>47</v>
      </c>
      <c r="G1436" s="3" t="str">
        <f>INDEX([1]Risk_Matrix!$B$2:$D$4,MATCH(E1436,[1]Risk_Matrix!$A$2:$A$4,0),MATCH(F1436,[1]Risk_Matrix!$B$1:$D$1,0))</f>
        <v>Low</v>
      </c>
      <c r="H1436" s="10">
        <v>46095</v>
      </c>
      <c r="I1436" s="3" t="s">
        <v>973</v>
      </c>
      <c r="J1436" s="3" t="s">
        <v>974</v>
      </c>
      <c r="K1436" s="3" t="s">
        <v>983</v>
      </c>
      <c r="L1436" s="3">
        <f>IF(G1436="High",3,IF(G1436="Medium",2,1))</f>
        <v>1</v>
      </c>
    </row>
    <row r="1437" spans="1:12">
      <c r="A1437" s="3" t="s">
        <v>2430</v>
      </c>
      <c r="B1437" s="3" t="s">
        <v>807</v>
      </c>
      <c r="C1437" s="3" t="s">
        <v>962</v>
      </c>
      <c r="D1437" s="3" t="s">
        <v>1037</v>
      </c>
      <c r="E1437" s="3" t="s">
        <v>47</v>
      </c>
      <c r="F1437" s="3" t="s">
        <v>47</v>
      </c>
      <c r="G1437" s="3" t="str">
        <f>INDEX([1]Risk_Matrix!$B$2:$D$4,MATCH(E1437,[1]Risk_Matrix!$A$2:$A$4,0),MATCH(F1437,[1]Risk_Matrix!$B$1:$D$1,0))</f>
        <v>Low</v>
      </c>
      <c r="H1437" s="10">
        <v>46134</v>
      </c>
      <c r="I1437" s="3" t="s">
        <v>981</v>
      </c>
      <c r="J1437" s="3" t="s">
        <v>982</v>
      </c>
      <c r="K1437" s="3" t="s">
        <v>983</v>
      </c>
      <c r="L1437" s="3">
        <f>IF(G1437="High",3,IF(G1437="Medium",2,1))</f>
        <v>1</v>
      </c>
    </row>
    <row r="1438" spans="1:12">
      <c r="A1438" s="3" t="s">
        <v>2431</v>
      </c>
      <c r="B1438" s="3" t="s">
        <v>807</v>
      </c>
      <c r="C1438" s="3" t="s">
        <v>965</v>
      </c>
      <c r="D1438" s="3" t="s">
        <v>988</v>
      </c>
      <c r="E1438" s="3" t="s">
        <v>942</v>
      </c>
      <c r="F1438" s="3" t="s">
        <v>47</v>
      </c>
      <c r="G1438" s="3" t="str">
        <f>INDEX([1]Risk_Matrix!$B$2:$D$4,MATCH(E1438,[1]Risk_Matrix!$A$2:$A$4,0),MATCH(F1438,[1]Risk_Matrix!$B$1:$D$1,0))</f>
        <v>Low</v>
      </c>
      <c r="H1438" s="10">
        <v>46175</v>
      </c>
      <c r="I1438" s="3" t="s">
        <v>981</v>
      </c>
      <c r="J1438" s="3" t="s">
        <v>982</v>
      </c>
      <c r="K1438" s="3" t="s">
        <v>993</v>
      </c>
      <c r="L1438" s="3">
        <f>IF(G1438="High",3,IF(G1438="Medium",2,1))</f>
        <v>1</v>
      </c>
    </row>
    <row r="1439" spans="1:12">
      <c r="A1439" s="3" t="s">
        <v>2432</v>
      </c>
      <c r="B1439" s="3" t="s">
        <v>807</v>
      </c>
      <c r="C1439" s="3" t="s">
        <v>971</v>
      </c>
      <c r="D1439" s="3" t="s">
        <v>1016</v>
      </c>
      <c r="E1439" s="3" t="s">
        <v>42</v>
      </c>
      <c r="F1439" s="3" t="s">
        <v>42</v>
      </c>
      <c r="G1439" s="3" t="str">
        <f>INDEX([1]Risk_Matrix!$B$2:$D$4,MATCH(E1439,[1]Risk_Matrix!$A$2:$A$4,0),MATCH(F1439,[1]Risk_Matrix!$B$1:$D$1,0))</f>
        <v>High</v>
      </c>
      <c r="H1439" s="10">
        <v>46228</v>
      </c>
      <c r="I1439" s="3" t="s">
        <v>973</v>
      </c>
      <c r="J1439" s="3" t="s">
        <v>974</v>
      </c>
      <c r="K1439" s="3" t="s">
        <v>983</v>
      </c>
      <c r="L1439" s="3">
        <f>IF(G1439="High",3,IF(G1439="Medium",2,1))</f>
        <v>3</v>
      </c>
    </row>
    <row r="1440" spans="1:12">
      <c r="A1440" s="3" t="s">
        <v>2433</v>
      </c>
      <c r="B1440" s="3" t="s">
        <v>807</v>
      </c>
      <c r="C1440" s="3" t="s">
        <v>976</v>
      </c>
      <c r="D1440" s="3" t="s">
        <v>991</v>
      </c>
      <c r="E1440" s="3" t="s">
        <v>47</v>
      </c>
      <c r="F1440" s="3" t="s">
        <v>47</v>
      </c>
      <c r="G1440" s="3" t="str">
        <f>INDEX([1]Risk_Matrix!$B$2:$D$4,MATCH(E1440,[1]Risk_Matrix!$A$2:$A$4,0),MATCH(F1440,[1]Risk_Matrix!$B$1:$D$1,0))</f>
        <v>Low</v>
      </c>
      <c r="H1440" s="10">
        <v>46088</v>
      </c>
      <c r="I1440" s="3" t="s">
        <v>981</v>
      </c>
      <c r="J1440" s="3" t="s">
        <v>982</v>
      </c>
      <c r="K1440" s="3" t="s">
        <v>969</v>
      </c>
      <c r="L1440" s="3">
        <f>IF(G1440="High",3,IF(G1440="Medium",2,1))</f>
        <v>1</v>
      </c>
    </row>
    <row r="1441" spans="1:12">
      <c r="A1441" s="3" t="s">
        <v>2434</v>
      </c>
      <c r="B1441" s="3" t="s">
        <v>807</v>
      </c>
      <c r="C1441" s="3" t="s">
        <v>979</v>
      </c>
      <c r="D1441" s="3" t="s">
        <v>1028</v>
      </c>
      <c r="E1441" s="3" t="s">
        <v>942</v>
      </c>
      <c r="F1441" s="3" t="s">
        <v>47</v>
      </c>
      <c r="G1441" s="3" t="str">
        <f>INDEX([1]Risk_Matrix!$B$2:$D$4,MATCH(E1441,[1]Risk_Matrix!$A$2:$A$4,0),MATCH(F1441,[1]Risk_Matrix!$B$1:$D$1,0))</f>
        <v>Low</v>
      </c>
      <c r="H1441" s="10">
        <v>46113</v>
      </c>
      <c r="I1441" s="3" t="s">
        <v>981</v>
      </c>
      <c r="J1441" s="3" t="s">
        <v>982</v>
      </c>
      <c r="K1441" s="3" t="s">
        <v>1000</v>
      </c>
      <c r="L1441" s="3">
        <f>IF(G1441="High",3,IF(G1441="Medium",2,1))</f>
        <v>1</v>
      </c>
    </row>
    <row r="1442" spans="1:12">
      <c r="A1442" s="3" t="s">
        <v>2435</v>
      </c>
      <c r="B1442" s="3" t="s">
        <v>809</v>
      </c>
      <c r="C1442" s="3" t="s">
        <v>956</v>
      </c>
      <c r="D1442" s="3" t="s">
        <v>995</v>
      </c>
      <c r="E1442" s="3" t="s">
        <v>42</v>
      </c>
      <c r="F1442" s="3" t="s">
        <v>42</v>
      </c>
      <c r="G1442" s="3" t="str">
        <f>INDEX([1]Risk_Matrix!$B$2:$D$4,MATCH(E1442,[1]Risk_Matrix!$A$2:$A$4,0),MATCH(F1442,[1]Risk_Matrix!$B$1:$D$1,0))</f>
        <v>High</v>
      </c>
      <c r="H1442" s="10">
        <v>46221</v>
      </c>
      <c r="I1442" s="3" t="s">
        <v>981</v>
      </c>
      <c r="J1442" s="3" t="s">
        <v>982</v>
      </c>
      <c r="K1442" s="3" t="s">
        <v>983</v>
      </c>
      <c r="L1442" s="3">
        <f>IF(G1442="High",3,IF(G1442="Medium",2,1))</f>
        <v>3</v>
      </c>
    </row>
    <row r="1443" spans="1:12">
      <c r="A1443" s="3" t="s">
        <v>2436</v>
      </c>
      <c r="B1443" s="3" t="s">
        <v>809</v>
      </c>
      <c r="C1443" s="3" t="s">
        <v>962</v>
      </c>
      <c r="D1443" s="3" t="s">
        <v>1037</v>
      </c>
      <c r="E1443" s="3" t="s">
        <v>942</v>
      </c>
      <c r="F1443" s="3" t="s">
        <v>942</v>
      </c>
      <c r="G1443" s="3" t="str">
        <f>INDEX([1]Risk_Matrix!$B$2:$D$4,MATCH(E1443,[1]Risk_Matrix!$A$2:$A$4,0),MATCH(F1443,[1]Risk_Matrix!$B$1:$D$1,0))</f>
        <v>Medium</v>
      </c>
      <c r="H1443" s="10">
        <v>46210</v>
      </c>
      <c r="I1443" s="3" t="s">
        <v>981</v>
      </c>
      <c r="J1443" s="3" t="s">
        <v>982</v>
      </c>
      <c r="K1443" s="3" t="s">
        <v>983</v>
      </c>
      <c r="L1443" s="3">
        <f>IF(G1443="High",3,IF(G1443="Medium",2,1))</f>
        <v>2</v>
      </c>
    </row>
    <row r="1444" spans="1:12">
      <c r="A1444" s="3" t="s">
        <v>2437</v>
      </c>
      <c r="B1444" s="3" t="s">
        <v>809</v>
      </c>
      <c r="C1444" s="3" t="s">
        <v>965</v>
      </c>
      <c r="D1444" s="3" t="s">
        <v>966</v>
      </c>
      <c r="E1444" s="3" t="s">
        <v>47</v>
      </c>
      <c r="F1444" s="3" t="s">
        <v>942</v>
      </c>
      <c r="G1444" s="3" t="str">
        <f>INDEX([1]Risk_Matrix!$B$2:$D$4,MATCH(E1444,[1]Risk_Matrix!$A$2:$A$4,0),MATCH(F1444,[1]Risk_Matrix!$B$1:$D$1,0))</f>
        <v>Low</v>
      </c>
      <c r="H1444" s="10">
        <v>46148</v>
      </c>
      <c r="I1444" s="3" t="s">
        <v>981</v>
      </c>
      <c r="J1444" s="3" t="s">
        <v>982</v>
      </c>
      <c r="K1444" s="3" t="s">
        <v>1000</v>
      </c>
      <c r="L1444" s="3">
        <f>IF(G1444="High",3,IF(G1444="Medium",2,1))</f>
        <v>1</v>
      </c>
    </row>
    <row r="1445" spans="1:12">
      <c r="A1445" s="3" t="s">
        <v>2438</v>
      </c>
      <c r="B1445" s="3" t="s">
        <v>809</v>
      </c>
      <c r="C1445" s="3" t="s">
        <v>971</v>
      </c>
      <c r="D1445" s="3" t="s">
        <v>1025</v>
      </c>
      <c r="E1445" s="3" t="s">
        <v>47</v>
      </c>
      <c r="F1445" s="3" t="s">
        <v>42</v>
      </c>
      <c r="G1445" s="3" t="str">
        <f>INDEX([1]Risk_Matrix!$B$2:$D$4,MATCH(E1445,[1]Risk_Matrix!$A$2:$A$4,0),MATCH(F1445,[1]Risk_Matrix!$B$1:$D$1,0))</f>
        <v>Medium</v>
      </c>
      <c r="H1445" s="10">
        <v>46195</v>
      </c>
      <c r="I1445" s="3" t="s">
        <v>967</v>
      </c>
      <c r="J1445" s="3" t="s">
        <v>968</v>
      </c>
      <c r="K1445" s="3" t="s">
        <v>969</v>
      </c>
      <c r="L1445" s="3">
        <f>IF(G1445="High",3,IF(G1445="Medium",2,1))</f>
        <v>2</v>
      </c>
    </row>
    <row r="1446" spans="1:12">
      <c r="A1446" s="3" t="s">
        <v>2439</v>
      </c>
      <c r="B1446" s="3" t="s">
        <v>809</v>
      </c>
      <c r="C1446" s="3" t="s">
        <v>976</v>
      </c>
      <c r="D1446" s="3" t="s">
        <v>991</v>
      </c>
      <c r="E1446" s="3" t="s">
        <v>47</v>
      </c>
      <c r="F1446" s="3" t="s">
        <v>47</v>
      </c>
      <c r="G1446" s="3" t="str">
        <f>INDEX([1]Risk_Matrix!$B$2:$D$4,MATCH(E1446,[1]Risk_Matrix!$A$2:$A$4,0),MATCH(F1446,[1]Risk_Matrix!$B$1:$D$1,0))</f>
        <v>Low</v>
      </c>
      <c r="H1446" s="10">
        <v>46232</v>
      </c>
      <c r="I1446" s="3" t="s">
        <v>967</v>
      </c>
      <c r="J1446" s="3" t="s">
        <v>968</v>
      </c>
      <c r="K1446" s="3" t="s">
        <v>960</v>
      </c>
      <c r="L1446" s="3">
        <f>IF(G1446="High",3,IF(G1446="Medium",2,1))</f>
        <v>1</v>
      </c>
    </row>
    <row r="1447" spans="1:12">
      <c r="A1447" s="3" t="s">
        <v>2440</v>
      </c>
      <c r="B1447" s="3" t="s">
        <v>809</v>
      </c>
      <c r="C1447" s="3" t="s">
        <v>979</v>
      </c>
      <c r="D1447" s="3" t="s">
        <v>1028</v>
      </c>
      <c r="E1447" s="3" t="s">
        <v>42</v>
      </c>
      <c r="F1447" s="3" t="s">
        <v>47</v>
      </c>
      <c r="G1447" s="3" t="str">
        <f>INDEX([1]Risk_Matrix!$B$2:$D$4,MATCH(E1447,[1]Risk_Matrix!$A$2:$A$4,0),MATCH(F1447,[1]Risk_Matrix!$B$1:$D$1,0))</f>
        <v>Medium</v>
      </c>
      <c r="H1447" s="10">
        <v>46160</v>
      </c>
      <c r="I1447" s="3" t="s">
        <v>973</v>
      </c>
      <c r="J1447" s="3" t="s">
        <v>974</v>
      </c>
      <c r="K1447" s="3" t="s">
        <v>969</v>
      </c>
      <c r="L1447" s="3">
        <f>IF(G1447="High",3,IF(G1447="Medium",2,1))</f>
        <v>2</v>
      </c>
    </row>
    <row r="1448" spans="1:12">
      <c r="A1448" s="3" t="s">
        <v>2441</v>
      </c>
      <c r="B1448" s="3" t="s">
        <v>811</v>
      </c>
      <c r="C1448" s="3" t="s">
        <v>956</v>
      </c>
      <c r="D1448" s="3" t="s">
        <v>1012</v>
      </c>
      <c r="E1448" s="3" t="s">
        <v>42</v>
      </c>
      <c r="F1448" s="3" t="s">
        <v>47</v>
      </c>
      <c r="G1448" s="3" t="str">
        <f>INDEX([1]Risk_Matrix!$B$2:$D$4,MATCH(E1448,[1]Risk_Matrix!$A$2:$A$4,0),MATCH(F1448,[1]Risk_Matrix!$B$1:$D$1,0))</f>
        <v>Medium</v>
      </c>
      <c r="H1448" s="10">
        <v>46070</v>
      </c>
      <c r="I1448" s="3" t="s">
        <v>973</v>
      </c>
      <c r="J1448" s="3" t="s">
        <v>974</v>
      </c>
      <c r="K1448" s="3" t="s">
        <v>960</v>
      </c>
      <c r="L1448" s="3">
        <f>IF(G1448="High",3,IF(G1448="Medium",2,1))</f>
        <v>2</v>
      </c>
    </row>
    <row r="1449" spans="1:12">
      <c r="A1449" s="3" t="s">
        <v>2442</v>
      </c>
      <c r="B1449" s="3" t="s">
        <v>811</v>
      </c>
      <c r="C1449" s="3" t="s">
        <v>962</v>
      </c>
      <c r="D1449" s="3" t="s">
        <v>963</v>
      </c>
      <c r="E1449" s="3" t="s">
        <v>47</v>
      </c>
      <c r="F1449" s="3" t="s">
        <v>47</v>
      </c>
      <c r="G1449" s="3" t="str">
        <f>INDEX([1]Risk_Matrix!$B$2:$D$4,MATCH(E1449,[1]Risk_Matrix!$A$2:$A$4,0),MATCH(F1449,[1]Risk_Matrix!$B$1:$D$1,0))</f>
        <v>Low</v>
      </c>
      <c r="H1449" s="10">
        <v>46079</v>
      </c>
      <c r="I1449" s="3" t="s">
        <v>981</v>
      </c>
      <c r="J1449" s="3" t="s">
        <v>982</v>
      </c>
      <c r="K1449" s="3" t="s">
        <v>993</v>
      </c>
      <c r="L1449" s="3">
        <f>IF(G1449="High",3,IF(G1449="Medium",2,1))</f>
        <v>1</v>
      </c>
    </row>
    <row r="1450" spans="1:12">
      <c r="A1450" s="3" t="s">
        <v>2443</v>
      </c>
      <c r="B1450" s="3" t="s">
        <v>811</v>
      </c>
      <c r="C1450" s="3" t="s">
        <v>965</v>
      </c>
      <c r="D1450" s="3" t="s">
        <v>1023</v>
      </c>
      <c r="E1450" s="3" t="s">
        <v>47</v>
      </c>
      <c r="F1450" s="3" t="s">
        <v>47</v>
      </c>
      <c r="G1450" s="3" t="str">
        <f>INDEX([1]Risk_Matrix!$B$2:$D$4,MATCH(E1450,[1]Risk_Matrix!$A$2:$A$4,0),MATCH(F1450,[1]Risk_Matrix!$B$1:$D$1,0))</f>
        <v>Low</v>
      </c>
      <c r="H1450" s="10">
        <v>46139</v>
      </c>
      <c r="I1450" s="3" t="s">
        <v>967</v>
      </c>
      <c r="J1450" s="3" t="s">
        <v>968</v>
      </c>
      <c r="K1450" s="3" t="s">
        <v>993</v>
      </c>
      <c r="L1450" s="3">
        <f>IF(G1450="High",3,IF(G1450="Medium",2,1))</f>
        <v>1</v>
      </c>
    </row>
    <row r="1451" spans="1:12">
      <c r="A1451" s="3" t="s">
        <v>2444</v>
      </c>
      <c r="B1451" s="3" t="s">
        <v>811</v>
      </c>
      <c r="C1451" s="3" t="s">
        <v>971</v>
      </c>
      <c r="D1451" s="3" t="s">
        <v>1016</v>
      </c>
      <c r="E1451" s="3" t="s">
        <v>942</v>
      </c>
      <c r="F1451" s="3" t="s">
        <v>942</v>
      </c>
      <c r="G1451" s="3" t="str">
        <f>INDEX([1]Risk_Matrix!$B$2:$D$4,MATCH(E1451,[1]Risk_Matrix!$A$2:$A$4,0),MATCH(F1451,[1]Risk_Matrix!$B$1:$D$1,0))</f>
        <v>Medium</v>
      </c>
      <c r="H1451" s="10">
        <v>46107</v>
      </c>
      <c r="I1451" s="3" t="s">
        <v>973</v>
      </c>
      <c r="J1451" s="3" t="s">
        <v>974</v>
      </c>
      <c r="K1451" s="3" t="s">
        <v>960</v>
      </c>
      <c r="L1451" s="3">
        <f>IF(G1451="High",3,IF(G1451="Medium",2,1))</f>
        <v>2</v>
      </c>
    </row>
    <row r="1452" spans="1:12">
      <c r="A1452" s="3" t="s">
        <v>2445</v>
      </c>
      <c r="B1452" s="3" t="s">
        <v>811</v>
      </c>
      <c r="C1452" s="3" t="s">
        <v>976</v>
      </c>
      <c r="D1452" s="3" t="s">
        <v>991</v>
      </c>
      <c r="E1452" s="3" t="s">
        <v>942</v>
      </c>
      <c r="F1452" s="3" t="s">
        <v>47</v>
      </c>
      <c r="G1452" s="3" t="str">
        <f>INDEX([1]Risk_Matrix!$B$2:$D$4,MATCH(E1452,[1]Risk_Matrix!$A$2:$A$4,0),MATCH(F1452,[1]Risk_Matrix!$B$1:$D$1,0))</f>
        <v>Low</v>
      </c>
      <c r="H1452" s="10">
        <v>46172</v>
      </c>
      <c r="I1452" s="3" t="s">
        <v>973</v>
      </c>
      <c r="J1452" s="3" t="s">
        <v>974</v>
      </c>
      <c r="K1452" s="3" t="s">
        <v>1000</v>
      </c>
      <c r="L1452" s="3">
        <f>IF(G1452="High",3,IF(G1452="Medium",2,1))</f>
        <v>1</v>
      </c>
    </row>
    <row r="1453" spans="1:12">
      <c r="A1453" s="3" t="s">
        <v>2446</v>
      </c>
      <c r="B1453" s="3" t="s">
        <v>811</v>
      </c>
      <c r="C1453" s="3" t="s">
        <v>979</v>
      </c>
      <c r="D1453" s="3" t="s">
        <v>1004</v>
      </c>
      <c r="E1453" s="3" t="s">
        <v>47</v>
      </c>
      <c r="F1453" s="3" t="s">
        <v>47</v>
      </c>
      <c r="G1453" s="3" t="str">
        <f>INDEX([1]Risk_Matrix!$B$2:$D$4,MATCH(E1453,[1]Risk_Matrix!$A$2:$A$4,0),MATCH(F1453,[1]Risk_Matrix!$B$1:$D$1,0))</f>
        <v>Low</v>
      </c>
      <c r="H1453" s="10">
        <v>46067</v>
      </c>
      <c r="I1453" s="3" t="s">
        <v>981</v>
      </c>
      <c r="J1453" s="3" t="s">
        <v>982</v>
      </c>
      <c r="K1453" s="3" t="s">
        <v>993</v>
      </c>
      <c r="L1453" s="3">
        <f>IF(G1453="High",3,IF(G1453="Medium",2,1))</f>
        <v>1</v>
      </c>
    </row>
    <row r="1454" spans="1:12">
      <c r="A1454" s="3" t="s">
        <v>2447</v>
      </c>
      <c r="B1454" s="3" t="s">
        <v>813</v>
      </c>
      <c r="C1454" s="3" t="s">
        <v>956</v>
      </c>
      <c r="D1454" s="3" t="s">
        <v>995</v>
      </c>
      <c r="E1454" s="3" t="s">
        <v>42</v>
      </c>
      <c r="F1454" s="3" t="s">
        <v>42</v>
      </c>
      <c r="G1454" s="3" t="str">
        <f>INDEX([1]Risk_Matrix!$B$2:$D$4,MATCH(E1454,[1]Risk_Matrix!$A$2:$A$4,0),MATCH(F1454,[1]Risk_Matrix!$B$1:$D$1,0))</f>
        <v>High</v>
      </c>
      <c r="H1454" s="10">
        <v>46206</v>
      </c>
      <c r="I1454" s="3" t="s">
        <v>973</v>
      </c>
      <c r="J1454" s="3" t="s">
        <v>974</v>
      </c>
      <c r="K1454" s="3" t="s">
        <v>993</v>
      </c>
      <c r="L1454" s="3">
        <f>IF(G1454="High",3,IF(G1454="Medium",2,1))</f>
        <v>3</v>
      </c>
    </row>
    <row r="1455" spans="1:12">
      <c r="A1455" s="3" t="s">
        <v>2448</v>
      </c>
      <c r="B1455" s="3" t="s">
        <v>813</v>
      </c>
      <c r="C1455" s="3" t="s">
        <v>962</v>
      </c>
      <c r="D1455" s="3" t="s">
        <v>1037</v>
      </c>
      <c r="E1455" s="3" t="s">
        <v>47</v>
      </c>
      <c r="F1455" s="3" t="s">
        <v>47</v>
      </c>
      <c r="G1455" s="3" t="str">
        <f>INDEX([1]Risk_Matrix!$B$2:$D$4,MATCH(E1455,[1]Risk_Matrix!$A$2:$A$4,0),MATCH(F1455,[1]Risk_Matrix!$B$1:$D$1,0))</f>
        <v>Low</v>
      </c>
      <c r="H1455" s="10">
        <v>46178</v>
      </c>
      <c r="I1455" s="3" t="s">
        <v>973</v>
      </c>
      <c r="J1455" s="3" t="s">
        <v>974</v>
      </c>
      <c r="K1455" s="3" t="s">
        <v>993</v>
      </c>
      <c r="L1455" s="3">
        <f>IF(G1455="High",3,IF(G1455="Medium",2,1))</f>
        <v>1</v>
      </c>
    </row>
    <row r="1456" spans="1:12">
      <c r="A1456" s="3" t="s">
        <v>2449</v>
      </c>
      <c r="B1456" s="3" t="s">
        <v>813</v>
      </c>
      <c r="C1456" s="3" t="s">
        <v>965</v>
      </c>
      <c r="D1456" s="3" t="s">
        <v>1023</v>
      </c>
      <c r="E1456" s="3" t="s">
        <v>47</v>
      </c>
      <c r="F1456" s="3" t="s">
        <v>47</v>
      </c>
      <c r="G1456" s="3" t="str">
        <f>INDEX([1]Risk_Matrix!$B$2:$D$4,MATCH(E1456,[1]Risk_Matrix!$A$2:$A$4,0),MATCH(F1456,[1]Risk_Matrix!$B$1:$D$1,0))</f>
        <v>Low</v>
      </c>
      <c r="H1456" s="10">
        <v>46080</v>
      </c>
      <c r="I1456" s="3" t="s">
        <v>981</v>
      </c>
      <c r="J1456" s="3" t="s">
        <v>982</v>
      </c>
      <c r="K1456" s="3" t="s">
        <v>993</v>
      </c>
      <c r="L1456" s="3">
        <f>IF(G1456="High",3,IF(G1456="Medium",2,1))</f>
        <v>1</v>
      </c>
    </row>
    <row r="1457" spans="1:12">
      <c r="A1457" s="3" t="s">
        <v>2450</v>
      </c>
      <c r="B1457" s="3" t="s">
        <v>813</v>
      </c>
      <c r="C1457" s="3" t="s">
        <v>971</v>
      </c>
      <c r="D1457" s="3" t="s">
        <v>972</v>
      </c>
      <c r="E1457" s="3" t="s">
        <v>942</v>
      </c>
      <c r="F1457" s="3" t="s">
        <v>42</v>
      </c>
      <c r="G1457" s="3" t="str">
        <f>INDEX([1]Risk_Matrix!$B$2:$D$4,MATCH(E1457,[1]Risk_Matrix!$A$2:$A$4,0),MATCH(F1457,[1]Risk_Matrix!$B$1:$D$1,0))</f>
        <v>High</v>
      </c>
      <c r="H1457" s="10">
        <v>46077</v>
      </c>
      <c r="I1457" s="3" t="s">
        <v>958</v>
      </c>
      <c r="J1457" s="3" t="s">
        <v>959</v>
      </c>
      <c r="K1457" s="3" t="s">
        <v>969</v>
      </c>
      <c r="L1457" s="3">
        <f>IF(G1457="High",3,IF(G1457="Medium",2,1))</f>
        <v>3</v>
      </c>
    </row>
    <row r="1458" spans="1:12">
      <c r="A1458" s="3" t="s">
        <v>2451</v>
      </c>
      <c r="B1458" s="3" t="s">
        <v>813</v>
      </c>
      <c r="C1458" s="3" t="s">
        <v>976</v>
      </c>
      <c r="D1458" s="3" t="s">
        <v>1002</v>
      </c>
      <c r="E1458" s="3" t="s">
        <v>47</v>
      </c>
      <c r="F1458" s="3" t="s">
        <v>47</v>
      </c>
      <c r="G1458" s="3" t="str">
        <f>INDEX([1]Risk_Matrix!$B$2:$D$4,MATCH(E1458,[1]Risk_Matrix!$A$2:$A$4,0),MATCH(F1458,[1]Risk_Matrix!$B$1:$D$1,0))</f>
        <v>Low</v>
      </c>
      <c r="H1458" s="10">
        <v>46187</v>
      </c>
      <c r="I1458" s="3" t="s">
        <v>967</v>
      </c>
      <c r="J1458" s="3" t="s">
        <v>968</v>
      </c>
      <c r="K1458" s="3" t="s">
        <v>993</v>
      </c>
      <c r="L1458" s="3">
        <f>IF(G1458="High",3,IF(G1458="Medium",2,1))</f>
        <v>1</v>
      </c>
    </row>
    <row r="1459" spans="1:12">
      <c r="A1459" s="3" t="s">
        <v>2452</v>
      </c>
      <c r="B1459" s="3" t="s">
        <v>813</v>
      </c>
      <c r="C1459" s="3" t="s">
        <v>979</v>
      </c>
      <c r="D1459" s="3" t="s">
        <v>1004</v>
      </c>
      <c r="E1459" s="3" t="s">
        <v>47</v>
      </c>
      <c r="F1459" s="3" t="s">
        <v>42</v>
      </c>
      <c r="G1459" s="3" t="str">
        <f>INDEX([1]Risk_Matrix!$B$2:$D$4,MATCH(E1459,[1]Risk_Matrix!$A$2:$A$4,0),MATCH(F1459,[1]Risk_Matrix!$B$1:$D$1,0))</f>
        <v>Medium</v>
      </c>
      <c r="H1459" s="10">
        <v>46063</v>
      </c>
      <c r="I1459" s="3" t="s">
        <v>973</v>
      </c>
      <c r="J1459" s="3" t="s">
        <v>974</v>
      </c>
      <c r="K1459" s="3" t="s">
        <v>983</v>
      </c>
      <c r="L1459" s="3">
        <f>IF(G1459="High",3,IF(G1459="Medium",2,1))</f>
        <v>2</v>
      </c>
    </row>
    <row r="1460" spans="1:12">
      <c r="A1460" s="3" t="s">
        <v>2453</v>
      </c>
      <c r="B1460" s="3" t="s">
        <v>814</v>
      </c>
      <c r="C1460" s="3" t="s">
        <v>956</v>
      </c>
      <c r="D1460" s="3" t="s">
        <v>1020</v>
      </c>
      <c r="E1460" s="3" t="s">
        <v>47</v>
      </c>
      <c r="F1460" s="3" t="s">
        <v>47</v>
      </c>
      <c r="G1460" s="3" t="str">
        <f>INDEX([1]Risk_Matrix!$B$2:$D$4,MATCH(E1460,[1]Risk_Matrix!$A$2:$A$4,0),MATCH(F1460,[1]Risk_Matrix!$B$1:$D$1,0))</f>
        <v>Low</v>
      </c>
      <c r="H1460" s="10">
        <v>46103</v>
      </c>
      <c r="I1460" s="3" t="s">
        <v>973</v>
      </c>
      <c r="J1460" s="3" t="s">
        <v>974</v>
      </c>
      <c r="K1460" s="3" t="s">
        <v>983</v>
      </c>
      <c r="L1460" s="3">
        <f>IF(G1460="High",3,IF(G1460="Medium",2,1))</f>
        <v>1</v>
      </c>
    </row>
    <row r="1461" spans="1:12">
      <c r="A1461" s="3" t="s">
        <v>2454</v>
      </c>
      <c r="B1461" s="3" t="s">
        <v>814</v>
      </c>
      <c r="C1461" s="3" t="s">
        <v>962</v>
      </c>
      <c r="D1461" s="3" t="s">
        <v>997</v>
      </c>
      <c r="E1461" s="3" t="s">
        <v>942</v>
      </c>
      <c r="F1461" s="3" t="s">
        <v>942</v>
      </c>
      <c r="G1461" s="3" t="str">
        <f>INDEX([1]Risk_Matrix!$B$2:$D$4,MATCH(E1461,[1]Risk_Matrix!$A$2:$A$4,0),MATCH(F1461,[1]Risk_Matrix!$B$1:$D$1,0))</f>
        <v>Medium</v>
      </c>
      <c r="H1461" s="10">
        <v>46191</v>
      </c>
      <c r="I1461" s="3" t="s">
        <v>967</v>
      </c>
      <c r="J1461" s="3" t="s">
        <v>968</v>
      </c>
      <c r="K1461" s="3" t="s">
        <v>960</v>
      </c>
      <c r="L1461" s="3">
        <f>IF(G1461="High",3,IF(G1461="Medium",2,1))</f>
        <v>2</v>
      </c>
    </row>
    <row r="1462" spans="1:12">
      <c r="A1462" s="3" t="s">
        <v>2455</v>
      </c>
      <c r="B1462" s="3" t="s">
        <v>814</v>
      </c>
      <c r="C1462" s="3" t="s">
        <v>965</v>
      </c>
      <c r="D1462" s="3" t="s">
        <v>966</v>
      </c>
      <c r="E1462" s="3" t="s">
        <v>942</v>
      </c>
      <c r="F1462" s="3" t="s">
        <v>942</v>
      </c>
      <c r="G1462" s="3" t="str">
        <f>INDEX([1]Risk_Matrix!$B$2:$D$4,MATCH(E1462,[1]Risk_Matrix!$A$2:$A$4,0),MATCH(F1462,[1]Risk_Matrix!$B$1:$D$1,0))</f>
        <v>Medium</v>
      </c>
      <c r="H1462" s="10">
        <v>46125</v>
      </c>
      <c r="I1462" s="3" t="s">
        <v>981</v>
      </c>
      <c r="J1462" s="3" t="s">
        <v>982</v>
      </c>
      <c r="K1462" s="3" t="s">
        <v>983</v>
      </c>
      <c r="L1462" s="3">
        <f>IF(G1462="High",3,IF(G1462="Medium",2,1))</f>
        <v>2</v>
      </c>
    </row>
    <row r="1463" spans="1:12">
      <c r="A1463" s="3" t="s">
        <v>2456</v>
      </c>
      <c r="B1463" s="3" t="s">
        <v>814</v>
      </c>
      <c r="C1463" s="3" t="s">
        <v>971</v>
      </c>
      <c r="D1463" s="3" t="s">
        <v>1016</v>
      </c>
      <c r="E1463" s="3" t="s">
        <v>47</v>
      </c>
      <c r="F1463" s="3" t="s">
        <v>47</v>
      </c>
      <c r="G1463" s="3" t="str">
        <f>INDEX([1]Risk_Matrix!$B$2:$D$4,MATCH(E1463,[1]Risk_Matrix!$A$2:$A$4,0),MATCH(F1463,[1]Risk_Matrix!$B$1:$D$1,0))</f>
        <v>Low</v>
      </c>
      <c r="H1463" s="10">
        <v>46202</v>
      </c>
      <c r="I1463" s="3" t="s">
        <v>973</v>
      </c>
      <c r="J1463" s="3" t="s">
        <v>974</v>
      </c>
      <c r="K1463" s="3" t="s">
        <v>1000</v>
      </c>
      <c r="L1463" s="3">
        <f>IF(G1463="High",3,IF(G1463="Medium",2,1))</f>
        <v>1</v>
      </c>
    </row>
    <row r="1464" spans="1:12">
      <c r="A1464" s="3" t="s">
        <v>2457</v>
      </c>
      <c r="B1464" s="3" t="s">
        <v>814</v>
      </c>
      <c r="C1464" s="3" t="s">
        <v>976</v>
      </c>
      <c r="D1464" s="3" t="s">
        <v>1002</v>
      </c>
      <c r="E1464" s="3" t="s">
        <v>42</v>
      </c>
      <c r="F1464" s="3" t="s">
        <v>942</v>
      </c>
      <c r="G1464" s="3" t="str">
        <f>INDEX([1]Risk_Matrix!$B$2:$D$4,MATCH(E1464,[1]Risk_Matrix!$A$2:$A$4,0),MATCH(F1464,[1]Risk_Matrix!$B$1:$D$1,0))</f>
        <v>High</v>
      </c>
      <c r="H1464" s="10">
        <v>46219</v>
      </c>
      <c r="I1464" s="3" t="s">
        <v>967</v>
      </c>
      <c r="J1464" s="3" t="s">
        <v>968</v>
      </c>
      <c r="K1464" s="3" t="s">
        <v>983</v>
      </c>
      <c r="L1464" s="3">
        <f>IF(G1464="High",3,IF(G1464="Medium",2,1))</f>
        <v>3</v>
      </c>
    </row>
    <row r="1465" spans="1:12">
      <c r="A1465" s="3" t="s">
        <v>2458</v>
      </c>
      <c r="B1465" s="3" t="s">
        <v>814</v>
      </c>
      <c r="C1465" s="3" t="s">
        <v>979</v>
      </c>
      <c r="D1465" s="3" t="s">
        <v>1004</v>
      </c>
      <c r="E1465" s="3" t="s">
        <v>942</v>
      </c>
      <c r="F1465" s="3" t="s">
        <v>942</v>
      </c>
      <c r="G1465" s="3" t="str">
        <f>INDEX([1]Risk_Matrix!$B$2:$D$4,MATCH(E1465,[1]Risk_Matrix!$A$2:$A$4,0),MATCH(F1465,[1]Risk_Matrix!$B$1:$D$1,0))</f>
        <v>Medium</v>
      </c>
      <c r="H1465" s="10">
        <v>46137</v>
      </c>
      <c r="I1465" s="3" t="s">
        <v>973</v>
      </c>
      <c r="J1465" s="3" t="s">
        <v>974</v>
      </c>
      <c r="K1465" s="3" t="s">
        <v>1000</v>
      </c>
      <c r="L1465" s="3">
        <f>IF(G1465="High",3,IF(G1465="Medium",2,1))</f>
        <v>2</v>
      </c>
    </row>
    <row r="1466" spans="1:12">
      <c r="A1466" s="3" t="s">
        <v>2459</v>
      </c>
      <c r="B1466" s="3" t="s">
        <v>816</v>
      </c>
      <c r="C1466" s="3" t="s">
        <v>956</v>
      </c>
      <c r="D1466" s="3" t="s">
        <v>995</v>
      </c>
      <c r="E1466" s="3" t="s">
        <v>942</v>
      </c>
      <c r="F1466" s="3" t="s">
        <v>942</v>
      </c>
      <c r="G1466" s="3" t="str">
        <f>INDEX([1]Risk_Matrix!$B$2:$D$4,MATCH(E1466,[1]Risk_Matrix!$A$2:$A$4,0),MATCH(F1466,[1]Risk_Matrix!$B$1:$D$1,0))</f>
        <v>Medium</v>
      </c>
      <c r="H1466" s="10">
        <v>46129</v>
      </c>
      <c r="I1466" s="3" t="s">
        <v>973</v>
      </c>
      <c r="J1466" s="3" t="s">
        <v>974</v>
      </c>
      <c r="K1466" s="3" t="s">
        <v>969</v>
      </c>
      <c r="L1466" s="3">
        <f>IF(G1466="High",3,IF(G1466="Medium",2,1))</f>
        <v>2</v>
      </c>
    </row>
    <row r="1467" spans="1:12">
      <c r="A1467" s="3" t="s">
        <v>2460</v>
      </c>
      <c r="B1467" s="3" t="s">
        <v>816</v>
      </c>
      <c r="C1467" s="3" t="s">
        <v>962</v>
      </c>
      <c r="D1467" s="3" t="s">
        <v>986</v>
      </c>
      <c r="E1467" s="3" t="s">
        <v>942</v>
      </c>
      <c r="F1467" s="3" t="s">
        <v>942</v>
      </c>
      <c r="G1467" s="3" t="str">
        <f>INDEX([1]Risk_Matrix!$B$2:$D$4,MATCH(E1467,[1]Risk_Matrix!$A$2:$A$4,0),MATCH(F1467,[1]Risk_Matrix!$B$1:$D$1,0))</f>
        <v>Medium</v>
      </c>
      <c r="H1467" s="10">
        <v>46064</v>
      </c>
      <c r="I1467" s="3" t="s">
        <v>967</v>
      </c>
      <c r="J1467" s="3" t="s">
        <v>968</v>
      </c>
      <c r="K1467" s="3" t="s">
        <v>969</v>
      </c>
      <c r="L1467" s="3">
        <f>IF(G1467="High",3,IF(G1467="Medium",2,1))</f>
        <v>2</v>
      </c>
    </row>
    <row r="1468" spans="1:12">
      <c r="A1468" s="3" t="s">
        <v>2461</v>
      </c>
      <c r="B1468" s="3" t="s">
        <v>816</v>
      </c>
      <c r="C1468" s="3" t="s">
        <v>965</v>
      </c>
      <c r="D1468" s="3" t="s">
        <v>966</v>
      </c>
      <c r="E1468" s="3" t="s">
        <v>942</v>
      </c>
      <c r="F1468" s="3" t="s">
        <v>47</v>
      </c>
      <c r="G1468" s="3" t="str">
        <f>INDEX([1]Risk_Matrix!$B$2:$D$4,MATCH(E1468,[1]Risk_Matrix!$A$2:$A$4,0),MATCH(F1468,[1]Risk_Matrix!$B$1:$D$1,0))</f>
        <v>Low</v>
      </c>
      <c r="H1468" s="10">
        <v>46150</v>
      </c>
      <c r="I1468" s="3" t="s">
        <v>973</v>
      </c>
      <c r="J1468" s="3" t="s">
        <v>974</v>
      </c>
      <c r="K1468" s="3" t="s">
        <v>993</v>
      </c>
      <c r="L1468" s="3">
        <f>IF(G1468="High",3,IF(G1468="Medium",2,1))</f>
        <v>1</v>
      </c>
    </row>
    <row r="1469" spans="1:12">
      <c r="A1469" s="3" t="s">
        <v>2462</v>
      </c>
      <c r="B1469" s="3" t="s">
        <v>816</v>
      </c>
      <c r="C1469" s="3" t="s">
        <v>971</v>
      </c>
      <c r="D1469" s="3" t="s">
        <v>1016</v>
      </c>
      <c r="E1469" s="3" t="s">
        <v>942</v>
      </c>
      <c r="F1469" s="3" t="s">
        <v>47</v>
      </c>
      <c r="G1469" s="3" t="str">
        <f>INDEX([1]Risk_Matrix!$B$2:$D$4,MATCH(E1469,[1]Risk_Matrix!$A$2:$A$4,0),MATCH(F1469,[1]Risk_Matrix!$B$1:$D$1,0))</f>
        <v>Low</v>
      </c>
      <c r="H1469" s="10">
        <v>46124</v>
      </c>
      <c r="I1469" s="3" t="s">
        <v>967</v>
      </c>
      <c r="J1469" s="3" t="s">
        <v>968</v>
      </c>
      <c r="K1469" s="3" t="s">
        <v>993</v>
      </c>
      <c r="L1469" s="3">
        <f>IF(G1469="High",3,IF(G1469="Medium",2,1))</f>
        <v>1</v>
      </c>
    </row>
    <row r="1470" spans="1:12">
      <c r="A1470" s="3" t="s">
        <v>2463</v>
      </c>
      <c r="B1470" s="3" t="s">
        <v>816</v>
      </c>
      <c r="C1470" s="3" t="s">
        <v>976</v>
      </c>
      <c r="D1470" s="3" t="s">
        <v>1002</v>
      </c>
      <c r="E1470" s="3" t="s">
        <v>942</v>
      </c>
      <c r="F1470" s="3" t="s">
        <v>47</v>
      </c>
      <c r="G1470" s="3" t="str">
        <f>INDEX([1]Risk_Matrix!$B$2:$D$4,MATCH(E1470,[1]Risk_Matrix!$A$2:$A$4,0),MATCH(F1470,[1]Risk_Matrix!$B$1:$D$1,0))</f>
        <v>Low</v>
      </c>
      <c r="H1470" s="10">
        <v>46146</v>
      </c>
      <c r="I1470" s="3" t="s">
        <v>981</v>
      </c>
      <c r="J1470" s="3" t="s">
        <v>982</v>
      </c>
      <c r="K1470" s="3" t="s">
        <v>1000</v>
      </c>
      <c r="L1470" s="3">
        <f>IF(G1470="High",3,IF(G1470="Medium",2,1))</f>
        <v>1</v>
      </c>
    </row>
    <row r="1471" spans="1:12">
      <c r="A1471" s="3" t="s">
        <v>2464</v>
      </c>
      <c r="B1471" s="3" t="s">
        <v>816</v>
      </c>
      <c r="C1471" s="3" t="s">
        <v>979</v>
      </c>
      <c r="D1471" s="3" t="s">
        <v>980</v>
      </c>
      <c r="E1471" s="3" t="s">
        <v>42</v>
      </c>
      <c r="F1471" s="3" t="s">
        <v>942</v>
      </c>
      <c r="G1471" s="3" t="str">
        <f>INDEX([1]Risk_Matrix!$B$2:$D$4,MATCH(E1471,[1]Risk_Matrix!$A$2:$A$4,0),MATCH(F1471,[1]Risk_Matrix!$B$1:$D$1,0))</f>
        <v>High</v>
      </c>
      <c r="H1471" s="10">
        <v>46157</v>
      </c>
      <c r="I1471" s="3" t="s">
        <v>967</v>
      </c>
      <c r="J1471" s="3" t="s">
        <v>968</v>
      </c>
      <c r="K1471" s="3" t="s">
        <v>960</v>
      </c>
      <c r="L1471" s="3">
        <f>IF(G1471="High",3,IF(G1471="Medium",2,1))</f>
        <v>3</v>
      </c>
    </row>
    <row r="1472" spans="1:12">
      <c r="A1472" s="3" t="s">
        <v>2465</v>
      </c>
      <c r="B1472" s="3" t="s">
        <v>818</v>
      </c>
      <c r="C1472" s="3" t="s">
        <v>956</v>
      </c>
      <c r="D1472" s="3" t="s">
        <v>995</v>
      </c>
      <c r="E1472" s="3" t="s">
        <v>942</v>
      </c>
      <c r="F1472" s="3" t="s">
        <v>47</v>
      </c>
      <c r="G1472" s="3" t="str">
        <f>INDEX([1]Risk_Matrix!$B$2:$D$4,MATCH(E1472,[1]Risk_Matrix!$A$2:$A$4,0),MATCH(F1472,[1]Risk_Matrix!$B$1:$D$1,0))</f>
        <v>Low</v>
      </c>
      <c r="H1472" s="10">
        <v>46113</v>
      </c>
      <c r="I1472" s="3" t="s">
        <v>967</v>
      </c>
      <c r="J1472" s="3" t="s">
        <v>968</v>
      </c>
      <c r="K1472" s="3" t="s">
        <v>969</v>
      </c>
      <c r="L1472" s="3">
        <f>IF(G1472="High",3,IF(G1472="Medium",2,1))</f>
        <v>1</v>
      </c>
    </row>
    <row r="1473" spans="1:12">
      <c r="A1473" s="3" t="s">
        <v>2466</v>
      </c>
      <c r="B1473" s="3" t="s">
        <v>818</v>
      </c>
      <c r="C1473" s="3" t="s">
        <v>962</v>
      </c>
      <c r="D1473" s="3" t="s">
        <v>1037</v>
      </c>
      <c r="E1473" s="3" t="s">
        <v>47</v>
      </c>
      <c r="F1473" s="3" t="s">
        <v>47</v>
      </c>
      <c r="G1473" s="3" t="str">
        <f>INDEX([1]Risk_Matrix!$B$2:$D$4,MATCH(E1473,[1]Risk_Matrix!$A$2:$A$4,0),MATCH(F1473,[1]Risk_Matrix!$B$1:$D$1,0))</f>
        <v>Low</v>
      </c>
      <c r="H1473" s="10">
        <v>46134</v>
      </c>
      <c r="I1473" s="3" t="s">
        <v>967</v>
      </c>
      <c r="J1473" s="3" t="s">
        <v>968</v>
      </c>
      <c r="K1473" s="3" t="s">
        <v>960</v>
      </c>
      <c r="L1473" s="3">
        <f>IF(G1473="High",3,IF(G1473="Medium",2,1))</f>
        <v>1</v>
      </c>
    </row>
    <row r="1474" spans="1:12">
      <c r="A1474" s="3" t="s">
        <v>2467</v>
      </c>
      <c r="B1474" s="3" t="s">
        <v>818</v>
      </c>
      <c r="C1474" s="3" t="s">
        <v>965</v>
      </c>
      <c r="D1474" s="3" t="s">
        <v>988</v>
      </c>
      <c r="E1474" s="3" t="s">
        <v>47</v>
      </c>
      <c r="F1474" s="3" t="s">
        <v>942</v>
      </c>
      <c r="G1474" s="3" t="str">
        <f>INDEX([1]Risk_Matrix!$B$2:$D$4,MATCH(E1474,[1]Risk_Matrix!$A$2:$A$4,0),MATCH(F1474,[1]Risk_Matrix!$B$1:$D$1,0))</f>
        <v>Low</v>
      </c>
      <c r="H1474" s="10">
        <v>46135</v>
      </c>
      <c r="I1474" s="3" t="s">
        <v>981</v>
      </c>
      <c r="J1474" s="3" t="s">
        <v>982</v>
      </c>
      <c r="K1474" s="3" t="s">
        <v>960</v>
      </c>
      <c r="L1474" s="3">
        <f>IF(G1474="High",3,IF(G1474="Medium",2,1))</f>
        <v>1</v>
      </c>
    </row>
    <row r="1475" spans="1:12">
      <c r="A1475" s="3" t="s">
        <v>2468</v>
      </c>
      <c r="B1475" s="3" t="s">
        <v>818</v>
      </c>
      <c r="C1475" s="3" t="s">
        <v>971</v>
      </c>
      <c r="D1475" s="3" t="s">
        <v>1025</v>
      </c>
      <c r="E1475" s="3" t="s">
        <v>47</v>
      </c>
      <c r="F1475" s="3" t="s">
        <v>47</v>
      </c>
      <c r="G1475" s="3" t="str">
        <f>INDEX([1]Risk_Matrix!$B$2:$D$4,MATCH(E1475,[1]Risk_Matrix!$A$2:$A$4,0),MATCH(F1475,[1]Risk_Matrix!$B$1:$D$1,0))</f>
        <v>Low</v>
      </c>
      <c r="H1475" s="10">
        <v>46131</v>
      </c>
      <c r="I1475" s="3" t="s">
        <v>981</v>
      </c>
      <c r="J1475" s="3" t="s">
        <v>982</v>
      </c>
      <c r="K1475" s="3" t="s">
        <v>993</v>
      </c>
      <c r="L1475" s="3">
        <f>IF(G1475="High",3,IF(G1475="Medium",2,1))</f>
        <v>1</v>
      </c>
    </row>
    <row r="1476" spans="1:12">
      <c r="A1476" s="3" t="s">
        <v>2469</v>
      </c>
      <c r="B1476" s="3" t="s">
        <v>818</v>
      </c>
      <c r="C1476" s="3" t="s">
        <v>976</v>
      </c>
      <c r="D1476" s="3" t="s">
        <v>977</v>
      </c>
      <c r="E1476" s="3" t="s">
        <v>942</v>
      </c>
      <c r="F1476" s="3" t="s">
        <v>47</v>
      </c>
      <c r="G1476" s="3" t="str">
        <f>INDEX([1]Risk_Matrix!$B$2:$D$4,MATCH(E1476,[1]Risk_Matrix!$A$2:$A$4,0),MATCH(F1476,[1]Risk_Matrix!$B$1:$D$1,0))</f>
        <v>Low</v>
      </c>
      <c r="H1476" s="10">
        <v>46200</v>
      </c>
      <c r="I1476" s="3" t="s">
        <v>981</v>
      </c>
      <c r="J1476" s="3" t="s">
        <v>982</v>
      </c>
      <c r="K1476" s="3" t="s">
        <v>960</v>
      </c>
      <c r="L1476" s="3">
        <f>IF(G1476="High",3,IF(G1476="Medium",2,1))</f>
        <v>1</v>
      </c>
    </row>
    <row r="1477" spans="1:12">
      <c r="A1477" s="3" t="s">
        <v>2470</v>
      </c>
      <c r="B1477" s="3" t="s">
        <v>818</v>
      </c>
      <c r="C1477" s="3" t="s">
        <v>979</v>
      </c>
      <c r="D1477" s="3" t="s">
        <v>1028</v>
      </c>
      <c r="E1477" s="3" t="s">
        <v>47</v>
      </c>
      <c r="F1477" s="3" t="s">
        <v>942</v>
      </c>
      <c r="G1477" s="3" t="str">
        <f>INDEX([1]Risk_Matrix!$B$2:$D$4,MATCH(E1477,[1]Risk_Matrix!$A$2:$A$4,0),MATCH(F1477,[1]Risk_Matrix!$B$1:$D$1,0))</f>
        <v>Low</v>
      </c>
      <c r="H1477" s="10">
        <v>46194</v>
      </c>
      <c r="I1477" s="3" t="s">
        <v>967</v>
      </c>
      <c r="J1477" s="3" t="s">
        <v>968</v>
      </c>
      <c r="K1477" s="3" t="s">
        <v>983</v>
      </c>
      <c r="L1477" s="3">
        <f>IF(G1477="High",3,IF(G1477="Medium",2,1))</f>
        <v>1</v>
      </c>
    </row>
    <row r="1478" spans="1:12">
      <c r="A1478" s="3" t="s">
        <v>2471</v>
      </c>
      <c r="B1478" s="3" t="s">
        <v>821</v>
      </c>
      <c r="C1478" s="3" t="s">
        <v>956</v>
      </c>
      <c r="D1478" s="3" t="s">
        <v>1020</v>
      </c>
      <c r="E1478" s="3" t="s">
        <v>47</v>
      </c>
      <c r="F1478" s="3" t="s">
        <v>47</v>
      </c>
      <c r="G1478" s="3" t="str">
        <f>INDEX([1]Risk_Matrix!$B$2:$D$4,MATCH(E1478,[1]Risk_Matrix!$A$2:$A$4,0),MATCH(F1478,[1]Risk_Matrix!$B$1:$D$1,0))</f>
        <v>Low</v>
      </c>
      <c r="H1478" s="10">
        <v>46169</v>
      </c>
      <c r="I1478" s="3" t="s">
        <v>967</v>
      </c>
      <c r="J1478" s="3" t="s">
        <v>968</v>
      </c>
      <c r="K1478" s="3" t="s">
        <v>969</v>
      </c>
      <c r="L1478" s="3">
        <f>IF(G1478="High",3,IF(G1478="Medium",2,1))</f>
        <v>1</v>
      </c>
    </row>
    <row r="1479" spans="1:12">
      <c r="A1479" s="3" t="s">
        <v>2472</v>
      </c>
      <c r="B1479" s="3" t="s">
        <v>821</v>
      </c>
      <c r="C1479" s="3" t="s">
        <v>962</v>
      </c>
      <c r="D1479" s="3" t="s">
        <v>1037</v>
      </c>
      <c r="E1479" s="3" t="s">
        <v>47</v>
      </c>
      <c r="F1479" s="3" t="s">
        <v>47</v>
      </c>
      <c r="G1479" s="3" t="str">
        <f>INDEX([1]Risk_Matrix!$B$2:$D$4,MATCH(E1479,[1]Risk_Matrix!$A$2:$A$4,0),MATCH(F1479,[1]Risk_Matrix!$B$1:$D$1,0))</f>
        <v>Low</v>
      </c>
      <c r="H1479" s="10">
        <v>46098</v>
      </c>
      <c r="I1479" s="3" t="s">
        <v>973</v>
      </c>
      <c r="J1479" s="3" t="s">
        <v>974</v>
      </c>
      <c r="K1479" s="3" t="s">
        <v>969</v>
      </c>
      <c r="L1479" s="3">
        <f>IF(G1479="High",3,IF(G1479="Medium",2,1))</f>
        <v>1</v>
      </c>
    </row>
    <row r="1480" spans="1:12">
      <c r="A1480" s="3" t="s">
        <v>2473</v>
      </c>
      <c r="B1480" s="3" t="s">
        <v>821</v>
      </c>
      <c r="C1480" s="3" t="s">
        <v>965</v>
      </c>
      <c r="D1480" s="3" t="s">
        <v>1039</v>
      </c>
      <c r="E1480" s="3" t="s">
        <v>47</v>
      </c>
      <c r="F1480" s="3" t="s">
        <v>942</v>
      </c>
      <c r="G1480" s="3" t="str">
        <f>INDEX([1]Risk_Matrix!$B$2:$D$4,MATCH(E1480,[1]Risk_Matrix!$A$2:$A$4,0),MATCH(F1480,[1]Risk_Matrix!$B$1:$D$1,0))</f>
        <v>Low</v>
      </c>
      <c r="H1480" s="10">
        <v>46127</v>
      </c>
      <c r="I1480" s="3" t="s">
        <v>967</v>
      </c>
      <c r="J1480" s="3" t="s">
        <v>968</v>
      </c>
      <c r="K1480" s="3" t="s">
        <v>983</v>
      </c>
      <c r="L1480" s="3">
        <f>IF(G1480="High",3,IF(G1480="Medium",2,1))</f>
        <v>1</v>
      </c>
    </row>
    <row r="1481" spans="1:12">
      <c r="A1481" s="3" t="s">
        <v>2474</v>
      </c>
      <c r="B1481" s="3" t="s">
        <v>821</v>
      </c>
      <c r="C1481" s="3" t="s">
        <v>971</v>
      </c>
      <c r="D1481" s="3" t="s">
        <v>1025</v>
      </c>
      <c r="E1481" s="3" t="s">
        <v>42</v>
      </c>
      <c r="F1481" s="3" t="s">
        <v>47</v>
      </c>
      <c r="G1481" s="3" t="str">
        <f>INDEX([1]Risk_Matrix!$B$2:$D$4,MATCH(E1481,[1]Risk_Matrix!$A$2:$A$4,0),MATCH(F1481,[1]Risk_Matrix!$B$1:$D$1,0))</f>
        <v>Medium</v>
      </c>
      <c r="H1481" s="10">
        <v>46221</v>
      </c>
      <c r="I1481" s="3" t="s">
        <v>958</v>
      </c>
      <c r="J1481" s="3" t="s">
        <v>959</v>
      </c>
      <c r="K1481" s="3" t="s">
        <v>969</v>
      </c>
      <c r="L1481" s="3">
        <f>IF(G1481="High",3,IF(G1481="Medium",2,1))</f>
        <v>2</v>
      </c>
    </row>
    <row r="1482" spans="1:12">
      <c r="A1482" s="3" t="s">
        <v>2475</v>
      </c>
      <c r="B1482" s="3" t="s">
        <v>821</v>
      </c>
      <c r="C1482" s="3" t="s">
        <v>976</v>
      </c>
      <c r="D1482" s="3" t="s">
        <v>1002</v>
      </c>
      <c r="E1482" s="3" t="s">
        <v>47</v>
      </c>
      <c r="F1482" s="3" t="s">
        <v>47</v>
      </c>
      <c r="G1482" s="3" t="str">
        <f>INDEX([1]Risk_Matrix!$B$2:$D$4,MATCH(E1482,[1]Risk_Matrix!$A$2:$A$4,0),MATCH(F1482,[1]Risk_Matrix!$B$1:$D$1,0))</f>
        <v>Low</v>
      </c>
      <c r="H1482" s="10">
        <v>46112</v>
      </c>
      <c r="I1482" s="3" t="s">
        <v>973</v>
      </c>
      <c r="J1482" s="3" t="s">
        <v>974</v>
      </c>
      <c r="K1482" s="3" t="s">
        <v>983</v>
      </c>
      <c r="L1482" s="3">
        <f>IF(G1482="High",3,IF(G1482="Medium",2,1))</f>
        <v>1</v>
      </c>
    </row>
    <row r="1483" spans="1:12">
      <c r="A1483" s="3" t="s">
        <v>2476</v>
      </c>
      <c r="B1483" s="3" t="s">
        <v>821</v>
      </c>
      <c r="C1483" s="3" t="s">
        <v>979</v>
      </c>
      <c r="D1483" s="3" t="s">
        <v>1028</v>
      </c>
      <c r="E1483" s="3" t="s">
        <v>47</v>
      </c>
      <c r="F1483" s="3" t="s">
        <v>42</v>
      </c>
      <c r="G1483" s="3" t="str">
        <f>INDEX([1]Risk_Matrix!$B$2:$D$4,MATCH(E1483,[1]Risk_Matrix!$A$2:$A$4,0),MATCH(F1483,[1]Risk_Matrix!$B$1:$D$1,0))</f>
        <v>Medium</v>
      </c>
      <c r="H1483" s="10">
        <v>46152</v>
      </c>
      <c r="I1483" s="3" t="s">
        <v>967</v>
      </c>
      <c r="J1483" s="3" t="s">
        <v>968</v>
      </c>
      <c r="K1483" s="3" t="s">
        <v>969</v>
      </c>
      <c r="L1483" s="3">
        <f>IF(G1483="High",3,IF(G1483="Medium",2,1))</f>
        <v>2</v>
      </c>
    </row>
    <row r="1484" spans="1:12">
      <c r="A1484" s="3" t="s">
        <v>2477</v>
      </c>
      <c r="B1484" s="3" t="s">
        <v>823</v>
      </c>
      <c r="C1484" s="3" t="s">
        <v>956</v>
      </c>
      <c r="D1484" s="3" t="s">
        <v>1012</v>
      </c>
      <c r="E1484" s="3" t="s">
        <v>942</v>
      </c>
      <c r="F1484" s="3" t="s">
        <v>942</v>
      </c>
      <c r="G1484" s="3" t="str">
        <f>INDEX([1]Risk_Matrix!$B$2:$D$4,MATCH(E1484,[1]Risk_Matrix!$A$2:$A$4,0),MATCH(F1484,[1]Risk_Matrix!$B$1:$D$1,0))</f>
        <v>Medium</v>
      </c>
      <c r="H1484" s="10">
        <v>46151</v>
      </c>
      <c r="I1484" s="3" t="s">
        <v>967</v>
      </c>
      <c r="J1484" s="3" t="s">
        <v>968</v>
      </c>
      <c r="K1484" s="3" t="s">
        <v>969</v>
      </c>
      <c r="L1484" s="3">
        <f>IF(G1484="High",3,IF(G1484="Medium",2,1))</f>
        <v>2</v>
      </c>
    </row>
    <row r="1485" spans="1:12">
      <c r="A1485" s="3" t="s">
        <v>2478</v>
      </c>
      <c r="B1485" s="3" t="s">
        <v>823</v>
      </c>
      <c r="C1485" s="3" t="s">
        <v>962</v>
      </c>
      <c r="D1485" s="3" t="s">
        <v>1037</v>
      </c>
      <c r="E1485" s="3" t="s">
        <v>47</v>
      </c>
      <c r="F1485" s="3" t="s">
        <v>42</v>
      </c>
      <c r="G1485" s="3" t="str">
        <f>INDEX([1]Risk_Matrix!$B$2:$D$4,MATCH(E1485,[1]Risk_Matrix!$A$2:$A$4,0),MATCH(F1485,[1]Risk_Matrix!$B$1:$D$1,0))</f>
        <v>Medium</v>
      </c>
      <c r="H1485" s="10">
        <v>46124</v>
      </c>
      <c r="I1485" s="3" t="s">
        <v>973</v>
      </c>
      <c r="J1485" s="3" t="s">
        <v>974</v>
      </c>
      <c r="K1485" s="3" t="s">
        <v>969</v>
      </c>
      <c r="L1485" s="3">
        <f>IF(G1485="High",3,IF(G1485="Medium",2,1))</f>
        <v>2</v>
      </c>
    </row>
    <row r="1486" spans="1:12">
      <c r="A1486" s="3" t="s">
        <v>2479</v>
      </c>
      <c r="B1486" s="3" t="s">
        <v>823</v>
      </c>
      <c r="C1486" s="3" t="s">
        <v>965</v>
      </c>
      <c r="D1486" s="3" t="s">
        <v>988</v>
      </c>
      <c r="E1486" s="3" t="s">
        <v>47</v>
      </c>
      <c r="F1486" s="3" t="s">
        <v>42</v>
      </c>
      <c r="G1486" s="3" t="str">
        <f>INDEX([1]Risk_Matrix!$B$2:$D$4,MATCH(E1486,[1]Risk_Matrix!$A$2:$A$4,0),MATCH(F1486,[1]Risk_Matrix!$B$1:$D$1,0))</f>
        <v>Medium</v>
      </c>
      <c r="H1486" s="10">
        <v>46158</v>
      </c>
      <c r="I1486" s="3" t="s">
        <v>967</v>
      </c>
      <c r="J1486" s="3" t="s">
        <v>968</v>
      </c>
      <c r="K1486" s="3" t="s">
        <v>960</v>
      </c>
      <c r="L1486" s="3">
        <f>IF(G1486="High",3,IF(G1486="Medium",2,1))</f>
        <v>2</v>
      </c>
    </row>
    <row r="1487" spans="1:12">
      <c r="A1487" s="3" t="s">
        <v>2480</v>
      </c>
      <c r="B1487" s="3" t="s">
        <v>823</v>
      </c>
      <c r="C1487" s="3" t="s">
        <v>971</v>
      </c>
      <c r="D1487" s="3" t="s">
        <v>1025</v>
      </c>
      <c r="E1487" s="3" t="s">
        <v>942</v>
      </c>
      <c r="F1487" s="3" t="s">
        <v>942</v>
      </c>
      <c r="G1487" s="3" t="str">
        <f>INDEX([1]Risk_Matrix!$B$2:$D$4,MATCH(E1487,[1]Risk_Matrix!$A$2:$A$4,0),MATCH(F1487,[1]Risk_Matrix!$B$1:$D$1,0))</f>
        <v>Medium</v>
      </c>
      <c r="H1487" s="10">
        <v>46189</v>
      </c>
      <c r="I1487" s="3" t="s">
        <v>973</v>
      </c>
      <c r="J1487" s="3" t="s">
        <v>974</v>
      </c>
      <c r="K1487" s="3" t="s">
        <v>983</v>
      </c>
      <c r="L1487" s="3">
        <f>IF(G1487="High",3,IF(G1487="Medium",2,1))</f>
        <v>2</v>
      </c>
    </row>
    <row r="1488" spans="1:12">
      <c r="A1488" s="3" t="s">
        <v>2481</v>
      </c>
      <c r="B1488" s="3" t="s">
        <v>823</v>
      </c>
      <c r="C1488" s="3" t="s">
        <v>976</v>
      </c>
      <c r="D1488" s="3" t="s">
        <v>991</v>
      </c>
      <c r="E1488" s="3" t="s">
        <v>942</v>
      </c>
      <c r="F1488" s="3" t="s">
        <v>942</v>
      </c>
      <c r="G1488" s="3" t="str">
        <f>INDEX([1]Risk_Matrix!$B$2:$D$4,MATCH(E1488,[1]Risk_Matrix!$A$2:$A$4,0),MATCH(F1488,[1]Risk_Matrix!$B$1:$D$1,0))</f>
        <v>Medium</v>
      </c>
      <c r="H1488" s="10">
        <v>46087</v>
      </c>
      <c r="I1488" s="3" t="s">
        <v>981</v>
      </c>
      <c r="J1488" s="3" t="s">
        <v>982</v>
      </c>
      <c r="K1488" s="3" t="s">
        <v>1000</v>
      </c>
      <c r="L1488" s="3">
        <f>IF(G1488="High",3,IF(G1488="Medium",2,1))</f>
        <v>2</v>
      </c>
    </row>
    <row r="1489" spans="1:12">
      <c r="A1489" s="3" t="s">
        <v>2482</v>
      </c>
      <c r="B1489" s="3" t="s">
        <v>823</v>
      </c>
      <c r="C1489" s="3" t="s">
        <v>979</v>
      </c>
      <c r="D1489" s="3" t="s">
        <v>1004</v>
      </c>
      <c r="E1489" s="3" t="s">
        <v>942</v>
      </c>
      <c r="F1489" s="3" t="s">
        <v>47</v>
      </c>
      <c r="G1489" s="3" t="str">
        <f>INDEX([1]Risk_Matrix!$B$2:$D$4,MATCH(E1489,[1]Risk_Matrix!$A$2:$A$4,0),MATCH(F1489,[1]Risk_Matrix!$B$1:$D$1,0))</f>
        <v>Low</v>
      </c>
      <c r="H1489" s="10">
        <v>46234</v>
      </c>
      <c r="I1489" s="3" t="s">
        <v>967</v>
      </c>
      <c r="J1489" s="3" t="s">
        <v>968</v>
      </c>
      <c r="K1489" s="3" t="s">
        <v>969</v>
      </c>
      <c r="L1489" s="3">
        <f>IF(G1489="High",3,IF(G1489="Medium",2,1))</f>
        <v>1</v>
      </c>
    </row>
    <row r="1490" spans="1:12">
      <c r="A1490" s="3" t="s">
        <v>2483</v>
      </c>
      <c r="B1490" s="3" t="s">
        <v>826</v>
      </c>
      <c r="C1490" s="3" t="s">
        <v>956</v>
      </c>
      <c r="D1490" s="3" t="s">
        <v>957</v>
      </c>
      <c r="E1490" s="3" t="s">
        <v>47</v>
      </c>
      <c r="F1490" s="3" t="s">
        <v>47</v>
      </c>
      <c r="G1490" s="3" t="str">
        <f>INDEX([1]Risk_Matrix!$B$2:$D$4,MATCH(E1490,[1]Risk_Matrix!$A$2:$A$4,0),MATCH(F1490,[1]Risk_Matrix!$B$1:$D$1,0))</f>
        <v>Low</v>
      </c>
      <c r="H1490" s="10">
        <v>46103</v>
      </c>
      <c r="I1490" s="3" t="s">
        <v>973</v>
      </c>
      <c r="J1490" s="3" t="s">
        <v>974</v>
      </c>
      <c r="K1490" s="3" t="s">
        <v>960</v>
      </c>
      <c r="L1490" s="3">
        <f>IF(G1490="High",3,IF(G1490="Medium",2,1))</f>
        <v>1</v>
      </c>
    </row>
    <row r="1491" spans="1:12">
      <c r="A1491" s="3" t="s">
        <v>2484</v>
      </c>
      <c r="B1491" s="3" t="s">
        <v>826</v>
      </c>
      <c r="C1491" s="3" t="s">
        <v>962</v>
      </c>
      <c r="D1491" s="3" t="s">
        <v>997</v>
      </c>
      <c r="E1491" s="3" t="s">
        <v>942</v>
      </c>
      <c r="F1491" s="3" t="s">
        <v>42</v>
      </c>
      <c r="G1491" s="3" t="str">
        <f>INDEX([1]Risk_Matrix!$B$2:$D$4,MATCH(E1491,[1]Risk_Matrix!$A$2:$A$4,0),MATCH(F1491,[1]Risk_Matrix!$B$1:$D$1,0))</f>
        <v>High</v>
      </c>
      <c r="H1491" s="10">
        <v>46170</v>
      </c>
      <c r="I1491" s="3" t="s">
        <v>958</v>
      </c>
      <c r="J1491" s="3" t="s">
        <v>959</v>
      </c>
      <c r="K1491" s="3" t="s">
        <v>993</v>
      </c>
      <c r="L1491" s="3">
        <f>IF(G1491="High",3,IF(G1491="Medium",2,1))</f>
        <v>3</v>
      </c>
    </row>
    <row r="1492" spans="1:12">
      <c r="A1492" s="3" t="s">
        <v>2485</v>
      </c>
      <c r="B1492" s="3" t="s">
        <v>826</v>
      </c>
      <c r="C1492" s="3" t="s">
        <v>965</v>
      </c>
      <c r="D1492" s="3" t="s">
        <v>988</v>
      </c>
      <c r="E1492" s="3" t="s">
        <v>47</v>
      </c>
      <c r="F1492" s="3" t="s">
        <v>47</v>
      </c>
      <c r="G1492" s="3" t="str">
        <f>INDEX([1]Risk_Matrix!$B$2:$D$4,MATCH(E1492,[1]Risk_Matrix!$A$2:$A$4,0),MATCH(F1492,[1]Risk_Matrix!$B$1:$D$1,0))</f>
        <v>Low</v>
      </c>
      <c r="H1492" s="10">
        <v>46202</v>
      </c>
      <c r="I1492" s="3" t="s">
        <v>981</v>
      </c>
      <c r="J1492" s="3" t="s">
        <v>982</v>
      </c>
      <c r="K1492" s="3" t="s">
        <v>969</v>
      </c>
      <c r="L1492" s="3">
        <f>IF(G1492="High",3,IF(G1492="Medium",2,1))</f>
        <v>1</v>
      </c>
    </row>
    <row r="1493" spans="1:12">
      <c r="A1493" s="3" t="s">
        <v>2486</v>
      </c>
      <c r="B1493" s="3" t="s">
        <v>826</v>
      </c>
      <c r="C1493" s="3" t="s">
        <v>971</v>
      </c>
      <c r="D1493" s="3" t="s">
        <v>972</v>
      </c>
      <c r="E1493" s="3" t="s">
        <v>47</v>
      </c>
      <c r="F1493" s="3" t="s">
        <v>47</v>
      </c>
      <c r="G1493" s="3" t="str">
        <f>INDEX([1]Risk_Matrix!$B$2:$D$4,MATCH(E1493,[1]Risk_Matrix!$A$2:$A$4,0),MATCH(F1493,[1]Risk_Matrix!$B$1:$D$1,0))</f>
        <v>Low</v>
      </c>
      <c r="H1493" s="10">
        <v>46147</v>
      </c>
      <c r="I1493" s="3" t="s">
        <v>973</v>
      </c>
      <c r="J1493" s="3" t="s">
        <v>974</v>
      </c>
      <c r="K1493" s="3" t="s">
        <v>1000</v>
      </c>
      <c r="L1493" s="3">
        <f>IF(G1493="High",3,IF(G1493="Medium",2,1))</f>
        <v>1</v>
      </c>
    </row>
    <row r="1494" spans="1:12">
      <c r="A1494" s="3" t="s">
        <v>2487</v>
      </c>
      <c r="B1494" s="3" t="s">
        <v>826</v>
      </c>
      <c r="C1494" s="3" t="s">
        <v>976</v>
      </c>
      <c r="D1494" s="3" t="s">
        <v>991</v>
      </c>
      <c r="E1494" s="3" t="s">
        <v>942</v>
      </c>
      <c r="F1494" s="3" t="s">
        <v>942</v>
      </c>
      <c r="G1494" s="3" t="str">
        <f>INDEX([1]Risk_Matrix!$B$2:$D$4,MATCH(E1494,[1]Risk_Matrix!$A$2:$A$4,0),MATCH(F1494,[1]Risk_Matrix!$B$1:$D$1,0))</f>
        <v>Medium</v>
      </c>
      <c r="H1494" s="10">
        <v>46114</v>
      </c>
      <c r="I1494" s="3" t="s">
        <v>958</v>
      </c>
      <c r="J1494" s="3" t="s">
        <v>959</v>
      </c>
      <c r="K1494" s="3" t="s">
        <v>969</v>
      </c>
      <c r="L1494" s="3">
        <f>IF(G1494="High",3,IF(G1494="Medium",2,1))</f>
        <v>2</v>
      </c>
    </row>
    <row r="1495" spans="1:12">
      <c r="A1495" s="3" t="s">
        <v>2488</v>
      </c>
      <c r="B1495" s="3" t="s">
        <v>826</v>
      </c>
      <c r="C1495" s="3" t="s">
        <v>979</v>
      </c>
      <c r="D1495" s="3" t="s">
        <v>980</v>
      </c>
      <c r="E1495" s="3" t="s">
        <v>42</v>
      </c>
      <c r="F1495" s="3" t="s">
        <v>47</v>
      </c>
      <c r="G1495" s="3" t="str">
        <f>INDEX([1]Risk_Matrix!$B$2:$D$4,MATCH(E1495,[1]Risk_Matrix!$A$2:$A$4,0),MATCH(F1495,[1]Risk_Matrix!$B$1:$D$1,0))</f>
        <v>Medium</v>
      </c>
      <c r="H1495" s="10">
        <v>46190</v>
      </c>
      <c r="I1495" s="3" t="s">
        <v>981</v>
      </c>
      <c r="J1495" s="3" t="s">
        <v>982</v>
      </c>
      <c r="K1495" s="3" t="s">
        <v>1000</v>
      </c>
      <c r="L1495" s="3">
        <f>IF(G1495="High",3,IF(G1495="Medium",2,1))</f>
        <v>2</v>
      </c>
    </row>
    <row r="1496" spans="1:12">
      <c r="A1496" s="3" t="s">
        <v>2489</v>
      </c>
      <c r="B1496" s="3" t="s">
        <v>828</v>
      </c>
      <c r="C1496" s="3" t="s">
        <v>956</v>
      </c>
      <c r="D1496" s="3" t="s">
        <v>957</v>
      </c>
      <c r="E1496" s="3" t="s">
        <v>47</v>
      </c>
      <c r="F1496" s="3" t="s">
        <v>47</v>
      </c>
      <c r="G1496" s="3" t="str">
        <f>INDEX([1]Risk_Matrix!$B$2:$D$4,MATCH(E1496,[1]Risk_Matrix!$A$2:$A$4,0),MATCH(F1496,[1]Risk_Matrix!$B$1:$D$1,0))</f>
        <v>Low</v>
      </c>
      <c r="H1496" s="10">
        <v>46104</v>
      </c>
      <c r="I1496" s="3" t="s">
        <v>981</v>
      </c>
      <c r="J1496" s="3" t="s">
        <v>982</v>
      </c>
      <c r="K1496" s="3" t="s">
        <v>1000</v>
      </c>
      <c r="L1496" s="3">
        <f>IF(G1496="High",3,IF(G1496="Medium",2,1))</f>
        <v>1</v>
      </c>
    </row>
    <row r="1497" spans="1:12">
      <c r="A1497" s="3" t="s">
        <v>2490</v>
      </c>
      <c r="B1497" s="3" t="s">
        <v>828</v>
      </c>
      <c r="C1497" s="3" t="s">
        <v>962</v>
      </c>
      <c r="D1497" s="3" t="s">
        <v>986</v>
      </c>
      <c r="E1497" s="3" t="s">
        <v>47</v>
      </c>
      <c r="F1497" s="3" t="s">
        <v>47</v>
      </c>
      <c r="G1497" s="3" t="str">
        <f>INDEX([1]Risk_Matrix!$B$2:$D$4,MATCH(E1497,[1]Risk_Matrix!$A$2:$A$4,0),MATCH(F1497,[1]Risk_Matrix!$B$1:$D$1,0))</f>
        <v>Low</v>
      </c>
      <c r="H1497" s="10">
        <v>46236</v>
      </c>
      <c r="I1497" s="3" t="s">
        <v>967</v>
      </c>
      <c r="J1497" s="3" t="s">
        <v>968</v>
      </c>
      <c r="K1497" s="3" t="s">
        <v>969</v>
      </c>
      <c r="L1497" s="3">
        <f>IF(G1497="High",3,IF(G1497="Medium",2,1))</f>
        <v>1</v>
      </c>
    </row>
    <row r="1498" spans="1:12">
      <c r="A1498" s="3" t="s">
        <v>2491</v>
      </c>
      <c r="B1498" s="3" t="s">
        <v>828</v>
      </c>
      <c r="C1498" s="3" t="s">
        <v>965</v>
      </c>
      <c r="D1498" s="3" t="s">
        <v>966</v>
      </c>
      <c r="E1498" s="3" t="s">
        <v>47</v>
      </c>
      <c r="F1498" s="3" t="s">
        <v>47</v>
      </c>
      <c r="G1498" s="3" t="str">
        <f>INDEX([1]Risk_Matrix!$B$2:$D$4,MATCH(E1498,[1]Risk_Matrix!$A$2:$A$4,0),MATCH(F1498,[1]Risk_Matrix!$B$1:$D$1,0))</f>
        <v>Low</v>
      </c>
      <c r="H1498" s="10">
        <v>46074</v>
      </c>
      <c r="I1498" s="3" t="s">
        <v>973</v>
      </c>
      <c r="J1498" s="3" t="s">
        <v>974</v>
      </c>
      <c r="K1498" s="3" t="s">
        <v>960</v>
      </c>
      <c r="L1498" s="3">
        <f>IF(G1498="High",3,IF(G1498="Medium",2,1))</f>
        <v>1</v>
      </c>
    </row>
    <row r="1499" spans="1:12">
      <c r="A1499" s="3" t="s">
        <v>2492</v>
      </c>
      <c r="B1499" s="3" t="s">
        <v>828</v>
      </c>
      <c r="C1499" s="3" t="s">
        <v>971</v>
      </c>
      <c r="D1499" s="3" t="s">
        <v>972</v>
      </c>
      <c r="E1499" s="3" t="s">
        <v>47</v>
      </c>
      <c r="F1499" s="3" t="s">
        <v>942</v>
      </c>
      <c r="G1499" s="3" t="str">
        <f>INDEX([1]Risk_Matrix!$B$2:$D$4,MATCH(E1499,[1]Risk_Matrix!$A$2:$A$4,0),MATCH(F1499,[1]Risk_Matrix!$B$1:$D$1,0))</f>
        <v>Low</v>
      </c>
      <c r="H1499" s="10">
        <v>46124</v>
      </c>
      <c r="I1499" s="3" t="s">
        <v>958</v>
      </c>
      <c r="J1499" s="3" t="s">
        <v>959</v>
      </c>
      <c r="K1499" s="3" t="s">
        <v>960</v>
      </c>
      <c r="L1499" s="3">
        <f>IF(G1499="High",3,IF(G1499="Medium",2,1))</f>
        <v>1</v>
      </c>
    </row>
    <row r="1500" spans="1:12">
      <c r="A1500" s="3" t="s">
        <v>2493</v>
      </c>
      <c r="B1500" s="3" t="s">
        <v>828</v>
      </c>
      <c r="C1500" s="3" t="s">
        <v>976</v>
      </c>
      <c r="D1500" s="3" t="s">
        <v>1002</v>
      </c>
      <c r="E1500" s="3" t="s">
        <v>47</v>
      </c>
      <c r="F1500" s="3" t="s">
        <v>47</v>
      </c>
      <c r="G1500" s="3" t="str">
        <f>INDEX([1]Risk_Matrix!$B$2:$D$4,MATCH(E1500,[1]Risk_Matrix!$A$2:$A$4,0),MATCH(F1500,[1]Risk_Matrix!$B$1:$D$1,0))</f>
        <v>Low</v>
      </c>
      <c r="H1500" s="10">
        <v>46168</v>
      </c>
      <c r="I1500" s="3" t="s">
        <v>973</v>
      </c>
      <c r="J1500" s="3" t="s">
        <v>974</v>
      </c>
      <c r="K1500" s="3" t="s">
        <v>960</v>
      </c>
      <c r="L1500" s="3">
        <f>IF(G1500="High",3,IF(G1500="Medium",2,1))</f>
        <v>1</v>
      </c>
    </row>
    <row r="1501" spans="1:12">
      <c r="A1501" s="3" t="s">
        <v>2494</v>
      </c>
      <c r="B1501" s="3" t="s">
        <v>828</v>
      </c>
      <c r="C1501" s="3" t="s">
        <v>979</v>
      </c>
      <c r="D1501" s="3" t="s">
        <v>1028</v>
      </c>
      <c r="E1501" s="3" t="s">
        <v>47</v>
      </c>
      <c r="F1501" s="3" t="s">
        <v>942</v>
      </c>
      <c r="G1501" s="3" t="str">
        <f>INDEX([1]Risk_Matrix!$B$2:$D$4,MATCH(E1501,[1]Risk_Matrix!$A$2:$A$4,0),MATCH(F1501,[1]Risk_Matrix!$B$1:$D$1,0))</f>
        <v>Low</v>
      </c>
      <c r="H1501" s="10">
        <v>46088</v>
      </c>
      <c r="I1501" s="3" t="s">
        <v>973</v>
      </c>
      <c r="J1501" s="3" t="s">
        <v>974</v>
      </c>
      <c r="K1501" s="3" t="s">
        <v>983</v>
      </c>
      <c r="L1501" s="3">
        <f>IF(G1501="High",3,IF(G1501="Medium",2,1))</f>
        <v>1</v>
      </c>
    </row>
    <row r="1502" spans="1:12">
      <c r="A1502" s="3" t="s">
        <v>2495</v>
      </c>
      <c r="B1502" s="3" t="s">
        <v>830</v>
      </c>
      <c r="C1502" s="3" t="s">
        <v>956</v>
      </c>
      <c r="D1502" s="3" t="s">
        <v>995</v>
      </c>
      <c r="E1502" s="3" t="s">
        <v>42</v>
      </c>
      <c r="F1502" s="3" t="s">
        <v>47</v>
      </c>
      <c r="G1502" s="3" t="str">
        <f>INDEX([1]Risk_Matrix!$B$2:$D$4,MATCH(E1502,[1]Risk_Matrix!$A$2:$A$4,0),MATCH(F1502,[1]Risk_Matrix!$B$1:$D$1,0))</f>
        <v>Medium</v>
      </c>
      <c r="H1502" s="10">
        <v>46097</v>
      </c>
      <c r="I1502" s="3" t="s">
        <v>981</v>
      </c>
      <c r="J1502" s="3" t="s">
        <v>982</v>
      </c>
      <c r="K1502" s="3" t="s">
        <v>960</v>
      </c>
      <c r="L1502" s="3">
        <f>IF(G1502="High",3,IF(G1502="Medium",2,1))</f>
        <v>2</v>
      </c>
    </row>
    <row r="1503" spans="1:12">
      <c r="A1503" s="3" t="s">
        <v>2496</v>
      </c>
      <c r="B1503" s="3" t="s">
        <v>830</v>
      </c>
      <c r="C1503" s="3" t="s">
        <v>962</v>
      </c>
      <c r="D1503" s="3" t="s">
        <v>986</v>
      </c>
      <c r="E1503" s="3" t="s">
        <v>47</v>
      </c>
      <c r="F1503" s="3" t="s">
        <v>942</v>
      </c>
      <c r="G1503" s="3" t="str">
        <f>INDEX([1]Risk_Matrix!$B$2:$D$4,MATCH(E1503,[1]Risk_Matrix!$A$2:$A$4,0),MATCH(F1503,[1]Risk_Matrix!$B$1:$D$1,0))</f>
        <v>Low</v>
      </c>
      <c r="H1503" s="10">
        <v>46232</v>
      </c>
      <c r="I1503" s="3" t="s">
        <v>973</v>
      </c>
      <c r="J1503" s="3" t="s">
        <v>974</v>
      </c>
      <c r="K1503" s="3" t="s">
        <v>960</v>
      </c>
      <c r="L1503" s="3">
        <f>IF(G1503="High",3,IF(G1503="Medium",2,1))</f>
        <v>1</v>
      </c>
    </row>
    <row r="1504" spans="1:12">
      <c r="A1504" s="3" t="s">
        <v>2497</v>
      </c>
      <c r="B1504" s="3" t="s">
        <v>830</v>
      </c>
      <c r="C1504" s="3" t="s">
        <v>965</v>
      </c>
      <c r="D1504" s="3" t="s">
        <v>966</v>
      </c>
      <c r="E1504" s="3" t="s">
        <v>47</v>
      </c>
      <c r="F1504" s="3" t="s">
        <v>47</v>
      </c>
      <c r="G1504" s="3" t="str">
        <f>INDEX([1]Risk_Matrix!$B$2:$D$4,MATCH(E1504,[1]Risk_Matrix!$A$2:$A$4,0),MATCH(F1504,[1]Risk_Matrix!$B$1:$D$1,0))</f>
        <v>Low</v>
      </c>
      <c r="H1504" s="10">
        <v>46230</v>
      </c>
      <c r="I1504" s="3" t="s">
        <v>981</v>
      </c>
      <c r="J1504" s="3" t="s">
        <v>982</v>
      </c>
      <c r="K1504" s="3" t="s">
        <v>969</v>
      </c>
      <c r="L1504" s="3">
        <f>IF(G1504="High",3,IF(G1504="Medium",2,1))</f>
        <v>1</v>
      </c>
    </row>
    <row r="1505" spans="1:12">
      <c r="A1505" s="3" t="s">
        <v>2498</v>
      </c>
      <c r="B1505" s="3" t="s">
        <v>830</v>
      </c>
      <c r="C1505" s="3" t="s">
        <v>971</v>
      </c>
      <c r="D1505" s="3" t="s">
        <v>1025</v>
      </c>
      <c r="E1505" s="3" t="s">
        <v>942</v>
      </c>
      <c r="F1505" s="3" t="s">
        <v>942</v>
      </c>
      <c r="G1505" s="3" t="str">
        <f>INDEX([1]Risk_Matrix!$B$2:$D$4,MATCH(E1505,[1]Risk_Matrix!$A$2:$A$4,0),MATCH(F1505,[1]Risk_Matrix!$B$1:$D$1,0))</f>
        <v>Medium</v>
      </c>
      <c r="H1505" s="10">
        <v>46224</v>
      </c>
      <c r="I1505" s="3" t="s">
        <v>981</v>
      </c>
      <c r="J1505" s="3" t="s">
        <v>982</v>
      </c>
      <c r="K1505" s="3" t="s">
        <v>983</v>
      </c>
      <c r="L1505" s="3">
        <f>IF(G1505="High",3,IF(G1505="Medium",2,1))</f>
        <v>2</v>
      </c>
    </row>
    <row r="1506" spans="1:12">
      <c r="A1506" s="3" t="s">
        <v>2499</v>
      </c>
      <c r="B1506" s="3" t="s">
        <v>830</v>
      </c>
      <c r="C1506" s="3" t="s">
        <v>976</v>
      </c>
      <c r="D1506" s="3" t="s">
        <v>991</v>
      </c>
      <c r="E1506" s="3" t="s">
        <v>47</v>
      </c>
      <c r="F1506" s="3" t="s">
        <v>47</v>
      </c>
      <c r="G1506" s="3" t="str">
        <f>INDEX([1]Risk_Matrix!$B$2:$D$4,MATCH(E1506,[1]Risk_Matrix!$A$2:$A$4,0),MATCH(F1506,[1]Risk_Matrix!$B$1:$D$1,0))</f>
        <v>Low</v>
      </c>
      <c r="H1506" s="10">
        <v>46105</v>
      </c>
      <c r="I1506" s="3" t="s">
        <v>973</v>
      </c>
      <c r="J1506" s="3" t="s">
        <v>974</v>
      </c>
      <c r="K1506" s="3" t="s">
        <v>983</v>
      </c>
      <c r="L1506" s="3">
        <f>IF(G1506="High",3,IF(G1506="Medium",2,1))</f>
        <v>1</v>
      </c>
    </row>
    <row r="1507" spans="1:12">
      <c r="A1507" s="3" t="s">
        <v>2500</v>
      </c>
      <c r="B1507" s="3" t="s">
        <v>830</v>
      </c>
      <c r="C1507" s="3" t="s">
        <v>979</v>
      </c>
      <c r="D1507" s="3" t="s">
        <v>980</v>
      </c>
      <c r="E1507" s="3" t="s">
        <v>47</v>
      </c>
      <c r="F1507" s="3" t="s">
        <v>942</v>
      </c>
      <c r="G1507" s="3" t="str">
        <f>INDEX([1]Risk_Matrix!$B$2:$D$4,MATCH(E1507,[1]Risk_Matrix!$A$2:$A$4,0),MATCH(F1507,[1]Risk_Matrix!$B$1:$D$1,0))</f>
        <v>Low</v>
      </c>
      <c r="H1507" s="10">
        <v>46152</v>
      </c>
      <c r="I1507" s="3" t="s">
        <v>958</v>
      </c>
      <c r="J1507" s="3" t="s">
        <v>959</v>
      </c>
      <c r="K1507" s="3" t="s">
        <v>993</v>
      </c>
      <c r="L1507" s="3">
        <f>IF(G1507="High",3,IF(G1507="Medium",2,1))</f>
        <v>1</v>
      </c>
    </row>
    <row r="1508" spans="1:12">
      <c r="A1508" s="3" t="s">
        <v>2501</v>
      </c>
      <c r="B1508" s="3" t="s">
        <v>832</v>
      </c>
      <c r="C1508" s="3" t="s">
        <v>956</v>
      </c>
      <c r="D1508" s="3" t="s">
        <v>1012</v>
      </c>
      <c r="E1508" s="3" t="s">
        <v>47</v>
      </c>
      <c r="F1508" s="3" t="s">
        <v>47</v>
      </c>
      <c r="G1508" s="3" t="str">
        <f>INDEX([1]Risk_Matrix!$B$2:$D$4,MATCH(E1508,[1]Risk_Matrix!$A$2:$A$4,0),MATCH(F1508,[1]Risk_Matrix!$B$1:$D$1,0))</f>
        <v>Low</v>
      </c>
      <c r="H1508" s="10">
        <v>46223</v>
      </c>
      <c r="I1508" s="3" t="s">
        <v>967</v>
      </c>
      <c r="J1508" s="3" t="s">
        <v>968</v>
      </c>
      <c r="K1508" s="3" t="s">
        <v>1000</v>
      </c>
      <c r="L1508" s="3">
        <f>IF(G1508="High",3,IF(G1508="Medium",2,1))</f>
        <v>1</v>
      </c>
    </row>
    <row r="1509" spans="1:12">
      <c r="A1509" s="3" t="s">
        <v>2502</v>
      </c>
      <c r="B1509" s="3" t="s">
        <v>832</v>
      </c>
      <c r="C1509" s="3" t="s">
        <v>962</v>
      </c>
      <c r="D1509" s="3" t="s">
        <v>997</v>
      </c>
      <c r="E1509" s="3" t="s">
        <v>942</v>
      </c>
      <c r="F1509" s="3" t="s">
        <v>47</v>
      </c>
      <c r="G1509" s="3" t="str">
        <f>INDEX([1]Risk_Matrix!$B$2:$D$4,MATCH(E1509,[1]Risk_Matrix!$A$2:$A$4,0),MATCH(F1509,[1]Risk_Matrix!$B$1:$D$1,0))</f>
        <v>Low</v>
      </c>
      <c r="H1509" s="10">
        <v>46216</v>
      </c>
      <c r="I1509" s="3" t="s">
        <v>973</v>
      </c>
      <c r="J1509" s="3" t="s">
        <v>974</v>
      </c>
      <c r="K1509" s="3" t="s">
        <v>983</v>
      </c>
      <c r="L1509" s="3">
        <f>IF(G1509="High",3,IF(G1509="Medium",2,1))</f>
        <v>1</v>
      </c>
    </row>
    <row r="1510" spans="1:12">
      <c r="A1510" s="3" t="s">
        <v>2503</v>
      </c>
      <c r="B1510" s="3" t="s">
        <v>832</v>
      </c>
      <c r="C1510" s="3" t="s">
        <v>965</v>
      </c>
      <c r="D1510" s="3" t="s">
        <v>988</v>
      </c>
      <c r="E1510" s="3" t="s">
        <v>47</v>
      </c>
      <c r="F1510" s="3" t="s">
        <v>942</v>
      </c>
      <c r="G1510" s="3" t="str">
        <f>INDEX([1]Risk_Matrix!$B$2:$D$4,MATCH(E1510,[1]Risk_Matrix!$A$2:$A$4,0),MATCH(F1510,[1]Risk_Matrix!$B$1:$D$1,0))</f>
        <v>Low</v>
      </c>
      <c r="H1510" s="10">
        <v>46180</v>
      </c>
      <c r="I1510" s="3" t="s">
        <v>981</v>
      </c>
      <c r="J1510" s="3" t="s">
        <v>982</v>
      </c>
      <c r="K1510" s="3" t="s">
        <v>983</v>
      </c>
      <c r="L1510" s="3">
        <f>IF(G1510="High",3,IF(G1510="Medium",2,1))</f>
        <v>1</v>
      </c>
    </row>
    <row r="1511" spans="1:12">
      <c r="A1511" s="3" t="s">
        <v>2504</v>
      </c>
      <c r="B1511" s="3" t="s">
        <v>832</v>
      </c>
      <c r="C1511" s="3" t="s">
        <v>971</v>
      </c>
      <c r="D1511" s="3" t="s">
        <v>972</v>
      </c>
      <c r="E1511" s="3" t="s">
        <v>942</v>
      </c>
      <c r="F1511" s="3" t="s">
        <v>942</v>
      </c>
      <c r="G1511" s="3" t="str">
        <f>INDEX([1]Risk_Matrix!$B$2:$D$4,MATCH(E1511,[1]Risk_Matrix!$A$2:$A$4,0),MATCH(F1511,[1]Risk_Matrix!$B$1:$D$1,0))</f>
        <v>Medium</v>
      </c>
      <c r="H1511" s="10">
        <v>46060</v>
      </c>
      <c r="I1511" s="3" t="s">
        <v>973</v>
      </c>
      <c r="J1511" s="3" t="s">
        <v>974</v>
      </c>
      <c r="K1511" s="3" t="s">
        <v>983</v>
      </c>
      <c r="L1511" s="3">
        <f>IF(G1511="High",3,IF(G1511="Medium",2,1))</f>
        <v>2</v>
      </c>
    </row>
    <row r="1512" spans="1:12">
      <c r="A1512" s="3" t="s">
        <v>2505</v>
      </c>
      <c r="B1512" s="3" t="s">
        <v>832</v>
      </c>
      <c r="C1512" s="3" t="s">
        <v>976</v>
      </c>
      <c r="D1512" s="3" t="s">
        <v>991</v>
      </c>
      <c r="E1512" s="3" t="s">
        <v>47</v>
      </c>
      <c r="F1512" s="3" t="s">
        <v>47</v>
      </c>
      <c r="G1512" s="3" t="str">
        <f>INDEX([1]Risk_Matrix!$B$2:$D$4,MATCH(E1512,[1]Risk_Matrix!$A$2:$A$4,0),MATCH(F1512,[1]Risk_Matrix!$B$1:$D$1,0))</f>
        <v>Low</v>
      </c>
      <c r="H1512" s="10">
        <v>46199</v>
      </c>
      <c r="I1512" s="3" t="s">
        <v>973</v>
      </c>
      <c r="J1512" s="3" t="s">
        <v>974</v>
      </c>
      <c r="K1512" s="3" t="s">
        <v>983</v>
      </c>
      <c r="L1512" s="3">
        <f>IF(G1512="High",3,IF(G1512="Medium",2,1))</f>
        <v>1</v>
      </c>
    </row>
    <row r="1513" spans="1:12">
      <c r="A1513" s="3" t="s">
        <v>2506</v>
      </c>
      <c r="B1513" s="3" t="s">
        <v>832</v>
      </c>
      <c r="C1513" s="3" t="s">
        <v>979</v>
      </c>
      <c r="D1513" s="3" t="s">
        <v>980</v>
      </c>
      <c r="E1513" s="3" t="s">
        <v>47</v>
      </c>
      <c r="F1513" s="3" t="s">
        <v>47</v>
      </c>
      <c r="G1513" s="3" t="str">
        <f>INDEX([1]Risk_Matrix!$B$2:$D$4,MATCH(E1513,[1]Risk_Matrix!$A$2:$A$4,0),MATCH(F1513,[1]Risk_Matrix!$B$1:$D$1,0))</f>
        <v>Low</v>
      </c>
      <c r="H1513" s="10">
        <v>46137</v>
      </c>
      <c r="I1513" s="3" t="s">
        <v>967</v>
      </c>
      <c r="J1513" s="3" t="s">
        <v>968</v>
      </c>
      <c r="K1513" s="3" t="s">
        <v>993</v>
      </c>
      <c r="L1513" s="3">
        <f>IF(G1513="High",3,IF(G1513="Medium",2,1))</f>
        <v>1</v>
      </c>
    </row>
    <row r="1514" spans="1:12">
      <c r="A1514" s="3" t="s">
        <v>2507</v>
      </c>
      <c r="B1514" s="3" t="s">
        <v>833</v>
      </c>
      <c r="C1514" s="3" t="s">
        <v>956</v>
      </c>
      <c r="D1514" s="3" t="s">
        <v>995</v>
      </c>
      <c r="E1514" s="3" t="s">
        <v>47</v>
      </c>
      <c r="F1514" s="3" t="s">
        <v>942</v>
      </c>
      <c r="G1514" s="3" t="str">
        <f>INDEX([1]Risk_Matrix!$B$2:$D$4,MATCH(E1514,[1]Risk_Matrix!$A$2:$A$4,0),MATCH(F1514,[1]Risk_Matrix!$B$1:$D$1,0))</f>
        <v>Low</v>
      </c>
      <c r="H1514" s="10">
        <v>46098</v>
      </c>
      <c r="I1514" s="3" t="s">
        <v>967</v>
      </c>
      <c r="J1514" s="3" t="s">
        <v>968</v>
      </c>
      <c r="K1514" s="3" t="s">
        <v>993</v>
      </c>
      <c r="L1514" s="3">
        <f>IF(G1514="High",3,IF(G1514="Medium",2,1))</f>
        <v>1</v>
      </c>
    </row>
    <row r="1515" spans="1:12">
      <c r="A1515" s="3" t="s">
        <v>2508</v>
      </c>
      <c r="B1515" s="3" t="s">
        <v>833</v>
      </c>
      <c r="C1515" s="3" t="s">
        <v>962</v>
      </c>
      <c r="D1515" s="3" t="s">
        <v>963</v>
      </c>
      <c r="E1515" s="3" t="s">
        <v>47</v>
      </c>
      <c r="F1515" s="3" t="s">
        <v>47</v>
      </c>
      <c r="G1515" s="3" t="str">
        <f>INDEX([1]Risk_Matrix!$B$2:$D$4,MATCH(E1515,[1]Risk_Matrix!$A$2:$A$4,0),MATCH(F1515,[1]Risk_Matrix!$B$1:$D$1,0))</f>
        <v>Low</v>
      </c>
      <c r="H1515" s="10">
        <v>46113</v>
      </c>
      <c r="I1515" s="3" t="s">
        <v>973</v>
      </c>
      <c r="J1515" s="3" t="s">
        <v>974</v>
      </c>
      <c r="K1515" s="3" t="s">
        <v>993</v>
      </c>
      <c r="L1515" s="3">
        <f>IF(G1515="High",3,IF(G1515="Medium",2,1))</f>
        <v>1</v>
      </c>
    </row>
    <row r="1516" spans="1:12">
      <c r="A1516" s="3" t="s">
        <v>2509</v>
      </c>
      <c r="B1516" s="3" t="s">
        <v>833</v>
      </c>
      <c r="C1516" s="3" t="s">
        <v>965</v>
      </c>
      <c r="D1516" s="3" t="s">
        <v>966</v>
      </c>
      <c r="E1516" s="3" t="s">
        <v>942</v>
      </c>
      <c r="F1516" s="3" t="s">
        <v>942</v>
      </c>
      <c r="G1516" s="3" t="str">
        <f>INDEX([1]Risk_Matrix!$B$2:$D$4,MATCH(E1516,[1]Risk_Matrix!$A$2:$A$4,0),MATCH(F1516,[1]Risk_Matrix!$B$1:$D$1,0))</f>
        <v>Medium</v>
      </c>
      <c r="H1516" s="10">
        <v>46196</v>
      </c>
      <c r="I1516" s="3" t="s">
        <v>973</v>
      </c>
      <c r="J1516" s="3" t="s">
        <v>974</v>
      </c>
      <c r="K1516" s="3" t="s">
        <v>960</v>
      </c>
      <c r="L1516" s="3">
        <f>IF(G1516="High",3,IF(G1516="Medium",2,1))</f>
        <v>2</v>
      </c>
    </row>
    <row r="1517" spans="1:12">
      <c r="A1517" s="3" t="s">
        <v>2510</v>
      </c>
      <c r="B1517" s="3" t="s">
        <v>833</v>
      </c>
      <c r="C1517" s="3" t="s">
        <v>971</v>
      </c>
      <c r="D1517" s="3" t="s">
        <v>972</v>
      </c>
      <c r="E1517" s="3" t="s">
        <v>47</v>
      </c>
      <c r="F1517" s="3" t="s">
        <v>47</v>
      </c>
      <c r="G1517" s="3" t="str">
        <f>INDEX([1]Risk_Matrix!$B$2:$D$4,MATCH(E1517,[1]Risk_Matrix!$A$2:$A$4,0),MATCH(F1517,[1]Risk_Matrix!$B$1:$D$1,0))</f>
        <v>Low</v>
      </c>
      <c r="H1517" s="10">
        <v>46079</v>
      </c>
      <c r="I1517" s="3" t="s">
        <v>967</v>
      </c>
      <c r="J1517" s="3" t="s">
        <v>968</v>
      </c>
      <c r="K1517" s="3" t="s">
        <v>969</v>
      </c>
      <c r="L1517" s="3">
        <f>IF(G1517="High",3,IF(G1517="Medium",2,1))</f>
        <v>1</v>
      </c>
    </row>
    <row r="1518" spans="1:12">
      <c r="A1518" s="3" t="s">
        <v>2511</v>
      </c>
      <c r="B1518" s="3" t="s">
        <v>833</v>
      </c>
      <c r="C1518" s="3" t="s">
        <v>976</v>
      </c>
      <c r="D1518" s="3" t="s">
        <v>991</v>
      </c>
      <c r="E1518" s="3" t="s">
        <v>942</v>
      </c>
      <c r="F1518" s="3" t="s">
        <v>942</v>
      </c>
      <c r="G1518" s="3" t="str">
        <f>INDEX([1]Risk_Matrix!$B$2:$D$4,MATCH(E1518,[1]Risk_Matrix!$A$2:$A$4,0),MATCH(F1518,[1]Risk_Matrix!$B$1:$D$1,0))</f>
        <v>Medium</v>
      </c>
      <c r="H1518" s="10">
        <v>46187</v>
      </c>
      <c r="I1518" s="3" t="s">
        <v>973</v>
      </c>
      <c r="J1518" s="3" t="s">
        <v>974</v>
      </c>
      <c r="K1518" s="3" t="s">
        <v>1000</v>
      </c>
      <c r="L1518" s="3">
        <f>IF(G1518="High",3,IF(G1518="Medium",2,1))</f>
        <v>2</v>
      </c>
    </row>
    <row r="1519" spans="1:12">
      <c r="A1519" s="3" t="s">
        <v>2512</v>
      </c>
      <c r="B1519" s="3" t="s">
        <v>833</v>
      </c>
      <c r="C1519" s="3" t="s">
        <v>979</v>
      </c>
      <c r="D1519" s="3" t="s">
        <v>1028</v>
      </c>
      <c r="E1519" s="3" t="s">
        <v>47</v>
      </c>
      <c r="F1519" s="3" t="s">
        <v>47</v>
      </c>
      <c r="G1519" s="3" t="str">
        <f>INDEX([1]Risk_Matrix!$B$2:$D$4,MATCH(E1519,[1]Risk_Matrix!$A$2:$A$4,0),MATCH(F1519,[1]Risk_Matrix!$B$1:$D$1,0))</f>
        <v>Low</v>
      </c>
      <c r="H1519" s="10">
        <v>46208</v>
      </c>
      <c r="I1519" s="3" t="s">
        <v>973</v>
      </c>
      <c r="J1519" s="3" t="s">
        <v>974</v>
      </c>
      <c r="K1519" s="3" t="s">
        <v>969</v>
      </c>
      <c r="L1519" s="3">
        <f>IF(G1519="High",3,IF(G1519="Medium",2,1))</f>
        <v>1</v>
      </c>
    </row>
    <row r="1520" spans="1:12">
      <c r="A1520" s="3" t="s">
        <v>2513</v>
      </c>
      <c r="B1520" s="3" t="s">
        <v>835</v>
      </c>
      <c r="C1520" s="3" t="s">
        <v>956</v>
      </c>
      <c r="D1520" s="3" t="s">
        <v>1012</v>
      </c>
      <c r="E1520" s="3" t="s">
        <v>47</v>
      </c>
      <c r="F1520" s="3" t="s">
        <v>942</v>
      </c>
      <c r="G1520" s="3" t="str">
        <f>INDEX([1]Risk_Matrix!$B$2:$D$4,MATCH(E1520,[1]Risk_Matrix!$A$2:$A$4,0),MATCH(F1520,[1]Risk_Matrix!$B$1:$D$1,0))</f>
        <v>Low</v>
      </c>
      <c r="H1520" s="10">
        <v>46107</v>
      </c>
      <c r="I1520" s="3" t="s">
        <v>967</v>
      </c>
      <c r="J1520" s="3" t="s">
        <v>968</v>
      </c>
      <c r="K1520" s="3" t="s">
        <v>960</v>
      </c>
      <c r="L1520" s="3">
        <f>IF(G1520="High",3,IF(G1520="Medium",2,1))</f>
        <v>1</v>
      </c>
    </row>
    <row r="1521" spans="1:12">
      <c r="A1521" s="3" t="s">
        <v>2514</v>
      </c>
      <c r="B1521" s="3" t="s">
        <v>835</v>
      </c>
      <c r="C1521" s="3" t="s">
        <v>962</v>
      </c>
      <c r="D1521" s="3" t="s">
        <v>1037</v>
      </c>
      <c r="E1521" s="3" t="s">
        <v>47</v>
      </c>
      <c r="F1521" s="3" t="s">
        <v>47</v>
      </c>
      <c r="G1521" s="3" t="str">
        <f>INDEX([1]Risk_Matrix!$B$2:$D$4,MATCH(E1521,[1]Risk_Matrix!$A$2:$A$4,0),MATCH(F1521,[1]Risk_Matrix!$B$1:$D$1,0))</f>
        <v>Low</v>
      </c>
      <c r="H1521" s="10">
        <v>46186</v>
      </c>
      <c r="I1521" s="3" t="s">
        <v>981</v>
      </c>
      <c r="J1521" s="3" t="s">
        <v>982</v>
      </c>
      <c r="K1521" s="3" t="s">
        <v>983</v>
      </c>
      <c r="L1521" s="3">
        <f>IF(G1521="High",3,IF(G1521="Medium",2,1))</f>
        <v>1</v>
      </c>
    </row>
    <row r="1522" spans="1:12">
      <c r="A1522" s="3" t="s">
        <v>2515</v>
      </c>
      <c r="B1522" s="3" t="s">
        <v>835</v>
      </c>
      <c r="C1522" s="3" t="s">
        <v>965</v>
      </c>
      <c r="D1522" s="3" t="s">
        <v>966</v>
      </c>
      <c r="E1522" s="3" t="s">
        <v>942</v>
      </c>
      <c r="F1522" s="3" t="s">
        <v>942</v>
      </c>
      <c r="G1522" s="3" t="str">
        <f>INDEX([1]Risk_Matrix!$B$2:$D$4,MATCH(E1522,[1]Risk_Matrix!$A$2:$A$4,0),MATCH(F1522,[1]Risk_Matrix!$B$1:$D$1,0))</f>
        <v>Medium</v>
      </c>
      <c r="H1522" s="10">
        <v>46161</v>
      </c>
      <c r="I1522" s="3" t="s">
        <v>981</v>
      </c>
      <c r="J1522" s="3" t="s">
        <v>982</v>
      </c>
      <c r="K1522" s="3" t="s">
        <v>969</v>
      </c>
      <c r="L1522" s="3">
        <f>IF(G1522="High",3,IF(G1522="Medium",2,1))</f>
        <v>2</v>
      </c>
    </row>
    <row r="1523" spans="1:12">
      <c r="A1523" s="3" t="s">
        <v>2516</v>
      </c>
      <c r="B1523" s="3" t="s">
        <v>835</v>
      </c>
      <c r="C1523" s="3" t="s">
        <v>971</v>
      </c>
      <c r="D1523" s="3" t="s">
        <v>1025</v>
      </c>
      <c r="E1523" s="3" t="s">
        <v>47</v>
      </c>
      <c r="F1523" s="3" t="s">
        <v>942</v>
      </c>
      <c r="G1523" s="3" t="str">
        <f>INDEX([1]Risk_Matrix!$B$2:$D$4,MATCH(E1523,[1]Risk_Matrix!$A$2:$A$4,0),MATCH(F1523,[1]Risk_Matrix!$B$1:$D$1,0))</f>
        <v>Low</v>
      </c>
      <c r="H1523" s="10">
        <v>46174</v>
      </c>
      <c r="I1523" s="3" t="s">
        <v>967</v>
      </c>
      <c r="J1523" s="3" t="s">
        <v>968</v>
      </c>
      <c r="K1523" s="3" t="s">
        <v>983</v>
      </c>
      <c r="L1523" s="3">
        <f>IF(G1523="High",3,IF(G1523="Medium",2,1))</f>
        <v>1</v>
      </c>
    </row>
    <row r="1524" spans="1:12">
      <c r="A1524" s="3" t="s">
        <v>2517</v>
      </c>
      <c r="B1524" s="3" t="s">
        <v>835</v>
      </c>
      <c r="C1524" s="3" t="s">
        <v>976</v>
      </c>
      <c r="D1524" s="3" t="s">
        <v>1002</v>
      </c>
      <c r="E1524" s="3" t="s">
        <v>47</v>
      </c>
      <c r="F1524" s="3" t="s">
        <v>47</v>
      </c>
      <c r="G1524" s="3" t="str">
        <f>INDEX([1]Risk_Matrix!$B$2:$D$4,MATCH(E1524,[1]Risk_Matrix!$A$2:$A$4,0),MATCH(F1524,[1]Risk_Matrix!$B$1:$D$1,0))</f>
        <v>Low</v>
      </c>
      <c r="H1524" s="10">
        <v>46153</v>
      </c>
      <c r="I1524" s="3" t="s">
        <v>981</v>
      </c>
      <c r="J1524" s="3" t="s">
        <v>982</v>
      </c>
      <c r="K1524" s="3" t="s">
        <v>983</v>
      </c>
      <c r="L1524" s="3">
        <f>IF(G1524="High",3,IF(G1524="Medium",2,1))</f>
        <v>1</v>
      </c>
    </row>
    <row r="1525" spans="1:12">
      <c r="A1525" s="3" t="s">
        <v>2518</v>
      </c>
      <c r="B1525" s="3" t="s">
        <v>835</v>
      </c>
      <c r="C1525" s="3" t="s">
        <v>979</v>
      </c>
      <c r="D1525" s="3" t="s">
        <v>1028</v>
      </c>
      <c r="E1525" s="3" t="s">
        <v>42</v>
      </c>
      <c r="F1525" s="3" t="s">
        <v>47</v>
      </c>
      <c r="G1525" s="3" t="str">
        <f>INDEX([1]Risk_Matrix!$B$2:$D$4,MATCH(E1525,[1]Risk_Matrix!$A$2:$A$4,0),MATCH(F1525,[1]Risk_Matrix!$B$1:$D$1,0))</f>
        <v>Medium</v>
      </c>
      <c r="H1525" s="10">
        <v>46138</v>
      </c>
      <c r="I1525" s="3" t="s">
        <v>973</v>
      </c>
      <c r="J1525" s="3" t="s">
        <v>974</v>
      </c>
      <c r="K1525" s="3" t="s">
        <v>1000</v>
      </c>
      <c r="L1525" s="3">
        <f>IF(G1525="High",3,IF(G1525="Medium",2,1))</f>
        <v>2</v>
      </c>
    </row>
    <row r="1526" spans="1:12">
      <c r="A1526" s="3" t="s">
        <v>2519</v>
      </c>
      <c r="B1526" s="3" t="s">
        <v>837</v>
      </c>
      <c r="C1526" s="3" t="s">
        <v>956</v>
      </c>
      <c r="D1526" s="3" t="s">
        <v>1020</v>
      </c>
      <c r="E1526" s="3" t="s">
        <v>42</v>
      </c>
      <c r="F1526" s="3" t="s">
        <v>47</v>
      </c>
      <c r="G1526" s="3" t="str">
        <f>INDEX([1]Risk_Matrix!$B$2:$D$4,MATCH(E1526,[1]Risk_Matrix!$A$2:$A$4,0),MATCH(F1526,[1]Risk_Matrix!$B$1:$D$1,0))</f>
        <v>Medium</v>
      </c>
      <c r="H1526" s="10">
        <v>46068</v>
      </c>
      <c r="I1526" s="3" t="s">
        <v>967</v>
      </c>
      <c r="J1526" s="3" t="s">
        <v>968</v>
      </c>
      <c r="K1526" s="3" t="s">
        <v>983</v>
      </c>
      <c r="L1526" s="3">
        <f>IF(G1526="High",3,IF(G1526="Medium",2,1))</f>
        <v>2</v>
      </c>
    </row>
    <row r="1527" spans="1:12">
      <c r="A1527" s="3" t="s">
        <v>2520</v>
      </c>
      <c r="B1527" s="3" t="s">
        <v>837</v>
      </c>
      <c r="C1527" s="3" t="s">
        <v>962</v>
      </c>
      <c r="D1527" s="3" t="s">
        <v>963</v>
      </c>
      <c r="E1527" s="3" t="s">
        <v>942</v>
      </c>
      <c r="F1527" s="3" t="s">
        <v>42</v>
      </c>
      <c r="G1527" s="3" t="str">
        <f>INDEX([1]Risk_Matrix!$B$2:$D$4,MATCH(E1527,[1]Risk_Matrix!$A$2:$A$4,0),MATCH(F1527,[1]Risk_Matrix!$B$1:$D$1,0))</f>
        <v>High</v>
      </c>
      <c r="H1527" s="10">
        <v>46080</v>
      </c>
      <c r="I1527" s="3" t="s">
        <v>981</v>
      </c>
      <c r="J1527" s="3" t="s">
        <v>982</v>
      </c>
      <c r="K1527" s="3" t="s">
        <v>993</v>
      </c>
      <c r="L1527" s="3">
        <f>IF(G1527="High",3,IF(G1527="Medium",2,1))</f>
        <v>3</v>
      </c>
    </row>
    <row r="1528" spans="1:12">
      <c r="A1528" s="3" t="s">
        <v>2521</v>
      </c>
      <c r="B1528" s="3" t="s">
        <v>837</v>
      </c>
      <c r="C1528" s="3" t="s">
        <v>965</v>
      </c>
      <c r="D1528" s="3" t="s">
        <v>1023</v>
      </c>
      <c r="E1528" s="3" t="s">
        <v>42</v>
      </c>
      <c r="F1528" s="3" t="s">
        <v>42</v>
      </c>
      <c r="G1528" s="3" t="str">
        <f>INDEX([1]Risk_Matrix!$B$2:$D$4,MATCH(E1528,[1]Risk_Matrix!$A$2:$A$4,0),MATCH(F1528,[1]Risk_Matrix!$B$1:$D$1,0))</f>
        <v>High</v>
      </c>
      <c r="H1528" s="10">
        <v>46141</v>
      </c>
      <c r="I1528" s="3" t="s">
        <v>973</v>
      </c>
      <c r="J1528" s="3" t="s">
        <v>974</v>
      </c>
      <c r="K1528" s="3" t="s">
        <v>1000</v>
      </c>
      <c r="L1528" s="3">
        <f>IF(G1528="High",3,IF(G1528="Medium",2,1))</f>
        <v>3</v>
      </c>
    </row>
    <row r="1529" spans="1:12">
      <c r="A1529" s="3" t="s">
        <v>2522</v>
      </c>
      <c r="B1529" s="3" t="s">
        <v>837</v>
      </c>
      <c r="C1529" s="3" t="s">
        <v>971</v>
      </c>
      <c r="D1529" s="3" t="s">
        <v>972</v>
      </c>
      <c r="E1529" s="3" t="s">
        <v>47</v>
      </c>
      <c r="F1529" s="3" t="s">
        <v>47</v>
      </c>
      <c r="G1529" s="3" t="str">
        <f>INDEX([1]Risk_Matrix!$B$2:$D$4,MATCH(E1529,[1]Risk_Matrix!$A$2:$A$4,0),MATCH(F1529,[1]Risk_Matrix!$B$1:$D$1,0))</f>
        <v>Low</v>
      </c>
      <c r="H1529" s="10">
        <v>46130</v>
      </c>
      <c r="I1529" s="3" t="s">
        <v>967</v>
      </c>
      <c r="J1529" s="3" t="s">
        <v>968</v>
      </c>
      <c r="K1529" s="3" t="s">
        <v>969</v>
      </c>
      <c r="L1529" s="3">
        <f>IF(G1529="High",3,IF(G1529="Medium",2,1))</f>
        <v>1</v>
      </c>
    </row>
    <row r="1530" spans="1:12">
      <c r="A1530" s="3" t="s">
        <v>2523</v>
      </c>
      <c r="B1530" s="3" t="s">
        <v>837</v>
      </c>
      <c r="C1530" s="3" t="s">
        <v>976</v>
      </c>
      <c r="D1530" s="3" t="s">
        <v>977</v>
      </c>
      <c r="E1530" s="3" t="s">
        <v>47</v>
      </c>
      <c r="F1530" s="3" t="s">
        <v>942</v>
      </c>
      <c r="G1530" s="3" t="str">
        <f>INDEX([1]Risk_Matrix!$B$2:$D$4,MATCH(E1530,[1]Risk_Matrix!$A$2:$A$4,0),MATCH(F1530,[1]Risk_Matrix!$B$1:$D$1,0))</f>
        <v>Low</v>
      </c>
      <c r="H1530" s="10">
        <v>46230</v>
      </c>
      <c r="I1530" s="3" t="s">
        <v>973</v>
      </c>
      <c r="J1530" s="3" t="s">
        <v>974</v>
      </c>
      <c r="K1530" s="3" t="s">
        <v>993</v>
      </c>
      <c r="L1530" s="3">
        <f>IF(G1530="High",3,IF(G1530="Medium",2,1))</f>
        <v>1</v>
      </c>
    </row>
    <row r="1531" spans="1:12">
      <c r="A1531" s="3" t="s">
        <v>2524</v>
      </c>
      <c r="B1531" s="3" t="s">
        <v>837</v>
      </c>
      <c r="C1531" s="3" t="s">
        <v>979</v>
      </c>
      <c r="D1531" s="3" t="s">
        <v>1028</v>
      </c>
      <c r="E1531" s="3" t="s">
        <v>47</v>
      </c>
      <c r="F1531" s="3" t="s">
        <v>47</v>
      </c>
      <c r="G1531" s="3" t="str">
        <f>INDEX([1]Risk_Matrix!$B$2:$D$4,MATCH(E1531,[1]Risk_Matrix!$A$2:$A$4,0),MATCH(F1531,[1]Risk_Matrix!$B$1:$D$1,0))</f>
        <v>Low</v>
      </c>
      <c r="H1531" s="10">
        <v>46186</v>
      </c>
      <c r="I1531" s="3" t="s">
        <v>981</v>
      </c>
      <c r="J1531" s="3" t="s">
        <v>982</v>
      </c>
      <c r="K1531" s="3" t="s">
        <v>993</v>
      </c>
      <c r="L1531" s="3">
        <f>IF(G1531="High",3,IF(G1531="Medium",2,1))</f>
        <v>1</v>
      </c>
    </row>
    <row r="1532" spans="1:12">
      <c r="A1532" s="3" t="s">
        <v>2525</v>
      </c>
      <c r="B1532" s="3" t="s">
        <v>838</v>
      </c>
      <c r="C1532" s="3" t="s">
        <v>956</v>
      </c>
      <c r="D1532" s="3" t="s">
        <v>957</v>
      </c>
      <c r="E1532" s="3" t="s">
        <v>42</v>
      </c>
      <c r="F1532" s="3" t="s">
        <v>42</v>
      </c>
      <c r="G1532" s="3" t="str">
        <f>INDEX([1]Risk_Matrix!$B$2:$D$4,MATCH(E1532,[1]Risk_Matrix!$A$2:$A$4,0),MATCH(F1532,[1]Risk_Matrix!$B$1:$D$1,0))</f>
        <v>High</v>
      </c>
      <c r="H1532" s="10">
        <v>46210</v>
      </c>
      <c r="I1532" s="3" t="s">
        <v>973</v>
      </c>
      <c r="J1532" s="3" t="s">
        <v>974</v>
      </c>
      <c r="K1532" s="3" t="s">
        <v>993</v>
      </c>
      <c r="L1532" s="3">
        <f>IF(G1532="High",3,IF(G1532="Medium",2,1))</f>
        <v>3</v>
      </c>
    </row>
    <row r="1533" spans="1:12">
      <c r="A1533" s="3" t="s">
        <v>2526</v>
      </c>
      <c r="B1533" s="3" t="s">
        <v>838</v>
      </c>
      <c r="C1533" s="3" t="s">
        <v>962</v>
      </c>
      <c r="D1533" s="3" t="s">
        <v>1037</v>
      </c>
      <c r="E1533" s="3" t="s">
        <v>47</v>
      </c>
      <c r="F1533" s="3" t="s">
        <v>42</v>
      </c>
      <c r="G1533" s="3" t="str">
        <f>INDEX([1]Risk_Matrix!$B$2:$D$4,MATCH(E1533,[1]Risk_Matrix!$A$2:$A$4,0),MATCH(F1533,[1]Risk_Matrix!$B$1:$D$1,0))</f>
        <v>Medium</v>
      </c>
      <c r="H1533" s="10">
        <v>46169</v>
      </c>
      <c r="I1533" s="3" t="s">
        <v>967</v>
      </c>
      <c r="J1533" s="3" t="s">
        <v>968</v>
      </c>
      <c r="K1533" s="3" t="s">
        <v>969</v>
      </c>
      <c r="L1533" s="3">
        <f>IF(G1533="High",3,IF(G1533="Medium",2,1))</f>
        <v>2</v>
      </c>
    </row>
    <row r="1534" spans="1:12">
      <c r="A1534" s="3" t="s">
        <v>2527</v>
      </c>
      <c r="B1534" s="3" t="s">
        <v>838</v>
      </c>
      <c r="C1534" s="3" t="s">
        <v>965</v>
      </c>
      <c r="D1534" s="3" t="s">
        <v>1023</v>
      </c>
      <c r="E1534" s="3" t="s">
        <v>942</v>
      </c>
      <c r="F1534" s="3" t="s">
        <v>47</v>
      </c>
      <c r="G1534" s="3" t="str">
        <f>INDEX([1]Risk_Matrix!$B$2:$D$4,MATCH(E1534,[1]Risk_Matrix!$A$2:$A$4,0),MATCH(F1534,[1]Risk_Matrix!$B$1:$D$1,0))</f>
        <v>Low</v>
      </c>
      <c r="H1534" s="10">
        <v>46199</v>
      </c>
      <c r="I1534" s="3" t="s">
        <v>967</v>
      </c>
      <c r="J1534" s="3" t="s">
        <v>968</v>
      </c>
      <c r="K1534" s="3" t="s">
        <v>983</v>
      </c>
      <c r="L1534" s="3">
        <f>IF(G1534="High",3,IF(G1534="Medium",2,1))</f>
        <v>1</v>
      </c>
    </row>
    <row r="1535" spans="1:12">
      <c r="A1535" s="3" t="s">
        <v>2528</v>
      </c>
      <c r="B1535" s="3" t="s">
        <v>838</v>
      </c>
      <c r="C1535" s="3" t="s">
        <v>971</v>
      </c>
      <c r="D1535" s="3" t="s">
        <v>972</v>
      </c>
      <c r="E1535" s="3" t="s">
        <v>47</v>
      </c>
      <c r="F1535" s="3" t="s">
        <v>47</v>
      </c>
      <c r="G1535" s="3" t="str">
        <f>INDEX([1]Risk_Matrix!$B$2:$D$4,MATCH(E1535,[1]Risk_Matrix!$A$2:$A$4,0),MATCH(F1535,[1]Risk_Matrix!$B$1:$D$1,0))</f>
        <v>Low</v>
      </c>
      <c r="H1535" s="10">
        <v>46128</v>
      </c>
      <c r="I1535" s="3" t="s">
        <v>973</v>
      </c>
      <c r="J1535" s="3" t="s">
        <v>974</v>
      </c>
      <c r="K1535" s="3" t="s">
        <v>960</v>
      </c>
      <c r="L1535" s="3">
        <f>IF(G1535="High",3,IF(G1535="Medium",2,1))</f>
        <v>1</v>
      </c>
    </row>
    <row r="1536" spans="1:12">
      <c r="A1536" s="3" t="s">
        <v>2529</v>
      </c>
      <c r="B1536" s="3" t="s">
        <v>838</v>
      </c>
      <c r="C1536" s="3" t="s">
        <v>976</v>
      </c>
      <c r="D1536" s="3" t="s">
        <v>991</v>
      </c>
      <c r="E1536" s="3" t="s">
        <v>47</v>
      </c>
      <c r="F1536" s="3" t="s">
        <v>47</v>
      </c>
      <c r="G1536" s="3" t="str">
        <f>INDEX([1]Risk_Matrix!$B$2:$D$4,MATCH(E1536,[1]Risk_Matrix!$A$2:$A$4,0),MATCH(F1536,[1]Risk_Matrix!$B$1:$D$1,0))</f>
        <v>Low</v>
      </c>
      <c r="H1536" s="10">
        <v>46070</v>
      </c>
      <c r="I1536" s="3" t="s">
        <v>981</v>
      </c>
      <c r="J1536" s="3" t="s">
        <v>982</v>
      </c>
      <c r="K1536" s="3" t="s">
        <v>993</v>
      </c>
      <c r="L1536" s="3">
        <f>IF(G1536="High",3,IF(G1536="Medium",2,1))</f>
        <v>1</v>
      </c>
    </row>
    <row r="1537" spans="1:12">
      <c r="A1537" s="3" t="s">
        <v>2530</v>
      </c>
      <c r="B1537" s="3" t="s">
        <v>838</v>
      </c>
      <c r="C1537" s="3" t="s">
        <v>979</v>
      </c>
      <c r="D1537" s="3" t="s">
        <v>1028</v>
      </c>
      <c r="E1537" s="3" t="s">
        <v>942</v>
      </c>
      <c r="F1537" s="3" t="s">
        <v>942</v>
      </c>
      <c r="G1537" s="3" t="str">
        <f>INDEX([1]Risk_Matrix!$B$2:$D$4,MATCH(E1537,[1]Risk_Matrix!$A$2:$A$4,0),MATCH(F1537,[1]Risk_Matrix!$B$1:$D$1,0))</f>
        <v>Medium</v>
      </c>
      <c r="H1537" s="10">
        <v>46170</v>
      </c>
      <c r="I1537" s="3" t="s">
        <v>973</v>
      </c>
      <c r="J1537" s="3" t="s">
        <v>974</v>
      </c>
      <c r="K1537" s="3" t="s">
        <v>993</v>
      </c>
      <c r="L1537" s="3">
        <f>IF(G1537="High",3,IF(G1537="Medium",2,1))</f>
        <v>2</v>
      </c>
    </row>
    <row r="1538" spans="1:12">
      <c r="A1538" s="3" t="s">
        <v>2531</v>
      </c>
      <c r="B1538" s="3" t="s">
        <v>840</v>
      </c>
      <c r="C1538" s="3" t="s">
        <v>956</v>
      </c>
      <c r="D1538" s="3" t="s">
        <v>995</v>
      </c>
      <c r="E1538" s="3" t="s">
        <v>42</v>
      </c>
      <c r="F1538" s="3" t="s">
        <v>47</v>
      </c>
      <c r="G1538" s="3" t="str">
        <f>INDEX([1]Risk_Matrix!$B$2:$D$4,MATCH(E1538,[1]Risk_Matrix!$A$2:$A$4,0),MATCH(F1538,[1]Risk_Matrix!$B$1:$D$1,0))</f>
        <v>Medium</v>
      </c>
      <c r="H1538" s="10">
        <v>46238</v>
      </c>
      <c r="I1538" s="3" t="s">
        <v>967</v>
      </c>
      <c r="J1538" s="3" t="s">
        <v>968</v>
      </c>
      <c r="K1538" s="3" t="s">
        <v>993</v>
      </c>
      <c r="L1538" s="3">
        <f>IF(G1538="High",3,IF(G1538="Medium",2,1))</f>
        <v>2</v>
      </c>
    </row>
    <row r="1539" spans="1:12">
      <c r="A1539" s="3" t="s">
        <v>2532</v>
      </c>
      <c r="B1539" s="3" t="s">
        <v>840</v>
      </c>
      <c r="C1539" s="3" t="s">
        <v>962</v>
      </c>
      <c r="D1539" s="3" t="s">
        <v>997</v>
      </c>
      <c r="E1539" s="3" t="s">
        <v>942</v>
      </c>
      <c r="F1539" s="3" t="s">
        <v>942</v>
      </c>
      <c r="G1539" s="3" t="str">
        <f>INDEX([1]Risk_Matrix!$B$2:$D$4,MATCH(E1539,[1]Risk_Matrix!$A$2:$A$4,0),MATCH(F1539,[1]Risk_Matrix!$B$1:$D$1,0))</f>
        <v>Medium</v>
      </c>
      <c r="H1539" s="10">
        <v>46226</v>
      </c>
      <c r="I1539" s="3" t="s">
        <v>981</v>
      </c>
      <c r="J1539" s="3" t="s">
        <v>982</v>
      </c>
      <c r="K1539" s="3" t="s">
        <v>969</v>
      </c>
      <c r="L1539" s="3">
        <f>IF(G1539="High",3,IF(G1539="Medium",2,1))</f>
        <v>2</v>
      </c>
    </row>
    <row r="1540" spans="1:12">
      <c r="A1540" s="3" t="s">
        <v>2533</v>
      </c>
      <c r="B1540" s="3" t="s">
        <v>840</v>
      </c>
      <c r="C1540" s="3" t="s">
        <v>965</v>
      </c>
      <c r="D1540" s="3" t="s">
        <v>966</v>
      </c>
      <c r="E1540" s="3" t="s">
        <v>47</v>
      </c>
      <c r="F1540" s="3" t="s">
        <v>47</v>
      </c>
      <c r="G1540" s="3" t="str">
        <f>INDEX([1]Risk_Matrix!$B$2:$D$4,MATCH(E1540,[1]Risk_Matrix!$A$2:$A$4,0),MATCH(F1540,[1]Risk_Matrix!$B$1:$D$1,0))</f>
        <v>Low</v>
      </c>
      <c r="H1540" s="10">
        <v>46099</v>
      </c>
      <c r="I1540" s="3" t="s">
        <v>981</v>
      </c>
      <c r="J1540" s="3" t="s">
        <v>982</v>
      </c>
      <c r="K1540" s="3" t="s">
        <v>983</v>
      </c>
      <c r="L1540" s="3">
        <f>IF(G1540="High",3,IF(G1540="Medium",2,1))</f>
        <v>1</v>
      </c>
    </row>
    <row r="1541" spans="1:12">
      <c r="A1541" s="3" t="s">
        <v>2534</v>
      </c>
      <c r="B1541" s="3" t="s">
        <v>840</v>
      </c>
      <c r="C1541" s="3" t="s">
        <v>971</v>
      </c>
      <c r="D1541" s="3" t="s">
        <v>1025</v>
      </c>
      <c r="E1541" s="3" t="s">
        <v>942</v>
      </c>
      <c r="F1541" s="3" t="s">
        <v>47</v>
      </c>
      <c r="G1541" s="3" t="str">
        <f>INDEX([1]Risk_Matrix!$B$2:$D$4,MATCH(E1541,[1]Risk_Matrix!$A$2:$A$4,0),MATCH(F1541,[1]Risk_Matrix!$B$1:$D$1,0))</f>
        <v>Low</v>
      </c>
      <c r="H1541" s="10">
        <v>46201</v>
      </c>
      <c r="I1541" s="3" t="s">
        <v>967</v>
      </c>
      <c r="J1541" s="3" t="s">
        <v>968</v>
      </c>
      <c r="K1541" s="3" t="s">
        <v>969</v>
      </c>
      <c r="L1541" s="3">
        <f>IF(G1541="High",3,IF(G1541="Medium",2,1))</f>
        <v>1</v>
      </c>
    </row>
    <row r="1542" spans="1:12">
      <c r="A1542" s="3" t="s">
        <v>2535</v>
      </c>
      <c r="B1542" s="3" t="s">
        <v>840</v>
      </c>
      <c r="C1542" s="3" t="s">
        <v>976</v>
      </c>
      <c r="D1542" s="3" t="s">
        <v>1002</v>
      </c>
      <c r="E1542" s="3" t="s">
        <v>942</v>
      </c>
      <c r="F1542" s="3" t="s">
        <v>47</v>
      </c>
      <c r="G1542" s="3" t="str">
        <f>INDEX([1]Risk_Matrix!$B$2:$D$4,MATCH(E1542,[1]Risk_Matrix!$A$2:$A$4,0),MATCH(F1542,[1]Risk_Matrix!$B$1:$D$1,0))</f>
        <v>Low</v>
      </c>
      <c r="H1542" s="10">
        <v>46143</v>
      </c>
      <c r="I1542" s="3" t="s">
        <v>967</v>
      </c>
      <c r="J1542" s="3" t="s">
        <v>968</v>
      </c>
      <c r="K1542" s="3" t="s">
        <v>960</v>
      </c>
      <c r="L1542" s="3">
        <f>IF(G1542="High",3,IF(G1542="Medium",2,1))</f>
        <v>1</v>
      </c>
    </row>
    <row r="1543" spans="1:12">
      <c r="A1543" s="3" t="s">
        <v>2536</v>
      </c>
      <c r="B1543" s="3" t="s">
        <v>840</v>
      </c>
      <c r="C1543" s="3" t="s">
        <v>979</v>
      </c>
      <c r="D1543" s="3" t="s">
        <v>1028</v>
      </c>
      <c r="E1543" s="3" t="s">
        <v>942</v>
      </c>
      <c r="F1543" s="3" t="s">
        <v>47</v>
      </c>
      <c r="G1543" s="3" t="str">
        <f>INDEX([1]Risk_Matrix!$B$2:$D$4,MATCH(E1543,[1]Risk_Matrix!$A$2:$A$4,0),MATCH(F1543,[1]Risk_Matrix!$B$1:$D$1,0))</f>
        <v>Low</v>
      </c>
      <c r="H1543" s="10">
        <v>46112</v>
      </c>
      <c r="I1543" s="3" t="s">
        <v>967</v>
      </c>
      <c r="J1543" s="3" t="s">
        <v>968</v>
      </c>
      <c r="K1543" s="3" t="s">
        <v>1000</v>
      </c>
      <c r="L1543" s="3">
        <f>IF(G1543="High",3,IF(G1543="Medium",2,1))</f>
        <v>1</v>
      </c>
    </row>
    <row r="1544" spans="1:12">
      <c r="A1544" s="3" t="s">
        <v>2537</v>
      </c>
      <c r="B1544" s="3" t="s">
        <v>842</v>
      </c>
      <c r="C1544" s="3" t="s">
        <v>956</v>
      </c>
      <c r="D1544" s="3" t="s">
        <v>1012</v>
      </c>
      <c r="E1544" s="3" t="s">
        <v>47</v>
      </c>
      <c r="F1544" s="3" t="s">
        <v>47</v>
      </c>
      <c r="G1544" s="3" t="str">
        <f>INDEX([1]Risk_Matrix!$B$2:$D$4,MATCH(E1544,[1]Risk_Matrix!$A$2:$A$4,0),MATCH(F1544,[1]Risk_Matrix!$B$1:$D$1,0))</f>
        <v>Low</v>
      </c>
      <c r="H1544" s="10">
        <v>46203</v>
      </c>
      <c r="I1544" s="3" t="s">
        <v>967</v>
      </c>
      <c r="J1544" s="3" t="s">
        <v>968</v>
      </c>
      <c r="K1544" s="3" t="s">
        <v>969</v>
      </c>
      <c r="L1544" s="3">
        <f>IF(G1544="High",3,IF(G1544="Medium",2,1))</f>
        <v>1</v>
      </c>
    </row>
    <row r="1545" spans="1:12">
      <c r="A1545" s="3" t="s">
        <v>2538</v>
      </c>
      <c r="B1545" s="3" t="s">
        <v>842</v>
      </c>
      <c r="C1545" s="3" t="s">
        <v>962</v>
      </c>
      <c r="D1545" s="3" t="s">
        <v>986</v>
      </c>
      <c r="E1545" s="3" t="s">
        <v>942</v>
      </c>
      <c r="F1545" s="3" t="s">
        <v>47</v>
      </c>
      <c r="G1545" s="3" t="str">
        <f>INDEX([1]Risk_Matrix!$B$2:$D$4,MATCH(E1545,[1]Risk_Matrix!$A$2:$A$4,0),MATCH(F1545,[1]Risk_Matrix!$B$1:$D$1,0))</f>
        <v>Low</v>
      </c>
      <c r="H1545" s="10">
        <v>46064</v>
      </c>
      <c r="I1545" s="3" t="s">
        <v>967</v>
      </c>
      <c r="J1545" s="3" t="s">
        <v>968</v>
      </c>
      <c r="K1545" s="3" t="s">
        <v>983</v>
      </c>
      <c r="L1545" s="3">
        <f>IF(G1545="High",3,IF(G1545="Medium",2,1))</f>
        <v>1</v>
      </c>
    </row>
    <row r="1546" spans="1:12">
      <c r="A1546" s="3" t="s">
        <v>2539</v>
      </c>
      <c r="B1546" s="3" t="s">
        <v>842</v>
      </c>
      <c r="C1546" s="3" t="s">
        <v>965</v>
      </c>
      <c r="D1546" s="3" t="s">
        <v>1023</v>
      </c>
      <c r="E1546" s="3" t="s">
        <v>47</v>
      </c>
      <c r="F1546" s="3" t="s">
        <v>42</v>
      </c>
      <c r="G1546" s="3" t="str">
        <f>INDEX([1]Risk_Matrix!$B$2:$D$4,MATCH(E1546,[1]Risk_Matrix!$A$2:$A$4,0),MATCH(F1546,[1]Risk_Matrix!$B$1:$D$1,0))</f>
        <v>Medium</v>
      </c>
      <c r="H1546" s="10">
        <v>46201</v>
      </c>
      <c r="I1546" s="3" t="s">
        <v>958</v>
      </c>
      <c r="J1546" s="3" t="s">
        <v>959</v>
      </c>
      <c r="K1546" s="3" t="s">
        <v>1000</v>
      </c>
      <c r="L1546" s="3">
        <f>IF(G1546="High",3,IF(G1546="Medium",2,1))</f>
        <v>2</v>
      </c>
    </row>
    <row r="1547" spans="1:12">
      <c r="A1547" s="3" t="s">
        <v>2540</v>
      </c>
      <c r="B1547" s="3" t="s">
        <v>842</v>
      </c>
      <c r="C1547" s="3" t="s">
        <v>971</v>
      </c>
      <c r="D1547" s="3" t="s">
        <v>1025</v>
      </c>
      <c r="E1547" s="3" t="s">
        <v>942</v>
      </c>
      <c r="F1547" s="3" t="s">
        <v>942</v>
      </c>
      <c r="G1547" s="3" t="str">
        <f>INDEX([1]Risk_Matrix!$B$2:$D$4,MATCH(E1547,[1]Risk_Matrix!$A$2:$A$4,0),MATCH(F1547,[1]Risk_Matrix!$B$1:$D$1,0))</f>
        <v>Medium</v>
      </c>
      <c r="H1547" s="10">
        <v>46092</v>
      </c>
      <c r="I1547" s="3" t="s">
        <v>973</v>
      </c>
      <c r="J1547" s="3" t="s">
        <v>974</v>
      </c>
      <c r="K1547" s="3" t="s">
        <v>983</v>
      </c>
      <c r="L1547" s="3">
        <f>IF(G1547="High",3,IF(G1547="Medium",2,1))</f>
        <v>2</v>
      </c>
    </row>
    <row r="1548" spans="1:12">
      <c r="A1548" s="3" t="s">
        <v>2541</v>
      </c>
      <c r="B1548" s="3" t="s">
        <v>842</v>
      </c>
      <c r="C1548" s="3" t="s">
        <v>976</v>
      </c>
      <c r="D1548" s="3" t="s">
        <v>977</v>
      </c>
      <c r="E1548" s="3" t="s">
        <v>942</v>
      </c>
      <c r="F1548" s="3" t="s">
        <v>47</v>
      </c>
      <c r="G1548" s="3" t="str">
        <f>INDEX([1]Risk_Matrix!$B$2:$D$4,MATCH(E1548,[1]Risk_Matrix!$A$2:$A$4,0),MATCH(F1548,[1]Risk_Matrix!$B$1:$D$1,0))</f>
        <v>Low</v>
      </c>
      <c r="H1548" s="10">
        <v>46210</v>
      </c>
      <c r="I1548" s="3" t="s">
        <v>981</v>
      </c>
      <c r="J1548" s="3" t="s">
        <v>982</v>
      </c>
      <c r="K1548" s="3" t="s">
        <v>1000</v>
      </c>
      <c r="L1548" s="3">
        <f>IF(G1548="High",3,IF(G1548="Medium",2,1))</f>
        <v>1</v>
      </c>
    </row>
    <row r="1549" spans="1:12">
      <c r="A1549" s="3" t="s">
        <v>2542</v>
      </c>
      <c r="B1549" s="3" t="s">
        <v>842</v>
      </c>
      <c r="C1549" s="3" t="s">
        <v>979</v>
      </c>
      <c r="D1549" s="3" t="s">
        <v>980</v>
      </c>
      <c r="E1549" s="3" t="s">
        <v>47</v>
      </c>
      <c r="F1549" s="3" t="s">
        <v>47</v>
      </c>
      <c r="G1549" s="3" t="str">
        <f>INDEX([1]Risk_Matrix!$B$2:$D$4,MATCH(E1549,[1]Risk_Matrix!$A$2:$A$4,0),MATCH(F1549,[1]Risk_Matrix!$B$1:$D$1,0))</f>
        <v>Low</v>
      </c>
      <c r="H1549" s="10">
        <v>46098</v>
      </c>
      <c r="I1549" s="3" t="s">
        <v>973</v>
      </c>
      <c r="J1549" s="3" t="s">
        <v>974</v>
      </c>
      <c r="K1549" s="3" t="s">
        <v>983</v>
      </c>
      <c r="L1549" s="3">
        <f>IF(G1549="High",3,IF(G1549="Medium",2,1))</f>
        <v>1</v>
      </c>
    </row>
    <row r="1550" spans="1:12">
      <c r="A1550" s="3" t="s">
        <v>2543</v>
      </c>
      <c r="B1550" s="3" t="s">
        <v>844</v>
      </c>
      <c r="C1550" s="3" t="s">
        <v>956</v>
      </c>
      <c r="D1550" s="3" t="s">
        <v>1020</v>
      </c>
      <c r="E1550" s="3" t="s">
        <v>942</v>
      </c>
      <c r="F1550" s="3" t="s">
        <v>942</v>
      </c>
      <c r="G1550" s="3" t="str">
        <f>INDEX([1]Risk_Matrix!$B$2:$D$4,MATCH(E1550,[1]Risk_Matrix!$A$2:$A$4,0),MATCH(F1550,[1]Risk_Matrix!$B$1:$D$1,0))</f>
        <v>Medium</v>
      </c>
      <c r="H1550" s="10">
        <v>46155</v>
      </c>
      <c r="I1550" s="3" t="s">
        <v>967</v>
      </c>
      <c r="J1550" s="3" t="s">
        <v>968</v>
      </c>
      <c r="K1550" s="3" t="s">
        <v>969</v>
      </c>
      <c r="L1550" s="3">
        <f>IF(G1550="High",3,IF(G1550="Medium",2,1))</f>
        <v>2</v>
      </c>
    </row>
    <row r="1551" spans="1:12">
      <c r="A1551" s="3" t="s">
        <v>2544</v>
      </c>
      <c r="B1551" s="3" t="s">
        <v>844</v>
      </c>
      <c r="C1551" s="3" t="s">
        <v>962</v>
      </c>
      <c r="D1551" s="3" t="s">
        <v>997</v>
      </c>
      <c r="E1551" s="3" t="s">
        <v>942</v>
      </c>
      <c r="F1551" s="3" t="s">
        <v>942</v>
      </c>
      <c r="G1551" s="3" t="str">
        <f>INDEX([1]Risk_Matrix!$B$2:$D$4,MATCH(E1551,[1]Risk_Matrix!$A$2:$A$4,0),MATCH(F1551,[1]Risk_Matrix!$B$1:$D$1,0))</f>
        <v>Medium</v>
      </c>
      <c r="H1551" s="10">
        <v>46149</v>
      </c>
      <c r="I1551" s="3" t="s">
        <v>973</v>
      </c>
      <c r="J1551" s="3" t="s">
        <v>974</v>
      </c>
      <c r="K1551" s="3" t="s">
        <v>960</v>
      </c>
      <c r="L1551" s="3">
        <f>IF(G1551="High",3,IF(G1551="Medium",2,1))</f>
        <v>2</v>
      </c>
    </row>
    <row r="1552" spans="1:12">
      <c r="A1552" s="3" t="s">
        <v>2545</v>
      </c>
      <c r="B1552" s="3" t="s">
        <v>844</v>
      </c>
      <c r="C1552" s="3" t="s">
        <v>965</v>
      </c>
      <c r="D1552" s="3" t="s">
        <v>1023</v>
      </c>
      <c r="E1552" s="3" t="s">
        <v>47</v>
      </c>
      <c r="F1552" s="3" t="s">
        <v>942</v>
      </c>
      <c r="G1552" s="3" t="str">
        <f>INDEX([1]Risk_Matrix!$B$2:$D$4,MATCH(E1552,[1]Risk_Matrix!$A$2:$A$4,0),MATCH(F1552,[1]Risk_Matrix!$B$1:$D$1,0))</f>
        <v>Low</v>
      </c>
      <c r="H1552" s="10">
        <v>46061</v>
      </c>
      <c r="I1552" s="3" t="s">
        <v>973</v>
      </c>
      <c r="J1552" s="3" t="s">
        <v>974</v>
      </c>
      <c r="K1552" s="3" t="s">
        <v>983</v>
      </c>
      <c r="L1552" s="3">
        <f>IF(G1552="High",3,IF(G1552="Medium",2,1))</f>
        <v>1</v>
      </c>
    </row>
    <row r="1553" spans="1:12">
      <c r="A1553" s="3" t="s">
        <v>2546</v>
      </c>
      <c r="B1553" s="3" t="s">
        <v>844</v>
      </c>
      <c r="C1553" s="3" t="s">
        <v>971</v>
      </c>
      <c r="D1553" s="3" t="s">
        <v>1016</v>
      </c>
      <c r="E1553" s="3" t="s">
        <v>47</v>
      </c>
      <c r="F1553" s="3" t="s">
        <v>942</v>
      </c>
      <c r="G1553" s="3" t="str">
        <f>INDEX([1]Risk_Matrix!$B$2:$D$4,MATCH(E1553,[1]Risk_Matrix!$A$2:$A$4,0),MATCH(F1553,[1]Risk_Matrix!$B$1:$D$1,0))</f>
        <v>Low</v>
      </c>
      <c r="H1553" s="10">
        <v>46211</v>
      </c>
      <c r="I1553" s="3" t="s">
        <v>967</v>
      </c>
      <c r="J1553" s="3" t="s">
        <v>968</v>
      </c>
      <c r="K1553" s="3" t="s">
        <v>960</v>
      </c>
      <c r="L1553" s="3">
        <f>IF(G1553="High",3,IF(G1553="Medium",2,1))</f>
        <v>1</v>
      </c>
    </row>
    <row r="1554" spans="1:12">
      <c r="A1554" s="3" t="s">
        <v>2547</v>
      </c>
      <c r="B1554" s="3" t="s">
        <v>844</v>
      </c>
      <c r="C1554" s="3" t="s">
        <v>976</v>
      </c>
      <c r="D1554" s="3" t="s">
        <v>977</v>
      </c>
      <c r="E1554" s="3" t="s">
        <v>42</v>
      </c>
      <c r="F1554" s="3" t="s">
        <v>942</v>
      </c>
      <c r="G1554" s="3" t="str">
        <f>INDEX([1]Risk_Matrix!$B$2:$D$4,MATCH(E1554,[1]Risk_Matrix!$A$2:$A$4,0),MATCH(F1554,[1]Risk_Matrix!$B$1:$D$1,0))</f>
        <v>High</v>
      </c>
      <c r="H1554" s="10">
        <v>46135</v>
      </c>
      <c r="I1554" s="3" t="s">
        <v>973</v>
      </c>
      <c r="J1554" s="3" t="s">
        <v>974</v>
      </c>
      <c r="K1554" s="3" t="s">
        <v>969</v>
      </c>
      <c r="L1554" s="3">
        <f>IF(G1554="High",3,IF(G1554="Medium",2,1))</f>
        <v>3</v>
      </c>
    </row>
    <row r="1555" spans="1:12">
      <c r="A1555" s="3" t="s">
        <v>2548</v>
      </c>
      <c r="B1555" s="3" t="s">
        <v>844</v>
      </c>
      <c r="C1555" s="3" t="s">
        <v>979</v>
      </c>
      <c r="D1555" s="3" t="s">
        <v>1004</v>
      </c>
      <c r="E1555" s="3" t="s">
        <v>942</v>
      </c>
      <c r="F1555" s="3" t="s">
        <v>47</v>
      </c>
      <c r="G1555" s="3" t="str">
        <f>INDEX([1]Risk_Matrix!$B$2:$D$4,MATCH(E1555,[1]Risk_Matrix!$A$2:$A$4,0),MATCH(F1555,[1]Risk_Matrix!$B$1:$D$1,0))</f>
        <v>Low</v>
      </c>
      <c r="H1555" s="10">
        <v>46232</v>
      </c>
      <c r="I1555" s="3" t="s">
        <v>981</v>
      </c>
      <c r="J1555" s="3" t="s">
        <v>982</v>
      </c>
      <c r="K1555" s="3" t="s">
        <v>993</v>
      </c>
      <c r="L1555" s="3">
        <f>IF(G1555="High",3,IF(G1555="Medium",2,1))</f>
        <v>1</v>
      </c>
    </row>
    <row r="1556" spans="1:12">
      <c r="A1556" s="3" t="s">
        <v>2549</v>
      </c>
      <c r="B1556" s="3" t="s">
        <v>845</v>
      </c>
      <c r="C1556" s="3" t="s">
        <v>956</v>
      </c>
      <c r="D1556" s="3" t="s">
        <v>957</v>
      </c>
      <c r="E1556" s="3" t="s">
        <v>47</v>
      </c>
      <c r="F1556" s="3" t="s">
        <v>47</v>
      </c>
      <c r="G1556" s="3" t="str">
        <f>INDEX([1]Risk_Matrix!$B$2:$D$4,MATCH(E1556,[1]Risk_Matrix!$A$2:$A$4,0),MATCH(F1556,[1]Risk_Matrix!$B$1:$D$1,0))</f>
        <v>Low</v>
      </c>
      <c r="H1556" s="10">
        <v>46064</v>
      </c>
      <c r="I1556" s="3" t="s">
        <v>981</v>
      </c>
      <c r="J1556" s="3" t="s">
        <v>982</v>
      </c>
      <c r="K1556" s="3" t="s">
        <v>993</v>
      </c>
      <c r="L1556" s="3">
        <f>IF(G1556="High",3,IF(G1556="Medium",2,1))</f>
        <v>1</v>
      </c>
    </row>
    <row r="1557" spans="1:12">
      <c r="A1557" s="3" t="s">
        <v>2550</v>
      </c>
      <c r="B1557" s="3" t="s">
        <v>845</v>
      </c>
      <c r="C1557" s="3" t="s">
        <v>962</v>
      </c>
      <c r="D1557" s="3" t="s">
        <v>963</v>
      </c>
      <c r="E1557" s="3" t="s">
        <v>47</v>
      </c>
      <c r="F1557" s="3" t="s">
        <v>42</v>
      </c>
      <c r="G1557" s="3" t="str">
        <f>INDEX([1]Risk_Matrix!$B$2:$D$4,MATCH(E1557,[1]Risk_Matrix!$A$2:$A$4,0),MATCH(F1557,[1]Risk_Matrix!$B$1:$D$1,0))</f>
        <v>Medium</v>
      </c>
      <c r="H1557" s="10">
        <v>46147</v>
      </c>
      <c r="I1557" s="3" t="s">
        <v>967</v>
      </c>
      <c r="J1557" s="3" t="s">
        <v>968</v>
      </c>
      <c r="K1557" s="3" t="s">
        <v>960</v>
      </c>
      <c r="L1557" s="3">
        <f>IF(G1557="High",3,IF(G1557="Medium",2,1))</f>
        <v>2</v>
      </c>
    </row>
    <row r="1558" spans="1:12">
      <c r="A1558" s="3" t="s">
        <v>2551</v>
      </c>
      <c r="B1558" s="3" t="s">
        <v>845</v>
      </c>
      <c r="C1558" s="3" t="s">
        <v>965</v>
      </c>
      <c r="D1558" s="3" t="s">
        <v>1023</v>
      </c>
      <c r="E1558" s="3" t="s">
        <v>942</v>
      </c>
      <c r="F1558" s="3" t="s">
        <v>47</v>
      </c>
      <c r="G1558" s="3" t="str">
        <f>INDEX([1]Risk_Matrix!$B$2:$D$4,MATCH(E1558,[1]Risk_Matrix!$A$2:$A$4,0),MATCH(F1558,[1]Risk_Matrix!$B$1:$D$1,0))</f>
        <v>Low</v>
      </c>
      <c r="H1558" s="10">
        <v>46185</v>
      </c>
      <c r="I1558" s="3" t="s">
        <v>973</v>
      </c>
      <c r="J1558" s="3" t="s">
        <v>974</v>
      </c>
      <c r="K1558" s="3" t="s">
        <v>969</v>
      </c>
      <c r="L1558" s="3">
        <f>IF(G1558="High",3,IF(G1558="Medium",2,1))</f>
        <v>1</v>
      </c>
    </row>
    <row r="1559" spans="1:12">
      <c r="A1559" s="3" t="s">
        <v>2552</v>
      </c>
      <c r="B1559" s="3" t="s">
        <v>845</v>
      </c>
      <c r="C1559" s="3" t="s">
        <v>971</v>
      </c>
      <c r="D1559" s="3" t="s">
        <v>1025</v>
      </c>
      <c r="E1559" s="3" t="s">
        <v>942</v>
      </c>
      <c r="F1559" s="3" t="s">
        <v>42</v>
      </c>
      <c r="G1559" s="3" t="str">
        <f>INDEX([1]Risk_Matrix!$B$2:$D$4,MATCH(E1559,[1]Risk_Matrix!$A$2:$A$4,0),MATCH(F1559,[1]Risk_Matrix!$B$1:$D$1,0))</f>
        <v>High</v>
      </c>
      <c r="H1559" s="10">
        <v>46087</v>
      </c>
      <c r="I1559" s="3" t="s">
        <v>967</v>
      </c>
      <c r="J1559" s="3" t="s">
        <v>968</v>
      </c>
      <c r="K1559" s="3" t="s">
        <v>993</v>
      </c>
      <c r="L1559" s="3">
        <f>IF(G1559="High",3,IF(G1559="Medium",2,1))</f>
        <v>3</v>
      </c>
    </row>
    <row r="1560" spans="1:12">
      <c r="A1560" s="3" t="s">
        <v>2553</v>
      </c>
      <c r="B1560" s="3" t="s">
        <v>845</v>
      </c>
      <c r="C1560" s="3" t="s">
        <v>976</v>
      </c>
      <c r="D1560" s="3" t="s">
        <v>1002</v>
      </c>
      <c r="E1560" s="3" t="s">
        <v>47</v>
      </c>
      <c r="F1560" s="3" t="s">
        <v>47</v>
      </c>
      <c r="G1560" s="3" t="str">
        <f>INDEX([1]Risk_Matrix!$B$2:$D$4,MATCH(E1560,[1]Risk_Matrix!$A$2:$A$4,0),MATCH(F1560,[1]Risk_Matrix!$B$1:$D$1,0))</f>
        <v>Low</v>
      </c>
      <c r="H1560" s="10">
        <v>46231</v>
      </c>
      <c r="I1560" s="3" t="s">
        <v>973</v>
      </c>
      <c r="J1560" s="3" t="s">
        <v>974</v>
      </c>
      <c r="K1560" s="3" t="s">
        <v>969</v>
      </c>
      <c r="L1560" s="3">
        <f>IF(G1560="High",3,IF(G1560="Medium",2,1))</f>
        <v>1</v>
      </c>
    </row>
    <row r="1561" spans="1:12">
      <c r="A1561" s="3" t="s">
        <v>2554</v>
      </c>
      <c r="B1561" s="3" t="s">
        <v>845</v>
      </c>
      <c r="C1561" s="3" t="s">
        <v>979</v>
      </c>
      <c r="D1561" s="3" t="s">
        <v>980</v>
      </c>
      <c r="E1561" s="3" t="s">
        <v>47</v>
      </c>
      <c r="F1561" s="3" t="s">
        <v>942</v>
      </c>
      <c r="G1561" s="3" t="str">
        <f>INDEX([1]Risk_Matrix!$B$2:$D$4,MATCH(E1561,[1]Risk_Matrix!$A$2:$A$4,0),MATCH(F1561,[1]Risk_Matrix!$B$1:$D$1,0))</f>
        <v>Low</v>
      </c>
      <c r="H1561" s="10">
        <v>46213</v>
      </c>
      <c r="I1561" s="3" t="s">
        <v>981</v>
      </c>
      <c r="J1561" s="3" t="s">
        <v>982</v>
      </c>
      <c r="K1561" s="3" t="s">
        <v>960</v>
      </c>
      <c r="L1561" s="3">
        <f>IF(G1561="High",3,IF(G1561="Medium",2,1))</f>
        <v>1</v>
      </c>
    </row>
    <row r="1562" spans="1:12">
      <c r="A1562" s="3" t="s">
        <v>2555</v>
      </c>
      <c r="B1562" s="3" t="s">
        <v>847</v>
      </c>
      <c r="C1562" s="3" t="s">
        <v>956</v>
      </c>
      <c r="D1562" s="3" t="s">
        <v>995</v>
      </c>
      <c r="E1562" s="3" t="s">
        <v>42</v>
      </c>
      <c r="F1562" s="3" t="s">
        <v>942</v>
      </c>
      <c r="G1562" s="3" t="str">
        <f>INDEX([1]Risk_Matrix!$B$2:$D$4,MATCH(E1562,[1]Risk_Matrix!$A$2:$A$4,0),MATCH(F1562,[1]Risk_Matrix!$B$1:$D$1,0))</f>
        <v>High</v>
      </c>
      <c r="H1562" s="10">
        <v>46141</v>
      </c>
      <c r="I1562" s="3" t="s">
        <v>958</v>
      </c>
      <c r="J1562" s="3" t="s">
        <v>959</v>
      </c>
      <c r="K1562" s="3" t="s">
        <v>993</v>
      </c>
      <c r="L1562" s="3">
        <f>IF(G1562="High",3,IF(G1562="Medium",2,1))</f>
        <v>3</v>
      </c>
    </row>
    <row r="1563" spans="1:12">
      <c r="A1563" s="3" t="s">
        <v>2556</v>
      </c>
      <c r="B1563" s="3" t="s">
        <v>847</v>
      </c>
      <c r="C1563" s="3" t="s">
        <v>962</v>
      </c>
      <c r="D1563" s="3" t="s">
        <v>997</v>
      </c>
      <c r="E1563" s="3" t="s">
        <v>942</v>
      </c>
      <c r="F1563" s="3" t="s">
        <v>47</v>
      </c>
      <c r="G1563" s="3" t="str">
        <f>INDEX([1]Risk_Matrix!$B$2:$D$4,MATCH(E1563,[1]Risk_Matrix!$A$2:$A$4,0),MATCH(F1563,[1]Risk_Matrix!$B$1:$D$1,0))</f>
        <v>Low</v>
      </c>
      <c r="H1563" s="10">
        <v>46215</v>
      </c>
      <c r="I1563" s="3" t="s">
        <v>973</v>
      </c>
      <c r="J1563" s="3" t="s">
        <v>974</v>
      </c>
      <c r="K1563" s="3" t="s">
        <v>993</v>
      </c>
      <c r="L1563" s="3">
        <f>IF(G1563="High",3,IF(G1563="Medium",2,1))</f>
        <v>1</v>
      </c>
    </row>
    <row r="1564" spans="1:12">
      <c r="A1564" s="3" t="s">
        <v>2557</v>
      </c>
      <c r="B1564" s="3" t="s">
        <v>847</v>
      </c>
      <c r="C1564" s="3" t="s">
        <v>965</v>
      </c>
      <c r="D1564" s="3" t="s">
        <v>1039</v>
      </c>
      <c r="E1564" s="3" t="s">
        <v>942</v>
      </c>
      <c r="F1564" s="3" t="s">
        <v>942</v>
      </c>
      <c r="G1564" s="3" t="str">
        <f>INDEX([1]Risk_Matrix!$B$2:$D$4,MATCH(E1564,[1]Risk_Matrix!$A$2:$A$4,0),MATCH(F1564,[1]Risk_Matrix!$B$1:$D$1,0))</f>
        <v>Medium</v>
      </c>
      <c r="H1564" s="10">
        <v>46122</v>
      </c>
      <c r="I1564" s="3" t="s">
        <v>981</v>
      </c>
      <c r="J1564" s="3" t="s">
        <v>982</v>
      </c>
      <c r="K1564" s="3" t="s">
        <v>960</v>
      </c>
      <c r="L1564" s="3">
        <f>IF(G1564="High",3,IF(G1564="Medium",2,1))</f>
        <v>2</v>
      </c>
    </row>
    <row r="1565" spans="1:12">
      <c r="A1565" s="3" t="s">
        <v>2558</v>
      </c>
      <c r="B1565" s="3" t="s">
        <v>847</v>
      </c>
      <c r="C1565" s="3" t="s">
        <v>971</v>
      </c>
      <c r="D1565" s="3" t="s">
        <v>1016</v>
      </c>
      <c r="E1565" s="3" t="s">
        <v>47</v>
      </c>
      <c r="F1565" s="3" t="s">
        <v>942</v>
      </c>
      <c r="G1565" s="3" t="str">
        <f>INDEX([1]Risk_Matrix!$B$2:$D$4,MATCH(E1565,[1]Risk_Matrix!$A$2:$A$4,0),MATCH(F1565,[1]Risk_Matrix!$B$1:$D$1,0))</f>
        <v>Low</v>
      </c>
      <c r="H1565" s="10">
        <v>46156</v>
      </c>
      <c r="I1565" s="3" t="s">
        <v>967</v>
      </c>
      <c r="J1565" s="3" t="s">
        <v>968</v>
      </c>
      <c r="K1565" s="3" t="s">
        <v>969</v>
      </c>
      <c r="L1565" s="3">
        <f>IF(G1565="High",3,IF(G1565="Medium",2,1))</f>
        <v>1</v>
      </c>
    </row>
    <row r="1566" spans="1:12">
      <c r="A1566" s="3" t="s">
        <v>2559</v>
      </c>
      <c r="B1566" s="3" t="s">
        <v>847</v>
      </c>
      <c r="C1566" s="3" t="s">
        <v>976</v>
      </c>
      <c r="D1566" s="3" t="s">
        <v>1002</v>
      </c>
      <c r="E1566" s="3" t="s">
        <v>942</v>
      </c>
      <c r="F1566" s="3" t="s">
        <v>42</v>
      </c>
      <c r="G1566" s="3" t="str">
        <f>INDEX([1]Risk_Matrix!$B$2:$D$4,MATCH(E1566,[1]Risk_Matrix!$A$2:$A$4,0),MATCH(F1566,[1]Risk_Matrix!$B$1:$D$1,0))</f>
        <v>High</v>
      </c>
      <c r="H1566" s="10">
        <v>46133</v>
      </c>
      <c r="I1566" s="3" t="s">
        <v>973</v>
      </c>
      <c r="J1566" s="3" t="s">
        <v>974</v>
      </c>
      <c r="K1566" s="3" t="s">
        <v>993</v>
      </c>
      <c r="L1566" s="3">
        <f>IF(G1566="High",3,IF(G1566="Medium",2,1))</f>
        <v>3</v>
      </c>
    </row>
    <row r="1567" spans="1:12">
      <c r="A1567" s="3" t="s">
        <v>2560</v>
      </c>
      <c r="B1567" s="3" t="s">
        <v>847</v>
      </c>
      <c r="C1567" s="3" t="s">
        <v>979</v>
      </c>
      <c r="D1567" s="3" t="s">
        <v>1004</v>
      </c>
      <c r="E1567" s="3" t="s">
        <v>942</v>
      </c>
      <c r="F1567" s="3" t="s">
        <v>942</v>
      </c>
      <c r="G1567" s="3" t="str">
        <f>INDEX([1]Risk_Matrix!$B$2:$D$4,MATCH(E1567,[1]Risk_Matrix!$A$2:$A$4,0),MATCH(F1567,[1]Risk_Matrix!$B$1:$D$1,0))</f>
        <v>Medium</v>
      </c>
      <c r="H1567" s="10">
        <v>46231</v>
      </c>
      <c r="I1567" s="3" t="s">
        <v>967</v>
      </c>
      <c r="J1567" s="3" t="s">
        <v>968</v>
      </c>
      <c r="K1567" s="3" t="s">
        <v>1000</v>
      </c>
      <c r="L1567" s="3">
        <f>IF(G1567="High",3,IF(G1567="Medium",2,1))</f>
        <v>2</v>
      </c>
    </row>
    <row r="1568" spans="1:12">
      <c r="A1568" s="3" t="s">
        <v>2561</v>
      </c>
      <c r="B1568" s="3" t="s">
        <v>850</v>
      </c>
      <c r="C1568" s="3" t="s">
        <v>956</v>
      </c>
      <c r="D1568" s="3" t="s">
        <v>1012</v>
      </c>
      <c r="E1568" s="3" t="s">
        <v>47</v>
      </c>
      <c r="F1568" s="3" t="s">
        <v>47</v>
      </c>
      <c r="G1568" s="3" t="str">
        <f>INDEX([1]Risk_Matrix!$B$2:$D$4,MATCH(E1568,[1]Risk_Matrix!$A$2:$A$4,0),MATCH(F1568,[1]Risk_Matrix!$B$1:$D$1,0))</f>
        <v>Low</v>
      </c>
      <c r="H1568" s="10">
        <v>46094</v>
      </c>
      <c r="I1568" s="3" t="s">
        <v>973</v>
      </c>
      <c r="J1568" s="3" t="s">
        <v>974</v>
      </c>
      <c r="K1568" s="3" t="s">
        <v>960</v>
      </c>
      <c r="L1568" s="3">
        <f>IF(G1568="High",3,IF(G1568="Medium",2,1))</f>
        <v>1</v>
      </c>
    </row>
    <row r="1569" spans="1:12">
      <c r="A1569" s="3" t="s">
        <v>2562</v>
      </c>
      <c r="B1569" s="3" t="s">
        <v>850</v>
      </c>
      <c r="C1569" s="3" t="s">
        <v>962</v>
      </c>
      <c r="D1569" s="3" t="s">
        <v>963</v>
      </c>
      <c r="E1569" s="3" t="s">
        <v>47</v>
      </c>
      <c r="F1569" s="3" t="s">
        <v>47</v>
      </c>
      <c r="G1569" s="3" t="str">
        <f>INDEX([1]Risk_Matrix!$B$2:$D$4,MATCH(E1569,[1]Risk_Matrix!$A$2:$A$4,0),MATCH(F1569,[1]Risk_Matrix!$B$1:$D$1,0))</f>
        <v>Low</v>
      </c>
      <c r="H1569" s="10">
        <v>46194</v>
      </c>
      <c r="I1569" s="3" t="s">
        <v>967</v>
      </c>
      <c r="J1569" s="3" t="s">
        <v>968</v>
      </c>
      <c r="K1569" s="3" t="s">
        <v>960</v>
      </c>
      <c r="L1569" s="3">
        <f>IF(G1569="High",3,IF(G1569="Medium",2,1))</f>
        <v>1</v>
      </c>
    </row>
    <row r="1570" spans="1:12">
      <c r="A1570" s="3" t="s">
        <v>2563</v>
      </c>
      <c r="B1570" s="3" t="s">
        <v>850</v>
      </c>
      <c r="C1570" s="3" t="s">
        <v>965</v>
      </c>
      <c r="D1570" s="3" t="s">
        <v>966</v>
      </c>
      <c r="E1570" s="3" t="s">
        <v>42</v>
      </c>
      <c r="F1570" s="3" t="s">
        <v>47</v>
      </c>
      <c r="G1570" s="3" t="str">
        <f>INDEX([1]Risk_Matrix!$B$2:$D$4,MATCH(E1570,[1]Risk_Matrix!$A$2:$A$4,0),MATCH(F1570,[1]Risk_Matrix!$B$1:$D$1,0))</f>
        <v>Medium</v>
      </c>
      <c r="H1570" s="10">
        <v>46129</v>
      </c>
      <c r="I1570" s="3" t="s">
        <v>967</v>
      </c>
      <c r="J1570" s="3" t="s">
        <v>968</v>
      </c>
      <c r="K1570" s="3" t="s">
        <v>993</v>
      </c>
      <c r="L1570" s="3">
        <f>IF(G1570="High",3,IF(G1570="Medium",2,1))</f>
        <v>2</v>
      </c>
    </row>
    <row r="1571" spans="1:12">
      <c r="A1571" s="3" t="s">
        <v>2564</v>
      </c>
      <c r="B1571" s="3" t="s">
        <v>850</v>
      </c>
      <c r="C1571" s="3" t="s">
        <v>971</v>
      </c>
      <c r="D1571" s="3" t="s">
        <v>1016</v>
      </c>
      <c r="E1571" s="3" t="s">
        <v>47</v>
      </c>
      <c r="F1571" s="3" t="s">
        <v>942</v>
      </c>
      <c r="G1571" s="3" t="str">
        <f>INDEX([1]Risk_Matrix!$B$2:$D$4,MATCH(E1571,[1]Risk_Matrix!$A$2:$A$4,0),MATCH(F1571,[1]Risk_Matrix!$B$1:$D$1,0))</f>
        <v>Low</v>
      </c>
      <c r="H1571" s="10">
        <v>46114</v>
      </c>
      <c r="I1571" s="3" t="s">
        <v>973</v>
      </c>
      <c r="J1571" s="3" t="s">
        <v>974</v>
      </c>
      <c r="K1571" s="3" t="s">
        <v>983</v>
      </c>
      <c r="L1571" s="3">
        <f>IF(G1571="High",3,IF(G1571="Medium",2,1))</f>
        <v>1</v>
      </c>
    </row>
    <row r="1572" spans="1:12">
      <c r="A1572" s="3" t="s">
        <v>2565</v>
      </c>
      <c r="B1572" s="3" t="s">
        <v>850</v>
      </c>
      <c r="C1572" s="3" t="s">
        <v>976</v>
      </c>
      <c r="D1572" s="3" t="s">
        <v>977</v>
      </c>
      <c r="E1572" s="3" t="s">
        <v>47</v>
      </c>
      <c r="F1572" s="3" t="s">
        <v>942</v>
      </c>
      <c r="G1572" s="3" t="str">
        <f>INDEX([1]Risk_Matrix!$B$2:$D$4,MATCH(E1572,[1]Risk_Matrix!$A$2:$A$4,0),MATCH(F1572,[1]Risk_Matrix!$B$1:$D$1,0))</f>
        <v>Low</v>
      </c>
      <c r="H1572" s="10">
        <v>46193</v>
      </c>
      <c r="I1572" s="3" t="s">
        <v>967</v>
      </c>
      <c r="J1572" s="3" t="s">
        <v>968</v>
      </c>
      <c r="K1572" s="3" t="s">
        <v>960</v>
      </c>
      <c r="L1572" s="3">
        <f>IF(G1572="High",3,IF(G1572="Medium",2,1))</f>
        <v>1</v>
      </c>
    </row>
    <row r="1573" spans="1:12">
      <c r="A1573" s="3" t="s">
        <v>2566</v>
      </c>
      <c r="B1573" s="3" t="s">
        <v>850</v>
      </c>
      <c r="C1573" s="3" t="s">
        <v>979</v>
      </c>
      <c r="D1573" s="3" t="s">
        <v>1004</v>
      </c>
      <c r="E1573" s="3" t="s">
        <v>47</v>
      </c>
      <c r="F1573" s="3" t="s">
        <v>47</v>
      </c>
      <c r="G1573" s="3" t="str">
        <f>INDEX([1]Risk_Matrix!$B$2:$D$4,MATCH(E1573,[1]Risk_Matrix!$A$2:$A$4,0),MATCH(F1573,[1]Risk_Matrix!$B$1:$D$1,0))</f>
        <v>Low</v>
      </c>
      <c r="H1573" s="10">
        <v>46089</v>
      </c>
      <c r="I1573" s="3" t="s">
        <v>981</v>
      </c>
      <c r="J1573" s="3" t="s">
        <v>982</v>
      </c>
      <c r="K1573" s="3" t="s">
        <v>960</v>
      </c>
      <c r="L1573" s="3">
        <f>IF(G1573="High",3,IF(G1573="Medium",2,1))</f>
        <v>1</v>
      </c>
    </row>
    <row r="1574" spans="1:12">
      <c r="A1574" s="3" t="s">
        <v>2567</v>
      </c>
      <c r="B1574" s="3" t="s">
        <v>851</v>
      </c>
      <c r="C1574" s="3" t="s">
        <v>956</v>
      </c>
      <c r="D1574" s="3" t="s">
        <v>1020</v>
      </c>
      <c r="E1574" s="3" t="s">
        <v>942</v>
      </c>
      <c r="F1574" s="3" t="s">
        <v>942</v>
      </c>
      <c r="G1574" s="3" t="str">
        <f>INDEX([1]Risk_Matrix!$B$2:$D$4,MATCH(E1574,[1]Risk_Matrix!$A$2:$A$4,0),MATCH(F1574,[1]Risk_Matrix!$B$1:$D$1,0))</f>
        <v>Medium</v>
      </c>
      <c r="H1574" s="10">
        <v>46209</v>
      </c>
      <c r="I1574" s="3" t="s">
        <v>981</v>
      </c>
      <c r="J1574" s="3" t="s">
        <v>982</v>
      </c>
      <c r="K1574" s="3" t="s">
        <v>993</v>
      </c>
      <c r="L1574" s="3">
        <f>IF(G1574="High",3,IF(G1574="Medium",2,1))</f>
        <v>2</v>
      </c>
    </row>
    <row r="1575" spans="1:12">
      <c r="A1575" s="3" t="s">
        <v>2568</v>
      </c>
      <c r="B1575" s="3" t="s">
        <v>851</v>
      </c>
      <c r="C1575" s="3" t="s">
        <v>962</v>
      </c>
      <c r="D1575" s="3" t="s">
        <v>1037</v>
      </c>
      <c r="E1575" s="3" t="s">
        <v>47</v>
      </c>
      <c r="F1575" s="3" t="s">
        <v>942</v>
      </c>
      <c r="G1575" s="3" t="str">
        <f>INDEX([1]Risk_Matrix!$B$2:$D$4,MATCH(E1575,[1]Risk_Matrix!$A$2:$A$4,0),MATCH(F1575,[1]Risk_Matrix!$B$1:$D$1,0))</f>
        <v>Low</v>
      </c>
      <c r="H1575" s="10">
        <v>46094</v>
      </c>
      <c r="I1575" s="3" t="s">
        <v>981</v>
      </c>
      <c r="J1575" s="3" t="s">
        <v>982</v>
      </c>
      <c r="K1575" s="3" t="s">
        <v>993</v>
      </c>
      <c r="L1575" s="3">
        <f>IF(G1575="High",3,IF(G1575="Medium",2,1))</f>
        <v>1</v>
      </c>
    </row>
    <row r="1576" spans="1:12">
      <c r="A1576" s="3" t="s">
        <v>2569</v>
      </c>
      <c r="B1576" s="3" t="s">
        <v>851</v>
      </c>
      <c r="C1576" s="3" t="s">
        <v>965</v>
      </c>
      <c r="D1576" s="3" t="s">
        <v>988</v>
      </c>
      <c r="E1576" s="3" t="s">
        <v>47</v>
      </c>
      <c r="F1576" s="3" t="s">
        <v>942</v>
      </c>
      <c r="G1576" s="3" t="str">
        <f>INDEX([1]Risk_Matrix!$B$2:$D$4,MATCH(E1576,[1]Risk_Matrix!$A$2:$A$4,0),MATCH(F1576,[1]Risk_Matrix!$B$1:$D$1,0))</f>
        <v>Low</v>
      </c>
      <c r="H1576" s="10">
        <v>46104</v>
      </c>
      <c r="I1576" s="3" t="s">
        <v>967</v>
      </c>
      <c r="J1576" s="3" t="s">
        <v>968</v>
      </c>
      <c r="K1576" s="3" t="s">
        <v>969</v>
      </c>
      <c r="L1576" s="3">
        <f>IF(G1576="High",3,IF(G1576="Medium",2,1))</f>
        <v>1</v>
      </c>
    </row>
    <row r="1577" spans="1:12">
      <c r="A1577" s="3" t="s">
        <v>2570</v>
      </c>
      <c r="B1577" s="3" t="s">
        <v>851</v>
      </c>
      <c r="C1577" s="3" t="s">
        <v>971</v>
      </c>
      <c r="D1577" s="3" t="s">
        <v>1016</v>
      </c>
      <c r="E1577" s="3" t="s">
        <v>942</v>
      </c>
      <c r="F1577" s="3" t="s">
        <v>47</v>
      </c>
      <c r="G1577" s="3" t="str">
        <f>INDEX([1]Risk_Matrix!$B$2:$D$4,MATCH(E1577,[1]Risk_Matrix!$A$2:$A$4,0),MATCH(F1577,[1]Risk_Matrix!$B$1:$D$1,0))</f>
        <v>Low</v>
      </c>
      <c r="H1577" s="10">
        <v>46127</v>
      </c>
      <c r="I1577" s="3" t="s">
        <v>973</v>
      </c>
      <c r="J1577" s="3" t="s">
        <v>974</v>
      </c>
      <c r="K1577" s="3" t="s">
        <v>1000</v>
      </c>
      <c r="L1577" s="3">
        <f>IF(G1577="High",3,IF(G1577="Medium",2,1))</f>
        <v>1</v>
      </c>
    </row>
    <row r="1578" spans="1:12">
      <c r="A1578" s="3" t="s">
        <v>2571</v>
      </c>
      <c r="B1578" s="3" t="s">
        <v>851</v>
      </c>
      <c r="C1578" s="3" t="s">
        <v>976</v>
      </c>
      <c r="D1578" s="3" t="s">
        <v>1002</v>
      </c>
      <c r="E1578" s="3" t="s">
        <v>47</v>
      </c>
      <c r="F1578" s="3" t="s">
        <v>47</v>
      </c>
      <c r="G1578" s="3" t="str">
        <f>INDEX([1]Risk_Matrix!$B$2:$D$4,MATCH(E1578,[1]Risk_Matrix!$A$2:$A$4,0),MATCH(F1578,[1]Risk_Matrix!$B$1:$D$1,0))</f>
        <v>Low</v>
      </c>
      <c r="H1578" s="10">
        <v>46068</v>
      </c>
      <c r="I1578" s="3" t="s">
        <v>973</v>
      </c>
      <c r="J1578" s="3" t="s">
        <v>974</v>
      </c>
      <c r="K1578" s="3" t="s">
        <v>969</v>
      </c>
      <c r="L1578" s="3">
        <f>IF(G1578="High",3,IF(G1578="Medium",2,1))</f>
        <v>1</v>
      </c>
    </row>
    <row r="1579" spans="1:12">
      <c r="A1579" s="3" t="s">
        <v>2572</v>
      </c>
      <c r="B1579" s="3" t="s">
        <v>851</v>
      </c>
      <c r="C1579" s="3" t="s">
        <v>979</v>
      </c>
      <c r="D1579" s="3" t="s">
        <v>1028</v>
      </c>
      <c r="E1579" s="3" t="s">
        <v>47</v>
      </c>
      <c r="F1579" s="3" t="s">
        <v>42</v>
      </c>
      <c r="G1579" s="3" t="str">
        <f>INDEX([1]Risk_Matrix!$B$2:$D$4,MATCH(E1579,[1]Risk_Matrix!$A$2:$A$4,0),MATCH(F1579,[1]Risk_Matrix!$B$1:$D$1,0))</f>
        <v>Medium</v>
      </c>
      <c r="H1579" s="10">
        <v>46203</v>
      </c>
      <c r="I1579" s="3" t="s">
        <v>981</v>
      </c>
      <c r="J1579" s="3" t="s">
        <v>982</v>
      </c>
      <c r="K1579" s="3" t="s">
        <v>993</v>
      </c>
      <c r="L1579" s="3">
        <f>IF(G1579="High",3,IF(G1579="Medium",2,1))</f>
        <v>2</v>
      </c>
    </row>
    <row r="1580" spans="1:12">
      <c r="A1580" s="3" t="s">
        <v>2573</v>
      </c>
      <c r="B1580" s="3" t="s">
        <v>853</v>
      </c>
      <c r="C1580" s="3" t="s">
        <v>956</v>
      </c>
      <c r="D1580" s="3" t="s">
        <v>957</v>
      </c>
      <c r="E1580" s="3" t="s">
        <v>47</v>
      </c>
      <c r="F1580" s="3" t="s">
        <v>942</v>
      </c>
      <c r="G1580" s="3" t="str">
        <f>INDEX([1]Risk_Matrix!$B$2:$D$4,MATCH(E1580,[1]Risk_Matrix!$A$2:$A$4,0),MATCH(F1580,[1]Risk_Matrix!$B$1:$D$1,0))</f>
        <v>Low</v>
      </c>
      <c r="H1580" s="10">
        <v>46124</v>
      </c>
      <c r="I1580" s="3" t="s">
        <v>967</v>
      </c>
      <c r="J1580" s="3" t="s">
        <v>968</v>
      </c>
      <c r="K1580" s="3" t="s">
        <v>1000</v>
      </c>
      <c r="L1580" s="3">
        <f>IF(G1580="High",3,IF(G1580="Medium",2,1))</f>
        <v>1</v>
      </c>
    </row>
    <row r="1581" spans="1:12">
      <c r="A1581" s="3" t="s">
        <v>2574</v>
      </c>
      <c r="B1581" s="3" t="s">
        <v>853</v>
      </c>
      <c r="C1581" s="3" t="s">
        <v>962</v>
      </c>
      <c r="D1581" s="3" t="s">
        <v>986</v>
      </c>
      <c r="E1581" s="3" t="s">
        <v>942</v>
      </c>
      <c r="F1581" s="3" t="s">
        <v>47</v>
      </c>
      <c r="G1581" s="3" t="str">
        <f>INDEX([1]Risk_Matrix!$B$2:$D$4,MATCH(E1581,[1]Risk_Matrix!$A$2:$A$4,0),MATCH(F1581,[1]Risk_Matrix!$B$1:$D$1,0))</f>
        <v>Low</v>
      </c>
      <c r="H1581" s="10">
        <v>46070</v>
      </c>
      <c r="I1581" s="3" t="s">
        <v>958</v>
      </c>
      <c r="J1581" s="3" t="s">
        <v>959</v>
      </c>
      <c r="K1581" s="3" t="s">
        <v>983</v>
      </c>
      <c r="L1581" s="3">
        <f>IF(G1581="High",3,IF(G1581="Medium",2,1))</f>
        <v>1</v>
      </c>
    </row>
    <row r="1582" spans="1:12">
      <c r="A1582" s="3" t="s">
        <v>2575</v>
      </c>
      <c r="B1582" s="3" t="s">
        <v>853</v>
      </c>
      <c r="C1582" s="3" t="s">
        <v>965</v>
      </c>
      <c r="D1582" s="3" t="s">
        <v>988</v>
      </c>
      <c r="E1582" s="3" t="s">
        <v>47</v>
      </c>
      <c r="F1582" s="3" t="s">
        <v>47</v>
      </c>
      <c r="G1582" s="3" t="str">
        <f>INDEX([1]Risk_Matrix!$B$2:$D$4,MATCH(E1582,[1]Risk_Matrix!$A$2:$A$4,0),MATCH(F1582,[1]Risk_Matrix!$B$1:$D$1,0))</f>
        <v>Low</v>
      </c>
      <c r="H1582" s="10">
        <v>46162</v>
      </c>
      <c r="I1582" s="3" t="s">
        <v>973</v>
      </c>
      <c r="J1582" s="3" t="s">
        <v>974</v>
      </c>
      <c r="K1582" s="3" t="s">
        <v>983</v>
      </c>
      <c r="L1582" s="3">
        <f>IF(G1582="High",3,IF(G1582="Medium",2,1))</f>
        <v>1</v>
      </c>
    </row>
    <row r="1583" spans="1:12">
      <c r="A1583" s="3" t="s">
        <v>2576</v>
      </c>
      <c r="B1583" s="3" t="s">
        <v>853</v>
      </c>
      <c r="C1583" s="3" t="s">
        <v>971</v>
      </c>
      <c r="D1583" s="3" t="s">
        <v>1016</v>
      </c>
      <c r="E1583" s="3" t="s">
        <v>942</v>
      </c>
      <c r="F1583" s="3" t="s">
        <v>47</v>
      </c>
      <c r="G1583" s="3" t="str">
        <f>INDEX([1]Risk_Matrix!$B$2:$D$4,MATCH(E1583,[1]Risk_Matrix!$A$2:$A$4,0),MATCH(F1583,[1]Risk_Matrix!$B$1:$D$1,0))</f>
        <v>Low</v>
      </c>
      <c r="H1583" s="10">
        <v>46235</v>
      </c>
      <c r="I1583" s="3" t="s">
        <v>973</v>
      </c>
      <c r="J1583" s="3" t="s">
        <v>974</v>
      </c>
      <c r="K1583" s="3" t="s">
        <v>993</v>
      </c>
      <c r="L1583" s="3">
        <f>IF(G1583="High",3,IF(G1583="Medium",2,1))</f>
        <v>1</v>
      </c>
    </row>
    <row r="1584" spans="1:12">
      <c r="A1584" s="3" t="s">
        <v>2577</v>
      </c>
      <c r="B1584" s="3" t="s">
        <v>853</v>
      </c>
      <c r="C1584" s="3" t="s">
        <v>976</v>
      </c>
      <c r="D1584" s="3" t="s">
        <v>1002</v>
      </c>
      <c r="E1584" s="3" t="s">
        <v>942</v>
      </c>
      <c r="F1584" s="3" t="s">
        <v>942</v>
      </c>
      <c r="G1584" s="3" t="str">
        <f>INDEX([1]Risk_Matrix!$B$2:$D$4,MATCH(E1584,[1]Risk_Matrix!$A$2:$A$4,0),MATCH(F1584,[1]Risk_Matrix!$B$1:$D$1,0))</f>
        <v>Medium</v>
      </c>
      <c r="H1584" s="10">
        <v>46203</v>
      </c>
      <c r="I1584" s="3" t="s">
        <v>973</v>
      </c>
      <c r="J1584" s="3" t="s">
        <v>974</v>
      </c>
      <c r="K1584" s="3" t="s">
        <v>969</v>
      </c>
      <c r="L1584" s="3">
        <f>IF(G1584="High",3,IF(G1584="Medium",2,1))</f>
        <v>2</v>
      </c>
    </row>
    <row r="1585" spans="1:12">
      <c r="A1585" s="3" t="s">
        <v>2578</v>
      </c>
      <c r="B1585" s="3" t="s">
        <v>853</v>
      </c>
      <c r="C1585" s="3" t="s">
        <v>979</v>
      </c>
      <c r="D1585" s="3" t="s">
        <v>1004</v>
      </c>
      <c r="E1585" s="3" t="s">
        <v>42</v>
      </c>
      <c r="F1585" s="3" t="s">
        <v>942</v>
      </c>
      <c r="G1585" s="3" t="str">
        <f>INDEX([1]Risk_Matrix!$B$2:$D$4,MATCH(E1585,[1]Risk_Matrix!$A$2:$A$4,0),MATCH(F1585,[1]Risk_Matrix!$B$1:$D$1,0))</f>
        <v>High</v>
      </c>
      <c r="H1585" s="10">
        <v>46117</v>
      </c>
      <c r="I1585" s="3" t="s">
        <v>973</v>
      </c>
      <c r="J1585" s="3" t="s">
        <v>974</v>
      </c>
      <c r="K1585" s="3" t="s">
        <v>960</v>
      </c>
      <c r="L1585" s="3">
        <f>IF(G1585="High",3,IF(G1585="Medium",2,1))</f>
        <v>3</v>
      </c>
    </row>
    <row r="1586" spans="1:12">
      <c r="A1586" s="3" t="s">
        <v>2579</v>
      </c>
      <c r="B1586" s="3" t="s">
        <v>854</v>
      </c>
      <c r="C1586" s="3" t="s">
        <v>956</v>
      </c>
      <c r="D1586" s="3" t="s">
        <v>1012</v>
      </c>
      <c r="E1586" s="3" t="s">
        <v>47</v>
      </c>
      <c r="F1586" s="3" t="s">
        <v>47</v>
      </c>
      <c r="G1586" s="3" t="str">
        <f>INDEX([1]Risk_Matrix!$B$2:$D$4,MATCH(E1586,[1]Risk_Matrix!$A$2:$A$4,0),MATCH(F1586,[1]Risk_Matrix!$B$1:$D$1,0))</f>
        <v>Low</v>
      </c>
      <c r="H1586" s="10">
        <v>46078</v>
      </c>
      <c r="I1586" s="3" t="s">
        <v>967</v>
      </c>
      <c r="J1586" s="3" t="s">
        <v>968</v>
      </c>
      <c r="K1586" s="3" t="s">
        <v>1000</v>
      </c>
      <c r="L1586" s="3">
        <f>IF(G1586="High",3,IF(G1586="Medium",2,1))</f>
        <v>1</v>
      </c>
    </row>
    <row r="1587" spans="1:12">
      <c r="A1587" s="3" t="s">
        <v>2580</v>
      </c>
      <c r="B1587" s="3" t="s">
        <v>854</v>
      </c>
      <c r="C1587" s="3" t="s">
        <v>962</v>
      </c>
      <c r="D1587" s="3" t="s">
        <v>963</v>
      </c>
      <c r="E1587" s="3" t="s">
        <v>47</v>
      </c>
      <c r="F1587" s="3" t="s">
        <v>47</v>
      </c>
      <c r="G1587" s="3" t="str">
        <f>INDEX([1]Risk_Matrix!$B$2:$D$4,MATCH(E1587,[1]Risk_Matrix!$A$2:$A$4,0),MATCH(F1587,[1]Risk_Matrix!$B$1:$D$1,0))</f>
        <v>Low</v>
      </c>
      <c r="H1587" s="10">
        <v>46221</v>
      </c>
      <c r="I1587" s="3" t="s">
        <v>967</v>
      </c>
      <c r="J1587" s="3" t="s">
        <v>968</v>
      </c>
      <c r="K1587" s="3" t="s">
        <v>960</v>
      </c>
      <c r="L1587" s="3">
        <f>IF(G1587="High",3,IF(G1587="Medium",2,1))</f>
        <v>1</v>
      </c>
    </row>
    <row r="1588" spans="1:12">
      <c r="A1588" s="3" t="s">
        <v>2581</v>
      </c>
      <c r="B1588" s="3" t="s">
        <v>854</v>
      </c>
      <c r="C1588" s="3" t="s">
        <v>965</v>
      </c>
      <c r="D1588" s="3" t="s">
        <v>1023</v>
      </c>
      <c r="E1588" s="3" t="s">
        <v>942</v>
      </c>
      <c r="F1588" s="3" t="s">
        <v>47</v>
      </c>
      <c r="G1588" s="3" t="str">
        <f>INDEX([1]Risk_Matrix!$B$2:$D$4,MATCH(E1588,[1]Risk_Matrix!$A$2:$A$4,0),MATCH(F1588,[1]Risk_Matrix!$B$1:$D$1,0))</f>
        <v>Low</v>
      </c>
      <c r="H1588" s="10">
        <v>46078</v>
      </c>
      <c r="I1588" s="3" t="s">
        <v>981</v>
      </c>
      <c r="J1588" s="3" t="s">
        <v>982</v>
      </c>
      <c r="K1588" s="3" t="s">
        <v>969</v>
      </c>
      <c r="L1588" s="3">
        <f>IF(G1588="High",3,IF(G1588="Medium",2,1))</f>
        <v>1</v>
      </c>
    </row>
    <row r="1589" spans="1:12">
      <c r="A1589" s="3" t="s">
        <v>2582</v>
      </c>
      <c r="B1589" s="3" t="s">
        <v>854</v>
      </c>
      <c r="C1589" s="3" t="s">
        <v>971</v>
      </c>
      <c r="D1589" s="3" t="s">
        <v>972</v>
      </c>
      <c r="E1589" s="3" t="s">
        <v>942</v>
      </c>
      <c r="F1589" s="3" t="s">
        <v>47</v>
      </c>
      <c r="G1589" s="3" t="str">
        <f>INDEX([1]Risk_Matrix!$B$2:$D$4,MATCH(E1589,[1]Risk_Matrix!$A$2:$A$4,0),MATCH(F1589,[1]Risk_Matrix!$B$1:$D$1,0))</f>
        <v>Low</v>
      </c>
      <c r="H1589" s="10">
        <v>46228</v>
      </c>
      <c r="I1589" s="3" t="s">
        <v>981</v>
      </c>
      <c r="J1589" s="3" t="s">
        <v>982</v>
      </c>
      <c r="K1589" s="3" t="s">
        <v>969</v>
      </c>
      <c r="L1589" s="3">
        <f>IF(G1589="High",3,IF(G1589="Medium",2,1))</f>
        <v>1</v>
      </c>
    </row>
    <row r="1590" spans="1:12">
      <c r="A1590" s="3" t="s">
        <v>2583</v>
      </c>
      <c r="B1590" s="3" t="s">
        <v>854</v>
      </c>
      <c r="C1590" s="3" t="s">
        <v>976</v>
      </c>
      <c r="D1590" s="3" t="s">
        <v>991</v>
      </c>
      <c r="E1590" s="3" t="s">
        <v>47</v>
      </c>
      <c r="F1590" s="3" t="s">
        <v>942</v>
      </c>
      <c r="G1590" s="3" t="str">
        <f>INDEX([1]Risk_Matrix!$B$2:$D$4,MATCH(E1590,[1]Risk_Matrix!$A$2:$A$4,0),MATCH(F1590,[1]Risk_Matrix!$B$1:$D$1,0))</f>
        <v>Low</v>
      </c>
      <c r="H1590" s="10">
        <v>46138</v>
      </c>
      <c r="I1590" s="3" t="s">
        <v>981</v>
      </c>
      <c r="J1590" s="3" t="s">
        <v>982</v>
      </c>
      <c r="K1590" s="3" t="s">
        <v>960</v>
      </c>
      <c r="L1590" s="3">
        <f>IF(G1590="High",3,IF(G1590="Medium",2,1))</f>
        <v>1</v>
      </c>
    </row>
    <row r="1591" spans="1:12">
      <c r="A1591" s="3" t="s">
        <v>2584</v>
      </c>
      <c r="B1591" s="3" t="s">
        <v>854</v>
      </c>
      <c r="C1591" s="3" t="s">
        <v>979</v>
      </c>
      <c r="D1591" s="3" t="s">
        <v>980</v>
      </c>
      <c r="E1591" s="3" t="s">
        <v>942</v>
      </c>
      <c r="F1591" s="3" t="s">
        <v>47</v>
      </c>
      <c r="G1591" s="3" t="str">
        <f>INDEX([1]Risk_Matrix!$B$2:$D$4,MATCH(E1591,[1]Risk_Matrix!$A$2:$A$4,0),MATCH(F1591,[1]Risk_Matrix!$B$1:$D$1,0))</f>
        <v>Low</v>
      </c>
      <c r="H1591" s="10">
        <v>46116</v>
      </c>
      <c r="I1591" s="3" t="s">
        <v>981</v>
      </c>
      <c r="J1591" s="3" t="s">
        <v>982</v>
      </c>
      <c r="K1591" s="3" t="s">
        <v>1000</v>
      </c>
      <c r="L1591" s="3">
        <f>IF(G1591="High",3,IF(G1591="Medium",2,1))</f>
        <v>1</v>
      </c>
    </row>
    <row r="1592" spans="1:12">
      <c r="A1592" s="3" t="s">
        <v>2585</v>
      </c>
      <c r="B1592" s="3" t="s">
        <v>857</v>
      </c>
      <c r="C1592" s="3" t="s">
        <v>956</v>
      </c>
      <c r="D1592" s="3" t="s">
        <v>1012</v>
      </c>
      <c r="E1592" s="3" t="s">
        <v>942</v>
      </c>
      <c r="F1592" s="3" t="s">
        <v>942</v>
      </c>
      <c r="G1592" s="3" t="str">
        <f>INDEX([1]Risk_Matrix!$B$2:$D$4,MATCH(E1592,[1]Risk_Matrix!$A$2:$A$4,0),MATCH(F1592,[1]Risk_Matrix!$B$1:$D$1,0))</f>
        <v>Medium</v>
      </c>
      <c r="H1592" s="10">
        <v>46085</v>
      </c>
      <c r="I1592" s="3" t="s">
        <v>973</v>
      </c>
      <c r="J1592" s="3" t="s">
        <v>974</v>
      </c>
      <c r="K1592" s="3" t="s">
        <v>1000</v>
      </c>
      <c r="L1592" s="3">
        <f>IF(G1592="High",3,IF(G1592="Medium",2,1))</f>
        <v>2</v>
      </c>
    </row>
    <row r="1593" spans="1:12">
      <c r="A1593" s="3" t="s">
        <v>2586</v>
      </c>
      <c r="B1593" s="3" t="s">
        <v>857</v>
      </c>
      <c r="C1593" s="3" t="s">
        <v>962</v>
      </c>
      <c r="D1593" s="3" t="s">
        <v>986</v>
      </c>
      <c r="E1593" s="3" t="s">
        <v>47</v>
      </c>
      <c r="F1593" s="3" t="s">
        <v>47</v>
      </c>
      <c r="G1593" s="3" t="str">
        <f>INDEX([1]Risk_Matrix!$B$2:$D$4,MATCH(E1593,[1]Risk_Matrix!$A$2:$A$4,0),MATCH(F1593,[1]Risk_Matrix!$B$1:$D$1,0))</f>
        <v>Low</v>
      </c>
      <c r="H1593" s="10">
        <v>46132</v>
      </c>
      <c r="I1593" s="3" t="s">
        <v>967</v>
      </c>
      <c r="J1593" s="3" t="s">
        <v>968</v>
      </c>
      <c r="K1593" s="3" t="s">
        <v>993</v>
      </c>
      <c r="L1593" s="3">
        <f>IF(G1593="High",3,IF(G1593="Medium",2,1))</f>
        <v>1</v>
      </c>
    </row>
    <row r="1594" spans="1:12">
      <c r="A1594" s="3" t="s">
        <v>2587</v>
      </c>
      <c r="B1594" s="3" t="s">
        <v>857</v>
      </c>
      <c r="C1594" s="3" t="s">
        <v>965</v>
      </c>
      <c r="D1594" s="3" t="s">
        <v>1023</v>
      </c>
      <c r="E1594" s="3" t="s">
        <v>942</v>
      </c>
      <c r="F1594" s="3" t="s">
        <v>942</v>
      </c>
      <c r="G1594" s="3" t="str">
        <f>INDEX([1]Risk_Matrix!$B$2:$D$4,MATCH(E1594,[1]Risk_Matrix!$A$2:$A$4,0),MATCH(F1594,[1]Risk_Matrix!$B$1:$D$1,0))</f>
        <v>Medium</v>
      </c>
      <c r="H1594" s="10">
        <v>46228</v>
      </c>
      <c r="I1594" s="3" t="s">
        <v>981</v>
      </c>
      <c r="J1594" s="3" t="s">
        <v>982</v>
      </c>
      <c r="K1594" s="3" t="s">
        <v>969</v>
      </c>
      <c r="L1594" s="3">
        <f>IF(G1594="High",3,IF(G1594="Medium",2,1))</f>
        <v>2</v>
      </c>
    </row>
    <row r="1595" spans="1:12">
      <c r="A1595" s="3" t="s">
        <v>2588</v>
      </c>
      <c r="B1595" s="3" t="s">
        <v>857</v>
      </c>
      <c r="C1595" s="3" t="s">
        <v>971</v>
      </c>
      <c r="D1595" s="3" t="s">
        <v>1025</v>
      </c>
      <c r="E1595" s="3" t="s">
        <v>47</v>
      </c>
      <c r="F1595" s="3" t="s">
        <v>47</v>
      </c>
      <c r="G1595" s="3" t="str">
        <f>INDEX([1]Risk_Matrix!$B$2:$D$4,MATCH(E1595,[1]Risk_Matrix!$A$2:$A$4,0),MATCH(F1595,[1]Risk_Matrix!$B$1:$D$1,0))</f>
        <v>Low</v>
      </c>
      <c r="H1595" s="10">
        <v>46151</v>
      </c>
      <c r="I1595" s="3" t="s">
        <v>981</v>
      </c>
      <c r="J1595" s="3" t="s">
        <v>982</v>
      </c>
      <c r="K1595" s="3" t="s">
        <v>969</v>
      </c>
      <c r="L1595" s="3">
        <f>IF(G1595="High",3,IF(G1595="Medium",2,1))</f>
        <v>1</v>
      </c>
    </row>
    <row r="1596" spans="1:12">
      <c r="A1596" s="3" t="s">
        <v>2589</v>
      </c>
      <c r="B1596" s="3" t="s">
        <v>857</v>
      </c>
      <c r="C1596" s="3" t="s">
        <v>976</v>
      </c>
      <c r="D1596" s="3" t="s">
        <v>1002</v>
      </c>
      <c r="E1596" s="3" t="s">
        <v>942</v>
      </c>
      <c r="F1596" s="3" t="s">
        <v>42</v>
      </c>
      <c r="G1596" s="3" t="str">
        <f>INDEX([1]Risk_Matrix!$B$2:$D$4,MATCH(E1596,[1]Risk_Matrix!$A$2:$A$4,0),MATCH(F1596,[1]Risk_Matrix!$B$1:$D$1,0))</f>
        <v>High</v>
      </c>
      <c r="H1596" s="10">
        <v>46118</v>
      </c>
      <c r="I1596" s="3" t="s">
        <v>981</v>
      </c>
      <c r="J1596" s="3" t="s">
        <v>982</v>
      </c>
      <c r="K1596" s="3" t="s">
        <v>1000</v>
      </c>
      <c r="L1596" s="3">
        <f>IF(G1596="High",3,IF(G1596="Medium",2,1))</f>
        <v>3</v>
      </c>
    </row>
    <row r="1597" spans="1:12">
      <c r="A1597" s="3" t="s">
        <v>2590</v>
      </c>
      <c r="B1597" s="3" t="s">
        <v>857</v>
      </c>
      <c r="C1597" s="3" t="s">
        <v>979</v>
      </c>
      <c r="D1597" s="3" t="s">
        <v>1028</v>
      </c>
      <c r="E1597" s="3" t="s">
        <v>47</v>
      </c>
      <c r="F1597" s="3" t="s">
        <v>42</v>
      </c>
      <c r="G1597" s="3" t="str">
        <f>INDEX([1]Risk_Matrix!$B$2:$D$4,MATCH(E1597,[1]Risk_Matrix!$A$2:$A$4,0),MATCH(F1597,[1]Risk_Matrix!$B$1:$D$1,0))</f>
        <v>Medium</v>
      </c>
      <c r="H1597" s="10">
        <v>46061</v>
      </c>
      <c r="I1597" s="3" t="s">
        <v>967</v>
      </c>
      <c r="J1597" s="3" t="s">
        <v>968</v>
      </c>
      <c r="K1597" s="3" t="s">
        <v>1000</v>
      </c>
      <c r="L1597" s="3">
        <f>IF(G1597="High",3,IF(G1597="Medium",2,1))</f>
        <v>2</v>
      </c>
    </row>
    <row r="1598" spans="1:12">
      <c r="A1598" s="3" t="s">
        <v>2591</v>
      </c>
      <c r="B1598" s="3" t="s">
        <v>859</v>
      </c>
      <c r="C1598" s="3" t="s">
        <v>956</v>
      </c>
      <c r="D1598" s="3" t="s">
        <v>1020</v>
      </c>
      <c r="E1598" s="3" t="s">
        <v>47</v>
      </c>
      <c r="F1598" s="3" t="s">
        <v>47</v>
      </c>
      <c r="G1598" s="3" t="str">
        <f>INDEX([1]Risk_Matrix!$B$2:$D$4,MATCH(E1598,[1]Risk_Matrix!$A$2:$A$4,0),MATCH(F1598,[1]Risk_Matrix!$B$1:$D$1,0))</f>
        <v>Low</v>
      </c>
      <c r="H1598" s="10">
        <v>46151</v>
      </c>
      <c r="I1598" s="3" t="s">
        <v>967</v>
      </c>
      <c r="J1598" s="3" t="s">
        <v>968</v>
      </c>
      <c r="K1598" s="3" t="s">
        <v>1000</v>
      </c>
      <c r="L1598" s="3">
        <f>IF(G1598="High",3,IF(G1598="Medium",2,1))</f>
        <v>1</v>
      </c>
    </row>
    <row r="1599" spans="1:12">
      <c r="A1599" s="3" t="s">
        <v>2592</v>
      </c>
      <c r="B1599" s="3" t="s">
        <v>859</v>
      </c>
      <c r="C1599" s="3" t="s">
        <v>962</v>
      </c>
      <c r="D1599" s="3" t="s">
        <v>963</v>
      </c>
      <c r="E1599" s="3" t="s">
        <v>47</v>
      </c>
      <c r="F1599" s="3" t="s">
        <v>47</v>
      </c>
      <c r="G1599" s="3" t="str">
        <f>INDEX([1]Risk_Matrix!$B$2:$D$4,MATCH(E1599,[1]Risk_Matrix!$A$2:$A$4,0),MATCH(F1599,[1]Risk_Matrix!$B$1:$D$1,0))</f>
        <v>Low</v>
      </c>
      <c r="H1599" s="10">
        <v>46165</v>
      </c>
      <c r="I1599" s="3" t="s">
        <v>973</v>
      </c>
      <c r="J1599" s="3" t="s">
        <v>974</v>
      </c>
      <c r="K1599" s="3" t="s">
        <v>1000</v>
      </c>
      <c r="L1599" s="3">
        <f>IF(G1599="High",3,IF(G1599="Medium",2,1))</f>
        <v>1</v>
      </c>
    </row>
    <row r="1600" spans="1:12">
      <c r="A1600" s="3" t="s">
        <v>2593</v>
      </c>
      <c r="B1600" s="3" t="s">
        <v>859</v>
      </c>
      <c r="C1600" s="3" t="s">
        <v>965</v>
      </c>
      <c r="D1600" s="3" t="s">
        <v>1039</v>
      </c>
      <c r="E1600" s="3" t="s">
        <v>47</v>
      </c>
      <c r="F1600" s="3" t="s">
        <v>42</v>
      </c>
      <c r="G1600" s="3" t="str">
        <f>INDEX([1]Risk_Matrix!$B$2:$D$4,MATCH(E1600,[1]Risk_Matrix!$A$2:$A$4,0),MATCH(F1600,[1]Risk_Matrix!$B$1:$D$1,0))</f>
        <v>Medium</v>
      </c>
      <c r="H1600" s="10">
        <v>46094</v>
      </c>
      <c r="I1600" s="3" t="s">
        <v>981</v>
      </c>
      <c r="J1600" s="3" t="s">
        <v>982</v>
      </c>
      <c r="K1600" s="3" t="s">
        <v>983</v>
      </c>
      <c r="L1600" s="3">
        <f>IF(G1600="High",3,IF(G1600="Medium",2,1))</f>
        <v>2</v>
      </c>
    </row>
    <row r="1601" spans="1:12">
      <c r="A1601" s="3" t="s">
        <v>2594</v>
      </c>
      <c r="B1601" s="3" t="s">
        <v>859</v>
      </c>
      <c r="C1601" s="3" t="s">
        <v>971</v>
      </c>
      <c r="D1601" s="3" t="s">
        <v>1025</v>
      </c>
      <c r="E1601" s="3" t="s">
        <v>42</v>
      </c>
      <c r="F1601" s="3" t="s">
        <v>47</v>
      </c>
      <c r="G1601" s="3" t="str">
        <f>INDEX([1]Risk_Matrix!$B$2:$D$4,MATCH(E1601,[1]Risk_Matrix!$A$2:$A$4,0),MATCH(F1601,[1]Risk_Matrix!$B$1:$D$1,0))</f>
        <v>Medium</v>
      </c>
      <c r="H1601" s="10">
        <v>46065</v>
      </c>
      <c r="I1601" s="3" t="s">
        <v>973</v>
      </c>
      <c r="J1601" s="3" t="s">
        <v>974</v>
      </c>
      <c r="K1601" s="3" t="s">
        <v>960</v>
      </c>
      <c r="L1601" s="3">
        <f>IF(G1601="High",3,IF(G1601="Medium",2,1))</f>
        <v>2</v>
      </c>
    </row>
    <row r="1602" spans="1:12">
      <c r="A1602" s="3" t="s">
        <v>2595</v>
      </c>
      <c r="B1602" s="3" t="s">
        <v>859</v>
      </c>
      <c r="C1602" s="3" t="s">
        <v>976</v>
      </c>
      <c r="D1602" s="3" t="s">
        <v>991</v>
      </c>
      <c r="E1602" s="3" t="s">
        <v>47</v>
      </c>
      <c r="F1602" s="3" t="s">
        <v>47</v>
      </c>
      <c r="G1602" s="3" t="str">
        <f>INDEX([1]Risk_Matrix!$B$2:$D$4,MATCH(E1602,[1]Risk_Matrix!$A$2:$A$4,0),MATCH(F1602,[1]Risk_Matrix!$B$1:$D$1,0))</f>
        <v>Low</v>
      </c>
      <c r="H1602" s="10">
        <v>46082</v>
      </c>
      <c r="I1602" s="3" t="s">
        <v>967</v>
      </c>
      <c r="J1602" s="3" t="s">
        <v>968</v>
      </c>
      <c r="K1602" s="3" t="s">
        <v>983</v>
      </c>
      <c r="L1602" s="3">
        <f>IF(G1602="High",3,IF(G1602="Medium",2,1))</f>
        <v>1</v>
      </c>
    </row>
    <row r="1603" spans="1:12">
      <c r="A1603" s="3" t="s">
        <v>2596</v>
      </c>
      <c r="B1603" s="3" t="s">
        <v>859</v>
      </c>
      <c r="C1603" s="3" t="s">
        <v>979</v>
      </c>
      <c r="D1603" s="3" t="s">
        <v>980</v>
      </c>
      <c r="E1603" s="3" t="s">
        <v>47</v>
      </c>
      <c r="F1603" s="3" t="s">
        <v>942</v>
      </c>
      <c r="G1603" s="3" t="str">
        <f>INDEX([1]Risk_Matrix!$B$2:$D$4,MATCH(E1603,[1]Risk_Matrix!$A$2:$A$4,0),MATCH(F1603,[1]Risk_Matrix!$B$1:$D$1,0))</f>
        <v>Low</v>
      </c>
      <c r="H1603" s="10">
        <v>46100</v>
      </c>
      <c r="I1603" s="3" t="s">
        <v>973</v>
      </c>
      <c r="J1603" s="3" t="s">
        <v>974</v>
      </c>
      <c r="K1603" s="3" t="s">
        <v>1000</v>
      </c>
      <c r="L1603" s="3">
        <f>IF(G1603="High",3,IF(G1603="Medium",2,1))</f>
        <v>1</v>
      </c>
    </row>
    <row r="1604" spans="1:12">
      <c r="A1604" s="3" t="s">
        <v>2597</v>
      </c>
      <c r="B1604" s="3" t="s">
        <v>862</v>
      </c>
      <c r="C1604" s="3" t="s">
        <v>956</v>
      </c>
      <c r="D1604" s="3" t="s">
        <v>995</v>
      </c>
      <c r="E1604" s="3" t="s">
        <v>47</v>
      </c>
      <c r="F1604" s="3" t="s">
        <v>47</v>
      </c>
      <c r="G1604" s="3" t="str">
        <f>INDEX([1]Risk_Matrix!$B$2:$D$4,MATCH(E1604,[1]Risk_Matrix!$A$2:$A$4,0),MATCH(F1604,[1]Risk_Matrix!$B$1:$D$1,0))</f>
        <v>Low</v>
      </c>
      <c r="H1604" s="10">
        <v>46208</v>
      </c>
      <c r="I1604" s="3" t="s">
        <v>967</v>
      </c>
      <c r="J1604" s="3" t="s">
        <v>968</v>
      </c>
      <c r="K1604" s="3" t="s">
        <v>969</v>
      </c>
      <c r="L1604" s="3">
        <f>IF(G1604="High",3,IF(G1604="Medium",2,1))</f>
        <v>1</v>
      </c>
    </row>
    <row r="1605" spans="1:12">
      <c r="A1605" s="3" t="s">
        <v>2598</v>
      </c>
      <c r="B1605" s="3" t="s">
        <v>862</v>
      </c>
      <c r="C1605" s="3" t="s">
        <v>962</v>
      </c>
      <c r="D1605" s="3" t="s">
        <v>1037</v>
      </c>
      <c r="E1605" s="3" t="s">
        <v>47</v>
      </c>
      <c r="F1605" s="3" t="s">
        <v>942</v>
      </c>
      <c r="G1605" s="3" t="str">
        <f>INDEX([1]Risk_Matrix!$B$2:$D$4,MATCH(E1605,[1]Risk_Matrix!$A$2:$A$4,0),MATCH(F1605,[1]Risk_Matrix!$B$1:$D$1,0))</f>
        <v>Low</v>
      </c>
      <c r="H1605" s="10">
        <v>46192</v>
      </c>
      <c r="I1605" s="3" t="s">
        <v>981</v>
      </c>
      <c r="J1605" s="3" t="s">
        <v>982</v>
      </c>
      <c r="K1605" s="3" t="s">
        <v>960</v>
      </c>
      <c r="L1605" s="3">
        <f>IF(G1605="High",3,IF(G1605="Medium",2,1))</f>
        <v>1</v>
      </c>
    </row>
    <row r="1606" spans="1:12">
      <c r="A1606" s="3" t="s">
        <v>2599</v>
      </c>
      <c r="B1606" s="3" t="s">
        <v>862</v>
      </c>
      <c r="C1606" s="3" t="s">
        <v>965</v>
      </c>
      <c r="D1606" s="3" t="s">
        <v>966</v>
      </c>
      <c r="E1606" s="3" t="s">
        <v>47</v>
      </c>
      <c r="F1606" s="3" t="s">
        <v>47</v>
      </c>
      <c r="G1606" s="3" t="str">
        <f>INDEX([1]Risk_Matrix!$B$2:$D$4,MATCH(E1606,[1]Risk_Matrix!$A$2:$A$4,0),MATCH(F1606,[1]Risk_Matrix!$B$1:$D$1,0))</f>
        <v>Low</v>
      </c>
      <c r="H1606" s="10">
        <v>46093</v>
      </c>
      <c r="I1606" s="3" t="s">
        <v>973</v>
      </c>
      <c r="J1606" s="3" t="s">
        <v>974</v>
      </c>
      <c r="K1606" s="3" t="s">
        <v>960</v>
      </c>
      <c r="L1606" s="3">
        <f>IF(G1606="High",3,IF(G1606="Medium",2,1))</f>
        <v>1</v>
      </c>
    </row>
    <row r="1607" spans="1:12">
      <c r="A1607" s="3" t="s">
        <v>2600</v>
      </c>
      <c r="B1607" s="3" t="s">
        <v>862</v>
      </c>
      <c r="C1607" s="3" t="s">
        <v>971</v>
      </c>
      <c r="D1607" s="3" t="s">
        <v>1016</v>
      </c>
      <c r="E1607" s="3" t="s">
        <v>47</v>
      </c>
      <c r="F1607" s="3" t="s">
        <v>47</v>
      </c>
      <c r="G1607" s="3" t="str">
        <f>INDEX([1]Risk_Matrix!$B$2:$D$4,MATCH(E1607,[1]Risk_Matrix!$A$2:$A$4,0),MATCH(F1607,[1]Risk_Matrix!$B$1:$D$1,0))</f>
        <v>Low</v>
      </c>
      <c r="H1607" s="10">
        <v>46207</v>
      </c>
      <c r="I1607" s="3" t="s">
        <v>973</v>
      </c>
      <c r="J1607" s="3" t="s">
        <v>974</v>
      </c>
      <c r="K1607" s="3" t="s">
        <v>960</v>
      </c>
      <c r="L1607" s="3">
        <f>IF(G1607="High",3,IF(G1607="Medium",2,1))</f>
        <v>1</v>
      </c>
    </row>
    <row r="1608" spans="1:12">
      <c r="A1608" s="3" t="s">
        <v>2601</v>
      </c>
      <c r="B1608" s="3" t="s">
        <v>862</v>
      </c>
      <c r="C1608" s="3" t="s">
        <v>976</v>
      </c>
      <c r="D1608" s="3" t="s">
        <v>1002</v>
      </c>
      <c r="E1608" s="3" t="s">
        <v>42</v>
      </c>
      <c r="F1608" s="3" t="s">
        <v>47</v>
      </c>
      <c r="G1608" s="3" t="str">
        <f>INDEX([1]Risk_Matrix!$B$2:$D$4,MATCH(E1608,[1]Risk_Matrix!$A$2:$A$4,0),MATCH(F1608,[1]Risk_Matrix!$B$1:$D$1,0))</f>
        <v>Medium</v>
      </c>
      <c r="H1608" s="10">
        <v>46173</v>
      </c>
      <c r="I1608" s="3" t="s">
        <v>973</v>
      </c>
      <c r="J1608" s="3" t="s">
        <v>974</v>
      </c>
      <c r="K1608" s="3" t="s">
        <v>960</v>
      </c>
      <c r="L1608" s="3">
        <f>IF(G1608="High",3,IF(G1608="Medium",2,1))</f>
        <v>2</v>
      </c>
    </row>
    <row r="1609" spans="1:12">
      <c r="A1609" s="3" t="s">
        <v>2602</v>
      </c>
      <c r="B1609" s="3" t="s">
        <v>862</v>
      </c>
      <c r="C1609" s="3" t="s">
        <v>979</v>
      </c>
      <c r="D1609" s="3" t="s">
        <v>1028</v>
      </c>
      <c r="E1609" s="3" t="s">
        <v>42</v>
      </c>
      <c r="F1609" s="3" t="s">
        <v>942</v>
      </c>
      <c r="G1609" s="3" t="str">
        <f>INDEX([1]Risk_Matrix!$B$2:$D$4,MATCH(E1609,[1]Risk_Matrix!$A$2:$A$4,0),MATCH(F1609,[1]Risk_Matrix!$B$1:$D$1,0))</f>
        <v>High</v>
      </c>
      <c r="H1609" s="10">
        <v>46108</v>
      </c>
      <c r="I1609" s="3" t="s">
        <v>981</v>
      </c>
      <c r="J1609" s="3" t="s">
        <v>982</v>
      </c>
      <c r="K1609" s="3" t="s">
        <v>1000</v>
      </c>
      <c r="L1609" s="3">
        <f>IF(G1609="High",3,IF(G1609="Medium",2,1))</f>
        <v>3</v>
      </c>
    </row>
    <row r="1610" spans="1:12">
      <c r="A1610" s="3" t="s">
        <v>2603</v>
      </c>
      <c r="B1610" s="3" t="s">
        <v>865</v>
      </c>
      <c r="C1610" s="3" t="s">
        <v>956</v>
      </c>
      <c r="D1610" s="3" t="s">
        <v>1012</v>
      </c>
      <c r="E1610" s="3" t="s">
        <v>47</v>
      </c>
      <c r="F1610" s="3" t="s">
        <v>47</v>
      </c>
      <c r="G1610" s="3" t="str">
        <f>INDEX([1]Risk_Matrix!$B$2:$D$4,MATCH(E1610,[1]Risk_Matrix!$A$2:$A$4,0),MATCH(F1610,[1]Risk_Matrix!$B$1:$D$1,0))</f>
        <v>Low</v>
      </c>
      <c r="H1610" s="10">
        <v>46113</v>
      </c>
      <c r="I1610" s="3" t="s">
        <v>967</v>
      </c>
      <c r="J1610" s="3" t="s">
        <v>968</v>
      </c>
      <c r="K1610" s="3" t="s">
        <v>1000</v>
      </c>
      <c r="L1610" s="3">
        <f>IF(G1610="High",3,IF(G1610="Medium",2,1))</f>
        <v>1</v>
      </c>
    </row>
    <row r="1611" spans="1:12">
      <c r="A1611" s="3" t="s">
        <v>2604</v>
      </c>
      <c r="B1611" s="3" t="s">
        <v>865</v>
      </c>
      <c r="C1611" s="3" t="s">
        <v>962</v>
      </c>
      <c r="D1611" s="3" t="s">
        <v>963</v>
      </c>
      <c r="E1611" s="3" t="s">
        <v>47</v>
      </c>
      <c r="F1611" s="3" t="s">
        <v>47</v>
      </c>
      <c r="G1611" s="3" t="str">
        <f>INDEX([1]Risk_Matrix!$B$2:$D$4,MATCH(E1611,[1]Risk_Matrix!$A$2:$A$4,0),MATCH(F1611,[1]Risk_Matrix!$B$1:$D$1,0))</f>
        <v>Low</v>
      </c>
      <c r="H1611" s="10">
        <v>46192</v>
      </c>
      <c r="I1611" s="3" t="s">
        <v>973</v>
      </c>
      <c r="J1611" s="3" t="s">
        <v>974</v>
      </c>
      <c r="K1611" s="3" t="s">
        <v>993</v>
      </c>
      <c r="L1611" s="3">
        <f>IF(G1611="High",3,IF(G1611="Medium",2,1))</f>
        <v>1</v>
      </c>
    </row>
    <row r="1612" spans="1:12">
      <c r="A1612" s="3" t="s">
        <v>2605</v>
      </c>
      <c r="B1612" s="3" t="s">
        <v>865</v>
      </c>
      <c r="C1612" s="3" t="s">
        <v>965</v>
      </c>
      <c r="D1612" s="3" t="s">
        <v>966</v>
      </c>
      <c r="E1612" s="3" t="s">
        <v>942</v>
      </c>
      <c r="F1612" s="3" t="s">
        <v>42</v>
      </c>
      <c r="G1612" s="3" t="str">
        <f>INDEX([1]Risk_Matrix!$B$2:$D$4,MATCH(E1612,[1]Risk_Matrix!$A$2:$A$4,0),MATCH(F1612,[1]Risk_Matrix!$B$1:$D$1,0))</f>
        <v>High</v>
      </c>
      <c r="H1612" s="10">
        <v>46221</v>
      </c>
      <c r="I1612" s="3" t="s">
        <v>973</v>
      </c>
      <c r="J1612" s="3" t="s">
        <v>974</v>
      </c>
      <c r="K1612" s="3" t="s">
        <v>969</v>
      </c>
      <c r="L1612" s="3">
        <f>IF(G1612="High",3,IF(G1612="Medium",2,1))</f>
        <v>3</v>
      </c>
    </row>
    <row r="1613" spans="1:12">
      <c r="A1613" s="3" t="s">
        <v>2606</v>
      </c>
      <c r="B1613" s="3" t="s">
        <v>865</v>
      </c>
      <c r="C1613" s="3" t="s">
        <v>971</v>
      </c>
      <c r="D1613" s="3" t="s">
        <v>972</v>
      </c>
      <c r="E1613" s="3" t="s">
        <v>942</v>
      </c>
      <c r="F1613" s="3" t="s">
        <v>47</v>
      </c>
      <c r="G1613" s="3" t="str">
        <f>INDEX([1]Risk_Matrix!$B$2:$D$4,MATCH(E1613,[1]Risk_Matrix!$A$2:$A$4,0),MATCH(F1613,[1]Risk_Matrix!$B$1:$D$1,0))</f>
        <v>Low</v>
      </c>
      <c r="H1613" s="10">
        <v>46063</v>
      </c>
      <c r="I1613" s="3" t="s">
        <v>981</v>
      </c>
      <c r="J1613" s="3" t="s">
        <v>982</v>
      </c>
      <c r="K1613" s="3" t="s">
        <v>960</v>
      </c>
      <c r="L1613" s="3">
        <f>IF(G1613="High",3,IF(G1613="Medium",2,1))</f>
        <v>1</v>
      </c>
    </row>
    <row r="1614" spans="1:12">
      <c r="A1614" s="3" t="s">
        <v>2607</v>
      </c>
      <c r="B1614" s="3" t="s">
        <v>865</v>
      </c>
      <c r="C1614" s="3" t="s">
        <v>976</v>
      </c>
      <c r="D1614" s="3" t="s">
        <v>977</v>
      </c>
      <c r="E1614" s="3" t="s">
        <v>47</v>
      </c>
      <c r="F1614" s="3" t="s">
        <v>942</v>
      </c>
      <c r="G1614" s="3" t="str">
        <f>INDEX([1]Risk_Matrix!$B$2:$D$4,MATCH(E1614,[1]Risk_Matrix!$A$2:$A$4,0),MATCH(F1614,[1]Risk_Matrix!$B$1:$D$1,0))</f>
        <v>Low</v>
      </c>
      <c r="H1614" s="10">
        <v>46210</v>
      </c>
      <c r="I1614" s="3" t="s">
        <v>973</v>
      </c>
      <c r="J1614" s="3" t="s">
        <v>974</v>
      </c>
      <c r="K1614" s="3" t="s">
        <v>969</v>
      </c>
      <c r="L1614" s="3">
        <f>IF(G1614="High",3,IF(G1614="Medium",2,1))</f>
        <v>1</v>
      </c>
    </row>
    <row r="1615" spans="1:12">
      <c r="A1615" s="3" t="s">
        <v>2608</v>
      </c>
      <c r="B1615" s="3" t="s">
        <v>865</v>
      </c>
      <c r="C1615" s="3" t="s">
        <v>979</v>
      </c>
      <c r="D1615" s="3" t="s">
        <v>980</v>
      </c>
      <c r="E1615" s="3" t="s">
        <v>942</v>
      </c>
      <c r="F1615" s="3" t="s">
        <v>47</v>
      </c>
      <c r="G1615" s="3" t="str">
        <f>INDEX([1]Risk_Matrix!$B$2:$D$4,MATCH(E1615,[1]Risk_Matrix!$A$2:$A$4,0),MATCH(F1615,[1]Risk_Matrix!$B$1:$D$1,0))</f>
        <v>Low</v>
      </c>
      <c r="H1615" s="10">
        <v>46182</v>
      </c>
      <c r="I1615" s="3" t="s">
        <v>973</v>
      </c>
      <c r="J1615" s="3" t="s">
        <v>974</v>
      </c>
      <c r="K1615" s="3" t="s">
        <v>1000</v>
      </c>
      <c r="L1615" s="3">
        <f>IF(G1615="High",3,IF(G1615="Medium",2,1))</f>
        <v>1</v>
      </c>
    </row>
    <row r="1616" spans="1:12">
      <c r="A1616" s="3" t="s">
        <v>2609</v>
      </c>
      <c r="B1616" s="3" t="s">
        <v>867</v>
      </c>
      <c r="C1616" s="3" t="s">
        <v>956</v>
      </c>
      <c r="D1616" s="3" t="s">
        <v>995</v>
      </c>
      <c r="E1616" s="3" t="s">
        <v>42</v>
      </c>
      <c r="F1616" s="3" t="s">
        <v>47</v>
      </c>
      <c r="G1616" s="3" t="str">
        <f>INDEX([1]Risk_Matrix!$B$2:$D$4,MATCH(E1616,[1]Risk_Matrix!$A$2:$A$4,0),MATCH(F1616,[1]Risk_Matrix!$B$1:$D$1,0))</f>
        <v>Medium</v>
      </c>
      <c r="H1616" s="10">
        <v>46233</v>
      </c>
      <c r="I1616" s="3" t="s">
        <v>973</v>
      </c>
      <c r="J1616" s="3" t="s">
        <v>974</v>
      </c>
      <c r="K1616" s="3" t="s">
        <v>1000</v>
      </c>
      <c r="L1616" s="3">
        <f>IF(G1616="High",3,IF(G1616="Medium",2,1))</f>
        <v>2</v>
      </c>
    </row>
    <row r="1617" spans="1:12">
      <c r="A1617" s="3" t="s">
        <v>2610</v>
      </c>
      <c r="B1617" s="3" t="s">
        <v>867</v>
      </c>
      <c r="C1617" s="3" t="s">
        <v>962</v>
      </c>
      <c r="D1617" s="3" t="s">
        <v>986</v>
      </c>
      <c r="E1617" s="3" t="s">
        <v>942</v>
      </c>
      <c r="F1617" s="3" t="s">
        <v>47</v>
      </c>
      <c r="G1617" s="3" t="str">
        <f>INDEX([1]Risk_Matrix!$B$2:$D$4,MATCH(E1617,[1]Risk_Matrix!$A$2:$A$4,0),MATCH(F1617,[1]Risk_Matrix!$B$1:$D$1,0))</f>
        <v>Low</v>
      </c>
      <c r="H1617" s="10">
        <v>46140</v>
      </c>
      <c r="I1617" s="3" t="s">
        <v>958</v>
      </c>
      <c r="J1617" s="3" t="s">
        <v>959</v>
      </c>
      <c r="K1617" s="3" t="s">
        <v>983</v>
      </c>
      <c r="L1617" s="3">
        <f>IF(G1617="High",3,IF(G1617="Medium",2,1))</f>
        <v>1</v>
      </c>
    </row>
    <row r="1618" spans="1:12">
      <c r="A1618" s="3" t="s">
        <v>2611</v>
      </c>
      <c r="B1618" s="3" t="s">
        <v>867</v>
      </c>
      <c r="C1618" s="3" t="s">
        <v>965</v>
      </c>
      <c r="D1618" s="3" t="s">
        <v>1023</v>
      </c>
      <c r="E1618" s="3" t="s">
        <v>42</v>
      </c>
      <c r="F1618" s="3" t="s">
        <v>47</v>
      </c>
      <c r="G1618" s="3" t="str">
        <f>INDEX([1]Risk_Matrix!$B$2:$D$4,MATCH(E1618,[1]Risk_Matrix!$A$2:$A$4,0),MATCH(F1618,[1]Risk_Matrix!$B$1:$D$1,0))</f>
        <v>Medium</v>
      </c>
      <c r="H1618" s="10">
        <v>46169</v>
      </c>
      <c r="I1618" s="3" t="s">
        <v>967</v>
      </c>
      <c r="J1618" s="3" t="s">
        <v>968</v>
      </c>
      <c r="K1618" s="3" t="s">
        <v>960</v>
      </c>
      <c r="L1618" s="3">
        <f>IF(G1618="High",3,IF(G1618="Medium",2,1))</f>
        <v>2</v>
      </c>
    </row>
    <row r="1619" spans="1:12">
      <c r="A1619" s="3" t="s">
        <v>2612</v>
      </c>
      <c r="B1619" s="3" t="s">
        <v>867</v>
      </c>
      <c r="C1619" s="3" t="s">
        <v>971</v>
      </c>
      <c r="D1619" s="3" t="s">
        <v>972</v>
      </c>
      <c r="E1619" s="3" t="s">
        <v>47</v>
      </c>
      <c r="F1619" s="3" t="s">
        <v>942</v>
      </c>
      <c r="G1619" s="3" t="str">
        <f>INDEX([1]Risk_Matrix!$B$2:$D$4,MATCH(E1619,[1]Risk_Matrix!$A$2:$A$4,0),MATCH(F1619,[1]Risk_Matrix!$B$1:$D$1,0))</f>
        <v>Low</v>
      </c>
      <c r="H1619" s="10">
        <v>46121</v>
      </c>
      <c r="I1619" s="3" t="s">
        <v>973</v>
      </c>
      <c r="J1619" s="3" t="s">
        <v>974</v>
      </c>
      <c r="K1619" s="3" t="s">
        <v>1000</v>
      </c>
      <c r="L1619" s="3">
        <f>IF(G1619="High",3,IF(G1619="Medium",2,1))</f>
        <v>1</v>
      </c>
    </row>
    <row r="1620" spans="1:12">
      <c r="A1620" s="3" t="s">
        <v>2613</v>
      </c>
      <c r="B1620" s="3" t="s">
        <v>867</v>
      </c>
      <c r="C1620" s="3" t="s">
        <v>976</v>
      </c>
      <c r="D1620" s="3" t="s">
        <v>977</v>
      </c>
      <c r="E1620" s="3" t="s">
        <v>42</v>
      </c>
      <c r="F1620" s="3" t="s">
        <v>42</v>
      </c>
      <c r="G1620" s="3" t="str">
        <f>INDEX([1]Risk_Matrix!$B$2:$D$4,MATCH(E1620,[1]Risk_Matrix!$A$2:$A$4,0),MATCH(F1620,[1]Risk_Matrix!$B$1:$D$1,0))</f>
        <v>High</v>
      </c>
      <c r="H1620" s="10">
        <v>46238</v>
      </c>
      <c r="I1620" s="3" t="s">
        <v>973</v>
      </c>
      <c r="J1620" s="3" t="s">
        <v>974</v>
      </c>
      <c r="K1620" s="3" t="s">
        <v>983</v>
      </c>
      <c r="L1620" s="3">
        <f>IF(G1620="High",3,IF(G1620="Medium",2,1))</f>
        <v>3</v>
      </c>
    </row>
    <row r="1621" spans="1:12">
      <c r="A1621" s="3" t="s">
        <v>2614</v>
      </c>
      <c r="B1621" s="3" t="s">
        <v>867</v>
      </c>
      <c r="C1621" s="3" t="s">
        <v>979</v>
      </c>
      <c r="D1621" s="3" t="s">
        <v>980</v>
      </c>
      <c r="E1621" s="3" t="s">
        <v>47</v>
      </c>
      <c r="F1621" s="3" t="s">
        <v>942</v>
      </c>
      <c r="G1621" s="3" t="str">
        <f>INDEX([1]Risk_Matrix!$B$2:$D$4,MATCH(E1621,[1]Risk_Matrix!$A$2:$A$4,0),MATCH(F1621,[1]Risk_Matrix!$B$1:$D$1,0))</f>
        <v>Low</v>
      </c>
      <c r="H1621" s="10">
        <v>46140</v>
      </c>
      <c r="I1621" s="3" t="s">
        <v>967</v>
      </c>
      <c r="J1621" s="3" t="s">
        <v>968</v>
      </c>
      <c r="K1621" s="3" t="s">
        <v>960</v>
      </c>
      <c r="L1621" s="3">
        <f>IF(G1621="High",3,IF(G1621="Medium",2,1))</f>
        <v>1</v>
      </c>
    </row>
    <row r="1622" spans="1:12">
      <c r="A1622" s="3" t="s">
        <v>2615</v>
      </c>
      <c r="B1622" s="3" t="s">
        <v>869</v>
      </c>
      <c r="C1622" s="3" t="s">
        <v>956</v>
      </c>
      <c r="D1622" s="3" t="s">
        <v>1020</v>
      </c>
      <c r="E1622" s="3" t="s">
        <v>47</v>
      </c>
      <c r="F1622" s="3" t="s">
        <v>942</v>
      </c>
      <c r="G1622" s="3" t="str">
        <f>INDEX([1]Risk_Matrix!$B$2:$D$4,MATCH(E1622,[1]Risk_Matrix!$A$2:$A$4,0),MATCH(F1622,[1]Risk_Matrix!$B$1:$D$1,0))</f>
        <v>Low</v>
      </c>
      <c r="H1622" s="10">
        <v>46125</v>
      </c>
      <c r="I1622" s="3" t="s">
        <v>967</v>
      </c>
      <c r="J1622" s="3" t="s">
        <v>968</v>
      </c>
      <c r="K1622" s="3" t="s">
        <v>960</v>
      </c>
      <c r="L1622" s="3">
        <f>IF(G1622="High",3,IF(G1622="Medium",2,1))</f>
        <v>1</v>
      </c>
    </row>
    <row r="1623" spans="1:12">
      <c r="A1623" s="3" t="s">
        <v>2616</v>
      </c>
      <c r="B1623" s="3" t="s">
        <v>869</v>
      </c>
      <c r="C1623" s="3" t="s">
        <v>962</v>
      </c>
      <c r="D1623" s="3" t="s">
        <v>1037</v>
      </c>
      <c r="E1623" s="3" t="s">
        <v>942</v>
      </c>
      <c r="F1623" s="3" t="s">
        <v>47</v>
      </c>
      <c r="G1623" s="3" t="str">
        <f>INDEX([1]Risk_Matrix!$B$2:$D$4,MATCH(E1623,[1]Risk_Matrix!$A$2:$A$4,0),MATCH(F1623,[1]Risk_Matrix!$B$1:$D$1,0))</f>
        <v>Low</v>
      </c>
      <c r="H1623" s="10">
        <v>46141</v>
      </c>
      <c r="I1623" s="3" t="s">
        <v>967</v>
      </c>
      <c r="J1623" s="3" t="s">
        <v>968</v>
      </c>
      <c r="K1623" s="3" t="s">
        <v>993</v>
      </c>
      <c r="L1623" s="3">
        <f>IF(G1623="High",3,IF(G1623="Medium",2,1))</f>
        <v>1</v>
      </c>
    </row>
    <row r="1624" spans="1:12">
      <c r="A1624" s="3" t="s">
        <v>2617</v>
      </c>
      <c r="B1624" s="3" t="s">
        <v>869</v>
      </c>
      <c r="C1624" s="3" t="s">
        <v>965</v>
      </c>
      <c r="D1624" s="3" t="s">
        <v>966</v>
      </c>
      <c r="E1624" s="3" t="s">
        <v>47</v>
      </c>
      <c r="F1624" s="3" t="s">
        <v>942</v>
      </c>
      <c r="G1624" s="3" t="str">
        <f>INDEX([1]Risk_Matrix!$B$2:$D$4,MATCH(E1624,[1]Risk_Matrix!$A$2:$A$4,0),MATCH(F1624,[1]Risk_Matrix!$B$1:$D$1,0))</f>
        <v>Low</v>
      </c>
      <c r="H1624" s="10">
        <v>46104</v>
      </c>
      <c r="I1624" s="3" t="s">
        <v>967</v>
      </c>
      <c r="J1624" s="3" t="s">
        <v>968</v>
      </c>
      <c r="K1624" s="3" t="s">
        <v>969</v>
      </c>
      <c r="L1624" s="3">
        <f>IF(G1624="High",3,IF(G1624="Medium",2,1))</f>
        <v>1</v>
      </c>
    </row>
    <row r="1625" spans="1:12">
      <c r="A1625" s="3" t="s">
        <v>2618</v>
      </c>
      <c r="B1625" s="3" t="s">
        <v>869</v>
      </c>
      <c r="C1625" s="3" t="s">
        <v>971</v>
      </c>
      <c r="D1625" s="3" t="s">
        <v>1025</v>
      </c>
      <c r="E1625" s="3" t="s">
        <v>47</v>
      </c>
      <c r="F1625" s="3" t="s">
        <v>942</v>
      </c>
      <c r="G1625" s="3" t="str">
        <f>INDEX([1]Risk_Matrix!$B$2:$D$4,MATCH(E1625,[1]Risk_Matrix!$A$2:$A$4,0),MATCH(F1625,[1]Risk_Matrix!$B$1:$D$1,0))</f>
        <v>Low</v>
      </c>
      <c r="H1625" s="10">
        <v>46125</v>
      </c>
      <c r="I1625" s="3" t="s">
        <v>973</v>
      </c>
      <c r="J1625" s="3" t="s">
        <v>974</v>
      </c>
      <c r="K1625" s="3" t="s">
        <v>1000</v>
      </c>
      <c r="L1625" s="3">
        <f>IF(G1625="High",3,IF(G1625="Medium",2,1))</f>
        <v>1</v>
      </c>
    </row>
    <row r="1626" spans="1:12">
      <c r="A1626" s="3" t="s">
        <v>2619</v>
      </c>
      <c r="B1626" s="3" t="s">
        <v>869</v>
      </c>
      <c r="C1626" s="3" t="s">
        <v>976</v>
      </c>
      <c r="D1626" s="3" t="s">
        <v>977</v>
      </c>
      <c r="E1626" s="3" t="s">
        <v>47</v>
      </c>
      <c r="F1626" s="3" t="s">
        <v>942</v>
      </c>
      <c r="G1626" s="3" t="str">
        <f>INDEX([1]Risk_Matrix!$B$2:$D$4,MATCH(E1626,[1]Risk_Matrix!$A$2:$A$4,0),MATCH(F1626,[1]Risk_Matrix!$B$1:$D$1,0))</f>
        <v>Low</v>
      </c>
      <c r="H1626" s="10">
        <v>46060</v>
      </c>
      <c r="I1626" s="3" t="s">
        <v>967</v>
      </c>
      <c r="J1626" s="3" t="s">
        <v>968</v>
      </c>
      <c r="K1626" s="3" t="s">
        <v>960</v>
      </c>
      <c r="L1626" s="3">
        <f>IF(G1626="High",3,IF(G1626="Medium",2,1))</f>
        <v>1</v>
      </c>
    </row>
    <row r="1627" spans="1:12">
      <c r="A1627" s="3" t="s">
        <v>2620</v>
      </c>
      <c r="B1627" s="3" t="s">
        <v>869</v>
      </c>
      <c r="C1627" s="3" t="s">
        <v>979</v>
      </c>
      <c r="D1627" s="3" t="s">
        <v>1004</v>
      </c>
      <c r="E1627" s="3" t="s">
        <v>942</v>
      </c>
      <c r="F1627" s="3" t="s">
        <v>47</v>
      </c>
      <c r="G1627" s="3" t="str">
        <f>INDEX([1]Risk_Matrix!$B$2:$D$4,MATCH(E1627,[1]Risk_Matrix!$A$2:$A$4,0),MATCH(F1627,[1]Risk_Matrix!$B$1:$D$1,0))</f>
        <v>Low</v>
      </c>
      <c r="H1627" s="10">
        <v>46135</v>
      </c>
      <c r="I1627" s="3" t="s">
        <v>973</v>
      </c>
      <c r="J1627" s="3" t="s">
        <v>974</v>
      </c>
      <c r="K1627" s="3" t="s">
        <v>969</v>
      </c>
      <c r="L1627" s="3">
        <f>IF(G1627="High",3,IF(G1627="Medium",2,1))</f>
        <v>1</v>
      </c>
    </row>
    <row r="1628" spans="1:12">
      <c r="A1628" s="3" t="s">
        <v>2621</v>
      </c>
      <c r="B1628" s="3" t="s">
        <v>872</v>
      </c>
      <c r="C1628" s="3" t="s">
        <v>956</v>
      </c>
      <c r="D1628" s="3" t="s">
        <v>1020</v>
      </c>
      <c r="E1628" s="3" t="s">
        <v>942</v>
      </c>
      <c r="F1628" s="3" t="s">
        <v>42</v>
      </c>
      <c r="G1628" s="3" t="str">
        <f>INDEX([1]Risk_Matrix!$B$2:$D$4,MATCH(E1628,[1]Risk_Matrix!$A$2:$A$4,0),MATCH(F1628,[1]Risk_Matrix!$B$1:$D$1,0))</f>
        <v>High</v>
      </c>
      <c r="H1628" s="10">
        <v>46118</v>
      </c>
      <c r="I1628" s="3" t="s">
        <v>973</v>
      </c>
      <c r="J1628" s="3" t="s">
        <v>974</v>
      </c>
      <c r="K1628" s="3" t="s">
        <v>993</v>
      </c>
      <c r="L1628" s="3">
        <f>IF(G1628="High",3,IF(G1628="Medium",2,1))</f>
        <v>3</v>
      </c>
    </row>
    <row r="1629" spans="1:12">
      <c r="A1629" s="3" t="s">
        <v>2622</v>
      </c>
      <c r="B1629" s="3" t="s">
        <v>872</v>
      </c>
      <c r="C1629" s="3" t="s">
        <v>962</v>
      </c>
      <c r="D1629" s="3" t="s">
        <v>1037</v>
      </c>
      <c r="E1629" s="3" t="s">
        <v>942</v>
      </c>
      <c r="F1629" s="3" t="s">
        <v>47</v>
      </c>
      <c r="G1629" s="3" t="str">
        <f>INDEX([1]Risk_Matrix!$B$2:$D$4,MATCH(E1629,[1]Risk_Matrix!$A$2:$A$4,0),MATCH(F1629,[1]Risk_Matrix!$B$1:$D$1,0))</f>
        <v>Low</v>
      </c>
      <c r="H1629" s="10">
        <v>46233</v>
      </c>
      <c r="I1629" s="3" t="s">
        <v>967</v>
      </c>
      <c r="J1629" s="3" t="s">
        <v>968</v>
      </c>
      <c r="K1629" s="3" t="s">
        <v>960</v>
      </c>
      <c r="L1629" s="3">
        <f>IF(G1629="High",3,IF(G1629="Medium",2,1))</f>
        <v>1</v>
      </c>
    </row>
    <row r="1630" spans="1:12">
      <c r="A1630" s="3" t="s">
        <v>2623</v>
      </c>
      <c r="B1630" s="3" t="s">
        <v>872</v>
      </c>
      <c r="C1630" s="3" t="s">
        <v>965</v>
      </c>
      <c r="D1630" s="3" t="s">
        <v>966</v>
      </c>
      <c r="E1630" s="3" t="s">
        <v>47</v>
      </c>
      <c r="F1630" s="3" t="s">
        <v>47</v>
      </c>
      <c r="G1630" s="3" t="str">
        <f>INDEX([1]Risk_Matrix!$B$2:$D$4,MATCH(E1630,[1]Risk_Matrix!$A$2:$A$4,0),MATCH(F1630,[1]Risk_Matrix!$B$1:$D$1,0))</f>
        <v>Low</v>
      </c>
      <c r="H1630" s="10">
        <v>46124</v>
      </c>
      <c r="I1630" s="3" t="s">
        <v>967</v>
      </c>
      <c r="J1630" s="3" t="s">
        <v>968</v>
      </c>
      <c r="K1630" s="3" t="s">
        <v>960</v>
      </c>
      <c r="L1630" s="3">
        <f>IF(G1630="High",3,IF(G1630="Medium",2,1))</f>
        <v>1</v>
      </c>
    </row>
    <row r="1631" spans="1:12">
      <c r="A1631" s="3" t="s">
        <v>2624</v>
      </c>
      <c r="B1631" s="3" t="s">
        <v>872</v>
      </c>
      <c r="C1631" s="3" t="s">
        <v>971</v>
      </c>
      <c r="D1631" s="3" t="s">
        <v>972</v>
      </c>
      <c r="E1631" s="3" t="s">
        <v>47</v>
      </c>
      <c r="F1631" s="3" t="s">
        <v>47</v>
      </c>
      <c r="G1631" s="3" t="str">
        <f>INDEX([1]Risk_Matrix!$B$2:$D$4,MATCH(E1631,[1]Risk_Matrix!$A$2:$A$4,0),MATCH(F1631,[1]Risk_Matrix!$B$1:$D$1,0))</f>
        <v>Low</v>
      </c>
      <c r="H1631" s="10">
        <v>46172</v>
      </c>
      <c r="I1631" s="3" t="s">
        <v>973</v>
      </c>
      <c r="J1631" s="3" t="s">
        <v>974</v>
      </c>
      <c r="K1631" s="3" t="s">
        <v>960</v>
      </c>
      <c r="L1631" s="3">
        <f>IF(G1631="High",3,IF(G1631="Medium",2,1))</f>
        <v>1</v>
      </c>
    </row>
    <row r="1632" spans="1:12">
      <c r="A1632" s="3" t="s">
        <v>2625</v>
      </c>
      <c r="B1632" s="3" t="s">
        <v>872</v>
      </c>
      <c r="C1632" s="3" t="s">
        <v>976</v>
      </c>
      <c r="D1632" s="3" t="s">
        <v>977</v>
      </c>
      <c r="E1632" s="3" t="s">
        <v>47</v>
      </c>
      <c r="F1632" s="3" t="s">
        <v>42</v>
      </c>
      <c r="G1632" s="3" t="str">
        <f>INDEX([1]Risk_Matrix!$B$2:$D$4,MATCH(E1632,[1]Risk_Matrix!$A$2:$A$4,0),MATCH(F1632,[1]Risk_Matrix!$B$1:$D$1,0))</f>
        <v>Medium</v>
      </c>
      <c r="H1632" s="10">
        <v>46085</v>
      </c>
      <c r="I1632" s="3" t="s">
        <v>967</v>
      </c>
      <c r="J1632" s="3" t="s">
        <v>968</v>
      </c>
      <c r="K1632" s="3" t="s">
        <v>1000</v>
      </c>
      <c r="L1632" s="3">
        <f>IF(G1632="High",3,IF(G1632="Medium",2,1))</f>
        <v>2</v>
      </c>
    </row>
    <row r="1633" spans="1:12">
      <c r="A1633" s="3" t="s">
        <v>2626</v>
      </c>
      <c r="B1633" s="3" t="s">
        <v>872</v>
      </c>
      <c r="C1633" s="3" t="s">
        <v>979</v>
      </c>
      <c r="D1633" s="3" t="s">
        <v>1004</v>
      </c>
      <c r="E1633" s="3" t="s">
        <v>942</v>
      </c>
      <c r="F1633" s="3" t="s">
        <v>42</v>
      </c>
      <c r="G1633" s="3" t="str">
        <f>INDEX([1]Risk_Matrix!$B$2:$D$4,MATCH(E1633,[1]Risk_Matrix!$A$2:$A$4,0),MATCH(F1633,[1]Risk_Matrix!$B$1:$D$1,0))</f>
        <v>High</v>
      </c>
      <c r="H1633" s="10">
        <v>46180</v>
      </c>
      <c r="I1633" s="3" t="s">
        <v>973</v>
      </c>
      <c r="J1633" s="3" t="s">
        <v>974</v>
      </c>
      <c r="K1633" s="3" t="s">
        <v>993</v>
      </c>
      <c r="L1633" s="3">
        <f>IF(G1633="High",3,IF(G1633="Medium",2,1))</f>
        <v>3</v>
      </c>
    </row>
    <row r="1634" spans="1:12">
      <c r="A1634" s="3" t="s">
        <v>2627</v>
      </c>
      <c r="B1634" s="3" t="s">
        <v>874</v>
      </c>
      <c r="C1634" s="3" t="s">
        <v>956</v>
      </c>
      <c r="D1634" s="3" t="s">
        <v>1020</v>
      </c>
      <c r="E1634" s="3" t="s">
        <v>47</v>
      </c>
      <c r="F1634" s="3" t="s">
        <v>942</v>
      </c>
      <c r="G1634" s="3" t="str">
        <f>INDEX([1]Risk_Matrix!$B$2:$D$4,MATCH(E1634,[1]Risk_Matrix!$A$2:$A$4,0),MATCH(F1634,[1]Risk_Matrix!$B$1:$D$1,0))</f>
        <v>Low</v>
      </c>
      <c r="H1634" s="10">
        <v>46218</v>
      </c>
      <c r="I1634" s="3" t="s">
        <v>973</v>
      </c>
      <c r="J1634" s="3" t="s">
        <v>974</v>
      </c>
      <c r="K1634" s="3" t="s">
        <v>1000</v>
      </c>
      <c r="L1634" s="3">
        <f>IF(G1634="High",3,IF(G1634="Medium",2,1))</f>
        <v>1</v>
      </c>
    </row>
    <row r="1635" spans="1:12">
      <c r="A1635" s="3" t="s">
        <v>2628</v>
      </c>
      <c r="B1635" s="3" t="s">
        <v>874</v>
      </c>
      <c r="C1635" s="3" t="s">
        <v>962</v>
      </c>
      <c r="D1635" s="3" t="s">
        <v>986</v>
      </c>
      <c r="E1635" s="3" t="s">
        <v>47</v>
      </c>
      <c r="F1635" s="3" t="s">
        <v>47</v>
      </c>
      <c r="G1635" s="3" t="str">
        <f>INDEX([1]Risk_Matrix!$B$2:$D$4,MATCH(E1635,[1]Risk_Matrix!$A$2:$A$4,0),MATCH(F1635,[1]Risk_Matrix!$B$1:$D$1,0))</f>
        <v>Low</v>
      </c>
      <c r="H1635" s="10">
        <v>46167</v>
      </c>
      <c r="I1635" s="3" t="s">
        <v>981</v>
      </c>
      <c r="J1635" s="3" t="s">
        <v>982</v>
      </c>
      <c r="K1635" s="3" t="s">
        <v>983</v>
      </c>
      <c r="L1635" s="3">
        <f>IF(G1635="High",3,IF(G1635="Medium",2,1))</f>
        <v>1</v>
      </c>
    </row>
    <row r="1636" spans="1:12">
      <c r="A1636" s="3" t="s">
        <v>2629</v>
      </c>
      <c r="B1636" s="3" t="s">
        <v>874</v>
      </c>
      <c r="C1636" s="3" t="s">
        <v>965</v>
      </c>
      <c r="D1636" s="3" t="s">
        <v>1039</v>
      </c>
      <c r="E1636" s="3" t="s">
        <v>47</v>
      </c>
      <c r="F1636" s="3" t="s">
        <v>47</v>
      </c>
      <c r="G1636" s="3" t="str">
        <f>INDEX([1]Risk_Matrix!$B$2:$D$4,MATCH(E1636,[1]Risk_Matrix!$A$2:$A$4,0),MATCH(F1636,[1]Risk_Matrix!$B$1:$D$1,0))</f>
        <v>Low</v>
      </c>
      <c r="H1636" s="10">
        <v>46215</v>
      </c>
      <c r="I1636" s="3" t="s">
        <v>973</v>
      </c>
      <c r="J1636" s="3" t="s">
        <v>974</v>
      </c>
      <c r="K1636" s="3" t="s">
        <v>1000</v>
      </c>
      <c r="L1636" s="3">
        <f>IF(G1636="High",3,IF(G1636="Medium",2,1))</f>
        <v>1</v>
      </c>
    </row>
    <row r="1637" spans="1:12">
      <c r="A1637" s="3" t="s">
        <v>2630</v>
      </c>
      <c r="B1637" s="3" t="s">
        <v>874</v>
      </c>
      <c r="C1637" s="3" t="s">
        <v>971</v>
      </c>
      <c r="D1637" s="3" t="s">
        <v>972</v>
      </c>
      <c r="E1637" s="3" t="s">
        <v>942</v>
      </c>
      <c r="F1637" s="3" t="s">
        <v>942</v>
      </c>
      <c r="G1637" s="3" t="str">
        <f>INDEX([1]Risk_Matrix!$B$2:$D$4,MATCH(E1637,[1]Risk_Matrix!$A$2:$A$4,0),MATCH(F1637,[1]Risk_Matrix!$B$1:$D$1,0))</f>
        <v>Medium</v>
      </c>
      <c r="H1637" s="10">
        <v>46193</v>
      </c>
      <c r="I1637" s="3" t="s">
        <v>981</v>
      </c>
      <c r="J1637" s="3" t="s">
        <v>982</v>
      </c>
      <c r="K1637" s="3" t="s">
        <v>969</v>
      </c>
      <c r="L1637" s="3">
        <f>IF(G1637="High",3,IF(G1637="Medium",2,1))</f>
        <v>2</v>
      </c>
    </row>
    <row r="1638" spans="1:12">
      <c r="A1638" s="3" t="s">
        <v>2631</v>
      </c>
      <c r="B1638" s="3" t="s">
        <v>874</v>
      </c>
      <c r="C1638" s="3" t="s">
        <v>976</v>
      </c>
      <c r="D1638" s="3" t="s">
        <v>1002</v>
      </c>
      <c r="E1638" s="3" t="s">
        <v>47</v>
      </c>
      <c r="F1638" s="3" t="s">
        <v>47</v>
      </c>
      <c r="G1638" s="3" t="str">
        <f>INDEX([1]Risk_Matrix!$B$2:$D$4,MATCH(E1638,[1]Risk_Matrix!$A$2:$A$4,0),MATCH(F1638,[1]Risk_Matrix!$B$1:$D$1,0))</f>
        <v>Low</v>
      </c>
      <c r="H1638" s="10">
        <v>46234</v>
      </c>
      <c r="I1638" s="3" t="s">
        <v>973</v>
      </c>
      <c r="J1638" s="3" t="s">
        <v>974</v>
      </c>
      <c r="K1638" s="3" t="s">
        <v>983</v>
      </c>
      <c r="L1638" s="3">
        <f>IF(G1638="High",3,IF(G1638="Medium",2,1))</f>
        <v>1</v>
      </c>
    </row>
    <row r="1639" spans="1:12">
      <c r="A1639" s="3" t="s">
        <v>2632</v>
      </c>
      <c r="B1639" s="3" t="s">
        <v>874</v>
      </c>
      <c r="C1639" s="3" t="s">
        <v>979</v>
      </c>
      <c r="D1639" s="3" t="s">
        <v>980</v>
      </c>
      <c r="E1639" s="3" t="s">
        <v>942</v>
      </c>
      <c r="F1639" s="3" t="s">
        <v>47</v>
      </c>
      <c r="G1639" s="3" t="str">
        <f>INDEX([1]Risk_Matrix!$B$2:$D$4,MATCH(E1639,[1]Risk_Matrix!$A$2:$A$4,0),MATCH(F1639,[1]Risk_Matrix!$B$1:$D$1,0))</f>
        <v>Low</v>
      </c>
      <c r="H1639" s="10">
        <v>46193</v>
      </c>
      <c r="I1639" s="3" t="s">
        <v>973</v>
      </c>
      <c r="J1639" s="3" t="s">
        <v>974</v>
      </c>
      <c r="K1639" s="3" t="s">
        <v>1000</v>
      </c>
      <c r="L1639" s="3">
        <f>IF(G1639="High",3,IF(G1639="Medium",2,1))</f>
        <v>1</v>
      </c>
    </row>
    <row r="1640" spans="1:12">
      <c r="A1640" s="3" t="s">
        <v>2633</v>
      </c>
      <c r="B1640" s="3" t="s">
        <v>877</v>
      </c>
      <c r="C1640" s="3" t="s">
        <v>956</v>
      </c>
      <c r="D1640" s="3" t="s">
        <v>957</v>
      </c>
      <c r="E1640" s="3" t="s">
        <v>942</v>
      </c>
      <c r="F1640" s="3" t="s">
        <v>942</v>
      </c>
      <c r="G1640" s="3" t="str">
        <f>INDEX([1]Risk_Matrix!$B$2:$D$4,MATCH(E1640,[1]Risk_Matrix!$A$2:$A$4,0),MATCH(F1640,[1]Risk_Matrix!$B$1:$D$1,0))</f>
        <v>Medium</v>
      </c>
      <c r="H1640" s="10">
        <v>46193</v>
      </c>
      <c r="I1640" s="3" t="s">
        <v>973</v>
      </c>
      <c r="J1640" s="3" t="s">
        <v>974</v>
      </c>
      <c r="K1640" s="3" t="s">
        <v>983</v>
      </c>
      <c r="L1640" s="3">
        <f>IF(G1640="High",3,IF(G1640="Medium",2,1))</f>
        <v>2</v>
      </c>
    </row>
    <row r="1641" spans="1:12">
      <c r="A1641" s="3" t="s">
        <v>2634</v>
      </c>
      <c r="B1641" s="3" t="s">
        <v>877</v>
      </c>
      <c r="C1641" s="3" t="s">
        <v>962</v>
      </c>
      <c r="D1641" s="3" t="s">
        <v>1037</v>
      </c>
      <c r="E1641" s="3" t="s">
        <v>47</v>
      </c>
      <c r="F1641" s="3" t="s">
        <v>47</v>
      </c>
      <c r="G1641" s="3" t="str">
        <f>INDEX([1]Risk_Matrix!$B$2:$D$4,MATCH(E1641,[1]Risk_Matrix!$A$2:$A$4,0),MATCH(F1641,[1]Risk_Matrix!$B$1:$D$1,0))</f>
        <v>Low</v>
      </c>
      <c r="H1641" s="10">
        <v>46169</v>
      </c>
      <c r="I1641" s="3" t="s">
        <v>981</v>
      </c>
      <c r="J1641" s="3" t="s">
        <v>982</v>
      </c>
      <c r="K1641" s="3" t="s">
        <v>1000</v>
      </c>
      <c r="L1641" s="3">
        <f>IF(G1641="High",3,IF(G1641="Medium",2,1))</f>
        <v>1</v>
      </c>
    </row>
    <row r="1642" spans="1:12">
      <c r="A1642" s="3" t="s">
        <v>2635</v>
      </c>
      <c r="B1642" s="3" t="s">
        <v>877</v>
      </c>
      <c r="C1642" s="3" t="s">
        <v>965</v>
      </c>
      <c r="D1642" s="3" t="s">
        <v>1023</v>
      </c>
      <c r="E1642" s="3" t="s">
        <v>942</v>
      </c>
      <c r="F1642" s="3" t="s">
        <v>42</v>
      </c>
      <c r="G1642" s="3" t="str">
        <f>INDEX([1]Risk_Matrix!$B$2:$D$4,MATCH(E1642,[1]Risk_Matrix!$A$2:$A$4,0),MATCH(F1642,[1]Risk_Matrix!$B$1:$D$1,0))</f>
        <v>High</v>
      </c>
      <c r="H1642" s="10">
        <v>46196</v>
      </c>
      <c r="I1642" s="3" t="s">
        <v>973</v>
      </c>
      <c r="J1642" s="3" t="s">
        <v>974</v>
      </c>
      <c r="K1642" s="3" t="s">
        <v>993</v>
      </c>
      <c r="L1642" s="3">
        <f>IF(G1642="High",3,IF(G1642="Medium",2,1))</f>
        <v>3</v>
      </c>
    </row>
    <row r="1643" spans="1:12">
      <c r="A1643" s="3" t="s">
        <v>2636</v>
      </c>
      <c r="B1643" s="3" t="s">
        <v>877</v>
      </c>
      <c r="C1643" s="3" t="s">
        <v>971</v>
      </c>
      <c r="D1643" s="3" t="s">
        <v>1025</v>
      </c>
      <c r="E1643" s="3" t="s">
        <v>47</v>
      </c>
      <c r="F1643" s="3" t="s">
        <v>47</v>
      </c>
      <c r="G1643" s="3" t="str">
        <f>INDEX([1]Risk_Matrix!$B$2:$D$4,MATCH(E1643,[1]Risk_Matrix!$A$2:$A$4,0),MATCH(F1643,[1]Risk_Matrix!$B$1:$D$1,0))</f>
        <v>Low</v>
      </c>
      <c r="H1643" s="10">
        <v>46144</v>
      </c>
      <c r="I1643" s="3" t="s">
        <v>981</v>
      </c>
      <c r="J1643" s="3" t="s">
        <v>982</v>
      </c>
      <c r="K1643" s="3" t="s">
        <v>1000</v>
      </c>
      <c r="L1643" s="3">
        <f>IF(G1643="High",3,IF(G1643="Medium",2,1))</f>
        <v>1</v>
      </c>
    </row>
    <row r="1644" spans="1:12">
      <c r="A1644" s="3" t="s">
        <v>2637</v>
      </c>
      <c r="B1644" s="3" t="s">
        <v>877</v>
      </c>
      <c r="C1644" s="3" t="s">
        <v>976</v>
      </c>
      <c r="D1644" s="3" t="s">
        <v>991</v>
      </c>
      <c r="E1644" s="3" t="s">
        <v>47</v>
      </c>
      <c r="F1644" s="3" t="s">
        <v>47</v>
      </c>
      <c r="G1644" s="3" t="str">
        <f>INDEX([1]Risk_Matrix!$B$2:$D$4,MATCH(E1644,[1]Risk_Matrix!$A$2:$A$4,0),MATCH(F1644,[1]Risk_Matrix!$B$1:$D$1,0))</f>
        <v>Low</v>
      </c>
      <c r="H1644" s="10">
        <v>46175</v>
      </c>
      <c r="I1644" s="3" t="s">
        <v>967</v>
      </c>
      <c r="J1644" s="3" t="s">
        <v>968</v>
      </c>
      <c r="K1644" s="3" t="s">
        <v>983</v>
      </c>
      <c r="L1644" s="3">
        <f>IF(G1644="High",3,IF(G1644="Medium",2,1))</f>
        <v>1</v>
      </c>
    </row>
    <row r="1645" spans="1:12">
      <c r="A1645" s="3" t="s">
        <v>2638</v>
      </c>
      <c r="B1645" s="3" t="s">
        <v>877</v>
      </c>
      <c r="C1645" s="3" t="s">
        <v>979</v>
      </c>
      <c r="D1645" s="3" t="s">
        <v>980</v>
      </c>
      <c r="E1645" s="3" t="s">
        <v>942</v>
      </c>
      <c r="F1645" s="3" t="s">
        <v>47</v>
      </c>
      <c r="G1645" s="3" t="str">
        <f>INDEX([1]Risk_Matrix!$B$2:$D$4,MATCH(E1645,[1]Risk_Matrix!$A$2:$A$4,0),MATCH(F1645,[1]Risk_Matrix!$B$1:$D$1,0))</f>
        <v>Low</v>
      </c>
      <c r="H1645" s="10">
        <v>46204</v>
      </c>
      <c r="I1645" s="3" t="s">
        <v>958</v>
      </c>
      <c r="J1645" s="3" t="s">
        <v>959</v>
      </c>
      <c r="K1645" s="3" t="s">
        <v>993</v>
      </c>
      <c r="L1645" s="3">
        <f>IF(G1645="High",3,IF(G1645="Medium",2,1))</f>
        <v>1</v>
      </c>
    </row>
    <row r="1646" spans="1:12">
      <c r="A1646" s="3" t="s">
        <v>2639</v>
      </c>
      <c r="B1646" s="3" t="s">
        <v>879</v>
      </c>
      <c r="C1646" s="3" t="s">
        <v>956</v>
      </c>
      <c r="D1646" s="3" t="s">
        <v>995</v>
      </c>
      <c r="E1646" s="3" t="s">
        <v>47</v>
      </c>
      <c r="F1646" s="3" t="s">
        <v>942</v>
      </c>
      <c r="G1646" s="3" t="str">
        <f>INDEX([1]Risk_Matrix!$B$2:$D$4,MATCH(E1646,[1]Risk_Matrix!$A$2:$A$4,0),MATCH(F1646,[1]Risk_Matrix!$B$1:$D$1,0))</f>
        <v>Low</v>
      </c>
      <c r="H1646" s="10">
        <v>46137</v>
      </c>
      <c r="I1646" s="3" t="s">
        <v>967</v>
      </c>
      <c r="J1646" s="3" t="s">
        <v>968</v>
      </c>
      <c r="K1646" s="3" t="s">
        <v>1000</v>
      </c>
      <c r="L1646" s="3">
        <f>IF(G1646="High",3,IF(G1646="Medium",2,1))</f>
        <v>1</v>
      </c>
    </row>
    <row r="1647" spans="1:12">
      <c r="A1647" s="3" t="s">
        <v>2640</v>
      </c>
      <c r="B1647" s="3" t="s">
        <v>879</v>
      </c>
      <c r="C1647" s="3" t="s">
        <v>962</v>
      </c>
      <c r="D1647" s="3" t="s">
        <v>997</v>
      </c>
      <c r="E1647" s="3" t="s">
        <v>42</v>
      </c>
      <c r="F1647" s="3" t="s">
        <v>47</v>
      </c>
      <c r="G1647" s="3" t="str">
        <f>INDEX([1]Risk_Matrix!$B$2:$D$4,MATCH(E1647,[1]Risk_Matrix!$A$2:$A$4,0),MATCH(F1647,[1]Risk_Matrix!$B$1:$D$1,0))</f>
        <v>Medium</v>
      </c>
      <c r="H1647" s="10">
        <v>46105</v>
      </c>
      <c r="I1647" s="3" t="s">
        <v>967</v>
      </c>
      <c r="J1647" s="3" t="s">
        <v>968</v>
      </c>
      <c r="K1647" s="3" t="s">
        <v>969</v>
      </c>
      <c r="L1647" s="3">
        <f>IF(G1647="High",3,IF(G1647="Medium",2,1))</f>
        <v>2</v>
      </c>
    </row>
    <row r="1648" spans="1:12">
      <c r="A1648" s="3" t="s">
        <v>2641</v>
      </c>
      <c r="B1648" s="3" t="s">
        <v>879</v>
      </c>
      <c r="C1648" s="3" t="s">
        <v>965</v>
      </c>
      <c r="D1648" s="3" t="s">
        <v>988</v>
      </c>
      <c r="E1648" s="3" t="s">
        <v>942</v>
      </c>
      <c r="F1648" s="3" t="s">
        <v>942</v>
      </c>
      <c r="G1648" s="3" t="str">
        <f>INDEX([1]Risk_Matrix!$B$2:$D$4,MATCH(E1648,[1]Risk_Matrix!$A$2:$A$4,0),MATCH(F1648,[1]Risk_Matrix!$B$1:$D$1,0))</f>
        <v>Medium</v>
      </c>
      <c r="H1648" s="10">
        <v>46110</v>
      </c>
      <c r="I1648" s="3" t="s">
        <v>967</v>
      </c>
      <c r="J1648" s="3" t="s">
        <v>968</v>
      </c>
      <c r="K1648" s="3" t="s">
        <v>960</v>
      </c>
      <c r="L1648" s="3">
        <f>IF(G1648="High",3,IF(G1648="Medium",2,1))</f>
        <v>2</v>
      </c>
    </row>
    <row r="1649" spans="1:12">
      <c r="A1649" s="3" t="s">
        <v>2642</v>
      </c>
      <c r="B1649" s="3" t="s">
        <v>879</v>
      </c>
      <c r="C1649" s="3" t="s">
        <v>971</v>
      </c>
      <c r="D1649" s="3" t="s">
        <v>972</v>
      </c>
      <c r="E1649" s="3" t="s">
        <v>942</v>
      </c>
      <c r="F1649" s="3" t="s">
        <v>47</v>
      </c>
      <c r="G1649" s="3" t="str">
        <f>INDEX([1]Risk_Matrix!$B$2:$D$4,MATCH(E1649,[1]Risk_Matrix!$A$2:$A$4,0),MATCH(F1649,[1]Risk_Matrix!$B$1:$D$1,0))</f>
        <v>Low</v>
      </c>
      <c r="H1649" s="10">
        <v>46144</v>
      </c>
      <c r="I1649" s="3" t="s">
        <v>967</v>
      </c>
      <c r="J1649" s="3" t="s">
        <v>968</v>
      </c>
      <c r="K1649" s="3" t="s">
        <v>969</v>
      </c>
      <c r="L1649" s="3">
        <f>IF(G1649="High",3,IF(G1649="Medium",2,1))</f>
        <v>1</v>
      </c>
    </row>
    <row r="1650" spans="1:12">
      <c r="A1650" s="3" t="s">
        <v>2643</v>
      </c>
      <c r="B1650" s="3" t="s">
        <v>879</v>
      </c>
      <c r="C1650" s="3" t="s">
        <v>976</v>
      </c>
      <c r="D1650" s="3" t="s">
        <v>977</v>
      </c>
      <c r="E1650" s="3" t="s">
        <v>942</v>
      </c>
      <c r="F1650" s="3" t="s">
        <v>47</v>
      </c>
      <c r="G1650" s="3" t="str">
        <f>INDEX([1]Risk_Matrix!$B$2:$D$4,MATCH(E1650,[1]Risk_Matrix!$A$2:$A$4,0),MATCH(F1650,[1]Risk_Matrix!$B$1:$D$1,0))</f>
        <v>Low</v>
      </c>
      <c r="H1650" s="10">
        <v>46143</v>
      </c>
      <c r="I1650" s="3" t="s">
        <v>973</v>
      </c>
      <c r="J1650" s="3" t="s">
        <v>974</v>
      </c>
      <c r="K1650" s="3" t="s">
        <v>993</v>
      </c>
      <c r="L1650" s="3">
        <f>IF(G1650="High",3,IF(G1650="Medium",2,1))</f>
        <v>1</v>
      </c>
    </row>
    <row r="1651" spans="1:12">
      <c r="A1651" s="3" t="s">
        <v>2644</v>
      </c>
      <c r="B1651" s="3" t="s">
        <v>879</v>
      </c>
      <c r="C1651" s="3" t="s">
        <v>979</v>
      </c>
      <c r="D1651" s="3" t="s">
        <v>1028</v>
      </c>
      <c r="E1651" s="3" t="s">
        <v>47</v>
      </c>
      <c r="F1651" s="3" t="s">
        <v>942</v>
      </c>
      <c r="G1651" s="3" t="str">
        <f>INDEX([1]Risk_Matrix!$B$2:$D$4,MATCH(E1651,[1]Risk_Matrix!$A$2:$A$4,0),MATCH(F1651,[1]Risk_Matrix!$B$1:$D$1,0))</f>
        <v>Low</v>
      </c>
      <c r="H1651" s="10">
        <v>46075</v>
      </c>
      <c r="I1651" s="3" t="s">
        <v>973</v>
      </c>
      <c r="J1651" s="3" t="s">
        <v>974</v>
      </c>
      <c r="K1651" s="3" t="s">
        <v>983</v>
      </c>
      <c r="L1651" s="3">
        <f>IF(G1651="High",3,IF(G1651="Medium",2,1))</f>
        <v>1</v>
      </c>
    </row>
    <row r="1652" spans="1:12">
      <c r="A1652" s="3" t="s">
        <v>2645</v>
      </c>
      <c r="B1652" s="3" t="s">
        <v>881</v>
      </c>
      <c r="C1652" s="3" t="s">
        <v>956</v>
      </c>
      <c r="D1652" s="3" t="s">
        <v>1012</v>
      </c>
      <c r="E1652" s="3" t="s">
        <v>42</v>
      </c>
      <c r="F1652" s="3" t="s">
        <v>942</v>
      </c>
      <c r="G1652" s="3" t="str">
        <f>INDEX([1]Risk_Matrix!$B$2:$D$4,MATCH(E1652,[1]Risk_Matrix!$A$2:$A$4,0),MATCH(F1652,[1]Risk_Matrix!$B$1:$D$1,0))</f>
        <v>High</v>
      </c>
      <c r="H1652" s="10">
        <v>46072</v>
      </c>
      <c r="I1652" s="3" t="s">
        <v>967</v>
      </c>
      <c r="J1652" s="3" t="s">
        <v>968</v>
      </c>
      <c r="K1652" s="3" t="s">
        <v>969</v>
      </c>
      <c r="L1652" s="3">
        <f>IF(G1652="High",3,IF(G1652="Medium",2,1))</f>
        <v>3</v>
      </c>
    </row>
    <row r="1653" spans="1:12">
      <c r="A1653" s="3" t="s">
        <v>2646</v>
      </c>
      <c r="B1653" s="3" t="s">
        <v>881</v>
      </c>
      <c r="C1653" s="3" t="s">
        <v>962</v>
      </c>
      <c r="D1653" s="3" t="s">
        <v>997</v>
      </c>
      <c r="E1653" s="3" t="s">
        <v>47</v>
      </c>
      <c r="F1653" s="3" t="s">
        <v>47</v>
      </c>
      <c r="G1653" s="3" t="str">
        <f>INDEX([1]Risk_Matrix!$B$2:$D$4,MATCH(E1653,[1]Risk_Matrix!$A$2:$A$4,0),MATCH(F1653,[1]Risk_Matrix!$B$1:$D$1,0))</f>
        <v>Low</v>
      </c>
      <c r="H1653" s="10">
        <v>46126</v>
      </c>
      <c r="I1653" s="3" t="s">
        <v>973</v>
      </c>
      <c r="J1653" s="3" t="s">
        <v>974</v>
      </c>
      <c r="K1653" s="3" t="s">
        <v>969</v>
      </c>
      <c r="L1653" s="3">
        <f>IF(G1653="High",3,IF(G1653="Medium",2,1))</f>
        <v>1</v>
      </c>
    </row>
    <row r="1654" spans="1:12">
      <c r="A1654" s="3" t="s">
        <v>2647</v>
      </c>
      <c r="B1654" s="3" t="s">
        <v>881</v>
      </c>
      <c r="C1654" s="3" t="s">
        <v>965</v>
      </c>
      <c r="D1654" s="3" t="s">
        <v>988</v>
      </c>
      <c r="E1654" s="3" t="s">
        <v>47</v>
      </c>
      <c r="F1654" s="3" t="s">
        <v>942</v>
      </c>
      <c r="G1654" s="3" t="str">
        <f>INDEX([1]Risk_Matrix!$B$2:$D$4,MATCH(E1654,[1]Risk_Matrix!$A$2:$A$4,0),MATCH(F1654,[1]Risk_Matrix!$B$1:$D$1,0))</f>
        <v>Low</v>
      </c>
      <c r="H1654" s="10">
        <v>46186</v>
      </c>
      <c r="I1654" s="3" t="s">
        <v>973</v>
      </c>
      <c r="J1654" s="3" t="s">
        <v>974</v>
      </c>
      <c r="K1654" s="3" t="s">
        <v>960</v>
      </c>
      <c r="L1654" s="3">
        <f>IF(G1654="High",3,IF(G1654="Medium",2,1))</f>
        <v>1</v>
      </c>
    </row>
    <row r="1655" spans="1:12">
      <c r="A1655" s="3" t="s">
        <v>2648</v>
      </c>
      <c r="B1655" s="3" t="s">
        <v>881</v>
      </c>
      <c r="C1655" s="3" t="s">
        <v>971</v>
      </c>
      <c r="D1655" s="3" t="s">
        <v>972</v>
      </c>
      <c r="E1655" s="3" t="s">
        <v>47</v>
      </c>
      <c r="F1655" s="3" t="s">
        <v>47</v>
      </c>
      <c r="G1655" s="3" t="str">
        <f>INDEX([1]Risk_Matrix!$B$2:$D$4,MATCH(E1655,[1]Risk_Matrix!$A$2:$A$4,0),MATCH(F1655,[1]Risk_Matrix!$B$1:$D$1,0))</f>
        <v>Low</v>
      </c>
      <c r="H1655" s="10">
        <v>46075</v>
      </c>
      <c r="I1655" s="3" t="s">
        <v>981</v>
      </c>
      <c r="J1655" s="3" t="s">
        <v>982</v>
      </c>
      <c r="K1655" s="3" t="s">
        <v>993</v>
      </c>
      <c r="L1655" s="3">
        <f>IF(G1655="High",3,IF(G1655="Medium",2,1))</f>
        <v>1</v>
      </c>
    </row>
    <row r="1656" spans="1:12">
      <c r="A1656" s="3" t="s">
        <v>2649</v>
      </c>
      <c r="B1656" s="3" t="s">
        <v>881</v>
      </c>
      <c r="C1656" s="3" t="s">
        <v>976</v>
      </c>
      <c r="D1656" s="3" t="s">
        <v>991</v>
      </c>
      <c r="E1656" s="3" t="s">
        <v>47</v>
      </c>
      <c r="F1656" s="3" t="s">
        <v>47</v>
      </c>
      <c r="G1656" s="3" t="str">
        <f>INDEX([1]Risk_Matrix!$B$2:$D$4,MATCH(E1656,[1]Risk_Matrix!$A$2:$A$4,0),MATCH(F1656,[1]Risk_Matrix!$B$1:$D$1,0))</f>
        <v>Low</v>
      </c>
      <c r="H1656" s="10">
        <v>46071</v>
      </c>
      <c r="I1656" s="3" t="s">
        <v>981</v>
      </c>
      <c r="J1656" s="3" t="s">
        <v>982</v>
      </c>
      <c r="K1656" s="3" t="s">
        <v>960</v>
      </c>
      <c r="L1656" s="3">
        <f>IF(G1656="High",3,IF(G1656="Medium",2,1))</f>
        <v>1</v>
      </c>
    </row>
    <row r="1657" spans="1:12">
      <c r="A1657" s="3" t="s">
        <v>2650</v>
      </c>
      <c r="B1657" s="3" t="s">
        <v>881</v>
      </c>
      <c r="C1657" s="3" t="s">
        <v>979</v>
      </c>
      <c r="D1657" s="3" t="s">
        <v>1004</v>
      </c>
      <c r="E1657" s="3" t="s">
        <v>942</v>
      </c>
      <c r="F1657" s="3" t="s">
        <v>47</v>
      </c>
      <c r="G1657" s="3" t="str">
        <f>INDEX([1]Risk_Matrix!$B$2:$D$4,MATCH(E1657,[1]Risk_Matrix!$A$2:$A$4,0),MATCH(F1657,[1]Risk_Matrix!$B$1:$D$1,0))</f>
        <v>Low</v>
      </c>
      <c r="H1657" s="10">
        <v>46116</v>
      </c>
      <c r="I1657" s="3" t="s">
        <v>967</v>
      </c>
      <c r="J1657" s="3" t="s">
        <v>968</v>
      </c>
      <c r="K1657" s="3" t="s">
        <v>993</v>
      </c>
      <c r="L1657" s="3">
        <f>IF(G1657="High",3,IF(G1657="Medium",2,1))</f>
        <v>1</v>
      </c>
    </row>
    <row r="1658" spans="1:12">
      <c r="A1658" s="3" t="s">
        <v>2651</v>
      </c>
      <c r="B1658" s="3" t="s">
        <v>883</v>
      </c>
      <c r="C1658" s="3" t="s">
        <v>956</v>
      </c>
      <c r="D1658" s="3" t="s">
        <v>1012</v>
      </c>
      <c r="E1658" s="3" t="s">
        <v>47</v>
      </c>
      <c r="F1658" s="3" t="s">
        <v>47</v>
      </c>
      <c r="G1658" s="3" t="str">
        <f>INDEX([1]Risk_Matrix!$B$2:$D$4,MATCH(E1658,[1]Risk_Matrix!$A$2:$A$4,0),MATCH(F1658,[1]Risk_Matrix!$B$1:$D$1,0))</f>
        <v>Low</v>
      </c>
      <c r="H1658" s="10">
        <v>46109</v>
      </c>
      <c r="I1658" s="3" t="s">
        <v>973</v>
      </c>
      <c r="J1658" s="3" t="s">
        <v>974</v>
      </c>
      <c r="K1658" s="3" t="s">
        <v>983</v>
      </c>
      <c r="L1658" s="3">
        <f>IF(G1658="High",3,IF(G1658="Medium",2,1))</f>
        <v>1</v>
      </c>
    </row>
    <row r="1659" spans="1:12">
      <c r="A1659" s="3" t="s">
        <v>2652</v>
      </c>
      <c r="B1659" s="3" t="s">
        <v>883</v>
      </c>
      <c r="C1659" s="3" t="s">
        <v>962</v>
      </c>
      <c r="D1659" s="3" t="s">
        <v>963</v>
      </c>
      <c r="E1659" s="3" t="s">
        <v>42</v>
      </c>
      <c r="F1659" s="3" t="s">
        <v>47</v>
      </c>
      <c r="G1659" s="3" t="str">
        <f>INDEX([1]Risk_Matrix!$B$2:$D$4,MATCH(E1659,[1]Risk_Matrix!$A$2:$A$4,0),MATCH(F1659,[1]Risk_Matrix!$B$1:$D$1,0))</f>
        <v>Medium</v>
      </c>
      <c r="H1659" s="10">
        <v>46169</v>
      </c>
      <c r="I1659" s="3" t="s">
        <v>967</v>
      </c>
      <c r="J1659" s="3" t="s">
        <v>968</v>
      </c>
      <c r="K1659" s="3" t="s">
        <v>993</v>
      </c>
      <c r="L1659" s="3">
        <f>IF(G1659="High",3,IF(G1659="Medium",2,1))</f>
        <v>2</v>
      </c>
    </row>
    <row r="1660" spans="1:12">
      <c r="A1660" s="3" t="s">
        <v>2653</v>
      </c>
      <c r="B1660" s="3" t="s">
        <v>883</v>
      </c>
      <c r="C1660" s="3" t="s">
        <v>965</v>
      </c>
      <c r="D1660" s="3" t="s">
        <v>1023</v>
      </c>
      <c r="E1660" s="3" t="s">
        <v>942</v>
      </c>
      <c r="F1660" s="3" t="s">
        <v>942</v>
      </c>
      <c r="G1660" s="3" t="str">
        <f>INDEX([1]Risk_Matrix!$B$2:$D$4,MATCH(E1660,[1]Risk_Matrix!$A$2:$A$4,0),MATCH(F1660,[1]Risk_Matrix!$B$1:$D$1,0))</f>
        <v>Medium</v>
      </c>
      <c r="H1660" s="10">
        <v>46124</v>
      </c>
      <c r="I1660" s="3" t="s">
        <v>973</v>
      </c>
      <c r="J1660" s="3" t="s">
        <v>974</v>
      </c>
      <c r="K1660" s="3" t="s">
        <v>960</v>
      </c>
      <c r="L1660" s="3">
        <f>IF(G1660="High",3,IF(G1660="Medium",2,1))</f>
        <v>2</v>
      </c>
    </row>
    <row r="1661" spans="1:12">
      <c r="A1661" s="3" t="s">
        <v>2654</v>
      </c>
      <c r="B1661" s="3" t="s">
        <v>883</v>
      </c>
      <c r="C1661" s="3" t="s">
        <v>971</v>
      </c>
      <c r="D1661" s="3" t="s">
        <v>1025</v>
      </c>
      <c r="E1661" s="3" t="s">
        <v>942</v>
      </c>
      <c r="F1661" s="3" t="s">
        <v>47</v>
      </c>
      <c r="G1661" s="3" t="str">
        <f>INDEX([1]Risk_Matrix!$B$2:$D$4,MATCH(E1661,[1]Risk_Matrix!$A$2:$A$4,0),MATCH(F1661,[1]Risk_Matrix!$B$1:$D$1,0))</f>
        <v>Low</v>
      </c>
      <c r="H1661" s="10">
        <v>46166</v>
      </c>
      <c r="I1661" s="3" t="s">
        <v>967</v>
      </c>
      <c r="J1661" s="3" t="s">
        <v>968</v>
      </c>
      <c r="K1661" s="3" t="s">
        <v>969</v>
      </c>
      <c r="L1661" s="3">
        <f>IF(G1661="High",3,IF(G1661="Medium",2,1))</f>
        <v>1</v>
      </c>
    </row>
    <row r="1662" spans="1:12">
      <c r="A1662" s="3" t="s">
        <v>2655</v>
      </c>
      <c r="B1662" s="3" t="s">
        <v>883</v>
      </c>
      <c r="C1662" s="3" t="s">
        <v>976</v>
      </c>
      <c r="D1662" s="3" t="s">
        <v>977</v>
      </c>
      <c r="E1662" s="3" t="s">
        <v>942</v>
      </c>
      <c r="F1662" s="3" t="s">
        <v>942</v>
      </c>
      <c r="G1662" s="3" t="str">
        <f>INDEX([1]Risk_Matrix!$B$2:$D$4,MATCH(E1662,[1]Risk_Matrix!$A$2:$A$4,0),MATCH(F1662,[1]Risk_Matrix!$B$1:$D$1,0))</f>
        <v>Medium</v>
      </c>
      <c r="H1662" s="10">
        <v>46114</v>
      </c>
      <c r="I1662" s="3" t="s">
        <v>981</v>
      </c>
      <c r="J1662" s="3" t="s">
        <v>982</v>
      </c>
      <c r="K1662" s="3" t="s">
        <v>960</v>
      </c>
      <c r="L1662" s="3">
        <f>IF(G1662="High",3,IF(G1662="Medium",2,1))</f>
        <v>2</v>
      </c>
    </row>
    <row r="1663" spans="1:12">
      <c r="A1663" s="3" t="s">
        <v>2656</v>
      </c>
      <c r="B1663" s="3" t="s">
        <v>883</v>
      </c>
      <c r="C1663" s="3" t="s">
        <v>979</v>
      </c>
      <c r="D1663" s="3" t="s">
        <v>980</v>
      </c>
      <c r="E1663" s="3" t="s">
        <v>47</v>
      </c>
      <c r="F1663" s="3" t="s">
        <v>942</v>
      </c>
      <c r="G1663" s="3" t="str">
        <f>INDEX([1]Risk_Matrix!$B$2:$D$4,MATCH(E1663,[1]Risk_Matrix!$A$2:$A$4,0),MATCH(F1663,[1]Risk_Matrix!$B$1:$D$1,0))</f>
        <v>Low</v>
      </c>
      <c r="H1663" s="10">
        <v>46094</v>
      </c>
      <c r="I1663" s="3" t="s">
        <v>967</v>
      </c>
      <c r="J1663" s="3" t="s">
        <v>968</v>
      </c>
      <c r="K1663" s="3" t="s">
        <v>1000</v>
      </c>
      <c r="L1663" s="3">
        <f>IF(G1663="High",3,IF(G1663="Medium",2,1))</f>
        <v>1</v>
      </c>
    </row>
    <row r="1664" spans="1:12">
      <c r="A1664" s="3" t="s">
        <v>2657</v>
      </c>
      <c r="B1664" s="3" t="s">
        <v>885</v>
      </c>
      <c r="C1664" s="3" t="s">
        <v>956</v>
      </c>
      <c r="D1664" s="3" t="s">
        <v>957</v>
      </c>
      <c r="E1664" s="3" t="s">
        <v>42</v>
      </c>
      <c r="F1664" s="3" t="s">
        <v>47</v>
      </c>
      <c r="G1664" s="3" t="str">
        <f>INDEX([1]Risk_Matrix!$B$2:$D$4,MATCH(E1664,[1]Risk_Matrix!$A$2:$A$4,0),MATCH(F1664,[1]Risk_Matrix!$B$1:$D$1,0))</f>
        <v>Medium</v>
      </c>
      <c r="H1664" s="10">
        <v>46154</v>
      </c>
      <c r="I1664" s="3" t="s">
        <v>981</v>
      </c>
      <c r="J1664" s="3" t="s">
        <v>982</v>
      </c>
      <c r="K1664" s="3" t="s">
        <v>960</v>
      </c>
      <c r="L1664" s="3">
        <f>IF(G1664="High",3,IF(G1664="Medium",2,1))</f>
        <v>2</v>
      </c>
    </row>
    <row r="1665" spans="1:12">
      <c r="A1665" s="3" t="s">
        <v>2658</v>
      </c>
      <c r="B1665" s="3" t="s">
        <v>885</v>
      </c>
      <c r="C1665" s="3" t="s">
        <v>962</v>
      </c>
      <c r="D1665" s="3" t="s">
        <v>986</v>
      </c>
      <c r="E1665" s="3" t="s">
        <v>47</v>
      </c>
      <c r="F1665" s="3" t="s">
        <v>942</v>
      </c>
      <c r="G1665" s="3" t="str">
        <f>INDEX([1]Risk_Matrix!$B$2:$D$4,MATCH(E1665,[1]Risk_Matrix!$A$2:$A$4,0),MATCH(F1665,[1]Risk_Matrix!$B$1:$D$1,0))</f>
        <v>Low</v>
      </c>
      <c r="H1665" s="10">
        <v>46081</v>
      </c>
      <c r="I1665" s="3" t="s">
        <v>973</v>
      </c>
      <c r="J1665" s="3" t="s">
        <v>974</v>
      </c>
      <c r="K1665" s="3" t="s">
        <v>960</v>
      </c>
      <c r="L1665" s="3">
        <f>IF(G1665="High",3,IF(G1665="Medium",2,1))</f>
        <v>1</v>
      </c>
    </row>
    <row r="1666" spans="1:12">
      <c r="A1666" s="3" t="s">
        <v>2659</v>
      </c>
      <c r="B1666" s="3" t="s">
        <v>885</v>
      </c>
      <c r="C1666" s="3" t="s">
        <v>965</v>
      </c>
      <c r="D1666" s="3" t="s">
        <v>966</v>
      </c>
      <c r="E1666" s="3" t="s">
        <v>47</v>
      </c>
      <c r="F1666" s="3" t="s">
        <v>47</v>
      </c>
      <c r="G1666" s="3" t="str">
        <f>INDEX([1]Risk_Matrix!$B$2:$D$4,MATCH(E1666,[1]Risk_Matrix!$A$2:$A$4,0),MATCH(F1666,[1]Risk_Matrix!$B$1:$D$1,0))</f>
        <v>Low</v>
      </c>
      <c r="H1666" s="10">
        <v>46204</v>
      </c>
      <c r="I1666" s="3" t="s">
        <v>973</v>
      </c>
      <c r="J1666" s="3" t="s">
        <v>974</v>
      </c>
      <c r="K1666" s="3" t="s">
        <v>983</v>
      </c>
      <c r="L1666" s="3">
        <f>IF(G1666="High",3,IF(G1666="Medium",2,1))</f>
        <v>1</v>
      </c>
    </row>
    <row r="1667" spans="1:12">
      <c r="A1667" s="3" t="s">
        <v>2660</v>
      </c>
      <c r="B1667" s="3" t="s">
        <v>885</v>
      </c>
      <c r="C1667" s="3" t="s">
        <v>971</v>
      </c>
      <c r="D1667" s="3" t="s">
        <v>1025</v>
      </c>
      <c r="E1667" s="3" t="s">
        <v>942</v>
      </c>
      <c r="F1667" s="3" t="s">
        <v>47</v>
      </c>
      <c r="G1667" s="3" t="str">
        <f>INDEX([1]Risk_Matrix!$B$2:$D$4,MATCH(E1667,[1]Risk_Matrix!$A$2:$A$4,0),MATCH(F1667,[1]Risk_Matrix!$B$1:$D$1,0))</f>
        <v>Low</v>
      </c>
      <c r="H1667" s="10">
        <v>46200</v>
      </c>
      <c r="I1667" s="3" t="s">
        <v>981</v>
      </c>
      <c r="J1667" s="3" t="s">
        <v>982</v>
      </c>
      <c r="K1667" s="3" t="s">
        <v>960</v>
      </c>
      <c r="L1667" s="3">
        <f>IF(G1667="High",3,IF(G1667="Medium",2,1))</f>
        <v>1</v>
      </c>
    </row>
    <row r="1668" spans="1:12">
      <c r="A1668" s="3" t="s">
        <v>2661</v>
      </c>
      <c r="B1668" s="3" t="s">
        <v>885</v>
      </c>
      <c r="C1668" s="3" t="s">
        <v>976</v>
      </c>
      <c r="D1668" s="3" t="s">
        <v>1002</v>
      </c>
      <c r="E1668" s="3" t="s">
        <v>942</v>
      </c>
      <c r="F1668" s="3" t="s">
        <v>42</v>
      </c>
      <c r="G1668" s="3" t="str">
        <f>INDEX([1]Risk_Matrix!$B$2:$D$4,MATCH(E1668,[1]Risk_Matrix!$A$2:$A$4,0),MATCH(F1668,[1]Risk_Matrix!$B$1:$D$1,0))</f>
        <v>High</v>
      </c>
      <c r="H1668" s="10">
        <v>46222</v>
      </c>
      <c r="I1668" s="3" t="s">
        <v>973</v>
      </c>
      <c r="J1668" s="3" t="s">
        <v>974</v>
      </c>
      <c r="K1668" s="3" t="s">
        <v>983</v>
      </c>
      <c r="L1668" s="3">
        <f>IF(G1668="High",3,IF(G1668="Medium",2,1))</f>
        <v>3</v>
      </c>
    </row>
    <row r="1669" spans="1:12">
      <c r="A1669" s="3" t="s">
        <v>2662</v>
      </c>
      <c r="B1669" s="3" t="s">
        <v>885</v>
      </c>
      <c r="C1669" s="3" t="s">
        <v>979</v>
      </c>
      <c r="D1669" s="3" t="s">
        <v>1004</v>
      </c>
      <c r="E1669" s="3" t="s">
        <v>47</v>
      </c>
      <c r="F1669" s="3" t="s">
        <v>47</v>
      </c>
      <c r="G1669" s="3" t="str">
        <f>INDEX([1]Risk_Matrix!$B$2:$D$4,MATCH(E1669,[1]Risk_Matrix!$A$2:$A$4,0),MATCH(F1669,[1]Risk_Matrix!$B$1:$D$1,0))</f>
        <v>Low</v>
      </c>
      <c r="H1669" s="10">
        <v>46119</v>
      </c>
      <c r="I1669" s="3" t="s">
        <v>973</v>
      </c>
      <c r="J1669" s="3" t="s">
        <v>974</v>
      </c>
      <c r="K1669" s="3" t="s">
        <v>983</v>
      </c>
      <c r="L1669" s="3">
        <f>IF(G1669="High",3,IF(G1669="Medium",2,1))</f>
        <v>1</v>
      </c>
    </row>
    <row r="1670" spans="1:12">
      <c r="A1670" s="3" t="s">
        <v>2663</v>
      </c>
      <c r="B1670" s="3" t="s">
        <v>887</v>
      </c>
      <c r="C1670" s="3" t="s">
        <v>956</v>
      </c>
      <c r="D1670" s="3" t="s">
        <v>1012</v>
      </c>
      <c r="E1670" s="3" t="s">
        <v>47</v>
      </c>
      <c r="F1670" s="3" t="s">
        <v>942</v>
      </c>
      <c r="G1670" s="3" t="str">
        <f>INDEX([1]Risk_Matrix!$B$2:$D$4,MATCH(E1670,[1]Risk_Matrix!$A$2:$A$4,0),MATCH(F1670,[1]Risk_Matrix!$B$1:$D$1,0))</f>
        <v>Low</v>
      </c>
      <c r="H1670" s="10">
        <v>46151</v>
      </c>
      <c r="I1670" s="3" t="s">
        <v>981</v>
      </c>
      <c r="J1670" s="3" t="s">
        <v>982</v>
      </c>
      <c r="K1670" s="3" t="s">
        <v>1000</v>
      </c>
      <c r="L1670" s="3">
        <f>IF(G1670="High",3,IF(G1670="Medium",2,1))</f>
        <v>1</v>
      </c>
    </row>
    <row r="1671" spans="1:12">
      <c r="A1671" s="3" t="s">
        <v>2664</v>
      </c>
      <c r="B1671" s="3" t="s">
        <v>887</v>
      </c>
      <c r="C1671" s="3" t="s">
        <v>962</v>
      </c>
      <c r="D1671" s="3" t="s">
        <v>986</v>
      </c>
      <c r="E1671" s="3" t="s">
        <v>42</v>
      </c>
      <c r="F1671" s="3" t="s">
        <v>42</v>
      </c>
      <c r="G1671" s="3" t="str">
        <f>INDEX([1]Risk_Matrix!$B$2:$D$4,MATCH(E1671,[1]Risk_Matrix!$A$2:$A$4,0),MATCH(F1671,[1]Risk_Matrix!$B$1:$D$1,0))</f>
        <v>High</v>
      </c>
      <c r="H1671" s="10">
        <v>46096</v>
      </c>
      <c r="I1671" s="3" t="s">
        <v>973</v>
      </c>
      <c r="J1671" s="3" t="s">
        <v>974</v>
      </c>
      <c r="K1671" s="3" t="s">
        <v>1000</v>
      </c>
      <c r="L1671" s="3">
        <f>IF(G1671="High",3,IF(G1671="Medium",2,1))</f>
        <v>3</v>
      </c>
    </row>
    <row r="1672" spans="1:12">
      <c r="A1672" s="3" t="s">
        <v>2665</v>
      </c>
      <c r="B1672" s="3" t="s">
        <v>887</v>
      </c>
      <c r="C1672" s="3" t="s">
        <v>965</v>
      </c>
      <c r="D1672" s="3" t="s">
        <v>966</v>
      </c>
      <c r="E1672" s="3" t="s">
        <v>942</v>
      </c>
      <c r="F1672" s="3" t="s">
        <v>47</v>
      </c>
      <c r="G1672" s="3" t="str">
        <f>INDEX([1]Risk_Matrix!$B$2:$D$4,MATCH(E1672,[1]Risk_Matrix!$A$2:$A$4,0),MATCH(F1672,[1]Risk_Matrix!$B$1:$D$1,0))</f>
        <v>Low</v>
      </c>
      <c r="H1672" s="10">
        <v>46064</v>
      </c>
      <c r="I1672" s="3" t="s">
        <v>973</v>
      </c>
      <c r="J1672" s="3" t="s">
        <v>974</v>
      </c>
      <c r="K1672" s="3" t="s">
        <v>1000</v>
      </c>
      <c r="L1672" s="3">
        <f>IF(G1672="High",3,IF(G1672="Medium",2,1))</f>
        <v>1</v>
      </c>
    </row>
    <row r="1673" spans="1:12">
      <c r="A1673" s="3" t="s">
        <v>2666</v>
      </c>
      <c r="B1673" s="3" t="s">
        <v>887</v>
      </c>
      <c r="C1673" s="3" t="s">
        <v>971</v>
      </c>
      <c r="D1673" s="3" t="s">
        <v>1016</v>
      </c>
      <c r="E1673" s="3" t="s">
        <v>942</v>
      </c>
      <c r="F1673" s="3" t="s">
        <v>942</v>
      </c>
      <c r="G1673" s="3" t="str">
        <f>INDEX([1]Risk_Matrix!$B$2:$D$4,MATCH(E1673,[1]Risk_Matrix!$A$2:$A$4,0),MATCH(F1673,[1]Risk_Matrix!$B$1:$D$1,0))</f>
        <v>Medium</v>
      </c>
      <c r="H1673" s="10">
        <v>46176</v>
      </c>
      <c r="I1673" s="3" t="s">
        <v>981</v>
      </c>
      <c r="J1673" s="3" t="s">
        <v>982</v>
      </c>
      <c r="K1673" s="3" t="s">
        <v>983</v>
      </c>
      <c r="L1673" s="3">
        <f>IF(G1673="High",3,IF(G1673="Medium",2,1))</f>
        <v>2</v>
      </c>
    </row>
    <row r="1674" spans="1:12">
      <c r="A1674" s="3" t="s">
        <v>2667</v>
      </c>
      <c r="B1674" s="3" t="s">
        <v>887</v>
      </c>
      <c r="C1674" s="3" t="s">
        <v>976</v>
      </c>
      <c r="D1674" s="3" t="s">
        <v>977</v>
      </c>
      <c r="E1674" s="3" t="s">
        <v>47</v>
      </c>
      <c r="F1674" s="3" t="s">
        <v>47</v>
      </c>
      <c r="G1674" s="3" t="str">
        <f>INDEX([1]Risk_Matrix!$B$2:$D$4,MATCH(E1674,[1]Risk_Matrix!$A$2:$A$4,0),MATCH(F1674,[1]Risk_Matrix!$B$1:$D$1,0))</f>
        <v>Low</v>
      </c>
      <c r="H1674" s="10">
        <v>46162</v>
      </c>
      <c r="I1674" s="3" t="s">
        <v>981</v>
      </c>
      <c r="J1674" s="3" t="s">
        <v>982</v>
      </c>
      <c r="K1674" s="3" t="s">
        <v>960</v>
      </c>
      <c r="L1674" s="3">
        <f>IF(G1674="High",3,IF(G1674="Medium",2,1))</f>
        <v>1</v>
      </c>
    </row>
    <row r="1675" spans="1:12">
      <c r="A1675" s="3" t="s">
        <v>2668</v>
      </c>
      <c r="B1675" s="3" t="s">
        <v>887</v>
      </c>
      <c r="C1675" s="3" t="s">
        <v>979</v>
      </c>
      <c r="D1675" s="3" t="s">
        <v>980</v>
      </c>
      <c r="E1675" s="3" t="s">
        <v>42</v>
      </c>
      <c r="F1675" s="3" t="s">
        <v>47</v>
      </c>
      <c r="G1675" s="3" t="str">
        <f>INDEX([1]Risk_Matrix!$B$2:$D$4,MATCH(E1675,[1]Risk_Matrix!$A$2:$A$4,0),MATCH(F1675,[1]Risk_Matrix!$B$1:$D$1,0))</f>
        <v>Medium</v>
      </c>
      <c r="H1675" s="10">
        <v>46173</v>
      </c>
      <c r="I1675" s="3" t="s">
        <v>967</v>
      </c>
      <c r="J1675" s="3" t="s">
        <v>968</v>
      </c>
      <c r="K1675" s="3" t="s">
        <v>993</v>
      </c>
      <c r="L1675" s="3">
        <f>IF(G1675="High",3,IF(G1675="Medium",2,1))</f>
        <v>2</v>
      </c>
    </row>
    <row r="1676" spans="1:12">
      <c r="A1676" s="3" t="s">
        <v>2669</v>
      </c>
      <c r="B1676" s="3" t="s">
        <v>889</v>
      </c>
      <c r="C1676" s="3" t="s">
        <v>956</v>
      </c>
      <c r="D1676" s="3" t="s">
        <v>1020</v>
      </c>
      <c r="E1676" s="3" t="s">
        <v>942</v>
      </c>
      <c r="F1676" s="3" t="s">
        <v>942</v>
      </c>
      <c r="G1676" s="3" t="str">
        <f>INDEX([1]Risk_Matrix!$B$2:$D$4,MATCH(E1676,[1]Risk_Matrix!$A$2:$A$4,0),MATCH(F1676,[1]Risk_Matrix!$B$1:$D$1,0))</f>
        <v>Medium</v>
      </c>
      <c r="H1676" s="10">
        <v>46175</v>
      </c>
      <c r="I1676" s="3" t="s">
        <v>973</v>
      </c>
      <c r="J1676" s="3" t="s">
        <v>974</v>
      </c>
      <c r="K1676" s="3" t="s">
        <v>960</v>
      </c>
      <c r="L1676" s="3">
        <f>IF(G1676="High",3,IF(G1676="Medium",2,1))</f>
        <v>2</v>
      </c>
    </row>
    <row r="1677" spans="1:12">
      <c r="A1677" s="3" t="s">
        <v>2670</v>
      </c>
      <c r="B1677" s="3" t="s">
        <v>889</v>
      </c>
      <c r="C1677" s="3" t="s">
        <v>962</v>
      </c>
      <c r="D1677" s="3" t="s">
        <v>1037</v>
      </c>
      <c r="E1677" s="3" t="s">
        <v>42</v>
      </c>
      <c r="F1677" s="3" t="s">
        <v>942</v>
      </c>
      <c r="G1677" s="3" t="str">
        <f>INDEX([1]Risk_Matrix!$B$2:$D$4,MATCH(E1677,[1]Risk_Matrix!$A$2:$A$4,0),MATCH(F1677,[1]Risk_Matrix!$B$1:$D$1,0))</f>
        <v>High</v>
      </c>
      <c r="H1677" s="10">
        <v>46133</v>
      </c>
      <c r="I1677" s="3" t="s">
        <v>967</v>
      </c>
      <c r="J1677" s="3" t="s">
        <v>968</v>
      </c>
      <c r="K1677" s="3" t="s">
        <v>960</v>
      </c>
      <c r="L1677" s="3">
        <f>IF(G1677="High",3,IF(G1677="Medium",2,1))</f>
        <v>3</v>
      </c>
    </row>
    <row r="1678" spans="1:12">
      <c r="A1678" s="3" t="s">
        <v>2671</v>
      </c>
      <c r="B1678" s="3" t="s">
        <v>889</v>
      </c>
      <c r="C1678" s="3" t="s">
        <v>965</v>
      </c>
      <c r="D1678" s="3" t="s">
        <v>988</v>
      </c>
      <c r="E1678" s="3" t="s">
        <v>942</v>
      </c>
      <c r="F1678" s="3" t="s">
        <v>47</v>
      </c>
      <c r="G1678" s="3" t="str">
        <f>INDEX([1]Risk_Matrix!$B$2:$D$4,MATCH(E1678,[1]Risk_Matrix!$A$2:$A$4,0),MATCH(F1678,[1]Risk_Matrix!$B$1:$D$1,0))</f>
        <v>Low</v>
      </c>
      <c r="H1678" s="10">
        <v>46079</v>
      </c>
      <c r="I1678" s="3" t="s">
        <v>973</v>
      </c>
      <c r="J1678" s="3" t="s">
        <v>974</v>
      </c>
      <c r="K1678" s="3" t="s">
        <v>960</v>
      </c>
      <c r="L1678" s="3">
        <f>IF(G1678="High",3,IF(G1678="Medium",2,1))</f>
        <v>1</v>
      </c>
    </row>
    <row r="1679" spans="1:12">
      <c r="A1679" s="3" t="s">
        <v>2672</v>
      </c>
      <c r="B1679" s="3" t="s">
        <v>889</v>
      </c>
      <c r="C1679" s="3" t="s">
        <v>971</v>
      </c>
      <c r="D1679" s="3" t="s">
        <v>1016</v>
      </c>
      <c r="E1679" s="3" t="s">
        <v>47</v>
      </c>
      <c r="F1679" s="3" t="s">
        <v>47</v>
      </c>
      <c r="G1679" s="3" t="str">
        <f>INDEX([1]Risk_Matrix!$B$2:$D$4,MATCH(E1679,[1]Risk_Matrix!$A$2:$A$4,0),MATCH(F1679,[1]Risk_Matrix!$B$1:$D$1,0))</f>
        <v>Low</v>
      </c>
      <c r="H1679" s="10">
        <v>46127</v>
      </c>
      <c r="I1679" s="3" t="s">
        <v>981</v>
      </c>
      <c r="J1679" s="3" t="s">
        <v>982</v>
      </c>
      <c r="K1679" s="3" t="s">
        <v>960</v>
      </c>
      <c r="L1679" s="3">
        <f>IF(G1679="High",3,IF(G1679="Medium",2,1))</f>
        <v>1</v>
      </c>
    </row>
    <row r="1680" spans="1:12">
      <c r="A1680" s="3" t="s">
        <v>2673</v>
      </c>
      <c r="B1680" s="3" t="s">
        <v>889</v>
      </c>
      <c r="C1680" s="3" t="s">
        <v>976</v>
      </c>
      <c r="D1680" s="3" t="s">
        <v>991</v>
      </c>
      <c r="E1680" s="3" t="s">
        <v>47</v>
      </c>
      <c r="F1680" s="3" t="s">
        <v>47</v>
      </c>
      <c r="G1680" s="3" t="str">
        <f>INDEX([1]Risk_Matrix!$B$2:$D$4,MATCH(E1680,[1]Risk_Matrix!$A$2:$A$4,0),MATCH(F1680,[1]Risk_Matrix!$B$1:$D$1,0))</f>
        <v>Low</v>
      </c>
      <c r="H1680" s="10">
        <v>46144</v>
      </c>
      <c r="I1680" s="3" t="s">
        <v>973</v>
      </c>
      <c r="J1680" s="3" t="s">
        <v>974</v>
      </c>
      <c r="K1680" s="3" t="s">
        <v>993</v>
      </c>
      <c r="L1680" s="3">
        <f>IF(G1680="High",3,IF(G1680="Medium",2,1))</f>
        <v>1</v>
      </c>
    </row>
    <row r="1681" spans="1:12">
      <c r="A1681" s="3" t="s">
        <v>2674</v>
      </c>
      <c r="B1681" s="3" t="s">
        <v>889</v>
      </c>
      <c r="C1681" s="3" t="s">
        <v>979</v>
      </c>
      <c r="D1681" s="3" t="s">
        <v>1028</v>
      </c>
      <c r="E1681" s="3" t="s">
        <v>47</v>
      </c>
      <c r="F1681" s="3" t="s">
        <v>42</v>
      </c>
      <c r="G1681" s="3" t="str">
        <f>INDEX([1]Risk_Matrix!$B$2:$D$4,MATCH(E1681,[1]Risk_Matrix!$A$2:$A$4,0),MATCH(F1681,[1]Risk_Matrix!$B$1:$D$1,0))</f>
        <v>Medium</v>
      </c>
      <c r="H1681" s="10">
        <v>46137</v>
      </c>
      <c r="I1681" s="3" t="s">
        <v>967</v>
      </c>
      <c r="J1681" s="3" t="s">
        <v>968</v>
      </c>
      <c r="K1681" s="3" t="s">
        <v>1000</v>
      </c>
      <c r="L1681" s="3">
        <f>IF(G1681="High",3,IF(G1681="Medium",2,1))</f>
        <v>2</v>
      </c>
    </row>
    <row r="1682" spans="1:12">
      <c r="A1682" s="3" t="s">
        <v>2675</v>
      </c>
      <c r="B1682" s="3" t="s">
        <v>891</v>
      </c>
      <c r="C1682" s="3" t="s">
        <v>956</v>
      </c>
      <c r="D1682" s="3" t="s">
        <v>1020</v>
      </c>
      <c r="E1682" s="3" t="s">
        <v>47</v>
      </c>
      <c r="F1682" s="3" t="s">
        <v>942</v>
      </c>
      <c r="G1682" s="3" t="str">
        <f>INDEX([1]Risk_Matrix!$B$2:$D$4,MATCH(E1682,[1]Risk_Matrix!$A$2:$A$4,0),MATCH(F1682,[1]Risk_Matrix!$B$1:$D$1,0))</f>
        <v>Low</v>
      </c>
      <c r="H1682" s="10">
        <v>46082</v>
      </c>
      <c r="I1682" s="3" t="s">
        <v>973</v>
      </c>
      <c r="J1682" s="3" t="s">
        <v>974</v>
      </c>
      <c r="K1682" s="3" t="s">
        <v>983</v>
      </c>
      <c r="L1682" s="3">
        <f>IF(G1682="High",3,IF(G1682="Medium",2,1))</f>
        <v>1</v>
      </c>
    </row>
    <row r="1683" spans="1:12">
      <c r="A1683" s="3" t="s">
        <v>2676</v>
      </c>
      <c r="B1683" s="3" t="s">
        <v>891</v>
      </c>
      <c r="C1683" s="3" t="s">
        <v>962</v>
      </c>
      <c r="D1683" s="3" t="s">
        <v>986</v>
      </c>
      <c r="E1683" s="3" t="s">
        <v>47</v>
      </c>
      <c r="F1683" s="3" t="s">
        <v>47</v>
      </c>
      <c r="G1683" s="3" t="str">
        <f>INDEX([1]Risk_Matrix!$B$2:$D$4,MATCH(E1683,[1]Risk_Matrix!$A$2:$A$4,0),MATCH(F1683,[1]Risk_Matrix!$B$1:$D$1,0))</f>
        <v>Low</v>
      </c>
      <c r="H1683" s="10">
        <v>46217</v>
      </c>
      <c r="I1683" s="3" t="s">
        <v>973</v>
      </c>
      <c r="J1683" s="3" t="s">
        <v>974</v>
      </c>
      <c r="K1683" s="3" t="s">
        <v>993</v>
      </c>
      <c r="L1683" s="3">
        <f>IF(G1683="High",3,IF(G1683="Medium",2,1))</f>
        <v>1</v>
      </c>
    </row>
    <row r="1684" spans="1:12">
      <c r="A1684" s="3" t="s">
        <v>2677</v>
      </c>
      <c r="B1684" s="3" t="s">
        <v>891</v>
      </c>
      <c r="C1684" s="3" t="s">
        <v>965</v>
      </c>
      <c r="D1684" s="3" t="s">
        <v>1023</v>
      </c>
      <c r="E1684" s="3" t="s">
        <v>47</v>
      </c>
      <c r="F1684" s="3" t="s">
        <v>942</v>
      </c>
      <c r="G1684" s="3" t="str">
        <f>INDEX([1]Risk_Matrix!$B$2:$D$4,MATCH(E1684,[1]Risk_Matrix!$A$2:$A$4,0),MATCH(F1684,[1]Risk_Matrix!$B$1:$D$1,0))</f>
        <v>Low</v>
      </c>
      <c r="H1684" s="10">
        <v>46129</v>
      </c>
      <c r="I1684" s="3" t="s">
        <v>973</v>
      </c>
      <c r="J1684" s="3" t="s">
        <v>974</v>
      </c>
      <c r="K1684" s="3" t="s">
        <v>960</v>
      </c>
      <c r="L1684" s="3">
        <f>IF(G1684="High",3,IF(G1684="Medium",2,1))</f>
        <v>1</v>
      </c>
    </row>
    <row r="1685" spans="1:12">
      <c r="A1685" s="3" t="s">
        <v>2678</v>
      </c>
      <c r="B1685" s="3" t="s">
        <v>891</v>
      </c>
      <c r="C1685" s="3" t="s">
        <v>971</v>
      </c>
      <c r="D1685" s="3" t="s">
        <v>972</v>
      </c>
      <c r="E1685" s="3" t="s">
        <v>42</v>
      </c>
      <c r="F1685" s="3" t="s">
        <v>942</v>
      </c>
      <c r="G1685" s="3" t="str">
        <f>INDEX([1]Risk_Matrix!$B$2:$D$4,MATCH(E1685,[1]Risk_Matrix!$A$2:$A$4,0),MATCH(F1685,[1]Risk_Matrix!$B$1:$D$1,0))</f>
        <v>High</v>
      </c>
      <c r="H1685" s="10">
        <v>46200</v>
      </c>
      <c r="I1685" s="3" t="s">
        <v>967</v>
      </c>
      <c r="J1685" s="3" t="s">
        <v>968</v>
      </c>
      <c r="K1685" s="3" t="s">
        <v>993</v>
      </c>
      <c r="L1685" s="3">
        <f>IF(G1685="High",3,IF(G1685="Medium",2,1))</f>
        <v>3</v>
      </c>
    </row>
    <row r="1686" spans="1:12">
      <c r="A1686" s="3" t="s">
        <v>2679</v>
      </c>
      <c r="B1686" s="3" t="s">
        <v>891</v>
      </c>
      <c r="C1686" s="3" t="s">
        <v>976</v>
      </c>
      <c r="D1686" s="3" t="s">
        <v>977</v>
      </c>
      <c r="E1686" s="3" t="s">
        <v>47</v>
      </c>
      <c r="F1686" s="3" t="s">
        <v>47</v>
      </c>
      <c r="G1686" s="3" t="str">
        <f>INDEX([1]Risk_Matrix!$B$2:$D$4,MATCH(E1686,[1]Risk_Matrix!$A$2:$A$4,0),MATCH(F1686,[1]Risk_Matrix!$B$1:$D$1,0))</f>
        <v>Low</v>
      </c>
      <c r="H1686" s="10">
        <v>46145</v>
      </c>
      <c r="I1686" s="3" t="s">
        <v>973</v>
      </c>
      <c r="J1686" s="3" t="s">
        <v>974</v>
      </c>
      <c r="K1686" s="3" t="s">
        <v>969</v>
      </c>
      <c r="L1686" s="3">
        <f>IF(G1686="High",3,IF(G1686="Medium",2,1))</f>
        <v>1</v>
      </c>
    </row>
    <row r="1687" spans="1:12">
      <c r="A1687" s="3" t="s">
        <v>2680</v>
      </c>
      <c r="B1687" s="3" t="s">
        <v>891</v>
      </c>
      <c r="C1687" s="3" t="s">
        <v>979</v>
      </c>
      <c r="D1687" s="3" t="s">
        <v>980</v>
      </c>
      <c r="E1687" s="3" t="s">
        <v>942</v>
      </c>
      <c r="F1687" s="3" t="s">
        <v>47</v>
      </c>
      <c r="G1687" s="3" t="str">
        <f>INDEX([1]Risk_Matrix!$B$2:$D$4,MATCH(E1687,[1]Risk_Matrix!$A$2:$A$4,0),MATCH(F1687,[1]Risk_Matrix!$B$1:$D$1,0))</f>
        <v>Low</v>
      </c>
      <c r="H1687" s="10">
        <v>46154</v>
      </c>
      <c r="I1687" s="3" t="s">
        <v>981</v>
      </c>
      <c r="J1687" s="3" t="s">
        <v>982</v>
      </c>
      <c r="K1687" s="3" t="s">
        <v>993</v>
      </c>
      <c r="L1687" s="3">
        <f>IF(G1687="High",3,IF(G1687="Medium",2,1))</f>
        <v>1</v>
      </c>
    </row>
    <row r="1688" spans="1:12">
      <c r="A1688" s="3" t="s">
        <v>2681</v>
      </c>
      <c r="B1688" s="3" t="s">
        <v>893</v>
      </c>
      <c r="C1688" s="3" t="s">
        <v>956</v>
      </c>
      <c r="D1688" s="3" t="s">
        <v>957</v>
      </c>
      <c r="E1688" s="3" t="s">
        <v>42</v>
      </c>
      <c r="F1688" s="3" t="s">
        <v>47</v>
      </c>
      <c r="G1688" s="3" t="str">
        <f>INDEX([1]Risk_Matrix!$B$2:$D$4,MATCH(E1688,[1]Risk_Matrix!$A$2:$A$4,0),MATCH(F1688,[1]Risk_Matrix!$B$1:$D$1,0))</f>
        <v>Medium</v>
      </c>
      <c r="H1688" s="10">
        <v>46238</v>
      </c>
      <c r="I1688" s="3" t="s">
        <v>973</v>
      </c>
      <c r="J1688" s="3" t="s">
        <v>974</v>
      </c>
      <c r="K1688" s="3" t="s">
        <v>983</v>
      </c>
      <c r="L1688" s="3">
        <f>IF(G1688="High",3,IF(G1688="Medium",2,1))</f>
        <v>2</v>
      </c>
    </row>
    <row r="1689" spans="1:12">
      <c r="A1689" s="3" t="s">
        <v>2682</v>
      </c>
      <c r="B1689" s="3" t="s">
        <v>893</v>
      </c>
      <c r="C1689" s="3" t="s">
        <v>962</v>
      </c>
      <c r="D1689" s="3" t="s">
        <v>1037</v>
      </c>
      <c r="E1689" s="3" t="s">
        <v>42</v>
      </c>
      <c r="F1689" s="3" t="s">
        <v>942</v>
      </c>
      <c r="G1689" s="3" t="str">
        <f>INDEX([1]Risk_Matrix!$B$2:$D$4,MATCH(E1689,[1]Risk_Matrix!$A$2:$A$4,0),MATCH(F1689,[1]Risk_Matrix!$B$1:$D$1,0))</f>
        <v>High</v>
      </c>
      <c r="H1689" s="10">
        <v>46170</v>
      </c>
      <c r="I1689" s="3" t="s">
        <v>967</v>
      </c>
      <c r="J1689" s="3" t="s">
        <v>968</v>
      </c>
      <c r="K1689" s="3" t="s">
        <v>1000</v>
      </c>
      <c r="L1689" s="3">
        <f>IF(G1689="High",3,IF(G1689="Medium",2,1))</f>
        <v>3</v>
      </c>
    </row>
    <row r="1690" spans="1:12">
      <c r="A1690" s="3" t="s">
        <v>2683</v>
      </c>
      <c r="B1690" s="3" t="s">
        <v>893</v>
      </c>
      <c r="C1690" s="3" t="s">
        <v>965</v>
      </c>
      <c r="D1690" s="3" t="s">
        <v>966</v>
      </c>
      <c r="E1690" s="3" t="s">
        <v>942</v>
      </c>
      <c r="F1690" s="3" t="s">
        <v>942</v>
      </c>
      <c r="G1690" s="3" t="str">
        <f>INDEX([1]Risk_Matrix!$B$2:$D$4,MATCH(E1690,[1]Risk_Matrix!$A$2:$A$4,0),MATCH(F1690,[1]Risk_Matrix!$B$1:$D$1,0))</f>
        <v>Medium</v>
      </c>
      <c r="H1690" s="10">
        <v>46166</v>
      </c>
      <c r="I1690" s="3" t="s">
        <v>981</v>
      </c>
      <c r="J1690" s="3" t="s">
        <v>982</v>
      </c>
      <c r="K1690" s="3" t="s">
        <v>983</v>
      </c>
      <c r="L1690" s="3">
        <f>IF(G1690="High",3,IF(G1690="Medium",2,1))</f>
        <v>2</v>
      </c>
    </row>
    <row r="1691" spans="1:12">
      <c r="A1691" s="3" t="s">
        <v>2684</v>
      </c>
      <c r="B1691" s="3" t="s">
        <v>893</v>
      </c>
      <c r="C1691" s="3" t="s">
        <v>971</v>
      </c>
      <c r="D1691" s="3" t="s">
        <v>972</v>
      </c>
      <c r="E1691" s="3" t="s">
        <v>47</v>
      </c>
      <c r="F1691" s="3" t="s">
        <v>42</v>
      </c>
      <c r="G1691" s="3" t="str">
        <f>INDEX([1]Risk_Matrix!$B$2:$D$4,MATCH(E1691,[1]Risk_Matrix!$A$2:$A$4,0),MATCH(F1691,[1]Risk_Matrix!$B$1:$D$1,0))</f>
        <v>Medium</v>
      </c>
      <c r="H1691" s="10">
        <v>46059</v>
      </c>
      <c r="I1691" s="3" t="s">
        <v>973</v>
      </c>
      <c r="J1691" s="3" t="s">
        <v>974</v>
      </c>
      <c r="K1691" s="3" t="s">
        <v>1000</v>
      </c>
      <c r="L1691" s="3">
        <f>IF(G1691="High",3,IF(G1691="Medium",2,1))</f>
        <v>2</v>
      </c>
    </row>
    <row r="1692" spans="1:12">
      <c r="A1692" s="3" t="s">
        <v>2685</v>
      </c>
      <c r="B1692" s="3" t="s">
        <v>893</v>
      </c>
      <c r="C1692" s="3" t="s">
        <v>976</v>
      </c>
      <c r="D1692" s="3" t="s">
        <v>977</v>
      </c>
      <c r="E1692" s="3" t="s">
        <v>47</v>
      </c>
      <c r="F1692" s="3" t="s">
        <v>47</v>
      </c>
      <c r="G1692" s="3" t="str">
        <f>INDEX([1]Risk_Matrix!$B$2:$D$4,MATCH(E1692,[1]Risk_Matrix!$A$2:$A$4,0),MATCH(F1692,[1]Risk_Matrix!$B$1:$D$1,0))</f>
        <v>Low</v>
      </c>
      <c r="H1692" s="10">
        <v>46138</v>
      </c>
      <c r="I1692" s="3" t="s">
        <v>973</v>
      </c>
      <c r="J1692" s="3" t="s">
        <v>974</v>
      </c>
      <c r="K1692" s="3" t="s">
        <v>969</v>
      </c>
      <c r="L1692" s="3">
        <f>IF(G1692="High",3,IF(G1692="Medium",2,1))</f>
        <v>1</v>
      </c>
    </row>
    <row r="1693" spans="1:12">
      <c r="A1693" s="3" t="s">
        <v>2686</v>
      </c>
      <c r="B1693" s="3" t="s">
        <v>893</v>
      </c>
      <c r="C1693" s="3" t="s">
        <v>979</v>
      </c>
      <c r="D1693" s="3" t="s">
        <v>980</v>
      </c>
      <c r="E1693" s="3" t="s">
        <v>47</v>
      </c>
      <c r="F1693" s="3" t="s">
        <v>47</v>
      </c>
      <c r="G1693" s="3" t="str">
        <f>INDEX([1]Risk_Matrix!$B$2:$D$4,MATCH(E1693,[1]Risk_Matrix!$A$2:$A$4,0),MATCH(F1693,[1]Risk_Matrix!$B$1:$D$1,0))</f>
        <v>Low</v>
      </c>
      <c r="H1693" s="10">
        <v>46108</v>
      </c>
      <c r="I1693" s="3" t="s">
        <v>967</v>
      </c>
      <c r="J1693" s="3" t="s">
        <v>968</v>
      </c>
      <c r="K1693" s="3" t="s">
        <v>969</v>
      </c>
      <c r="L1693" s="3">
        <f>IF(G1693="High",3,IF(G1693="Medium",2,1))</f>
        <v>1</v>
      </c>
    </row>
    <row r="1694" spans="1:12">
      <c r="A1694" s="3" t="s">
        <v>2687</v>
      </c>
      <c r="B1694" s="3" t="s">
        <v>895</v>
      </c>
      <c r="C1694" s="3" t="s">
        <v>956</v>
      </c>
      <c r="D1694" s="3" t="s">
        <v>995</v>
      </c>
      <c r="E1694" s="3" t="s">
        <v>942</v>
      </c>
      <c r="F1694" s="3" t="s">
        <v>942</v>
      </c>
      <c r="G1694" s="3" t="str">
        <f>INDEX([1]Risk_Matrix!$B$2:$D$4,MATCH(E1694,[1]Risk_Matrix!$A$2:$A$4,0),MATCH(F1694,[1]Risk_Matrix!$B$1:$D$1,0))</f>
        <v>Medium</v>
      </c>
      <c r="H1694" s="10">
        <v>46178</v>
      </c>
      <c r="I1694" s="3" t="s">
        <v>967</v>
      </c>
      <c r="J1694" s="3" t="s">
        <v>968</v>
      </c>
      <c r="K1694" s="3" t="s">
        <v>969</v>
      </c>
      <c r="L1694" s="3">
        <f>IF(G1694="High",3,IF(G1694="Medium",2,1))</f>
        <v>2</v>
      </c>
    </row>
    <row r="1695" spans="1:12">
      <c r="A1695" s="3" t="s">
        <v>2688</v>
      </c>
      <c r="B1695" s="3" t="s">
        <v>895</v>
      </c>
      <c r="C1695" s="3" t="s">
        <v>962</v>
      </c>
      <c r="D1695" s="3" t="s">
        <v>986</v>
      </c>
      <c r="E1695" s="3" t="s">
        <v>47</v>
      </c>
      <c r="F1695" s="3" t="s">
        <v>47</v>
      </c>
      <c r="G1695" s="3" t="str">
        <f>INDEX([1]Risk_Matrix!$B$2:$D$4,MATCH(E1695,[1]Risk_Matrix!$A$2:$A$4,0),MATCH(F1695,[1]Risk_Matrix!$B$1:$D$1,0))</f>
        <v>Low</v>
      </c>
      <c r="H1695" s="10">
        <v>46229</v>
      </c>
      <c r="I1695" s="3" t="s">
        <v>967</v>
      </c>
      <c r="J1695" s="3" t="s">
        <v>968</v>
      </c>
      <c r="K1695" s="3" t="s">
        <v>993</v>
      </c>
      <c r="L1695" s="3">
        <f>IF(G1695="High",3,IF(G1695="Medium",2,1))</f>
        <v>1</v>
      </c>
    </row>
    <row r="1696" spans="1:12">
      <c r="A1696" s="3" t="s">
        <v>2689</v>
      </c>
      <c r="B1696" s="3" t="s">
        <v>895</v>
      </c>
      <c r="C1696" s="3" t="s">
        <v>965</v>
      </c>
      <c r="D1696" s="3" t="s">
        <v>1023</v>
      </c>
      <c r="E1696" s="3" t="s">
        <v>942</v>
      </c>
      <c r="F1696" s="3" t="s">
        <v>47</v>
      </c>
      <c r="G1696" s="3" t="str">
        <f>INDEX([1]Risk_Matrix!$B$2:$D$4,MATCH(E1696,[1]Risk_Matrix!$A$2:$A$4,0),MATCH(F1696,[1]Risk_Matrix!$B$1:$D$1,0))</f>
        <v>Low</v>
      </c>
      <c r="H1696" s="10">
        <v>46124</v>
      </c>
      <c r="I1696" s="3" t="s">
        <v>973</v>
      </c>
      <c r="J1696" s="3" t="s">
        <v>974</v>
      </c>
      <c r="K1696" s="3" t="s">
        <v>983</v>
      </c>
      <c r="L1696" s="3">
        <f>IF(G1696="High",3,IF(G1696="Medium",2,1))</f>
        <v>1</v>
      </c>
    </row>
    <row r="1697" spans="1:12">
      <c r="A1697" s="3" t="s">
        <v>2690</v>
      </c>
      <c r="B1697" s="3" t="s">
        <v>895</v>
      </c>
      <c r="C1697" s="3" t="s">
        <v>971</v>
      </c>
      <c r="D1697" s="3" t="s">
        <v>972</v>
      </c>
      <c r="E1697" s="3" t="s">
        <v>942</v>
      </c>
      <c r="F1697" s="3" t="s">
        <v>47</v>
      </c>
      <c r="G1697" s="3" t="str">
        <f>INDEX([1]Risk_Matrix!$B$2:$D$4,MATCH(E1697,[1]Risk_Matrix!$A$2:$A$4,0),MATCH(F1697,[1]Risk_Matrix!$B$1:$D$1,0))</f>
        <v>Low</v>
      </c>
      <c r="H1697" s="10">
        <v>46157</v>
      </c>
      <c r="I1697" s="3" t="s">
        <v>973</v>
      </c>
      <c r="J1697" s="3" t="s">
        <v>974</v>
      </c>
      <c r="K1697" s="3" t="s">
        <v>1000</v>
      </c>
      <c r="L1697" s="3">
        <f>IF(G1697="High",3,IF(G1697="Medium",2,1))</f>
        <v>1</v>
      </c>
    </row>
    <row r="1698" spans="1:12">
      <c r="A1698" s="3" t="s">
        <v>2691</v>
      </c>
      <c r="B1698" s="3" t="s">
        <v>895</v>
      </c>
      <c r="C1698" s="3" t="s">
        <v>976</v>
      </c>
      <c r="D1698" s="3" t="s">
        <v>977</v>
      </c>
      <c r="E1698" s="3" t="s">
        <v>942</v>
      </c>
      <c r="F1698" s="3" t="s">
        <v>47</v>
      </c>
      <c r="G1698" s="3" t="str">
        <f>INDEX([1]Risk_Matrix!$B$2:$D$4,MATCH(E1698,[1]Risk_Matrix!$A$2:$A$4,0),MATCH(F1698,[1]Risk_Matrix!$B$1:$D$1,0))</f>
        <v>Low</v>
      </c>
      <c r="H1698" s="10">
        <v>46074</v>
      </c>
      <c r="I1698" s="3" t="s">
        <v>973</v>
      </c>
      <c r="J1698" s="3" t="s">
        <v>974</v>
      </c>
      <c r="K1698" s="3" t="s">
        <v>1000</v>
      </c>
      <c r="L1698" s="3">
        <f>IF(G1698="High",3,IF(G1698="Medium",2,1))</f>
        <v>1</v>
      </c>
    </row>
    <row r="1699" spans="1:12">
      <c r="A1699" s="3" t="s">
        <v>2692</v>
      </c>
      <c r="B1699" s="3" t="s">
        <v>895</v>
      </c>
      <c r="C1699" s="3" t="s">
        <v>979</v>
      </c>
      <c r="D1699" s="3" t="s">
        <v>980</v>
      </c>
      <c r="E1699" s="3" t="s">
        <v>942</v>
      </c>
      <c r="F1699" s="3" t="s">
        <v>42</v>
      </c>
      <c r="G1699" s="3" t="str">
        <f>INDEX([1]Risk_Matrix!$B$2:$D$4,MATCH(E1699,[1]Risk_Matrix!$A$2:$A$4,0),MATCH(F1699,[1]Risk_Matrix!$B$1:$D$1,0))</f>
        <v>High</v>
      </c>
      <c r="H1699" s="10">
        <v>46117</v>
      </c>
      <c r="I1699" s="3" t="s">
        <v>973</v>
      </c>
      <c r="J1699" s="3" t="s">
        <v>974</v>
      </c>
      <c r="K1699" s="3" t="s">
        <v>993</v>
      </c>
      <c r="L1699" s="3">
        <f>IF(G1699="High",3,IF(G1699="Medium",2,1))</f>
        <v>3</v>
      </c>
    </row>
    <row r="1700" spans="1:12">
      <c r="A1700" s="3" t="s">
        <v>2693</v>
      </c>
      <c r="B1700" s="3" t="s">
        <v>897</v>
      </c>
      <c r="C1700" s="3" t="s">
        <v>956</v>
      </c>
      <c r="D1700" s="3" t="s">
        <v>995</v>
      </c>
      <c r="E1700" s="3" t="s">
        <v>47</v>
      </c>
      <c r="F1700" s="3" t="s">
        <v>47</v>
      </c>
      <c r="G1700" s="3" t="str">
        <f>INDEX([1]Risk_Matrix!$B$2:$D$4,MATCH(E1700,[1]Risk_Matrix!$A$2:$A$4,0),MATCH(F1700,[1]Risk_Matrix!$B$1:$D$1,0))</f>
        <v>Low</v>
      </c>
      <c r="H1700" s="10">
        <v>46230</v>
      </c>
      <c r="I1700" s="3" t="s">
        <v>973</v>
      </c>
      <c r="J1700" s="3" t="s">
        <v>974</v>
      </c>
      <c r="K1700" s="3" t="s">
        <v>969</v>
      </c>
      <c r="L1700" s="3">
        <f>IF(G1700="High",3,IF(G1700="Medium",2,1))</f>
        <v>1</v>
      </c>
    </row>
    <row r="1701" spans="1:12">
      <c r="A1701" s="3" t="s">
        <v>2694</v>
      </c>
      <c r="B1701" s="3" t="s">
        <v>897</v>
      </c>
      <c r="C1701" s="3" t="s">
        <v>962</v>
      </c>
      <c r="D1701" s="3" t="s">
        <v>997</v>
      </c>
      <c r="E1701" s="3" t="s">
        <v>47</v>
      </c>
      <c r="F1701" s="3" t="s">
        <v>47</v>
      </c>
      <c r="G1701" s="3" t="str">
        <f>INDEX([1]Risk_Matrix!$B$2:$D$4,MATCH(E1701,[1]Risk_Matrix!$A$2:$A$4,0),MATCH(F1701,[1]Risk_Matrix!$B$1:$D$1,0))</f>
        <v>Low</v>
      </c>
      <c r="H1701" s="10">
        <v>46137</v>
      </c>
      <c r="I1701" s="3" t="s">
        <v>967</v>
      </c>
      <c r="J1701" s="3" t="s">
        <v>968</v>
      </c>
      <c r="K1701" s="3" t="s">
        <v>969</v>
      </c>
      <c r="L1701" s="3">
        <f>IF(G1701="High",3,IF(G1701="Medium",2,1))</f>
        <v>1</v>
      </c>
    </row>
    <row r="1702" spans="1:12">
      <c r="A1702" s="3" t="s">
        <v>2695</v>
      </c>
      <c r="B1702" s="3" t="s">
        <v>897</v>
      </c>
      <c r="C1702" s="3" t="s">
        <v>965</v>
      </c>
      <c r="D1702" s="3" t="s">
        <v>988</v>
      </c>
      <c r="E1702" s="3" t="s">
        <v>47</v>
      </c>
      <c r="F1702" s="3" t="s">
        <v>47</v>
      </c>
      <c r="G1702" s="3" t="str">
        <f>INDEX([1]Risk_Matrix!$B$2:$D$4,MATCH(E1702,[1]Risk_Matrix!$A$2:$A$4,0),MATCH(F1702,[1]Risk_Matrix!$B$1:$D$1,0))</f>
        <v>Low</v>
      </c>
      <c r="H1702" s="10">
        <v>46130</v>
      </c>
      <c r="I1702" s="3" t="s">
        <v>958</v>
      </c>
      <c r="J1702" s="3" t="s">
        <v>959</v>
      </c>
      <c r="K1702" s="3" t="s">
        <v>969</v>
      </c>
      <c r="L1702" s="3">
        <f>IF(G1702="High",3,IF(G1702="Medium",2,1))</f>
        <v>1</v>
      </c>
    </row>
    <row r="1703" spans="1:12">
      <c r="A1703" s="3" t="s">
        <v>2696</v>
      </c>
      <c r="B1703" s="3" t="s">
        <v>897</v>
      </c>
      <c r="C1703" s="3" t="s">
        <v>971</v>
      </c>
      <c r="D1703" s="3" t="s">
        <v>1016</v>
      </c>
      <c r="E1703" s="3" t="s">
        <v>42</v>
      </c>
      <c r="F1703" s="3" t="s">
        <v>47</v>
      </c>
      <c r="G1703" s="3" t="str">
        <f>INDEX([1]Risk_Matrix!$B$2:$D$4,MATCH(E1703,[1]Risk_Matrix!$A$2:$A$4,0),MATCH(F1703,[1]Risk_Matrix!$B$1:$D$1,0))</f>
        <v>Medium</v>
      </c>
      <c r="H1703" s="10">
        <v>46196</v>
      </c>
      <c r="I1703" s="3" t="s">
        <v>981</v>
      </c>
      <c r="J1703" s="3" t="s">
        <v>982</v>
      </c>
      <c r="K1703" s="3" t="s">
        <v>969</v>
      </c>
      <c r="L1703" s="3">
        <f>IF(G1703="High",3,IF(G1703="Medium",2,1))</f>
        <v>2</v>
      </c>
    </row>
    <row r="1704" spans="1:12">
      <c r="A1704" s="3" t="s">
        <v>2697</v>
      </c>
      <c r="B1704" s="3" t="s">
        <v>897</v>
      </c>
      <c r="C1704" s="3" t="s">
        <v>976</v>
      </c>
      <c r="D1704" s="3" t="s">
        <v>991</v>
      </c>
      <c r="E1704" s="3" t="s">
        <v>47</v>
      </c>
      <c r="F1704" s="3" t="s">
        <v>42</v>
      </c>
      <c r="G1704" s="3" t="str">
        <f>INDEX([1]Risk_Matrix!$B$2:$D$4,MATCH(E1704,[1]Risk_Matrix!$A$2:$A$4,0),MATCH(F1704,[1]Risk_Matrix!$B$1:$D$1,0))</f>
        <v>Medium</v>
      </c>
      <c r="H1704" s="10">
        <v>46228</v>
      </c>
      <c r="I1704" s="3" t="s">
        <v>973</v>
      </c>
      <c r="J1704" s="3" t="s">
        <v>974</v>
      </c>
      <c r="K1704" s="3" t="s">
        <v>983</v>
      </c>
      <c r="L1704" s="3">
        <f>IF(G1704="High",3,IF(G1704="Medium",2,1))</f>
        <v>2</v>
      </c>
    </row>
    <row r="1705" spans="1:12">
      <c r="A1705" s="3" t="s">
        <v>2698</v>
      </c>
      <c r="B1705" s="3" t="s">
        <v>897</v>
      </c>
      <c r="C1705" s="3" t="s">
        <v>979</v>
      </c>
      <c r="D1705" s="3" t="s">
        <v>1004</v>
      </c>
      <c r="E1705" s="3" t="s">
        <v>942</v>
      </c>
      <c r="F1705" s="3" t="s">
        <v>47</v>
      </c>
      <c r="G1705" s="3" t="str">
        <f>INDEX([1]Risk_Matrix!$B$2:$D$4,MATCH(E1705,[1]Risk_Matrix!$A$2:$A$4,0),MATCH(F1705,[1]Risk_Matrix!$B$1:$D$1,0))</f>
        <v>Low</v>
      </c>
      <c r="H1705" s="10">
        <v>46187</v>
      </c>
      <c r="I1705" s="3" t="s">
        <v>973</v>
      </c>
      <c r="J1705" s="3" t="s">
        <v>974</v>
      </c>
      <c r="K1705" s="3" t="s">
        <v>983</v>
      </c>
      <c r="L1705" s="3">
        <f>IF(G1705="High",3,IF(G1705="Medium",2,1))</f>
        <v>1</v>
      </c>
    </row>
    <row r="1706" spans="1:12">
      <c r="A1706" s="3" t="s">
        <v>2699</v>
      </c>
      <c r="B1706" s="3" t="s">
        <v>899</v>
      </c>
      <c r="C1706" s="3" t="s">
        <v>956</v>
      </c>
      <c r="D1706" s="3" t="s">
        <v>1012</v>
      </c>
      <c r="E1706" s="3" t="s">
        <v>47</v>
      </c>
      <c r="F1706" s="3" t="s">
        <v>47</v>
      </c>
      <c r="G1706" s="3" t="str">
        <f>INDEX([1]Risk_Matrix!$B$2:$D$4,MATCH(E1706,[1]Risk_Matrix!$A$2:$A$4,0),MATCH(F1706,[1]Risk_Matrix!$B$1:$D$1,0))</f>
        <v>Low</v>
      </c>
      <c r="H1706" s="10">
        <v>46151</v>
      </c>
      <c r="I1706" s="3" t="s">
        <v>973</v>
      </c>
      <c r="J1706" s="3" t="s">
        <v>974</v>
      </c>
      <c r="K1706" s="3" t="s">
        <v>1000</v>
      </c>
      <c r="L1706" s="3">
        <f>IF(G1706="High",3,IF(G1706="Medium",2,1))</f>
        <v>1</v>
      </c>
    </row>
    <row r="1707" spans="1:12">
      <c r="A1707" s="3" t="s">
        <v>2700</v>
      </c>
      <c r="B1707" s="3" t="s">
        <v>899</v>
      </c>
      <c r="C1707" s="3" t="s">
        <v>962</v>
      </c>
      <c r="D1707" s="3" t="s">
        <v>986</v>
      </c>
      <c r="E1707" s="3" t="s">
        <v>47</v>
      </c>
      <c r="F1707" s="3" t="s">
        <v>47</v>
      </c>
      <c r="G1707" s="3" t="str">
        <f>INDEX([1]Risk_Matrix!$B$2:$D$4,MATCH(E1707,[1]Risk_Matrix!$A$2:$A$4,0),MATCH(F1707,[1]Risk_Matrix!$B$1:$D$1,0))</f>
        <v>Low</v>
      </c>
      <c r="H1707" s="10">
        <v>46110</v>
      </c>
      <c r="I1707" s="3" t="s">
        <v>981</v>
      </c>
      <c r="J1707" s="3" t="s">
        <v>982</v>
      </c>
      <c r="K1707" s="3" t="s">
        <v>983</v>
      </c>
      <c r="L1707" s="3">
        <f>IF(G1707="High",3,IF(G1707="Medium",2,1))</f>
        <v>1</v>
      </c>
    </row>
    <row r="1708" spans="1:12">
      <c r="A1708" s="3" t="s">
        <v>2701</v>
      </c>
      <c r="B1708" s="3" t="s">
        <v>899</v>
      </c>
      <c r="C1708" s="3" t="s">
        <v>965</v>
      </c>
      <c r="D1708" s="3" t="s">
        <v>1039</v>
      </c>
      <c r="E1708" s="3" t="s">
        <v>47</v>
      </c>
      <c r="F1708" s="3" t="s">
        <v>942</v>
      </c>
      <c r="G1708" s="3" t="str">
        <f>INDEX([1]Risk_Matrix!$B$2:$D$4,MATCH(E1708,[1]Risk_Matrix!$A$2:$A$4,0),MATCH(F1708,[1]Risk_Matrix!$B$1:$D$1,0))</f>
        <v>Low</v>
      </c>
      <c r="H1708" s="10">
        <v>46109</v>
      </c>
      <c r="I1708" s="3" t="s">
        <v>981</v>
      </c>
      <c r="J1708" s="3" t="s">
        <v>982</v>
      </c>
      <c r="K1708" s="3" t="s">
        <v>969</v>
      </c>
      <c r="L1708" s="3">
        <f>IF(G1708="High",3,IF(G1708="Medium",2,1))</f>
        <v>1</v>
      </c>
    </row>
    <row r="1709" spans="1:12">
      <c r="A1709" s="3" t="s">
        <v>2702</v>
      </c>
      <c r="B1709" s="3" t="s">
        <v>899</v>
      </c>
      <c r="C1709" s="3" t="s">
        <v>971</v>
      </c>
      <c r="D1709" s="3" t="s">
        <v>1016</v>
      </c>
      <c r="E1709" s="3" t="s">
        <v>47</v>
      </c>
      <c r="F1709" s="3" t="s">
        <v>942</v>
      </c>
      <c r="G1709" s="3" t="str">
        <f>INDEX([1]Risk_Matrix!$B$2:$D$4,MATCH(E1709,[1]Risk_Matrix!$A$2:$A$4,0),MATCH(F1709,[1]Risk_Matrix!$B$1:$D$1,0))</f>
        <v>Low</v>
      </c>
      <c r="H1709" s="10">
        <v>46082</v>
      </c>
      <c r="I1709" s="3" t="s">
        <v>967</v>
      </c>
      <c r="J1709" s="3" t="s">
        <v>968</v>
      </c>
      <c r="K1709" s="3" t="s">
        <v>983</v>
      </c>
      <c r="L1709" s="3">
        <f>IF(G1709="High",3,IF(G1709="Medium",2,1))</f>
        <v>1</v>
      </c>
    </row>
    <row r="1710" spans="1:12">
      <c r="A1710" s="3" t="s">
        <v>2703</v>
      </c>
      <c r="B1710" s="3" t="s">
        <v>899</v>
      </c>
      <c r="C1710" s="3" t="s">
        <v>976</v>
      </c>
      <c r="D1710" s="3" t="s">
        <v>991</v>
      </c>
      <c r="E1710" s="3" t="s">
        <v>942</v>
      </c>
      <c r="F1710" s="3" t="s">
        <v>942</v>
      </c>
      <c r="G1710" s="3" t="str">
        <f>INDEX([1]Risk_Matrix!$B$2:$D$4,MATCH(E1710,[1]Risk_Matrix!$A$2:$A$4,0),MATCH(F1710,[1]Risk_Matrix!$B$1:$D$1,0))</f>
        <v>Medium</v>
      </c>
      <c r="H1710" s="10">
        <v>46087</v>
      </c>
      <c r="I1710" s="3" t="s">
        <v>973</v>
      </c>
      <c r="J1710" s="3" t="s">
        <v>974</v>
      </c>
      <c r="K1710" s="3" t="s">
        <v>1000</v>
      </c>
      <c r="L1710" s="3">
        <f>IF(G1710="High",3,IF(G1710="Medium",2,1))</f>
        <v>2</v>
      </c>
    </row>
    <row r="1711" spans="1:12">
      <c r="A1711" s="3" t="s">
        <v>2704</v>
      </c>
      <c r="B1711" s="3" t="s">
        <v>899</v>
      </c>
      <c r="C1711" s="3" t="s">
        <v>979</v>
      </c>
      <c r="D1711" s="3" t="s">
        <v>1028</v>
      </c>
      <c r="E1711" s="3" t="s">
        <v>942</v>
      </c>
      <c r="F1711" s="3" t="s">
        <v>942</v>
      </c>
      <c r="G1711" s="3" t="str">
        <f>INDEX([1]Risk_Matrix!$B$2:$D$4,MATCH(E1711,[1]Risk_Matrix!$A$2:$A$4,0),MATCH(F1711,[1]Risk_Matrix!$B$1:$D$1,0))</f>
        <v>Medium</v>
      </c>
      <c r="H1711" s="10">
        <v>46153</v>
      </c>
      <c r="I1711" s="3" t="s">
        <v>973</v>
      </c>
      <c r="J1711" s="3" t="s">
        <v>974</v>
      </c>
      <c r="K1711" s="3" t="s">
        <v>993</v>
      </c>
      <c r="L1711" s="3">
        <f>IF(G1711="High",3,IF(G1711="Medium",2,1))</f>
        <v>2</v>
      </c>
    </row>
    <row r="1712" spans="1:12">
      <c r="A1712" s="3" t="s">
        <v>2705</v>
      </c>
      <c r="B1712" s="3" t="s">
        <v>900</v>
      </c>
      <c r="C1712" s="3" t="s">
        <v>956</v>
      </c>
      <c r="D1712" s="3" t="s">
        <v>1012</v>
      </c>
      <c r="E1712" s="3" t="s">
        <v>942</v>
      </c>
      <c r="F1712" s="3" t="s">
        <v>42</v>
      </c>
      <c r="G1712" s="3" t="str">
        <f>INDEX([1]Risk_Matrix!$B$2:$D$4,MATCH(E1712,[1]Risk_Matrix!$A$2:$A$4,0),MATCH(F1712,[1]Risk_Matrix!$B$1:$D$1,0))</f>
        <v>High</v>
      </c>
      <c r="H1712" s="10">
        <v>46132</v>
      </c>
      <c r="I1712" s="3" t="s">
        <v>973</v>
      </c>
      <c r="J1712" s="3" t="s">
        <v>974</v>
      </c>
      <c r="K1712" s="3" t="s">
        <v>960</v>
      </c>
      <c r="L1712" s="3">
        <f>IF(G1712="High",3,IF(G1712="Medium",2,1))</f>
        <v>3</v>
      </c>
    </row>
    <row r="1713" spans="1:12">
      <c r="A1713" s="3" t="s">
        <v>2706</v>
      </c>
      <c r="B1713" s="3" t="s">
        <v>900</v>
      </c>
      <c r="C1713" s="3" t="s">
        <v>962</v>
      </c>
      <c r="D1713" s="3" t="s">
        <v>1037</v>
      </c>
      <c r="E1713" s="3" t="s">
        <v>42</v>
      </c>
      <c r="F1713" s="3" t="s">
        <v>942</v>
      </c>
      <c r="G1713" s="3" t="str">
        <f>INDEX([1]Risk_Matrix!$B$2:$D$4,MATCH(E1713,[1]Risk_Matrix!$A$2:$A$4,0),MATCH(F1713,[1]Risk_Matrix!$B$1:$D$1,0))</f>
        <v>High</v>
      </c>
      <c r="H1713" s="10">
        <v>46171</v>
      </c>
      <c r="I1713" s="3" t="s">
        <v>973</v>
      </c>
      <c r="J1713" s="3" t="s">
        <v>974</v>
      </c>
      <c r="K1713" s="3" t="s">
        <v>969</v>
      </c>
      <c r="L1713" s="3">
        <f>IF(G1713="High",3,IF(G1713="Medium",2,1))</f>
        <v>3</v>
      </c>
    </row>
    <row r="1714" spans="1:12">
      <c r="A1714" s="3" t="s">
        <v>2707</v>
      </c>
      <c r="B1714" s="3" t="s">
        <v>900</v>
      </c>
      <c r="C1714" s="3" t="s">
        <v>965</v>
      </c>
      <c r="D1714" s="3" t="s">
        <v>1023</v>
      </c>
      <c r="E1714" s="3" t="s">
        <v>942</v>
      </c>
      <c r="F1714" s="3" t="s">
        <v>942</v>
      </c>
      <c r="G1714" s="3" t="str">
        <f>INDEX([1]Risk_Matrix!$B$2:$D$4,MATCH(E1714,[1]Risk_Matrix!$A$2:$A$4,0),MATCH(F1714,[1]Risk_Matrix!$B$1:$D$1,0))</f>
        <v>Medium</v>
      </c>
      <c r="H1714" s="10">
        <v>46137</v>
      </c>
      <c r="I1714" s="3" t="s">
        <v>967</v>
      </c>
      <c r="J1714" s="3" t="s">
        <v>968</v>
      </c>
      <c r="K1714" s="3" t="s">
        <v>969</v>
      </c>
      <c r="L1714" s="3">
        <f>IF(G1714="High",3,IF(G1714="Medium",2,1))</f>
        <v>2</v>
      </c>
    </row>
    <row r="1715" spans="1:12">
      <c r="A1715" s="3" t="s">
        <v>2708</v>
      </c>
      <c r="B1715" s="3" t="s">
        <v>900</v>
      </c>
      <c r="C1715" s="3" t="s">
        <v>971</v>
      </c>
      <c r="D1715" s="3" t="s">
        <v>972</v>
      </c>
      <c r="E1715" s="3" t="s">
        <v>942</v>
      </c>
      <c r="F1715" s="3" t="s">
        <v>47</v>
      </c>
      <c r="G1715" s="3" t="str">
        <f>INDEX([1]Risk_Matrix!$B$2:$D$4,MATCH(E1715,[1]Risk_Matrix!$A$2:$A$4,0),MATCH(F1715,[1]Risk_Matrix!$B$1:$D$1,0))</f>
        <v>Low</v>
      </c>
      <c r="H1715" s="10">
        <v>46123</v>
      </c>
      <c r="I1715" s="3" t="s">
        <v>958</v>
      </c>
      <c r="J1715" s="3" t="s">
        <v>959</v>
      </c>
      <c r="K1715" s="3" t="s">
        <v>983</v>
      </c>
      <c r="L1715" s="3">
        <f>IF(G1715="High",3,IF(G1715="Medium",2,1))</f>
        <v>1</v>
      </c>
    </row>
    <row r="1716" spans="1:12">
      <c r="A1716" s="3" t="s">
        <v>2709</v>
      </c>
      <c r="B1716" s="3" t="s">
        <v>900</v>
      </c>
      <c r="C1716" s="3" t="s">
        <v>976</v>
      </c>
      <c r="D1716" s="3" t="s">
        <v>991</v>
      </c>
      <c r="E1716" s="3" t="s">
        <v>47</v>
      </c>
      <c r="F1716" s="3" t="s">
        <v>47</v>
      </c>
      <c r="G1716" s="3" t="str">
        <f>INDEX([1]Risk_Matrix!$B$2:$D$4,MATCH(E1716,[1]Risk_Matrix!$A$2:$A$4,0),MATCH(F1716,[1]Risk_Matrix!$B$1:$D$1,0))</f>
        <v>Low</v>
      </c>
      <c r="H1716" s="10">
        <v>46168</v>
      </c>
      <c r="I1716" s="3" t="s">
        <v>973</v>
      </c>
      <c r="J1716" s="3" t="s">
        <v>974</v>
      </c>
      <c r="K1716" s="3" t="s">
        <v>1000</v>
      </c>
      <c r="L1716" s="3">
        <f>IF(G1716="High",3,IF(G1716="Medium",2,1))</f>
        <v>1</v>
      </c>
    </row>
    <row r="1717" spans="1:12">
      <c r="A1717" s="3" t="s">
        <v>2710</v>
      </c>
      <c r="B1717" s="3" t="s">
        <v>900</v>
      </c>
      <c r="C1717" s="3" t="s">
        <v>979</v>
      </c>
      <c r="D1717" s="3" t="s">
        <v>980</v>
      </c>
      <c r="E1717" s="3" t="s">
        <v>42</v>
      </c>
      <c r="F1717" s="3" t="s">
        <v>47</v>
      </c>
      <c r="G1717" s="3" t="str">
        <f>INDEX([1]Risk_Matrix!$B$2:$D$4,MATCH(E1717,[1]Risk_Matrix!$A$2:$A$4,0),MATCH(F1717,[1]Risk_Matrix!$B$1:$D$1,0))</f>
        <v>Medium</v>
      </c>
      <c r="H1717" s="10">
        <v>46075</v>
      </c>
      <c r="I1717" s="3" t="s">
        <v>981</v>
      </c>
      <c r="J1717" s="3" t="s">
        <v>982</v>
      </c>
      <c r="K1717" s="3" t="s">
        <v>969</v>
      </c>
      <c r="L1717" s="3">
        <f>IF(G1717="High",3,IF(G1717="Medium",2,1))</f>
        <v>2</v>
      </c>
    </row>
    <row r="1718" spans="1:12">
      <c r="A1718" s="3" t="s">
        <v>2711</v>
      </c>
      <c r="B1718" s="3" t="s">
        <v>902</v>
      </c>
      <c r="C1718" s="3" t="s">
        <v>956</v>
      </c>
      <c r="D1718" s="3" t="s">
        <v>957</v>
      </c>
      <c r="E1718" s="3" t="s">
        <v>47</v>
      </c>
      <c r="F1718" s="3" t="s">
        <v>942</v>
      </c>
      <c r="G1718" s="3" t="str">
        <f>INDEX([1]Risk_Matrix!$B$2:$D$4,MATCH(E1718,[1]Risk_Matrix!$A$2:$A$4,0),MATCH(F1718,[1]Risk_Matrix!$B$1:$D$1,0))</f>
        <v>Low</v>
      </c>
      <c r="H1718" s="10">
        <v>46097</v>
      </c>
      <c r="I1718" s="3" t="s">
        <v>967</v>
      </c>
      <c r="J1718" s="3" t="s">
        <v>968</v>
      </c>
      <c r="K1718" s="3" t="s">
        <v>969</v>
      </c>
      <c r="L1718" s="3">
        <f>IF(G1718="High",3,IF(G1718="Medium",2,1))</f>
        <v>1</v>
      </c>
    </row>
    <row r="1719" spans="1:12">
      <c r="A1719" s="3" t="s">
        <v>2712</v>
      </c>
      <c r="B1719" s="3" t="s">
        <v>902</v>
      </c>
      <c r="C1719" s="3" t="s">
        <v>962</v>
      </c>
      <c r="D1719" s="3" t="s">
        <v>963</v>
      </c>
      <c r="E1719" s="3" t="s">
        <v>42</v>
      </c>
      <c r="F1719" s="3" t="s">
        <v>42</v>
      </c>
      <c r="G1719" s="3" t="str">
        <f>INDEX([1]Risk_Matrix!$B$2:$D$4,MATCH(E1719,[1]Risk_Matrix!$A$2:$A$4,0),MATCH(F1719,[1]Risk_Matrix!$B$1:$D$1,0))</f>
        <v>High</v>
      </c>
      <c r="H1719" s="10">
        <v>46154</v>
      </c>
      <c r="I1719" s="3" t="s">
        <v>973</v>
      </c>
      <c r="J1719" s="3" t="s">
        <v>974</v>
      </c>
      <c r="K1719" s="3" t="s">
        <v>983</v>
      </c>
      <c r="L1719" s="3">
        <f>IF(G1719="High",3,IF(G1719="Medium",2,1))</f>
        <v>3</v>
      </c>
    </row>
    <row r="1720" spans="1:12">
      <c r="A1720" s="3" t="s">
        <v>2713</v>
      </c>
      <c r="B1720" s="3" t="s">
        <v>902</v>
      </c>
      <c r="C1720" s="3" t="s">
        <v>965</v>
      </c>
      <c r="D1720" s="3" t="s">
        <v>1039</v>
      </c>
      <c r="E1720" s="3" t="s">
        <v>47</v>
      </c>
      <c r="F1720" s="3" t="s">
        <v>47</v>
      </c>
      <c r="G1720" s="3" t="str">
        <f>INDEX([1]Risk_Matrix!$B$2:$D$4,MATCH(E1720,[1]Risk_Matrix!$A$2:$A$4,0),MATCH(F1720,[1]Risk_Matrix!$B$1:$D$1,0))</f>
        <v>Low</v>
      </c>
      <c r="H1720" s="10">
        <v>46176</v>
      </c>
      <c r="I1720" s="3" t="s">
        <v>973</v>
      </c>
      <c r="J1720" s="3" t="s">
        <v>974</v>
      </c>
      <c r="K1720" s="3" t="s">
        <v>960</v>
      </c>
      <c r="L1720" s="3">
        <f>IF(G1720="High",3,IF(G1720="Medium",2,1))</f>
        <v>1</v>
      </c>
    </row>
    <row r="1721" spans="1:12">
      <c r="A1721" s="3" t="s">
        <v>2714</v>
      </c>
      <c r="B1721" s="3" t="s">
        <v>902</v>
      </c>
      <c r="C1721" s="3" t="s">
        <v>971</v>
      </c>
      <c r="D1721" s="3" t="s">
        <v>972</v>
      </c>
      <c r="E1721" s="3" t="s">
        <v>47</v>
      </c>
      <c r="F1721" s="3" t="s">
        <v>42</v>
      </c>
      <c r="G1721" s="3" t="str">
        <f>INDEX([1]Risk_Matrix!$B$2:$D$4,MATCH(E1721,[1]Risk_Matrix!$A$2:$A$4,0),MATCH(F1721,[1]Risk_Matrix!$B$1:$D$1,0))</f>
        <v>Medium</v>
      </c>
      <c r="H1721" s="10">
        <v>46195</v>
      </c>
      <c r="I1721" s="3" t="s">
        <v>967</v>
      </c>
      <c r="J1721" s="3" t="s">
        <v>968</v>
      </c>
      <c r="K1721" s="3" t="s">
        <v>969</v>
      </c>
      <c r="L1721" s="3">
        <f>IF(G1721="High",3,IF(G1721="Medium",2,1))</f>
        <v>2</v>
      </c>
    </row>
    <row r="1722" spans="1:12">
      <c r="A1722" s="3" t="s">
        <v>2715</v>
      </c>
      <c r="B1722" s="3" t="s">
        <v>902</v>
      </c>
      <c r="C1722" s="3" t="s">
        <v>976</v>
      </c>
      <c r="D1722" s="3" t="s">
        <v>1002</v>
      </c>
      <c r="E1722" s="3" t="s">
        <v>47</v>
      </c>
      <c r="F1722" s="3" t="s">
        <v>47</v>
      </c>
      <c r="G1722" s="3" t="str">
        <f>INDEX([1]Risk_Matrix!$B$2:$D$4,MATCH(E1722,[1]Risk_Matrix!$A$2:$A$4,0),MATCH(F1722,[1]Risk_Matrix!$B$1:$D$1,0))</f>
        <v>Low</v>
      </c>
      <c r="H1722" s="10">
        <v>46197</v>
      </c>
      <c r="I1722" s="3" t="s">
        <v>967</v>
      </c>
      <c r="J1722" s="3" t="s">
        <v>968</v>
      </c>
      <c r="K1722" s="3" t="s">
        <v>969</v>
      </c>
      <c r="L1722" s="3">
        <f>IF(G1722="High",3,IF(G1722="Medium",2,1))</f>
        <v>1</v>
      </c>
    </row>
    <row r="1723" spans="1:12">
      <c r="A1723" s="3" t="s">
        <v>2716</v>
      </c>
      <c r="B1723" s="3" t="s">
        <v>902</v>
      </c>
      <c r="C1723" s="3" t="s">
        <v>979</v>
      </c>
      <c r="D1723" s="3" t="s">
        <v>1004</v>
      </c>
      <c r="E1723" s="3" t="s">
        <v>942</v>
      </c>
      <c r="F1723" s="3" t="s">
        <v>47</v>
      </c>
      <c r="G1723" s="3" t="str">
        <f>INDEX([1]Risk_Matrix!$B$2:$D$4,MATCH(E1723,[1]Risk_Matrix!$A$2:$A$4,0),MATCH(F1723,[1]Risk_Matrix!$B$1:$D$1,0))</f>
        <v>Low</v>
      </c>
      <c r="H1723" s="10">
        <v>46061</v>
      </c>
      <c r="I1723" s="3" t="s">
        <v>958</v>
      </c>
      <c r="J1723" s="3" t="s">
        <v>959</v>
      </c>
      <c r="K1723" s="3" t="s">
        <v>1000</v>
      </c>
      <c r="L1723" s="3">
        <f>IF(G1723="High",3,IF(G1723="Medium",2,1))</f>
        <v>1</v>
      </c>
    </row>
    <row r="1724" spans="1:12">
      <c r="A1724" s="3" t="s">
        <v>2717</v>
      </c>
      <c r="B1724" s="3" t="s">
        <v>904</v>
      </c>
      <c r="C1724" s="3" t="s">
        <v>956</v>
      </c>
      <c r="D1724" s="3" t="s">
        <v>957</v>
      </c>
      <c r="E1724" s="3" t="s">
        <v>47</v>
      </c>
      <c r="F1724" s="3" t="s">
        <v>47</v>
      </c>
      <c r="G1724" s="3" t="str">
        <f>INDEX([1]Risk_Matrix!$B$2:$D$4,MATCH(E1724,[1]Risk_Matrix!$A$2:$A$4,0),MATCH(F1724,[1]Risk_Matrix!$B$1:$D$1,0))</f>
        <v>Low</v>
      </c>
      <c r="H1724" s="10">
        <v>46238</v>
      </c>
      <c r="I1724" s="3" t="s">
        <v>973</v>
      </c>
      <c r="J1724" s="3" t="s">
        <v>974</v>
      </c>
      <c r="K1724" s="3" t="s">
        <v>983</v>
      </c>
      <c r="L1724" s="3">
        <f>IF(G1724="High",3,IF(G1724="Medium",2,1))</f>
        <v>1</v>
      </c>
    </row>
    <row r="1725" spans="1:12">
      <c r="A1725" s="3" t="s">
        <v>2718</v>
      </c>
      <c r="B1725" s="3" t="s">
        <v>904</v>
      </c>
      <c r="C1725" s="3" t="s">
        <v>962</v>
      </c>
      <c r="D1725" s="3" t="s">
        <v>963</v>
      </c>
      <c r="E1725" s="3" t="s">
        <v>942</v>
      </c>
      <c r="F1725" s="3" t="s">
        <v>942</v>
      </c>
      <c r="G1725" s="3" t="str">
        <f>INDEX([1]Risk_Matrix!$B$2:$D$4,MATCH(E1725,[1]Risk_Matrix!$A$2:$A$4,0),MATCH(F1725,[1]Risk_Matrix!$B$1:$D$1,0))</f>
        <v>Medium</v>
      </c>
      <c r="H1725" s="10">
        <v>46193</v>
      </c>
      <c r="I1725" s="3" t="s">
        <v>981</v>
      </c>
      <c r="J1725" s="3" t="s">
        <v>982</v>
      </c>
      <c r="K1725" s="3" t="s">
        <v>993</v>
      </c>
      <c r="L1725" s="3">
        <f>IF(G1725="High",3,IF(G1725="Medium",2,1))</f>
        <v>2</v>
      </c>
    </row>
    <row r="1726" spans="1:12">
      <c r="A1726" s="3" t="s">
        <v>2719</v>
      </c>
      <c r="B1726" s="3" t="s">
        <v>904</v>
      </c>
      <c r="C1726" s="3" t="s">
        <v>965</v>
      </c>
      <c r="D1726" s="3" t="s">
        <v>988</v>
      </c>
      <c r="E1726" s="3" t="s">
        <v>47</v>
      </c>
      <c r="F1726" s="3" t="s">
        <v>942</v>
      </c>
      <c r="G1726" s="3" t="str">
        <f>INDEX([1]Risk_Matrix!$B$2:$D$4,MATCH(E1726,[1]Risk_Matrix!$A$2:$A$4,0),MATCH(F1726,[1]Risk_Matrix!$B$1:$D$1,0))</f>
        <v>Low</v>
      </c>
      <c r="H1726" s="10">
        <v>46102</v>
      </c>
      <c r="I1726" s="3" t="s">
        <v>981</v>
      </c>
      <c r="J1726" s="3" t="s">
        <v>982</v>
      </c>
      <c r="K1726" s="3" t="s">
        <v>960</v>
      </c>
      <c r="L1726" s="3">
        <f>IF(G1726="High",3,IF(G1726="Medium",2,1))</f>
        <v>1</v>
      </c>
    </row>
    <row r="1727" spans="1:12">
      <c r="A1727" s="3" t="s">
        <v>2720</v>
      </c>
      <c r="B1727" s="3" t="s">
        <v>904</v>
      </c>
      <c r="C1727" s="3" t="s">
        <v>971</v>
      </c>
      <c r="D1727" s="3" t="s">
        <v>1016</v>
      </c>
      <c r="E1727" s="3" t="s">
        <v>47</v>
      </c>
      <c r="F1727" s="3" t="s">
        <v>942</v>
      </c>
      <c r="G1727" s="3" t="str">
        <f>INDEX([1]Risk_Matrix!$B$2:$D$4,MATCH(E1727,[1]Risk_Matrix!$A$2:$A$4,0),MATCH(F1727,[1]Risk_Matrix!$B$1:$D$1,0))</f>
        <v>Low</v>
      </c>
      <c r="H1727" s="10">
        <v>46217</v>
      </c>
      <c r="I1727" s="3" t="s">
        <v>973</v>
      </c>
      <c r="J1727" s="3" t="s">
        <v>974</v>
      </c>
      <c r="K1727" s="3" t="s">
        <v>969</v>
      </c>
      <c r="L1727" s="3">
        <f>IF(G1727="High",3,IF(G1727="Medium",2,1))</f>
        <v>1</v>
      </c>
    </row>
    <row r="1728" spans="1:12">
      <c r="A1728" s="3" t="s">
        <v>2721</v>
      </c>
      <c r="B1728" s="3" t="s">
        <v>904</v>
      </c>
      <c r="C1728" s="3" t="s">
        <v>976</v>
      </c>
      <c r="D1728" s="3" t="s">
        <v>977</v>
      </c>
      <c r="E1728" s="3" t="s">
        <v>47</v>
      </c>
      <c r="F1728" s="3" t="s">
        <v>47</v>
      </c>
      <c r="G1728" s="3" t="str">
        <f>INDEX([1]Risk_Matrix!$B$2:$D$4,MATCH(E1728,[1]Risk_Matrix!$A$2:$A$4,0),MATCH(F1728,[1]Risk_Matrix!$B$1:$D$1,0))</f>
        <v>Low</v>
      </c>
      <c r="H1728" s="10">
        <v>46174</v>
      </c>
      <c r="I1728" s="3" t="s">
        <v>973</v>
      </c>
      <c r="J1728" s="3" t="s">
        <v>974</v>
      </c>
      <c r="K1728" s="3" t="s">
        <v>993</v>
      </c>
      <c r="L1728" s="3">
        <f>IF(G1728="High",3,IF(G1728="Medium",2,1))</f>
        <v>1</v>
      </c>
    </row>
    <row r="1729" spans="1:12">
      <c r="A1729" s="3" t="s">
        <v>2722</v>
      </c>
      <c r="B1729" s="3" t="s">
        <v>904</v>
      </c>
      <c r="C1729" s="3" t="s">
        <v>979</v>
      </c>
      <c r="D1729" s="3" t="s">
        <v>980</v>
      </c>
      <c r="E1729" s="3" t="s">
        <v>942</v>
      </c>
      <c r="F1729" s="3" t="s">
        <v>942</v>
      </c>
      <c r="G1729" s="3" t="str">
        <f>INDEX([1]Risk_Matrix!$B$2:$D$4,MATCH(E1729,[1]Risk_Matrix!$A$2:$A$4,0),MATCH(F1729,[1]Risk_Matrix!$B$1:$D$1,0))</f>
        <v>Medium</v>
      </c>
      <c r="H1729" s="10">
        <v>46222</v>
      </c>
      <c r="I1729" s="3" t="s">
        <v>973</v>
      </c>
      <c r="J1729" s="3" t="s">
        <v>974</v>
      </c>
      <c r="K1729" s="3" t="s">
        <v>983</v>
      </c>
      <c r="L1729" s="3">
        <f>IF(G1729="High",3,IF(G1729="Medium",2,1))</f>
        <v>2</v>
      </c>
    </row>
    <row r="1730" spans="1:12">
      <c r="A1730" s="3" t="s">
        <v>2723</v>
      </c>
      <c r="B1730" s="3" t="s">
        <v>906</v>
      </c>
      <c r="C1730" s="3" t="s">
        <v>956</v>
      </c>
      <c r="D1730" s="3" t="s">
        <v>1020</v>
      </c>
      <c r="E1730" s="3" t="s">
        <v>47</v>
      </c>
      <c r="F1730" s="3" t="s">
        <v>942</v>
      </c>
      <c r="G1730" s="3" t="str">
        <f>INDEX([1]Risk_Matrix!$B$2:$D$4,MATCH(E1730,[1]Risk_Matrix!$A$2:$A$4,0),MATCH(F1730,[1]Risk_Matrix!$B$1:$D$1,0))</f>
        <v>Low</v>
      </c>
      <c r="H1730" s="10">
        <v>46189</v>
      </c>
      <c r="I1730" s="3" t="s">
        <v>967</v>
      </c>
      <c r="J1730" s="3" t="s">
        <v>968</v>
      </c>
      <c r="K1730" s="3" t="s">
        <v>960</v>
      </c>
      <c r="L1730" s="3">
        <f>IF(G1730="High",3,IF(G1730="Medium",2,1))</f>
        <v>1</v>
      </c>
    </row>
    <row r="1731" spans="1:12">
      <c r="A1731" s="3" t="s">
        <v>2724</v>
      </c>
      <c r="B1731" s="3" t="s">
        <v>906</v>
      </c>
      <c r="C1731" s="3" t="s">
        <v>962</v>
      </c>
      <c r="D1731" s="3" t="s">
        <v>986</v>
      </c>
      <c r="E1731" s="3" t="s">
        <v>47</v>
      </c>
      <c r="F1731" s="3" t="s">
        <v>42</v>
      </c>
      <c r="G1731" s="3" t="str">
        <f>INDEX([1]Risk_Matrix!$B$2:$D$4,MATCH(E1731,[1]Risk_Matrix!$A$2:$A$4,0),MATCH(F1731,[1]Risk_Matrix!$B$1:$D$1,0))</f>
        <v>Medium</v>
      </c>
      <c r="H1731" s="10">
        <v>46128</v>
      </c>
      <c r="I1731" s="3" t="s">
        <v>981</v>
      </c>
      <c r="J1731" s="3" t="s">
        <v>982</v>
      </c>
      <c r="K1731" s="3" t="s">
        <v>993</v>
      </c>
      <c r="L1731" s="3">
        <f>IF(G1731="High",3,IF(G1731="Medium",2,1))</f>
        <v>2</v>
      </c>
    </row>
    <row r="1732" spans="1:12">
      <c r="A1732" s="3" t="s">
        <v>2725</v>
      </c>
      <c r="B1732" s="3" t="s">
        <v>906</v>
      </c>
      <c r="C1732" s="3" t="s">
        <v>965</v>
      </c>
      <c r="D1732" s="3" t="s">
        <v>988</v>
      </c>
      <c r="E1732" s="3" t="s">
        <v>47</v>
      </c>
      <c r="F1732" s="3" t="s">
        <v>47</v>
      </c>
      <c r="G1732" s="3" t="str">
        <f>INDEX([1]Risk_Matrix!$B$2:$D$4,MATCH(E1732,[1]Risk_Matrix!$A$2:$A$4,0),MATCH(F1732,[1]Risk_Matrix!$B$1:$D$1,0))</f>
        <v>Low</v>
      </c>
      <c r="H1732" s="10">
        <v>46088</v>
      </c>
      <c r="I1732" s="3" t="s">
        <v>967</v>
      </c>
      <c r="J1732" s="3" t="s">
        <v>968</v>
      </c>
      <c r="K1732" s="3" t="s">
        <v>993</v>
      </c>
      <c r="L1732" s="3">
        <f>IF(G1732="High",3,IF(G1732="Medium",2,1))</f>
        <v>1</v>
      </c>
    </row>
    <row r="1733" spans="1:12">
      <c r="A1733" s="3" t="s">
        <v>2726</v>
      </c>
      <c r="B1733" s="3" t="s">
        <v>906</v>
      </c>
      <c r="C1733" s="3" t="s">
        <v>971</v>
      </c>
      <c r="D1733" s="3" t="s">
        <v>1016</v>
      </c>
      <c r="E1733" s="3" t="s">
        <v>47</v>
      </c>
      <c r="F1733" s="3" t="s">
        <v>942</v>
      </c>
      <c r="G1733" s="3" t="str">
        <f>INDEX([1]Risk_Matrix!$B$2:$D$4,MATCH(E1733,[1]Risk_Matrix!$A$2:$A$4,0),MATCH(F1733,[1]Risk_Matrix!$B$1:$D$1,0))</f>
        <v>Low</v>
      </c>
      <c r="H1733" s="10">
        <v>46112</v>
      </c>
      <c r="I1733" s="3" t="s">
        <v>981</v>
      </c>
      <c r="J1733" s="3" t="s">
        <v>982</v>
      </c>
      <c r="K1733" s="3" t="s">
        <v>1000</v>
      </c>
      <c r="L1733" s="3">
        <f>IF(G1733="High",3,IF(G1733="Medium",2,1))</f>
        <v>1</v>
      </c>
    </row>
    <row r="1734" spans="1:12">
      <c r="A1734" s="3" t="s">
        <v>2727</v>
      </c>
      <c r="B1734" s="3" t="s">
        <v>906</v>
      </c>
      <c r="C1734" s="3" t="s">
        <v>976</v>
      </c>
      <c r="D1734" s="3" t="s">
        <v>991</v>
      </c>
      <c r="E1734" s="3" t="s">
        <v>47</v>
      </c>
      <c r="F1734" s="3" t="s">
        <v>942</v>
      </c>
      <c r="G1734" s="3" t="str">
        <f>INDEX([1]Risk_Matrix!$B$2:$D$4,MATCH(E1734,[1]Risk_Matrix!$A$2:$A$4,0),MATCH(F1734,[1]Risk_Matrix!$B$1:$D$1,0))</f>
        <v>Low</v>
      </c>
      <c r="H1734" s="10">
        <v>46228</v>
      </c>
      <c r="I1734" s="3" t="s">
        <v>973</v>
      </c>
      <c r="J1734" s="3" t="s">
        <v>974</v>
      </c>
      <c r="K1734" s="3" t="s">
        <v>993</v>
      </c>
      <c r="L1734" s="3">
        <f>IF(G1734="High",3,IF(G1734="Medium",2,1))</f>
        <v>1</v>
      </c>
    </row>
    <row r="1735" spans="1:12">
      <c r="A1735" s="3" t="s">
        <v>2728</v>
      </c>
      <c r="B1735" s="3" t="s">
        <v>906</v>
      </c>
      <c r="C1735" s="3" t="s">
        <v>979</v>
      </c>
      <c r="D1735" s="3" t="s">
        <v>1028</v>
      </c>
      <c r="E1735" s="3" t="s">
        <v>47</v>
      </c>
      <c r="F1735" s="3" t="s">
        <v>942</v>
      </c>
      <c r="G1735" s="3" t="str">
        <f>INDEX([1]Risk_Matrix!$B$2:$D$4,MATCH(E1735,[1]Risk_Matrix!$A$2:$A$4,0),MATCH(F1735,[1]Risk_Matrix!$B$1:$D$1,0))</f>
        <v>Low</v>
      </c>
      <c r="H1735" s="10">
        <v>46068</v>
      </c>
      <c r="I1735" s="3" t="s">
        <v>973</v>
      </c>
      <c r="J1735" s="3" t="s">
        <v>974</v>
      </c>
      <c r="K1735" s="3" t="s">
        <v>969</v>
      </c>
      <c r="L1735" s="3">
        <f>IF(G1735="High",3,IF(G1735="Medium",2,1))</f>
        <v>1</v>
      </c>
    </row>
    <row r="1736" spans="1:12">
      <c r="A1736" s="3" t="s">
        <v>2729</v>
      </c>
      <c r="B1736" s="3" t="s">
        <v>909</v>
      </c>
      <c r="C1736" s="3" t="s">
        <v>956</v>
      </c>
      <c r="D1736" s="3" t="s">
        <v>995</v>
      </c>
      <c r="E1736" s="3" t="s">
        <v>47</v>
      </c>
      <c r="F1736" s="3" t="s">
        <v>942</v>
      </c>
      <c r="G1736" s="3" t="str">
        <f>INDEX([1]Risk_Matrix!$B$2:$D$4,MATCH(E1736,[1]Risk_Matrix!$A$2:$A$4,0),MATCH(F1736,[1]Risk_Matrix!$B$1:$D$1,0))</f>
        <v>Low</v>
      </c>
      <c r="H1736" s="10">
        <v>46120</v>
      </c>
      <c r="I1736" s="3" t="s">
        <v>958</v>
      </c>
      <c r="J1736" s="3" t="s">
        <v>959</v>
      </c>
      <c r="K1736" s="3" t="s">
        <v>993</v>
      </c>
      <c r="L1736" s="3">
        <f>IF(G1736="High",3,IF(G1736="Medium",2,1))</f>
        <v>1</v>
      </c>
    </row>
    <row r="1737" spans="1:12">
      <c r="A1737" s="3" t="s">
        <v>2730</v>
      </c>
      <c r="B1737" s="3" t="s">
        <v>909</v>
      </c>
      <c r="C1737" s="3" t="s">
        <v>962</v>
      </c>
      <c r="D1737" s="3" t="s">
        <v>1037</v>
      </c>
      <c r="E1737" s="3" t="s">
        <v>942</v>
      </c>
      <c r="F1737" s="3" t="s">
        <v>942</v>
      </c>
      <c r="G1737" s="3" t="str">
        <f>INDEX([1]Risk_Matrix!$B$2:$D$4,MATCH(E1737,[1]Risk_Matrix!$A$2:$A$4,0),MATCH(F1737,[1]Risk_Matrix!$B$1:$D$1,0))</f>
        <v>Medium</v>
      </c>
      <c r="H1737" s="10">
        <v>46209</v>
      </c>
      <c r="I1737" s="3" t="s">
        <v>967</v>
      </c>
      <c r="J1737" s="3" t="s">
        <v>968</v>
      </c>
      <c r="K1737" s="3" t="s">
        <v>1000</v>
      </c>
      <c r="L1737" s="3">
        <f>IF(G1737="High",3,IF(G1737="Medium",2,1))</f>
        <v>2</v>
      </c>
    </row>
    <row r="1738" spans="1:12">
      <c r="A1738" s="3" t="s">
        <v>2731</v>
      </c>
      <c r="B1738" s="3" t="s">
        <v>909</v>
      </c>
      <c r="C1738" s="3" t="s">
        <v>965</v>
      </c>
      <c r="D1738" s="3" t="s">
        <v>1039</v>
      </c>
      <c r="E1738" s="3" t="s">
        <v>47</v>
      </c>
      <c r="F1738" s="3" t="s">
        <v>942</v>
      </c>
      <c r="G1738" s="3" t="str">
        <f>INDEX([1]Risk_Matrix!$B$2:$D$4,MATCH(E1738,[1]Risk_Matrix!$A$2:$A$4,0),MATCH(F1738,[1]Risk_Matrix!$B$1:$D$1,0))</f>
        <v>Low</v>
      </c>
      <c r="H1738" s="10">
        <v>46151</v>
      </c>
      <c r="I1738" s="3" t="s">
        <v>967</v>
      </c>
      <c r="J1738" s="3" t="s">
        <v>968</v>
      </c>
      <c r="K1738" s="3" t="s">
        <v>993</v>
      </c>
      <c r="L1738" s="3">
        <f>IF(G1738="High",3,IF(G1738="Medium",2,1))</f>
        <v>1</v>
      </c>
    </row>
    <row r="1739" spans="1:12">
      <c r="A1739" s="3" t="s">
        <v>2732</v>
      </c>
      <c r="B1739" s="3" t="s">
        <v>909</v>
      </c>
      <c r="C1739" s="3" t="s">
        <v>971</v>
      </c>
      <c r="D1739" s="3" t="s">
        <v>1016</v>
      </c>
      <c r="E1739" s="3" t="s">
        <v>942</v>
      </c>
      <c r="F1739" s="3" t="s">
        <v>942</v>
      </c>
      <c r="G1739" s="3" t="str">
        <f>INDEX([1]Risk_Matrix!$B$2:$D$4,MATCH(E1739,[1]Risk_Matrix!$A$2:$A$4,0),MATCH(F1739,[1]Risk_Matrix!$B$1:$D$1,0))</f>
        <v>Medium</v>
      </c>
      <c r="H1739" s="10">
        <v>46176</v>
      </c>
      <c r="I1739" s="3" t="s">
        <v>967</v>
      </c>
      <c r="J1739" s="3" t="s">
        <v>968</v>
      </c>
      <c r="K1739" s="3" t="s">
        <v>969</v>
      </c>
      <c r="L1739" s="3">
        <f>IF(G1739="High",3,IF(G1739="Medium",2,1))</f>
        <v>2</v>
      </c>
    </row>
    <row r="1740" spans="1:12">
      <c r="A1740" s="3" t="s">
        <v>2733</v>
      </c>
      <c r="B1740" s="3" t="s">
        <v>909</v>
      </c>
      <c r="C1740" s="3" t="s">
        <v>976</v>
      </c>
      <c r="D1740" s="3" t="s">
        <v>1002</v>
      </c>
      <c r="E1740" s="3" t="s">
        <v>942</v>
      </c>
      <c r="F1740" s="3" t="s">
        <v>47</v>
      </c>
      <c r="G1740" s="3" t="str">
        <f>INDEX([1]Risk_Matrix!$B$2:$D$4,MATCH(E1740,[1]Risk_Matrix!$A$2:$A$4,0),MATCH(F1740,[1]Risk_Matrix!$B$1:$D$1,0))</f>
        <v>Low</v>
      </c>
      <c r="H1740" s="10">
        <v>46224</v>
      </c>
      <c r="I1740" s="3" t="s">
        <v>981</v>
      </c>
      <c r="J1740" s="3" t="s">
        <v>982</v>
      </c>
      <c r="K1740" s="3" t="s">
        <v>969</v>
      </c>
      <c r="L1740" s="3">
        <f>IF(G1740="High",3,IF(G1740="Medium",2,1))</f>
        <v>1</v>
      </c>
    </row>
    <row r="1741" spans="1:12">
      <c r="A1741" s="3" t="s">
        <v>2734</v>
      </c>
      <c r="B1741" s="3" t="s">
        <v>909</v>
      </c>
      <c r="C1741" s="3" t="s">
        <v>979</v>
      </c>
      <c r="D1741" s="3" t="s">
        <v>980</v>
      </c>
      <c r="E1741" s="3" t="s">
        <v>42</v>
      </c>
      <c r="F1741" s="3" t="s">
        <v>47</v>
      </c>
      <c r="G1741" s="3" t="str">
        <f>INDEX([1]Risk_Matrix!$B$2:$D$4,MATCH(E1741,[1]Risk_Matrix!$A$2:$A$4,0),MATCH(F1741,[1]Risk_Matrix!$B$1:$D$1,0))</f>
        <v>Medium</v>
      </c>
      <c r="H1741" s="10">
        <v>46141</v>
      </c>
      <c r="I1741" s="3" t="s">
        <v>973</v>
      </c>
      <c r="J1741" s="3" t="s">
        <v>974</v>
      </c>
      <c r="K1741" s="3" t="s">
        <v>983</v>
      </c>
      <c r="L1741" s="3">
        <f>IF(G1741="High",3,IF(G1741="Medium",2,1))</f>
        <v>2</v>
      </c>
    </row>
    <row r="1742" spans="1:12">
      <c r="A1742" s="3" t="s">
        <v>2735</v>
      </c>
      <c r="B1742" s="3" t="s">
        <v>911</v>
      </c>
      <c r="C1742" s="3" t="s">
        <v>956</v>
      </c>
      <c r="D1742" s="3" t="s">
        <v>995</v>
      </c>
      <c r="E1742" s="3" t="s">
        <v>47</v>
      </c>
      <c r="F1742" s="3" t="s">
        <v>47</v>
      </c>
      <c r="G1742" s="3" t="str">
        <f>INDEX([1]Risk_Matrix!$B$2:$D$4,MATCH(E1742,[1]Risk_Matrix!$A$2:$A$4,0),MATCH(F1742,[1]Risk_Matrix!$B$1:$D$1,0))</f>
        <v>Low</v>
      </c>
      <c r="H1742" s="10">
        <v>46103</v>
      </c>
      <c r="I1742" s="3" t="s">
        <v>973</v>
      </c>
      <c r="J1742" s="3" t="s">
        <v>974</v>
      </c>
      <c r="K1742" s="3" t="s">
        <v>969</v>
      </c>
      <c r="L1742" s="3">
        <f>IF(G1742="High",3,IF(G1742="Medium",2,1))</f>
        <v>1</v>
      </c>
    </row>
    <row r="1743" spans="1:12">
      <c r="A1743" s="3" t="s">
        <v>2736</v>
      </c>
      <c r="B1743" s="3" t="s">
        <v>911</v>
      </c>
      <c r="C1743" s="3" t="s">
        <v>962</v>
      </c>
      <c r="D1743" s="3" t="s">
        <v>963</v>
      </c>
      <c r="E1743" s="3" t="s">
        <v>47</v>
      </c>
      <c r="F1743" s="3" t="s">
        <v>942</v>
      </c>
      <c r="G1743" s="3" t="str">
        <f>INDEX([1]Risk_Matrix!$B$2:$D$4,MATCH(E1743,[1]Risk_Matrix!$A$2:$A$4,0),MATCH(F1743,[1]Risk_Matrix!$B$1:$D$1,0))</f>
        <v>Low</v>
      </c>
      <c r="H1743" s="10">
        <v>46232</v>
      </c>
      <c r="I1743" s="3" t="s">
        <v>967</v>
      </c>
      <c r="J1743" s="3" t="s">
        <v>968</v>
      </c>
      <c r="K1743" s="3" t="s">
        <v>969</v>
      </c>
      <c r="L1743" s="3">
        <f>IF(G1743="High",3,IF(G1743="Medium",2,1))</f>
        <v>1</v>
      </c>
    </row>
    <row r="1744" spans="1:12">
      <c r="A1744" s="3" t="s">
        <v>2737</v>
      </c>
      <c r="B1744" s="3" t="s">
        <v>911</v>
      </c>
      <c r="C1744" s="3" t="s">
        <v>965</v>
      </c>
      <c r="D1744" s="3" t="s">
        <v>966</v>
      </c>
      <c r="E1744" s="3" t="s">
        <v>47</v>
      </c>
      <c r="F1744" s="3" t="s">
        <v>47</v>
      </c>
      <c r="G1744" s="3" t="str">
        <f>INDEX([1]Risk_Matrix!$B$2:$D$4,MATCH(E1744,[1]Risk_Matrix!$A$2:$A$4,0),MATCH(F1744,[1]Risk_Matrix!$B$1:$D$1,0))</f>
        <v>Low</v>
      </c>
      <c r="H1744" s="10">
        <v>46104</v>
      </c>
      <c r="I1744" s="3" t="s">
        <v>973</v>
      </c>
      <c r="J1744" s="3" t="s">
        <v>974</v>
      </c>
      <c r="K1744" s="3" t="s">
        <v>1000</v>
      </c>
      <c r="L1744" s="3">
        <f>IF(G1744="High",3,IF(G1744="Medium",2,1))</f>
        <v>1</v>
      </c>
    </row>
    <row r="1745" spans="1:12">
      <c r="A1745" s="3" t="s">
        <v>2738</v>
      </c>
      <c r="B1745" s="3" t="s">
        <v>911</v>
      </c>
      <c r="C1745" s="3" t="s">
        <v>971</v>
      </c>
      <c r="D1745" s="3" t="s">
        <v>1016</v>
      </c>
      <c r="E1745" s="3" t="s">
        <v>42</v>
      </c>
      <c r="F1745" s="3" t="s">
        <v>47</v>
      </c>
      <c r="G1745" s="3" t="str">
        <f>INDEX([1]Risk_Matrix!$B$2:$D$4,MATCH(E1745,[1]Risk_Matrix!$A$2:$A$4,0),MATCH(F1745,[1]Risk_Matrix!$B$1:$D$1,0))</f>
        <v>Medium</v>
      </c>
      <c r="H1745" s="10">
        <v>46171</v>
      </c>
      <c r="I1745" s="3" t="s">
        <v>973</v>
      </c>
      <c r="J1745" s="3" t="s">
        <v>974</v>
      </c>
      <c r="K1745" s="3" t="s">
        <v>969</v>
      </c>
      <c r="L1745" s="3">
        <f>IF(G1745="High",3,IF(G1745="Medium",2,1))</f>
        <v>2</v>
      </c>
    </row>
    <row r="1746" spans="1:12">
      <c r="A1746" s="3" t="s">
        <v>2739</v>
      </c>
      <c r="B1746" s="3" t="s">
        <v>911</v>
      </c>
      <c r="C1746" s="3" t="s">
        <v>976</v>
      </c>
      <c r="D1746" s="3" t="s">
        <v>991</v>
      </c>
      <c r="E1746" s="3" t="s">
        <v>42</v>
      </c>
      <c r="F1746" s="3" t="s">
        <v>47</v>
      </c>
      <c r="G1746" s="3" t="str">
        <f>INDEX([1]Risk_Matrix!$B$2:$D$4,MATCH(E1746,[1]Risk_Matrix!$A$2:$A$4,0),MATCH(F1746,[1]Risk_Matrix!$B$1:$D$1,0))</f>
        <v>Medium</v>
      </c>
      <c r="H1746" s="10">
        <v>46218</v>
      </c>
      <c r="I1746" s="3" t="s">
        <v>973</v>
      </c>
      <c r="J1746" s="3" t="s">
        <v>974</v>
      </c>
      <c r="K1746" s="3" t="s">
        <v>983</v>
      </c>
      <c r="L1746" s="3">
        <f>IF(G1746="High",3,IF(G1746="Medium",2,1))</f>
        <v>2</v>
      </c>
    </row>
    <row r="1747" spans="1:12">
      <c r="A1747" s="3" t="s">
        <v>2740</v>
      </c>
      <c r="B1747" s="3" t="s">
        <v>911</v>
      </c>
      <c r="C1747" s="3" t="s">
        <v>979</v>
      </c>
      <c r="D1747" s="3" t="s">
        <v>1004</v>
      </c>
      <c r="E1747" s="3" t="s">
        <v>47</v>
      </c>
      <c r="F1747" s="3" t="s">
        <v>942</v>
      </c>
      <c r="G1747" s="3" t="str">
        <f>INDEX([1]Risk_Matrix!$B$2:$D$4,MATCH(E1747,[1]Risk_Matrix!$A$2:$A$4,0),MATCH(F1747,[1]Risk_Matrix!$B$1:$D$1,0))</f>
        <v>Low</v>
      </c>
      <c r="H1747" s="10">
        <v>46100</v>
      </c>
      <c r="I1747" s="3" t="s">
        <v>967</v>
      </c>
      <c r="J1747" s="3" t="s">
        <v>968</v>
      </c>
      <c r="K1747" s="3" t="s">
        <v>993</v>
      </c>
      <c r="L1747" s="3">
        <f>IF(G1747="High",3,IF(G1747="Medium",2,1))</f>
        <v>1</v>
      </c>
    </row>
    <row r="1748" spans="1:12">
      <c r="A1748" s="3" t="s">
        <v>2741</v>
      </c>
      <c r="B1748" s="3" t="s">
        <v>913</v>
      </c>
      <c r="C1748" s="3" t="s">
        <v>956</v>
      </c>
      <c r="D1748" s="3" t="s">
        <v>995</v>
      </c>
      <c r="E1748" s="3" t="s">
        <v>42</v>
      </c>
      <c r="F1748" s="3" t="s">
        <v>942</v>
      </c>
      <c r="G1748" s="3" t="str">
        <f>INDEX([1]Risk_Matrix!$B$2:$D$4,MATCH(E1748,[1]Risk_Matrix!$A$2:$A$4,0),MATCH(F1748,[1]Risk_Matrix!$B$1:$D$1,0))</f>
        <v>High</v>
      </c>
      <c r="H1748" s="10">
        <v>46135</v>
      </c>
      <c r="I1748" s="3" t="s">
        <v>973</v>
      </c>
      <c r="J1748" s="3" t="s">
        <v>974</v>
      </c>
      <c r="K1748" s="3" t="s">
        <v>993</v>
      </c>
      <c r="L1748" s="3">
        <f>IF(G1748="High",3,IF(G1748="Medium",2,1))</f>
        <v>3</v>
      </c>
    </row>
    <row r="1749" spans="1:12">
      <c r="A1749" s="3" t="s">
        <v>2742</v>
      </c>
      <c r="B1749" s="3" t="s">
        <v>913</v>
      </c>
      <c r="C1749" s="3" t="s">
        <v>962</v>
      </c>
      <c r="D1749" s="3" t="s">
        <v>986</v>
      </c>
      <c r="E1749" s="3" t="s">
        <v>42</v>
      </c>
      <c r="F1749" s="3" t="s">
        <v>47</v>
      </c>
      <c r="G1749" s="3" t="str">
        <f>INDEX([1]Risk_Matrix!$B$2:$D$4,MATCH(E1749,[1]Risk_Matrix!$A$2:$A$4,0),MATCH(F1749,[1]Risk_Matrix!$B$1:$D$1,0))</f>
        <v>Medium</v>
      </c>
      <c r="H1749" s="10">
        <v>46170</v>
      </c>
      <c r="I1749" s="3" t="s">
        <v>967</v>
      </c>
      <c r="J1749" s="3" t="s">
        <v>968</v>
      </c>
      <c r="K1749" s="3" t="s">
        <v>993</v>
      </c>
      <c r="L1749" s="3">
        <f>IF(G1749="High",3,IF(G1749="Medium",2,1))</f>
        <v>2</v>
      </c>
    </row>
    <row r="1750" spans="1:12">
      <c r="A1750" s="3" t="s">
        <v>2743</v>
      </c>
      <c r="B1750" s="3" t="s">
        <v>913</v>
      </c>
      <c r="C1750" s="3" t="s">
        <v>965</v>
      </c>
      <c r="D1750" s="3" t="s">
        <v>1039</v>
      </c>
      <c r="E1750" s="3" t="s">
        <v>47</v>
      </c>
      <c r="F1750" s="3" t="s">
        <v>42</v>
      </c>
      <c r="G1750" s="3" t="str">
        <f>INDEX([1]Risk_Matrix!$B$2:$D$4,MATCH(E1750,[1]Risk_Matrix!$A$2:$A$4,0),MATCH(F1750,[1]Risk_Matrix!$B$1:$D$1,0))</f>
        <v>Medium</v>
      </c>
      <c r="H1750" s="10">
        <v>46211</v>
      </c>
      <c r="I1750" s="3" t="s">
        <v>967</v>
      </c>
      <c r="J1750" s="3" t="s">
        <v>968</v>
      </c>
      <c r="K1750" s="3" t="s">
        <v>960</v>
      </c>
      <c r="L1750" s="3">
        <f>IF(G1750="High",3,IF(G1750="Medium",2,1))</f>
        <v>2</v>
      </c>
    </row>
    <row r="1751" spans="1:12">
      <c r="A1751" s="3" t="s">
        <v>2744</v>
      </c>
      <c r="B1751" s="3" t="s">
        <v>913</v>
      </c>
      <c r="C1751" s="3" t="s">
        <v>971</v>
      </c>
      <c r="D1751" s="3" t="s">
        <v>972</v>
      </c>
      <c r="E1751" s="3" t="s">
        <v>47</v>
      </c>
      <c r="F1751" s="3" t="s">
        <v>47</v>
      </c>
      <c r="G1751" s="3" t="str">
        <f>INDEX([1]Risk_Matrix!$B$2:$D$4,MATCH(E1751,[1]Risk_Matrix!$A$2:$A$4,0),MATCH(F1751,[1]Risk_Matrix!$B$1:$D$1,0))</f>
        <v>Low</v>
      </c>
      <c r="H1751" s="10">
        <v>46171</v>
      </c>
      <c r="I1751" s="3" t="s">
        <v>967</v>
      </c>
      <c r="J1751" s="3" t="s">
        <v>968</v>
      </c>
      <c r="K1751" s="3" t="s">
        <v>983</v>
      </c>
      <c r="L1751" s="3">
        <f>IF(G1751="High",3,IF(G1751="Medium",2,1))</f>
        <v>1</v>
      </c>
    </row>
    <row r="1752" spans="1:12">
      <c r="A1752" s="3" t="s">
        <v>2745</v>
      </c>
      <c r="B1752" s="3" t="s">
        <v>913</v>
      </c>
      <c r="C1752" s="3" t="s">
        <v>976</v>
      </c>
      <c r="D1752" s="3" t="s">
        <v>1002</v>
      </c>
      <c r="E1752" s="3" t="s">
        <v>42</v>
      </c>
      <c r="F1752" s="3" t="s">
        <v>42</v>
      </c>
      <c r="G1752" s="3" t="str">
        <f>INDEX([1]Risk_Matrix!$B$2:$D$4,MATCH(E1752,[1]Risk_Matrix!$A$2:$A$4,0),MATCH(F1752,[1]Risk_Matrix!$B$1:$D$1,0))</f>
        <v>High</v>
      </c>
      <c r="H1752" s="10">
        <v>46153</v>
      </c>
      <c r="I1752" s="3" t="s">
        <v>973</v>
      </c>
      <c r="J1752" s="3" t="s">
        <v>974</v>
      </c>
      <c r="K1752" s="3" t="s">
        <v>983</v>
      </c>
      <c r="L1752" s="3">
        <f>IF(G1752="High",3,IF(G1752="Medium",2,1))</f>
        <v>3</v>
      </c>
    </row>
    <row r="1753" spans="1:12">
      <c r="A1753" s="3" t="s">
        <v>2746</v>
      </c>
      <c r="B1753" s="3" t="s">
        <v>913</v>
      </c>
      <c r="C1753" s="3" t="s">
        <v>979</v>
      </c>
      <c r="D1753" s="3" t="s">
        <v>1004</v>
      </c>
      <c r="E1753" s="3" t="s">
        <v>942</v>
      </c>
      <c r="F1753" s="3" t="s">
        <v>942</v>
      </c>
      <c r="G1753" s="3" t="str">
        <f>INDEX([1]Risk_Matrix!$B$2:$D$4,MATCH(E1753,[1]Risk_Matrix!$A$2:$A$4,0),MATCH(F1753,[1]Risk_Matrix!$B$1:$D$1,0))</f>
        <v>Medium</v>
      </c>
      <c r="H1753" s="10">
        <v>46077</v>
      </c>
      <c r="I1753" s="3" t="s">
        <v>981</v>
      </c>
      <c r="J1753" s="3" t="s">
        <v>982</v>
      </c>
      <c r="K1753" s="3" t="s">
        <v>993</v>
      </c>
      <c r="L1753" s="3">
        <f>IF(G1753="High",3,IF(G1753="Medium",2,1))</f>
        <v>2</v>
      </c>
    </row>
    <row r="1754" spans="1:12">
      <c r="A1754" s="3" t="s">
        <v>2747</v>
      </c>
      <c r="B1754" s="3" t="s">
        <v>915</v>
      </c>
      <c r="C1754" s="3" t="s">
        <v>956</v>
      </c>
      <c r="D1754" s="3" t="s">
        <v>1012</v>
      </c>
      <c r="E1754" s="3" t="s">
        <v>47</v>
      </c>
      <c r="F1754" s="3" t="s">
        <v>942</v>
      </c>
      <c r="G1754" s="3" t="str">
        <f>INDEX([1]Risk_Matrix!$B$2:$D$4,MATCH(E1754,[1]Risk_Matrix!$A$2:$A$4,0),MATCH(F1754,[1]Risk_Matrix!$B$1:$D$1,0))</f>
        <v>Low</v>
      </c>
      <c r="H1754" s="10">
        <v>46064</v>
      </c>
      <c r="I1754" s="3" t="s">
        <v>973</v>
      </c>
      <c r="J1754" s="3" t="s">
        <v>974</v>
      </c>
      <c r="K1754" s="3" t="s">
        <v>1000</v>
      </c>
      <c r="L1754" s="3">
        <f>IF(G1754="High",3,IF(G1754="Medium",2,1))</f>
        <v>1</v>
      </c>
    </row>
    <row r="1755" spans="1:12">
      <c r="A1755" s="3" t="s">
        <v>2748</v>
      </c>
      <c r="B1755" s="3" t="s">
        <v>915</v>
      </c>
      <c r="C1755" s="3" t="s">
        <v>962</v>
      </c>
      <c r="D1755" s="3" t="s">
        <v>1037</v>
      </c>
      <c r="E1755" s="3" t="s">
        <v>42</v>
      </c>
      <c r="F1755" s="3" t="s">
        <v>47</v>
      </c>
      <c r="G1755" s="3" t="str">
        <f>INDEX([1]Risk_Matrix!$B$2:$D$4,MATCH(E1755,[1]Risk_Matrix!$A$2:$A$4,0),MATCH(F1755,[1]Risk_Matrix!$B$1:$D$1,0))</f>
        <v>Medium</v>
      </c>
      <c r="H1755" s="10">
        <v>46169</v>
      </c>
      <c r="I1755" s="3" t="s">
        <v>967</v>
      </c>
      <c r="J1755" s="3" t="s">
        <v>968</v>
      </c>
      <c r="K1755" s="3" t="s">
        <v>1000</v>
      </c>
      <c r="L1755" s="3">
        <f>IF(G1755="High",3,IF(G1755="Medium",2,1))</f>
        <v>2</v>
      </c>
    </row>
    <row r="1756" spans="1:12">
      <c r="A1756" s="3" t="s">
        <v>2749</v>
      </c>
      <c r="B1756" s="3" t="s">
        <v>915</v>
      </c>
      <c r="C1756" s="3" t="s">
        <v>965</v>
      </c>
      <c r="D1756" s="3" t="s">
        <v>1039</v>
      </c>
      <c r="E1756" s="3" t="s">
        <v>47</v>
      </c>
      <c r="F1756" s="3" t="s">
        <v>47</v>
      </c>
      <c r="G1756" s="3" t="str">
        <f>INDEX([1]Risk_Matrix!$B$2:$D$4,MATCH(E1756,[1]Risk_Matrix!$A$2:$A$4,0),MATCH(F1756,[1]Risk_Matrix!$B$1:$D$1,0))</f>
        <v>Low</v>
      </c>
      <c r="H1756" s="10">
        <v>46082</v>
      </c>
      <c r="I1756" s="3" t="s">
        <v>967</v>
      </c>
      <c r="J1756" s="3" t="s">
        <v>968</v>
      </c>
      <c r="K1756" s="3" t="s">
        <v>960</v>
      </c>
      <c r="L1756" s="3">
        <f>IF(G1756="High",3,IF(G1756="Medium",2,1))</f>
        <v>1</v>
      </c>
    </row>
    <row r="1757" spans="1:12">
      <c r="A1757" s="3" t="s">
        <v>2750</v>
      </c>
      <c r="B1757" s="3" t="s">
        <v>915</v>
      </c>
      <c r="C1757" s="3" t="s">
        <v>971</v>
      </c>
      <c r="D1757" s="3" t="s">
        <v>972</v>
      </c>
      <c r="E1757" s="3" t="s">
        <v>942</v>
      </c>
      <c r="F1757" s="3" t="s">
        <v>47</v>
      </c>
      <c r="G1757" s="3" t="str">
        <f>INDEX([1]Risk_Matrix!$B$2:$D$4,MATCH(E1757,[1]Risk_Matrix!$A$2:$A$4,0),MATCH(F1757,[1]Risk_Matrix!$B$1:$D$1,0))</f>
        <v>Low</v>
      </c>
      <c r="H1757" s="10">
        <v>46087</v>
      </c>
      <c r="I1757" s="3" t="s">
        <v>973</v>
      </c>
      <c r="J1757" s="3" t="s">
        <v>974</v>
      </c>
      <c r="K1757" s="3" t="s">
        <v>960</v>
      </c>
      <c r="L1757" s="3">
        <f>IF(G1757="High",3,IF(G1757="Medium",2,1))</f>
        <v>1</v>
      </c>
    </row>
    <row r="1758" spans="1:12">
      <c r="A1758" s="3" t="s">
        <v>2751</v>
      </c>
      <c r="B1758" s="3" t="s">
        <v>915</v>
      </c>
      <c r="C1758" s="3" t="s">
        <v>976</v>
      </c>
      <c r="D1758" s="3" t="s">
        <v>1002</v>
      </c>
      <c r="E1758" s="3" t="s">
        <v>47</v>
      </c>
      <c r="F1758" s="3" t="s">
        <v>47</v>
      </c>
      <c r="G1758" s="3" t="str">
        <f>INDEX([1]Risk_Matrix!$B$2:$D$4,MATCH(E1758,[1]Risk_Matrix!$A$2:$A$4,0),MATCH(F1758,[1]Risk_Matrix!$B$1:$D$1,0))</f>
        <v>Low</v>
      </c>
      <c r="H1758" s="10">
        <v>46207</v>
      </c>
      <c r="I1758" s="3" t="s">
        <v>981</v>
      </c>
      <c r="J1758" s="3" t="s">
        <v>982</v>
      </c>
      <c r="K1758" s="3" t="s">
        <v>960</v>
      </c>
      <c r="L1758" s="3">
        <f>IF(G1758="High",3,IF(G1758="Medium",2,1))</f>
        <v>1</v>
      </c>
    </row>
    <row r="1759" spans="1:12">
      <c r="A1759" s="3" t="s">
        <v>2752</v>
      </c>
      <c r="B1759" s="3" t="s">
        <v>915</v>
      </c>
      <c r="C1759" s="3" t="s">
        <v>979</v>
      </c>
      <c r="D1759" s="3" t="s">
        <v>1028</v>
      </c>
      <c r="E1759" s="3" t="s">
        <v>942</v>
      </c>
      <c r="F1759" s="3" t="s">
        <v>47</v>
      </c>
      <c r="G1759" s="3" t="str">
        <f>INDEX([1]Risk_Matrix!$B$2:$D$4,MATCH(E1759,[1]Risk_Matrix!$A$2:$A$4,0),MATCH(F1759,[1]Risk_Matrix!$B$1:$D$1,0))</f>
        <v>Low</v>
      </c>
      <c r="H1759" s="10">
        <v>46135</v>
      </c>
      <c r="I1759" s="3" t="s">
        <v>958</v>
      </c>
      <c r="J1759" s="3" t="s">
        <v>959</v>
      </c>
      <c r="K1759" s="3" t="s">
        <v>1000</v>
      </c>
      <c r="L1759" s="3">
        <f>IF(G1759="High",3,IF(G1759="Medium",2,1))</f>
        <v>1</v>
      </c>
    </row>
    <row r="1760" spans="1:12">
      <c r="A1760" s="3" t="s">
        <v>2753</v>
      </c>
      <c r="B1760" s="3" t="s">
        <v>918</v>
      </c>
      <c r="C1760" s="3" t="s">
        <v>956</v>
      </c>
      <c r="D1760" s="3" t="s">
        <v>1020</v>
      </c>
      <c r="E1760" s="3" t="s">
        <v>942</v>
      </c>
      <c r="F1760" s="3" t="s">
        <v>942</v>
      </c>
      <c r="G1760" s="3" t="str">
        <f>INDEX([1]Risk_Matrix!$B$2:$D$4,MATCH(E1760,[1]Risk_Matrix!$A$2:$A$4,0),MATCH(F1760,[1]Risk_Matrix!$B$1:$D$1,0))</f>
        <v>Medium</v>
      </c>
      <c r="H1760" s="10">
        <v>46074</v>
      </c>
      <c r="I1760" s="3" t="s">
        <v>967</v>
      </c>
      <c r="J1760" s="3" t="s">
        <v>968</v>
      </c>
      <c r="K1760" s="3" t="s">
        <v>1000</v>
      </c>
      <c r="L1760" s="3">
        <f>IF(G1760="High",3,IF(G1760="Medium",2,1))</f>
        <v>2</v>
      </c>
    </row>
    <row r="1761" spans="1:12">
      <c r="A1761" s="3" t="s">
        <v>2754</v>
      </c>
      <c r="B1761" s="3" t="s">
        <v>918</v>
      </c>
      <c r="C1761" s="3" t="s">
        <v>962</v>
      </c>
      <c r="D1761" s="3" t="s">
        <v>963</v>
      </c>
      <c r="E1761" s="3" t="s">
        <v>42</v>
      </c>
      <c r="F1761" s="3" t="s">
        <v>47</v>
      </c>
      <c r="G1761" s="3" t="str">
        <f>INDEX([1]Risk_Matrix!$B$2:$D$4,MATCH(E1761,[1]Risk_Matrix!$A$2:$A$4,0),MATCH(F1761,[1]Risk_Matrix!$B$1:$D$1,0))</f>
        <v>Medium</v>
      </c>
      <c r="H1761" s="10">
        <v>46179</v>
      </c>
      <c r="I1761" s="3" t="s">
        <v>967</v>
      </c>
      <c r="J1761" s="3" t="s">
        <v>968</v>
      </c>
      <c r="K1761" s="3" t="s">
        <v>983</v>
      </c>
      <c r="L1761" s="3">
        <f>IF(G1761="High",3,IF(G1761="Medium",2,1))</f>
        <v>2</v>
      </c>
    </row>
    <row r="1762" spans="1:12">
      <c r="A1762" s="3" t="s">
        <v>2755</v>
      </c>
      <c r="B1762" s="3" t="s">
        <v>918</v>
      </c>
      <c r="C1762" s="3" t="s">
        <v>965</v>
      </c>
      <c r="D1762" s="3" t="s">
        <v>1023</v>
      </c>
      <c r="E1762" s="3" t="s">
        <v>942</v>
      </c>
      <c r="F1762" s="3" t="s">
        <v>942</v>
      </c>
      <c r="G1762" s="3" t="str">
        <f>INDEX([1]Risk_Matrix!$B$2:$D$4,MATCH(E1762,[1]Risk_Matrix!$A$2:$A$4,0),MATCH(F1762,[1]Risk_Matrix!$B$1:$D$1,0))</f>
        <v>Medium</v>
      </c>
      <c r="H1762" s="10">
        <v>46183</v>
      </c>
      <c r="I1762" s="3" t="s">
        <v>973</v>
      </c>
      <c r="J1762" s="3" t="s">
        <v>974</v>
      </c>
      <c r="K1762" s="3" t="s">
        <v>969</v>
      </c>
      <c r="L1762" s="3">
        <f>IF(G1762="High",3,IF(G1762="Medium",2,1))</f>
        <v>2</v>
      </c>
    </row>
    <row r="1763" spans="1:12">
      <c r="A1763" s="3" t="s">
        <v>2756</v>
      </c>
      <c r="B1763" s="3" t="s">
        <v>918</v>
      </c>
      <c r="C1763" s="3" t="s">
        <v>971</v>
      </c>
      <c r="D1763" s="3" t="s">
        <v>972</v>
      </c>
      <c r="E1763" s="3" t="s">
        <v>942</v>
      </c>
      <c r="F1763" s="3" t="s">
        <v>942</v>
      </c>
      <c r="G1763" s="3" t="str">
        <f>INDEX([1]Risk_Matrix!$B$2:$D$4,MATCH(E1763,[1]Risk_Matrix!$A$2:$A$4,0),MATCH(F1763,[1]Risk_Matrix!$B$1:$D$1,0))</f>
        <v>Medium</v>
      </c>
      <c r="H1763" s="10">
        <v>46060</v>
      </c>
      <c r="I1763" s="3" t="s">
        <v>967</v>
      </c>
      <c r="J1763" s="3" t="s">
        <v>968</v>
      </c>
      <c r="K1763" s="3" t="s">
        <v>993</v>
      </c>
      <c r="L1763" s="3">
        <f>IF(G1763="High",3,IF(G1763="Medium",2,1))</f>
        <v>2</v>
      </c>
    </row>
    <row r="1764" spans="1:12">
      <c r="A1764" s="3" t="s">
        <v>2757</v>
      </c>
      <c r="B1764" s="3" t="s">
        <v>918</v>
      </c>
      <c r="C1764" s="3" t="s">
        <v>976</v>
      </c>
      <c r="D1764" s="3" t="s">
        <v>991</v>
      </c>
      <c r="E1764" s="3" t="s">
        <v>47</v>
      </c>
      <c r="F1764" s="3" t="s">
        <v>47</v>
      </c>
      <c r="G1764" s="3" t="str">
        <f>INDEX([1]Risk_Matrix!$B$2:$D$4,MATCH(E1764,[1]Risk_Matrix!$A$2:$A$4,0),MATCH(F1764,[1]Risk_Matrix!$B$1:$D$1,0))</f>
        <v>Low</v>
      </c>
      <c r="H1764" s="10">
        <v>46073</v>
      </c>
      <c r="I1764" s="3" t="s">
        <v>973</v>
      </c>
      <c r="J1764" s="3" t="s">
        <v>974</v>
      </c>
      <c r="K1764" s="3" t="s">
        <v>993</v>
      </c>
      <c r="L1764" s="3">
        <f>IF(G1764="High",3,IF(G1764="Medium",2,1))</f>
        <v>1</v>
      </c>
    </row>
    <row r="1765" spans="1:12">
      <c r="A1765" s="3" t="s">
        <v>2758</v>
      </c>
      <c r="B1765" s="3" t="s">
        <v>918</v>
      </c>
      <c r="C1765" s="3" t="s">
        <v>979</v>
      </c>
      <c r="D1765" s="3" t="s">
        <v>1028</v>
      </c>
      <c r="E1765" s="3" t="s">
        <v>47</v>
      </c>
      <c r="F1765" s="3" t="s">
        <v>47</v>
      </c>
      <c r="G1765" s="3" t="str">
        <f>INDEX([1]Risk_Matrix!$B$2:$D$4,MATCH(E1765,[1]Risk_Matrix!$A$2:$A$4,0),MATCH(F1765,[1]Risk_Matrix!$B$1:$D$1,0))</f>
        <v>Low</v>
      </c>
      <c r="H1765" s="10">
        <v>46064</v>
      </c>
      <c r="I1765" s="3" t="s">
        <v>967</v>
      </c>
      <c r="J1765" s="3" t="s">
        <v>968</v>
      </c>
      <c r="K1765" s="3" t="s">
        <v>969</v>
      </c>
      <c r="L1765" s="3">
        <f>IF(G1765="High",3,IF(G1765="Medium",2,1))</f>
        <v>1</v>
      </c>
    </row>
    <row r="1766" spans="1:12">
      <c r="A1766" s="3" t="s">
        <v>2759</v>
      </c>
      <c r="B1766" s="3" t="s">
        <v>920</v>
      </c>
      <c r="C1766" s="3" t="s">
        <v>956</v>
      </c>
      <c r="D1766" s="3" t="s">
        <v>1012</v>
      </c>
      <c r="E1766" s="3" t="s">
        <v>942</v>
      </c>
      <c r="F1766" s="3" t="s">
        <v>42</v>
      </c>
      <c r="G1766" s="3" t="str">
        <f>INDEX([1]Risk_Matrix!$B$2:$D$4,MATCH(E1766,[1]Risk_Matrix!$A$2:$A$4,0),MATCH(F1766,[1]Risk_Matrix!$B$1:$D$1,0))</f>
        <v>High</v>
      </c>
      <c r="H1766" s="10">
        <v>46139</v>
      </c>
      <c r="I1766" s="3" t="s">
        <v>973</v>
      </c>
      <c r="J1766" s="3" t="s">
        <v>974</v>
      </c>
      <c r="K1766" s="3" t="s">
        <v>969</v>
      </c>
      <c r="L1766" s="3">
        <f>IF(G1766="High",3,IF(G1766="Medium",2,1))</f>
        <v>3</v>
      </c>
    </row>
    <row r="1767" spans="1:12">
      <c r="A1767" s="3" t="s">
        <v>2760</v>
      </c>
      <c r="B1767" s="3" t="s">
        <v>920</v>
      </c>
      <c r="C1767" s="3" t="s">
        <v>962</v>
      </c>
      <c r="D1767" s="3" t="s">
        <v>1037</v>
      </c>
      <c r="E1767" s="3" t="s">
        <v>42</v>
      </c>
      <c r="F1767" s="3" t="s">
        <v>42</v>
      </c>
      <c r="G1767" s="3" t="str">
        <f>INDEX([1]Risk_Matrix!$B$2:$D$4,MATCH(E1767,[1]Risk_Matrix!$A$2:$A$4,0),MATCH(F1767,[1]Risk_Matrix!$B$1:$D$1,0))</f>
        <v>High</v>
      </c>
      <c r="H1767" s="10">
        <v>46113</v>
      </c>
      <c r="I1767" s="3" t="s">
        <v>967</v>
      </c>
      <c r="J1767" s="3" t="s">
        <v>968</v>
      </c>
      <c r="K1767" s="3" t="s">
        <v>960</v>
      </c>
      <c r="L1767" s="3">
        <f>IF(G1767="High",3,IF(G1767="Medium",2,1))</f>
        <v>3</v>
      </c>
    </row>
    <row r="1768" spans="1:12">
      <c r="A1768" s="3" t="s">
        <v>2761</v>
      </c>
      <c r="B1768" s="3" t="s">
        <v>920</v>
      </c>
      <c r="C1768" s="3" t="s">
        <v>965</v>
      </c>
      <c r="D1768" s="3" t="s">
        <v>966</v>
      </c>
      <c r="E1768" s="3" t="s">
        <v>47</v>
      </c>
      <c r="F1768" s="3" t="s">
        <v>47</v>
      </c>
      <c r="G1768" s="3" t="str">
        <f>INDEX([1]Risk_Matrix!$B$2:$D$4,MATCH(E1768,[1]Risk_Matrix!$A$2:$A$4,0),MATCH(F1768,[1]Risk_Matrix!$B$1:$D$1,0))</f>
        <v>Low</v>
      </c>
      <c r="H1768" s="10">
        <v>46198</v>
      </c>
      <c r="I1768" s="3" t="s">
        <v>967</v>
      </c>
      <c r="J1768" s="3" t="s">
        <v>968</v>
      </c>
      <c r="K1768" s="3" t="s">
        <v>993</v>
      </c>
      <c r="L1768" s="3">
        <f>IF(G1768="High",3,IF(G1768="Medium",2,1))</f>
        <v>1</v>
      </c>
    </row>
    <row r="1769" spans="1:12">
      <c r="A1769" s="3" t="s">
        <v>2762</v>
      </c>
      <c r="B1769" s="3" t="s">
        <v>920</v>
      </c>
      <c r="C1769" s="3" t="s">
        <v>971</v>
      </c>
      <c r="D1769" s="3" t="s">
        <v>972</v>
      </c>
      <c r="E1769" s="3" t="s">
        <v>942</v>
      </c>
      <c r="F1769" s="3" t="s">
        <v>942</v>
      </c>
      <c r="G1769" s="3" t="str">
        <f>INDEX([1]Risk_Matrix!$B$2:$D$4,MATCH(E1769,[1]Risk_Matrix!$A$2:$A$4,0),MATCH(F1769,[1]Risk_Matrix!$B$1:$D$1,0))</f>
        <v>Medium</v>
      </c>
      <c r="H1769" s="10">
        <v>46210</v>
      </c>
      <c r="I1769" s="3" t="s">
        <v>973</v>
      </c>
      <c r="J1769" s="3" t="s">
        <v>974</v>
      </c>
      <c r="K1769" s="3" t="s">
        <v>969</v>
      </c>
      <c r="L1769" s="3">
        <f>IF(G1769="High",3,IF(G1769="Medium",2,1))</f>
        <v>2</v>
      </c>
    </row>
    <row r="1770" spans="1:12">
      <c r="A1770" s="3" t="s">
        <v>2763</v>
      </c>
      <c r="B1770" s="3" t="s">
        <v>920</v>
      </c>
      <c r="C1770" s="3" t="s">
        <v>976</v>
      </c>
      <c r="D1770" s="3" t="s">
        <v>977</v>
      </c>
      <c r="E1770" s="3" t="s">
        <v>47</v>
      </c>
      <c r="F1770" s="3" t="s">
        <v>47</v>
      </c>
      <c r="G1770" s="3" t="str">
        <f>INDEX([1]Risk_Matrix!$B$2:$D$4,MATCH(E1770,[1]Risk_Matrix!$A$2:$A$4,0),MATCH(F1770,[1]Risk_Matrix!$B$1:$D$1,0))</f>
        <v>Low</v>
      </c>
      <c r="H1770" s="10">
        <v>46117</v>
      </c>
      <c r="I1770" s="3" t="s">
        <v>981</v>
      </c>
      <c r="J1770" s="3" t="s">
        <v>982</v>
      </c>
      <c r="K1770" s="3" t="s">
        <v>1000</v>
      </c>
      <c r="L1770" s="3">
        <f>IF(G1770="High",3,IF(G1770="Medium",2,1))</f>
        <v>1</v>
      </c>
    </row>
    <row r="1771" spans="1:12">
      <c r="A1771" s="3" t="s">
        <v>2764</v>
      </c>
      <c r="B1771" s="3" t="s">
        <v>920</v>
      </c>
      <c r="C1771" s="3" t="s">
        <v>979</v>
      </c>
      <c r="D1771" s="3" t="s">
        <v>1004</v>
      </c>
      <c r="E1771" s="3" t="s">
        <v>942</v>
      </c>
      <c r="F1771" s="3" t="s">
        <v>47</v>
      </c>
      <c r="G1771" s="3" t="str">
        <f>INDEX([1]Risk_Matrix!$B$2:$D$4,MATCH(E1771,[1]Risk_Matrix!$A$2:$A$4,0),MATCH(F1771,[1]Risk_Matrix!$B$1:$D$1,0))</f>
        <v>Low</v>
      </c>
      <c r="H1771" s="10">
        <v>46123</v>
      </c>
      <c r="I1771" s="3" t="s">
        <v>967</v>
      </c>
      <c r="J1771" s="3" t="s">
        <v>968</v>
      </c>
      <c r="K1771" s="3" t="s">
        <v>983</v>
      </c>
      <c r="L1771" s="3">
        <f>IF(G1771="High",3,IF(G1771="Medium",2,1))</f>
        <v>1</v>
      </c>
    </row>
    <row r="1772" spans="1:12">
      <c r="A1772" s="3" t="s">
        <v>2765</v>
      </c>
      <c r="B1772" s="3" t="s">
        <v>921</v>
      </c>
      <c r="C1772" s="3" t="s">
        <v>956</v>
      </c>
      <c r="D1772" s="3" t="s">
        <v>995</v>
      </c>
      <c r="E1772" s="3" t="s">
        <v>942</v>
      </c>
      <c r="F1772" s="3" t="s">
        <v>42</v>
      </c>
      <c r="G1772" s="3" t="str">
        <f>INDEX([1]Risk_Matrix!$B$2:$D$4,MATCH(E1772,[1]Risk_Matrix!$A$2:$A$4,0),MATCH(F1772,[1]Risk_Matrix!$B$1:$D$1,0))</f>
        <v>High</v>
      </c>
      <c r="H1772" s="10">
        <v>46116</v>
      </c>
      <c r="I1772" s="3" t="s">
        <v>973</v>
      </c>
      <c r="J1772" s="3" t="s">
        <v>974</v>
      </c>
      <c r="K1772" s="3" t="s">
        <v>983</v>
      </c>
      <c r="L1772" s="3">
        <f>IF(G1772="High",3,IF(G1772="Medium",2,1))</f>
        <v>3</v>
      </c>
    </row>
    <row r="1773" spans="1:12">
      <c r="A1773" s="3" t="s">
        <v>2766</v>
      </c>
      <c r="B1773" s="3" t="s">
        <v>921</v>
      </c>
      <c r="C1773" s="3" t="s">
        <v>962</v>
      </c>
      <c r="D1773" s="3" t="s">
        <v>997</v>
      </c>
      <c r="E1773" s="3" t="s">
        <v>42</v>
      </c>
      <c r="F1773" s="3" t="s">
        <v>47</v>
      </c>
      <c r="G1773" s="3" t="str">
        <f>INDEX([1]Risk_Matrix!$B$2:$D$4,MATCH(E1773,[1]Risk_Matrix!$A$2:$A$4,0),MATCH(F1773,[1]Risk_Matrix!$B$1:$D$1,0))</f>
        <v>Medium</v>
      </c>
      <c r="H1773" s="10">
        <v>46114</v>
      </c>
      <c r="I1773" s="3" t="s">
        <v>973</v>
      </c>
      <c r="J1773" s="3" t="s">
        <v>974</v>
      </c>
      <c r="K1773" s="3" t="s">
        <v>960</v>
      </c>
      <c r="L1773" s="3">
        <f>IF(G1773="High",3,IF(G1773="Medium",2,1))</f>
        <v>2</v>
      </c>
    </row>
    <row r="1774" spans="1:12">
      <c r="A1774" s="3" t="s">
        <v>2767</v>
      </c>
      <c r="B1774" s="3" t="s">
        <v>921</v>
      </c>
      <c r="C1774" s="3" t="s">
        <v>965</v>
      </c>
      <c r="D1774" s="3" t="s">
        <v>1039</v>
      </c>
      <c r="E1774" s="3" t="s">
        <v>42</v>
      </c>
      <c r="F1774" s="3" t="s">
        <v>942</v>
      </c>
      <c r="G1774" s="3" t="str">
        <f>INDEX([1]Risk_Matrix!$B$2:$D$4,MATCH(E1774,[1]Risk_Matrix!$A$2:$A$4,0),MATCH(F1774,[1]Risk_Matrix!$B$1:$D$1,0))</f>
        <v>High</v>
      </c>
      <c r="H1774" s="10">
        <v>46201</v>
      </c>
      <c r="I1774" s="3" t="s">
        <v>967</v>
      </c>
      <c r="J1774" s="3" t="s">
        <v>968</v>
      </c>
      <c r="K1774" s="3" t="s">
        <v>993</v>
      </c>
      <c r="L1774" s="3">
        <f>IF(G1774="High",3,IF(G1774="Medium",2,1))</f>
        <v>3</v>
      </c>
    </row>
    <row r="1775" spans="1:12">
      <c r="A1775" s="3" t="s">
        <v>2768</v>
      </c>
      <c r="B1775" s="3" t="s">
        <v>921</v>
      </c>
      <c r="C1775" s="3" t="s">
        <v>971</v>
      </c>
      <c r="D1775" s="3" t="s">
        <v>1025</v>
      </c>
      <c r="E1775" s="3" t="s">
        <v>942</v>
      </c>
      <c r="F1775" s="3" t="s">
        <v>942</v>
      </c>
      <c r="G1775" s="3" t="str">
        <f>INDEX([1]Risk_Matrix!$B$2:$D$4,MATCH(E1775,[1]Risk_Matrix!$A$2:$A$4,0),MATCH(F1775,[1]Risk_Matrix!$B$1:$D$1,0))</f>
        <v>Medium</v>
      </c>
      <c r="H1775" s="10">
        <v>46169</v>
      </c>
      <c r="I1775" s="3" t="s">
        <v>967</v>
      </c>
      <c r="J1775" s="3" t="s">
        <v>968</v>
      </c>
      <c r="K1775" s="3" t="s">
        <v>1000</v>
      </c>
      <c r="L1775" s="3">
        <f>IF(G1775="High",3,IF(G1775="Medium",2,1))</f>
        <v>2</v>
      </c>
    </row>
    <row r="1776" spans="1:12">
      <c r="A1776" s="3" t="s">
        <v>2769</v>
      </c>
      <c r="B1776" s="3" t="s">
        <v>921</v>
      </c>
      <c r="C1776" s="3" t="s">
        <v>976</v>
      </c>
      <c r="D1776" s="3" t="s">
        <v>991</v>
      </c>
      <c r="E1776" s="3" t="s">
        <v>942</v>
      </c>
      <c r="F1776" s="3" t="s">
        <v>47</v>
      </c>
      <c r="G1776" s="3" t="str">
        <f>INDEX([1]Risk_Matrix!$B$2:$D$4,MATCH(E1776,[1]Risk_Matrix!$A$2:$A$4,0),MATCH(F1776,[1]Risk_Matrix!$B$1:$D$1,0))</f>
        <v>Low</v>
      </c>
      <c r="H1776" s="10">
        <v>46211</v>
      </c>
      <c r="I1776" s="3" t="s">
        <v>967</v>
      </c>
      <c r="J1776" s="3" t="s">
        <v>968</v>
      </c>
      <c r="K1776" s="3" t="s">
        <v>983</v>
      </c>
      <c r="L1776" s="3">
        <f>IF(G1776="High",3,IF(G1776="Medium",2,1))</f>
        <v>1</v>
      </c>
    </row>
    <row r="1777" spans="1:12">
      <c r="A1777" s="3" t="s">
        <v>2770</v>
      </c>
      <c r="B1777" s="3" t="s">
        <v>921</v>
      </c>
      <c r="C1777" s="3" t="s">
        <v>979</v>
      </c>
      <c r="D1777" s="3" t="s">
        <v>1028</v>
      </c>
      <c r="E1777" s="3" t="s">
        <v>47</v>
      </c>
      <c r="F1777" s="3" t="s">
        <v>47</v>
      </c>
      <c r="G1777" s="3" t="str">
        <f>INDEX([1]Risk_Matrix!$B$2:$D$4,MATCH(E1777,[1]Risk_Matrix!$A$2:$A$4,0),MATCH(F1777,[1]Risk_Matrix!$B$1:$D$1,0))</f>
        <v>Low</v>
      </c>
      <c r="H1777" s="10">
        <v>46096</v>
      </c>
      <c r="I1777" s="3" t="s">
        <v>958</v>
      </c>
      <c r="J1777" s="3" t="s">
        <v>959</v>
      </c>
      <c r="K1777" s="3" t="s">
        <v>1000</v>
      </c>
      <c r="L1777" s="3">
        <f>IF(G1777="High",3,IF(G1777="Medium",2,1))</f>
        <v>1</v>
      </c>
    </row>
    <row r="1778" spans="1:12">
      <c r="A1778" s="3" t="s">
        <v>2771</v>
      </c>
      <c r="B1778" s="3" t="s">
        <v>924</v>
      </c>
      <c r="C1778" s="3" t="s">
        <v>956</v>
      </c>
      <c r="D1778" s="3" t="s">
        <v>1020</v>
      </c>
      <c r="E1778" s="3" t="s">
        <v>942</v>
      </c>
      <c r="F1778" s="3" t="s">
        <v>42</v>
      </c>
      <c r="G1778" s="3" t="str">
        <f>INDEX([1]Risk_Matrix!$B$2:$D$4,MATCH(E1778,[1]Risk_Matrix!$A$2:$A$4,0),MATCH(F1778,[1]Risk_Matrix!$B$1:$D$1,0))</f>
        <v>High</v>
      </c>
      <c r="H1778" s="10">
        <v>46233</v>
      </c>
      <c r="I1778" s="3" t="s">
        <v>973</v>
      </c>
      <c r="J1778" s="3" t="s">
        <v>974</v>
      </c>
      <c r="K1778" s="3" t="s">
        <v>969</v>
      </c>
      <c r="L1778" s="3">
        <f>IF(G1778="High",3,IF(G1778="Medium",2,1))</f>
        <v>3</v>
      </c>
    </row>
    <row r="1779" spans="1:12">
      <c r="A1779" s="3" t="s">
        <v>2772</v>
      </c>
      <c r="B1779" s="3" t="s">
        <v>924</v>
      </c>
      <c r="C1779" s="3" t="s">
        <v>962</v>
      </c>
      <c r="D1779" s="3" t="s">
        <v>997</v>
      </c>
      <c r="E1779" s="3" t="s">
        <v>942</v>
      </c>
      <c r="F1779" s="3" t="s">
        <v>47</v>
      </c>
      <c r="G1779" s="3" t="str">
        <f>INDEX([1]Risk_Matrix!$B$2:$D$4,MATCH(E1779,[1]Risk_Matrix!$A$2:$A$4,0),MATCH(F1779,[1]Risk_Matrix!$B$1:$D$1,0))</f>
        <v>Low</v>
      </c>
      <c r="H1779" s="10">
        <v>46211</v>
      </c>
      <c r="I1779" s="3" t="s">
        <v>973</v>
      </c>
      <c r="J1779" s="3" t="s">
        <v>974</v>
      </c>
      <c r="K1779" s="3" t="s">
        <v>969</v>
      </c>
      <c r="L1779" s="3">
        <f>IF(G1779="High",3,IF(G1779="Medium",2,1))</f>
        <v>1</v>
      </c>
    </row>
    <row r="1780" spans="1:12">
      <c r="A1780" s="3" t="s">
        <v>2773</v>
      </c>
      <c r="B1780" s="3" t="s">
        <v>924</v>
      </c>
      <c r="C1780" s="3" t="s">
        <v>965</v>
      </c>
      <c r="D1780" s="3" t="s">
        <v>988</v>
      </c>
      <c r="E1780" s="3" t="s">
        <v>47</v>
      </c>
      <c r="F1780" s="3" t="s">
        <v>942</v>
      </c>
      <c r="G1780" s="3" t="str">
        <f>INDEX([1]Risk_Matrix!$B$2:$D$4,MATCH(E1780,[1]Risk_Matrix!$A$2:$A$4,0),MATCH(F1780,[1]Risk_Matrix!$B$1:$D$1,0))</f>
        <v>Low</v>
      </c>
      <c r="H1780" s="10">
        <v>46078</v>
      </c>
      <c r="I1780" s="3" t="s">
        <v>967</v>
      </c>
      <c r="J1780" s="3" t="s">
        <v>968</v>
      </c>
      <c r="K1780" s="3" t="s">
        <v>960</v>
      </c>
      <c r="L1780" s="3">
        <f>IF(G1780="High",3,IF(G1780="Medium",2,1))</f>
        <v>1</v>
      </c>
    </row>
    <row r="1781" spans="1:12">
      <c r="A1781" s="3" t="s">
        <v>2774</v>
      </c>
      <c r="B1781" s="3" t="s">
        <v>924</v>
      </c>
      <c r="C1781" s="3" t="s">
        <v>971</v>
      </c>
      <c r="D1781" s="3" t="s">
        <v>1016</v>
      </c>
      <c r="E1781" s="3" t="s">
        <v>942</v>
      </c>
      <c r="F1781" s="3" t="s">
        <v>942</v>
      </c>
      <c r="G1781" s="3" t="str">
        <f>INDEX([1]Risk_Matrix!$B$2:$D$4,MATCH(E1781,[1]Risk_Matrix!$A$2:$A$4,0),MATCH(F1781,[1]Risk_Matrix!$B$1:$D$1,0))</f>
        <v>Medium</v>
      </c>
      <c r="H1781" s="10">
        <v>46214</v>
      </c>
      <c r="I1781" s="3" t="s">
        <v>967</v>
      </c>
      <c r="J1781" s="3" t="s">
        <v>968</v>
      </c>
      <c r="K1781" s="3" t="s">
        <v>960</v>
      </c>
      <c r="L1781" s="3">
        <f>IF(G1781="High",3,IF(G1781="Medium",2,1))</f>
        <v>2</v>
      </c>
    </row>
    <row r="1782" spans="1:12">
      <c r="A1782" s="3" t="s">
        <v>2775</v>
      </c>
      <c r="B1782" s="3" t="s">
        <v>924</v>
      </c>
      <c r="C1782" s="3" t="s">
        <v>976</v>
      </c>
      <c r="D1782" s="3" t="s">
        <v>991</v>
      </c>
      <c r="E1782" s="3" t="s">
        <v>942</v>
      </c>
      <c r="F1782" s="3" t="s">
        <v>42</v>
      </c>
      <c r="G1782" s="3" t="str">
        <f>INDEX([1]Risk_Matrix!$B$2:$D$4,MATCH(E1782,[1]Risk_Matrix!$A$2:$A$4,0),MATCH(F1782,[1]Risk_Matrix!$B$1:$D$1,0))</f>
        <v>High</v>
      </c>
      <c r="H1782" s="10">
        <v>46152</v>
      </c>
      <c r="I1782" s="3" t="s">
        <v>973</v>
      </c>
      <c r="J1782" s="3" t="s">
        <v>974</v>
      </c>
      <c r="K1782" s="3" t="s">
        <v>969</v>
      </c>
      <c r="L1782" s="3">
        <f>IF(G1782="High",3,IF(G1782="Medium",2,1))</f>
        <v>3</v>
      </c>
    </row>
    <row r="1783" spans="1:12">
      <c r="A1783" s="3" t="s">
        <v>2776</v>
      </c>
      <c r="B1783" s="3" t="s">
        <v>924</v>
      </c>
      <c r="C1783" s="3" t="s">
        <v>979</v>
      </c>
      <c r="D1783" s="3" t="s">
        <v>1028</v>
      </c>
      <c r="E1783" s="3" t="s">
        <v>942</v>
      </c>
      <c r="F1783" s="3" t="s">
        <v>942</v>
      </c>
      <c r="G1783" s="3" t="str">
        <f>INDEX([1]Risk_Matrix!$B$2:$D$4,MATCH(E1783,[1]Risk_Matrix!$A$2:$A$4,0),MATCH(F1783,[1]Risk_Matrix!$B$1:$D$1,0))</f>
        <v>Medium</v>
      </c>
      <c r="H1783" s="10">
        <v>46128</v>
      </c>
      <c r="I1783" s="3" t="s">
        <v>967</v>
      </c>
      <c r="J1783" s="3" t="s">
        <v>968</v>
      </c>
      <c r="K1783" s="3" t="s">
        <v>1000</v>
      </c>
      <c r="L1783" s="3">
        <f>IF(G1783="High",3,IF(G1783="Medium",2,1))</f>
        <v>2</v>
      </c>
    </row>
    <row r="1784" spans="1:12">
      <c r="A1784" s="3" t="s">
        <v>2777</v>
      </c>
      <c r="B1784" s="3" t="s">
        <v>926</v>
      </c>
      <c r="C1784" s="3" t="s">
        <v>956</v>
      </c>
      <c r="D1784" s="3" t="s">
        <v>957</v>
      </c>
      <c r="E1784" s="3" t="s">
        <v>942</v>
      </c>
      <c r="F1784" s="3" t="s">
        <v>47</v>
      </c>
      <c r="G1784" s="3" t="str">
        <f>INDEX([1]Risk_Matrix!$B$2:$D$4,MATCH(E1784,[1]Risk_Matrix!$A$2:$A$4,0),MATCH(F1784,[1]Risk_Matrix!$B$1:$D$1,0))</f>
        <v>Low</v>
      </c>
      <c r="H1784" s="10">
        <v>46179</v>
      </c>
      <c r="I1784" s="3" t="s">
        <v>981</v>
      </c>
      <c r="J1784" s="3" t="s">
        <v>982</v>
      </c>
      <c r="K1784" s="3" t="s">
        <v>960</v>
      </c>
      <c r="L1784" s="3">
        <f>IF(G1784="High",3,IF(G1784="Medium",2,1))</f>
        <v>1</v>
      </c>
    </row>
    <row r="1785" spans="1:12">
      <c r="A1785" s="3" t="s">
        <v>2778</v>
      </c>
      <c r="B1785" s="3" t="s">
        <v>926</v>
      </c>
      <c r="C1785" s="3" t="s">
        <v>962</v>
      </c>
      <c r="D1785" s="3" t="s">
        <v>963</v>
      </c>
      <c r="E1785" s="3" t="s">
        <v>47</v>
      </c>
      <c r="F1785" s="3" t="s">
        <v>47</v>
      </c>
      <c r="G1785" s="3" t="str">
        <f>INDEX([1]Risk_Matrix!$B$2:$D$4,MATCH(E1785,[1]Risk_Matrix!$A$2:$A$4,0),MATCH(F1785,[1]Risk_Matrix!$B$1:$D$1,0))</f>
        <v>Low</v>
      </c>
      <c r="H1785" s="10">
        <v>46220</v>
      </c>
      <c r="I1785" s="3" t="s">
        <v>958</v>
      </c>
      <c r="J1785" s="3" t="s">
        <v>959</v>
      </c>
      <c r="K1785" s="3" t="s">
        <v>993</v>
      </c>
      <c r="L1785" s="3">
        <f>IF(G1785="High",3,IF(G1785="Medium",2,1))</f>
        <v>1</v>
      </c>
    </row>
    <row r="1786" spans="1:12">
      <c r="A1786" s="3" t="s">
        <v>2779</v>
      </c>
      <c r="B1786" s="3" t="s">
        <v>926</v>
      </c>
      <c r="C1786" s="3" t="s">
        <v>965</v>
      </c>
      <c r="D1786" s="3" t="s">
        <v>988</v>
      </c>
      <c r="E1786" s="3" t="s">
        <v>942</v>
      </c>
      <c r="F1786" s="3" t="s">
        <v>47</v>
      </c>
      <c r="G1786" s="3" t="str">
        <f>INDEX([1]Risk_Matrix!$B$2:$D$4,MATCH(E1786,[1]Risk_Matrix!$A$2:$A$4,0),MATCH(F1786,[1]Risk_Matrix!$B$1:$D$1,0))</f>
        <v>Low</v>
      </c>
      <c r="H1786" s="10">
        <v>46144</v>
      </c>
      <c r="I1786" s="3" t="s">
        <v>973</v>
      </c>
      <c r="J1786" s="3" t="s">
        <v>974</v>
      </c>
      <c r="K1786" s="3" t="s">
        <v>993</v>
      </c>
      <c r="L1786" s="3">
        <f>IF(G1786="High",3,IF(G1786="Medium",2,1))</f>
        <v>1</v>
      </c>
    </row>
    <row r="1787" spans="1:12">
      <c r="A1787" s="3" t="s">
        <v>2780</v>
      </c>
      <c r="B1787" s="3" t="s">
        <v>926</v>
      </c>
      <c r="C1787" s="3" t="s">
        <v>971</v>
      </c>
      <c r="D1787" s="3" t="s">
        <v>972</v>
      </c>
      <c r="E1787" s="3" t="s">
        <v>47</v>
      </c>
      <c r="F1787" s="3" t="s">
        <v>42</v>
      </c>
      <c r="G1787" s="3" t="str">
        <f>INDEX([1]Risk_Matrix!$B$2:$D$4,MATCH(E1787,[1]Risk_Matrix!$A$2:$A$4,0),MATCH(F1787,[1]Risk_Matrix!$B$1:$D$1,0))</f>
        <v>Medium</v>
      </c>
      <c r="H1787" s="10">
        <v>46167</v>
      </c>
      <c r="I1787" s="3" t="s">
        <v>967</v>
      </c>
      <c r="J1787" s="3" t="s">
        <v>968</v>
      </c>
      <c r="K1787" s="3" t="s">
        <v>1000</v>
      </c>
      <c r="L1787" s="3">
        <f>IF(G1787="High",3,IF(G1787="Medium",2,1))</f>
        <v>2</v>
      </c>
    </row>
    <row r="1788" spans="1:12">
      <c r="A1788" s="3" t="s">
        <v>2781</v>
      </c>
      <c r="B1788" s="3" t="s">
        <v>926</v>
      </c>
      <c r="C1788" s="3" t="s">
        <v>976</v>
      </c>
      <c r="D1788" s="3" t="s">
        <v>991</v>
      </c>
      <c r="E1788" s="3" t="s">
        <v>42</v>
      </c>
      <c r="F1788" s="3" t="s">
        <v>47</v>
      </c>
      <c r="G1788" s="3" t="str">
        <f>INDEX([1]Risk_Matrix!$B$2:$D$4,MATCH(E1788,[1]Risk_Matrix!$A$2:$A$4,0),MATCH(F1788,[1]Risk_Matrix!$B$1:$D$1,0))</f>
        <v>Medium</v>
      </c>
      <c r="H1788" s="10">
        <v>46082</v>
      </c>
      <c r="I1788" s="3" t="s">
        <v>981</v>
      </c>
      <c r="J1788" s="3" t="s">
        <v>982</v>
      </c>
      <c r="K1788" s="3" t="s">
        <v>993</v>
      </c>
      <c r="L1788" s="3">
        <f>IF(G1788="High",3,IF(G1788="Medium",2,1))</f>
        <v>2</v>
      </c>
    </row>
    <row r="1789" spans="1:12">
      <c r="A1789" s="3" t="s">
        <v>2782</v>
      </c>
      <c r="B1789" s="3" t="s">
        <v>926</v>
      </c>
      <c r="C1789" s="3" t="s">
        <v>979</v>
      </c>
      <c r="D1789" s="3" t="s">
        <v>1004</v>
      </c>
      <c r="E1789" s="3" t="s">
        <v>942</v>
      </c>
      <c r="F1789" s="3" t="s">
        <v>942</v>
      </c>
      <c r="G1789" s="3" t="str">
        <f>INDEX([1]Risk_Matrix!$B$2:$D$4,MATCH(E1789,[1]Risk_Matrix!$A$2:$A$4,0),MATCH(F1789,[1]Risk_Matrix!$B$1:$D$1,0))</f>
        <v>Medium</v>
      </c>
      <c r="H1789" s="10">
        <v>46077</v>
      </c>
      <c r="I1789" s="3" t="s">
        <v>967</v>
      </c>
      <c r="J1789" s="3" t="s">
        <v>968</v>
      </c>
      <c r="K1789" s="3" t="s">
        <v>983</v>
      </c>
      <c r="L1789" s="3">
        <f>IF(G1789="High",3,IF(G1789="Medium",2,1))</f>
        <v>2</v>
      </c>
    </row>
    <row r="1790" spans="1:12">
      <c r="A1790" s="3" t="s">
        <v>2783</v>
      </c>
      <c r="B1790" s="3" t="s">
        <v>927</v>
      </c>
      <c r="C1790" s="3" t="s">
        <v>956</v>
      </c>
      <c r="D1790" s="3" t="s">
        <v>957</v>
      </c>
      <c r="E1790" s="3" t="s">
        <v>47</v>
      </c>
      <c r="F1790" s="3" t="s">
        <v>47</v>
      </c>
      <c r="G1790" s="3" t="str">
        <f>INDEX([1]Risk_Matrix!$B$2:$D$4,MATCH(E1790,[1]Risk_Matrix!$A$2:$A$4,0),MATCH(F1790,[1]Risk_Matrix!$B$1:$D$1,0))</f>
        <v>Low</v>
      </c>
      <c r="H1790" s="10">
        <v>46060</v>
      </c>
      <c r="I1790" s="3" t="s">
        <v>973</v>
      </c>
      <c r="J1790" s="3" t="s">
        <v>974</v>
      </c>
      <c r="K1790" s="3" t="s">
        <v>993</v>
      </c>
      <c r="L1790" s="3">
        <f>IF(G1790="High",3,IF(G1790="Medium",2,1))</f>
        <v>1</v>
      </c>
    </row>
    <row r="1791" spans="1:12">
      <c r="A1791" s="3" t="s">
        <v>2784</v>
      </c>
      <c r="B1791" s="3" t="s">
        <v>927</v>
      </c>
      <c r="C1791" s="3" t="s">
        <v>962</v>
      </c>
      <c r="D1791" s="3" t="s">
        <v>997</v>
      </c>
      <c r="E1791" s="3" t="s">
        <v>942</v>
      </c>
      <c r="F1791" s="3" t="s">
        <v>47</v>
      </c>
      <c r="G1791" s="3" t="str">
        <f>INDEX([1]Risk_Matrix!$B$2:$D$4,MATCH(E1791,[1]Risk_Matrix!$A$2:$A$4,0),MATCH(F1791,[1]Risk_Matrix!$B$1:$D$1,0))</f>
        <v>Low</v>
      </c>
      <c r="H1791" s="10">
        <v>46154</v>
      </c>
      <c r="I1791" s="3" t="s">
        <v>967</v>
      </c>
      <c r="J1791" s="3" t="s">
        <v>968</v>
      </c>
      <c r="K1791" s="3" t="s">
        <v>993</v>
      </c>
      <c r="L1791" s="3">
        <f>IF(G1791="High",3,IF(G1791="Medium",2,1))</f>
        <v>1</v>
      </c>
    </row>
    <row r="1792" spans="1:12">
      <c r="A1792" s="3" t="s">
        <v>2785</v>
      </c>
      <c r="B1792" s="3" t="s">
        <v>927</v>
      </c>
      <c r="C1792" s="3" t="s">
        <v>965</v>
      </c>
      <c r="D1792" s="3" t="s">
        <v>1023</v>
      </c>
      <c r="E1792" s="3" t="s">
        <v>942</v>
      </c>
      <c r="F1792" s="3" t="s">
        <v>47</v>
      </c>
      <c r="G1792" s="3" t="str">
        <f>INDEX([1]Risk_Matrix!$B$2:$D$4,MATCH(E1792,[1]Risk_Matrix!$A$2:$A$4,0),MATCH(F1792,[1]Risk_Matrix!$B$1:$D$1,0))</f>
        <v>Low</v>
      </c>
      <c r="H1792" s="10">
        <v>46238</v>
      </c>
      <c r="I1792" s="3" t="s">
        <v>967</v>
      </c>
      <c r="J1792" s="3" t="s">
        <v>968</v>
      </c>
      <c r="K1792" s="3" t="s">
        <v>960</v>
      </c>
      <c r="L1792" s="3">
        <f>IF(G1792="High",3,IF(G1792="Medium",2,1))</f>
        <v>1</v>
      </c>
    </row>
    <row r="1793" spans="1:12">
      <c r="A1793" s="3" t="s">
        <v>2786</v>
      </c>
      <c r="B1793" s="3" t="s">
        <v>927</v>
      </c>
      <c r="C1793" s="3" t="s">
        <v>971</v>
      </c>
      <c r="D1793" s="3" t="s">
        <v>1016</v>
      </c>
      <c r="E1793" s="3" t="s">
        <v>47</v>
      </c>
      <c r="F1793" s="3" t="s">
        <v>47</v>
      </c>
      <c r="G1793" s="3" t="str">
        <f>INDEX([1]Risk_Matrix!$B$2:$D$4,MATCH(E1793,[1]Risk_Matrix!$A$2:$A$4,0),MATCH(F1793,[1]Risk_Matrix!$B$1:$D$1,0))</f>
        <v>Low</v>
      </c>
      <c r="H1793" s="10">
        <v>46060</v>
      </c>
      <c r="I1793" s="3" t="s">
        <v>967</v>
      </c>
      <c r="J1793" s="3" t="s">
        <v>968</v>
      </c>
      <c r="K1793" s="3" t="s">
        <v>983</v>
      </c>
      <c r="L1793" s="3">
        <f>IF(G1793="High",3,IF(G1793="Medium",2,1))</f>
        <v>1</v>
      </c>
    </row>
    <row r="1794" spans="1:12">
      <c r="A1794" s="3" t="s">
        <v>2787</v>
      </c>
      <c r="B1794" s="3" t="s">
        <v>927</v>
      </c>
      <c r="C1794" s="3" t="s">
        <v>976</v>
      </c>
      <c r="D1794" s="3" t="s">
        <v>977</v>
      </c>
      <c r="E1794" s="3" t="s">
        <v>942</v>
      </c>
      <c r="F1794" s="3" t="s">
        <v>42</v>
      </c>
      <c r="G1794" s="3" t="str">
        <f>INDEX([1]Risk_Matrix!$B$2:$D$4,MATCH(E1794,[1]Risk_Matrix!$A$2:$A$4,0),MATCH(F1794,[1]Risk_Matrix!$B$1:$D$1,0))</f>
        <v>High</v>
      </c>
      <c r="H1794" s="10">
        <v>46068</v>
      </c>
      <c r="I1794" s="3" t="s">
        <v>967</v>
      </c>
      <c r="J1794" s="3" t="s">
        <v>968</v>
      </c>
      <c r="K1794" s="3" t="s">
        <v>969</v>
      </c>
      <c r="L1794" s="3">
        <f>IF(G1794="High",3,IF(G1794="Medium",2,1))</f>
        <v>3</v>
      </c>
    </row>
    <row r="1795" spans="1:12">
      <c r="A1795" s="3" t="s">
        <v>2788</v>
      </c>
      <c r="B1795" s="3" t="s">
        <v>927</v>
      </c>
      <c r="C1795" s="3" t="s">
        <v>979</v>
      </c>
      <c r="D1795" s="3" t="s">
        <v>1004</v>
      </c>
      <c r="E1795" s="3" t="s">
        <v>47</v>
      </c>
      <c r="F1795" s="3" t="s">
        <v>47</v>
      </c>
      <c r="G1795" s="3" t="str">
        <f>INDEX([1]Risk_Matrix!$B$2:$D$4,MATCH(E1795,[1]Risk_Matrix!$A$2:$A$4,0),MATCH(F1795,[1]Risk_Matrix!$B$1:$D$1,0))</f>
        <v>Low</v>
      </c>
      <c r="H1795" s="10">
        <v>46193</v>
      </c>
      <c r="I1795" s="3" t="s">
        <v>967</v>
      </c>
      <c r="J1795" s="3" t="s">
        <v>968</v>
      </c>
      <c r="K1795" s="3" t="s">
        <v>983</v>
      </c>
      <c r="L1795" s="3">
        <f>IF(G1795="High",3,IF(G1795="Medium",2,1))</f>
        <v>1</v>
      </c>
    </row>
    <row r="1796" spans="1:12">
      <c r="A1796" s="3" t="s">
        <v>2789</v>
      </c>
      <c r="B1796" s="3" t="s">
        <v>929</v>
      </c>
      <c r="C1796" s="3" t="s">
        <v>956</v>
      </c>
      <c r="D1796" s="3" t="s">
        <v>1020</v>
      </c>
      <c r="E1796" s="3" t="s">
        <v>47</v>
      </c>
      <c r="F1796" s="3" t="s">
        <v>47</v>
      </c>
      <c r="G1796" s="3" t="str">
        <f>INDEX([1]Risk_Matrix!$B$2:$D$4,MATCH(E1796,[1]Risk_Matrix!$A$2:$A$4,0),MATCH(F1796,[1]Risk_Matrix!$B$1:$D$1,0))</f>
        <v>Low</v>
      </c>
      <c r="H1796" s="10">
        <v>46123</v>
      </c>
      <c r="I1796" s="3" t="s">
        <v>973</v>
      </c>
      <c r="J1796" s="3" t="s">
        <v>974</v>
      </c>
      <c r="K1796" s="3" t="s">
        <v>983</v>
      </c>
      <c r="L1796" s="3">
        <f>IF(G1796="High",3,IF(G1796="Medium",2,1))</f>
        <v>1</v>
      </c>
    </row>
    <row r="1797" spans="1:12">
      <c r="A1797" s="3" t="s">
        <v>2790</v>
      </c>
      <c r="B1797" s="3" t="s">
        <v>929</v>
      </c>
      <c r="C1797" s="3" t="s">
        <v>962</v>
      </c>
      <c r="D1797" s="3" t="s">
        <v>1037</v>
      </c>
      <c r="E1797" s="3" t="s">
        <v>47</v>
      </c>
      <c r="F1797" s="3" t="s">
        <v>942</v>
      </c>
      <c r="G1797" s="3" t="str">
        <f>INDEX([1]Risk_Matrix!$B$2:$D$4,MATCH(E1797,[1]Risk_Matrix!$A$2:$A$4,0),MATCH(F1797,[1]Risk_Matrix!$B$1:$D$1,0))</f>
        <v>Low</v>
      </c>
      <c r="H1797" s="10">
        <v>46145</v>
      </c>
      <c r="I1797" s="3" t="s">
        <v>967</v>
      </c>
      <c r="J1797" s="3" t="s">
        <v>968</v>
      </c>
      <c r="K1797" s="3" t="s">
        <v>969</v>
      </c>
      <c r="L1797" s="3">
        <f>IF(G1797="High",3,IF(G1797="Medium",2,1))</f>
        <v>1</v>
      </c>
    </row>
    <row r="1798" spans="1:12">
      <c r="A1798" s="3" t="s">
        <v>2791</v>
      </c>
      <c r="B1798" s="3" t="s">
        <v>929</v>
      </c>
      <c r="C1798" s="3" t="s">
        <v>965</v>
      </c>
      <c r="D1798" s="3" t="s">
        <v>988</v>
      </c>
      <c r="E1798" s="3" t="s">
        <v>47</v>
      </c>
      <c r="F1798" s="3" t="s">
        <v>47</v>
      </c>
      <c r="G1798" s="3" t="str">
        <f>INDEX([1]Risk_Matrix!$B$2:$D$4,MATCH(E1798,[1]Risk_Matrix!$A$2:$A$4,0),MATCH(F1798,[1]Risk_Matrix!$B$1:$D$1,0))</f>
        <v>Low</v>
      </c>
      <c r="H1798" s="10">
        <v>46117</v>
      </c>
      <c r="I1798" s="3" t="s">
        <v>981</v>
      </c>
      <c r="J1798" s="3" t="s">
        <v>982</v>
      </c>
      <c r="K1798" s="3" t="s">
        <v>960</v>
      </c>
      <c r="L1798" s="3">
        <f>IF(G1798="High",3,IF(G1798="Medium",2,1))</f>
        <v>1</v>
      </c>
    </row>
    <row r="1799" spans="1:12">
      <c r="A1799" s="3" t="s">
        <v>2792</v>
      </c>
      <c r="B1799" s="3" t="s">
        <v>929</v>
      </c>
      <c r="C1799" s="3" t="s">
        <v>971</v>
      </c>
      <c r="D1799" s="3" t="s">
        <v>972</v>
      </c>
      <c r="E1799" s="3" t="s">
        <v>47</v>
      </c>
      <c r="F1799" s="3" t="s">
        <v>47</v>
      </c>
      <c r="G1799" s="3" t="str">
        <f>INDEX([1]Risk_Matrix!$B$2:$D$4,MATCH(E1799,[1]Risk_Matrix!$A$2:$A$4,0),MATCH(F1799,[1]Risk_Matrix!$B$1:$D$1,0))</f>
        <v>Low</v>
      </c>
      <c r="H1799" s="10">
        <v>46131</v>
      </c>
      <c r="I1799" s="3" t="s">
        <v>973</v>
      </c>
      <c r="J1799" s="3" t="s">
        <v>974</v>
      </c>
      <c r="K1799" s="3" t="s">
        <v>993</v>
      </c>
      <c r="L1799" s="3">
        <f>IF(G1799="High",3,IF(G1799="Medium",2,1))</f>
        <v>1</v>
      </c>
    </row>
    <row r="1800" spans="1:12">
      <c r="A1800" s="3" t="s">
        <v>2793</v>
      </c>
      <c r="B1800" s="3" t="s">
        <v>929</v>
      </c>
      <c r="C1800" s="3" t="s">
        <v>976</v>
      </c>
      <c r="D1800" s="3" t="s">
        <v>977</v>
      </c>
      <c r="E1800" s="3" t="s">
        <v>942</v>
      </c>
      <c r="F1800" s="3" t="s">
        <v>47</v>
      </c>
      <c r="G1800" s="3" t="str">
        <f>INDEX([1]Risk_Matrix!$B$2:$D$4,MATCH(E1800,[1]Risk_Matrix!$A$2:$A$4,0),MATCH(F1800,[1]Risk_Matrix!$B$1:$D$1,0))</f>
        <v>Low</v>
      </c>
      <c r="H1800" s="10">
        <v>46211</v>
      </c>
      <c r="I1800" s="3" t="s">
        <v>973</v>
      </c>
      <c r="J1800" s="3" t="s">
        <v>974</v>
      </c>
      <c r="K1800" s="3" t="s">
        <v>960</v>
      </c>
      <c r="L1800" s="3">
        <f>IF(G1800="High",3,IF(G1800="Medium",2,1))</f>
        <v>1</v>
      </c>
    </row>
    <row r="1801" spans="1:12">
      <c r="A1801" s="3" t="s">
        <v>2794</v>
      </c>
      <c r="B1801" s="3" t="s">
        <v>929</v>
      </c>
      <c r="C1801" s="3" t="s">
        <v>979</v>
      </c>
      <c r="D1801" s="3" t="s">
        <v>1004</v>
      </c>
      <c r="E1801" s="3" t="s">
        <v>942</v>
      </c>
      <c r="F1801" s="3" t="s">
        <v>47</v>
      </c>
      <c r="G1801" s="3" t="str">
        <f>INDEX([1]Risk_Matrix!$B$2:$D$4,MATCH(E1801,[1]Risk_Matrix!$A$2:$A$4,0),MATCH(F1801,[1]Risk_Matrix!$B$1:$D$1,0))</f>
        <v>Low</v>
      </c>
      <c r="H1801" s="10">
        <v>46096</v>
      </c>
      <c r="I1801" s="3" t="s">
        <v>967</v>
      </c>
      <c r="J1801" s="3" t="s">
        <v>968</v>
      </c>
      <c r="K1801" s="3" t="s">
        <v>1000</v>
      </c>
      <c r="L1801" s="3">
        <f>IF(G1801="High",3,IF(G1801="Medium",2,1))</f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11"/>
  <sheetViews>
    <sheetView tabSelected="1" zoomScaleNormal="100" workbookViewId="0">
      <pane ySplit="1" topLeftCell="A110" activePane="bottomLeft" state="frozen"/>
      <selection pane="bottomLeft" activeCell="H3" sqref="H3:H121"/>
    </sheetView>
  </sheetViews>
  <sheetFormatPr defaultColWidth="8.7109375" defaultRowHeight="15"/>
  <cols>
    <col min="1" max="1" width="10" customWidth="1"/>
    <col min="2" max="2" width="8" customWidth="1"/>
    <col min="3" max="3" width="10" customWidth="1"/>
    <col min="4" max="4" width="34" customWidth="1"/>
    <col min="5" max="5" width="18" customWidth="1"/>
    <col min="6" max="6" width="16" customWidth="1"/>
    <col min="7" max="7" width="18" customWidth="1"/>
    <col min="8" max="8" width="16" customWidth="1"/>
    <col min="9" max="9" width="40" customWidth="1"/>
  </cols>
  <sheetData>
    <row r="1" spans="1:9" ht="23.85">
      <c r="A1" s="5" t="s">
        <v>2795</v>
      </c>
      <c r="B1" s="5" t="s">
        <v>2796</v>
      </c>
      <c r="C1" s="5" t="s">
        <v>322</v>
      </c>
      <c r="D1" s="5" t="s">
        <v>323</v>
      </c>
      <c r="E1" s="5" t="s">
        <v>271</v>
      </c>
      <c r="F1" s="5" t="s">
        <v>2797</v>
      </c>
      <c r="G1" s="5" t="s">
        <v>2798</v>
      </c>
      <c r="H1" s="5" t="s">
        <v>2799</v>
      </c>
      <c r="I1" s="5" t="s">
        <v>2800</v>
      </c>
    </row>
    <row r="2" spans="1:9">
      <c r="A2" s="3" t="s">
        <v>33</v>
      </c>
      <c r="B2" s="3">
        <v>1</v>
      </c>
      <c r="C2" s="3" t="s">
        <v>405</v>
      </c>
      <c r="D2" s="3" t="s">
        <v>2801</v>
      </c>
      <c r="E2" s="3" t="s">
        <v>321</v>
      </c>
      <c r="F2" s="3">
        <f>INDEX([1]Site_Evaluation!$K:$K,MATCH(C2,[1]Site_Evaluation!$A:$A,0))</f>
        <v>82</v>
      </c>
      <c r="G2" s="3">
        <f>COUNTIFS(Risk_Register!B:B,C2,Risk_Register!G:G,"High")</f>
        <v>0</v>
      </c>
      <c r="H2" s="3" t="str">
        <f>IF(_xlfn.MAXIFS(Risk_Register!$L:$L,Risk_Register!$B:$B,C2)=3,"High",IF(_xlfn.MAXIFS(Risk_Register!$L:$L,Risk_Register!$B:$B,C2)=2,"Medium","Low"))</f>
        <v>Medium</v>
      </c>
      <c r="I2" s="3" t="str">
        <f>IF(B2&lt;=3,"Preferred site - strong composite profile",IF(B2&lt;=10,"Backup candidate - viable with monitoring","Reserve - evaluate only if primary sites unavailable"))</f>
        <v>Preferred site - strong composite profile</v>
      </c>
    </row>
    <row r="3" spans="1:9">
      <c r="A3" s="3" t="s">
        <v>33</v>
      </c>
      <c r="B3" s="3">
        <v>2</v>
      </c>
      <c r="C3" s="3" t="s">
        <v>587</v>
      </c>
      <c r="D3" s="3" t="s">
        <v>2802</v>
      </c>
      <c r="E3" s="3" t="s">
        <v>284</v>
      </c>
      <c r="F3" s="3">
        <f>INDEX([1]Site_Evaluation!$K:$K,MATCH(C3,[1]Site_Evaluation!$A:$A,0))</f>
        <v>80</v>
      </c>
      <c r="G3" s="3">
        <f>COUNTIFS(Risk_Register!B:B,C3,Risk_Register!G:G,"High")</f>
        <v>2</v>
      </c>
      <c r="H3" s="3" t="str">
        <f>IF(_xlfn.MAXIFS(Risk_Register!$L:$L,Risk_Register!$B:$B,C3)=3,"High",IF(_xlfn.MAXIFS(Risk_Register!$L:$L,Risk_Register!$B:$B,C3)=2,"Medium","Low"))</f>
        <v>High</v>
      </c>
      <c r="I3" s="3" t="str">
        <f>IF(B3&lt;=3,"Preferred site - strong composite profile",IF(B3&lt;=10,"Backup candidate - viable with monitoring","Reserve - evaluate only if primary sites unavailable"))</f>
        <v>Preferred site - strong composite profile</v>
      </c>
    </row>
    <row r="4" spans="1:9">
      <c r="A4" s="3" t="s">
        <v>33</v>
      </c>
      <c r="B4" s="3">
        <v>3</v>
      </c>
      <c r="C4" s="3" t="s">
        <v>915</v>
      </c>
      <c r="D4" s="3" t="s">
        <v>916</v>
      </c>
      <c r="E4" s="3" t="s">
        <v>297</v>
      </c>
      <c r="F4" s="3">
        <f>INDEX([1]Site_Evaluation!$K:$K,MATCH(C4,[1]Site_Evaluation!$A:$A,0))</f>
        <v>74</v>
      </c>
      <c r="G4" s="3">
        <f>COUNTIFS(Risk_Register!B:B,C4,Risk_Register!G:G,"High")</f>
        <v>0</v>
      </c>
      <c r="H4" s="3" t="str">
        <f>IF(_xlfn.MAXIFS(Risk_Register!$L:$L,Risk_Register!$B:$B,C4)=3,"High",IF(_xlfn.MAXIFS(Risk_Register!$L:$L,Risk_Register!$B:$B,C4)=2,"Medium","Low"))</f>
        <v>Medium</v>
      </c>
      <c r="I4" s="3" t="str">
        <f>IF(B4&lt;=3,"Preferred site - strong composite profile",IF(B4&lt;=10,"Backup candidate - viable with monitoring","Reserve - evaluate only if primary sites unavailable"))</f>
        <v>Preferred site - strong composite profile</v>
      </c>
    </row>
    <row r="5" spans="1:9">
      <c r="A5" s="3" t="s">
        <v>33</v>
      </c>
      <c r="B5" s="3">
        <v>4</v>
      </c>
      <c r="C5" s="3" t="s">
        <v>548</v>
      </c>
      <c r="D5" s="3" t="s">
        <v>432</v>
      </c>
      <c r="E5" s="3" t="s">
        <v>279</v>
      </c>
      <c r="F5" s="3">
        <f>INDEX([1]Site_Evaluation!$K:$K,MATCH(C5,[1]Site_Evaluation!$A:$A,0))</f>
        <v>72</v>
      </c>
      <c r="G5" s="3">
        <f>COUNTIFS(Risk_Register!B:B,C5,Risk_Register!G:G,"High")</f>
        <v>0</v>
      </c>
      <c r="H5" s="3" t="str">
        <f>IF(_xlfn.MAXIFS(Risk_Register!$L:$L,Risk_Register!$B:$B,C5)=3,"High",IF(_xlfn.MAXIFS(Risk_Register!$L:$L,Risk_Register!$B:$B,C5)=2,"Medium","Low"))</f>
        <v>Medium</v>
      </c>
      <c r="I5" s="3" t="str">
        <f>IF(B5&lt;=3,"Preferred site - strong composite profile",IF(B5&lt;=10,"Backup candidate - viable with monitoring","Reserve - evaluate only if primary sites unavailable"))</f>
        <v>Backup candidate - viable with monitoring</v>
      </c>
    </row>
    <row r="6" spans="1:9">
      <c r="A6" s="3" t="s">
        <v>33</v>
      </c>
      <c r="B6" s="3">
        <v>5</v>
      </c>
      <c r="C6" s="3" t="s">
        <v>423</v>
      </c>
      <c r="D6" s="3" t="s">
        <v>2803</v>
      </c>
      <c r="E6" s="3" t="s">
        <v>290</v>
      </c>
      <c r="F6" s="3">
        <f>INDEX([1]Site_Evaluation!$K:$K,MATCH(C6,[1]Site_Evaluation!$A:$A,0))</f>
        <v>68</v>
      </c>
      <c r="G6" s="3">
        <f>COUNTIFS(Risk_Register!B:B,C6,Risk_Register!G:G,"High")</f>
        <v>2</v>
      </c>
      <c r="H6" s="3" t="str">
        <f>IF(_xlfn.MAXIFS(Risk_Register!$L:$L,Risk_Register!$B:$B,C6)=3,"High",IF(_xlfn.MAXIFS(Risk_Register!$L:$L,Risk_Register!$B:$B,C6)=2,"Medium","Low"))</f>
        <v>High</v>
      </c>
      <c r="I6" s="3" t="str">
        <f>IF(B6&lt;=3,"Preferred site - strong composite profile",IF(B6&lt;=10,"Backup candidate - viable with monitoring","Reserve - evaluate only if primary sites unavailable"))</f>
        <v>Backup candidate - viable with monitoring</v>
      </c>
    </row>
    <row r="7" spans="1:9">
      <c r="A7" s="3" t="s">
        <v>33</v>
      </c>
      <c r="B7" s="3">
        <v>6</v>
      </c>
      <c r="C7" s="3" t="s">
        <v>801</v>
      </c>
      <c r="D7" s="3" t="s">
        <v>802</v>
      </c>
      <c r="E7" s="3" t="s">
        <v>307</v>
      </c>
      <c r="F7" s="3">
        <f>INDEX([1]Site_Evaluation!$K:$K,MATCH(C7,[1]Site_Evaluation!$A:$A,0))</f>
        <v>68</v>
      </c>
      <c r="G7" s="3">
        <f>COUNTIFS(Risk_Register!B:B,C7,Risk_Register!G:G,"High")</f>
        <v>1</v>
      </c>
      <c r="H7" s="3" t="str">
        <f>IF(_xlfn.MAXIFS(Risk_Register!$L:$L,Risk_Register!$B:$B,C7)=3,"High",IF(_xlfn.MAXIFS(Risk_Register!$L:$L,Risk_Register!$B:$B,C7)=2,"Medium","Low"))</f>
        <v>High</v>
      </c>
      <c r="I7" s="3" t="str">
        <f>IF(B7&lt;=3,"Preferred site - strong composite profile",IF(B7&lt;=10,"Backup candidate - viable with monitoring","Reserve - evaluate only if primary sites unavailable"))</f>
        <v>Backup candidate - viable with monitoring</v>
      </c>
    </row>
    <row r="8" spans="1:9">
      <c r="A8" s="3" t="s">
        <v>33</v>
      </c>
      <c r="B8" s="3">
        <v>7</v>
      </c>
      <c r="C8" s="3" t="s">
        <v>889</v>
      </c>
      <c r="D8" s="3" t="s">
        <v>890</v>
      </c>
      <c r="E8" s="3" t="s">
        <v>309</v>
      </c>
      <c r="F8" s="3">
        <f>INDEX([1]Site_Evaluation!$K:$K,MATCH(C8,[1]Site_Evaluation!$A:$A,0))</f>
        <v>68</v>
      </c>
      <c r="G8" s="3">
        <f>COUNTIFS(Risk_Register!B:B,C8,Risk_Register!G:G,"High")</f>
        <v>1</v>
      </c>
      <c r="H8" s="3" t="str">
        <f>IF(_xlfn.MAXIFS(Risk_Register!$L:$L,Risk_Register!$B:$B,C8)=3,"High",IF(_xlfn.MAXIFS(Risk_Register!$L:$L,Risk_Register!$B:$B,C8)=2,"Medium","Low"))</f>
        <v>High</v>
      </c>
      <c r="I8" s="3" t="str">
        <f>IF(B8&lt;=3,"Preferred site - strong composite profile",IF(B8&lt;=10,"Backup candidate - viable with monitoring","Reserve - evaluate only if primary sites unavailable"))</f>
        <v>Backup candidate - viable with monitoring</v>
      </c>
    </row>
    <row r="9" spans="1:9">
      <c r="A9" s="3" t="s">
        <v>33</v>
      </c>
      <c r="B9" s="3">
        <v>8</v>
      </c>
      <c r="C9" s="3" t="s">
        <v>511</v>
      </c>
      <c r="D9" s="3" t="s">
        <v>2804</v>
      </c>
      <c r="E9" s="3" t="s">
        <v>317</v>
      </c>
      <c r="F9" s="3">
        <f>INDEX([1]Site_Evaluation!$K:$K,MATCH(C9,[1]Site_Evaluation!$A:$A,0))</f>
        <v>68</v>
      </c>
      <c r="G9" s="3">
        <f>COUNTIFS(Risk_Register!B:B,C9,Risk_Register!G:G,"High")</f>
        <v>1</v>
      </c>
      <c r="H9" s="3" t="str">
        <f>IF(_xlfn.MAXIFS(Risk_Register!$L:$L,Risk_Register!$B:$B,C9)=3,"High",IF(_xlfn.MAXIFS(Risk_Register!$L:$L,Risk_Register!$B:$B,C9)=2,"Medium","Low"))</f>
        <v>High</v>
      </c>
      <c r="I9" s="3" t="str">
        <f>IF(B9&lt;=3,"Preferred site - strong composite profile",IF(B9&lt;=10,"Backup candidate - viable with monitoring","Reserve - evaluate only if primary sites unavailable"))</f>
        <v>Backup candidate - viable with monitoring</v>
      </c>
    </row>
    <row r="10" spans="1:9">
      <c r="A10" s="3" t="s">
        <v>33</v>
      </c>
      <c r="B10" s="3">
        <v>9</v>
      </c>
      <c r="C10" s="3" t="s">
        <v>844</v>
      </c>
      <c r="D10" s="3" t="s">
        <v>481</v>
      </c>
      <c r="E10" s="3" t="s">
        <v>284</v>
      </c>
      <c r="F10" s="3">
        <f>INDEX([1]Site_Evaluation!$K:$K,MATCH(C10,[1]Site_Evaluation!$A:$A,0))</f>
        <v>63</v>
      </c>
      <c r="G10" s="3">
        <f>COUNTIFS(Risk_Register!B:B,C10,Risk_Register!G:G,"High")</f>
        <v>1</v>
      </c>
      <c r="H10" s="3" t="str">
        <f>IF(_xlfn.MAXIFS(Risk_Register!$L:$L,Risk_Register!$B:$B,C10)=3,"High",IF(_xlfn.MAXIFS(Risk_Register!$L:$L,Risk_Register!$B:$B,C10)=2,"Medium","Low"))</f>
        <v>High</v>
      </c>
      <c r="I10" s="3" t="str">
        <f>IF(B10&lt;=3,"Preferred site - strong composite profile",IF(B10&lt;=10,"Backup candidate - viable with monitoring","Reserve - evaluate only if primary sites unavailable"))</f>
        <v>Backup candidate - viable with monitoring</v>
      </c>
    </row>
    <row r="11" spans="1:9">
      <c r="A11" s="3" t="s">
        <v>33</v>
      </c>
      <c r="B11" s="3">
        <v>10</v>
      </c>
      <c r="C11" s="3" t="s">
        <v>832</v>
      </c>
      <c r="D11" s="3" t="s">
        <v>704</v>
      </c>
      <c r="E11" s="3" t="s">
        <v>290</v>
      </c>
      <c r="F11" s="3">
        <f>INDEX([1]Site_Evaluation!$K:$K,MATCH(C11,[1]Site_Evaluation!$A:$A,0))</f>
        <v>62</v>
      </c>
      <c r="G11" s="3">
        <f>COUNTIFS(Risk_Register!B:B,C11,Risk_Register!G:G,"High")</f>
        <v>0</v>
      </c>
      <c r="H11" s="3" t="str">
        <f>IF(_xlfn.MAXIFS(Risk_Register!$L:$L,Risk_Register!$B:$B,C11)=3,"High",IF(_xlfn.MAXIFS(Risk_Register!$L:$L,Risk_Register!$B:$B,C11)=2,"Medium","Low"))</f>
        <v>Medium</v>
      </c>
      <c r="I11" s="3" t="str">
        <f>IF(B11&lt;=3,"Preferred site - strong composite profile",IF(B11&lt;=10,"Backup candidate - viable with monitoring","Reserve - evaluate only if primary sites unavailable"))</f>
        <v>Backup candidate - viable with monitoring</v>
      </c>
    </row>
    <row r="12" spans="1:9">
      <c r="A12" s="3" t="s">
        <v>33</v>
      </c>
      <c r="B12" s="3">
        <v>11</v>
      </c>
      <c r="C12" s="3" t="s">
        <v>887</v>
      </c>
      <c r="D12" s="3" t="s">
        <v>888</v>
      </c>
      <c r="E12" s="3" t="s">
        <v>309</v>
      </c>
      <c r="F12" s="3">
        <f>INDEX([1]Site_Evaluation!$K:$K,MATCH(C12,[1]Site_Evaluation!$A:$A,0))</f>
        <v>61</v>
      </c>
      <c r="G12" s="3">
        <f>COUNTIFS(Risk_Register!B:B,C12,Risk_Register!G:G,"High")</f>
        <v>1</v>
      </c>
      <c r="H12" s="3" t="str">
        <f>IF(_xlfn.MAXIFS(Risk_Register!$L:$L,Risk_Register!$B:$B,C12)=3,"High",IF(_xlfn.MAXIFS(Risk_Register!$L:$L,Risk_Register!$B:$B,C12)=2,"Medium","Low"))</f>
        <v>High</v>
      </c>
      <c r="I12" s="3" t="str">
        <f>IF(B12&lt;=3,"Preferred site - strong composite profile",IF(B12&lt;=10,"Backup candidate - viable with monitoring","Reserve - evaluate only if primary sites unavailable"))</f>
        <v>Reserve - evaluate only if primary sites unavailable</v>
      </c>
    </row>
    <row r="13" spans="1:9">
      <c r="A13" s="3" t="s">
        <v>33</v>
      </c>
      <c r="B13" s="3">
        <v>12</v>
      </c>
      <c r="C13" s="3" t="s">
        <v>504</v>
      </c>
      <c r="D13" s="3" t="s">
        <v>2805</v>
      </c>
      <c r="E13" s="3" t="s">
        <v>295</v>
      </c>
      <c r="F13" s="3">
        <f>INDEX([1]Site_Evaluation!$K:$K,MATCH(C13,[1]Site_Evaluation!$A:$A,0))</f>
        <v>61</v>
      </c>
      <c r="G13" s="3">
        <f>COUNTIFS(Risk_Register!B:B,C13,Risk_Register!G:G,"High")</f>
        <v>2</v>
      </c>
      <c r="H13" s="3" t="str">
        <f>IF(_xlfn.MAXIFS(Risk_Register!$L:$L,Risk_Register!$B:$B,C13)=3,"High",IF(_xlfn.MAXIFS(Risk_Register!$L:$L,Risk_Register!$B:$B,C13)=2,"Medium","Low"))</f>
        <v>High</v>
      </c>
      <c r="I13" s="3" t="str">
        <f>IF(B13&lt;=3,"Preferred site - strong composite profile",IF(B13&lt;=10,"Backup candidate - viable with monitoring","Reserve - evaluate only if primary sites unavailable"))</f>
        <v>Reserve - evaluate only if primary sites unavailable</v>
      </c>
    </row>
    <row r="14" spans="1:9">
      <c r="A14" s="3" t="s">
        <v>33</v>
      </c>
      <c r="B14" s="3">
        <v>13</v>
      </c>
      <c r="C14" s="3" t="s">
        <v>807</v>
      </c>
      <c r="D14" s="3" t="s">
        <v>808</v>
      </c>
      <c r="E14" s="3" t="s">
        <v>299</v>
      </c>
      <c r="F14" s="3">
        <f>INDEX([1]Site_Evaluation!$K:$K,MATCH(C14,[1]Site_Evaluation!$A:$A,0))</f>
        <v>61</v>
      </c>
      <c r="G14" s="3">
        <f>COUNTIFS(Risk_Register!B:B,C14,Risk_Register!G:G,"High")</f>
        <v>1</v>
      </c>
      <c r="H14" s="3" t="str">
        <f>IF(_xlfn.MAXIFS(Risk_Register!$L:$L,Risk_Register!$B:$B,C14)=3,"High",IF(_xlfn.MAXIFS(Risk_Register!$L:$L,Risk_Register!$B:$B,C14)=2,"Medium","Low"))</f>
        <v>High</v>
      </c>
      <c r="I14" s="3" t="str">
        <f>IF(B14&lt;=3,"Preferred site - strong composite profile",IF(B14&lt;=10,"Backup candidate - viable with monitoring","Reserve - evaluate only if primary sites unavailable"))</f>
        <v>Reserve - evaluate only if primary sites unavailable</v>
      </c>
    </row>
    <row r="15" spans="1:9">
      <c r="A15" s="3" t="s">
        <v>33</v>
      </c>
      <c r="B15" s="3">
        <v>14</v>
      </c>
      <c r="C15" s="3" t="s">
        <v>881</v>
      </c>
      <c r="D15" s="3" t="s">
        <v>882</v>
      </c>
      <c r="E15" s="3" t="s">
        <v>315</v>
      </c>
      <c r="F15" s="3">
        <f>INDEX([1]Site_Evaluation!$K:$K,MATCH(C15,[1]Site_Evaluation!$A:$A,0))</f>
        <v>61</v>
      </c>
      <c r="G15" s="3">
        <f>COUNTIFS(Risk_Register!B:B,C15,Risk_Register!G:G,"High")</f>
        <v>1</v>
      </c>
      <c r="H15" s="3" t="str">
        <f>IF(_xlfn.MAXIFS(Risk_Register!$L:$L,Risk_Register!$B:$B,C15)=3,"High",IF(_xlfn.MAXIFS(Risk_Register!$L:$L,Risk_Register!$B:$B,C15)=2,"Medium","Low"))</f>
        <v>High</v>
      </c>
      <c r="I15" s="3" t="str">
        <f>IF(B15&lt;=3,"Preferred site - strong composite profile",IF(B15&lt;=10,"Backup candidate - viable with monitoring","Reserve - evaluate only if primary sites unavailable"))</f>
        <v>Reserve - evaluate only if primary sites unavailable</v>
      </c>
    </row>
    <row r="16" spans="1:9">
      <c r="A16" s="3" t="s">
        <v>33</v>
      </c>
      <c r="B16" s="3">
        <v>15</v>
      </c>
      <c r="C16" s="3" t="s">
        <v>891</v>
      </c>
      <c r="D16" s="3" t="s">
        <v>892</v>
      </c>
      <c r="E16" s="3" t="s">
        <v>286</v>
      </c>
      <c r="F16" s="3">
        <f>INDEX([1]Site_Evaluation!$K:$K,MATCH(C16,[1]Site_Evaluation!$A:$A,0))</f>
        <v>61</v>
      </c>
      <c r="G16" s="3">
        <f>COUNTIFS(Risk_Register!B:B,C16,Risk_Register!G:G,"High")</f>
        <v>1</v>
      </c>
      <c r="H16" s="3" t="str">
        <f>IF(_xlfn.MAXIFS(Risk_Register!$L:$L,Risk_Register!$B:$B,C16)=3,"High",IF(_xlfn.MAXIFS(Risk_Register!$L:$L,Risk_Register!$B:$B,C16)=2,"Medium","Low"))</f>
        <v>High</v>
      </c>
      <c r="I16" s="3" t="str">
        <f>IF(B16&lt;=3,"Preferred site - strong composite profile",IF(B16&lt;=10,"Backup candidate - viable with monitoring","Reserve - evaluate only if primary sites unavailable"))</f>
        <v>Reserve - evaluate only if primary sites unavailable</v>
      </c>
    </row>
    <row r="17" spans="1:9">
      <c r="A17" s="3" t="s">
        <v>33</v>
      </c>
      <c r="B17" s="3">
        <v>16</v>
      </c>
      <c r="C17" s="3" t="s">
        <v>675</v>
      </c>
      <c r="D17" s="3" t="s">
        <v>880</v>
      </c>
      <c r="E17" s="3" t="s">
        <v>280</v>
      </c>
      <c r="F17" s="3">
        <f>INDEX([1]Site_Evaluation!$K:$K,MATCH(C17,[1]Site_Evaluation!$A:$A,0))</f>
        <v>60</v>
      </c>
      <c r="G17" s="3">
        <f>COUNTIFS(Risk_Register!B:B,C17,Risk_Register!G:G,"High")</f>
        <v>3</v>
      </c>
      <c r="H17" s="3" t="str">
        <f>IF(_xlfn.MAXIFS(Risk_Register!$L:$L,Risk_Register!$B:$B,C17)=3,"High",IF(_xlfn.MAXIFS(Risk_Register!$L:$L,Risk_Register!$B:$B,C17)=2,"Medium","Low"))</f>
        <v>High</v>
      </c>
      <c r="I17" s="3" t="str">
        <f>IF(B17&lt;=3,"Preferred site - strong composite profile",IF(B17&lt;=10,"Backup candidate - viable with monitoring","Reserve - evaluate only if primary sites unavailable"))</f>
        <v>Reserve - evaluate only if primary sites unavailable</v>
      </c>
    </row>
    <row r="18" spans="1:9">
      <c r="A18" s="3" t="s">
        <v>33</v>
      </c>
      <c r="B18" s="3">
        <v>17</v>
      </c>
      <c r="C18" s="3" t="s">
        <v>595</v>
      </c>
      <c r="D18" s="3" t="s">
        <v>2806</v>
      </c>
      <c r="E18" s="3" t="s">
        <v>309</v>
      </c>
      <c r="F18" s="3">
        <f>INDEX([1]Site_Evaluation!$K:$K,MATCH(C18,[1]Site_Evaluation!$A:$A,0))</f>
        <v>60</v>
      </c>
      <c r="G18" s="3">
        <f>COUNTIFS(Risk_Register!B:B,C18,Risk_Register!G:G,"High")</f>
        <v>3</v>
      </c>
      <c r="H18" s="3" t="str">
        <f>IF(_xlfn.MAXIFS(Risk_Register!$L:$L,Risk_Register!$B:$B,C18)=3,"High",IF(_xlfn.MAXIFS(Risk_Register!$L:$L,Risk_Register!$B:$B,C18)=2,"Medium","Low"))</f>
        <v>High</v>
      </c>
      <c r="I18" s="3" t="str">
        <f>IF(B18&lt;=3,"Preferred site - strong composite profile",IF(B18&lt;=10,"Backup candidate - viable with monitoring","Reserve - evaluate only if primary sites unavailable"))</f>
        <v>Reserve - evaluate only if primary sites unavailable</v>
      </c>
    </row>
    <row r="19" spans="1:9">
      <c r="A19" s="3" t="s">
        <v>33</v>
      </c>
      <c r="B19" s="3">
        <v>18</v>
      </c>
      <c r="C19" s="3" t="s">
        <v>653</v>
      </c>
      <c r="D19" s="3" t="s">
        <v>2807</v>
      </c>
      <c r="E19" s="3" t="s">
        <v>307</v>
      </c>
      <c r="F19" s="3">
        <f>INDEX([1]Site_Evaluation!$K:$K,MATCH(C19,[1]Site_Evaluation!$A:$A,0))</f>
        <v>60</v>
      </c>
      <c r="G19" s="3">
        <f>COUNTIFS(Risk_Register!B:B,C19,Risk_Register!G:G,"High")</f>
        <v>1</v>
      </c>
      <c r="H19" s="3" t="str">
        <f>IF(_xlfn.MAXIFS(Risk_Register!$L:$L,Risk_Register!$B:$B,C19)=3,"High",IF(_xlfn.MAXIFS(Risk_Register!$L:$L,Risk_Register!$B:$B,C19)=2,"Medium","Low"))</f>
        <v>High</v>
      </c>
      <c r="I19" s="3" t="str">
        <f>IF(B19&lt;=3,"Preferred site - strong composite profile",IF(B19&lt;=10,"Backup candidate - viable with monitoring","Reserve - evaluate only if primary sites unavailable"))</f>
        <v>Reserve - evaluate only if primary sites unavailable</v>
      </c>
    </row>
    <row r="20" spans="1:9">
      <c r="A20" s="3" t="s">
        <v>33</v>
      </c>
      <c r="B20" s="3">
        <v>19</v>
      </c>
      <c r="C20" s="3" t="s">
        <v>500</v>
      </c>
      <c r="D20" s="3" t="s">
        <v>882</v>
      </c>
      <c r="E20" s="3" t="s">
        <v>315</v>
      </c>
      <c r="F20" s="3">
        <f>INDEX([1]Site_Evaluation!$K:$K,MATCH(C20,[1]Site_Evaluation!$A:$A,0))</f>
        <v>59</v>
      </c>
      <c r="G20" s="3">
        <f>COUNTIFS(Risk_Register!B:B,C20,Risk_Register!G:G,"High")</f>
        <v>0</v>
      </c>
      <c r="H20" s="3" t="str">
        <f>IF(_xlfn.MAXIFS(Risk_Register!$L:$L,Risk_Register!$B:$B,C20)=3,"High",IF(_xlfn.MAXIFS(Risk_Register!$L:$L,Risk_Register!$B:$B,C20)=2,"Medium","Low"))</f>
        <v>Medium</v>
      </c>
      <c r="I20" s="3" t="str">
        <f>IF(B20&lt;=3,"Preferred site - strong composite profile",IF(B20&lt;=10,"Backup candidate - viable with monitoring","Reserve - evaluate only if primary sites unavailable"))</f>
        <v>Reserve - evaluate only if primary sites unavailable</v>
      </c>
    </row>
    <row r="21" spans="1:9">
      <c r="A21" s="3" t="s">
        <v>33</v>
      </c>
      <c r="B21" s="3">
        <v>20</v>
      </c>
      <c r="C21" s="3" t="s">
        <v>447</v>
      </c>
      <c r="D21" s="3" t="s">
        <v>795</v>
      </c>
      <c r="E21" s="3" t="s">
        <v>311</v>
      </c>
      <c r="F21" s="3">
        <f>INDEX([1]Site_Evaluation!$K:$K,MATCH(C21,[1]Site_Evaluation!$A:$A,0))</f>
        <v>59</v>
      </c>
      <c r="G21" s="3">
        <f>COUNTIFS(Risk_Register!B:B,C21,Risk_Register!G:G,"High")</f>
        <v>0</v>
      </c>
      <c r="H21" s="3" t="str">
        <f>IF(_xlfn.MAXIFS(Risk_Register!$L:$L,Risk_Register!$B:$B,C21)=3,"High",IF(_xlfn.MAXIFS(Risk_Register!$L:$L,Risk_Register!$B:$B,C21)=2,"Medium","Low"))</f>
        <v>Medium</v>
      </c>
      <c r="I21" s="3" t="str">
        <f>IF(B21&lt;=3,"Preferred site - strong composite profile",IF(B21&lt;=10,"Backup candidate - viable with monitoring","Reserve - evaluate only if primary sites unavailable"))</f>
        <v>Reserve - evaluate only if primary sites unavailable</v>
      </c>
    </row>
    <row r="22" spans="1:9">
      <c r="A22" s="3" t="s">
        <v>39</v>
      </c>
      <c r="B22" s="3">
        <v>1</v>
      </c>
      <c r="C22" s="3" t="s">
        <v>540</v>
      </c>
      <c r="D22" s="3" t="s">
        <v>2808</v>
      </c>
      <c r="E22" s="3" t="s">
        <v>315</v>
      </c>
      <c r="F22" s="3">
        <f>INDEX([1]Site_Evaluation!$K:$K,MATCH(C22,[1]Site_Evaluation!$A:$A,0))</f>
        <v>76</v>
      </c>
      <c r="G22" s="3">
        <f>COUNTIFS(Risk_Register!B:B,C22,Risk_Register!G:G,"High")</f>
        <v>2</v>
      </c>
      <c r="H22" s="3" t="str">
        <f>IF(_xlfn.MAXIFS(Risk_Register!$L:$L,Risk_Register!$B:$B,C22)=3,"High",IF(_xlfn.MAXIFS(Risk_Register!$L:$L,Risk_Register!$B:$B,C22)=2,"Medium","Low"))</f>
        <v>High</v>
      </c>
      <c r="I22" s="3" t="str">
        <f>IF(B22&lt;=3,"Preferred site - strong composite profile",IF(B22&lt;=10,"Backup candidate - viable with monitoring","Reserve - evaluate only if primary sites unavailable"))</f>
        <v>Preferred site - strong composite profile</v>
      </c>
    </row>
    <row r="23" spans="1:9">
      <c r="A23" s="3" t="s">
        <v>39</v>
      </c>
      <c r="B23" s="3">
        <v>2</v>
      </c>
      <c r="C23" s="3" t="s">
        <v>609</v>
      </c>
      <c r="D23" s="3" t="s">
        <v>2809</v>
      </c>
      <c r="E23" s="3" t="s">
        <v>321</v>
      </c>
      <c r="F23" s="3">
        <f>INDEX([1]Site_Evaluation!$K:$K,MATCH(C23,[1]Site_Evaluation!$A:$A,0))</f>
        <v>74</v>
      </c>
      <c r="G23" s="3">
        <f>COUNTIFS(Risk_Register!B:B,C23,Risk_Register!G:G,"High")</f>
        <v>1</v>
      </c>
      <c r="H23" s="3" t="str">
        <f>IF(_xlfn.MAXIFS(Risk_Register!$L:$L,Risk_Register!$B:$B,C23)=3,"High",IF(_xlfn.MAXIFS(Risk_Register!$L:$L,Risk_Register!$B:$B,C23)=2,"Medium","Low"))</f>
        <v>High</v>
      </c>
      <c r="I23" s="3" t="str">
        <f>IF(B23&lt;=3,"Preferred site - strong composite profile",IF(B23&lt;=10,"Backup candidate - viable with monitoring","Reserve - evaluate only if primary sites unavailable"))</f>
        <v>Preferred site - strong composite profile</v>
      </c>
    </row>
    <row r="24" spans="1:9">
      <c r="A24" s="3" t="s">
        <v>39</v>
      </c>
      <c r="B24" s="3">
        <v>3</v>
      </c>
      <c r="C24" s="3" t="s">
        <v>689</v>
      </c>
      <c r="D24" s="3" t="s">
        <v>2810</v>
      </c>
      <c r="E24" s="3" t="s">
        <v>299</v>
      </c>
      <c r="F24" s="3">
        <f>INDEX([1]Site_Evaluation!$K:$K,MATCH(C24,[1]Site_Evaluation!$A:$A,0))</f>
        <v>71</v>
      </c>
      <c r="G24" s="3">
        <f>COUNTIFS(Risk_Register!B:B,C24,Risk_Register!G:G,"High")</f>
        <v>0</v>
      </c>
      <c r="H24" s="3" t="str">
        <f>IF(_xlfn.MAXIFS(Risk_Register!$L:$L,Risk_Register!$B:$B,C24)=3,"High",IF(_xlfn.MAXIFS(Risk_Register!$L:$L,Risk_Register!$B:$B,C24)=2,"Medium","Low"))</f>
        <v>Medium</v>
      </c>
      <c r="I24" s="3" t="str">
        <f>IF(B24&lt;=3,"Preferred site - strong composite profile",IF(B24&lt;=10,"Backup candidate - viable with monitoring","Reserve - evaluate only if primary sites unavailable"))</f>
        <v>Preferred site - strong composite profile</v>
      </c>
    </row>
    <row r="25" spans="1:9">
      <c r="A25" s="3" t="s">
        <v>39</v>
      </c>
      <c r="B25" s="3">
        <v>4</v>
      </c>
      <c r="C25" s="3" t="s">
        <v>783</v>
      </c>
      <c r="D25" s="3" t="s">
        <v>784</v>
      </c>
      <c r="E25" s="3" t="s">
        <v>303</v>
      </c>
      <c r="F25" s="3">
        <f>INDEX([1]Site_Evaluation!$K:$K,MATCH(C25,[1]Site_Evaluation!$A:$A,0))</f>
        <v>67</v>
      </c>
      <c r="G25" s="3">
        <f>COUNTIFS(Risk_Register!B:B,C25,Risk_Register!G:G,"High")</f>
        <v>2</v>
      </c>
      <c r="H25" s="3" t="str">
        <f>IF(_xlfn.MAXIFS(Risk_Register!$L:$L,Risk_Register!$B:$B,C25)=3,"High",IF(_xlfn.MAXIFS(Risk_Register!$L:$L,Risk_Register!$B:$B,C25)=2,"Medium","Low"))</f>
        <v>High</v>
      </c>
      <c r="I25" s="3" t="str">
        <f>IF(B25&lt;=3,"Preferred site - strong composite profile",IF(B25&lt;=10,"Backup candidate - viable with monitoring","Reserve - evaluate only if primary sites unavailable"))</f>
        <v>Backup candidate - viable with monitoring</v>
      </c>
    </row>
    <row r="26" spans="1:9">
      <c r="A26" s="3" t="s">
        <v>39</v>
      </c>
      <c r="B26" s="3">
        <v>5</v>
      </c>
      <c r="C26" s="3" t="s">
        <v>651</v>
      </c>
      <c r="D26" s="3" t="s">
        <v>2811</v>
      </c>
      <c r="E26" s="3" t="s">
        <v>294</v>
      </c>
      <c r="F26" s="3">
        <f>INDEX([1]Site_Evaluation!$K:$K,MATCH(C26,[1]Site_Evaluation!$A:$A,0))</f>
        <v>66</v>
      </c>
      <c r="G26" s="3">
        <f>COUNTIFS(Risk_Register!B:B,C26,Risk_Register!G:G,"High")</f>
        <v>1</v>
      </c>
      <c r="H26" s="3" t="str">
        <f>IF(_xlfn.MAXIFS(Risk_Register!$L:$L,Risk_Register!$B:$B,C26)=3,"High",IF(_xlfn.MAXIFS(Risk_Register!$L:$L,Risk_Register!$B:$B,C26)=2,"Medium","Low"))</f>
        <v>High</v>
      </c>
      <c r="I26" s="3" t="str">
        <f>IF(B26&lt;=3,"Preferred site - strong composite profile",IF(B26&lt;=10,"Backup candidate - viable with monitoring","Reserve - evaluate only if primary sites unavailable"))</f>
        <v>Backup candidate - viable with monitoring</v>
      </c>
    </row>
    <row r="27" spans="1:9">
      <c r="A27" s="3" t="s">
        <v>39</v>
      </c>
      <c r="B27" s="3">
        <v>6</v>
      </c>
      <c r="C27" s="3" t="s">
        <v>712</v>
      </c>
      <c r="D27" s="3" t="s">
        <v>2812</v>
      </c>
      <c r="E27" s="3" t="s">
        <v>307</v>
      </c>
      <c r="F27" s="3">
        <f>INDEX([1]Site_Evaluation!$K:$K,MATCH(C27,[1]Site_Evaluation!$A:$A,0))</f>
        <v>65</v>
      </c>
      <c r="G27" s="3">
        <f>COUNTIFS(Risk_Register!B:B,C27,Risk_Register!G:G,"High")</f>
        <v>0</v>
      </c>
      <c r="H27" s="3" t="str">
        <f>IF(_xlfn.MAXIFS(Risk_Register!$L:$L,Risk_Register!$B:$B,C27)=3,"High",IF(_xlfn.MAXIFS(Risk_Register!$L:$L,Risk_Register!$B:$B,C27)=2,"Medium","Low"))</f>
        <v>Medium</v>
      </c>
      <c r="I27" s="3" t="str">
        <f>IF(B27&lt;=3,"Preferred site - strong composite profile",IF(B27&lt;=10,"Backup candidate - viable with monitoring","Reserve - evaluate only if primary sites unavailable"))</f>
        <v>Backup candidate - viable with monitoring</v>
      </c>
    </row>
    <row r="28" spans="1:9">
      <c r="A28" s="3" t="s">
        <v>39</v>
      </c>
      <c r="B28" s="3">
        <v>7</v>
      </c>
      <c r="C28" s="3" t="s">
        <v>703</v>
      </c>
      <c r="D28" s="3" t="s">
        <v>2812</v>
      </c>
      <c r="E28" s="3" t="s">
        <v>307</v>
      </c>
      <c r="F28" s="3">
        <f>INDEX([1]Site_Evaluation!$K:$K,MATCH(C28,[1]Site_Evaluation!$A:$A,0))</f>
        <v>64</v>
      </c>
      <c r="G28" s="3">
        <f>COUNTIFS(Risk_Register!B:B,C28,Risk_Register!G:G,"High")</f>
        <v>1</v>
      </c>
      <c r="H28" s="3" t="str">
        <f>IF(_xlfn.MAXIFS(Risk_Register!$L:$L,Risk_Register!$B:$B,C28)=3,"High",IF(_xlfn.MAXIFS(Risk_Register!$L:$L,Risk_Register!$B:$B,C28)=2,"Medium","Low"))</f>
        <v>High</v>
      </c>
      <c r="I28" s="3" t="str">
        <f>IF(B28&lt;=3,"Preferred site - strong composite profile",IF(B28&lt;=10,"Backup candidate - viable with monitoring","Reserve - evaluate only if primary sites unavailable"))</f>
        <v>Backup candidate - viable with monitoring</v>
      </c>
    </row>
    <row r="29" spans="1:9">
      <c r="A29" s="3" t="s">
        <v>39</v>
      </c>
      <c r="B29" s="3">
        <v>8</v>
      </c>
      <c r="C29" s="3" t="s">
        <v>408</v>
      </c>
      <c r="D29" s="3" t="s">
        <v>463</v>
      </c>
      <c r="E29" s="3" t="s">
        <v>286</v>
      </c>
      <c r="F29" s="3">
        <f>INDEX([1]Site_Evaluation!$K:$K,MATCH(C29,[1]Site_Evaluation!$A:$A,0))</f>
        <v>63</v>
      </c>
      <c r="G29" s="3">
        <f>COUNTIFS(Risk_Register!B:B,C29,Risk_Register!G:G,"High")</f>
        <v>1</v>
      </c>
      <c r="H29" s="3" t="str">
        <f>IF(_xlfn.MAXIFS(Risk_Register!$L:$L,Risk_Register!$B:$B,C29)=3,"High",IF(_xlfn.MAXIFS(Risk_Register!$L:$L,Risk_Register!$B:$B,C29)=2,"Medium","Low"))</f>
        <v>High</v>
      </c>
      <c r="I29" s="3" t="str">
        <f>IF(B29&lt;=3,"Preferred site - strong composite profile",IF(B29&lt;=10,"Backup candidate - viable with monitoring","Reserve - evaluate only if primary sites unavailable"))</f>
        <v>Backup candidate - viable with monitoring</v>
      </c>
    </row>
    <row r="30" spans="1:9">
      <c r="A30" s="3" t="s">
        <v>39</v>
      </c>
      <c r="B30" s="3">
        <v>9</v>
      </c>
      <c r="C30" s="3" t="s">
        <v>924</v>
      </c>
      <c r="D30" s="3" t="s">
        <v>925</v>
      </c>
      <c r="E30" s="3" t="s">
        <v>313</v>
      </c>
      <c r="F30" s="3">
        <f>INDEX([1]Site_Evaluation!$K:$K,MATCH(C30,[1]Site_Evaluation!$A:$A,0))</f>
        <v>62</v>
      </c>
      <c r="G30" s="3">
        <f>COUNTIFS(Risk_Register!B:B,C30,Risk_Register!G:G,"High")</f>
        <v>2</v>
      </c>
      <c r="H30" s="3" t="str">
        <f>IF(_xlfn.MAXIFS(Risk_Register!$L:$L,Risk_Register!$B:$B,C30)=3,"High",IF(_xlfn.MAXIFS(Risk_Register!$L:$L,Risk_Register!$B:$B,C30)=2,"Medium","Low"))</f>
        <v>High</v>
      </c>
      <c r="I30" s="3" t="str">
        <f>IF(B30&lt;=3,"Preferred site - strong composite profile",IF(B30&lt;=10,"Backup candidate - viable with monitoring","Reserve - evaluate only if primary sites unavailable"))</f>
        <v>Backup candidate - viable with monitoring</v>
      </c>
    </row>
    <row r="31" spans="1:9">
      <c r="A31" s="3" t="s">
        <v>39</v>
      </c>
      <c r="B31" s="3">
        <v>10</v>
      </c>
      <c r="C31" s="3" t="s">
        <v>681</v>
      </c>
      <c r="D31" s="3" t="s">
        <v>2813</v>
      </c>
      <c r="E31" s="3" t="s">
        <v>303</v>
      </c>
      <c r="F31" s="3">
        <f>INDEX([1]Site_Evaluation!$K:$K,MATCH(C31,[1]Site_Evaluation!$A:$A,0))</f>
        <v>62</v>
      </c>
      <c r="G31" s="3">
        <f>COUNTIFS(Risk_Register!B:B,C31,Risk_Register!G:G,"High")</f>
        <v>1</v>
      </c>
      <c r="H31" s="3" t="str">
        <f>IF(_xlfn.MAXIFS(Risk_Register!$L:$L,Risk_Register!$B:$B,C31)=3,"High",IF(_xlfn.MAXIFS(Risk_Register!$L:$L,Risk_Register!$B:$B,C31)=2,"Medium","Low"))</f>
        <v>High</v>
      </c>
      <c r="I31" s="3" t="str">
        <f>IF(B31&lt;=3,"Preferred site - strong composite profile",IF(B31&lt;=10,"Backup candidate - viable with monitoring","Reserve - evaluate only if primary sites unavailable"))</f>
        <v>Backup candidate - viable with monitoring</v>
      </c>
    </row>
    <row r="32" spans="1:9">
      <c r="A32" s="3" t="s">
        <v>39</v>
      </c>
      <c r="B32" s="3">
        <v>11</v>
      </c>
      <c r="C32" s="3" t="s">
        <v>788</v>
      </c>
      <c r="D32" s="3" t="s">
        <v>376</v>
      </c>
      <c r="E32" s="3" t="s">
        <v>290</v>
      </c>
      <c r="F32" s="3">
        <f>INDEX([1]Site_Evaluation!$K:$K,MATCH(C32,[1]Site_Evaluation!$A:$A,0))</f>
        <v>60</v>
      </c>
      <c r="G32" s="3">
        <f>COUNTIFS(Risk_Register!B:B,C32,Risk_Register!G:G,"High")</f>
        <v>0</v>
      </c>
      <c r="H32" s="3" t="str">
        <f>IF(_xlfn.MAXIFS(Risk_Register!$L:$L,Risk_Register!$B:$B,C32)=3,"High",IF(_xlfn.MAXIFS(Risk_Register!$L:$L,Risk_Register!$B:$B,C32)=2,"Medium","Low"))</f>
        <v>Medium</v>
      </c>
      <c r="I32" s="3" t="str">
        <f>IF(B32&lt;=3,"Preferred site - strong composite profile",IF(B32&lt;=10,"Backup candidate - viable with monitoring","Reserve - evaluate only if primary sites unavailable"))</f>
        <v>Reserve - evaluate only if primary sites unavailable</v>
      </c>
    </row>
    <row r="33" spans="1:9">
      <c r="A33" s="3" t="s">
        <v>39</v>
      </c>
      <c r="B33" s="3">
        <v>12</v>
      </c>
      <c r="C33" s="3" t="s">
        <v>791</v>
      </c>
      <c r="D33" s="3" t="s">
        <v>792</v>
      </c>
      <c r="E33" s="3" t="s">
        <v>309</v>
      </c>
      <c r="F33" s="3">
        <f>INDEX([1]Site_Evaluation!$K:$K,MATCH(C33,[1]Site_Evaluation!$A:$A,0))</f>
        <v>60</v>
      </c>
      <c r="G33" s="3">
        <f>COUNTIFS(Risk_Register!B:B,C33,Risk_Register!G:G,"High")</f>
        <v>2</v>
      </c>
      <c r="H33" s="3" t="str">
        <f>IF(_xlfn.MAXIFS(Risk_Register!$L:$L,Risk_Register!$B:$B,C33)=3,"High",IF(_xlfn.MAXIFS(Risk_Register!$L:$L,Risk_Register!$B:$B,C33)=2,"Medium","Low"))</f>
        <v>High</v>
      </c>
      <c r="I33" s="3" t="str">
        <f>IF(B33&lt;=3,"Preferred site - strong composite profile",IF(B33&lt;=10,"Backup candidate - viable with monitoring","Reserve - evaluate only if primary sites unavailable"))</f>
        <v>Reserve - evaluate only if primary sites unavailable</v>
      </c>
    </row>
    <row r="34" spans="1:9">
      <c r="A34" s="3" t="s">
        <v>39</v>
      </c>
      <c r="B34" s="3">
        <v>13</v>
      </c>
      <c r="C34" s="3" t="s">
        <v>797</v>
      </c>
      <c r="D34" s="3" t="s">
        <v>798</v>
      </c>
      <c r="E34" s="3" t="s">
        <v>309</v>
      </c>
      <c r="F34" s="3">
        <f>INDEX([1]Site_Evaluation!$K:$K,MATCH(C34,[1]Site_Evaluation!$A:$A,0))</f>
        <v>60</v>
      </c>
      <c r="G34" s="3">
        <f>COUNTIFS(Risk_Register!B:B,C34,Risk_Register!G:G,"High")</f>
        <v>0</v>
      </c>
      <c r="H34" s="3" t="str">
        <f>IF(_xlfn.MAXIFS(Risk_Register!$L:$L,Risk_Register!$B:$B,C34)=3,"High",IF(_xlfn.MAXIFS(Risk_Register!$L:$L,Risk_Register!$B:$B,C34)=2,"Medium","Low"))</f>
        <v>Medium</v>
      </c>
      <c r="I34" s="3" t="str">
        <f>IF(B34&lt;=3,"Preferred site - strong composite profile",IF(B34&lt;=10,"Backup candidate - viable with monitoring","Reserve - evaluate only if primary sites unavailable"))</f>
        <v>Reserve - evaluate only if primary sites unavailable</v>
      </c>
    </row>
    <row r="35" spans="1:9">
      <c r="A35" s="3" t="s">
        <v>39</v>
      </c>
      <c r="B35" s="3">
        <v>14</v>
      </c>
      <c r="C35" s="3" t="s">
        <v>534</v>
      </c>
      <c r="D35" s="3" t="s">
        <v>529</v>
      </c>
      <c r="E35" s="3" t="s">
        <v>284</v>
      </c>
      <c r="F35" s="3">
        <f>INDEX([1]Site_Evaluation!$K:$K,MATCH(C35,[1]Site_Evaluation!$A:$A,0))</f>
        <v>60</v>
      </c>
      <c r="G35" s="3">
        <f>COUNTIFS(Risk_Register!B:B,C35,Risk_Register!G:G,"High")</f>
        <v>0</v>
      </c>
      <c r="H35" s="3" t="str">
        <f>IF(_xlfn.MAXIFS(Risk_Register!$L:$L,Risk_Register!$B:$B,C35)=3,"High",IF(_xlfn.MAXIFS(Risk_Register!$L:$L,Risk_Register!$B:$B,C35)=2,"Medium","Low"))</f>
        <v>Medium</v>
      </c>
      <c r="I35" s="3" t="str">
        <f>IF(B35&lt;=3,"Preferred site - strong composite profile",IF(B35&lt;=10,"Backup candidate - viable with monitoring","Reserve - evaluate only if primary sites unavailable"))</f>
        <v>Reserve - evaluate only if primary sites unavailable</v>
      </c>
    </row>
    <row r="36" spans="1:9">
      <c r="A36" s="3" t="s">
        <v>39</v>
      </c>
      <c r="B36" s="3">
        <v>15</v>
      </c>
      <c r="C36" s="3" t="s">
        <v>377</v>
      </c>
      <c r="D36" s="3" t="s">
        <v>2814</v>
      </c>
      <c r="E36" s="3" t="s">
        <v>301</v>
      </c>
      <c r="F36" s="3">
        <f>INDEX([1]Site_Evaluation!$K:$K,MATCH(C36,[1]Site_Evaluation!$A:$A,0))</f>
        <v>60</v>
      </c>
      <c r="G36" s="3">
        <f>COUNTIFS(Risk_Register!B:B,C36,Risk_Register!G:G,"High")</f>
        <v>0</v>
      </c>
      <c r="H36" s="3" t="str">
        <f>IF(_xlfn.MAXIFS(Risk_Register!$L:$L,Risk_Register!$B:$B,C36)=3,"High",IF(_xlfn.MAXIFS(Risk_Register!$L:$L,Risk_Register!$B:$B,C36)=2,"Medium","Low"))</f>
        <v>Medium</v>
      </c>
      <c r="I36" s="3" t="str">
        <f>IF(B36&lt;=3,"Preferred site - strong composite profile",IF(B36&lt;=10,"Backup candidate - viable with monitoring","Reserve - evaluate only if primary sites unavailable"))</f>
        <v>Reserve - evaluate only if primary sites unavailable</v>
      </c>
    </row>
    <row r="37" spans="1:9">
      <c r="A37" s="3" t="s">
        <v>39</v>
      </c>
      <c r="B37" s="3">
        <v>16</v>
      </c>
      <c r="C37" s="3" t="s">
        <v>823</v>
      </c>
      <c r="D37" s="3" t="s">
        <v>824</v>
      </c>
      <c r="E37" s="3" t="s">
        <v>299</v>
      </c>
      <c r="F37" s="3">
        <f>INDEX([1]Site_Evaluation!$K:$K,MATCH(C37,[1]Site_Evaluation!$A:$A,0))</f>
        <v>59</v>
      </c>
      <c r="G37" s="3">
        <f>COUNTIFS(Risk_Register!B:B,C37,Risk_Register!G:G,"High")</f>
        <v>0</v>
      </c>
      <c r="H37" s="3" t="str">
        <f>IF(_xlfn.MAXIFS(Risk_Register!$L:$L,Risk_Register!$B:$B,C37)=3,"High",IF(_xlfn.MAXIFS(Risk_Register!$L:$L,Risk_Register!$B:$B,C37)=2,"Medium","Low"))</f>
        <v>Medium</v>
      </c>
      <c r="I37" s="3" t="str">
        <f>IF(B37&lt;=3,"Preferred site - strong composite profile",IF(B37&lt;=10,"Backup candidate - viable with monitoring","Reserve - evaluate only if primary sites unavailable"))</f>
        <v>Reserve - evaluate only if primary sites unavailable</v>
      </c>
    </row>
    <row r="38" spans="1:9">
      <c r="A38" s="3" t="s">
        <v>39</v>
      </c>
      <c r="B38" s="3">
        <v>17</v>
      </c>
      <c r="C38" s="3" t="s">
        <v>536</v>
      </c>
      <c r="D38" s="3" t="s">
        <v>2815</v>
      </c>
      <c r="E38" s="3" t="s">
        <v>315</v>
      </c>
      <c r="F38" s="3">
        <f>INDEX([1]Site_Evaluation!$K:$K,MATCH(C38,[1]Site_Evaluation!$A:$A,0))</f>
        <v>59</v>
      </c>
      <c r="G38" s="3">
        <f>COUNTIFS(Risk_Register!B:B,C38,Risk_Register!G:G,"High")</f>
        <v>1</v>
      </c>
      <c r="H38" s="3" t="str">
        <f>IF(_xlfn.MAXIFS(Risk_Register!$L:$L,Risk_Register!$B:$B,C38)=3,"High",IF(_xlfn.MAXIFS(Risk_Register!$L:$L,Risk_Register!$B:$B,C38)=2,"Medium","Low"))</f>
        <v>High</v>
      </c>
      <c r="I38" s="3" t="str">
        <f>IF(B38&lt;=3,"Preferred site - strong composite profile",IF(B38&lt;=10,"Backup candidate - viable with monitoring","Reserve - evaluate only if primary sites unavailable"))</f>
        <v>Reserve - evaluate only if primary sites unavailable</v>
      </c>
    </row>
    <row r="39" spans="1:9">
      <c r="A39" s="3" t="s">
        <v>39</v>
      </c>
      <c r="B39" s="3">
        <v>18</v>
      </c>
      <c r="C39" s="3" t="s">
        <v>602</v>
      </c>
      <c r="D39" s="3" t="s">
        <v>925</v>
      </c>
      <c r="E39" s="3" t="s">
        <v>313</v>
      </c>
      <c r="F39" s="3">
        <f>INDEX([1]Site_Evaluation!$K:$K,MATCH(C39,[1]Site_Evaluation!$A:$A,0))</f>
        <v>59</v>
      </c>
      <c r="G39" s="3">
        <f>COUNTIFS(Risk_Register!B:B,C39,Risk_Register!G:G,"High")</f>
        <v>1</v>
      </c>
      <c r="H39" s="3" t="str">
        <f>IF(_xlfn.MAXIFS(Risk_Register!$L:$L,Risk_Register!$B:$B,C39)=3,"High",IF(_xlfn.MAXIFS(Risk_Register!$L:$L,Risk_Register!$B:$B,C39)=2,"Medium","Low"))</f>
        <v>High</v>
      </c>
      <c r="I39" s="3" t="str">
        <f>IF(B39&lt;=3,"Preferred site - strong composite profile",IF(B39&lt;=10,"Backup candidate - viable with monitoring","Reserve - evaluate only if primary sites unavailable"))</f>
        <v>Reserve - evaluate only if primary sites unavailable</v>
      </c>
    </row>
    <row r="40" spans="1:9">
      <c r="A40" s="3" t="s">
        <v>39</v>
      </c>
      <c r="B40" s="3">
        <v>19</v>
      </c>
      <c r="C40" s="3" t="s">
        <v>920</v>
      </c>
      <c r="D40" s="3" t="s">
        <v>784</v>
      </c>
      <c r="E40" s="3" t="s">
        <v>303</v>
      </c>
      <c r="F40" s="3">
        <f>INDEX([1]Site_Evaluation!$K:$K,MATCH(C40,[1]Site_Evaluation!$A:$A,0))</f>
        <v>59</v>
      </c>
      <c r="G40" s="3">
        <f>COUNTIFS(Risk_Register!B:B,C40,Risk_Register!G:G,"High")</f>
        <v>2</v>
      </c>
      <c r="H40" s="3" t="str">
        <f>IF(_xlfn.MAXIFS(Risk_Register!$L:$L,Risk_Register!$B:$B,C40)=3,"High",IF(_xlfn.MAXIFS(Risk_Register!$L:$L,Risk_Register!$B:$B,C40)=2,"Medium","Low"))</f>
        <v>High</v>
      </c>
      <c r="I40" s="3" t="str">
        <f>IF(B40&lt;=3,"Preferred site - strong composite profile",IF(B40&lt;=10,"Backup candidate - viable with monitoring","Reserve - evaluate only if primary sites unavailable"))</f>
        <v>Reserve - evaluate only if primary sites unavailable</v>
      </c>
    </row>
    <row r="41" spans="1:9">
      <c r="A41" s="3" t="s">
        <v>39</v>
      </c>
      <c r="B41" s="3">
        <v>20</v>
      </c>
      <c r="C41" s="3" t="s">
        <v>701</v>
      </c>
      <c r="D41" s="3" t="s">
        <v>2816</v>
      </c>
      <c r="E41" s="3" t="s">
        <v>279</v>
      </c>
      <c r="F41" s="3">
        <f>INDEX([1]Site_Evaluation!$K:$K,MATCH(C41,[1]Site_Evaluation!$A:$A,0))</f>
        <v>58</v>
      </c>
      <c r="G41" s="3">
        <f>COUNTIFS(Risk_Register!B:B,C41,Risk_Register!G:G,"High")</f>
        <v>2</v>
      </c>
      <c r="H41" s="3" t="str">
        <f>IF(_xlfn.MAXIFS(Risk_Register!$L:$L,Risk_Register!$B:$B,C41)=3,"High",IF(_xlfn.MAXIFS(Risk_Register!$L:$L,Risk_Register!$B:$B,C41)=2,"Medium","Low"))</f>
        <v>High</v>
      </c>
      <c r="I41" s="3" t="str">
        <f>IF(B41&lt;=3,"Preferred site - strong composite profile",IF(B41&lt;=10,"Backup candidate - viable with monitoring","Reserve - evaluate only if primary sites unavailable"))</f>
        <v>Reserve - evaluate only if primary sites unavailable</v>
      </c>
    </row>
    <row r="42" spans="1:9">
      <c r="A42" s="3" t="s">
        <v>45</v>
      </c>
      <c r="B42" s="3">
        <v>1</v>
      </c>
      <c r="C42" s="3" t="s">
        <v>558</v>
      </c>
      <c r="D42" s="3" t="s">
        <v>2817</v>
      </c>
      <c r="E42" s="3" t="s">
        <v>317</v>
      </c>
      <c r="F42" s="3">
        <f>INDEX([1]Site_Evaluation!$K:$K,MATCH(C42,[1]Site_Evaluation!$A:$A,0))</f>
        <v>79</v>
      </c>
      <c r="G42" s="3">
        <f>COUNTIFS(Risk_Register!B:B,C42,Risk_Register!G:G,"High")</f>
        <v>0</v>
      </c>
      <c r="H42" s="3" t="str">
        <f>IF(_xlfn.MAXIFS(Risk_Register!$L:$L,Risk_Register!$B:$B,C42)=3,"High",IF(_xlfn.MAXIFS(Risk_Register!$L:$L,Risk_Register!$B:$B,C42)=2,"Medium","Low"))</f>
        <v>Medium</v>
      </c>
      <c r="I42" s="3" t="str">
        <f>IF(B42&lt;=3,"Preferred site - strong composite profile",IF(B42&lt;=10,"Backup candidate - viable with monitoring","Reserve - evaluate only if primary sites unavailable"))</f>
        <v>Preferred site - strong composite profile</v>
      </c>
    </row>
    <row r="43" spans="1:9">
      <c r="A43" s="3" t="s">
        <v>45</v>
      </c>
      <c r="B43" s="3">
        <v>2</v>
      </c>
      <c r="C43" s="3" t="s">
        <v>478</v>
      </c>
      <c r="D43" s="3" t="s">
        <v>919</v>
      </c>
      <c r="E43" s="3" t="s">
        <v>295</v>
      </c>
      <c r="F43" s="3">
        <f>INDEX([1]Site_Evaluation!$K:$K,MATCH(C43,[1]Site_Evaluation!$A:$A,0))</f>
        <v>78</v>
      </c>
      <c r="G43" s="3">
        <f>COUNTIFS(Risk_Register!B:B,C43,Risk_Register!G:G,"High")</f>
        <v>1</v>
      </c>
      <c r="H43" s="3" t="str">
        <f>IF(_xlfn.MAXIFS(Risk_Register!$L:$L,Risk_Register!$B:$B,C43)=3,"High",IF(_xlfn.MAXIFS(Risk_Register!$L:$L,Risk_Register!$B:$B,C43)=2,"Medium","Low"))</f>
        <v>High</v>
      </c>
      <c r="I43" s="3" t="str">
        <f>IF(B43&lt;=3,"Preferred site - strong composite profile",IF(B43&lt;=10,"Backup candidate - viable with monitoring","Reserve - evaluate only if primary sites unavailable"))</f>
        <v>Preferred site - strong composite profile</v>
      </c>
    </row>
    <row r="44" spans="1:9">
      <c r="A44" s="3" t="s">
        <v>45</v>
      </c>
      <c r="B44" s="3">
        <v>3</v>
      </c>
      <c r="C44" s="3" t="s">
        <v>552</v>
      </c>
      <c r="D44" s="3" t="s">
        <v>2818</v>
      </c>
      <c r="E44" s="3" t="s">
        <v>307</v>
      </c>
      <c r="F44" s="3">
        <f>INDEX([1]Site_Evaluation!$K:$K,MATCH(C44,[1]Site_Evaluation!$A:$A,0))</f>
        <v>76</v>
      </c>
      <c r="G44" s="3">
        <f>COUNTIFS(Risk_Register!B:B,C44,Risk_Register!G:G,"High")</f>
        <v>1</v>
      </c>
      <c r="H44" s="3" t="str">
        <f>IF(_xlfn.MAXIFS(Risk_Register!$L:$L,Risk_Register!$B:$B,C44)=3,"High",IF(_xlfn.MAXIFS(Risk_Register!$L:$L,Risk_Register!$B:$B,C44)=2,"Medium","Low"))</f>
        <v>High</v>
      </c>
      <c r="I44" s="3" t="str">
        <f>IF(B44&lt;=3,"Preferred site - strong composite profile",IF(B44&lt;=10,"Backup candidate - viable with monitoring","Reserve - evaluate only if primary sites unavailable"))</f>
        <v>Preferred site - strong composite profile</v>
      </c>
    </row>
    <row r="45" spans="1:9">
      <c r="A45" s="3" t="s">
        <v>45</v>
      </c>
      <c r="B45" s="3">
        <v>4</v>
      </c>
      <c r="C45" s="3" t="s">
        <v>850</v>
      </c>
      <c r="D45" s="3" t="s">
        <v>363</v>
      </c>
      <c r="E45" s="3" t="s">
        <v>288</v>
      </c>
      <c r="F45" s="3">
        <f>INDEX([1]Site_Evaluation!$K:$K,MATCH(C45,[1]Site_Evaluation!$A:$A,0))</f>
        <v>76</v>
      </c>
      <c r="G45" s="3">
        <f>COUNTIFS(Risk_Register!B:B,C45,Risk_Register!G:G,"High")</f>
        <v>0</v>
      </c>
      <c r="H45" s="3" t="str">
        <f>IF(_xlfn.MAXIFS(Risk_Register!$L:$L,Risk_Register!$B:$B,C45)=3,"High",IF(_xlfn.MAXIFS(Risk_Register!$L:$L,Risk_Register!$B:$B,C45)=2,"Medium","Low"))</f>
        <v>Medium</v>
      </c>
      <c r="I45" s="3" t="str">
        <f>IF(B45&lt;=3,"Preferred site - strong composite profile",IF(B45&lt;=10,"Backup candidate - viable with monitoring","Reserve - evaluate only if primary sites unavailable"))</f>
        <v>Backup candidate - viable with monitoring</v>
      </c>
    </row>
    <row r="46" spans="1:9">
      <c r="A46" s="3" t="s">
        <v>45</v>
      </c>
      <c r="B46" s="3">
        <v>5</v>
      </c>
      <c r="C46" s="3" t="s">
        <v>740</v>
      </c>
      <c r="D46" s="3" t="s">
        <v>741</v>
      </c>
      <c r="E46" s="3" t="s">
        <v>319</v>
      </c>
      <c r="F46" s="3">
        <f>INDEX([1]Site_Evaluation!$K:$K,MATCH(C46,[1]Site_Evaluation!$A:$A,0))</f>
        <v>71</v>
      </c>
      <c r="G46" s="3">
        <f>COUNTIFS(Risk_Register!B:B,C46,Risk_Register!G:G,"High")</f>
        <v>1</v>
      </c>
      <c r="H46" s="3" t="str">
        <f>IF(_xlfn.MAXIFS(Risk_Register!$L:$L,Risk_Register!$B:$B,C46)=3,"High",IF(_xlfn.MAXIFS(Risk_Register!$L:$L,Risk_Register!$B:$B,C46)=2,"Medium","Low"))</f>
        <v>High</v>
      </c>
      <c r="I46" s="3" t="str">
        <f>IF(B46&lt;=3,"Preferred site - strong composite profile",IF(B46&lt;=10,"Backup candidate - viable with monitoring","Reserve - evaluate only if primary sites unavailable"))</f>
        <v>Backup candidate - viable with monitoring</v>
      </c>
    </row>
    <row r="47" spans="1:9">
      <c r="A47" s="3" t="s">
        <v>45</v>
      </c>
      <c r="B47" s="3">
        <v>6</v>
      </c>
      <c r="C47" s="3" t="s">
        <v>523</v>
      </c>
      <c r="D47" s="3" t="s">
        <v>905</v>
      </c>
      <c r="E47" s="3" t="s">
        <v>319</v>
      </c>
      <c r="F47" s="3">
        <f>INDEX([1]Site_Evaluation!$K:$K,MATCH(C47,[1]Site_Evaluation!$A:$A,0))</f>
        <v>69</v>
      </c>
      <c r="G47" s="3">
        <f>COUNTIFS(Risk_Register!B:B,C47,Risk_Register!G:G,"High")</f>
        <v>1</v>
      </c>
      <c r="H47" s="3" t="str">
        <f>IF(_xlfn.MAXIFS(Risk_Register!$L:$L,Risk_Register!$B:$B,C47)=3,"High",IF(_xlfn.MAXIFS(Risk_Register!$L:$L,Risk_Register!$B:$B,C47)=2,"Medium","Low"))</f>
        <v>High</v>
      </c>
      <c r="I47" s="3" t="str">
        <f>IF(B47&lt;=3,"Preferred site - strong composite profile",IF(B47&lt;=10,"Backup candidate - viable with monitoring","Reserve - evaluate only if primary sites unavailable"))</f>
        <v>Backup candidate - viable with monitoring</v>
      </c>
    </row>
    <row r="48" spans="1:9">
      <c r="A48" s="3" t="s">
        <v>45</v>
      </c>
      <c r="B48" s="3">
        <v>7</v>
      </c>
      <c r="C48" s="3" t="s">
        <v>865</v>
      </c>
      <c r="D48" s="3" t="s">
        <v>866</v>
      </c>
      <c r="E48" s="3" t="s">
        <v>295</v>
      </c>
      <c r="F48" s="3">
        <f>INDEX([1]Site_Evaluation!$K:$K,MATCH(C48,[1]Site_Evaluation!$A:$A,0))</f>
        <v>68</v>
      </c>
      <c r="G48" s="3">
        <f>COUNTIFS(Risk_Register!B:B,C48,Risk_Register!G:G,"High")</f>
        <v>1</v>
      </c>
      <c r="H48" s="3" t="str">
        <f>IF(_xlfn.MAXIFS(Risk_Register!$L:$L,Risk_Register!$B:$B,C48)=3,"High",IF(_xlfn.MAXIFS(Risk_Register!$L:$L,Risk_Register!$B:$B,C48)=2,"Medium","Low"))</f>
        <v>High</v>
      </c>
      <c r="I48" s="3" t="str">
        <f>IF(B48&lt;=3,"Preferred site - strong composite profile",IF(B48&lt;=10,"Backup candidate - viable with monitoring","Reserve - evaluate only if primary sites unavailable"))</f>
        <v>Backup candidate - viable with monitoring</v>
      </c>
    </row>
    <row r="49" spans="1:9">
      <c r="A49" s="3" t="s">
        <v>45</v>
      </c>
      <c r="B49" s="3">
        <v>8</v>
      </c>
      <c r="C49" s="3" t="s">
        <v>404</v>
      </c>
      <c r="D49" s="3" t="s">
        <v>2819</v>
      </c>
      <c r="E49" s="3" t="s">
        <v>315</v>
      </c>
      <c r="F49" s="3">
        <f>INDEX([1]Site_Evaluation!$K:$K,MATCH(C49,[1]Site_Evaluation!$A:$A,0))</f>
        <v>68</v>
      </c>
      <c r="G49" s="3">
        <f>COUNTIFS(Risk_Register!B:B,C49,Risk_Register!G:G,"High")</f>
        <v>0</v>
      </c>
      <c r="H49" s="3" t="str">
        <f>IF(_xlfn.MAXIFS(Risk_Register!$L:$L,Risk_Register!$B:$B,C49)=3,"High",IF(_xlfn.MAXIFS(Risk_Register!$L:$L,Risk_Register!$B:$B,C49)=2,"Medium","Low"))</f>
        <v>Medium</v>
      </c>
      <c r="I49" s="3" t="str">
        <f>IF(B49&lt;=3,"Preferred site - strong composite profile",IF(B49&lt;=10,"Backup candidate - viable with monitoring","Reserve - evaluate only if primary sites unavailable"))</f>
        <v>Backup candidate - viable with monitoring</v>
      </c>
    </row>
    <row r="50" spans="1:9">
      <c r="A50" s="3" t="s">
        <v>45</v>
      </c>
      <c r="B50" s="3">
        <v>9</v>
      </c>
      <c r="C50" s="3" t="s">
        <v>484</v>
      </c>
      <c r="D50" s="3" t="s">
        <v>2820</v>
      </c>
      <c r="E50" s="3" t="s">
        <v>282</v>
      </c>
      <c r="F50" s="3">
        <f>INDEX([1]Site_Evaluation!$K:$K,MATCH(C50,[1]Site_Evaluation!$A:$A,0))</f>
        <v>67</v>
      </c>
      <c r="G50" s="3">
        <f>COUNTIFS(Risk_Register!B:B,C50,Risk_Register!G:G,"High")</f>
        <v>1</v>
      </c>
      <c r="H50" s="3" t="str">
        <f>IF(_xlfn.MAXIFS(Risk_Register!$L:$L,Risk_Register!$B:$B,C50)=3,"High",IF(_xlfn.MAXIFS(Risk_Register!$L:$L,Risk_Register!$B:$B,C50)=2,"Medium","Low"))</f>
        <v>High</v>
      </c>
      <c r="I50" s="3" t="str">
        <f>IF(B50&lt;=3,"Preferred site - strong composite profile",IF(B50&lt;=10,"Backup candidate - viable with monitoring","Reserve - evaluate only if primary sites unavailable"))</f>
        <v>Backup candidate - viable with monitoring</v>
      </c>
    </row>
    <row r="51" spans="1:9">
      <c r="A51" s="3" t="s">
        <v>45</v>
      </c>
      <c r="B51" s="3">
        <v>10</v>
      </c>
      <c r="C51" s="3" t="s">
        <v>680</v>
      </c>
      <c r="D51" s="3" t="s">
        <v>2821</v>
      </c>
      <c r="E51" s="3" t="s">
        <v>297</v>
      </c>
      <c r="F51" s="3">
        <f>INDEX([1]Site_Evaluation!$K:$K,MATCH(C51,[1]Site_Evaluation!$A:$A,0))</f>
        <v>67</v>
      </c>
      <c r="G51" s="3">
        <f>COUNTIFS(Risk_Register!B:B,C51,Risk_Register!G:G,"High")</f>
        <v>1</v>
      </c>
      <c r="H51" s="3" t="str">
        <f>IF(_xlfn.MAXIFS(Risk_Register!$L:$L,Risk_Register!$B:$B,C51)=3,"High",IF(_xlfn.MAXIFS(Risk_Register!$L:$L,Risk_Register!$B:$B,C51)=2,"Medium","Low"))</f>
        <v>High</v>
      </c>
      <c r="I51" s="3" t="str">
        <f>IF(B51&lt;=3,"Preferred site - strong composite profile",IF(B51&lt;=10,"Backup candidate - viable with monitoring","Reserve - evaluate only if primary sites unavailable"))</f>
        <v>Backup candidate - viable with monitoring</v>
      </c>
    </row>
    <row r="52" spans="1:9">
      <c r="A52" s="3" t="s">
        <v>45</v>
      </c>
      <c r="B52" s="3">
        <v>11</v>
      </c>
      <c r="C52" s="3" t="s">
        <v>777</v>
      </c>
      <c r="D52" s="3" t="s">
        <v>778</v>
      </c>
      <c r="E52" s="3" t="s">
        <v>290</v>
      </c>
      <c r="F52" s="3">
        <f>INDEX([1]Site_Evaluation!$K:$K,MATCH(C52,[1]Site_Evaluation!$A:$A,0))</f>
        <v>67</v>
      </c>
      <c r="G52" s="3">
        <f>COUNTIFS(Risk_Register!B:B,C52,Risk_Register!G:G,"High")</f>
        <v>0</v>
      </c>
      <c r="H52" s="3" t="str">
        <f>IF(_xlfn.MAXIFS(Risk_Register!$L:$L,Risk_Register!$B:$B,C52)=3,"High",IF(_xlfn.MAXIFS(Risk_Register!$L:$L,Risk_Register!$B:$B,C52)=2,"Medium","Low"))</f>
        <v>Medium</v>
      </c>
      <c r="I52" s="3" t="str">
        <f>IF(B52&lt;=3,"Preferred site - strong composite profile",IF(B52&lt;=10,"Backup candidate - viable with monitoring","Reserve - evaluate only if primary sites unavailable"))</f>
        <v>Reserve - evaluate only if primary sites unavailable</v>
      </c>
    </row>
    <row r="53" spans="1:9">
      <c r="A53" s="3" t="s">
        <v>45</v>
      </c>
      <c r="B53" s="3">
        <v>12</v>
      </c>
      <c r="C53" s="3" t="s">
        <v>918</v>
      </c>
      <c r="D53" s="3" t="s">
        <v>919</v>
      </c>
      <c r="E53" s="3" t="s">
        <v>295</v>
      </c>
      <c r="F53" s="3">
        <f>INDEX([1]Site_Evaluation!$K:$K,MATCH(C53,[1]Site_Evaluation!$A:$A,0))</f>
        <v>66</v>
      </c>
      <c r="G53" s="3">
        <f>COUNTIFS(Risk_Register!B:B,C53,Risk_Register!G:G,"High")</f>
        <v>0</v>
      </c>
      <c r="H53" s="3" t="str">
        <f>IF(_xlfn.MAXIFS(Risk_Register!$L:$L,Risk_Register!$B:$B,C53)=3,"High",IF(_xlfn.MAXIFS(Risk_Register!$L:$L,Risk_Register!$B:$B,C53)=2,"Medium","Low"))</f>
        <v>Medium</v>
      </c>
      <c r="I53" s="3" t="str">
        <f>IF(B53&lt;=3,"Preferred site - strong composite profile",IF(B53&lt;=10,"Backup candidate - viable with monitoring","Reserve - evaluate only if primary sites unavailable"))</f>
        <v>Reserve - evaluate only if primary sites unavailable</v>
      </c>
    </row>
    <row r="54" spans="1:9">
      <c r="A54" s="3" t="s">
        <v>45</v>
      </c>
      <c r="B54" s="3">
        <v>13</v>
      </c>
      <c r="C54" s="3" t="s">
        <v>699</v>
      </c>
      <c r="D54" s="3" t="s">
        <v>436</v>
      </c>
      <c r="E54" s="3" t="s">
        <v>282</v>
      </c>
      <c r="F54" s="3">
        <f>INDEX([1]Site_Evaluation!$K:$K,MATCH(C54,[1]Site_Evaluation!$A:$A,0))</f>
        <v>65</v>
      </c>
      <c r="G54" s="3">
        <f>COUNTIFS(Risk_Register!B:B,C54,Risk_Register!G:G,"High")</f>
        <v>1</v>
      </c>
      <c r="H54" s="3" t="str">
        <f>IF(_xlfn.MAXIFS(Risk_Register!$L:$L,Risk_Register!$B:$B,C54)=3,"High",IF(_xlfn.MAXIFS(Risk_Register!$L:$L,Risk_Register!$B:$B,C54)=2,"Medium","Low"))</f>
        <v>High</v>
      </c>
      <c r="I54" s="3" t="str">
        <f>IF(B54&lt;=3,"Preferred site - strong composite profile",IF(B54&lt;=10,"Backup candidate - viable with monitoring","Reserve - evaluate only if primary sites unavailable"))</f>
        <v>Reserve - evaluate only if primary sites unavailable</v>
      </c>
    </row>
    <row r="55" spans="1:9">
      <c r="A55" s="3" t="s">
        <v>45</v>
      </c>
      <c r="B55" s="3">
        <v>14</v>
      </c>
      <c r="C55" s="3" t="s">
        <v>440</v>
      </c>
      <c r="D55" s="3" t="s">
        <v>2822</v>
      </c>
      <c r="E55" s="3" t="s">
        <v>303</v>
      </c>
      <c r="F55" s="3">
        <f>INDEX([1]Site_Evaluation!$K:$K,MATCH(C55,[1]Site_Evaluation!$A:$A,0))</f>
        <v>65</v>
      </c>
      <c r="G55" s="3">
        <f>COUNTIFS(Risk_Register!B:B,C55,Risk_Register!G:G,"High")</f>
        <v>0</v>
      </c>
      <c r="H55" s="3" t="str">
        <f>IF(_xlfn.MAXIFS(Risk_Register!$L:$L,Risk_Register!$B:$B,C55)=3,"High",IF(_xlfn.MAXIFS(Risk_Register!$L:$L,Risk_Register!$B:$B,C55)=2,"Medium","Low"))</f>
        <v>Medium</v>
      </c>
      <c r="I55" s="3" t="str">
        <f>IF(B55&lt;=3,"Preferred site - strong composite profile",IF(B55&lt;=10,"Backup candidate - viable with monitoring","Reserve - evaluate only if primary sites unavailable"))</f>
        <v>Reserve - evaluate only if primary sites unavailable</v>
      </c>
    </row>
    <row r="56" spans="1:9">
      <c r="A56" s="3" t="s">
        <v>45</v>
      </c>
      <c r="B56" s="3">
        <v>15</v>
      </c>
      <c r="C56" s="3" t="s">
        <v>779</v>
      </c>
      <c r="D56" s="3" t="s">
        <v>780</v>
      </c>
      <c r="E56" s="3" t="s">
        <v>292</v>
      </c>
      <c r="F56" s="3">
        <f>INDEX([1]Site_Evaluation!$K:$K,MATCH(C56,[1]Site_Evaluation!$A:$A,0))</f>
        <v>65</v>
      </c>
      <c r="G56" s="3">
        <f>COUNTIFS(Risk_Register!B:B,C56,Risk_Register!G:G,"High")</f>
        <v>1</v>
      </c>
      <c r="H56" s="3" t="str">
        <f>IF(_xlfn.MAXIFS(Risk_Register!$L:$L,Risk_Register!$B:$B,C56)=3,"High",IF(_xlfn.MAXIFS(Risk_Register!$L:$L,Risk_Register!$B:$B,C56)=2,"Medium","Low"))</f>
        <v>High</v>
      </c>
      <c r="I56" s="3" t="str">
        <f>IF(B56&lt;=3,"Preferred site - strong composite profile",IF(B56&lt;=10,"Backup candidate - viable with monitoring","Reserve - evaluate only if primary sites unavailable"))</f>
        <v>Reserve - evaluate only if primary sites unavailable</v>
      </c>
    </row>
    <row r="57" spans="1:9">
      <c r="A57" s="3" t="s">
        <v>45</v>
      </c>
      <c r="B57" s="3">
        <v>16</v>
      </c>
      <c r="C57" s="3" t="s">
        <v>658</v>
      </c>
      <c r="D57" s="3" t="s">
        <v>2823</v>
      </c>
      <c r="E57" s="3" t="s">
        <v>280</v>
      </c>
      <c r="F57" s="3">
        <f>INDEX([1]Site_Evaluation!$K:$K,MATCH(C57,[1]Site_Evaluation!$A:$A,0))</f>
        <v>65</v>
      </c>
      <c r="G57" s="3">
        <f>COUNTIFS(Risk_Register!B:B,C57,Risk_Register!G:G,"High")</f>
        <v>0</v>
      </c>
      <c r="H57" s="3" t="str">
        <f>IF(_xlfn.MAXIFS(Risk_Register!$L:$L,Risk_Register!$B:$B,C57)=3,"High",IF(_xlfn.MAXIFS(Risk_Register!$L:$L,Risk_Register!$B:$B,C57)=2,"Medium","Low"))</f>
        <v>Medium</v>
      </c>
      <c r="I57" s="3" t="str">
        <f>IF(B57&lt;=3,"Preferred site - strong composite profile",IF(B57&lt;=10,"Backup candidate - viable with monitoring","Reserve - evaluate only if primary sites unavailable"))</f>
        <v>Reserve - evaluate only if primary sites unavailable</v>
      </c>
    </row>
    <row r="58" spans="1:9">
      <c r="A58" s="3" t="s">
        <v>45</v>
      </c>
      <c r="B58" s="3">
        <v>17</v>
      </c>
      <c r="C58" s="3" t="s">
        <v>505</v>
      </c>
      <c r="D58" s="3" t="s">
        <v>2824</v>
      </c>
      <c r="E58" s="3" t="s">
        <v>279</v>
      </c>
      <c r="F58" s="3">
        <f>INDEX([1]Site_Evaluation!$K:$K,MATCH(C58,[1]Site_Evaluation!$A:$A,0))</f>
        <v>65</v>
      </c>
      <c r="G58" s="3">
        <f>COUNTIFS(Risk_Register!B:B,C58,Risk_Register!G:G,"High")</f>
        <v>0</v>
      </c>
      <c r="H58" s="3" t="str">
        <f>IF(_xlfn.MAXIFS(Risk_Register!$L:$L,Risk_Register!$B:$B,C58)=3,"High",IF(_xlfn.MAXIFS(Risk_Register!$L:$L,Risk_Register!$B:$B,C58)=2,"Medium","Low"))</f>
        <v>Medium</v>
      </c>
      <c r="I58" s="3" t="str">
        <f>IF(B58&lt;=3,"Preferred site - strong composite profile",IF(B58&lt;=10,"Backup candidate - viable with monitoring","Reserve - evaluate only if primary sites unavailable"))</f>
        <v>Reserve - evaluate only if primary sites unavailable</v>
      </c>
    </row>
    <row r="59" spans="1:9">
      <c r="A59" s="3" t="s">
        <v>45</v>
      </c>
      <c r="B59" s="3">
        <v>18</v>
      </c>
      <c r="C59" s="3" t="s">
        <v>507</v>
      </c>
      <c r="D59" s="3" t="s">
        <v>930</v>
      </c>
      <c r="E59" s="3" t="s">
        <v>303</v>
      </c>
      <c r="F59" s="3">
        <f>INDEX([1]Site_Evaluation!$K:$K,MATCH(C59,[1]Site_Evaluation!$A:$A,0))</f>
        <v>65</v>
      </c>
      <c r="G59" s="3">
        <f>COUNTIFS(Risk_Register!B:B,C59,Risk_Register!G:G,"High")</f>
        <v>1</v>
      </c>
      <c r="H59" s="3" t="str">
        <f>IF(_xlfn.MAXIFS(Risk_Register!$L:$L,Risk_Register!$B:$B,C59)=3,"High",IF(_xlfn.MAXIFS(Risk_Register!$L:$L,Risk_Register!$B:$B,C59)=2,"Medium","Low"))</f>
        <v>High</v>
      </c>
      <c r="I59" s="3" t="str">
        <f>IF(B59&lt;=3,"Preferred site - strong composite profile",IF(B59&lt;=10,"Backup candidate - viable with monitoring","Reserve - evaluate only if primary sites unavailable"))</f>
        <v>Reserve - evaluate only if primary sites unavailable</v>
      </c>
    </row>
    <row r="60" spans="1:9">
      <c r="A60" s="3" t="s">
        <v>45</v>
      </c>
      <c r="B60" s="3">
        <v>19</v>
      </c>
      <c r="C60" s="3" t="s">
        <v>618</v>
      </c>
      <c r="D60" s="3" t="s">
        <v>2825</v>
      </c>
      <c r="E60" s="3" t="s">
        <v>279</v>
      </c>
      <c r="F60" s="3">
        <f>INDEX([1]Site_Evaluation!$K:$K,MATCH(C60,[1]Site_Evaluation!$A:$A,0))</f>
        <v>64</v>
      </c>
      <c r="G60" s="3">
        <f>COUNTIFS(Risk_Register!B:B,C60,Risk_Register!G:G,"High")</f>
        <v>0</v>
      </c>
      <c r="H60" s="3" t="str">
        <f>IF(_xlfn.MAXIFS(Risk_Register!$L:$L,Risk_Register!$B:$B,C60)=3,"High",IF(_xlfn.MAXIFS(Risk_Register!$L:$L,Risk_Register!$B:$B,C60)=2,"Medium","Low"))</f>
        <v>Medium</v>
      </c>
      <c r="I60" s="3" t="str">
        <f>IF(B60&lt;=3,"Preferred site - strong composite profile",IF(B60&lt;=10,"Backup candidate - viable with monitoring","Reserve - evaluate only if primary sites unavailable"))</f>
        <v>Reserve - evaluate only if primary sites unavailable</v>
      </c>
    </row>
    <row r="61" spans="1:9">
      <c r="A61" s="3" t="s">
        <v>45</v>
      </c>
      <c r="B61" s="3">
        <v>20</v>
      </c>
      <c r="C61" s="3" t="s">
        <v>853</v>
      </c>
      <c r="D61" s="3" t="s">
        <v>610</v>
      </c>
      <c r="E61" s="3" t="s">
        <v>288</v>
      </c>
      <c r="F61" s="3">
        <f>INDEX([1]Site_Evaluation!$K:$K,MATCH(C61,[1]Site_Evaluation!$A:$A,0))</f>
        <v>64</v>
      </c>
      <c r="G61" s="3">
        <f>COUNTIFS(Risk_Register!B:B,C61,Risk_Register!G:G,"High")</f>
        <v>1</v>
      </c>
      <c r="H61" s="3" t="str">
        <f>IF(_xlfn.MAXIFS(Risk_Register!$L:$L,Risk_Register!$B:$B,C61)=3,"High",IF(_xlfn.MAXIFS(Risk_Register!$L:$L,Risk_Register!$B:$B,C61)=2,"Medium","Low"))</f>
        <v>High</v>
      </c>
      <c r="I61" s="3" t="str">
        <f>IF(B61&lt;=3,"Preferred site - strong composite profile",IF(B61&lt;=10,"Backup candidate - viable with monitoring","Reserve - evaluate only if primary sites unavailable"))</f>
        <v>Reserve - evaluate only if primary sites unavailable</v>
      </c>
    </row>
    <row r="62" spans="1:9">
      <c r="A62" s="3" t="s">
        <v>50</v>
      </c>
      <c r="B62" s="3">
        <v>1</v>
      </c>
      <c r="C62" s="3" t="s">
        <v>862</v>
      </c>
      <c r="D62" s="3" t="s">
        <v>863</v>
      </c>
      <c r="E62" s="3" t="s">
        <v>297</v>
      </c>
      <c r="F62" s="3">
        <f>INDEX([1]Site_Evaluation!$K:$K,MATCH(C62,[1]Site_Evaluation!$A:$A,0))</f>
        <v>81</v>
      </c>
      <c r="G62" s="3">
        <f>COUNTIFS(Risk_Register!B:B,C62,Risk_Register!G:G,"High")</f>
        <v>1</v>
      </c>
      <c r="H62" s="3" t="str">
        <f>IF(_xlfn.MAXIFS(Risk_Register!$L:$L,Risk_Register!$B:$B,C62)=3,"High",IF(_xlfn.MAXIFS(Risk_Register!$L:$L,Risk_Register!$B:$B,C62)=2,"Medium","Low"))</f>
        <v>High</v>
      </c>
      <c r="I62" s="3" t="str">
        <f>IF(B62&lt;=3,"Preferred site - strong composite profile",IF(B62&lt;=10,"Backup candidate - viable with monitoring","Reserve - evaluate only if primary sites unavailable"))</f>
        <v>Preferred site - strong composite profile</v>
      </c>
    </row>
    <row r="63" spans="1:9">
      <c r="A63" s="3" t="s">
        <v>50</v>
      </c>
      <c r="B63" s="3">
        <v>2</v>
      </c>
      <c r="C63" s="3" t="s">
        <v>789</v>
      </c>
      <c r="D63" s="3" t="s">
        <v>790</v>
      </c>
      <c r="E63" s="3" t="s">
        <v>313</v>
      </c>
      <c r="F63" s="3">
        <f>INDEX([1]Site_Evaluation!$K:$K,MATCH(C63,[1]Site_Evaluation!$A:$A,0))</f>
        <v>73</v>
      </c>
      <c r="G63" s="3">
        <f>COUNTIFS(Risk_Register!B:B,C63,Risk_Register!G:G,"High")</f>
        <v>0</v>
      </c>
      <c r="H63" s="3" t="str">
        <f>IF(_xlfn.MAXIFS(Risk_Register!$L:$L,Risk_Register!$B:$B,C63)=3,"High",IF(_xlfn.MAXIFS(Risk_Register!$L:$L,Risk_Register!$B:$B,C63)=2,"Medium","Low"))</f>
        <v>Medium</v>
      </c>
      <c r="I63" s="3" t="str">
        <f>IF(B63&lt;=3,"Preferred site - strong composite profile",IF(B63&lt;=10,"Backup candidate - viable with monitoring","Reserve - evaluate only if primary sites unavailable"))</f>
        <v>Preferred site - strong composite profile</v>
      </c>
    </row>
    <row r="64" spans="1:9">
      <c r="A64" s="3" t="s">
        <v>50</v>
      </c>
      <c r="B64" s="3">
        <v>3</v>
      </c>
      <c r="C64" s="3" t="s">
        <v>492</v>
      </c>
      <c r="D64" s="3" t="s">
        <v>2826</v>
      </c>
      <c r="E64" s="3" t="s">
        <v>311</v>
      </c>
      <c r="F64" s="3">
        <f>INDEX([1]Site_Evaluation!$K:$K,MATCH(C64,[1]Site_Evaluation!$A:$A,0))</f>
        <v>69</v>
      </c>
      <c r="G64" s="3">
        <f>COUNTIFS(Risk_Register!B:B,C64,Risk_Register!G:G,"High")</f>
        <v>0</v>
      </c>
      <c r="H64" s="3" t="str">
        <f>IF(_xlfn.MAXIFS(Risk_Register!$L:$L,Risk_Register!$B:$B,C64)=3,"High",IF(_xlfn.MAXIFS(Risk_Register!$L:$L,Risk_Register!$B:$B,C64)=2,"Medium","Low"))</f>
        <v>Medium</v>
      </c>
      <c r="I64" s="3" t="str">
        <f>IF(B64&lt;=3,"Preferred site - strong composite profile",IF(B64&lt;=10,"Backup candidate - viable with monitoring","Reserve - evaluate only if primary sites unavailable"))</f>
        <v>Preferred site - strong composite profile</v>
      </c>
    </row>
    <row r="65" spans="1:9">
      <c r="A65" s="3" t="s">
        <v>50</v>
      </c>
      <c r="B65" s="3">
        <v>4</v>
      </c>
      <c r="C65" s="3" t="s">
        <v>383</v>
      </c>
      <c r="D65" s="3" t="s">
        <v>2827</v>
      </c>
      <c r="E65" s="3" t="s">
        <v>315</v>
      </c>
      <c r="F65" s="3">
        <f>INDEX([1]Site_Evaluation!$K:$K,MATCH(C65,[1]Site_Evaluation!$A:$A,0))</f>
        <v>69</v>
      </c>
      <c r="G65" s="3">
        <f>COUNTIFS(Risk_Register!B:B,C65,Risk_Register!G:G,"High")</f>
        <v>1</v>
      </c>
      <c r="H65" s="3" t="str">
        <f>IF(_xlfn.MAXIFS(Risk_Register!$L:$L,Risk_Register!$B:$B,C65)=3,"High",IF(_xlfn.MAXIFS(Risk_Register!$L:$L,Risk_Register!$B:$B,C65)=2,"Medium","Low"))</f>
        <v>High</v>
      </c>
      <c r="I65" s="3" t="str">
        <f>IF(B65&lt;=3,"Preferred site - strong composite profile",IF(B65&lt;=10,"Backup candidate - viable with monitoring","Reserve - evaluate only if primary sites unavailable"))</f>
        <v>Backup candidate - viable with monitoring</v>
      </c>
    </row>
    <row r="66" spans="1:9">
      <c r="A66" s="3" t="s">
        <v>50</v>
      </c>
      <c r="B66" s="3">
        <v>5</v>
      </c>
      <c r="C66" s="3" t="s">
        <v>900</v>
      </c>
      <c r="D66" s="3" t="s">
        <v>901</v>
      </c>
      <c r="E66" s="3" t="s">
        <v>280</v>
      </c>
      <c r="F66" s="3">
        <f>INDEX([1]Site_Evaluation!$K:$K,MATCH(C66,[1]Site_Evaluation!$A:$A,0))</f>
        <v>68</v>
      </c>
      <c r="G66" s="3">
        <f>COUNTIFS(Risk_Register!B:B,C66,Risk_Register!G:G,"High")</f>
        <v>2</v>
      </c>
      <c r="H66" s="3" t="str">
        <f>IF(_xlfn.MAXIFS(Risk_Register!$L:$L,Risk_Register!$B:$B,C66)=3,"High",IF(_xlfn.MAXIFS(Risk_Register!$L:$L,Risk_Register!$B:$B,C66)=2,"Medium","Low"))</f>
        <v>High</v>
      </c>
      <c r="I66" s="3" t="str">
        <f>IF(B66&lt;=3,"Preferred site - strong composite profile",IF(B66&lt;=10,"Backup candidate - viable with monitoring","Reserve - evaluate only if primary sites unavailable"))</f>
        <v>Backup candidate - viable with monitoring</v>
      </c>
    </row>
    <row r="67" spans="1:9">
      <c r="A67" s="3" t="s">
        <v>50</v>
      </c>
      <c r="B67" s="3">
        <v>6</v>
      </c>
      <c r="C67" s="3" t="s">
        <v>542</v>
      </c>
      <c r="D67" s="3" t="s">
        <v>669</v>
      </c>
      <c r="E67" s="3" t="s">
        <v>280</v>
      </c>
      <c r="F67" s="3">
        <f>INDEX([1]Site_Evaluation!$K:$K,MATCH(C67,[1]Site_Evaluation!$A:$A,0))</f>
        <v>68</v>
      </c>
      <c r="G67" s="3">
        <f>COUNTIFS(Risk_Register!B:B,C67,Risk_Register!G:G,"High")</f>
        <v>2</v>
      </c>
      <c r="H67" s="3" t="str">
        <f>IF(_xlfn.MAXIFS(Risk_Register!$L:$L,Risk_Register!$B:$B,C67)=3,"High",IF(_xlfn.MAXIFS(Risk_Register!$L:$L,Risk_Register!$B:$B,C67)=2,"Medium","Low"))</f>
        <v>High</v>
      </c>
      <c r="I67" s="3" t="str">
        <f>IF(B67&lt;=3,"Preferred site - strong composite profile",IF(B67&lt;=10,"Backup candidate - viable with monitoring","Reserve - evaluate only if primary sites unavailable"))</f>
        <v>Backup candidate - viable with monitoring</v>
      </c>
    </row>
    <row r="68" spans="1:9">
      <c r="A68" s="3" t="s">
        <v>50</v>
      </c>
      <c r="B68" s="3">
        <v>7</v>
      </c>
      <c r="C68" s="3" t="s">
        <v>464</v>
      </c>
      <c r="D68" s="3" t="s">
        <v>2828</v>
      </c>
      <c r="E68" s="3" t="s">
        <v>305</v>
      </c>
      <c r="F68" s="3">
        <f>INDEX([1]Site_Evaluation!$K:$K,MATCH(C68,[1]Site_Evaluation!$A:$A,0))</f>
        <v>68</v>
      </c>
      <c r="G68" s="3">
        <f>COUNTIFS(Risk_Register!B:B,C68,Risk_Register!G:G,"High")</f>
        <v>2</v>
      </c>
      <c r="H68" s="3" t="str">
        <f>IF(_xlfn.MAXIFS(Risk_Register!$L:$L,Risk_Register!$B:$B,C68)=3,"High",IF(_xlfn.MAXIFS(Risk_Register!$L:$L,Risk_Register!$B:$B,C68)=2,"Medium","Low"))</f>
        <v>High</v>
      </c>
      <c r="I68" s="3" t="str">
        <f>IF(B68&lt;=3,"Preferred site - strong composite profile",IF(B68&lt;=10,"Backup candidate - viable with monitoring","Reserve - evaluate only if primary sites unavailable"))</f>
        <v>Backup candidate - viable with monitoring</v>
      </c>
    </row>
    <row r="69" spans="1:9">
      <c r="A69" s="3" t="s">
        <v>50</v>
      </c>
      <c r="B69" s="3">
        <v>8</v>
      </c>
      <c r="C69" s="3" t="s">
        <v>372</v>
      </c>
      <c r="D69" s="3" t="s">
        <v>2829</v>
      </c>
      <c r="E69" s="3" t="s">
        <v>321</v>
      </c>
      <c r="F69" s="3">
        <f>INDEX([1]Site_Evaluation!$K:$K,MATCH(C69,[1]Site_Evaluation!$A:$A,0))</f>
        <v>66</v>
      </c>
      <c r="G69" s="3">
        <f>COUNTIFS(Risk_Register!B:B,C69,Risk_Register!G:G,"High")</f>
        <v>0</v>
      </c>
      <c r="H69" s="3" t="str">
        <f>IF(_xlfn.MAXIFS(Risk_Register!$L:$L,Risk_Register!$B:$B,C69)=3,"High",IF(_xlfn.MAXIFS(Risk_Register!$L:$L,Risk_Register!$B:$B,C69)=2,"Medium","Low"))</f>
        <v>Medium</v>
      </c>
      <c r="I69" s="3" t="str">
        <f>IF(B69&lt;=3,"Preferred site - strong composite profile",IF(B69&lt;=10,"Backup candidate - viable with monitoring","Reserve - evaluate only if primary sites unavailable"))</f>
        <v>Backup candidate - viable with monitoring</v>
      </c>
    </row>
    <row r="70" spans="1:9">
      <c r="A70" s="3" t="s">
        <v>50</v>
      </c>
      <c r="B70" s="3">
        <v>9</v>
      </c>
      <c r="C70" s="3" t="s">
        <v>579</v>
      </c>
      <c r="D70" s="3" t="s">
        <v>2830</v>
      </c>
      <c r="E70" s="3" t="s">
        <v>303</v>
      </c>
      <c r="F70" s="3">
        <f>INDEX([1]Site_Evaluation!$K:$K,MATCH(C70,[1]Site_Evaluation!$A:$A,0))</f>
        <v>65</v>
      </c>
      <c r="G70" s="3">
        <f>COUNTIFS(Risk_Register!B:B,C70,Risk_Register!G:G,"High")</f>
        <v>1</v>
      </c>
      <c r="H70" s="3" t="str">
        <f>IF(_xlfn.MAXIFS(Risk_Register!$L:$L,Risk_Register!$B:$B,C70)=3,"High",IF(_xlfn.MAXIFS(Risk_Register!$L:$L,Risk_Register!$B:$B,C70)=2,"Medium","Low"))</f>
        <v>High</v>
      </c>
      <c r="I70" s="3" t="str">
        <f>IF(B70&lt;=3,"Preferred site - strong composite profile",IF(B70&lt;=10,"Backup candidate - viable with monitoring","Reserve - evaluate only if primary sites unavailable"))</f>
        <v>Backup candidate - viable with monitoring</v>
      </c>
    </row>
    <row r="71" spans="1:9">
      <c r="A71" s="3" t="s">
        <v>50</v>
      </c>
      <c r="B71" s="3">
        <v>10</v>
      </c>
      <c r="C71" s="3" t="s">
        <v>474</v>
      </c>
      <c r="D71" s="3" t="s">
        <v>848</v>
      </c>
      <c r="E71" s="3" t="s">
        <v>315</v>
      </c>
      <c r="F71" s="3">
        <f>INDEX([1]Site_Evaluation!$K:$K,MATCH(C71,[1]Site_Evaluation!$A:$A,0))</f>
        <v>65</v>
      </c>
      <c r="G71" s="3">
        <f>COUNTIFS(Risk_Register!B:B,C71,Risk_Register!G:G,"High")</f>
        <v>3</v>
      </c>
      <c r="H71" s="3" t="str">
        <f>IF(_xlfn.MAXIFS(Risk_Register!$L:$L,Risk_Register!$B:$B,C71)=3,"High",IF(_xlfn.MAXIFS(Risk_Register!$L:$L,Risk_Register!$B:$B,C71)=2,"Medium","Low"))</f>
        <v>High</v>
      </c>
      <c r="I71" s="3" t="str">
        <f>IF(B71&lt;=3,"Preferred site - strong composite profile",IF(B71&lt;=10,"Backup candidate - viable with monitoring","Reserve - evaluate only if primary sites unavailable"))</f>
        <v>Backup candidate - viable with monitoring</v>
      </c>
    </row>
    <row r="72" spans="1:9">
      <c r="A72" s="3" t="s">
        <v>50</v>
      </c>
      <c r="B72" s="3">
        <v>11</v>
      </c>
      <c r="C72" s="3" t="s">
        <v>821</v>
      </c>
      <c r="D72" s="3" t="s">
        <v>822</v>
      </c>
      <c r="E72" s="3" t="s">
        <v>277</v>
      </c>
      <c r="F72" s="3">
        <f>INDEX([1]Site_Evaluation!$K:$K,MATCH(C72,[1]Site_Evaluation!$A:$A,0))</f>
        <v>64</v>
      </c>
      <c r="G72" s="3">
        <f>COUNTIFS(Risk_Register!B:B,C72,Risk_Register!G:G,"High")</f>
        <v>0</v>
      </c>
      <c r="H72" s="3" t="str">
        <f>IF(_xlfn.MAXIFS(Risk_Register!$L:$L,Risk_Register!$B:$B,C72)=3,"High",IF(_xlfn.MAXIFS(Risk_Register!$L:$L,Risk_Register!$B:$B,C72)=2,"Medium","Low"))</f>
        <v>Medium</v>
      </c>
      <c r="I72" s="3" t="str">
        <f>IF(B72&lt;=3,"Preferred site - strong composite profile",IF(B72&lt;=10,"Backup candidate - viable with monitoring","Reserve - evaluate only if primary sites unavailable"))</f>
        <v>Reserve - evaluate only if primary sites unavailable</v>
      </c>
    </row>
    <row r="73" spans="1:9">
      <c r="A73" s="3" t="s">
        <v>50</v>
      </c>
      <c r="B73" s="3">
        <v>12</v>
      </c>
      <c r="C73" s="3" t="s">
        <v>709</v>
      </c>
      <c r="D73" s="3" t="s">
        <v>2831</v>
      </c>
      <c r="E73" s="3" t="s">
        <v>311</v>
      </c>
      <c r="F73" s="3">
        <f>INDEX([1]Site_Evaluation!$K:$K,MATCH(C73,[1]Site_Evaluation!$A:$A,0))</f>
        <v>64</v>
      </c>
      <c r="G73" s="3">
        <f>COUNTIFS(Risk_Register!B:B,C73,Risk_Register!G:G,"High")</f>
        <v>1</v>
      </c>
      <c r="H73" s="3" t="str">
        <f>IF(_xlfn.MAXIFS(Risk_Register!$L:$L,Risk_Register!$B:$B,C73)=3,"High",IF(_xlfn.MAXIFS(Risk_Register!$L:$L,Risk_Register!$B:$B,C73)=2,"Medium","Low"))</f>
        <v>High</v>
      </c>
      <c r="I73" s="3" t="str">
        <f>IF(B73&lt;=3,"Preferred site - strong composite profile",IF(B73&lt;=10,"Backup candidate - viable with monitoring","Reserve - evaluate only if primary sites unavailable"))</f>
        <v>Reserve - evaluate only if primary sites unavailable</v>
      </c>
    </row>
    <row r="74" spans="1:9">
      <c r="A74" s="3" t="s">
        <v>50</v>
      </c>
      <c r="B74" s="3">
        <v>13</v>
      </c>
      <c r="C74" s="3" t="s">
        <v>859</v>
      </c>
      <c r="D74" s="3" t="s">
        <v>860</v>
      </c>
      <c r="E74" s="3" t="s">
        <v>294</v>
      </c>
      <c r="F74" s="3">
        <f>INDEX([1]Site_Evaluation!$K:$K,MATCH(C74,[1]Site_Evaluation!$A:$A,0))</f>
        <v>63</v>
      </c>
      <c r="G74" s="3">
        <f>COUNTIFS(Risk_Register!B:B,C74,Risk_Register!G:G,"High")</f>
        <v>0</v>
      </c>
      <c r="H74" s="3" t="str">
        <f>IF(_xlfn.MAXIFS(Risk_Register!$L:$L,Risk_Register!$B:$B,C74)=3,"High",IF(_xlfn.MAXIFS(Risk_Register!$L:$L,Risk_Register!$B:$B,C74)=2,"Medium","Low"))</f>
        <v>Medium</v>
      </c>
      <c r="I74" s="3" t="str">
        <f>IF(B74&lt;=3,"Preferred site - strong composite profile",IF(B74&lt;=10,"Backup candidate - viable with monitoring","Reserve - evaluate only if primary sites unavailable"))</f>
        <v>Reserve - evaluate only if primary sites unavailable</v>
      </c>
    </row>
    <row r="75" spans="1:9">
      <c r="A75" s="3" t="s">
        <v>50</v>
      </c>
      <c r="B75" s="3">
        <v>14</v>
      </c>
      <c r="C75" s="3" t="s">
        <v>461</v>
      </c>
      <c r="D75" s="3" t="s">
        <v>2832</v>
      </c>
      <c r="E75" s="3" t="s">
        <v>297</v>
      </c>
      <c r="F75" s="3">
        <f>INDEX([1]Site_Evaluation!$K:$K,MATCH(C75,[1]Site_Evaluation!$A:$A,0))</f>
        <v>63</v>
      </c>
      <c r="G75" s="3">
        <f>COUNTIFS(Risk_Register!B:B,C75,Risk_Register!G:G,"High")</f>
        <v>2</v>
      </c>
      <c r="H75" s="3" t="str">
        <f>IF(_xlfn.MAXIFS(Risk_Register!$L:$L,Risk_Register!$B:$B,C75)=3,"High",IF(_xlfn.MAXIFS(Risk_Register!$L:$L,Risk_Register!$B:$B,C75)=2,"Medium","Low"))</f>
        <v>High</v>
      </c>
      <c r="I75" s="3" t="str">
        <f>IF(B75&lt;=3,"Preferred site - strong composite profile",IF(B75&lt;=10,"Backup candidate - viable with monitoring","Reserve - evaluate only if primary sites unavailable"))</f>
        <v>Reserve - evaluate only if primary sites unavailable</v>
      </c>
    </row>
    <row r="76" spans="1:9">
      <c r="A76" s="3" t="s">
        <v>50</v>
      </c>
      <c r="B76" s="3">
        <v>15</v>
      </c>
      <c r="C76" s="3" t="s">
        <v>390</v>
      </c>
      <c r="D76" s="3" t="s">
        <v>2833</v>
      </c>
      <c r="E76" s="3" t="s">
        <v>294</v>
      </c>
      <c r="F76" s="3">
        <f>INDEX([1]Site_Evaluation!$K:$K,MATCH(C76,[1]Site_Evaluation!$A:$A,0))</f>
        <v>63</v>
      </c>
      <c r="G76" s="3">
        <f>COUNTIFS(Risk_Register!B:B,C76,Risk_Register!G:G,"High")</f>
        <v>1</v>
      </c>
      <c r="H76" s="3" t="str">
        <f>IF(_xlfn.MAXIFS(Risk_Register!$L:$L,Risk_Register!$B:$B,C76)=3,"High",IF(_xlfn.MAXIFS(Risk_Register!$L:$L,Risk_Register!$B:$B,C76)=2,"Medium","Low"))</f>
        <v>High</v>
      </c>
      <c r="I76" s="3" t="str">
        <f>IF(B76&lt;=3,"Preferred site - strong composite profile",IF(B76&lt;=10,"Backup candidate - viable with monitoring","Reserve - evaluate only if primary sites unavailable"))</f>
        <v>Reserve - evaluate only if primary sites unavailable</v>
      </c>
    </row>
    <row r="77" spans="1:9">
      <c r="A77" s="3" t="s">
        <v>50</v>
      </c>
      <c r="B77" s="3">
        <v>16</v>
      </c>
      <c r="C77" s="3" t="s">
        <v>476</v>
      </c>
      <c r="D77" s="3" t="s">
        <v>2830</v>
      </c>
      <c r="E77" s="3" t="s">
        <v>303</v>
      </c>
      <c r="F77" s="3">
        <f>INDEX([1]Site_Evaluation!$K:$K,MATCH(C77,[1]Site_Evaluation!$A:$A,0))</f>
        <v>63</v>
      </c>
      <c r="G77" s="3">
        <f>COUNTIFS(Risk_Register!B:B,C77,Risk_Register!G:G,"High")</f>
        <v>0</v>
      </c>
      <c r="H77" s="3" t="str">
        <f>IF(_xlfn.MAXIFS(Risk_Register!$L:$L,Risk_Register!$B:$B,C77)=3,"High",IF(_xlfn.MAXIFS(Risk_Register!$L:$L,Risk_Register!$B:$B,C77)=2,"Medium","Low"))</f>
        <v>Medium</v>
      </c>
      <c r="I77" s="3" t="str">
        <f>IF(B77&lt;=3,"Preferred site - strong composite profile",IF(B77&lt;=10,"Backup candidate - viable with monitoring","Reserve - evaluate only if primary sites unavailable"))</f>
        <v>Reserve - evaluate only if primary sites unavailable</v>
      </c>
    </row>
    <row r="78" spans="1:9">
      <c r="A78" s="3" t="s">
        <v>50</v>
      </c>
      <c r="B78" s="3">
        <v>17</v>
      </c>
      <c r="C78" s="3" t="s">
        <v>765</v>
      </c>
      <c r="D78" s="3" t="s">
        <v>766</v>
      </c>
      <c r="E78" s="3" t="s">
        <v>284</v>
      </c>
      <c r="F78" s="3">
        <f>INDEX([1]Site_Evaluation!$K:$K,MATCH(C78,[1]Site_Evaluation!$A:$A,0))</f>
        <v>63</v>
      </c>
      <c r="G78" s="3">
        <f>COUNTIFS(Risk_Register!B:B,C78,Risk_Register!G:G,"High")</f>
        <v>1</v>
      </c>
      <c r="H78" s="3" t="str">
        <f>IF(_xlfn.MAXIFS(Risk_Register!$L:$L,Risk_Register!$B:$B,C78)=3,"High",IF(_xlfn.MAXIFS(Risk_Register!$L:$L,Risk_Register!$B:$B,C78)=2,"Medium","Low"))</f>
        <v>High</v>
      </c>
      <c r="I78" s="3" t="str">
        <f>IF(B78&lt;=3,"Preferred site - strong composite profile",IF(B78&lt;=10,"Backup candidate - viable with monitoring","Reserve - evaluate only if primary sites unavailable"))</f>
        <v>Reserve - evaluate only if primary sites unavailable</v>
      </c>
    </row>
    <row r="79" spans="1:9">
      <c r="A79" s="3" t="s">
        <v>50</v>
      </c>
      <c r="B79" s="3">
        <v>18</v>
      </c>
      <c r="C79" s="3" t="s">
        <v>840</v>
      </c>
      <c r="D79" s="3" t="s">
        <v>841</v>
      </c>
      <c r="E79" s="3" t="s">
        <v>295</v>
      </c>
      <c r="F79" s="3">
        <f>INDEX([1]Site_Evaluation!$K:$K,MATCH(C79,[1]Site_Evaluation!$A:$A,0))</f>
        <v>62</v>
      </c>
      <c r="G79" s="3">
        <f>COUNTIFS(Risk_Register!B:B,C79,Risk_Register!G:G,"High")</f>
        <v>0</v>
      </c>
      <c r="H79" s="3" t="str">
        <f>IF(_xlfn.MAXIFS(Risk_Register!$L:$L,Risk_Register!$B:$B,C79)=3,"High",IF(_xlfn.MAXIFS(Risk_Register!$L:$L,Risk_Register!$B:$B,C79)=2,"Medium","Low"))</f>
        <v>Medium</v>
      </c>
      <c r="I79" s="3" t="str">
        <f>IF(B79&lt;=3,"Preferred site - strong composite profile",IF(B79&lt;=10,"Backup candidate - viable with monitoring","Reserve - evaluate only if primary sites unavailable"))</f>
        <v>Reserve - evaluate only if primary sites unavailable</v>
      </c>
    </row>
    <row r="80" spans="1:9">
      <c r="A80" s="3" t="s">
        <v>50</v>
      </c>
      <c r="B80" s="3">
        <v>19</v>
      </c>
      <c r="C80" s="3" t="s">
        <v>620</v>
      </c>
      <c r="D80" s="3" t="s">
        <v>815</v>
      </c>
      <c r="E80" s="3" t="s">
        <v>299</v>
      </c>
      <c r="F80" s="3">
        <f>INDEX([1]Site_Evaluation!$K:$K,MATCH(C80,[1]Site_Evaluation!$A:$A,0))</f>
        <v>61</v>
      </c>
      <c r="G80" s="3">
        <f>COUNTIFS(Risk_Register!B:B,C80,Risk_Register!G:G,"High")</f>
        <v>0</v>
      </c>
      <c r="H80" s="3" t="str">
        <f>IF(_xlfn.MAXIFS(Risk_Register!$L:$L,Risk_Register!$B:$B,C80)=3,"High",IF(_xlfn.MAXIFS(Risk_Register!$L:$L,Risk_Register!$B:$B,C80)=2,"Medium","Low"))</f>
        <v>Medium</v>
      </c>
      <c r="I80" s="3" t="str">
        <f>IF(B80&lt;=3,"Preferred site - strong composite profile",IF(B80&lt;=10,"Backup candidate - viable with monitoring","Reserve - evaluate only if primary sites unavailable"))</f>
        <v>Reserve - evaluate only if primary sites unavailable</v>
      </c>
    </row>
    <row r="81" spans="1:9">
      <c r="A81" s="3" t="s">
        <v>50</v>
      </c>
      <c r="B81" s="3">
        <v>20</v>
      </c>
      <c r="C81" s="3" t="s">
        <v>874</v>
      </c>
      <c r="D81" s="3" t="s">
        <v>875</v>
      </c>
      <c r="E81" s="3" t="s">
        <v>305</v>
      </c>
      <c r="F81" s="3">
        <f>INDEX([1]Site_Evaluation!$K:$K,MATCH(C81,[1]Site_Evaluation!$A:$A,0))</f>
        <v>61</v>
      </c>
      <c r="G81" s="3">
        <f>COUNTIFS(Risk_Register!B:B,C81,Risk_Register!G:G,"High")</f>
        <v>0</v>
      </c>
      <c r="H81" s="3" t="str">
        <f>IF(_xlfn.MAXIFS(Risk_Register!$L:$L,Risk_Register!$B:$B,C81)=3,"High",IF(_xlfn.MAXIFS(Risk_Register!$L:$L,Risk_Register!$B:$B,C81)=2,"Medium","Low"))</f>
        <v>Medium</v>
      </c>
      <c r="I81" s="3" t="str">
        <f>IF(B81&lt;=3,"Preferred site - strong composite profile",IF(B81&lt;=10,"Backup candidate - viable with monitoring","Reserve - evaluate only if primary sites unavailable"))</f>
        <v>Reserve - evaluate only if primary sites unavailable</v>
      </c>
    </row>
    <row r="82" spans="1:9">
      <c r="A82" s="3" t="s">
        <v>54</v>
      </c>
      <c r="B82" s="3">
        <v>1</v>
      </c>
      <c r="C82" s="3" t="s">
        <v>833</v>
      </c>
      <c r="D82" s="3" t="s">
        <v>834</v>
      </c>
      <c r="E82" s="3" t="s">
        <v>290</v>
      </c>
      <c r="F82" s="3">
        <f>INDEX([1]Site_Evaluation!$K:$K,MATCH(C82,[1]Site_Evaluation!$A:$A,0))</f>
        <v>75</v>
      </c>
      <c r="G82" s="3">
        <f>COUNTIFS(Risk_Register!B:B,C82,Risk_Register!G:G,"High")</f>
        <v>0</v>
      </c>
      <c r="H82" s="3" t="str">
        <f>IF(_xlfn.MAXIFS(Risk_Register!$L:$L,Risk_Register!$B:$B,C82)=3,"High",IF(_xlfn.MAXIFS(Risk_Register!$L:$L,Risk_Register!$B:$B,C82)=2,"Medium","Low"))</f>
        <v>Medium</v>
      </c>
      <c r="I82" s="3" t="str">
        <f>IF(B82&lt;=3,"Preferred site - strong composite profile",IF(B82&lt;=10,"Backup candidate - viable with monitoring","Reserve - evaluate only if primary sites unavailable"))</f>
        <v>Preferred site - strong composite profile</v>
      </c>
    </row>
    <row r="83" spans="1:9">
      <c r="A83" s="3" t="s">
        <v>54</v>
      </c>
      <c r="B83" s="3">
        <v>2</v>
      </c>
      <c r="C83" s="3" t="s">
        <v>911</v>
      </c>
      <c r="D83" s="3" t="s">
        <v>912</v>
      </c>
      <c r="E83" s="3" t="s">
        <v>311</v>
      </c>
      <c r="F83" s="3">
        <f>INDEX([1]Site_Evaluation!$K:$K,MATCH(C83,[1]Site_Evaluation!$A:$A,0))</f>
        <v>70</v>
      </c>
      <c r="G83" s="3">
        <f>COUNTIFS(Risk_Register!B:B,C83,Risk_Register!G:G,"High")</f>
        <v>0</v>
      </c>
      <c r="H83" s="3" t="str">
        <f>IF(_xlfn.MAXIFS(Risk_Register!$L:$L,Risk_Register!$B:$B,C83)=3,"High",IF(_xlfn.MAXIFS(Risk_Register!$L:$L,Risk_Register!$B:$B,C83)=2,"Medium","Low"))</f>
        <v>Medium</v>
      </c>
      <c r="I83" s="3" t="str">
        <f>IF(B83&lt;=3,"Preferred site - strong composite profile",IF(B83&lt;=10,"Backup candidate - viable with monitoring","Reserve - evaluate only if primary sites unavailable"))</f>
        <v>Preferred site - strong composite profile</v>
      </c>
    </row>
    <row r="84" spans="1:9">
      <c r="A84" s="3" t="s">
        <v>54</v>
      </c>
      <c r="B84" s="3">
        <v>3</v>
      </c>
      <c r="C84" s="3" t="s">
        <v>603</v>
      </c>
      <c r="D84" s="3" t="s">
        <v>2834</v>
      </c>
      <c r="E84" s="3" t="s">
        <v>317</v>
      </c>
      <c r="F84" s="3">
        <f>INDEX([1]Site_Evaluation!$K:$K,MATCH(C84,[1]Site_Evaluation!$A:$A,0))</f>
        <v>69</v>
      </c>
      <c r="G84" s="3">
        <f>COUNTIFS(Risk_Register!B:B,C84,Risk_Register!G:G,"High")</f>
        <v>0</v>
      </c>
      <c r="H84" s="3" t="str">
        <f>IF(_xlfn.MAXIFS(Risk_Register!$L:$L,Risk_Register!$B:$B,C84)=3,"High",IF(_xlfn.MAXIFS(Risk_Register!$L:$L,Risk_Register!$B:$B,C84)=2,"Medium","Low"))</f>
        <v>Medium</v>
      </c>
      <c r="I84" s="3" t="str">
        <f>IF(B84&lt;=3,"Preferred site - strong composite profile",IF(B84&lt;=10,"Backup candidate - viable with monitoring","Reserve - evaluate only if primary sites unavailable"))</f>
        <v>Preferred site - strong composite profile</v>
      </c>
    </row>
    <row r="85" spans="1:9">
      <c r="A85" s="3" t="s">
        <v>54</v>
      </c>
      <c r="B85" s="3">
        <v>4</v>
      </c>
      <c r="C85" s="3" t="s">
        <v>598</v>
      </c>
      <c r="D85" s="3" t="s">
        <v>531</v>
      </c>
      <c r="E85" s="3" t="s">
        <v>282</v>
      </c>
      <c r="F85" s="3">
        <f>INDEX([1]Site_Evaluation!$K:$K,MATCH(C85,[1]Site_Evaluation!$A:$A,0))</f>
        <v>69</v>
      </c>
      <c r="G85" s="3">
        <f>COUNTIFS(Risk_Register!B:B,C85,Risk_Register!G:G,"High")</f>
        <v>1</v>
      </c>
      <c r="H85" s="3" t="str">
        <f>IF(_xlfn.MAXIFS(Risk_Register!$L:$L,Risk_Register!$B:$B,C85)=3,"High",IF(_xlfn.MAXIFS(Risk_Register!$L:$L,Risk_Register!$B:$B,C85)=2,"Medium","Low"))</f>
        <v>High</v>
      </c>
      <c r="I85" s="3" t="str">
        <f>IF(B85&lt;=3,"Preferred site - strong composite profile",IF(B85&lt;=10,"Backup candidate - viable with monitoring","Reserve - evaluate only if primary sites unavailable"))</f>
        <v>Backup candidate - viable with monitoring</v>
      </c>
    </row>
    <row r="86" spans="1:9">
      <c r="A86" s="3" t="s">
        <v>54</v>
      </c>
      <c r="B86" s="3">
        <v>5</v>
      </c>
      <c r="C86" s="3" t="s">
        <v>851</v>
      </c>
      <c r="D86" s="3" t="s">
        <v>852</v>
      </c>
      <c r="E86" s="3" t="s">
        <v>280</v>
      </c>
      <c r="F86" s="3">
        <f>INDEX([1]Site_Evaluation!$K:$K,MATCH(C86,[1]Site_Evaluation!$A:$A,0))</f>
        <v>67</v>
      </c>
      <c r="G86" s="3">
        <f>COUNTIFS(Risk_Register!B:B,C86,Risk_Register!G:G,"High")</f>
        <v>0</v>
      </c>
      <c r="H86" s="3" t="str">
        <f>IF(_xlfn.MAXIFS(Risk_Register!$L:$L,Risk_Register!$B:$B,C86)=3,"High",IF(_xlfn.MAXIFS(Risk_Register!$L:$L,Risk_Register!$B:$B,C86)=2,"Medium","Low"))</f>
        <v>Medium</v>
      </c>
      <c r="I86" s="3" t="str">
        <f>IF(B86&lt;=3,"Preferred site - strong composite profile",IF(B86&lt;=10,"Backup candidate - viable with monitoring","Reserve - evaluate only if primary sites unavailable"))</f>
        <v>Backup candidate - viable with monitoring</v>
      </c>
    </row>
    <row r="87" spans="1:9">
      <c r="A87" s="3" t="s">
        <v>54</v>
      </c>
      <c r="B87" s="3">
        <v>6</v>
      </c>
      <c r="C87" s="3" t="s">
        <v>419</v>
      </c>
      <c r="D87" s="3" t="s">
        <v>2835</v>
      </c>
      <c r="E87" s="3" t="s">
        <v>277</v>
      </c>
      <c r="F87" s="3">
        <f>INDEX([1]Site_Evaluation!$K:$K,MATCH(C87,[1]Site_Evaluation!$A:$A,0))</f>
        <v>66</v>
      </c>
      <c r="G87" s="3">
        <f>COUNTIFS(Risk_Register!B:B,C87,Risk_Register!G:G,"High")</f>
        <v>0</v>
      </c>
      <c r="H87" s="3" t="str">
        <f>IF(_xlfn.MAXIFS(Risk_Register!$L:$L,Risk_Register!$B:$B,C87)=3,"High",IF(_xlfn.MAXIFS(Risk_Register!$L:$L,Risk_Register!$B:$B,C87)=2,"Medium","Low"))</f>
        <v>Medium</v>
      </c>
      <c r="I87" s="3" t="str">
        <f>IF(B87&lt;=3,"Preferred site - strong composite profile",IF(B87&lt;=10,"Backup candidate - viable with monitoring","Reserve - evaluate only if primary sites unavailable"))</f>
        <v>Backup candidate - viable with monitoring</v>
      </c>
    </row>
    <row r="88" spans="1:9">
      <c r="A88" s="3" t="s">
        <v>54</v>
      </c>
      <c r="B88" s="3">
        <v>7</v>
      </c>
      <c r="C88" s="3" t="s">
        <v>743</v>
      </c>
      <c r="D88" s="3" t="s">
        <v>744</v>
      </c>
      <c r="E88" s="3" t="s">
        <v>288</v>
      </c>
      <c r="F88" s="3">
        <f>INDEX([1]Site_Evaluation!$K:$K,MATCH(C88,[1]Site_Evaluation!$A:$A,0))</f>
        <v>66</v>
      </c>
      <c r="G88" s="3">
        <f>COUNTIFS(Risk_Register!B:B,C88,Risk_Register!G:G,"High")</f>
        <v>1</v>
      </c>
      <c r="H88" s="3" t="str">
        <f>IF(_xlfn.MAXIFS(Risk_Register!$L:$L,Risk_Register!$B:$B,C88)=3,"High",IF(_xlfn.MAXIFS(Risk_Register!$L:$L,Risk_Register!$B:$B,C88)=2,"Medium","Low"))</f>
        <v>High</v>
      </c>
      <c r="I88" s="3" t="str">
        <f>IF(B88&lt;=3,"Preferred site - strong composite profile",IF(B88&lt;=10,"Backup candidate - viable with monitoring","Reserve - evaluate only if primary sites unavailable"))</f>
        <v>Backup candidate - viable with monitoring</v>
      </c>
    </row>
    <row r="89" spans="1:9">
      <c r="A89" s="3" t="s">
        <v>54</v>
      </c>
      <c r="B89" s="3">
        <v>8</v>
      </c>
      <c r="C89" s="3" t="s">
        <v>624</v>
      </c>
      <c r="D89" s="3" t="s">
        <v>2836</v>
      </c>
      <c r="E89" s="3" t="s">
        <v>280</v>
      </c>
      <c r="F89" s="3">
        <f>INDEX([1]Site_Evaluation!$K:$K,MATCH(C89,[1]Site_Evaluation!$A:$A,0))</f>
        <v>66</v>
      </c>
      <c r="G89" s="3">
        <f>COUNTIFS(Risk_Register!B:B,C89,Risk_Register!G:G,"High")</f>
        <v>0</v>
      </c>
      <c r="H89" s="3" t="str">
        <f>IF(_xlfn.MAXIFS(Risk_Register!$L:$L,Risk_Register!$B:$B,C89)=3,"High",IF(_xlfn.MAXIFS(Risk_Register!$L:$L,Risk_Register!$B:$B,C89)=2,"Medium","Low"))</f>
        <v>Medium</v>
      </c>
      <c r="I89" s="3" t="str">
        <f>IF(B89&lt;=3,"Preferred site - strong composite profile",IF(B89&lt;=10,"Backup candidate - viable with monitoring","Reserve - evaluate only if primary sites unavailable"))</f>
        <v>Backup candidate - viable with monitoring</v>
      </c>
    </row>
    <row r="90" spans="1:9">
      <c r="A90" s="3" t="s">
        <v>54</v>
      </c>
      <c r="B90" s="3">
        <v>9</v>
      </c>
      <c r="C90" s="3" t="s">
        <v>835</v>
      </c>
      <c r="D90" s="3" t="s">
        <v>836</v>
      </c>
      <c r="E90" s="3" t="s">
        <v>284</v>
      </c>
      <c r="F90" s="3">
        <f>INDEX([1]Site_Evaluation!$K:$K,MATCH(C90,[1]Site_Evaluation!$A:$A,0))</f>
        <v>66</v>
      </c>
      <c r="G90" s="3">
        <f>COUNTIFS(Risk_Register!B:B,C90,Risk_Register!G:G,"High")</f>
        <v>0</v>
      </c>
      <c r="H90" s="3" t="str">
        <f>IF(_xlfn.MAXIFS(Risk_Register!$L:$L,Risk_Register!$B:$B,C90)=3,"High",IF(_xlfn.MAXIFS(Risk_Register!$L:$L,Risk_Register!$B:$B,C90)=2,"Medium","Low"))</f>
        <v>Medium</v>
      </c>
      <c r="I90" s="3" t="str">
        <f>IF(B90&lt;=3,"Preferred site - strong composite profile",IF(B90&lt;=10,"Backup candidate - viable with monitoring","Reserve - evaluate only if primary sites unavailable"))</f>
        <v>Backup candidate - viable with monitoring</v>
      </c>
    </row>
    <row r="91" spans="1:9">
      <c r="A91" s="3" t="s">
        <v>54</v>
      </c>
      <c r="B91" s="3">
        <v>10</v>
      </c>
      <c r="C91" s="3" t="s">
        <v>804</v>
      </c>
      <c r="D91" s="3" t="s">
        <v>805</v>
      </c>
      <c r="E91" s="3" t="s">
        <v>303</v>
      </c>
      <c r="F91" s="3">
        <f>INDEX([1]Site_Evaluation!$K:$K,MATCH(C91,[1]Site_Evaluation!$A:$A,0))</f>
        <v>65</v>
      </c>
      <c r="G91" s="3">
        <f>COUNTIFS(Risk_Register!B:B,C91,Risk_Register!G:G,"High")</f>
        <v>0</v>
      </c>
      <c r="H91" s="3" t="str">
        <f>IF(_xlfn.MAXIFS(Risk_Register!$L:$L,Risk_Register!$B:$B,C91)=3,"High",IF(_xlfn.MAXIFS(Risk_Register!$L:$L,Risk_Register!$B:$B,C91)=2,"Medium","Low"))</f>
        <v>Medium</v>
      </c>
      <c r="I91" s="3" t="str">
        <f>IF(B91&lt;=3,"Preferred site - strong composite profile",IF(B91&lt;=10,"Backup candidate - viable with monitoring","Reserve - evaluate only if primary sites unavailable"))</f>
        <v>Backup candidate - viable with monitoring</v>
      </c>
    </row>
    <row r="92" spans="1:9">
      <c r="A92" s="3" t="s">
        <v>54</v>
      </c>
      <c r="B92" s="3">
        <v>11</v>
      </c>
      <c r="C92" s="3" t="s">
        <v>818</v>
      </c>
      <c r="D92" s="3" t="s">
        <v>819</v>
      </c>
      <c r="E92" s="3" t="s">
        <v>309</v>
      </c>
      <c r="F92" s="3">
        <f>INDEX([1]Site_Evaluation!$K:$K,MATCH(C92,[1]Site_Evaluation!$A:$A,0))</f>
        <v>65</v>
      </c>
      <c r="G92" s="3">
        <f>COUNTIFS(Risk_Register!B:B,C92,Risk_Register!G:G,"High")</f>
        <v>0</v>
      </c>
      <c r="H92" s="3" t="str">
        <f>IF(_xlfn.MAXIFS(Risk_Register!$L:$L,Risk_Register!$B:$B,C92)=3,"High",IF(_xlfn.MAXIFS(Risk_Register!$L:$L,Risk_Register!$B:$B,C92)=2,"Medium","Low"))</f>
        <v>Low</v>
      </c>
      <c r="I92" s="3" t="str">
        <f>IF(B92&lt;=3,"Preferred site - strong composite profile",IF(B92&lt;=10,"Backup candidate - viable with monitoring","Reserve - evaluate only if primary sites unavailable"))</f>
        <v>Reserve - evaluate only if primary sites unavailable</v>
      </c>
    </row>
    <row r="93" spans="1:9">
      <c r="A93" s="3" t="s">
        <v>54</v>
      </c>
      <c r="B93" s="3">
        <v>12</v>
      </c>
      <c r="C93" s="3" t="s">
        <v>582</v>
      </c>
      <c r="D93" s="3" t="s">
        <v>706</v>
      </c>
      <c r="E93" s="3" t="s">
        <v>286</v>
      </c>
      <c r="F93" s="3">
        <f>INDEX([1]Site_Evaluation!$K:$K,MATCH(C93,[1]Site_Evaluation!$A:$A,0))</f>
        <v>65</v>
      </c>
      <c r="G93" s="3">
        <f>COUNTIFS(Risk_Register!B:B,C93,Risk_Register!G:G,"High")</f>
        <v>0</v>
      </c>
      <c r="H93" s="3" t="str">
        <f>IF(_xlfn.MAXIFS(Risk_Register!$L:$L,Risk_Register!$B:$B,C93)=3,"High",IF(_xlfn.MAXIFS(Risk_Register!$L:$L,Risk_Register!$B:$B,C93)=2,"Medium","Low"))</f>
        <v>Medium</v>
      </c>
      <c r="I93" s="3" t="str">
        <f>IF(B93&lt;=3,"Preferred site - strong composite profile",IF(B93&lt;=10,"Backup candidate - viable with monitoring","Reserve - evaluate only if primary sites unavailable"))</f>
        <v>Reserve - evaluate only if primary sites unavailable</v>
      </c>
    </row>
    <row r="94" spans="1:9">
      <c r="A94" s="3" t="s">
        <v>54</v>
      </c>
      <c r="B94" s="3">
        <v>13</v>
      </c>
      <c r="C94" s="3" t="s">
        <v>421</v>
      </c>
      <c r="D94" s="3" t="s">
        <v>2837</v>
      </c>
      <c r="E94" s="3" t="s">
        <v>321</v>
      </c>
      <c r="F94" s="3">
        <f>INDEX([1]Site_Evaluation!$K:$K,MATCH(C94,[1]Site_Evaluation!$A:$A,0))</f>
        <v>65</v>
      </c>
      <c r="G94" s="3">
        <f>COUNTIFS(Risk_Register!B:B,C94,Risk_Register!G:G,"High")</f>
        <v>1</v>
      </c>
      <c r="H94" s="3" t="str">
        <f>IF(_xlfn.MAXIFS(Risk_Register!$L:$L,Risk_Register!$B:$B,C94)=3,"High",IF(_xlfn.MAXIFS(Risk_Register!$L:$L,Risk_Register!$B:$B,C94)=2,"Medium","Low"))</f>
        <v>High</v>
      </c>
      <c r="I94" s="3" t="str">
        <f>IF(B94&lt;=3,"Preferred site - strong composite profile",IF(B94&lt;=10,"Backup candidate - viable with monitoring","Reserve - evaluate only if primary sites unavailable"))</f>
        <v>Reserve - evaluate only if primary sites unavailable</v>
      </c>
    </row>
    <row r="95" spans="1:9">
      <c r="A95" s="3" t="s">
        <v>54</v>
      </c>
      <c r="B95" s="3">
        <v>14</v>
      </c>
      <c r="C95" s="3" t="s">
        <v>525</v>
      </c>
      <c r="D95" s="3" t="s">
        <v>2838</v>
      </c>
      <c r="E95" s="3" t="s">
        <v>295</v>
      </c>
      <c r="F95" s="3">
        <f>INDEX([1]Site_Evaluation!$K:$K,MATCH(C95,[1]Site_Evaluation!$A:$A,0))</f>
        <v>63</v>
      </c>
      <c r="G95" s="3">
        <f>COUNTIFS(Risk_Register!B:B,C95,Risk_Register!G:G,"High")</f>
        <v>0</v>
      </c>
      <c r="H95" s="3" t="str">
        <f>IF(_xlfn.MAXIFS(Risk_Register!$L:$L,Risk_Register!$B:$B,C95)=3,"High",IF(_xlfn.MAXIFS(Risk_Register!$L:$L,Risk_Register!$B:$B,C95)=2,"Medium","Low"))</f>
        <v>Medium</v>
      </c>
      <c r="I95" s="3" t="str">
        <f>IF(B95&lt;=3,"Preferred site - strong composite profile",IF(B95&lt;=10,"Backup candidate - viable with monitoring","Reserve - evaluate only if primary sites unavailable"))</f>
        <v>Reserve - evaluate only if primary sites unavailable</v>
      </c>
    </row>
    <row r="96" spans="1:9">
      <c r="A96" s="3" t="s">
        <v>54</v>
      </c>
      <c r="B96" s="3">
        <v>15</v>
      </c>
      <c r="C96" s="3" t="s">
        <v>700</v>
      </c>
      <c r="D96" s="3" t="s">
        <v>746</v>
      </c>
      <c r="E96" s="3" t="s">
        <v>284</v>
      </c>
      <c r="F96" s="3">
        <f>INDEX([1]Site_Evaluation!$K:$K,MATCH(C96,[1]Site_Evaluation!$A:$A,0))</f>
        <v>62</v>
      </c>
      <c r="G96" s="3">
        <f>COUNTIFS(Risk_Register!B:B,C96,Risk_Register!G:G,"High")</f>
        <v>1</v>
      </c>
      <c r="H96" s="3" t="str">
        <f>IF(_xlfn.MAXIFS(Risk_Register!$L:$L,Risk_Register!$B:$B,C96)=3,"High",IF(_xlfn.MAXIFS(Risk_Register!$L:$L,Risk_Register!$B:$B,C96)=2,"Medium","Low"))</f>
        <v>High</v>
      </c>
      <c r="I96" s="3" t="str">
        <f>IF(B96&lt;=3,"Preferred site - strong composite profile",IF(B96&lt;=10,"Backup candidate - viable with monitoring","Reserve - evaluate only if primary sites unavailable"))</f>
        <v>Reserve - evaluate only if primary sites unavailable</v>
      </c>
    </row>
    <row r="97" spans="1:9">
      <c r="A97" s="3" t="s">
        <v>54</v>
      </c>
      <c r="B97" s="3">
        <v>16</v>
      </c>
      <c r="C97" s="3" t="s">
        <v>350</v>
      </c>
      <c r="D97" s="3" t="s">
        <v>2839</v>
      </c>
      <c r="E97" s="3" t="s">
        <v>279</v>
      </c>
      <c r="F97" s="3">
        <f>INDEX([1]Site_Evaluation!$K:$K,MATCH(C97,[1]Site_Evaluation!$A:$A,0))</f>
        <v>62</v>
      </c>
      <c r="G97" s="3">
        <f>COUNTIFS(Risk_Register!B:B,C97,Risk_Register!G:G,"High")</f>
        <v>0</v>
      </c>
      <c r="H97" s="3" t="str">
        <f>IF(_xlfn.MAXIFS(Risk_Register!$L:$L,Risk_Register!$B:$B,C97)=3,"High",IF(_xlfn.MAXIFS(Risk_Register!$L:$L,Risk_Register!$B:$B,C97)=2,"Medium","Low"))</f>
        <v>Medium</v>
      </c>
      <c r="I97" s="3" t="str">
        <f>IF(B97&lt;=3,"Preferred site - strong composite profile",IF(B97&lt;=10,"Backup candidate - viable with monitoring","Reserve - evaluate only if primary sites unavailable"))</f>
        <v>Reserve - evaluate only if primary sites unavailable</v>
      </c>
    </row>
    <row r="98" spans="1:9">
      <c r="A98" s="3" t="s">
        <v>54</v>
      </c>
      <c r="B98" s="3">
        <v>17</v>
      </c>
      <c r="C98" s="3" t="s">
        <v>629</v>
      </c>
      <c r="D98" s="3" t="s">
        <v>450</v>
      </c>
      <c r="E98" s="3" t="s">
        <v>279</v>
      </c>
      <c r="F98" s="3">
        <f>INDEX([1]Site_Evaluation!$K:$K,MATCH(C98,[1]Site_Evaluation!$A:$A,0))</f>
        <v>61</v>
      </c>
      <c r="G98" s="3">
        <f>COUNTIFS(Risk_Register!B:B,C98,Risk_Register!G:G,"High")</f>
        <v>1</v>
      </c>
      <c r="H98" s="3" t="str">
        <f>IF(_xlfn.MAXIFS(Risk_Register!$L:$L,Risk_Register!$B:$B,C98)=3,"High",IF(_xlfn.MAXIFS(Risk_Register!$L:$L,Risk_Register!$B:$B,C98)=2,"Medium","Low"))</f>
        <v>High</v>
      </c>
      <c r="I98" s="3" t="str">
        <f>IF(B98&lt;=3,"Preferred site - strong composite profile",IF(B98&lt;=10,"Backup candidate - viable with monitoring","Reserve - evaluate only if primary sites unavailable"))</f>
        <v>Reserve - evaluate only if primary sites unavailable</v>
      </c>
    </row>
    <row r="99" spans="1:9">
      <c r="A99" s="3" t="s">
        <v>54</v>
      </c>
      <c r="B99" s="3">
        <v>18</v>
      </c>
      <c r="C99" s="3" t="s">
        <v>707</v>
      </c>
      <c r="D99" s="3" t="s">
        <v>2840</v>
      </c>
      <c r="E99" s="3" t="s">
        <v>294</v>
      </c>
      <c r="F99" s="3">
        <f>INDEX([1]Site_Evaluation!$K:$K,MATCH(C99,[1]Site_Evaluation!$A:$A,0))</f>
        <v>61</v>
      </c>
      <c r="G99" s="3">
        <f>COUNTIFS(Risk_Register!B:B,C99,Risk_Register!G:G,"High")</f>
        <v>1</v>
      </c>
      <c r="H99" s="3" t="str">
        <f>IF(_xlfn.MAXIFS(Risk_Register!$L:$L,Risk_Register!$B:$B,C99)=3,"High",IF(_xlfn.MAXIFS(Risk_Register!$L:$L,Risk_Register!$B:$B,C99)=2,"Medium","Low"))</f>
        <v>High</v>
      </c>
      <c r="I99" s="3" t="str">
        <f>IF(B99&lt;=3,"Preferred site - strong composite profile",IF(B99&lt;=10,"Backup candidate - viable with monitoring","Reserve - evaluate only if primary sites unavailable"))</f>
        <v>Reserve - evaluate only if primary sites unavailable</v>
      </c>
    </row>
    <row r="100" spans="1:9">
      <c r="A100" s="3" t="s">
        <v>54</v>
      </c>
      <c r="B100" s="3">
        <v>19</v>
      </c>
      <c r="C100" s="3" t="s">
        <v>622</v>
      </c>
      <c r="D100" s="3" t="s">
        <v>2841</v>
      </c>
      <c r="E100" s="3" t="s">
        <v>305</v>
      </c>
      <c r="F100" s="3">
        <f>INDEX([1]Site_Evaluation!$K:$K,MATCH(C100,[1]Site_Evaluation!$A:$A,0))</f>
        <v>60</v>
      </c>
      <c r="G100" s="3">
        <f>COUNTIFS(Risk_Register!B:B,C100,Risk_Register!G:G,"High")</f>
        <v>0</v>
      </c>
      <c r="H100" s="3" t="str">
        <f>IF(_xlfn.MAXIFS(Risk_Register!$L:$L,Risk_Register!$B:$B,C100)=3,"High",IF(_xlfn.MAXIFS(Risk_Register!$L:$L,Risk_Register!$B:$B,C100)=2,"Medium","Low"))</f>
        <v>Medium</v>
      </c>
      <c r="I100" s="3" t="str">
        <f>IF(B100&lt;=3,"Preferred site - strong composite profile",IF(B100&lt;=10,"Backup candidate - viable with monitoring","Reserve - evaluate only if primary sites unavailable"))</f>
        <v>Reserve - evaluate only if primary sites unavailable</v>
      </c>
    </row>
    <row r="101" spans="1:9">
      <c r="A101" s="3" t="s">
        <v>54</v>
      </c>
      <c r="B101" s="3">
        <v>20</v>
      </c>
      <c r="C101" s="3" t="s">
        <v>397</v>
      </c>
      <c r="D101" s="3" t="s">
        <v>2842</v>
      </c>
      <c r="E101" s="3" t="s">
        <v>321</v>
      </c>
      <c r="F101" s="3">
        <f>INDEX([1]Site_Evaluation!$K:$K,MATCH(C101,[1]Site_Evaluation!$A:$A,0))</f>
        <v>60</v>
      </c>
      <c r="G101" s="3">
        <f>COUNTIFS(Risk_Register!B:B,C101,Risk_Register!G:G,"High")</f>
        <v>0</v>
      </c>
      <c r="H101" s="3" t="str">
        <f>IF(_xlfn.MAXIFS(Risk_Register!$L:$L,Risk_Register!$B:$B,C101)=3,"High",IF(_xlfn.MAXIFS(Risk_Register!$L:$L,Risk_Register!$B:$B,C101)=2,"Medium","Low"))</f>
        <v>Medium</v>
      </c>
      <c r="I101" s="3" t="str">
        <f>IF(B101&lt;=3,"Preferred site - strong composite profile",IF(B101&lt;=10,"Backup candidate - viable with monitoring","Reserve - evaluate only if primary sites unavailable"))</f>
        <v>Reserve - evaluate only if primary sites unavailable</v>
      </c>
    </row>
    <row r="102" spans="1:9">
      <c r="A102" s="3" t="s">
        <v>58</v>
      </c>
      <c r="B102" s="3">
        <v>1</v>
      </c>
      <c r="C102" s="3" t="s">
        <v>668</v>
      </c>
      <c r="D102" s="3" t="s">
        <v>551</v>
      </c>
      <c r="E102" s="3" t="s">
        <v>284</v>
      </c>
      <c r="F102" s="3">
        <f>INDEX([1]Site_Evaluation!$K:$K,MATCH(C102,[1]Site_Evaluation!$A:$A,0))</f>
        <v>79</v>
      </c>
      <c r="G102" s="3">
        <f>COUNTIFS(Risk_Register!B:B,C102,Risk_Register!G:G,"High")</f>
        <v>0</v>
      </c>
      <c r="H102" s="3" t="str">
        <f>IF(_xlfn.MAXIFS(Risk_Register!$L:$L,Risk_Register!$B:$B,C102)=3,"High",IF(_xlfn.MAXIFS(Risk_Register!$L:$L,Risk_Register!$B:$B,C102)=2,"Medium","Low"))</f>
        <v>Medium</v>
      </c>
      <c r="I102" s="3" t="str">
        <f>IF(B102&lt;=3,"Preferred site - strong composite profile",IF(B102&lt;=10,"Backup candidate - viable with monitoring","Reserve - evaluate only if primary sites unavailable"))</f>
        <v>Preferred site - strong composite profile</v>
      </c>
    </row>
    <row r="103" spans="1:9">
      <c r="A103" s="3" t="s">
        <v>58</v>
      </c>
      <c r="B103" s="3">
        <v>2</v>
      </c>
      <c r="C103" s="3" t="s">
        <v>711</v>
      </c>
      <c r="D103" s="3" t="s">
        <v>2843</v>
      </c>
      <c r="E103" s="3" t="s">
        <v>292</v>
      </c>
      <c r="F103" s="3">
        <f>INDEX([1]Site_Evaluation!$K:$K,MATCH(C103,[1]Site_Evaluation!$A:$A,0))</f>
        <v>76</v>
      </c>
      <c r="G103" s="3">
        <f>COUNTIFS(Risk_Register!B:B,C103,Risk_Register!G:G,"High")</f>
        <v>0</v>
      </c>
      <c r="H103" s="3" t="str">
        <f>IF(_xlfn.MAXIFS(Risk_Register!$L:$L,Risk_Register!$B:$B,C103)=3,"High",IF(_xlfn.MAXIFS(Risk_Register!$L:$L,Risk_Register!$B:$B,C103)=2,"Medium","Low"))</f>
        <v>Medium</v>
      </c>
      <c r="I103" s="3" t="str">
        <f>IF(B103&lt;=3,"Preferred site - strong composite profile",IF(B103&lt;=10,"Backup candidate - viable with monitoring","Reserve - evaluate only if primary sites unavailable"))</f>
        <v>Preferred site - strong composite profile</v>
      </c>
    </row>
    <row r="104" spans="1:9">
      <c r="A104" s="3" t="s">
        <v>58</v>
      </c>
      <c r="B104" s="3">
        <v>3</v>
      </c>
      <c r="C104" s="3" t="s">
        <v>608</v>
      </c>
      <c r="D104" s="3" t="s">
        <v>2844</v>
      </c>
      <c r="E104" s="3" t="s">
        <v>297</v>
      </c>
      <c r="F104" s="3">
        <f>INDEX([1]Site_Evaluation!$K:$K,MATCH(C104,[1]Site_Evaluation!$A:$A,0))</f>
        <v>74</v>
      </c>
      <c r="G104" s="3">
        <f>COUNTIFS(Risk_Register!B:B,C104,Risk_Register!G:G,"High")</f>
        <v>1</v>
      </c>
      <c r="H104" s="3" t="str">
        <f>IF(_xlfn.MAXIFS(Risk_Register!$L:$L,Risk_Register!$B:$B,C104)=3,"High",IF(_xlfn.MAXIFS(Risk_Register!$L:$L,Risk_Register!$B:$B,C104)=2,"Medium","Low"))</f>
        <v>High</v>
      </c>
      <c r="I104" s="3" t="str">
        <f>IF(B104&lt;=3,"Preferred site - strong composite profile",IF(B104&lt;=10,"Backup candidate - viable with monitoring","Reserve - evaluate only if primary sites unavailable"))</f>
        <v>Preferred site - strong composite profile</v>
      </c>
    </row>
    <row r="105" spans="1:9">
      <c r="A105" s="3" t="s">
        <v>58</v>
      </c>
      <c r="B105" s="3">
        <v>4</v>
      </c>
      <c r="C105" s="3" t="s">
        <v>716</v>
      </c>
      <c r="D105" s="3" t="s">
        <v>717</v>
      </c>
      <c r="E105" s="3" t="s">
        <v>313</v>
      </c>
      <c r="F105" s="3">
        <f>INDEX([1]Site_Evaluation!$K:$K,MATCH(C105,[1]Site_Evaluation!$A:$A,0))</f>
        <v>73</v>
      </c>
      <c r="G105" s="3">
        <f>COUNTIFS(Risk_Register!B:B,C105,Risk_Register!G:G,"High")</f>
        <v>0</v>
      </c>
      <c r="H105" s="3" t="str">
        <f>IF(_xlfn.MAXIFS(Risk_Register!$L:$L,Risk_Register!$B:$B,C105)=3,"High",IF(_xlfn.MAXIFS(Risk_Register!$L:$L,Risk_Register!$B:$B,C105)=2,"Medium","Low"))</f>
        <v>Medium</v>
      </c>
      <c r="I105" s="3" t="str">
        <f>IF(B105&lt;=3,"Preferred site - strong composite profile",IF(B105&lt;=10,"Backup candidate - viable with monitoring","Reserve - evaluate only if primary sites unavailable"))</f>
        <v>Backup candidate - viable with monitoring</v>
      </c>
    </row>
    <row r="106" spans="1:9">
      <c r="A106" s="3" t="s">
        <v>58</v>
      </c>
      <c r="B106" s="3">
        <v>5</v>
      </c>
      <c r="C106" s="3" t="s">
        <v>679</v>
      </c>
      <c r="D106" s="3" t="s">
        <v>2845</v>
      </c>
      <c r="E106" s="3" t="s">
        <v>319</v>
      </c>
      <c r="F106" s="3">
        <f>INDEX([1]Site_Evaluation!$K:$K,MATCH(C106,[1]Site_Evaluation!$A:$A,0))</f>
        <v>70</v>
      </c>
      <c r="G106" s="3">
        <f>COUNTIFS(Risk_Register!B:B,C106,Risk_Register!G:G,"High")</f>
        <v>2</v>
      </c>
      <c r="H106" s="3" t="str">
        <f>IF(_xlfn.MAXIFS(Risk_Register!$L:$L,Risk_Register!$B:$B,C106)=3,"High",IF(_xlfn.MAXIFS(Risk_Register!$L:$L,Risk_Register!$B:$B,C106)=2,"Medium","Low"))</f>
        <v>High</v>
      </c>
      <c r="I106" s="3" t="str">
        <f>IF(B106&lt;=3,"Preferred site - strong composite profile",IF(B106&lt;=10,"Backup candidate - viable with monitoring","Reserve - evaluate only if primary sites unavailable"))</f>
        <v>Backup candidate - viable with monitoring</v>
      </c>
    </row>
    <row r="107" spans="1:9">
      <c r="A107" s="3" t="s">
        <v>58</v>
      </c>
      <c r="B107" s="3">
        <v>6</v>
      </c>
      <c r="C107" s="3" t="s">
        <v>556</v>
      </c>
      <c r="D107" s="3" t="s">
        <v>2846</v>
      </c>
      <c r="E107" s="3" t="s">
        <v>282</v>
      </c>
      <c r="F107" s="3">
        <f>INDEX([1]Site_Evaluation!$K:$K,MATCH(C107,[1]Site_Evaluation!$A:$A,0))</f>
        <v>70</v>
      </c>
      <c r="G107" s="3">
        <f>COUNTIFS(Risk_Register!B:B,C107,Risk_Register!G:G,"High")</f>
        <v>1</v>
      </c>
      <c r="H107" s="3" t="str">
        <f>IF(_xlfn.MAXIFS(Risk_Register!$L:$L,Risk_Register!$B:$B,C107)=3,"High",IF(_xlfn.MAXIFS(Risk_Register!$L:$L,Risk_Register!$B:$B,C107)=2,"Medium","Low"))</f>
        <v>High</v>
      </c>
      <c r="I107" s="3" t="str">
        <f>IF(B107&lt;=3,"Preferred site - strong composite profile",IF(B107&lt;=10,"Backup candidate - viable with monitoring","Reserve - evaluate only if primary sites unavailable"))</f>
        <v>Backup candidate - viable with monitoring</v>
      </c>
    </row>
    <row r="108" spans="1:9">
      <c r="A108" s="3" t="s">
        <v>58</v>
      </c>
      <c r="B108" s="3">
        <v>7</v>
      </c>
      <c r="C108" s="3" t="s">
        <v>649</v>
      </c>
      <c r="D108" s="3" t="s">
        <v>2847</v>
      </c>
      <c r="E108" s="3" t="s">
        <v>317</v>
      </c>
      <c r="F108" s="3">
        <f>INDEX([1]Site_Evaluation!$K:$K,MATCH(C108,[1]Site_Evaluation!$A:$A,0))</f>
        <v>67</v>
      </c>
      <c r="G108" s="3">
        <f>COUNTIFS(Risk_Register!B:B,C108,Risk_Register!G:G,"High")</f>
        <v>0</v>
      </c>
      <c r="H108" s="3" t="str">
        <f>IF(_xlfn.MAXIFS(Risk_Register!$L:$L,Risk_Register!$B:$B,C108)=3,"High",IF(_xlfn.MAXIFS(Risk_Register!$L:$L,Risk_Register!$B:$B,C108)=2,"Medium","Low"))</f>
        <v>Medium</v>
      </c>
      <c r="I108" s="3" t="str">
        <f>IF(B108&lt;=3,"Preferred site - strong composite profile",IF(B108&lt;=10,"Backup candidate - viable with monitoring","Reserve - evaluate only if primary sites unavailable"))</f>
        <v>Backup candidate - viable with monitoring</v>
      </c>
    </row>
    <row r="109" spans="1:9">
      <c r="A109" s="3" t="s">
        <v>58</v>
      </c>
      <c r="B109" s="3">
        <v>8</v>
      </c>
      <c r="C109" s="3" t="s">
        <v>714</v>
      </c>
      <c r="D109" s="3" t="s">
        <v>2848</v>
      </c>
      <c r="E109" s="3" t="s">
        <v>284</v>
      </c>
      <c r="F109" s="3">
        <f>INDEX([1]Site_Evaluation!$K:$K,MATCH(C109,[1]Site_Evaluation!$A:$A,0))</f>
        <v>67</v>
      </c>
      <c r="G109" s="3">
        <f>COUNTIFS(Risk_Register!B:B,C109,Risk_Register!G:G,"High")</f>
        <v>0</v>
      </c>
      <c r="H109" s="3" t="str">
        <f>IF(_xlfn.MAXIFS(Risk_Register!$L:$L,Risk_Register!$B:$B,C109)=3,"High",IF(_xlfn.MAXIFS(Risk_Register!$L:$L,Risk_Register!$B:$B,C109)=2,"Medium","Low"))</f>
        <v>Medium</v>
      </c>
      <c r="I109" s="3" t="str">
        <f>IF(B109&lt;=3,"Preferred site - strong composite profile",IF(B109&lt;=10,"Backup candidate - viable with monitoring","Reserve - evaluate only if primary sites unavailable"))</f>
        <v>Backup candidate - viable with monitoring</v>
      </c>
    </row>
    <row r="110" spans="1:9">
      <c r="A110" s="3" t="s">
        <v>58</v>
      </c>
      <c r="B110" s="3">
        <v>9</v>
      </c>
      <c r="C110" s="3" t="s">
        <v>897</v>
      </c>
      <c r="D110" s="3" t="s">
        <v>898</v>
      </c>
      <c r="E110" s="3" t="s">
        <v>280</v>
      </c>
      <c r="F110" s="3">
        <f>INDEX([1]Site_Evaluation!$K:$K,MATCH(C110,[1]Site_Evaluation!$A:$A,0))</f>
        <v>66</v>
      </c>
      <c r="G110" s="3">
        <f>COUNTIFS(Risk_Register!B:B,C110,Risk_Register!G:G,"High")</f>
        <v>0</v>
      </c>
      <c r="H110" s="3" t="str">
        <f>IF(_xlfn.MAXIFS(Risk_Register!$L:$L,Risk_Register!$B:$B,C110)=3,"High",IF(_xlfn.MAXIFS(Risk_Register!$L:$L,Risk_Register!$B:$B,C110)=2,"Medium","Low"))</f>
        <v>Medium</v>
      </c>
      <c r="I110" s="3" t="str">
        <f>IF(B110&lt;=3,"Preferred site - strong composite profile",IF(B110&lt;=10,"Backup candidate - viable with monitoring","Reserve - evaluate only if primary sites unavailable"))</f>
        <v>Backup candidate - viable with monitoring</v>
      </c>
    </row>
    <row r="111" spans="1:9">
      <c r="A111" s="3" t="s">
        <v>58</v>
      </c>
      <c r="B111" s="3">
        <v>10</v>
      </c>
      <c r="C111" s="3" t="s">
        <v>913</v>
      </c>
      <c r="D111" s="3" t="s">
        <v>914</v>
      </c>
      <c r="E111" s="3" t="s">
        <v>321</v>
      </c>
      <c r="F111" s="3">
        <f>INDEX([1]Site_Evaluation!$K:$K,MATCH(C111,[1]Site_Evaluation!$A:$A,0))</f>
        <v>66</v>
      </c>
      <c r="G111" s="3">
        <f>COUNTIFS(Risk_Register!B:B,C111,Risk_Register!G:G,"High")</f>
        <v>2</v>
      </c>
      <c r="H111" s="3" t="str">
        <f>IF(_xlfn.MAXIFS(Risk_Register!$L:$L,Risk_Register!$B:$B,C111)=3,"High",IF(_xlfn.MAXIFS(Risk_Register!$L:$L,Risk_Register!$B:$B,C111)=2,"Medium","Low"))</f>
        <v>High</v>
      </c>
      <c r="I111" s="3" t="str">
        <f>IF(B111&lt;=3,"Preferred site - strong composite profile",IF(B111&lt;=10,"Backup candidate - viable with monitoring","Reserve - evaluate only if primary sites unavailable"))</f>
        <v>Backup candidate - viable with monitoring</v>
      </c>
    </row>
    <row r="112" spans="1:9">
      <c r="A112" s="3" t="s">
        <v>58</v>
      </c>
      <c r="B112" s="3">
        <v>11</v>
      </c>
      <c r="C112" s="3" t="s">
        <v>590</v>
      </c>
      <c r="D112" s="3" t="s">
        <v>2846</v>
      </c>
      <c r="E112" s="3" t="s">
        <v>282</v>
      </c>
      <c r="F112" s="3">
        <f>INDEX([1]Site_Evaluation!$K:$K,MATCH(C112,[1]Site_Evaluation!$A:$A,0))</f>
        <v>65</v>
      </c>
      <c r="G112" s="3">
        <f>COUNTIFS(Risk_Register!B:B,C112,Risk_Register!G:G,"High")</f>
        <v>2</v>
      </c>
      <c r="H112" s="3" t="str">
        <f>IF(_xlfn.MAXIFS(Risk_Register!$L:$L,Risk_Register!$B:$B,C112)=3,"High",IF(_xlfn.MAXIFS(Risk_Register!$L:$L,Risk_Register!$B:$B,C112)=2,"Medium","Low"))</f>
        <v>High</v>
      </c>
      <c r="I112" s="3" t="str">
        <f>IF(B112&lt;=3,"Preferred site - strong composite profile",IF(B112&lt;=10,"Backup candidate - viable with monitoring","Reserve - evaluate only if primary sites unavailable"))</f>
        <v>Reserve - evaluate only if primary sites unavailable</v>
      </c>
    </row>
    <row r="113" spans="1:9">
      <c r="A113" s="3" t="s">
        <v>58</v>
      </c>
      <c r="B113" s="3">
        <v>12</v>
      </c>
      <c r="C113" s="3" t="s">
        <v>569</v>
      </c>
      <c r="D113" s="3" t="s">
        <v>2849</v>
      </c>
      <c r="E113" s="3" t="s">
        <v>309</v>
      </c>
      <c r="F113" s="3">
        <f>INDEX([1]Site_Evaluation!$K:$K,MATCH(C113,[1]Site_Evaluation!$A:$A,0))</f>
        <v>65</v>
      </c>
      <c r="G113" s="3">
        <f>COUNTIFS(Risk_Register!B:B,C113,Risk_Register!G:G,"High")</f>
        <v>3</v>
      </c>
      <c r="H113" s="3" t="str">
        <f>IF(_xlfn.MAXIFS(Risk_Register!$L:$L,Risk_Register!$B:$B,C113)=3,"High",IF(_xlfn.MAXIFS(Risk_Register!$L:$L,Risk_Register!$B:$B,C113)=2,"Medium","Low"))</f>
        <v>High</v>
      </c>
      <c r="I113" s="3" t="str">
        <f>IF(B113&lt;=3,"Preferred site - strong composite profile",IF(B113&lt;=10,"Backup candidate - viable with monitoring","Reserve - evaluate only if primary sites unavailable"))</f>
        <v>Reserve - evaluate only if primary sites unavailable</v>
      </c>
    </row>
    <row r="114" spans="1:9">
      <c r="A114" s="3" t="s">
        <v>58</v>
      </c>
      <c r="B114" s="3">
        <v>13</v>
      </c>
      <c r="C114" s="3" t="s">
        <v>854</v>
      </c>
      <c r="D114" s="3" t="s">
        <v>855</v>
      </c>
      <c r="E114" s="3" t="s">
        <v>321</v>
      </c>
      <c r="F114" s="3">
        <f>INDEX([1]Site_Evaluation!$K:$K,MATCH(C114,[1]Site_Evaluation!$A:$A,0))</f>
        <v>65</v>
      </c>
      <c r="G114" s="3">
        <f>COUNTIFS(Risk_Register!B:B,C114,Risk_Register!G:G,"High")</f>
        <v>0</v>
      </c>
      <c r="H114" s="3" t="str">
        <f>IF(_xlfn.MAXIFS(Risk_Register!$L:$L,Risk_Register!$B:$B,C114)=3,"High",IF(_xlfn.MAXIFS(Risk_Register!$L:$L,Risk_Register!$B:$B,C114)=2,"Medium","Low"))</f>
        <v>Low</v>
      </c>
      <c r="I114" s="3" t="str">
        <f>IF(B114&lt;=3,"Preferred site - strong composite profile",IF(B114&lt;=10,"Backup candidate - viable with monitoring","Reserve - evaluate only if primary sites unavailable"))</f>
        <v>Reserve - evaluate only if primary sites unavailable</v>
      </c>
    </row>
    <row r="115" spans="1:9">
      <c r="A115" s="3" t="s">
        <v>58</v>
      </c>
      <c r="B115" s="3">
        <v>14</v>
      </c>
      <c r="C115" s="3" t="s">
        <v>885</v>
      </c>
      <c r="D115" s="3" t="s">
        <v>886</v>
      </c>
      <c r="E115" s="3" t="s">
        <v>313</v>
      </c>
      <c r="F115" s="3">
        <f>INDEX([1]Site_Evaluation!$K:$K,MATCH(C115,[1]Site_Evaluation!$A:$A,0))</f>
        <v>64</v>
      </c>
      <c r="G115" s="3">
        <f>COUNTIFS(Risk_Register!B:B,C115,Risk_Register!G:G,"High")</f>
        <v>1</v>
      </c>
      <c r="H115" s="3" t="str">
        <f>IF(_xlfn.MAXIFS(Risk_Register!$L:$L,Risk_Register!$B:$B,C115)=3,"High",IF(_xlfn.MAXIFS(Risk_Register!$L:$L,Risk_Register!$B:$B,C115)=2,"Medium","Low"))</f>
        <v>High</v>
      </c>
      <c r="I115" s="3" t="str">
        <f>IF(B115&lt;=3,"Preferred site - strong composite profile",IF(B115&lt;=10,"Backup candidate - viable with monitoring","Reserve - evaluate only if primary sites unavailable"))</f>
        <v>Reserve - evaluate only if primary sites unavailable</v>
      </c>
    </row>
    <row r="116" spans="1:9">
      <c r="A116" s="3" t="s">
        <v>58</v>
      </c>
      <c r="B116" s="3">
        <v>15</v>
      </c>
      <c r="C116" s="3" t="s">
        <v>426</v>
      </c>
      <c r="D116" s="3" t="s">
        <v>2850</v>
      </c>
      <c r="E116" s="3" t="s">
        <v>313</v>
      </c>
      <c r="F116" s="3">
        <f>INDEX([1]Site_Evaluation!$K:$K,MATCH(C116,[1]Site_Evaluation!$A:$A,0))</f>
        <v>63</v>
      </c>
      <c r="G116" s="3">
        <f>COUNTIFS(Risk_Register!B:B,C116,Risk_Register!G:G,"High")</f>
        <v>0</v>
      </c>
      <c r="H116" s="3" t="str">
        <f>IF(_xlfn.MAXIFS(Risk_Register!$L:$L,Risk_Register!$B:$B,C116)=3,"High",IF(_xlfn.MAXIFS(Risk_Register!$L:$L,Risk_Register!$B:$B,C116)=2,"Medium","Low"))</f>
        <v>Medium</v>
      </c>
      <c r="I116" s="3" t="str">
        <f>IF(B116&lt;=3,"Preferred site - strong composite profile",IF(B116&lt;=10,"Backup candidate - viable with monitoring","Reserve - evaluate only if primary sites unavailable"))</f>
        <v>Reserve - evaluate only if primary sites unavailable</v>
      </c>
    </row>
    <row r="117" spans="1:9">
      <c r="A117" s="3" t="s">
        <v>58</v>
      </c>
      <c r="B117" s="3">
        <v>16</v>
      </c>
      <c r="C117" s="3" t="s">
        <v>611</v>
      </c>
      <c r="D117" s="3" t="s">
        <v>2851</v>
      </c>
      <c r="E117" s="3" t="s">
        <v>315</v>
      </c>
      <c r="F117" s="3">
        <f>INDEX([1]Site_Evaluation!$K:$K,MATCH(C117,[1]Site_Evaluation!$A:$A,0))</f>
        <v>63</v>
      </c>
      <c r="G117" s="3">
        <f>COUNTIFS(Risk_Register!B:B,C117,Risk_Register!G:G,"High")</f>
        <v>1</v>
      </c>
      <c r="H117" s="3" t="str">
        <f>IF(_xlfn.MAXIFS(Risk_Register!$L:$L,Risk_Register!$B:$B,C117)=3,"High",IF(_xlfn.MAXIFS(Risk_Register!$L:$L,Risk_Register!$B:$B,C117)=2,"Medium","Low"))</f>
        <v>High</v>
      </c>
      <c r="I117" s="3" t="str">
        <f>IF(B117&lt;=3,"Preferred site - strong composite profile",IF(B117&lt;=10,"Backup candidate - viable with monitoring","Reserve - evaluate only if primary sites unavailable"))</f>
        <v>Reserve - evaluate only if primary sites unavailable</v>
      </c>
    </row>
    <row r="118" spans="1:9">
      <c r="A118" s="3" t="s">
        <v>58</v>
      </c>
      <c r="B118" s="3">
        <v>17</v>
      </c>
      <c r="C118" s="3" t="s">
        <v>554</v>
      </c>
      <c r="D118" s="3" t="s">
        <v>2852</v>
      </c>
      <c r="E118" s="3" t="s">
        <v>295</v>
      </c>
      <c r="F118" s="3">
        <f>INDEX([1]Site_Evaluation!$K:$K,MATCH(C118,[1]Site_Evaluation!$A:$A,0))</f>
        <v>62</v>
      </c>
      <c r="G118" s="3">
        <f>COUNTIFS(Risk_Register!B:B,C118,Risk_Register!G:G,"High")</f>
        <v>0</v>
      </c>
      <c r="H118" s="3" t="str">
        <f>IF(_xlfn.MAXIFS(Risk_Register!$L:$L,Risk_Register!$B:$B,C118)=3,"High",IF(_xlfn.MAXIFS(Risk_Register!$L:$L,Risk_Register!$B:$B,C118)=2,"Medium","Low"))</f>
        <v>Medium</v>
      </c>
      <c r="I118" s="3" t="str">
        <f>IF(B118&lt;=3,"Preferred site - strong composite profile",IF(B118&lt;=10,"Backup candidate - viable with monitoring","Reserve - evaluate only if primary sites unavailable"))</f>
        <v>Reserve - evaluate only if primary sites unavailable</v>
      </c>
    </row>
    <row r="119" spans="1:9">
      <c r="A119" s="3" t="s">
        <v>58</v>
      </c>
      <c r="B119" s="3">
        <v>18</v>
      </c>
      <c r="C119" s="3" t="s">
        <v>799</v>
      </c>
      <c r="D119" s="3" t="s">
        <v>800</v>
      </c>
      <c r="E119" s="3" t="s">
        <v>317</v>
      </c>
      <c r="F119" s="3">
        <f>INDEX([1]Site_Evaluation!$K:$K,MATCH(C119,[1]Site_Evaluation!$A:$A,0))</f>
        <v>61</v>
      </c>
      <c r="G119" s="3">
        <f>COUNTIFS(Risk_Register!B:B,C119,Risk_Register!G:G,"High")</f>
        <v>0</v>
      </c>
      <c r="H119" s="3" t="str">
        <f>IF(_xlfn.MAXIFS(Risk_Register!$L:$L,Risk_Register!$B:$B,C119)=3,"High",IF(_xlfn.MAXIFS(Risk_Register!$L:$L,Risk_Register!$B:$B,C119)=2,"Medium","Low"))</f>
        <v>Medium</v>
      </c>
      <c r="I119" s="3" t="str">
        <f>IF(B119&lt;=3,"Preferred site - strong composite profile",IF(B119&lt;=10,"Backup candidate - viable with monitoring","Reserve - evaluate only if primary sites unavailable"))</f>
        <v>Reserve - evaluate only if primary sites unavailable</v>
      </c>
    </row>
    <row r="120" spans="1:9">
      <c r="A120" s="3" t="s">
        <v>58</v>
      </c>
      <c r="B120" s="3">
        <v>19</v>
      </c>
      <c r="C120" s="3" t="s">
        <v>747</v>
      </c>
      <c r="D120" s="3" t="s">
        <v>566</v>
      </c>
      <c r="E120" s="3" t="s">
        <v>279</v>
      </c>
      <c r="F120" s="3">
        <f>INDEX([1]Site_Evaluation!$K:$K,MATCH(C120,[1]Site_Evaluation!$A:$A,0))</f>
        <v>61</v>
      </c>
      <c r="G120" s="3">
        <f>COUNTIFS(Risk_Register!B:B,C120,Risk_Register!G:G,"High")</f>
        <v>0</v>
      </c>
      <c r="H120" s="3" t="str">
        <f>IF(_xlfn.MAXIFS(Risk_Register!$L:$L,Risk_Register!$B:$B,C120)=3,"High",IF(_xlfn.MAXIFS(Risk_Register!$L:$L,Risk_Register!$B:$B,C120)=2,"Medium","Low"))</f>
        <v>Medium</v>
      </c>
      <c r="I120" s="3" t="str">
        <f>IF(B120&lt;=3,"Preferred site - strong composite profile",IF(B120&lt;=10,"Backup candidate - viable with monitoring","Reserve - evaluate only if primary sites unavailable"))</f>
        <v>Reserve - evaluate only if primary sites unavailable</v>
      </c>
    </row>
    <row r="121" spans="1:9">
      <c r="A121" s="3" t="s">
        <v>58</v>
      </c>
      <c r="B121" s="3">
        <v>20</v>
      </c>
      <c r="C121" s="3" t="s">
        <v>838</v>
      </c>
      <c r="D121" s="3" t="s">
        <v>839</v>
      </c>
      <c r="E121" s="3" t="s">
        <v>279</v>
      </c>
      <c r="F121" s="3">
        <f>INDEX([1]Site_Evaluation!$K:$K,MATCH(C121,[1]Site_Evaluation!$A:$A,0))</f>
        <v>61</v>
      </c>
      <c r="G121" s="3">
        <f>COUNTIFS(Risk_Register!B:B,C121,Risk_Register!G:G,"High")</f>
        <v>1</v>
      </c>
      <c r="H121" s="3" t="str">
        <f>IF(_xlfn.MAXIFS(Risk_Register!$L:$L,Risk_Register!$B:$B,C121)=3,"High",IF(_xlfn.MAXIFS(Risk_Register!$L:$L,Risk_Register!$B:$B,C121)=2,"Medium","Low"))</f>
        <v>High</v>
      </c>
      <c r="I121" s="3" t="str">
        <f>IF(B121&lt;=3,"Preferred site - strong composite profile",IF(B121&lt;=10,"Backup candidate - viable with monitoring","Reserve - evaluate only if primary sites unavailable"))</f>
        <v>Reserve - evaluate only if primary sites unavailable</v>
      </c>
    </row>
    <row r="122" spans="1:9">
      <c r="A122" s="3"/>
      <c r="B122" s="3"/>
      <c r="C122" s="3"/>
      <c r="D122" s="3"/>
      <c r="E122" s="3"/>
      <c r="F122" s="3"/>
      <c r="G122" s="3"/>
      <c r="H122" s="3"/>
      <c r="I122" s="3"/>
    </row>
    <row r="123" spans="1:9">
      <c r="A123" s="3"/>
      <c r="B123" s="3"/>
      <c r="C123" s="3"/>
      <c r="D123" s="3"/>
      <c r="E123" s="3"/>
      <c r="F123" s="3"/>
      <c r="G123" s="3"/>
      <c r="H123" s="3"/>
      <c r="I123" s="3"/>
    </row>
    <row r="124" spans="1:9">
      <c r="A124" s="3"/>
      <c r="B124" s="3"/>
      <c r="C124" s="3"/>
      <c r="D124" s="3"/>
      <c r="E124" s="3"/>
      <c r="F124" s="3"/>
      <c r="G124" s="3"/>
      <c r="H124" s="3"/>
      <c r="I124" s="3"/>
    </row>
    <row r="125" spans="1:9">
      <c r="A125" s="3"/>
      <c r="B125" s="3"/>
      <c r="C125" s="3"/>
      <c r="D125" s="3"/>
      <c r="E125" s="3"/>
      <c r="F125" s="3"/>
      <c r="G125" s="3"/>
      <c r="H125" s="3"/>
      <c r="I125" s="3"/>
    </row>
    <row r="126" spans="1:9">
      <c r="A126" s="3"/>
      <c r="B126" s="3"/>
      <c r="C126" s="3"/>
      <c r="D126" s="3"/>
      <c r="E126" s="3"/>
      <c r="F126" s="3"/>
      <c r="G126" s="3"/>
      <c r="H126" s="3"/>
      <c r="I126" s="3"/>
    </row>
    <row r="127" spans="1:9">
      <c r="A127" s="3"/>
      <c r="B127" s="3"/>
      <c r="C127" s="3"/>
      <c r="D127" s="3"/>
      <c r="E127" s="3"/>
      <c r="F127" s="3"/>
      <c r="G127" s="3"/>
      <c r="H127" s="3"/>
      <c r="I127" s="3"/>
    </row>
    <row r="128" spans="1:9">
      <c r="A128" s="3"/>
      <c r="B128" s="3"/>
      <c r="C128" s="3"/>
      <c r="D128" s="3"/>
      <c r="E128" s="3"/>
      <c r="F128" s="3"/>
      <c r="G128" s="3"/>
      <c r="H128" s="3"/>
      <c r="I128" s="3"/>
    </row>
    <row r="129" spans="1:9">
      <c r="A129" s="3"/>
      <c r="B129" s="3"/>
      <c r="C129" s="3"/>
      <c r="D129" s="3"/>
      <c r="E129" s="3"/>
      <c r="F129" s="3"/>
      <c r="G129" s="3"/>
      <c r="H129" s="3"/>
      <c r="I129" s="3"/>
    </row>
    <row r="130" spans="1:9">
      <c r="A130" s="3"/>
      <c r="B130" s="3"/>
      <c r="C130" s="3"/>
      <c r="D130" s="3"/>
      <c r="E130" s="3"/>
      <c r="F130" s="3"/>
      <c r="G130" s="3"/>
      <c r="H130" s="3"/>
      <c r="I130" s="3"/>
    </row>
    <row r="131" spans="1:9">
      <c r="A131" s="3"/>
      <c r="B131" s="3"/>
      <c r="C131" s="3"/>
      <c r="D131" s="3"/>
      <c r="E131" s="3"/>
      <c r="F131" s="3"/>
      <c r="G131" s="3"/>
      <c r="H131" s="3"/>
      <c r="I131" s="3"/>
    </row>
    <row r="132" spans="1:9">
      <c r="A132" s="3"/>
      <c r="B132" s="3"/>
      <c r="C132" s="3"/>
      <c r="D132" s="3"/>
      <c r="E132" s="3"/>
      <c r="F132" s="3"/>
      <c r="G132" s="3"/>
      <c r="H132" s="3"/>
      <c r="I132" s="3"/>
    </row>
    <row r="133" spans="1:9">
      <c r="A133" s="3"/>
      <c r="B133" s="3"/>
      <c r="C133" s="3"/>
      <c r="D133" s="3"/>
      <c r="E133" s="3"/>
      <c r="F133" s="3"/>
      <c r="G133" s="3"/>
      <c r="H133" s="3"/>
      <c r="I133" s="3"/>
    </row>
    <row r="134" spans="1:9">
      <c r="A134" s="3"/>
      <c r="B134" s="3"/>
      <c r="C134" s="3"/>
      <c r="D134" s="3"/>
      <c r="E134" s="3"/>
      <c r="F134" s="3"/>
      <c r="G134" s="3"/>
      <c r="H134" s="3"/>
      <c r="I134" s="3"/>
    </row>
    <row r="135" spans="1:9">
      <c r="A135" s="3"/>
      <c r="B135" s="3"/>
      <c r="C135" s="3"/>
      <c r="D135" s="3"/>
      <c r="E135" s="3"/>
      <c r="F135" s="3"/>
      <c r="G135" s="3"/>
      <c r="H135" s="3"/>
      <c r="I135" s="3"/>
    </row>
    <row r="136" spans="1:9">
      <c r="A136" s="3"/>
      <c r="B136" s="3"/>
      <c r="C136" s="3"/>
      <c r="D136" s="3"/>
      <c r="E136" s="3"/>
      <c r="F136" s="3"/>
      <c r="G136" s="3"/>
      <c r="H136" s="3"/>
      <c r="I136" s="3"/>
    </row>
    <row r="137" spans="1:9">
      <c r="A137" s="3"/>
      <c r="B137" s="3"/>
      <c r="C137" s="3"/>
      <c r="D137" s="3"/>
      <c r="E137" s="3"/>
      <c r="F137" s="3"/>
      <c r="G137" s="3"/>
      <c r="H137" s="3"/>
      <c r="I137" s="3"/>
    </row>
    <row r="138" spans="1:9">
      <c r="A138" s="3"/>
      <c r="B138" s="3"/>
      <c r="C138" s="3"/>
      <c r="D138" s="3"/>
      <c r="E138" s="3"/>
      <c r="F138" s="3"/>
      <c r="G138" s="3"/>
      <c r="H138" s="3"/>
      <c r="I138" s="3"/>
    </row>
    <row r="139" spans="1:9">
      <c r="A139" s="3"/>
      <c r="B139" s="3"/>
      <c r="C139" s="3"/>
      <c r="D139" s="3"/>
      <c r="E139" s="3"/>
      <c r="F139" s="3"/>
      <c r="G139" s="3"/>
      <c r="H139" s="3"/>
      <c r="I139" s="3"/>
    </row>
    <row r="140" spans="1:9">
      <c r="A140" s="3"/>
      <c r="B140" s="3"/>
      <c r="C140" s="3"/>
      <c r="D140" s="3"/>
      <c r="E140" s="3"/>
      <c r="F140" s="3"/>
      <c r="G140" s="3"/>
      <c r="H140" s="3"/>
      <c r="I140" s="3"/>
    </row>
    <row r="141" spans="1:9">
      <c r="A141" s="3"/>
      <c r="B141" s="3"/>
      <c r="C141" s="3"/>
      <c r="D141" s="3"/>
      <c r="E141" s="3"/>
      <c r="F141" s="3"/>
      <c r="G141" s="3"/>
      <c r="H141" s="3"/>
      <c r="I141" s="3"/>
    </row>
    <row r="142" spans="1:9">
      <c r="A142" s="3"/>
      <c r="B142" s="3"/>
      <c r="C142" s="3"/>
      <c r="D142" s="3"/>
      <c r="E142" s="3"/>
      <c r="F142" s="3"/>
      <c r="G142" s="3"/>
      <c r="H142" s="3"/>
      <c r="I142" s="3"/>
    </row>
    <row r="143" spans="1:9">
      <c r="A143" s="3"/>
      <c r="B143" s="3"/>
      <c r="C143" s="3"/>
      <c r="D143" s="3"/>
      <c r="E143" s="3"/>
      <c r="F143" s="3"/>
      <c r="G143" s="3"/>
      <c r="H143" s="3"/>
      <c r="I143" s="3"/>
    </row>
    <row r="144" spans="1:9">
      <c r="A144" s="3"/>
      <c r="B144" s="3"/>
      <c r="C144" s="3"/>
      <c r="D144" s="3"/>
      <c r="E144" s="3"/>
      <c r="F144" s="3"/>
      <c r="G144" s="3"/>
      <c r="H144" s="3"/>
      <c r="I144" s="3"/>
    </row>
    <row r="145" spans="1:9">
      <c r="A145" s="3"/>
      <c r="B145" s="3"/>
      <c r="C145" s="3"/>
      <c r="D145" s="3"/>
      <c r="E145" s="3"/>
      <c r="F145" s="3"/>
      <c r="G145" s="3"/>
      <c r="H145" s="3"/>
      <c r="I145" s="3"/>
    </row>
    <row r="146" spans="1:9">
      <c r="A146" s="3"/>
      <c r="B146" s="3"/>
      <c r="C146" s="3"/>
      <c r="D146" s="3"/>
      <c r="E146" s="3"/>
      <c r="F146" s="3"/>
      <c r="G146" s="3"/>
      <c r="H146" s="3"/>
      <c r="I146" s="3"/>
    </row>
    <row r="147" spans="1:9">
      <c r="A147" s="3"/>
      <c r="B147" s="3"/>
      <c r="C147" s="3"/>
      <c r="D147" s="3"/>
      <c r="E147" s="3"/>
      <c r="F147" s="3"/>
      <c r="G147" s="3"/>
      <c r="H147" s="3"/>
      <c r="I147" s="3"/>
    </row>
    <row r="148" spans="1:9">
      <c r="A148" s="3"/>
      <c r="B148" s="3"/>
      <c r="C148" s="3"/>
      <c r="D148" s="3"/>
      <c r="E148" s="3"/>
      <c r="F148" s="3"/>
      <c r="G148" s="3"/>
      <c r="H148" s="3"/>
      <c r="I148" s="3"/>
    </row>
    <row r="149" spans="1:9">
      <c r="A149" s="3"/>
      <c r="B149" s="3"/>
      <c r="C149" s="3"/>
      <c r="D149" s="3"/>
      <c r="E149" s="3"/>
      <c r="F149" s="3"/>
      <c r="G149" s="3"/>
      <c r="H149" s="3"/>
      <c r="I149" s="3"/>
    </row>
    <row r="150" spans="1:9">
      <c r="A150" s="3"/>
      <c r="B150" s="3"/>
      <c r="C150" s="3"/>
      <c r="D150" s="3"/>
      <c r="E150" s="3"/>
      <c r="F150" s="3"/>
      <c r="G150" s="3"/>
      <c r="H150" s="3"/>
      <c r="I150" s="3"/>
    </row>
    <row r="151" spans="1:9">
      <c r="A151" s="3"/>
      <c r="B151" s="3"/>
      <c r="C151" s="3"/>
      <c r="D151" s="3"/>
      <c r="E151" s="3"/>
      <c r="F151" s="3"/>
      <c r="G151" s="3"/>
      <c r="H151" s="3"/>
      <c r="I151" s="3"/>
    </row>
    <row r="152" spans="1:9">
      <c r="A152" s="3"/>
      <c r="B152" s="3"/>
      <c r="C152" s="3"/>
      <c r="D152" s="3"/>
      <c r="E152" s="3"/>
      <c r="F152" s="3"/>
      <c r="G152" s="3"/>
      <c r="H152" s="3"/>
      <c r="I152" s="3"/>
    </row>
    <row r="153" spans="1:9">
      <c r="A153" s="3"/>
      <c r="B153" s="3"/>
      <c r="C153" s="3"/>
      <c r="D153" s="3"/>
      <c r="E153" s="3"/>
      <c r="F153" s="3"/>
      <c r="G153" s="3"/>
      <c r="H153" s="3"/>
      <c r="I153" s="3"/>
    </row>
    <row r="154" spans="1:9">
      <c r="A154" s="3"/>
      <c r="B154" s="3"/>
      <c r="C154" s="3"/>
      <c r="D154" s="3"/>
      <c r="E154" s="3"/>
      <c r="F154" s="3"/>
      <c r="G154" s="3"/>
      <c r="H154" s="3"/>
      <c r="I154" s="3"/>
    </row>
    <row r="155" spans="1:9">
      <c r="A155" s="3"/>
      <c r="B155" s="3"/>
      <c r="C155" s="3"/>
      <c r="D155" s="3"/>
      <c r="E155" s="3"/>
      <c r="F155" s="3"/>
      <c r="G155" s="3"/>
      <c r="H155" s="3"/>
      <c r="I155" s="3"/>
    </row>
    <row r="156" spans="1:9">
      <c r="A156" s="3"/>
      <c r="B156" s="3"/>
      <c r="C156" s="3"/>
      <c r="D156" s="3"/>
      <c r="E156" s="3"/>
      <c r="F156" s="3"/>
      <c r="G156" s="3"/>
      <c r="H156" s="3"/>
      <c r="I156" s="3"/>
    </row>
    <row r="157" spans="1:9">
      <c r="A157" s="3"/>
      <c r="B157" s="3"/>
      <c r="C157" s="3"/>
      <c r="D157" s="3"/>
      <c r="E157" s="3"/>
      <c r="F157" s="3"/>
      <c r="G157" s="3"/>
      <c r="H157" s="3"/>
      <c r="I157" s="3"/>
    </row>
    <row r="158" spans="1:9">
      <c r="A158" s="3"/>
      <c r="B158" s="3"/>
      <c r="C158" s="3"/>
      <c r="D158" s="3"/>
      <c r="E158" s="3"/>
      <c r="F158" s="3"/>
      <c r="G158" s="3"/>
      <c r="H158" s="3"/>
      <c r="I158" s="3"/>
    </row>
    <row r="159" spans="1:9">
      <c r="A159" s="3"/>
      <c r="B159" s="3"/>
      <c r="C159" s="3"/>
      <c r="D159" s="3"/>
      <c r="E159" s="3"/>
      <c r="F159" s="3"/>
      <c r="G159" s="3"/>
      <c r="H159" s="3"/>
      <c r="I159" s="3"/>
    </row>
    <row r="160" spans="1:9">
      <c r="A160" s="3"/>
      <c r="B160" s="3"/>
      <c r="C160" s="3"/>
      <c r="D160" s="3"/>
      <c r="E160" s="3"/>
      <c r="F160" s="3"/>
      <c r="G160" s="3"/>
      <c r="H160" s="3"/>
      <c r="I160" s="3"/>
    </row>
    <row r="161" spans="1:9">
      <c r="A161" s="3"/>
      <c r="B161" s="3"/>
      <c r="C161" s="3"/>
      <c r="D161" s="3"/>
      <c r="E161" s="3"/>
      <c r="F161" s="3"/>
      <c r="G161" s="3"/>
      <c r="H161" s="3"/>
      <c r="I161" s="3"/>
    </row>
    <row r="162" spans="1:9">
      <c r="A162" s="3"/>
      <c r="B162" s="3"/>
      <c r="C162" s="3"/>
      <c r="D162" s="3"/>
      <c r="E162" s="3"/>
      <c r="F162" s="3"/>
      <c r="G162" s="3"/>
      <c r="H162" s="3"/>
      <c r="I162" s="3"/>
    </row>
    <row r="163" spans="1:9">
      <c r="A163" s="3"/>
      <c r="B163" s="3"/>
      <c r="C163" s="3"/>
      <c r="D163" s="3"/>
      <c r="E163" s="3"/>
      <c r="F163" s="3"/>
      <c r="G163" s="3"/>
      <c r="H163" s="3"/>
      <c r="I163" s="3"/>
    </row>
    <row r="164" spans="1:9">
      <c r="A164" s="3"/>
      <c r="B164" s="3"/>
      <c r="C164" s="3"/>
      <c r="D164" s="3"/>
      <c r="E164" s="3"/>
      <c r="F164" s="3"/>
      <c r="G164" s="3"/>
      <c r="H164" s="3"/>
      <c r="I164" s="3"/>
    </row>
    <row r="165" spans="1:9">
      <c r="A165" s="3"/>
      <c r="B165" s="3"/>
      <c r="C165" s="3"/>
      <c r="D165" s="3"/>
      <c r="E165" s="3"/>
      <c r="F165" s="3"/>
      <c r="G165" s="3"/>
      <c r="H165" s="3"/>
      <c r="I165" s="3"/>
    </row>
    <row r="166" spans="1:9">
      <c r="A166" s="3"/>
      <c r="B166" s="3"/>
      <c r="C166" s="3"/>
      <c r="D166" s="3"/>
      <c r="E166" s="3"/>
      <c r="F166" s="3"/>
      <c r="G166" s="3"/>
      <c r="H166" s="3"/>
      <c r="I166" s="3"/>
    </row>
    <row r="167" spans="1:9">
      <c r="A167" s="3"/>
      <c r="B167" s="3"/>
      <c r="C167" s="3"/>
      <c r="D167" s="3"/>
      <c r="E167" s="3"/>
      <c r="F167" s="3"/>
      <c r="G167" s="3"/>
      <c r="H167" s="3"/>
      <c r="I167" s="3"/>
    </row>
    <row r="168" spans="1:9">
      <c r="A168" s="3"/>
      <c r="B168" s="3"/>
      <c r="C168" s="3"/>
      <c r="D168" s="3"/>
      <c r="E168" s="3"/>
      <c r="F168" s="3"/>
      <c r="G168" s="3"/>
      <c r="H168" s="3"/>
      <c r="I168" s="3"/>
    </row>
    <row r="169" spans="1:9">
      <c r="A169" s="3"/>
      <c r="B169" s="3"/>
      <c r="C169" s="3"/>
      <c r="D169" s="3"/>
      <c r="E169" s="3"/>
      <c r="F169" s="3"/>
      <c r="G169" s="3"/>
      <c r="H169" s="3"/>
      <c r="I169" s="3"/>
    </row>
    <row r="170" spans="1:9">
      <c r="A170" s="3"/>
      <c r="B170" s="3"/>
      <c r="C170" s="3"/>
      <c r="D170" s="3"/>
      <c r="E170" s="3"/>
      <c r="F170" s="3"/>
      <c r="G170" s="3"/>
      <c r="H170" s="3"/>
      <c r="I170" s="3"/>
    </row>
    <row r="171" spans="1:9">
      <c r="A171" s="3"/>
      <c r="B171" s="3"/>
      <c r="C171" s="3"/>
      <c r="D171" s="3"/>
      <c r="E171" s="3"/>
      <c r="F171" s="3"/>
      <c r="G171" s="3"/>
      <c r="H171" s="3"/>
      <c r="I171" s="3"/>
    </row>
    <row r="172" spans="1:9">
      <c r="A172" s="3"/>
      <c r="B172" s="3"/>
      <c r="C172" s="3"/>
      <c r="D172" s="3"/>
      <c r="E172" s="3"/>
      <c r="F172" s="3"/>
      <c r="G172" s="3"/>
      <c r="H172" s="3"/>
      <c r="I172" s="3"/>
    </row>
    <row r="173" spans="1:9">
      <c r="A173" s="3"/>
      <c r="B173" s="3"/>
      <c r="C173" s="3"/>
      <c r="D173" s="3"/>
      <c r="E173" s="3"/>
      <c r="F173" s="3"/>
      <c r="G173" s="3"/>
      <c r="H173" s="3"/>
      <c r="I173" s="3"/>
    </row>
    <row r="174" spans="1:9">
      <c r="A174" s="3"/>
      <c r="B174" s="3"/>
      <c r="C174" s="3"/>
      <c r="D174" s="3"/>
      <c r="E174" s="3"/>
      <c r="F174" s="3"/>
      <c r="G174" s="3"/>
      <c r="H174" s="3"/>
      <c r="I174" s="3"/>
    </row>
    <row r="175" spans="1:9">
      <c r="A175" s="3"/>
      <c r="B175" s="3"/>
      <c r="C175" s="3"/>
      <c r="D175" s="3"/>
      <c r="E175" s="3"/>
      <c r="F175" s="3"/>
      <c r="G175" s="3"/>
      <c r="H175" s="3"/>
      <c r="I175" s="3"/>
    </row>
    <row r="176" spans="1:9">
      <c r="A176" s="3"/>
      <c r="B176" s="3"/>
      <c r="C176" s="3"/>
      <c r="D176" s="3"/>
      <c r="E176" s="3"/>
      <c r="F176" s="3"/>
      <c r="G176" s="3"/>
      <c r="H176" s="3"/>
      <c r="I176" s="3"/>
    </row>
    <row r="177" spans="1:9">
      <c r="A177" s="3"/>
      <c r="B177" s="3"/>
      <c r="C177" s="3"/>
      <c r="D177" s="3"/>
      <c r="E177" s="3"/>
      <c r="F177" s="3"/>
      <c r="G177" s="3"/>
      <c r="H177" s="3"/>
      <c r="I177" s="3"/>
    </row>
    <row r="178" spans="1:9">
      <c r="A178" s="3"/>
      <c r="B178" s="3"/>
      <c r="C178" s="3"/>
      <c r="D178" s="3"/>
      <c r="E178" s="3"/>
      <c r="F178" s="3"/>
      <c r="G178" s="3"/>
      <c r="H178" s="3"/>
      <c r="I178" s="3"/>
    </row>
    <row r="179" spans="1:9">
      <c r="A179" s="3"/>
      <c r="B179" s="3"/>
      <c r="C179" s="3"/>
      <c r="D179" s="3"/>
      <c r="E179" s="3"/>
      <c r="F179" s="3"/>
      <c r="G179" s="3"/>
      <c r="H179" s="3"/>
      <c r="I179" s="3"/>
    </row>
    <row r="180" spans="1:9">
      <c r="A180" s="3"/>
      <c r="B180" s="3"/>
      <c r="C180" s="3"/>
      <c r="D180" s="3"/>
      <c r="E180" s="3"/>
      <c r="F180" s="3"/>
      <c r="G180" s="3"/>
      <c r="H180" s="3"/>
      <c r="I180" s="3"/>
    </row>
    <row r="181" spans="1:9">
      <c r="A181" s="3"/>
      <c r="B181" s="3"/>
      <c r="C181" s="3"/>
      <c r="D181" s="3"/>
      <c r="E181" s="3"/>
      <c r="F181" s="3"/>
      <c r="G181" s="3"/>
      <c r="H181" s="3"/>
      <c r="I181" s="3"/>
    </row>
    <row r="182" spans="1:9">
      <c r="A182" s="3"/>
      <c r="B182" s="3"/>
      <c r="C182" s="3"/>
      <c r="D182" s="3"/>
      <c r="E182" s="3"/>
      <c r="F182" s="3"/>
      <c r="G182" s="3"/>
      <c r="H182" s="3"/>
      <c r="I182" s="3"/>
    </row>
    <row r="183" spans="1:9">
      <c r="A183" s="3"/>
      <c r="B183" s="3"/>
      <c r="C183" s="3"/>
      <c r="D183" s="3"/>
      <c r="E183" s="3"/>
      <c r="F183" s="3"/>
      <c r="G183" s="3"/>
      <c r="H183" s="3"/>
      <c r="I183" s="3"/>
    </row>
    <row r="184" spans="1:9">
      <c r="A184" s="3"/>
      <c r="B184" s="3"/>
      <c r="C184" s="3"/>
      <c r="D184" s="3"/>
      <c r="E184" s="3"/>
      <c r="F184" s="3"/>
      <c r="G184" s="3"/>
      <c r="H184" s="3"/>
      <c r="I184" s="3"/>
    </row>
    <row r="185" spans="1:9">
      <c r="A185" s="3"/>
      <c r="B185" s="3"/>
      <c r="C185" s="3"/>
      <c r="D185" s="3"/>
      <c r="E185" s="3"/>
      <c r="F185" s="3"/>
      <c r="G185" s="3"/>
      <c r="H185" s="3"/>
      <c r="I185" s="3"/>
    </row>
    <row r="186" spans="1:9">
      <c r="A186" s="3"/>
      <c r="B186" s="3"/>
      <c r="C186" s="3"/>
      <c r="D186" s="3"/>
      <c r="E186" s="3"/>
      <c r="F186" s="3"/>
      <c r="G186" s="3"/>
      <c r="H186" s="3"/>
      <c r="I186" s="3"/>
    </row>
    <row r="187" spans="1:9">
      <c r="A187" s="3"/>
      <c r="B187" s="3"/>
      <c r="C187" s="3"/>
      <c r="D187" s="3"/>
      <c r="E187" s="3"/>
      <c r="F187" s="3"/>
      <c r="G187" s="3"/>
      <c r="H187" s="3"/>
      <c r="I187" s="3"/>
    </row>
    <row r="188" spans="1:9">
      <c r="A188" s="3"/>
      <c r="B188" s="3"/>
      <c r="C188" s="3"/>
      <c r="D188" s="3"/>
      <c r="E188" s="3"/>
      <c r="F188" s="3"/>
      <c r="G188" s="3"/>
      <c r="H188" s="3"/>
      <c r="I188" s="3"/>
    </row>
    <row r="189" spans="1:9">
      <c r="A189" s="3"/>
      <c r="B189" s="3"/>
      <c r="C189" s="3"/>
      <c r="D189" s="3"/>
      <c r="E189" s="3"/>
      <c r="F189" s="3"/>
      <c r="G189" s="3"/>
      <c r="H189" s="3"/>
      <c r="I189" s="3"/>
    </row>
    <row r="190" spans="1:9">
      <c r="A190" s="3"/>
      <c r="B190" s="3"/>
      <c r="C190" s="3"/>
      <c r="D190" s="3"/>
      <c r="E190" s="3"/>
      <c r="F190" s="3"/>
      <c r="G190" s="3"/>
      <c r="H190" s="3"/>
      <c r="I190" s="3"/>
    </row>
    <row r="191" spans="1:9">
      <c r="A191" s="3"/>
      <c r="B191" s="3"/>
      <c r="C191" s="3"/>
      <c r="D191" s="3"/>
      <c r="E191" s="3"/>
      <c r="F191" s="3"/>
      <c r="G191" s="3"/>
      <c r="H191" s="3"/>
      <c r="I191" s="3"/>
    </row>
    <row r="192" spans="1:9">
      <c r="A192" s="3"/>
      <c r="B192" s="3"/>
      <c r="C192" s="3"/>
      <c r="D192" s="3"/>
      <c r="E192" s="3"/>
      <c r="F192" s="3"/>
      <c r="G192" s="3"/>
      <c r="H192" s="3"/>
      <c r="I192" s="3"/>
    </row>
    <row r="193" spans="1:9">
      <c r="A193" s="3"/>
      <c r="B193" s="3"/>
      <c r="C193" s="3"/>
      <c r="D193" s="3"/>
      <c r="E193" s="3"/>
      <c r="F193" s="3"/>
      <c r="G193" s="3"/>
      <c r="H193" s="3"/>
      <c r="I193" s="3"/>
    </row>
    <row r="194" spans="1:9">
      <c r="A194" s="3"/>
      <c r="B194" s="3"/>
      <c r="C194" s="3"/>
      <c r="D194" s="3"/>
      <c r="E194" s="3"/>
      <c r="F194" s="3"/>
      <c r="G194" s="3"/>
      <c r="H194" s="3"/>
      <c r="I194" s="3"/>
    </row>
    <row r="195" spans="1:9">
      <c r="A195" s="3"/>
      <c r="B195" s="3"/>
      <c r="C195" s="3"/>
      <c r="D195" s="3"/>
      <c r="E195" s="3"/>
      <c r="F195" s="3"/>
      <c r="G195" s="3"/>
      <c r="H195" s="3"/>
      <c r="I195" s="3"/>
    </row>
    <row r="196" spans="1:9">
      <c r="A196" s="3"/>
      <c r="B196" s="3"/>
      <c r="C196" s="3"/>
      <c r="D196" s="3"/>
      <c r="E196" s="3"/>
      <c r="F196" s="3"/>
      <c r="G196" s="3"/>
      <c r="H196" s="3"/>
      <c r="I196" s="3"/>
    </row>
    <row r="197" spans="1:9">
      <c r="A197" s="3"/>
      <c r="B197" s="3"/>
      <c r="C197" s="3"/>
      <c r="D197" s="3"/>
      <c r="E197" s="3"/>
      <c r="F197" s="3"/>
      <c r="G197" s="3"/>
      <c r="H197" s="3"/>
      <c r="I197" s="3"/>
    </row>
    <row r="198" spans="1:9">
      <c r="A198" s="3"/>
      <c r="B198" s="3"/>
      <c r="C198" s="3"/>
      <c r="D198" s="3"/>
      <c r="E198" s="3"/>
      <c r="F198" s="3"/>
      <c r="G198" s="3"/>
      <c r="H198" s="3"/>
      <c r="I198" s="3"/>
    </row>
    <row r="199" spans="1:9">
      <c r="A199" s="3"/>
      <c r="B199" s="3"/>
      <c r="C199" s="3"/>
      <c r="D199" s="3"/>
      <c r="E199" s="3"/>
      <c r="F199" s="3"/>
      <c r="G199" s="3"/>
      <c r="H199" s="3"/>
      <c r="I199" s="3"/>
    </row>
    <row r="200" spans="1:9">
      <c r="A200" s="3"/>
      <c r="B200" s="3"/>
      <c r="C200" s="3"/>
      <c r="D200" s="3"/>
      <c r="E200" s="3"/>
      <c r="F200" s="3"/>
      <c r="G200" s="3"/>
      <c r="H200" s="3"/>
      <c r="I200" s="3"/>
    </row>
    <row r="201" spans="1:9">
      <c r="A201" s="3"/>
      <c r="B201" s="3"/>
      <c r="C201" s="3"/>
      <c r="D201" s="3"/>
      <c r="E201" s="3"/>
      <c r="F201" s="3"/>
      <c r="G201" s="3"/>
      <c r="H201" s="3"/>
      <c r="I201" s="3"/>
    </row>
    <row r="202" spans="1:9">
      <c r="A202" s="3"/>
      <c r="B202" s="3"/>
      <c r="C202" s="3"/>
      <c r="D202" s="3"/>
      <c r="E202" s="3"/>
      <c r="F202" s="3"/>
      <c r="G202" s="3"/>
      <c r="H202" s="3"/>
      <c r="I202" s="3"/>
    </row>
    <row r="203" spans="1:9">
      <c r="A203" s="3"/>
      <c r="B203" s="3"/>
      <c r="C203" s="3"/>
      <c r="D203" s="3"/>
      <c r="E203" s="3"/>
      <c r="F203" s="3"/>
      <c r="G203" s="3"/>
      <c r="H203" s="3"/>
      <c r="I203" s="3"/>
    </row>
    <row r="204" spans="1:9">
      <c r="A204" s="3"/>
      <c r="B204" s="3"/>
      <c r="C204" s="3"/>
      <c r="D204" s="3"/>
      <c r="E204" s="3"/>
      <c r="F204" s="3"/>
      <c r="G204" s="3"/>
      <c r="H204" s="3"/>
      <c r="I204" s="3"/>
    </row>
    <row r="205" spans="1:9">
      <c r="A205" s="3"/>
      <c r="B205" s="3"/>
      <c r="C205" s="3"/>
      <c r="D205" s="3"/>
      <c r="E205" s="3"/>
      <c r="F205" s="3"/>
      <c r="G205" s="3"/>
      <c r="H205" s="3"/>
      <c r="I205" s="3"/>
    </row>
    <row r="206" spans="1:9">
      <c r="A206" s="3"/>
      <c r="B206" s="3"/>
      <c r="C206" s="3"/>
      <c r="D206" s="3"/>
      <c r="E206" s="3"/>
      <c r="F206" s="3"/>
      <c r="G206" s="3"/>
      <c r="H206" s="3"/>
      <c r="I206" s="3"/>
    </row>
    <row r="207" spans="1:9">
      <c r="A207" s="3"/>
      <c r="B207" s="3"/>
      <c r="C207" s="3"/>
      <c r="D207" s="3"/>
      <c r="E207" s="3"/>
      <c r="F207" s="3"/>
      <c r="G207" s="3"/>
      <c r="H207" s="3"/>
      <c r="I207" s="3"/>
    </row>
    <row r="208" spans="1:9">
      <c r="A208" s="3"/>
      <c r="B208" s="3"/>
      <c r="C208" s="3"/>
      <c r="D208" s="3"/>
      <c r="E208" s="3"/>
      <c r="F208" s="3"/>
      <c r="G208" s="3"/>
      <c r="H208" s="3"/>
      <c r="I208" s="3"/>
    </row>
    <row r="209" spans="1:9">
      <c r="A209" s="3"/>
      <c r="B209" s="3"/>
      <c r="C209" s="3"/>
      <c r="D209" s="3"/>
      <c r="E209" s="3"/>
      <c r="F209" s="3"/>
      <c r="G209" s="3"/>
      <c r="H209" s="3"/>
      <c r="I209" s="3"/>
    </row>
    <row r="210" spans="1:9">
      <c r="A210" s="3"/>
      <c r="B210" s="3"/>
      <c r="C210" s="3"/>
      <c r="D210" s="3"/>
      <c r="E210" s="3"/>
      <c r="F210" s="3"/>
      <c r="G210" s="3"/>
      <c r="H210" s="3"/>
      <c r="I210" s="3"/>
    </row>
    <row r="211" spans="1:9">
      <c r="A211" s="3"/>
      <c r="B211" s="3"/>
      <c r="C211" s="3"/>
      <c r="D211" s="3"/>
      <c r="E211" s="3"/>
      <c r="F211" s="3"/>
      <c r="G211" s="3"/>
      <c r="H211" s="3"/>
      <c r="I211" s="3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2026-08-05T10:04:41Z</dcterms:created>
  <dcterms:modified xsi:type="dcterms:W3CDTF">2026-08-05T12:55:18Z</dcterms:modified>
  <cp:category/>
  <cp:contentStatus/>
</cp:coreProperties>
</file>