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7"/>
  </bookViews>
  <sheets>
    <sheet name="README" sheetId="1" state="visible" r:id="rId3"/>
    <sheet name="Trial_Requirements" sheetId="2" state="visible" r:id="rId4"/>
    <sheet name="Region_Data" sheetId="3" state="visible" r:id="rId5"/>
    <sheet name="Candidate_Sites" sheetId="4" state="visible" r:id="rId6"/>
    <sheet name="Site_Evaluation" sheetId="5" state="visible" r:id="rId7"/>
    <sheet name="Risk_Matrix" sheetId="6" state="visible" r:id="rId8"/>
    <sheet name="Risk_Register" sheetId="7" state="visible" r:id="rId9"/>
    <sheet name="Site_Ranking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<sst xmlns="http://schemas.openxmlformats.org/spreadsheetml/2006/main" count="44106" uniqueCount="6006">
  <si>
    <t xml:space="preserve">AI Clinical Trial Site Selection POC — Synthetic Demo Dataset</t>
  </si>
  <si>
    <t xml:space="preserve">Generated to demonstrate the 8-stage pipeline end to end with realistic volume, without any real patient or site data.</t>
  </si>
  <si>
    <t xml:space="preserve">IMPORTANT — READ FIRST</t>
  </si>
  <si>
    <t xml:space="preserve">This entire workbook is SYNTHETIC / SIMULATED data generated for demo purposes. No real patients, hospitals,</t>
  </si>
  <si>
    <t xml:space="preserve">investigators, or trials are represented. Site names, scores, and risk records are randomly generated but</t>
  </si>
  <si>
    <t xml:space="preserve">structured the way real feasibility and risk data would look, so the pipeline logic can be tested with volume.</t>
  </si>
  <si>
    <t xml:space="preserve">Sheet guide:</t>
  </si>
  <si>
    <t xml:space="preserve">  Trial_Requirements  - 6 headline trials + 102 additional protocol variants (same 6 indication families,</t>
  </si>
  <si>
    <t xml:space="preserve">                        different phase/sample size/duration/budget/cohort) = 108 rows (Stage 1 input)</t>
  </si>
  <si>
    <t xml:space="preserve">  Region_Data         - 24 regions x 6 indications = 144 rows of prevalence/regulatory/cost data (Stage 2)</t>
  </si>
  <si>
    <t xml:space="preserve">  Candidate_Sites     - 300 synthetic hospital/site records across 24 regions (feeds Stage 4)</t>
  </si>
  <si>
    <t xml:space="preserve">  Site_Evaluation     - one scored row per site (300); Suitability Score is a LIVE FORMULA, not hardcoded (Stage 5)</t>
  </si>
  <si>
    <t xml:space="preserve">  Risk_Matrix         - the Likelihood x Impact lookup table used to rate every risk record</t>
  </si>
  <si>
    <t xml:space="preserve">  Risk_Register       - 1,800 individual risk RECORDS (6 categories x 300 sites), each with its own</t>
  </si>
  <si>
    <t xml:space="preserve">                        Likelihood/Impact/Rating - this is the 'records format' your manager asked for (Stage 6)</t>
  </si>
  <si>
    <t xml:space="preserve">  Site_Ranking        - top 20 ranked sites for each of the 6 HEADLINE trials only (120 rows total),</t>
  </si>
  <si>
    <t xml:space="preserve">                        pulling live Suitability Score and Risk Level via formulas (Stage 7-8). The 102</t>
  </si>
  <si>
    <t xml:space="preserve">                        trial variants are listed in Trial_Requirements but not individually re-ranked,</t>
  </si>
  <si>
    <t xml:space="preserve">                        since ranking near-duplicate protocol variants against the same site pool would</t>
  </si>
  <si>
    <t xml:space="preserve">                        just repeat the same 20 sites over and over with no new information.</t>
  </si>
  <si>
    <t xml:space="preserve">Assumption logged: which sites appear per trial in Site_Ranking was selected once at generation time</t>
  </si>
  <si>
    <t xml:space="preserve">(matched by therapeutic area, ranked by Suitability Score). The Score, High-Risk Record</t>
  </si>
  <si>
    <t xml:space="preserve">Count and Risk Level columns there are live formulas and WILL update if you edit Site_Evaluation or</t>
  </si>
  <si>
    <t xml:space="preserve">Risk_Register - but the list of which sites appear will not re-sort automatically without regenerating.</t>
  </si>
  <si>
    <t xml:space="preserve">Production note: replace Candidate_Sites / Site_Evaluation with a real feasibility feed, and Region_Data</t>
  </si>
  <si>
    <t xml:space="preserve">with a live WHO GHO / IHME pull, to move this from demo data to a production-grade system.</t>
  </si>
  <si>
    <t xml:space="preserve">DATA EXTENSION NOTE (added):</t>
  </si>
  <si>
    <t xml:space="preserve">This workbook was extended with additional synthetic data across all sheets:</t>
  </si>
  <si>
    <t xml:space="preserve">  Trial_Requirements +306 rows (17 new indication families x 18 rows each)</t>
  </si>
  <si>
    <t xml:space="preserve">  Region_Data +408 rows (24 regions x 17 new indications)</t>
  </si>
  <si>
    <t xml:space="preserve">  Candidate_Sites +310 rows (S-0301 to S-0610, 12 therapeutic areas)</t>
  </si>
  <si>
    <t xml:space="preserve">  Site_Evaluation +310 rows (live Suitability Score formulas, 1:1 with new sites)</t>
  </si>
  <si>
    <t xml:space="preserve">  Risk_Register +1,860 rows (6 categories x 310 new sites, live formulas)</t>
  </si>
  <si>
    <t xml:space="preserve">  Site_Ranking +340 rows (top 20 sites for each of the 17 new headline trials)</t>
  </si>
  <si>
    <t xml:space="preserve">All original rows and formulas are unchanged. Existing Risk_Register and Site_Ranking</t>
  </si>
  <si>
    <t xml:space="preserve">formulas that referenced a broken external-workbook link ([1]Sheet!...) were repointed</t>
  </si>
  <si>
    <t xml:space="preserve">to local, in-workbook references so they recalculate correctly (same logic, same result</t>
  </si>
  <si>
    <t xml:space="preserve">shape, just no longer dependent on a missing external file).</t>
  </si>
  <si>
    <t xml:space="preserve">Indication</t>
  </si>
  <si>
    <t xml:space="preserve">Phase</t>
  </si>
  <si>
    <t xml:space="preserve">Target Sample Size</t>
  </si>
  <si>
    <t xml:space="preserve">Duration (months)</t>
  </si>
  <si>
    <t xml:space="preserve">Budget Tier</t>
  </si>
  <si>
    <t xml:space="preserve">Required Infrastructure</t>
  </si>
  <si>
    <t xml:space="preserve">Inclusion Criteria Summary</t>
  </si>
  <si>
    <t xml:space="preserve">T-001</t>
  </si>
  <si>
    <t xml:space="preserve">Type 2 Diabetes</t>
  </si>
  <si>
    <t xml:space="preserve">Phase II</t>
  </si>
  <si>
    <t xml:space="preserve">Mid</t>
  </si>
  <si>
    <t xml:space="preserve">Endocrinology unit; on-site lab (HbA1c, lipid panel)</t>
  </si>
  <si>
    <t xml:space="preserve">Adults 30-65, HbA1c 7.5-10%, no prior insulin therapy</t>
  </si>
  <si>
    <t xml:space="preserve">T-002</t>
  </si>
  <si>
    <t xml:space="preserve">Breast Cancer (HER2+)</t>
  </si>
  <si>
    <t xml:space="preserve">Phase III</t>
  </si>
  <si>
    <t xml:space="preserve">High</t>
  </si>
  <si>
    <t xml:space="preserve">Oncology infusion center; MRI/CT imaging</t>
  </si>
  <si>
    <t xml:space="preserve">Adults 18+, HER2-positive stage II-III, ECOG 0-1</t>
  </si>
  <si>
    <t xml:space="preserve">T-003</t>
  </si>
  <si>
    <t xml:space="preserve">Hypertension</t>
  </si>
  <si>
    <t xml:space="preserve">Low</t>
  </si>
  <si>
    <t xml:space="preserve">Cardiology outpatient clinic; ambulatory BP monitoring</t>
  </si>
  <si>
    <t xml:space="preserve">Adults 40-70, BP 140-179/90-109 mmHg</t>
  </si>
  <si>
    <t xml:space="preserve">T-004</t>
  </si>
  <si>
    <t xml:space="preserve">Alzheimer's Disease (Early-stage)</t>
  </si>
  <si>
    <t xml:space="preserve">Neurology unit; PET imaging capability</t>
  </si>
  <si>
    <t xml:space="preserve">Adults 55-85, MMSE 20-26, amyloid-positive</t>
  </si>
  <si>
    <t xml:space="preserve">T-005</t>
  </si>
  <si>
    <t xml:space="preserve">HIV (Treatment-naive)</t>
  </si>
  <si>
    <t xml:space="preserve">Infectious disease clinic; virology lab</t>
  </si>
  <si>
    <t xml:space="preserve">Adults 18+, treatment-naive, CD4 count &gt; 200</t>
  </si>
  <si>
    <t xml:space="preserve">T-006</t>
  </si>
  <si>
    <t xml:space="preserve">Asthma (Moderate-Severe)</t>
  </si>
  <si>
    <t xml:space="preserve">Pulmonology unit; spirometry equipment</t>
  </si>
  <si>
    <t xml:space="preserve">Adults 18-65, moderate-to-severe persistent asthma</t>
  </si>
  <si>
    <t xml:space="preserve">Type 2 Diabetes - Elderly (65+)</t>
  </si>
  <si>
    <t xml:space="preserve">Phase I</t>
  </si>
  <si>
    <t xml:space="preserve">Adults 30-65, HbA1c 7.5-10%, no prior insulin therapy; Elderly (65+) cohort</t>
  </si>
  <si>
    <t xml:space="preserve">T-008</t>
  </si>
  <si>
    <t xml:space="preserve">Type 2 Diabetes - Newly diagnosed</t>
  </si>
  <si>
    <t xml:space="preserve">Adults 30-65, HbA1c 7.5-10%, no prior insulin therapy; Newly diagnosed cohort</t>
  </si>
  <si>
    <t xml:space="preserve">T-009</t>
  </si>
  <si>
    <t xml:space="preserve">Type 2 Diabetes - Treatment-resistant</t>
  </si>
  <si>
    <t xml:space="preserve">Adults 30-65, HbA1c 7.5-10%, no prior insulin therapy; Treatment-resistant cohort</t>
  </si>
  <si>
    <t xml:space="preserve">T-010</t>
  </si>
  <si>
    <t xml:space="preserve">Type 2 Diabetes - Adolescent/young adult</t>
  </si>
  <si>
    <t xml:space="preserve">Adults 30-65, HbA1c 7.5-10%, no prior insulin therapy; Adolescent/young adult cohort</t>
  </si>
  <si>
    <t xml:space="preserve">Type 2 Diabetes - Renal-impaired</t>
  </si>
  <si>
    <t xml:space="preserve">Adults 30-65, HbA1c 7.5-10%, no prior insulin therapy; Renal-impaired cohort</t>
  </si>
  <si>
    <t xml:space="preserve">Type 2 Diabetes - Obese (BMI&gt;35)</t>
  </si>
  <si>
    <t xml:space="preserve">Adults 30-65, HbA1c 7.5-10%, no prior insulin therapy; Obese (BMI&gt;35) cohort</t>
  </si>
  <si>
    <t xml:space="preserve">Type 2 Diabetes - Early-stage</t>
  </si>
  <si>
    <t xml:space="preserve">Adults 30-65, HbA1c 7.5-10%, no prior insulin therapy; Early-stage cohort</t>
  </si>
  <si>
    <t xml:space="preserve">Type 2 Diabetes - Late-stage</t>
  </si>
  <si>
    <t xml:space="preserve">Adults 30-65, HbA1c 7.5-10%, no prior insulin therapy; Late-stage cohort</t>
  </si>
  <si>
    <t xml:space="preserve">Type 2 Diabetes - Comorbid cardiovascular</t>
  </si>
  <si>
    <t xml:space="preserve">Phase IV</t>
  </si>
  <si>
    <t xml:space="preserve">Adults 30-65, HbA1c 7.5-10%, no prior insulin therapy; Comorbid cardiovascular cohort</t>
  </si>
  <si>
    <t xml:space="preserve">Type 2 Diabetes - Comorbid renal</t>
  </si>
  <si>
    <t xml:space="preserve">Adults 30-65, HbA1c 7.5-10%, no prior insulin therapy; Comorbid renal cohort</t>
  </si>
  <si>
    <t xml:space="preserve">Type 2 Diabetes - Rural population</t>
  </si>
  <si>
    <t xml:space="preserve">Adults 30-65, HbA1c 7.5-10%, no prior insulin therapy; Rural population cohort</t>
  </si>
  <si>
    <t xml:space="preserve">Type 2 Diabetes - Urban population</t>
  </si>
  <si>
    <t xml:space="preserve">Adults 30-65, HbA1c 7.5-10%, no prior insulin therapy; Urban population cohort</t>
  </si>
  <si>
    <t xml:space="preserve">Type 2 Diabetes - Female-only</t>
  </si>
  <si>
    <t xml:space="preserve">Adults 30-65, HbA1c 7.5-10%, no prior insulin therapy; Female-only cohort</t>
  </si>
  <si>
    <t xml:space="preserve">Type 2 Diabetes - Male-only</t>
  </si>
  <si>
    <t xml:space="preserve">Adults 30-65, HbA1c 7.5-10%, no prior insulin therapy; Male-only cohort</t>
  </si>
  <si>
    <t xml:space="preserve">Type 2 Diabetes - High-risk genetic marker</t>
  </si>
  <si>
    <t xml:space="preserve">Adults 30-65, HbA1c 7.5-10%, no prior insulin therapy; High-risk genetic marker cohort</t>
  </si>
  <si>
    <t xml:space="preserve">Type 2 Diabetes - Post-surgical</t>
  </si>
  <si>
    <t xml:space="preserve">Adults 30-65, HbA1c 7.5-10%, no prior insulin therapy; Post-surgical cohort</t>
  </si>
  <si>
    <t xml:space="preserve">Type 2 Diabetes - Recurrent/relapsed</t>
  </si>
  <si>
    <t xml:space="preserve">Adults 30-65, HbA1c 7.5-10%, no prior insulin therapy; Recurrent/relapsed cohort</t>
  </si>
  <si>
    <t xml:space="preserve">Breast Cancer (HER2+) - Elderly (65+)</t>
  </si>
  <si>
    <t xml:space="preserve">Adults 18+, HER2-positive stage II-III, ECOG 0-1; Elderly (65+) cohort</t>
  </si>
  <si>
    <t xml:space="preserve">Breast Cancer (HER2+) - Newly diagnosed</t>
  </si>
  <si>
    <t xml:space="preserve">Adults 18+, HER2-positive stage II-III, ECOG 0-1; Newly diagnosed cohort</t>
  </si>
  <si>
    <t xml:space="preserve">Breast Cancer (HER2+) - Treatment-resistant</t>
  </si>
  <si>
    <t xml:space="preserve">Adults 18+, HER2-positive stage II-III, ECOG 0-1; Treatment-resistant cohort</t>
  </si>
  <si>
    <t xml:space="preserve">Breast Cancer (HER2+) - Adolescent/young adult</t>
  </si>
  <si>
    <t xml:space="preserve">Adults 18+, HER2-positive stage II-III, ECOG 0-1; Adolescent/young adult cohort</t>
  </si>
  <si>
    <t xml:space="preserve">Breast Cancer (HER2+) - Renal-impaired</t>
  </si>
  <si>
    <t xml:space="preserve">Adults 18+, HER2-positive stage II-III, ECOG 0-1; Renal-impaired cohort</t>
  </si>
  <si>
    <t xml:space="preserve">Breast Cancer (HER2+) - Obese (BMI&gt;35)</t>
  </si>
  <si>
    <t xml:space="preserve">Adults 18+, HER2-positive stage II-III, ECOG 0-1; Obese (BMI&gt;35) cohort</t>
  </si>
  <si>
    <t xml:space="preserve">Breast Cancer (HER2+) - Early-stage</t>
  </si>
  <si>
    <t xml:space="preserve">Adults 18+, HER2-positive stage II-III, ECOG 0-1; Early-stage cohort</t>
  </si>
  <si>
    <t xml:space="preserve">Breast Cancer (HER2+) - Late-stage</t>
  </si>
  <si>
    <t xml:space="preserve">Adults 18+, HER2-positive stage II-III, ECOG 0-1; Late-stage cohort</t>
  </si>
  <si>
    <t xml:space="preserve">Breast Cancer (HER2+) - Comorbid cardiovascular</t>
  </si>
  <si>
    <t xml:space="preserve">Adults 18+, HER2-positive stage II-III, ECOG 0-1; Comorbid cardiovascular cohort</t>
  </si>
  <si>
    <t xml:space="preserve">Breast Cancer (HER2+) - Comorbid renal</t>
  </si>
  <si>
    <t xml:space="preserve">Adults 18+, HER2-positive stage II-III, ECOG 0-1; Comorbid renal cohort</t>
  </si>
  <si>
    <t xml:space="preserve">Breast Cancer (HER2+) - Rural population</t>
  </si>
  <si>
    <t xml:space="preserve">Adults 18+, HER2-positive stage II-III, ECOG 0-1; Rural population cohort</t>
  </si>
  <si>
    <t xml:space="preserve">Breast Cancer (HER2+) - Urban population</t>
  </si>
  <si>
    <t xml:space="preserve">Adults 18+, HER2-positive stage II-III, ECOG 0-1; Urban population cohort</t>
  </si>
  <si>
    <t xml:space="preserve">Breast Cancer (HER2+) - Female-only</t>
  </si>
  <si>
    <t xml:space="preserve">Adults 18+, HER2-positive stage II-III, ECOG 0-1; Female-only cohort</t>
  </si>
  <si>
    <t xml:space="preserve">Breast Cancer (HER2+) - Male-only</t>
  </si>
  <si>
    <t xml:space="preserve">Adults 18+, HER2-positive stage II-III, ECOG 0-1; Male-only cohort</t>
  </si>
  <si>
    <t xml:space="preserve">Breast Cancer (HER2+) - High-risk genetic marker</t>
  </si>
  <si>
    <t xml:space="preserve">Adults 18+, HER2-positive stage II-III, ECOG 0-1; High-risk genetic marker cohort</t>
  </si>
  <si>
    <t xml:space="preserve">Breast Cancer (HER2+) - Post-surgical</t>
  </si>
  <si>
    <t xml:space="preserve">Adults 18+, HER2-positive stage II-III, ECOG 0-1; Post-surgical cohort</t>
  </si>
  <si>
    <t xml:space="preserve">Breast Cancer (HER2+) - Recurrent/relapsed</t>
  </si>
  <si>
    <t xml:space="preserve">Adults 18+, HER2-positive stage II-III, ECOG 0-1; Recurrent/relapsed cohort</t>
  </si>
  <si>
    <t xml:space="preserve">Hypertension - Elderly (65+)</t>
  </si>
  <si>
    <t xml:space="preserve">Adults 40-70, BP 140-179/90-109 mmHg; Elderly (65+) cohort</t>
  </si>
  <si>
    <t xml:space="preserve">Hypertension - Newly diagnosed</t>
  </si>
  <si>
    <t xml:space="preserve">Adults 40-70, BP 140-179/90-109 mmHg; Newly diagnosed cohort</t>
  </si>
  <si>
    <t xml:space="preserve">Hypertension - Treatment-resistant</t>
  </si>
  <si>
    <t xml:space="preserve">Adults 40-70, BP 140-179/90-109 mmHg; Treatment-resistant cohort</t>
  </si>
  <si>
    <t xml:space="preserve">Hypertension - Adolescent/young adult</t>
  </si>
  <si>
    <t xml:space="preserve">Adults 40-70, BP 140-179/90-109 mmHg; Adolescent/young adult cohort</t>
  </si>
  <si>
    <t xml:space="preserve">Hypertension - Renal-impaired</t>
  </si>
  <si>
    <t xml:space="preserve">Adults 40-70, BP 140-179/90-109 mmHg; Renal-impaired cohort</t>
  </si>
  <si>
    <t xml:space="preserve">Hypertension - Obese (BMI&gt;35)</t>
  </si>
  <si>
    <t xml:space="preserve">Adults 40-70, BP 140-179/90-109 mmHg; Obese (BMI&gt;35) cohort</t>
  </si>
  <si>
    <t xml:space="preserve">Hypertension - Early-stage</t>
  </si>
  <si>
    <t xml:space="preserve">Adults 40-70, BP 140-179/90-109 mmHg; Early-stage cohort</t>
  </si>
  <si>
    <t xml:space="preserve">Hypertension - Late-stage</t>
  </si>
  <si>
    <t xml:space="preserve">Adults 40-70, BP 140-179/90-109 mmHg; Late-stage cohort</t>
  </si>
  <si>
    <t xml:space="preserve">Hypertension - Comorbid cardiovascular</t>
  </si>
  <si>
    <t xml:space="preserve">Adults 40-70, BP 140-179/90-109 mmHg; Comorbid cardiovascular cohort</t>
  </si>
  <si>
    <t xml:space="preserve">Hypertension - Comorbid renal</t>
  </si>
  <si>
    <t xml:space="preserve">Adults 40-70, BP 140-179/90-109 mmHg; Comorbid renal cohort</t>
  </si>
  <si>
    <t xml:space="preserve">Hypertension - Rural population</t>
  </si>
  <si>
    <t xml:space="preserve">Adults 40-70, BP 140-179/90-109 mmHg; Rural population cohort</t>
  </si>
  <si>
    <t xml:space="preserve">Hypertension - Urban population</t>
  </si>
  <si>
    <t xml:space="preserve">Adults 40-70, BP 140-179/90-109 mmHg; Urban population cohort</t>
  </si>
  <si>
    <t xml:space="preserve">Hypertension - Female-only</t>
  </si>
  <si>
    <t xml:space="preserve">Adults 40-70, BP 140-179/90-109 mmHg; Female-only cohort</t>
  </si>
  <si>
    <t xml:space="preserve">Hypertension - Male-only</t>
  </si>
  <si>
    <t xml:space="preserve">Adults 40-70, BP 140-179/90-109 mmHg; Male-only cohort</t>
  </si>
  <si>
    <t xml:space="preserve">Hypertension - High-risk genetic marker</t>
  </si>
  <si>
    <t xml:space="preserve">Adults 40-70, BP 140-179/90-109 mmHg; High-risk genetic marker cohort</t>
  </si>
  <si>
    <t xml:space="preserve">Hypertension - Post-surgical</t>
  </si>
  <si>
    <t xml:space="preserve">Adults 40-70, BP 140-179/90-109 mmHg; Post-surgical cohort</t>
  </si>
  <si>
    <t xml:space="preserve">Hypertension - Recurrent/relapsed</t>
  </si>
  <si>
    <t xml:space="preserve">Adults 40-70, BP 140-179/90-109 mmHg; Recurrent/relapsed cohort</t>
  </si>
  <si>
    <t xml:space="preserve">Alzheimer's Disease (Early-stage) - Elderly (65+)</t>
  </si>
  <si>
    <t xml:space="preserve">Adults 55-85, MMSE 20-26, amyloid-positive; Elderly (65+) cohort</t>
  </si>
  <si>
    <t xml:space="preserve">Alzheimer's Disease (Early-stage) - Newly diagnosed</t>
  </si>
  <si>
    <t xml:space="preserve">Adults 55-85, MMSE 20-26, amyloid-positive; Newly diagnosed cohort</t>
  </si>
  <si>
    <t xml:space="preserve">Alzheimer's Disease (Early-stage) - Treatment-resistant</t>
  </si>
  <si>
    <t xml:space="preserve">Adults 55-85, MMSE 20-26, amyloid-positive; Treatment-resistant cohort</t>
  </si>
  <si>
    <t xml:space="preserve">Alzheimer's Disease (Early-stage) - Adolescent/young adult</t>
  </si>
  <si>
    <t xml:space="preserve">Adults 55-85, MMSE 20-26, amyloid-positive; Adolescent/young adult cohort</t>
  </si>
  <si>
    <t xml:space="preserve">Alzheimer's Disease (Early-stage) - Renal-impaired</t>
  </si>
  <si>
    <t xml:space="preserve">Adults 55-85, MMSE 20-26, amyloid-positive; Renal-impaired cohort</t>
  </si>
  <si>
    <t xml:space="preserve">Alzheimer's Disease (Early-stage) - Obese (BMI&gt;35)</t>
  </si>
  <si>
    <t xml:space="preserve">Adults 55-85, MMSE 20-26, amyloid-positive; Obese (BMI&gt;35) cohort</t>
  </si>
  <si>
    <t xml:space="preserve">Alzheimer's Disease (Early-stage) - Early-stage</t>
  </si>
  <si>
    <t xml:space="preserve">Adults 55-85, MMSE 20-26, amyloid-positive; Early-stage cohort</t>
  </si>
  <si>
    <t xml:space="preserve">Alzheimer's Disease (Early-stage) - Late-stage</t>
  </si>
  <si>
    <t xml:space="preserve">Adults 55-85, MMSE 20-26, amyloid-positive; Late-stage cohort</t>
  </si>
  <si>
    <t xml:space="preserve">Alzheimer's Disease (Early-stage) - Comorbid cardiovascular</t>
  </si>
  <si>
    <t xml:space="preserve">Adults 55-85, MMSE 20-26, amyloid-positive; Comorbid cardiovascular cohort</t>
  </si>
  <si>
    <t xml:space="preserve">Alzheimer's Disease (Early-stage) - Comorbid renal</t>
  </si>
  <si>
    <t xml:space="preserve">Adults 55-85, MMSE 20-26, amyloid-positive; Comorbid renal cohort</t>
  </si>
  <si>
    <t xml:space="preserve">Alzheimer's Disease (Early-stage) - Rural population</t>
  </si>
  <si>
    <t xml:space="preserve">Adults 55-85, MMSE 20-26, amyloid-positive; Rural population cohort</t>
  </si>
  <si>
    <t xml:space="preserve">Alzheimer's Disease (Early-stage) - Urban population</t>
  </si>
  <si>
    <t xml:space="preserve">Adults 55-85, MMSE 20-26, amyloid-positive; Urban population cohort</t>
  </si>
  <si>
    <t xml:space="preserve">Alzheimer's Disease (Early-stage) - Female-only</t>
  </si>
  <si>
    <t xml:space="preserve">Adults 55-85, MMSE 20-26, amyloid-positive; Female-only cohort</t>
  </si>
  <si>
    <t xml:space="preserve">Alzheimer's Disease (Early-stage) - Male-only</t>
  </si>
  <si>
    <t xml:space="preserve">Adults 55-85, MMSE 20-26, amyloid-positive; Male-only cohort</t>
  </si>
  <si>
    <t xml:space="preserve">Alzheimer's Disease (Early-stage) - High-risk genetic marker</t>
  </si>
  <si>
    <t xml:space="preserve">Adults 55-85, MMSE 20-26, amyloid-positive; High-risk genetic marker cohort</t>
  </si>
  <si>
    <t xml:space="preserve">Alzheimer's Disease (Early-stage) - Post-surgical</t>
  </si>
  <si>
    <t xml:space="preserve">Adults 55-85, MMSE 20-26, amyloid-positive; Post-surgical cohort</t>
  </si>
  <si>
    <t xml:space="preserve">Alzheimer's Disease (Early-stage) - Recurrent/relapsed</t>
  </si>
  <si>
    <t xml:space="preserve">Adults 55-85, MMSE 20-26, amyloid-positive; Recurrent/relapsed cohort</t>
  </si>
  <si>
    <t xml:space="preserve">HIV (Treatment-naive) - Elderly (65+)</t>
  </si>
  <si>
    <t xml:space="preserve">Adults 18+, treatment-naive, CD4 count &gt; 200; Elderly (65+) cohort</t>
  </si>
  <si>
    <t xml:space="preserve">HIV (Treatment-naive) - Newly diagnosed</t>
  </si>
  <si>
    <t xml:space="preserve">Adults 18+, treatment-naive, CD4 count &gt; 200; Newly diagnosed cohort</t>
  </si>
  <si>
    <t xml:space="preserve">HIV (Treatment-naive) - Treatment-resistant</t>
  </si>
  <si>
    <t xml:space="preserve">Adults 18+, treatment-naive, CD4 count &gt; 200; Treatment-resistant cohort</t>
  </si>
  <si>
    <t xml:space="preserve">HIV (Treatment-naive) - Adolescent/young adult</t>
  </si>
  <si>
    <t xml:space="preserve">Adults 18+, treatment-naive, CD4 count &gt; 200; Adolescent/young adult cohort</t>
  </si>
  <si>
    <t xml:space="preserve">HIV (Treatment-naive) - Renal-impaired</t>
  </si>
  <si>
    <t xml:space="preserve">Adults 18+, treatment-naive, CD4 count &gt; 200; Renal-impaired cohort</t>
  </si>
  <si>
    <t xml:space="preserve">HIV (Treatment-naive) - Obese (BMI&gt;35)</t>
  </si>
  <si>
    <t xml:space="preserve">Adults 18+, treatment-naive, CD4 count &gt; 200; Obese (BMI&gt;35) cohort</t>
  </si>
  <si>
    <t xml:space="preserve">HIV (Treatment-naive) - Early-stage</t>
  </si>
  <si>
    <t xml:space="preserve">Adults 18+, treatment-naive, CD4 count &gt; 200; Early-stage cohort</t>
  </si>
  <si>
    <t xml:space="preserve">HIV (Treatment-naive) - Late-stage</t>
  </si>
  <si>
    <t xml:space="preserve">Adults 18+, treatment-naive, CD4 count &gt; 200; Late-stage cohort</t>
  </si>
  <si>
    <t xml:space="preserve">HIV (Treatment-naive) - Comorbid cardiovascular</t>
  </si>
  <si>
    <t xml:space="preserve">Adults 18+, treatment-naive, CD4 count &gt; 200; Comorbid cardiovascular cohort</t>
  </si>
  <si>
    <t xml:space="preserve">HIV (Treatment-naive) - Comorbid renal</t>
  </si>
  <si>
    <t xml:space="preserve">Adults 18+, treatment-naive, CD4 count &gt; 200; Comorbid renal cohort</t>
  </si>
  <si>
    <t xml:space="preserve">HIV (Treatment-naive) - Rural population</t>
  </si>
  <si>
    <t xml:space="preserve">Adults 18+, treatment-naive, CD4 count &gt; 200; Rural population cohort</t>
  </si>
  <si>
    <t xml:space="preserve">HIV (Treatment-naive) - Urban population</t>
  </si>
  <si>
    <t xml:space="preserve">Adults 18+, treatment-naive, CD4 count &gt; 200; Urban population cohort</t>
  </si>
  <si>
    <t xml:space="preserve">HIV (Treatment-naive) - Female-only</t>
  </si>
  <si>
    <t xml:space="preserve">Adults 18+, treatment-naive, CD4 count &gt; 200; Female-only cohort</t>
  </si>
  <si>
    <t xml:space="preserve">HIV (Treatment-naive) - Male-only</t>
  </si>
  <si>
    <t xml:space="preserve">Adults 18+, treatment-naive, CD4 count &gt; 200; Male-only cohort</t>
  </si>
  <si>
    <t xml:space="preserve">HIV (Treatment-naive) - High-risk genetic marker</t>
  </si>
  <si>
    <t xml:space="preserve">Adults 18+, treatment-naive, CD4 count &gt; 200; High-risk genetic marker cohort</t>
  </si>
  <si>
    <t xml:space="preserve">HIV (Treatment-naive) - Post-surgical</t>
  </si>
  <si>
    <t xml:space="preserve">Adults 18+, treatment-naive, CD4 count &gt; 200; Post-surgical cohort</t>
  </si>
  <si>
    <t xml:space="preserve">HIV (Treatment-naive) - Recurrent/relapsed</t>
  </si>
  <si>
    <t xml:space="preserve">Adults 18+, treatment-naive, CD4 count &gt; 200; Recurrent/relapsed cohort</t>
  </si>
  <si>
    <t xml:space="preserve">Asthma (Moderate-Severe) - Elderly (65+)</t>
  </si>
  <si>
    <t xml:space="preserve">Adults 18-65, moderate-to-severe persistent asthma; Elderly (65+) cohort</t>
  </si>
  <si>
    <t xml:space="preserve">Asthma (Moderate-Severe) - Newly diagnosed</t>
  </si>
  <si>
    <t xml:space="preserve">Adults 18-65, moderate-to-severe persistent asthma; Newly diagnosed cohort</t>
  </si>
  <si>
    <t xml:space="preserve">Asthma (Moderate-Severe) - Treatment-resistant</t>
  </si>
  <si>
    <t xml:space="preserve">Adults 18-65, moderate-to-severe persistent asthma; Treatment-resistant cohort</t>
  </si>
  <si>
    <t xml:space="preserve">Asthma (Moderate-Severe) - Adolescent/young adult</t>
  </si>
  <si>
    <t xml:space="preserve">Adults 18-65, moderate-to-severe persistent asthma; Adolescent/young adult cohort</t>
  </si>
  <si>
    <t xml:space="preserve">Asthma (Moderate-Severe) - Renal-impaired</t>
  </si>
  <si>
    <t xml:space="preserve">Adults 18-65, moderate-to-severe persistent asthma; Renal-impaired cohort</t>
  </si>
  <si>
    <t xml:space="preserve">Asthma (Moderate-Severe) - Obese (BMI&gt;35)</t>
  </si>
  <si>
    <t xml:space="preserve">Adults 18-65, moderate-to-severe persistent asthma; Obese (BMI&gt;35) cohort</t>
  </si>
  <si>
    <t xml:space="preserve">Asthma (Moderate-Severe) - Early-stage</t>
  </si>
  <si>
    <t xml:space="preserve">Adults 18-65, moderate-to-severe persistent asthma; Early-stage cohort</t>
  </si>
  <si>
    <t xml:space="preserve">Asthma (Moderate-Severe) - Late-stage</t>
  </si>
  <si>
    <t xml:space="preserve">Adults 18-65, moderate-to-severe persistent asthma; Late-stage cohort</t>
  </si>
  <si>
    <t xml:space="preserve">Asthma (Moderate-Severe) - Comorbid cardiovascular</t>
  </si>
  <si>
    <t xml:space="preserve">Adults 18-65, moderate-to-severe persistent asthma; Comorbid cardiovascular cohort</t>
  </si>
  <si>
    <t xml:space="preserve">Asthma (Moderate-Severe) - Comorbid renal</t>
  </si>
  <si>
    <t xml:space="preserve">Adults 18-65, moderate-to-severe persistent asthma; Comorbid renal cohort</t>
  </si>
  <si>
    <t xml:space="preserve">Asthma (Moderate-Severe) - Rural population</t>
  </si>
  <si>
    <t xml:space="preserve">Adults 18-65, moderate-to-severe persistent asthma; Rural population cohort</t>
  </si>
  <si>
    <t xml:space="preserve">Asthma (Moderate-Severe) - Urban population</t>
  </si>
  <si>
    <t xml:space="preserve">Adults 18-65, moderate-to-severe persistent asthma; Urban population cohort</t>
  </si>
  <si>
    <t xml:space="preserve">Asthma (Moderate-Severe) - Female-only</t>
  </si>
  <si>
    <t xml:space="preserve">Adults 18-65, moderate-to-severe persistent asthma; Female-only cohort</t>
  </si>
  <si>
    <t xml:space="preserve">Asthma (Moderate-Severe) - Male-only</t>
  </si>
  <si>
    <t xml:space="preserve">Adults 18-65, moderate-to-severe persistent asthma; Male-only cohort</t>
  </si>
  <si>
    <t xml:space="preserve">Asthma (Moderate-Severe) - High-risk genetic marker</t>
  </si>
  <si>
    <t xml:space="preserve">Adults 18-65, moderate-to-severe persistent asthma; High-risk genetic marker cohort</t>
  </si>
  <si>
    <t xml:space="preserve">Asthma (Moderate-Severe) - Post-surgical</t>
  </si>
  <si>
    <t xml:space="preserve">Adults 18-65, moderate-to-severe persistent asthma; Post-surgical cohort</t>
  </si>
  <si>
    <t xml:space="preserve">Asthma (Moderate-Severe) - Recurrent/relapsed</t>
  </si>
  <si>
    <t xml:space="preserve">Adults 18-65, moderate-to-severe persistent asthma; Recurrent/relapsed cohort</t>
  </si>
  <si>
    <t xml:space="preserve">Rheumatoid Arthritis</t>
  </si>
  <si>
    <t xml:space="preserve">Rheumatology clinic; DXA/joint imaging access</t>
  </si>
  <si>
    <t xml:space="preserve">Adults 18-70, active RA per ACR/EULAR criteria, inadequate response to methotrexate</t>
  </si>
  <si>
    <t xml:space="preserve">Rheumatoid Arthritis - Elderly (65+)</t>
  </si>
  <si>
    <t xml:space="preserve">Adults 18-70, active RA per ACR/EULAR criteria, inadequate response to methotrexate; Elderly (65+) cohort</t>
  </si>
  <si>
    <t xml:space="preserve">Rheumatoid Arthritis - Newly diagnosed</t>
  </si>
  <si>
    <t xml:space="preserve">Adults 18-70, active RA per ACR/EULAR criteria, inadequate response to methotrexate; Newly diagnosed cohort</t>
  </si>
  <si>
    <t xml:space="preserve">Rheumatoid Arthritis - Treatment-resistant</t>
  </si>
  <si>
    <t xml:space="preserve">Adults 18-70, active RA per ACR/EULAR criteria, inadequate response to methotrexate; Treatment-resistant cohort</t>
  </si>
  <si>
    <t xml:space="preserve">Rheumatoid Arthritis - Adolescent/young adult</t>
  </si>
  <si>
    <t xml:space="preserve">Adults 18-70, active RA per ACR/EULAR criteria, inadequate response to methotrexate; Adolescent/young adult cohort</t>
  </si>
  <si>
    <t xml:space="preserve">Rheumatoid Arthritis - Renal-impaired</t>
  </si>
  <si>
    <t xml:space="preserve">Adults 18-70, active RA per ACR/EULAR criteria, inadequate response to methotrexate; Renal-impaired cohort</t>
  </si>
  <si>
    <t xml:space="preserve">Rheumatoid Arthritis - Obese (BMI&gt;35)</t>
  </si>
  <si>
    <t xml:space="preserve">Adults 18-70, active RA per ACR/EULAR criteria, inadequate response to methotrexate; Obese (BMI&gt;35) cohort</t>
  </si>
  <si>
    <t xml:space="preserve">Rheumatoid Arthritis - Early-stage</t>
  </si>
  <si>
    <t xml:space="preserve">Adults 18-70, active RA per ACR/EULAR criteria, inadequate response to methotrexate; Early-stage cohort</t>
  </si>
  <si>
    <t xml:space="preserve">Rheumatoid Arthritis - Late-stage</t>
  </si>
  <si>
    <t xml:space="preserve">Adults 18-70, active RA per ACR/EULAR criteria, inadequate response to methotrexate; Late-stage cohort</t>
  </si>
  <si>
    <t xml:space="preserve">Rheumatoid Arthritis - Comorbid cardiovascular</t>
  </si>
  <si>
    <t xml:space="preserve">Adults 18-70, active RA per ACR/EULAR criteria, inadequate response to methotrexate; Comorbid cardiovascular cohort</t>
  </si>
  <si>
    <t xml:space="preserve">Rheumatoid Arthritis - Comorbid renal</t>
  </si>
  <si>
    <t xml:space="preserve">Adults 18-70, active RA per ACR/EULAR criteria, inadequate response to methotrexate; Comorbid renal cohort</t>
  </si>
  <si>
    <t xml:space="preserve">Rheumatoid Arthritis - Rural population</t>
  </si>
  <si>
    <t xml:space="preserve">Adults 18-70, active RA per ACR/EULAR criteria, inadequate response to methotrexate; Rural population cohort</t>
  </si>
  <si>
    <t xml:space="preserve">Rheumatoid Arthritis - Urban population</t>
  </si>
  <si>
    <t xml:space="preserve">Adults 18-70, active RA per ACR/EULAR criteria, inadequate response to methotrexate; Urban population cohort</t>
  </si>
  <si>
    <t xml:space="preserve">Rheumatoid Arthritis - Female-only</t>
  </si>
  <si>
    <t xml:space="preserve">Adults 18-70, active RA per ACR/EULAR criteria, inadequate response to methotrexate; Female-only cohort</t>
  </si>
  <si>
    <t xml:space="preserve">Rheumatoid Arthritis - Male-only</t>
  </si>
  <si>
    <t xml:space="preserve">Adults 18-70, active RA per ACR/EULAR criteria, inadequate response to methotrexate; Male-only cohort</t>
  </si>
  <si>
    <t xml:space="preserve">Rheumatoid Arthritis - High-risk genetic marker</t>
  </si>
  <si>
    <t xml:space="preserve">Adults 18-70, active RA per ACR/EULAR criteria, inadequate response to methotrexate; High-risk genetic marker cohort</t>
  </si>
  <si>
    <t xml:space="preserve">Rheumatoid Arthritis - Post-surgical</t>
  </si>
  <si>
    <t xml:space="preserve">Adults 18-70, active RA per ACR/EULAR criteria, inadequate response to methotrexate; Post-surgical cohort</t>
  </si>
  <si>
    <t xml:space="preserve">Rheumatoid Arthritis - Recurrent/relapsed</t>
  </si>
  <si>
    <t xml:space="preserve">Adults 18-70, active RA per ACR/EULAR criteria, inadequate response to methotrexate; Recurrent/relapsed cohort</t>
  </si>
  <si>
    <t xml:space="preserve">Chronic Kidney Disease (Stage 3-4)</t>
  </si>
  <si>
    <t xml:space="preserve">Nephrology unit; on-site lab (eGFR, urinalysis)</t>
  </si>
  <si>
    <t xml:space="preserve">Adults 18-80, eGFR 15-59 mL/min/1.73m2, stable on standard-of-care therapy</t>
  </si>
  <si>
    <t xml:space="preserve">Chronic Kidney Disease (Stage 3-4) - Elderly (65+)</t>
  </si>
  <si>
    <t xml:space="preserve">Adults 18-80, eGFR 15-59 mL/min/1.73m2, stable on standard-of-care therapy; Elderly (65+) cohort</t>
  </si>
  <si>
    <t xml:space="preserve">Chronic Kidney Disease (Stage 3-4) - Newly diagnosed</t>
  </si>
  <si>
    <t xml:space="preserve">Adults 18-80, eGFR 15-59 mL/min/1.73m2, stable on standard-of-care therapy; Newly diagnosed cohort</t>
  </si>
  <si>
    <t xml:space="preserve">Chronic Kidney Disease (Stage 3-4) - Treatment-resistant</t>
  </si>
  <si>
    <t xml:space="preserve">Adults 18-80, eGFR 15-59 mL/min/1.73m2, stable on standard-of-care therapy; Treatment-resistant cohort</t>
  </si>
  <si>
    <t xml:space="preserve">Chronic Kidney Disease (Stage 3-4) - Adolescent/young adult</t>
  </si>
  <si>
    <t xml:space="preserve">Adults 18-80, eGFR 15-59 mL/min/1.73m2, stable on standard-of-care therapy; Adolescent/young adult cohort</t>
  </si>
  <si>
    <t xml:space="preserve">Chronic Kidney Disease (Stage 3-4) - Renal-impaired</t>
  </si>
  <si>
    <t xml:space="preserve">Adults 18-80, eGFR 15-59 mL/min/1.73m2, stable on standard-of-care therapy; Renal-impaired cohort</t>
  </si>
  <si>
    <t xml:space="preserve">Chronic Kidney Disease (Stage 3-4) - Obese (BMI&gt;35)</t>
  </si>
  <si>
    <t xml:space="preserve">Adults 18-80, eGFR 15-59 mL/min/1.73m2, stable on standard-of-care therapy; Obese (BMI&gt;35) cohort</t>
  </si>
  <si>
    <t xml:space="preserve">Chronic Kidney Disease (Stage 3-4) - Early-stage</t>
  </si>
  <si>
    <t xml:space="preserve">Adults 18-80, eGFR 15-59 mL/min/1.73m2, stable on standard-of-care therapy; Early-stage cohort</t>
  </si>
  <si>
    <t xml:space="preserve">Chronic Kidney Disease (Stage 3-4) - Late-stage</t>
  </si>
  <si>
    <t xml:space="preserve">Adults 18-80, eGFR 15-59 mL/min/1.73m2, stable on standard-of-care therapy; Late-stage cohort</t>
  </si>
  <si>
    <t xml:space="preserve">Chronic Kidney Disease (Stage 3-4) - Comorbid cardiovascular</t>
  </si>
  <si>
    <t xml:space="preserve">Adults 18-80, eGFR 15-59 mL/min/1.73m2, stable on standard-of-care therapy; Comorbid cardiovascular cohort</t>
  </si>
  <si>
    <t xml:space="preserve">Chronic Kidney Disease (Stage 3-4) - Comorbid renal</t>
  </si>
  <si>
    <t xml:space="preserve">Adults 18-80, eGFR 15-59 mL/min/1.73m2, stable on standard-of-care therapy; Comorbid renal cohort</t>
  </si>
  <si>
    <t xml:space="preserve">Chronic Kidney Disease (Stage 3-4) - Rural population</t>
  </si>
  <si>
    <t xml:space="preserve">Adults 18-80, eGFR 15-59 mL/min/1.73m2, stable on standard-of-care therapy; Rural population cohort</t>
  </si>
  <si>
    <t xml:space="preserve">Chronic Kidney Disease (Stage 3-4) - Urban population</t>
  </si>
  <si>
    <t xml:space="preserve">Adults 18-80, eGFR 15-59 mL/min/1.73m2, stable on standard-of-care therapy; Urban population cohort</t>
  </si>
  <si>
    <t xml:space="preserve">Chronic Kidney Disease (Stage 3-4) - Female-only</t>
  </si>
  <si>
    <t xml:space="preserve">Adults 18-80, eGFR 15-59 mL/min/1.73m2, stable on standard-of-care therapy; Female-only cohort</t>
  </si>
  <si>
    <t xml:space="preserve">Chronic Kidney Disease (Stage 3-4) - Male-only</t>
  </si>
  <si>
    <t xml:space="preserve">Adults 18-80, eGFR 15-59 mL/min/1.73m2, stable on standard-of-care therapy; Male-only cohort</t>
  </si>
  <si>
    <t xml:space="preserve">Chronic Kidney Disease (Stage 3-4) - High-risk genetic marker</t>
  </si>
  <si>
    <t xml:space="preserve">Adults 18-80, eGFR 15-59 mL/min/1.73m2, stable on standard-of-care therapy; High-risk genetic marker cohort</t>
  </si>
  <si>
    <t xml:space="preserve">Chronic Kidney Disease (Stage 3-4) - Post-surgical</t>
  </si>
  <si>
    <t xml:space="preserve">Adults 18-80, eGFR 15-59 mL/min/1.73m2, stable on standard-of-care therapy; Post-surgical cohort</t>
  </si>
  <si>
    <t xml:space="preserve">Chronic Kidney Disease (Stage 3-4) - Recurrent/relapsed</t>
  </si>
  <si>
    <t xml:space="preserve">Adults 18-80, eGFR 15-59 mL/min/1.73m2, stable on standard-of-care therapy; Recurrent/relapsed cohort</t>
  </si>
  <si>
    <t xml:space="preserve">Parkinson's Disease</t>
  </si>
  <si>
    <t xml:space="preserve">Movement disorders clinic; neuro-imaging access</t>
  </si>
  <si>
    <t xml:space="preserve">Adults 40-80, Hoehn and Yahr stage I-III, on stable dopaminergic therapy</t>
  </si>
  <si>
    <t xml:space="preserve">Parkinson's Disease - Elderly (65+)</t>
  </si>
  <si>
    <t xml:space="preserve">Adults 40-80, Hoehn and Yahr stage I-III, on stable dopaminergic therapy; Elderly (65+) cohort</t>
  </si>
  <si>
    <t xml:space="preserve">Parkinson's Disease - Newly diagnosed</t>
  </si>
  <si>
    <t xml:space="preserve">Adults 40-80, Hoehn and Yahr stage I-III, on stable dopaminergic therapy; Newly diagnosed cohort</t>
  </si>
  <si>
    <t xml:space="preserve">Parkinson's Disease - Treatment-resistant</t>
  </si>
  <si>
    <t xml:space="preserve">Adults 40-80, Hoehn and Yahr stage I-III, on stable dopaminergic therapy; Treatment-resistant cohort</t>
  </si>
  <si>
    <t xml:space="preserve">Parkinson's Disease - Adolescent/young adult</t>
  </si>
  <si>
    <t xml:space="preserve">Adults 40-80, Hoehn and Yahr stage I-III, on stable dopaminergic therapy; Adolescent/young adult cohort</t>
  </si>
  <si>
    <t xml:space="preserve">Parkinson's Disease - Renal-impaired</t>
  </si>
  <si>
    <t xml:space="preserve">Adults 40-80, Hoehn and Yahr stage I-III, on stable dopaminergic therapy; Renal-impaired cohort</t>
  </si>
  <si>
    <t xml:space="preserve">Parkinson's Disease - Obese (BMI&gt;35)</t>
  </si>
  <si>
    <t xml:space="preserve">Adults 40-80, Hoehn and Yahr stage I-III, on stable dopaminergic therapy; Obese (BMI&gt;35) cohort</t>
  </si>
  <si>
    <t xml:space="preserve">Parkinson's Disease - Early-stage</t>
  </si>
  <si>
    <t xml:space="preserve">Adults 40-80, Hoehn and Yahr stage I-III, on stable dopaminergic therapy; Early-stage cohort</t>
  </si>
  <si>
    <t xml:space="preserve">Parkinson's Disease - Late-stage</t>
  </si>
  <si>
    <t xml:space="preserve">Adults 40-80, Hoehn and Yahr stage I-III, on stable dopaminergic therapy; Late-stage cohort</t>
  </si>
  <si>
    <t xml:space="preserve">Parkinson's Disease - Comorbid cardiovascular</t>
  </si>
  <si>
    <t xml:space="preserve">Adults 40-80, Hoehn and Yahr stage I-III, on stable dopaminergic therapy; Comorbid cardiovascular cohort</t>
  </si>
  <si>
    <t xml:space="preserve">Parkinson's Disease - Comorbid renal</t>
  </si>
  <si>
    <t xml:space="preserve">Adults 40-80, Hoehn and Yahr stage I-III, on stable dopaminergic therapy; Comorbid renal cohort</t>
  </si>
  <si>
    <t xml:space="preserve">Parkinson's Disease - Rural population</t>
  </si>
  <si>
    <t xml:space="preserve">Adults 40-80, Hoehn and Yahr stage I-III, on stable dopaminergic therapy; Rural population cohort</t>
  </si>
  <si>
    <t xml:space="preserve">Parkinson's Disease - Urban population</t>
  </si>
  <si>
    <t xml:space="preserve">Adults 40-80, Hoehn and Yahr stage I-III, on stable dopaminergic therapy; Urban population cohort</t>
  </si>
  <si>
    <t xml:space="preserve">Parkinson's Disease - Female-only</t>
  </si>
  <si>
    <t xml:space="preserve">Adults 40-80, Hoehn and Yahr stage I-III, on stable dopaminergic therapy; Female-only cohort</t>
  </si>
  <si>
    <t xml:space="preserve">Parkinson's Disease - Male-only</t>
  </si>
  <si>
    <t xml:space="preserve">Adults 40-80, Hoehn and Yahr stage I-III, on stable dopaminergic therapy; Male-only cohort</t>
  </si>
  <si>
    <t xml:space="preserve">Parkinson's Disease - High-risk genetic marker</t>
  </si>
  <si>
    <t xml:space="preserve">Adults 40-80, Hoehn and Yahr stage I-III, on stable dopaminergic therapy; High-risk genetic marker cohort</t>
  </si>
  <si>
    <t xml:space="preserve">Parkinson's Disease - Post-surgical</t>
  </si>
  <si>
    <t xml:space="preserve">Adults 40-80, Hoehn and Yahr stage I-III, on stable dopaminergic therapy; Post-surgical cohort</t>
  </si>
  <si>
    <t xml:space="preserve">Parkinson's Disease - Recurrent/relapsed</t>
  </si>
  <si>
    <t xml:space="preserve">Adults 40-80, Hoehn and Yahr stage I-III, on stable dopaminergic therapy; Recurrent/relapsed cohort</t>
  </si>
  <si>
    <t xml:space="preserve">Major Depressive Disorder</t>
  </si>
  <si>
    <t xml:space="preserve">Psychiatric outpatient unit; structured clinical interview capability</t>
  </si>
  <si>
    <t xml:space="preserve">Adults 18-65, MADRS score &gt;=22, inadequate response to one prior antidepressant</t>
  </si>
  <si>
    <t xml:space="preserve">Major Depressive Disorder - Elderly (65+)</t>
  </si>
  <si>
    <t xml:space="preserve">Adults 18-65, MADRS score &gt;=22, inadequate response to one prior antidepressant; Elderly (65+) cohort</t>
  </si>
  <si>
    <t xml:space="preserve">Major Depressive Disorder - Newly diagnosed</t>
  </si>
  <si>
    <t xml:space="preserve">Adults 18-65, MADRS score &gt;=22, inadequate response to one prior antidepressant; Newly diagnosed cohort</t>
  </si>
  <si>
    <t xml:space="preserve">Major Depressive Disorder - Treatment-resistant</t>
  </si>
  <si>
    <t xml:space="preserve">Adults 18-65, MADRS score &gt;=22, inadequate response to one prior antidepressant; Treatment-resistant cohort</t>
  </si>
  <si>
    <t xml:space="preserve">Major Depressive Disorder - Adolescent/young adult</t>
  </si>
  <si>
    <t xml:space="preserve">Adults 18-65, MADRS score &gt;=22, inadequate response to one prior antidepressant; Adolescent/young adult cohort</t>
  </si>
  <si>
    <t xml:space="preserve">Major Depressive Disorder - Renal-impaired</t>
  </si>
  <si>
    <t xml:space="preserve">Adults 18-65, MADRS score &gt;=22, inadequate response to one prior antidepressant; Renal-impaired cohort</t>
  </si>
  <si>
    <t xml:space="preserve">Major Depressive Disorder - Obese (BMI&gt;35)</t>
  </si>
  <si>
    <t xml:space="preserve">Adults 18-65, MADRS score &gt;=22, inadequate response to one prior antidepressant; Obese (BMI&gt;35) cohort</t>
  </si>
  <si>
    <t xml:space="preserve">Major Depressive Disorder - Early-stage</t>
  </si>
  <si>
    <t xml:space="preserve">Adults 18-65, MADRS score &gt;=22, inadequate response to one prior antidepressant; Early-stage cohort</t>
  </si>
  <si>
    <t xml:space="preserve">Major Depressive Disorder - Late-stage</t>
  </si>
  <si>
    <t xml:space="preserve">Adults 18-65, MADRS score &gt;=22, inadequate response to one prior antidepressant; Late-stage cohort</t>
  </si>
  <si>
    <t xml:space="preserve">Major Depressive Disorder - Comorbid cardiovascular</t>
  </si>
  <si>
    <t xml:space="preserve">Adults 18-65, MADRS score &gt;=22, inadequate response to one prior antidepressant; Comorbid cardiovascular cohort</t>
  </si>
  <si>
    <t xml:space="preserve">Major Depressive Disorder - Comorbid renal</t>
  </si>
  <si>
    <t xml:space="preserve">Adults 18-65, MADRS score &gt;=22, inadequate response to one prior antidepressant; Comorbid renal cohort</t>
  </si>
  <si>
    <t xml:space="preserve">Major Depressive Disorder - Rural population</t>
  </si>
  <si>
    <t xml:space="preserve">Adults 18-65, MADRS score &gt;=22, inadequate response to one prior antidepressant; Rural population cohort</t>
  </si>
  <si>
    <t xml:space="preserve">Major Depressive Disorder - Urban population</t>
  </si>
  <si>
    <t xml:space="preserve">Adults 18-65, MADRS score &gt;=22, inadequate response to one prior antidepressant; Urban population cohort</t>
  </si>
  <si>
    <t xml:space="preserve">Major Depressive Disorder - Female-only</t>
  </si>
  <si>
    <t xml:space="preserve">Adults 18-65, MADRS score &gt;=22, inadequate response to one prior antidepressant; Female-only cohort</t>
  </si>
  <si>
    <t xml:space="preserve">Major Depressive Disorder - Male-only</t>
  </si>
  <si>
    <t xml:space="preserve">Adults 18-65, MADRS score &gt;=22, inadequate response to one prior antidepressant; Male-only cohort</t>
  </si>
  <si>
    <t xml:space="preserve">Major Depressive Disorder - High-risk genetic marker</t>
  </si>
  <si>
    <t xml:space="preserve">Adults 18-65, MADRS score &gt;=22, inadequate response to one prior antidepressant; High-risk genetic marker cohort</t>
  </si>
  <si>
    <t xml:space="preserve">Major Depressive Disorder - Post-surgical</t>
  </si>
  <si>
    <t xml:space="preserve">Adults 18-65, MADRS score &gt;=22, inadequate response to one prior antidepressant; Post-surgical cohort</t>
  </si>
  <si>
    <t xml:space="preserve">Major Depressive Disorder - Recurrent/relapsed</t>
  </si>
  <si>
    <t xml:space="preserve">Adults 18-65, MADRS score &gt;=22, inadequate response to one prior antidepressant; Recurrent/relapsed cohort</t>
  </si>
  <si>
    <t xml:space="preserve">COPD (Moderate-Severe)</t>
  </si>
  <si>
    <t xml:space="preserve">Pulmonology unit; spirometry and plethysmography equipment</t>
  </si>
  <si>
    <t xml:space="preserve">Adults 40-75, post-bronchodilator FEV1/FVC &lt;0.70, current or former smoker</t>
  </si>
  <si>
    <t xml:space="preserve">COPD (Moderate-Severe) - Elderly (65+)</t>
  </si>
  <si>
    <t xml:space="preserve">Adults 40-75, post-bronchodilator FEV1/FVC &lt;0.70, current or former smoker; Elderly (65+) cohort</t>
  </si>
  <si>
    <t xml:space="preserve">COPD (Moderate-Severe) - Newly diagnosed</t>
  </si>
  <si>
    <t xml:space="preserve">Adults 40-75, post-bronchodilator FEV1/FVC &lt;0.70, current or former smoker; Newly diagnosed cohort</t>
  </si>
  <si>
    <t xml:space="preserve">COPD (Moderate-Severe) - Treatment-resistant</t>
  </si>
  <si>
    <t xml:space="preserve">Adults 40-75, post-bronchodilator FEV1/FVC &lt;0.70, current or former smoker; Treatment-resistant cohort</t>
  </si>
  <si>
    <t xml:space="preserve">COPD (Moderate-Severe) - Adolescent/young adult</t>
  </si>
  <si>
    <t xml:space="preserve">Adults 40-75, post-bronchodilator FEV1/FVC &lt;0.70, current or former smoker; Adolescent/young adult cohort</t>
  </si>
  <si>
    <t xml:space="preserve">COPD (Moderate-Severe) - Renal-impaired</t>
  </si>
  <si>
    <t xml:space="preserve">Adults 40-75, post-bronchodilator FEV1/FVC &lt;0.70, current or former smoker; Renal-impaired cohort</t>
  </si>
  <si>
    <t xml:space="preserve">COPD (Moderate-Severe) - Obese (BMI&gt;35)</t>
  </si>
  <si>
    <t xml:space="preserve">Adults 40-75, post-bronchodilator FEV1/FVC &lt;0.70, current or former smoker; Obese (BMI&gt;35) cohort</t>
  </si>
  <si>
    <t xml:space="preserve">COPD (Moderate-Severe) - Early-stage</t>
  </si>
  <si>
    <t xml:space="preserve">Adults 40-75, post-bronchodilator FEV1/FVC &lt;0.70, current or former smoker; Early-stage cohort</t>
  </si>
  <si>
    <t xml:space="preserve">COPD (Moderate-Severe) - Late-stage</t>
  </si>
  <si>
    <t xml:space="preserve">Adults 40-75, post-bronchodilator FEV1/FVC &lt;0.70, current or former smoker; Late-stage cohort</t>
  </si>
  <si>
    <t xml:space="preserve">COPD (Moderate-Severe) - Comorbid cardiovascular</t>
  </si>
  <si>
    <t xml:space="preserve">Adults 40-75, post-bronchodilator FEV1/FVC &lt;0.70, current or former smoker; Comorbid cardiovascular cohort</t>
  </si>
  <si>
    <t xml:space="preserve">COPD (Moderate-Severe) - Comorbid renal</t>
  </si>
  <si>
    <t xml:space="preserve">Adults 40-75, post-bronchodilator FEV1/FVC &lt;0.70, current or former smoker; Comorbid renal cohort</t>
  </si>
  <si>
    <t xml:space="preserve">COPD (Moderate-Severe) - Rural population</t>
  </si>
  <si>
    <t xml:space="preserve">Adults 40-75, post-bronchodilator FEV1/FVC &lt;0.70, current or former smoker; Rural population cohort</t>
  </si>
  <si>
    <t xml:space="preserve">COPD (Moderate-Severe) - Urban population</t>
  </si>
  <si>
    <t xml:space="preserve">Adults 40-75, post-bronchodilator FEV1/FVC &lt;0.70, current or former smoker; Urban population cohort</t>
  </si>
  <si>
    <t xml:space="preserve">COPD (Moderate-Severe) - Female-only</t>
  </si>
  <si>
    <t xml:space="preserve">Adults 40-75, post-bronchodilator FEV1/FVC &lt;0.70, current or former smoker; Female-only cohort</t>
  </si>
  <si>
    <t xml:space="preserve">COPD (Moderate-Severe) - Male-only</t>
  </si>
  <si>
    <t xml:space="preserve">Adults 40-75, post-bronchodilator FEV1/FVC &lt;0.70, current or former smoker; Male-only cohort</t>
  </si>
  <si>
    <t xml:space="preserve">COPD (Moderate-Severe) - High-risk genetic marker</t>
  </si>
  <si>
    <t xml:space="preserve">Adults 40-75, post-bronchodilator FEV1/FVC &lt;0.70, current or former smoker; High-risk genetic marker cohort</t>
  </si>
  <si>
    <t xml:space="preserve">COPD (Moderate-Severe) - Post-surgical</t>
  </si>
  <si>
    <t xml:space="preserve">Adults 40-75, post-bronchodilator FEV1/FVC &lt;0.70, current or former smoker; Post-surgical cohort</t>
  </si>
  <si>
    <t xml:space="preserve">COPD (Moderate-Severe) - Recurrent/relapsed</t>
  </si>
  <si>
    <t xml:space="preserve">Adults 40-75, post-bronchodilator FEV1/FVC &lt;0.70, current or former smoker; Recurrent/relapsed cohort</t>
  </si>
  <si>
    <t xml:space="preserve">Plaque Psoriasis (Moderate-Severe)</t>
  </si>
  <si>
    <t xml:space="preserve">Dermatology clinic; PASI scoring capability</t>
  </si>
  <si>
    <t xml:space="preserve">Adults 18-75, PASI score &gt;=12, BSA involvement &gt;=10%</t>
  </si>
  <si>
    <t xml:space="preserve">Plaque Psoriasis (Moderate-Severe) - Elderly (65+)</t>
  </si>
  <si>
    <t xml:space="preserve">Adults 18-75, PASI score &gt;=12, BSA involvement &gt;=10%; Elderly (65+) cohort</t>
  </si>
  <si>
    <t xml:space="preserve">Plaque Psoriasis (Moderate-Severe) - Newly diagnosed</t>
  </si>
  <si>
    <t xml:space="preserve">Adults 18-75, PASI score &gt;=12, BSA involvement &gt;=10%; Newly diagnosed cohort</t>
  </si>
  <si>
    <t xml:space="preserve">Plaque Psoriasis (Moderate-Severe) - Treatment-resistant</t>
  </si>
  <si>
    <t xml:space="preserve">Adults 18-75, PASI score &gt;=12, BSA involvement &gt;=10%; Treatment-resistant cohort</t>
  </si>
  <si>
    <t xml:space="preserve">Plaque Psoriasis (Moderate-Severe) - Adolescent/young adult</t>
  </si>
  <si>
    <t xml:space="preserve">Adults 18-75, PASI score &gt;=12, BSA involvement &gt;=10%; Adolescent/young adult cohort</t>
  </si>
  <si>
    <t xml:space="preserve">Plaque Psoriasis (Moderate-Severe) - Renal-impaired</t>
  </si>
  <si>
    <t xml:space="preserve">Adults 18-75, PASI score &gt;=12, BSA involvement &gt;=10%; Renal-impaired cohort</t>
  </si>
  <si>
    <t xml:space="preserve">Plaque Psoriasis (Moderate-Severe) - Obese (BMI&gt;35)</t>
  </si>
  <si>
    <t xml:space="preserve">Adults 18-75, PASI score &gt;=12, BSA involvement &gt;=10%; Obese (BMI&gt;35) cohort</t>
  </si>
  <si>
    <t xml:space="preserve">Plaque Psoriasis (Moderate-Severe) - Early-stage</t>
  </si>
  <si>
    <t xml:space="preserve">Adults 18-75, PASI score &gt;=12, BSA involvement &gt;=10%; Early-stage cohort</t>
  </si>
  <si>
    <t xml:space="preserve">Plaque Psoriasis (Moderate-Severe) - Late-stage</t>
  </si>
  <si>
    <t xml:space="preserve">Adults 18-75, PASI score &gt;=12, BSA involvement &gt;=10%; Late-stage cohort</t>
  </si>
  <si>
    <t xml:space="preserve">Plaque Psoriasis (Moderate-Severe) - Comorbid cardiovascular</t>
  </si>
  <si>
    <t xml:space="preserve">Adults 18-75, PASI score &gt;=12, BSA involvement &gt;=10%; Comorbid cardiovascular cohort</t>
  </si>
  <si>
    <t xml:space="preserve">Plaque Psoriasis (Moderate-Severe) - Comorbid renal</t>
  </si>
  <si>
    <t xml:space="preserve">Adults 18-75, PASI score &gt;=12, BSA involvement &gt;=10%; Comorbid renal cohort</t>
  </si>
  <si>
    <t xml:space="preserve">Plaque Psoriasis (Moderate-Severe) - Rural population</t>
  </si>
  <si>
    <t xml:space="preserve">Adults 18-75, PASI score &gt;=12, BSA involvement &gt;=10%; Rural population cohort</t>
  </si>
  <si>
    <t xml:space="preserve">Plaque Psoriasis (Moderate-Severe) - Urban population</t>
  </si>
  <si>
    <t xml:space="preserve">Adults 18-75, PASI score &gt;=12, BSA involvement &gt;=10%; Urban population cohort</t>
  </si>
  <si>
    <t xml:space="preserve">Plaque Psoriasis (Moderate-Severe) - Female-only</t>
  </si>
  <si>
    <t xml:space="preserve">Adults 18-75, PASI score &gt;=12, BSA involvement &gt;=10%; Female-only cohort</t>
  </si>
  <si>
    <t xml:space="preserve">Plaque Psoriasis (Moderate-Severe) - Male-only</t>
  </si>
  <si>
    <t xml:space="preserve">Adults 18-75, PASI score &gt;=12, BSA involvement &gt;=10%; Male-only cohort</t>
  </si>
  <si>
    <t xml:space="preserve">Plaque Psoriasis (Moderate-Severe) - High-risk genetic marker</t>
  </si>
  <si>
    <t xml:space="preserve">Adults 18-75, PASI score &gt;=12, BSA involvement &gt;=10%; High-risk genetic marker cohort</t>
  </si>
  <si>
    <t xml:space="preserve">Plaque Psoriasis (Moderate-Severe) - Post-surgical</t>
  </si>
  <si>
    <t xml:space="preserve">Adults 18-75, PASI score &gt;=12, BSA involvement &gt;=10%; Post-surgical cohort</t>
  </si>
  <si>
    <t xml:space="preserve">Plaque Psoriasis (Moderate-Severe) - Recurrent/relapsed</t>
  </si>
  <si>
    <t xml:space="preserve">Adults 18-75, PASI score &gt;=12, BSA involvement &gt;=10%; Recurrent/relapsed cohort</t>
  </si>
  <si>
    <t xml:space="preserve">Multiple Sclerosis (Relapsing-Remitting)</t>
  </si>
  <si>
    <t xml:space="preserve">Neurology unit; MRI access for lesion assessment</t>
  </si>
  <si>
    <t xml:space="preserve">Adults 18-55, EDSS 0-5.5, at least one relapse in prior 12 months</t>
  </si>
  <si>
    <t xml:space="preserve">Multiple Sclerosis (Relapsing-Remitting) - Elderly (65+)</t>
  </si>
  <si>
    <t xml:space="preserve">Adults 18-55, EDSS 0-5.5, at least one relapse in prior 12 months; Elderly (65+) cohort</t>
  </si>
  <si>
    <t xml:space="preserve">Multiple Sclerosis (Relapsing-Remitting) - Newly diagnosed</t>
  </si>
  <si>
    <t xml:space="preserve">Adults 18-55, EDSS 0-5.5, at least one relapse in prior 12 months; Newly diagnosed cohort</t>
  </si>
  <si>
    <t xml:space="preserve">Multiple Sclerosis (Relapsing-Remitting) - Treatment-resistant</t>
  </si>
  <si>
    <t xml:space="preserve">Adults 18-55, EDSS 0-5.5, at least one relapse in prior 12 months; Treatment-resistant cohort</t>
  </si>
  <si>
    <t xml:space="preserve">Multiple Sclerosis (Relapsing-Remitting) - Adolescent/young adult</t>
  </si>
  <si>
    <t xml:space="preserve">Adults 18-55, EDSS 0-5.5, at least one relapse in prior 12 months; Adolescent/young adult cohort</t>
  </si>
  <si>
    <t xml:space="preserve">Multiple Sclerosis (Relapsing-Remitting) - Renal-impaired</t>
  </si>
  <si>
    <t xml:space="preserve">Adults 18-55, EDSS 0-5.5, at least one relapse in prior 12 months; Renal-impaired cohort</t>
  </si>
  <si>
    <t xml:space="preserve">Multiple Sclerosis (Relapsing-Remitting) - Obese (BMI&gt;35)</t>
  </si>
  <si>
    <t xml:space="preserve">Adults 18-55, EDSS 0-5.5, at least one relapse in prior 12 months; Obese (BMI&gt;35) cohort</t>
  </si>
  <si>
    <t xml:space="preserve">Multiple Sclerosis (Relapsing-Remitting) - Early-stage</t>
  </si>
  <si>
    <t xml:space="preserve">Adults 18-55, EDSS 0-5.5, at least one relapse in prior 12 months; Early-stage cohort</t>
  </si>
  <si>
    <t xml:space="preserve">Multiple Sclerosis (Relapsing-Remitting) - Late-stage</t>
  </si>
  <si>
    <t xml:space="preserve">Adults 18-55, EDSS 0-5.5, at least one relapse in prior 12 months; Late-stage cohort</t>
  </si>
  <si>
    <t xml:space="preserve">Multiple Sclerosis (Relapsing-Remitting) - Comorbid cardiovascular</t>
  </si>
  <si>
    <t xml:space="preserve">Adults 18-55, EDSS 0-5.5, at least one relapse in prior 12 months; Comorbid cardiovascular cohort</t>
  </si>
  <si>
    <t xml:space="preserve">Multiple Sclerosis (Relapsing-Remitting) - Comorbid renal</t>
  </si>
  <si>
    <t xml:space="preserve">Adults 18-55, EDSS 0-5.5, at least one relapse in prior 12 months; Comorbid renal cohort</t>
  </si>
  <si>
    <t xml:space="preserve">Multiple Sclerosis (Relapsing-Remitting) - Rural population</t>
  </si>
  <si>
    <t xml:space="preserve">Adults 18-55, EDSS 0-5.5, at least one relapse in prior 12 months; Rural population cohort</t>
  </si>
  <si>
    <t xml:space="preserve">Multiple Sclerosis (Relapsing-Remitting) - Urban population</t>
  </si>
  <si>
    <t xml:space="preserve">Adults 18-55, EDSS 0-5.5, at least one relapse in prior 12 months; Urban population cohort</t>
  </si>
  <si>
    <t xml:space="preserve">Multiple Sclerosis (Relapsing-Remitting) - Female-only</t>
  </si>
  <si>
    <t xml:space="preserve">Adults 18-55, EDSS 0-5.5, at least one relapse in prior 12 months; Female-only cohort</t>
  </si>
  <si>
    <t xml:space="preserve">Multiple Sclerosis (Relapsing-Remitting) - Male-only</t>
  </si>
  <si>
    <t xml:space="preserve">Adults 18-55, EDSS 0-5.5, at least one relapse in prior 12 months; Male-only cohort</t>
  </si>
  <si>
    <t xml:space="preserve">Multiple Sclerosis (Relapsing-Remitting) - High-risk genetic marker</t>
  </si>
  <si>
    <t xml:space="preserve">Adults 18-55, EDSS 0-5.5, at least one relapse in prior 12 months; High-risk genetic marker cohort</t>
  </si>
  <si>
    <t xml:space="preserve">Multiple Sclerosis (Relapsing-Remitting) - Post-surgical</t>
  </si>
  <si>
    <t xml:space="preserve">Adults 18-55, EDSS 0-5.5, at least one relapse in prior 12 months; Post-surgical cohort</t>
  </si>
  <si>
    <t xml:space="preserve">Multiple Sclerosis (Relapsing-Remitting) - Recurrent/relapsed</t>
  </si>
  <si>
    <t xml:space="preserve">Adults 18-55, EDSS 0-5.5, at least one relapse in prior 12 months; Recurrent/relapsed cohort</t>
  </si>
  <si>
    <t xml:space="preserve">Osteoarthritis (Knee)</t>
  </si>
  <si>
    <t xml:space="preserve">Orthopedics/rheumatology clinic; radiographic imaging</t>
  </si>
  <si>
    <t xml:space="preserve">Adults 40-80, Kellgren-Lawrence grade 2-3, inadequate response to NSAIDs</t>
  </si>
  <si>
    <t xml:space="preserve">Osteoarthritis (Knee) - Elderly (65+)</t>
  </si>
  <si>
    <t xml:space="preserve">Adults 40-80, Kellgren-Lawrence grade 2-3, inadequate response to NSAIDs; Elderly (65+) cohort</t>
  </si>
  <si>
    <t xml:space="preserve">Osteoarthritis (Knee) - Newly diagnosed</t>
  </si>
  <si>
    <t xml:space="preserve">Adults 40-80, Kellgren-Lawrence grade 2-3, inadequate response to NSAIDs; Newly diagnosed cohort</t>
  </si>
  <si>
    <t xml:space="preserve">Osteoarthritis (Knee) - Treatment-resistant</t>
  </si>
  <si>
    <t xml:space="preserve">Adults 40-80, Kellgren-Lawrence grade 2-3, inadequate response to NSAIDs; Treatment-resistant cohort</t>
  </si>
  <si>
    <t xml:space="preserve">Osteoarthritis (Knee) - Adolescent/young adult</t>
  </si>
  <si>
    <t xml:space="preserve">Adults 40-80, Kellgren-Lawrence grade 2-3, inadequate response to NSAIDs; Adolescent/young adult cohort</t>
  </si>
  <si>
    <t xml:space="preserve">Osteoarthritis (Knee) - Renal-impaired</t>
  </si>
  <si>
    <t xml:space="preserve">Adults 40-80, Kellgren-Lawrence grade 2-3, inadequate response to NSAIDs; Renal-impaired cohort</t>
  </si>
  <si>
    <t xml:space="preserve">Osteoarthritis (Knee) - Obese (BMI&gt;35)</t>
  </si>
  <si>
    <t xml:space="preserve">Adults 40-80, Kellgren-Lawrence grade 2-3, inadequate response to NSAIDs; Obese (BMI&gt;35) cohort</t>
  </si>
  <si>
    <t xml:space="preserve">Osteoarthritis (Knee) - Early-stage</t>
  </si>
  <si>
    <t xml:space="preserve">Adults 40-80, Kellgren-Lawrence grade 2-3, inadequate response to NSAIDs; Early-stage cohort</t>
  </si>
  <si>
    <t xml:space="preserve">Osteoarthritis (Knee) - Late-stage</t>
  </si>
  <si>
    <t xml:space="preserve">Adults 40-80, Kellgren-Lawrence grade 2-3, inadequate response to NSAIDs; Late-stage cohort</t>
  </si>
  <si>
    <t xml:space="preserve">Osteoarthritis (Knee) - Comorbid cardiovascular</t>
  </si>
  <si>
    <t xml:space="preserve">Adults 40-80, Kellgren-Lawrence grade 2-3, inadequate response to NSAIDs; Comorbid cardiovascular cohort</t>
  </si>
  <si>
    <t xml:space="preserve">Osteoarthritis (Knee) - Comorbid renal</t>
  </si>
  <si>
    <t xml:space="preserve">Adults 40-80, Kellgren-Lawrence grade 2-3, inadequate response to NSAIDs; Comorbid renal cohort</t>
  </si>
  <si>
    <t xml:space="preserve">Osteoarthritis (Knee) - Rural population</t>
  </si>
  <si>
    <t xml:space="preserve">Adults 40-80, Kellgren-Lawrence grade 2-3, inadequate response to NSAIDs; Rural population cohort</t>
  </si>
  <si>
    <t xml:space="preserve">Osteoarthritis (Knee) - Urban population</t>
  </si>
  <si>
    <t xml:space="preserve">Adults 40-80, Kellgren-Lawrence grade 2-3, inadequate response to NSAIDs; Urban population cohort</t>
  </si>
  <si>
    <t xml:space="preserve">Osteoarthritis (Knee) - Female-only</t>
  </si>
  <si>
    <t xml:space="preserve">Adults 40-80, Kellgren-Lawrence grade 2-3, inadequate response to NSAIDs; Female-only cohort</t>
  </si>
  <si>
    <t xml:space="preserve">Osteoarthritis (Knee) - Male-only</t>
  </si>
  <si>
    <t xml:space="preserve">Adults 40-80, Kellgren-Lawrence grade 2-3, inadequate response to NSAIDs; Male-only cohort</t>
  </si>
  <si>
    <t xml:space="preserve">Osteoarthritis (Knee) - High-risk genetic marker</t>
  </si>
  <si>
    <t xml:space="preserve">Adults 40-80, Kellgren-Lawrence grade 2-3, inadequate response to NSAIDs; High-risk genetic marker cohort</t>
  </si>
  <si>
    <t xml:space="preserve">Osteoarthritis (Knee) - Post-surgical</t>
  </si>
  <si>
    <t xml:space="preserve">Adults 40-80, Kellgren-Lawrence grade 2-3, inadequate response to NSAIDs; Post-surgical cohort</t>
  </si>
  <si>
    <t xml:space="preserve">Osteoarthritis (Knee) - Recurrent/relapsed</t>
  </si>
  <si>
    <t xml:space="preserve">Adults 40-80, Kellgren-Lawrence grade 2-3, inadequate response to NSAIDs; Recurrent/relapsed cohort</t>
  </si>
  <si>
    <t xml:space="preserve">Chronic Migraine</t>
  </si>
  <si>
    <t xml:space="preserve">Headache clinic; electronic headache diary support</t>
  </si>
  <si>
    <t xml:space="preserve">Adults 18-65, &gt;=15 headache days/month, &gt;=8 with migraine features</t>
  </si>
  <si>
    <t xml:space="preserve">Chronic Migraine - Elderly (65+)</t>
  </si>
  <si>
    <t xml:space="preserve">Adults 18-65, &gt;=15 headache days/month, &gt;=8 with migraine features; Elderly (65+) cohort</t>
  </si>
  <si>
    <t xml:space="preserve">Chronic Migraine - Newly diagnosed</t>
  </si>
  <si>
    <t xml:space="preserve">Adults 18-65, &gt;=15 headache days/month, &gt;=8 with migraine features; Newly diagnosed cohort</t>
  </si>
  <si>
    <t xml:space="preserve">Chronic Migraine - Treatment-resistant</t>
  </si>
  <si>
    <t xml:space="preserve">Adults 18-65, &gt;=15 headache days/month, &gt;=8 with migraine features; Treatment-resistant cohort</t>
  </si>
  <si>
    <t xml:space="preserve">Chronic Migraine - Adolescent/young adult</t>
  </si>
  <si>
    <t xml:space="preserve">Adults 18-65, &gt;=15 headache days/month, &gt;=8 with migraine features; Adolescent/young adult cohort</t>
  </si>
  <si>
    <t xml:space="preserve">Chronic Migraine - Renal-impaired</t>
  </si>
  <si>
    <t xml:space="preserve">Adults 18-65, &gt;=15 headache days/month, &gt;=8 with migraine features; Renal-impaired cohort</t>
  </si>
  <si>
    <t xml:space="preserve">Chronic Migraine - Obese (BMI&gt;35)</t>
  </si>
  <si>
    <t xml:space="preserve">Adults 18-65, &gt;=15 headache days/month, &gt;=8 with migraine features; Obese (BMI&gt;35) cohort</t>
  </si>
  <si>
    <t xml:space="preserve">Chronic Migraine - Early-stage</t>
  </si>
  <si>
    <t xml:space="preserve">Adults 18-65, &gt;=15 headache days/month, &gt;=8 with migraine features; Early-stage cohort</t>
  </si>
  <si>
    <t xml:space="preserve">Chronic Migraine - Late-stage</t>
  </si>
  <si>
    <t xml:space="preserve">Adults 18-65, &gt;=15 headache days/month, &gt;=8 with migraine features; Late-stage cohort</t>
  </si>
  <si>
    <t xml:space="preserve">Chronic Migraine - Comorbid cardiovascular</t>
  </si>
  <si>
    <t xml:space="preserve">Adults 18-65, &gt;=15 headache days/month, &gt;=8 with migraine features; Comorbid cardiovascular cohort</t>
  </si>
  <si>
    <t xml:space="preserve">Chronic Migraine - Comorbid renal</t>
  </si>
  <si>
    <t xml:space="preserve">Adults 18-65, &gt;=15 headache days/month, &gt;=8 with migraine features; Comorbid renal cohort</t>
  </si>
  <si>
    <t xml:space="preserve">Chronic Migraine - Rural population</t>
  </si>
  <si>
    <t xml:space="preserve">Adults 18-65, &gt;=15 headache days/month, &gt;=8 with migraine features; Rural population cohort</t>
  </si>
  <si>
    <t xml:space="preserve">Chronic Migraine - Urban population</t>
  </si>
  <si>
    <t xml:space="preserve">Adults 18-65, &gt;=15 headache days/month, &gt;=8 with migraine features; Urban population cohort</t>
  </si>
  <si>
    <t xml:space="preserve">Chronic Migraine - Female-only</t>
  </si>
  <si>
    <t xml:space="preserve">Adults 18-65, &gt;=15 headache days/month, &gt;=8 with migraine features; Female-only cohort</t>
  </si>
  <si>
    <t xml:space="preserve">Chronic Migraine - Male-only</t>
  </si>
  <si>
    <t xml:space="preserve">Adults 18-65, &gt;=15 headache days/month, &gt;=8 with migraine features; Male-only cohort</t>
  </si>
  <si>
    <t xml:space="preserve">Chronic Migraine - High-risk genetic marker</t>
  </si>
  <si>
    <t xml:space="preserve">Adults 18-65, &gt;=15 headache days/month, &gt;=8 with migraine features; High-risk genetic marker cohort</t>
  </si>
  <si>
    <t xml:space="preserve">Chronic Migraine - Post-surgical</t>
  </si>
  <si>
    <t xml:space="preserve">Adults 18-65, &gt;=15 headache days/month, &gt;=8 with migraine features; Post-surgical cohort</t>
  </si>
  <si>
    <t xml:space="preserve">Chronic Migraine - Recurrent/relapsed</t>
  </si>
  <si>
    <t xml:space="preserve">Adults 18-65, &gt;=15 headache days/month, &gt;=8 with migraine features; Recurrent/relapsed cohort</t>
  </si>
  <si>
    <t xml:space="preserve">NASH (Non-Alcoholic Steatohepatitis)</t>
  </si>
  <si>
    <t xml:space="preserve">Hepatology clinic; liver biopsy or elastography access</t>
  </si>
  <si>
    <t xml:space="preserve">Adults 18-75, biopsy-confirmed NASH, fibrosis stage F2-F3</t>
  </si>
  <si>
    <t xml:space="preserve">NASH (Non-Alcoholic Steatohepatitis) - Elderly (65+)</t>
  </si>
  <si>
    <t xml:space="preserve">Adults 18-75, biopsy-confirmed NASH, fibrosis stage F2-F3; Elderly (65+) cohort</t>
  </si>
  <si>
    <t xml:space="preserve">NASH (Non-Alcoholic Steatohepatitis) - Newly diagnosed</t>
  </si>
  <si>
    <t xml:space="preserve">Adults 18-75, biopsy-confirmed NASH, fibrosis stage F2-F3; Newly diagnosed cohort</t>
  </si>
  <si>
    <t xml:space="preserve">NASH (Non-Alcoholic Steatohepatitis) - Treatment-resistant</t>
  </si>
  <si>
    <t xml:space="preserve">Adults 18-75, biopsy-confirmed NASH, fibrosis stage F2-F3; Treatment-resistant cohort</t>
  </si>
  <si>
    <t xml:space="preserve">NASH (Non-Alcoholic Steatohepatitis) - Adolescent/young adult</t>
  </si>
  <si>
    <t xml:space="preserve">Adults 18-75, biopsy-confirmed NASH, fibrosis stage F2-F3; Adolescent/young adult cohort</t>
  </si>
  <si>
    <t xml:space="preserve">NASH (Non-Alcoholic Steatohepatitis) - Renal-impaired</t>
  </si>
  <si>
    <t xml:space="preserve">Adults 18-75, biopsy-confirmed NASH, fibrosis stage F2-F3; Renal-impaired cohort</t>
  </si>
  <si>
    <t xml:space="preserve">NASH (Non-Alcoholic Steatohepatitis) - Obese (BMI&gt;35)</t>
  </si>
  <si>
    <t xml:space="preserve">Adults 18-75, biopsy-confirmed NASH, fibrosis stage F2-F3; Obese (BMI&gt;35) cohort</t>
  </si>
  <si>
    <t xml:space="preserve">NASH (Non-Alcoholic Steatohepatitis) - Early-stage</t>
  </si>
  <si>
    <t xml:space="preserve">Adults 18-75, biopsy-confirmed NASH, fibrosis stage F2-F3; Early-stage cohort</t>
  </si>
  <si>
    <t xml:space="preserve">NASH (Non-Alcoholic Steatohepatitis) - Late-stage</t>
  </si>
  <si>
    <t xml:space="preserve">Adults 18-75, biopsy-confirmed NASH, fibrosis stage F2-F3; Late-stage cohort</t>
  </si>
  <si>
    <t xml:space="preserve">NASH (Non-Alcoholic Steatohepatitis) - Comorbid cardiovascular</t>
  </si>
  <si>
    <t xml:space="preserve">Adults 18-75, biopsy-confirmed NASH, fibrosis stage F2-F3; Comorbid cardiovascular cohort</t>
  </si>
  <si>
    <t xml:space="preserve">NASH (Non-Alcoholic Steatohepatitis) - Comorbid renal</t>
  </si>
  <si>
    <t xml:space="preserve">Adults 18-75, biopsy-confirmed NASH, fibrosis stage F2-F3; Comorbid renal cohort</t>
  </si>
  <si>
    <t xml:space="preserve">NASH (Non-Alcoholic Steatohepatitis) - Rural population</t>
  </si>
  <si>
    <t xml:space="preserve">Adults 18-75, biopsy-confirmed NASH, fibrosis stage F2-F3; Rural population cohort</t>
  </si>
  <si>
    <t xml:space="preserve">NASH (Non-Alcoholic Steatohepatitis) - Urban population</t>
  </si>
  <si>
    <t xml:space="preserve">Adults 18-75, biopsy-confirmed NASH, fibrosis stage F2-F3; Urban population cohort</t>
  </si>
  <si>
    <t xml:space="preserve">NASH (Non-Alcoholic Steatohepatitis) - Female-only</t>
  </si>
  <si>
    <t xml:space="preserve">Adults 18-75, biopsy-confirmed NASH, fibrosis stage F2-F3; Female-only cohort</t>
  </si>
  <si>
    <t xml:space="preserve">NASH (Non-Alcoholic Steatohepatitis) - Male-only</t>
  </si>
  <si>
    <t xml:space="preserve">Adults 18-75, biopsy-confirmed NASH, fibrosis stage F2-F3; Male-only cohort</t>
  </si>
  <si>
    <t xml:space="preserve">NASH (Non-Alcoholic Steatohepatitis) - High-risk genetic marker</t>
  </si>
  <si>
    <t xml:space="preserve">Adults 18-75, biopsy-confirmed NASH, fibrosis stage F2-F3; High-risk genetic marker cohort</t>
  </si>
  <si>
    <t xml:space="preserve">NASH (Non-Alcoholic Steatohepatitis) - Post-surgical</t>
  </si>
  <si>
    <t xml:space="preserve">Adults 18-75, biopsy-confirmed NASH, fibrosis stage F2-F3; Post-surgical cohort</t>
  </si>
  <si>
    <t xml:space="preserve">NASH (Non-Alcoholic Steatohepatitis) - Recurrent/relapsed</t>
  </si>
  <si>
    <t xml:space="preserve">Adults 18-75, biopsy-confirmed NASH, fibrosis stage F2-F3; Recurrent/relapsed cohort</t>
  </si>
  <si>
    <t xml:space="preserve">Prostate Cancer (Metastatic)</t>
  </si>
  <si>
    <t xml:space="preserve">Oncology infusion center; CT/bone scan imaging</t>
  </si>
  <si>
    <t xml:space="preserve">Adult males 18+, metastatic castration-resistant prostate cancer, ECOG 0-1</t>
  </si>
  <si>
    <t xml:space="preserve">Prostate Cancer (Metastatic) - Elderly (65+)</t>
  </si>
  <si>
    <t xml:space="preserve">Adult males 18+, metastatic castration-resistant prostate cancer, ECOG 0-1; Elderly (65+) cohort</t>
  </si>
  <si>
    <t xml:space="preserve">Prostate Cancer (Metastatic) - Newly diagnosed</t>
  </si>
  <si>
    <t xml:space="preserve">Adult males 18+, metastatic castration-resistant prostate cancer, ECOG 0-1; Newly diagnosed cohort</t>
  </si>
  <si>
    <t xml:space="preserve">Prostate Cancer (Metastatic) - Treatment-resistant</t>
  </si>
  <si>
    <t xml:space="preserve">Adult males 18+, metastatic castration-resistant prostate cancer, ECOG 0-1; Treatment-resistant cohort</t>
  </si>
  <si>
    <t xml:space="preserve">Prostate Cancer (Metastatic) - Adolescent/young adult</t>
  </si>
  <si>
    <t xml:space="preserve">Adult males 18+, metastatic castration-resistant prostate cancer, ECOG 0-1; Adolescent/young adult cohort</t>
  </si>
  <si>
    <t xml:space="preserve">Prostate Cancer (Metastatic) - Renal-impaired</t>
  </si>
  <si>
    <t xml:space="preserve">Adult males 18+, metastatic castration-resistant prostate cancer, ECOG 0-1; Renal-impaired cohort</t>
  </si>
  <si>
    <t xml:space="preserve">Prostate Cancer (Metastatic) - Obese (BMI&gt;35)</t>
  </si>
  <si>
    <t xml:space="preserve">Adult males 18+, metastatic castration-resistant prostate cancer, ECOG 0-1; Obese (BMI&gt;35) cohort</t>
  </si>
  <si>
    <t xml:space="preserve">Prostate Cancer (Metastatic) - Early-stage</t>
  </si>
  <si>
    <t xml:space="preserve">Adult males 18+, metastatic castration-resistant prostate cancer, ECOG 0-1; Early-stage cohort</t>
  </si>
  <si>
    <t xml:space="preserve">Prostate Cancer (Metastatic) - Late-stage</t>
  </si>
  <si>
    <t xml:space="preserve">Adult males 18+, metastatic castration-resistant prostate cancer, ECOG 0-1; Late-stage cohort</t>
  </si>
  <si>
    <t xml:space="preserve">Prostate Cancer (Metastatic) - Comorbid cardiovascular</t>
  </si>
  <si>
    <t xml:space="preserve">Adult males 18+, metastatic castration-resistant prostate cancer, ECOG 0-1; Comorbid cardiovascular cohort</t>
  </si>
  <si>
    <t xml:space="preserve">Prostate Cancer (Metastatic) - Comorbid renal</t>
  </si>
  <si>
    <t xml:space="preserve">Adult males 18+, metastatic castration-resistant prostate cancer, ECOG 0-1; Comorbid renal cohort</t>
  </si>
  <si>
    <t xml:space="preserve">Prostate Cancer (Metastatic) - Rural population</t>
  </si>
  <si>
    <t xml:space="preserve">Adult males 18+, metastatic castration-resistant prostate cancer, ECOG 0-1; Rural population cohort</t>
  </si>
  <si>
    <t xml:space="preserve">Prostate Cancer (Metastatic) - Urban population</t>
  </si>
  <si>
    <t xml:space="preserve">Adult males 18+, metastatic castration-resistant prostate cancer, ECOG 0-1; Urban population cohort</t>
  </si>
  <si>
    <t xml:space="preserve">Prostate Cancer (Metastatic) - Female-only</t>
  </si>
  <si>
    <t xml:space="preserve">Adult males 18+, metastatic castration-resistant prostate cancer, ECOG 0-1; Female-only cohort</t>
  </si>
  <si>
    <t xml:space="preserve">Prostate Cancer (Metastatic) - Male-only</t>
  </si>
  <si>
    <t xml:space="preserve">Adult males 18+, metastatic castration-resistant prostate cancer, ECOG 0-1; Male-only cohort</t>
  </si>
  <si>
    <t xml:space="preserve">Prostate Cancer (Metastatic) - High-risk genetic marker</t>
  </si>
  <si>
    <t xml:space="preserve">Adult males 18+, metastatic castration-resistant prostate cancer, ECOG 0-1; High-risk genetic marker cohort</t>
  </si>
  <si>
    <t xml:space="preserve">Prostate Cancer (Metastatic) - Post-surgical</t>
  </si>
  <si>
    <t xml:space="preserve">Adult males 18+, metastatic castration-resistant prostate cancer, ECOG 0-1; Post-surgical cohort</t>
  </si>
  <si>
    <t xml:space="preserve">Prostate Cancer (Metastatic) - Recurrent/relapsed</t>
  </si>
  <si>
    <t xml:space="preserve">Adult males 18+, metastatic castration-resistant prostate cancer, ECOG 0-1; Recurrent/relapsed cohort</t>
  </si>
  <si>
    <t xml:space="preserve">Colorectal Cancer (Stage III-IV)</t>
  </si>
  <si>
    <t xml:space="preserve">Oncology infusion center; CT imaging</t>
  </si>
  <si>
    <t xml:space="preserve">Adults 18+, histologically confirmed colorectal adenocarcinoma, ECOG 0-1</t>
  </si>
  <si>
    <t xml:space="preserve">Colorectal Cancer (Stage III-IV) - Elderly (65+)</t>
  </si>
  <si>
    <t xml:space="preserve">Adults 18+, histologically confirmed colorectal adenocarcinoma, ECOG 0-1; Elderly (65+) cohort</t>
  </si>
  <si>
    <t xml:space="preserve">Colorectal Cancer (Stage III-IV) - Newly diagnosed</t>
  </si>
  <si>
    <t xml:space="preserve">Adults 18+, histologically confirmed colorectal adenocarcinoma, ECOG 0-1; Newly diagnosed cohort</t>
  </si>
  <si>
    <t xml:space="preserve">Colorectal Cancer (Stage III-IV) - Treatment-resistant</t>
  </si>
  <si>
    <t xml:space="preserve">Adults 18+, histologically confirmed colorectal adenocarcinoma, ECOG 0-1; Treatment-resistant cohort</t>
  </si>
  <si>
    <t xml:space="preserve">Colorectal Cancer (Stage III-IV) - Adolescent/young adult</t>
  </si>
  <si>
    <t xml:space="preserve">Adults 18+, histologically confirmed colorectal adenocarcinoma, ECOG 0-1; Adolescent/young adult cohort</t>
  </si>
  <si>
    <t xml:space="preserve">Colorectal Cancer (Stage III-IV) - Renal-impaired</t>
  </si>
  <si>
    <t xml:space="preserve">Adults 18+, histologically confirmed colorectal adenocarcinoma, ECOG 0-1; Renal-impaired cohort</t>
  </si>
  <si>
    <t xml:space="preserve">Colorectal Cancer (Stage III-IV) - Obese (BMI&gt;35)</t>
  </si>
  <si>
    <t xml:space="preserve">Adults 18+, histologically confirmed colorectal adenocarcinoma, ECOG 0-1; Obese (BMI&gt;35) cohort</t>
  </si>
  <si>
    <t xml:space="preserve">Colorectal Cancer (Stage III-IV) - Early-stage</t>
  </si>
  <si>
    <t xml:space="preserve">Adults 18+, histologically confirmed colorectal adenocarcinoma, ECOG 0-1; Early-stage cohort</t>
  </si>
  <si>
    <t xml:space="preserve">Colorectal Cancer (Stage III-IV) - Late-stage</t>
  </si>
  <si>
    <t xml:space="preserve">Adults 18+, histologically confirmed colorectal adenocarcinoma, ECOG 0-1; Late-stage cohort</t>
  </si>
  <si>
    <t xml:space="preserve">Colorectal Cancer (Stage III-IV) - Comorbid cardiovascular</t>
  </si>
  <si>
    <t xml:space="preserve">Adults 18+, histologically confirmed colorectal adenocarcinoma, ECOG 0-1; Comorbid cardiovascular cohort</t>
  </si>
  <si>
    <t xml:space="preserve">Colorectal Cancer (Stage III-IV) - Comorbid renal</t>
  </si>
  <si>
    <t xml:space="preserve">Adults 18+, histologically confirmed colorectal adenocarcinoma, ECOG 0-1; Comorbid renal cohort</t>
  </si>
  <si>
    <t xml:space="preserve">Colorectal Cancer (Stage III-IV) - Rural population</t>
  </si>
  <si>
    <t xml:space="preserve">Adults 18+, histologically confirmed colorectal adenocarcinoma, ECOG 0-1; Rural population cohort</t>
  </si>
  <si>
    <t xml:space="preserve">Colorectal Cancer (Stage III-IV) - Urban population</t>
  </si>
  <si>
    <t xml:space="preserve">Adults 18+, histologically confirmed colorectal adenocarcinoma, ECOG 0-1; Urban population cohort</t>
  </si>
  <si>
    <t xml:space="preserve">Colorectal Cancer (Stage III-IV) - Female-only</t>
  </si>
  <si>
    <t xml:space="preserve">Adults 18+, histologically confirmed colorectal adenocarcinoma, ECOG 0-1; Female-only cohort</t>
  </si>
  <si>
    <t xml:space="preserve">Colorectal Cancer (Stage III-IV) - Male-only</t>
  </si>
  <si>
    <t xml:space="preserve">Adults 18+, histologically confirmed colorectal adenocarcinoma, ECOG 0-1; Male-only cohort</t>
  </si>
  <si>
    <t xml:space="preserve">Colorectal Cancer (Stage III-IV) - High-risk genetic marker</t>
  </si>
  <si>
    <t xml:space="preserve">Adults 18+, histologically confirmed colorectal adenocarcinoma, ECOG 0-1; High-risk genetic marker cohort</t>
  </si>
  <si>
    <t xml:space="preserve">Colorectal Cancer (Stage III-IV) - Post-surgical</t>
  </si>
  <si>
    <t xml:space="preserve">Adults 18+, histologically confirmed colorectal adenocarcinoma, ECOG 0-1; Post-surgical cohort</t>
  </si>
  <si>
    <t xml:space="preserve">Colorectal Cancer (Stage III-IV) - Recurrent/relapsed</t>
  </si>
  <si>
    <t xml:space="preserve">Adults 18+, histologically confirmed colorectal adenocarcinoma, ECOG 0-1; Recurrent/relapsed cohort</t>
  </si>
  <si>
    <t xml:space="preserve">Ulcerative Colitis (Moderate-Severe)</t>
  </si>
  <si>
    <t xml:space="preserve">Gastroenterology unit; endoscopy suite</t>
  </si>
  <si>
    <t xml:space="preserve">Adults 18-75, Mayo score 6-12, inadequate response to conventional therapy</t>
  </si>
  <si>
    <t xml:space="preserve">Ulcerative Colitis (Moderate-Severe) - Elderly (65+)</t>
  </si>
  <si>
    <t xml:space="preserve">Adults 18-75, Mayo score 6-12, inadequate response to conventional therapy; Elderly (65+) cohort</t>
  </si>
  <si>
    <t xml:space="preserve">Ulcerative Colitis (Moderate-Severe) - Newly diagnosed</t>
  </si>
  <si>
    <t xml:space="preserve">Adults 18-75, Mayo score 6-12, inadequate response to conventional therapy; Newly diagnosed cohort</t>
  </si>
  <si>
    <t xml:space="preserve">Ulcerative Colitis (Moderate-Severe) - Treatment-resistant</t>
  </si>
  <si>
    <t xml:space="preserve">Adults 18-75, Mayo score 6-12, inadequate response to conventional therapy; Treatment-resistant cohort</t>
  </si>
  <si>
    <t xml:space="preserve">Ulcerative Colitis (Moderate-Severe) - Adolescent/young adult</t>
  </si>
  <si>
    <t xml:space="preserve">Adults 18-75, Mayo score 6-12, inadequate response to conventional therapy; Adolescent/young adult cohort</t>
  </si>
  <si>
    <t xml:space="preserve">Ulcerative Colitis (Moderate-Severe) - Renal-impaired</t>
  </si>
  <si>
    <t xml:space="preserve">Adults 18-75, Mayo score 6-12, inadequate response to conventional therapy; Renal-impaired cohort</t>
  </si>
  <si>
    <t xml:space="preserve">Ulcerative Colitis (Moderate-Severe) - Obese (BMI&gt;35)</t>
  </si>
  <si>
    <t xml:space="preserve">Adults 18-75, Mayo score 6-12, inadequate response to conventional therapy; Obese (BMI&gt;35) cohort</t>
  </si>
  <si>
    <t xml:space="preserve">Ulcerative Colitis (Moderate-Severe) - Early-stage</t>
  </si>
  <si>
    <t xml:space="preserve">Adults 18-75, Mayo score 6-12, inadequate response to conventional therapy; Early-stage cohort</t>
  </si>
  <si>
    <t xml:space="preserve">Ulcerative Colitis (Moderate-Severe) - Late-stage</t>
  </si>
  <si>
    <t xml:space="preserve">Adults 18-75, Mayo score 6-12, inadequate response to conventional therapy; Late-stage cohort</t>
  </si>
  <si>
    <t xml:space="preserve">Ulcerative Colitis (Moderate-Severe) - Comorbid cardiovascular</t>
  </si>
  <si>
    <t xml:space="preserve">Adults 18-75, Mayo score 6-12, inadequate response to conventional therapy; Comorbid cardiovascular cohort</t>
  </si>
  <si>
    <t xml:space="preserve">Ulcerative Colitis (Moderate-Severe) - Comorbid renal</t>
  </si>
  <si>
    <t xml:space="preserve">Adults 18-75, Mayo score 6-12, inadequate response to conventional therapy; Comorbid renal cohort</t>
  </si>
  <si>
    <t xml:space="preserve">Ulcerative Colitis (Moderate-Severe) - Rural population</t>
  </si>
  <si>
    <t xml:space="preserve">Adults 18-75, Mayo score 6-12, inadequate response to conventional therapy; Rural population cohort</t>
  </si>
  <si>
    <t xml:space="preserve">Ulcerative Colitis (Moderate-Severe) - Urban population</t>
  </si>
  <si>
    <t xml:space="preserve">Adults 18-75, Mayo score 6-12, inadequate response to conventional therapy; Urban population cohort</t>
  </si>
  <si>
    <t xml:space="preserve">Ulcerative Colitis (Moderate-Severe) - Female-only</t>
  </si>
  <si>
    <t xml:space="preserve">Adults 18-75, Mayo score 6-12, inadequate response to conventional therapy; Female-only cohort</t>
  </si>
  <si>
    <t xml:space="preserve">Ulcerative Colitis (Moderate-Severe) - Male-only</t>
  </si>
  <si>
    <t xml:space="preserve">Adults 18-75, Mayo score 6-12, inadequate response to conventional therapy; Male-only cohort</t>
  </si>
  <si>
    <t xml:space="preserve">Ulcerative Colitis (Moderate-Severe) - High-risk genetic marker</t>
  </si>
  <si>
    <t xml:space="preserve">Adults 18-75, Mayo score 6-12, inadequate response to conventional therapy; High-risk genetic marker cohort</t>
  </si>
  <si>
    <t xml:space="preserve">Ulcerative Colitis (Moderate-Severe) - Post-surgical</t>
  </si>
  <si>
    <t xml:space="preserve">Adults 18-75, Mayo score 6-12, inadequate response to conventional therapy; Post-surgical cohort</t>
  </si>
  <si>
    <t xml:space="preserve">Ulcerative Colitis (Moderate-Severe) - Recurrent/relapsed</t>
  </si>
  <si>
    <t xml:space="preserve">Adults 18-75, Mayo score 6-12, inadequate response to conventional therapy; Recurrent/relapsed cohort</t>
  </si>
  <si>
    <t xml:space="preserve">Epilepsy (Focal Onset)</t>
  </si>
  <si>
    <t xml:space="preserve">Epilepsy monitoring unit; EEG access</t>
  </si>
  <si>
    <t xml:space="preserve">Adults 16-70, &gt;=4 focal seizures in prior 8 weeks despite &gt;=2 AEDs</t>
  </si>
  <si>
    <t xml:space="preserve">Epilepsy (Focal Onset) - Elderly (65+)</t>
  </si>
  <si>
    <t xml:space="preserve">Adults 16-70, &gt;=4 focal seizures in prior 8 weeks despite &gt;=2 AEDs; Elderly (65+) cohort</t>
  </si>
  <si>
    <t xml:space="preserve">Epilepsy (Focal Onset) - Newly diagnosed</t>
  </si>
  <si>
    <t xml:space="preserve">Adults 16-70, &gt;=4 focal seizures in prior 8 weeks despite &gt;=2 AEDs; Newly diagnosed cohort</t>
  </si>
  <si>
    <t xml:space="preserve">Epilepsy (Focal Onset) - Treatment-resistant</t>
  </si>
  <si>
    <t xml:space="preserve">Adults 16-70, &gt;=4 focal seizures in prior 8 weeks despite &gt;=2 AEDs; Treatment-resistant cohort</t>
  </si>
  <si>
    <t xml:space="preserve">Epilepsy (Focal Onset) - Adolescent/young adult</t>
  </si>
  <si>
    <t xml:space="preserve">Adults 16-70, &gt;=4 focal seizures in prior 8 weeks despite &gt;=2 AEDs; Adolescent/young adult cohort</t>
  </si>
  <si>
    <t xml:space="preserve">Epilepsy (Focal Onset) - Renal-impaired</t>
  </si>
  <si>
    <t xml:space="preserve">Adults 16-70, &gt;=4 focal seizures in prior 8 weeks despite &gt;=2 AEDs; Renal-impaired cohort</t>
  </si>
  <si>
    <t xml:space="preserve">Epilepsy (Focal Onset) - Obese (BMI&gt;35)</t>
  </si>
  <si>
    <t xml:space="preserve">Adults 16-70, &gt;=4 focal seizures in prior 8 weeks despite &gt;=2 AEDs; Obese (BMI&gt;35) cohort</t>
  </si>
  <si>
    <t xml:space="preserve">Epilepsy (Focal Onset) - Early-stage</t>
  </si>
  <si>
    <t xml:space="preserve">Adults 16-70, &gt;=4 focal seizures in prior 8 weeks despite &gt;=2 AEDs; Early-stage cohort</t>
  </si>
  <si>
    <t xml:space="preserve">Epilepsy (Focal Onset) - Late-stage</t>
  </si>
  <si>
    <t xml:space="preserve">Adults 16-70, &gt;=4 focal seizures in prior 8 weeks despite &gt;=2 AEDs; Late-stage cohort</t>
  </si>
  <si>
    <t xml:space="preserve">Epilepsy (Focal Onset) - Comorbid cardiovascular</t>
  </si>
  <si>
    <t xml:space="preserve">Adults 16-70, &gt;=4 focal seizures in prior 8 weeks despite &gt;=2 AEDs; Comorbid cardiovascular cohort</t>
  </si>
  <si>
    <t xml:space="preserve">Epilepsy (Focal Onset) - Comorbid renal</t>
  </si>
  <si>
    <t xml:space="preserve">Adults 16-70, &gt;=4 focal seizures in prior 8 weeks despite &gt;=2 AEDs; Comorbid renal cohort</t>
  </si>
  <si>
    <t xml:space="preserve">Epilepsy (Focal Onset) - Rural population</t>
  </si>
  <si>
    <t xml:space="preserve">Adults 16-70, &gt;=4 focal seizures in prior 8 weeks despite &gt;=2 AEDs; Rural population cohort</t>
  </si>
  <si>
    <t xml:space="preserve">Epilepsy (Focal Onset) - Urban population</t>
  </si>
  <si>
    <t xml:space="preserve">Adults 16-70, &gt;=4 focal seizures in prior 8 weeks despite &gt;=2 AEDs; Urban population cohort</t>
  </si>
  <si>
    <t xml:space="preserve">Epilepsy (Focal Onset) - Female-only</t>
  </si>
  <si>
    <t xml:space="preserve">Adults 16-70, &gt;=4 focal seizures in prior 8 weeks despite &gt;=2 AEDs; Female-only cohort</t>
  </si>
  <si>
    <t xml:space="preserve">Epilepsy (Focal Onset) - Male-only</t>
  </si>
  <si>
    <t xml:space="preserve">Adults 16-70, &gt;=4 focal seizures in prior 8 weeks despite &gt;=2 AEDs; Male-only cohort</t>
  </si>
  <si>
    <t xml:space="preserve">Epilepsy (Focal Onset) - High-risk genetic marker</t>
  </si>
  <si>
    <t xml:space="preserve">Adults 16-70, &gt;=4 focal seizures in prior 8 weeks despite &gt;=2 AEDs; High-risk genetic marker cohort</t>
  </si>
  <si>
    <t xml:space="preserve">Epilepsy (Focal Onset) - Post-surgical</t>
  </si>
  <si>
    <t xml:space="preserve">Adults 16-70, &gt;=4 focal seizures in prior 8 weeks despite &gt;=2 AEDs; Post-surgical cohort</t>
  </si>
  <si>
    <t xml:space="preserve">Epilepsy (Focal Onset) - Recurrent/relapsed</t>
  </si>
  <si>
    <t xml:space="preserve">Adults 16-70, &gt;=4 focal seizures in prior 8 weeks despite &gt;=2 AEDs; Recurrent/relapsed cohort</t>
  </si>
  <si>
    <t xml:space="preserve">Postmenopausal Osteoporosis</t>
  </si>
  <si>
    <t xml:space="preserve">Bone health clinic; DXA imaging</t>
  </si>
  <si>
    <t xml:space="preserve">Postmenopausal women 55-85, T-score &lt;=-2.5 at hip or spine</t>
  </si>
  <si>
    <t xml:space="preserve">Postmenopausal Osteoporosis - Elderly (65+)</t>
  </si>
  <si>
    <t xml:space="preserve">Postmenopausal women 55-85, T-score &lt;=-2.5 at hip or spine; Elderly (65+) cohort</t>
  </si>
  <si>
    <t xml:space="preserve">Postmenopausal Osteoporosis - Newly diagnosed</t>
  </si>
  <si>
    <t xml:space="preserve">Postmenopausal women 55-85, T-score &lt;=-2.5 at hip or spine; Newly diagnosed cohort</t>
  </si>
  <si>
    <t xml:space="preserve">Postmenopausal Osteoporosis - Treatment-resistant</t>
  </si>
  <si>
    <t xml:space="preserve">Postmenopausal women 55-85, T-score &lt;=-2.5 at hip or spine; Treatment-resistant cohort</t>
  </si>
  <si>
    <t xml:space="preserve">Postmenopausal Osteoporosis - Adolescent/young adult</t>
  </si>
  <si>
    <t xml:space="preserve">Postmenopausal women 55-85, T-score &lt;=-2.5 at hip or spine; Adolescent/young adult cohort</t>
  </si>
  <si>
    <t xml:space="preserve">Postmenopausal Osteoporosis - Renal-impaired</t>
  </si>
  <si>
    <t xml:space="preserve">Postmenopausal women 55-85, T-score &lt;=-2.5 at hip or spine; Renal-impaired cohort</t>
  </si>
  <si>
    <t xml:space="preserve">Postmenopausal Osteoporosis - Obese (BMI&gt;35)</t>
  </si>
  <si>
    <t xml:space="preserve">Postmenopausal women 55-85, T-score &lt;=-2.5 at hip or spine; Obese (BMI&gt;35) cohort</t>
  </si>
  <si>
    <t xml:space="preserve">Postmenopausal Osteoporosis - Early-stage</t>
  </si>
  <si>
    <t xml:space="preserve">Postmenopausal women 55-85, T-score &lt;=-2.5 at hip or spine; Early-stage cohort</t>
  </si>
  <si>
    <t xml:space="preserve">Postmenopausal Osteoporosis - Late-stage</t>
  </si>
  <si>
    <t xml:space="preserve">Postmenopausal women 55-85, T-score &lt;=-2.5 at hip or spine; Late-stage cohort</t>
  </si>
  <si>
    <t xml:space="preserve">Postmenopausal Osteoporosis - Comorbid cardiovascular</t>
  </si>
  <si>
    <t xml:space="preserve">Postmenopausal women 55-85, T-score &lt;=-2.5 at hip or spine; Comorbid cardiovascular cohort</t>
  </si>
  <si>
    <t xml:space="preserve">Postmenopausal Osteoporosis - Comorbid renal</t>
  </si>
  <si>
    <t xml:space="preserve">Postmenopausal women 55-85, T-score &lt;=-2.5 at hip or spine; Comorbid renal cohort</t>
  </si>
  <si>
    <t xml:space="preserve">Postmenopausal Osteoporosis - Rural population</t>
  </si>
  <si>
    <t xml:space="preserve">Postmenopausal women 55-85, T-score &lt;=-2.5 at hip or spine; Rural population cohort</t>
  </si>
  <si>
    <t xml:space="preserve">Postmenopausal Osteoporosis - Urban population</t>
  </si>
  <si>
    <t xml:space="preserve">Postmenopausal women 55-85, T-score &lt;=-2.5 at hip or spine; Urban population cohort</t>
  </si>
  <si>
    <t xml:space="preserve">Postmenopausal Osteoporosis - Female-only</t>
  </si>
  <si>
    <t xml:space="preserve">Postmenopausal women 55-85, T-score &lt;=-2.5 at hip or spine; Female-only cohort</t>
  </si>
  <si>
    <t xml:space="preserve">Postmenopausal Osteoporosis - Male-only</t>
  </si>
  <si>
    <t xml:space="preserve">Postmenopausal women 55-85, T-score &lt;=-2.5 at hip or spine; Male-only cohort</t>
  </si>
  <si>
    <t xml:space="preserve">Postmenopausal Osteoporosis - High-risk genetic marker</t>
  </si>
  <si>
    <t xml:space="preserve">Postmenopausal women 55-85, T-score &lt;=-2.5 at hip or spine; High-risk genetic marker cohort</t>
  </si>
  <si>
    <t xml:space="preserve">Postmenopausal Osteoporosis - Post-surgical</t>
  </si>
  <si>
    <t xml:space="preserve">Postmenopausal women 55-85, T-score &lt;=-2.5 at hip or spine; Post-surgical cohort</t>
  </si>
  <si>
    <t xml:space="preserve">Postmenopausal Osteoporosis - Recurrent/relapsed</t>
  </si>
  <si>
    <t xml:space="preserve">Postmenopausal women 55-85, T-score &lt;=-2.5 at hip or spine; Recurrent/relapsed cohort</t>
  </si>
  <si>
    <t xml:space="preserve">Chronic Hepatitis B</t>
  </si>
  <si>
    <t xml:space="preserve">Hepatology clinic; viral load testing lab</t>
  </si>
  <si>
    <t xml:space="preserve">Adults 18-70, HBsAg positive &gt;=6 months, detectable HBV DNA</t>
  </si>
  <si>
    <t xml:space="preserve">Chronic Hepatitis B - Elderly (65+)</t>
  </si>
  <si>
    <t xml:space="preserve">Adults 18-70, HBsAg positive &gt;=6 months, detectable HBV DNA; Elderly (65+) cohort</t>
  </si>
  <si>
    <t xml:space="preserve">Chronic Hepatitis B - Newly diagnosed</t>
  </si>
  <si>
    <t xml:space="preserve">Adults 18-70, HBsAg positive &gt;=6 months, detectable HBV DNA; Newly diagnosed cohort</t>
  </si>
  <si>
    <t xml:space="preserve">Chronic Hepatitis B - Treatment-resistant</t>
  </si>
  <si>
    <t xml:space="preserve">Adults 18-70, HBsAg positive &gt;=6 months, detectable HBV DNA; Treatment-resistant cohort</t>
  </si>
  <si>
    <t xml:space="preserve">Chronic Hepatitis B - Adolescent/young adult</t>
  </si>
  <si>
    <t xml:space="preserve">Adults 18-70, HBsAg positive &gt;=6 months, detectable HBV DNA; Adolescent/young adult cohort</t>
  </si>
  <si>
    <t xml:space="preserve">Chronic Hepatitis B - Renal-impaired</t>
  </si>
  <si>
    <t xml:space="preserve">Adults 18-70, HBsAg positive &gt;=6 months, detectable HBV DNA; Renal-impaired cohort</t>
  </si>
  <si>
    <t xml:space="preserve">Chronic Hepatitis B - Obese (BMI&gt;35)</t>
  </si>
  <si>
    <t xml:space="preserve">Adults 18-70, HBsAg positive &gt;=6 months, detectable HBV DNA; Obese (BMI&gt;35) cohort</t>
  </si>
  <si>
    <t xml:space="preserve">Chronic Hepatitis B - Early-stage</t>
  </si>
  <si>
    <t xml:space="preserve">Adults 18-70, HBsAg positive &gt;=6 months, detectable HBV DNA; Early-stage cohort</t>
  </si>
  <si>
    <t xml:space="preserve">Chronic Hepatitis B - Late-stage</t>
  </si>
  <si>
    <t xml:space="preserve">Adults 18-70, HBsAg positive &gt;=6 months, detectable HBV DNA; Late-stage cohort</t>
  </si>
  <si>
    <t xml:space="preserve">Chronic Hepatitis B - Comorbid cardiovascular</t>
  </si>
  <si>
    <t xml:space="preserve">Adults 18-70, HBsAg positive &gt;=6 months, detectable HBV DNA; Comorbid cardiovascular cohort</t>
  </si>
  <si>
    <t xml:space="preserve">Chronic Hepatitis B - Comorbid renal</t>
  </si>
  <si>
    <t xml:space="preserve">Adults 18-70, HBsAg positive &gt;=6 months, detectable HBV DNA; Comorbid renal cohort</t>
  </si>
  <si>
    <t xml:space="preserve">Chronic Hepatitis B - Rural population</t>
  </si>
  <si>
    <t xml:space="preserve">Adults 18-70, HBsAg positive &gt;=6 months, detectable HBV DNA; Rural population cohort</t>
  </si>
  <si>
    <t xml:space="preserve">Chronic Hepatitis B - Urban population</t>
  </si>
  <si>
    <t xml:space="preserve">Adults 18-70, HBsAg positive &gt;=6 months, detectable HBV DNA; Urban population cohort</t>
  </si>
  <si>
    <t xml:space="preserve">Chronic Hepatitis B - Female-only</t>
  </si>
  <si>
    <t xml:space="preserve">Adults 18-70, HBsAg positive &gt;=6 months, detectable HBV DNA; Female-only cohort</t>
  </si>
  <si>
    <t xml:space="preserve">Chronic Hepatitis B - Male-only</t>
  </si>
  <si>
    <t xml:space="preserve">Adults 18-70, HBsAg positive &gt;=6 months, detectable HBV DNA; Male-only cohort</t>
  </si>
  <si>
    <t xml:space="preserve">Chronic Hepatitis B - High-risk genetic marker</t>
  </si>
  <si>
    <t xml:space="preserve">Adults 18-70, HBsAg positive &gt;=6 months, detectable HBV DNA; High-risk genetic marker cohort</t>
  </si>
  <si>
    <t xml:space="preserve">Chronic Hepatitis B - Post-surgical</t>
  </si>
  <si>
    <t xml:space="preserve">Adults 18-70, HBsAg positive &gt;=6 months, detectable HBV DNA; Post-surgical cohort</t>
  </si>
  <si>
    <t xml:space="preserve">Chronic Hepatitis B - Recurrent/relapsed</t>
  </si>
  <si>
    <t xml:space="preserve">Adults 18-70, HBsAg positive &gt;=6 months, detectable HBV DNA; Recurrent/relapsed cohort</t>
  </si>
  <si>
    <t xml:space="preserve">Schizophrenia</t>
  </si>
  <si>
    <t xml:space="preserve">Psychiatric inpatient/outpatient unit; PANSS assessment capability</t>
  </si>
  <si>
    <t xml:space="preserve">Adults 18-60, PANSS total score &gt;=70, on stable antipsychotic regimen</t>
  </si>
  <si>
    <t xml:space="preserve">Schizophrenia - Elderly (65+)</t>
  </si>
  <si>
    <t xml:space="preserve">Adults 18-60, PANSS total score &gt;=70, on stable antipsychotic regimen; Elderly (65+) cohort</t>
  </si>
  <si>
    <t xml:space="preserve">Schizophrenia - Newly diagnosed</t>
  </si>
  <si>
    <t xml:space="preserve">Adults 18-60, PANSS total score &gt;=70, on stable antipsychotic regimen; Newly diagnosed cohort</t>
  </si>
  <si>
    <t xml:space="preserve">Schizophrenia - Treatment-resistant</t>
  </si>
  <si>
    <t xml:space="preserve">Adults 18-60, PANSS total score &gt;=70, on stable antipsychotic regimen; Treatment-resistant cohort</t>
  </si>
  <si>
    <t xml:space="preserve">Schizophrenia - Adolescent/young adult</t>
  </si>
  <si>
    <t xml:space="preserve">Adults 18-60, PANSS total score &gt;=70, on stable antipsychotic regimen; Adolescent/young adult cohort</t>
  </si>
  <si>
    <t xml:space="preserve">Schizophrenia - Renal-impaired</t>
  </si>
  <si>
    <t xml:space="preserve">Adults 18-60, PANSS total score &gt;=70, on stable antipsychotic regimen; Renal-impaired cohort</t>
  </si>
  <si>
    <t xml:space="preserve">Schizophrenia - Obese (BMI&gt;35)</t>
  </si>
  <si>
    <t xml:space="preserve">Adults 18-60, PANSS total score &gt;=70, on stable antipsychotic regimen; Obese (BMI&gt;35) cohort</t>
  </si>
  <si>
    <t xml:space="preserve">Schizophrenia - Early-stage</t>
  </si>
  <si>
    <t xml:space="preserve">Adults 18-60, PANSS total score &gt;=70, on stable antipsychotic regimen; Early-stage cohort</t>
  </si>
  <si>
    <t xml:space="preserve">Schizophrenia - Late-stage</t>
  </si>
  <si>
    <t xml:space="preserve">Adults 18-60, PANSS total score &gt;=70, on stable antipsychotic regimen; Late-stage cohort</t>
  </si>
  <si>
    <t xml:space="preserve">Schizophrenia - Comorbid cardiovascular</t>
  </si>
  <si>
    <t xml:space="preserve">Adults 18-60, PANSS total score &gt;=70, on stable antipsychotic regimen; Comorbid cardiovascular cohort</t>
  </si>
  <si>
    <t xml:space="preserve">Schizophrenia - Comorbid renal</t>
  </si>
  <si>
    <t xml:space="preserve">Adults 18-60, PANSS total score &gt;=70, on stable antipsychotic regimen; Comorbid renal cohort</t>
  </si>
  <si>
    <t xml:space="preserve">Schizophrenia - Rural population</t>
  </si>
  <si>
    <t xml:space="preserve">Adults 18-60, PANSS total score &gt;=70, on stable antipsychotic regimen; Rural population cohort</t>
  </si>
  <si>
    <t xml:space="preserve">Schizophrenia - Urban population</t>
  </si>
  <si>
    <t xml:space="preserve">Adults 18-60, PANSS total score &gt;=70, on stable antipsychotic regimen; Urban population cohort</t>
  </si>
  <si>
    <t xml:space="preserve">Schizophrenia - Female-only</t>
  </si>
  <si>
    <t xml:space="preserve">Adults 18-60, PANSS total score &gt;=70, on stable antipsychotic regimen; Female-only cohort</t>
  </si>
  <si>
    <t xml:space="preserve">Schizophrenia - Male-only</t>
  </si>
  <si>
    <t xml:space="preserve">Adults 18-60, PANSS total score &gt;=70, on stable antipsychotic regimen; Male-only cohort</t>
  </si>
  <si>
    <t xml:space="preserve">Schizophrenia - High-risk genetic marker</t>
  </si>
  <si>
    <t xml:space="preserve">Adults 18-60, PANSS total score &gt;=70, on stable antipsychotic regimen; High-risk genetic marker cohort</t>
  </si>
  <si>
    <t xml:space="preserve">Schizophrenia - Post-surgical</t>
  </si>
  <si>
    <t xml:space="preserve">Adults 18-60, PANSS total score &gt;=70, on stable antipsychotic regimen; Post-surgical cohort</t>
  </si>
  <si>
    <t xml:space="preserve">Schizophrenia - Recurrent/relapsed</t>
  </si>
  <si>
    <t xml:space="preserve">Adults 18-60, PANSS total score &gt;=70, on stable antipsychotic regimen; Recurrent/relapsed cohort</t>
  </si>
  <si>
    <t xml:space="preserve">Region</t>
  </si>
  <si>
    <t xml:space="preserve">Country</t>
  </si>
  <si>
    <t xml:space="preserve">Prevalence (per 100k)</t>
  </si>
  <si>
    <t xml:space="preserve">Regulatory Approval Time (weeks)</t>
  </si>
  <si>
    <t xml:space="preserve">Active Competing Trials</t>
  </si>
  <si>
    <t xml:space="preserve">Avg Cost per Patient (USD)</t>
  </si>
  <si>
    <t xml:space="preserve">South India</t>
  </si>
  <si>
    <t xml:space="preserve">India</t>
  </si>
  <si>
    <t xml:space="preserve">North India</t>
  </si>
  <si>
    <t xml:space="preserve">South-East Asia</t>
  </si>
  <si>
    <t xml:space="preserve">Philippines</t>
  </si>
  <si>
    <t xml:space="preserve">Eastern Europe</t>
  </si>
  <si>
    <t xml:space="preserve">Poland</t>
  </si>
  <si>
    <t xml:space="preserve">Western Europe</t>
  </si>
  <si>
    <t xml:space="preserve">Germany</t>
  </si>
  <si>
    <t xml:space="preserve">North America</t>
  </si>
  <si>
    <t xml:space="preserve">United States</t>
  </si>
  <si>
    <t xml:space="preserve">Latin America</t>
  </si>
  <si>
    <t xml:space="preserve">Brazil</t>
  </si>
  <si>
    <t xml:space="preserve">Sub-Saharan Africa</t>
  </si>
  <si>
    <t xml:space="preserve">Kenya</t>
  </si>
  <si>
    <t xml:space="preserve">Central Mexico</t>
  </si>
  <si>
    <t xml:space="preserve">Mexico</t>
  </si>
  <si>
    <t xml:space="preserve">Southern Brazil</t>
  </si>
  <si>
    <t xml:space="preserve">Andean Region</t>
  </si>
  <si>
    <t xml:space="preserve">Colombia</t>
  </si>
  <si>
    <t xml:space="preserve">North Africa</t>
  </si>
  <si>
    <t xml:space="preserve">Egypt</t>
  </si>
  <si>
    <t xml:space="preserve">West Africa</t>
  </si>
  <si>
    <t xml:space="preserve">Nigeria</t>
  </si>
  <si>
    <t xml:space="preserve">Southern Africa</t>
  </si>
  <si>
    <t xml:space="preserve">South Africa</t>
  </si>
  <si>
    <t xml:space="preserve">Middle East (Gulf)</t>
  </si>
  <si>
    <t xml:space="preserve">United Arab Emirates</t>
  </si>
  <si>
    <t xml:space="preserve">Middle East (Levant)</t>
  </si>
  <si>
    <t xml:space="preserve">Turkey</t>
  </si>
  <si>
    <t xml:space="preserve">South Asia (Pakistan)</t>
  </si>
  <si>
    <t xml:space="preserve">Pakistan</t>
  </si>
  <si>
    <t xml:space="preserve">South Asia (Bangladesh)</t>
  </si>
  <si>
    <t xml:space="preserve">Bangladesh</t>
  </si>
  <si>
    <t xml:space="preserve">East Asia (Japan)</t>
  </si>
  <si>
    <t xml:space="preserve">Japan</t>
  </si>
  <si>
    <t xml:space="preserve">East Asia (South Korea)</t>
  </si>
  <si>
    <t xml:space="preserve">South Korea</t>
  </si>
  <si>
    <t xml:space="preserve">South-East Asia (Vietnam)</t>
  </si>
  <si>
    <t xml:space="preserve">Vietnam</t>
  </si>
  <si>
    <t xml:space="preserve">South-East Asia (Indonesia)</t>
  </si>
  <si>
    <t xml:space="preserve">Indonesia</t>
  </si>
  <si>
    <t xml:space="preserve">Oceania</t>
  </si>
  <si>
    <t xml:space="preserve">Australia</t>
  </si>
  <si>
    <t xml:space="preserve">United Kingdom</t>
  </si>
  <si>
    <t xml:space="preserve">Site ID</t>
  </si>
  <si>
    <t xml:space="preserve">Site Name</t>
  </si>
  <si>
    <t xml:space="preserve">City</t>
  </si>
  <si>
    <t xml:space="preserve">Therapeutic Area</t>
  </si>
  <si>
    <t xml:space="preserve">Hospital Type</t>
  </si>
  <si>
    <t xml:space="preserve">Accreditation</t>
  </si>
  <si>
    <t xml:space="preserve">S-0001</t>
  </si>
  <si>
    <t xml:space="preserve">Nairobi Cancer Center</t>
  </si>
  <si>
    <t xml:space="preserve">Nairobi</t>
  </si>
  <si>
    <t xml:space="preserve">Oncology</t>
  </si>
  <si>
    <t xml:space="preserve">Academic Medical Center</t>
  </si>
  <si>
    <t xml:space="preserve">Yes</t>
  </si>
  <si>
    <t xml:space="preserve">S-0002</t>
  </si>
  <si>
    <t xml:space="preserve">Wroclaw Cancer Center</t>
  </si>
  <si>
    <t xml:space="preserve">Wroclaw</t>
  </si>
  <si>
    <t xml:space="preserve">S-0003</t>
  </si>
  <si>
    <t xml:space="preserve">Coimbatore Diabetes &amp; Endocrine Institute</t>
  </si>
  <si>
    <t xml:space="preserve">Coimbatore</t>
  </si>
  <si>
    <t xml:space="preserve">Endocrinology</t>
  </si>
  <si>
    <t xml:space="preserve">Specialty Clinic</t>
  </si>
  <si>
    <t xml:space="preserve">S-0004</t>
  </si>
  <si>
    <t xml:space="preserve">Krakow Pulmonology Institute</t>
  </si>
  <si>
    <t xml:space="preserve">Krakow</t>
  </si>
  <si>
    <t xml:space="preserve">Pulmonology</t>
  </si>
  <si>
    <t xml:space="preserve">Community Hospital</t>
  </si>
  <si>
    <t xml:space="preserve">S-0005</t>
  </si>
  <si>
    <t xml:space="preserve">Nairobi Memory &amp; Brain Health Center</t>
  </si>
  <si>
    <t xml:space="preserve">Neurology</t>
  </si>
  <si>
    <t xml:space="preserve">S-0006</t>
  </si>
  <si>
    <t xml:space="preserve">Rio de Janeiro Memory &amp; Brain Health Center</t>
  </si>
  <si>
    <t xml:space="preserve">Rio de Janeiro</t>
  </si>
  <si>
    <t xml:space="preserve">Regional Referral Hospital</t>
  </si>
  <si>
    <t xml:space="preserve">No</t>
  </si>
  <si>
    <t xml:space="preserve">S-0007</t>
  </si>
  <si>
    <t xml:space="preserve">Chennai Metabolic Health Center</t>
  </si>
  <si>
    <t xml:space="preserve">Chennai</t>
  </si>
  <si>
    <t xml:space="preserve">S-0008</t>
  </si>
  <si>
    <t xml:space="preserve">Chandigarh Cancer Center</t>
  </si>
  <si>
    <t xml:space="preserve">Chandigarh</t>
  </si>
  <si>
    <t xml:space="preserve">University Hospital</t>
  </si>
  <si>
    <t xml:space="preserve">S-0009</t>
  </si>
  <si>
    <t xml:space="preserve">Sao Paulo Cardiology Center</t>
  </si>
  <si>
    <t xml:space="preserve">Sao Paulo</t>
  </si>
  <si>
    <t xml:space="preserve">Cardiology</t>
  </si>
  <si>
    <t xml:space="preserve">S-0010</t>
  </si>
  <si>
    <t xml:space="preserve">Jaipur Infectious Disease Clinic</t>
  </si>
  <si>
    <t xml:space="preserve">Jaipur</t>
  </si>
  <si>
    <t xml:space="preserve">Infectious Disease</t>
  </si>
  <si>
    <t xml:space="preserve">S-0011</t>
  </si>
  <si>
    <t xml:space="preserve">Chennai Cancer Center</t>
  </si>
  <si>
    <t xml:space="preserve">S-0012</t>
  </si>
  <si>
    <t xml:space="preserve">Krakow Diabetes &amp; Endocrine Institute</t>
  </si>
  <si>
    <t xml:space="preserve">S-0013</t>
  </si>
  <si>
    <t xml:space="preserve">S-0014</t>
  </si>
  <si>
    <t xml:space="preserve">Nairobi Oncology Institute</t>
  </si>
  <si>
    <t xml:space="preserve">S-0015</t>
  </si>
  <si>
    <t xml:space="preserve">Madurai Diabetes &amp; Endocrine Institute</t>
  </si>
  <si>
    <t xml:space="preserve">Madurai</t>
  </si>
  <si>
    <t xml:space="preserve">S-0016</t>
  </si>
  <si>
    <t xml:space="preserve">Manila Infectious Disease Clinic</t>
  </si>
  <si>
    <t xml:space="preserve">Manila</t>
  </si>
  <si>
    <t xml:space="preserve">S-0017</t>
  </si>
  <si>
    <t xml:space="preserve">Chandigarh Neuroscience Institute</t>
  </si>
  <si>
    <t xml:space="preserve">S-0018</t>
  </si>
  <si>
    <t xml:space="preserve">Chennai Neurology Hospital</t>
  </si>
  <si>
    <t xml:space="preserve">S-0019</t>
  </si>
  <si>
    <t xml:space="preserve">Chicago Tumor Care Hospital</t>
  </si>
  <si>
    <t xml:space="preserve">Chicago</t>
  </si>
  <si>
    <t xml:space="preserve">S-0020</t>
  </si>
  <si>
    <t xml:space="preserve">Sao Paulo Lung Health Hospital</t>
  </si>
  <si>
    <t xml:space="preserve">S-0021</t>
  </si>
  <si>
    <t xml:space="preserve">Delhi Neurology Hospital</t>
  </si>
  <si>
    <t xml:space="preserve">Delhi</t>
  </si>
  <si>
    <t xml:space="preserve">S-0022</t>
  </si>
  <si>
    <t xml:space="preserve">Chandigarh Global Health Institute</t>
  </si>
  <si>
    <t xml:space="preserve">S-0023</t>
  </si>
  <si>
    <t xml:space="preserve">Chandigarh Cardiology Center</t>
  </si>
  <si>
    <t xml:space="preserve">S-0024</t>
  </si>
  <si>
    <t xml:space="preserve">Hamburg Lung Health Hospital</t>
  </si>
  <si>
    <t xml:space="preserve">Hamburg</t>
  </si>
  <si>
    <t xml:space="preserve">S-0025</t>
  </si>
  <si>
    <t xml:space="preserve">Hamburg Diabetes &amp; Endocrine Institute</t>
  </si>
  <si>
    <t xml:space="preserve">S-0026</t>
  </si>
  <si>
    <t xml:space="preserve">S-0027</t>
  </si>
  <si>
    <t xml:space="preserve">Boston Lung Health Hospital</t>
  </si>
  <si>
    <t xml:space="preserve">Boston</t>
  </si>
  <si>
    <t xml:space="preserve">S-0028</t>
  </si>
  <si>
    <t xml:space="preserve">Berlin Endocrine Care Hospital</t>
  </si>
  <si>
    <t xml:space="preserve">Berlin</t>
  </si>
  <si>
    <t xml:space="preserve">S-0029</t>
  </si>
  <si>
    <t xml:space="preserve">Chennai Heart &amp; Vascular Institute</t>
  </si>
  <si>
    <t xml:space="preserve">S-0030</t>
  </si>
  <si>
    <t xml:space="preserve">Mombasa Infectious Disease Clinic</t>
  </si>
  <si>
    <t xml:space="preserve">Mombasa</t>
  </si>
  <si>
    <t xml:space="preserve">S-0031</t>
  </si>
  <si>
    <t xml:space="preserve">Davao Metabolic Health Center</t>
  </si>
  <si>
    <t xml:space="preserve">Davao</t>
  </si>
  <si>
    <t xml:space="preserve">S-0032</t>
  </si>
  <si>
    <t xml:space="preserve">Sao Paulo Metabolic Health Center</t>
  </si>
  <si>
    <t xml:space="preserve">S-0033</t>
  </si>
  <si>
    <t xml:space="preserve">Madurai Tumor Care Hospital</t>
  </si>
  <si>
    <t xml:space="preserve">S-0034</t>
  </si>
  <si>
    <t xml:space="preserve">Houston Neurology Hospital</t>
  </si>
  <si>
    <t xml:space="preserve">Houston</t>
  </si>
  <si>
    <t xml:space="preserve">S-0035</t>
  </si>
  <si>
    <t xml:space="preserve">Warsaw Oncology Institute</t>
  </si>
  <si>
    <t xml:space="preserve">Warsaw</t>
  </si>
  <si>
    <t xml:space="preserve">S-0036</t>
  </si>
  <si>
    <t xml:space="preserve">Chicago Lung Health Hospital</t>
  </si>
  <si>
    <t xml:space="preserve">S-0037</t>
  </si>
  <si>
    <t xml:space="preserve">Jaipur Metabolic Health Center</t>
  </si>
  <si>
    <t xml:space="preserve">S-0038</t>
  </si>
  <si>
    <t xml:space="preserve">Mombasa Heart &amp; Vascular Institute</t>
  </si>
  <si>
    <t xml:space="preserve">S-0039</t>
  </si>
  <si>
    <t xml:space="preserve">Krakow Cardiology Center</t>
  </si>
  <si>
    <t xml:space="preserve">S-0040</t>
  </si>
  <si>
    <t xml:space="preserve">Munich Lung Health Hospital</t>
  </si>
  <si>
    <t xml:space="preserve">Munich</t>
  </si>
  <si>
    <t xml:space="preserve">S-0041</t>
  </si>
  <si>
    <t xml:space="preserve">Boston Metabolic Health Center</t>
  </si>
  <si>
    <t xml:space="preserve">S-0042</t>
  </si>
  <si>
    <t xml:space="preserve">S-0043</t>
  </si>
  <si>
    <t xml:space="preserve">Chicago Immunology Center</t>
  </si>
  <si>
    <t xml:space="preserve">S-0044</t>
  </si>
  <si>
    <t xml:space="preserve">Krakow Endocrine Care Hospital</t>
  </si>
  <si>
    <t xml:space="preserve">S-0045</t>
  </si>
  <si>
    <t xml:space="preserve">Krakow Neuroscience Institute</t>
  </si>
  <si>
    <t xml:space="preserve">S-0046</t>
  </si>
  <si>
    <t xml:space="preserve">Lucknow Global Health Institute</t>
  </si>
  <si>
    <t xml:space="preserve">Lucknow</t>
  </si>
  <si>
    <t xml:space="preserve">S-0047</t>
  </si>
  <si>
    <t xml:space="preserve">Hamburg Cancer Center</t>
  </si>
  <si>
    <t xml:space="preserve">S-0048</t>
  </si>
  <si>
    <t xml:space="preserve">Belo Horizonte Respiratory Care Center</t>
  </si>
  <si>
    <t xml:space="preserve">Belo Horizonte</t>
  </si>
  <si>
    <t xml:space="preserve">S-0049</t>
  </si>
  <si>
    <t xml:space="preserve">Belo Horizonte Metabolic Health Center</t>
  </si>
  <si>
    <t xml:space="preserve">S-0050</t>
  </si>
  <si>
    <t xml:space="preserve">Chicago Memory &amp; Brain Health Center</t>
  </si>
  <si>
    <t xml:space="preserve">S-0051</t>
  </si>
  <si>
    <t xml:space="preserve">S-0052</t>
  </si>
  <si>
    <t xml:space="preserve">Boston Tumor Care Hospital</t>
  </si>
  <si>
    <t xml:space="preserve">S-0053</t>
  </si>
  <si>
    <t xml:space="preserve">Warsaw Diabetes &amp; Endocrine Institute</t>
  </si>
  <si>
    <t xml:space="preserve">S-0054</t>
  </si>
  <si>
    <t xml:space="preserve">Jaipur Neurology Hospital</t>
  </si>
  <si>
    <t xml:space="preserve">S-0055</t>
  </si>
  <si>
    <t xml:space="preserve">Rio de Janeiro Neuroscience Institute</t>
  </si>
  <si>
    <t xml:space="preserve">S-0056</t>
  </si>
  <si>
    <t xml:space="preserve">Chennai Neuroscience Institute</t>
  </si>
  <si>
    <t xml:space="preserve">S-0057</t>
  </si>
  <si>
    <t xml:space="preserve">Nairobi Infectious Disease Clinic</t>
  </si>
  <si>
    <t xml:space="preserve">S-0058</t>
  </si>
  <si>
    <t xml:space="preserve">Mombasa Neurology Hospital</t>
  </si>
  <si>
    <t xml:space="preserve">S-0059</t>
  </si>
  <si>
    <t xml:space="preserve">Nairobi Pulmonology Institute</t>
  </si>
  <si>
    <t xml:space="preserve">S-0060</t>
  </si>
  <si>
    <t xml:space="preserve">Wroclaw Cardiac Care Hospital</t>
  </si>
  <si>
    <t xml:space="preserve">S-0061</t>
  </si>
  <si>
    <t xml:space="preserve">Munich Endocrine Care Hospital</t>
  </si>
  <si>
    <t xml:space="preserve">S-0062</t>
  </si>
  <si>
    <t xml:space="preserve">Chicago Infectious Disease Clinic</t>
  </si>
  <si>
    <t xml:space="preserve">S-0063</t>
  </si>
  <si>
    <t xml:space="preserve">Belo Horizonte Tumor Care Hospital</t>
  </si>
  <si>
    <t xml:space="preserve">S-0064</t>
  </si>
  <si>
    <t xml:space="preserve">Rio de Janeiro Global Health Institute</t>
  </si>
  <si>
    <t xml:space="preserve">S-0065</t>
  </si>
  <si>
    <t xml:space="preserve">Rio de Janeiro Immunology Center</t>
  </si>
  <si>
    <t xml:space="preserve">S-0066</t>
  </si>
  <si>
    <t xml:space="preserve">Rio de Janeiro Metabolic Health Center</t>
  </si>
  <si>
    <t xml:space="preserve">S-0067</t>
  </si>
  <si>
    <t xml:space="preserve">Belo Horizonte Lung Health Hospital</t>
  </si>
  <si>
    <t xml:space="preserve">S-0068</t>
  </si>
  <si>
    <t xml:space="preserve">Krakow Oncology Institute</t>
  </si>
  <si>
    <t xml:space="preserve">S-0069</t>
  </si>
  <si>
    <t xml:space="preserve">Rio de Janeiro Lung Health Hospital</t>
  </si>
  <si>
    <t xml:space="preserve">S-0070</t>
  </si>
  <si>
    <t xml:space="preserve">Nairobi Immunology Center</t>
  </si>
  <si>
    <t xml:space="preserve">S-0071</t>
  </si>
  <si>
    <t xml:space="preserve">Chennai Pulmonology Institute</t>
  </si>
  <si>
    <t xml:space="preserve">S-0072</t>
  </si>
  <si>
    <t xml:space="preserve">Manila Cardiology Center</t>
  </si>
  <si>
    <t xml:space="preserve">S-0073</t>
  </si>
  <si>
    <t xml:space="preserve">S-0074</t>
  </si>
  <si>
    <t xml:space="preserve">Jaipur Endocrine Care Hospital</t>
  </si>
  <si>
    <t xml:space="preserve">S-0075</t>
  </si>
  <si>
    <t xml:space="preserve">Boston Respiratory Care Center</t>
  </si>
  <si>
    <t xml:space="preserve">S-0076</t>
  </si>
  <si>
    <t xml:space="preserve">Warsaw Endocrine Care Hospital</t>
  </si>
  <si>
    <t xml:space="preserve">S-0077</t>
  </si>
  <si>
    <t xml:space="preserve">S-0078</t>
  </si>
  <si>
    <t xml:space="preserve">Boston Immunology Center</t>
  </si>
  <si>
    <t xml:space="preserve">S-0079</t>
  </si>
  <si>
    <t xml:space="preserve">Cebu Endocrine Care Hospital</t>
  </si>
  <si>
    <t xml:space="preserve">Cebu</t>
  </si>
  <si>
    <t xml:space="preserve">S-0080</t>
  </si>
  <si>
    <t xml:space="preserve">Rio de Janeiro Respiratory Care Center</t>
  </si>
  <si>
    <t xml:space="preserve">S-0081</t>
  </si>
  <si>
    <t xml:space="preserve">Warsaw Pulmonology Institute</t>
  </si>
  <si>
    <t xml:space="preserve">S-0082</t>
  </si>
  <si>
    <t xml:space="preserve">Madurai Global Health Institute</t>
  </si>
  <si>
    <t xml:space="preserve">S-0083</t>
  </si>
  <si>
    <t xml:space="preserve">Boston Memory &amp; Brain Health Center</t>
  </si>
  <si>
    <t xml:space="preserve">S-0084</t>
  </si>
  <si>
    <t xml:space="preserve">S-0085</t>
  </si>
  <si>
    <t xml:space="preserve">Hamburg Global Health Institute</t>
  </si>
  <si>
    <t xml:space="preserve">S-0086</t>
  </si>
  <si>
    <t xml:space="preserve">Munich Cancer Center</t>
  </si>
  <si>
    <t xml:space="preserve">S-0087</t>
  </si>
  <si>
    <t xml:space="preserve">Krakow Immunology Center</t>
  </si>
  <si>
    <t xml:space="preserve">S-0088</t>
  </si>
  <si>
    <t xml:space="preserve">Mombasa Oncology Institute</t>
  </si>
  <si>
    <t xml:space="preserve">S-0089</t>
  </si>
  <si>
    <t xml:space="preserve">Munich Cardiac Care Hospital</t>
  </si>
  <si>
    <t xml:space="preserve">S-0090</t>
  </si>
  <si>
    <t xml:space="preserve">Warsaw Tumor Care Hospital</t>
  </si>
  <si>
    <t xml:space="preserve">S-0091</t>
  </si>
  <si>
    <t xml:space="preserve">Wroclaw Neurology Hospital</t>
  </si>
  <si>
    <t xml:space="preserve">S-0092</t>
  </si>
  <si>
    <t xml:space="preserve">S-0093</t>
  </si>
  <si>
    <t xml:space="preserve">S-0094</t>
  </si>
  <si>
    <t xml:space="preserve">S-0095</t>
  </si>
  <si>
    <t xml:space="preserve">Mombasa Cardiology Center</t>
  </si>
  <si>
    <t xml:space="preserve">S-0096</t>
  </si>
  <si>
    <t xml:space="preserve">S-0097</t>
  </si>
  <si>
    <t xml:space="preserve">Manila Tumor Care Hospital</t>
  </si>
  <si>
    <t xml:space="preserve">S-0098</t>
  </si>
  <si>
    <t xml:space="preserve">Berlin Oncology Institute</t>
  </si>
  <si>
    <t xml:space="preserve">S-0099</t>
  </si>
  <si>
    <t xml:space="preserve">Berlin Lung Health Hospital</t>
  </si>
  <si>
    <t xml:space="preserve">S-0100</t>
  </si>
  <si>
    <t xml:space="preserve">Madurai Respiratory Care Center</t>
  </si>
  <si>
    <t xml:space="preserve">S-0101</t>
  </si>
  <si>
    <t xml:space="preserve">Madurai Memory &amp; Brain Health Center</t>
  </si>
  <si>
    <t xml:space="preserve">S-0102</t>
  </si>
  <si>
    <t xml:space="preserve">Madurai Neuroscience Institute</t>
  </si>
  <si>
    <t xml:space="preserve">S-0103</t>
  </si>
  <si>
    <t xml:space="preserve">Delhi Cancer Center</t>
  </si>
  <si>
    <t xml:space="preserve">S-0104</t>
  </si>
  <si>
    <t xml:space="preserve">Chandigarh Endocrine Care Hospital</t>
  </si>
  <si>
    <t xml:space="preserve">S-0105</t>
  </si>
  <si>
    <t xml:space="preserve">Wroclaw Memory &amp; Brain Health Center</t>
  </si>
  <si>
    <t xml:space="preserve">S-0106</t>
  </si>
  <si>
    <t xml:space="preserve">S-0107</t>
  </si>
  <si>
    <t xml:space="preserve">Chandigarh Respiratory Care Center</t>
  </si>
  <si>
    <t xml:space="preserve">S-0108</t>
  </si>
  <si>
    <t xml:space="preserve">S-0109</t>
  </si>
  <si>
    <t xml:space="preserve">S-0110</t>
  </si>
  <si>
    <t xml:space="preserve">S-0111</t>
  </si>
  <si>
    <t xml:space="preserve">Krakow Lung Health Hospital</t>
  </si>
  <si>
    <t xml:space="preserve">S-0112</t>
  </si>
  <si>
    <t xml:space="preserve">Wroclaw Oncology Institute</t>
  </si>
  <si>
    <t xml:space="preserve">S-0113</t>
  </si>
  <si>
    <t xml:space="preserve">Cebu Immunology Center</t>
  </si>
  <si>
    <t xml:space="preserve">S-0114</t>
  </si>
  <si>
    <t xml:space="preserve">Nairobi Neurology Hospital</t>
  </si>
  <si>
    <t xml:space="preserve">S-0115</t>
  </si>
  <si>
    <t xml:space="preserve">S-0116</t>
  </si>
  <si>
    <t xml:space="preserve">Vellore Pulmonology Institute</t>
  </si>
  <si>
    <t xml:space="preserve">Vellore</t>
  </si>
  <si>
    <t xml:space="preserve">S-0117</t>
  </si>
  <si>
    <t xml:space="preserve">Chandigarh Lung Health Hospital</t>
  </si>
  <si>
    <t xml:space="preserve">S-0118</t>
  </si>
  <si>
    <t xml:space="preserve">S-0119</t>
  </si>
  <si>
    <t xml:space="preserve">Mombasa Tumor Care Hospital</t>
  </si>
  <si>
    <t xml:space="preserve">S-0120</t>
  </si>
  <si>
    <t xml:space="preserve">S-0121</t>
  </si>
  <si>
    <t xml:space="preserve">S-0122</t>
  </si>
  <si>
    <t xml:space="preserve">S-0123</t>
  </si>
  <si>
    <t xml:space="preserve">Boston Neurology Hospital</t>
  </si>
  <si>
    <t xml:space="preserve">S-0124</t>
  </si>
  <si>
    <t xml:space="preserve">Mombasa Diabetes &amp; Endocrine Institute</t>
  </si>
  <si>
    <t xml:space="preserve">S-0125</t>
  </si>
  <si>
    <t xml:space="preserve">S-0126</t>
  </si>
  <si>
    <t xml:space="preserve">Munich Pulmonology Institute</t>
  </si>
  <si>
    <t xml:space="preserve">S-0127</t>
  </si>
  <si>
    <t xml:space="preserve">S-0128</t>
  </si>
  <si>
    <t xml:space="preserve">Sao Paulo Cancer Center</t>
  </si>
  <si>
    <t xml:space="preserve">S-0129</t>
  </si>
  <si>
    <t xml:space="preserve">Cebu Pulmonology Institute</t>
  </si>
  <si>
    <t xml:space="preserve">S-0130</t>
  </si>
  <si>
    <t xml:space="preserve">S-0131</t>
  </si>
  <si>
    <t xml:space="preserve">Sao Paulo Immunology Center</t>
  </si>
  <si>
    <t xml:space="preserve">S-0132</t>
  </si>
  <si>
    <t xml:space="preserve">S-0133</t>
  </si>
  <si>
    <t xml:space="preserve">Hamburg Cardiac Care Hospital</t>
  </si>
  <si>
    <t xml:space="preserve">S-0134</t>
  </si>
  <si>
    <t xml:space="preserve">S-0135</t>
  </si>
  <si>
    <t xml:space="preserve">Rio de Janeiro Heart &amp; Vascular Institute</t>
  </si>
  <si>
    <t xml:space="preserve">S-0136</t>
  </si>
  <si>
    <t xml:space="preserve">Krakow Metabolic Health Center</t>
  </si>
  <si>
    <t xml:space="preserve">S-0137</t>
  </si>
  <si>
    <t xml:space="preserve">S-0138</t>
  </si>
  <si>
    <t xml:space="preserve">Coimbatore Immunology Center</t>
  </si>
  <si>
    <t xml:space="preserve">S-0139</t>
  </si>
  <si>
    <t xml:space="preserve">Nairobi Global Health Institute</t>
  </si>
  <si>
    <t xml:space="preserve">S-0140</t>
  </si>
  <si>
    <t xml:space="preserve">Belo Horizonte Cancer Center</t>
  </si>
  <si>
    <t xml:space="preserve">S-0141</t>
  </si>
  <si>
    <t xml:space="preserve">Munich Immunology Center</t>
  </si>
  <si>
    <t xml:space="preserve">S-0142</t>
  </si>
  <si>
    <t xml:space="preserve">Houston Global Health Institute</t>
  </si>
  <si>
    <t xml:space="preserve">S-0143</t>
  </si>
  <si>
    <t xml:space="preserve">S-0144</t>
  </si>
  <si>
    <t xml:space="preserve">Berlin Respiratory Care Center</t>
  </si>
  <si>
    <t xml:space="preserve">S-0145</t>
  </si>
  <si>
    <t xml:space="preserve">Jaipur Tumor Care Hospital</t>
  </si>
  <si>
    <t xml:space="preserve">S-0146</t>
  </si>
  <si>
    <t xml:space="preserve">Madurai Metabolic Health Center</t>
  </si>
  <si>
    <t xml:space="preserve">S-0147</t>
  </si>
  <si>
    <t xml:space="preserve">Manila Global Health Institute</t>
  </si>
  <si>
    <t xml:space="preserve">S-0148</t>
  </si>
  <si>
    <t xml:space="preserve">Manila Cancer Center</t>
  </si>
  <si>
    <t xml:space="preserve">S-0149</t>
  </si>
  <si>
    <t xml:space="preserve">Krakow Infectious Disease Clinic</t>
  </si>
  <si>
    <t xml:space="preserve">S-0150</t>
  </si>
  <si>
    <t xml:space="preserve">S-0151</t>
  </si>
  <si>
    <t xml:space="preserve">Mombasa Lung Health Hospital</t>
  </si>
  <si>
    <t xml:space="preserve">S-0152</t>
  </si>
  <si>
    <t xml:space="preserve">Houston Cardiac Care Hospital</t>
  </si>
  <si>
    <t xml:space="preserve">S-0153</t>
  </si>
  <si>
    <t xml:space="preserve">S-0154</t>
  </si>
  <si>
    <t xml:space="preserve">Belo Horizonte Cardiac Care Hospital</t>
  </si>
  <si>
    <t xml:space="preserve">S-0155</t>
  </si>
  <si>
    <t xml:space="preserve">Berlin Pulmonology Institute</t>
  </si>
  <si>
    <t xml:space="preserve">S-0156</t>
  </si>
  <si>
    <t xml:space="preserve">Vellore Heart &amp; Vascular Institute</t>
  </si>
  <si>
    <t xml:space="preserve">S-0157</t>
  </si>
  <si>
    <t xml:space="preserve">Wroclaw Tumor Care Hospital</t>
  </si>
  <si>
    <t xml:space="preserve">S-0158</t>
  </si>
  <si>
    <t xml:space="preserve">Davao Endocrine Care Hospital</t>
  </si>
  <si>
    <t xml:space="preserve">S-0159</t>
  </si>
  <si>
    <t xml:space="preserve">S-0160</t>
  </si>
  <si>
    <t xml:space="preserve">S-0161</t>
  </si>
  <si>
    <t xml:space="preserve">S-0162</t>
  </si>
  <si>
    <t xml:space="preserve">Mombasa Pulmonology Institute</t>
  </si>
  <si>
    <t xml:space="preserve">S-0163</t>
  </si>
  <si>
    <t xml:space="preserve">Chandigarh Tumor Care Hospital</t>
  </si>
  <si>
    <t xml:space="preserve">S-0164</t>
  </si>
  <si>
    <t xml:space="preserve">Boston Neuroscience Institute</t>
  </si>
  <si>
    <t xml:space="preserve">S-0165</t>
  </si>
  <si>
    <t xml:space="preserve">S-0166</t>
  </si>
  <si>
    <t xml:space="preserve">S-0167</t>
  </si>
  <si>
    <t xml:space="preserve">Houston Tumor Care Hospital</t>
  </si>
  <si>
    <t xml:space="preserve">S-0168</t>
  </si>
  <si>
    <t xml:space="preserve">S-0169</t>
  </si>
  <si>
    <t xml:space="preserve">S-0170</t>
  </si>
  <si>
    <t xml:space="preserve">Cebu Memory &amp; Brain Health Center</t>
  </si>
  <si>
    <t xml:space="preserve">S-0171</t>
  </si>
  <si>
    <t xml:space="preserve">Cebu Respiratory Care Center</t>
  </si>
  <si>
    <t xml:space="preserve">S-0172</t>
  </si>
  <si>
    <t xml:space="preserve">S-0173</t>
  </si>
  <si>
    <t xml:space="preserve">S-0174</t>
  </si>
  <si>
    <t xml:space="preserve">S-0175</t>
  </si>
  <si>
    <t xml:space="preserve">Nairobi Respiratory Care Center</t>
  </si>
  <si>
    <t xml:space="preserve">S-0176</t>
  </si>
  <si>
    <t xml:space="preserve">Madurai Cancer Center</t>
  </si>
  <si>
    <t xml:space="preserve">S-0177</t>
  </si>
  <si>
    <t xml:space="preserve">S-0178</t>
  </si>
  <si>
    <t xml:space="preserve">S-0179</t>
  </si>
  <si>
    <t xml:space="preserve">Manila Respiratory Care Center</t>
  </si>
  <si>
    <t xml:space="preserve">S-0180</t>
  </si>
  <si>
    <t xml:space="preserve">Wroclaw Heart &amp; Vascular Institute</t>
  </si>
  <si>
    <t xml:space="preserve">S-0181</t>
  </si>
  <si>
    <t xml:space="preserve">Davao Neurology Hospital</t>
  </si>
  <si>
    <t xml:space="preserve">S-0182</t>
  </si>
  <si>
    <t xml:space="preserve">Mombasa Cardiac Care Hospital</t>
  </si>
  <si>
    <t xml:space="preserve">S-0183</t>
  </si>
  <si>
    <t xml:space="preserve">Wroclaw Endocrine Care Hospital</t>
  </si>
  <si>
    <t xml:space="preserve">S-0184</t>
  </si>
  <si>
    <t xml:space="preserve">Chennai Memory &amp; Brain Health Center</t>
  </si>
  <si>
    <t xml:space="preserve">S-0185</t>
  </si>
  <si>
    <t xml:space="preserve">S-0186</t>
  </si>
  <si>
    <t xml:space="preserve">Chandigarh Cardiac Care Hospital</t>
  </si>
  <si>
    <t xml:space="preserve">S-0187</t>
  </si>
  <si>
    <t xml:space="preserve">S-0188</t>
  </si>
  <si>
    <t xml:space="preserve">Sao Paulo Respiratory Care Center</t>
  </si>
  <si>
    <t xml:space="preserve">S-0189</t>
  </si>
  <si>
    <t xml:space="preserve">S-0190</t>
  </si>
  <si>
    <t xml:space="preserve">S-0191</t>
  </si>
  <si>
    <t xml:space="preserve">Houston Cardiology Center</t>
  </si>
  <si>
    <t xml:space="preserve">S-0192</t>
  </si>
  <si>
    <t xml:space="preserve">Nairobi Diabetes &amp; Endocrine Institute</t>
  </si>
  <si>
    <t xml:space="preserve">S-0193</t>
  </si>
  <si>
    <t xml:space="preserve">Boston Infectious Disease Clinic</t>
  </si>
  <si>
    <t xml:space="preserve">S-0194</t>
  </si>
  <si>
    <t xml:space="preserve">Houston Metabolic Health Center</t>
  </si>
  <si>
    <t xml:space="preserve">S-0195</t>
  </si>
  <si>
    <t xml:space="preserve">S-0196</t>
  </si>
  <si>
    <t xml:space="preserve">S-0197</t>
  </si>
  <si>
    <t xml:space="preserve">S-0198</t>
  </si>
  <si>
    <t xml:space="preserve">S-0199</t>
  </si>
  <si>
    <t xml:space="preserve">S-0200</t>
  </si>
  <si>
    <t xml:space="preserve">Munich Heart &amp; Vascular Institute</t>
  </si>
  <si>
    <t xml:space="preserve">S-0201</t>
  </si>
  <si>
    <t xml:space="preserve">Busan Lung Health Hospital</t>
  </si>
  <si>
    <t xml:space="preserve">Busan</t>
  </si>
  <si>
    <t xml:space="preserve">S-0202</t>
  </si>
  <si>
    <t xml:space="preserve">Karachi Global Health Institute</t>
  </si>
  <si>
    <t xml:space="preserve">Karachi</t>
  </si>
  <si>
    <t xml:space="preserve">S-0203</t>
  </si>
  <si>
    <t xml:space="preserve">Bogota Neurology Hospital</t>
  </si>
  <si>
    <t xml:space="preserve">Bogota</t>
  </si>
  <si>
    <t xml:space="preserve">S-0204</t>
  </si>
  <si>
    <t xml:space="preserve">Surabaya Global Health Institute</t>
  </si>
  <si>
    <t xml:space="preserve">Surabaya</t>
  </si>
  <si>
    <t xml:space="preserve">S-0205</t>
  </si>
  <si>
    <t xml:space="preserve">Guadalajara Oncology Institute</t>
  </si>
  <si>
    <t xml:space="preserve">Guadalajara</t>
  </si>
  <si>
    <t xml:space="preserve">S-0206</t>
  </si>
  <si>
    <t xml:space="preserve">Melbourne Cardiology Center</t>
  </si>
  <si>
    <t xml:space="preserve">Melbourne</t>
  </si>
  <si>
    <t xml:space="preserve">S-0207</t>
  </si>
  <si>
    <t xml:space="preserve">Manchester Heart &amp; Vascular Institute</t>
  </si>
  <si>
    <t xml:space="preserve">Manchester</t>
  </si>
  <si>
    <t xml:space="preserve">S-0208</t>
  </si>
  <si>
    <t xml:space="preserve">Abuja Heart &amp; Vascular Institute</t>
  </si>
  <si>
    <t xml:space="preserve">Abuja</t>
  </si>
  <si>
    <t xml:space="preserve">S-0209</t>
  </si>
  <si>
    <t xml:space="preserve">Sydney Cardiology Center</t>
  </si>
  <si>
    <t xml:space="preserve">Sydney</t>
  </si>
  <si>
    <t xml:space="preserve">S-0210</t>
  </si>
  <si>
    <t xml:space="preserve">Sao Paulo Global Health Institute</t>
  </si>
  <si>
    <t xml:space="preserve">S-0211</t>
  </si>
  <si>
    <t xml:space="preserve">Berlin Immunology Center</t>
  </si>
  <si>
    <t xml:space="preserve">S-0212</t>
  </si>
  <si>
    <t xml:space="preserve">S-0213</t>
  </si>
  <si>
    <t xml:space="preserve">Medellin Endocrine Care Hospital</t>
  </si>
  <si>
    <t xml:space="preserve">Medellin</t>
  </si>
  <si>
    <t xml:space="preserve">S-0214</t>
  </si>
  <si>
    <t xml:space="preserve">Dhaka Neurology Hospital</t>
  </si>
  <si>
    <t xml:space="preserve">Dhaka</t>
  </si>
  <si>
    <t xml:space="preserve">S-0215</t>
  </si>
  <si>
    <t xml:space="preserve">Rio de Janeiro Cardiology Center</t>
  </si>
  <si>
    <t xml:space="preserve">S-0216</t>
  </si>
  <si>
    <t xml:space="preserve">Davao Infectious Disease Clinic</t>
  </si>
  <si>
    <t xml:space="preserve">S-0217</t>
  </si>
  <si>
    <t xml:space="preserve">S-0218</t>
  </si>
  <si>
    <t xml:space="preserve">Abuja Tumor Care Hospital</t>
  </si>
  <si>
    <t xml:space="preserve">S-0219</t>
  </si>
  <si>
    <t xml:space="preserve">Madurai Immunology Center</t>
  </si>
  <si>
    <t xml:space="preserve">S-0220</t>
  </si>
  <si>
    <t xml:space="preserve">Medellin Neurology Hospital</t>
  </si>
  <si>
    <t xml:space="preserve">S-0221</t>
  </si>
  <si>
    <t xml:space="preserve">Hamburg Memory &amp; Brain Health Center</t>
  </si>
  <si>
    <t xml:space="preserve">S-0222</t>
  </si>
  <si>
    <t xml:space="preserve">Bogota Pulmonology Institute</t>
  </si>
  <si>
    <t xml:space="preserve">S-0223</t>
  </si>
  <si>
    <t xml:space="preserve">Madurai Cardiac Care Hospital</t>
  </si>
  <si>
    <t xml:space="preserve">S-0224</t>
  </si>
  <si>
    <t xml:space="preserve">Ho Chi Minh City Neurology Hospital</t>
  </si>
  <si>
    <t xml:space="preserve">Ho Chi Minh City</t>
  </si>
  <si>
    <t xml:space="preserve">S-0225</t>
  </si>
  <si>
    <t xml:space="preserve">Jakarta Cancer Center</t>
  </si>
  <si>
    <t xml:space="preserve">Jakarta</t>
  </si>
  <si>
    <t xml:space="preserve">S-0226</t>
  </si>
  <si>
    <t xml:space="preserve">Nairobi Cardiology Center</t>
  </si>
  <si>
    <t xml:space="preserve">S-0227</t>
  </si>
  <si>
    <t xml:space="preserve">Guadalajara Cardiac Care Hospital</t>
  </si>
  <si>
    <t xml:space="preserve">S-0228</t>
  </si>
  <si>
    <t xml:space="preserve">Ho Chi Minh City Respiratory Care Center</t>
  </si>
  <si>
    <t xml:space="preserve">S-0229</t>
  </si>
  <si>
    <t xml:space="preserve">Abu Dhabi Oncology Institute</t>
  </si>
  <si>
    <t xml:space="preserve">Abu Dhabi</t>
  </si>
  <si>
    <t xml:space="preserve">S-0230</t>
  </si>
  <si>
    <t xml:space="preserve">Melbourne Respiratory Care Center</t>
  </si>
  <si>
    <t xml:space="preserve">S-0231</t>
  </si>
  <si>
    <t xml:space="preserve">S-0232</t>
  </si>
  <si>
    <t xml:space="preserve">Busan Neurology Hospital</t>
  </si>
  <si>
    <t xml:space="preserve">S-0233</t>
  </si>
  <si>
    <t xml:space="preserve">Dhaka Tumor Care Hospital</t>
  </si>
  <si>
    <t xml:space="preserve">S-0234</t>
  </si>
  <si>
    <t xml:space="preserve">S-0235</t>
  </si>
  <si>
    <t xml:space="preserve">Tokyo Endocrine Care Hospital</t>
  </si>
  <si>
    <t xml:space="preserve">Tokyo</t>
  </si>
  <si>
    <t xml:space="preserve">S-0236</t>
  </si>
  <si>
    <t xml:space="preserve">Dhaka Oncology Institute</t>
  </si>
  <si>
    <t xml:space="preserve">S-0237</t>
  </si>
  <si>
    <t xml:space="preserve">Jakarta Lung Health Hospital</t>
  </si>
  <si>
    <t xml:space="preserve">S-0238</t>
  </si>
  <si>
    <t xml:space="preserve">Lahore Metabolic Health Center</t>
  </si>
  <si>
    <t xml:space="preserve">Lahore</t>
  </si>
  <si>
    <t xml:space="preserve">S-0239</t>
  </si>
  <si>
    <t xml:space="preserve">Dubai Global Health Institute</t>
  </si>
  <si>
    <t xml:space="preserve">Dubai</t>
  </si>
  <si>
    <t xml:space="preserve">S-0240</t>
  </si>
  <si>
    <t xml:space="preserve">Abuja Endocrine Care Hospital</t>
  </si>
  <si>
    <t xml:space="preserve">S-0241</t>
  </si>
  <si>
    <t xml:space="preserve">Jaipur Cardiac Care Hospital</t>
  </si>
  <si>
    <t xml:space="preserve">S-0242</t>
  </si>
  <si>
    <t xml:space="preserve">Delhi Neuroscience Institute</t>
  </si>
  <si>
    <t xml:space="preserve">S-0243</t>
  </si>
  <si>
    <t xml:space="preserve">S-0244</t>
  </si>
  <si>
    <t xml:space="preserve">Abuja Memory &amp; Brain Health Center</t>
  </si>
  <si>
    <t xml:space="preserve">S-0245</t>
  </si>
  <si>
    <t xml:space="preserve">Jakarta Pulmonology Institute</t>
  </si>
  <si>
    <t xml:space="preserve">S-0246</t>
  </si>
  <si>
    <t xml:space="preserve">Chittagong Infectious Disease Clinic</t>
  </si>
  <si>
    <t xml:space="preserve">Chittagong</t>
  </si>
  <si>
    <t xml:space="preserve">S-0247</t>
  </si>
  <si>
    <t xml:space="preserve">Madurai Neurology Hospital</t>
  </si>
  <si>
    <t xml:space="preserve">S-0248</t>
  </si>
  <si>
    <t xml:space="preserve">Lagos Oncology Institute</t>
  </si>
  <si>
    <t xml:space="preserve">Lagos</t>
  </si>
  <si>
    <t xml:space="preserve">S-0249</t>
  </si>
  <si>
    <t xml:space="preserve">Belo Horizonte Diabetes &amp; Endocrine Institute</t>
  </si>
  <si>
    <t xml:space="preserve">S-0250</t>
  </si>
  <si>
    <t xml:space="preserve">Coimbatore Cancer Center</t>
  </si>
  <si>
    <t xml:space="preserve">S-0251</t>
  </si>
  <si>
    <t xml:space="preserve">Dubai Tumor Care Hospital</t>
  </si>
  <si>
    <t xml:space="preserve">S-0252</t>
  </si>
  <si>
    <t xml:space="preserve">S-0253</t>
  </si>
  <si>
    <t xml:space="preserve">Mombasa Immunology Center</t>
  </si>
  <si>
    <t xml:space="preserve">S-0254</t>
  </si>
  <si>
    <t xml:space="preserve">Hamburg Infectious Disease Clinic</t>
  </si>
  <si>
    <t xml:space="preserve">S-0255</t>
  </si>
  <si>
    <t xml:space="preserve">S-0256</t>
  </si>
  <si>
    <t xml:space="preserve">Lucknow Lung Health Hospital</t>
  </si>
  <si>
    <t xml:space="preserve">S-0257</t>
  </si>
  <si>
    <t xml:space="preserve">Medellin Neuroscience Institute</t>
  </si>
  <si>
    <t xml:space="preserve">S-0258</t>
  </si>
  <si>
    <t xml:space="preserve">Chittagong Cancer Center</t>
  </si>
  <si>
    <t xml:space="preserve">S-0259</t>
  </si>
  <si>
    <t xml:space="preserve">S-0260</t>
  </si>
  <si>
    <t xml:space="preserve">Dhaka Neuroscience Institute</t>
  </si>
  <si>
    <t xml:space="preserve">S-0261</t>
  </si>
  <si>
    <t xml:space="preserve">Hanoi Memory &amp; Brain Health Center</t>
  </si>
  <si>
    <t xml:space="preserve">Hanoi</t>
  </si>
  <si>
    <t xml:space="preserve">S-0262</t>
  </si>
  <si>
    <t xml:space="preserve">S-0263</t>
  </si>
  <si>
    <t xml:space="preserve">Manila Immunology Center</t>
  </si>
  <si>
    <t xml:space="preserve">S-0264</t>
  </si>
  <si>
    <t xml:space="preserve">S-0265</t>
  </si>
  <si>
    <t xml:space="preserve">London Pulmonology Institute</t>
  </si>
  <si>
    <t xml:space="preserve">London</t>
  </si>
  <si>
    <t xml:space="preserve">S-0266</t>
  </si>
  <si>
    <t xml:space="preserve">Sydney Neuroscience Institute</t>
  </si>
  <si>
    <t xml:space="preserve">S-0267</t>
  </si>
  <si>
    <t xml:space="preserve">Porto Alegre Neurology Hospital</t>
  </si>
  <si>
    <t xml:space="preserve">Porto Alegre</t>
  </si>
  <si>
    <t xml:space="preserve">S-0268</t>
  </si>
  <si>
    <t xml:space="preserve">Alexandria Neuroscience Institute</t>
  </si>
  <si>
    <t xml:space="preserve">Alexandria</t>
  </si>
  <si>
    <t xml:space="preserve">S-0269</t>
  </si>
  <si>
    <t xml:space="preserve">Bogota Cardiology Center</t>
  </si>
  <si>
    <t xml:space="preserve">S-0270</t>
  </si>
  <si>
    <t xml:space="preserve">Nairobi Metabolic Health Center</t>
  </si>
  <si>
    <t xml:space="preserve">S-0271</t>
  </si>
  <si>
    <t xml:space="preserve">Osaka Heart &amp; Vascular Institute</t>
  </si>
  <si>
    <t xml:space="preserve">Osaka</t>
  </si>
  <si>
    <t xml:space="preserve">S-0272</t>
  </si>
  <si>
    <t xml:space="preserve">Lagos Neurology Hospital</t>
  </si>
  <si>
    <t xml:space="preserve">S-0273</t>
  </si>
  <si>
    <t xml:space="preserve">Ankara Neuroscience Institute</t>
  </si>
  <si>
    <t xml:space="preserve">Ankara</t>
  </si>
  <si>
    <t xml:space="preserve">S-0274</t>
  </si>
  <si>
    <t xml:space="preserve">Manchester Tumor Care Hospital</t>
  </si>
  <si>
    <t xml:space="preserve">S-0275</t>
  </si>
  <si>
    <t xml:space="preserve">Davao Diabetes &amp; Endocrine Institute</t>
  </si>
  <si>
    <t xml:space="preserve">S-0276</t>
  </si>
  <si>
    <t xml:space="preserve">Hanoi Endocrine Care Hospital</t>
  </si>
  <si>
    <t xml:space="preserve">S-0277</t>
  </si>
  <si>
    <t xml:space="preserve">Lahore Heart &amp; Vascular Institute</t>
  </si>
  <si>
    <t xml:space="preserve">S-0278</t>
  </si>
  <si>
    <t xml:space="preserve">Busan Pulmonology Institute</t>
  </si>
  <si>
    <t xml:space="preserve">S-0279</t>
  </si>
  <si>
    <t xml:space="preserve">Chittagong Diabetes &amp; Endocrine Institute</t>
  </si>
  <si>
    <t xml:space="preserve">S-0280</t>
  </si>
  <si>
    <t xml:space="preserve">Chittagong Endocrine Care Hospital</t>
  </si>
  <si>
    <t xml:space="preserve">S-0281</t>
  </si>
  <si>
    <t xml:space="preserve">Boston Endocrine Care Hospital</t>
  </si>
  <si>
    <t xml:space="preserve">S-0282</t>
  </si>
  <si>
    <t xml:space="preserve">Busan Cardiology Center</t>
  </si>
  <si>
    <t xml:space="preserve">S-0283</t>
  </si>
  <si>
    <t xml:space="preserve">Abuja Infectious Disease Clinic</t>
  </si>
  <si>
    <t xml:space="preserve">S-0284</t>
  </si>
  <si>
    <t xml:space="preserve">Davao Respiratory Care Center</t>
  </si>
  <si>
    <t xml:space="preserve">S-0285</t>
  </si>
  <si>
    <t xml:space="preserve">S-0286</t>
  </si>
  <si>
    <t xml:space="preserve">Cebu Neurology Hospital</t>
  </si>
  <si>
    <t xml:space="preserve">S-0287</t>
  </si>
  <si>
    <t xml:space="preserve">Wroclaw Diabetes &amp; Endocrine Institute</t>
  </si>
  <si>
    <t xml:space="preserve">S-0288</t>
  </si>
  <si>
    <t xml:space="preserve">Melbourne Heart &amp; Vascular Institute</t>
  </si>
  <si>
    <t xml:space="preserve">S-0289</t>
  </si>
  <si>
    <t xml:space="preserve">Mexico City Oncology Institute</t>
  </si>
  <si>
    <t xml:space="preserve">Mexico City</t>
  </si>
  <si>
    <t xml:space="preserve">S-0290</t>
  </si>
  <si>
    <t xml:space="preserve">Tokyo Pulmonology Institute</t>
  </si>
  <si>
    <t xml:space="preserve">S-0291</t>
  </si>
  <si>
    <t xml:space="preserve">Tokyo Global Health Institute</t>
  </si>
  <si>
    <t xml:space="preserve">S-0292</t>
  </si>
  <si>
    <t xml:space="preserve">London Lung Health Hospital</t>
  </si>
  <si>
    <t xml:space="preserve">S-0293</t>
  </si>
  <si>
    <t xml:space="preserve">Cairo Metabolic Health Center</t>
  </si>
  <si>
    <t xml:space="preserve">Cairo</t>
  </si>
  <si>
    <t xml:space="preserve">S-0294</t>
  </si>
  <si>
    <t xml:space="preserve">Medellin Heart &amp; Vascular Institute</t>
  </si>
  <si>
    <t xml:space="preserve">S-0295</t>
  </si>
  <si>
    <t xml:space="preserve">S-0296</t>
  </si>
  <si>
    <t xml:space="preserve">Johannesburg Lung Health Hospital</t>
  </si>
  <si>
    <t xml:space="preserve">Johannesburg</t>
  </si>
  <si>
    <t xml:space="preserve">S-0297</t>
  </si>
  <si>
    <t xml:space="preserve">Busan Tumor Care Hospital</t>
  </si>
  <si>
    <t xml:space="preserve">S-0298</t>
  </si>
  <si>
    <t xml:space="preserve">S-0299</t>
  </si>
  <si>
    <t xml:space="preserve">Medellin Diabetes &amp; Endocrine Institute</t>
  </si>
  <si>
    <t xml:space="preserve">S-0300</t>
  </si>
  <si>
    <t xml:space="preserve">Abu Dhabi Heart &amp; Vascular Institute</t>
  </si>
  <si>
    <t xml:space="preserve">S-0301</t>
  </si>
  <si>
    <t xml:space="preserve">Dubai Diabetes &amp; Endocrine Institute</t>
  </si>
  <si>
    <t xml:space="preserve">S-0302</t>
  </si>
  <si>
    <t xml:space="preserve">Chittagong Skin Health Institute</t>
  </si>
  <si>
    <t xml:space="preserve">Dermatology</t>
  </si>
  <si>
    <t xml:space="preserve">S-0303</t>
  </si>
  <si>
    <t xml:space="preserve">Islamabad Dermatology Clinic</t>
  </si>
  <si>
    <t xml:space="preserve">Islamabad</t>
  </si>
  <si>
    <t xml:space="preserve">S-0304</t>
  </si>
  <si>
    <t xml:space="preserve">Lagos Renal Care Institute</t>
  </si>
  <si>
    <t xml:space="preserve">Nephrology</t>
  </si>
  <si>
    <t xml:space="preserve">S-0305</t>
  </si>
  <si>
    <t xml:space="preserve">Chandigarh Digestive Health Center</t>
  </si>
  <si>
    <t xml:space="preserve">Gastroenterology</t>
  </si>
  <si>
    <t xml:space="preserve">S-0306</t>
  </si>
  <si>
    <t xml:space="preserve">Lucknow Oncology Institute</t>
  </si>
  <si>
    <t xml:space="preserve">S-0307</t>
  </si>
  <si>
    <t xml:space="preserve">Johannesburg Dermatology Clinic</t>
  </si>
  <si>
    <t xml:space="preserve">S-0308</t>
  </si>
  <si>
    <t xml:space="preserve">Munich Gastroenterology Institute</t>
  </si>
  <si>
    <t xml:space="preserve">S-0309</t>
  </si>
  <si>
    <t xml:space="preserve">Lagos Arthritis &amp; Joint Institute</t>
  </si>
  <si>
    <t xml:space="preserve">Rheumatology</t>
  </si>
  <si>
    <t xml:space="preserve">S-0310</t>
  </si>
  <si>
    <t xml:space="preserve">Amman Hepatology &amp; Liver Center</t>
  </si>
  <si>
    <t xml:space="preserve">Amman</t>
  </si>
  <si>
    <t xml:space="preserve">Hepatology</t>
  </si>
  <si>
    <t xml:space="preserve">S-0311</t>
  </si>
  <si>
    <t xml:space="preserve">Tokyo Skin Health Institute</t>
  </si>
  <si>
    <t xml:space="preserve">S-0312</t>
  </si>
  <si>
    <t xml:space="preserve">Bandung Rheumatology Center</t>
  </si>
  <si>
    <t xml:space="preserve">Bandung</t>
  </si>
  <si>
    <t xml:space="preserve">S-0313</t>
  </si>
  <si>
    <t xml:space="preserve">Ho Chi Minh City Diabetes &amp; Endocrine Institute</t>
  </si>
  <si>
    <t xml:space="preserve">S-0314</t>
  </si>
  <si>
    <t xml:space="preserve">Porto Alegre Skin Health Institute</t>
  </si>
  <si>
    <t xml:space="preserve">S-0315</t>
  </si>
  <si>
    <t xml:space="preserve">Lahore Cardiology Center</t>
  </si>
  <si>
    <t xml:space="preserve">S-0316</t>
  </si>
  <si>
    <t xml:space="preserve">Hamburg Behavioral Health Center</t>
  </si>
  <si>
    <t xml:space="preserve">Psychiatry</t>
  </si>
  <si>
    <t xml:space="preserve">S-0317</t>
  </si>
  <si>
    <t xml:space="preserve">Coimbatore Respiratory Care Center</t>
  </si>
  <si>
    <t xml:space="preserve">S-0318</t>
  </si>
  <si>
    <t xml:space="preserve">Munich Respiratory Care Center</t>
  </si>
  <si>
    <t xml:space="preserve">S-0319</t>
  </si>
  <si>
    <t xml:space="preserve">Melbourne Metabolic Health Center</t>
  </si>
  <si>
    <t xml:space="preserve">S-0320</t>
  </si>
  <si>
    <t xml:space="preserve">Houston Gastroenterology Institute</t>
  </si>
  <si>
    <t xml:space="preserve">S-0321</t>
  </si>
  <si>
    <t xml:space="preserve">Nairobi Hepatology &amp; Liver Center</t>
  </si>
  <si>
    <t xml:space="preserve">S-0322</t>
  </si>
  <si>
    <t xml:space="preserve">Hanoi Pulmonology Institute</t>
  </si>
  <si>
    <t xml:space="preserve">S-0323</t>
  </si>
  <si>
    <t xml:space="preserve">Rio de Janeiro Liver Disease Institute</t>
  </si>
  <si>
    <t xml:space="preserve">S-0324</t>
  </si>
  <si>
    <t xml:space="preserve">Porto Alegre Renal Care Institute</t>
  </si>
  <si>
    <t xml:space="preserve">S-0325</t>
  </si>
  <si>
    <t xml:space="preserve">Abu Dhabi Cancer Center</t>
  </si>
  <si>
    <t xml:space="preserve">S-0326</t>
  </si>
  <si>
    <t xml:space="preserve">Hanoi Respiratory Care Center</t>
  </si>
  <si>
    <t xml:space="preserve">S-0327</t>
  </si>
  <si>
    <t xml:space="preserve">Dhaka Respiratory Care Center</t>
  </si>
  <si>
    <t xml:space="preserve">S-0328</t>
  </si>
  <si>
    <t xml:space="preserve">Birmingham Cancer Center</t>
  </si>
  <si>
    <t xml:space="preserve">Birmingham</t>
  </si>
  <si>
    <t xml:space="preserve">S-0329</t>
  </si>
  <si>
    <t xml:space="preserve">Amman Diabetes &amp; Endocrine Institute</t>
  </si>
  <si>
    <t xml:space="preserve">S-0330</t>
  </si>
  <si>
    <t xml:space="preserve">Surabaya Rheumatology Center</t>
  </si>
  <si>
    <t xml:space="preserve">S-0331</t>
  </si>
  <si>
    <t xml:space="preserve">Sao Paulo Hepatology &amp; Liver Center</t>
  </si>
  <si>
    <t xml:space="preserve">S-0332</t>
  </si>
  <si>
    <t xml:space="preserve">Chicago Infectious Disease Institute</t>
  </si>
  <si>
    <t xml:space="preserve">S-0333</t>
  </si>
  <si>
    <t xml:space="preserve">Sydney Nephrology &amp; Kidney Center</t>
  </si>
  <si>
    <t xml:space="preserve">S-0334</t>
  </si>
  <si>
    <t xml:space="preserve">Hanoi Arthritis &amp; Joint Institute</t>
  </si>
  <si>
    <t xml:space="preserve">S-0335</t>
  </si>
  <si>
    <t xml:space="preserve">Vellore Infectious Disease Clinic</t>
  </si>
  <si>
    <t xml:space="preserve">S-0336</t>
  </si>
  <si>
    <t xml:space="preserve">Amman Heart &amp; Vascular Institute</t>
  </si>
  <si>
    <t xml:space="preserve">S-0337</t>
  </si>
  <si>
    <t xml:space="preserve">Sao Paulo Skin Health Institute</t>
  </si>
  <si>
    <t xml:space="preserve">S-0338</t>
  </si>
  <si>
    <t xml:space="preserve">Johannesburg Oncology Institute</t>
  </si>
  <si>
    <t xml:space="preserve">S-0339</t>
  </si>
  <si>
    <t xml:space="preserve">Puebla Nephrology &amp; Kidney Center</t>
  </si>
  <si>
    <t xml:space="preserve">Puebla</t>
  </si>
  <si>
    <t xml:space="preserve">S-0340</t>
  </si>
  <si>
    <t xml:space="preserve">Mombasa Cancer Center</t>
  </si>
  <si>
    <t xml:space="preserve">S-0341</t>
  </si>
  <si>
    <t xml:space="preserve">Busan Memory &amp; Brain Health Center</t>
  </si>
  <si>
    <t xml:space="preserve">S-0342</t>
  </si>
  <si>
    <t xml:space="preserve">Accra Liver Disease Institute</t>
  </si>
  <si>
    <t xml:space="preserve">Accra</t>
  </si>
  <si>
    <t xml:space="preserve">S-0343</t>
  </si>
  <si>
    <t xml:space="preserve">Doha Heart &amp; Vascular Institute</t>
  </si>
  <si>
    <t xml:space="preserve">S-0344</t>
  </si>
  <si>
    <t xml:space="preserve">Chandigarh Oncology Institute</t>
  </si>
  <si>
    <t xml:space="preserve">S-0345</t>
  </si>
  <si>
    <t xml:space="preserve">London Infectious Disease Institute</t>
  </si>
  <si>
    <t xml:space="preserve">S-0346</t>
  </si>
  <si>
    <t xml:space="preserve">Nairobi Gastroenterology Institute</t>
  </si>
  <si>
    <t xml:space="preserve">S-0347</t>
  </si>
  <si>
    <t xml:space="preserve">Jaipur Liver Disease Institute</t>
  </si>
  <si>
    <t xml:space="preserve">S-0348</t>
  </si>
  <si>
    <t xml:space="preserve">Mombasa Liver Disease Institute</t>
  </si>
  <si>
    <t xml:space="preserve">S-0349</t>
  </si>
  <si>
    <t xml:space="preserve">Nairobi Arthritis &amp; Joint Institute</t>
  </si>
  <si>
    <t xml:space="preserve">S-0350</t>
  </si>
  <si>
    <t xml:space="preserve">Cebu Dermatology Clinic</t>
  </si>
  <si>
    <t xml:space="preserve">S-0351</t>
  </si>
  <si>
    <t xml:space="preserve">Coimbatore Metabolic Health Center</t>
  </si>
  <si>
    <t xml:space="preserve">S-0352</t>
  </si>
  <si>
    <t xml:space="preserve">Dubai Oncology Institute</t>
  </si>
  <si>
    <t xml:space="preserve">S-0353</t>
  </si>
  <si>
    <t xml:space="preserve">Johannesburg Skin Health Institute</t>
  </si>
  <si>
    <t xml:space="preserve">S-0354</t>
  </si>
  <si>
    <t xml:space="preserve">Mexico City Metabolic Health Center</t>
  </si>
  <si>
    <t xml:space="preserve">S-0355</t>
  </si>
  <si>
    <t xml:space="preserve">Sao Paulo Nephrology &amp; Kidney Center</t>
  </si>
  <si>
    <t xml:space="preserve">S-0356</t>
  </si>
  <si>
    <t xml:space="preserve">Lagos Liver Disease Institute</t>
  </si>
  <si>
    <t xml:space="preserve">S-0357</t>
  </si>
  <si>
    <t xml:space="preserve">Alexandria Liver Disease Institute</t>
  </si>
  <si>
    <t xml:space="preserve">S-0358</t>
  </si>
  <si>
    <t xml:space="preserve">Birmingham Infectious Disease Clinic</t>
  </si>
  <si>
    <t xml:space="preserve">S-0359</t>
  </si>
  <si>
    <t xml:space="preserve">Hamburg Neuroscience Institute</t>
  </si>
  <si>
    <t xml:space="preserve">S-0360</t>
  </si>
  <si>
    <t xml:space="preserve">Bogota Nephrology &amp; Kidney Center</t>
  </si>
  <si>
    <t xml:space="preserve">S-0361</t>
  </si>
  <si>
    <t xml:space="preserve">Bandung Nephrology &amp; Kidney Center</t>
  </si>
  <si>
    <t xml:space="preserve">S-0362</t>
  </si>
  <si>
    <t xml:space="preserve">Seoul Gastroenterology Institute</t>
  </si>
  <si>
    <t xml:space="preserve">Seoul</t>
  </si>
  <si>
    <t xml:space="preserve">S-0363</t>
  </si>
  <si>
    <t xml:space="preserve">Dhaka Gastroenterology Institute</t>
  </si>
  <si>
    <t xml:space="preserve">S-0364</t>
  </si>
  <si>
    <t xml:space="preserve">Chicago Rheumatology Center</t>
  </si>
  <si>
    <t xml:space="preserve">S-0365</t>
  </si>
  <si>
    <t xml:space="preserve">Cape Town Skin Health Institute</t>
  </si>
  <si>
    <t xml:space="preserve">S-0366</t>
  </si>
  <si>
    <t xml:space="preserve">Krakow Skin Health Institute</t>
  </si>
  <si>
    <t xml:space="preserve">S-0367</t>
  </si>
  <si>
    <t xml:space="preserve">Busan Metabolic Health Center</t>
  </si>
  <si>
    <t xml:space="preserve">S-0368</t>
  </si>
  <si>
    <t xml:space="preserve">Jaipur Neuroscience Institute</t>
  </si>
  <si>
    <t xml:space="preserve">S-0369</t>
  </si>
  <si>
    <t xml:space="preserve">Curitiba Gastroenterology Institute</t>
  </si>
  <si>
    <t xml:space="preserve">Curitiba</t>
  </si>
  <si>
    <t xml:space="preserve">S-0370</t>
  </si>
  <si>
    <t xml:space="preserve">Porto Alegre Digestive Health Center</t>
  </si>
  <si>
    <t xml:space="preserve">S-0371</t>
  </si>
  <si>
    <t xml:space="preserve">Amman Rheumatology Center</t>
  </si>
  <si>
    <t xml:space="preserve">S-0372</t>
  </si>
  <si>
    <t xml:space="preserve">Porto Alegre Behavioral Health Center</t>
  </si>
  <si>
    <t xml:space="preserve">S-0373</t>
  </si>
  <si>
    <t xml:space="preserve">Krakow Dermatology Clinic</t>
  </si>
  <si>
    <t xml:space="preserve">S-0374</t>
  </si>
  <si>
    <t xml:space="preserve">Osaka Dermatology Clinic</t>
  </si>
  <si>
    <t xml:space="preserve">S-0375</t>
  </si>
  <si>
    <t xml:space="preserve">Mexico City Arthritis &amp; Joint Institute</t>
  </si>
  <si>
    <t xml:space="preserve">S-0376</t>
  </si>
  <si>
    <t xml:space="preserve">Islamabad Rheumatology Center</t>
  </si>
  <si>
    <t xml:space="preserve">S-0377</t>
  </si>
  <si>
    <t xml:space="preserve">Wroclaw Metabolic Health Center</t>
  </si>
  <si>
    <t xml:space="preserve">S-0378</t>
  </si>
  <si>
    <t xml:space="preserve">Nairobi Oncology Institute #378</t>
  </si>
  <si>
    <t xml:space="preserve">S-0379</t>
  </si>
  <si>
    <t xml:space="preserve">Busan Gastroenterology Institute</t>
  </si>
  <si>
    <t xml:space="preserve">S-0380</t>
  </si>
  <si>
    <t xml:space="preserve">Bogota Heart &amp; Vascular Institute</t>
  </si>
  <si>
    <t xml:space="preserve">S-0381</t>
  </si>
  <si>
    <t xml:space="preserve">Warsaw Heart &amp; Vascular Institute</t>
  </si>
  <si>
    <t xml:space="preserve">S-0382</t>
  </si>
  <si>
    <t xml:space="preserve">Cape Town Diabetes &amp; Endocrine Institute</t>
  </si>
  <si>
    <t xml:space="preserve">Cape Town</t>
  </si>
  <si>
    <t xml:space="preserve">S-0383</t>
  </si>
  <si>
    <t xml:space="preserve">Jakarta Rheumatology Center</t>
  </si>
  <si>
    <t xml:space="preserve">S-0384</t>
  </si>
  <si>
    <t xml:space="preserve">Chicago Metabolic Health Center</t>
  </si>
  <si>
    <t xml:space="preserve">S-0385</t>
  </si>
  <si>
    <t xml:space="preserve">Munich Memory &amp; Brain Health Center</t>
  </si>
  <si>
    <t xml:space="preserve">S-0386</t>
  </si>
  <si>
    <t xml:space="preserve">Doha Behavioral Health Center</t>
  </si>
  <si>
    <t xml:space="preserve">Doha</t>
  </si>
  <si>
    <t xml:space="preserve">S-0387</t>
  </si>
  <si>
    <t xml:space="preserve">Lahore Memory &amp; Brain Health Center</t>
  </si>
  <si>
    <t xml:space="preserve">S-0388</t>
  </si>
  <si>
    <t xml:space="preserve">Lagos Pulmonology Institute</t>
  </si>
  <si>
    <t xml:space="preserve">S-0389</t>
  </si>
  <si>
    <t xml:space="preserve">Munich Diabetes &amp; Endocrine Institute</t>
  </si>
  <si>
    <t xml:space="preserve">S-0390</t>
  </si>
  <si>
    <t xml:space="preserve">Karachi Cardiology Center</t>
  </si>
  <si>
    <t xml:space="preserve">S-0391</t>
  </si>
  <si>
    <t xml:space="preserve">Beirut Arthritis &amp; Joint Institute</t>
  </si>
  <si>
    <t xml:space="preserve">Beirut</t>
  </si>
  <si>
    <t xml:space="preserve">S-0392</t>
  </si>
  <si>
    <t xml:space="preserve">Nagoya Diabetes &amp; Endocrine Institute</t>
  </si>
  <si>
    <t xml:space="preserve">Nagoya</t>
  </si>
  <si>
    <t xml:space="preserve">S-0393</t>
  </si>
  <si>
    <t xml:space="preserve">Johannesburg Rheumatology Center</t>
  </si>
  <si>
    <t xml:space="preserve">S-0394</t>
  </si>
  <si>
    <t xml:space="preserve">Lucknow Digestive Health Center</t>
  </si>
  <si>
    <t xml:space="preserve">S-0395</t>
  </si>
  <si>
    <t xml:space="preserve">Ankara Neurology Hospital</t>
  </si>
  <si>
    <t xml:space="preserve">S-0396</t>
  </si>
  <si>
    <t xml:space="preserve">Busan Renal Care Institute</t>
  </si>
  <si>
    <t xml:space="preserve">S-0397</t>
  </si>
  <si>
    <t xml:space="preserve">Hanoi Neuroscience Institute</t>
  </si>
  <si>
    <t xml:space="preserve">S-0398</t>
  </si>
  <si>
    <t xml:space="preserve">Busan Infectious Disease Institute</t>
  </si>
  <si>
    <t xml:space="preserve">S-0399</t>
  </si>
  <si>
    <t xml:space="preserve">Jaipur Diabetes &amp; Endocrine Institute</t>
  </si>
  <si>
    <t xml:space="preserve">S-0400</t>
  </si>
  <si>
    <t xml:space="preserve">Puebla Oncology Institute</t>
  </si>
  <si>
    <t xml:space="preserve">S-0401</t>
  </si>
  <si>
    <t xml:space="preserve">Chittagong Behavioral Health Center</t>
  </si>
  <si>
    <t xml:space="preserve">S-0402</t>
  </si>
  <si>
    <t xml:space="preserve">Wroclaw Cardiology Center</t>
  </si>
  <si>
    <t xml:space="preserve">S-0403</t>
  </si>
  <si>
    <t xml:space="preserve">Chittagong Hepatology &amp; Liver Center</t>
  </si>
  <si>
    <t xml:space="preserve">S-0404</t>
  </si>
  <si>
    <t xml:space="preserve">Osaka Diabetes &amp; Endocrine Institute</t>
  </si>
  <si>
    <t xml:space="preserve">S-0405</t>
  </si>
  <si>
    <t xml:space="preserve">Tokyo Diabetes &amp; Endocrine Institute</t>
  </si>
  <si>
    <t xml:space="preserve">S-0406</t>
  </si>
  <si>
    <t xml:space="preserve">Cape Town Digestive Health Center</t>
  </si>
  <si>
    <t xml:space="preserve">S-0407</t>
  </si>
  <si>
    <t xml:space="preserve">Manchester Infectious Disease Institute</t>
  </si>
  <si>
    <t xml:space="preserve">S-0408</t>
  </si>
  <si>
    <t xml:space="preserve">Cairo Nephrology &amp; Kidney Center</t>
  </si>
  <si>
    <t xml:space="preserve">S-0409</t>
  </si>
  <si>
    <t xml:space="preserve">Porto Alegre Liver Disease Institute</t>
  </si>
  <si>
    <t xml:space="preserve">S-0410</t>
  </si>
  <si>
    <t xml:space="preserve">Hanoi Cardiology Center</t>
  </si>
  <si>
    <t xml:space="preserve">S-0411</t>
  </si>
  <si>
    <t xml:space="preserve">Lahore Hepatology &amp; Liver Center</t>
  </si>
  <si>
    <t xml:space="preserve">S-0412</t>
  </si>
  <si>
    <t xml:space="preserve">Chittagong Renal Care Institute</t>
  </si>
  <si>
    <t xml:space="preserve">S-0413</t>
  </si>
  <si>
    <t xml:space="preserve">Surabaya Arthritis &amp; Joint Institute</t>
  </si>
  <si>
    <t xml:space="preserve">S-0414</t>
  </si>
  <si>
    <t xml:space="preserve">Porto Alegre Heart &amp; Vascular Institute</t>
  </si>
  <si>
    <t xml:space="preserve">S-0415</t>
  </si>
  <si>
    <t xml:space="preserve">Manila Pulmonology Institute</t>
  </si>
  <si>
    <t xml:space="preserve">S-0416</t>
  </si>
  <si>
    <t xml:space="preserve">London Cancer Center</t>
  </si>
  <si>
    <t xml:space="preserve">S-0417</t>
  </si>
  <si>
    <t xml:space="preserve">Dhaka Infectious Disease Institute</t>
  </si>
  <si>
    <t xml:space="preserve">S-0418</t>
  </si>
  <si>
    <t xml:space="preserve">Cali Digestive Health Center</t>
  </si>
  <si>
    <t xml:space="preserve">Cali</t>
  </si>
  <si>
    <t xml:space="preserve">S-0419</t>
  </si>
  <si>
    <t xml:space="preserve">Johannesburg Renal Care Institute</t>
  </si>
  <si>
    <t xml:space="preserve">S-0420</t>
  </si>
  <si>
    <t xml:space="preserve">Osaka Memory &amp; Brain Health Center</t>
  </si>
  <si>
    <t xml:space="preserve">S-0421</t>
  </si>
  <si>
    <t xml:space="preserve">Davao Pulmonology Institute</t>
  </si>
  <si>
    <t xml:space="preserve">S-0422</t>
  </si>
  <si>
    <t xml:space="preserve">Belo Horizonte Cardiology Center</t>
  </si>
  <si>
    <t xml:space="preserve">S-0423</t>
  </si>
  <si>
    <t xml:space="preserve">Sydney Respiratory Care Center</t>
  </si>
  <si>
    <t xml:space="preserve">S-0424</t>
  </si>
  <si>
    <t xml:space="preserve">Denver Infectious Disease Institute</t>
  </si>
  <si>
    <t xml:space="preserve">S-0425</t>
  </si>
  <si>
    <t xml:space="preserve">Ho Chi Minh City Neuroscience Institute</t>
  </si>
  <si>
    <t xml:space="preserve">S-0426</t>
  </si>
  <si>
    <t xml:space="preserve">Denver Infectious Disease Clinic</t>
  </si>
  <si>
    <t xml:space="preserve">S-0427</t>
  </si>
  <si>
    <t xml:space="preserve">Porto Alegre Hepatology &amp; Liver Center</t>
  </si>
  <si>
    <t xml:space="preserve">S-0428</t>
  </si>
  <si>
    <t xml:space="preserve">Berlin Neuroscience Institute</t>
  </si>
  <si>
    <t xml:space="preserve">S-0429</t>
  </si>
  <si>
    <t xml:space="preserve">Nagoya Liver Disease Institute</t>
  </si>
  <si>
    <t xml:space="preserve">S-0430</t>
  </si>
  <si>
    <t xml:space="preserve">Abu Dhabi Gastroenterology Institute</t>
  </si>
  <si>
    <t xml:space="preserve">S-0431</t>
  </si>
  <si>
    <t xml:space="preserve">Incheon Cardiology Center</t>
  </si>
  <si>
    <t xml:space="preserve">Incheon</t>
  </si>
  <si>
    <t xml:space="preserve">S-0432</t>
  </si>
  <si>
    <t xml:space="preserve">Lahore Arthritis &amp; Joint Institute</t>
  </si>
  <si>
    <t xml:space="preserve">S-0433</t>
  </si>
  <si>
    <t xml:space="preserve">Dhaka Nephrology &amp; Kidney Center</t>
  </si>
  <si>
    <t xml:space="preserve">S-0434</t>
  </si>
  <si>
    <t xml:space="preserve">Guadalajara Heart &amp; Vascular Institute</t>
  </si>
  <si>
    <t xml:space="preserve">S-0435</t>
  </si>
  <si>
    <t xml:space="preserve">Tokyo Infectious Disease Institute</t>
  </si>
  <si>
    <t xml:space="preserve">S-0436</t>
  </si>
  <si>
    <t xml:space="preserve">Ho Chi Minh City Pulmonology Institute</t>
  </si>
  <si>
    <t xml:space="preserve">S-0437</t>
  </si>
  <si>
    <t xml:space="preserve">Dubai Digestive Health Center</t>
  </si>
  <si>
    <t xml:space="preserve">S-0438</t>
  </si>
  <si>
    <t xml:space="preserve">Busan Arthritis &amp; Joint Institute</t>
  </si>
  <si>
    <t xml:space="preserve">S-0439</t>
  </si>
  <si>
    <t xml:space="preserve">Medellin Metabolic Health Center</t>
  </si>
  <si>
    <t xml:space="preserve">S-0440</t>
  </si>
  <si>
    <t xml:space="preserve">Incheon Neuroscience Institute</t>
  </si>
  <si>
    <t xml:space="preserve">S-0441</t>
  </si>
  <si>
    <t xml:space="preserve">Seoul Arthritis &amp; Joint Institute</t>
  </si>
  <si>
    <t xml:space="preserve">S-0442</t>
  </si>
  <si>
    <t xml:space="preserve">Cairo Liver Disease Institute</t>
  </si>
  <si>
    <t xml:space="preserve">S-0443</t>
  </si>
  <si>
    <t xml:space="preserve">Cairo Renal Care Institute</t>
  </si>
  <si>
    <t xml:space="preserve">S-0444</t>
  </si>
  <si>
    <t xml:space="preserve">Johannesburg Infectious Disease Clinic</t>
  </si>
  <si>
    <t xml:space="preserve">S-0445</t>
  </si>
  <si>
    <t xml:space="preserve">Hanoi Dermatology Clinic</t>
  </si>
  <si>
    <t xml:space="preserve">S-0446</t>
  </si>
  <si>
    <t xml:space="preserve">Chittagong Psychiatry Institute</t>
  </si>
  <si>
    <t xml:space="preserve">S-0447</t>
  </si>
  <si>
    <t xml:space="preserve">Cebu Metabolic Health Center</t>
  </si>
  <si>
    <t xml:space="preserve">S-0448</t>
  </si>
  <si>
    <t xml:space="preserve">Bandung Hepatology &amp; Liver Center</t>
  </si>
  <si>
    <t xml:space="preserve">S-0449</t>
  </si>
  <si>
    <t xml:space="preserve">Chennai Infectious Disease Clinic</t>
  </si>
  <si>
    <t xml:space="preserve">S-0450</t>
  </si>
  <si>
    <t xml:space="preserve">Lahore Liver Disease Institute</t>
  </si>
  <si>
    <t xml:space="preserve">S-0451</t>
  </si>
  <si>
    <t xml:space="preserve">Nairobi Skin Health Institute</t>
  </si>
  <si>
    <t xml:space="preserve">S-0452</t>
  </si>
  <si>
    <t xml:space="preserve">Osaka Arthritis &amp; Joint Institute</t>
  </si>
  <si>
    <t xml:space="preserve">S-0453</t>
  </si>
  <si>
    <t xml:space="preserve">Casablanca Nephrology &amp; Kidney Center</t>
  </si>
  <si>
    <t xml:space="preserve">Casablanca</t>
  </si>
  <si>
    <t xml:space="preserve">S-0454</t>
  </si>
  <si>
    <t xml:space="preserve">Lahore Rheumatology Center</t>
  </si>
  <si>
    <t xml:space="preserve">S-0455</t>
  </si>
  <si>
    <t xml:space="preserve">Johannesburg Diabetes &amp; Endocrine Institute</t>
  </si>
  <si>
    <t xml:space="preserve">S-0456</t>
  </si>
  <si>
    <t xml:space="preserve">Melbourne Oncology Institute</t>
  </si>
  <si>
    <t xml:space="preserve">S-0457</t>
  </si>
  <si>
    <t xml:space="preserve">Davao Infectious Disease Institute</t>
  </si>
  <si>
    <t xml:space="preserve">S-0458</t>
  </si>
  <si>
    <t xml:space="preserve">Curitiba Heart &amp; Vascular Institute</t>
  </si>
  <si>
    <t xml:space="preserve">S-0459</t>
  </si>
  <si>
    <t xml:space="preserve">Puebla Renal Care Institute</t>
  </si>
  <si>
    <t xml:space="preserve">S-0460</t>
  </si>
  <si>
    <t xml:space="preserve">Boston Oncology Institute</t>
  </si>
  <si>
    <t xml:space="preserve">S-0461</t>
  </si>
  <si>
    <t xml:space="preserve">Ankara Oncology Institute</t>
  </si>
  <si>
    <t xml:space="preserve">S-0462</t>
  </si>
  <si>
    <t xml:space="preserve">Islamabad Hepatology &amp; Liver Center</t>
  </si>
  <si>
    <t xml:space="preserve">S-0463</t>
  </si>
  <si>
    <t xml:space="preserve">Islamabad Renal Care Institute</t>
  </si>
  <si>
    <t xml:space="preserve">S-0464</t>
  </si>
  <si>
    <t xml:space="preserve">Belo Horizonte Oncology Institute</t>
  </si>
  <si>
    <t xml:space="preserve">S-0465</t>
  </si>
  <si>
    <t xml:space="preserve">Bandung Cardiology Center</t>
  </si>
  <si>
    <t xml:space="preserve">S-0466</t>
  </si>
  <si>
    <t xml:space="preserve">Abu Dhabi Neurology Hospital</t>
  </si>
  <si>
    <t xml:space="preserve">S-0467</t>
  </si>
  <si>
    <t xml:space="preserve">Brisbane Neuroscience Institute</t>
  </si>
  <si>
    <t xml:space="preserve">Brisbane</t>
  </si>
  <si>
    <t xml:space="preserve">S-0468</t>
  </si>
  <si>
    <t xml:space="preserve">Surabaya Hepatology &amp; Liver Center</t>
  </si>
  <si>
    <t xml:space="preserve">S-0469</t>
  </si>
  <si>
    <t xml:space="preserve">Manila Nephrology &amp; Kidney Center</t>
  </si>
  <si>
    <t xml:space="preserve">S-0470</t>
  </si>
  <si>
    <t xml:space="preserve">Melbourne Infectious Disease Institute</t>
  </si>
  <si>
    <t xml:space="preserve">S-0471</t>
  </si>
  <si>
    <t xml:space="preserve">Dhaka Infectious Disease Clinic</t>
  </si>
  <si>
    <t xml:space="preserve">S-0472</t>
  </si>
  <si>
    <t xml:space="preserve">London Oncology Institute</t>
  </si>
  <si>
    <t xml:space="preserve">S-0473</t>
  </si>
  <si>
    <t xml:space="preserve">London Nephrology &amp; Kidney Center</t>
  </si>
  <si>
    <t xml:space="preserve">S-0474</t>
  </si>
  <si>
    <t xml:space="preserve">Bogota Oncology Institute</t>
  </si>
  <si>
    <t xml:space="preserve">S-0475</t>
  </si>
  <si>
    <t xml:space="preserve">Dhaka Renal Care Institute</t>
  </si>
  <si>
    <t xml:space="preserve">S-0476</t>
  </si>
  <si>
    <t xml:space="preserve">Curitiba Dermatology Clinic</t>
  </si>
  <si>
    <t xml:space="preserve">S-0477</t>
  </si>
  <si>
    <t xml:space="preserve">Manchester Psychiatry Institute</t>
  </si>
  <si>
    <t xml:space="preserve">S-0478</t>
  </si>
  <si>
    <t xml:space="preserve">Davao Respiratory Care Center #478</t>
  </si>
  <si>
    <t xml:space="preserve">S-0479</t>
  </si>
  <si>
    <t xml:space="preserve">Casablanca Behavioral Health Center</t>
  </si>
  <si>
    <t xml:space="preserve">S-0480</t>
  </si>
  <si>
    <t xml:space="preserve">Amman Memory &amp; Brain Health Center</t>
  </si>
  <si>
    <t xml:space="preserve">S-0481</t>
  </si>
  <si>
    <t xml:space="preserve">Lucknow Cancer Center</t>
  </si>
  <si>
    <t xml:space="preserve">S-0482</t>
  </si>
  <si>
    <t xml:space="preserve">Nairobi Nephrology &amp; Kidney Center</t>
  </si>
  <si>
    <t xml:space="preserve">S-0483</t>
  </si>
  <si>
    <t xml:space="preserve">Manchester Behavioral Health Center</t>
  </si>
  <si>
    <t xml:space="preserve">S-0484</t>
  </si>
  <si>
    <t xml:space="preserve">Dubai Arthritis &amp; Joint Institute</t>
  </si>
  <si>
    <t xml:space="preserve">S-0485</t>
  </si>
  <si>
    <t xml:space="preserve">Lagos Metabolic Health Center</t>
  </si>
  <si>
    <t xml:space="preserve">S-0486</t>
  </si>
  <si>
    <t xml:space="preserve">Belo Horizonte Liver Disease Institute</t>
  </si>
  <si>
    <t xml:space="preserve">S-0487</t>
  </si>
  <si>
    <t xml:space="preserve">Rio de Janeiro Infectious Disease Institute</t>
  </si>
  <si>
    <t xml:space="preserve">S-0488</t>
  </si>
  <si>
    <t xml:space="preserve">Islamabad Arthritis &amp; Joint Institute</t>
  </si>
  <si>
    <t xml:space="preserve">S-0489</t>
  </si>
  <si>
    <t xml:space="preserve">Dhaka Cardiology Center</t>
  </si>
  <si>
    <t xml:space="preserve">S-0490</t>
  </si>
  <si>
    <t xml:space="preserve">Jaipur Cardiology Center</t>
  </si>
  <si>
    <t xml:space="preserve">S-0491</t>
  </si>
  <si>
    <t xml:space="preserve">Melbourne Infectious Disease Clinic</t>
  </si>
  <si>
    <t xml:space="preserve">S-0492</t>
  </si>
  <si>
    <t xml:space="preserve">Chicago Diabetes &amp; Endocrine Institute</t>
  </si>
  <si>
    <t xml:space="preserve">S-0493</t>
  </si>
  <si>
    <t xml:space="preserve">Coimbatore Rheumatology Center</t>
  </si>
  <si>
    <t xml:space="preserve">S-0494</t>
  </si>
  <si>
    <t xml:space="preserve">Manila Neurology Hospital</t>
  </si>
  <si>
    <t xml:space="preserve">S-0495</t>
  </si>
  <si>
    <t xml:space="preserve">Johannesburg Metabolic Health Center</t>
  </si>
  <si>
    <t xml:space="preserve">S-0496</t>
  </si>
  <si>
    <t xml:space="preserve">Mombasa Behavioral Health Center</t>
  </si>
  <si>
    <t xml:space="preserve">S-0497</t>
  </si>
  <si>
    <t xml:space="preserve">London Hepatology &amp; Liver Center</t>
  </si>
  <si>
    <t xml:space="preserve">S-0498</t>
  </si>
  <si>
    <t xml:space="preserve">Karachi Rheumatology Center</t>
  </si>
  <si>
    <t xml:space="preserve">S-0499</t>
  </si>
  <si>
    <t xml:space="preserve">Lagos Memory &amp; Brain Health Center</t>
  </si>
  <si>
    <t xml:space="preserve">S-0500</t>
  </si>
  <si>
    <t xml:space="preserve">London Liver Disease Institute</t>
  </si>
  <si>
    <t xml:space="preserve">S-0501</t>
  </si>
  <si>
    <t xml:space="preserve">Krakow Diabetes &amp; Endocrine Institute #501</t>
  </si>
  <si>
    <t xml:space="preserve">S-0502</t>
  </si>
  <si>
    <t xml:space="preserve">Manchester Rheumatology Center</t>
  </si>
  <si>
    <t xml:space="preserve">S-0503</t>
  </si>
  <si>
    <t xml:space="preserve">Mexico City Infectious Disease Clinic</t>
  </si>
  <si>
    <t xml:space="preserve">S-0504</t>
  </si>
  <si>
    <t xml:space="preserve">Coimbatore Gastroenterology Institute</t>
  </si>
  <si>
    <t xml:space="preserve">S-0505</t>
  </si>
  <si>
    <t xml:space="preserve">Belo Horizonte Arthritis &amp; Joint Institute</t>
  </si>
  <si>
    <t xml:space="preserve">S-0506</t>
  </si>
  <si>
    <t xml:space="preserve">Chittagong Rheumatology Center</t>
  </si>
  <si>
    <t xml:space="preserve">S-0507</t>
  </si>
  <si>
    <t xml:space="preserve">Berlin Infectious Disease Clinic</t>
  </si>
  <si>
    <t xml:space="preserve">S-0508</t>
  </si>
  <si>
    <t xml:space="preserve">Manila Liver Disease Institute</t>
  </si>
  <si>
    <t xml:space="preserve">S-0509</t>
  </si>
  <si>
    <t xml:space="preserve">Brisbane Cardiology Center</t>
  </si>
  <si>
    <t xml:space="preserve">S-0510</t>
  </si>
  <si>
    <t xml:space="preserve">Seoul Nephrology &amp; Kidney Center</t>
  </si>
  <si>
    <t xml:space="preserve">S-0511</t>
  </si>
  <si>
    <t xml:space="preserve">Delhi Gastroenterology Institute</t>
  </si>
  <si>
    <t xml:space="preserve">S-0512</t>
  </si>
  <si>
    <t xml:space="preserve">Accra Dermatology Clinic</t>
  </si>
  <si>
    <t xml:space="preserve">S-0513</t>
  </si>
  <si>
    <t xml:space="preserve">Amman Respiratory Care Center</t>
  </si>
  <si>
    <t xml:space="preserve">S-0514</t>
  </si>
  <si>
    <t xml:space="preserve">Ho Chi Minh City Cardiology Center</t>
  </si>
  <si>
    <t xml:space="preserve">S-0515</t>
  </si>
  <si>
    <t xml:space="preserve">Cebu Diabetes &amp; Endocrine Institute</t>
  </si>
  <si>
    <t xml:space="preserve">S-0516</t>
  </si>
  <si>
    <t xml:space="preserve">Puebla Memory &amp; Brain Health Center</t>
  </si>
  <si>
    <t xml:space="preserve">S-0517</t>
  </si>
  <si>
    <t xml:space="preserve">Ankara Renal Care Institute</t>
  </si>
  <si>
    <t xml:space="preserve">S-0518</t>
  </si>
  <si>
    <t xml:space="preserve">Cebu Pulmonology Institute #518</t>
  </si>
  <si>
    <t xml:space="preserve">S-0519</t>
  </si>
  <si>
    <t xml:space="preserve">Accra Digestive Health Center</t>
  </si>
  <si>
    <t xml:space="preserve">S-0520</t>
  </si>
  <si>
    <t xml:space="preserve">Abu Dhabi Metabolic Health Center</t>
  </si>
  <si>
    <t xml:space="preserve">S-0521</t>
  </si>
  <si>
    <t xml:space="preserve">Doha Pulmonology Institute</t>
  </si>
  <si>
    <t xml:space="preserve">S-0522</t>
  </si>
  <si>
    <t xml:space="preserve">Nairobi Renal Care Institute</t>
  </si>
  <si>
    <t xml:space="preserve">S-0523</t>
  </si>
  <si>
    <t xml:space="preserve">Warsaw Cardiology Center</t>
  </si>
  <si>
    <t xml:space="preserve">S-0524</t>
  </si>
  <si>
    <t xml:space="preserve">Wroclaw Arthritis &amp; Joint Institute</t>
  </si>
  <si>
    <t xml:space="preserve">S-0525</t>
  </si>
  <si>
    <t xml:space="preserve">Islamabad Gastroenterology Institute</t>
  </si>
  <si>
    <t xml:space="preserve">S-0526</t>
  </si>
  <si>
    <t xml:space="preserve">Chandigarh Nephrology &amp; Kidney Center</t>
  </si>
  <si>
    <t xml:space="preserve">S-0527</t>
  </si>
  <si>
    <t xml:space="preserve">Accra Psychiatry Institute</t>
  </si>
  <si>
    <t xml:space="preserve">S-0528</t>
  </si>
  <si>
    <t xml:space="preserve">Accra Behavioral Health Center</t>
  </si>
  <si>
    <t xml:space="preserve">S-0529</t>
  </si>
  <si>
    <t xml:space="preserve">Abuja Liver Disease Institute</t>
  </si>
  <si>
    <t xml:space="preserve">S-0530</t>
  </si>
  <si>
    <t xml:space="preserve">Nairobi Psychiatry Institute</t>
  </si>
  <si>
    <t xml:space="preserve">S-0531</t>
  </si>
  <si>
    <t xml:space="preserve">Hanoi Skin Health Institute</t>
  </si>
  <si>
    <t xml:space="preserve">S-0532</t>
  </si>
  <si>
    <t xml:space="preserve">Lahore Behavioral Health Center</t>
  </si>
  <si>
    <t xml:space="preserve">S-0533</t>
  </si>
  <si>
    <t xml:space="preserve">Puebla Cardiology Center</t>
  </si>
  <si>
    <t xml:space="preserve">S-0534</t>
  </si>
  <si>
    <t xml:space="preserve">Sao Paulo Liver Disease Institute</t>
  </si>
  <si>
    <t xml:space="preserve">S-0535</t>
  </si>
  <si>
    <t xml:space="preserve">Lagos Neuroscience Institute</t>
  </si>
  <si>
    <t xml:space="preserve">S-0536</t>
  </si>
  <si>
    <t xml:space="preserve">Birmingham Behavioral Health Center</t>
  </si>
  <si>
    <t xml:space="preserve">S-0537</t>
  </si>
  <si>
    <t xml:space="preserve">Bandung Cancer Center</t>
  </si>
  <si>
    <t xml:space="preserve">S-0538</t>
  </si>
  <si>
    <t xml:space="preserve">London Psychiatry Institute</t>
  </si>
  <si>
    <t xml:space="preserve">S-0539</t>
  </si>
  <si>
    <t xml:space="preserve">Chennai Liver Disease Institute</t>
  </si>
  <si>
    <t xml:space="preserve">S-0540</t>
  </si>
  <si>
    <t xml:space="preserve">Porto Alegre Gastroenterology Institute</t>
  </si>
  <si>
    <t xml:space="preserve">S-0541</t>
  </si>
  <si>
    <t xml:space="preserve">London Infectious Disease Clinic</t>
  </si>
  <si>
    <t xml:space="preserve">S-0542</t>
  </si>
  <si>
    <t xml:space="preserve">Mexico City Cancer Center</t>
  </si>
  <si>
    <t xml:space="preserve">S-0543</t>
  </si>
  <si>
    <t xml:space="preserve">Medellin Nephrology &amp; Kidney Center</t>
  </si>
  <si>
    <t xml:space="preserve">S-0544</t>
  </si>
  <si>
    <t xml:space="preserve">Delhi Liver Disease Institute</t>
  </si>
  <si>
    <t xml:space="preserve">S-0545</t>
  </si>
  <si>
    <t xml:space="preserve">Hanoi Metabolic Health Center</t>
  </si>
  <si>
    <t xml:space="preserve">S-0546</t>
  </si>
  <si>
    <t xml:space="preserve">Rio de Janeiro Diabetes &amp; Endocrine Institute</t>
  </si>
  <si>
    <t xml:space="preserve">S-0547</t>
  </si>
  <si>
    <t xml:space="preserve">Dhaka Pulmonology Institute</t>
  </si>
  <si>
    <t xml:space="preserve">S-0548</t>
  </si>
  <si>
    <t xml:space="preserve">Delhi Oncology Institute</t>
  </si>
  <si>
    <t xml:space="preserve">S-0549</t>
  </si>
  <si>
    <t xml:space="preserve">Nairobi Heart &amp; Vascular Institute</t>
  </si>
  <si>
    <t xml:space="preserve">S-0550</t>
  </si>
  <si>
    <t xml:space="preserve">Seoul Oncology Institute</t>
  </si>
  <si>
    <t xml:space="preserve">S-0551</t>
  </si>
  <si>
    <t xml:space="preserve">Brisbane Psychiatry Institute</t>
  </si>
  <si>
    <t xml:space="preserve">S-0552</t>
  </si>
  <si>
    <t xml:space="preserve">Mombasa Respiratory Care Center</t>
  </si>
  <si>
    <t xml:space="preserve">S-0553</t>
  </si>
  <si>
    <t xml:space="preserve">Karachi Heart &amp; Vascular Institute</t>
  </si>
  <si>
    <t xml:space="preserve">S-0554</t>
  </si>
  <si>
    <t xml:space="preserve">Nairobi Digestive Health Center</t>
  </si>
  <si>
    <t xml:space="preserve">S-0555</t>
  </si>
  <si>
    <t xml:space="preserve">Manchester Dermatology Clinic</t>
  </si>
  <si>
    <t xml:space="preserve">S-0556</t>
  </si>
  <si>
    <t xml:space="preserve">Vellore Rheumatology Center</t>
  </si>
  <si>
    <t xml:space="preserve">S-0557</t>
  </si>
  <si>
    <t xml:space="preserve">Ankara Digestive Health Center</t>
  </si>
  <si>
    <t xml:space="preserve">S-0558</t>
  </si>
  <si>
    <t xml:space="preserve">Nairobi Oncology Institute #558</t>
  </si>
  <si>
    <t xml:space="preserve">S-0559</t>
  </si>
  <si>
    <t xml:space="preserve">Chicago Skin Health Institute</t>
  </si>
  <si>
    <t xml:space="preserve">S-0560</t>
  </si>
  <si>
    <t xml:space="preserve">Belo Horizonte Pulmonology Institute</t>
  </si>
  <si>
    <t xml:space="preserve">S-0561</t>
  </si>
  <si>
    <t xml:space="preserve">Mombasa Oncology Institute #561</t>
  </si>
  <si>
    <t xml:space="preserve">S-0562</t>
  </si>
  <si>
    <t xml:space="preserve">Johannesburg Digestive Health Center</t>
  </si>
  <si>
    <t xml:space="preserve">S-0563</t>
  </si>
  <si>
    <t xml:space="preserve">Manila Metabolic Health Center</t>
  </si>
  <si>
    <t xml:space="preserve">S-0564</t>
  </si>
  <si>
    <t xml:space="preserve">Madurai Heart &amp; Vascular Institute</t>
  </si>
  <si>
    <t xml:space="preserve">S-0565</t>
  </si>
  <si>
    <t xml:space="preserve">Bandung Oncology Institute</t>
  </si>
  <si>
    <t xml:space="preserve">S-0566</t>
  </si>
  <si>
    <t xml:space="preserve">Rio de Janeiro Hepatology &amp; Liver Center</t>
  </si>
  <si>
    <t xml:space="preserve">S-0567</t>
  </si>
  <si>
    <t xml:space="preserve">Coimbatore Neurology Hospital</t>
  </si>
  <si>
    <t xml:space="preserve">S-0568</t>
  </si>
  <si>
    <t xml:space="preserve">Brisbane Gastroenterology Institute</t>
  </si>
  <si>
    <t xml:space="preserve">S-0569</t>
  </si>
  <si>
    <t xml:space="preserve">Delhi Renal Care Institute</t>
  </si>
  <si>
    <t xml:space="preserve">S-0570</t>
  </si>
  <si>
    <t xml:space="preserve">Rio de Janeiro Rheumatology Center</t>
  </si>
  <si>
    <t xml:space="preserve">S-0571</t>
  </si>
  <si>
    <t xml:space="preserve">Johannesburg Infectious Disease Institute</t>
  </si>
  <si>
    <t xml:space="preserve">S-0572</t>
  </si>
  <si>
    <t xml:space="preserve">Dhaka Digestive Health Center</t>
  </si>
  <si>
    <t xml:space="preserve">S-0573</t>
  </si>
  <si>
    <t xml:space="preserve">Curitiba Nephrology &amp; Kidney Center</t>
  </si>
  <si>
    <t xml:space="preserve">S-0574</t>
  </si>
  <si>
    <t xml:space="preserve">Porto Alegre Dermatology Clinic</t>
  </si>
  <si>
    <t xml:space="preserve">S-0575</t>
  </si>
  <si>
    <t xml:space="preserve">Alexandria Digestive Health Center</t>
  </si>
  <si>
    <t xml:space="preserve">S-0576</t>
  </si>
  <si>
    <t xml:space="preserve">Osaka Rheumatology Center</t>
  </si>
  <si>
    <t xml:space="preserve">S-0577</t>
  </si>
  <si>
    <t xml:space="preserve">Jakarta Arthritis &amp; Joint Institute</t>
  </si>
  <si>
    <t xml:space="preserve">S-0578</t>
  </si>
  <si>
    <t xml:space="preserve">Ho Chi Minh City Metabolic Health Center</t>
  </si>
  <si>
    <t xml:space="preserve">S-0579</t>
  </si>
  <si>
    <t xml:space="preserve">Ho Chi Minh City Liver Disease Institute</t>
  </si>
  <si>
    <t xml:space="preserve">S-0580</t>
  </si>
  <si>
    <t xml:space="preserve">Puebla Psychiatry Institute</t>
  </si>
  <si>
    <t xml:space="preserve">S-0581</t>
  </si>
  <si>
    <t xml:space="preserve">Cebu Pulmonology Institute #581</t>
  </si>
  <si>
    <t xml:space="preserve">S-0582</t>
  </si>
  <si>
    <t xml:space="preserve">Cairo Skin Health Institute</t>
  </si>
  <si>
    <t xml:space="preserve">S-0583</t>
  </si>
  <si>
    <t xml:space="preserve">London Gastroenterology Institute</t>
  </si>
  <si>
    <t xml:space="preserve">S-0584</t>
  </si>
  <si>
    <t xml:space="preserve">Belo Horizonte Memory &amp; Brain Health Center</t>
  </si>
  <si>
    <t xml:space="preserve">S-0585</t>
  </si>
  <si>
    <t xml:space="preserve">Ho Chi Minh City Infectious Disease Institute</t>
  </si>
  <si>
    <t xml:space="preserve">S-0586</t>
  </si>
  <si>
    <t xml:space="preserve">Wroclaw Dermatology Clinic</t>
  </si>
  <si>
    <t xml:space="preserve">S-0587</t>
  </si>
  <si>
    <t xml:space="preserve">Nagoya Heart &amp; Vascular Institute</t>
  </si>
  <si>
    <t xml:space="preserve">S-0588</t>
  </si>
  <si>
    <t xml:space="preserve">Surabaya Gastroenterology Institute</t>
  </si>
  <si>
    <t xml:space="preserve">S-0589</t>
  </si>
  <si>
    <t xml:space="preserve">Vellore Neuroscience Institute</t>
  </si>
  <si>
    <t xml:space="preserve">S-0590</t>
  </si>
  <si>
    <t xml:space="preserve">Doha Cardiology Center</t>
  </si>
  <si>
    <t xml:space="preserve">S-0591</t>
  </si>
  <si>
    <t xml:space="preserve">Hamburg Skin Health Institute</t>
  </si>
  <si>
    <t xml:space="preserve">S-0592</t>
  </si>
  <si>
    <t xml:space="preserve">Alexandria Dermatology Clinic</t>
  </si>
  <si>
    <t xml:space="preserve">S-0593</t>
  </si>
  <si>
    <t xml:space="preserve">Johannesburg Cancer Center</t>
  </si>
  <si>
    <t xml:space="preserve">S-0594</t>
  </si>
  <si>
    <t xml:space="preserve">Ho Chi Minh City Psychiatry Institute</t>
  </si>
  <si>
    <t xml:space="preserve">S-0595</t>
  </si>
  <si>
    <t xml:space="preserve">Surabaya Psychiatry Institute</t>
  </si>
  <si>
    <t xml:space="preserve">S-0596</t>
  </si>
  <si>
    <t xml:space="preserve">Cape Town Neuroscience Institute</t>
  </si>
  <si>
    <t xml:space="preserve">S-0597</t>
  </si>
  <si>
    <t xml:space="preserve">Johannesburg Nephrology &amp; Kidney Center</t>
  </si>
  <si>
    <t xml:space="preserve">S-0598</t>
  </si>
  <si>
    <t xml:space="preserve">Mombasa Hepatology &amp; Liver Center</t>
  </si>
  <si>
    <t xml:space="preserve">S-0599</t>
  </si>
  <si>
    <t xml:space="preserve">Tokyo Liver Disease Institute</t>
  </si>
  <si>
    <t xml:space="preserve">S-0600</t>
  </si>
  <si>
    <t xml:space="preserve">Sao Paulo Pulmonology Institute</t>
  </si>
  <si>
    <t xml:space="preserve">S-0601</t>
  </si>
  <si>
    <t xml:space="preserve">Alexandria Neurology Hospital</t>
  </si>
  <si>
    <t xml:space="preserve">S-0602</t>
  </si>
  <si>
    <t xml:space="preserve">Sydney Diabetes &amp; Endocrine Institute</t>
  </si>
  <si>
    <t xml:space="preserve">S-0603</t>
  </si>
  <si>
    <t xml:space="preserve">Birmingham Dermatology Clinic</t>
  </si>
  <si>
    <t xml:space="preserve">S-0604</t>
  </si>
  <si>
    <t xml:space="preserve">Lucknow Skin Health Institute</t>
  </si>
  <si>
    <t xml:space="preserve">S-0605</t>
  </si>
  <si>
    <t xml:space="preserve">Bandung Arthritis &amp; Joint Institute</t>
  </si>
  <si>
    <t xml:space="preserve">S-0606</t>
  </si>
  <si>
    <t xml:space="preserve">Sao Paulo Diabetes &amp; Endocrine Institute</t>
  </si>
  <si>
    <t xml:space="preserve">S-0607</t>
  </si>
  <si>
    <t xml:space="preserve">Chittagong Pulmonology Institute</t>
  </si>
  <si>
    <t xml:space="preserve">S-0608</t>
  </si>
  <si>
    <t xml:space="preserve">Cairo Dermatology Clinic</t>
  </si>
  <si>
    <t xml:space="preserve">S-0609</t>
  </si>
  <si>
    <t xml:space="preserve">Islamabad Respiratory Care Center</t>
  </si>
  <si>
    <t xml:space="preserve">S-0610</t>
  </si>
  <si>
    <t xml:space="preserve">Rio de Janeiro Infectious Disease Clinic</t>
  </si>
  <si>
    <t xml:space="preserve">Investigator Experience Score (0-10)</t>
  </si>
  <si>
    <t xml:space="preserve">Years Experience</t>
  </si>
  <si>
    <t xml:space="preserve">Prior Trials Count</t>
  </si>
  <si>
    <t xml:space="preserve">Historical Enrollment Rate (pts/month)</t>
  </si>
  <si>
    <t xml:space="preserve">Dropout Rate (%)</t>
  </si>
  <si>
    <t xml:space="preserve">Staff Availability Score (0-10)</t>
  </si>
  <si>
    <t xml:space="preserve">Infrastructure Readiness (%)</t>
  </si>
  <si>
    <t xml:space="preserve">Data Quality Score (0-100)</t>
  </si>
  <si>
    <t xml:space="preserve">Competing Trials at Site</t>
  </si>
  <si>
    <t xml:space="preserve">Suitability Score (0-100)</t>
  </si>
  <si>
    <t xml:space="preserve">Likelihood \ Impact</t>
  </si>
  <si>
    <t xml:space="preserve">Medium</t>
  </si>
  <si>
    <t xml:space="preserve">Standard Likelihood x Impact risk matrix used by every record in Risk_Register.</t>
  </si>
  <si>
    <t xml:space="preserve">Risk ID</t>
  </si>
  <si>
    <t xml:space="preserve">Risk Category</t>
  </si>
  <si>
    <t xml:space="preserve">Description</t>
  </si>
  <si>
    <t xml:space="preserve">Likelihood</t>
  </si>
  <si>
    <t xml:space="preserve">Impact</t>
  </si>
  <si>
    <t xml:space="preserve">Overall Risk Rating</t>
  </si>
  <si>
    <t xml:space="preserve">Date Identified</t>
  </si>
  <si>
    <t xml:space="preserve">Status</t>
  </si>
  <si>
    <t xml:space="preserve">Mitigation Plan</t>
  </si>
  <si>
    <t xml:space="preserve">Owner</t>
  </si>
  <si>
    <t xml:space="preserve">Risk Score (Numeric)</t>
  </si>
  <si>
    <t xml:space="preserve">R-00001</t>
  </si>
  <si>
    <t xml:space="preserve">Operational</t>
  </si>
  <si>
    <t xml:space="preserve">Clinical coordinator role currently open, may delay start-up</t>
  </si>
  <si>
    <t xml:space="preserve">Closed</t>
  </si>
  <si>
    <t xml:space="preserve">Resolved; no further action required</t>
  </si>
  <si>
    <t xml:space="preserve">Data Management Lead</t>
  </si>
  <si>
    <t xml:space="preserve">R-00002</t>
  </si>
  <si>
    <t xml:space="preserve">Compliance</t>
  </si>
  <si>
    <t xml:space="preserve">Minor protocol deviation noted in a prior trial at this site</t>
  </si>
  <si>
    <t xml:space="preserve">R-00003</t>
  </si>
  <si>
    <t xml:space="preserve">Enrollment</t>
  </si>
  <si>
    <t xml:space="preserve">Screen failure rate above regional average in past studies</t>
  </si>
  <si>
    <t xml:space="preserve">Monitoring</t>
  </si>
  <si>
    <t xml:space="preserve">Tracking indicator reviewed at each monitoring visit</t>
  </si>
  <si>
    <t xml:space="preserve">Regulatory Affairs Lead</t>
  </si>
  <si>
    <t xml:space="preserve">R-00004</t>
  </si>
  <si>
    <t xml:space="preserve">Competitive</t>
  </si>
  <si>
    <t xml:space="preserve">One or more competing trials recruiting the same indication nearby</t>
  </si>
  <si>
    <t xml:space="preserve">Open</t>
  </si>
  <si>
    <t xml:space="preserve">Mitigation plan to be defined during site initiation visit</t>
  </si>
  <si>
    <t xml:space="preserve">R-00005</t>
  </si>
  <si>
    <t xml:space="preserve">Regulatory</t>
  </si>
  <si>
    <t xml:space="preserve">Local ethics committee review queue longer than regional average</t>
  </si>
  <si>
    <t xml:space="preserve">R-00006</t>
  </si>
  <si>
    <t xml:space="preserve">Data Integrity</t>
  </si>
  <si>
    <t xml:space="preserve">Site is new to the sponsor's EDC platform, limited track record</t>
  </si>
  <si>
    <t xml:space="preserve">Mitigated</t>
  </si>
  <si>
    <t xml:space="preserve">Corrective action implemented and verified by site</t>
  </si>
  <si>
    <t xml:space="preserve">Clinical Ops Manager</t>
  </si>
  <si>
    <t xml:space="preserve">R-00007</t>
  </si>
  <si>
    <t xml:space="preserve">R-00008</t>
  </si>
  <si>
    <t xml:space="preserve">GCP refresher training overdue for part of site staff</t>
  </si>
  <si>
    <t xml:space="preserve">R-00009</t>
  </si>
  <si>
    <t xml:space="preserve">Patient travel distance may affect long-term retention</t>
  </si>
  <si>
    <t xml:space="preserve">R-00010</t>
  </si>
  <si>
    <t xml:space="preserve">R-00011</t>
  </si>
  <si>
    <t xml:space="preserve">Import/customs license renewal pending for investigational product</t>
  </si>
  <si>
    <t xml:space="preserve">R-00012</t>
  </si>
  <si>
    <t xml:space="preserve">Site Feasibility Lead</t>
  </si>
  <si>
    <t xml:space="preserve">R-00013</t>
  </si>
  <si>
    <t xml:space="preserve">Key equipment calibration/certification renewal pending</t>
  </si>
  <si>
    <t xml:space="preserve">R-00014</t>
  </si>
  <si>
    <t xml:space="preserve">Prior regulatory inspection finding not yet fully closed out</t>
  </si>
  <si>
    <t xml:space="preserve">R-00015</t>
  </si>
  <si>
    <t xml:space="preserve">R-00016</t>
  </si>
  <si>
    <t xml:space="preserve">Study Start-Up Specialist</t>
  </si>
  <si>
    <t xml:space="preserve">R-00017</t>
  </si>
  <si>
    <t xml:space="preserve">Recent local regulatory policy change may affect approval timeline</t>
  </si>
  <si>
    <t xml:space="preserve">R-00018</t>
  </si>
  <si>
    <t xml:space="preserve">EDC query resolution time above sponsor benchmark historically</t>
  </si>
  <si>
    <t xml:space="preserve">R-00019</t>
  </si>
  <si>
    <t xml:space="preserve">R-00020</t>
  </si>
  <si>
    <t xml:space="preserve">R-00021</t>
  </si>
  <si>
    <t xml:space="preserve">R-00022</t>
  </si>
  <si>
    <t xml:space="preserve">R-00023</t>
  </si>
  <si>
    <t xml:space="preserve">R-00024</t>
  </si>
  <si>
    <t xml:space="preserve">R-00025</t>
  </si>
  <si>
    <t xml:space="preserve">Backup power/generator certification not yet confirmed</t>
  </si>
  <si>
    <t xml:space="preserve">R-00026</t>
  </si>
  <si>
    <t xml:space="preserve">R-00027</t>
  </si>
  <si>
    <t xml:space="preserve">R-00028</t>
  </si>
  <si>
    <t xml:space="preserve">Shared patient pool with an adjacent high-volume site</t>
  </si>
  <si>
    <t xml:space="preserve">R-00029</t>
  </si>
  <si>
    <t xml:space="preserve">R-00030</t>
  </si>
  <si>
    <t xml:space="preserve">R-00031</t>
  </si>
  <si>
    <t xml:space="preserve">Nursing staff ratio below recommended threshold for trial volume</t>
  </si>
  <si>
    <t xml:space="preserve">R-00032</t>
  </si>
  <si>
    <t xml:space="preserve">R-00033</t>
  </si>
  <si>
    <t xml:space="preserve">Historical seasonal enrollment slowdown observed at this site</t>
  </si>
  <si>
    <t xml:space="preserve">R-00034</t>
  </si>
  <si>
    <t xml:space="preserve">Overlapping investigator commitments across concurrent trials</t>
  </si>
  <si>
    <t xml:space="preserve">R-00035</t>
  </si>
  <si>
    <t xml:space="preserve">R-00036</t>
  </si>
  <si>
    <t xml:space="preserve">Source data verification gap flagged in a previous monitoring visit</t>
  </si>
  <si>
    <t xml:space="preserve">R-00037</t>
  </si>
  <si>
    <t xml:space="preserve">R-00038</t>
  </si>
  <si>
    <t xml:space="preserve">R-00039</t>
  </si>
  <si>
    <t xml:space="preserve">R-00040</t>
  </si>
  <si>
    <t xml:space="preserve">R-00041</t>
  </si>
  <si>
    <t xml:space="preserve">R-00042</t>
  </si>
  <si>
    <t xml:space="preserve">R-00043</t>
  </si>
  <si>
    <t xml:space="preserve">R-00044</t>
  </si>
  <si>
    <t xml:space="preserve">Informed consent documentation gap flagged in last internal audit</t>
  </si>
  <si>
    <t xml:space="preserve">R-00045</t>
  </si>
  <si>
    <t xml:space="preserve">Referral pipeline narrower than target eligible population</t>
  </si>
  <si>
    <t xml:space="preserve">R-00046</t>
  </si>
  <si>
    <t xml:space="preserve">R-00047</t>
  </si>
  <si>
    <t xml:space="preserve">R-00048</t>
  </si>
  <si>
    <t xml:space="preserve">R-00049</t>
  </si>
  <si>
    <t xml:space="preserve">R-00050</t>
  </si>
  <si>
    <t xml:space="preserve">R-00051</t>
  </si>
  <si>
    <t xml:space="preserve">R-00052</t>
  </si>
  <si>
    <t xml:space="preserve">R-00053</t>
  </si>
  <si>
    <t xml:space="preserve">R-00054</t>
  </si>
  <si>
    <t xml:space="preserve">R-00055</t>
  </si>
  <si>
    <t xml:space="preserve">R-00056</t>
  </si>
  <si>
    <t xml:space="preserve">R-00057</t>
  </si>
  <si>
    <t xml:space="preserve">R-00058</t>
  </si>
  <si>
    <t xml:space="preserve">R-00059</t>
  </si>
  <si>
    <t xml:space="preserve">R-00060</t>
  </si>
  <si>
    <t xml:space="preserve">R-00061</t>
  </si>
  <si>
    <t xml:space="preserve">R-00062</t>
  </si>
  <si>
    <t xml:space="preserve">R-00063</t>
  </si>
  <si>
    <t xml:space="preserve">R-00064</t>
  </si>
  <si>
    <t xml:space="preserve">R-00065</t>
  </si>
  <si>
    <t xml:space="preserve">R-00066</t>
  </si>
  <si>
    <t xml:space="preserve">R-00067</t>
  </si>
  <si>
    <t xml:space="preserve">R-00068</t>
  </si>
  <si>
    <t xml:space="preserve">R-00069</t>
  </si>
  <si>
    <t xml:space="preserve">R-00070</t>
  </si>
  <si>
    <t xml:space="preserve">R-00071</t>
  </si>
  <si>
    <t xml:space="preserve">R-00072</t>
  </si>
  <si>
    <t xml:space="preserve">R-00073</t>
  </si>
  <si>
    <t xml:space="preserve">R-00074</t>
  </si>
  <si>
    <t xml:space="preserve">R-00075</t>
  </si>
  <si>
    <t xml:space="preserve">R-00076</t>
  </si>
  <si>
    <t xml:space="preserve">R-00077</t>
  </si>
  <si>
    <t xml:space="preserve">R-00078</t>
  </si>
  <si>
    <t xml:space="preserve">R-00079</t>
  </si>
  <si>
    <t xml:space="preserve">R-00080</t>
  </si>
  <si>
    <t xml:space="preserve">R-00081</t>
  </si>
  <si>
    <t xml:space="preserve">R-00082</t>
  </si>
  <si>
    <t xml:space="preserve">R-00083</t>
  </si>
  <si>
    <t xml:space="preserve">R-00084</t>
  </si>
  <si>
    <t xml:space="preserve">R-00085</t>
  </si>
  <si>
    <t xml:space="preserve">R-00086</t>
  </si>
  <si>
    <t xml:space="preserve">R-00087</t>
  </si>
  <si>
    <t xml:space="preserve">R-00088</t>
  </si>
  <si>
    <t xml:space="preserve">R-00089</t>
  </si>
  <si>
    <t xml:space="preserve">R-00090</t>
  </si>
  <si>
    <t xml:space="preserve">R-00091</t>
  </si>
  <si>
    <t xml:space="preserve">R-00092</t>
  </si>
  <si>
    <t xml:space="preserve">R-00093</t>
  </si>
  <si>
    <t xml:space="preserve">R-00094</t>
  </si>
  <si>
    <t xml:space="preserve">R-00095</t>
  </si>
  <si>
    <t xml:space="preserve">R-00096</t>
  </si>
  <si>
    <t xml:space="preserve">R-00097</t>
  </si>
  <si>
    <t xml:space="preserve">R-00098</t>
  </si>
  <si>
    <t xml:space="preserve">R-00099</t>
  </si>
  <si>
    <t xml:space="preserve">R-00100</t>
  </si>
  <si>
    <t xml:space="preserve">R-00101</t>
  </si>
  <si>
    <t xml:space="preserve">R-00102</t>
  </si>
  <si>
    <t xml:space="preserve">R-00103</t>
  </si>
  <si>
    <t xml:space="preserve">R-00104</t>
  </si>
  <si>
    <t xml:space="preserve">R-00105</t>
  </si>
  <si>
    <t xml:space="preserve">R-00106</t>
  </si>
  <si>
    <t xml:space="preserve">R-00107</t>
  </si>
  <si>
    <t xml:space="preserve">R-00108</t>
  </si>
  <si>
    <t xml:space="preserve">R-00109</t>
  </si>
  <si>
    <t xml:space="preserve">R-00110</t>
  </si>
  <si>
    <t xml:space="preserve">R-00111</t>
  </si>
  <si>
    <t xml:space="preserve">R-00112</t>
  </si>
  <si>
    <t xml:space="preserve">R-00113</t>
  </si>
  <si>
    <t xml:space="preserve">R-00114</t>
  </si>
  <si>
    <t xml:space="preserve">R-00115</t>
  </si>
  <si>
    <t xml:space="preserve">R-00116</t>
  </si>
  <si>
    <t xml:space="preserve">R-00117</t>
  </si>
  <si>
    <t xml:space="preserve">R-00118</t>
  </si>
  <si>
    <t xml:space="preserve">R-00119</t>
  </si>
  <si>
    <t xml:space="preserve">R-00120</t>
  </si>
  <si>
    <t xml:space="preserve">R-00121</t>
  </si>
  <si>
    <t xml:space="preserve">R-00122</t>
  </si>
  <si>
    <t xml:space="preserve">R-00123</t>
  </si>
  <si>
    <t xml:space="preserve">R-00124</t>
  </si>
  <si>
    <t xml:space="preserve">R-00125</t>
  </si>
  <si>
    <t xml:space="preserve">R-00126</t>
  </si>
  <si>
    <t xml:space="preserve">R-00127</t>
  </si>
  <si>
    <t xml:space="preserve">R-00128</t>
  </si>
  <si>
    <t xml:space="preserve">R-00129</t>
  </si>
  <si>
    <t xml:space="preserve">R-00130</t>
  </si>
  <si>
    <t xml:space="preserve">R-00131</t>
  </si>
  <si>
    <t xml:space="preserve">R-00132</t>
  </si>
  <si>
    <t xml:space="preserve">R-00133</t>
  </si>
  <si>
    <t xml:space="preserve">R-00134</t>
  </si>
  <si>
    <t xml:space="preserve">R-00135</t>
  </si>
  <si>
    <t xml:space="preserve">R-00136</t>
  </si>
  <si>
    <t xml:space="preserve">R-00137</t>
  </si>
  <si>
    <t xml:space="preserve">R-00138</t>
  </si>
  <si>
    <t xml:space="preserve">R-00139</t>
  </si>
  <si>
    <t xml:space="preserve">R-00140</t>
  </si>
  <si>
    <t xml:space="preserve">R-00141</t>
  </si>
  <si>
    <t xml:space="preserve">R-00142</t>
  </si>
  <si>
    <t xml:space="preserve">R-00143</t>
  </si>
  <si>
    <t xml:space="preserve">R-00144</t>
  </si>
  <si>
    <t xml:space="preserve">R-00145</t>
  </si>
  <si>
    <t xml:space="preserve">R-00146</t>
  </si>
  <si>
    <t xml:space="preserve">R-00147</t>
  </si>
  <si>
    <t xml:space="preserve">R-00148</t>
  </si>
  <si>
    <t xml:space="preserve">R-00149</t>
  </si>
  <si>
    <t xml:space="preserve">R-00150</t>
  </si>
  <si>
    <t xml:space="preserve">R-00151</t>
  </si>
  <si>
    <t xml:space="preserve">R-00152</t>
  </si>
  <si>
    <t xml:space="preserve">R-00153</t>
  </si>
  <si>
    <t xml:space="preserve">R-00154</t>
  </si>
  <si>
    <t xml:space="preserve">R-00155</t>
  </si>
  <si>
    <t xml:space="preserve">R-00156</t>
  </si>
  <si>
    <t xml:space="preserve">R-00157</t>
  </si>
  <si>
    <t xml:space="preserve">R-00158</t>
  </si>
  <si>
    <t xml:space="preserve">R-00159</t>
  </si>
  <si>
    <t xml:space="preserve">R-00160</t>
  </si>
  <si>
    <t xml:space="preserve">R-00161</t>
  </si>
  <si>
    <t xml:space="preserve">R-00162</t>
  </si>
  <si>
    <t xml:space="preserve">R-00163</t>
  </si>
  <si>
    <t xml:space="preserve">R-00164</t>
  </si>
  <si>
    <t xml:space="preserve">R-00165</t>
  </si>
  <si>
    <t xml:space="preserve">R-00166</t>
  </si>
  <si>
    <t xml:space="preserve">R-00167</t>
  </si>
  <si>
    <t xml:space="preserve">R-00168</t>
  </si>
  <si>
    <t xml:space="preserve">R-00169</t>
  </si>
  <si>
    <t xml:space="preserve">R-00170</t>
  </si>
  <si>
    <t xml:space="preserve">R-00171</t>
  </si>
  <si>
    <t xml:space="preserve">R-00172</t>
  </si>
  <si>
    <t xml:space="preserve">R-00173</t>
  </si>
  <si>
    <t xml:space="preserve">R-00174</t>
  </si>
  <si>
    <t xml:space="preserve">R-00175</t>
  </si>
  <si>
    <t xml:space="preserve">R-00176</t>
  </si>
  <si>
    <t xml:space="preserve">R-00177</t>
  </si>
  <si>
    <t xml:space="preserve">R-00178</t>
  </si>
  <si>
    <t xml:space="preserve">R-00179</t>
  </si>
  <si>
    <t xml:space="preserve">R-00180</t>
  </si>
  <si>
    <t xml:space="preserve">R-00181</t>
  </si>
  <si>
    <t xml:space="preserve">R-00182</t>
  </si>
  <si>
    <t xml:space="preserve">R-00183</t>
  </si>
  <si>
    <t xml:space="preserve">R-00184</t>
  </si>
  <si>
    <t xml:space="preserve">R-00185</t>
  </si>
  <si>
    <t xml:space="preserve">R-00186</t>
  </si>
  <si>
    <t xml:space="preserve">R-00187</t>
  </si>
  <si>
    <t xml:space="preserve">R-00188</t>
  </si>
  <si>
    <t xml:space="preserve">R-00189</t>
  </si>
  <si>
    <t xml:space="preserve">R-00190</t>
  </si>
  <si>
    <t xml:space="preserve">R-00191</t>
  </si>
  <si>
    <t xml:space="preserve">R-00192</t>
  </si>
  <si>
    <t xml:space="preserve">R-00193</t>
  </si>
  <si>
    <t xml:space="preserve">R-00194</t>
  </si>
  <si>
    <t xml:space="preserve">R-00195</t>
  </si>
  <si>
    <t xml:space="preserve">R-00196</t>
  </si>
  <si>
    <t xml:space="preserve">R-00197</t>
  </si>
  <si>
    <t xml:space="preserve">R-00198</t>
  </si>
  <si>
    <t xml:space="preserve">R-00199</t>
  </si>
  <si>
    <t xml:space="preserve">R-00200</t>
  </si>
  <si>
    <t xml:space="preserve">R-00201</t>
  </si>
  <si>
    <t xml:space="preserve">R-00202</t>
  </si>
  <si>
    <t xml:space="preserve">R-00203</t>
  </si>
  <si>
    <t xml:space="preserve">R-00204</t>
  </si>
  <si>
    <t xml:space="preserve">R-00205</t>
  </si>
  <si>
    <t xml:space="preserve">R-00206</t>
  </si>
  <si>
    <t xml:space="preserve">R-00207</t>
  </si>
  <si>
    <t xml:space="preserve">R-00208</t>
  </si>
  <si>
    <t xml:space="preserve">R-00209</t>
  </si>
  <si>
    <t xml:space="preserve">R-00210</t>
  </si>
  <si>
    <t xml:space="preserve">R-00211</t>
  </si>
  <si>
    <t xml:space="preserve">R-00212</t>
  </si>
  <si>
    <t xml:space="preserve">R-00213</t>
  </si>
  <si>
    <t xml:space="preserve">R-00214</t>
  </si>
  <si>
    <t xml:space="preserve">R-00215</t>
  </si>
  <si>
    <t xml:space="preserve">R-00216</t>
  </si>
  <si>
    <t xml:space="preserve">R-00217</t>
  </si>
  <si>
    <t xml:space="preserve">R-00218</t>
  </si>
  <si>
    <t xml:space="preserve">R-00219</t>
  </si>
  <si>
    <t xml:space="preserve">R-00220</t>
  </si>
  <si>
    <t xml:space="preserve">R-00221</t>
  </si>
  <si>
    <t xml:space="preserve">R-00222</t>
  </si>
  <si>
    <t xml:space="preserve">R-00223</t>
  </si>
  <si>
    <t xml:space="preserve">R-00224</t>
  </si>
  <si>
    <t xml:space="preserve">R-00225</t>
  </si>
  <si>
    <t xml:space="preserve">R-00226</t>
  </si>
  <si>
    <t xml:space="preserve">R-00227</t>
  </si>
  <si>
    <t xml:space="preserve">R-00228</t>
  </si>
  <si>
    <t xml:space="preserve">R-00229</t>
  </si>
  <si>
    <t xml:space="preserve">R-00230</t>
  </si>
  <si>
    <t xml:space="preserve">R-00231</t>
  </si>
  <si>
    <t xml:space="preserve">R-00232</t>
  </si>
  <si>
    <t xml:space="preserve">R-00233</t>
  </si>
  <si>
    <t xml:space="preserve">R-00234</t>
  </si>
  <si>
    <t xml:space="preserve">R-00235</t>
  </si>
  <si>
    <t xml:space="preserve">R-00236</t>
  </si>
  <si>
    <t xml:space="preserve">R-00237</t>
  </si>
  <si>
    <t xml:space="preserve">R-00238</t>
  </si>
  <si>
    <t xml:space="preserve">R-00239</t>
  </si>
  <si>
    <t xml:space="preserve">R-00240</t>
  </si>
  <si>
    <t xml:space="preserve">R-00241</t>
  </si>
  <si>
    <t xml:space="preserve">R-00242</t>
  </si>
  <si>
    <t xml:space="preserve">R-00243</t>
  </si>
  <si>
    <t xml:space="preserve">R-00244</t>
  </si>
  <si>
    <t xml:space="preserve">R-00245</t>
  </si>
  <si>
    <t xml:space="preserve">R-00246</t>
  </si>
  <si>
    <t xml:space="preserve">R-00247</t>
  </si>
  <si>
    <t xml:space="preserve">R-00248</t>
  </si>
  <si>
    <t xml:space="preserve">R-00249</t>
  </si>
  <si>
    <t xml:space="preserve">R-00250</t>
  </si>
  <si>
    <t xml:space="preserve">R-00251</t>
  </si>
  <si>
    <t xml:space="preserve">R-00252</t>
  </si>
  <si>
    <t xml:space="preserve">R-00253</t>
  </si>
  <si>
    <t xml:space="preserve">R-00254</t>
  </si>
  <si>
    <t xml:space="preserve">R-00255</t>
  </si>
  <si>
    <t xml:space="preserve">R-00256</t>
  </si>
  <si>
    <t xml:space="preserve">R-00257</t>
  </si>
  <si>
    <t xml:space="preserve">R-00258</t>
  </si>
  <si>
    <t xml:space="preserve">R-00259</t>
  </si>
  <si>
    <t xml:space="preserve">R-00260</t>
  </si>
  <si>
    <t xml:space="preserve">R-00261</t>
  </si>
  <si>
    <t xml:space="preserve">R-00262</t>
  </si>
  <si>
    <t xml:space="preserve">R-00263</t>
  </si>
  <si>
    <t xml:space="preserve">R-00264</t>
  </si>
  <si>
    <t xml:space="preserve">R-00265</t>
  </si>
  <si>
    <t xml:space="preserve">R-00266</t>
  </si>
  <si>
    <t xml:space="preserve">R-00267</t>
  </si>
  <si>
    <t xml:space="preserve">R-00268</t>
  </si>
  <si>
    <t xml:space="preserve">R-00269</t>
  </si>
  <si>
    <t xml:space="preserve">R-00270</t>
  </si>
  <si>
    <t xml:space="preserve">R-00271</t>
  </si>
  <si>
    <t xml:space="preserve">R-00272</t>
  </si>
  <si>
    <t xml:space="preserve">R-00273</t>
  </si>
  <si>
    <t xml:space="preserve">R-00274</t>
  </si>
  <si>
    <t xml:space="preserve">R-00275</t>
  </si>
  <si>
    <t xml:space="preserve">R-00276</t>
  </si>
  <si>
    <t xml:space="preserve">R-00277</t>
  </si>
  <si>
    <t xml:space="preserve">R-00278</t>
  </si>
  <si>
    <t xml:space="preserve">R-00279</t>
  </si>
  <si>
    <t xml:space="preserve">R-00280</t>
  </si>
  <si>
    <t xml:space="preserve">R-00281</t>
  </si>
  <si>
    <t xml:space="preserve">R-00282</t>
  </si>
  <si>
    <t xml:space="preserve">R-00283</t>
  </si>
  <si>
    <t xml:space="preserve">R-00284</t>
  </si>
  <si>
    <t xml:space="preserve">R-00285</t>
  </si>
  <si>
    <t xml:space="preserve">R-00286</t>
  </si>
  <si>
    <t xml:space="preserve">R-00287</t>
  </si>
  <si>
    <t xml:space="preserve">R-00288</t>
  </si>
  <si>
    <t xml:space="preserve">R-00289</t>
  </si>
  <si>
    <t xml:space="preserve">R-00290</t>
  </si>
  <si>
    <t xml:space="preserve">R-00291</t>
  </si>
  <si>
    <t xml:space="preserve">R-00292</t>
  </si>
  <si>
    <t xml:space="preserve">R-00293</t>
  </si>
  <si>
    <t xml:space="preserve">R-00294</t>
  </si>
  <si>
    <t xml:space="preserve">R-00295</t>
  </si>
  <si>
    <t xml:space="preserve">R-00296</t>
  </si>
  <si>
    <t xml:space="preserve">R-00297</t>
  </si>
  <si>
    <t xml:space="preserve">R-00298</t>
  </si>
  <si>
    <t xml:space="preserve">R-00299</t>
  </si>
  <si>
    <t xml:space="preserve">R-00300</t>
  </si>
  <si>
    <t xml:space="preserve">R-00301</t>
  </si>
  <si>
    <t xml:space="preserve">R-00302</t>
  </si>
  <si>
    <t xml:space="preserve">R-00303</t>
  </si>
  <si>
    <t xml:space="preserve">R-00304</t>
  </si>
  <si>
    <t xml:space="preserve">R-00305</t>
  </si>
  <si>
    <t xml:space="preserve">R-00306</t>
  </si>
  <si>
    <t xml:space="preserve">R-00307</t>
  </si>
  <si>
    <t xml:space="preserve">R-00308</t>
  </si>
  <si>
    <t xml:space="preserve">R-00309</t>
  </si>
  <si>
    <t xml:space="preserve">R-00310</t>
  </si>
  <si>
    <t xml:space="preserve">R-00311</t>
  </si>
  <si>
    <t xml:space="preserve">R-00312</t>
  </si>
  <si>
    <t xml:space="preserve">R-00313</t>
  </si>
  <si>
    <t xml:space="preserve">R-00314</t>
  </si>
  <si>
    <t xml:space="preserve">R-00315</t>
  </si>
  <si>
    <t xml:space="preserve">R-00316</t>
  </si>
  <si>
    <t xml:space="preserve">R-00317</t>
  </si>
  <si>
    <t xml:space="preserve">R-00318</t>
  </si>
  <si>
    <t xml:space="preserve">R-00319</t>
  </si>
  <si>
    <t xml:space="preserve">R-00320</t>
  </si>
  <si>
    <t xml:space="preserve">R-00321</t>
  </si>
  <si>
    <t xml:space="preserve">R-00322</t>
  </si>
  <si>
    <t xml:space="preserve">R-00323</t>
  </si>
  <si>
    <t xml:space="preserve">R-00324</t>
  </si>
  <si>
    <t xml:space="preserve">R-00325</t>
  </si>
  <si>
    <t xml:space="preserve">R-00326</t>
  </si>
  <si>
    <t xml:space="preserve">R-00327</t>
  </si>
  <si>
    <t xml:space="preserve">R-00328</t>
  </si>
  <si>
    <t xml:space="preserve">R-00329</t>
  </si>
  <si>
    <t xml:space="preserve">R-00330</t>
  </si>
  <si>
    <t xml:space="preserve">R-00331</t>
  </si>
  <si>
    <t xml:space="preserve">R-00332</t>
  </si>
  <si>
    <t xml:space="preserve">R-00333</t>
  </si>
  <si>
    <t xml:space="preserve">R-00334</t>
  </si>
  <si>
    <t xml:space="preserve">R-00335</t>
  </si>
  <si>
    <t xml:space="preserve">R-00336</t>
  </si>
  <si>
    <t xml:space="preserve">R-00337</t>
  </si>
  <si>
    <t xml:space="preserve">R-00338</t>
  </si>
  <si>
    <t xml:space="preserve">R-00339</t>
  </si>
  <si>
    <t xml:space="preserve">R-00340</t>
  </si>
  <si>
    <t xml:space="preserve">R-00341</t>
  </si>
  <si>
    <t xml:space="preserve">R-00342</t>
  </si>
  <si>
    <t xml:space="preserve">R-00343</t>
  </si>
  <si>
    <t xml:space="preserve">R-00344</t>
  </si>
  <si>
    <t xml:space="preserve">R-00345</t>
  </si>
  <si>
    <t xml:space="preserve">R-00346</t>
  </si>
  <si>
    <t xml:space="preserve">R-00347</t>
  </si>
  <si>
    <t xml:space="preserve">R-00348</t>
  </si>
  <si>
    <t xml:space="preserve">R-00349</t>
  </si>
  <si>
    <t xml:space="preserve">R-00350</t>
  </si>
  <si>
    <t xml:space="preserve">R-00351</t>
  </si>
  <si>
    <t xml:space="preserve">R-00352</t>
  </si>
  <si>
    <t xml:space="preserve">R-00353</t>
  </si>
  <si>
    <t xml:space="preserve">R-00354</t>
  </si>
  <si>
    <t xml:space="preserve">R-00355</t>
  </si>
  <si>
    <t xml:space="preserve">R-00356</t>
  </si>
  <si>
    <t xml:space="preserve">R-00357</t>
  </si>
  <si>
    <t xml:space="preserve">R-00358</t>
  </si>
  <si>
    <t xml:space="preserve">R-00359</t>
  </si>
  <si>
    <t xml:space="preserve">R-00360</t>
  </si>
  <si>
    <t xml:space="preserve">R-00361</t>
  </si>
  <si>
    <t xml:space="preserve">R-00362</t>
  </si>
  <si>
    <t xml:space="preserve">R-00363</t>
  </si>
  <si>
    <t xml:space="preserve">R-00364</t>
  </si>
  <si>
    <t xml:space="preserve">R-00365</t>
  </si>
  <si>
    <t xml:space="preserve">R-00366</t>
  </si>
  <si>
    <t xml:space="preserve">R-00367</t>
  </si>
  <si>
    <t xml:space="preserve">R-00368</t>
  </si>
  <si>
    <t xml:space="preserve">R-00369</t>
  </si>
  <si>
    <t xml:space="preserve">R-00370</t>
  </si>
  <si>
    <t xml:space="preserve">R-00371</t>
  </si>
  <si>
    <t xml:space="preserve">R-00372</t>
  </si>
  <si>
    <t xml:space="preserve">R-00373</t>
  </si>
  <si>
    <t xml:space="preserve">R-00374</t>
  </si>
  <si>
    <t xml:space="preserve">R-00375</t>
  </si>
  <si>
    <t xml:space="preserve">R-00376</t>
  </si>
  <si>
    <t xml:space="preserve">R-00377</t>
  </si>
  <si>
    <t xml:space="preserve">R-00378</t>
  </si>
  <si>
    <t xml:space="preserve">R-00379</t>
  </si>
  <si>
    <t xml:space="preserve">R-00380</t>
  </si>
  <si>
    <t xml:space="preserve">R-00381</t>
  </si>
  <si>
    <t xml:space="preserve">R-00382</t>
  </si>
  <si>
    <t xml:space="preserve">R-00383</t>
  </si>
  <si>
    <t xml:space="preserve">R-00384</t>
  </si>
  <si>
    <t xml:space="preserve">R-00385</t>
  </si>
  <si>
    <t xml:space="preserve">R-00386</t>
  </si>
  <si>
    <t xml:space="preserve">R-00387</t>
  </si>
  <si>
    <t xml:space="preserve">R-00388</t>
  </si>
  <si>
    <t xml:space="preserve">R-00389</t>
  </si>
  <si>
    <t xml:space="preserve">R-00390</t>
  </si>
  <si>
    <t xml:space="preserve">R-00391</t>
  </si>
  <si>
    <t xml:space="preserve">R-00392</t>
  </si>
  <si>
    <t xml:space="preserve">R-00393</t>
  </si>
  <si>
    <t xml:space="preserve">R-00394</t>
  </si>
  <si>
    <t xml:space="preserve">R-00395</t>
  </si>
  <si>
    <t xml:space="preserve">R-00396</t>
  </si>
  <si>
    <t xml:space="preserve">R-00397</t>
  </si>
  <si>
    <t xml:space="preserve">R-00398</t>
  </si>
  <si>
    <t xml:space="preserve">R-00399</t>
  </si>
  <si>
    <t xml:space="preserve">R-00400</t>
  </si>
  <si>
    <t xml:space="preserve">R-00401</t>
  </si>
  <si>
    <t xml:space="preserve">R-00402</t>
  </si>
  <si>
    <t xml:space="preserve">R-00403</t>
  </si>
  <si>
    <t xml:space="preserve">R-00404</t>
  </si>
  <si>
    <t xml:space="preserve">R-00405</t>
  </si>
  <si>
    <t xml:space="preserve">R-00406</t>
  </si>
  <si>
    <t xml:space="preserve">R-00407</t>
  </si>
  <si>
    <t xml:space="preserve">R-00408</t>
  </si>
  <si>
    <t xml:space="preserve">R-00409</t>
  </si>
  <si>
    <t xml:space="preserve">R-00410</t>
  </si>
  <si>
    <t xml:space="preserve">R-00411</t>
  </si>
  <si>
    <t xml:space="preserve">R-00412</t>
  </si>
  <si>
    <t xml:space="preserve">R-00413</t>
  </si>
  <si>
    <t xml:space="preserve">R-00414</t>
  </si>
  <si>
    <t xml:space="preserve">R-00415</t>
  </si>
  <si>
    <t xml:space="preserve">R-00416</t>
  </si>
  <si>
    <t xml:space="preserve">R-00417</t>
  </si>
  <si>
    <t xml:space="preserve">R-00418</t>
  </si>
  <si>
    <t xml:space="preserve">R-00419</t>
  </si>
  <si>
    <t xml:space="preserve">R-00420</t>
  </si>
  <si>
    <t xml:space="preserve">R-00421</t>
  </si>
  <si>
    <t xml:space="preserve">R-00422</t>
  </si>
  <si>
    <t xml:space="preserve">R-00423</t>
  </si>
  <si>
    <t xml:space="preserve">R-00424</t>
  </si>
  <si>
    <t xml:space="preserve">R-00425</t>
  </si>
  <si>
    <t xml:space="preserve">R-00426</t>
  </si>
  <si>
    <t xml:space="preserve">R-00427</t>
  </si>
  <si>
    <t xml:space="preserve">R-00428</t>
  </si>
  <si>
    <t xml:space="preserve">R-00429</t>
  </si>
  <si>
    <t xml:space="preserve">R-00430</t>
  </si>
  <si>
    <t xml:space="preserve">R-00431</t>
  </si>
  <si>
    <t xml:space="preserve">R-00432</t>
  </si>
  <si>
    <t xml:space="preserve">R-00433</t>
  </si>
  <si>
    <t xml:space="preserve">R-00434</t>
  </si>
  <si>
    <t xml:space="preserve">R-00435</t>
  </si>
  <si>
    <t xml:space="preserve">R-00436</t>
  </si>
  <si>
    <t xml:space="preserve">R-00437</t>
  </si>
  <si>
    <t xml:space="preserve">R-00438</t>
  </si>
  <si>
    <t xml:space="preserve">R-00439</t>
  </si>
  <si>
    <t xml:space="preserve">R-00440</t>
  </si>
  <si>
    <t xml:space="preserve">R-00441</t>
  </si>
  <si>
    <t xml:space="preserve">R-00442</t>
  </si>
  <si>
    <t xml:space="preserve">R-00443</t>
  </si>
  <si>
    <t xml:space="preserve">R-00444</t>
  </si>
  <si>
    <t xml:space="preserve">R-00445</t>
  </si>
  <si>
    <t xml:space="preserve">R-00446</t>
  </si>
  <si>
    <t xml:space="preserve">R-00447</t>
  </si>
  <si>
    <t xml:space="preserve">R-00448</t>
  </si>
  <si>
    <t xml:space="preserve">R-00449</t>
  </si>
  <si>
    <t xml:space="preserve">R-00450</t>
  </si>
  <si>
    <t xml:space="preserve">R-00451</t>
  </si>
  <si>
    <t xml:space="preserve">R-00452</t>
  </si>
  <si>
    <t xml:space="preserve">R-00453</t>
  </si>
  <si>
    <t xml:space="preserve">R-00454</t>
  </si>
  <si>
    <t xml:space="preserve">R-00455</t>
  </si>
  <si>
    <t xml:space="preserve">R-00456</t>
  </si>
  <si>
    <t xml:space="preserve">R-00457</t>
  </si>
  <si>
    <t xml:space="preserve">R-00458</t>
  </si>
  <si>
    <t xml:space="preserve">R-00459</t>
  </si>
  <si>
    <t xml:space="preserve">R-00460</t>
  </si>
  <si>
    <t xml:space="preserve">R-00461</t>
  </si>
  <si>
    <t xml:space="preserve">R-00462</t>
  </si>
  <si>
    <t xml:space="preserve">R-00463</t>
  </si>
  <si>
    <t xml:space="preserve">R-00464</t>
  </si>
  <si>
    <t xml:space="preserve">R-00465</t>
  </si>
  <si>
    <t xml:space="preserve">R-00466</t>
  </si>
  <si>
    <t xml:space="preserve">R-00467</t>
  </si>
  <si>
    <t xml:space="preserve">R-00468</t>
  </si>
  <si>
    <t xml:space="preserve">R-00469</t>
  </si>
  <si>
    <t xml:space="preserve">R-00470</t>
  </si>
  <si>
    <t xml:space="preserve">R-00471</t>
  </si>
  <si>
    <t xml:space="preserve">R-00472</t>
  </si>
  <si>
    <t xml:space="preserve">R-00473</t>
  </si>
  <si>
    <t xml:space="preserve">R-00474</t>
  </si>
  <si>
    <t xml:space="preserve">R-00475</t>
  </si>
  <si>
    <t xml:space="preserve">R-00476</t>
  </si>
  <si>
    <t xml:space="preserve">R-00477</t>
  </si>
  <si>
    <t xml:space="preserve">R-00478</t>
  </si>
  <si>
    <t xml:space="preserve">R-00479</t>
  </si>
  <si>
    <t xml:space="preserve">R-00480</t>
  </si>
  <si>
    <t xml:space="preserve">R-00481</t>
  </si>
  <si>
    <t xml:space="preserve">R-00482</t>
  </si>
  <si>
    <t xml:space="preserve">R-00483</t>
  </si>
  <si>
    <t xml:space="preserve">R-00484</t>
  </si>
  <si>
    <t xml:space="preserve">R-00485</t>
  </si>
  <si>
    <t xml:space="preserve">R-00486</t>
  </si>
  <si>
    <t xml:space="preserve">R-00487</t>
  </si>
  <si>
    <t xml:space="preserve">R-00488</t>
  </si>
  <si>
    <t xml:space="preserve">R-00489</t>
  </si>
  <si>
    <t xml:space="preserve">R-00490</t>
  </si>
  <si>
    <t xml:space="preserve">R-00491</t>
  </si>
  <si>
    <t xml:space="preserve">R-00492</t>
  </si>
  <si>
    <t xml:space="preserve">R-00493</t>
  </si>
  <si>
    <t xml:space="preserve">R-00494</t>
  </si>
  <si>
    <t xml:space="preserve">R-00495</t>
  </si>
  <si>
    <t xml:space="preserve">R-00496</t>
  </si>
  <si>
    <t xml:space="preserve">R-00497</t>
  </si>
  <si>
    <t xml:space="preserve">R-00498</t>
  </si>
  <si>
    <t xml:space="preserve">R-00499</t>
  </si>
  <si>
    <t xml:space="preserve">R-00500</t>
  </si>
  <si>
    <t xml:space="preserve">R-00501</t>
  </si>
  <si>
    <t xml:space="preserve">R-00502</t>
  </si>
  <si>
    <t xml:space="preserve">R-00503</t>
  </si>
  <si>
    <t xml:space="preserve">R-00504</t>
  </si>
  <si>
    <t xml:space="preserve">R-00505</t>
  </si>
  <si>
    <t xml:space="preserve">R-00506</t>
  </si>
  <si>
    <t xml:space="preserve">R-00507</t>
  </si>
  <si>
    <t xml:space="preserve">R-00508</t>
  </si>
  <si>
    <t xml:space="preserve">R-00509</t>
  </si>
  <si>
    <t xml:space="preserve">R-00510</t>
  </si>
  <si>
    <t xml:space="preserve">R-00511</t>
  </si>
  <si>
    <t xml:space="preserve">R-00512</t>
  </si>
  <si>
    <t xml:space="preserve">R-00513</t>
  </si>
  <si>
    <t xml:space="preserve">R-00514</t>
  </si>
  <si>
    <t xml:space="preserve">R-00515</t>
  </si>
  <si>
    <t xml:space="preserve">R-00516</t>
  </si>
  <si>
    <t xml:space="preserve">R-00517</t>
  </si>
  <si>
    <t xml:space="preserve">R-00518</t>
  </si>
  <si>
    <t xml:space="preserve">R-00519</t>
  </si>
  <si>
    <t xml:space="preserve">R-00520</t>
  </si>
  <si>
    <t xml:space="preserve">R-00521</t>
  </si>
  <si>
    <t xml:space="preserve">R-00522</t>
  </si>
  <si>
    <t xml:space="preserve">R-00523</t>
  </si>
  <si>
    <t xml:space="preserve">R-00524</t>
  </si>
  <si>
    <t xml:space="preserve">R-00525</t>
  </si>
  <si>
    <t xml:space="preserve">R-00526</t>
  </si>
  <si>
    <t xml:space="preserve">R-00527</t>
  </si>
  <si>
    <t xml:space="preserve">R-00528</t>
  </si>
  <si>
    <t xml:space="preserve">R-00529</t>
  </si>
  <si>
    <t xml:space="preserve">R-00530</t>
  </si>
  <si>
    <t xml:space="preserve">R-00531</t>
  </si>
  <si>
    <t xml:space="preserve">R-00532</t>
  </si>
  <si>
    <t xml:space="preserve">R-00533</t>
  </si>
  <si>
    <t xml:space="preserve">R-00534</t>
  </si>
  <si>
    <t xml:space="preserve">R-00535</t>
  </si>
  <si>
    <t xml:space="preserve">R-00536</t>
  </si>
  <si>
    <t xml:space="preserve">R-00537</t>
  </si>
  <si>
    <t xml:space="preserve">R-00538</t>
  </si>
  <si>
    <t xml:space="preserve">R-00539</t>
  </si>
  <si>
    <t xml:space="preserve">R-00540</t>
  </si>
  <si>
    <t xml:space="preserve">R-00541</t>
  </si>
  <si>
    <t xml:space="preserve">R-00542</t>
  </si>
  <si>
    <t xml:space="preserve">R-00543</t>
  </si>
  <si>
    <t xml:space="preserve">R-00544</t>
  </si>
  <si>
    <t xml:space="preserve">R-00545</t>
  </si>
  <si>
    <t xml:space="preserve">R-00546</t>
  </si>
  <si>
    <t xml:space="preserve">R-00547</t>
  </si>
  <si>
    <t xml:space="preserve">R-00548</t>
  </si>
  <si>
    <t xml:space="preserve">R-00549</t>
  </si>
  <si>
    <t xml:space="preserve">R-00550</t>
  </si>
  <si>
    <t xml:space="preserve">R-00551</t>
  </si>
  <si>
    <t xml:space="preserve">R-00552</t>
  </si>
  <si>
    <t xml:space="preserve">R-00553</t>
  </si>
  <si>
    <t xml:space="preserve">R-00554</t>
  </si>
  <si>
    <t xml:space="preserve">R-00555</t>
  </si>
  <si>
    <t xml:space="preserve">R-00556</t>
  </si>
  <si>
    <t xml:space="preserve">R-00557</t>
  </si>
  <si>
    <t xml:space="preserve">R-00558</t>
  </si>
  <si>
    <t xml:space="preserve">R-00559</t>
  </si>
  <si>
    <t xml:space="preserve">R-00560</t>
  </si>
  <si>
    <t xml:space="preserve">R-00561</t>
  </si>
  <si>
    <t xml:space="preserve">R-00562</t>
  </si>
  <si>
    <t xml:space="preserve">R-00563</t>
  </si>
  <si>
    <t xml:space="preserve">R-00564</t>
  </si>
  <si>
    <t xml:space="preserve">R-00565</t>
  </si>
  <si>
    <t xml:space="preserve">R-00566</t>
  </si>
  <si>
    <t xml:space="preserve">R-00567</t>
  </si>
  <si>
    <t xml:space="preserve">R-00568</t>
  </si>
  <si>
    <t xml:space="preserve">R-00569</t>
  </si>
  <si>
    <t xml:space="preserve">R-00570</t>
  </si>
  <si>
    <t xml:space="preserve">R-00571</t>
  </si>
  <si>
    <t xml:space="preserve">R-00572</t>
  </si>
  <si>
    <t xml:space="preserve">R-00573</t>
  </si>
  <si>
    <t xml:space="preserve">R-00574</t>
  </si>
  <si>
    <t xml:space="preserve">R-00575</t>
  </si>
  <si>
    <t xml:space="preserve">R-00576</t>
  </si>
  <si>
    <t xml:space="preserve">R-00577</t>
  </si>
  <si>
    <t xml:space="preserve">R-00578</t>
  </si>
  <si>
    <t xml:space="preserve">R-00579</t>
  </si>
  <si>
    <t xml:space="preserve">R-00580</t>
  </si>
  <si>
    <t xml:space="preserve">R-00581</t>
  </si>
  <si>
    <t xml:space="preserve">R-00582</t>
  </si>
  <si>
    <t xml:space="preserve">R-00583</t>
  </si>
  <si>
    <t xml:space="preserve">R-00584</t>
  </si>
  <si>
    <t xml:space="preserve">R-00585</t>
  </si>
  <si>
    <t xml:space="preserve">R-00586</t>
  </si>
  <si>
    <t xml:space="preserve">R-00587</t>
  </si>
  <si>
    <t xml:space="preserve">R-00588</t>
  </si>
  <si>
    <t xml:space="preserve">R-00589</t>
  </si>
  <si>
    <t xml:space="preserve">R-00590</t>
  </si>
  <si>
    <t xml:space="preserve">R-00591</t>
  </si>
  <si>
    <t xml:space="preserve">R-00592</t>
  </si>
  <si>
    <t xml:space="preserve">R-00593</t>
  </si>
  <si>
    <t xml:space="preserve">R-00594</t>
  </si>
  <si>
    <t xml:space="preserve">R-00595</t>
  </si>
  <si>
    <t xml:space="preserve">R-00596</t>
  </si>
  <si>
    <t xml:space="preserve">R-00597</t>
  </si>
  <si>
    <t xml:space="preserve">R-00598</t>
  </si>
  <si>
    <t xml:space="preserve">R-00599</t>
  </si>
  <si>
    <t xml:space="preserve">R-00600</t>
  </si>
  <si>
    <t xml:space="preserve">R-00601</t>
  </si>
  <si>
    <t xml:space="preserve">R-00602</t>
  </si>
  <si>
    <t xml:space="preserve">R-00603</t>
  </si>
  <si>
    <t xml:space="preserve">R-00604</t>
  </si>
  <si>
    <t xml:space="preserve">R-00605</t>
  </si>
  <si>
    <t xml:space="preserve">R-00606</t>
  </si>
  <si>
    <t xml:space="preserve">R-00607</t>
  </si>
  <si>
    <t xml:space="preserve">R-00608</t>
  </si>
  <si>
    <t xml:space="preserve">R-00609</t>
  </si>
  <si>
    <t xml:space="preserve">R-00610</t>
  </si>
  <si>
    <t xml:space="preserve">R-00611</t>
  </si>
  <si>
    <t xml:space="preserve">R-00612</t>
  </si>
  <si>
    <t xml:space="preserve">R-00613</t>
  </si>
  <si>
    <t xml:space="preserve">R-00614</t>
  </si>
  <si>
    <t xml:space="preserve">R-00615</t>
  </si>
  <si>
    <t xml:space="preserve">R-00616</t>
  </si>
  <si>
    <t xml:space="preserve">R-00617</t>
  </si>
  <si>
    <t xml:space="preserve">R-00618</t>
  </si>
  <si>
    <t xml:space="preserve">R-00619</t>
  </si>
  <si>
    <t xml:space="preserve">R-00620</t>
  </si>
  <si>
    <t xml:space="preserve">R-00621</t>
  </si>
  <si>
    <t xml:space="preserve">R-00622</t>
  </si>
  <si>
    <t xml:space="preserve">R-00623</t>
  </si>
  <si>
    <t xml:space="preserve">R-00624</t>
  </si>
  <si>
    <t xml:space="preserve">R-00625</t>
  </si>
  <si>
    <t xml:space="preserve">R-00626</t>
  </si>
  <si>
    <t xml:space="preserve">R-00627</t>
  </si>
  <si>
    <t xml:space="preserve">R-00628</t>
  </si>
  <si>
    <t xml:space="preserve">R-00629</t>
  </si>
  <si>
    <t xml:space="preserve">R-00630</t>
  </si>
  <si>
    <t xml:space="preserve">R-00631</t>
  </si>
  <si>
    <t xml:space="preserve">R-00632</t>
  </si>
  <si>
    <t xml:space="preserve">R-00633</t>
  </si>
  <si>
    <t xml:space="preserve">R-00634</t>
  </si>
  <si>
    <t xml:space="preserve">R-00635</t>
  </si>
  <si>
    <t xml:space="preserve">R-00636</t>
  </si>
  <si>
    <t xml:space="preserve">R-00637</t>
  </si>
  <si>
    <t xml:space="preserve">R-00638</t>
  </si>
  <si>
    <t xml:space="preserve">R-00639</t>
  </si>
  <si>
    <t xml:space="preserve">R-00640</t>
  </si>
  <si>
    <t xml:space="preserve">R-00641</t>
  </si>
  <si>
    <t xml:space="preserve">R-00642</t>
  </si>
  <si>
    <t xml:space="preserve">R-00643</t>
  </si>
  <si>
    <t xml:space="preserve">R-00644</t>
  </si>
  <si>
    <t xml:space="preserve">R-00645</t>
  </si>
  <si>
    <t xml:space="preserve">R-00646</t>
  </si>
  <si>
    <t xml:space="preserve">R-00647</t>
  </si>
  <si>
    <t xml:space="preserve">R-00648</t>
  </si>
  <si>
    <t xml:space="preserve">R-00649</t>
  </si>
  <si>
    <t xml:space="preserve">R-00650</t>
  </si>
  <si>
    <t xml:space="preserve">R-00651</t>
  </si>
  <si>
    <t xml:space="preserve">R-00652</t>
  </si>
  <si>
    <t xml:space="preserve">R-00653</t>
  </si>
  <si>
    <t xml:space="preserve">R-00654</t>
  </si>
  <si>
    <t xml:space="preserve">R-00655</t>
  </si>
  <si>
    <t xml:space="preserve">R-00656</t>
  </si>
  <si>
    <t xml:space="preserve">R-00657</t>
  </si>
  <si>
    <t xml:space="preserve">R-00658</t>
  </si>
  <si>
    <t xml:space="preserve">R-00659</t>
  </si>
  <si>
    <t xml:space="preserve">R-00660</t>
  </si>
  <si>
    <t xml:space="preserve">R-00661</t>
  </si>
  <si>
    <t xml:space="preserve">R-00662</t>
  </si>
  <si>
    <t xml:space="preserve">R-00663</t>
  </si>
  <si>
    <t xml:space="preserve">R-00664</t>
  </si>
  <si>
    <t xml:space="preserve">R-00665</t>
  </si>
  <si>
    <t xml:space="preserve">R-00666</t>
  </si>
  <si>
    <t xml:space="preserve">R-00667</t>
  </si>
  <si>
    <t xml:space="preserve">R-00668</t>
  </si>
  <si>
    <t xml:space="preserve">R-00669</t>
  </si>
  <si>
    <t xml:space="preserve">R-00670</t>
  </si>
  <si>
    <t xml:space="preserve">R-00671</t>
  </si>
  <si>
    <t xml:space="preserve">R-00672</t>
  </si>
  <si>
    <t xml:space="preserve">R-00673</t>
  </si>
  <si>
    <t xml:space="preserve">R-00674</t>
  </si>
  <si>
    <t xml:space="preserve">R-00675</t>
  </si>
  <si>
    <t xml:space="preserve">R-00676</t>
  </si>
  <si>
    <t xml:space="preserve">R-00677</t>
  </si>
  <si>
    <t xml:space="preserve">R-00678</t>
  </si>
  <si>
    <t xml:space="preserve">R-00679</t>
  </si>
  <si>
    <t xml:space="preserve">R-00680</t>
  </si>
  <si>
    <t xml:space="preserve">R-00681</t>
  </si>
  <si>
    <t xml:space="preserve">R-00682</t>
  </si>
  <si>
    <t xml:space="preserve">R-00683</t>
  </si>
  <si>
    <t xml:space="preserve">R-00684</t>
  </si>
  <si>
    <t xml:space="preserve">R-00685</t>
  </si>
  <si>
    <t xml:space="preserve">R-00686</t>
  </si>
  <si>
    <t xml:space="preserve">R-00687</t>
  </si>
  <si>
    <t xml:space="preserve">R-00688</t>
  </si>
  <si>
    <t xml:space="preserve">R-00689</t>
  </si>
  <si>
    <t xml:space="preserve">R-00690</t>
  </si>
  <si>
    <t xml:space="preserve">R-00691</t>
  </si>
  <si>
    <t xml:space="preserve">R-00692</t>
  </si>
  <si>
    <t xml:space="preserve">R-00693</t>
  </si>
  <si>
    <t xml:space="preserve">R-00694</t>
  </si>
  <si>
    <t xml:space="preserve">R-00695</t>
  </si>
  <si>
    <t xml:space="preserve">R-00696</t>
  </si>
  <si>
    <t xml:space="preserve">R-00697</t>
  </si>
  <si>
    <t xml:space="preserve">R-00698</t>
  </si>
  <si>
    <t xml:space="preserve">R-00699</t>
  </si>
  <si>
    <t xml:space="preserve">R-00700</t>
  </si>
  <si>
    <t xml:space="preserve">R-00701</t>
  </si>
  <si>
    <t xml:space="preserve">R-00702</t>
  </si>
  <si>
    <t xml:space="preserve">R-00703</t>
  </si>
  <si>
    <t xml:space="preserve">R-00704</t>
  </si>
  <si>
    <t xml:space="preserve">R-00705</t>
  </si>
  <si>
    <t xml:space="preserve">R-00706</t>
  </si>
  <si>
    <t xml:space="preserve">R-00707</t>
  </si>
  <si>
    <t xml:space="preserve">R-00708</t>
  </si>
  <si>
    <t xml:space="preserve">R-00709</t>
  </si>
  <si>
    <t xml:space="preserve">R-00710</t>
  </si>
  <si>
    <t xml:space="preserve">R-00711</t>
  </si>
  <si>
    <t xml:space="preserve">R-00712</t>
  </si>
  <si>
    <t xml:space="preserve">R-00713</t>
  </si>
  <si>
    <t xml:space="preserve">R-00714</t>
  </si>
  <si>
    <t xml:space="preserve">R-00715</t>
  </si>
  <si>
    <t xml:space="preserve">R-00716</t>
  </si>
  <si>
    <t xml:space="preserve">R-00717</t>
  </si>
  <si>
    <t xml:space="preserve">R-00718</t>
  </si>
  <si>
    <t xml:space="preserve">R-00719</t>
  </si>
  <si>
    <t xml:space="preserve">R-00720</t>
  </si>
  <si>
    <t xml:space="preserve">R-00721</t>
  </si>
  <si>
    <t xml:space="preserve">R-00722</t>
  </si>
  <si>
    <t xml:space="preserve">R-00723</t>
  </si>
  <si>
    <t xml:space="preserve">R-00724</t>
  </si>
  <si>
    <t xml:space="preserve">R-00725</t>
  </si>
  <si>
    <t xml:space="preserve">R-00726</t>
  </si>
  <si>
    <t xml:space="preserve">R-00727</t>
  </si>
  <si>
    <t xml:space="preserve">R-00728</t>
  </si>
  <si>
    <t xml:space="preserve">R-00729</t>
  </si>
  <si>
    <t xml:space="preserve">R-00730</t>
  </si>
  <si>
    <t xml:space="preserve">R-00731</t>
  </si>
  <si>
    <t xml:space="preserve">R-00732</t>
  </si>
  <si>
    <t xml:space="preserve">R-00733</t>
  </si>
  <si>
    <t xml:space="preserve">R-00734</t>
  </si>
  <si>
    <t xml:space="preserve">R-00735</t>
  </si>
  <si>
    <t xml:space="preserve">R-00736</t>
  </si>
  <si>
    <t xml:space="preserve">R-00737</t>
  </si>
  <si>
    <t xml:space="preserve">R-00738</t>
  </si>
  <si>
    <t xml:space="preserve">R-00739</t>
  </si>
  <si>
    <t xml:space="preserve">R-00740</t>
  </si>
  <si>
    <t xml:space="preserve">R-00741</t>
  </si>
  <si>
    <t xml:space="preserve">R-00742</t>
  </si>
  <si>
    <t xml:space="preserve">R-00743</t>
  </si>
  <si>
    <t xml:space="preserve">R-00744</t>
  </si>
  <si>
    <t xml:space="preserve">R-00745</t>
  </si>
  <si>
    <t xml:space="preserve">R-00746</t>
  </si>
  <si>
    <t xml:space="preserve">R-00747</t>
  </si>
  <si>
    <t xml:space="preserve">R-00748</t>
  </si>
  <si>
    <t xml:space="preserve">R-00749</t>
  </si>
  <si>
    <t xml:space="preserve">R-00750</t>
  </si>
  <si>
    <t xml:space="preserve">R-00751</t>
  </si>
  <si>
    <t xml:space="preserve">R-00752</t>
  </si>
  <si>
    <t xml:space="preserve">R-00753</t>
  </si>
  <si>
    <t xml:space="preserve">R-00754</t>
  </si>
  <si>
    <t xml:space="preserve">R-00755</t>
  </si>
  <si>
    <t xml:space="preserve">R-00756</t>
  </si>
  <si>
    <t xml:space="preserve">R-00757</t>
  </si>
  <si>
    <t xml:space="preserve">R-00758</t>
  </si>
  <si>
    <t xml:space="preserve">R-00759</t>
  </si>
  <si>
    <t xml:space="preserve">R-00760</t>
  </si>
  <si>
    <t xml:space="preserve">R-00761</t>
  </si>
  <si>
    <t xml:space="preserve">R-00762</t>
  </si>
  <si>
    <t xml:space="preserve">R-00763</t>
  </si>
  <si>
    <t xml:space="preserve">R-00764</t>
  </si>
  <si>
    <t xml:space="preserve">R-00765</t>
  </si>
  <si>
    <t xml:space="preserve">R-00766</t>
  </si>
  <si>
    <t xml:space="preserve">R-00767</t>
  </si>
  <si>
    <t xml:space="preserve">R-00768</t>
  </si>
  <si>
    <t xml:space="preserve">R-00769</t>
  </si>
  <si>
    <t xml:space="preserve">R-00770</t>
  </si>
  <si>
    <t xml:space="preserve">R-00771</t>
  </si>
  <si>
    <t xml:space="preserve">R-00772</t>
  </si>
  <si>
    <t xml:space="preserve">R-00773</t>
  </si>
  <si>
    <t xml:space="preserve">R-00774</t>
  </si>
  <si>
    <t xml:space="preserve">R-00775</t>
  </si>
  <si>
    <t xml:space="preserve">R-00776</t>
  </si>
  <si>
    <t xml:space="preserve">R-00777</t>
  </si>
  <si>
    <t xml:space="preserve">R-00778</t>
  </si>
  <si>
    <t xml:space="preserve">R-00779</t>
  </si>
  <si>
    <t xml:space="preserve">R-00780</t>
  </si>
  <si>
    <t xml:space="preserve">R-00781</t>
  </si>
  <si>
    <t xml:space="preserve">R-00782</t>
  </si>
  <si>
    <t xml:space="preserve">R-00783</t>
  </si>
  <si>
    <t xml:space="preserve">R-00784</t>
  </si>
  <si>
    <t xml:space="preserve">R-00785</t>
  </si>
  <si>
    <t xml:space="preserve">R-00786</t>
  </si>
  <si>
    <t xml:space="preserve">R-00787</t>
  </si>
  <si>
    <t xml:space="preserve">R-00788</t>
  </si>
  <si>
    <t xml:space="preserve">R-00789</t>
  </si>
  <si>
    <t xml:space="preserve">R-00790</t>
  </si>
  <si>
    <t xml:space="preserve">R-00791</t>
  </si>
  <si>
    <t xml:space="preserve">R-00792</t>
  </si>
  <si>
    <t xml:space="preserve">R-00793</t>
  </si>
  <si>
    <t xml:space="preserve">R-00794</t>
  </si>
  <si>
    <t xml:space="preserve">R-00795</t>
  </si>
  <si>
    <t xml:space="preserve">R-00796</t>
  </si>
  <si>
    <t xml:space="preserve">R-00797</t>
  </si>
  <si>
    <t xml:space="preserve">R-00798</t>
  </si>
  <si>
    <t xml:space="preserve">R-00799</t>
  </si>
  <si>
    <t xml:space="preserve">R-00800</t>
  </si>
  <si>
    <t xml:space="preserve">R-00801</t>
  </si>
  <si>
    <t xml:space="preserve">R-00802</t>
  </si>
  <si>
    <t xml:space="preserve">R-00803</t>
  </si>
  <si>
    <t xml:space="preserve">R-00804</t>
  </si>
  <si>
    <t xml:space="preserve">R-00805</t>
  </si>
  <si>
    <t xml:space="preserve">R-00806</t>
  </si>
  <si>
    <t xml:space="preserve">R-00807</t>
  </si>
  <si>
    <t xml:space="preserve">R-00808</t>
  </si>
  <si>
    <t xml:space="preserve">R-00809</t>
  </si>
  <si>
    <t xml:space="preserve">R-00810</t>
  </si>
  <si>
    <t xml:space="preserve">R-00811</t>
  </si>
  <si>
    <t xml:space="preserve">R-00812</t>
  </si>
  <si>
    <t xml:space="preserve">R-00813</t>
  </si>
  <si>
    <t xml:space="preserve">R-00814</t>
  </si>
  <si>
    <t xml:space="preserve">R-00815</t>
  </si>
  <si>
    <t xml:space="preserve">R-00816</t>
  </si>
  <si>
    <t xml:space="preserve">R-00817</t>
  </si>
  <si>
    <t xml:space="preserve">R-00818</t>
  </si>
  <si>
    <t xml:space="preserve">R-00819</t>
  </si>
  <si>
    <t xml:space="preserve">R-00820</t>
  </si>
  <si>
    <t xml:space="preserve">R-00821</t>
  </si>
  <si>
    <t xml:space="preserve">R-00822</t>
  </si>
  <si>
    <t xml:space="preserve">R-00823</t>
  </si>
  <si>
    <t xml:space="preserve">R-00824</t>
  </si>
  <si>
    <t xml:space="preserve">R-00825</t>
  </si>
  <si>
    <t xml:space="preserve">R-00826</t>
  </si>
  <si>
    <t xml:space="preserve">R-00827</t>
  </si>
  <si>
    <t xml:space="preserve">R-00828</t>
  </si>
  <si>
    <t xml:space="preserve">R-00829</t>
  </si>
  <si>
    <t xml:space="preserve">R-00830</t>
  </si>
  <si>
    <t xml:space="preserve">R-00831</t>
  </si>
  <si>
    <t xml:space="preserve">R-00832</t>
  </si>
  <si>
    <t xml:space="preserve">R-00833</t>
  </si>
  <si>
    <t xml:space="preserve">R-00834</t>
  </si>
  <si>
    <t xml:space="preserve">R-00835</t>
  </si>
  <si>
    <t xml:space="preserve">R-00836</t>
  </si>
  <si>
    <t xml:space="preserve">R-00837</t>
  </si>
  <si>
    <t xml:space="preserve">R-00838</t>
  </si>
  <si>
    <t xml:space="preserve">R-00839</t>
  </si>
  <si>
    <t xml:space="preserve">R-00840</t>
  </si>
  <si>
    <t xml:space="preserve">R-00841</t>
  </si>
  <si>
    <t xml:space="preserve">R-00842</t>
  </si>
  <si>
    <t xml:space="preserve">R-00843</t>
  </si>
  <si>
    <t xml:space="preserve">R-00844</t>
  </si>
  <si>
    <t xml:space="preserve">R-00845</t>
  </si>
  <si>
    <t xml:space="preserve">R-00846</t>
  </si>
  <si>
    <t xml:space="preserve">R-00847</t>
  </si>
  <si>
    <t xml:space="preserve">R-00848</t>
  </si>
  <si>
    <t xml:space="preserve">R-00849</t>
  </si>
  <si>
    <t xml:space="preserve">R-00850</t>
  </si>
  <si>
    <t xml:space="preserve">R-00851</t>
  </si>
  <si>
    <t xml:space="preserve">R-00852</t>
  </si>
  <si>
    <t xml:space="preserve">R-00853</t>
  </si>
  <si>
    <t xml:space="preserve">R-00854</t>
  </si>
  <si>
    <t xml:space="preserve">R-00855</t>
  </si>
  <si>
    <t xml:space="preserve">R-00856</t>
  </si>
  <si>
    <t xml:space="preserve">R-00857</t>
  </si>
  <si>
    <t xml:space="preserve">R-00858</t>
  </si>
  <si>
    <t xml:space="preserve">R-00859</t>
  </si>
  <si>
    <t xml:space="preserve">R-00860</t>
  </si>
  <si>
    <t xml:space="preserve">R-00861</t>
  </si>
  <si>
    <t xml:space="preserve">R-00862</t>
  </si>
  <si>
    <t xml:space="preserve">R-00863</t>
  </si>
  <si>
    <t xml:space="preserve">R-00864</t>
  </si>
  <si>
    <t xml:space="preserve">R-00865</t>
  </si>
  <si>
    <t xml:space="preserve">R-00866</t>
  </si>
  <si>
    <t xml:space="preserve">R-00867</t>
  </si>
  <si>
    <t xml:space="preserve">R-00868</t>
  </si>
  <si>
    <t xml:space="preserve">R-00869</t>
  </si>
  <si>
    <t xml:space="preserve">R-00870</t>
  </si>
  <si>
    <t xml:space="preserve">R-00871</t>
  </si>
  <si>
    <t xml:space="preserve">R-00872</t>
  </si>
  <si>
    <t xml:space="preserve">R-00873</t>
  </si>
  <si>
    <t xml:space="preserve">R-00874</t>
  </si>
  <si>
    <t xml:space="preserve">R-00875</t>
  </si>
  <si>
    <t xml:space="preserve">R-00876</t>
  </si>
  <si>
    <t xml:space="preserve">R-00877</t>
  </si>
  <si>
    <t xml:space="preserve">R-00878</t>
  </si>
  <si>
    <t xml:space="preserve">R-00879</t>
  </si>
  <si>
    <t xml:space="preserve">R-00880</t>
  </si>
  <si>
    <t xml:space="preserve">R-00881</t>
  </si>
  <si>
    <t xml:space="preserve">R-00882</t>
  </si>
  <si>
    <t xml:space="preserve">R-00883</t>
  </si>
  <si>
    <t xml:space="preserve">R-00884</t>
  </si>
  <si>
    <t xml:space="preserve">R-00885</t>
  </si>
  <si>
    <t xml:space="preserve">R-00886</t>
  </si>
  <si>
    <t xml:space="preserve">R-00887</t>
  </si>
  <si>
    <t xml:space="preserve">R-00888</t>
  </si>
  <si>
    <t xml:space="preserve">R-00889</t>
  </si>
  <si>
    <t xml:space="preserve">R-00890</t>
  </si>
  <si>
    <t xml:space="preserve">R-00891</t>
  </si>
  <si>
    <t xml:space="preserve">R-00892</t>
  </si>
  <si>
    <t xml:space="preserve">R-00893</t>
  </si>
  <si>
    <t xml:space="preserve">R-00894</t>
  </si>
  <si>
    <t xml:space="preserve">R-00895</t>
  </si>
  <si>
    <t xml:space="preserve">R-00896</t>
  </si>
  <si>
    <t xml:space="preserve">R-00897</t>
  </si>
  <si>
    <t xml:space="preserve">R-00898</t>
  </si>
  <si>
    <t xml:space="preserve">R-00899</t>
  </si>
  <si>
    <t xml:space="preserve">R-00900</t>
  </si>
  <si>
    <t xml:space="preserve">R-00901</t>
  </si>
  <si>
    <t xml:space="preserve">R-00902</t>
  </si>
  <si>
    <t xml:space="preserve">R-00903</t>
  </si>
  <si>
    <t xml:space="preserve">R-00904</t>
  </si>
  <si>
    <t xml:space="preserve">R-00905</t>
  </si>
  <si>
    <t xml:space="preserve">R-00906</t>
  </si>
  <si>
    <t xml:space="preserve">R-00907</t>
  </si>
  <si>
    <t xml:space="preserve">R-00908</t>
  </si>
  <si>
    <t xml:space="preserve">R-00909</t>
  </si>
  <si>
    <t xml:space="preserve">R-00910</t>
  </si>
  <si>
    <t xml:space="preserve">R-00911</t>
  </si>
  <si>
    <t xml:space="preserve">R-00912</t>
  </si>
  <si>
    <t xml:space="preserve">R-00913</t>
  </si>
  <si>
    <t xml:space="preserve">R-00914</t>
  </si>
  <si>
    <t xml:space="preserve">R-00915</t>
  </si>
  <si>
    <t xml:space="preserve">R-00916</t>
  </si>
  <si>
    <t xml:space="preserve">R-00917</t>
  </si>
  <si>
    <t xml:space="preserve">R-00918</t>
  </si>
  <si>
    <t xml:space="preserve">R-00919</t>
  </si>
  <si>
    <t xml:space="preserve">R-00920</t>
  </si>
  <si>
    <t xml:space="preserve">R-00921</t>
  </si>
  <si>
    <t xml:space="preserve">R-00922</t>
  </si>
  <si>
    <t xml:space="preserve">R-00923</t>
  </si>
  <si>
    <t xml:space="preserve">R-00924</t>
  </si>
  <si>
    <t xml:space="preserve">R-00925</t>
  </si>
  <si>
    <t xml:space="preserve">R-00926</t>
  </si>
  <si>
    <t xml:space="preserve">R-00927</t>
  </si>
  <si>
    <t xml:space="preserve">R-00928</t>
  </si>
  <si>
    <t xml:space="preserve">R-00929</t>
  </si>
  <si>
    <t xml:space="preserve">R-00930</t>
  </si>
  <si>
    <t xml:space="preserve">R-00931</t>
  </si>
  <si>
    <t xml:space="preserve">R-00932</t>
  </si>
  <si>
    <t xml:space="preserve">R-00933</t>
  </si>
  <si>
    <t xml:space="preserve">R-00934</t>
  </si>
  <si>
    <t xml:space="preserve">R-00935</t>
  </si>
  <si>
    <t xml:space="preserve">R-00936</t>
  </si>
  <si>
    <t xml:space="preserve">R-00937</t>
  </si>
  <si>
    <t xml:space="preserve">R-00938</t>
  </si>
  <si>
    <t xml:space="preserve">R-00939</t>
  </si>
  <si>
    <t xml:space="preserve">R-00940</t>
  </si>
  <si>
    <t xml:space="preserve">R-00941</t>
  </si>
  <si>
    <t xml:space="preserve">R-00942</t>
  </si>
  <si>
    <t xml:space="preserve">R-00943</t>
  </si>
  <si>
    <t xml:space="preserve">R-00944</t>
  </si>
  <si>
    <t xml:space="preserve">R-00945</t>
  </si>
  <si>
    <t xml:space="preserve">R-00946</t>
  </si>
  <si>
    <t xml:space="preserve">R-00947</t>
  </si>
  <si>
    <t xml:space="preserve">R-00948</t>
  </si>
  <si>
    <t xml:space="preserve">R-00949</t>
  </si>
  <si>
    <t xml:space="preserve">R-00950</t>
  </si>
  <si>
    <t xml:space="preserve">R-00951</t>
  </si>
  <si>
    <t xml:space="preserve">R-00952</t>
  </si>
  <si>
    <t xml:space="preserve">R-00953</t>
  </si>
  <si>
    <t xml:space="preserve">R-00954</t>
  </si>
  <si>
    <t xml:space="preserve">R-00955</t>
  </si>
  <si>
    <t xml:space="preserve">R-00956</t>
  </si>
  <si>
    <t xml:space="preserve">R-00957</t>
  </si>
  <si>
    <t xml:space="preserve">R-00958</t>
  </si>
  <si>
    <t xml:space="preserve">R-00959</t>
  </si>
  <si>
    <t xml:space="preserve">R-00960</t>
  </si>
  <si>
    <t xml:space="preserve">R-00961</t>
  </si>
  <si>
    <t xml:space="preserve">R-00962</t>
  </si>
  <si>
    <t xml:space="preserve">R-00963</t>
  </si>
  <si>
    <t xml:space="preserve">R-00964</t>
  </si>
  <si>
    <t xml:space="preserve">R-00965</t>
  </si>
  <si>
    <t xml:space="preserve">R-00966</t>
  </si>
  <si>
    <t xml:space="preserve">R-00967</t>
  </si>
  <si>
    <t xml:space="preserve">R-00968</t>
  </si>
  <si>
    <t xml:space="preserve">R-00969</t>
  </si>
  <si>
    <t xml:space="preserve">R-00970</t>
  </si>
  <si>
    <t xml:space="preserve">R-00971</t>
  </si>
  <si>
    <t xml:space="preserve">R-00972</t>
  </si>
  <si>
    <t xml:space="preserve">R-00973</t>
  </si>
  <si>
    <t xml:space="preserve">R-00974</t>
  </si>
  <si>
    <t xml:space="preserve">R-00975</t>
  </si>
  <si>
    <t xml:space="preserve">R-00976</t>
  </si>
  <si>
    <t xml:space="preserve">R-00977</t>
  </si>
  <si>
    <t xml:space="preserve">R-00978</t>
  </si>
  <si>
    <t xml:space="preserve">R-00979</t>
  </si>
  <si>
    <t xml:space="preserve">R-00980</t>
  </si>
  <si>
    <t xml:space="preserve">R-00981</t>
  </si>
  <si>
    <t xml:space="preserve">R-00982</t>
  </si>
  <si>
    <t xml:space="preserve">R-00983</t>
  </si>
  <si>
    <t xml:space="preserve">R-00984</t>
  </si>
  <si>
    <t xml:space="preserve">R-00985</t>
  </si>
  <si>
    <t xml:space="preserve">R-00986</t>
  </si>
  <si>
    <t xml:space="preserve">R-00987</t>
  </si>
  <si>
    <t xml:space="preserve">R-00988</t>
  </si>
  <si>
    <t xml:space="preserve">R-00989</t>
  </si>
  <si>
    <t xml:space="preserve">R-00990</t>
  </si>
  <si>
    <t xml:space="preserve">R-00991</t>
  </si>
  <si>
    <t xml:space="preserve">R-00992</t>
  </si>
  <si>
    <t xml:space="preserve">R-00993</t>
  </si>
  <si>
    <t xml:space="preserve">R-00994</t>
  </si>
  <si>
    <t xml:space="preserve">R-00995</t>
  </si>
  <si>
    <t xml:space="preserve">R-00996</t>
  </si>
  <si>
    <t xml:space="preserve">R-00997</t>
  </si>
  <si>
    <t xml:space="preserve">R-00998</t>
  </si>
  <si>
    <t xml:space="preserve">R-00999</t>
  </si>
  <si>
    <t xml:space="preserve">R-01000</t>
  </si>
  <si>
    <t xml:space="preserve">R-01001</t>
  </si>
  <si>
    <t xml:space="preserve">R-01002</t>
  </si>
  <si>
    <t xml:space="preserve">R-01003</t>
  </si>
  <si>
    <t xml:space="preserve">R-01004</t>
  </si>
  <si>
    <t xml:space="preserve">R-01005</t>
  </si>
  <si>
    <t xml:space="preserve">R-01006</t>
  </si>
  <si>
    <t xml:space="preserve">R-01007</t>
  </si>
  <si>
    <t xml:space="preserve">R-01008</t>
  </si>
  <si>
    <t xml:space="preserve">R-01009</t>
  </si>
  <si>
    <t xml:space="preserve">R-01010</t>
  </si>
  <si>
    <t xml:space="preserve">R-01011</t>
  </si>
  <si>
    <t xml:space="preserve">R-01012</t>
  </si>
  <si>
    <t xml:space="preserve">R-01013</t>
  </si>
  <si>
    <t xml:space="preserve">R-01014</t>
  </si>
  <si>
    <t xml:space="preserve">R-01015</t>
  </si>
  <si>
    <t xml:space="preserve">R-01016</t>
  </si>
  <si>
    <t xml:space="preserve">R-01017</t>
  </si>
  <si>
    <t xml:space="preserve">R-01018</t>
  </si>
  <si>
    <t xml:space="preserve">R-01019</t>
  </si>
  <si>
    <t xml:space="preserve">R-01020</t>
  </si>
  <si>
    <t xml:space="preserve">R-01021</t>
  </si>
  <si>
    <t xml:space="preserve">R-01022</t>
  </si>
  <si>
    <t xml:space="preserve">R-01023</t>
  </si>
  <si>
    <t xml:space="preserve">R-01024</t>
  </si>
  <si>
    <t xml:space="preserve">R-01025</t>
  </si>
  <si>
    <t xml:space="preserve">R-01026</t>
  </si>
  <si>
    <t xml:space="preserve">R-01027</t>
  </si>
  <si>
    <t xml:space="preserve">R-01028</t>
  </si>
  <si>
    <t xml:space="preserve">R-01029</t>
  </si>
  <si>
    <t xml:space="preserve">R-01030</t>
  </si>
  <si>
    <t xml:space="preserve">R-01031</t>
  </si>
  <si>
    <t xml:space="preserve">R-01032</t>
  </si>
  <si>
    <t xml:space="preserve">R-01033</t>
  </si>
  <si>
    <t xml:space="preserve">R-01034</t>
  </si>
  <si>
    <t xml:space="preserve">R-01035</t>
  </si>
  <si>
    <t xml:space="preserve">R-01036</t>
  </si>
  <si>
    <t xml:space="preserve">R-01037</t>
  </si>
  <si>
    <t xml:space="preserve">R-01038</t>
  </si>
  <si>
    <t xml:space="preserve">R-01039</t>
  </si>
  <si>
    <t xml:space="preserve">R-01040</t>
  </si>
  <si>
    <t xml:space="preserve">R-01041</t>
  </si>
  <si>
    <t xml:space="preserve">R-01042</t>
  </si>
  <si>
    <t xml:space="preserve">R-01043</t>
  </si>
  <si>
    <t xml:space="preserve">R-01044</t>
  </si>
  <si>
    <t xml:space="preserve">R-01045</t>
  </si>
  <si>
    <t xml:space="preserve">R-01046</t>
  </si>
  <si>
    <t xml:space="preserve">R-01047</t>
  </si>
  <si>
    <t xml:space="preserve">R-01048</t>
  </si>
  <si>
    <t xml:space="preserve">R-01049</t>
  </si>
  <si>
    <t xml:space="preserve">R-01050</t>
  </si>
  <si>
    <t xml:space="preserve">R-01051</t>
  </si>
  <si>
    <t xml:space="preserve">R-01052</t>
  </si>
  <si>
    <t xml:space="preserve">R-01053</t>
  </si>
  <si>
    <t xml:space="preserve">R-01054</t>
  </si>
  <si>
    <t xml:space="preserve">R-01055</t>
  </si>
  <si>
    <t xml:space="preserve">R-01056</t>
  </si>
  <si>
    <t xml:space="preserve">R-01057</t>
  </si>
  <si>
    <t xml:space="preserve">R-01058</t>
  </si>
  <si>
    <t xml:space="preserve">R-01059</t>
  </si>
  <si>
    <t xml:space="preserve">R-01060</t>
  </si>
  <si>
    <t xml:space="preserve">R-01061</t>
  </si>
  <si>
    <t xml:space="preserve">R-01062</t>
  </si>
  <si>
    <t xml:space="preserve">R-01063</t>
  </si>
  <si>
    <t xml:space="preserve">R-01064</t>
  </si>
  <si>
    <t xml:space="preserve">R-01065</t>
  </si>
  <si>
    <t xml:space="preserve">R-01066</t>
  </si>
  <si>
    <t xml:space="preserve">R-01067</t>
  </si>
  <si>
    <t xml:space="preserve">R-01068</t>
  </si>
  <si>
    <t xml:space="preserve">R-01069</t>
  </si>
  <si>
    <t xml:space="preserve">R-01070</t>
  </si>
  <si>
    <t xml:space="preserve">R-01071</t>
  </si>
  <si>
    <t xml:space="preserve">R-01072</t>
  </si>
  <si>
    <t xml:space="preserve">R-01073</t>
  </si>
  <si>
    <t xml:space="preserve">R-01074</t>
  </si>
  <si>
    <t xml:space="preserve">R-01075</t>
  </si>
  <si>
    <t xml:space="preserve">R-01076</t>
  </si>
  <si>
    <t xml:space="preserve">R-01077</t>
  </si>
  <si>
    <t xml:space="preserve">R-01078</t>
  </si>
  <si>
    <t xml:space="preserve">R-01079</t>
  </si>
  <si>
    <t xml:space="preserve">R-01080</t>
  </si>
  <si>
    <t xml:space="preserve">R-01081</t>
  </si>
  <si>
    <t xml:space="preserve">R-01082</t>
  </si>
  <si>
    <t xml:space="preserve">R-01083</t>
  </si>
  <si>
    <t xml:space="preserve">R-01084</t>
  </si>
  <si>
    <t xml:space="preserve">R-01085</t>
  </si>
  <si>
    <t xml:space="preserve">R-01086</t>
  </si>
  <si>
    <t xml:space="preserve">R-01087</t>
  </si>
  <si>
    <t xml:space="preserve">R-01088</t>
  </si>
  <si>
    <t xml:space="preserve">R-01089</t>
  </si>
  <si>
    <t xml:space="preserve">R-01090</t>
  </si>
  <si>
    <t xml:space="preserve">R-01091</t>
  </si>
  <si>
    <t xml:space="preserve">R-01092</t>
  </si>
  <si>
    <t xml:space="preserve">R-01093</t>
  </si>
  <si>
    <t xml:space="preserve">R-01094</t>
  </si>
  <si>
    <t xml:space="preserve">R-01095</t>
  </si>
  <si>
    <t xml:space="preserve">R-01096</t>
  </si>
  <si>
    <t xml:space="preserve">R-01097</t>
  </si>
  <si>
    <t xml:space="preserve">R-01098</t>
  </si>
  <si>
    <t xml:space="preserve">R-01099</t>
  </si>
  <si>
    <t xml:space="preserve">R-01100</t>
  </si>
  <si>
    <t xml:space="preserve">R-01101</t>
  </si>
  <si>
    <t xml:space="preserve">R-01102</t>
  </si>
  <si>
    <t xml:space="preserve">R-01103</t>
  </si>
  <si>
    <t xml:space="preserve">R-01104</t>
  </si>
  <si>
    <t xml:space="preserve">R-01105</t>
  </si>
  <si>
    <t xml:space="preserve">R-01106</t>
  </si>
  <si>
    <t xml:space="preserve">R-01107</t>
  </si>
  <si>
    <t xml:space="preserve">R-01108</t>
  </si>
  <si>
    <t xml:space="preserve">R-01109</t>
  </si>
  <si>
    <t xml:space="preserve">R-01110</t>
  </si>
  <si>
    <t xml:space="preserve">R-01111</t>
  </si>
  <si>
    <t xml:space="preserve">R-01112</t>
  </si>
  <si>
    <t xml:space="preserve">R-01113</t>
  </si>
  <si>
    <t xml:space="preserve">R-01114</t>
  </si>
  <si>
    <t xml:space="preserve">R-01115</t>
  </si>
  <si>
    <t xml:space="preserve">R-01116</t>
  </si>
  <si>
    <t xml:space="preserve">R-01117</t>
  </si>
  <si>
    <t xml:space="preserve">R-01118</t>
  </si>
  <si>
    <t xml:space="preserve">R-01119</t>
  </si>
  <si>
    <t xml:space="preserve">R-01120</t>
  </si>
  <si>
    <t xml:space="preserve">R-01121</t>
  </si>
  <si>
    <t xml:space="preserve">R-01122</t>
  </si>
  <si>
    <t xml:space="preserve">R-01123</t>
  </si>
  <si>
    <t xml:space="preserve">R-01124</t>
  </si>
  <si>
    <t xml:space="preserve">R-01125</t>
  </si>
  <si>
    <t xml:space="preserve">R-01126</t>
  </si>
  <si>
    <t xml:space="preserve">R-01127</t>
  </si>
  <si>
    <t xml:space="preserve">R-01128</t>
  </si>
  <si>
    <t xml:space="preserve">R-01129</t>
  </si>
  <si>
    <t xml:space="preserve">R-01130</t>
  </si>
  <si>
    <t xml:space="preserve">R-01131</t>
  </si>
  <si>
    <t xml:space="preserve">R-01132</t>
  </si>
  <si>
    <t xml:space="preserve">R-01133</t>
  </si>
  <si>
    <t xml:space="preserve">R-01134</t>
  </si>
  <si>
    <t xml:space="preserve">R-01135</t>
  </si>
  <si>
    <t xml:space="preserve">R-01136</t>
  </si>
  <si>
    <t xml:space="preserve">R-01137</t>
  </si>
  <si>
    <t xml:space="preserve">R-01138</t>
  </si>
  <si>
    <t xml:space="preserve">R-01139</t>
  </si>
  <si>
    <t xml:space="preserve">R-01140</t>
  </si>
  <si>
    <t xml:space="preserve">R-01141</t>
  </si>
  <si>
    <t xml:space="preserve">R-01142</t>
  </si>
  <si>
    <t xml:space="preserve">R-01143</t>
  </si>
  <si>
    <t xml:space="preserve">R-01144</t>
  </si>
  <si>
    <t xml:space="preserve">R-01145</t>
  </si>
  <si>
    <t xml:space="preserve">R-01146</t>
  </si>
  <si>
    <t xml:space="preserve">R-01147</t>
  </si>
  <si>
    <t xml:space="preserve">R-01148</t>
  </si>
  <si>
    <t xml:space="preserve">R-01149</t>
  </si>
  <si>
    <t xml:space="preserve">R-01150</t>
  </si>
  <si>
    <t xml:space="preserve">R-01151</t>
  </si>
  <si>
    <t xml:space="preserve">R-01152</t>
  </si>
  <si>
    <t xml:space="preserve">R-01153</t>
  </si>
  <si>
    <t xml:space="preserve">R-01154</t>
  </si>
  <si>
    <t xml:space="preserve">R-01155</t>
  </si>
  <si>
    <t xml:space="preserve">R-01156</t>
  </si>
  <si>
    <t xml:space="preserve">R-01157</t>
  </si>
  <si>
    <t xml:space="preserve">R-01158</t>
  </si>
  <si>
    <t xml:space="preserve">R-01159</t>
  </si>
  <si>
    <t xml:space="preserve">R-01160</t>
  </si>
  <si>
    <t xml:space="preserve">R-01161</t>
  </si>
  <si>
    <t xml:space="preserve">R-01162</t>
  </si>
  <si>
    <t xml:space="preserve">R-01163</t>
  </si>
  <si>
    <t xml:space="preserve">R-01164</t>
  </si>
  <si>
    <t xml:space="preserve">R-01165</t>
  </si>
  <si>
    <t xml:space="preserve">R-01166</t>
  </si>
  <si>
    <t xml:space="preserve">R-01167</t>
  </si>
  <si>
    <t xml:space="preserve">R-01168</t>
  </si>
  <si>
    <t xml:space="preserve">R-01169</t>
  </si>
  <si>
    <t xml:space="preserve">R-01170</t>
  </si>
  <si>
    <t xml:space="preserve">R-01171</t>
  </si>
  <si>
    <t xml:space="preserve">R-01172</t>
  </si>
  <si>
    <t xml:space="preserve">R-01173</t>
  </si>
  <si>
    <t xml:space="preserve">R-01174</t>
  </si>
  <si>
    <t xml:space="preserve">R-01175</t>
  </si>
  <si>
    <t xml:space="preserve">R-01176</t>
  </si>
  <si>
    <t xml:space="preserve">R-01177</t>
  </si>
  <si>
    <t xml:space="preserve">R-01178</t>
  </si>
  <si>
    <t xml:space="preserve">R-01179</t>
  </si>
  <si>
    <t xml:space="preserve">R-01180</t>
  </si>
  <si>
    <t xml:space="preserve">R-01181</t>
  </si>
  <si>
    <t xml:space="preserve">R-01182</t>
  </si>
  <si>
    <t xml:space="preserve">R-01183</t>
  </si>
  <si>
    <t xml:space="preserve">R-01184</t>
  </si>
  <si>
    <t xml:space="preserve">R-01185</t>
  </si>
  <si>
    <t xml:space="preserve">R-01186</t>
  </si>
  <si>
    <t xml:space="preserve">R-01187</t>
  </si>
  <si>
    <t xml:space="preserve">R-01188</t>
  </si>
  <si>
    <t xml:space="preserve">R-01189</t>
  </si>
  <si>
    <t xml:space="preserve">R-01190</t>
  </si>
  <si>
    <t xml:space="preserve">R-01191</t>
  </si>
  <si>
    <t xml:space="preserve">R-01192</t>
  </si>
  <si>
    <t xml:space="preserve">R-01193</t>
  </si>
  <si>
    <t xml:space="preserve">R-01194</t>
  </si>
  <si>
    <t xml:space="preserve">R-01195</t>
  </si>
  <si>
    <t xml:space="preserve">R-01196</t>
  </si>
  <si>
    <t xml:space="preserve">R-01197</t>
  </si>
  <si>
    <t xml:space="preserve">R-01198</t>
  </si>
  <si>
    <t xml:space="preserve">R-01199</t>
  </si>
  <si>
    <t xml:space="preserve">R-01200</t>
  </si>
  <si>
    <t xml:space="preserve">R-01201</t>
  </si>
  <si>
    <t xml:space="preserve">R-01202</t>
  </si>
  <si>
    <t xml:space="preserve">R-01203</t>
  </si>
  <si>
    <t xml:space="preserve">R-01204</t>
  </si>
  <si>
    <t xml:space="preserve">R-01205</t>
  </si>
  <si>
    <t xml:space="preserve">R-01206</t>
  </si>
  <si>
    <t xml:space="preserve">R-01207</t>
  </si>
  <si>
    <t xml:space="preserve">R-01208</t>
  </si>
  <si>
    <t xml:space="preserve">R-01209</t>
  </si>
  <si>
    <t xml:space="preserve">R-01210</t>
  </si>
  <si>
    <t xml:space="preserve">R-01211</t>
  </si>
  <si>
    <t xml:space="preserve">R-01212</t>
  </si>
  <si>
    <t xml:space="preserve">R-01213</t>
  </si>
  <si>
    <t xml:space="preserve">R-01214</t>
  </si>
  <si>
    <t xml:space="preserve">R-01215</t>
  </si>
  <si>
    <t xml:space="preserve">R-01216</t>
  </si>
  <si>
    <t xml:space="preserve">R-01217</t>
  </si>
  <si>
    <t xml:space="preserve">R-01218</t>
  </si>
  <si>
    <t xml:space="preserve">R-01219</t>
  </si>
  <si>
    <t xml:space="preserve">R-01220</t>
  </si>
  <si>
    <t xml:space="preserve">R-01221</t>
  </si>
  <si>
    <t xml:space="preserve">R-01222</t>
  </si>
  <si>
    <t xml:space="preserve">R-01223</t>
  </si>
  <si>
    <t xml:space="preserve">R-01224</t>
  </si>
  <si>
    <t xml:space="preserve">R-01225</t>
  </si>
  <si>
    <t xml:space="preserve">R-01226</t>
  </si>
  <si>
    <t xml:space="preserve">R-01227</t>
  </si>
  <si>
    <t xml:space="preserve">R-01228</t>
  </si>
  <si>
    <t xml:space="preserve">R-01229</t>
  </si>
  <si>
    <t xml:space="preserve">R-01230</t>
  </si>
  <si>
    <t xml:space="preserve">R-01231</t>
  </si>
  <si>
    <t xml:space="preserve">R-01232</t>
  </si>
  <si>
    <t xml:space="preserve">R-01233</t>
  </si>
  <si>
    <t xml:space="preserve">R-01234</t>
  </si>
  <si>
    <t xml:space="preserve">R-01235</t>
  </si>
  <si>
    <t xml:space="preserve">R-01236</t>
  </si>
  <si>
    <t xml:space="preserve">R-01237</t>
  </si>
  <si>
    <t xml:space="preserve">R-01238</t>
  </si>
  <si>
    <t xml:space="preserve">R-01239</t>
  </si>
  <si>
    <t xml:space="preserve">R-01240</t>
  </si>
  <si>
    <t xml:space="preserve">R-01241</t>
  </si>
  <si>
    <t xml:space="preserve">R-01242</t>
  </si>
  <si>
    <t xml:space="preserve">R-01243</t>
  </si>
  <si>
    <t xml:space="preserve">R-01244</t>
  </si>
  <si>
    <t xml:space="preserve">R-01245</t>
  </si>
  <si>
    <t xml:space="preserve">R-01246</t>
  </si>
  <si>
    <t xml:space="preserve">R-01247</t>
  </si>
  <si>
    <t xml:space="preserve">R-01248</t>
  </si>
  <si>
    <t xml:space="preserve">R-01249</t>
  </si>
  <si>
    <t xml:space="preserve">R-01250</t>
  </si>
  <si>
    <t xml:space="preserve">R-01251</t>
  </si>
  <si>
    <t xml:space="preserve">R-01252</t>
  </si>
  <si>
    <t xml:space="preserve">R-01253</t>
  </si>
  <si>
    <t xml:space="preserve">R-01254</t>
  </si>
  <si>
    <t xml:space="preserve">R-01255</t>
  </si>
  <si>
    <t xml:space="preserve">R-01256</t>
  </si>
  <si>
    <t xml:space="preserve">R-01257</t>
  </si>
  <si>
    <t xml:space="preserve">R-01258</t>
  </si>
  <si>
    <t xml:space="preserve">R-01259</t>
  </si>
  <si>
    <t xml:space="preserve">R-01260</t>
  </si>
  <si>
    <t xml:space="preserve">R-01261</t>
  </si>
  <si>
    <t xml:space="preserve">R-01262</t>
  </si>
  <si>
    <t xml:space="preserve">R-01263</t>
  </si>
  <si>
    <t xml:space="preserve">R-01264</t>
  </si>
  <si>
    <t xml:space="preserve">R-01265</t>
  </si>
  <si>
    <t xml:space="preserve">R-01266</t>
  </si>
  <si>
    <t xml:space="preserve">R-01267</t>
  </si>
  <si>
    <t xml:space="preserve">R-01268</t>
  </si>
  <si>
    <t xml:space="preserve">R-01269</t>
  </si>
  <si>
    <t xml:space="preserve">R-01270</t>
  </si>
  <si>
    <t xml:space="preserve">R-01271</t>
  </si>
  <si>
    <t xml:space="preserve">R-01272</t>
  </si>
  <si>
    <t xml:space="preserve">R-01273</t>
  </si>
  <si>
    <t xml:space="preserve">R-01274</t>
  </si>
  <si>
    <t xml:space="preserve">R-01275</t>
  </si>
  <si>
    <t xml:space="preserve">R-01276</t>
  </si>
  <si>
    <t xml:space="preserve">R-01277</t>
  </si>
  <si>
    <t xml:space="preserve">R-01278</t>
  </si>
  <si>
    <t xml:space="preserve">R-01279</t>
  </si>
  <si>
    <t xml:space="preserve">R-01280</t>
  </si>
  <si>
    <t xml:space="preserve">R-01281</t>
  </si>
  <si>
    <t xml:space="preserve">R-01282</t>
  </si>
  <si>
    <t xml:space="preserve">R-01283</t>
  </si>
  <si>
    <t xml:space="preserve">R-01284</t>
  </si>
  <si>
    <t xml:space="preserve">R-01285</t>
  </si>
  <si>
    <t xml:space="preserve">R-01286</t>
  </si>
  <si>
    <t xml:space="preserve">R-01287</t>
  </si>
  <si>
    <t xml:space="preserve">R-01288</t>
  </si>
  <si>
    <t xml:space="preserve">R-01289</t>
  </si>
  <si>
    <t xml:space="preserve">R-01290</t>
  </si>
  <si>
    <t xml:space="preserve">R-01291</t>
  </si>
  <si>
    <t xml:space="preserve">R-01292</t>
  </si>
  <si>
    <t xml:space="preserve">R-01293</t>
  </si>
  <si>
    <t xml:space="preserve">R-01294</t>
  </si>
  <si>
    <t xml:space="preserve">R-01295</t>
  </si>
  <si>
    <t xml:space="preserve">R-01296</t>
  </si>
  <si>
    <t xml:space="preserve">R-01297</t>
  </si>
  <si>
    <t xml:space="preserve">R-01298</t>
  </si>
  <si>
    <t xml:space="preserve">R-01299</t>
  </si>
  <si>
    <t xml:space="preserve">R-01300</t>
  </si>
  <si>
    <t xml:space="preserve">R-01301</t>
  </si>
  <si>
    <t xml:space="preserve">R-01302</t>
  </si>
  <si>
    <t xml:space="preserve">R-01303</t>
  </si>
  <si>
    <t xml:space="preserve">R-01304</t>
  </si>
  <si>
    <t xml:space="preserve">R-01305</t>
  </si>
  <si>
    <t xml:space="preserve">R-01306</t>
  </si>
  <si>
    <t xml:space="preserve">R-01307</t>
  </si>
  <si>
    <t xml:space="preserve">R-01308</t>
  </si>
  <si>
    <t xml:space="preserve">R-01309</t>
  </si>
  <si>
    <t xml:space="preserve">R-01310</t>
  </si>
  <si>
    <t xml:space="preserve">R-01311</t>
  </si>
  <si>
    <t xml:space="preserve">R-01312</t>
  </si>
  <si>
    <t xml:space="preserve">R-01313</t>
  </si>
  <si>
    <t xml:space="preserve">R-01314</t>
  </si>
  <si>
    <t xml:space="preserve">R-01315</t>
  </si>
  <si>
    <t xml:space="preserve">R-01316</t>
  </si>
  <si>
    <t xml:space="preserve">R-01317</t>
  </si>
  <si>
    <t xml:space="preserve">R-01318</t>
  </si>
  <si>
    <t xml:space="preserve">R-01319</t>
  </si>
  <si>
    <t xml:space="preserve">R-01320</t>
  </si>
  <si>
    <t xml:space="preserve">R-01321</t>
  </si>
  <si>
    <t xml:space="preserve">R-01322</t>
  </si>
  <si>
    <t xml:space="preserve">R-01323</t>
  </si>
  <si>
    <t xml:space="preserve">R-01324</t>
  </si>
  <si>
    <t xml:space="preserve">R-01325</t>
  </si>
  <si>
    <t xml:space="preserve">R-01326</t>
  </si>
  <si>
    <t xml:space="preserve">R-01327</t>
  </si>
  <si>
    <t xml:space="preserve">R-01328</t>
  </si>
  <si>
    <t xml:space="preserve">R-01329</t>
  </si>
  <si>
    <t xml:space="preserve">R-01330</t>
  </si>
  <si>
    <t xml:space="preserve">R-01331</t>
  </si>
  <si>
    <t xml:space="preserve">R-01332</t>
  </si>
  <si>
    <t xml:space="preserve">R-01333</t>
  </si>
  <si>
    <t xml:space="preserve">R-01334</t>
  </si>
  <si>
    <t xml:space="preserve">R-01335</t>
  </si>
  <si>
    <t xml:space="preserve">R-01336</t>
  </si>
  <si>
    <t xml:space="preserve">R-01337</t>
  </si>
  <si>
    <t xml:space="preserve">R-01338</t>
  </si>
  <si>
    <t xml:space="preserve">R-01339</t>
  </si>
  <si>
    <t xml:space="preserve">R-01340</t>
  </si>
  <si>
    <t xml:space="preserve">R-01341</t>
  </si>
  <si>
    <t xml:space="preserve">R-01342</t>
  </si>
  <si>
    <t xml:space="preserve">R-01343</t>
  </si>
  <si>
    <t xml:space="preserve">R-01344</t>
  </si>
  <si>
    <t xml:space="preserve">R-01345</t>
  </si>
  <si>
    <t xml:space="preserve">R-01346</t>
  </si>
  <si>
    <t xml:space="preserve">R-01347</t>
  </si>
  <si>
    <t xml:space="preserve">R-01348</t>
  </si>
  <si>
    <t xml:space="preserve">R-01349</t>
  </si>
  <si>
    <t xml:space="preserve">R-01350</t>
  </si>
  <si>
    <t xml:space="preserve">R-01351</t>
  </si>
  <si>
    <t xml:space="preserve">R-01352</t>
  </si>
  <si>
    <t xml:space="preserve">R-01353</t>
  </si>
  <si>
    <t xml:space="preserve">R-01354</t>
  </si>
  <si>
    <t xml:space="preserve">R-01355</t>
  </si>
  <si>
    <t xml:space="preserve">R-01356</t>
  </si>
  <si>
    <t xml:space="preserve">R-01357</t>
  </si>
  <si>
    <t xml:space="preserve">R-01358</t>
  </si>
  <si>
    <t xml:space="preserve">R-01359</t>
  </si>
  <si>
    <t xml:space="preserve">R-01360</t>
  </si>
  <si>
    <t xml:space="preserve">R-01361</t>
  </si>
  <si>
    <t xml:space="preserve">R-01362</t>
  </si>
  <si>
    <t xml:space="preserve">R-01363</t>
  </si>
  <si>
    <t xml:space="preserve">R-01364</t>
  </si>
  <si>
    <t xml:space="preserve">R-01365</t>
  </si>
  <si>
    <t xml:space="preserve">R-01366</t>
  </si>
  <si>
    <t xml:space="preserve">R-01367</t>
  </si>
  <si>
    <t xml:space="preserve">R-01368</t>
  </si>
  <si>
    <t xml:space="preserve">R-01369</t>
  </si>
  <si>
    <t xml:space="preserve">R-01370</t>
  </si>
  <si>
    <t xml:space="preserve">R-01371</t>
  </si>
  <si>
    <t xml:space="preserve">R-01372</t>
  </si>
  <si>
    <t xml:space="preserve">R-01373</t>
  </si>
  <si>
    <t xml:space="preserve">R-01374</t>
  </si>
  <si>
    <t xml:space="preserve">R-01375</t>
  </si>
  <si>
    <t xml:space="preserve">R-01376</t>
  </si>
  <si>
    <t xml:space="preserve">R-01377</t>
  </si>
  <si>
    <t xml:space="preserve">R-01378</t>
  </si>
  <si>
    <t xml:space="preserve">R-01379</t>
  </si>
  <si>
    <t xml:space="preserve">R-01380</t>
  </si>
  <si>
    <t xml:space="preserve">R-01381</t>
  </si>
  <si>
    <t xml:space="preserve">R-01382</t>
  </si>
  <si>
    <t xml:space="preserve">R-01383</t>
  </si>
  <si>
    <t xml:space="preserve">R-01384</t>
  </si>
  <si>
    <t xml:space="preserve">R-01385</t>
  </si>
  <si>
    <t xml:space="preserve">R-01386</t>
  </si>
  <si>
    <t xml:space="preserve">R-01387</t>
  </si>
  <si>
    <t xml:space="preserve">R-01388</t>
  </si>
  <si>
    <t xml:space="preserve">R-01389</t>
  </si>
  <si>
    <t xml:space="preserve">R-01390</t>
  </si>
  <si>
    <t xml:space="preserve">R-01391</t>
  </si>
  <si>
    <t xml:space="preserve">R-01392</t>
  </si>
  <si>
    <t xml:space="preserve">R-01393</t>
  </si>
  <si>
    <t xml:space="preserve">R-01394</t>
  </si>
  <si>
    <t xml:space="preserve">R-01395</t>
  </si>
  <si>
    <t xml:space="preserve">R-01396</t>
  </si>
  <si>
    <t xml:space="preserve">R-01397</t>
  </si>
  <si>
    <t xml:space="preserve">R-01398</t>
  </si>
  <si>
    <t xml:space="preserve">R-01399</t>
  </si>
  <si>
    <t xml:space="preserve">R-01400</t>
  </si>
  <si>
    <t xml:space="preserve">R-01401</t>
  </si>
  <si>
    <t xml:space="preserve">R-01402</t>
  </si>
  <si>
    <t xml:space="preserve">R-01403</t>
  </si>
  <si>
    <t xml:space="preserve">R-01404</t>
  </si>
  <si>
    <t xml:space="preserve">R-01405</t>
  </si>
  <si>
    <t xml:space="preserve">R-01406</t>
  </si>
  <si>
    <t xml:space="preserve">R-01407</t>
  </si>
  <si>
    <t xml:space="preserve">R-01408</t>
  </si>
  <si>
    <t xml:space="preserve">R-01409</t>
  </si>
  <si>
    <t xml:space="preserve">R-01410</t>
  </si>
  <si>
    <t xml:space="preserve">R-01411</t>
  </si>
  <si>
    <t xml:space="preserve">R-01412</t>
  </si>
  <si>
    <t xml:space="preserve">R-01413</t>
  </si>
  <si>
    <t xml:space="preserve">R-01414</t>
  </si>
  <si>
    <t xml:space="preserve">R-01415</t>
  </si>
  <si>
    <t xml:space="preserve">R-01416</t>
  </si>
  <si>
    <t xml:space="preserve">R-01417</t>
  </si>
  <si>
    <t xml:space="preserve">R-01418</t>
  </si>
  <si>
    <t xml:space="preserve">R-01419</t>
  </si>
  <si>
    <t xml:space="preserve">R-01420</t>
  </si>
  <si>
    <t xml:space="preserve">R-01421</t>
  </si>
  <si>
    <t xml:space="preserve">R-01422</t>
  </si>
  <si>
    <t xml:space="preserve">R-01423</t>
  </si>
  <si>
    <t xml:space="preserve">R-01424</t>
  </si>
  <si>
    <t xml:space="preserve">R-01425</t>
  </si>
  <si>
    <t xml:space="preserve">R-01426</t>
  </si>
  <si>
    <t xml:space="preserve">R-01427</t>
  </si>
  <si>
    <t xml:space="preserve">R-01428</t>
  </si>
  <si>
    <t xml:space="preserve">R-01429</t>
  </si>
  <si>
    <t xml:space="preserve">R-01430</t>
  </si>
  <si>
    <t xml:space="preserve">R-01431</t>
  </si>
  <si>
    <t xml:space="preserve">R-01432</t>
  </si>
  <si>
    <t xml:space="preserve">R-01433</t>
  </si>
  <si>
    <t xml:space="preserve">R-01434</t>
  </si>
  <si>
    <t xml:space="preserve">R-01435</t>
  </si>
  <si>
    <t xml:space="preserve">R-01436</t>
  </si>
  <si>
    <t xml:space="preserve">R-01437</t>
  </si>
  <si>
    <t xml:space="preserve">R-01438</t>
  </si>
  <si>
    <t xml:space="preserve">R-01439</t>
  </si>
  <si>
    <t xml:space="preserve">R-01440</t>
  </si>
  <si>
    <t xml:space="preserve">R-01441</t>
  </si>
  <si>
    <t xml:space="preserve">R-01442</t>
  </si>
  <si>
    <t xml:space="preserve">R-01443</t>
  </si>
  <si>
    <t xml:space="preserve">R-01444</t>
  </si>
  <si>
    <t xml:space="preserve">R-01445</t>
  </si>
  <si>
    <t xml:space="preserve">R-01446</t>
  </si>
  <si>
    <t xml:space="preserve">R-01447</t>
  </si>
  <si>
    <t xml:space="preserve">R-01448</t>
  </si>
  <si>
    <t xml:space="preserve">R-01449</t>
  </si>
  <si>
    <t xml:space="preserve">R-01450</t>
  </si>
  <si>
    <t xml:space="preserve">R-01451</t>
  </si>
  <si>
    <t xml:space="preserve">R-01452</t>
  </si>
  <si>
    <t xml:space="preserve">R-01453</t>
  </si>
  <si>
    <t xml:space="preserve">R-01454</t>
  </si>
  <si>
    <t xml:space="preserve">R-01455</t>
  </si>
  <si>
    <t xml:space="preserve">R-01456</t>
  </si>
  <si>
    <t xml:space="preserve">R-01457</t>
  </si>
  <si>
    <t xml:space="preserve">R-01458</t>
  </si>
  <si>
    <t xml:space="preserve">R-01459</t>
  </si>
  <si>
    <t xml:space="preserve">R-01460</t>
  </si>
  <si>
    <t xml:space="preserve">R-01461</t>
  </si>
  <si>
    <t xml:space="preserve">R-01462</t>
  </si>
  <si>
    <t xml:space="preserve">R-01463</t>
  </si>
  <si>
    <t xml:space="preserve">R-01464</t>
  </si>
  <si>
    <t xml:space="preserve">R-01465</t>
  </si>
  <si>
    <t xml:space="preserve">R-01466</t>
  </si>
  <si>
    <t xml:space="preserve">R-01467</t>
  </si>
  <si>
    <t xml:space="preserve">R-01468</t>
  </si>
  <si>
    <t xml:space="preserve">R-01469</t>
  </si>
  <si>
    <t xml:space="preserve">R-01470</t>
  </si>
  <si>
    <t xml:space="preserve">R-01471</t>
  </si>
  <si>
    <t xml:space="preserve">R-01472</t>
  </si>
  <si>
    <t xml:space="preserve">R-01473</t>
  </si>
  <si>
    <t xml:space="preserve">R-01474</t>
  </si>
  <si>
    <t xml:space="preserve">R-01475</t>
  </si>
  <si>
    <t xml:space="preserve">R-01476</t>
  </si>
  <si>
    <t xml:space="preserve">R-01477</t>
  </si>
  <si>
    <t xml:space="preserve">R-01478</t>
  </si>
  <si>
    <t xml:space="preserve">R-01479</t>
  </si>
  <si>
    <t xml:space="preserve">R-01480</t>
  </si>
  <si>
    <t xml:space="preserve">R-01481</t>
  </si>
  <si>
    <t xml:space="preserve">R-01482</t>
  </si>
  <si>
    <t xml:space="preserve">R-01483</t>
  </si>
  <si>
    <t xml:space="preserve">R-01484</t>
  </si>
  <si>
    <t xml:space="preserve">R-01485</t>
  </si>
  <si>
    <t xml:space="preserve">R-01486</t>
  </si>
  <si>
    <t xml:space="preserve">R-01487</t>
  </si>
  <si>
    <t xml:space="preserve">R-01488</t>
  </si>
  <si>
    <t xml:space="preserve">R-01489</t>
  </si>
  <si>
    <t xml:space="preserve">R-01490</t>
  </si>
  <si>
    <t xml:space="preserve">R-01491</t>
  </si>
  <si>
    <t xml:space="preserve">R-01492</t>
  </si>
  <si>
    <t xml:space="preserve">R-01493</t>
  </si>
  <si>
    <t xml:space="preserve">R-01494</t>
  </si>
  <si>
    <t xml:space="preserve">R-01495</t>
  </si>
  <si>
    <t xml:space="preserve">R-01496</t>
  </si>
  <si>
    <t xml:space="preserve">R-01497</t>
  </si>
  <si>
    <t xml:space="preserve">R-01498</t>
  </si>
  <si>
    <t xml:space="preserve">R-01499</t>
  </si>
  <si>
    <t xml:space="preserve">R-01500</t>
  </si>
  <si>
    <t xml:space="preserve">R-01501</t>
  </si>
  <si>
    <t xml:space="preserve">R-01502</t>
  </si>
  <si>
    <t xml:space="preserve">R-01503</t>
  </si>
  <si>
    <t xml:space="preserve">R-01504</t>
  </si>
  <si>
    <t xml:space="preserve">R-01505</t>
  </si>
  <si>
    <t xml:space="preserve">R-01506</t>
  </si>
  <si>
    <t xml:space="preserve">R-01507</t>
  </si>
  <si>
    <t xml:space="preserve">R-01508</t>
  </si>
  <si>
    <t xml:space="preserve">R-01509</t>
  </si>
  <si>
    <t xml:space="preserve">R-01510</t>
  </si>
  <si>
    <t xml:space="preserve">R-01511</t>
  </si>
  <si>
    <t xml:space="preserve">R-01512</t>
  </si>
  <si>
    <t xml:space="preserve">R-01513</t>
  </si>
  <si>
    <t xml:space="preserve">R-01514</t>
  </si>
  <si>
    <t xml:space="preserve">R-01515</t>
  </si>
  <si>
    <t xml:space="preserve">R-01516</t>
  </si>
  <si>
    <t xml:space="preserve">R-01517</t>
  </si>
  <si>
    <t xml:space="preserve">R-01518</t>
  </si>
  <si>
    <t xml:space="preserve">R-01519</t>
  </si>
  <si>
    <t xml:space="preserve">R-01520</t>
  </si>
  <si>
    <t xml:space="preserve">R-01521</t>
  </si>
  <si>
    <t xml:space="preserve">R-01522</t>
  </si>
  <si>
    <t xml:space="preserve">R-01523</t>
  </si>
  <si>
    <t xml:space="preserve">R-01524</t>
  </si>
  <si>
    <t xml:space="preserve">R-01525</t>
  </si>
  <si>
    <t xml:space="preserve">R-01526</t>
  </si>
  <si>
    <t xml:space="preserve">R-01527</t>
  </si>
  <si>
    <t xml:space="preserve">R-01528</t>
  </si>
  <si>
    <t xml:space="preserve">R-01529</t>
  </si>
  <si>
    <t xml:space="preserve">R-01530</t>
  </si>
  <si>
    <t xml:space="preserve">R-01531</t>
  </si>
  <si>
    <t xml:space="preserve">R-01532</t>
  </si>
  <si>
    <t xml:space="preserve">R-01533</t>
  </si>
  <si>
    <t xml:space="preserve">R-01534</t>
  </si>
  <si>
    <t xml:space="preserve">R-01535</t>
  </si>
  <si>
    <t xml:space="preserve">R-01536</t>
  </si>
  <si>
    <t xml:space="preserve">R-01537</t>
  </si>
  <si>
    <t xml:space="preserve">R-01538</t>
  </si>
  <si>
    <t xml:space="preserve">R-01539</t>
  </si>
  <si>
    <t xml:space="preserve">R-01540</t>
  </si>
  <si>
    <t xml:space="preserve">R-01541</t>
  </si>
  <si>
    <t xml:space="preserve">R-01542</t>
  </si>
  <si>
    <t xml:space="preserve">R-01543</t>
  </si>
  <si>
    <t xml:space="preserve">R-01544</t>
  </si>
  <si>
    <t xml:space="preserve">R-01545</t>
  </si>
  <si>
    <t xml:space="preserve">R-01546</t>
  </si>
  <si>
    <t xml:space="preserve">R-01547</t>
  </si>
  <si>
    <t xml:space="preserve">R-01548</t>
  </si>
  <si>
    <t xml:space="preserve">R-01549</t>
  </si>
  <si>
    <t xml:space="preserve">R-01550</t>
  </si>
  <si>
    <t xml:space="preserve">R-01551</t>
  </si>
  <si>
    <t xml:space="preserve">R-01552</t>
  </si>
  <si>
    <t xml:space="preserve">R-01553</t>
  </si>
  <si>
    <t xml:space="preserve">R-01554</t>
  </si>
  <si>
    <t xml:space="preserve">R-01555</t>
  </si>
  <si>
    <t xml:space="preserve">R-01556</t>
  </si>
  <si>
    <t xml:space="preserve">R-01557</t>
  </si>
  <si>
    <t xml:space="preserve">R-01558</t>
  </si>
  <si>
    <t xml:space="preserve">R-01559</t>
  </si>
  <si>
    <t xml:space="preserve">R-01560</t>
  </si>
  <si>
    <t xml:space="preserve">R-01561</t>
  </si>
  <si>
    <t xml:space="preserve">R-01562</t>
  </si>
  <si>
    <t xml:space="preserve">R-01563</t>
  </si>
  <si>
    <t xml:space="preserve">R-01564</t>
  </si>
  <si>
    <t xml:space="preserve">R-01565</t>
  </si>
  <si>
    <t xml:space="preserve">R-01566</t>
  </si>
  <si>
    <t xml:space="preserve">R-01567</t>
  </si>
  <si>
    <t xml:space="preserve">R-01568</t>
  </si>
  <si>
    <t xml:space="preserve">R-01569</t>
  </si>
  <si>
    <t xml:space="preserve">R-01570</t>
  </si>
  <si>
    <t xml:space="preserve">R-01571</t>
  </si>
  <si>
    <t xml:space="preserve">R-01572</t>
  </si>
  <si>
    <t xml:space="preserve">R-01573</t>
  </si>
  <si>
    <t xml:space="preserve">R-01574</t>
  </si>
  <si>
    <t xml:space="preserve">R-01575</t>
  </si>
  <si>
    <t xml:space="preserve">R-01576</t>
  </si>
  <si>
    <t xml:space="preserve">R-01577</t>
  </si>
  <si>
    <t xml:space="preserve">R-01578</t>
  </si>
  <si>
    <t xml:space="preserve">R-01579</t>
  </si>
  <si>
    <t xml:space="preserve">R-01580</t>
  </si>
  <si>
    <t xml:space="preserve">R-01581</t>
  </si>
  <si>
    <t xml:space="preserve">R-01582</t>
  </si>
  <si>
    <t xml:space="preserve">R-01583</t>
  </si>
  <si>
    <t xml:space="preserve">R-01584</t>
  </si>
  <si>
    <t xml:space="preserve">R-01585</t>
  </si>
  <si>
    <t xml:space="preserve">R-01586</t>
  </si>
  <si>
    <t xml:space="preserve">R-01587</t>
  </si>
  <si>
    <t xml:space="preserve">R-01588</t>
  </si>
  <si>
    <t xml:space="preserve">R-01589</t>
  </si>
  <si>
    <t xml:space="preserve">R-01590</t>
  </si>
  <si>
    <t xml:space="preserve">R-01591</t>
  </si>
  <si>
    <t xml:space="preserve">R-01592</t>
  </si>
  <si>
    <t xml:space="preserve">R-01593</t>
  </si>
  <si>
    <t xml:space="preserve">R-01594</t>
  </si>
  <si>
    <t xml:space="preserve">R-01595</t>
  </si>
  <si>
    <t xml:space="preserve">R-01596</t>
  </si>
  <si>
    <t xml:space="preserve">R-01597</t>
  </si>
  <si>
    <t xml:space="preserve">R-01598</t>
  </si>
  <si>
    <t xml:space="preserve">R-01599</t>
  </si>
  <si>
    <t xml:space="preserve">R-01600</t>
  </si>
  <si>
    <t xml:space="preserve">R-01601</t>
  </si>
  <si>
    <t xml:space="preserve">R-01602</t>
  </si>
  <si>
    <t xml:space="preserve">R-01603</t>
  </si>
  <si>
    <t xml:space="preserve">R-01604</t>
  </si>
  <si>
    <t xml:space="preserve">R-01605</t>
  </si>
  <si>
    <t xml:space="preserve">R-01606</t>
  </si>
  <si>
    <t xml:space="preserve">R-01607</t>
  </si>
  <si>
    <t xml:space="preserve">R-01608</t>
  </si>
  <si>
    <t xml:space="preserve">R-01609</t>
  </si>
  <si>
    <t xml:space="preserve">R-01610</t>
  </si>
  <si>
    <t xml:space="preserve">R-01611</t>
  </si>
  <si>
    <t xml:space="preserve">R-01612</t>
  </si>
  <si>
    <t xml:space="preserve">R-01613</t>
  </si>
  <si>
    <t xml:space="preserve">R-01614</t>
  </si>
  <si>
    <t xml:space="preserve">R-01615</t>
  </si>
  <si>
    <t xml:space="preserve">R-01616</t>
  </si>
  <si>
    <t xml:space="preserve">R-01617</t>
  </si>
  <si>
    <t xml:space="preserve">R-01618</t>
  </si>
  <si>
    <t xml:space="preserve">R-01619</t>
  </si>
  <si>
    <t xml:space="preserve">R-01620</t>
  </si>
  <si>
    <t xml:space="preserve">R-01621</t>
  </si>
  <si>
    <t xml:space="preserve">R-01622</t>
  </si>
  <si>
    <t xml:space="preserve">R-01623</t>
  </si>
  <si>
    <t xml:space="preserve">R-01624</t>
  </si>
  <si>
    <t xml:space="preserve">R-01625</t>
  </si>
  <si>
    <t xml:space="preserve">R-01626</t>
  </si>
  <si>
    <t xml:space="preserve">R-01627</t>
  </si>
  <si>
    <t xml:space="preserve">R-01628</t>
  </si>
  <si>
    <t xml:space="preserve">R-01629</t>
  </si>
  <si>
    <t xml:space="preserve">R-01630</t>
  </si>
  <si>
    <t xml:space="preserve">R-01631</t>
  </si>
  <si>
    <t xml:space="preserve">R-01632</t>
  </si>
  <si>
    <t xml:space="preserve">R-01633</t>
  </si>
  <si>
    <t xml:space="preserve">R-01634</t>
  </si>
  <si>
    <t xml:space="preserve">R-01635</t>
  </si>
  <si>
    <t xml:space="preserve">R-01636</t>
  </si>
  <si>
    <t xml:space="preserve">R-01637</t>
  </si>
  <si>
    <t xml:space="preserve">R-01638</t>
  </si>
  <si>
    <t xml:space="preserve">R-01639</t>
  </si>
  <si>
    <t xml:space="preserve">R-01640</t>
  </si>
  <si>
    <t xml:space="preserve">R-01641</t>
  </si>
  <si>
    <t xml:space="preserve">R-01642</t>
  </si>
  <si>
    <t xml:space="preserve">R-01643</t>
  </si>
  <si>
    <t xml:space="preserve">R-01644</t>
  </si>
  <si>
    <t xml:space="preserve">R-01645</t>
  </si>
  <si>
    <t xml:space="preserve">R-01646</t>
  </si>
  <si>
    <t xml:space="preserve">R-01647</t>
  </si>
  <si>
    <t xml:space="preserve">R-01648</t>
  </si>
  <si>
    <t xml:space="preserve">R-01649</t>
  </si>
  <si>
    <t xml:space="preserve">R-01650</t>
  </si>
  <si>
    <t xml:space="preserve">R-01651</t>
  </si>
  <si>
    <t xml:space="preserve">R-01652</t>
  </si>
  <si>
    <t xml:space="preserve">R-01653</t>
  </si>
  <si>
    <t xml:space="preserve">R-01654</t>
  </si>
  <si>
    <t xml:space="preserve">R-01655</t>
  </si>
  <si>
    <t xml:space="preserve">R-01656</t>
  </si>
  <si>
    <t xml:space="preserve">R-01657</t>
  </si>
  <si>
    <t xml:space="preserve">R-01658</t>
  </si>
  <si>
    <t xml:space="preserve">R-01659</t>
  </si>
  <si>
    <t xml:space="preserve">R-01660</t>
  </si>
  <si>
    <t xml:space="preserve">R-01661</t>
  </si>
  <si>
    <t xml:space="preserve">R-01662</t>
  </si>
  <si>
    <t xml:space="preserve">R-01663</t>
  </si>
  <si>
    <t xml:space="preserve">R-01664</t>
  </si>
  <si>
    <t xml:space="preserve">R-01665</t>
  </si>
  <si>
    <t xml:space="preserve">R-01666</t>
  </si>
  <si>
    <t xml:space="preserve">R-01667</t>
  </si>
  <si>
    <t xml:space="preserve">R-01668</t>
  </si>
  <si>
    <t xml:space="preserve">R-01669</t>
  </si>
  <si>
    <t xml:space="preserve">R-01670</t>
  </si>
  <si>
    <t xml:space="preserve">R-01671</t>
  </si>
  <si>
    <t xml:space="preserve">R-01672</t>
  </si>
  <si>
    <t xml:space="preserve">R-01673</t>
  </si>
  <si>
    <t xml:space="preserve">R-01674</t>
  </si>
  <si>
    <t xml:space="preserve">R-01675</t>
  </si>
  <si>
    <t xml:space="preserve">R-01676</t>
  </si>
  <si>
    <t xml:space="preserve">R-01677</t>
  </si>
  <si>
    <t xml:space="preserve">R-01678</t>
  </si>
  <si>
    <t xml:space="preserve">R-01679</t>
  </si>
  <si>
    <t xml:space="preserve">R-01680</t>
  </si>
  <si>
    <t xml:space="preserve">R-01681</t>
  </si>
  <si>
    <t xml:space="preserve">R-01682</t>
  </si>
  <si>
    <t xml:space="preserve">R-01683</t>
  </si>
  <si>
    <t xml:space="preserve">R-01684</t>
  </si>
  <si>
    <t xml:space="preserve">R-01685</t>
  </si>
  <si>
    <t xml:space="preserve">R-01686</t>
  </si>
  <si>
    <t xml:space="preserve">R-01687</t>
  </si>
  <si>
    <t xml:space="preserve">R-01688</t>
  </si>
  <si>
    <t xml:space="preserve">R-01689</t>
  </si>
  <si>
    <t xml:space="preserve">R-01690</t>
  </si>
  <si>
    <t xml:space="preserve">R-01691</t>
  </si>
  <si>
    <t xml:space="preserve">R-01692</t>
  </si>
  <si>
    <t xml:space="preserve">R-01693</t>
  </si>
  <si>
    <t xml:space="preserve">R-01694</t>
  </si>
  <si>
    <t xml:space="preserve">R-01695</t>
  </si>
  <si>
    <t xml:space="preserve">R-01696</t>
  </si>
  <si>
    <t xml:space="preserve">R-01697</t>
  </si>
  <si>
    <t xml:space="preserve">R-01698</t>
  </si>
  <si>
    <t xml:space="preserve">R-01699</t>
  </si>
  <si>
    <t xml:space="preserve">R-01700</t>
  </si>
  <si>
    <t xml:space="preserve">R-01701</t>
  </si>
  <si>
    <t xml:space="preserve">R-01702</t>
  </si>
  <si>
    <t xml:space="preserve">R-01703</t>
  </si>
  <si>
    <t xml:space="preserve">R-01704</t>
  </si>
  <si>
    <t xml:space="preserve">R-01705</t>
  </si>
  <si>
    <t xml:space="preserve">R-01706</t>
  </si>
  <si>
    <t xml:space="preserve">R-01707</t>
  </si>
  <si>
    <t xml:space="preserve">R-01708</t>
  </si>
  <si>
    <t xml:space="preserve">R-01709</t>
  </si>
  <si>
    <t xml:space="preserve">R-01710</t>
  </si>
  <si>
    <t xml:space="preserve">R-01711</t>
  </si>
  <si>
    <t xml:space="preserve">R-01712</t>
  </si>
  <si>
    <t xml:space="preserve">R-01713</t>
  </si>
  <si>
    <t xml:space="preserve">R-01714</t>
  </si>
  <si>
    <t xml:space="preserve">R-01715</t>
  </si>
  <si>
    <t xml:space="preserve">R-01716</t>
  </si>
  <si>
    <t xml:space="preserve">R-01717</t>
  </si>
  <si>
    <t xml:space="preserve">R-01718</t>
  </si>
  <si>
    <t xml:space="preserve">R-01719</t>
  </si>
  <si>
    <t xml:space="preserve">R-01720</t>
  </si>
  <si>
    <t xml:space="preserve">R-01721</t>
  </si>
  <si>
    <t xml:space="preserve">R-01722</t>
  </si>
  <si>
    <t xml:space="preserve">R-01723</t>
  </si>
  <si>
    <t xml:space="preserve">R-01724</t>
  </si>
  <si>
    <t xml:space="preserve">R-01725</t>
  </si>
  <si>
    <t xml:space="preserve">R-01726</t>
  </si>
  <si>
    <t xml:space="preserve">R-01727</t>
  </si>
  <si>
    <t xml:space="preserve">R-01728</t>
  </si>
  <si>
    <t xml:space="preserve">R-01729</t>
  </si>
  <si>
    <t xml:space="preserve">R-01730</t>
  </si>
  <si>
    <t xml:space="preserve">R-01731</t>
  </si>
  <si>
    <t xml:space="preserve">R-01732</t>
  </si>
  <si>
    <t xml:space="preserve">R-01733</t>
  </si>
  <si>
    <t xml:space="preserve">R-01734</t>
  </si>
  <si>
    <t xml:space="preserve">R-01735</t>
  </si>
  <si>
    <t xml:space="preserve">R-01736</t>
  </si>
  <si>
    <t xml:space="preserve">R-01737</t>
  </si>
  <si>
    <t xml:space="preserve">R-01738</t>
  </si>
  <si>
    <t xml:space="preserve">R-01739</t>
  </si>
  <si>
    <t xml:space="preserve">R-01740</t>
  </si>
  <si>
    <t xml:space="preserve">R-01741</t>
  </si>
  <si>
    <t xml:space="preserve">R-01742</t>
  </si>
  <si>
    <t xml:space="preserve">R-01743</t>
  </si>
  <si>
    <t xml:space="preserve">R-01744</t>
  </si>
  <si>
    <t xml:space="preserve">R-01745</t>
  </si>
  <si>
    <t xml:space="preserve">R-01746</t>
  </si>
  <si>
    <t xml:space="preserve">R-01747</t>
  </si>
  <si>
    <t xml:space="preserve">R-01748</t>
  </si>
  <si>
    <t xml:space="preserve">R-01749</t>
  </si>
  <si>
    <t xml:space="preserve">R-01750</t>
  </si>
  <si>
    <t xml:space="preserve">R-01751</t>
  </si>
  <si>
    <t xml:space="preserve">R-01752</t>
  </si>
  <si>
    <t xml:space="preserve">R-01753</t>
  </si>
  <si>
    <t xml:space="preserve">R-01754</t>
  </si>
  <si>
    <t xml:space="preserve">R-01755</t>
  </si>
  <si>
    <t xml:space="preserve">R-01756</t>
  </si>
  <si>
    <t xml:space="preserve">R-01757</t>
  </si>
  <si>
    <t xml:space="preserve">R-01758</t>
  </si>
  <si>
    <t xml:space="preserve">R-01759</t>
  </si>
  <si>
    <t xml:space="preserve">R-01760</t>
  </si>
  <si>
    <t xml:space="preserve">R-01761</t>
  </si>
  <si>
    <t xml:space="preserve">R-01762</t>
  </si>
  <si>
    <t xml:space="preserve">R-01763</t>
  </si>
  <si>
    <t xml:space="preserve">R-01764</t>
  </si>
  <si>
    <t xml:space="preserve">R-01765</t>
  </si>
  <si>
    <t xml:space="preserve">R-01766</t>
  </si>
  <si>
    <t xml:space="preserve">R-01767</t>
  </si>
  <si>
    <t xml:space="preserve">R-01768</t>
  </si>
  <si>
    <t xml:space="preserve">R-01769</t>
  </si>
  <si>
    <t xml:space="preserve">R-01770</t>
  </si>
  <si>
    <t xml:space="preserve">R-01771</t>
  </si>
  <si>
    <t xml:space="preserve">R-01772</t>
  </si>
  <si>
    <t xml:space="preserve">R-01773</t>
  </si>
  <si>
    <t xml:space="preserve">R-01774</t>
  </si>
  <si>
    <t xml:space="preserve">R-01775</t>
  </si>
  <si>
    <t xml:space="preserve">R-01776</t>
  </si>
  <si>
    <t xml:space="preserve">R-01777</t>
  </si>
  <si>
    <t xml:space="preserve">R-01778</t>
  </si>
  <si>
    <t xml:space="preserve">R-01779</t>
  </si>
  <si>
    <t xml:space="preserve">R-01780</t>
  </si>
  <si>
    <t xml:space="preserve">R-01781</t>
  </si>
  <si>
    <t xml:space="preserve">R-01782</t>
  </si>
  <si>
    <t xml:space="preserve">R-01783</t>
  </si>
  <si>
    <t xml:space="preserve">R-01784</t>
  </si>
  <si>
    <t xml:space="preserve">R-01785</t>
  </si>
  <si>
    <t xml:space="preserve">R-01786</t>
  </si>
  <si>
    <t xml:space="preserve">R-01787</t>
  </si>
  <si>
    <t xml:space="preserve">R-01788</t>
  </si>
  <si>
    <t xml:space="preserve">R-01789</t>
  </si>
  <si>
    <t xml:space="preserve">R-01790</t>
  </si>
  <si>
    <t xml:space="preserve">R-01791</t>
  </si>
  <si>
    <t xml:space="preserve">R-01792</t>
  </si>
  <si>
    <t xml:space="preserve">R-01793</t>
  </si>
  <si>
    <t xml:space="preserve">R-01794</t>
  </si>
  <si>
    <t xml:space="preserve">R-01795</t>
  </si>
  <si>
    <t xml:space="preserve">R-01796</t>
  </si>
  <si>
    <t xml:space="preserve">R-01797</t>
  </si>
  <si>
    <t xml:space="preserve">R-01798</t>
  </si>
  <si>
    <t xml:space="preserve">R-01799</t>
  </si>
  <si>
    <t xml:space="preserve">R-01800</t>
  </si>
  <si>
    <t xml:space="preserve">R-01801</t>
  </si>
  <si>
    <t xml:space="preserve">R-01802</t>
  </si>
  <si>
    <t xml:space="preserve">R-01803</t>
  </si>
  <si>
    <t xml:space="preserve">Mitigation plan drafted; corrective action in progress</t>
  </si>
  <si>
    <t xml:space="preserve">R-01804</t>
  </si>
  <si>
    <t xml:space="preserve">R-01805</t>
  </si>
  <si>
    <t xml:space="preserve">R-01806</t>
  </si>
  <si>
    <t xml:space="preserve">R-01807</t>
  </si>
  <si>
    <t xml:space="preserve">R-01808</t>
  </si>
  <si>
    <t xml:space="preserve">Mitigation actions implemented and verified effective</t>
  </si>
  <si>
    <t xml:space="preserve">R-01809</t>
  </si>
  <si>
    <t xml:space="preserve">R-01810</t>
  </si>
  <si>
    <t xml:space="preserve">R-01811</t>
  </si>
  <si>
    <t xml:space="preserve">R-01812</t>
  </si>
  <si>
    <t xml:space="preserve">R-01813</t>
  </si>
  <si>
    <t xml:space="preserve">R-01814</t>
  </si>
  <si>
    <t xml:space="preserve">R-01815</t>
  </si>
  <si>
    <t xml:space="preserve">R-01816</t>
  </si>
  <si>
    <t xml:space="preserve">R-01817</t>
  </si>
  <si>
    <t xml:space="preserve">R-01818</t>
  </si>
  <si>
    <t xml:space="preserve">R-01819</t>
  </si>
  <si>
    <t xml:space="preserve">R-01820</t>
  </si>
  <si>
    <t xml:space="preserve">R-01821</t>
  </si>
  <si>
    <t xml:space="preserve">R-01822</t>
  </si>
  <si>
    <t xml:space="preserve">R-01823</t>
  </si>
  <si>
    <t xml:space="preserve">R-01824</t>
  </si>
  <si>
    <t xml:space="preserve">R-01825</t>
  </si>
  <si>
    <t xml:space="preserve">R-01826</t>
  </si>
  <si>
    <t xml:space="preserve">R-01827</t>
  </si>
  <si>
    <t xml:space="preserve">R-01828</t>
  </si>
  <si>
    <t xml:space="preserve">R-01829</t>
  </si>
  <si>
    <t xml:space="preserve">R-01830</t>
  </si>
  <si>
    <t xml:space="preserve">R-01831</t>
  </si>
  <si>
    <t xml:space="preserve">R-01832</t>
  </si>
  <si>
    <t xml:space="preserve">R-01833</t>
  </si>
  <si>
    <t xml:space="preserve">R-01834</t>
  </si>
  <si>
    <t xml:space="preserve">R-01835</t>
  </si>
  <si>
    <t xml:space="preserve">R-01836</t>
  </si>
  <si>
    <t xml:space="preserve">R-01837</t>
  </si>
  <si>
    <t xml:space="preserve">R-01838</t>
  </si>
  <si>
    <t xml:space="preserve">R-01839</t>
  </si>
  <si>
    <t xml:space="preserve">R-01840</t>
  </si>
  <si>
    <t xml:space="preserve">R-01841</t>
  </si>
  <si>
    <t xml:space="preserve">R-01842</t>
  </si>
  <si>
    <t xml:space="preserve">R-01843</t>
  </si>
  <si>
    <t xml:space="preserve">R-01844</t>
  </si>
  <si>
    <t xml:space="preserve">R-01845</t>
  </si>
  <si>
    <t xml:space="preserve">R-01846</t>
  </si>
  <si>
    <t xml:space="preserve">R-01847</t>
  </si>
  <si>
    <t xml:space="preserve">R-01848</t>
  </si>
  <si>
    <t xml:space="preserve">R-01849</t>
  </si>
  <si>
    <t xml:space="preserve">R-01850</t>
  </si>
  <si>
    <t xml:space="preserve">R-01851</t>
  </si>
  <si>
    <t xml:space="preserve">R-01852</t>
  </si>
  <si>
    <t xml:space="preserve">R-01853</t>
  </si>
  <si>
    <t xml:space="preserve">R-01854</t>
  </si>
  <si>
    <t xml:space="preserve">R-01855</t>
  </si>
  <si>
    <t xml:space="preserve">R-01856</t>
  </si>
  <si>
    <t xml:space="preserve">R-01857</t>
  </si>
  <si>
    <t xml:space="preserve">R-01858</t>
  </si>
  <si>
    <t xml:space="preserve">R-01859</t>
  </si>
  <si>
    <t xml:space="preserve">R-01860</t>
  </si>
  <si>
    <t xml:space="preserve">R-01861</t>
  </si>
  <si>
    <t xml:space="preserve">R-01862</t>
  </si>
  <si>
    <t xml:space="preserve">R-01863</t>
  </si>
  <si>
    <t xml:space="preserve">R-01864</t>
  </si>
  <si>
    <t xml:space="preserve">R-01865</t>
  </si>
  <si>
    <t xml:space="preserve">R-01866</t>
  </si>
  <si>
    <t xml:space="preserve">R-01867</t>
  </si>
  <si>
    <t xml:space="preserve">R-01868</t>
  </si>
  <si>
    <t xml:space="preserve">R-01869</t>
  </si>
  <si>
    <t xml:space="preserve">R-01870</t>
  </si>
  <si>
    <t xml:space="preserve">R-01871</t>
  </si>
  <si>
    <t xml:space="preserve">R-01872</t>
  </si>
  <si>
    <t xml:space="preserve">R-01873</t>
  </si>
  <si>
    <t xml:space="preserve">R-01874</t>
  </si>
  <si>
    <t xml:space="preserve">R-01875</t>
  </si>
  <si>
    <t xml:space="preserve">R-01876</t>
  </si>
  <si>
    <t xml:space="preserve">R-01877</t>
  </si>
  <si>
    <t xml:space="preserve">R-01878</t>
  </si>
  <si>
    <t xml:space="preserve">R-01879</t>
  </si>
  <si>
    <t xml:space="preserve">R-01880</t>
  </si>
  <si>
    <t xml:space="preserve">R-01881</t>
  </si>
  <si>
    <t xml:space="preserve">R-01882</t>
  </si>
  <si>
    <t xml:space="preserve">R-01883</t>
  </si>
  <si>
    <t xml:space="preserve">R-01884</t>
  </si>
  <si>
    <t xml:space="preserve">R-01885</t>
  </si>
  <si>
    <t xml:space="preserve">R-01886</t>
  </si>
  <si>
    <t xml:space="preserve">R-01887</t>
  </si>
  <si>
    <t xml:space="preserve">R-01888</t>
  </si>
  <si>
    <t xml:space="preserve">R-01889</t>
  </si>
  <si>
    <t xml:space="preserve">R-01890</t>
  </si>
  <si>
    <t xml:space="preserve">R-01891</t>
  </si>
  <si>
    <t xml:space="preserve">R-01892</t>
  </si>
  <si>
    <t xml:space="preserve">R-01893</t>
  </si>
  <si>
    <t xml:space="preserve">R-01894</t>
  </si>
  <si>
    <t xml:space="preserve">R-01895</t>
  </si>
  <si>
    <t xml:space="preserve">R-01896</t>
  </si>
  <si>
    <t xml:space="preserve">R-01897</t>
  </si>
  <si>
    <t xml:space="preserve">R-01898</t>
  </si>
  <si>
    <t xml:space="preserve">R-01899</t>
  </si>
  <si>
    <t xml:space="preserve">R-01900</t>
  </si>
  <si>
    <t xml:space="preserve">R-01901</t>
  </si>
  <si>
    <t xml:space="preserve">R-01902</t>
  </si>
  <si>
    <t xml:space="preserve">R-01903</t>
  </si>
  <si>
    <t xml:space="preserve">R-01904</t>
  </si>
  <si>
    <t xml:space="preserve">R-01905</t>
  </si>
  <si>
    <t xml:space="preserve">R-01906</t>
  </si>
  <si>
    <t xml:space="preserve">R-01907</t>
  </si>
  <si>
    <t xml:space="preserve">R-01908</t>
  </si>
  <si>
    <t xml:space="preserve">R-01909</t>
  </si>
  <si>
    <t xml:space="preserve">R-01910</t>
  </si>
  <si>
    <t xml:space="preserve">R-01911</t>
  </si>
  <si>
    <t xml:space="preserve">R-01912</t>
  </si>
  <si>
    <t xml:space="preserve">R-01913</t>
  </si>
  <si>
    <t xml:space="preserve">R-01914</t>
  </si>
  <si>
    <t xml:space="preserve">R-01915</t>
  </si>
  <si>
    <t xml:space="preserve">R-01916</t>
  </si>
  <si>
    <t xml:space="preserve">R-01917</t>
  </si>
  <si>
    <t xml:space="preserve">R-01918</t>
  </si>
  <si>
    <t xml:space="preserve">R-01919</t>
  </si>
  <si>
    <t xml:space="preserve">R-01920</t>
  </si>
  <si>
    <t xml:space="preserve">R-01921</t>
  </si>
  <si>
    <t xml:space="preserve">R-01922</t>
  </si>
  <si>
    <t xml:space="preserve">R-01923</t>
  </si>
  <si>
    <t xml:space="preserve">R-01924</t>
  </si>
  <si>
    <t xml:space="preserve">R-01925</t>
  </si>
  <si>
    <t xml:space="preserve">R-01926</t>
  </si>
  <si>
    <t xml:space="preserve">R-01927</t>
  </si>
  <si>
    <t xml:space="preserve">R-01928</t>
  </si>
  <si>
    <t xml:space="preserve">R-01929</t>
  </si>
  <si>
    <t xml:space="preserve">R-01930</t>
  </si>
  <si>
    <t xml:space="preserve">R-01931</t>
  </si>
  <si>
    <t xml:space="preserve">R-01932</t>
  </si>
  <si>
    <t xml:space="preserve">R-01933</t>
  </si>
  <si>
    <t xml:space="preserve">R-01934</t>
  </si>
  <si>
    <t xml:space="preserve">R-01935</t>
  </si>
  <si>
    <t xml:space="preserve">R-01936</t>
  </si>
  <si>
    <t xml:space="preserve">R-01937</t>
  </si>
  <si>
    <t xml:space="preserve">R-01938</t>
  </si>
  <si>
    <t xml:space="preserve">R-01939</t>
  </si>
  <si>
    <t xml:space="preserve">R-01940</t>
  </si>
  <si>
    <t xml:space="preserve">R-01941</t>
  </si>
  <si>
    <t xml:space="preserve">R-01942</t>
  </si>
  <si>
    <t xml:space="preserve">R-01943</t>
  </si>
  <si>
    <t xml:space="preserve">R-01944</t>
  </si>
  <si>
    <t xml:space="preserve">R-01945</t>
  </si>
  <si>
    <t xml:space="preserve">R-01946</t>
  </si>
  <si>
    <t xml:space="preserve">R-01947</t>
  </si>
  <si>
    <t xml:space="preserve">R-01948</t>
  </si>
  <si>
    <t xml:space="preserve">R-01949</t>
  </si>
  <si>
    <t xml:space="preserve">R-01950</t>
  </si>
  <si>
    <t xml:space="preserve">R-01951</t>
  </si>
  <si>
    <t xml:space="preserve">R-01952</t>
  </si>
  <si>
    <t xml:space="preserve">R-01953</t>
  </si>
  <si>
    <t xml:space="preserve">R-01954</t>
  </si>
  <si>
    <t xml:space="preserve">R-01955</t>
  </si>
  <si>
    <t xml:space="preserve">R-01956</t>
  </si>
  <si>
    <t xml:space="preserve">R-01957</t>
  </si>
  <si>
    <t xml:space="preserve">R-01958</t>
  </si>
  <si>
    <t xml:space="preserve">R-01959</t>
  </si>
  <si>
    <t xml:space="preserve">R-01960</t>
  </si>
  <si>
    <t xml:space="preserve">R-01961</t>
  </si>
  <si>
    <t xml:space="preserve">R-01962</t>
  </si>
  <si>
    <t xml:space="preserve">R-01963</t>
  </si>
  <si>
    <t xml:space="preserve">R-01964</t>
  </si>
  <si>
    <t xml:space="preserve">R-01965</t>
  </si>
  <si>
    <t xml:space="preserve">R-01966</t>
  </si>
  <si>
    <t xml:space="preserve">R-01967</t>
  </si>
  <si>
    <t xml:space="preserve">R-01968</t>
  </si>
  <si>
    <t xml:space="preserve">R-01969</t>
  </si>
  <si>
    <t xml:space="preserve">R-01970</t>
  </si>
  <si>
    <t xml:space="preserve">R-01971</t>
  </si>
  <si>
    <t xml:space="preserve">R-01972</t>
  </si>
  <si>
    <t xml:space="preserve">R-01973</t>
  </si>
  <si>
    <t xml:space="preserve">R-01974</t>
  </si>
  <si>
    <t xml:space="preserve">R-01975</t>
  </si>
  <si>
    <t xml:space="preserve">R-01976</t>
  </si>
  <si>
    <t xml:space="preserve">R-01977</t>
  </si>
  <si>
    <t xml:space="preserve">R-01978</t>
  </si>
  <si>
    <t xml:space="preserve">R-01979</t>
  </si>
  <si>
    <t xml:space="preserve">R-01980</t>
  </si>
  <si>
    <t xml:space="preserve">R-01981</t>
  </si>
  <si>
    <t xml:space="preserve">R-01982</t>
  </si>
  <si>
    <t xml:space="preserve">R-01983</t>
  </si>
  <si>
    <t xml:space="preserve">R-01984</t>
  </si>
  <si>
    <t xml:space="preserve">R-01985</t>
  </si>
  <si>
    <t xml:space="preserve">R-01986</t>
  </si>
  <si>
    <t xml:space="preserve">R-01987</t>
  </si>
  <si>
    <t xml:space="preserve">R-01988</t>
  </si>
  <si>
    <t xml:space="preserve">R-01989</t>
  </si>
  <si>
    <t xml:space="preserve">R-01990</t>
  </si>
  <si>
    <t xml:space="preserve">R-01991</t>
  </si>
  <si>
    <t xml:space="preserve">R-01992</t>
  </si>
  <si>
    <t xml:space="preserve">R-01993</t>
  </si>
  <si>
    <t xml:space="preserve">R-01994</t>
  </si>
  <si>
    <t xml:space="preserve">R-01995</t>
  </si>
  <si>
    <t xml:space="preserve">R-01996</t>
  </si>
  <si>
    <t xml:space="preserve">R-01997</t>
  </si>
  <si>
    <t xml:space="preserve">R-01998</t>
  </si>
  <si>
    <t xml:space="preserve">R-01999</t>
  </si>
  <si>
    <t xml:space="preserve">R-02000</t>
  </si>
  <si>
    <t xml:space="preserve">R-02001</t>
  </si>
  <si>
    <t xml:space="preserve">R-02002</t>
  </si>
  <si>
    <t xml:space="preserve">R-02003</t>
  </si>
  <si>
    <t xml:space="preserve">R-02004</t>
  </si>
  <si>
    <t xml:space="preserve">R-02005</t>
  </si>
  <si>
    <t xml:space="preserve">R-02006</t>
  </si>
  <si>
    <t xml:space="preserve">R-02007</t>
  </si>
  <si>
    <t xml:space="preserve">R-02008</t>
  </si>
  <si>
    <t xml:space="preserve">R-02009</t>
  </si>
  <si>
    <t xml:space="preserve">R-02010</t>
  </si>
  <si>
    <t xml:space="preserve">R-02011</t>
  </si>
  <si>
    <t xml:space="preserve">R-02012</t>
  </si>
  <si>
    <t xml:space="preserve">R-02013</t>
  </si>
  <si>
    <t xml:space="preserve">R-02014</t>
  </si>
  <si>
    <t xml:space="preserve">R-02015</t>
  </si>
  <si>
    <t xml:space="preserve">R-02016</t>
  </si>
  <si>
    <t xml:space="preserve">R-02017</t>
  </si>
  <si>
    <t xml:space="preserve">R-02018</t>
  </si>
  <si>
    <t xml:space="preserve">R-02019</t>
  </si>
  <si>
    <t xml:space="preserve">R-02020</t>
  </si>
  <si>
    <t xml:space="preserve">R-02021</t>
  </si>
  <si>
    <t xml:space="preserve">R-02022</t>
  </si>
  <si>
    <t xml:space="preserve">R-02023</t>
  </si>
  <si>
    <t xml:space="preserve">R-02024</t>
  </si>
  <si>
    <t xml:space="preserve">R-02025</t>
  </si>
  <si>
    <t xml:space="preserve">R-02026</t>
  </si>
  <si>
    <t xml:space="preserve">R-02027</t>
  </si>
  <si>
    <t xml:space="preserve">R-02028</t>
  </si>
  <si>
    <t xml:space="preserve">R-02029</t>
  </si>
  <si>
    <t xml:space="preserve">R-02030</t>
  </si>
  <si>
    <t xml:space="preserve">R-02031</t>
  </si>
  <si>
    <t xml:space="preserve">R-02032</t>
  </si>
  <si>
    <t xml:space="preserve">R-02033</t>
  </si>
  <si>
    <t xml:space="preserve">R-02034</t>
  </si>
  <si>
    <t xml:space="preserve">R-02035</t>
  </si>
  <si>
    <t xml:space="preserve">R-02036</t>
  </si>
  <si>
    <t xml:space="preserve">R-02037</t>
  </si>
  <si>
    <t xml:space="preserve">R-02038</t>
  </si>
  <si>
    <t xml:space="preserve">R-02039</t>
  </si>
  <si>
    <t xml:space="preserve">R-02040</t>
  </si>
  <si>
    <t xml:space="preserve">R-02041</t>
  </si>
  <si>
    <t xml:space="preserve">R-02042</t>
  </si>
  <si>
    <t xml:space="preserve">R-02043</t>
  </si>
  <si>
    <t xml:space="preserve">R-02044</t>
  </si>
  <si>
    <t xml:space="preserve">R-02045</t>
  </si>
  <si>
    <t xml:space="preserve">R-02046</t>
  </si>
  <si>
    <t xml:space="preserve">R-02047</t>
  </si>
  <si>
    <t xml:space="preserve">R-02048</t>
  </si>
  <si>
    <t xml:space="preserve">R-02049</t>
  </si>
  <si>
    <t xml:space="preserve">R-02050</t>
  </si>
  <si>
    <t xml:space="preserve">R-02051</t>
  </si>
  <si>
    <t xml:space="preserve">R-02052</t>
  </si>
  <si>
    <t xml:space="preserve">R-02053</t>
  </si>
  <si>
    <t xml:space="preserve">R-02054</t>
  </si>
  <si>
    <t xml:space="preserve">R-02055</t>
  </si>
  <si>
    <t xml:space="preserve">R-02056</t>
  </si>
  <si>
    <t xml:space="preserve">R-02057</t>
  </si>
  <si>
    <t xml:space="preserve">R-02058</t>
  </si>
  <si>
    <t xml:space="preserve">R-02059</t>
  </si>
  <si>
    <t xml:space="preserve">R-02060</t>
  </si>
  <si>
    <t xml:space="preserve">R-02061</t>
  </si>
  <si>
    <t xml:space="preserve">R-02062</t>
  </si>
  <si>
    <t xml:space="preserve">R-02063</t>
  </si>
  <si>
    <t xml:space="preserve">R-02064</t>
  </si>
  <si>
    <t xml:space="preserve">R-02065</t>
  </si>
  <si>
    <t xml:space="preserve">R-02066</t>
  </si>
  <si>
    <t xml:space="preserve">R-02067</t>
  </si>
  <si>
    <t xml:space="preserve">R-02068</t>
  </si>
  <si>
    <t xml:space="preserve">R-02069</t>
  </si>
  <si>
    <t xml:space="preserve">R-02070</t>
  </si>
  <si>
    <t xml:space="preserve">R-02071</t>
  </si>
  <si>
    <t xml:space="preserve">R-02072</t>
  </si>
  <si>
    <t xml:space="preserve">R-02073</t>
  </si>
  <si>
    <t xml:space="preserve">R-02074</t>
  </si>
  <si>
    <t xml:space="preserve">R-02075</t>
  </si>
  <si>
    <t xml:space="preserve">R-02076</t>
  </si>
  <si>
    <t xml:space="preserve">R-02077</t>
  </si>
  <si>
    <t xml:space="preserve">R-02078</t>
  </si>
  <si>
    <t xml:space="preserve">R-02079</t>
  </si>
  <si>
    <t xml:space="preserve">R-02080</t>
  </si>
  <si>
    <t xml:space="preserve">R-02081</t>
  </si>
  <si>
    <t xml:space="preserve">R-02082</t>
  </si>
  <si>
    <t xml:space="preserve">R-02083</t>
  </si>
  <si>
    <t xml:space="preserve">R-02084</t>
  </si>
  <si>
    <t xml:space="preserve">R-02085</t>
  </si>
  <si>
    <t xml:space="preserve">R-02086</t>
  </si>
  <si>
    <t xml:space="preserve">R-02087</t>
  </si>
  <si>
    <t xml:space="preserve">R-02088</t>
  </si>
  <si>
    <t xml:space="preserve">R-02089</t>
  </si>
  <si>
    <t xml:space="preserve">R-02090</t>
  </si>
  <si>
    <t xml:space="preserve">R-02091</t>
  </si>
  <si>
    <t xml:space="preserve">R-02092</t>
  </si>
  <si>
    <t xml:space="preserve">R-02093</t>
  </si>
  <si>
    <t xml:space="preserve">R-02094</t>
  </si>
  <si>
    <t xml:space="preserve">R-02095</t>
  </si>
  <si>
    <t xml:space="preserve">R-02096</t>
  </si>
  <si>
    <t xml:space="preserve">R-02097</t>
  </si>
  <si>
    <t xml:space="preserve">R-02098</t>
  </si>
  <si>
    <t xml:space="preserve">R-02099</t>
  </si>
  <si>
    <t xml:space="preserve">R-02100</t>
  </si>
  <si>
    <t xml:space="preserve">R-02101</t>
  </si>
  <si>
    <t xml:space="preserve">R-02102</t>
  </si>
  <si>
    <t xml:space="preserve">R-02103</t>
  </si>
  <si>
    <t xml:space="preserve">R-02104</t>
  </si>
  <si>
    <t xml:space="preserve">R-02105</t>
  </si>
  <si>
    <t xml:space="preserve">R-02106</t>
  </si>
  <si>
    <t xml:space="preserve">R-02107</t>
  </si>
  <si>
    <t xml:space="preserve">R-02108</t>
  </si>
  <si>
    <t xml:space="preserve">R-02109</t>
  </si>
  <si>
    <t xml:space="preserve">R-02110</t>
  </si>
  <si>
    <t xml:space="preserve">R-02111</t>
  </si>
  <si>
    <t xml:space="preserve">R-02112</t>
  </si>
  <si>
    <t xml:space="preserve">R-02113</t>
  </si>
  <si>
    <t xml:space="preserve">R-02114</t>
  </si>
  <si>
    <t xml:space="preserve">R-02115</t>
  </si>
  <si>
    <t xml:space="preserve">R-02116</t>
  </si>
  <si>
    <t xml:space="preserve">R-02117</t>
  </si>
  <si>
    <t xml:space="preserve">R-02118</t>
  </si>
  <si>
    <t xml:space="preserve">R-02119</t>
  </si>
  <si>
    <t xml:space="preserve">R-02120</t>
  </si>
  <si>
    <t xml:space="preserve">R-02121</t>
  </si>
  <si>
    <t xml:space="preserve">R-02122</t>
  </si>
  <si>
    <t xml:space="preserve">R-02123</t>
  </si>
  <si>
    <t xml:space="preserve">R-02124</t>
  </si>
  <si>
    <t xml:space="preserve">R-02125</t>
  </si>
  <si>
    <t xml:space="preserve">R-02126</t>
  </si>
  <si>
    <t xml:space="preserve">R-02127</t>
  </si>
  <si>
    <t xml:space="preserve">R-02128</t>
  </si>
  <si>
    <t xml:space="preserve">R-02129</t>
  </si>
  <si>
    <t xml:space="preserve">R-02130</t>
  </si>
  <si>
    <t xml:space="preserve">R-02131</t>
  </si>
  <si>
    <t xml:space="preserve">R-02132</t>
  </si>
  <si>
    <t xml:space="preserve">R-02133</t>
  </si>
  <si>
    <t xml:space="preserve">R-02134</t>
  </si>
  <si>
    <t xml:space="preserve">R-02135</t>
  </si>
  <si>
    <t xml:space="preserve">R-02136</t>
  </si>
  <si>
    <t xml:space="preserve">R-02137</t>
  </si>
  <si>
    <t xml:space="preserve">R-02138</t>
  </si>
  <si>
    <t xml:space="preserve">R-02139</t>
  </si>
  <si>
    <t xml:space="preserve">R-02140</t>
  </si>
  <si>
    <t xml:space="preserve">R-02141</t>
  </si>
  <si>
    <t xml:space="preserve">R-02142</t>
  </si>
  <si>
    <t xml:space="preserve">R-02143</t>
  </si>
  <si>
    <t xml:space="preserve">R-02144</t>
  </si>
  <si>
    <t xml:space="preserve">R-02145</t>
  </si>
  <si>
    <t xml:space="preserve">R-02146</t>
  </si>
  <si>
    <t xml:space="preserve">R-02147</t>
  </si>
  <si>
    <t xml:space="preserve">R-02148</t>
  </si>
  <si>
    <t xml:space="preserve">R-02149</t>
  </si>
  <si>
    <t xml:space="preserve">R-02150</t>
  </si>
  <si>
    <t xml:space="preserve">R-02151</t>
  </si>
  <si>
    <t xml:space="preserve">R-02152</t>
  </si>
  <si>
    <t xml:space="preserve">R-02153</t>
  </si>
  <si>
    <t xml:space="preserve">R-02154</t>
  </si>
  <si>
    <t xml:space="preserve">R-02155</t>
  </si>
  <si>
    <t xml:space="preserve">R-02156</t>
  </si>
  <si>
    <t xml:space="preserve">R-02157</t>
  </si>
  <si>
    <t xml:space="preserve">R-02158</t>
  </si>
  <si>
    <t xml:space="preserve">R-02159</t>
  </si>
  <si>
    <t xml:space="preserve">R-02160</t>
  </si>
  <si>
    <t xml:space="preserve">R-02161</t>
  </si>
  <si>
    <t xml:space="preserve">R-02162</t>
  </si>
  <si>
    <t xml:space="preserve">R-02163</t>
  </si>
  <si>
    <t xml:space="preserve">R-02164</t>
  </si>
  <si>
    <t xml:space="preserve">R-02165</t>
  </si>
  <si>
    <t xml:space="preserve">R-02166</t>
  </si>
  <si>
    <t xml:space="preserve">R-02167</t>
  </si>
  <si>
    <t xml:space="preserve">R-02168</t>
  </si>
  <si>
    <t xml:space="preserve">R-02169</t>
  </si>
  <si>
    <t xml:space="preserve">R-02170</t>
  </si>
  <si>
    <t xml:space="preserve">R-02171</t>
  </si>
  <si>
    <t xml:space="preserve">R-02172</t>
  </si>
  <si>
    <t xml:space="preserve">R-02173</t>
  </si>
  <si>
    <t xml:space="preserve">R-02174</t>
  </si>
  <si>
    <t xml:space="preserve">R-02175</t>
  </si>
  <si>
    <t xml:space="preserve">R-02176</t>
  </si>
  <si>
    <t xml:space="preserve">R-02177</t>
  </si>
  <si>
    <t xml:space="preserve">R-02178</t>
  </si>
  <si>
    <t xml:space="preserve">R-02179</t>
  </si>
  <si>
    <t xml:space="preserve">R-02180</t>
  </si>
  <si>
    <t xml:space="preserve">R-02181</t>
  </si>
  <si>
    <t xml:space="preserve">R-02182</t>
  </si>
  <si>
    <t xml:space="preserve">R-02183</t>
  </si>
  <si>
    <t xml:space="preserve">R-02184</t>
  </si>
  <si>
    <t xml:space="preserve">R-02185</t>
  </si>
  <si>
    <t xml:space="preserve">R-02186</t>
  </si>
  <si>
    <t xml:space="preserve">R-02187</t>
  </si>
  <si>
    <t xml:space="preserve">R-02188</t>
  </si>
  <si>
    <t xml:space="preserve">R-02189</t>
  </si>
  <si>
    <t xml:space="preserve">R-02190</t>
  </si>
  <si>
    <t xml:space="preserve">R-02191</t>
  </si>
  <si>
    <t xml:space="preserve">R-02192</t>
  </si>
  <si>
    <t xml:space="preserve">R-02193</t>
  </si>
  <si>
    <t xml:space="preserve">R-02194</t>
  </si>
  <si>
    <t xml:space="preserve">R-02195</t>
  </si>
  <si>
    <t xml:space="preserve">R-02196</t>
  </si>
  <si>
    <t xml:space="preserve">R-02197</t>
  </si>
  <si>
    <t xml:space="preserve">R-02198</t>
  </si>
  <si>
    <t xml:space="preserve">R-02199</t>
  </si>
  <si>
    <t xml:space="preserve">R-02200</t>
  </si>
  <si>
    <t xml:space="preserve">R-02201</t>
  </si>
  <si>
    <t xml:space="preserve">R-02202</t>
  </si>
  <si>
    <t xml:space="preserve">R-02203</t>
  </si>
  <si>
    <t xml:space="preserve">R-02204</t>
  </si>
  <si>
    <t xml:space="preserve">R-02205</t>
  </si>
  <si>
    <t xml:space="preserve">R-02206</t>
  </si>
  <si>
    <t xml:space="preserve">R-02207</t>
  </si>
  <si>
    <t xml:space="preserve">R-02208</t>
  </si>
  <si>
    <t xml:space="preserve">R-02209</t>
  </si>
  <si>
    <t xml:space="preserve">R-02210</t>
  </si>
  <si>
    <t xml:space="preserve">R-02211</t>
  </si>
  <si>
    <t xml:space="preserve">R-02212</t>
  </si>
  <si>
    <t xml:space="preserve">R-02213</t>
  </si>
  <si>
    <t xml:space="preserve">R-02214</t>
  </si>
  <si>
    <t xml:space="preserve">R-02215</t>
  </si>
  <si>
    <t xml:space="preserve">R-02216</t>
  </si>
  <si>
    <t xml:space="preserve">R-02217</t>
  </si>
  <si>
    <t xml:space="preserve">R-02218</t>
  </si>
  <si>
    <t xml:space="preserve">R-02219</t>
  </si>
  <si>
    <t xml:space="preserve">R-02220</t>
  </si>
  <si>
    <t xml:space="preserve">R-02221</t>
  </si>
  <si>
    <t xml:space="preserve">R-02222</t>
  </si>
  <si>
    <t xml:space="preserve">R-02223</t>
  </si>
  <si>
    <t xml:space="preserve">R-02224</t>
  </si>
  <si>
    <t xml:space="preserve">R-02225</t>
  </si>
  <si>
    <t xml:space="preserve">R-02226</t>
  </si>
  <si>
    <t xml:space="preserve">R-02227</t>
  </si>
  <si>
    <t xml:space="preserve">R-02228</t>
  </si>
  <si>
    <t xml:space="preserve">R-02229</t>
  </si>
  <si>
    <t xml:space="preserve">R-02230</t>
  </si>
  <si>
    <t xml:space="preserve">R-02231</t>
  </si>
  <si>
    <t xml:space="preserve">R-02232</t>
  </si>
  <si>
    <t xml:space="preserve">R-02233</t>
  </si>
  <si>
    <t xml:space="preserve">R-02234</t>
  </si>
  <si>
    <t xml:space="preserve">R-02235</t>
  </si>
  <si>
    <t xml:space="preserve">R-02236</t>
  </si>
  <si>
    <t xml:space="preserve">R-02237</t>
  </si>
  <si>
    <t xml:space="preserve">R-02238</t>
  </si>
  <si>
    <t xml:space="preserve">R-02239</t>
  </si>
  <si>
    <t xml:space="preserve">R-02240</t>
  </si>
  <si>
    <t xml:space="preserve">R-02241</t>
  </si>
  <si>
    <t xml:space="preserve">R-02242</t>
  </si>
  <si>
    <t xml:space="preserve">R-02243</t>
  </si>
  <si>
    <t xml:space="preserve">R-02244</t>
  </si>
  <si>
    <t xml:space="preserve">R-02245</t>
  </si>
  <si>
    <t xml:space="preserve">R-02246</t>
  </si>
  <si>
    <t xml:space="preserve">R-02247</t>
  </si>
  <si>
    <t xml:space="preserve">R-02248</t>
  </si>
  <si>
    <t xml:space="preserve">R-02249</t>
  </si>
  <si>
    <t xml:space="preserve">R-02250</t>
  </si>
  <si>
    <t xml:space="preserve">R-02251</t>
  </si>
  <si>
    <t xml:space="preserve">R-02252</t>
  </si>
  <si>
    <t xml:space="preserve">R-02253</t>
  </si>
  <si>
    <t xml:space="preserve">R-02254</t>
  </si>
  <si>
    <t xml:space="preserve">R-02255</t>
  </si>
  <si>
    <t xml:space="preserve">R-02256</t>
  </si>
  <si>
    <t xml:space="preserve">R-02257</t>
  </si>
  <si>
    <t xml:space="preserve">R-02258</t>
  </si>
  <si>
    <t xml:space="preserve">R-02259</t>
  </si>
  <si>
    <t xml:space="preserve">R-02260</t>
  </si>
  <si>
    <t xml:space="preserve">R-02261</t>
  </si>
  <si>
    <t xml:space="preserve">R-02262</t>
  </si>
  <si>
    <t xml:space="preserve">R-02263</t>
  </si>
  <si>
    <t xml:space="preserve">R-02264</t>
  </si>
  <si>
    <t xml:space="preserve">R-02265</t>
  </si>
  <si>
    <t xml:space="preserve">R-02266</t>
  </si>
  <si>
    <t xml:space="preserve">R-02267</t>
  </si>
  <si>
    <t xml:space="preserve">R-02268</t>
  </si>
  <si>
    <t xml:space="preserve">R-02269</t>
  </si>
  <si>
    <t xml:space="preserve">R-02270</t>
  </si>
  <si>
    <t xml:space="preserve">R-02271</t>
  </si>
  <si>
    <t xml:space="preserve">R-02272</t>
  </si>
  <si>
    <t xml:space="preserve">R-02273</t>
  </si>
  <si>
    <t xml:space="preserve">R-02274</t>
  </si>
  <si>
    <t xml:space="preserve">R-02275</t>
  </si>
  <si>
    <t xml:space="preserve">R-02276</t>
  </si>
  <si>
    <t xml:space="preserve">R-02277</t>
  </si>
  <si>
    <t xml:space="preserve">R-02278</t>
  </si>
  <si>
    <t xml:space="preserve">R-02279</t>
  </si>
  <si>
    <t xml:space="preserve">R-02280</t>
  </si>
  <si>
    <t xml:space="preserve">R-02281</t>
  </si>
  <si>
    <t xml:space="preserve">R-02282</t>
  </si>
  <si>
    <t xml:space="preserve">R-02283</t>
  </si>
  <si>
    <t xml:space="preserve">R-02284</t>
  </si>
  <si>
    <t xml:space="preserve">R-02285</t>
  </si>
  <si>
    <t xml:space="preserve">R-02286</t>
  </si>
  <si>
    <t xml:space="preserve">R-02287</t>
  </si>
  <si>
    <t xml:space="preserve">R-02288</t>
  </si>
  <si>
    <t xml:space="preserve">R-02289</t>
  </si>
  <si>
    <t xml:space="preserve">R-02290</t>
  </si>
  <si>
    <t xml:space="preserve">R-02291</t>
  </si>
  <si>
    <t xml:space="preserve">R-02292</t>
  </si>
  <si>
    <t xml:space="preserve">R-02293</t>
  </si>
  <si>
    <t xml:space="preserve">R-02294</t>
  </si>
  <si>
    <t xml:space="preserve">R-02295</t>
  </si>
  <si>
    <t xml:space="preserve">R-02296</t>
  </si>
  <si>
    <t xml:space="preserve">R-02297</t>
  </si>
  <si>
    <t xml:space="preserve">R-02298</t>
  </si>
  <si>
    <t xml:space="preserve">R-02299</t>
  </si>
  <si>
    <t xml:space="preserve">R-02300</t>
  </si>
  <si>
    <t xml:space="preserve">R-02301</t>
  </si>
  <si>
    <t xml:space="preserve">R-02302</t>
  </si>
  <si>
    <t xml:space="preserve">R-02303</t>
  </si>
  <si>
    <t xml:space="preserve">R-02304</t>
  </si>
  <si>
    <t xml:space="preserve">R-02305</t>
  </si>
  <si>
    <t xml:space="preserve">R-02306</t>
  </si>
  <si>
    <t xml:space="preserve">R-02307</t>
  </si>
  <si>
    <t xml:space="preserve">R-02308</t>
  </si>
  <si>
    <t xml:space="preserve">R-02309</t>
  </si>
  <si>
    <t xml:space="preserve">R-02310</t>
  </si>
  <si>
    <t xml:space="preserve">R-02311</t>
  </si>
  <si>
    <t xml:space="preserve">R-02312</t>
  </si>
  <si>
    <t xml:space="preserve">R-02313</t>
  </si>
  <si>
    <t xml:space="preserve">R-02314</t>
  </si>
  <si>
    <t xml:space="preserve">R-02315</t>
  </si>
  <si>
    <t xml:space="preserve">R-02316</t>
  </si>
  <si>
    <t xml:space="preserve">R-02317</t>
  </si>
  <si>
    <t xml:space="preserve">R-02318</t>
  </si>
  <si>
    <t xml:space="preserve">R-02319</t>
  </si>
  <si>
    <t xml:space="preserve">R-02320</t>
  </si>
  <si>
    <t xml:space="preserve">R-02321</t>
  </si>
  <si>
    <t xml:space="preserve">R-02322</t>
  </si>
  <si>
    <t xml:space="preserve">R-02323</t>
  </si>
  <si>
    <t xml:space="preserve">R-02324</t>
  </si>
  <si>
    <t xml:space="preserve">R-02325</t>
  </si>
  <si>
    <t xml:space="preserve">R-02326</t>
  </si>
  <si>
    <t xml:space="preserve">R-02327</t>
  </si>
  <si>
    <t xml:space="preserve">R-02328</t>
  </si>
  <si>
    <t xml:space="preserve">R-02329</t>
  </si>
  <si>
    <t xml:space="preserve">R-02330</t>
  </si>
  <si>
    <t xml:space="preserve">R-02331</t>
  </si>
  <si>
    <t xml:space="preserve">R-02332</t>
  </si>
  <si>
    <t xml:space="preserve">R-02333</t>
  </si>
  <si>
    <t xml:space="preserve">R-02334</t>
  </si>
  <si>
    <t xml:space="preserve">R-02335</t>
  </si>
  <si>
    <t xml:space="preserve">R-02336</t>
  </si>
  <si>
    <t xml:space="preserve">R-02337</t>
  </si>
  <si>
    <t xml:space="preserve">R-02338</t>
  </si>
  <si>
    <t xml:space="preserve">R-02339</t>
  </si>
  <si>
    <t xml:space="preserve">R-02340</t>
  </si>
  <si>
    <t xml:space="preserve">R-02341</t>
  </si>
  <si>
    <t xml:space="preserve">R-02342</t>
  </si>
  <si>
    <t xml:space="preserve">R-02343</t>
  </si>
  <si>
    <t xml:space="preserve">R-02344</t>
  </si>
  <si>
    <t xml:space="preserve">R-02345</t>
  </si>
  <si>
    <t xml:space="preserve">R-02346</t>
  </si>
  <si>
    <t xml:space="preserve">R-02347</t>
  </si>
  <si>
    <t xml:space="preserve">R-02348</t>
  </si>
  <si>
    <t xml:space="preserve">R-02349</t>
  </si>
  <si>
    <t xml:space="preserve">R-02350</t>
  </si>
  <si>
    <t xml:space="preserve">R-02351</t>
  </si>
  <si>
    <t xml:space="preserve">R-02352</t>
  </si>
  <si>
    <t xml:space="preserve">R-02353</t>
  </si>
  <si>
    <t xml:space="preserve">R-02354</t>
  </si>
  <si>
    <t xml:space="preserve">R-02355</t>
  </si>
  <si>
    <t xml:space="preserve">R-02356</t>
  </si>
  <si>
    <t xml:space="preserve">R-02357</t>
  </si>
  <si>
    <t xml:space="preserve">R-02358</t>
  </si>
  <si>
    <t xml:space="preserve">R-02359</t>
  </si>
  <si>
    <t xml:space="preserve">R-02360</t>
  </si>
  <si>
    <t xml:space="preserve">R-02361</t>
  </si>
  <si>
    <t xml:space="preserve">R-02362</t>
  </si>
  <si>
    <t xml:space="preserve">R-02363</t>
  </si>
  <si>
    <t xml:space="preserve">R-02364</t>
  </si>
  <si>
    <t xml:space="preserve">R-02365</t>
  </si>
  <si>
    <t xml:space="preserve">R-02366</t>
  </si>
  <si>
    <t xml:space="preserve">R-02367</t>
  </si>
  <si>
    <t xml:space="preserve">R-02368</t>
  </si>
  <si>
    <t xml:space="preserve">R-02369</t>
  </si>
  <si>
    <t xml:space="preserve">R-02370</t>
  </si>
  <si>
    <t xml:space="preserve">R-02371</t>
  </si>
  <si>
    <t xml:space="preserve">R-02372</t>
  </si>
  <si>
    <t xml:space="preserve">R-02373</t>
  </si>
  <si>
    <t xml:space="preserve">R-02374</t>
  </si>
  <si>
    <t xml:space="preserve">R-02375</t>
  </si>
  <si>
    <t xml:space="preserve">R-02376</t>
  </si>
  <si>
    <t xml:space="preserve">R-02377</t>
  </si>
  <si>
    <t xml:space="preserve">R-02378</t>
  </si>
  <si>
    <t xml:space="preserve">R-02379</t>
  </si>
  <si>
    <t xml:space="preserve">R-02380</t>
  </si>
  <si>
    <t xml:space="preserve">R-02381</t>
  </si>
  <si>
    <t xml:space="preserve">R-02382</t>
  </si>
  <si>
    <t xml:space="preserve">R-02383</t>
  </si>
  <si>
    <t xml:space="preserve">R-02384</t>
  </si>
  <si>
    <t xml:space="preserve">R-02385</t>
  </si>
  <si>
    <t xml:space="preserve">R-02386</t>
  </si>
  <si>
    <t xml:space="preserve">R-02387</t>
  </si>
  <si>
    <t xml:space="preserve">R-02388</t>
  </si>
  <si>
    <t xml:space="preserve">R-02389</t>
  </si>
  <si>
    <t xml:space="preserve">R-02390</t>
  </si>
  <si>
    <t xml:space="preserve">R-02391</t>
  </si>
  <si>
    <t xml:space="preserve">R-02392</t>
  </si>
  <si>
    <t xml:space="preserve">R-02393</t>
  </si>
  <si>
    <t xml:space="preserve">R-02394</t>
  </si>
  <si>
    <t xml:space="preserve">R-02395</t>
  </si>
  <si>
    <t xml:space="preserve">R-02396</t>
  </si>
  <si>
    <t xml:space="preserve">R-02397</t>
  </si>
  <si>
    <t xml:space="preserve">R-02398</t>
  </si>
  <si>
    <t xml:space="preserve">R-02399</t>
  </si>
  <si>
    <t xml:space="preserve">R-02400</t>
  </si>
  <si>
    <t xml:space="preserve">R-02401</t>
  </si>
  <si>
    <t xml:space="preserve">R-02402</t>
  </si>
  <si>
    <t xml:space="preserve">R-02403</t>
  </si>
  <si>
    <t xml:space="preserve">R-02404</t>
  </si>
  <si>
    <t xml:space="preserve">R-02405</t>
  </si>
  <si>
    <t xml:space="preserve">R-02406</t>
  </si>
  <si>
    <t xml:space="preserve">R-02407</t>
  </si>
  <si>
    <t xml:space="preserve">R-02408</t>
  </si>
  <si>
    <t xml:space="preserve">R-02409</t>
  </si>
  <si>
    <t xml:space="preserve">R-02410</t>
  </si>
  <si>
    <t xml:space="preserve">R-02411</t>
  </si>
  <si>
    <t xml:space="preserve">R-02412</t>
  </si>
  <si>
    <t xml:space="preserve">R-02413</t>
  </si>
  <si>
    <t xml:space="preserve">R-02414</t>
  </si>
  <si>
    <t xml:space="preserve">R-02415</t>
  </si>
  <si>
    <t xml:space="preserve">R-02416</t>
  </si>
  <si>
    <t xml:space="preserve">R-02417</t>
  </si>
  <si>
    <t xml:space="preserve">R-02418</t>
  </si>
  <si>
    <t xml:space="preserve">R-02419</t>
  </si>
  <si>
    <t xml:space="preserve">R-02420</t>
  </si>
  <si>
    <t xml:space="preserve">R-02421</t>
  </si>
  <si>
    <t xml:space="preserve">R-02422</t>
  </si>
  <si>
    <t xml:space="preserve">R-02423</t>
  </si>
  <si>
    <t xml:space="preserve">R-02424</t>
  </si>
  <si>
    <t xml:space="preserve">R-02425</t>
  </si>
  <si>
    <t xml:space="preserve">R-02426</t>
  </si>
  <si>
    <t xml:space="preserve">R-02427</t>
  </si>
  <si>
    <t xml:space="preserve">R-02428</t>
  </si>
  <si>
    <t xml:space="preserve">R-02429</t>
  </si>
  <si>
    <t xml:space="preserve">R-02430</t>
  </si>
  <si>
    <t xml:space="preserve">R-02431</t>
  </si>
  <si>
    <t xml:space="preserve">R-02432</t>
  </si>
  <si>
    <t xml:space="preserve">R-02433</t>
  </si>
  <si>
    <t xml:space="preserve">R-02434</t>
  </si>
  <si>
    <t xml:space="preserve">R-02435</t>
  </si>
  <si>
    <t xml:space="preserve">R-02436</t>
  </si>
  <si>
    <t xml:space="preserve">R-02437</t>
  </si>
  <si>
    <t xml:space="preserve">R-02438</t>
  </si>
  <si>
    <t xml:space="preserve">R-02439</t>
  </si>
  <si>
    <t xml:space="preserve">R-02440</t>
  </si>
  <si>
    <t xml:space="preserve">R-02441</t>
  </si>
  <si>
    <t xml:space="preserve">R-02442</t>
  </si>
  <si>
    <t xml:space="preserve">R-02443</t>
  </si>
  <si>
    <t xml:space="preserve">R-02444</t>
  </si>
  <si>
    <t xml:space="preserve">R-02445</t>
  </si>
  <si>
    <t xml:space="preserve">R-02446</t>
  </si>
  <si>
    <t xml:space="preserve">R-02447</t>
  </si>
  <si>
    <t xml:space="preserve">R-02448</t>
  </si>
  <si>
    <t xml:space="preserve">R-02449</t>
  </si>
  <si>
    <t xml:space="preserve">R-02450</t>
  </si>
  <si>
    <t xml:space="preserve">R-02451</t>
  </si>
  <si>
    <t xml:space="preserve">R-02452</t>
  </si>
  <si>
    <t xml:space="preserve">R-02453</t>
  </si>
  <si>
    <t xml:space="preserve">R-02454</t>
  </si>
  <si>
    <t xml:space="preserve">R-02455</t>
  </si>
  <si>
    <t xml:space="preserve">R-02456</t>
  </si>
  <si>
    <t xml:space="preserve">R-02457</t>
  </si>
  <si>
    <t xml:space="preserve">R-02458</t>
  </si>
  <si>
    <t xml:space="preserve">R-02459</t>
  </si>
  <si>
    <t xml:space="preserve">R-02460</t>
  </si>
  <si>
    <t xml:space="preserve">R-02461</t>
  </si>
  <si>
    <t xml:space="preserve">R-02462</t>
  </si>
  <si>
    <t xml:space="preserve">R-02463</t>
  </si>
  <si>
    <t xml:space="preserve">R-02464</t>
  </si>
  <si>
    <t xml:space="preserve">R-02465</t>
  </si>
  <si>
    <t xml:space="preserve">R-02466</t>
  </si>
  <si>
    <t xml:space="preserve">R-02467</t>
  </si>
  <si>
    <t xml:space="preserve">R-02468</t>
  </si>
  <si>
    <t xml:space="preserve">R-02469</t>
  </si>
  <si>
    <t xml:space="preserve">R-02470</t>
  </si>
  <si>
    <t xml:space="preserve">R-02471</t>
  </si>
  <si>
    <t xml:space="preserve">R-02472</t>
  </si>
  <si>
    <t xml:space="preserve">R-02473</t>
  </si>
  <si>
    <t xml:space="preserve">R-02474</t>
  </si>
  <si>
    <t xml:space="preserve">R-02475</t>
  </si>
  <si>
    <t xml:space="preserve">R-02476</t>
  </si>
  <si>
    <t xml:space="preserve">R-02477</t>
  </si>
  <si>
    <t xml:space="preserve">R-02478</t>
  </si>
  <si>
    <t xml:space="preserve">R-02479</t>
  </si>
  <si>
    <t xml:space="preserve">R-02480</t>
  </si>
  <si>
    <t xml:space="preserve">R-02481</t>
  </si>
  <si>
    <t xml:space="preserve">R-02482</t>
  </si>
  <si>
    <t xml:space="preserve">R-02483</t>
  </si>
  <si>
    <t xml:space="preserve">R-02484</t>
  </si>
  <si>
    <t xml:space="preserve">R-02485</t>
  </si>
  <si>
    <t xml:space="preserve">R-02486</t>
  </si>
  <si>
    <t xml:space="preserve">R-02487</t>
  </si>
  <si>
    <t xml:space="preserve">R-02488</t>
  </si>
  <si>
    <t xml:space="preserve">R-02489</t>
  </si>
  <si>
    <t xml:space="preserve">R-02490</t>
  </si>
  <si>
    <t xml:space="preserve">R-02491</t>
  </si>
  <si>
    <t xml:space="preserve">R-02492</t>
  </si>
  <si>
    <t xml:space="preserve">R-02493</t>
  </si>
  <si>
    <t xml:space="preserve">R-02494</t>
  </si>
  <si>
    <t xml:space="preserve">R-02495</t>
  </si>
  <si>
    <t xml:space="preserve">R-02496</t>
  </si>
  <si>
    <t xml:space="preserve">R-02497</t>
  </si>
  <si>
    <t xml:space="preserve">R-02498</t>
  </si>
  <si>
    <t xml:space="preserve">R-02499</t>
  </si>
  <si>
    <t xml:space="preserve">R-02500</t>
  </si>
  <si>
    <t xml:space="preserve">R-02501</t>
  </si>
  <si>
    <t xml:space="preserve">R-02502</t>
  </si>
  <si>
    <t xml:space="preserve">R-02503</t>
  </si>
  <si>
    <t xml:space="preserve">R-02504</t>
  </si>
  <si>
    <t xml:space="preserve">R-02505</t>
  </si>
  <si>
    <t xml:space="preserve">R-02506</t>
  </si>
  <si>
    <t xml:space="preserve">R-02507</t>
  </si>
  <si>
    <t xml:space="preserve">R-02508</t>
  </si>
  <si>
    <t xml:space="preserve">R-02509</t>
  </si>
  <si>
    <t xml:space="preserve">R-02510</t>
  </si>
  <si>
    <t xml:space="preserve">R-02511</t>
  </si>
  <si>
    <t xml:space="preserve">R-02512</t>
  </si>
  <si>
    <t xml:space="preserve">R-02513</t>
  </si>
  <si>
    <t xml:space="preserve">R-02514</t>
  </si>
  <si>
    <t xml:space="preserve">R-02515</t>
  </si>
  <si>
    <t xml:space="preserve">R-02516</t>
  </si>
  <si>
    <t xml:space="preserve">R-02517</t>
  </si>
  <si>
    <t xml:space="preserve">R-02518</t>
  </si>
  <si>
    <t xml:space="preserve">R-02519</t>
  </si>
  <si>
    <t xml:space="preserve">R-02520</t>
  </si>
  <si>
    <t xml:space="preserve">R-02521</t>
  </si>
  <si>
    <t xml:space="preserve">R-02522</t>
  </si>
  <si>
    <t xml:space="preserve">R-02523</t>
  </si>
  <si>
    <t xml:space="preserve">R-02524</t>
  </si>
  <si>
    <t xml:space="preserve">R-02525</t>
  </si>
  <si>
    <t xml:space="preserve">R-02526</t>
  </si>
  <si>
    <t xml:space="preserve">R-02527</t>
  </si>
  <si>
    <t xml:space="preserve">R-02528</t>
  </si>
  <si>
    <t xml:space="preserve">R-02529</t>
  </si>
  <si>
    <t xml:space="preserve">R-02530</t>
  </si>
  <si>
    <t xml:space="preserve">R-02531</t>
  </si>
  <si>
    <t xml:space="preserve">R-02532</t>
  </si>
  <si>
    <t xml:space="preserve">R-02533</t>
  </si>
  <si>
    <t xml:space="preserve">R-02534</t>
  </si>
  <si>
    <t xml:space="preserve">R-02535</t>
  </si>
  <si>
    <t xml:space="preserve">R-02536</t>
  </si>
  <si>
    <t xml:space="preserve">R-02537</t>
  </si>
  <si>
    <t xml:space="preserve">R-02538</t>
  </si>
  <si>
    <t xml:space="preserve">R-02539</t>
  </si>
  <si>
    <t xml:space="preserve">R-02540</t>
  </si>
  <si>
    <t xml:space="preserve">R-02541</t>
  </si>
  <si>
    <t xml:space="preserve">R-02542</t>
  </si>
  <si>
    <t xml:space="preserve">R-02543</t>
  </si>
  <si>
    <t xml:space="preserve">R-02544</t>
  </si>
  <si>
    <t xml:space="preserve">R-02545</t>
  </si>
  <si>
    <t xml:space="preserve">R-02546</t>
  </si>
  <si>
    <t xml:space="preserve">R-02547</t>
  </si>
  <si>
    <t xml:space="preserve">R-02548</t>
  </si>
  <si>
    <t xml:space="preserve">R-02549</t>
  </si>
  <si>
    <t xml:space="preserve">R-02550</t>
  </si>
  <si>
    <t xml:space="preserve">R-02551</t>
  </si>
  <si>
    <t xml:space="preserve">R-02552</t>
  </si>
  <si>
    <t xml:space="preserve">R-02553</t>
  </si>
  <si>
    <t xml:space="preserve">R-02554</t>
  </si>
  <si>
    <t xml:space="preserve">R-02555</t>
  </si>
  <si>
    <t xml:space="preserve">R-02556</t>
  </si>
  <si>
    <t xml:space="preserve">R-02557</t>
  </si>
  <si>
    <t xml:space="preserve">R-02558</t>
  </si>
  <si>
    <t xml:space="preserve">R-02559</t>
  </si>
  <si>
    <t xml:space="preserve">R-02560</t>
  </si>
  <si>
    <t xml:space="preserve">R-02561</t>
  </si>
  <si>
    <t xml:space="preserve">R-02562</t>
  </si>
  <si>
    <t xml:space="preserve">R-02563</t>
  </si>
  <si>
    <t xml:space="preserve">R-02564</t>
  </si>
  <si>
    <t xml:space="preserve">R-02565</t>
  </si>
  <si>
    <t xml:space="preserve">R-02566</t>
  </si>
  <si>
    <t xml:space="preserve">R-02567</t>
  </si>
  <si>
    <t xml:space="preserve">R-02568</t>
  </si>
  <si>
    <t xml:space="preserve">R-02569</t>
  </si>
  <si>
    <t xml:space="preserve">R-02570</t>
  </si>
  <si>
    <t xml:space="preserve">R-02571</t>
  </si>
  <si>
    <t xml:space="preserve">R-02572</t>
  </si>
  <si>
    <t xml:space="preserve">R-02573</t>
  </si>
  <si>
    <t xml:space="preserve">R-02574</t>
  </si>
  <si>
    <t xml:space="preserve">R-02575</t>
  </si>
  <si>
    <t xml:space="preserve">R-02576</t>
  </si>
  <si>
    <t xml:space="preserve">R-02577</t>
  </si>
  <si>
    <t xml:space="preserve">R-02578</t>
  </si>
  <si>
    <t xml:space="preserve">R-02579</t>
  </si>
  <si>
    <t xml:space="preserve">R-02580</t>
  </si>
  <si>
    <t xml:space="preserve">R-02581</t>
  </si>
  <si>
    <t xml:space="preserve">R-02582</t>
  </si>
  <si>
    <t xml:space="preserve">R-02583</t>
  </si>
  <si>
    <t xml:space="preserve">R-02584</t>
  </si>
  <si>
    <t xml:space="preserve">R-02585</t>
  </si>
  <si>
    <t xml:space="preserve">R-02586</t>
  </si>
  <si>
    <t xml:space="preserve">R-02587</t>
  </si>
  <si>
    <t xml:space="preserve">R-02588</t>
  </si>
  <si>
    <t xml:space="preserve">R-02589</t>
  </si>
  <si>
    <t xml:space="preserve">R-02590</t>
  </si>
  <si>
    <t xml:space="preserve">R-02591</t>
  </si>
  <si>
    <t xml:space="preserve">R-02592</t>
  </si>
  <si>
    <t xml:space="preserve">R-02593</t>
  </si>
  <si>
    <t xml:space="preserve">R-02594</t>
  </si>
  <si>
    <t xml:space="preserve">R-02595</t>
  </si>
  <si>
    <t xml:space="preserve">R-02596</t>
  </si>
  <si>
    <t xml:space="preserve">R-02597</t>
  </si>
  <si>
    <t xml:space="preserve">R-02598</t>
  </si>
  <si>
    <t xml:space="preserve">R-02599</t>
  </si>
  <si>
    <t xml:space="preserve">R-02600</t>
  </si>
  <si>
    <t xml:space="preserve">R-02601</t>
  </si>
  <si>
    <t xml:space="preserve">R-02602</t>
  </si>
  <si>
    <t xml:space="preserve">R-02603</t>
  </si>
  <si>
    <t xml:space="preserve">R-02604</t>
  </si>
  <si>
    <t xml:space="preserve">R-02605</t>
  </si>
  <si>
    <t xml:space="preserve">R-02606</t>
  </si>
  <si>
    <t xml:space="preserve">R-02607</t>
  </si>
  <si>
    <t xml:space="preserve">R-02608</t>
  </si>
  <si>
    <t xml:space="preserve">R-02609</t>
  </si>
  <si>
    <t xml:space="preserve">R-02610</t>
  </si>
  <si>
    <t xml:space="preserve">R-02611</t>
  </si>
  <si>
    <t xml:space="preserve">R-02612</t>
  </si>
  <si>
    <t xml:space="preserve">R-02613</t>
  </si>
  <si>
    <t xml:space="preserve">R-02614</t>
  </si>
  <si>
    <t xml:space="preserve">R-02615</t>
  </si>
  <si>
    <t xml:space="preserve">R-02616</t>
  </si>
  <si>
    <t xml:space="preserve">R-02617</t>
  </si>
  <si>
    <t xml:space="preserve">R-02618</t>
  </si>
  <si>
    <t xml:space="preserve">R-02619</t>
  </si>
  <si>
    <t xml:space="preserve">R-02620</t>
  </si>
  <si>
    <t xml:space="preserve">R-02621</t>
  </si>
  <si>
    <t xml:space="preserve">R-02622</t>
  </si>
  <si>
    <t xml:space="preserve">R-02623</t>
  </si>
  <si>
    <t xml:space="preserve">R-02624</t>
  </si>
  <si>
    <t xml:space="preserve">R-02625</t>
  </si>
  <si>
    <t xml:space="preserve">R-02626</t>
  </si>
  <si>
    <t xml:space="preserve">R-02627</t>
  </si>
  <si>
    <t xml:space="preserve">R-02628</t>
  </si>
  <si>
    <t xml:space="preserve">R-02629</t>
  </si>
  <si>
    <t xml:space="preserve">R-02630</t>
  </si>
  <si>
    <t xml:space="preserve">R-02631</t>
  </si>
  <si>
    <t xml:space="preserve">R-02632</t>
  </si>
  <si>
    <t xml:space="preserve">R-02633</t>
  </si>
  <si>
    <t xml:space="preserve">R-02634</t>
  </si>
  <si>
    <t xml:space="preserve">R-02635</t>
  </si>
  <si>
    <t xml:space="preserve">R-02636</t>
  </si>
  <si>
    <t xml:space="preserve">R-02637</t>
  </si>
  <si>
    <t xml:space="preserve">R-02638</t>
  </si>
  <si>
    <t xml:space="preserve">R-02639</t>
  </si>
  <si>
    <t xml:space="preserve">R-02640</t>
  </si>
  <si>
    <t xml:space="preserve">R-02641</t>
  </si>
  <si>
    <t xml:space="preserve">R-02642</t>
  </si>
  <si>
    <t xml:space="preserve">R-02643</t>
  </si>
  <si>
    <t xml:space="preserve">R-02644</t>
  </si>
  <si>
    <t xml:space="preserve">R-02645</t>
  </si>
  <si>
    <t xml:space="preserve">R-02646</t>
  </si>
  <si>
    <t xml:space="preserve">R-02647</t>
  </si>
  <si>
    <t xml:space="preserve">R-02648</t>
  </si>
  <si>
    <t xml:space="preserve">R-02649</t>
  </si>
  <si>
    <t xml:space="preserve">R-02650</t>
  </si>
  <si>
    <t xml:space="preserve">R-02651</t>
  </si>
  <si>
    <t xml:space="preserve">R-02652</t>
  </si>
  <si>
    <t xml:space="preserve">R-02653</t>
  </si>
  <si>
    <t xml:space="preserve">R-02654</t>
  </si>
  <si>
    <t xml:space="preserve">R-02655</t>
  </si>
  <si>
    <t xml:space="preserve">R-02656</t>
  </si>
  <si>
    <t xml:space="preserve">R-02657</t>
  </si>
  <si>
    <t xml:space="preserve">R-02658</t>
  </si>
  <si>
    <t xml:space="preserve">R-02659</t>
  </si>
  <si>
    <t xml:space="preserve">R-02660</t>
  </si>
  <si>
    <t xml:space="preserve">R-02661</t>
  </si>
  <si>
    <t xml:space="preserve">R-02662</t>
  </si>
  <si>
    <t xml:space="preserve">R-02663</t>
  </si>
  <si>
    <t xml:space="preserve">R-02664</t>
  </si>
  <si>
    <t xml:space="preserve">R-02665</t>
  </si>
  <si>
    <t xml:space="preserve">R-02666</t>
  </si>
  <si>
    <t xml:space="preserve">R-02667</t>
  </si>
  <si>
    <t xml:space="preserve">R-02668</t>
  </si>
  <si>
    <t xml:space="preserve">R-02669</t>
  </si>
  <si>
    <t xml:space="preserve">R-02670</t>
  </si>
  <si>
    <t xml:space="preserve">R-02671</t>
  </si>
  <si>
    <t xml:space="preserve">R-02672</t>
  </si>
  <si>
    <t xml:space="preserve">R-02673</t>
  </si>
  <si>
    <t xml:space="preserve">R-02674</t>
  </si>
  <si>
    <t xml:space="preserve">R-02675</t>
  </si>
  <si>
    <t xml:space="preserve">R-02676</t>
  </si>
  <si>
    <t xml:space="preserve">R-02677</t>
  </si>
  <si>
    <t xml:space="preserve">R-02678</t>
  </si>
  <si>
    <t xml:space="preserve">R-02679</t>
  </si>
  <si>
    <t xml:space="preserve">R-02680</t>
  </si>
  <si>
    <t xml:space="preserve">R-02681</t>
  </si>
  <si>
    <t xml:space="preserve">R-02682</t>
  </si>
  <si>
    <t xml:space="preserve">R-02683</t>
  </si>
  <si>
    <t xml:space="preserve">R-02684</t>
  </si>
  <si>
    <t xml:space="preserve">R-02685</t>
  </si>
  <si>
    <t xml:space="preserve">R-02686</t>
  </si>
  <si>
    <t xml:space="preserve">R-02687</t>
  </si>
  <si>
    <t xml:space="preserve">R-02688</t>
  </si>
  <si>
    <t xml:space="preserve">R-02689</t>
  </si>
  <si>
    <t xml:space="preserve">R-02690</t>
  </si>
  <si>
    <t xml:space="preserve">R-02691</t>
  </si>
  <si>
    <t xml:space="preserve">R-02692</t>
  </si>
  <si>
    <t xml:space="preserve">R-02693</t>
  </si>
  <si>
    <t xml:space="preserve">R-02694</t>
  </si>
  <si>
    <t xml:space="preserve">R-02695</t>
  </si>
  <si>
    <t xml:space="preserve">R-02696</t>
  </si>
  <si>
    <t xml:space="preserve">R-02697</t>
  </si>
  <si>
    <t xml:space="preserve">R-02698</t>
  </si>
  <si>
    <t xml:space="preserve">R-02699</t>
  </si>
  <si>
    <t xml:space="preserve">R-02700</t>
  </si>
  <si>
    <t xml:space="preserve">R-02701</t>
  </si>
  <si>
    <t xml:space="preserve">R-02702</t>
  </si>
  <si>
    <t xml:space="preserve">R-02703</t>
  </si>
  <si>
    <t xml:space="preserve">R-02704</t>
  </si>
  <si>
    <t xml:space="preserve">R-02705</t>
  </si>
  <si>
    <t xml:space="preserve">R-02706</t>
  </si>
  <si>
    <t xml:space="preserve">R-02707</t>
  </si>
  <si>
    <t xml:space="preserve">R-02708</t>
  </si>
  <si>
    <t xml:space="preserve">R-02709</t>
  </si>
  <si>
    <t xml:space="preserve">R-02710</t>
  </si>
  <si>
    <t xml:space="preserve">R-02711</t>
  </si>
  <si>
    <t xml:space="preserve">R-02712</t>
  </si>
  <si>
    <t xml:space="preserve">R-02713</t>
  </si>
  <si>
    <t xml:space="preserve">R-02714</t>
  </si>
  <si>
    <t xml:space="preserve">R-02715</t>
  </si>
  <si>
    <t xml:space="preserve">R-02716</t>
  </si>
  <si>
    <t xml:space="preserve">R-02717</t>
  </si>
  <si>
    <t xml:space="preserve">R-02718</t>
  </si>
  <si>
    <t xml:space="preserve">R-02719</t>
  </si>
  <si>
    <t xml:space="preserve">R-02720</t>
  </si>
  <si>
    <t xml:space="preserve">R-02721</t>
  </si>
  <si>
    <t xml:space="preserve">R-02722</t>
  </si>
  <si>
    <t xml:space="preserve">R-02723</t>
  </si>
  <si>
    <t xml:space="preserve">R-02724</t>
  </si>
  <si>
    <t xml:space="preserve">R-02725</t>
  </si>
  <si>
    <t xml:space="preserve">R-02726</t>
  </si>
  <si>
    <t xml:space="preserve">R-02727</t>
  </si>
  <si>
    <t xml:space="preserve">R-02728</t>
  </si>
  <si>
    <t xml:space="preserve">R-02729</t>
  </si>
  <si>
    <t xml:space="preserve">R-02730</t>
  </si>
  <si>
    <t xml:space="preserve">R-02731</t>
  </si>
  <si>
    <t xml:space="preserve">R-02732</t>
  </si>
  <si>
    <t xml:space="preserve">R-02733</t>
  </si>
  <si>
    <t xml:space="preserve">R-02734</t>
  </si>
  <si>
    <t xml:space="preserve">R-02735</t>
  </si>
  <si>
    <t xml:space="preserve">R-02736</t>
  </si>
  <si>
    <t xml:space="preserve">R-02737</t>
  </si>
  <si>
    <t xml:space="preserve">R-02738</t>
  </si>
  <si>
    <t xml:space="preserve">R-02739</t>
  </si>
  <si>
    <t xml:space="preserve">R-02740</t>
  </si>
  <si>
    <t xml:space="preserve">R-02741</t>
  </si>
  <si>
    <t xml:space="preserve">R-02742</t>
  </si>
  <si>
    <t xml:space="preserve">R-02743</t>
  </si>
  <si>
    <t xml:space="preserve">R-02744</t>
  </si>
  <si>
    <t xml:space="preserve">R-02745</t>
  </si>
  <si>
    <t xml:space="preserve">R-02746</t>
  </si>
  <si>
    <t xml:space="preserve">R-02747</t>
  </si>
  <si>
    <t xml:space="preserve">R-02748</t>
  </si>
  <si>
    <t xml:space="preserve">R-02749</t>
  </si>
  <si>
    <t xml:space="preserve">R-02750</t>
  </si>
  <si>
    <t xml:space="preserve">R-02751</t>
  </si>
  <si>
    <t xml:space="preserve">R-02752</t>
  </si>
  <si>
    <t xml:space="preserve">R-02753</t>
  </si>
  <si>
    <t xml:space="preserve">R-02754</t>
  </si>
  <si>
    <t xml:space="preserve">R-02755</t>
  </si>
  <si>
    <t xml:space="preserve">R-02756</t>
  </si>
  <si>
    <t xml:space="preserve">R-02757</t>
  </si>
  <si>
    <t xml:space="preserve">R-02758</t>
  </si>
  <si>
    <t xml:space="preserve">R-02759</t>
  </si>
  <si>
    <t xml:space="preserve">R-02760</t>
  </si>
  <si>
    <t xml:space="preserve">R-02761</t>
  </si>
  <si>
    <t xml:space="preserve">R-02762</t>
  </si>
  <si>
    <t xml:space="preserve">R-02763</t>
  </si>
  <si>
    <t xml:space="preserve">R-02764</t>
  </si>
  <si>
    <t xml:space="preserve">R-02765</t>
  </si>
  <si>
    <t xml:space="preserve">R-02766</t>
  </si>
  <si>
    <t xml:space="preserve">R-02767</t>
  </si>
  <si>
    <t xml:space="preserve">R-02768</t>
  </si>
  <si>
    <t xml:space="preserve">R-02769</t>
  </si>
  <si>
    <t xml:space="preserve">R-02770</t>
  </si>
  <si>
    <t xml:space="preserve">R-02771</t>
  </si>
  <si>
    <t xml:space="preserve">R-02772</t>
  </si>
  <si>
    <t xml:space="preserve">R-02773</t>
  </si>
  <si>
    <t xml:space="preserve">R-02774</t>
  </si>
  <si>
    <t xml:space="preserve">R-02775</t>
  </si>
  <si>
    <t xml:space="preserve">R-02776</t>
  </si>
  <si>
    <t xml:space="preserve">R-02777</t>
  </si>
  <si>
    <t xml:space="preserve">R-02778</t>
  </si>
  <si>
    <t xml:space="preserve">R-02779</t>
  </si>
  <si>
    <t xml:space="preserve">R-02780</t>
  </si>
  <si>
    <t xml:space="preserve">R-02781</t>
  </si>
  <si>
    <t xml:space="preserve">R-02782</t>
  </si>
  <si>
    <t xml:space="preserve">R-02783</t>
  </si>
  <si>
    <t xml:space="preserve">R-02784</t>
  </si>
  <si>
    <t xml:space="preserve">R-02785</t>
  </si>
  <si>
    <t xml:space="preserve">R-02786</t>
  </si>
  <si>
    <t xml:space="preserve">R-02787</t>
  </si>
  <si>
    <t xml:space="preserve">R-02788</t>
  </si>
  <si>
    <t xml:space="preserve">R-02789</t>
  </si>
  <si>
    <t xml:space="preserve">R-02790</t>
  </si>
  <si>
    <t xml:space="preserve">R-02791</t>
  </si>
  <si>
    <t xml:space="preserve">R-02792</t>
  </si>
  <si>
    <t xml:space="preserve">R-02793</t>
  </si>
  <si>
    <t xml:space="preserve">R-02794</t>
  </si>
  <si>
    <t xml:space="preserve">R-02795</t>
  </si>
  <si>
    <t xml:space="preserve">R-02796</t>
  </si>
  <si>
    <t xml:space="preserve">R-02797</t>
  </si>
  <si>
    <t xml:space="preserve">R-02798</t>
  </si>
  <si>
    <t xml:space="preserve">R-02799</t>
  </si>
  <si>
    <t xml:space="preserve">R-02800</t>
  </si>
  <si>
    <t xml:space="preserve">R-02801</t>
  </si>
  <si>
    <t xml:space="preserve">R-02802</t>
  </si>
  <si>
    <t xml:space="preserve">R-02803</t>
  </si>
  <si>
    <t xml:space="preserve">R-02804</t>
  </si>
  <si>
    <t xml:space="preserve">R-02805</t>
  </si>
  <si>
    <t xml:space="preserve">R-02806</t>
  </si>
  <si>
    <t xml:space="preserve">R-02807</t>
  </si>
  <si>
    <t xml:space="preserve">R-02808</t>
  </si>
  <si>
    <t xml:space="preserve">R-02809</t>
  </si>
  <si>
    <t xml:space="preserve">R-02810</t>
  </si>
  <si>
    <t xml:space="preserve">R-02811</t>
  </si>
  <si>
    <t xml:space="preserve">R-02812</t>
  </si>
  <si>
    <t xml:space="preserve">R-02813</t>
  </si>
  <si>
    <t xml:space="preserve">R-02814</t>
  </si>
  <si>
    <t xml:space="preserve">R-02815</t>
  </si>
  <si>
    <t xml:space="preserve">R-02816</t>
  </si>
  <si>
    <t xml:space="preserve">R-02817</t>
  </si>
  <si>
    <t xml:space="preserve">R-02818</t>
  </si>
  <si>
    <t xml:space="preserve">R-02819</t>
  </si>
  <si>
    <t xml:space="preserve">R-02820</t>
  </si>
  <si>
    <t xml:space="preserve">R-02821</t>
  </si>
  <si>
    <t xml:space="preserve">R-02822</t>
  </si>
  <si>
    <t xml:space="preserve">R-02823</t>
  </si>
  <si>
    <t xml:space="preserve">R-02824</t>
  </si>
  <si>
    <t xml:space="preserve">R-02825</t>
  </si>
  <si>
    <t xml:space="preserve">R-02826</t>
  </si>
  <si>
    <t xml:space="preserve">R-02827</t>
  </si>
  <si>
    <t xml:space="preserve">R-02828</t>
  </si>
  <si>
    <t xml:space="preserve">R-02829</t>
  </si>
  <si>
    <t xml:space="preserve">R-02830</t>
  </si>
  <si>
    <t xml:space="preserve">R-02831</t>
  </si>
  <si>
    <t xml:space="preserve">R-02832</t>
  </si>
  <si>
    <t xml:space="preserve">R-02833</t>
  </si>
  <si>
    <t xml:space="preserve">R-02834</t>
  </si>
  <si>
    <t xml:space="preserve">R-02835</t>
  </si>
  <si>
    <t xml:space="preserve">R-02836</t>
  </si>
  <si>
    <t xml:space="preserve">R-02837</t>
  </si>
  <si>
    <t xml:space="preserve">R-02838</t>
  </si>
  <si>
    <t xml:space="preserve">R-02839</t>
  </si>
  <si>
    <t xml:space="preserve">R-02840</t>
  </si>
  <si>
    <t xml:space="preserve">R-02841</t>
  </si>
  <si>
    <t xml:space="preserve">R-02842</t>
  </si>
  <si>
    <t xml:space="preserve">R-02843</t>
  </si>
  <si>
    <t xml:space="preserve">R-02844</t>
  </si>
  <si>
    <t xml:space="preserve">R-02845</t>
  </si>
  <si>
    <t xml:space="preserve">R-02846</t>
  </si>
  <si>
    <t xml:space="preserve">R-02847</t>
  </si>
  <si>
    <t xml:space="preserve">R-02848</t>
  </si>
  <si>
    <t xml:space="preserve">R-02849</t>
  </si>
  <si>
    <t xml:space="preserve">R-02850</t>
  </si>
  <si>
    <t xml:space="preserve">R-02851</t>
  </si>
  <si>
    <t xml:space="preserve">R-02852</t>
  </si>
  <si>
    <t xml:space="preserve">R-02853</t>
  </si>
  <si>
    <t xml:space="preserve">R-02854</t>
  </si>
  <si>
    <t xml:space="preserve">R-02855</t>
  </si>
  <si>
    <t xml:space="preserve">R-02856</t>
  </si>
  <si>
    <t xml:space="preserve">R-02857</t>
  </si>
  <si>
    <t xml:space="preserve">R-02858</t>
  </si>
  <si>
    <t xml:space="preserve">R-02859</t>
  </si>
  <si>
    <t xml:space="preserve">R-02860</t>
  </si>
  <si>
    <t xml:space="preserve">R-02861</t>
  </si>
  <si>
    <t xml:space="preserve">R-02862</t>
  </si>
  <si>
    <t xml:space="preserve">R-02863</t>
  </si>
  <si>
    <t xml:space="preserve">R-02864</t>
  </si>
  <si>
    <t xml:space="preserve">R-02865</t>
  </si>
  <si>
    <t xml:space="preserve">R-02866</t>
  </si>
  <si>
    <t xml:space="preserve">R-02867</t>
  </si>
  <si>
    <t xml:space="preserve">R-02868</t>
  </si>
  <si>
    <t xml:space="preserve">R-02869</t>
  </si>
  <si>
    <t xml:space="preserve">R-02870</t>
  </si>
  <si>
    <t xml:space="preserve">R-02871</t>
  </si>
  <si>
    <t xml:space="preserve">R-02872</t>
  </si>
  <si>
    <t xml:space="preserve">R-02873</t>
  </si>
  <si>
    <t xml:space="preserve">R-02874</t>
  </si>
  <si>
    <t xml:space="preserve">R-02875</t>
  </si>
  <si>
    <t xml:space="preserve">R-02876</t>
  </si>
  <si>
    <t xml:space="preserve">R-02877</t>
  </si>
  <si>
    <t xml:space="preserve">R-02878</t>
  </si>
  <si>
    <t xml:space="preserve">R-02879</t>
  </si>
  <si>
    <t xml:space="preserve">R-02880</t>
  </si>
  <si>
    <t xml:space="preserve">R-02881</t>
  </si>
  <si>
    <t xml:space="preserve">R-02882</t>
  </si>
  <si>
    <t xml:space="preserve">R-02883</t>
  </si>
  <si>
    <t xml:space="preserve">R-02884</t>
  </si>
  <si>
    <t xml:space="preserve">R-02885</t>
  </si>
  <si>
    <t xml:space="preserve">R-02886</t>
  </si>
  <si>
    <t xml:space="preserve">R-02887</t>
  </si>
  <si>
    <t xml:space="preserve">R-02888</t>
  </si>
  <si>
    <t xml:space="preserve">R-02889</t>
  </si>
  <si>
    <t xml:space="preserve">R-02890</t>
  </si>
  <si>
    <t xml:space="preserve">R-02891</t>
  </si>
  <si>
    <t xml:space="preserve">R-02892</t>
  </si>
  <si>
    <t xml:space="preserve">R-02893</t>
  </si>
  <si>
    <t xml:space="preserve">R-02894</t>
  </si>
  <si>
    <t xml:space="preserve">R-02895</t>
  </si>
  <si>
    <t xml:space="preserve">R-02896</t>
  </si>
  <si>
    <t xml:space="preserve">R-02897</t>
  </si>
  <si>
    <t xml:space="preserve">R-02898</t>
  </si>
  <si>
    <t xml:space="preserve">R-02899</t>
  </si>
  <si>
    <t xml:space="preserve">R-02900</t>
  </si>
  <si>
    <t xml:space="preserve">R-02901</t>
  </si>
  <si>
    <t xml:space="preserve">R-02902</t>
  </si>
  <si>
    <t xml:space="preserve">R-02903</t>
  </si>
  <si>
    <t xml:space="preserve">R-02904</t>
  </si>
  <si>
    <t xml:space="preserve">R-02905</t>
  </si>
  <si>
    <t xml:space="preserve">R-02906</t>
  </si>
  <si>
    <t xml:space="preserve">R-02907</t>
  </si>
  <si>
    <t xml:space="preserve">R-02908</t>
  </si>
  <si>
    <t xml:space="preserve">R-02909</t>
  </si>
  <si>
    <t xml:space="preserve">R-02910</t>
  </si>
  <si>
    <t xml:space="preserve">R-02911</t>
  </si>
  <si>
    <t xml:space="preserve">R-02912</t>
  </si>
  <si>
    <t xml:space="preserve">R-02913</t>
  </si>
  <si>
    <t xml:space="preserve">R-02914</t>
  </si>
  <si>
    <t xml:space="preserve">R-02915</t>
  </si>
  <si>
    <t xml:space="preserve">R-02916</t>
  </si>
  <si>
    <t xml:space="preserve">R-02917</t>
  </si>
  <si>
    <t xml:space="preserve">R-02918</t>
  </si>
  <si>
    <t xml:space="preserve">R-02919</t>
  </si>
  <si>
    <t xml:space="preserve">R-02920</t>
  </si>
  <si>
    <t xml:space="preserve">R-02921</t>
  </si>
  <si>
    <t xml:space="preserve">R-02922</t>
  </si>
  <si>
    <t xml:space="preserve">R-02923</t>
  </si>
  <si>
    <t xml:space="preserve">R-02924</t>
  </si>
  <si>
    <t xml:space="preserve">R-02925</t>
  </si>
  <si>
    <t xml:space="preserve">R-02926</t>
  </si>
  <si>
    <t xml:space="preserve">R-02927</t>
  </si>
  <si>
    <t xml:space="preserve">R-02928</t>
  </si>
  <si>
    <t xml:space="preserve">R-02929</t>
  </si>
  <si>
    <t xml:space="preserve">R-02930</t>
  </si>
  <si>
    <t xml:space="preserve">R-02931</t>
  </si>
  <si>
    <t xml:space="preserve">R-02932</t>
  </si>
  <si>
    <t xml:space="preserve">R-02933</t>
  </si>
  <si>
    <t xml:space="preserve">R-02934</t>
  </si>
  <si>
    <t xml:space="preserve">R-02935</t>
  </si>
  <si>
    <t xml:space="preserve">R-02936</t>
  </si>
  <si>
    <t xml:space="preserve">R-02937</t>
  </si>
  <si>
    <t xml:space="preserve">R-02938</t>
  </si>
  <si>
    <t xml:space="preserve">R-02939</t>
  </si>
  <si>
    <t xml:space="preserve">R-02940</t>
  </si>
  <si>
    <t xml:space="preserve">R-02941</t>
  </si>
  <si>
    <t xml:space="preserve">R-02942</t>
  </si>
  <si>
    <t xml:space="preserve">R-02943</t>
  </si>
  <si>
    <t xml:space="preserve">R-02944</t>
  </si>
  <si>
    <t xml:space="preserve">R-02945</t>
  </si>
  <si>
    <t xml:space="preserve">R-02946</t>
  </si>
  <si>
    <t xml:space="preserve">R-02947</t>
  </si>
  <si>
    <t xml:space="preserve">R-02948</t>
  </si>
  <si>
    <t xml:space="preserve">R-02949</t>
  </si>
  <si>
    <t xml:space="preserve">R-02950</t>
  </si>
  <si>
    <t xml:space="preserve">R-02951</t>
  </si>
  <si>
    <t xml:space="preserve">R-02952</t>
  </si>
  <si>
    <t xml:space="preserve">R-02953</t>
  </si>
  <si>
    <t xml:space="preserve">R-02954</t>
  </si>
  <si>
    <t xml:space="preserve">R-02955</t>
  </si>
  <si>
    <t xml:space="preserve">R-02956</t>
  </si>
  <si>
    <t xml:space="preserve">R-02957</t>
  </si>
  <si>
    <t xml:space="preserve">R-02958</t>
  </si>
  <si>
    <t xml:space="preserve">R-02959</t>
  </si>
  <si>
    <t xml:space="preserve">R-02960</t>
  </si>
  <si>
    <t xml:space="preserve">R-02961</t>
  </si>
  <si>
    <t xml:space="preserve">R-02962</t>
  </si>
  <si>
    <t xml:space="preserve">R-02963</t>
  </si>
  <si>
    <t xml:space="preserve">R-02964</t>
  </si>
  <si>
    <t xml:space="preserve">R-02965</t>
  </si>
  <si>
    <t xml:space="preserve">R-02966</t>
  </si>
  <si>
    <t xml:space="preserve">R-02967</t>
  </si>
  <si>
    <t xml:space="preserve">R-02968</t>
  </si>
  <si>
    <t xml:space="preserve">R-02969</t>
  </si>
  <si>
    <t xml:space="preserve">R-02970</t>
  </si>
  <si>
    <t xml:space="preserve">R-02971</t>
  </si>
  <si>
    <t xml:space="preserve">R-02972</t>
  </si>
  <si>
    <t xml:space="preserve">R-02973</t>
  </si>
  <si>
    <t xml:space="preserve">R-02974</t>
  </si>
  <si>
    <t xml:space="preserve">R-02975</t>
  </si>
  <si>
    <t xml:space="preserve">R-02976</t>
  </si>
  <si>
    <t xml:space="preserve">R-02977</t>
  </si>
  <si>
    <t xml:space="preserve">R-02978</t>
  </si>
  <si>
    <t xml:space="preserve">R-02979</t>
  </si>
  <si>
    <t xml:space="preserve">R-02980</t>
  </si>
  <si>
    <t xml:space="preserve">R-02981</t>
  </si>
  <si>
    <t xml:space="preserve">R-02982</t>
  </si>
  <si>
    <t xml:space="preserve">R-02983</t>
  </si>
  <si>
    <t xml:space="preserve">R-02984</t>
  </si>
  <si>
    <t xml:space="preserve">R-02985</t>
  </si>
  <si>
    <t xml:space="preserve">R-02986</t>
  </si>
  <si>
    <t xml:space="preserve">R-02987</t>
  </si>
  <si>
    <t xml:space="preserve">R-02988</t>
  </si>
  <si>
    <t xml:space="preserve">R-02989</t>
  </si>
  <si>
    <t xml:space="preserve">R-02990</t>
  </si>
  <si>
    <t xml:space="preserve">R-02991</t>
  </si>
  <si>
    <t xml:space="preserve">R-02992</t>
  </si>
  <si>
    <t xml:space="preserve">R-02993</t>
  </si>
  <si>
    <t xml:space="preserve">R-02994</t>
  </si>
  <si>
    <t xml:space="preserve">R-02995</t>
  </si>
  <si>
    <t xml:space="preserve">R-02996</t>
  </si>
  <si>
    <t xml:space="preserve">R-02997</t>
  </si>
  <si>
    <t xml:space="preserve">R-02998</t>
  </si>
  <si>
    <t xml:space="preserve">R-02999</t>
  </si>
  <si>
    <t xml:space="preserve">R-03000</t>
  </si>
  <si>
    <t xml:space="preserve">R-03001</t>
  </si>
  <si>
    <t xml:space="preserve">R-03002</t>
  </si>
  <si>
    <t xml:space="preserve">R-03003</t>
  </si>
  <si>
    <t xml:space="preserve">R-03004</t>
  </si>
  <si>
    <t xml:space="preserve">R-03005</t>
  </si>
  <si>
    <t xml:space="preserve">R-03006</t>
  </si>
  <si>
    <t xml:space="preserve">R-03007</t>
  </si>
  <si>
    <t xml:space="preserve">R-03008</t>
  </si>
  <si>
    <t xml:space="preserve">R-03009</t>
  </si>
  <si>
    <t xml:space="preserve">R-03010</t>
  </si>
  <si>
    <t xml:space="preserve">R-03011</t>
  </si>
  <si>
    <t xml:space="preserve">R-03012</t>
  </si>
  <si>
    <t xml:space="preserve">R-03013</t>
  </si>
  <si>
    <t xml:space="preserve">R-03014</t>
  </si>
  <si>
    <t xml:space="preserve">R-03015</t>
  </si>
  <si>
    <t xml:space="preserve">R-03016</t>
  </si>
  <si>
    <t xml:space="preserve">R-03017</t>
  </si>
  <si>
    <t xml:space="preserve">R-03018</t>
  </si>
  <si>
    <t xml:space="preserve">R-03019</t>
  </si>
  <si>
    <t xml:space="preserve">R-03020</t>
  </si>
  <si>
    <t xml:space="preserve">R-03021</t>
  </si>
  <si>
    <t xml:space="preserve">R-03022</t>
  </si>
  <si>
    <t xml:space="preserve">R-03023</t>
  </si>
  <si>
    <t xml:space="preserve">R-03024</t>
  </si>
  <si>
    <t xml:space="preserve">R-03025</t>
  </si>
  <si>
    <t xml:space="preserve">R-03026</t>
  </si>
  <si>
    <t xml:space="preserve">R-03027</t>
  </si>
  <si>
    <t xml:space="preserve">R-03028</t>
  </si>
  <si>
    <t xml:space="preserve">R-03029</t>
  </si>
  <si>
    <t xml:space="preserve">R-03030</t>
  </si>
  <si>
    <t xml:space="preserve">R-03031</t>
  </si>
  <si>
    <t xml:space="preserve">R-03032</t>
  </si>
  <si>
    <t xml:space="preserve">R-03033</t>
  </si>
  <si>
    <t xml:space="preserve">R-03034</t>
  </si>
  <si>
    <t xml:space="preserve">R-03035</t>
  </si>
  <si>
    <t xml:space="preserve">R-03036</t>
  </si>
  <si>
    <t xml:space="preserve">R-03037</t>
  </si>
  <si>
    <t xml:space="preserve">R-03038</t>
  </si>
  <si>
    <t xml:space="preserve">R-03039</t>
  </si>
  <si>
    <t xml:space="preserve">R-03040</t>
  </si>
  <si>
    <t xml:space="preserve">R-03041</t>
  </si>
  <si>
    <t xml:space="preserve">R-03042</t>
  </si>
  <si>
    <t xml:space="preserve">R-03043</t>
  </si>
  <si>
    <t xml:space="preserve">R-03044</t>
  </si>
  <si>
    <t xml:space="preserve">R-03045</t>
  </si>
  <si>
    <t xml:space="preserve">R-03046</t>
  </si>
  <si>
    <t xml:space="preserve">R-03047</t>
  </si>
  <si>
    <t xml:space="preserve">R-03048</t>
  </si>
  <si>
    <t xml:space="preserve">R-03049</t>
  </si>
  <si>
    <t xml:space="preserve">R-03050</t>
  </si>
  <si>
    <t xml:space="preserve">R-03051</t>
  </si>
  <si>
    <t xml:space="preserve">R-03052</t>
  </si>
  <si>
    <t xml:space="preserve">R-03053</t>
  </si>
  <si>
    <t xml:space="preserve">R-03054</t>
  </si>
  <si>
    <t xml:space="preserve">R-03055</t>
  </si>
  <si>
    <t xml:space="preserve">R-03056</t>
  </si>
  <si>
    <t xml:space="preserve">R-03057</t>
  </si>
  <si>
    <t xml:space="preserve">R-03058</t>
  </si>
  <si>
    <t xml:space="preserve">R-03059</t>
  </si>
  <si>
    <t xml:space="preserve">R-03060</t>
  </si>
  <si>
    <t xml:space="preserve">R-03061</t>
  </si>
  <si>
    <t xml:space="preserve">R-03062</t>
  </si>
  <si>
    <t xml:space="preserve">R-03063</t>
  </si>
  <si>
    <t xml:space="preserve">R-03064</t>
  </si>
  <si>
    <t xml:space="preserve">R-03065</t>
  </si>
  <si>
    <t xml:space="preserve">R-03066</t>
  </si>
  <si>
    <t xml:space="preserve">R-03067</t>
  </si>
  <si>
    <t xml:space="preserve">R-03068</t>
  </si>
  <si>
    <t xml:space="preserve">R-03069</t>
  </si>
  <si>
    <t xml:space="preserve">R-03070</t>
  </si>
  <si>
    <t xml:space="preserve">R-03071</t>
  </si>
  <si>
    <t xml:space="preserve">R-03072</t>
  </si>
  <si>
    <t xml:space="preserve">R-03073</t>
  </si>
  <si>
    <t xml:space="preserve">R-03074</t>
  </si>
  <si>
    <t xml:space="preserve">R-03075</t>
  </si>
  <si>
    <t xml:space="preserve">R-03076</t>
  </si>
  <si>
    <t xml:space="preserve">R-03077</t>
  </si>
  <si>
    <t xml:space="preserve">R-03078</t>
  </si>
  <si>
    <t xml:space="preserve">R-03079</t>
  </si>
  <si>
    <t xml:space="preserve">R-03080</t>
  </si>
  <si>
    <t xml:space="preserve">R-03081</t>
  </si>
  <si>
    <t xml:space="preserve">R-03082</t>
  </si>
  <si>
    <t xml:space="preserve">R-03083</t>
  </si>
  <si>
    <t xml:space="preserve">R-03084</t>
  </si>
  <si>
    <t xml:space="preserve">R-03085</t>
  </si>
  <si>
    <t xml:space="preserve">R-03086</t>
  </si>
  <si>
    <t xml:space="preserve">R-03087</t>
  </si>
  <si>
    <t xml:space="preserve">R-03088</t>
  </si>
  <si>
    <t xml:space="preserve">R-03089</t>
  </si>
  <si>
    <t xml:space="preserve">R-03090</t>
  </si>
  <si>
    <t xml:space="preserve">R-03091</t>
  </si>
  <si>
    <t xml:space="preserve">R-03092</t>
  </si>
  <si>
    <t xml:space="preserve">R-03093</t>
  </si>
  <si>
    <t xml:space="preserve">R-03094</t>
  </si>
  <si>
    <t xml:space="preserve">R-03095</t>
  </si>
  <si>
    <t xml:space="preserve">R-03096</t>
  </si>
  <si>
    <t xml:space="preserve">R-03097</t>
  </si>
  <si>
    <t xml:space="preserve">R-03098</t>
  </si>
  <si>
    <t xml:space="preserve">R-03099</t>
  </si>
  <si>
    <t xml:space="preserve">R-03100</t>
  </si>
  <si>
    <t xml:space="preserve">R-03101</t>
  </si>
  <si>
    <t xml:space="preserve">R-03102</t>
  </si>
  <si>
    <t xml:space="preserve">R-03103</t>
  </si>
  <si>
    <t xml:space="preserve">R-03104</t>
  </si>
  <si>
    <t xml:space="preserve">R-03105</t>
  </si>
  <si>
    <t xml:space="preserve">R-03106</t>
  </si>
  <si>
    <t xml:space="preserve">R-03107</t>
  </si>
  <si>
    <t xml:space="preserve">R-03108</t>
  </si>
  <si>
    <t xml:space="preserve">R-03109</t>
  </si>
  <si>
    <t xml:space="preserve">R-03110</t>
  </si>
  <si>
    <t xml:space="preserve">R-03111</t>
  </si>
  <si>
    <t xml:space="preserve">R-03112</t>
  </si>
  <si>
    <t xml:space="preserve">R-03113</t>
  </si>
  <si>
    <t xml:space="preserve">R-03114</t>
  </si>
  <si>
    <t xml:space="preserve">R-03115</t>
  </si>
  <si>
    <t xml:space="preserve">R-03116</t>
  </si>
  <si>
    <t xml:space="preserve">R-03117</t>
  </si>
  <si>
    <t xml:space="preserve">R-03118</t>
  </si>
  <si>
    <t xml:space="preserve">R-03119</t>
  </si>
  <si>
    <t xml:space="preserve">R-03120</t>
  </si>
  <si>
    <t xml:space="preserve">R-03121</t>
  </si>
  <si>
    <t xml:space="preserve">R-03122</t>
  </si>
  <si>
    <t xml:space="preserve">R-03123</t>
  </si>
  <si>
    <t xml:space="preserve">R-03124</t>
  </si>
  <si>
    <t xml:space="preserve">R-03125</t>
  </si>
  <si>
    <t xml:space="preserve">R-03126</t>
  </si>
  <si>
    <t xml:space="preserve">R-03127</t>
  </si>
  <si>
    <t xml:space="preserve">R-03128</t>
  </si>
  <si>
    <t xml:space="preserve">R-03129</t>
  </si>
  <si>
    <t xml:space="preserve">R-03130</t>
  </si>
  <si>
    <t xml:space="preserve">R-03131</t>
  </si>
  <si>
    <t xml:space="preserve">R-03132</t>
  </si>
  <si>
    <t xml:space="preserve">R-03133</t>
  </si>
  <si>
    <t xml:space="preserve">R-03134</t>
  </si>
  <si>
    <t xml:space="preserve">R-03135</t>
  </si>
  <si>
    <t xml:space="preserve">R-03136</t>
  </si>
  <si>
    <t xml:space="preserve">R-03137</t>
  </si>
  <si>
    <t xml:space="preserve">R-03138</t>
  </si>
  <si>
    <t xml:space="preserve">R-03139</t>
  </si>
  <si>
    <t xml:space="preserve">R-03140</t>
  </si>
  <si>
    <t xml:space="preserve">R-03141</t>
  </si>
  <si>
    <t xml:space="preserve">R-03142</t>
  </si>
  <si>
    <t xml:space="preserve">R-03143</t>
  </si>
  <si>
    <t xml:space="preserve">R-03144</t>
  </si>
  <si>
    <t xml:space="preserve">R-03145</t>
  </si>
  <si>
    <t xml:space="preserve">R-03146</t>
  </si>
  <si>
    <t xml:space="preserve">R-03147</t>
  </si>
  <si>
    <t xml:space="preserve">R-03148</t>
  </si>
  <si>
    <t xml:space="preserve">R-03149</t>
  </si>
  <si>
    <t xml:space="preserve">R-03150</t>
  </si>
  <si>
    <t xml:space="preserve">R-03151</t>
  </si>
  <si>
    <t xml:space="preserve">R-03152</t>
  </si>
  <si>
    <t xml:space="preserve">R-03153</t>
  </si>
  <si>
    <t xml:space="preserve">R-03154</t>
  </si>
  <si>
    <t xml:space="preserve">R-03155</t>
  </si>
  <si>
    <t xml:space="preserve">R-03156</t>
  </si>
  <si>
    <t xml:space="preserve">R-03157</t>
  </si>
  <si>
    <t xml:space="preserve">R-03158</t>
  </si>
  <si>
    <t xml:space="preserve">R-03159</t>
  </si>
  <si>
    <t xml:space="preserve">R-03160</t>
  </si>
  <si>
    <t xml:space="preserve">R-03161</t>
  </si>
  <si>
    <t xml:space="preserve">R-03162</t>
  </si>
  <si>
    <t xml:space="preserve">R-03163</t>
  </si>
  <si>
    <t xml:space="preserve">R-03164</t>
  </si>
  <si>
    <t xml:space="preserve">R-03165</t>
  </si>
  <si>
    <t xml:space="preserve">R-03166</t>
  </si>
  <si>
    <t xml:space="preserve">R-03167</t>
  </si>
  <si>
    <t xml:space="preserve">R-03168</t>
  </si>
  <si>
    <t xml:space="preserve">R-03169</t>
  </si>
  <si>
    <t xml:space="preserve">R-03170</t>
  </si>
  <si>
    <t xml:space="preserve">R-03171</t>
  </si>
  <si>
    <t xml:space="preserve">R-03172</t>
  </si>
  <si>
    <t xml:space="preserve">R-03173</t>
  </si>
  <si>
    <t xml:space="preserve">R-03174</t>
  </si>
  <si>
    <t xml:space="preserve">R-03175</t>
  </si>
  <si>
    <t xml:space="preserve">R-03176</t>
  </si>
  <si>
    <t xml:space="preserve">R-03177</t>
  </si>
  <si>
    <t xml:space="preserve">R-03178</t>
  </si>
  <si>
    <t xml:space="preserve">R-03179</t>
  </si>
  <si>
    <t xml:space="preserve">R-03180</t>
  </si>
  <si>
    <t xml:space="preserve">R-03181</t>
  </si>
  <si>
    <t xml:space="preserve">R-03182</t>
  </si>
  <si>
    <t xml:space="preserve">R-03183</t>
  </si>
  <si>
    <t xml:space="preserve">R-03184</t>
  </si>
  <si>
    <t xml:space="preserve">R-03185</t>
  </si>
  <si>
    <t xml:space="preserve">R-03186</t>
  </si>
  <si>
    <t xml:space="preserve">R-03187</t>
  </si>
  <si>
    <t xml:space="preserve">R-03188</t>
  </si>
  <si>
    <t xml:space="preserve">R-03189</t>
  </si>
  <si>
    <t xml:space="preserve">R-03190</t>
  </si>
  <si>
    <t xml:space="preserve">R-03191</t>
  </si>
  <si>
    <t xml:space="preserve">R-03192</t>
  </si>
  <si>
    <t xml:space="preserve">R-03193</t>
  </si>
  <si>
    <t xml:space="preserve">R-03194</t>
  </si>
  <si>
    <t xml:space="preserve">R-03195</t>
  </si>
  <si>
    <t xml:space="preserve">R-03196</t>
  </si>
  <si>
    <t xml:space="preserve">R-03197</t>
  </si>
  <si>
    <t xml:space="preserve">R-03198</t>
  </si>
  <si>
    <t xml:space="preserve">R-03199</t>
  </si>
  <si>
    <t xml:space="preserve">R-03200</t>
  </si>
  <si>
    <t xml:space="preserve">R-03201</t>
  </si>
  <si>
    <t xml:space="preserve">R-03202</t>
  </si>
  <si>
    <t xml:space="preserve">R-03203</t>
  </si>
  <si>
    <t xml:space="preserve">R-03204</t>
  </si>
  <si>
    <t xml:space="preserve">R-03205</t>
  </si>
  <si>
    <t xml:space="preserve">R-03206</t>
  </si>
  <si>
    <t xml:space="preserve">R-03207</t>
  </si>
  <si>
    <t xml:space="preserve">R-03208</t>
  </si>
  <si>
    <t xml:space="preserve">R-03209</t>
  </si>
  <si>
    <t xml:space="preserve">R-03210</t>
  </si>
  <si>
    <t xml:space="preserve">R-03211</t>
  </si>
  <si>
    <t xml:space="preserve">R-03212</t>
  </si>
  <si>
    <t xml:space="preserve">R-03213</t>
  </si>
  <si>
    <t xml:space="preserve">R-03214</t>
  </si>
  <si>
    <t xml:space="preserve">R-03215</t>
  </si>
  <si>
    <t xml:space="preserve">R-03216</t>
  </si>
  <si>
    <t xml:space="preserve">R-03217</t>
  </si>
  <si>
    <t xml:space="preserve">R-03218</t>
  </si>
  <si>
    <t xml:space="preserve">R-03219</t>
  </si>
  <si>
    <t xml:space="preserve">R-03220</t>
  </si>
  <si>
    <t xml:space="preserve">R-03221</t>
  </si>
  <si>
    <t xml:space="preserve">R-03222</t>
  </si>
  <si>
    <t xml:space="preserve">R-03223</t>
  </si>
  <si>
    <t xml:space="preserve">R-03224</t>
  </si>
  <si>
    <t xml:space="preserve">R-03225</t>
  </si>
  <si>
    <t xml:space="preserve">R-03226</t>
  </si>
  <si>
    <t xml:space="preserve">R-03227</t>
  </si>
  <si>
    <t xml:space="preserve">R-03228</t>
  </si>
  <si>
    <t xml:space="preserve">R-03229</t>
  </si>
  <si>
    <t xml:space="preserve">R-03230</t>
  </si>
  <si>
    <t xml:space="preserve">R-03231</t>
  </si>
  <si>
    <t xml:space="preserve">R-03232</t>
  </si>
  <si>
    <t xml:space="preserve">R-03233</t>
  </si>
  <si>
    <t xml:space="preserve">R-03234</t>
  </si>
  <si>
    <t xml:space="preserve">R-03235</t>
  </si>
  <si>
    <t xml:space="preserve">R-03236</t>
  </si>
  <si>
    <t xml:space="preserve">R-03237</t>
  </si>
  <si>
    <t xml:space="preserve">R-03238</t>
  </si>
  <si>
    <t xml:space="preserve">R-03239</t>
  </si>
  <si>
    <t xml:space="preserve">R-03240</t>
  </si>
  <si>
    <t xml:space="preserve">R-03241</t>
  </si>
  <si>
    <t xml:space="preserve">R-03242</t>
  </si>
  <si>
    <t xml:space="preserve">R-03243</t>
  </si>
  <si>
    <t xml:space="preserve">R-03244</t>
  </si>
  <si>
    <t xml:space="preserve">R-03245</t>
  </si>
  <si>
    <t xml:space="preserve">R-03246</t>
  </si>
  <si>
    <t xml:space="preserve">R-03247</t>
  </si>
  <si>
    <t xml:space="preserve">R-03248</t>
  </si>
  <si>
    <t xml:space="preserve">R-03249</t>
  </si>
  <si>
    <t xml:space="preserve">R-03250</t>
  </si>
  <si>
    <t xml:space="preserve">R-03251</t>
  </si>
  <si>
    <t xml:space="preserve">R-03252</t>
  </si>
  <si>
    <t xml:space="preserve">R-03253</t>
  </si>
  <si>
    <t xml:space="preserve">R-03254</t>
  </si>
  <si>
    <t xml:space="preserve">R-03255</t>
  </si>
  <si>
    <t xml:space="preserve">R-03256</t>
  </si>
  <si>
    <t xml:space="preserve">R-03257</t>
  </si>
  <si>
    <t xml:space="preserve">R-03258</t>
  </si>
  <si>
    <t xml:space="preserve">R-03259</t>
  </si>
  <si>
    <t xml:space="preserve">R-03260</t>
  </si>
  <si>
    <t xml:space="preserve">R-03261</t>
  </si>
  <si>
    <t xml:space="preserve">R-03262</t>
  </si>
  <si>
    <t xml:space="preserve">R-03263</t>
  </si>
  <si>
    <t xml:space="preserve">R-03264</t>
  </si>
  <si>
    <t xml:space="preserve">R-03265</t>
  </si>
  <si>
    <t xml:space="preserve">R-03266</t>
  </si>
  <si>
    <t xml:space="preserve">R-03267</t>
  </si>
  <si>
    <t xml:space="preserve">R-03268</t>
  </si>
  <si>
    <t xml:space="preserve">R-03269</t>
  </si>
  <si>
    <t xml:space="preserve">R-03270</t>
  </si>
  <si>
    <t xml:space="preserve">R-03271</t>
  </si>
  <si>
    <t xml:space="preserve">R-03272</t>
  </si>
  <si>
    <t xml:space="preserve">R-03273</t>
  </si>
  <si>
    <t xml:space="preserve">R-03274</t>
  </si>
  <si>
    <t xml:space="preserve">R-03275</t>
  </si>
  <si>
    <t xml:space="preserve">R-03276</t>
  </si>
  <si>
    <t xml:space="preserve">R-03277</t>
  </si>
  <si>
    <t xml:space="preserve">R-03278</t>
  </si>
  <si>
    <t xml:space="preserve">R-03279</t>
  </si>
  <si>
    <t xml:space="preserve">R-03280</t>
  </si>
  <si>
    <t xml:space="preserve">R-03281</t>
  </si>
  <si>
    <t xml:space="preserve">R-03282</t>
  </si>
  <si>
    <t xml:space="preserve">R-03283</t>
  </si>
  <si>
    <t xml:space="preserve">R-03284</t>
  </si>
  <si>
    <t xml:space="preserve">R-03285</t>
  </si>
  <si>
    <t xml:space="preserve">R-03286</t>
  </si>
  <si>
    <t xml:space="preserve">R-03287</t>
  </si>
  <si>
    <t xml:space="preserve">R-03288</t>
  </si>
  <si>
    <t xml:space="preserve">R-03289</t>
  </si>
  <si>
    <t xml:space="preserve">R-03290</t>
  </si>
  <si>
    <t xml:space="preserve">R-03291</t>
  </si>
  <si>
    <t xml:space="preserve">R-03292</t>
  </si>
  <si>
    <t xml:space="preserve">R-03293</t>
  </si>
  <si>
    <t xml:space="preserve">R-03294</t>
  </si>
  <si>
    <t xml:space="preserve">R-03295</t>
  </si>
  <si>
    <t xml:space="preserve">R-03296</t>
  </si>
  <si>
    <t xml:space="preserve">R-03297</t>
  </si>
  <si>
    <t xml:space="preserve">R-03298</t>
  </si>
  <si>
    <t xml:space="preserve">R-03299</t>
  </si>
  <si>
    <t xml:space="preserve">R-03300</t>
  </si>
  <si>
    <t xml:space="preserve">R-03301</t>
  </si>
  <si>
    <t xml:space="preserve">R-03302</t>
  </si>
  <si>
    <t xml:space="preserve">R-03303</t>
  </si>
  <si>
    <t xml:space="preserve">R-03304</t>
  </si>
  <si>
    <t xml:space="preserve">R-03305</t>
  </si>
  <si>
    <t xml:space="preserve">R-03306</t>
  </si>
  <si>
    <t xml:space="preserve">R-03307</t>
  </si>
  <si>
    <t xml:space="preserve">R-03308</t>
  </si>
  <si>
    <t xml:space="preserve">R-03309</t>
  </si>
  <si>
    <t xml:space="preserve">R-03310</t>
  </si>
  <si>
    <t xml:space="preserve">R-03311</t>
  </si>
  <si>
    <t xml:space="preserve">R-03312</t>
  </si>
  <si>
    <t xml:space="preserve">R-03313</t>
  </si>
  <si>
    <t xml:space="preserve">R-03314</t>
  </si>
  <si>
    <t xml:space="preserve">R-03315</t>
  </si>
  <si>
    <t xml:space="preserve">R-03316</t>
  </si>
  <si>
    <t xml:space="preserve">R-03317</t>
  </si>
  <si>
    <t xml:space="preserve">R-03318</t>
  </si>
  <si>
    <t xml:space="preserve">R-03319</t>
  </si>
  <si>
    <t xml:space="preserve">R-03320</t>
  </si>
  <si>
    <t xml:space="preserve">R-03321</t>
  </si>
  <si>
    <t xml:space="preserve">R-03322</t>
  </si>
  <si>
    <t xml:space="preserve">R-03323</t>
  </si>
  <si>
    <t xml:space="preserve">R-03324</t>
  </si>
  <si>
    <t xml:space="preserve">R-03325</t>
  </si>
  <si>
    <t xml:space="preserve">R-03326</t>
  </si>
  <si>
    <t xml:space="preserve">R-03327</t>
  </si>
  <si>
    <t xml:space="preserve">R-03328</t>
  </si>
  <si>
    <t xml:space="preserve">R-03329</t>
  </si>
  <si>
    <t xml:space="preserve">R-03330</t>
  </si>
  <si>
    <t xml:space="preserve">R-03331</t>
  </si>
  <si>
    <t xml:space="preserve">R-03332</t>
  </si>
  <si>
    <t xml:space="preserve">R-03333</t>
  </si>
  <si>
    <t xml:space="preserve">R-03334</t>
  </si>
  <si>
    <t xml:space="preserve">R-03335</t>
  </si>
  <si>
    <t xml:space="preserve">R-03336</t>
  </si>
  <si>
    <t xml:space="preserve">R-03337</t>
  </si>
  <si>
    <t xml:space="preserve">R-03338</t>
  </si>
  <si>
    <t xml:space="preserve">R-03339</t>
  </si>
  <si>
    <t xml:space="preserve">R-03340</t>
  </si>
  <si>
    <t xml:space="preserve">R-03341</t>
  </si>
  <si>
    <t xml:space="preserve">R-03342</t>
  </si>
  <si>
    <t xml:space="preserve">R-03343</t>
  </si>
  <si>
    <t xml:space="preserve">R-03344</t>
  </si>
  <si>
    <t xml:space="preserve">R-03345</t>
  </si>
  <si>
    <t xml:space="preserve">R-03346</t>
  </si>
  <si>
    <t xml:space="preserve">R-03347</t>
  </si>
  <si>
    <t xml:space="preserve">R-03348</t>
  </si>
  <si>
    <t xml:space="preserve">R-03349</t>
  </si>
  <si>
    <t xml:space="preserve">R-03350</t>
  </si>
  <si>
    <t xml:space="preserve">R-03351</t>
  </si>
  <si>
    <t xml:space="preserve">R-03352</t>
  </si>
  <si>
    <t xml:space="preserve">R-03353</t>
  </si>
  <si>
    <t xml:space="preserve">R-03354</t>
  </si>
  <si>
    <t xml:space="preserve">R-03355</t>
  </si>
  <si>
    <t xml:space="preserve">R-03356</t>
  </si>
  <si>
    <t xml:space="preserve">R-03357</t>
  </si>
  <si>
    <t xml:space="preserve">R-03358</t>
  </si>
  <si>
    <t xml:space="preserve">R-03359</t>
  </si>
  <si>
    <t xml:space="preserve">R-03360</t>
  </si>
  <si>
    <t xml:space="preserve">R-03361</t>
  </si>
  <si>
    <t xml:space="preserve">R-03362</t>
  </si>
  <si>
    <t xml:space="preserve">R-03363</t>
  </si>
  <si>
    <t xml:space="preserve">R-03364</t>
  </si>
  <si>
    <t xml:space="preserve">R-03365</t>
  </si>
  <si>
    <t xml:space="preserve">R-03366</t>
  </si>
  <si>
    <t xml:space="preserve">R-03367</t>
  </si>
  <si>
    <t xml:space="preserve">R-03368</t>
  </si>
  <si>
    <t xml:space="preserve">R-03369</t>
  </si>
  <si>
    <t xml:space="preserve">R-03370</t>
  </si>
  <si>
    <t xml:space="preserve">R-03371</t>
  </si>
  <si>
    <t xml:space="preserve">R-03372</t>
  </si>
  <si>
    <t xml:space="preserve">R-03373</t>
  </si>
  <si>
    <t xml:space="preserve">R-03374</t>
  </si>
  <si>
    <t xml:space="preserve">R-03375</t>
  </si>
  <si>
    <t xml:space="preserve">R-03376</t>
  </si>
  <si>
    <t xml:space="preserve">R-03377</t>
  </si>
  <si>
    <t xml:space="preserve">R-03378</t>
  </si>
  <si>
    <t xml:space="preserve">R-03379</t>
  </si>
  <si>
    <t xml:space="preserve">R-03380</t>
  </si>
  <si>
    <t xml:space="preserve">R-03381</t>
  </si>
  <si>
    <t xml:space="preserve">R-03382</t>
  </si>
  <si>
    <t xml:space="preserve">R-03383</t>
  </si>
  <si>
    <t xml:space="preserve">R-03384</t>
  </si>
  <si>
    <t xml:space="preserve">R-03385</t>
  </si>
  <si>
    <t xml:space="preserve">R-03386</t>
  </si>
  <si>
    <t xml:space="preserve">R-03387</t>
  </si>
  <si>
    <t xml:space="preserve">R-03388</t>
  </si>
  <si>
    <t xml:space="preserve">R-03389</t>
  </si>
  <si>
    <t xml:space="preserve">R-03390</t>
  </si>
  <si>
    <t xml:space="preserve">R-03391</t>
  </si>
  <si>
    <t xml:space="preserve">R-03392</t>
  </si>
  <si>
    <t xml:space="preserve">R-03393</t>
  </si>
  <si>
    <t xml:space="preserve">R-03394</t>
  </si>
  <si>
    <t xml:space="preserve">R-03395</t>
  </si>
  <si>
    <t xml:space="preserve">R-03396</t>
  </si>
  <si>
    <t xml:space="preserve">R-03397</t>
  </si>
  <si>
    <t xml:space="preserve">R-03398</t>
  </si>
  <si>
    <t xml:space="preserve">R-03399</t>
  </si>
  <si>
    <t xml:space="preserve">R-03400</t>
  </si>
  <si>
    <t xml:space="preserve">R-03401</t>
  </si>
  <si>
    <t xml:space="preserve">R-03402</t>
  </si>
  <si>
    <t xml:space="preserve">R-03403</t>
  </si>
  <si>
    <t xml:space="preserve">R-03404</t>
  </si>
  <si>
    <t xml:space="preserve">R-03405</t>
  </si>
  <si>
    <t xml:space="preserve">R-03406</t>
  </si>
  <si>
    <t xml:space="preserve">R-03407</t>
  </si>
  <si>
    <t xml:space="preserve">R-03408</t>
  </si>
  <si>
    <t xml:space="preserve">R-03409</t>
  </si>
  <si>
    <t xml:space="preserve">R-03410</t>
  </si>
  <si>
    <t xml:space="preserve">R-03411</t>
  </si>
  <si>
    <t xml:space="preserve">R-03412</t>
  </si>
  <si>
    <t xml:space="preserve">R-03413</t>
  </si>
  <si>
    <t xml:space="preserve">R-03414</t>
  </si>
  <si>
    <t xml:space="preserve">R-03415</t>
  </si>
  <si>
    <t xml:space="preserve">R-03416</t>
  </si>
  <si>
    <t xml:space="preserve">R-03417</t>
  </si>
  <si>
    <t xml:space="preserve">R-03418</t>
  </si>
  <si>
    <t xml:space="preserve">R-03419</t>
  </si>
  <si>
    <t xml:space="preserve">R-03420</t>
  </si>
  <si>
    <t xml:space="preserve">R-03421</t>
  </si>
  <si>
    <t xml:space="preserve">R-03422</t>
  </si>
  <si>
    <t xml:space="preserve">R-03423</t>
  </si>
  <si>
    <t xml:space="preserve">R-03424</t>
  </si>
  <si>
    <t xml:space="preserve">R-03425</t>
  </si>
  <si>
    <t xml:space="preserve">R-03426</t>
  </si>
  <si>
    <t xml:space="preserve">R-03427</t>
  </si>
  <si>
    <t xml:space="preserve">R-03428</t>
  </si>
  <si>
    <t xml:space="preserve">R-03429</t>
  </si>
  <si>
    <t xml:space="preserve">R-03430</t>
  </si>
  <si>
    <t xml:space="preserve">R-03431</t>
  </si>
  <si>
    <t xml:space="preserve">R-03432</t>
  </si>
  <si>
    <t xml:space="preserve">R-03433</t>
  </si>
  <si>
    <t xml:space="preserve">R-03434</t>
  </si>
  <si>
    <t xml:space="preserve">R-03435</t>
  </si>
  <si>
    <t xml:space="preserve">R-03436</t>
  </si>
  <si>
    <t xml:space="preserve">R-03437</t>
  </si>
  <si>
    <t xml:space="preserve">R-03438</t>
  </si>
  <si>
    <t xml:space="preserve">R-03439</t>
  </si>
  <si>
    <t xml:space="preserve">R-03440</t>
  </si>
  <si>
    <t xml:space="preserve">R-03441</t>
  </si>
  <si>
    <t xml:space="preserve">R-03442</t>
  </si>
  <si>
    <t xml:space="preserve">R-03443</t>
  </si>
  <si>
    <t xml:space="preserve">R-03444</t>
  </si>
  <si>
    <t xml:space="preserve">R-03445</t>
  </si>
  <si>
    <t xml:space="preserve">R-03446</t>
  </si>
  <si>
    <t xml:space="preserve">R-03447</t>
  </si>
  <si>
    <t xml:space="preserve">R-03448</t>
  </si>
  <si>
    <t xml:space="preserve">R-03449</t>
  </si>
  <si>
    <t xml:space="preserve">R-03450</t>
  </si>
  <si>
    <t xml:space="preserve">R-03451</t>
  </si>
  <si>
    <t xml:space="preserve">R-03452</t>
  </si>
  <si>
    <t xml:space="preserve">R-03453</t>
  </si>
  <si>
    <t xml:space="preserve">R-03454</t>
  </si>
  <si>
    <t xml:space="preserve">R-03455</t>
  </si>
  <si>
    <t xml:space="preserve">R-03456</t>
  </si>
  <si>
    <t xml:space="preserve">R-03457</t>
  </si>
  <si>
    <t xml:space="preserve">R-03458</t>
  </si>
  <si>
    <t xml:space="preserve">R-03459</t>
  </si>
  <si>
    <t xml:space="preserve">R-03460</t>
  </si>
  <si>
    <t xml:space="preserve">R-03461</t>
  </si>
  <si>
    <t xml:space="preserve">R-03462</t>
  </si>
  <si>
    <t xml:space="preserve">R-03463</t>
  </si>
  <si>
    <t xml:space="preserve">R-03464</t>
  </si>
  <si>
    <t xml:space="preserve">R-03465</t>
  </si>
  <si>
    <t xml:space="preserve">R-03466</t>
  </si>
  <si>
    <t xml:space="preserve">R-03467</t>
  </si>
  <si>
    <t xml:space="preserve">R-03468</t>
  </si>
  <si>
    <t xml:space="preserve">R-03469</t>
  </si>
  <si>
    <t xml:space="preserve">R-03470</t>
  </si>
  <si>
    <t xml:space="preserve">R-03471</t>
  </si>
  <si>
    <t xml:space="preserve">R-03472</t>
  </si>
  <si>
    <t xml:space="preserve">R-03473</t>
  </si>
  <si>
    <t xml:space="preserve">R-03474</t>
  </si>
  <si>
    <t xml:space="preserve">R-03475</t>
  </si>
  <si>
    <t xml:space="preserve">R-03476</t>
  </si>
  <si>
    <t xml:space="preserve">R-03477</t>
  </si>
  <si>
    <t xml:space="preserve">R-03478</t>
  </si>
  <si>
    <t xml:space="preserve">R-03479</t>
  </si>
  <si>
    <t xml:space="preserve">R-03480</t>
  </si>
  <si>
    <t xml:space="preserve">R-03481</t>
  </si>
  <si>
    <t xml:space="preserve">R-03482</t>
  </si>
  <si>
    <t xml:space="preserve">R-03483</t>
  </si>
  <si>
    <t xml:space="preserve">R-03484</t>
  </si>
  <si>
    <t xml:space="preserve">R-03485</t>
  </si>
  <si>
    <t xml:space="preserve">R-03486</t>
  </si>
  <si>
    <t xml:space="preserve">R-03487</t>
  </si>
  <si>
    <t xml:space="preserve">R-03488</t>
  </si>
  <si>
    <t xml:space="preserve">R-03489</t>
  </si>
  <si>
    <t xml:space="preserve">R-03490</t>
  </si>
  <si>
    <t xml:space="preserve">R-03491</t>
  </si>
  <si>
    <t xml:space="preserve">R-03492</t>
  </si>
  <si>
    <t xml:space="preserve">R-03493</t>
  </si>
  <si>
    <t xml:space="preserve">R-03494</t>
  </si>
  <si>
    <t xml:space="preserve">R-03495</t>
  </si>
  <si>
    <t xml:space="preserve">R-03496</t>
  </si>
  <si>
    <t xml:space="preserve">R-03497</t>
  </si>
  <si>
    <t xml:space="preserve">R-03498</t>
  </si>
  <si>
    <t xml:space="preserve">R-03499</t>
  </si>
  <si>
    <t xml:space="preserve">R-03500</t>
  </si>
  <si>
    <t xml:space="preserve">R-03501</t>
  </si>
  <si>
    <t xml:space="preserve">R-03502</t>
  </si>
  <si>
    <t xml:space="preserve">R-03503</t>
  </si>
  <si>
    <t xml:space="preserve">R-03504</t>
  </si>
  <si>
    <t xml:space="preserve">R-03505</t>
  </si>
  <si>
    <t xml:space="preserve">R-03506</t>
  </si>
  <si>
    <t xml:space="preserve">R-03507</t>
  </si>
  <si>
    <t xml:space="preserve">R-03508</t>
  </si>
  <si>
    <t xml:space="preserve">R-03509</t>
  </si>
  <si>
    <t xml:space="preserve">R-03510</t>
  </si>
  <si>
    <t xml:space="preserve">R-03511</t>
  </si>
  <si>
    <t xml:space="preserve">R-03512</t>
  </si>
  <si>
    <t xml:space="preserve">R-03513</t>
  </si>
  <si>
    <t xml:space="preserve">R-03514</t>
  </si>
  <si>
    <t xml:space="preserve">R-03515</t>
  </si>
  <si>
    <t xml:space="preserve">R-03516</t>
  </si>
  <si>
    <t xml:space="preserve">R-03517</t>
  </si>
  <si>
    <t xml:space="preserve">R-03518</t>
  </si>
  <si>
    <t xml:space="preserve">R-03519</t>
  </si>
  <si>
    <t xml:space="preserve">R-03520</t>
  </si>
  <si>
    <t xml:space="preserve">R-03521</t>
  </si>
  <si>
    <t xml:space="preserve">R-03522</t>
  </si>
  <si>
    <t xml:space="preserve">R-03523</t>
  </si>
  <si>
    <t xml:space="preserve">R-03524</t>
  </si>
  <si>
    <t xml:space="preserve">R-03525</t>
  </si>
  <si>
    <t xml:space="preserve">R-03526</t>
  </si>
  <si>
    <t xml:space="preserve">R-03527</t>
  </si>
  <si>
    <t xml:space="preserve">R-03528</t>
  </si>
  <si>
    <t xml:space="preserve">R-03529</t>
  </si>
  <si>
    <t xml:space="preserve">R-03530</t>
  </si>
  <si>
    <t xml:space="preserve">R-03531</t>
  </si>
  <si>
    <t xml:space="preserve">R-03532</t>
  </si>
  <si>
    <t xml:space="preserve">R-03533</t>
  </si>
  <si>
    <t xml:space="preserve">R-03534</t>
  </si>
  <si>
    <t xml:space="preserve">R-03535</t>
  </si>
  <si>
    <t xml:space="preserve">R-03536</t>
  </si>
  <si>
    <t xml:space="preserve">R-03537</t>
  </si>
  <si>
    <t xml:space="preserve">R-03538</t>
  </si>
  <si>
    <t xml:space="preserve">R-03539</t>
  </si>
  <si>
    <t xml:space="preserve">R-03540</t>
  </si>
  <si>
    <t xml:space="preserve">R-03541</t>
  </si>
  <si>
    <t xml:space="preserve">R-03542</t>
  </si>
  <si>
    <t xml:space="preserve">R-03543</t>
  </si>
  <si>
    <t xml:space="preserve">R-03544</t>
  </si>
  <si>
    <t xml:space="preserve">R-03545</t>
  </si>
  <si>
    <t xml:space="preserve">R-03546</t>
  </si>
  <si>
    <t xml:space="preserve">R-03547</t>
  </si>
  <si>
    <t xml:space="preserve">R-03548</t>
  </si>
  <si>
    <t xml:space="preserve">R-03549</t>
  </si>
  <si>
    <t xml:space="preserve">R-03550</t>
  </si>
  <si>
    <t xml:space="preserve">R-03551</t>
  </si>
  <si>
    <t xml:space="preserve">R-03552</t>
  </si>
  <si>
    <t xml:space="preserve">R-03553</t>
  </si>
  <si>
    <t xml:space="preserve">R-03554</t>
  </si>
  <si>
    <t xml:space="preserve">R-03555</t>
  </si>
  <si>
    <t xml:space="preserve">R-03556</t>
  </si>
  <si>
    <t xml:space="preserve">R-03557</t>
  </si>
  <si>
    <t xml:space="preserve">R-03558</t>
  </si>
  <si>
    <t xml:space="preserve">R-03559</t>
  </si>
  <si>
    <t xml:space="preserve">R-03560</t>
  </si>
  <si>
    <t xml:space="preserve">R-03561</t>
  </si>
  <si>
    <t xml:space="preserve">R-03562</t>
  </si>
  <si>
    <t xml:space="preserve">R-03563</t>
  </si>
  <si>
    <t xml:space="preserve">R-03564</t>
  </si>
  <si>
    <t xml:space="preserve">R-03565</t>
  </si>
  <si>
    <t xml:space="preserve">R-03566</t>
  </si>
  <si>
    <t xml:space="preserve">R-03567</t>
  </si>
  <si>
    <t xml:space="preserve">R-03568</t>
  </si>
  <si>
    <t xml:space="preserve">R-03569</t>
  </si>
  <si>
    <t xml:space="preserve">R-03570</t>
  </si>
  <si>
    <t xml:space="preserve">R-03571</t>
  </si>
  <si>
    <t xml:space="preserve">R-03572</t>
  </si>
  <si>
    <t xml:space="preserve">R-03573</t>
  </si>
  <si>
    <t xml:space="preserve">R-03574</t>
  </si>
  <si>
    <t xml:space="preserve">R-03575</t>
  </si>
  <si>
    <t xml:space="preserve">R-03576</t>
  </si>
  <si>
    <t xml:space="preserve">R-03577</t>
  </si>
  <si>
    <t xml:space="preserve">R-03578</t>
  </si>
  <si>
    <t xml:space="preserve">R-03579</t>
  </si>
  <si>
    <t xml:space="preserve">R-03580</t>
  </si>
  <si>
    <t xml:space="preserve">R-03581</t>
  </si>
  <si>
    <t xml:space="preserve">R-03582</t>
  </si>
  <si>
    <t xml:space="preserve">R-03583</t>
  </si>
  <si>
    <t xml:space="preserve">R-03584</t>
  </si>
  <si>
    <t xml:space="preserve">R-03585</t>
  </si>
  <si>
    <t xml:space="preserve">R-03586</t>
  </si>
  <si>
    <t xml:space="preserve">R-03587</t>
  </si>
  <si>
    <t xml:space="preserve">R-03588</t>
  </si>
  <si>
    <t xml:space="preserve">R-03589</t>
  </si>
  <si>
    <t xml:space="preserve">R-03590</t>
  </si>
  <si>
    <t xml:space="preserve">R-03591</t>
  </si>
  <si>
    <t xml:space="preserve">R-03592</t>
  </si>
  <si>
    <t xml:space="preserve">R-03593</t>
  </si>
  <si>
    <t xml:space="preserve">R-03594</t>
  </si>
  <si>
    <t xml:space="preserve">R-03595</t>
  </si>
  <si>
    <t xml:space="preserve">R-03596</t>
  </si>
  <si>
    <t xml:space="preserve">R-03597</t>
  </si>
  <si>
    <t xml:space="preserve">R-03598</t>
  </si>
  <si>
    <t xml:space="preserve">R-03599</t>
  </si>
  <si>
    <t xml:space="preserve">R-03600</t>
  </si>
  <si>
    <t xml:space="preserve">R-03601</t>
  </si>
  <si>
    <t xml:space="preserve">R-03602</t>
  </si>
  <si>
    <t xml:space="preserve">R-03603</t>
  </si>
  <si>
    <t xml:space="preserve">R-03604</t>
  </si>
  <si>
    <t xml:space="preserve">R-03605</t>
  </si>
  <si>
    <t xml:space="preserve">R-03606</t>
  </si>
  <si>
    <t xml:space="preserve">R-03607</t>
  </si>
  <si>
    <t xml:space="preserve">R-03608</t>
  </si>
  <si>
    <t xml:space="preserve">R-03609</t>
  </si>
  <si>
    <t xml:space="preserve">R-03610</t>
  </si>
  <si>
    <t xml:space="preserve">R-03611</t>
  </si>
  <si>
    <t xml:space="preserve">R-03612</t>
  </si>
  <si>
    <t xml:space="preserve">R-03613</t>
  </si>
  <si>
    <t xml:space="preserve">R-03614</t>
  </si>
  <si>
    <t xml:space="preserve">R-03615</t>
  </si>
  <si>
    <t xml:space="preserve">R-03616</t>
  </si>
  <si>
    <t xml:space="preserve">R-03617</t>
  </si>
  <si>
    <t xml:space="preserve">R-03618</t>
  </si>
  <si>
    <t xml:space="preserve">R-03619</t>
  </si>
  <si>
    <t xml:space="preserve">R-03620</t>
  </si>
  <si>
    <t xml:space="preserve">R-03621</t>
  </si>
  <si>
    <t xml:space="preserve">R-03622</t>
  </si>
  <si>
    <t xml:space="preserve">R-03623</t>
  </si>
  <si>
    <t xml:space="preserve">R-03624</t>
  </si>
  <si>
    <t xml:space="preserve">R-03625</t>
  </si>
  <si>
    <t xml:space="preserve">R-03626</t>
  </si>
  <si>
    <t xml:space="preserve">R-03627</t>
  </si>
  <si>
    <t xml:space="preserve">R-03628</t>
  </si>
  <si>
    <t xml:space="preserve">R-03629</t>
  </si>
  <si>
    <t xml:space="preserve">R-03630</t>
  </si>
  <si>
    <t xml:space="preserve">R-03631</t>
  </si>
  <si>
    <t xml:space="preserve">R-03632</t>
  </si>
  <si>
    <t xml:space="preserve">R-03633</t>
  </si>
  <si>
    <t xml:space="preserve">R-03634</t>
  </si>
  <si>
    <t xml:space="preserve">R-03635</t>
  </si>
  <si>
    <t xml:space="preserve">R-03636</t>
  </si>
  <si>
    <t xml:space="preserve">R-03637</t>
  </si>
  <si>
    <t xml:space="preserve">R-03638</t>
  </si>
  <si>
    <t xml:space="preserve">R-03639</t>
  </si>
  <si>
    <t xml:space="preserve">R-03640</t>
  </si>
  <si>
    <t xml:space="preserve">R-03641</t>
  </si>
  <si>
    <t xml:space="preserve">R-03642</t>
  </si>
  <si>
    <t xml:space="preserve">R-03643</t>
  </si>
  <si>
    <t xml:space="preserve">R-03644</t>
  </si>
  <si>
    <t xml:space="preserve">R-03645</t>
  </si>
  <si>
    <t xml:space="preserve">R-03646</t>
  </si>
  <si>
    <t xml:space="preserve">R-03647</t>
  </si>
  <si>
    <t xml:space="preserve">R-03648</t>
  </si>
  <si>
    <t xml:space="preserve">R-03649</t>
  </si>
  <si>
    <t xml:space="preserve">R-03650</t>
  </si>
  <si>
    <t xml:space="preserve">R-03651</t>
  </si>
  <si>
    <t xml:space="preserve">R-03652</t>
  </si>
  <si>
    <t xml:space="preserve">R-03653</t>
  </si>
  <si>
    <t xml:space="preserve">R-03654</t>
  </si>
  <si>
    <t xml:space="preserve">R-03655</t>
  </si>
  <si>
    <t xml:space="preserve">R-03656</t>
  </si>
  <si>
    <t xml:space="preserve">R-03657</t>
  </si>
  <si>
    <t xml:space="preserve">R-03658</t>
  </si>
  <si>
    <t xml:space="preserve">R-03659</t>
  </si>
  <si>
    <t xml:space="preserve">R-03660</t>
  </si>
  <si>
    <t xml:space="preserve">Trial ID</t>
  </si>
  <si>
    <t xml:space="preserve">Rank</t>
  </si>
  <si>
    <t xml:space="preserve">Suitability Score</t>
  </si>
  <si>
    <t xml:space="preserve">High-Risk Record Count</t>
  </si>
  <si>
    <t xml:space="preserve">Overall Risk Level</t>
  </si>
  <si>
    <t xml:space="preserve">Recommendation</t>
  </si>
  <si>
    <t xml:space="preserve">London Metabolic Health Center</t>
  </si>
  <si>
    <t xml:space="preserve">Mombasa Endocrine Care Hospital</t>
  </si>
  <si>
    <t xml:space="preserve">Surabaya Diabetes &amp; Endocrine Institute</t>
  </si>
  <si>
    <t xml:space="preserve">Bogota Diabetes &amp; Endocrine Institute</t>
  </si>
  <si>
    <t xml:space="preserve">Chittagong Metabolic Health Center</t>
  </si>
  <si>
    <t xml:space="preserve">Karachi Diabetes &amp; Endocrine Institute</t>
  </si>
  <si>
    <t xml:space="preserve">Ho Chi Minh City Oncology Institute</t>
  </si>
  <si>
    <t xml:space="preserve">Manchester Cancer Center</t>
  </si>
  <si>
    <t xml:space="preserve">Abuja Cancer Center</t>
  </si>
  <si>
    <t xml:space="preserve">Porto Alegre Tumor Care Hospital</t>
  </si>
  <si>
    <t xml:space="preserve">Lahore Tumor Care Hospital</t>
  </si>
  <si>
    <t xml:space="preserve">Dubai Cancer Center</t>
  </si>
  <si>
    <t xml:space="preserve">Hanoi Tumor Care Hospital</t>
  </si>
  <si>
    <t xml:space="preserve">Delhi Tumor Care Hospital</t>
  </si>
  <si>
    <t xml:space="preserve">Jakarta Heart &amp; Vascular Institute</t>
  </si>
  <si>
    <t xml:space="preserve">Krakow Cardiac Care Hospital</t>
  </si>
  <si>
    <t xml:space="preserve">Cairo Heart &amp; Vascular Institute</t>
  </si>
  <si>
    <t xml:space="preserve">Dubai Heart &amp; Vascular Institute</t>
  </si>
  <si>
    <t xml:space="preserve">Manila Cardiac Care Hospital</t>
  </si>
  <si>
    <t xml:space="preserve">Delhi Cardiology Center</t>
  </si>
  <si>
    <t xml:space="preserve">Lucknow Heart &amp; Vascular Institute</t>
  </si>
  <si>
    <t xml:space="preserve">Tokyo Neurology Hospital</t>
  </si>
  <si>
    <t xml:space="preserve">Ho Chi Minh City Memory &amp; Brain Health Center</t>
  </si>
  <si>
    <t xml:space="preserve">London Neuroscience Institute</t>
  </si>
  <si>
    <t xml:space="preserve">Osaka Neuroscience Institute</t>
  </si>
  <si>
    <t xml:space="preserve">Cairo Neurology Hospital</t>
  </si>
  <si>
    <t xml:space="preserve">Curitiba Memory &amp; Brain Health Center</t>
  </si>
  <si>
    <t xml:space="preserve">Jakarta Global Health Institute</t>
  </si>
  <si>
    <t xml:space="preserve">Madurai Infectious Disease Clinic</t>
  </si>
  <si>
    <t xml:space="preserve">Cebu Infectious Disease Clinic</t>
  </si>
  <si>
    <t xml:space="preserve">Manchester Global Health Institute</t>
  </si>
  <si>
    <t xml:space="preserve">Bogota Global Health Institute</t>
  </si>
  <si>
    <t xml:space="preserve">Chandigarh Immunology Center</t>
  </si>
  <si>
    <t xml:space="preserve">Porto Alegre Immunology Center</t>
  </si>
  <si>
    <t xml:space="preserve">Ankara Global Health Institute</t>
  </si>
  <si>
    <t xml:space="preserve">London Immunology Center</t>
  </si>
  <si>
    <t xml:space="preserve">Mexico City Respiratory Care Center</t>
  </si>
  <si>
    <t xml:space="preserve">Cairo Lung Health Hospital</t>
  </si>
  <si>
    <t xml:space="preserve">Melbourne Pulmonology Institute</t>
  </si>
  <si>
    <t xml:space="preserve">Wroclaw Pulmonology Institute</t>
  </si>
  <si>
    <t xml:space="preserve">Surabaya Pulmonology Institute</t>
  </si>
  <si>
    <t xml:space="preserve">Seoul Respiratory Care Center</t>
  </si>
  <si>
    <t xml:space="preserve">Bogota Lung Health Hospital</t>
  </si>
  <si>
    <t xml:space="preserve">T-109</t>
  </si>
  <si>
    <t xml:space="preserve">T-127</t>
  </si>
  <si>
    <t xml:space="preserve">T-145</t>
  </si>
  <si>
    <t xml:space="preserve">T-163</t>
  </si>
  <si>
    <t xml:space="preserve">T-181</t>
  </si>
  <si>
    <t xml:space="preserve">T-199</t>
  </si>
  <si>
    <t xml:space="preserve">T-217</t>
  </si>
  <si>
    <t xml:space="preserve">T-235</t>
  </si>
  <si>
    <t xml:space="preserve">T-253</t>
  </si>
  <si>
    <t xml:space="preserve">T-271</t>
  </si>
  <si>
    <t xml:space="preserve">T-289</t>
  </si>
  <si>
    <t xml:space="preserve">T-307</t>
  </si>
  <si>
    <t xml:space="preserve">T-325</t>
  </si>
  <si>
    <t xml:space="preserve">T-343</t>
  </si>
  <si>
    <t xml:space="preserve">T-361</t>
  </si>
  <si>
    <t xml:space="preserve">T-379</t>
  </si>
  <si>
    <t xml:space="preserve">T-397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</si>
</sst>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3B5BFD"/>
      <name val="Arial"/>
      <family val="0"/>
      <charset val="1"/>
    </font>
    <font>
      <sz val="11"/>
      <color rgb="FF5B627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B6274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3B5BFD"/>
        <bgColor rgb="FF0066CC"/>
      </patternFill>
    </fill>
    <fill>
      <patternFill patternType="solid">
        <fgColor rgb="FFF2F4F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4F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B5BFD"/>
      <rgbColor rgb="FF33CCCC"/>
      <rgbColor rgb="FF99CC00"/>
      <rgbColor rgb="FFFFCC00"/>
      <rgbColor rgb="FFFF9900"/>
      <rgbColor rgb="FFFF6600"/>
      <rgbColor rgb="FF5B6274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4" activeCellId="0" sqref="A24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100"/>
  </cols>
  <sheetData>
    <row r="1" customFormat="false" ht="20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</row>
    <row r="5" customFormat="false" ht="15" hidden="false" customHeight="true" outlineLevel="0" collapsed="false">
      <c r="A5" s="5" t="s">
        <v>3</v>
      </c>
    </row>
    <row r="6" customFormat="false" ht="15" hidden="false" customHeight="true" outlineLevel="0" collapsed="false">
      <c r="A6" s="5" t="s">
        <v>4</v>
      </c>
    </row>
    <row r="7" customFormat="false" ht="15" hidden="false" customHeight="true" outlineLevel="0" collapsed="false">
      <c r="A7" s="5" t="s">
        <v>5</v>
      </c>
    </row>
    <row r="8" customFormat="false" ht="15" hidden="false" customHeight="true" outlineLevel="0" collapsed="false">
      <c r="A8" s="5"/>
    </row>
    <row r="9" customFormat="false" ht="15" hidden="false" customHeight="true" outlineLevel="0" collapsed="false">
      <c r="A9" s="4" t="s">
        <v>6</v>
      </c>
    </row>
    <row r="10" customFormat="false" ht="15" hidden="false" customHeight="true" outlineLevel="0" collapsed="false">
      <c r="A10" s="5" t="s">
        <v>7</v>
      </c>
    </row>
    <row r="11" customFormat="false" ht="15" hidden="false" customHeight="true" outlineLevel="0" collapsed="false">
      <c r="A11" s="5" t="s">
        <v>8</v>
      </c>
    </row>
    <row r="12" customFormat="false" ht="15" hidden="false" customHeight="true" outlineLevel="0" collapsed="false">
      <c r="A12" s="5" t="s">
        <v>9</v>
      </c>
    </row>
    <row r="13" customFormat="false" ht="15" hidden="false" customHeight="true" outlineLevel="0" collapsed="false">
      <c r="A13" s="5" t="s">
        <v>10</v>
      </c>
    </row>
    <row r="14" customFormat="false" ht="15" hidden="false" customHeight="true" outlineLevel="0" collapsed="false">
      <c r="A14" s="5" t="s">
        <v>11</v>
      </c>
    </row>
    <row r="15" customFormat="false" ht="15" hidden="false" customHeight="true" outlineLevel="0" collapsed="false">
      <c r="A15" s="5" t="s">
        <v>12</v>
      </c>
    </row>
    <row r="16" customFormat="false" ht="15" hidden="false" customHeight="true" outlineLevel="0" collapsed="false">
      <c r="A16" s="5" t="s">
        <v>13</v>
      </c>
    </row>
    <row r="17" customFormat="false" ht="15" hidden="false" customHeight="true" outlineLevel="0" collapsed="false">
      <c r="A17" s="5" t="s">
        <v>14</v>
      </c>
    </row>
    <row r="18" customFormat="false" ht="15" hidden="false" customHeight="true" outlineLevel="0" collapsed="false">
      <c r="A18" s="5" t="s">
        <v>15</v>
      </c>
    </row>
    <row r="19" customFormat="false" ht="15" hidden="false" customHeight="true" outlineLevel="0" collapsed="false">
      <c r="A19" s="5" t="s">
        <v>16</v>
      </c>
    </row>
    <row r="20" customFormat="false" ht="15" hidden="false" customHeight="true" outlineLevel="0" collapsed="false">
      <c r="A20" s="5" t="s">
        <v>17</v>
      </c>
    </row>
    <row r="21" customFormat="false" ht="15" hidden="false" customHeight="true" outlineLevel="0" collapsed="false">
      <c r="A21" s="5" t="s">
        <v>18</v>
      </c>
    </row>
    <row r="22" customFormat="false" ht="15" hidden="false" customHeight="true" outlineLevel="0" collapsed="false">
      <c r="A22" s="5" t="s">
        <v>19</v>
      </c>
    </row>
    <row r="23" customFormat="false" ht="15" hidden="false" customHeight="true" outlineLevel="0" collapsed="false">
      <c r="A23" s="5"/>
    </row>
    <row r="24" customFormat="false" ht="15" hidden="false" customHeight="true" outlineLevel="0" collapsed="false">
      <c r="A24" s="5" t="s">
        <v>20</v>
      </c>
    </row>
    <row r="25" customFormat="false" ht="15" hidden="false" customHeight="true" outlineLevel="0" collapsed="false">
      <c r="A25" s="5" t="s">
        <v>21</v>
      </c>
    </row>
    <row r="26" customFormat="false" ht="15" hidden="false" customHeight="true" outlineLevel="0" collapsed="false">
      <c r="A26" s="5" t="s">
        <v>22</v>
      </c>
    </row>
    <row r="27" customFormat="false" ht="15" hidden="false" customHeight="true" outlineLevel="0" collapsed="false">
      <c r="A27" s="5" t="s">
        <v>23</v>
      </c>
    </row>
    <row r="28" customFormat="false" ht="15" hidden="false" customHeight="true" outlineLevel="0" collapsed="false">
      <c r="A28" s="5"/>
    </row>
    <row r="29" customFormat="false" ht="15" hidden="false" customHeight="true" outlineLevel="0" collapsed="false">
      <c r="A29" s="5" t="s">
        <v>24</v>
      </c>
    </row>
    <row r="30" customFormat="false" ht="15" hidden="false" customHeight="true" outlineLevel="0" collapsed="false">
      <c r="A30" s="5" t="s">
        <v>25</v>
      </c>
    </row>
    <row r="31" customFormat="false" ht="15" hidden="false" customHeight="false" outlineLevel="0" collapsed="false">
      <c r="A31" s="6"/>
    </row>
    <row r="32" customFormat="false" ht="15" hidden="false" customHeight="false" outlineLevel="0" collapsed="false">
      <c r="A32" s="6" t="s">
        <v>26</v>
      </c>
    </row>
    <row r="33" customFormat="false" ht="15" hidden="false" customHeight="false" outlineLevel="0" collapsed="false">
      <c r="A33" s="6" t="s">
        <v>27</v>
      </c>
    </row>
    <row r="34" customFormat="false" ht="15" hidden="false" customHeight="false" outlineLevel="0" collapsed="false">
      <c r="A34" s="6" t="s">
        <v>28</v>
      </c>
    </row>
    <row r="35" customFormat="false" ht="15" hidden="false" customHeight="false" outlineLevel="0" collapsed="false">
      <c r="A35" s="6" t="s">
        <v>29</v>
      </c>
    </row>
    <row r="36" customFormat="false" ht="15" hidden="false" customHeight="false" outlineLevel="0" collapsed="false">
      <c r="A36" s="6" t="s">
        <v>30</v>
      </c>
    </row>
    <row r="37" customFormat="false" ht="15" hidden="false" customHeight="false" outlineLevel="0" collapsed="false">
      <c r="A37" s="6" t="s">
        <v>31</v>
      </c>
    </row>
    <row r="38" customFormat="false" ht="15" hidden="false" customHeight="false" outlineLevel="0" collapsed="false">
      <c r="A38" s="6" t="s">
        <v>32</v>
      </c>
    </row>
    <row r="39" customFormat="false" ht="15" hidden="false" customHeight="false" outlineLevel="0" collapsed="false">
      <c r="A39" s="6" t="s">
        <v>33</v>
      </c>
    </row>
    <row r="40" customFormat="false" ht="15" hidden="false" customHeight="false" outlineLevel="0" collapsed="false">
      <c r="A40" s="6" t="s">
        <v>34</v>
      </c>
    </row>
    <row r="41" customFormat="false" ht="15" hidden="false" customHeight="false" outlineLevel="0" collapsed="false">
      <c r="A41" s="6" t="s">
        <v>35</v>
      </c>
    </row>
    <row r="42" customFormat="false" ht="15" hidden="false" customHeight="false" outlineLevel="0" collapsed="false">
      <c r="A42" s="6" t="s">
        <v>36</v>
      </c>
    </row>
    <row r="43" customFormat="false" ht="15" hidden="false" customHeight="false" outlineLevel="0" collapsed="false">
      <c r="A43" s="6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99" activePane="bottomLeft" state="frozen"/>
      <selection pane="topLeft" activeCell="A1" activeCellId="0" sqref="A1"/>
      <selection pane="bottomLeft" activeCell="A110" activeCellId="0" sqref="A110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6"/>
    <col collapsed="false" customWidth="true" hidden="false" outlineLevel="0" max="3" min="3" style="1" width="10"/>
    <col collapsed="false" customWidth="true" hidden="false" outlineLevel="0" max="5" min="4" style="1" width="14"/>
    <col collapsed="false" customWidth="true" hidden="false" outlineLevel="0" max="6" min="6" style="1" width="10"/>
    <col collapsed="false" customWidth="true" hidden="false" outlineLevel="0" max="7" min="7" style="1" width="30"/>
    <col collapsed="false" customWidth="true" hidden="false" outlineLevel="0" max="8" min="8" style="1" width="40"/>
  </cols>
  <sheetData>
    <row r="1" customFormat="false" ht="23.25" hidden="false" customHeight="true" outlineLevel="0" collapsed="false">
      <c r="A1" s="7" t="str">
        <f aca="false">"T-"&amp;TEXT(ROW()-1,"000")</f>
        <v>T-000</v>
      </c>
      <c r="B1" s="7" t="s">
        <v>38</v>
      </c>
      <c r="C1" s="7" t="s">
        <v>39</v>
      </c>
      <c r="D1" s="7" t="s">
        <v>40</v>
      </c>
      <c r="E1" s="7" t="s">
        <v>41</v>
      </c>
      <c r="F1" s="7" t="s">
        <v>42</v>
      </c>
      <c r="G1" s="7" t="s">
        <v>43</v>
      </c>
      <c r="H1" s="7" t="s">
        <v>44</v>
      </c>
    </row>
    <row r="2" customFormat="false" ht="23.25" hidden="false" customHeight="true" outlineLevel="0" collapsed="false">
      <c r="A2" s="8" t="s">
        <v>45</v>
      </c>
      <c r="B2" s="8" t="s">
        <v>46</v>
      </c>
      <c r="C2" s="8" t="s">
        <v>47</v>
      </c>
      <c r="D2" s="8" t="n">
        <v>300</v>
      </c>
      <c r="E2" s="8" t="n">
        <v>18</v>
      </c>
      <c r="F2" s="8" t="s">
        <v>48</v>
      </c>
      <c r="G2" s="8" t="s">
        <v>49</v>
      </c>
      <c r="H2" s="8" t="s">
        <v>50</v>
      </c>
    </row>
    <row r="3" customFormat="false" ht="23.25" hidden="false" customHeight="true" outlineLevel="0" collapsed="false">
      <c r="A3" s="8" t="s">
        <v>51</v>
      </c>
      <c r="B3" s="8" t="s">
        <v>52</v>
      </c>
      <c r="C3" s="8" t="s">
        <v>53</v>
      </c>
      <c r="D3" s="8" t="n">
        <v>450</v>
      </c>
      <c r="E3" s="8" t="n">
        <v>24</v>
      </c>
      <c r="F3" s="8" t="s">
        <v>54</v>
      </c>
      <c r="G3" s="8" t="s">
        <v>55</v>
      </c>
      <c r="H3" s="8" t="s">
        <v>56</v>
      </c>
    </row>
    <row r="4" customFormat="false" ht="23.25" hidden="false" customHeight="true" outlineLevel="0" collapsed="false">
      <c r="A4" s="8" t="s">
        <v>57</v>
      </c>
      <c r="B4" s="8" t="s">
        <v>58</v>
      </c>
      <c r="C4" s="8" t="s">
        <v>47</v>
      </c>
      <c r="D4" s="8" t="n">
        <v>250</v>
      </c>
      <c r="E4" s="8" t="n">
        <v>12</v>
      </c>
      <c r="F4" s="8" t="s">
        <v>59</v>
      </c>
      <c r="G4" s="8" t="s">
        <v>60</v>
      </c>
      <c r="H4" s="8" t="s">
        <v>61</v>
      </c>
    </row>
    <row r="5" customFormat="false" ht="23.25" hidden="false" customHeight="true" outlineLevel="0" collapsed="false">
      <c r="A5" s="8" t="s">
        <v>62</v>
      </c>
      <c r="B5" s="8" t="s">
        <v>63</v>
      </c>
      <c r="C5" s="8" t="s">
        <v>47</v>
      </c>
      <c r="D5" s="8" t="n">
        <v>200</v>
      </c>
      <c r="E5" s="8" t="n">
        <v>24</v>
      </c>
      <c r="F5" s="8" t="s">
        <v>54</v>
      </c>
      <c r="G5" s="8" t="s">
        <v>64</v>
      </c>
      <c r="H5" s="8" t="s">
        <v>65</v>
      </c>
    </row>
    <row r="6" customFormat="false" ht="15" hidden="false" customHeight="true" outlineLevel="0" collapsed="false">
      <c r="A6" s="8" t="s">
        <v>66</v>
      </c>
      <c r="B6" s="8" t="s">
        <v>67</v>
      </c>
      <c r="C6" s="8" t="s">
        <v>53</v>
      </c>
      <c r="D6" s="8" t="n">
        <v>500</v>
      </c>
      <c r="E6" s="8" t="n">
        <v>30</v>
      </c>
      <c r="F6" s="8" t="s">
        <v>48</v>
      </c>
      <c r="G6" s="8" t="s">
        <v>68</v>
      </c>
      <c r="H6" s="8" t="s">
        <v>69</v>
      </c>
    </row>
    <row r="7" customFormat="false" ht="23.25" hidden="false" customHeight="true" outlineLevel="0" collapsed="false">
      <c r="A7" s="8" t="s">
        <v>70</v>
      </c>
      <c r="B7" s="8" t="s">
        <v>71</v>
      </c>
      <c r="C7" s="8" t="s">
        <v>47</v>
      </c>
      <c r="D7" s="8" t="n">
        <v>280</v>
      </c>
      <c r="E7" s="8" t="n">
        <v>15</v>
      </c>
      <c r="F7" s="8" t="s">
        <v>48</v>
      </c>
      <c r="G7" s="8" t="s">
        <v>72</v>
      </c>
      <c r="H7" s="8" t="s">
        <v>73</v>
      </c>
    </row>
    <row r="8" customFormat="false" ht="24" hidden="false" customHeight="true" outlineLevel="0" collapsed="false">
      <c r="A8" s="8" t="str">
        <f aca="false">"T-"&amp;TEXT(ROW()-1,"000")</f>
        <v>T-007</v>
      </c>
      <c r="B8" s="8" t="s">
        <v>74</v>
      </c>
      <c r="C8" s="8" t="s">
        <v>75</v>
      </c>
      <c r="D8" s="8" t="n">
        <v>129</v>
      </c>
      <c r="E8" s="8" t="n">
        <v>15</v>
      </c>
      <c r="F8" s="8" t="s">
        <v>59</v>
      </c>
      <c r="G8" s="8" t="s">
        <v>49</v>
      </c>
      <c r="H8" s="8" t="s">
        <v>76</v>
      </c>
    </row>
    <row r="9" customFormat="false" ht="24" hidden="false" customHeight="true" outlineLevel="0" collapsed="false">
      <c r="A9" s="8" t="s">
        <v>77</v>
      </c>
      <c r="B9" s="8" t="s">
        <v>78</v>
      </c>
      <c r="C9" s="8" t="s">
        <v>47</v>
      </c>
      <c r="D9" s="8" t="n">
        <v>385</v>
      </c>
      <c r="E9" s="8" t="n">
        <v>21</v>
      </c>
      <c r="F9" s="8" t="s">
        <v>54</v>
      </c>
      <c r="G9" s="8" t="s">
        <v>49</v>
      </c>
      <c r="H9" s="8" t="s">
        <v>79</v>
      </c>
    </row>
    <row r="10" customFormat="false" ht="24" hidden="false" customHeight="true" outlineLevel="0" collapsed="false">
      <c r="A10" s="8" t="s">
        <v>80</v>
      </c>
      <c r="B10" s="8" t="s">
        <v>81</v>
      </c>
      <c r="C10" s="8" t="s">
        <v>75</v>
      </c>
      <c r="D10" s="8" t="n">
        <v>332</v>
      </c>
      <c r="E10" s="8" t="n">
        <v>11</v>
      </c>
      <c r="F10" s="8" t="s">
        <v>59</v>
      </c>
      <c r="G10" s="8" t="s">
        <v>49</v>
      </c>
      <c r="H10" s="8" t="s">
        <v>82</v>
      </c>
    </row>
    <row r="11" customFormat="false" ht="24" hidden="false" customHeight="true" outlineLevel="0" collapsed="false">
      <c r="A11" s="8" t="s">
        <v>83</v>
      </c>
      <c r="B11" s="8" t="s">
        <v>84</v>
      </c>
      <c r="C11" s="8" t="s">
        <v>47</v>
      </c>
      <c r="D11" s="8" t="n">
        <v>203</v>
      </c>
      <c r="E11" s="8" t="n">
        <v>20</v>
      </c>
      <c r="F11" s="8" t="s">
        <v>54</v>
      </c>
      <c r="G11" s="8" t="s">
        <v>49</v>
      </c>
      <c r="H11" s="8" t="s">
        <v>85</v>
      </c>
    </row>
    <row r="12" customFormat="false" ht="24" hidden="false" customHeight="true" outlineLevel="0" collapsed="false">
      <c r="A12" s="8" t="str">
        <f aca="false">"T-"&amp;TEXT(ROW()-1,"000")</f>
        <v>T-011</v>
      </c>
      <c r="B12" s="8" t="s">
        <v>86</v>
      </c>
      <c r="C12" s="8" t="s">
        <v>47</v>
      </c>
      <c r="D12" s="8" t="n">
        <v>377</v>
      </c>
      <c r="E12" s="8" t="n">
        <v>22</v>
      </c>
      <c r="F12" s="8" t="s">
        <v>48</v>
      </c>
      <c r="G12" s="8" t="s">
        <v>49</v>
      </c>
      <c r="H12" s="8" t="s">
        <v>87</v>
      </c>
    </row>
    <row r="13" customFormat="false" ht="24" hidden="false" customHeight="true" outlineLevel="0" collapsed="false">
      <c r="A13" s="8" t="str">
        <f aca="false">"T-"&amp;TEXT(ROW()-1,"000")</f>
        <v>T-012</v>
      </c>
      <c r="B13" s="8" t="s">
        <v>88</v>
      </c>
      <c r="C13" s="8" t="s">
        <v>47</v>
      </c>
      <c r="D13" s="8" t="n">
        <v>281</v>
      </c>
      <c r="E13" s="8" t="n">
        <v>15</v>
      </c>
      <c r="F13" s="8" t="s">
        <v>59</v>
      </c>
      <c r="G13" s="8" t="s">
        <v>49</v>
      </c>
      <c r="H13" s="8" t="s">
        <v>89</v>
      </c>
    </row>
    <row r="14" customFormat="false" ht="24" hidden="false" customHeight="true" outlineLevel="0" collapsed="false">
      <c r="A14" s="8" t="str">
        <f aca="false">"T-"&amp;TEXT(ROW()-1,"000")</f>
        <v>T-013</v>
      </c>
      <c r="B14" s="8" t="s">
        <v>90</v>
      </c>
      <c r="C14" s="8" t="s">
        <v>47</v>
      </c>
      <c r="D14" s="8" t="n">
        <v>371</v>
      </c>
      <c r="E14" s="8" t="n">
        <v>16</v>
      </c>
      <c r="F14" s="8" t="s">
        <v>59</v>
      </c>
      <c r="G14" s="8" t="s">
        <v>49</v>
      </c>
      <c r="H14" s="8" t="s">
        <v>91</v>
      </c>
    </row>
    <row r="15" customFormat="false" ht="24" hidden="false" customHeight="true" outlineLevel="0" collapsed="false">
      <c r="A15" s="8" t="str">
        <f aca="false">"T-"&amp;TEXT(ROW()-1,"000")</f>
        <v>T-014</v>
      </c>
      <c r="B15" s="8" t="s">
        <v>92</v>
      </c>
      <c r="C15" s="8" t="s">
        <v>47</v>
      </c>
      <c r="D15" s="8" t="n">
        <v>464</v>
      </c>
      <c r="E15" s="8" t="n">
        <v>16</v>
      </c>
      <c r="F15" s="8" t="s">
        <v>59</v>
      </c>
      <c r="G15" s="8" t="s">
        <v>49</v>
      </c>
      <c r="H15" s="8" t="s">
        <v>93</v>
      </c>
    </row>
    <row r="16" customFormat="false" ht="24" hidden="false" customHeight="true" outlineLevel="0" collapsed="false">
      <c r="A16" s="8" t="str">
        <f aca="false">"T-"&amp;TEXT(ROW()-1,"000")</f>
        <v>T-015</v>
      </c>
      <c r="B16" s="8" t="s">
        <v>94</v>
      </c>
      <c r="C16" s="8" t="s">
        <v>95</v>
      </c>
      <c r="D16" s="8" t="n">
        <v>154</v>
      </c>
      <c r="E16" s="8" t="n">
        <v>24</v>
      </c>
      <c r="F16" s="8" t="s">
        <v>54</v>
      </c>
      <c r="G16" s="8" t="s">
        <v>49</v>
      </c>
      <c r="H16" s="8" t="s">
        <v>96</v>
      </c>
    </row>
    <row r="17" customFormat="false" ht="24" hidden="false" customHeight="true" outlineLevel="0" collapsed="false">
      <c r="A17" s="8" t="str">
        <f aca="false">"T-"&amp;TEXT(ROW()-1,"000")</f>
        <v>T-016</v>
      </c>
      <c r="B17" s="8" t="s">
        <v>97</v>
      </c>
      <c r="C17" s="8" t="s">
        <v>53</v>
      </c>
      <c r="D17" s="8" t="n">
        <v>410</v>
      </c>
      <c r="E17" s="8" t="n">
        <v>22</v>
      </c>
      <c r="F17" s="8" t="s">
        <v>54</v>
      </c>
      <c r="G17" s="8" t="s">
        <v>49</v>
      </c>
      <c r="H17" s="8" t="s">
        <v>98</v>
      </c>
    </row>
    <row r="18" customFormat="false" ht="24" hidden="false" customHeight="true" outlineLevel="0" collapsed="false">
      <c r="A18" s="8" t="str">
        <f aca="false">"T-"&amp;TEXT(ROW()-1,"000")</f>
        <v>T-017</v>
      </c>
      <c r="B18" s="8" t="s">
        <v>99</v>
      </c>
      <c r="C18" s="8" t="s">
        <v>75</v>
      </c>
      <c r="D18" s="8" t="n">
        <v>470</v>
      </c>
      <c r="E18" s="8" t="n">
        <v>16</v>
      </c>
      <c r="F18" s="8" t="s">
        <v>54</v>
      </c>
      <c r="G18" s="8" t="s">
        <v>49</v>
      </c>
      <c r="H18" s="8" t="s">
        <v>100</v>
      </c>
    </row>
    <row r="19" customFormat="false" ht="24" hidden="false" customHeight="true" outlineLevel="0" collapsed="false">
      <c r="A19" s="8" t="str">
        <f aca="false">"T-"&amp;TEXT(ROW()-1,"000")</f>
        <v>T-018</v>
      </c>
      <c r="B19" s="8" t="s">
        <v>101</v>
      </c>
      <c r="C19" s="8" t="s">
        <v>53</v>
      </c>
      <c r="D19" s="8" t="n">
        <v>418</v>
      </c>
      <c r="E19" s="8" t="n">
        <v>20</v>
      </c>
      <c r="F19" s="8" t="s">
        <v>48</v>
      </c>
      <c r="G19" s="8" t="s">
        <v>49</v>
      </c>
      <c r="H19" s="8" t="s">
        <v>102</v>
      </c>
    </row>
    <row r="20" customFormat="false" ht="24" hidden="false" customHeight="true" outlineLevel="0" collapsed="false">
      <c r="A20" s="8" t="str">
        <f aca="false">"T-"&amp;TEXT(ROW()-1,"000")</f>
        <v>T-019</v>
      </c>
      <c r="B20" s="8" t="s">
        <v>103</v>
      </c>
      <c r="C20" s="8" t="s">
        <v>47</v>
      </c>
      <c r="D20" s="8" t="n">
        <v>373</v>
      </c>
      <c r="E20" s="8" t="n">
        <v>11</v>
      </c>
      <c r="F20" s="8" t="s">
        <v>59</v>
      </c>
      <c r="G20" s="8" t="s">
        <v>49</v>
      </c>
      <c r="H20" s="8" t="s">
        <v>104</v>
      </c>
    </row>
    <row r="21" customFormat="false" ht="24" hidden="false" customHeight="true" outlineLevel="0" collapsed="false">
      <c r="A21" s="8" t="str">
        <f aca="false">"T-"&amp;TEXT(ROW()-1,"000")</f>
        <v>T-020</v>
      </c>
      <c r="B21" s="8" t="s">
        <v>105</v>
      </c>
      <c r="C21" s="8" t="s">
        <v>53</v>
      </c>
      <c r="D21" s="8" t="n">
        <v>474</v>
      </c>
      <c r="E21" s="8" t="n">
        <v>24</v>
      </c>
      <c r="F21" s="8" t="s">
        <v>59</v>
      </c>
      <c r="G21" s="8" t="s">
        <v>49</v>
      </c>
      <c r="H21" s="8" t="s">
        <v>106</v>
      </c>
    </row>
    <row r="22" customFormat="false" ht="24" hidden="false" customHeight="true" outlineLevel="0" collapsed="false">
      <c r="A22" s="8" t="str">
        <f aca="false">"T-"&amp;TEXT(ROW()-1,"000")</f>
        <v>T-021</v>
      </c>
      <c r="B22" s="8" t="s">
        <v>107</v>
      </c>
      <c r="C22" s="8" t="s">
        <v>95</v>
      </c>
      <c r="D22" s="8" t="n">
        <v>220</v>
      </c>
      <c r="E22" s="8" t="n">
        <v>21</v>
      </c>
      <c r="F22" s="8" t="s">
        <v>48</v>
      </c>
      <c r="G22" s="8" t="s">
        <v>49</v>
      </c>
      <c r="H22" s="8" t="s">
        <v>108</v>
      </c>
    </row>
    <row r="23" customFormat="false" ht="24" hidden="false" customHeight="true" outlineLevel="0" collapsed="false">
      <c r="A23" s="8" t="str">
        <f aca="false">"T-"&amp;TEXT(ROW()-1,"000")</f>
        <v>T-022</v>
      </c>
      <c r="B23" s="8" t="s">
        <v>109</v>
      </c>
      <c r="C23" s="8" t="s">
        <v>47</v>
      </c>
      <c r="D23" s="8" t="n">
        <v>253</v>
      </c>
      <c r="E23" s="8" t="n">
        <v>14</v>
      </c>
      <c r="F23" s="8" t="s">
        <v>48</v>
      </c>
      <c r="G23" s="8" t="s">
        <v>49</v>
      </c>
      <c r="H23" s="8" t="s">
        <v>110</v>
      </c>
    </row>
    <row r="24" customFormat="false" ht="24" hidden="false" customHeight="true" outlineLevel="0" collapsed="false">
      <c r="A24" s="8" t="str">
        <f aca="false">"T-"&amp;TEXT(ROW()-1,"000")</f>
        <v>T-023</v>
      </c>
      <c r="B24" s="8" t="s">
        <v>111</v>
      </c>
      <c r="C24" s="8" t="s">
        <v>75</v>
      </c>
      <c r="D24" s="8" t="n">
        <v>339</v>
      </c>
      <c r="E24" s="8" t="n">
        <v>13</v>
      </c>
      <c r="F24" s="8" t="s">
        <v>54</v>
      </c>
      <c r="G24" s="8" t="s">
        <v>49</v>
      </c>
      <c r="H24" s="8" t="s">
        <v>112</v>
      </c>
    </row>
    <row r="25" customFormat="false" ht="24" hidden="false" customHeight="true" outlineLevel="0" collapsed="false">
      <c r="A25" s="8" t="str">
        <f aca="false">"T-"&amp;TEXT(ROW()-1,"000")</f>
        <v>T-024</v>
      </c>
      <c r="B25" s="8" t="s">
        <v>113</v>
      </c>
      <c r="C25" s="8" t="s">
        <v>47</v>
      </c>
      <c r="D25" s="8" t="n">
        <v>268</v>
      </c>
      <c r="E25" s="8" t="n">
        <v>22</v>
      </c>
      <c r="F25" s="8" t="s">
        <v>54</v>
      </c>
      <c r="G25" s="8" t="s">
        <v>55</v>
      </c>
      <c r="H25" s="8" t="s">
        <v>114</v>
      </c>
    </row>
    <row r="26" customFormat="false" ht="24" hidden="false" customHeight="true" outlineLevel="0" collapsed="false">
      <c r="A26" s="8" t="str">
        <f aca="false">"T-"&amp;TEXT(ROW()-1,"000")</f>
        <v>T-025</v>
      </c>
      <c r="B26" s="8" t="s">
        <v>115</v>
      </c>
      <c r="C26" s="8" t="s">
        <v>47</v>
      </c>
      <c r="D26" s="8" t="n">
        <v>549</v>
      </c>
      <c r="E26" s="8" t="n">
        <v>32</v>
      </c>
      <c r="F26" s="8" t="s">
        <v>59</v>
      </c>
      <c r="G26" s="8" t="s">
        <v>55</v>
      </c>
      <c r="H26" s="8" t="s">
        <v>116</v>
      </c>
    </row>
    <row r="27" customFormat="false" ht="24" hidden="false" customHeight="true" outlineLevel="0" collapsed="false">
      <c r="A27" s="8" t="str">
        <f aca="false">"T-"&amp;TEXT(ROW()-1,"000")</f>
        <v>T-026</v>
      </c>
      <c r="B27" s="8" t="s">
        <v>117</v>
      </c>
      <c r="C27" s="8" t="s">
        <v>47</v>
      </c>
      <c r="D27" s="8" t="n">
        <v>623</v>
      </c>
      <c r="E27" s="8" t="n">
        <v>31</v>
      </c>
      <c r="F27" s="8" t="s">
        <v>48</v>
      </c>
      <c r="G27" s="8" t="s">
        <v>55</v>
      </c>
      <c r="H27" s="8" t="s">
        <v>118</v>
      </c>
    </row>
    <row r="28" customFormat="false" ht="24" hidden="false" customHeight="true" outlineLevel="0" collapsed="false">
      <c r="A28" s="8" t="str">
        <f aca="false">"T-"&amp;TEXT(ROW()-1,"000")</f>
        <v>T-027</v>
      </c>
      <c r="B28" s="8" t="s">
        <v>119</v>
      </c>
      <c r="C28" s="8" t="s">
        <v>53</v>
      </c>
      <c r="D28" s="8" t="n">
        <v>215</v>
      </c>
      <c r="E28" s="8" t="n">
        <v>34</v>
      </c>
      <c r="F28" s="8" t="s">
        <v>54</v>
      </c>
      <c r="G28" s="8" t="s">
        <v>55</v>
      </c>
      <c r="H28" s="8" t="s">
        <v>120</v>
      </c>
    </row>
    <row r="29" customFormat="false" ht="24" hidden="false" customHeight="true" outlineLevel="0" collapsed="false">
      <c r="A29" s="8" t="str">
        <f aca="false">"T-"&amp;TEXT(ROW()-1,"000")</f>
        <v>T-028</v>
      </c>
      <c r="B29" s="8" t="s">
        <v>121</v>
      </c>
      <c r="C29" s="8" t="s">
        <v>53</v>
      </c>
      <c r="D29" s="8" t="n">
        <v>294</v>
      </c>
      <c r="E29" s="8" t="n">
        <v>25</v>
      </c>
      <c r="F29" s="8" t="s">
        <v>54</v>
      </c>
      <c r="G29" s="8" t="s">
        <v>55</v>
      </c>
      <c r="H29" s="8" t="s">
        <v>122</v>
      </c>
    </row>
    <row r="30" customFormat="false" ht="24" hidden="false" customHeight="true" outlineLevel="0" collapsed="false">
      <c r="A30" s="8" t="str">
        <f aca="false">"T-"&amp;TEXT(ROW()-1,"000")</f>
        <v>T-029</v>
      </c>
      <c r="B30" s="8" t="s">
        <v>123</v>
      </c>
      <c r="C30" s="8" t="s">
        <v>95</v>
      </c>
      <c r="D30" s="8" t="n">
        <v>257</v>
      </c>
      <c r="E30" s="8" t="n">
        <v>17</v>
      </c>
      <c r="F30" s="8" t="s">
        <v>54</v>
      </c>
      <c r="G30" s="8" t="s">
        <v>55</v>
      </c>
      <c r="H30" s="8" t="s">
        <v>124</v>
      </c>
    </row>
    <row r="31" customFormat="false" ht="24" hidden="false" customHeight="true" outlineLevel="0" collapsed="false">
      <c r="A31" s="8" t="str">
        <f aca="false">"T-"&amp;TEXT(ROW()-1,"000")</f>
        <v>T-030</v>
      </c>
      <c r="B31" s="8" t="s">
        <v>125</v>
      </c>
      <c r="C31" s="8" t="s">
        <v>53</v>
      </c>
      <c r="D31" s="8" t="n">
        <v>583</v>
      </c>
      <c r="E31" s="8" t="n">
        <v>23</v>
      </c>
      <c r="F31" s="8" t="s">
        <v>54</v>
      </c>
      <c r="G31" s="8" t="s">
        <v>55</v>
      </c>
      <c r="H31" s="8" t="s">
        <v>126</v>
      </c>
    </row>
    <row r="32" customFormat="false" ht="24" hidden="false" customHeight="true" outlineLevel="0" collapsed="false">
      <c r="A32" s="8" t="str">
        <f aca="false">"T-"&amp;TEXT(ROW()-1,"000")</f>
        <v>T-031</v>
      </c>
      <c r="B32" s="8" t="s">
        <v>127</v>
      </c>
      <c r="C32" s="8" t="s">
        <v>95</v>
      </c>
      <c r="D32" s="8" t="n">
        <v>375</v>
      </c>
      <c r="E32" s="8" t="n">
        <v>35</v>
      </c>
      <c r="F32" s="8" t="s">
        <v>59</v>
      </c>
      <c r="G32" s="8" t="s">
        <v>55</v>
      </c>
      <c r="H32" s="8" t="s">
        <v>128</v>
      </c>
    </row>
    <row r="33" customFormat="false" ht="24" hidden="false" customHeight="true" outlineLevel="0" collapsed="false">
      <c r="A33" s="8" t="str">
        <f aca="false">"T-"&amp;TEXT(ROW()-1,"000")</f>
        <v>T-032</v>
      </c>
      <c r="B33" s="8" t="s">
        <v>129</v>
      </c>
      <c r="C33" s="8" t="s">
        <v>95</v>
      </c>
      <c r="D33" s="8" t="n">
        <v>229</v>
      </c>
      <c r="E33" s="8" t="n">
        <v>15</v>
      </c>
      <c r="F33" s="8" t="s">
        <v>59</v>
      </c>
      <c r="G33" s="8" t="s">
        <v>55</v>
      </c>
      <c r="H33" s="8" t="s">
        <v>130</v>
      </c>
    </row>
    <row r="34" customFormat="false" ht="24" hidden="false" customHeight="true" outlineLevel="0" collapsed="false">
      <c r="A34" s="8" t="str">
        <f aca="false">"T-"&amp;TEXT(ROW()-1,"000")</f>
        <v>T-033</v>
      </c>
      <c r="B34" s="8" t="s">
        <v>131</v>
      </c>
      <c r="C34" s="8" t="s">
        <v>47</v>
      </c>
      <c r="D34" s="8" t="n">
        <v>518</v>
      </c>
      <c r="E34" s="8" t="n">
        <v>31</v>
      </c>
      <c r="F34" s="8" t="s">
        <v>48</v>
      </c>
      <c r="G34" s="8" t="s">
        <v>55</v>
      </c>
      <c r="H34" s="8" t="s">
        <v>132</v>
      </c>
    </row>
    <row r="35" customFormat="false" ht="24" hidden="false" customHeight="true" outlineLevel="0" collapsed="false">
      <c r="A35" s="8" t="str">
        <f aca="false">"T-"&amp;TEXT(ROW()-1,"000")</f>
        <v>T-034</v>
      </c>
      <c r="B35" s="8" t="s">
        <v>133</v>
      </c>
      <c r="C35" s="8" t="s">
        <v>75</v>
      </c>
      <c r="D35" s="8" t="n">
        <v>387</v>
      </c>
      <c r="E35" s="8" t="n">
        <v>27</v>
      </c>
      <c r="F35" s="8" t="s">
        <v>48</v>
      </c>
      <c r="G35" s="8" t="s">
        <v>55</v>
      </c>
      <c r="H35" s="8" t="s">
        <v>134</v>
      </c>
    </row>
    <row r="36" customFormat="false" ht="24" hidden="false" customHeight="true" outlineLevel="0" collapsed="false">
      <c r="A36" s="8" t="str">
        <f aca="false">"T-"&amp;TEXT(ROW()-1,"000")</f>
        <v>T-035</v>
      </c>
      <c r="B36" s="8" t="s">
        <v>135</v>
      </c>
      <c r="C36" s="8" t="s">
        <v>53</v>
      </c>
      <c r="D36" s="8" t="n">
        <v>704</v>
      </c>
      <c r="E36" s="8" t="n">
        <v>32</v>
      </c>
      <c r="F36" s="8" t="s">
        <v>59</v>
      </c>
      <c r="G36" s="8" t="s">
        <v>55</v>
      </c>
      <c r="H36" s="8" t="s">
        <v>136</v>
      </c>
    </row>
    <row r="37" customFormat="false" ht="24" hidden="false" customHeight="true" outlineLevel="0" collapsed="false">
      <c r="A37" s="8" t="str">
        <f aca="false">"T-"&amp;TEXT(ROW()-1,"000")</f>
        <v>T-036</v>
      </c>
      <c r="B37" s="8" t="s">
        <v>137</v>
      </c>
      <c r="C37" s="8" t="s">
        <v>75</v>
      </c>
      <c r="D37" s="8" t="n">
        <v>548</v>
      </c>
      <c r="E37" s="8" t="n">
        <v>25</v>
      </c>
      <c r="F37" s="8" t="s">
        <v>48</v>
      </c>
      <c r="G37" s="8" t="s">
        <v>55</v>
      </c>
      <c r="H37" s="8" t="s">
        <v>138</v>
      </c>
    </row>
    <row r="38" customFormat="false" ht="24" hidden="false" customHeight="true" outlineLevel="0" collapsed="false">
      <c r="A38" s="8" t="str">
        <f aca="false">"T-"&amp;TEXT(ROW()-1,"000")</f>
        <v>T-037</v>
      </c>
      <c r="B38" s="8" t="s">
        <v>139</v>
      </c>
      <c r="C38" s="8" t="s">
        <v>53</v>
      </c>
      <c r="D38" s="8" t="n">
        <v>240</v>
      </c>
      <c r="E38" s="8" t="n">
        <v>23</v>
      </c>
      <c r="F38" s="8" t="s">
        <v>48</v>
      </c>
      <c r="G38" s="8" t="s">
        <v>55</v>
      </c>
      <c r="H38" s="8" t="s">
        <v>140</v>
      </c>
    </row>
    <row r="39" customFormat="false" ht="24" hidden="false" customHeight="true" outlineLevel="0" collapsed="false">
      <c r="A39" s="8" t="str">
        <f aca="false">"T-"&amp;TEXT(ROW()-1,"000")</f>
        <v>T-038</v>
      </c>
      <c r="B39" s="8" t="s">
        <v>141</v>
      </c>
      <c r="C39" s="8" t="s">
        <v>75</v>
      </c>
      <c r="D39" s="8" t="n">
        <v>695</v>
      </c>
      <c r="E39" s="8" t="n">
        <v>33</v>
      </c>
      <c r="F39" s="8" t="s">
        <v>48</v>
      </c>
      <c r="G39" s="8" t="s">
        <v>55</v>
      </c>
      <c r="H39" s="8" t="s">
        <v>142</v>
      </c>
    </row>
    <row r="40" customFormat="false" ht="24" hidden="false" customHeight="true" outlineLevel="0" collapsed="false">
      <c r="A40" s="8" t="str">
        <f aca="false">"T-"&amp;TEXT(ROW()-1,"000")</f>
        <v>T-039</v>
      </c>
      <c r="B40" s="8" t="s">
        <v>143</v>
      </c>
      <c r="C40" s="8" t="s">
        <v>47</v>
      </c>
      <c r="D40" s="8" t="n">
        <v>454</v>
      </c>
      <c r="E40" s="8" t="n">
        <v>16</v>
      </c>
      <c r="F40" s="8" t="s">
        <v>54</v>
      </c>
      <c r="G40" s="8" t="s">
        <v>55</v>
      </c>
      <c r="H40" s="8" t="s">
        <v>144</v>
      </c>
    </row>
    <row r="41" customFormat="false" ht="24" hidden="false" customHeight="true" outlineLevel="0" collapsed="false">
      <c r="A41" s="8" t="str">
        <f aca="false">"T-"&amp;TEXT(ROW()-1,"000")</f>
        <v>T-040</v>
      </c>
      <c r="B41" s="8" t="s">
        <v>145</v>
      </c>
      <c r="C41" s="8" t="s">
        <v>53</v>
      </c>
      <c r="D41" s="8" t="n">
        <v>634</v>
      </c>
      <c r="E41" s="8" t="n">
        <v>25</v>
      </c>
      <c r="F41" s="8" t="s">
        <v>59</v>
      </c>
      <c r="G41" s="8" t="s">
        <v>55</v>
      </c>
      <c r="H41" s="8" t="s">
        <v>146</v>
      </c>
    </row>
    <row r="42" customFormat="false" ht="24" hidden="false" customHeight="true" outlineLevel="0" collapsed="false">
      <c r="A42" s="8" t="str">
        <f aca="false">"T-"&amp;TEXT(ROW()-1,"000")</f>
        <v>T-041</v>
      </c>
      <c r="B42" s="8" t="s">
        <v>147</v>
      </c>
      <c r="C42" s="8" t="s">
        <v>47</v>
      </c>
      <c r="D42" s="8" t="n">
        <v>212</v>
      </c>
      <c r="E42" s="8" t="n">
        <v>8</v>
      </c>
      <c r="F42" s="8" t="s">
        <v>54</v>
      </c>
      <c r="G42" s="8" t="s">
        <v>60</v>
      </c>
      <c r="H42" s="8" t="s">
        <v>148</v>
      </c>
    </row>
    <row r="43" customFormat="false" ht="24" hidden="false" customHeight="true" outlineLevel="0" collapsed="false">
      <c r="A43" s="8" t="str">
        <f aca="false">"T-"&amp;TEXT(ROW()-1,"000")</f>
        <v>T-042</v>
      </c>
      <c r="B43" s="8" t="s">
        <v>149</v>
      </c>
      <c r="C43" s="8" t="s">
        <v>75</v>
      </c>
      <c r="D43" s="8" t="n">
        <v>279</v>
      </c>
      <c r="E43" s="8" t="n">
        <v>12</v>
      </c>
      <c r="F43" s="8" t="s">
        <v>59</v>
      </c>
      <c r="G43" s="8" t="s">
        <v>60</v>
      </c>
      <c r="H43" s="8" t="s">
        <v>150</v>
      </c>
    </row>
    <row r="44" customFormat="false" ht="24" hidden="false" customHeight="true" outlineLevel="0" collapsed="false">
      <c r="A44" s="8" t="str">
        <f aca="false">"T-"&amp;TEXT(ROW()-1,"000")</f>
        <v>T-043</v>
      </c>
      <c r="B44" s="8" t="s">
        <v>151</v>
      </c>
      <c r="C44" s="8" t="s">
        <v>53</v>
      </c>
      <c r="D44" s="8" t="n">
        <v>363</v>
      </c>
      <c r="E44" s="8" t="n">
        <v>16</v>
      </c>
      <c r="F44" s="8" t="s">
        <v>48</v>
      </c>
      <c r="G44" s="8" t="s">
        <v>60</v>
      </c>
      <c r="H44" s="8" t="s">
        <v>152</v>
      </c>
    </row>
    <row r="45" customFormat="false" ht="24" hidden="false" customHeight="true" outlineLevel="0" collapsed="false">
      <c r="A45" s="8" t="str">
        <f aca="false">"T-"&amp;TEXT(ROW()-1,"000")</f>
        <v>T-044</v>
      </c>
      <c r="B45" s="8" t="s">
        <v>153</v>
      </c>
      <c r="C45" s="8" t="s">
        <v>47</v>
      </c>
      <c r="D45" s="8" t="n">
        <v>117</v>
      </c>
      <c r="E45" s="8" t="n">
        <v>16</v>
      </c>
      <c r="F45" s="8" t="s">
        <v>59</v>
      </c>
      <c r="G45" s="8" t="s">
        <v>60</v>
      </c>
      <c r="H45" s="8" t="s">
        <v>154</v>
      </c>
    </row>
    <row r="46" customFormat="false" ht="24" hidden="false" customHeight="true" outlineLevel="0" collapsed="false">
      <c r="A46" s="8" t="str">
        <f aca="false">"T-"&amp;TEXT(ROW()-1,"000")</f>
        <v>T-045</v>
      </c>
      <c r="B46" s="8" t="s">
        <v>155</v>
      </c>
      <c r="C46" s="8" t="s">
        <v>75</v>
      </c>
      <c r="D46" s="8" t="n">
        <v>319</v>
      </c>
      <c r="E46" s="8" t="n">
        <v>16</v>
      </c>
      <c r="F46" s="8" t="s">
        <v>54</v>
      </c>
      <c r="G46" s="8" t="s">
        <v>60</v>
      </c>
      <c r="H46" s="8" t="s">
        <v>156</v>
      </c>
    </row>
    <row r="47" customFormat="false" ht="24" hidden="false" customHeight="true" outlineLevel="0" collapsed="false">
      <c r="A47" s="8" t="str">
        <f aca="false">"T-"&amp;TEXT(ROW()-1,"000")</f>
        <v>T-046</v>
      </c>
      <c r="B47" s="8" t="s">
        <v>157</v>
      </c>
      <c r="C47" s="8" t="s">
        <v>47</v>
      </c>
      <c r="D47" s="8" t="n">
        <v>138</v>
      </c>
      <c r="E47" s="8" t="n">
        <v>12</v>
      </c>
      <c r="F47" s="8" t="s">
        <v>54</v>
      </c>
      <c r="G47" s="8" t="s">
        <v>60</v>
      </c>
      <c r="H47" s="8" t="s">
        <v>158</v>
      </c>
    </row>
    <row r="48" customFormat="false" ht="24" hidden="false" customHeight="true" outlineLevel="0" collapsed="false">
      <c r="A48" s="8" t="str">
        <f aca="false">"T-"&amp;TEXT(ROW()-1,"000")</f>
        <v>T-047</v>
      </c>
      <c r="B48" s="8" t="s">
        <v>159</v>
      </c>
      <c r="C48" s="8" t="s">
        <v>47</v>
      </c>
      <c r="D48" s="8" t="n">
        <v>179</v>
      </c>
      <c r="E48" s="8" t="n">
        <v>16</v>
      </c>
      <c r="F48" s="8" t="s">
        <v>48</v>
      </c>
      <c r="G48" s="8" t="s">
        <v>60</v>
      </c>
      <c r="H48" s="8" t="s">
        <v>160</v>
      </c>
    </row>
    <row r="49" customFormat="false" ht="24" hidden="false" customHeight="true" outlineLevel="0" collapsed="false">
      <c r="A49" s="8" t="str">
        <f aca="false">"T-"&amp;TEXT(ROW()-1,"000")</f>
        <v>T-048</v>
      </c>
      <c r="B49" s="8" t="s">
        <v>161</v>
      </c>
      <c r="C49" s="8" t="s">
        <v>47</v>
      </c>
      <c r="D49" s="8" t="n">
        <v>378</v>
      </c>
      <c r="E49" s="8" t="n">
        <v>15</v>
      </c>
      <c r="F49" s="8" t="s">
        <v>54</v>
      </c>
      <c r="G49" s="8" t="s">
        <v>60</v>
      </c>
      <c r="H49" s="8" t="s">
        <v>162</v>
      </c>
    </row>
    <row r="50" customFormat="false" ht="24" hidden="false" customHeight="true" outlineLevel="0" collapsed="false">
      <c r="A50" s="8" t="str">
        <f aca="false">"T-"&amp;TEXT(ROW()-1,"000")</f>
        <v>T-049</v>
      </c>
      <c r="B50" s="8" t="s">
        <v>163</v>
      </c>
      <c r="C50" s="8" t="s">
        <v>47</v>
      </c>
      <c r="D50" s="8" t="n">
        <v>313</v>
      </c>
      <c r="E50" s="8" t="n">
        <v>11</v>
      </c>
      <c r="F50" s="8" t="s">
        <v>54</v>
      </c>
      <c r="G50" s="8" t="s">
        <v>60</v>
      </c>
      <c r="H50" s="8" t="s">
        <v>164</v>
      </c>
    </row>
    <row r="51" customFormat="false" ht="24" hidden="false" customHeight="true" outlineLevel="0" collapsed="false">
      <c r="A51" s="8" t="str">
        <f aca="false">"T-"&amp;TEXT(ROW()-1,"000")</f>
        <v>T-050</v>
      </c>
      <c r="B51" s="8" t="s">
        <v>165</v>
      </c>
      <c r="C51" s="8" t="s">
        <v>53</v>
      </c>
      <c r="D51" s="8" t="n">
        <v>231</v>
      </c>
      <c r="E51" s="8" t="n">
        <v>12</v>
      </c>
      <c r="F51" s="8" t="s">
        <v>59</v>
      </c>
      <c r="G51" s="8" t="s">
        <v>60</v>
      </c>
      <c r="H51" s="8" t="s">
        <v>166</v>
      </c>
    </row>
    <row r="52" customFormat="false" ht="24" hidden="false" customHeight="true" outlineLevel="0" collapsed="false">
      <c r="A52" s="8" t="str">
        <f aca="false">"T-"&amp;TEXT(ROW()-1,"000")</f>
        <v>T-051</v>
      </c>
      <c r="B52" s="8" t="s">
        <v>167</v>
      </c>
      <c r="C52" s="8" t="s">
        <v>47</v>
      </c>
      <c r="D52" s="8" t="n">
        <v>167</v>
      </c>
      <c r="E52" s="8" t="n">
        <v>10</v>
      </c>
      <c r="F52" s="8" t="s">
        <v>54</v>
      </c>
      <c r="G52" s="8" t="s">
        <v>60</v>
      </c>
      <c r="H52" s="8" t="s">
        <v>168</v>
      </c>
    </row>
    <row r="53" customFormat="false" ht="24" hidden="false" customHeight="true" outlineLevel="0" collapsed="false">
      <c r="A53" s="8" t="str">
        <f aca="false">"T-"&amp;TEXT(ROW()-1,"000")</f>
        <v>T-052</v>
      </c>
      <c r="B53" s="8" t="s">
        <v>169</v>
      </c>
      <c r="C53" s="8" t="s">
        <v>47</v>
      </c>
      <c r="D53" s="8" t="n">
        <v>276</v>
      </c>
      <c r="E53" s="8" t="n">
        <v>7</v>
      </c>
      <c r="F53" s="8" t="s">
        <v>54</v>
      </c>
      <c r="G53" s="8" t="s">
        <v>60</v>
      </c>
      <c r="H53" s="8" t="s">
        <v>170</v>
      </c>
    </row>
    <row r="54" customFormat="false" ht="24" hidden="false" customHeight="true" outlineLevel="0" collapsed="false">
      <c r="A54" s="8" t="str">
        <f aca="false">"T-"&amp;TEXT(ROW()-1,"000")</f>
        <v>T-053</v>
      </c>
      <c r="B54" s="8" t="s">
        <v>171</v>
      </c>
      <c r="C54" s="8" t="s">
        <v>75</v>
      </c>
      <c r="D54" s="8" t="n">
        <v>168</v>
      </c>
      <c r="E54" s="8" t="n">
        <v>16</v>
      </c>
      <c r="F54" s="8" t="s">
        <v>48</v>
      </c>
      <c r="G54" s="8" t="s">
        <v>60</v>
      </c>
      <c r="H54" s="8" t="s">
        <v>172</v>
      </c>
    </row>
    <row r="55" customFormat="false" ht="24" hidden="false" customHeight="true" outlineLevel="0" collapsed="false">
      <c r="A55" s="8" t="str">
        <f aca="false">"T-"&amp;TEXT(ROW()-1,"000")</f>
        <v>T-054</v>
      </c>
      <c r="B55" s="8" t="s">
        <v>173</v>
      </c>
      <c r="C55" s="8" t="s">
        <v>75</v>
      </c>
      <c r="D55" s="8" t="n">
        <v>254</v>
      </c>
      <c r="E55" s="8" t="n">
        <v>10</v>
      </c>
      <c r="F55" s="8" t="s">
        <v>48</v>
      </c>
      <c r="G55" s="8" t="s">
        <v>60</v>
      </c>
      <c r="H55" s="8" t="s">
        <v>174</v>
      </c>
    </row>
    <row r="56" customFormat="false" ht="24" hidden="false" customHeight="true" outlineLevel="0" collapsed="false">
      <c r="A56" s="8" t="str">
        <f aca="false">"T-"&amp;TEXT(ROW()-1,"000")</f>
        <v>T-055</v>
      </c>
      <c r="B56" s="8" t="s">
        <v>175</v>
      </c>
      <c r="C56" s="8" t="s">
        <v>47</v>
      </c>
      <c r="D56" s="8" t="n">
        <v>261</v>
      </c>
      <c r="E56" s="8" t="n">
        <v>15</v>
      </c>
      <c r="F56" s="8" t="s">
        <v>54</v>
      </c>
      <c r="G56" s="8" t="s">
        <v>60</v>
      </c>
      <c r="H56" s="8" t="s">
        <v>176</v>
      </c>
    </row>
    <row r="57" customFormat="false" ht="24" hidden="false" customHeight="true" outlineLevel="0" collapsed="false">
      <c r="A57" s="8" t="str">
        <f aca="false">"T-"&amp;TEXT(ROW()-1,"000")</f>
        <v>T-056</v>
      </c>
      <c r="B57" s="8" t="s">
        <v>177</v>
      </c>
      <c r="C57" s="8" t="s">
        <v>95</v>
      </c>
      <c r="D57" s="8" t="n">
        <v>172</v>
      </c>
      <c r="E57" s="8" t="n">
        <v>12</v>
      </c>
      <c r="F57" s="8" t="s">
        <v>48</v>
      </c>
      <c r="G57" s="8" t="s">
        <v>60</v>
      </c>
      <c r="H57" s="8" t="s">
        <v>178</v>
      </c>
    </row>
    <row r="58" customFormat="false" ht="24" hidden="false" customHeight="true" outlineLevel="0" collapsed="false">
      <c r="A58" s="8" t="str">
        <f aca="false">"T-"&amp;TEXT(ROW()-1,"000")</f>
        <v>T-057</v>
      </c>
      <c r="B58" s="8" t="s">
        <v>179</v>
      </c>
      <c r="C58" s="8" t="s">
        <v>47</v>
      </c>
      <c r="D58" s="8" t="n">
        <v>128</v>
      </c>
      <c r="E58" s="8" t="n">
        <v>14</v>
      </c>
      <c r="F58" s="8" t="s">
        <v>48</v>
      </c>
      <c r="G58" s="8" t="s">
        <v>60</v>
      </c>
      <c r="H58" s="8" t="s">
        <v>180</v>
      </c>
    </row>
    <row r="59" customFormat="false" ht="24" hidden="false" customHeight="true" outlineLevel="0" collapsed="false">
      <c r="A59" s="8" t="str">
        <f aca="false">"T-"&amp;TEXT(ROW()-1,"000")</f>
        <v>T-058</v>
      </c>
      <c r="B59" s="8" t="s">
        <v>181</v>
      </c>
      <c r="C59" s="8" t="s">
        <v>95</v>
      </c>
      <c r="D59" s="8" t="n">
        <v>178</v>
      </c>
      <c r="E59" s="8" t="n">
        <v>33</v>
      </c>
      <c r="F59" s="8" t="s">
        <v>59</v>
      </c>
      <c r="G59" s="8" t="s">
        <v>64</v>
      </c>
      <c r="H59" s="8" t="s">
        <v>182</v>
      </c>
    </row>
    <row r="60" customFormat="false" ht="24" hidden="false" customHeight="true" outlineLevel="0" collapsed="false">
      <c r="A60" s="8" t="str">
        <f aca="false">"T-"&amp;TEXT(ROW()-1,"000")</f>
        <v>T-059</v>
      </c>
      <c r="B60" s="8" t="s">
        <v>183</v>
      </c>
      <c r="C60" s="8" t="s">
        <v>75</v>
      </c>
      <c r="D60" s="8" t="n">
        <v>94</v>
      </c>
      <c r="E60" s="8" t="n">
        <v>30</v>
      </c>
      <c r="F60" s="8" t="s">
        <v>59</v>
      </c>
      <c r="G60" s="8" t="s">
        <v>64</v>
      </c>
      <c r="H60" s="8" t="s">
        <v>184</v>
      </c>
    </row>
    <row r="61" customFormat="false" ht="24" hidden="false" customHeight="true" outlineLevel="0" collapsed="false">
      <c r="A61" s="8" t="str">
        <f aca="false">"T-"&amp;TEXT(ROW()-1,"000")</f>
        <v>T-060</v>
      </c>
      <c r="B61" s="8" t="s">
        <v>185</v>
      </c>
      <c r="C61" s="8" t="s">
        <v>47</v>
      </c>
      <c r="D61" s="8" t="n">
        <v>125</v>
      </c>
      <c r="E61" s="8" t="n">
        <v>25</v>
      </c>
      <c r="F61" s="8" t="s">
        <v>59</v>
      </c>
      <c r="G61" s="8" t="s">
        <v>64</v>
      </c>
      <c r="H61" s="8" t="s">
        <v>186</v>
      </c>
    </row>
    <row r="62" customFormat="false" ht="36" hidden="false" customHeight="true" outlineLevel="0" collapsed="false">
      <c r="A62" s="8" t="str">
        <f aca="false">"T-"&amp;TEXT(ROW()-1,"000")</f>
        <v>T-061</v>
      </c>
      <c r="B62" s="8" t="s">
        <v>187</v>
      </c>
      <c r="C62" s="8" t="s">
        <v>95</v>
      </c>
      <c r="D62" s="8" t="n">
        <v>124</v>
      </c>
      <c r="E62" s="8" t="n">
        <v>24</v>
      </c>
      <c r="F62" s="8" t="s">
        <v>59</v>
      </c>
      <c r="G62" s="8" t="s">
        <v>64</v>
      </c>
      <c r="H62" s="8" t="s">
        <v>188</v>
      </c>
    </row>
    <row r="63" customFormat="false" ht="24" hidden="false" customHeight="true" outlineLevel="0" collapsed="false">
      <c r="A63" s="8" t="str">
        <f aca="false">"T-"&amp;TEXT(ROW()-1,"000")</f>
        <v>T-062</v>
      </c>
      <c r="B63" s="8" t="s">
        <v>189</v>
      </c>
      <c r="C63" s="8" t="s">
        <v>95</v>
      </c>
      <c r="D63" s="8" t="n">
        <v>273</v>
      </c>
      <c r="E63" s="8" t="n">
        <v>32</v>
      </c>
      <c r="F63" s="8" t="s">
        <v>59</v>
      </c>
      <c r="G63" s="8" t="s">
        <v>64</v>
      </c>
      <c r="H63" s="8" t="s">
        <v>190</v>
      </c>
    </row>
    <row r="64" customFormat="false" ht="24" hidden="false" customHeight="true" outlineLevel="0" collapsed="false">
      <c r="A64" s="8" t="str">
        <f aca="false">"T-"&amp;TEXT(ROW()-1,"000")</f>
        <v>T-063</v>
      </c>
      <c r="B64" s="8" t="s">
        <v>191</v>
      </c>
      <c r="C64" s="8" t="s">
        <v>75</v>
      </c>
      <c r="D64" s="8" t="n">
        <v>236</v>
      </c>
      <c r="E64" s="8" t="n">
        <v>26</v>
      </c>
      <c r="F64" s="8" t="s">
        <v>59</v>
      </c>
      <c r="G64" s="8" t="s">
        <v>64</v>
      </c>
      <c r="H64" s="8" t="s">
        <v>192</v>
      </c>
    </row>
    <row r="65" customFormat="false" ht="24" hidden="false" customHeight="true" outlineLevel="0" collapsed="false">
      <c r="A65" s="8" t="str">
        <f aca="false">"T-"&amp;TEXT(ROW()-1,"000")</f>
        <v>T-064</v>
      </c>
      <c r="B65" s="8" t="s">
        <v>193</v>
      </c>
      <c r="C65" s="8" t="s">
        <v>75</v>
      </c>
      <c r="D65" s="8" t="n">
        <v>302</v>
      </c>
      <c r="E65" s="8" t="n">
        <v>32</v>
      </c>
      <c r="F65" s="8" t="s">
        <v>59</v>
      </c>
      <c r="G65" s="8" t="s">
        <v>64</v>
      </c>
      <c r="H65" s="8" t="s">
        <v>194</v>
      </c>
    </row>
    <row r="66" customFormat="false" ht="24" hidden="false" customHeight="true" outlineLevel="0" collapsed="false">
      <c r="A66" s="8" t="str">
        <f aca="false">"T-"&amp;TEXT(ROW()-1,"000")</f>
        <v>T-065</v>
      </c>
      <c r="B66" s="8" t="s">
        <v>195</v>
      </c>
      <c r="C66" s="8" t="s">
        <v>95</v>
      </c>
      <c r="D66" s="8" t="n">
        <v>196</v>
      </c>
      <c r="E66" s="8" t="n">
        <v>19</v>
      </c>
      <c r="F66" s="8" t="s">
        <v>48</v>
      </c>
      <c r="G66" s="8" t="s">
        <v>64</v>
      </c>
      <c r="H66" s="8" t="s">
        <v>196</v>
      </c>
    </row>
    <row r="67" customFormat="false" ht="36" hidden="false" customHeight="true" outlineLevel="0" collapsed="false">
      <c r="A67" s="8" t="str">
        <f aca="false">"T-"&amp;TEXT(ROW()-1,"000")</f>
        <v>T-066</v>
      </c>
      <c r="B67" s="8" t="s">
        <v>197</v>
      </c>
      <c r="C67" s="8" t="s">
        <v>75</v>
      </c>
      <c r="D67" s="8" t="n">
        <v>119</v>
      </c>
      <c r="E67" s="8" t="n">
        <v>14</v>
      </c>
      <c r="F67" s="8" t="s">
        <v>48</v>
      </c>
      <c r="G67" s="8" t="s">
        <v>64</v>
      </c>
      <c r="H67" s="8" t="s">
        <v>198</v>
      </c>
    </row>
    <row r="68" customFormat="false" ht="24" hidden="false" customHeight="true" outlineLevel="0" collapsed="false">
      <c r="A68" s="8" t="str">
        <f aca="false">"T-"&amp;TEXT(ROW()-1,"000")</f>
        <v>T-067</v>
      </c>
      <c r="B68" s="8" t="s">
        <v>199</v>
      </c>
      <c r="C68" s="8" t="s">
        <v>53</v>
      </c>
      <c r="D68" s="8" t="n">
        <v>302</v>
      </c>
      <c r="E68" s="8" t="n">
        <v>31</v>
      </c>
      <c r="F68" s="8" t="s">
        <v>48</v>
      </c>
      <c r="G68" s="8" t="s">
        <v>64</v>
      </c>
      <c r="H68" s="8" t="s">
        <v>200</v>
      </c>
    </row>
    <row r="69" customFormat="false" ht="24" hidden="false" customHeight="true" outlineLevel="0" collapsed="false">
      <c r="A69" s="8" t="str">
        <f aca="false">"T-"&amp;TEXT(ROW()-1,"000")</f>
        <v>T-068</v>
      </c>
      <c r="B69" s="8" t="s">
        <v>201</v>
      </c>
      <c r="C69" s="8" t="s">
        <v>95</v>
      </c>
      <c r="D69" s="8" t="n">
        <v>247</v>
      </c>
      <c r="E69" s="8" t="n">
        <v>30</v>
      </c>
      <c r="F69" s="8" t="s">
        <v>54</v>
      </c>
      <c r="G69" s="8" t="s">
        <v>64</v>
      </c>
      <c r="H69" s="8" t="s">
        <v>202</v>
      </c>
    </row>
    <row r="70" customFormat="false" ht="24" hidden="false" customHeight="true" outlineLevel="0" collapsed="false">
      <c r="A70" s="8" t="str">
        <f aca="false">"T-"&amp;TEXT(ROW()-1,"000")</f>
        <v>T-069</v>
      </c>
      <c r="B70" s="8" t="s">
        <v>203</v>
      </c>
      <c r="C70" s="8" t="s">
        <v>95</v>
      </c>
      <c r="D70" s="8" t="n">
        <v>117</v>
      </c>
      <c r="E70" s="8" t="n">
        <v>20</v>
      </c>
      <c r="F70" s="8" t="s">
        <v>59</v>
      </c>
      <c r="G70" s="8" t="s">
        <v>64</v>
      </c>
      <c r="H70" s="8" t="s">
        <v>204</v>
      </c>
    </row>
    <row r="71" customFormat="false" ht="24" hidden="false" customHeight="true" outlineLevel="0" collapsed="false">
      <c r="A71" s="8" t="str">
        <f aca="false">"T-"&amp;TEXT(ROW()-1,"000")</f>
        <v>T-070</v>
      </c>
      <c r="B71" s="8" t="s">
        <v>205</v>
      </c>
      <c r="C71" s="8" t="s">
        <v>75</v>
      </c>
      <c r="D71" s="8" t="n">
        <v>259</v>
      </c>
      <c r="E71" s="8" t="n">
        <v>15</v>
      </c>
      <c r="F71" s="8" t="s">
        <v>54</v>
      </c>
      <c r="G71" s="8" t="s">
        <v>64</v>
      </c>
      <c r="H71" s="8" t="s">
        <v>206</v>
      </c>
    </row>
    <row r="72" customFormat="false" ht="24" hidden="false" customHeight="true" outlineLevel="0" collapsed="false">
      <c r="A72" s="8" t="str">
        <f aca="false">"T-"&amp;TEXT(ROW()-1,"000")</f>
        <v>T-071</v>
      </c>
      <c r="B72" s="8" t="s">
        <v>207</v>
      </c>
      <c r="C72" s="8" t="s">
        <v>95</v>
      </c>
      <c r="D72" s="8" t="n">
        <v>200</v>
      </c>
      <c r="E72" s="8" t="n">
        <v>32</v>
      </c>
      <c r="F72" s="8" t="s">
        <v>59</v>
      </c>
      <c r="G72" s="8" t="s">
        <v>64</v>
      </c>
      <c r="H72" s="8" t="s">
        <v>208</v>
      </c>
    </row>
    <row r="73" customFormat="false" ht="36" hidden="false" customHeight="true" outlineLevel="0" collapsed="false">
      <c r="A73" s="8" t="str">
        <f aca="false">"T-"&amp;TEXT(ROW()-1,"000")</f>
        <v>T-072</v>
      </c>
      <c r="B73" s="8" t="s">
        <v>209</v>
      </c>
      <c r="C73" s="8" t="s">
        <v>75</v>
      </c>
      <c r="D73" s="8" t="n">
        <v>310</v>
      </c>
      <c r="E73" s="8" t="n">
        <v>16</v>
      </c>
      <c r="F73" s="8" t="s">
        <v>59</v>
      </c>
      <c r="G73" s="8" t="s">
        <v>64</v>
      </c>
      <c r="H73" s="8" t="s">
        <v>210</v>
      </c>
    </row>
    <row r="74" customFormat="false" ht="24" hidden="false" customHeight="true" outlineLevel="0" collapsed="false">
      <c r="A74" s="8" t="str">
        <f aca="false">"T-"&amp;TEXT(ROW()-1,"000")</f>
        <v>T-073</v>
      </c>
      <c r="B74" s="8" t="s">
        <v>211</v>
      </c>
      <c r="C74" s="8" t="s">
        <v>75</v>
      </c>
      <c r="D74" s="8" t="n">
        <v>222</v>
      </c>
      <c r="E74" s="8" t="n">
        <v>28</v>
      </c>
      <c r="F74" s="8" t="s">
        <v>59</v>
      </c>
      <c r="G74" s="8" t="s">
        <v>64</v>
      </c>
      <c r="H74" s="8" t="s">
        <v>212</v>
      </c>
    </row>
    <row r="75" customFormat="false" ht="24" hidden="false" customHeight="true" outlineLevel="0" collapsed="false">
      <c r="A75" s="8" t="str">
        <f aca="false">"T-"&amp;TEXT(ROW()-1,"000")</f>
        <v>T-074</v>
      </c>
      <c r="B75" s="8" t="s">
        <v>213</v>
      </c>
      <c r="C75" s="8" t="s">
        <v>95</v>
      </c>
      <c r="D75" s="8" t="n">
        <v>108</v>
      </c>
      <c r="E75" s="8" t="n">
        <v>33</v>
      </c>
      <c r="F75" s="8" t="s">
        <v>59</v>
      </c>
      <c r="G75" s="8" t="s">
        <v>64</v>
      </c>
      <c r="H75" s="8" t="s">
        <v>214</v>
      </c>
    </row>
    <row r="76" customFormat="false" ht="24" hidden="false" customHeight="true" outlineLevel="0" collapsed="false">
      <c r="A76" s="8" t="str">
        <f aca="false">"T-"&amp;TEXT(ROW()-1,"000")</f>
        <v>T-075</v>
      </c>
      <c r="B76" s="8" t="s">
        <v>215</v>
      </c>
      <c r="C76" s="8" t="s">
        <v>75</v>
      </c>
      <c r="D76" s="8" t="n">
        <v>571</v>
      </c>
      <c r="E76" s="8" t="n">
        <v>29</v>
      </c>
      <c r="F76" s="8" t="s">
        <v>54</v>
      </c>
      <c r="G76" s="8" t="s">
        <v>68</v>
      </c>
      <c r="H76" s="8" t="s">
        <v>216</v>
      </c>
    </row>
    <row r="77" customFormat="false" ht="24" hidden="false" customHeight="true" outlineLevel="0" collapsed="false">
      <c r="A77" s="8" t="str">
        <f aca="false">"T-"&amp;TEXT(ROW()-1,"000")</f>
        <v>T-076</v>
      </c>
      <c r="B77" s="8" t="s">
        <v>217</v>
      </c>
      <c r="C77" s="8" t="s">
        <v>53</v>
      </c>
      <c r="D77" s="8" t="n">
        <v>760</v>
      </c>
      <c r="E77" s="8" t="n">
        <v>23</v>
      </c>
      <c r="F77" s="8" t="s">
        <v>54</v>
      </c>
      <c r="G77" s="8" t="s">
        <v>68</v>
      </c>
      <c r="H77" s="8" t="s">
        <v>218</v>
      </c>
    </row>
    <row r="78" customFormat="false" ht="24" hidden="false" customHeight="true" outlineLevel="0" collapsed="false">
      <c r="A78" s="8" t="str">
        <f aca="false">"T-"&amp;TEXT(ROW()-1,"000")</f>
        <v>T-077</v>
      </c>
      <c r="B78" s="8" t="s">
        <v>219</v>
      </c>
      <c r="C78" s="8" t="s">
        <v>53</v>
      </c>
      <c r="D78" s="8" t="n">
        <v>343</v>
      </c>
      <c r="E78" s="8" t="n">
        <v>28</v>
      </c>
      <c r="F78" s="8" t="s">
        <v>54</v>
      </c>
      <c r="G78" s="8" t="s">
        <v>68</v>
      </c>
      <c r="H78" s="8" t="s">
        <v>220</v>
      </c>
    </row>
    <row r="79" customFormat="false" ht="24" hidden="false" customHeight="true" outlineLevel="0" collapsed="false">
      <c r="A79" s="8" t="str">
        <f aca="false">"T-"&amp;TEXT(ROW()-1,"000")</f>
        <v>T-078</v>
      </c>
      <c r="B79" s="8" t="s">
        <v>221</v>
      </c>
      <c r="C79" s="8" t="s">
        <v>53</v>
      </c>
      <c r="D79" s="8" t="n">
        <v>474</v>
      </c>
      <c r="E79" s="8" t="n">
        <v>43</v>
      </c>
      <c r="F79" s="8" t="s">
        <v>59</v>
      </c>
      <c r="G79" s="8" t="s">
        <v>68</v>
      </c>
      <c r="H79" s="8" t="s">
        <v>222</v>
      </c>
    </row>
    <row r="80" customFormat="false" ht="24" hidden="false" customHeight="true" outlineLevel="0" collapsed="false">
      <c r="A80" s="8" t="str">
        <f aca="false">"T-"&amp;TEXT(ROW()-1,"000")</f>
        <v>T-079</v>
      </c>
      <c r="B80" s="8" t="s">
        <v>223</v>
      </c>
      <c r="C80" s="8" t="s">
        <v>75</v>
      </c>
      <c r="D80" s="8" t="n">
        <v>474</v>
      </c>
      <c r="E80" s="8" t="n">
        <v>44</v>
      </c>
      <c r="F80" s="8" t="s">
        <v>59</v>
      </c>
      <c r="G80" s="8" t="s">
        <v>68</v>
      </c>
      <c r="H80" s="8" t="s">
        <v>224</v>
      </c>
    </row>
    <row r="81" customFormat="false" ht="24" hidden="false" customHeight="true" outlineLevel="0" collapsed="false">
      <c r="A81" s="8" t="str">
        <f aca="false">"T-"&amp;TEXT(ROW()-1,"000")</f>
        <v>T-080</v>
      </c>
      <c r="B81" s="8" t="s">
        <v>225</v>
      </c>
      <c r="C81" s="8" t="s">
        <v>75</v>
      </c>
      <c r="D81" s="8" t="n">
        <v>522</v>
      </c>
      <c r="E81" s="8" t="n">
        <v>31</v>
      </c>
      <c r="F81" s="8" t="s">
        <v>59</v>
      </c>
      <c r="G81" s="8" t="s">
        <v>68</v>
      </c>
      <c r="H81" s="8" t="s">
        <v>226</v>
      </c>
    </row>
    <row r="82" customFormat="false" ht="24" hidden="false" customHeight="true" outlineLevel="0" collapsed="false">
      <c r="A82" s="8" t="str">
        <f aca="false">"T-"&amp;TEXT(ROW()-1,"000")</f>
        <v>T-081</v>
      </c>
      <c r="B82" s="8" t="s">
        <v>227</v>
      </c>
      <c r="C82" s="8" t="s">
        <v>53</v>
      </c>
      <c r="D82" s="8" t="n">
        <v>728</v>
      </c>
      <c r="E82" s="8" t="n">
        <v>41</v>
      </c>
      <c r="F82" s="8" t="s">
        <v>48</v>
      </c>
      <c r="G82" s="8" t="s">
        <v>68</v>
      </c>
      <c r="H82" s="8" t="s">
        <v>228</v>
      </c>
    </row>
    <row r="83" customFormat="false" ht="24" hidden="false" customHeight="true" outlineLevel="0" collapsed="false">
      <c r="A83" s="8" t="str">
        <f aca="false">"T-"&amp;TEXT(ROW()-1,"000")</f>
        <v>T-082</v>
      </c>
      <c r="B83" s="8" t="s">
        <v>229</v>
      </c>
      <c r="C83" s="8" t="s">
        <v>53</v>
      </c>
      <c r="D83" s="8" t="n">
        <v>294</v>
      </c>
      <c r="E83" s="8" t="n">
        <v>40</v>
      </c>
      <c r="F83" s="8" t="s">
        <v>54</v>
      </c>
      <c r="G83" s="8" t="s">
        <v>68</v>
      </c>
      <c r="H83" s="8" t="s">
        <v>230</v>
      </c>
    </row>
    <row r="84" customFormat="false" ht="24" hidden="false" customHeight="true" outlineLevel="0" collapsed="false">
      <c r="A84" s="8" t="str">
        <f aca="false">"T-"&amp;TEXT(ROW()-1,"000")</f>
        <v>T-083</v>
      </c>
      <c r="B84" s="8" t="s">
        <v>231</v>
      </c>
      <c r="C84" s="8" t="s">
        <v>53</v>
      </c>
      <c r="D84" s="8" t="n">
        <v>567</v>
      </c>
      <c r="E84" s="8" t="n">
        <v>44</v>
      </c>
      <c r="F84" s="8" t="s">
        <v>54</v>
      </c>
      <c r="G84" s="8" t="s">
        <v>68</v>
      </c>
      <c r="H84" s="8" t="s">
        <v>232</v>
      </c>
    </row>
    <row r="85" customFormat="false" ht="24" hidden="false" customHeight="true" outlineLevel="0" collapsed="false">
      <c r="A85" s="8" t="str">
        <f aca="false">"T-"&amp;TEXT(ROW()-1,"000")</f>
        <v>T-084</v>
      </c>
      <c r="B85" s="8" t="s">
        <v>233</v>
      </c>
      <c r="C85" s="8" t="s">
        <v>75</v>
      </c>
      <c r="D85" s="8" t="n">
        <v>600</v>
      </c>
      <c r="E85" s="8" t="n">
        <v>32</v>
      </c>
      <c r="F85" s="8" t="s">
        <v>54</v>
      </c>
      <c r="G85" s="8" t="s">
        <v>68</v>
      </c>
      <c r="H85" s="8" t="s">
        <v>234</v>
      </c>
    </row>
    <row r="86" customFormat="false" ht="24" hidden="false" customHeight="true" outlineLevel="0" collapsed="false">
      <c r="A86" s="8" t="str">
        <f aca="false">"T-"&amp;TEXT(ROW()-1,"000")</f>
        <v>T-085</v>
      </c>
      <c r="B86" s="8" t="s">
        <v>235</v>
      </c>
      <c r="C86" s="8" t="s">
        <v>75</v>
      </c>
      <c r="D86" s="8" t="n">
        <v>763</v>
      </c>
      <c r="E86" s="8" t="n">
        <v>21</v>
      </c>
      <c r="F86" s="8" t="s">
        <v>59</v>
      </c>
      <c r="G86" s="8" t="s">
        <v>68</v>
      </c>
      <c r="H86" s="8" t="s">
        <v>236</v>
      </c>
    </row>
    <row r="87" customFormat="false" ht="24" hidden="false" customHeight="true" outlineLevel="0" collapsed="false">
      <c r="A87" s="8" t="str">
        <f aca="false">"T-"&amp;TEXT(ROW()-1,"000")</f>
        <v>T-086</v>
      </c>
      <c r="B87" s="8" t="s">
        <v>237</v>
      </c>
      <c r="C87" s="8" t="s">
        <v>75</v>
      </c>
      <c r="D87" s="8" t="n">
        <v>645</v>
      </c>
      <c r="E87" s="8" t="n">
        <v>22</v>
      </c>
      <c r="F87" s="8" t="s">
        <v>48</v>
      </c>
      <c r="G87" s="8" t="s">
        <v>68</v>
      </c>
      <c r="H87" s="8" t="s">
        <v>238</v>
      </c>
    </row>
    <row r="88" customFormat="false" ht="24" hidden="false" customHeight="true" outlineLevel="0" collapsed="false">
      <c r="A88" s="8" t="str">
        <f aca="false">"T-"&amp;TEXT(ROW()-1,"000")</f>
        <v>T-087</v>
      </c>
      <c r="B88" s="8" t="s">
        <v>239</v>
      </c>
      <c r="C88" s="8" t="s">
        <v>47</v>
      </c>
      <c r="D88" s="8" t="n">
        <v>630</v>
      </c>
      <c r="E88" s="8" t="n">
        <v>23</v>
      </c>
      <c r="F88" s="8" t="s">
        <v>54</v>
      </c>
      <c r="G88" s="8" t="s">
        <v>68</v>
      </c>
      <c r="H88" s="8" t="s">
        <v>240</v>
      </c>
    </row>
    <row r="89" customFormat="false" ht="24" hidden="false" customHeight="true" outlineLevel="0" collapsed="false">
      <c r="A89" s="8" t="str">
        <f aca="false">"T-"&amp;TEXT(ROW()-1,"000")</f>
        <v>T-088</v>
      </c>
      <c r="B89" s="8" t="s">
        <v>241</v>
      </c>
      <c r="C89" s="8" t="s">
        <v>53</v>
      </c>
      <c r="D89" s="8" t="n">
        <v>503</v>
      </c>
      <c r="E89" s="8" t="n">
        <v>24</v>
      </c>
      <c r="F89" s="8" t="s">
        <v>59</v>
      </c>
      <c r="G89" s="8" t="s">
        <v>68</v>
      </c>
      <c r="H89" s="8" t="s">
        <v>242</v>
      </c>
    </row>
    <row r="90" customFormat="false" ht="24" hidden="false" customHeight="true" outlineLevel="0" collapsed="false">
      <c r="A90" s="8" t="str">
        <f aca="false">"T-"&amp;TEXT(ROW()-1,"000")</f>
        <v>T-089</v>
      </c>
      <c r="B90" s="8" t="s">
        <v>243</v>
      </c>
      <c r="C90" s="8" t="s">
        <v>75</v>
      </c>
      <c r="D90" s="8" t="n">
        <v>580</v>
      </c>
      <c r="E90" s="8" t="n">
        <v>40</v>
      </c>
      <c r="F90" s="8" t="s">
        <v>59</v>
      </c>
      <c r="G90" s="8" t="s">
        <v>68</v>
      </c>
      <c r="H90" s="8" t="s">
        <v>244</v>
      </c>
    </row>
    <row r="91" customFormat="false" ht="24" hidden="false" customHeight="true" outlineLevel="0" collapsed="false">
      <c r="A91" s="8" t="str">
        <f aca="false">"T-"&amp;TEXT(ROW()-1,"000")</f>
        <v>T-090</v>
      </c>
      <c r="B91" s="8" t="s">
        <v>245</v>
      </c>
      <c r="C91" s="8" t="s">
        <v>75</v>
      </c>
      <c r="D91" s="8" t="n">
        <v>400</v>
      </c>
      <c r="E91" s="8" t="n">
        <v>21</v>
      </c>
      <c r="F91" s="8" t="s">
        <v>48</v>
      </c>
      <c r="G91" s="8" t="s">
        <v>68</v>
      </c>
      <c r="H91" s="8" t="s">
        <v>246</v>
      </c>
    </row>
    <row r="92" customFormat="false" ht="24" hidden="false" customHeight="true" outlineLevel="0" collapsed="false">
      <c r="A92" s="8" t="str">
        <f aca="false">"T-"&amp;TEXT(ROW()-1,"000")</f>
        <v>T-091</v>
      </c>
      <c r="B92" s="8" t="s">
        <v>247</v>
      </c>
      <c r="C92" s="8" t="s">
        <v>47</v>
      </c>
      <c r="D92" s="8" t="n">
        <v>644</v>
      </c>
      <c r="E92" s="8" t="n">
        <v>32</v>
      </c>
      <c r="F92" s="8" t="s">
        <v>48</v>
      </c>
      <c r="G92" s="8" t="s">
        <v>68</v>
      </c>
      <c r="H92" s="8" t="s">
        <v>248</v>
      </c>
    </row>
    <row r="93" customFormat="false" ht="24" hidden="false" customHeight="true" outlineLevel="0" collapsed="false">
      <c r="A93" s="8" t="str">
        <f aca="false">"T-"&amp;TEXT(ROW()-1,"000")</f>
        <v>T-092</v>
      </c>
      <c r="B93" s="8" t="s">
        <v>249</v>
      </c>
      <c r="C93" s="8" t="s">
        <v>75</v>
      </c>
      <c r="D93" s="8" t="n">
        <v>149</v>
      </c>
      <c r="E93" s="8" t="n">
        <v>21</v>
      </c>
      <c r="F93" s="8" t="s">
        <v>54</v>
      </c>
      <c r="G93" s="8" t="s">
        <v>72</v>
      </c>
      <c r="H93" s="8" t="s">
        <v>250</v>
      </c>
    </row>
    <row r="94" customFormat="false" ht="24" hidden="false" customHeight="true" outlineLevel="0" collapsed="false">
      <c r="A94" s="8" t="str">
        <f aca="false">"T-"&amp;TEXT(ROW()-1,"000")</f>
        <v>T-093</v>
      </c>
      <c r="B94" s="8" t="s">
        <v>251</v>
      </c>
      <c r="C94" s="8" t="s">
        <v>47</v>
      </c>
      <c r="D94" s="8" t="n">
        <v>295</v>
      </c>
      <c r="E94" s="8" t="n">
        <v>20</v>
      </c>
      <c r="F94" s="8" t="s">
        <v>54</v>
      </c>
      <c r="G94" s="8" t="s">
        <v>72</v>
      </c>
      <c r="H94" s="8" t="s">
        <v>252</v>
      </c>
    </row>
    <row r="95" customFormat="false" ht="24" hidden="false" customHeight="true" outlineLevel="0" collapsed="false">
      <c r="A95" s="8" t="str">
        <f aca="false">"T-"&amp;TEXT(ROW()-1,"000")</f>
        <v>T-094</v>
      </c>
      <c r="B95" s="8" t="s">
        <v>253</v>
      </c>
      <c r="C95" s="8" t="s">
        <v>47</v>
      </c>
      <c r="D95" s="8" t="n">
        <v>256</v>
      </c>
      <c r="E95" s="8" t="n">
        <v>9</v>
      </c>
      <c r="F95" s="8" t="s">
        <v>48</v>
      </c>
      <c r="G95" s="8" t="s">
        <v>72</v>
      </c>
      <c r="H95" s="8" t="s">
        <v>254</v>
      </c>
    </row>
    <row r="96" customFormat="false" ht="24" hidden="false" customHeight="true" outlineLevel="0" collapsed="false">
      <c r="A96" s="8" t="str">
        <f aca="false">"T-"&amp;TEXT(ROW()-1,"000")</f>
        <v>T-095</v>
      </c>
      <c r="B96" s="8" t="s">
        <v>255</v>
      </c>
      <c r="C96" s="8" t="s">
        <v>75</v>
      </c>
      <c r="D96" s="8" t="n">
        <v>414</v>
      </c>
      <c r="E96" s="8" t="n">
        <v>11</v>
      </c>
      <c r="F96" s="8" t="s">
        <v>59</v>
      </c>
      <c r="G96" s="8" t="s">
        <v>72</v>
      </c>
      <c r="H96" s="8" t="s">
        <v>256</v>
      </c>
    </row>
    <row r="97" customFormat="false" ht="24" hidden="false" customHeight="true" outlineLevel="0" collapsed="false">
      <c r="A97" s="8" t="str">
        <f aca="false">"T-"&amp;TEXT(ROW()-1,"000")</f>
        <v>T-096</v>
      </c>
      <c r="B97" s="8" t="s">
        <v>257</v>
      </c>
      <c r="C97" s="8" t="s">
        <v>75</v>
      </c>
      <c r="D97" s="8" t="n">
        <v>230</v>
      </c>
      <c r="E97" s="8" t="n">
        <v>16</v>
      </c>
      <c r="F97" s="8" t="s">
        <v>48</v>
      </c>
      <c r="G97" s="8" t="s">
        <v>72</v>
      </c>
      <c r="H97" s="8" t="s">
        <v>258</v>
      </c>
    </row>
    <row r="98" customFormat="false" ht="24" hidden="false" customHeight="true" outlineLevel="0" collapsed="false">
      <c r="A98" s="8" t="str">
        <f aca="false">"T-"&amp;TEXT(ROW()-1,"000")</f>
        <v>T-097</v>
      </c>
      <c r="B98" s="8" t="s">
        <v>259</v>
      </c>
      <c r="C98" s="8" t="s">
        <v>47</v>
      </c>
      <c r="D98" s="8" t="n">
        <v>423</v>
      </c>
      <c r="E98" s="8" t="n">
        <v>12</v>
      </c>
      <c r="F98" s="8" t="s">
        <v>59</v>
      </c>
      <c r="G98" s="8" t="s">
        <v>72</v>
      </c>
      <c r="H98" s="8" t="s">
        <v>260</v>
      </c>
    </row>
    <row r="99" customFormat="false" ht="24" hidden="false" customHeight="true" outlineLevel="0" collapsed="false">
      <c r="A99" s="8" t="str">
        <f aca="false">"T-"&amp;TEXT(ROW()-1,"000")</f>
        <v>T-098</v>
      </c>
      <c r="B99" s="8" t="s">
        <v>261</v>
      </c>
      <c r="C99" s="8" t="s">
        <v>47</v>
      </c>
      <c r="D99" s="8" t="n">
        <v>408</v>
      </c>
      <c r="E99" s="8" t="n">
        <v>9</v>
      </c>
      <c r="F99" s="8" t="s">
        <v>54</v>
      </c>
      <c r="G99" s="8" t="s">
        <v>72</v>
      </c>
      <c r="H99" s="8" t="s">
        <v>262</v>
      </c>
    </row>
    <row r="100" customFormat="false" ht="24" hidden="false" customHeight="true" outlineLevel="0" collapsed="false">
      <c r="A100" s="8" t="str">
        <f aca="false">"T-"&amp;TEXT(ROW()-1,"000")</f>
        <v>T-099</v>
      </c>
      <c r="B100" s="8" t="s">
        <v>263</v>
      </c>
      <c r="C100" s="8" t="s">
        <v>53</v>
      </c>
      <c r="D100" s="8" t="n">
        <v>374</v>
      </c>
      <c r="E100" s="8" t="n">
        <v>14</v>
      </c>
      <c r="F100" s="8" t="s">
        <v>54</v>
      </c>
      <c r="G100" s="8" t="s">
        <v>72</v>
      </c>
      <c r="H100" s="8" t="s">
        <v>264</v>
      </c>
    </row>
    <row r="101" customFormat="false" ht="24" hidden="false" customHeight="true" outlineLevel="0" collapsed="false">
      <c r="A101" s="8" t="str">
        <f aca="false">"T-"&amp;TEXT(ROW()-1,"000")</f>
        <v>T-100</v>
      </c>
      <c r="B101" s="8" t="s">
        <v>265</v>
      </c>
      <c r="C101" s="8" t="s">
        <v>47</v>
      </c>
      <c r="D101" s="8" t="n">
        <v>201</v>
      </c>
      <c r="E101" s="8" t="n">
        <v>19</v>
      </c>
      <c r="F101" s="8" t="s">
        <v>59</v>
      </c>
      <c r="G101" s="8" t="s">
        <v>72</v>
      </c>
      <c r="H101" s="8" t="s">
        <v>266</v>
      </c>
    </row>
    <row r="102" customFormat="false" ht="24" hidden="false" customHeight="true" outlineLevel="0" collapsed="false">
      <c r="A102" s="8" t="str">
        <f aca="false">"T-"&amp;TEXT(ROW()-1,"000")</f>
        <v>T-101</v>
      </c>
      <c r="B102" s="8" t="s">
        <v>267</v>
      </c>
      <c r="C102" s="8" t="s">
        <v>95</v>
      </c>
      <c r="D102" s="8" t="n">
        <v>405</v>
      </c>
      <c r="E102" s="8" t="n">
        <v>20</v>
      </c>
      <c r="F102" s="8" t="s">
        <v>59</v>
      </c>
      <c r="G102" s="8" t="s">
        <v>72</v>
      </c>
      <c r="H102" s="8" t="s">
        <v>268</v>
      </c>
    </row>
    <row r="103" customFormat="false" ht="24" hidden="false" customHeight="true" outlineLevel="0" collapsed="false">
      <c r="A103" s="8" t="str">
        <f aca="false">"T-"&amp;TEXT(ROW()-1,"000")</f>
        <v>T-102</v>
      </c>
      <c r="B103" s="8" t="s">
        <v>269</v>
      </c>
      <c r="C103" s="8" t="s">
        <v>47</v>
      </c>
      <c r="D103" s="8" t="n">
        <v>386</v>
      </c>
      <c r="E103" s="8" t="n">
        <v>15</v>
      </c>
      <c r="F103" s="8" t="s">
        <v>48</v>
      </c>
      <c r="G103" s="8" t="s">
        <v>72</v>
      </c>
      <c r="H103" s="8" t="s">
        <v>270</v>
      </c>
    </row>
    <row r="104" customFormat="false" ht="24" hidden="false" customHeight="true" outlineLevel="0" collapsed="false">
      <c r="A104" s="8" t="str">
        <f aca="false">"T-"&amp;TEXT(ROW()-1,"000")</f>
        <v>T-103</v>
      </c>
      <c r="B104" s="8" t="s">
        <v>271</v>
      </c>
      <c r="C104" s="8" t="s">
        <v>47</v>
      </c>
      <c r="D104" s="8" t="n">
        <v>186</v>
      </c>
      <c r="E104" s="8" t="n">
        <v>17</v>
      </c>
      <c r="F104" s="8" t="s">
        <v>48</v>
      </c>
      <c r="G104" s="8" t="s">
        <v>72</v>
      </c>
      <c r="H104" s="8" t="s">
        <v>272</v>
      </c>
    </row>
    <row r="105" customFormat="false" ht="24" hidden="false" customHeight="true" outlineLevel="0" collapsed="false">
      <c r="A105" s="8" t="str">
        <f aca="false">"T-"&amp;TEXT(ROW()-1,"000")</f>
        <v>T-104</v>
      </c>
      <c r="B105" s="8" t="s">
        <v>273</v>
      </c>
      <c r="C105" s="8" t="s">
        <v>53</v>
      </c>
      <c r="D105" s="8" t="n">
        <v>205</v>
      </c>
      <c r="E105" s="8" t="n">
        <v>9</v>
      </c>
      <c r="F105" s="8" t="s">
        <v>48</v>
      </c>
      <c r="G105" s="8" t="s">
        <v>72</v>
      </c>
      <c r="H105" s="8" t="s">
        <v>274</v>
      </c>
    </row>
    <row r="106" customFormat="false" ht="24" hidden="false" customHeight="true" outlineLevel="0" collapsed="false">
      <c r="A106" s="8" t="str">
        <f aca="false">"T-"&amp;TEXT(ROW()-1,"000")</f>
        <v>T-105</v>
      </c>
      <c r="B106" s="8" t="s">
        <v>275</v>
      </c>
      <c r="C106" s="8" t="s">
        <v>53</v>
      </c>
      <c r="D106" s="8" t="n">
        <v>327</v>
      </c>
      <c r="E106" s="8" t="n">
        <v>14</v>
      </c>
      <c r="F106" s="8" t="s">
        <v>54</v>
      </c>
      <c r="G106" s="8" t="s">
        <v>72</v>
      </c>
      <c r="H106" s="8" t="s">
        <v>276</v>
      </c>
    </row>
    <row r="107" customFormat="false" ht="24" hidden="false" customHeight="true" outlineLevel="0" collapsed="false">
      <c r="A107" s="8" t="str">
        <f aca="false">"T-"&amp;TEXT(ROW()-1,"000")</f>
        <v>T-106</v>
      </c>
      <c r="B107" s="8" t="s">
        <v>277</v>
      </c>
      <c r="C107" s="8" t="s">
        <v>53</v>
      </c>
      <c r="D107" s="8" t="n">
        <v>427</v>
      </c>
      <c r="E107" s="8" t="n">
        <v>10</v>
      </c>
      <c r="F107" s="8" t="s">
        <v>48</v>
      </c>
      <c r="G107" s="8" t="s">
        <v>72</v>
      </c>
      <c r="H107" s="8" t="s">
        <v>278</v>
      </c>
    </row>
    <row r="108" customFormat="false" ht="24" hidden="false" customHeight="true" outlineLevel="0" collapsed="false">
      <c r="A108" s="8" t="str">
        <f aca="false">"T-"&amp;TEXT(ROW()-1,"000")</f>
        <v>T-107</v>
      </c>
      <c r="B108" s="8" t="s">
        <v>279</v>
      </c>
      <c r="C108" s="8" t="s">
        <v>47</v>
      </c>
      <c r="D108" s="8" t="n">
        <v>307</v>
      </c>
      <c r="E108" s="8" t="n">
        <v>22</v>
      </c>
      <c r="F108" s="8" t="s">
        <v>59</v>
      </c>
      <c r="G108" s="8" t="s">
        <v>72</v>
      </c>
      <c r="H108" s="8" t="s">
        <v>280</v>
      </c>
    </row>
    <row r="109" customFormat="false" ht="24" hidden="false" customHeight="true" outlineLevel="0" collapsed="false">
      <c r="A109" s="8" t="str">
        <f aca="false">"T-"&amp;TEXT(ROW()-1,"000")</f>
        <v>T-108</v>
      </c>
      <c r="B109" s="8" t="s">
        <v>281</v>
      </c>
      <c r="C109" s="8" t="s">
        <v>75</v>
      </c>
      <c r="D109" s="8" t="n">
        <v>312</v>
      </c>
      <c r="E109" s="8" t="n">
        <v>13</v>
      </c>
      <c r="F109" s="8" t="s">
        <v>48</v>
      </c>
      <c r="G109" s="8" t="s">
        <v>72</v>
      </c>
      <c r="H109" s="8" t="s">
        <v>282</v>
      </c>
    </row>
    <row r="110" customFormat="false" ht="23.25" hidden="false" customHeight="true" outlineLevel="0" collapsed="false">
      <c r="A110" s="8" t="str">
        <f aca="false">"T-"&amp;TEXT(ROW()-1,"000")</f>
        <v>T-109</v>
      </c>
      <c r="B110" s="8" t="s">
        <v>283</v>
      </c>
      <c r="C110" s="8" t="s">
        <v>75</v>
      </c>
      <c r="D110" s="8" t="n">
        <v>162</v>
      </c>
      <c r="E110" s="8" t="n">
        <v>17</v>
      </c>
      <c r="F110" s="8" t="s">
        <v>59</v>
      </c>
      <c r="G110" s="8" t="s">
        <v>284</v>
      </c>
      <c r="H110" s="8" t="s">
        <v>285</v>
      </c>
    </row>
    <row r="111" customFormat="false" ht="34.5" hidden="false" customHeight="true" outlineLevel="0" collapsed="false">
      <c r="A111" s="8" t="str">
        <f aca="false">"T-"&amp;TEXT(ROW()-1,"000")</f>
        <v>T-110</v>
      </c>
      <c r="B111" s="8" t="s">
        <v>286</v>
      </c>
      <c r="C111" s="8" t="s">
        <v>47</v>
      </c>
      <c r="D111" s="8" t="n">
        <v>171</v>
      </c>
      <c r="E111" s="8" t="n">
        <v>12</v>
      </c>
      <c r="F111" s="8" t="s">
        <v>54</v>
      </c>
      <c r="G111" s="8" t="s">
        <v>284</v>
      </c>
      <c r="H111" s="8" t="s">
        <v>287</v>
      </c>
    </row>
    <row r="112" customFormat="false" ht="34.5" hidden="false" customHeight="true" outlineLevel="0" collapsed="false">
      <c r="A112" s="8" t="str">
        <f aca="false">"T-"&amp;TEXT(ROW()-1,"000")</f>
        <v>T-111</v>
      </c>
      <c r="B112" s="8" t="s">
        <v>288</v>
      </c>
      <c r="C112" s="8" t="s">
        <v>75</v>
      </c>
      <c r="D112" s="8" t="n">
        <v>402</v>
      </c>
      <c r="E112" s="8" t="n">
        <v>22</v>
      </c>
      <c r="F112" s="8" t="s">
        <v>59</v>
      </c>
      <c r="G112" s="8" t="s">
        <v>284</v>
      </c>
      <c r="H112" s="8" t="s">
        <v>289</v>
      </c>
    </row>
    <row r="113" customFormat="false" ht="34.5" hidden="false" customHeight="true" outlineLevel="0" collapsed="false">
      <c r="A113" s="8" t="str">
        <f aca="false">"T-"&amp;TEXT(ROW()-1,"000")</f>
        <v>T-112</v>
      </c>
      <c r="B113" s="8" t="s">
        <v>290</v>
      </c>
      <c r="C113" s="8" t="s">
        <v>75</v>
      </c>
      <c r="D113" s="8" t="n">
        <v>147</v>
      </c>
      <c r="E113" s="8" t="n">
        <v>15</v>
      </c>
      <c r="F113" s="8" t="s">
        <v>59</v>
      </c>
      <c r="G113" s="8" t="s">
        <v>284</v>
      </c>
      <c r="H113" s="8" t="s">
        <v>291</v>
      </c>
    </row>
    <row r="114" customFormat="false" ht="34.5" hidden="false" customHeight="true" outlineLevel="0" collapsed="false">
      <c r="A114" s="8" t="str">
        <f aca="false">"T-"&amp;TEXT(ROW()-1,"000")</f>
        <v>T-113</v>
      </c>
      <c r="B114" s="8" t="s">
        <v>292</v>
      </c>
      <c r="C114" s="8" t="s">
        <v>75</v>
      </c>
      <c r="D114" s="8" t="n">
        <v>387</v>
      </c>
      <c r="E114" s="8" t="n">
        <v>15</v>
      </c>
      <c r="F114" s="8" t="s">
        <v>54</v>
      </c>
      <c r="G114" s="8" t="s">
        <v>284</v>
      </c>
      <c r="H114" s="8" t="s">
        <v>293</v>
      </c>
    </row>
    <row r="115" customFormat="false" ht="34.5" hidden="false" customHeight="true" outlineLevel="0" collapsed="false">
      <c r="A115" s="8" t="str">
        <f aca="false">"T-"&amp;TEXT(ROW()-1,"000")</f>
        <v>T-114</v>
      </c>
      <c r="B115" s="8" t="s">
        <v>294</v>
      </c>
      <c r="C115" s="8" t="s">
        <v>95</v>
      </c>
      <c r="D115" s="8" t="n">
        <v>212</v>
      </c>
      <c r="E115" s="8" t="n">
        <v>23</v>
      </c>
      <c r="F115" s="8" t="s">
        <v>54</v>
      </c>
      <c r="G115" s="8" t="s">
        <v>284</v>
      </c>
      <c r="H115" s="8" t="s">
        <v>295</v>
      </c>
    </row>
    <row r="116" customFormat="false" ht="34.5" hidden="false" customHeight="true" outlineLevel="0" collapsed="false">
      <c r="A116" s="8" t="str">
        <f aca="false">"T-"&amp;TEXT(ROW()-1,"000")</f>
        <v>T-115</v>
      </c>
      <c r="B116" s="8" t="s">
        <v>296</v>
      </c>
      <c r="C116" s="8" t="s">
        <v>53</v>
      </c>
      <c r="D116" s="8" t="n">
        <v>103</v>
      </c>
      <c r="E116" s="8" t="n">
        <v>14</v>
      </c>
      <c r="F116" s="8" t="s">
        <v>54</v>
      </c>
      <c r="G116" s="8" t="s">
        <v>284</v>
      </c>
      <c r="H116" s="8" t="s">
        <v>297</v>
      </c>
    </row>
    <row r="117" customFormat="false" ht="34.5" hidden="false" customHeight="true" outlineLevel="0" collapsed="false">
      <c r="A117" s="8" t="str">
        <f aca="false">"T-"&amp;TEXT(ROW()-1,"000")</f>
        <v>T-116</v>
      </c>
      <c r="B117" s="8" t="s">
        <v>298</v>
      </c>
      <c r="C117" s="8" t="s">
        <v>95</v>
      </c>
      <c r="D117" s="8" t="n">
        <v>274</v>
      </c>
      <c r="E117" s="8" t="n">
        <v>17</v>
      </c>
      <c r="F117" s="8" t="s">
        <v>59</v>
      </c>
      <c r="G117" s="8" t="s">
        <v>284</v>
      </c>
      <c r="H117" s="8" t="s">
        <v>299</v>
      </c>
    </row>
    <row r="118" customFormat="false" ht="34.5" hidden="false" customHeight="true" outlineLevel="0" collapsed="false">
      <c r="A118" s="8" t="str">
        <f aca="false">"T-"&amp;TEXT(ROW()-1,"000")</f>
        <v>T-117</v>
      </c>
      <c r="B118" s="8" t="s">
        <v>300</v>
      </c>
      <c r="C118" s="8" t="s">
        <v>47</v>
      </c>
      <c r="D118" s="8" t="n">
        <v>490</v>
      </c>
      <c r="E118" s="8" t="n">
        <v>19</v>
      </c>
      <c r="F118" s="8" t="s">
        <v>59</v>
      </c>
      <c r="G118" s="8" t="s">
        <v>284</v>
      </c>
      <c r="H118" s="8" t="s">
        <v>301</v>
      </c>
    </row>
    <row r="119" customFormat="false" ht="34.5" hidden="false" customHeight="true" outlineLevel="0" collapsed="false">
      <c r="A119" s="8" t="str">
        <f aca="false">"T-"&amp;TEXT(ROW()-1,"000")</f>
        <v>T-118</v>
      </c>
      <c r="B119" s="8" t="s">
        <v>302</v>
      </c>
      <c r="C119" s="8" t="s">
        <v>75</v>
      </c>
      <c r="D119" s="8" t="n">
        <v>294</v>
      </c>
      <c r="E119" s="8" t="n">
        <v>12</v>
      </c>
      <c r="F119" s="8" t="s">
        <v>48</v>
      </c>
      <c r="G119" s="8" t="s">
        <v>284</v>
      </c>
      <c r="H119" s="8" t="s">
        <v>303</v>
      </c>
    </row>
    <row r="120" customFormat="false" ht="34.5" hidden="false" customHeight="true" outlineLevel="0" collapsed="false">
      <c r="A120" s="8" t="str">
        <f aca="false">"T-"&amp;TEXT(ROW()-1,"000")</f>
        <v>T-119</v>
      </c>
      <c r="B120" s="8" t="s">
        <v>304</v>
      </c>
      <c r="C120" s="8" t="s">
        <v>53</v>
      </c>
      <c r="D120" s="8" t="n">
        <v>409</v>
      </c>
      <c r="E120" s="8" t="n">
        <v>17</v>
      </c>
      <c r="F120" s="8" t="s">
        <v>59</v>
      </c>
      <c r="G120" s="8" t="s">
        <v>284</v>
      </c>
      <c r="H120" s="8" t="s">
        <v>305</v>
      </c>
    </row>
    <row r="121" customFormat="false" ht="34.5" hidden="false" customHeight="true" outlineLevel="0" collapsed="false">
      <c r="A121" s="8" t="str">
        <f aca="false">"T-"&amp;TEXT(ROW()-1,"000")</f>
        <v>T-120</v>
      </c>
      <c r="B121" s="8" t="s">
        <v>306</v>
      </c>
      <c r="C121" s="8" t="s">
        <v>95</v>
      </c>
      <c r="D121" s="8" t="n">
        <v>374</v>
      </c>
      <c r="E121" s="8" t="n">
        <v>12</v>
      </c>
      <c r="F121" s="8" t="s">
        <v>48</v>
      </c>
      <c r="G121" s="8" t="s">
        <v>284</v>
      </c>
      <c r="H121" s="8" t="s">
        <v>307</v>
      </c>
    </row>
    <row r="122" customFormat="false" ht="34.5" hidden="false" customHeight="true" outlineLevel="0" collapsed="false">
      <c r="A122" s="8" t="str">
        <f aca="false">"T-"&amp;TEXT(ROW()-1,"000")</f>
        <v>T-121</v>
      </c>
      <c r="B122" s="8" t="s">
        <v>308</v>
      </c>
      <c r="C122" s="8" t="s">
        <v>75</v>
      </c>
      <c r="D122" s="8" t="n">
        <v>382</v>
      </c>
      <c r="E122" s="8" t="n">
        <v>18</v>
      </c>
      <c r="F122" s="8" t="s">
        <v>54</v>
      </c>
      <c r="G122" s="8" t="s">
        <v>284</v>
      </c>
      <c r="H122" s="8" t="s">
        <v>309</v>
      </c>
    </row>
    <row r="123" customFormat="false" ht="34.5" hidden="false" customHeight="true" outlineLevel="0" collapsed="false">
      <c r="A123" s="8" t="str">
        <f aca="false">"T-"&amp;TEXT(ROW()-1,"000")</f>
        <v>T-122</v>
      </c>
      <c r="B123" s="8" t="s">
        <v>310</v>
      </c>
      <c r="C123" s="8" t="s">
        <v>53</v>
      </c>
      <c r="D123" s="8" t="n">
        <v>395</v>
      </c>
      <c r="E123" s="8" t="n">
        <v>15</v>
      </c>
      <c r="F123" s="8" t="s">
        <v>54</v>
      </c>
      <c r="G123" s="8" t="s">
        <v>284</v>
      </c>
      <c r="H123" s="8" t="s">
        <v>311</v>
      </c>
    </row>
    <row r="124" customFormat="false" ht="34.5" hidden="false" customHeight="true" outlineLevel="0" collapsed="false">
      <c r="A124" s="8" t="str">
        <f aca="false">"T-"&amp;TEXT(ROW()-1,"000")</f>
        <v>T-123</v>
      </c>
      <c r="B124" s="8" t="s">
        <v>312</v>
      </c>
      <c r="C124" s="8" t="s">
        <v>75</v>
      </c>
      <c r="D124" s="8" t="n">
        <v>123</v>
      </c>
      <c r="E124" s="8" t="n">
        <v>30</v>
      </c>
      <c r="F124" s="8" t="s">
        <v>59</v>
      </c>
      <c r="G124" s="8" t="s">
        <v>284</v>
      </c>
      <c r="H124" s="8" t="s">
        <v>313</v>
      </c>
    </row>
    <row r="125" customFormat="false" ht="34.5" hidden="false" customHeight="true" outlineLevel="0" collapsed="false">
      <c r="A125" s="8" t="str">
        <f aca="false">"T-"&amp;TEXT(ROW()-1,"000")</f>
        <v>T-124</v>
      </c>
      <c r="B125" s="8" t="s">
        <v>314</v>
      </c>
      <c r="C125" s="8" t="s">
        <v>53</v>
      </c>
      <c r="D125" s="8" t="n">
        <v>140</v>
      </c>
      <c r="E125" s="8" t="n">
        <v>16</v>
      </c>
      <c r="F125" s="8" t="s">
        <v>59</v>
      </c>
      <c r="G125" s="8" t="s">
        <v>284</v>
      </c>
      <c r="H125" s="8" t="s">
        <v>315</v>
      </c>
    </row>
    <row r="126" customFormat="false" ht="34.5" hidden="false" customHeight="true" outlineLevel="0" collapsed="false">
      <c r="A126" s="8" t="str">
        <f aca="false">"T-"&amp;TEXT(ROW()-1,"000")</f>
        <v>T-125</v>
      </c>
      <c r="B126" s="8" t="s">
        <v>316</v>
      </c>
      <c r="C126" s="8" t="s">
        <v>95</v>
      </c>
      <c r="D126" s="8" t="n">
        <v>242</v>
      </c>
      <c r="E126" s="8" t="n">
        <v>23</v>
      </c>
      <c r="F126" s="8" t="s">
        <v>54</v>
      </c>
      <c r="G126" s="8" t="s">
        <v>284</v>
      </c>
      <c r="H126" s="8" t="s">
        <v>317</v>
      </c>
    </row>
    <row r="127" customFormat="false" ht="34.5" hidden="false" customHeight="true" outlineLevel="0" collapsed="false">
      <c r="A127" s="8" t="str">
        <f aca="false">"T-"&amp;TEXT(ROW()-1,"000")</f>
        <v>T-126</v>
      </c>
      <c r="B127" s="8" t="s">
        <v>318</v>
      </c>
      <c r="C127" s="8" t="s">
        <v>53</v>
      </c>
      <c r="D127" s="8" t="n">
        <v>183</v>
      </c>
      <c r="E127" s="8" t="n">
        <v>20</v>
      </c>
      <c r="F127" s="8" t="s">
        <v>48</v>
      </c>
      <c r="G127" s="8" t="s">
        <v>284</v>
      </c>
      <c r="H127" s="8" t="s">
        <v>319</v>
      </c>
    </row>
    <row r="128" customFormat="false" ht="23.25" hidden="false" customHeight="true" outlineLevel="0" collapsed="false">
      <c r="A128" s="8" t="str">
        <f aca="false">"T-"&amp;TEXT(ROW()-1,"000")</f>
        <v>T-127</v>
      </c>
      <c r="B128" s="8" t="s">
        <v>320</v>
      </c>
      <c r="C128" s="8" t="s">
        <v>47</v>
      </c>
      <c r="D128" s="8" t="n">
        <v>493</v>
      </c>
      <c r="E128" s="8" t="n">
        <v>17</v>
      </c>
      <c r="F128" s="8" t="s">
        <v>54</v>
      </c>
      <c r="G128" s="8" t="s">
        <v>321</v>
      </c>
      <c r="H128" s="8" t="s">
        <v>322</v>
      </c>
    </row>
    <row r="129" customFormat="false" ht="34.5" hidden="false" customHeight="true" outlineLevel="0" collapsed="false">
      <c r="A129" s="8" t="str">
        <f aca="false">"T-"&amp;TEXT(ROW()-1,"000")</f>
        <v>T-128</v>
      </c>
      <c r="B129" s="8" t="s">
        <v>323</v>
      </c>
      <c r="C129" s="8" t="s">
        <v>75</v>
      </c>
      <c r="D129" s="8" t="n">
        <v>411</v>
      </c>
      <c r="E129" s="8" t="n">
        <v>29</v>
      </c>
      <c r="F129" s="8" t="s">
        <v>59</v>
      </c>
      <c r="G129" s="8" t="s">
        <v>321</v>
      </c>
      <c r="H129" s="8" t="s">
        <v>324</v>
      </c>
    </row>
    <row r="130" customFormat="false" ht="34.5" hidden="false" customHeight="true" outlineLevel="0" collapsed="false">
      <c r="A130" s="8" t="str">
        <f aca="false">"T-"&amp;TEXT(ROW()-1,"000")</f>
        <v>T-129</v>
      </c>
      <c r="B130" s="8" t="s">
        <v>325</v>
      </c>
      <c r="C130" s="8" t="s">
        <v>47</v>
      </c>
      <c r="D130" s="8" t="n">
        <v>183</v>
      </c>
      <c r="E130" s="8" t="n">
        <v>23</v>
      </c>
      <c r="F130" s="8" t="s">
        <v>48</v>
      </c>
      <c r="G130" s="8" t="s">
        <v>321</v>
      </c>
      <c r="H130" s="8" t="s">
        <v>326</v>
      </c>
    </row>
    <row r="131" customFormat="false" ht="34.5" hidden="false" customHeight="true" outlineLevel="0" collapsed="false">
      <c r="A131" s="8" t="str">
        <f aca="false">"T-"&amp;TEXT(ROW()-1,"000")</f>
        <v>T-130</v>
      </c>
      <c r="B131" s="8" t="s">
        <v>327</v>
      </c>
      <c r="C131" s="8" t="s">
        <v>53</v>
      </c>
      <c r="D131" s="8" t="n">
        <v>427</v>
      </c>
      <c r="E131" s="8" t="n">
        <v>26</v>
      </c>
      <c r="F131" s="8" t="s">
        <v>59</v>
      </c>
      <c r="G131" s="8" t="s">
        <v>321</v>
      </c>
      <c r="H131" s="8" t="s">
        <v>328</v>
      </c>
    </row>
    <row r="132" customFormat="false" ht="34.5" hidden="false" customHeight="true" outlineLevel="0" collapsed="false">
      <c r="A132" s="8" t="str">
        <f aca="false">"T-"&amp;TEXT(ROW()-1,"000")</f>
        <v>T-131</v>
      </c>
      <c r="B132" s="8" t="s">
        <v>329</v>
      </c>
      <c r="C132" s="8" t="s">
        <v>53</v>
      </c>
      <c r="D132" s="8" t="n">
        <v>493</v>
      </c>
      <c r="E132" s="8" t="n">
        <v>10</v>
      </c>
      <c r="F132" s="8" t="s">
        <v>59</v>
      </c>
      <c r="G132" s="8" t="s">
        <v>321</v>
      </c>
      <c r="H132" s="8" t="s">
        <v>330</v>
      </c>
    </row>
    <row r="133" customFormat="false" ht="34.5" hidden="false" customHeight="true" outlineLevel="0" collapsed="false">
      <c r="A133" s="8" t="str">
        <f aca="false">"T-"&amp;TEXT(ROW()-1,"000")</f>
        <v>T-132</v>
      </c>
      <c r="B133" s="8" t="s">
        <v>331</v>
      </c>
      <c r="C133" s="8" t="s">
        <v>75</v>
      </c>
      <c r="D133" s="8" t="n">
        <v>261</v>
      </c>
      <c r="E133" s="8" t="n">
        <v>21</v>
      </c>
      <c r="F133" s="8" t="s">
        <v>48</v>
      </c>
      <c r="G133" s="8" t="s">
        <v>321</v>
      </c>
      <c r="H133" s="8" t="s">
        <v>332</v>
      </c>
    </row>
    <row r="134" customFormat="false" ht="34.5" hidden="false" customHeight="true" outlineLevel="0" collapsed="false">
      <c r="A134" s="8" t="str">
        <f aca="false">"T-"&amp;TEXT(ROW()-1,"000")</f>
        <v>T-133</v>
      </c>
      <c r="B134" s="8" t="s">
        <v>333</v>
      </c>
      <c r="C134" s="8" t="s">
        <v>75</v>
      </c>
      <c r="D134" s="8" t="n">
        <v>208</v>
      </c>
      <c r="E134" s="8" t="n">
        <v>27</v>
      </c>
      <c r="F134" s="8" t="s">
        <v>54</v>
      </c>
      <c r="G134" s="8" t="s">
        <v>321</v>
      </c>
      <c r="H134" s="8" t="s">
        <v>334</v>
      </c>
    </row>
    <row r="135" customFormat="false" ht="34.5" hidden="false" customHeight="true" outlineLevel="0" collapsed="false">
      <c r="A135" s="8" t="str">
        <f aca="false">"T-"&amp;TEXT(ROW()-1,"000")</f>
        <v>T-134</v>
      </c>
      <c r="B135" s="8" t="s">
        <v>335</v>
      </c>
      <c r="C135" s="8" t="s">
        <v>53</v>
      </c>
      <c r="D135" s="8" t="n">
        <v>208</v>
      </c>
      <c r="E135" s="8" t="n">
        <v>29</v>
      </c>
      <c r="F135" s="8" t="s">
        <v>48</v>
      </c>
      <c r="G135" s="8" t="s">
        <v>321</v>
      </c>
      <c r="H135" s="8" t="s">
        <v>336</v>
      </c>
    </row>
    <row r="136" customFormat="false" ht="34.5" hidden="false" customHeight="true" outlineLevel="0" collapsed="false">
      <c r="A136" s="8" t="str">
        <f aca="false">"T-"&amp;TEXT(ROW()-1,"000")</f>
        <v>T-135</v>
      </c>
      <c r="B136" s="8" t="s">
        <v>337</v>
      </c>
      <c r="C136" s="8" t="s">
        <v>95</v>
      </c>
      <c r="D136" s="8" t="n">
        <v>429</v>
      </c>
      <c r="E136" s="8" t="n">
        <v>23</v>
      </c>
      <c r="F136" s="8" t="s">
        <v>59</v>
      </c>
      <c r="G136" s="8" t="s">
        <v>321</v>
      </c>
      <c r="H136" s="8" t="s">
        <v>338</v>
      </c>
    </row>
    <row r="137" customFormat="false" ht="34.5" hidden="false" customHeight="true" outlineLevel="0" collapsed="false">
      <c r="A137" s="8" t="str">
        <f aca="false">"T-"&amp;TEXT(ROW()-1,"000")</f>
        <v>T-136</v>
      </c>
      <c r="B137" s="8" t="s">
        <v>339</v>
      </c>
      <c r="C137" s="8" t="s">
        <v>53</v>
      </c>
      <c r="D137" s="8" t="n">
        <v>171</v>
      </c>
      <c r="E137" s="8" t="n">
        <v>16</v>
      </c>
      <c r="F137" s="8" t="s">
        <v>54</v>
      </c>
      <c r="G137" s="8" t="s">
        <v>321</v>
      </c>
      <c r="H137" s="8" t="s">
        <v>340</v>
      </c>
    </row>
    <row r="138" customFormat="false" ht="34.5" hidden="false" customHeight="true" outlineLevel="0" collapsed="false">
      <c r="A138" s="8" t="str">
        <f aca="false">"T-"&amp;TEXT(ROW()-1,"000")</f>
        <v>T-137</v>
      </c>
      <c r="B138" s="8" t="s">
        <v>341</v>
      </c>
      <c r="C138" s="8" t="s">
        <v>53</v>
      </c>
      <c r="D138" s="8" t="n">
        <v>482</v>
      </c>
      <c r="E138" s="8" t="n">
        <v>27</v>
      </c>
      <c r="F138" s="8" t="s">
        <v>48</v>
      </c>
      <c r="G138" s="8" t="s">
        <v>321</v>
      </c>
      <c r="H138" s="8" t="s">
        <v>342</v>
      </c>
    </row>
    <row r="139" customFormat="false" ht="34.5" hidden="false" customHeight="true" outlineLevel="0" collapsed="false">
      <c r="A139" s="8" t="str">
        <f aca="false">"T-"&amp;TEXT(ROW()-1,"000")</f>
        <v>T-138</v>
      </c>
      <c r="B139" s="8" t="s">
        <v>343</v>
      </c>
      <c r="C139" s="8" t="s">
        <v>95</v>
      </c>
      <c r="D139" s="8" t="n">
        <v>285</v>
      </c>
      <c r="E139" s="8" t="n">
        <v>16</v>
      </c>
      <c r="F139" s="8" t="s">
        <v>59</v>
      </c>
      <c r="G139" s="8" t="s">
        <v>321</v>
      </c>
      <c r="H139" s="8" t="s">
        <v>344</v>
      </c>
    </row>
    <row r="140" customFormat="false" ht="34.5" hidden="false" customHeight="true" outlineLevel="0" collapsed="false">
      <c r="A140" s="8" t="str">
        <f aca="false">"T-"&amp;TEXT(ROW()-1,"000")</f>
        <v>T-139</v>
      </c>
      <c r="B140" s="8" t="s">
        <v>345</v>
      </c>
      <c r="C140" s="8" t="s">
        <v>95</v>
      </c>
      <c r="D140" s="8" t="n">
        <v>146</v>
      </c>
      <c r="E140" s="8" t="n">
        <v>10</v>
      </c>
      <c r="F140" s="8" t="s">
        <v>59</v>
      </c>
      <c r="G140" s="8" t="s">
        <v>321</v>
      </c>
      <c r="H140" s="8" t="s">
        <v>346</v>
      </c>
    </row>
    <row r="141" customFormat="false" ht="34.5" hidden="false" customHeight="true" outlineLevel="0" collapsed="false">
      <c r="A141" s="8" t="str">
        <f aca="false">"T-"&amp;TEXT(ROW()-1,"000")</f>
        <v>T-140</v>
      </c>
      <c r="B141" s="8" t="s">
        <v>347</v>
      </c>
      <c r="C141" s="8" t="s">
        <v>47</v>
      </c>
      <c r="D141" s="8" t="n">
        <v>421</v>
      </c>
      <c r="E141" s="8" t="n">
        <v>14</v>
      </c>
      <c r="F141" s="8" t="s">
        <v>54</v>
      </c>
      <c r="G141" s="8" t="s">
        <v>321</v>
      </c>
      <c r="H141" s="8" t="s">
        <v>348</v>
      </c>
    </row>
    <row r="142" customFormat="false" ht="34.5" hidden="false" customHeight="true" outlineLevel="0" collapsed="false">
      <c r="A142" s="8" t="str">
        <f aca="false">"T-"&amp;TEXT(ROW()-1,"000")</f>
        <v>T-141</v>
      </c>
      <c r="B142" s="8" t="s">
        <v>349</v>
      </c>
      <c r="C142" s="8" t="s">
        <v>95</v>
      </c>
      <c r="D142" s="8" t="n">
        <v>405</v>
      </c>
      <c r="E142" s="8" t="n">
        <v>11</v>
      </c>
      <c r="F142" s="8" t="s">
        <v>48</v>
      </c>
      <c r="G142" s="8" t="s">
        <v>321</v>
      </c>
      <c r="H142" s="8" t="s">
        <v>350</v>
      </c>
    </row>
    <row r="143" customFormat="false" ht="34.5" hidden="false" customHeight="true" outlineLevel="0" collapsed="false">
      <c r="A143" s="8" t="str">
        <f aca="false">"T-"&amp;TEXT(ROW()-1,"000")</f>
        <v>T-142</v>
      </c>
      <c r="B143" s="8" t="s">
        <v>351</v>
      </c>
      <c r="C143" s="8" t="s">
        <v>95</v>
      </c>
      <c r="D143" s="8" t="n">
        <v>405</v>
      </c>
      <c r="E143" s="8" t="n">
        <v>23</v>
      </c>
      <c r="F143" s="8" t="s">
        <v>54</v>
      </c>
      <c r="G143" s="8" t="s">
        <v>321</v>
      </c>
      <c r="H143" s="8" t="s">
        <v>352</v>
      </c>
    </row>
    <row r="144" customFormat="false" ht="34.5" hidden="false" customHeight="true" outlineLevel="0" collapsed="false">
      <c r="A144" s="8" t="str">
        <f aca="false">"T-"&amp;TEXT(ROW()-1,"000")</f>
        <v>T-143</v>
      </c>
      <c r="B144" s="8" t="s">
        <v>353</v>
      </c>
      <c r="C144" s="8" t="s">
        <v>53</v>
      </c>
      <c r="D144" s="8" t="n">
        <v>383</v>
      </c>
      <c r="E144" s="8" t="n">
        <v>9</v>
      </c>
      <c r="F144" s="8" t="s">
        <v>54</v>
      </c>
      <c r="G144" s="8" t="s">
        <v>321</v>
      </c>
      <c r="H144" s="8" t="s">
        <v>354</v>
      </c>
    </row>
    <row r="145" customFormat="false" ht="34.5" hidden="false" customHeight="true" outlineLevel="0" collapsed="false">
      <c r="A145" s="8" t="str">
        <f aca="false">"T-"&amp;TEXT(ROW()-1,"000")</f>
        <v>T-144</v>
      </c>
      <c r="B145" s="8" t="s">
        <v>355</v>
      </c>
      <c r="C145" s="8" t="s">
        <v>75</v>
      </c>
      <c r="D145" s="8" t="n">
        <v>449</v>
      </c>
      <c r="E145" s="8" t="n">
        <v>26</v>
      </c>
      <c r="F145" s="8" t="s">
        <v>48</v>
      </c>
      <c r="G145" s="8" t="s">
        <v>321</v>
      </c>
      <c r="H145" s="8" t="s">
        <v>356</v>
      </c>
    </row>
    <row r="146" customFormat="false" ht="23.25" hidden="false" customHeight="true" outlineLevel="0" collapsed="false">
      <c r="A146" s="8" t="str">
        <f aca="false">"T-"&amp;TEXT(ROW()-1,"000")</f>
        <v>T-145</v>
      </c>
      <c r="B146" s="8" t="s">
        <v>357</v>
      </c>
      <c r="C146" s="8" t="s">
        <v>53</v>
      </c>
      <c r="D146" s="8" t="n">
        <v>207</v>
      </c>
      <c r="E146" s="8" t="n">
        <v>18</v>
      </c>
      <c r="F146" s="8" t="s">
        <v>48</v>
      </c>
      <c r="G146" s="8" t="s">
        <v>358</v>
      </c>
      <c r="H146" s="8" t="s">
        <v>359</v>
      </c>
    </row>
    <row r="147" customFormat="false" ht="34.5" hidden="false" customHeight="true" outlineLevel="0" collapsed="false">
      <c r="A147" s="8" t="str">
        <f aca="false">"T-"&amp;TEXT(ROW()-1,"000")</f>
        <v>T-146</v>
      </c>
      <c r="B147" s="8" t="s">
        <v>360</v>
      </c>
      <c r="C147" s="8" t="s">
        <v>47</v>
      </c>
      <c r="D147" s="8" t="n">
        <v>332</v>
      </c>
      <c r="E147" s="8" t="n">
        <v>9</v>
      </c>
      <c r="F147" s="8" t="s">
        <v>54</v>
      </c>
      <c r="G147" s="8" t="s">
        <v>358</v>
      </c>
      <c r="H147" s="8" t="s">
        <v>361</v>
      </c>
    </row>
    <row r="148" customFormat="false" ht="34.5" hidden="false" customHeight="true" outlineLevel="0" collapsed="false">
      <c r="A148" s="8" t="str">
        <f aca="false">"T-"&amp;TEXT(ROW()-1,"000")</f>
        <v>T-147</v>
      </c>
      <c r="B148" s="8" t="s">
        <v>362</v>
      </c>
      <c r="C148" s="8" t="s">
        <v>53</v>
      </c>
      <c r="D148" s="8" t="n">
        <v>356</v>
      </c>
      <c r="E148" s="8" t="n">
        <v>14</v>
      </c>
      <c r="F148" s="8" t="s">
        <v>54</v>
      </c>
      <c r="G148" s="8" t="s">
        <v>358</v>
      </c>
      <c r="H148" s="8" t="s">
        <v>363</v>
      </c>
    </row>
    <row r="149" customFormat="false" ht="34.5" hidden="false" customHeight="true" outlineLevel="0" collapsed="false">
      <c r="A149" s="8" t="str">
        <f aca="false">"T-"&amp;TEXT(ROW()-1,"000")</f>
        <v>T-148</v>
      </c>
      <c r="B149" s="8" t="s">
        <v>364</v>
      </c>
      <c r="C149" s="8" t="s">
        <v>75</v>
      </c>
      <c r="D149" s="8" t="n">
        <v>420</v>
      </c>
      <c r="E149" s="8" t="n">
        <v>18</v>
      </c>
      <c r="F149" s="8" t="s">
        <v>54</v>
      </c>
      <c r="G149" s="8" t="s">
        <v>358</v>
      </c>
      <c r="H149" s="8" t="s">
        <v>365</v>
      </c>
    </row>
    <row r="150" customFormat="false" ht="34.5" hidden="false" customHeight="true" outlineLevel="0" collapsed="false">
      <c r="A150" s="8" t="str">
        <f aca="false">"T-"&amp;TEXT(ROW()-1,"000")</f>
        <v>T-149</v>
      </c>
      <c r="B150" s="8" t="s">
        <v>366</v>
      </c>
      <c r="C150" s="8" t="s">
        <v>47</v>
      </c>
      <c r="D150" s="8" t="n">
        <v>178</v>
      </c>
      <c r="E150" s="8" t="n">
        <v>20</v>
      </c>
      <c r="F150" s="8" t="s">
        <v>59</v>
      </c>
      <c r="G150" s="8" t="s">
        <v>358</v>
      </c>
      <c r="H150" s="8" t="s">
        <v>367</v>
      </c>
    </row>
    <row r="151" customFormat="false" ht="34.5" hidden="false" customHeight="true" outlineLevel="0" collapsed="false">
      <c r="A151" s="8" t="str">
        <f aca="false">"T-"&amp;TEXT(ROW()-1,"000")</f>
        <v>T-150</v>
      </c>
      <c r="B151" s="8" t="s">
        <v>368</v>
      </c>
      <c r="C151" s="8" t="s">
        <v>75</v>
      </c>
      <c r="D151" s="8" t="n">
        <v>406</v>
      </c>
      <c r="E151" s="8" t="n">
        <v>19</v>
      </c>
      <c r="F151" s="8" t="s">
        <v>48</v>
      </c>
      <c r="G151" s="8" t="s">
        <v>358</v>
      </c>
      <c r="H151" s="8" t="s">
        <v>369</v>
      </c>
    </row>
    <row r="152" customFormat="false" ht="34.5" hidden="false" customHeight="true" outlineLevel="0" collapsed="false">
      <c r="A152" s="8" t="str">
        <f aca="false">"T-"&amp;TEXT(ROW()-1,"000")</f>
        <v>T-151</v>
      </c>
      <c r="B152" s="8" t="s">
        <v>370</v>
      </c>
      <c r="C152" s="8" t="s">
        <v>75</v>
      </c>
      <c r="D152" s="8" t="n">
        <v>157</v>
      </c>
      <c r="E152" s="8" t="n">
        <v>20</v>
      </c>
      <c r="F152" s="8" t="s">
        <v>48</v>
      </c>
      <c r="G152" s="8" t="s">
        <v>358</v>
      </c>
      <c r="H152" s="8" t="s">
        <v>371</v>
      </c>
    </row>
    <row r="153" customFormat="false" ht="23.25" hidden="false" customHeight="true" outlineLevel="0" collapsed="false">
      <c r="A153" s="8" t="str">
        <f aca="false">"T-"&amp;TEXT(ROW()-1,"000")</f>
        <v>T-152</v>
      </c>
      <c r="B153" s="8" t="s">
        <v>372</v>
      </c>
      <c r="C153" s="8" t="s">
        <v>47</v>
      </c>
      <c r="D153" s="8" t="n">
        <v>129</v>
      </c>
      <c r="E153" s="8" t="n">
        <v>16</v>
      </c>
      <c r="F153" s="8" t="s">
        <v>54</v>
      </c>
      <c r="G153" s="8" t="s">
        <v>358</v>
      </c>
      <c r="H153" s="8" t="s">
        <v>373</v>
      </c>
    </row>
    <row r="154" customFormat="false" ht="23.25" hidden="false" customHeight="true" outlineLevel="0" collapsed="false">
      <c r="A154" s="8" t="str">
        <f aca="false">"T-"&amp;TEXT(ROW()-1,"000")</f>
        <v>T-153</v>
      </c>
      <c r="B154" s="8" t="s">
        <v>374</v>
      </c>
      <c r="C154" s="8" t="s">
        <v>75</v>
      </c>
      <c r="D154" s="8" t="n">
        <v>143</v>
      </c>
      <c r="E154" s="8" t="n">
        <v>24</v>
      </c>
      <c r="F154" s="8" t="s">
        <v>59</v>
      </c>
      <c r="G154" s="8" t="s">
        <v>358</v>
      </c>
      <c r="H154" s="8" t="s">
        <v>375</v>
      </c>
    </row>
    <row r="155" customFormat="false" ht="34.5" hidden="false" customHeight="true" outlineLevel="0" collapsed="false">
      <c r="A155" s="8" t="str">
        <f aca="false">"T-"&amp;TEXT(ROW()-1,"000")</f>
        <v>T-154</v>
      </c>
      <c r="B155" s="8" t="s">
        <v>376</v>
      </c>
      <c r="C155" s="8" t="s">
        <v>47</v>
      </c>
      <c r="D155" s="8" t="n">
        <v>165</v>
      </c>
      <c r="E155" s="8" t="n">
        <v>30</v>
      </c>
      <c r="F155" s="8" t="s">
        <v>48</v>
      </c>
      <c r="G155" s="8" t="s">
        <v>358</v>
      </c>
      <c r="H155" s="8" t="s">
        <v>377</v>
      </c>
    </row>
    <row r="156" customFormat="false" ht="34.5" hidden="false" customHeight="true" outlineLevel="0" collapsed="false">
      <c r="A156" s="8" t="str">
        <f aca="false">"T-"&amp;TEXT(ROW()-1,"000")</f>
        <v>T-155</v>
      </c>
      <c r="B156" s="8" t="s">
        <v>378</v>
      </c>
      <c r="C156" s="8" t="s">
        <v>47</v>
      </c>
      <c r="D156" s="8" t="n">
        <v>235</v>
      </c>
      <c r="E156" s="8" t="n">
        <v>25</v>
      </c>
      <c r="F156" s="8" t="s">
        <v>54</v>
      </c>
      <c r="G156" s="8" t="s">
        <v>358</v>
      </c>
      <c r="H156" s="8" t="s">
        <v>379</v>
      </c>
    </row>
    <row r="157" customFormat="false" ht="34.5" hidden="false" customHeight="true" outlineLevel="0" collapsed="false">
      <c r="A157" s="8" t="str">
        <f aca="false">"T-"&amp;TEXT(ROW()-1,"000")</f>
        <v>T-156</v>
      </c>
      <c r="B157" s="8" t="s">
        <v>380</v>
      </c>
      <c r="C157" s="8" t="s">
        <v>95</v>
      </c>
      <c r="D157" s="8" t="n">
        <v>208</v>
      </c>
      <c r="E157" s="8" t="n">
        <v>26</v>
      </c>
      <c r="F157" s="8" t="s">
        <v>54</v>
      </c>
      <c r="G157" s="8" t="s">
        <v>358</v>
      </c>
      <c r="H157" s="8" t="s">
        <v>381</v>
      </c>
    </row>
    <row r="158" customFormat="false" ht="34.5" hidden="false" customHeight="true" outlineLevel="0" collapsed="false">
      <c r="A158" s="8" t="str">
        <f aca="false">"T-"&amp;TEXT(ROW()-1,"000")</f>
        <v>T-157</v>
      </c>
      <c r="B158" s="8" t="s">
        <v>382</v>
      </c>
      <c r="C158" s="8" t="s">
        <v>47</v>
      </c>
      <c r="D158" s="8" t="n">
        <v>465</v>
      </c>
      <c r="E158" s="8" t="n">
        <v>18</v>
      </c>
      <c r="F158" s="8" t="s">
        <v>48</v>
      </c>
      <c r="G158" s="8" t="s">
        <v>358</v>
      </c>
      <c r="H158" s="8" t="s">
        <v>383</v>
      </c>
    </row>
    <row r="159" customFormat="false" ht="23.25" hidden="false" customHeight="true" outlineLevel="0" collapsed="false">
      <c r="A159" s="8" t="str">
        <f aca="false">"T-"&amp;TEXT(ROW()-1,"000")</f>
        <v>T-158</v>
      </c>
      <c r="B159" s="8" t="s">
        <v>384</v>
      </c>
      <c r="C159" s="8" t="s">
        <v>53</v>
      </c>
      <c r="D159" s="8" t="n">
        <v>324</v>
      </c>
      <c r="E159" s="8" t="n">
        <v>25</v>
      </c>
      <c r="F159" s="8" t="s">
        <v>48</v>
      </c>
      <c r="G159" s="8" t="s">
        <v>358</v>
      </c>
      <c r="H159" s="8" t="s">
        <v>385</v>
      </c>
    </row>
    <row r="160" customFormat="false" ht="23.25" hidden="false" customHeight="true" outlineLevel="0" collapsed="false">
      <c r="A160" s="8" t="str">
        <f aca="false">"T-"&amp;TEXT(ROW()-1,"000")</f>
        <v>T-159</v>
      </c>
      <c r="B160" s="8" t="s">
        <v>386</v>
      </c>
      <c r="C160" s="8" t="s">
        <v>75</v>
      </c>
      <c r="D160" s="8" t="n">
        <v>226</v>
      </c>
      <c r="E160" s="8" t="n">
        <v>16</v>
      </c>
      <c r="F160" s="8" t="s">
        <v>59</v>
      </c>
      <c r="G160" s="8" t="s">
        <v>358</v>
      </c>
      <c r="H160" s="8" t="s">
        <v>387</v>
      </c>
    </row>
    <row r="161" customFormat="false" ht="34.5" hidden="false" customHeight="true" outlineLevel="0" collapsed="false">
      <c r="A161" s="8" t="str">
        <f aca="false">"T-"&amp;TEXT(ROW()-1,"000")</f>
        <v>T-160</v>
      </c>
      <c r="B161" s="8" t="s">
        <v>388</v>
      </c>
      <c r="C161" s="8" t="s">
        <v>53</v>
      </c>
      <c r="D161" s="8" t="n">
        <v>110</v>
      </c>
      <c r="E161" s="8" t="n">
        <v>27</v>
      </c>
      <c r="F161" s="8" t="s">
        <v>54</v>
      </c>
      <c r="G161" s="8" t="s">
        <v>358</v>
      </c>
      <c r="H161" s="8" t="s">
        <v>389</v>
      </c>
    </row>
    <row r="162" customFormat="false" ht="34.5" hidden="false" customHeight="true" outlineLevel="0" collapsed="false">
      <c r="A162" s="8" t="str">
        <f aca="false">"T-"&amp;TEXT(ROW()-1,"000")</f>
        <v>T-161</v>
      </c>
      <c r="B162" s="8" t="s">
        <v>390</v>
      </c>
      <c r="C162" s="8" t="s">
        <v>47</v>
      </c>
      <c r="D162" s="8" t="n">
        <v>401</v>
      </c>
      <c r="E162" s="8" t="n">
        <v>16</v>
      </c>
      <c r="F162" s="8" t="s">
        <v>59</v>
      </c>
      <c r="G162" s="8" t="s">
        <v>358</v>
      </c>
      <c r="H162" s="8" t="s">
        <v>391</v>
      </c>
    </row>
    <row r="163" customFormat="false" ht="34.5" hidden="false" customHeight="true" outlineLevel="0" collapsed="false">
      <c r="A163" s="8" t="str">
        <f aca="false">"T-"&amp;TEXT(ROW()-1,"000")</f>
        <v>T-162</v>
      </c>
      <c r="B163" s="8" t="s">
        <v>392</v>
      </c>
      <c r="C163" s="8" t="s">
        <v>75</v>
      </c>
      <c r="D163" s="8" t="n">
        <v>462</v>
      </c>
      <c r="E163" s="8" t="n">
        <v>29</v>
      </c>
      <c r="F163" s="8" t="s">
        <v>59</v>
      </c>
      <c r="G163" s="8" t="s">
        <v>358</v>
      </c>
      <c r="H163" s="8" t="s">
        <v>393</v>
      </c>
    </row>
    <row r="164" customFormat="false" ht="34.5" hidden="false" customHeight="true" outlineLevel="0" collapsed="false">
      <c r="A164" s="8" t="str">
        <f aca="false">"T-"&amp;TEXT(ROW()-1,"000")</f>
        <v>T-163</v>
      </c>
      <c r="B164" s="8" t="s">
        <v>394</v>
      </c>
      <c r="C164" s="8" t="s">
        <v>47</v>
      </c>
      <c r="D164" s="8" t="n">
        <v>184</v>
      </c>
      <c r="E164" s="8" t="n">
        <v>10</v>
      </c>
      <c r="F164" s="8" t="s">
        <v>48</v>
      </c>
      <c r="G164" s="8" t="s">
        <v>395</v>
      </c>
      <c r="H164" s="8" t="s">
        <v>396</v>
      </c>
    </row>
    <row r="165" customFormat="false" ht="34.5" hidden="false" customHeight="true" outlineLevel="0" collapsed="false">
      <c r="A165" s="8" t="str">
        <f aca="false">"T-"&amp;TEXT(ROW()-1,"000")</f>
        <v>T-164</v>
      </c>
      <c r="B165" s="8" t="s">
        <v>397</v>
      </c>
      <c r="C165" s="8" t="s">
        <v>75</v>
      </c>
      <c r="D165" s="8" t="n">
        <v>363</v>
      </c>
      <c r="E165" s="8" t="n">
        <v>16</v>
      </c>
      <c r="F165" s="8" t="s">
        <v>48</v>
      </c>
      <c r="G165" s="8" t="s">
        <v>395</v>
      </c>
      <c r="H165" s="8" t="s">
        <v>398</v>
      </c>
    </row>
    <row r="166" customFormat="false" ht="34.5" hidden="false" customHeight="true" outlineLevel="0" collapsed="false">
      <c r="A166" s="8" t="str">
        <f aca="false">"T-"&amp;TEXT(ROW()-1,"000")</f>
        <v>T-165</v>
      </c>
      <c r="B166" s="8" t="s">
        <v>399</v>
      </c>
      <c r="C166" s="8" t="s">
        <v>95</v>
      </c>
      <c r="D166" s="8" t="n">
        <v>209</v>
      </c>
      <c r="E166" s="8" t="n">
        <v>26</v>
      </c>
      <c r="F166" s="8" t="s">
        <v>59</v>
      </c>
      <c r="G166" s="8" t="s">
        <v>395</v>
      </c>
      <c r="H166" s="8" t="s">
        <v>400</v>
      </c>
    </row>
    <row r="167" customFormat="false" ht="34.5" hidden="false" customHeight="true" outlineLevel="0" collapsed="false">
      <c r="A167" s="8" t="str">
        <f aca="false">"T-"&amp;TEXT(ROW()-1,"000")</f>
        <v>T-166</v>
      </c>
      <c r="B167" s="8" t="s">
        <v>401</v>
      </c>
      <c r="C167" s="8" t="s">
        <v>95</v>
      </c>
      <c r="D167" s="8" t="n">
        <v>224</v>
      </c>
      <c r="E167" s="8" t="n">
        <v>24</v>
      </c>
      <c r="F167" s="8" t="s">
        <v>48</v>
      </c>
      <c r="G167" s="8" t="s">
        <v>395</v>
      </c>
      <c r="H167" s="8" t="s">
        <v>402</v>
      </c>
    </row>
    <row r="168" customFormat="false" ht="34.5" hidden="false" customHeight="true" outlineLevel="0" collapsed="false">
      <c r="A168" s="8" t="str">
        <f aca="false">"T-"&amp;TEXT(ROW()-1,"000")</f>
        <v>T-167</v>
      </c>
      <c r="B168" s="8" t="s">
        <v>403</v>
      </c>
      <c r="C168" s="8" t="s">
        <v>47</v>
      </c>
      <c r="D168" s="8" t="n">
        <v>148</v>
      </c>
      <c r="E168" s="8" t="n">
        <v>12</v>
      </c>
      <c r="F168" s="8" t="s">
        <v>54</v>
      </c>
      <c r="G168" s="8" t="s">
        <v>395</v>
      </c>
      <c r="H168" s="8" t="s">
        <v>404</v>
      </c>
    </row>
    <row r="169" customFormat="false" ht="34.5" hidden="false" customHeight="true" outlineLevel="0" collapsed="false">
      <c r="A169" s="8" t="str">
        <f aca="false">"T-"&amp;TEXT(ROW()-1,"000")</f>
        <v>T-168</v>
      </c>
      <c r="B169" s="8" t="s">
        <v>405</v>
      </c>
      <c r="C169" s="8" t="s">
        <v>95</v>
      </c>
      <c r="D169" s="8" t="n">
        <v>281</v>
      </c>
      <c r="E169" s="8" t="n">
        <v>22</v>
      </c>
      <c r="F169" s="8" t="s">
        <v>48</v>
      </c>
      <c r="G169" s="8" t="s">
        <v>395</v>
      </c>
      <c r="H169" s="8" t="s">
        <v>406</v>
      </c>
    </row>
    <row r="170" customFormat="false" ht="34.5" hidden="false" customHeight="true" outlineLevel="0" collapsed="false">
      <c r="A170" s="8" t="str">
        <f aca="false">"T-"&amp;TEXT(ROW()-1,"000")</f>
        <v>T-169</v>
      </c>
      <c r="B170" s="8" t="s">
        <v>407</v>
      </c>
      <c r="C170" s="8" t="s">
        <v>95</v>
      </c>
      <c r="D170" s="8" t="n">
        <v>473</v>
      </c>
      <c r="E170" s="8" t="n">
        <v>10</v>
      </c>
      <c r="F170" s="8" t="s">
        <v>54</v>
      </c>
      <c r="G170" s="8" t="s">
        <v>395</v>
      </c>
      <c r="H170" s="8" t="s">
        <v>408</v>
      </c>
    </row>
    <row r="171" customFormat="false" ht="34.5" hidden="false" customHeight="true" outlineLevel="0" collapsed="false">
      <c r="A171" s="8" t="str">
        <f aca="false">"T-"&amp;TEXT(ROW()-1,"000")</f>
        <v>T-170</v>
      </c>
      <c r="B171" s="8" t="s">
        <v>409</v>
      </c>
      <c r="C171" s="8" t="s">
        <v>75</v>
      </c>
      <c r="D171" s="8" t="n">
        <v>131</v>
      </c>
      <c r="E171" s="8" t="n">
        <v>21</v>
      </c>
      <c r="F171" s="8" t="s">
        <v>54</v>
      </c>
      <c r="G171" s="8" t="s">
        <v>395</v>
      </c>
      <c r="H171" s="8" t="s">
        <v>410</v>
      </c>
    </row>
    <row r="172" customFormat="false" ht="34.5" hidden="false" customHeight="true" outlineLevel="0" collapsed="false">
      <c r="A172" s="8" t="str">
        <f aca="false">"T-"&amp;TEXT(ROW()-1,"000")</f>
        <v>T-171</v>
      </c>
      <c r="B172" s="8" t="s">
        <v>411</v>
      </c>
      <c r="C172" s="8" t="s">
        <v>53</v>
      </c>
      <c r="D172" s="8" t="n">
        <v>155</v>
      </c>
      <c r="E172" s="8" t="n">
        <v>16</v>
      </c>
      <c r="F172" s="8" t="s">
        <v>59</v>
      </c>
      <c r="G172" s="8" t="s">
        <v>395</v>
      </c>
      <c r="H172" s="8" t="s">
        <v>412</v>
      </c>
    </row>
    <row r="173" customFormat="false" ht="34.5" hidden="false" customHeight="true" outlineLevel="0" collapsed="false">
      <c r="A173" s="8" t="str">
        <f aca="false">"T-"&amp;TEXT(ROW()-1,"000")</f>
        <v>T-172</v>
      </c>
      <c r="B173" s="8" t="s">
        <v>413</v>
      </c>
      <c r="C173" s="8" t="s">
        <v>47</v>
      </c>
      <c r="D173" s="8" t="n">
        <v>374</v>
      </c>
      <c r="E173" s="8" t="n">
        <v>23</v>
      </c>
      <c r="F173" s="8" t="s">
        <v>59</v>
      </c>
      <c r="G173" s="8" t="s">
        <v>395</v>
      </c>
      <c r="H173" s="8" t="s">
        <v>414</v>
      </c>
    </row>
    <row r="174" customFormat="false" ht="34.5" hidden="false" customHeight="true" outlineLevel="0" collapsed="false">
      <c r="A174" s="8" t="str">
        <f aca="false">"T-"&amp;TEXT(ROW()-1,"000")</f>
        <v>T-173</v>
      </c>
      <c r="B174" s="8" t="s">
        <v>415</v>
      </c>
      <c r="C174" s="8" t="s">
        <v>95</v>
      </c>
      <c r="D174" s="8" t="n">
        <v>193</v>
      </c>
      <c r="E174" s="8" t="n">
        <v>17</v>
      </c>
      <c r="F174" s="8" t="s">
        <v>48</v>
      </c>
      <c r="G174" s="8" t="s">
        <v>395</v>
      </c>
      <c r="H174" s="8" t="s">
        <v>416</v>
      </c>
    </row>
    <row r="175" customFormat="false" ht="34.5" hidden="false" customHeight="true" outlineLevel="0" collapsed="false">
      <c r="A175" s="8" t="str">
        <f aca="false">"T-"&amp;TEXT(ROW()-1,"000")</f>
        <v>T-174</v>
      </c>
      <c r="B175" s="8" t="s">
        <v>417</v>
      </c>
      <c r="C175" s="8" t="s">
        <v>47</v>
      </c>
      <c r="D175" s="8" t="n">
        <v>138</v>
      </c>
      <c r="E175" s="8" t="n">
        <v>23</v>
      </c>
      <c r="F175" s="8" t="s">
        <v>54</v>
      </c>
      <c r="G175" s="8" t="s">
        <v>395</v>
      </c>
      <c r="H175" s="8" t="s">
        <v>418</v>
      </c>
    </row>
    <row r="176" customFormat="false" ht="34.5" hidden="false" customHeight="true" outlineLevel="0" collapsed="false">
      <c r="A176" s="8" t="str">
        <f aca="false">"T-"&amp;TEXT(ROW()-1,"000")</f>
        <v>T-175</v>
      </c>
      <c r="B176" s="8" t="s">
        <v>419</v>
      </c>
      <c r="C176" s="8" t="s">
        <v>75</v>
      </c>
      <c r="D176" s="8" t="n">
        <v>125</v>
      </c>
      <c r="E176" s="8" t="n">
        <v>29</v>
      </c>
      <c r="F176" s="8" t="s">
        <v>54</v>
      </c>
      <c r="G176" s="8" t="s">
        <v>395</v>
      </c>
      <c r="H176" s="8" t="s">
        <v>420</v>
      </c>
    </row>
    <row r="177" customFormat="false" ht="34.5" hidden="false" customHeight="true" outlineLevel="0" collapsed="false">
      <c r="A177" s="8" t="str">
        <f aca="false">"T-"&amp;TEXT(ROW()-1,"000")</f>
        <v>T-176</v>
      </c>
      <c r="B177" s="8" t="s">
        <v>421</v>
      </c>
      <c r="C177" s="8" t="s">
        <v>75</v>
      </c>
      <c r="D177" s="8" t="n">
        <v>147</v>
      </c>
      <c r="E177" s="8" t="n">
        <v>16</v>
      </c>
      <c r="F177" s="8" t="s">
        <v>59</v>
      </c>
      <c r="G177" s="8" t="s">
        <v>395</v>
      </c>
      <c r="H177" s="8" t="s">
        <v>422</v>
      </c>
    </row>
    <row r="178" customFormat="false" ht="34.5" hidden="false" customHeight="true" outlineLevel="0" collapsed="false">
      <c r="A178" s="8" t="str">
        <f aca="false">"T-"&amp;TEXT(ROW()-1,"000")</f>
        <v>T-177</v>
      </c>
      <c r="B178" s="8" t="s">
        <v>423</v>
      </c>
      <c r="C178" s="8" t="s">
        <v>95</v>
      </c>
      <c r="D178" s="8" t="n">
        <v>348</v>
      </c>
      <c r="E178" s="8" t="n">
        <v>24</v>
      </c>
      <c r="F178" s="8" t="s">
        <v>59</v>
      </c>
      <c r="G178" s="8" t="s">
        <v>395</v>
      </c>
      <c r="H178" s="8" t="s">
        <v>424</v>
      </c>
    </row>
    <row r="179" customFormat="false" ht="34.5" hidden="false" customHeight="true" outlineLevel="0" collapsed="false">
      <c r="A179" s="8" t="str">
        <f aca="false">"T-"&amp;TEXT(ROW()-1,"000")</f>
        <v>T-178</v>
      </c>
      <c r="B179" s="8" t="s">
        <v>425</v>
      </c>
      <c r="C179" s="8" t="s">
        <v>95</v>
      </c>
      <c r="D179" s="8" t="n">
        <v>130</v>
      </c>
      <c r="E179" s="8" t="n">
        <v>14</v>
      </c>
      <c r="F179" s="8" t="s">
        <v>48</v>
      </c>
      <c r="G179" s="8" t="s">
        <v>395</v>
      </c>
      <c r="H179" s="8" t="s">
        <v>426</v>
      </c>
    </row>
    <row r="180" customFormat="false" ht="34.5" hidden="false" customHeight="true" outlineLevel="0" collapsed="false">
      <c r="A180" s="8" t="str">
        <f aca="false">"T-"&amp;TEXT(ROW()-1,"000")</f>
        <v>T-179</v>
      </c>
      <c r="B180" s="8" t="s">
        <v>427</v>
      </c>
      <c r="C180" s="8" t="s">
        <v>75</v>
      </c>
      <c r="D180" s="8" t="n">
        <v>299</v>
      </c>
      <c r="E180" s="8" t="n">
        <v>17</v>
      </c>
      <c r="F180" s="8" t="s">
        <v>48</v>
      </c>
      <c r="G180" s="8" t="s">
        <v>395</v>
      </c>
      <c r="H180" s="8" t="s">
        <v>428</v>
      </c>
    </row>
    <row r="181" customFormat="false" ht="34.5" hidden="false" customHeight="true" outlineLevel="0" collapsed="false">
      <c r="A181" s="8" t="str">
        <f aca="false">"T-"&amp;TEXT(ROW()-1,"000")</f>
        <v>T-180</v>
      </c>
      <c r="B181" s="8" t="s">
        <v>429</v>
      </c>
      <c r="C181" s="8" t="s">
        <v>53</v>
      </c>
      <c r="D181" s="8" t="n">
        <v>316</v>
      </c>
      <c r="E181" s="8" t="n">
        <v>26</v>
      </c>
      <c r="F181" s="8" t="s">
        <v>54</v>
      </c>
      <c r="G181" s="8" t="s">
        <v>395</v>
      </c>
      <c r="H181" s="8" t="s">
        <v>430</v>
      </c>
    </row>
    <row r="182" customFormat="false" ht="23.25" hidden="false" customHeight="true" outlineLevel="0" collapsed="false">
      <c r="A182" s="8" t="str">
        <f aca="false">"T-"&amp;TEXT(ROW()-1,"000")</f>
        <v>T-181</v>
      </c>
      <c r="B182" s="8" t="s">
        <v>431</v>
      </c>
      <c r="C182" s="8" t="s">
        <v>95</v>
      </c>
      <c r="D182" s="8" t="n">
        <v>229</v>
      </c>
      <c r="E182" s="8" t="n">
        <v>15</v>
      </c>
      <c r="F182" s="8" t="s">
        <v>48</v>
      </c>
      <c r="G182" s="8" t="s">
        <v>432</v>
      </c>
      <c r="H182" s="8" t="s">
        <v>433</v>
      </c>
    </row>
    <row r="183" customFormat="false" ht="34.5" hidden="false" customHeight="true" outlineLevel="0" collapsed="false">
      <c r="A183" s="8" t="str">
        <f aca="false">"T-"&amp;TEXT(ROW()-1,"000")</f>
        <v>T-182</v>
      </c>
      <c r="B183" s="8" t="s">
        <v>434</v>
      </c>
      <c r="C183" s="8" t="s">
        <v>47</v>
      </c>
      <c r="D183" s="8" t="n">
        <v>129</v>
      </c>
      <c r="E183" s="8" t="n">
        <v>27</v>
      </c>
      <c r="F183" s="8" t="s">
        <v>54</v>
      </c>
      <c r="G183" s="8" t="s">
        <v>432</v>
      </c>
      <c r="H183" s="8" t="s">
        <v>435</v>
      </c>
    </row>
    <row r="184" customFormat="false" ht="34.5" hidden="false" customHeight="true" outlineLevel="0" collapsed="false">
      <c r="A184" s="8" t="str">
        <f aca="false">"T-"&amp;TEXT(ROW()-1,"000")</f>
        <v>T-183</v>
      </c>
      <c r="B184" s="8" t="s">
        <v>436</v>
      </c>
      <c r="C184" s="8" t="s">
        <v>75</v>
      </c>
      <c r="D184" s="8" t="n">
        <v>482</v>
      </c>
      <c r="E184" s="8" t="n">
        <v>19</v>
      </c>
      <c r="F184" s="8" t="s">
        <v>59</v>
      </c>
      <c r="G184" s="8" t="s">
        <v>432</v>
      </c>
      <c r="H184" s="8" t="s">
        <v>437</v>
      </c>
    </row>
    <row r="185" customFormat="false" ht="34.5" hidden="false" customHeight="true" outlineLevel="0" collapsed="false">
      <c r="A185" s="8" t="str">
        <f aca="false">"T-"&amp;TEXT(ROW()-1,"000")</f>
        <v>T-184</v>
      </c>
      <c r="B185" s="8" t="s">
        <v>438</v>
      </c>
      <c r="C185" s="8" t="s">
        <v>75</v>
      </c>
      <c r="D185" s="8" t="n">
        <v>399</v>
      </c>
      <c r="E185" s="8" t="n">
        <v>24</v>
      </c>
      <c r="F185" s="8" t="s">
        <v>54</v>
      </c>
      <c r="G185" s="8" t="s">
        <v>432</v>
      </c>
      <c r="H185" s="8" t="s">
        <v>439</v>
      </c>
    </row>
    <row r="186" customFormat="false" ht="34.5" hidden="false" customHeight="true" outlineLevel="0" collapsed="false">
      <c r="A186" s="8" t="str">
        <f aca="false">"T-"&amp;TEXT(ROW()-1,"000")</f>
        <v>T-185</v>
      </c>
      <c r="B186" s="8" t="s">
        <v>440</v>
      </c>
      <c r="C186" s="8" t="s">
        <v>47</v>
      </c>
      <c r="D186" s="8" t="n">
        <v>129</v>
      </c>
      <c r="E186" s="8" t="n">
        <v>25</v>
      </c>
      <c r="F186" s="8" t="s">
        <v>59</v>
      </c>
      <c r="G186" s="8" t="s">
        <v>432</v>
      </c>
      <c r="H186" s="8" t="s">
        <v>441</v>
      </c>
    </row>
    <row r="187" customFormat="false" ht="34.5" hidden="false" customHeight="true" outlineLevel="0" collapsed="false">
      <c r="A187" s="8" t="str">
        <f aca="false">"T-"&amp;TEXT(ROW()-1,"000")</f>
        <v>T-186</v>
      </c>
      <c r="B187" s="8" t="s">
        <v>442</v>
      </c>
      <c r="C187" s="8" t="s">
        <v>47</v>
      </c>
      <c r="D187" s="8" t="n">
        <v>135</v>
      </c>
      <c r="E187" s="8" t="n">
        <v>28</v>
      </c>
      <c r="F187" s="8" t="s">
        <v>59</v>
      </c>
      <c r="G187" s="8" t="s">
        <v>432</v>
      </c>
      <c r="H187" s="8" t="s">
        <v>443</v>
      </c>
    </row>
    <row r="188" customFormat="false" ht="34.5" hidden="false" customHeight="true" outlineLevel="0" collapsed="false">
      <c r="A188" s="8" t="str">
        <f aca="false">"T-"&amp;TEXT(ROW()-1,"000")</f>
        <v>T-187</v>
      </c>
      <c r="B188" s="8" t="s">
        <v>444</v>
      </c>
      <c r="C188" s="8" t="s">
        <v>47</v>
      </c>
      <c r="D188" s="8" t="n">
        <v>306</v>
      </c>
      <c r="E188" s="8" t="n">
        <v>12</v>
      </c>
      <c r="F188" s="8" t="s">
        <v>54</v>
      </c>
      <c r="G188" s="8" t="s">
        <v>432</v>
      </c>
      <c r="H188" s="8" t="s">
        <v>445</v>
      </c>
    </row>
    <row r="189" customFormat="false" ht="34.5" hidden="false" customHeight="true" outlineLevel="0" collapsed="false">
      <c r="A189" s="8" t="str">
        <f aca="false">"T-"&amp;TEXT(ROW()-1,"000")</f>
        <v>T-188</v>
      </c>
      <c r="B189" s="8" t="s">
        <v>446</v>
      </c>
      <c r="C189" s="8" t="s">
        <v>47</v>
      </c>
      <c r="D189" s="8" t="n">
        <v>396</v>
      </c>
      <c r="E189" s="8" t="n">
        <v>28</v>
      </c>
      <c r="F189" s="8" t="s">
        <v>59</v>
      </c>
      <c r="G189" s="8" t="s">
        <v>432</v>
      </c>
      <c r="H189" s="8" t="s">
        <v>447</v>
      </c>
    </row>
    <row r="190" customFormat="false" ht="34.5" hidden="false" customHeight="true" outlineLevel="0" collapsed="false">
      <c r="A190" s="8" t="str">
        <f aca="false">"T-"&amp;TEXT(ROW()-1,"000")</f>
        <v>T-189</v>
      </c>
      <c r="B190" s="8" t="s">
        <v>448</v>
      </c>
      <c r="C190" s="8" t="s">
        <v>75</v>
      </c>
      <c r="D190" s="8" t="n">
        <v>314</v>
      </c>
      <c r="E190" s="8" t="n">
        <v>30</v>
      </c>
      <c r="F190" s="8" t="s">
        <v>54</v>
      </c>
      <c r="G190" s="8" t="s">
        <v>432</v>
      </c>
      <c r="H190" s="8" t="s">
        <v>449</v>
      </c>
    </row>
    <row r="191" customFormat="false" ht="34.5" hidden="false" customHeight="true" outlineLevel="0" collapsed="false">
      <c r="A191" s="8" t="str">
        <f aca="false">"T-"&amp;TEXT(ROW()-1,"000")</f>
        <v>T-190</v>
      </c>
      <c r="B191" s="8" t="s">
        <v>450</v>
      </c>
      <c r="C191" s="8" t="s">
        <v>53</v>
      </c>
      <c r="D191" s="8" t="n">
        <v>233</v>
      </c>
      <c r="E191" s="8" t="n">
        <v>15</v>
      </c>
      <c r="F191" s="8" t="s">
        <v>54</v>
      </c>
      <c r="G191" s="8" t="s">
        <v>432</v>
      </c>
      <c r="H191" s="8" t="s">
        <v>451</v>
      </c>
    </row>
    <row r="192" customFormat="false" ht="34.5" hidden="false" customHeight="true" outlineLevel="0" collapsed="false">
      <c r="A192" s="8" t="str">
        <f aca="false">"T-"&amp;TEXT(ROW()-1,"000")</f>
        <v>T-191</v>
      </c>
      <c r="B192" s="8" t="s">
        <v>452</v>
      </c>
      <c r="C192" s="8" t="s">
        <v>53</v>
      </c>
      <c r="D192" s="8" t="n">
        <v>222</v>
      </c>
      <c r="E192" s="8" t="n">
        <v>17</v>
      </c>
      <c r="F192" s="8" t="s">
        <v>48</v>
      </c>
      <c r="G192" s="8" t="s">
        <v>432</v>
      </c>
      <c r="H192" s="8" t="s">
        <v>453</v>
      </c>
    </row>
    <row r="193" customFormat="false" ht="34.5" hidden="false" customHeight="true" outlineLevel="0" collapsed="false">
      <c r="A193" s="8" t="str">
        <f aca="false">"T-"&amp;TEXT(ROW()-1,"000")</f>
        <v>T-192</v>
      </c>
      <c r="B193" s="8" t="s">
        <v>454</v>
      </c>
      <c r="C193" s="8" t="s">
        <v>47</v>
      </c>
      <c r="D193" s="8" t="n">
        <v>443</v>
      </c>
      <c r="E193" s="8" t="n">
        <v>29</v>
      </c>
      <c r="F193" s="8" t="s">
        <v>48</v>
      </c>
      <c r="G193" s="8" t="s">
        <v>432</v>
      </c>
      <c r="H193" s="8" t="s">
        <v>455</v>
      </c>
    </row>
    <row r="194" customFormat="false" ht="34.5" hidden="false" customHeight="true" outlineLevel="0" collapsed="false">
      <c r="A194" s="8" t="str">
        <f aca="false">"T-"&amp;TEXT(ROW()-1,"000")</f>
        <v>T-193</v>
      </c>
      <c r="B194" s="8" t="s">
        <v>456</v>
      </c>
      <c r="C194" s="8" t="s">
        <v>95</v>
      </c>
      <c r="D194" s="8" t="n">
        <v>261</v>
      </c>
      <c r="E194" s="8" t="n">
        <v>11</v>
      </c>
      <c r="F194" s="8" t="s">
        <v>59</v>
      </c>
      <c r="G194" s="8" t="s">
        <v>432</v>
      </c>
      <c r="H194" s="8" t="s">
        <v>457</v>
      </c>
    </row>
    <row r="195" customFormat="false" ht="34.5" hidden="false" customHeight="true" outlineLevel="0" collapsed="false">
      <c r="A195" s="8" t="str">
        <f aca="false">"T-"&amp;TEXT(ROW()-1,"000")</f>
        <v>T-194</v>
      </c>
      <c r="B195" s="8" t="s">
        <v>458</v>
      </c>
      <c r="C195" s="8" t="s">
        <v>95</v>
      </c>
      <c r="D195" s="8" t="n">
        <v>418</v>
      </c>
      <c r="E195" s="8" t="n">
        <v>27</v>
      </c>
      <c r="F195" s="8" t="s">
        <v>59</v>
      </c>
      <c r="G195" s="8" t="s">
        <v>432</v>
      </c>
      <c r="H195" s="8" t="s">
        <v>459</v>
      </c>
    </row>
    <row r="196" customFormat="false" ht="34.5" hidden="false" customHeight="true" outlineLevel="0" collapsed="false">
      <c r="A196" s="8" t="str">
        <f aca="false">"T-"&amp;TEXT(ROW()-1,"000")</f>
        <v>T-195</v>
      </c>
      <c r="B196" s="8" t="s">
        <v>460</v>
      </c>
      <c r="C196" s="8" t="s">
        <v>75</v>
      </c>
      <c r="D196" s="8" t="n">
        <v>375</v>
      </c>
      <c r="E196" s="8" t="n">
        <v>15</v>
      </c>
      <c r="F196" s="8" t="s">
        <v>54</v>
      </c>
      <c r="G196" s="8" t="s">
        <v>432</v>
      </c>
      <c r="H196" s="8" t="s">
        <v>461</v>
      </c>
    </row>
    <row r="197" customFormat="false" ht="34.5" hidden="false" customHeight="true" outlineLevel="0" collapsed="false">
      <c r="A197" s="8" t="str">
        <f aca="false">"T-"&amp;TEXT(ROW()-1,"000")</f>
        <v>T-196</v>
      </c>
      <c r="B197" s="8" t="s">
        <v>462</v>
      </c>
      <c r="C197" s="8" t="s">
        <v>53</v>
      </c>
      <c r="D197" s="8" t="n">
        <v>167</v>
      </c>
      <c r="E197" s="8" t="n">
        <v>20</v>
      </c>
      <c r="F197" s="8" t="s">
        <v>59</v>
      </c>
      <c r="G197" s="8" t="s">
        <v>432</v>
      </c>
      <c r="H197" s="8" t="s">
        <v>463</v>
      </c>
    </row>
    <row r="198" customFormat="false" ht="34.5" hidden="false" customHeight="true" outlineLevel="0" collapsed="false">
      <c r="A198" s="8" t="str">
        <f aca="false">"T-"&amp;TEXT(ROW()-1,"000")</f>
        <v>T-197</v>
      </c>
      <c r="B198" s="8" t="s">
        <v>464</v>
      </c>
      <c r="C198" s="8" t="s">
        <v>47</v>
      </c>
      <c r="D198" s="8" t="n">
        <v>289</v>
      </c>
      <c r="E198" s="8" t="n">
        <v>18</v>
      </c>
      <c r="F198" s="8" t="s">
        <v>59</v>
      </c>
      <c r="G198" s="8" t="s">
        <v>432</v>
      </c>
      <c r="H198" s="8" t="s">
        <v>465</v>
      </c>
    </row>
    <row r="199" customFormat="false" ht="34.5" hidden="false" customHeight="true" outlineLevel="0" collapsed="false">
      <c r="A199" s="8" t="str">
        <f aca="false">"T-"&amp;TEXT(ROW()-1,"000")</f>
        <v>T-198</v>
      </c>
      <c r="B199" s="8" t="s">
        <v>466</v>
      </c>
      <c r="C199" s="8" t="s">
        <v>95</v>
      </c>
      <c r="D199" s="8" t="n">
        <v>378</v>
      </c>
      <c r="E199" s="8" t="n">
        <v>18</v>
      </c>
      <c r="F199" s="8" t="s">
        <v>54</v>
      </c>
      <c r="G199" s="8" t="s">
        <v>432</v>
      </c>
      <c r="H199" s="8" t="s">
        <v>467</v>
      </c>
    </row>
    <row r="200" customFormat="false" ht="23.25" hidden="false" customHeight="true" outlineLevel="0" collapsed="false">
      <c r="A200" s="8" t="str">
        <f aca="false">"T-"&amp;TEXT(ROW()-1,"000")</f>
        <v>T-199</v>
      </c>
      <c r="B200" s="8" t="s">
        <v>468</v>
      </c>
      <c r="C200" s="8" t="s">
        <v>75</v>
      </c>
      <c r="D200" s="8" t="n">
        <v>491</v>
      </c>
      <c r="E200" s="8" t="n">
        <v>26</v>
      </c>
      <c r="F200" s="8" t="s">
        <v>48</v>
      </c>
      <c r="G200" s="8" t="s">
        <v>469</v>
      </c>
      <c r="H200" s="8" t="s">
        <v>470</v>
      </c>
    </row>
    <row r="201" customFormat="false" ht="23.25" hidden="false" customHeight="true" outlineLevel="0" collapsed="false">
      <c r="A201" s="8" t="str">
        <f aca="false">"T-"&amp;TEXT(ROW()-1,"000")</f>
        <v>T-200</v>
      </c>
      <c r="B201" s="8" t="s">
        <v>471</v>
      </c>
      <c r="C201" s="8" t="s">
        <v>75</v>
      </c>
      <c r="D201" s="8" t="n">
        <v>168</v>
      </c>
      <c r="E201" s="8" t="n">
        <v>17</v>
      </c>
      <c r="F201" s="8" t="s">
        <v>59</v>
      </c>
      <c r="G201" s="8" t="s">
        <v>469</v>
      </c>
      <c r="H201" s="8" t="s">
        <v>472</v>
      </c>
    </row>
    <row r="202" customFormat="false" ht="23.25" hidden="false" customHeight="true" outlineLevel="0" collapsed="false">
      <c r="A202" s="8" t="str">
        <f aca="false">"T-"&amp;TEXT(ROW()-1,"000")</f>
        <v>T-201</v>
      </c>
      <c r="B202" s="8" t="s">
        <v>473</v>
      </c>
      <c r="C202" s="8" t="s">
        <v>75</v>
      </c>
      <c r="D202" s="8" t="n">
        <v>480</v>
      </c>
      <c r="E202" s="8" t="n">
        <v>26</v>
      </c>
      <c r="F202" s="8" t="s">
        <v>59</v>
      </c>
      <c r="G202" s="8" t="s">
        <v>469</v>
      </c>
      <c r="H202" s="8" t="s">
        <v>474</v>
      </c>
    </row>
    <row r="203" customFormat="false" ht="23.25" hidden="false" customHeight="true" outlineLevel="0" collapsed="false">
      <c r="A203" s="8" t="str">
        <f aca="false">"T-"&amp;TEXT(ROW()-1,"000")</f>
        <v>T-202</v>
      </c>
      <c r="B203" s="8" t="s">
        <v>475</v>
      </c>
      <c r="C203" s="8" t="s">
        <v>53</v>
      </c>
      <c r="D203" s="8" t="n">
        <v>244</v>
      </c>
      <c r="E203" s="8" t="n">
        <v>28</v>
      </c>
      <c r="F203" s="8" t="s">
        <v>59</v>
      </c>
      <c r="G203" s="8" t="s">
        <v>469</v>
      </c>
      <c r="H203" s="8" t="s">
        <v>476</v>
      </c>
    </row>
    <row r="204" customFormat="false" ht="34.5" hidden="false" customHeight="true" outlineLevel="0" collapsed="false">
      <c r="A204" s="8" t="str">
        <f aca="false">"T-"&amp;TEXT(ROW()-1,"000")</f>
        <v>T-203</v>
      </c>
      <c r="B204" s="8" t="s">
        <v>477</v>
      </c>
      <c r="C204" s="8" t="s">
        <v>53</v>
      </c>
      <c r="D204" s="8" t="n">
        <v>204</v>
      </c>
      <c r="E204" s="8" t="n">
        <v>30</v>
      </c>
      <c r="F204" s="8" t="s">
        <v>54</v>
      </c>
      <c r="G204" s="8" t="s">
        <v>469</v>
      </c>
      <c r="H204" s="8" t="s">
        <v>478</v>
      </c>
    </row>
    <row r="205" customFormat="false" ht="23.25" hidden="false" customHeight="true" outlineLevel="0" collapsed="false">
      <c r="A205" s="8" t="str">
        <f aca="false">"T-"&amp;TEXT(ROW()-1,"000")</f>
        <v>T-204</v>
      </c>
      <c r="B205" s="8" t="s">
        <v>479</v>
      </c>
      <c r="C205" s="8" t="s">
        <v>53</v>
      </c>
      <c r="D205" s="8" t="n">
        <v>358</v>
      </c>
      <c r="E205" s="8" t="n">
        <v>24</v>
      </c>
      <c r="F205" s="8" t="s">
        <v>48</v>
      </c>
      <c r="G205" s="8" t="s">
        <v>469</v>
      </c>
      <c r="H205" s="8" t="s">
        <v>480</v>
      </c>
    </row>
    <row r="206" customFormat="false" ht="23.25" hidden="false" customHeight="true" outlineLevel="0" collapsed="false">
      <c r="A206" s="8" t="str">
        <f aca="false">"T-"&amp;TEXT(ROW()-1,"000")</f>
        <v>T-205</v>
      </c>
      <c r="B206" s="8" t="s">
        <v>481</v>
      </c>
      <c r="C206" s="8" t="s">
        <v>75</v>
      </c>
      <c r="D206" s="8" t="n">
        <v>147</v>
      </c>
      <c r="E206" s="8" t="n">
        <v>29</v>
      </c>
      <c r="F206" s="8" t="s">
        <v>48</v>
      </c>
      <c r="G206" s="8" t="s">
        <v>469</v>
      </c>
      <c r="H206" s="8" t="s">
        <v>482</v>
      </c>
    </row>
    <row r="207" customFormat="false" ht="23.25" hidden="false" customHeight="true" outlineLevel="0" collapsed="false">
      <c r="A207" s="8" t="str">
        <f aca="false">"T-"&amp;TEXT(ROW()-1,"000")</f>
        <v>T-206</v>
      </c>
      <c r="B207" s="8" t="s">
        <v>483</v>
      </c>
      <c r="C207" s="8" t="s">
        <v>53</v>
      </c>
      <c r="D207" s="8" t="n">
        <v>122</v>
      </c>
      <c r="E207" s="8" t="n">
        <v>9</v>
      </c>
      <c r="F207" s="8" t="s">
        <v>48</v>
      </c>
      <c r="G207" s="8" t="s">
        <v>469</v>
      </c>
      <c r="H207" s="8" t="s">
        <v>484</v>
      </c>
    </row>
    <row r="208" customFormat="false" ht="23.25" hidden="false" customHeight="true" outlineLevel="0" collapsed="false">
      <c r="A208" s="8" t="str">
        <f aca="false">"T-"&amp;TEXT(ROW()-1,"000")</f>
        <v>T-207</v>
      </c>
      <c r="B208" s="8" t="s">
        <v>485</v>
      </c>
      <c r="C208" s="8" t="s">
        <v>47</v>
      </c>
      <c r="D208" s="8" t="n">
        <v>426</v>
      </c>
      <c r="E208" s="8" t="n">
        <v>17</v>
      </c>
      <c r="F208" s="8" t="s">
        <v>59</v>
      </c>
      <c r="G208" s="8" t="s">
        <v>469</v>
      </c>
      <c r="H208" s="8" t="s">
        <v>486</v>
      </c>
    </row>
    <row r="209" customFormat="false" ht="34.5" hidden="false" customHeight="true" outlineLevel="0" collapsed="false">
      <c r="A209" s="8" t="str">
        <f aca="false">"T-"&amp;TEXT(ROW()-1,"000")</f>
        <v>T-208</v>
      </c>
      <c r="B209" s="8" t="s">
        <v>487</v>
      </c>
      <c r="C209" s="8" t="s">
        <v>95</v>
      </c>
      <c r="D209" s="8" t="n">
        <v>382</v>
      </c>
      <c r="E209" s="8" t="n">
        <v>22</v>
      </c>
      <c r="F209" s="8" t="s">
        <v>54</v>
      </c>
      <c r="G209" s="8" t="s">
        <v>469</v>
      </c>
      <c r="H209" s="8" t="s">
        <v>488</v>
      </c>
    </row>
    <row r="210" customFormat="false" ht="23.25" hidden="false" customHeight="true" outlineLevel="0" collapsed="false">
      <c r="A210" s="8" t="str">
        <f aca="false">"T-"&amp;TEXT(ROW()-1,"000")</f>
        <v>T-209</v>
      </c>
      <c r="B210" s="8" t="s">
        <v>489</v>
      </c>
      <c r="C210" s="8" t="s">
        <v>75</v>
      </c>
      <c r="D210" s="8" t="n">
        <v>157</v>
      </c>
      <c r="E210" s="8" t="n">
        <v>11</v>
      </c>
      <c r="F210" s="8" t="s">
        <v>54</v>
      </c>
      <c r="G210" s="8" t="s">
        <v>469</v>
      </c>
      <c r="H210" s="8" t="s">
        <v>490</v>
      </c>
    </row>
    <row r="211" customFormat="false" ht="23.25" hidden="false" customHeight="true" outlineLevel="0" collapsed="false">
      <c r="A211" s="8" t="str">
        <f aca="false">"T-"&amp;TEXT(ROW()-1,"000")</f>
        <v>T-210</v>
      </c>
      <c r="B211" s="8" t="s">
        <v>491</v>
      </c>
      <c r="C211" s="8" t="s">
        <v>47</v>
      </c>
      <c r="D211" s="8" t="n">
        <v>379</v>
      </c>
      <c r="E211" s="8" t="n">
        <v>10</v>
      </c>
      <c r="F211" s="8" t="s">
        <v>48</v>
      </c>
      <c r="G211" s="8" t="s">
        <v>469</v>
      </c>
      <c r="H211" s="8" t="s">
        <v>492</v>
      </c>
    </row>
    <row r="212" customFormat="false" ht="23.25" hidden="false" customHeight="true" outlineLevel="0" collapsed="false">
      <c r="A212" s="8" t="str">
        <f aca="false">"T-"&amp;TEXT(ROW()-1,"000")</f>
        <v>T-211</v>
      </c>
      <c r="B212" s="8" t="s">
        <v>493</v>
      </c>
      <c r="C212" s="8" t="s">
        <v>47</v>
      </c>
      <c r="D212" s="8" t="n">
        <v>320</v>
      </c>
      <c r="E212" s="8" t="n">
        <v>13</v>
      </c>
      <c r="F212" s="8" t="s">
        <v>59</v>
      </c>
      <c r="G212" s="8" t="s">
        <v>469</v>
      </c>
      <c r="H212" s="8" t="s">
        <v>494</v>
      </c>
    </row>
    <row r="213" customFormat="false" ht="23.25" hidden="false" customHeight="true" outlineLevel="0" collapsed="false">
      <c r="A213" s="8" t="str">
        <f aca="false">"T-"&amp;TEXT(ROW()-1,"000")</f>
        <v>T-212</v>
      </c>
      <c r="B213" s="8" t="s">
        <v>495</v>
      </c>
      <c r="C213" s="8" t="s">
        <v>53</v>
      </c>
      <c r="D213" s="8" t="n">
        <v>286</v>
      </c>
      <c r="E213" s="8" t="n">
        <v>10</v>
      </c>
      <c r="F213" s="8" t="s">
        <v>48</v>
      </c>
      <c r="G213" s="8" t="s">
        <v>469</v>
      </c>
      <c r="H213" s="8" t="s">
        <v>496</v>
      </c>
    </row>
    <row r="214" customFormat="false" ht="23.25" hidden="false" customHeight="true" outlineLevel="0" collapsed="false">
      <c r="A214" s="8" t="str">
        <f aca="false">"T-"&amp;TEXT(ROW()-1,"000")</f>
        <v>T-213</v>
      </c>
      <c r="B214" s="8" t="s">
        <v>497</v>
      </c>
      <c r="C214" s="8" t="s">
        <v>47</v>
      </c>
      <c r="D214" s="8" t="n">
        <v>449</v>
      </c>
      <c r="E214" s="8" t="n">
        <v>16</v>
      </c>
      <c r="F214" s="8" t="s">
        <v>54</v>
      </c>
      <c r="G214" s="8" t="s">
        <v>469</v>
      </c>
      <c r="H214" s="8" t="s">
        <v>498</v>
      </c>
    </row>
    <row r="215" customFormat="false" ht="34.5" hidden="false" customHeight="true" outlineLevel="0" collapsed="false">
      <c r="A215" s="8" t="str">
        <f aca="false">"T-"&amp;TEXT(ROW()-1,"000")</f>
        <v>T-214</v>
      </c>
      <c r="B215" s="8" t="s">
        <v>499</v>
      </c>
      <c r="C215" s="8" t="s">
        <v>75</v>
      </c>
      <c r="D215" s="8" t="n">
        <v>281</v>
      </c>
      <c r="E215" s="8" t="n">
        <v>26</v>
      </c>
      <c r="F215" s="8" t="s">
        <v>48</v>
      </c>
      <c r="G215" s="8" t="s">
        <v>469</v>
      </c>
      <c r="H215" s="8" t="s">
        <v>500</v>
      </c>
    </row>
    <row r="216" customFormat="false" ht="23.25" hidden="false" customHeight="true" outlineLevel="0" collapsed="false">
      <c r="A216" s="8" t="str">
        <f aca="false">"T-"&amp;TEXT(ROW()-1,"000")</f>
        <v>T-215</v>
      </c>
      <c r="B216" s="8" t="s">
        <v>501</v>
      </c>
      <c r="C216" s="8" t="s">
        <v>47</v>
      </c>
      <c r="D216" s="8" t="n">
        <v>221</v>
      </c>
      <c r="E216" s="8" t="n">
        <v>14</v>
      </c>
      <c r="F216" s="8" t="s">
        <v>59</v>
      </c>
      <c r="G216" s="8" t="s">
        <v>469</v>
      </c>
      <c r="H216" s="8" t="s">
        <v>502</v>
      </c>
    </row>
    <row r="217" customFormat="false" ht="23.25" hidden="false" customHeight="true" outlineLevel="0" collapsed="false">
      <c r="A217" s="8" t="str">
        <f aca="false">"T-"&amp;TEXT(ROW()-1,"000")</f>
        <v>T-216</v>
      </c>
      <c r="B217" s="8" t="s">
        <v>503</v>
      </c>
      <c r="C217" s="8" t="s">
        <v>95</v>
      </c>
      <c r="D217" s="8" t="n">
        <v>112</v>
      </c>
      <c r="E217" s="8" t="n">
        <v>14</v>
      </c>
      <c r="F217" s="8" t="s">
        <v>54</v>
      </c>
      <c r="G217" s="8" t="s">
        <v>469</v>
      </c>
      <c r="H217" s="8" t="s">
        <v>504</v>
      </c>
    </row>
    <row r="218" customFormat="false" ht="23.25" hidden="false" customHeight="true" outlineLevel="0" collapsed="false">
      <c r="A218" s="8" t="str">
        <f aca="false">"T-"&amp;TEXT(ROW()-1,"000")</f>
        <v>T-217</v>
      </c>
      <c r="B218" s="8" t="s">
        <v>505</v>
      </c>
      <c r="C218" s="8" t="s">
        <v>53</v>
      </c>
      <c r="D218" s="8" t="n">
        <v>360</v>
      </c>
      <c r="E218" s="8" t="n">
        <v>30</v>
      </c>
      <c r="F218" s="8" t="s">
        <v>54</v>
      </c>
      <c r="G218" s="8" t="s">
        <v>506</v>
      </c>
      <c r="H218" s="8" t="s">
        <v>507</v>
      </c>
    </row>
    <row r="219" customFormat="false" ht="23.25" hidden="false" customHeight="true" outlineLevel="0" collapsed="false">
      <c r="A219" s="8" t="str">
        <f aca="false">"T-"&amp;TEXT(ROW()-1,"000")</f>
        <v>T-218</v>
      </c>
      <c r="B219" s="8" t="s">
        <v>508</v>
      </c>
      <c r="C219" s="8" t="s">
        <v>47</v>
      </c>
      <c r="D219" s="8" t="n">
        <v>236</v>
      </c>
      <c r="E219" s="8" t="n">
        <v>14</v>
      </c>
      <c r="F219" s="8" t="s">
        <v>54</v>
      </c>
      <c r="G219" s="8" t="s">
        <v>506</v>
      </c>
      <c r="H219" s="8" t="s">
        <v>509</v>
      </c>
    </row>
    <row r="220" customFormat="false" ht="23.25" hidden="false" customHeight="true" outlineLevel="0" collapsed="false">
      <c r="A220" s="8" t="str">
        <f aca="false">"T-"&amp;TEXT(ROW()-1,"000")</f>
        <v>T-219</v>
      </c>
      <c r="B220" s="8" t="s">
        <v>510</v>
      </c>
      <c r="C220" s="8" t="s">
        <v>75</v>
      </c>
      <c r="D220" s="8" t="n">
        <v>295</v>
      </c>
      <c r="E220" s="8" t="n">
        <v>10</v>
      </c>
      <c r="F220" s="8" t="s">
        <v>48</v>
      </c>
      <c r="G220" s="8" t="s">
        <v>506</v>
      </c>
      <c r="H220" s="8" t="s">
        <v>511</v>
      </c>
    </row>
    <row r="221" customFormat="false" ht="34.5" hidden="false" customHeight="true" outlineLevel="0" collapsed="false">
      <c r="A221" s="8" t="str">
        <f aca="false">"T-"&amp;TEXT(ROW()-1,"000")</f>
        <v>T-220</v>
      </c>
      <c r="B221" s="8" t="s">
        <v>512</v>
      </c>
      <c r="C221" s="8" t="s">
        <v>47</v>
      </c>
      <c r="D221" s="8" t="n">
        <v>202</v>
      </c>
      <c r="E221" s="8" t="n">
        <v>23</v>
      </c>
      <c r="F221" s="8" t="s">
        <v>48</v>
      </c>
      <c r="G221" s="8" t="s">
        <v>506</v>
      </c>
      <c r="H221" s="8" t="s">
        <v>513</v>
      </c>
    </row>
    <row r="222" customFormat="false" ht="34.5" hidden="false" customHeight="true" outlineLevel="0" collapsed="false">
      <c r="A222" s="8" t="str">
        <f aca="false">"T-"&amp;TEXT(ROW()-1,"000")</f>
        <v>T-221</v>
      </c>
      <c r="B222" s="8" t="s">
        <v>514</v>
      </c>
      <c r="C222" s="8" t="s">
        <v>53</v>
      </c>
      <c r="D222" s="8" t="n">
        <v>216</v>
      </c>
      <c r="E222" s="8" t="n">
        <v>16</v>
      </c>
      <c r="F222" s="8" t="s">
        <v>59</v>
      </c>
      <c r="G222" s="8" t="s">
        <v>506</v>
      </c>
      <c r="H222" s="8" t="s">
        <v>515</v>
      </c>
    </row>
    <row r="223" customFormat="false" ht="23.25" hidden="false" customHeight="true" outlineLevel="0" collapsed="false">
      <c r="A223" s="8" t="str">
        <f aca="false">"T-"&amp;TEXT(ROW()-1,"000")</f>
        <v>T-222</v>
      </c>
      <c r="B223" s="8" t="s">
        <v>516</v>
      </c>
      <c r="C223" s="8" t="s">
        <v>47</v>
      </c>
      <c r="D223" s="8" t="n">
        <v>304</v>
      </c>
      <c r="E223" s="8" t="n">
        <v>19</v>
      </c>
      <c r="F223" s="8" t="s">
        <v>48</v>
      </c>
      <c r="G223" s="8" t="s">
        <v>506</v>
      </c>
      <c r="H223" s="8" t="s">
        <v>517</v>
      </c>
    </row>
    <row r="224" customFormat="false" ht="23.25" hidden="false" customHeight="true" outlineLevel="0" collapsed="false">
      <c r="A224" s="8" t="str">
        <f aca="false">"T-"&amp;TEXT(ROW()-1,"000")</f>
        <v>T-223</v>
      </c>
      <c r="B224" s="8" t="s">
        <v>518</v>
      </c>
      <c r="C224" s="8" t="s">
        <v>75</v>
      </c>
      <c r="D224" s="8" t="n">
        <v>495</v>
      </c>
      <c r="E224" s="8" t="n">
        <v>17</v>
      </c>
      <c r="F224" s="8" t="s">
        <v>48</v>
      </c>
      <c r="G224" s="8" t="s">
        <v>506</v>
      </c>
      <c r="H224" s="8" t="s">
        <v>519</v>
      </c>
    </row>
    <row r="225" customFormat="false" ht="23.25" hidden="false" customHeight="true" outlineLevel="0" collapsed="false">
      <c r="A225" s="8" t="str">
        <f aca="false">"T-"&amp;TEXT(ROW()-1,"000")</f>
        <v>T-224</v>
      </c>
      <c r="B225" s="8" t="s">
        <v>520</v>
      </c>
      <c r="C225" s="8" t="s">
        <v>95</v>
      </c>
      <c r="D225" s="8" t="n">
        <v>447</v>
      </c>
      <c r="E225" s="8" t="n">
        <v>26</v>
      </c>
      <c r="F225" s="8" t="s">
        <v>48</v>
      </c>
      <c r="G225" s="8" t="s">
        <v>506</v>
      </c>
      <c r="H225" s="8" t="s">
        <v>521</v>
      </c>
    </row>
    <row r="226" customFormat="false" ht="23.25" hidden="false" customHeight="true" outlineLevel="0" collapsed="false">
      <c r="A226" s="8" t="str">
        <f aca="false">"T-"&amp;TEXT(ROW()-1,"000")</f>
        <v>T-225</v>
      </c>
      <c r="B226" s="8" t="s">
        <v>522</v>
      </c>
      <c r="C226" s="8" t="s">
        <v>75</v>
      </c>
      <c r="D226" s="8" t="n">
        <v>159</v>
      </c>
      <c r="E226" s="8" t="n">
        <v>17</v>
      </c>
      <c r="F226" s="8" t="s">
        <v>59</v>
      </c>
      <c r="G226" s="8" t="s">
        <v>506</v>
      </c>
      <c r="H226" s="8" t="s">
        <v>523</v>
      </c>
    </row>
    <row r="227" customFormat="false" ht="34.5" hidden="false" customHeight="true" outlineLevel="0" collapsed="false">
      <c r="A227" s="8" t="str">
        <f aca="false">"T-"&amp;TEXT(ROW()-1,"000")</f>
        <v>T-226</v>
      </c>
      <c r="B227" s="8" t="s">
        <v>524</v>
      </c>
      <c r="C227" s="8" t="s">
        <v>53</v>
      </c>
      <c r="D227" s="8" t="n">
        <v>119</v>
      </c>
      <c r="E227" s="8" t="n">
        <v>12</v>
      </c>
      <c r="F227" s="8" t="s">
        <v>54</v>
      </c>
      <c r="G227" s="8" t="s">
        <v>506</v>
      </c>
      <c r="H227" s="8" t="s">
        <v>525</v>
      </c>
    </row>
    <row r="228" customFormat="false" ht="23.25" hidden="false" customHeight="true" outlineLevel="0" collapsed="false">
      <c r="A228" s="8" t="str">
        <f aca="false">"T-"&amp;TEXT(ROW()-1,"000")</f>
        <v>T-227</v>
      </c>
      <c r="B228" s="8" t="s">
        <v>526</v>
      </c>
      <c r="C228" s="8" t="s">
        <v>95</v>
      </c>
      <c r="D228" s="8" t="n">
        <v>276</v>
      </c>
      <c r="E228" s="8" t="n">
        <v>19</v>
      </c>
      <c r="F228" s="8" t="s">
        <v>48</v>
      </c>
      <c r="G228" s="8" t="s">
        <v>506</v>
      </c>
      <c r="H228" s="8" t="s">
        <v>527</v>
      </c>
    </row>
    <row r="229" customFormat="false" ht="23.25" hidden="false" customHeight="true" outlineLevel="0" collapsed="false">
      <c r="A229" s="8" t="str">
        <f aca="false">"T-"&amp;TEXT(ROW()-1,"000")</f>
        <v>T-228</v>
      </c>
      <c r="B229" s="8" t="s">
        <v>528</v>
      </c>
      <c r="C229" s="8" t="s">
        <v>75</v>
      </c>
      <c r="D229" s="8" t="n">
        <v>297</v>
      </c>
      <c r="E229" s="8" t="n">
        <v>27</v>
      </c>
      <c r="F229" s="8" t="s">
        <v>59</v>
      </c>
      <c r="G229" s="8" t="s">
        <v>506</v>
      </c>
      <c r="H229" s="8" t="s">
        <v>529</v>
      </c>
    </row>
    <row r="230" customFormat="false" ht="23.25" hidden="false" customHeight="true" outlineLevel="0" collapsed="false">
      <c r="A230" s="8" t="str">
        <f aca="false">"T-"&amp;TEXT(ROW()-1,"000")</f>
        <v>T-229</v>
      </c>
      <c r="B230" s="8" t="s">
        <v>530</v>
      </c>
      <c r="C230" s="8" t="s">
        <v>53</v>
      </c>
      <c r="D230" s="8" t="n">
        <v>122</v>
      </c>
      <c r="E230" s="8" t="n">
        <v>22</v>
      </c>
      <c r="F230" s="8" t="s">
        <v>59</v>
      </c>
      <c r="G230" s="8" t="s">
        <v>506</v>
      </c>
      <c r="H230" s="8" t="s">
        <v>531</v>
      </c>
    </row>
    <row r="231" customFormat="false" ht="23.25" hidden="false" customHeight="true" outlineLevel="0" collapsed="false">
      <c r="A231" s="8" t="str">
        <f aca="false">"T-"&amp;TEXT(ROW()-1,"000")</f>
        <v>T-230</v>
      </c>
      <c r="B231" s="8" t="s">
        <v>532</v>
      </c>
      <c r="C231" s="8" t="s">
        <v>47</v>
      </c>
      <c r="D231" s="8" t="n">
        <v>286</v>
      </c>
      <c r="E231" s="8" t="n">
        <v>22</v>
      </c>
      <c r="F231" s="8" t="s">
        <v>59</v>
      </c>
      <c r="G231" s="8" t="s">
        <v>506</v>
      </c>
      <c r="H231" s="8" t="s">
        <v>533</v>
      </c>
    </row>
    <row r="232" customFormat="false" ht="23.25" hidden="false" customHeight="true" outlineLevel="0" collapsed="false">
      <c r="A232" s="8" t="str">
        <f aca="false">"T-"&amp;TEXT(ROW()-1,"000")</f>
        <v>T-231</v>
      </c>
      <c r="B232" s="8" t="s">
        <v>534</v>
      </c>
      <c r="C232" s="8" t="s">
        <v>53</v>
      </c>
      <c r="D232" s="8" t="n">
        <v>419</v>
      </c>
      <c r="E232" s="8" t="n">
        <v>19</v>
      </c>
      <c r="F232" s="8" t="s">
        <v>54</v>
      </c>
      <c r="G232" s="8" t="s">
        <v>506</v>
      </c>
      <c r="H232" s="8" t="s">
        <v>535</v>
      </c>
    </row>
    <row r="233" customFormat="false" ht="34.5" hidden="false" customHeight="true" outlineLevel="0" collapsed="false">
      <c r="A233" s="8" t="str">
        <f aca="false">"T-"&amp;TEXT(ROW()-1,"000")</f>
        <v>T-232</v>
      </c>
      <c r="B233" s="8" t="s">
        <v>536</v>
      </c>
      <c r="C233" s="8" t="s">
        <v>75</v>
      </c>
      <c r="D233" s="8" t="n">
        <v>468</v>
      </c>
      <c r="E233" s="8" t="n">
        <v>18</v>
      </c>
      <c r="F233" s="8" t="s">
        <v>54</v>
      </c>
      <c r="G233" s="8" t="s">
        <v>506</v>
      </c>
      <c r="H233" s="8" t="s">
        <v>537</v>
      </c>
    </row>
    <row r="234" customFormat="false" ht="23.25" hidden="false" customHeight="true" outlineLevel="0" collapsed="false">
      <c r="A234" s="8" t="str">
        <f aca="false">"T-"&amp;TEXT(ROW()-1,"000")</f>
        <v>T-233</v>
      </c>
      <c r="B234" s="8" t="s">
        <v>538</v>
      </c>
      <c r="C234" s="8" t="s">
        <v>53</v>
      </c>
      <c r="D234" s="8" t="n">
        <v>441</v>
      </c>
      <c r="E234" s="8" t="n">
        <v>22</v>
      </c>
      <c r="F234" s="8" t="s">
        <v>48</v>
      </c>
      <c r="G234" s="8" t="s">
        <v>506</v>
      </c>
      <c r="H234" s="8" t="s">
        <v>539</v>
      </c>
    </row>
    <row r="235" customFormat="false" ht="23.25" hidden="false" customHeight="true" outlineLevel="0" collapsed="false">
      <c r="A235" s="8" t="str">
        <f aca="false">"T-"&amp;TEXT(ROW()-1,"000")</f>
        <v>T-234</v>
      </c>
      <c r="B235" s="8" t="s">
        <v>540</v>
      </c>
      <c r="C235" s="8" t="s">
        <v>95</v>
      </c>
      <c r="D235" s="8" t="n">
        <v>456</v>
      </c>
      <c r="E235" s="8" t="n">
        <v>18</v>
      </c>
      <c r="F235" s="8" t="s">
        <v>54</v>
      </c>
      <c r="G235" s="8" t="s">
        <v>506</v>
      </c>
      <c r="H235" s="8" t="s">
        <v>541</v>
      </c>
    </row>
    <row r="236" customFormat="false" ht="23.25" hidden="false" customHeight="true" outlineLevel="0" collapsed="false">
      <c r="A236" s="8" t="str">
        <f aca="false">"T-"&amp;TEXT(ROW()-1,"000")</f>
        <v>T-235</v>
      </c>
      <c r="B236" s="8" t="s">
        <v>542</v>
      </c>
      <c r="C236" s="8" t="s">
        <v>47</v>
      </c>
      <c r="D236" s="8" t="n">
        <v>248</v>
      </c>
      <c r="E236" s="8" t="n">
        <v>22</v>
      </c>
      <c r="F236" s="8" t="s">
        <v>54</v>
      </c>
      <c r="G236" s="8" t="s">
        <v>543</v>
      </c>
      <c r="H236" s="8" t="s">
        <v>544</v>
      </c>
    </row>
    <row r="237" customFormat="false" ht="34.5" hidden="false" customHeight="true" outlineLevel="0" collapsed="false">
      <c r="A237" s="8" t="str">
        <f aca="false">"T-"&amp;TEXT(ROW()-1,"000")</f>
        <v>T-236</v>
      </c>
      <c r="B237" s="8" t="s">
        <v>545</v>
      </c>
      <c r="C237" s="8" t="s">
        <v>95</v>
      </c>
      <c r="D237" s="8" t="n">
        <v>446</v>
      </c>
      <c r="E237" s="8" t="n">
        <v>14</v>
      </c>
      <c r="F237" s="8" t="s">
        <v>54</v>
      </c>
      <c r="G237" s="8" t="s">
        <v>543</v>
      </c>
      <c r="H237" s="8" t="s">
        <v>546</v>
      </c>
    </row>
    <row r="238" customFormat="false" ht="34.5" hidden="false" customHeight="true" outlineLevel="0" collapsed="false">
      <c r="A238" s="8" t="str">
        <f aca="false">"T-"&amp;TEXT(ROW()-1,"000")</f>
        <v>T-237</v>
      </c>
      <c r="B238" s="8" t="s">
        <v>547</v>
      </c>
      <c r="C238" s="8" t="s">
        <v>53</v>
      </c>
      <c r="D238" s="8" t="n">
        <v>307</v>
      </c>
      <c r="E238" s="8" t="n">
        <v>26</v>
      </c>
      <c r="F238" s="8" t="s">
        <v>59</v>
      </c>
      <c r="G238" s="8" t="s">
        <v>543</v>
      </c>
      <c r="H238" s="8" t="s">
        <v>548</v>
      </c>
    </row>
    <row r="239" customFormat="false" ht="34.5" hidden="false" customHeight="true" outlineLevel="0" collapsed="false">
      <c r="A239" s="8" t="str">
        <f aca="false">"T-"&amp;TEXT(ROW()-1,"000")</f>
        <v>T-238</v>
      </c>
      <c r="B239" s="8" t="s">
        <v>549</v>
      </c>
      <c r="C239" s="8" t="s">
        <v>53</v>
      </c>
      <c r="D239" s="8" t="n">
        <v>246</v>
      </c>
      <c r="E239" s="8" t="n">
        <v>15</v>
      </c>
      <c r="F239" s="8" t="s">
        <v>48</v>
      </c>
      <c r="G239" s="8" t="s">
        <v>543</v>
      </c>
      <c r="H239" s="8" t="s">
        <v>550</v>
      </c>
    </row>
    <row r="240" customFormat="false" ht="34.5" hidden="false" customHeight="true" outlineLevel="0" collapsed="false">
      <c r="A240" s="8" t="str">
        <f aca="false">"T-"&amp;TEXT(ROW()-1,"000")</f>
        <v>T-239</v>
      </c>
      <c r="B240" s="8" t="s">
        <v>551</v>
      </c>
      <c r="C240" s="8" t="s">
        <v>53</v>
      </c>
      <c r="D240" s="8" t="n">
        <v>338</v>
      </c>
      <c r="E240" s="8" t="n">
        <v>23</v>
      </c>
      <c r="F240" s="8" t="s">
        <v>48</v>
      </c>
      <c r="G240" s="8" t="s">
        <v>543</v>
      </c>
      <c r="H240" s="8" t="s">
        <v>552</v>
      </c>
    </row>
    <row r="241" customFormat="false" ht="34.5" hidden="false" customHeight="true" outlineLevel="0" collapsed="false">
      <c r="A241" s="8" t="str">
        <f aca="false">"T-"&amp;TEXT(ROW()-1,"000")</f>
        <v>T-240</v>
      </c>
      <c r="B241" s="8" t="s">
        <v>553</v>
      </c>
      <c r="C241" s="8" t="s">
        <v>47</v>
      </c>
      <c r="D241" s="8" t="n">
        <v>361</v>
      </c>
      <c r="E241" s="8" t="n">
        <v>24</v>
      </c>
      <c r="F241" s="8" t="s">
        <v>54</v>
      </c>
      <c r="G241" s="8" t="s">
        <v>543</v>
      </c>
      <c r="H241" s="8" t="s">
        <v>554</v>
      </c>
    </row>
    <row r="242" customFormat="false" ht="34.5" hidden="false" customHeight="true" outlineLevel="0" collapsed="false">
      <c r="A242" s="8" t="str">
        <f aca="false">"T-"&amp;TEXT(ROW()-1,"000")</f>
        <v>T-241</v>
      </c>
      <c r="B242" s="8" t="s">
        <v>555</v>
      </c>
      <c r="C242" s="8" t="s">
        <v>47</v>
      </c>
      <c r="D242" s="8" t="n">
        <v>437</v>
      </c>
      <c r="E242" s="8" t="n">
        <v>11</v>
      </c>
      <c r="F242" s="8" t="s">
        <v>48</v>
      </c>
      <c r="G242" s="8" t="s">
        <v>543</v>
      </c>
      <c r="H242" s="8" t="s">
        <v>556</v>
      </c>
    </row>
    <row r="243" customFormat="false" ht="34.5" hidden="false" customHeight="true" outlineLevel="0" collapsed="false">
      <c r="A243" s="8" t="str">
        <f aca="false">"T-"&amp;TEXT(ROW()-1,"000")</f>
        <v>T-242</v>
      </c>
      <c r="B243" s="8" t="s">
        <v>557</v>
      </c>
      <c r="C243" s="8" t="s">
        <v>53</v>
      </c>
      <c r="D243" s="8" t="n">
        <v>147</v>
      </c>
      <c r="E243" s="8" t="n">
        <v>16</v>
      </c>
      <c r="F243" s="8" t="s">
        <v>54</v>
      </c>
      <c r="G243" s="8" t="s">
        <v>543</v>
      </c>
      <c r="H243" s="8" t="s">
        <v>558</v>
      </c>
    </row>
    <row r="244" customFormat="false" ht="34.5" hidden="false" customHeight="true" outlineLevel="0" collapsed="false">
      <c r="A244" s="8" t="str">
        <f aca="false">"T-"&amp;TEXT(ROW()-1,"000")</f>
        <v>T-243</v>
      </c>
      <c r="B244" s="8" t="s">
        <v>559</v>
      </c>
      <c r="C244" s="8" t="s">
        <v>53</v>
      </c>
      <c r="D244" s="8" t="n">
        <v>215</v>
      </c>
      <c r="E244" s="8" t="n">
        <v>15</v>
      </c>
      <c r="F244" s="8" t="s">
        <v>59</v>
      </c>
      <c r="G244" s="8" t="s">
        <v>543</v>
      </c>
      <c r="H244" s="8" t="s">
        <v>560</v>
      </c>
    </row>
    <row r="245" customFormat="false" ht="34.5" hidden="false" customHeight="true" outlineLevel="0" collapsed="false">
      <c r="A245" s="8" t="str">
        <f aca="false">"T-"&amp;TEXT(ROW()-1,"000")</f>
        <v>T-244</v>
      </c>
      <c r="B245" s="8" t="s">
        <v>561</v>
      </c>
      <c r="C245" s="8" t="s">
        <v>75</v>
      </c>
      <c r="D245" s="8" t="n">
        <v>123</v>
      </c>
      <c r="E245" s="8" t="n">
        <v>16</v>
      </c>
      <c r="F245" s="8" t="s">
        <v>48</v>
      </c>
      <c r="G245" s="8" t="s">
        <v>543</v>
      </c>
      <c r="H245" s="8" t="s">
        <v>562</v>
      </c>
    </row>
    <row r="246" customFormat="false" ht="34.5" hidden="false" customHeight="true" outlineLevel="0" collapsed="false">
      <c r="A246" s="8" t="str">
        <f aca="false">"T-"&amp;TEXT(ROW()-1,"000")</f>
        <v>T-245</v>
      </c>
      <c r="B246" s="8" t="s">
        <v>563</v>
      </c>
      <c r="C246" s="8" t="s">
        <v>75</v>
      </c>
      <c r="D246" s="8" t="n">
        <v>333</v>
      </c>
      <c r="E246" s="8" t="n">
        <v>22</v>
      </c>
      <c r="F246" s="8" t="s">
        <v>54</v>
      </c>
      <c r="G246" s="8" t="s">
        <v>543</v>
      </c>
      <c r="H246" s="8" t="s">
        <v>564</v>
      </c>
    </row>
    <row r="247" customFormat="false" ht="34.5" hidden="false" customHeight="true" outlineLevel="0" collapsed="false">
      <c r="A247" s="8" t="str">
        <f aca="false">"T-"&amp;TEXT(ROW()-1,"000")</f>
        <v>T-246</v>
      </c>
      <c r="B247" s="8" t="s">
        <v>565</v>
      </c>
      <c r="C247" s="8" t="s">
        <v>47</v>
      </c>
      <c r="D247" s="8" t="n">
        <v>467</v>
      </c>
      <c r="E247" s="8" t="n">
        <v>21</v>
      </c>
      <c r="F247" s="8" t="s">
        <v>48</v>
      </c>
      <c r="G247" s="8" t="s">
        <v>543</v>
      </c>
      <c r="H247" s="8" t="s">
        <v>566</v>
      </c>
    </row>
    <row r="248" customFormat="false" ht="34.5" hidden="false" customHeight="true" outlineLevel="0" collapsed="false">
      <c r="A248" s="8" t="str">
        <f aca="false">"T-"&amp;TEXT(ROW()-1,"000")</f>
        <v>T-247</v>
      </c>
      <c r="B248" s="8" t="s">
        <v>567</v>
      </c>
      <c r="C248" s="8" t="s">
        <v>95</v>
      </c>
      <c r="D248" s="8" t="n">
        <v>224</v>
      </c>
      <c r="E248" s="8" t="n">
        <v>13</v>
      </c>
      <c r="F248" s="8" t="s">
        <v>54</v>
      </c>
      <c r="G248" s="8" t="s">
        <v>543</v>
      </c>
      <c r="H248" s="8" t="s">
        <v>568</v>
      </c>
    </row>
    <row r="249" customFormat="false" ht="34.5" hidden="false" customHeight="true" outlineLevel="0" collapsed="false">
      <c r="A249" s="8" t="str">
        <f aca="false">"T-"&amp;TEXT(ROW()-1,"000")</f>
        <v>T-248</v>
      </c>
      <c r="B249" s="8" t="s">
        <v>569</v>
      </c>
      <c r="C249" s="8" t="s">
        <v>75</v>
      </c>
      <c r="D249" s="8" t="n">
        <v>484</v>
      </c>
      <c r="E249" s="8" t="n">
        <v>12</v>
      </c>
      <c r="F249" s="8" t="s">
        <v>48</v>
      </c>
      <c r="G249" s="8" t="s">
        <v>543</v>
      </c>
      <c r="H249" s="8" t="s">
        <v>570</v>
      </c>
    </row>
    <row r="250" customFormat="false" ht="34.5" hidden="false" customHeight="true" outlineLevel="0" collapsed="false">
      <c r="A250" s="8" t="str">
        <f aca="false">"T-"&amp;TEXT(ROW()-1,"000")</f>
        <v>T-249</v>
      </c>
      <c r="B250" s="8" t="s">
        <v>571</v>
      </c>
      <c r="C250" s="8" t="s">
        <v>47</v>
      </c>
      <c r="D250" s="8" t="n">
        <v>190</v>
      </c>
      <c r="E250" s="8" t="n">
        <v>25</v>
      </c>
      <c r="F250" s="8" t="s">
        <v>48</v>
      </c>
      <c r="G250" s="8" t="s">
        <v>543</v>
      </c>
      <c r="H250" s="8" t="s">
        <v>572</v>
      </c>
    </row>
    <row r="251" customFormat="false" ht="34.5" hidden="false" customHeight="true" outlineLevel="0" collapsed="false">
      <c r="A251" s="8" t="str">
        <f aca="false">"T-"&amp;TEXT(ROW()-1,"000")</f>
        <v>T-250</v>
      </c>
      <c r="B251" s="8" t="s">
        <v>573</v>
      </c>
      <c r="C251" s="8" t="s">
        <v>75</v>
      </c>
      <c r="D251" s="8" t="n">
        <v>385</v>
      </c>
      <c r="E251" s="8" t="n">
        <v>16</v>
      </c>
      <c r="F251" s="8" t="s">
        <v>59</v>
      </c>
      <c r="G251" s="8" t="s">
        <v>543</v>
      </c>
      <c r="H251" s="8" t="s">
        <v>574</v>
      </c>
    </row>
    <row r="252" customFormat="false" ht="34.5" hidden="false" customHeight="true" outlineLevel="0" collapsed="false">
      <c r="A252" s="8" t="str">
        <f aca="false">"T-"&amp;TEXT(ROW()-1,"000")</f>
        <v>T-251</v>
      </c>
      <c r="B252" s="8" t="s">
        <v>575</v>
      </c>
      <c r="C252" s="8" t="s">
        <v>95</v>
      </c>
      <c r="D252" s="8" t="n">
        <v>168</v>
      </c>
      <c r="E252" s="8" t="n">
        <v>23</v>
      </c>
      <c r="F252" s="8" t="s">
        <v>54</v>
      </c>
      <c r="G252" s="8" t="s">
        <v>543</v>
      </c>
      <c r="H252" s="8" t="s">
        <v>576</v>
      </c>
    </row>
    <row r="253" customFormat="false" ht="34.5" hidden="false" customHeight="true" outlineLevel="0" collapsed="false">
      <c r="A253" s="8" t="str">
        <f aca="false">"T-"&amp;TEXT(ROW()-1,"000")</f>
        <v>T-252</v>
      </c>
      <c r="B253" s="8" t="s">
        <v>577</v>
      </c>
      <c r="C253" s="8" t="s">
        <v>53</v>
      </c>
      <c r="D253" s="8" t="n">
        <v>486</v>
      </c>
      <c r="E253" s="8" t="n">
        <v>23</v>
      </c>
      <c r="F253" s="8" t="s">
        <v>54</v>
      </c>
      <c r="G253" s="8" t="s">
        <v>543</v>
      </c>
      <c r="H253" s="8" t="s">
        <v>578</v>
      </c>
    </row>
    <row r="254" customFormat="false" ht="23.25" hidden="false" customHeight="true" outlineLevel="0" collapsed="false">
      <c r="A254" s="8" t="str">
        <f aca="false">"T-"&amp;TEXT(ROW()-1,"000")</f>
        <v>T-253</v>
      </c>
      <c r="B254" s="8" t="s">
        <v>579</v>
      </c>
      <c r="C254" s="8" t="s">
        <v>95</v>
      </c>
      <c r="D254" s="8" t="n">
        <v>430</v>
      </c>
      <c r="E254" s="8" t="n">
        <v>23</v>
      </c>
      <c r="F254" s="8" t="s">
        <v>59</v>
      </c>
      <c r="G254" s="8" t="s">
        <v>580</v>
      </c>
      <c r="H254" s="8" t="s">
        <v>581</v>
      </c>
    </row>
    <row r="255" customFormat="false" ht="23.25" hidden="false" customHeight="true" outlineLevel="0" collapsed="false">
      <c r="A255" s="8" t="str">
        <f aca="false">"T-"&amp;TEXT(ROW()-1,"000")</f>
        <v>T-254</v>
      </c>
      <c r="B255" s="8" t="s">
        <v>582</v>
      </c>
      <c r="C255" s="8" t="s">
        <v>95</v>
      </c>
      <c r="D255" s="8" t="n">
        <v>330</v>
      </c>
      <c r="E255" s="8" t="n">
        <v>17</v>
      </c>
      <c r="F255" s="8" t="s">
        <v>59</v>
      </c>
      <c r="G255" s="8" t="s">
        <v>580</v>
      </c>
      <c r="H255" s="8" t="s">
        <v>583</v>
      </c>
    </row>
    <row r="256" customFormat="false" ht="23.25" hidden="false" customHeight="true" outlineLevel="0" collapsed="false">
      <c r="A256" s="8" t="str">
        <f aca="false">"T-"&amp;TEXT(ROW()-1,"000")</f>
        <v>T-255</v>
      </c>
      <c r="B256" s="8" t="s">
        <v>584</v>
      </c>
      <c r="C256" s="8" t="s">
        <v>53</v>
      </c>
      <c r="D256" s="8" t="n">
        <v>492</v>
      </c>
      <c r="E256" s="8" t="n">
        <v>25</v>
      </c>
      <c r="F256" s="8" t="s">
        <v>48</v>
      </c>
      <c r="G256" s="8" t="s">
        <v>580</v>
      </c>
      <c r="H256" s="8" t="s">
        <v>585</v>
      </c>
    </row>
    <row r="257" customFormat="false" ht="34.5" hidden="false" customHeight="true" outlineLevel="0" collapsed="false">
      <c r="A257" s="8" t="str">
        <f aca="false">"T-"&amp;TEXT(ROW()-1,"000")</f>
        <v>T-256</v>
      </c>
      <c r="B257" s="8" t="s">
        <v>586</v>
      </c>
      <c r="C257" s="8" t="s">
        <v>47</v>
      </c>
      <c r="D257" s="8" t="n">
        <v>240</v>
      </c>
      <c r="E257" s="8" t="n">
        <v>23</v>
      </c>
      <c r="F257" s="8" t="s">
        <v>59</v>
      </c>
      <c r="G257" s="8" t="s">
        <v>580</v>
      </c>
      <c r="H257" s="8" t="s">
        <v>587</v>
      </c>
    </row>
    <row r="258" customFormat="false" ht="34.5" hidden="false" customHeight="true" outlineLevel="0" collapsed="false">
      <c r="A258" s="8" t="str">
        <f aca="false">"T-"&amp;TEXT(ROW()-1,"000")</f>
        <v>T-257</v>
      </c>
      <c r="B258" s="8" t="s">
        <v>588</v>
      </c>
      <c r="C258" s="8" t="s">
        <v>53</v>
      </c>
      <c r="D258" s="8" t="n">
        <v>220</v>
      </c>
      <c r="E258" s="8" t="n">
        <v>17</v>
      </c>
      <c r="F258" s="8" t="s">
        <v>48</v>
      </c>
      <c r="G258" s="8" t="s">
        <v>580</v>
      </c>
      <c r="H258" s="8" t="s">
        <v>589</v>
      </c>
    </row>
    <row r="259" customFormat="false" ht="23.25" hidden="false" customHeight="true" outlineLevel="0" collapsed="false">
      <c r="A259" s="8" t="str">
        <f aca="false">"T-"&amp;TEXT(ROW()-1,"000")</f>
        <v>T-258</v>
      </c>
      <c r="B259" s="8" t="s">
        <v>590</v>
      </c>
      <c r="C259" s="8" t="s">
        <v>53</v>
      </c>
      <c r="D259" s="8" t="n">
        <v>376</v>
      </c>
      <c r="E259" s="8" t="n">
        <v>11</v>
      </c>
      <c r="F259" s="8" t="s">
        <v>59</v>
      </c>
      <c r="G259" s="8" t="s">
        <v>580</v>
      </c>
      <c r="H259" s="8" t="s">
        <v>591</v>
      </c>
    </row>
    <row r="260" customFormat="false" ht="23.25" hidden="false" customHeight="true" outlineLevel="0" collapsed="false">
      <c r="A260" s="8" t="str">
        <f aca="false">"T-"&amp;TEXT(ROW()-1,"000")</f>
        <v>T-259</v>
      </c>
      <c r="B260" s="8" t="s">
        <v>592</v>
      </c>
      <c r="C260" s="8" t="s">
        <v>47</v>
      </c>
      <c r="D260" s="8" t="n">
        <v>218</v>
      </c>
      <c r="E260" s="8" t="n">
        <v>21</v>
      </c>
      <c r="F260" s="8" t="s">
        <v>54</v>
      </c>
      <c r="G260" s="8" t="s">
        <v>580</v>
      </c>
      <c r="H260" s="8" t="s">
        <v>593</v>
      </c>
    </row>
    <row r="261" customFormat="false" ht="23.25" hidden="false" customHeight="true" outlineLevel="0" collapsed="false">
      <c r="A261" s="8" t="str">
        <f aca="false">"T-"&amp;TEXT(ROW()-1,"000")</f>
        <v>T-260</v>
      </c>
      <c r="B261" s="8" t="s">
        <v>594</v>
      </c>
      <c r="C261" s="8" t="s">
        <v>47</v>
      </c>
      <c r="D261" s="8" t="n">
        <v>461</v>
      </c>
      <c r="E261" s="8" t="n">
        <v>15</v>
      </c>
      <c r="F261" s="8" t="s">
        <v>59</v>
      </c>
      <c r="G261" s="8" t="s">
        <v>580</v>
      </c>
      <c r="H261" s="8" t="s">
        <v>595</v>
      </c>
    </row>
    <row r="262" customFormat="false" ht="23.25" hidden="false" customHeight="true" outlineLevel="0" collapsed="false">
      <c r="A262" s="8" t="str">
        <f aca="false">"T-"&amp;TEXT(ROW()-1,"000")</f>
        <v>T-261</v>
      </c>
      <c r="B262" s="8" t="s">
        <v>596</v>
      </c>
      <c r="C262" s="8" t="s">
        <v>95</v>
      </c>
      <c r="D262" s="8" t="n">
        <v>308</v>
      </c>
      <c r="E262" s="8" t="n">
        <v>19</v>
      </c>
      <c r="F262" s="8" t="s">
        <v>54</v>
      </c>
      <c r="G262" s="8" t="s">
        <v>580</v>
      </c>
      <c r="H262" s="8" t="s">
        <v>597</v>
      </c>
    </row>
    <row r="263" customFormat="false" ht="34.5" hidden="false" customHeight="true" outlineLevel="0" collapsed="false">
      <c r="A263" s="8" t="str">
        <f aca="false">"T-"&amp;TEXT(ROW()-1,"000")</f>
        <v>T-262</v>
      </c>
      <c r="B263" s="8" t="s">
        <v>598</v>
      </c>
      <c r="C263" s="8" t="s">
        <v>95</v>
      </c>
      <c r="D263" s="8" t="n">
        <v>312</v>
      </c>
      <c r="E263" s="8" t="n">
        <v>10</v>
      </c>
      <c r="F263" s="8" t="s">
        <v>59</v>
      </c>
      <c r="G263" s="8" t="s">
        <v>580</v>
      </c>
      <c r="H263" s="8" t="s">
        <v>599</v>
      </c>
    </row>
    <row r="264" customFormat="false" ht="23.25" hidden="false" customHeight="true" outlineLevel="0" collapsed="false">
      <c r="A264" s="8" t="str">
        <f aca="false">"T-"&amp;TEXT(ROW()-1,"000")</f>
        <v>T-263</v>
      </c>
      <c r="B264" s="8" t="s">
        <v>600</v>
      </c>
      <c r="C264" s="8" t="s">
        <v>95</v>
      </c>
      <c r="D264" s="8" t="n">
        <v>299</v>
      </c>
      <c r="E264" s="8" t="n">
        <v>27</v>
      </c>
      <c r="F264" s="8" t="s">
        <v>54</v>
      </c>
      <c r="G264" s="8" t="s">
        <v>580</v>
      </c>
      <c r="H264" s="8" t="s">
        <v>601</v>
      </c>
    </row>
    <row r="265" customFormat="false" ht="23.25" hidden="false" customHeight="true" outlineLevel="0" collapsed="false">
      <c r="A265" s="8" t="str">
        <f aca="false">"T-"&amp;TEXT(ROW()-1,"000")</f>
        <v>T-264</v>
      </c>
      <c r="B265" s="8" t="s">
        <v>602</v>
      </c>
      <c r="C265" s="8" t="s">
        <v>75</v>
      </c>
      <c r="D265" s="8" t="n">
        <v>491</v>
      </c>
      <c r="E265" s="8" t="n">
        <v>27</v>
      </c>
      <c r="F265" s="8" t="s">
        <v>48</v>
      </c>
      <c r="G265" s="8" t="s">
        <v>580</v>
      </c>
      <c r="H265" s="8" t="s">
        <v>603</v>
      </c>
    </row>
    <row r="266" customFormat="false" ht="23.25" hidden="false" customHeight="true" outlineLevel="0" collapsed="false">
      <c r="A266" s="8" t="str">
        <f aca="false">"T-"&amp;TEXT(ROW()-1,"000")</f>
        <v>T-265</v>
      </c>
      <c r="B266" s="8" t="s">
        <v>604</v>
      </c>
      <c r="C266" s="8" t="s">
        <v>95</v>
      </c>
      <c r="D266" s="8" t="n">
        <v>103</v>
      </c>
      <c r="E266" s="8" t="n">
        <v>20</v>
      </c>
      <c r="F266" s="8" t="s">
        <v>48</v>
      </c>
      <c r="G266" s="8" t="s">
        <v>580</v>
      </c>
      <c r="H266" s="8" t="s">
        <v>605</v>
      </c>
    </row>
    <row r="267" customFormat="false" ht="23.25" hidden="false" customHeight="true" outlineLevel="0" collapsed="false">
      <c r="A267" s="8" t="str">
        <f aca="false">"T-"&amp;TEXT(ROW()-1,"000")</f>
        <v>T-266</v>
      </c>
      <c r="B267" s="8" t="s">
        <v>606</v>
      </c>
      <c r="C267" s="8" t="s">
        <v>95</v>
      </c>
      <c r="D267" s="8" t="n">
        <v>314</v>
      </c>
      <c r="E267" s="8" t="n">
        <v>26</v>
      </c>
      <c r="F267" s="8" t="s">
        <v>54</v>
      </c>
      <c r="G267" s="8" t="s">
        <v>580</v>
      </c>
      <c r="H267" s="8" t="s">
        <v>607</v>
      </c>
    </row>
    <row r="268" customFormat="false" ht="23.25" hidden="false" customHeight="true" outlineLevel="0" collapsed="false">
      <c r="A268" s="8" t="str">
        <f aca="false">"T-"&amp;TEXT(ROW()-1,"000")</f>
        <v>T-267</v>
      </c>
      <c r="B268" s="8" t="s">
        <v>608</v>
      </c>
      <c r="C268" s="8" t="s">
        <v>47</v>
      </c>
      <c r="D268" s="8" t="n">
        <v>349</v>
      </c>
      <c r="E268" s="8" t="n">
        <v>16</v>
      </c>
      <c r="F268" s="8" t="s">
        <v>48</v>
      </c>
      <c r="G268" s="8" t="s">
        <v>580</v>
      </c>
      <c r="H268" s="8" t="s">
        <v>609</v>
      </c>
    </row>
    <row r="269" customFormat="false" ht="34.5" hidden="false" customHeight="true" outlineLevel="0" collapsed="false">
      <c r="A269" s="8" t="str">
        <f aca="false">"T-"&amp;TEXT(ROW()-1,"000")</f>
        <v>T-268</v>
      </c>
      <c r="B269" s="8" t="s">
        <v>610</v>
      </c>
      <c r="C269" s="8" t="s">
        <v>95</v>
      </c>
      <c r="D269" s="8" t="n">
        <v>348</v>
      </c>
      <c r="E269" s="8" t="n">
        <v>9</v>
      </c>
      <c r="F269" s="8" t="s">
        <v>48</v>
      </c>
      <c r="G269" s="8" t="s">
        <v>580</v>
      </c>
      <c r="H269" s="8" t="s">
        <v>611</v>
      </c>
    </row>
    <row r="270" customFormat="false" ht="23.25" hidden="false" customHeight="true" outlineLevel="0" collapsed="false">
      <c r="A270" s="8" t="str">
        <f aca="false">"T-"&amp;TEXT(ROW()-1,"000")</f>
        <v>T-269</v>
      </c>
      <c r="B270" s="8" t="s">
        <v>612</v>
      </c>
      <c r="C270" s="8" t="s">
        <v>53</v>
      </c>
      <c r="D270" s="8" t="n">
        <v>442</v>
      </c>
      <c r="E270" s="8" t="n">
        <v>30</v>
      </c>
      <c r="F270" s="8" t="s">
        <v>48</v>
      </c>
      <c r="G270" s="8" t="s">
        <v>580</v>
      </c>
      <c r="H270" s="8" t="s">
        <v>613</v>
      </c>
    </row>
    <row r="271" customFormat="false" ht="34.5" hidden="false" customHeight="true" outlineLevel="0" collapsed="false">
      <c r="A271" s="8" t="str">
        <f aca="false">"T-"&amp;TEXT(ROW()-1,"000")</f>
        <v>T-270</v>
      </c>
      <c r="B271" s="8" t="s">
        <v>614</v>
      </c>
      <c r="C271" s="8" t="s">
        <v>47</v>
      </c>
      <c r="D271" s="8" t="n">
        <v>339</v>
      </c>
      <c r="E271" s="8" t="n">
        <v>13</v>
      </c>
      <c r="F271" s="8" t="s">
        <v>54</v>
      </c>
      <c r="G271" s="8" t="s">
        <v>580</v>
      </c>
      <c r="H271" s="8" t="s">
        <v>615</v>
      </c>
    </row>
    <row r="272" customFormat="false" ht="23.25" hidden="false" customHeight="true" outlineLevel="0" collapsed="false">
      <c r="A272" s="8" t="str">
        <f aca="false">"T-"&amp;TEXT(ROW()-1,"000")</f>
        <v>T-271</v>
      </c>
      <c r="B272" s="8" t="s">
        <v>616</v>
      </c>
      <c r="C272" s="8" t="s">
        <v>75</v>
      </c>
      <c r="D272" s="8" t="n">
        <v>351</v>
      </c>
      <c r="E272" s="8" t="n">
        <v>27</v>
      </c>
      <c r="F272" s="8" t="s">
        <v>54</v>
      </c>
      <c r="G272" s="8" t="s">
        <v>617</v>
      </c>
      <c r="H272" s="8" t="s">
        <v>618</v>
      </c>
    </row>
    <row r="273" customFormat="false" ht="23.25" hidden="false" customHeight="true" outlineLevel="0" collapsed="false">
      <c r="A273" s="8" t="str">
        <f aca="false">"T-"&amp;TEXT(ROW()-1,"000")</f>
        <v>T-272</v>
      </c>
      <c r="B273" s="8" t="s">
        <v>619</v>
      </c>
      <c r="C273" s="8" t="s">
        <v>75</v>
      </c>
      <c r="D273" s="8" t="n">
        <v>142</v>
      </c>
      <c r="E273" s="8" t="n">
        <v>29</v>
      </c>
      <c r="F273" s="8" t="s">
        <v>48</v>
      </c>
      <c r="G273" s="8" t="s">
        <v>617</v>
      </c>
      <c r="H273" s="8" t="s">
        <v>620</v>
      </c>
    </row>
    <row r="274" customFormat="false" ht="34.5" hidden="false" customHeight="true" outlineLevel="0" collapsed="false">
      <c r="A274" s="8" t="str">
        <f aca="false">"T-"&amp;TEXT(ROW()-1,"000")</f>
        <v>T-273</v>
      </c>
      <c r="B274" s="8" t="s">
        <v>621</v>
      </c>
      <c r="C274" s="8" t="s">
        <v>47</v>
      </c>
      <c r="D274" s="8" t="n">
        <v>336</v>
      </c>
      <c r="E274" s="8" t="n">
        <v>14</v>
      </c>
      <c r="F274" s="8" t="s">
        <v>59</v>
      </c>
      <c r="G274" s="8" t="s">
        <v>617</v>
      </c>
      <c r="H274" s="8" t="s">
        <v>622</v>
      </c>
    </row>
    <row r="275" customFormat="false" ht="34.5" hidden="false" customHeight="true" outlineLevel="0" collapsed="false">
      <c r="A275" s="8" t="str">
        <f aca="false">"T-"&amp;TEXT(ROW()-1,"000")</f>
        <v>T-274</v>
      </c>
      <c r="B275" s="8" t="s">
        <v>623</v>
      </c>
      <c r="C275" s="8" t="s">
        <v>53</v>
      </c>
      <c r="D275" s="8" t="n">
        <v>294</v>
      </c>
      <c r="E275" s="8" t="n">
        <v>19</v>
      </c>
      <c r="F275" s="8" t="s">
        <v>59</v>
      </c>
      <c r="G275" s="8" t="s">
        <v>617</v>
      </c>
      <c r="H275" s="8" t="s">
        <v>624</v>
      </c>
    </row>
    <row r="276" customFormat="false" ht="34.5" hidden="false" customHeight="true" outlineLevel="0" collapsed="false">
      <c r="A276" s="8" t="str">
        <f aca="false">"T-"&amp;TEXT(ROW()-1,"000")</f>
        <v>T-275</v>
      </c>
      <c r="B276" s="8" t="s">
        <v>625</v>
      </c>
      <c r="C276" s="8" t="s">
        <v>95</v>
      </c>
      <c r="D276" s="8" t="n">
        <v>267</v>
      </c>
      <c r="E276" s="8" t="n">
        <v>19</v>
      </c>
      <c r="F276" s="8" t="s">
        <v>48</v>
      </c>
      <c r="G276" s="8" t="s">
        <v>617</v>
      </c>
      <c r="H276" s="8" t="s">
        <v>626</v>
      </c>
    </row>
    <row r="277" customFormat="false" ht="34.5" hidden="false" customHeight="true" outlineLevel="0" collapsed="false">
      <c r="A277" s="8" t="str">
        <f aca="false">"T-"&amp;TEXT(ROW()-1,"000")</f>
        <v>T-276</v>
      </c>
      <c r="B277" s="8" t="s">
        <v>627</v>
      </c>
      <c r="C277" s="8" t="s">
        <v>53</v>
      </c>
      <c r="D277" s="8" t="n">
        <v>485</v>
      </c>
      <c r="E277" s="8" t="n">
        <v>22</v>
      </c>
      <c r="F277" s="8" t="s">
        <v>48</v>
      </c>
      <c r="G277" s="8" t="s">
        <v>617</v>
      </c>
      <c r="H277" s="8" t="s">
        <v>628</v>
      </c>
    </row>
    <row r="278" customFormat="false" ht="34.5" hidden="false" customHeight="true" outlineLevel="0" collapsed="false">
      <c r="A278" s="8" t="str">
        <f aca="false">"T-"&amp;TEXT(ROW()-1,"000")</f>
        <v>T-277</v>
      </c>
      <c r="B278" s="8" t="s">
        <v>629</v>
      </c>
      <c r="C278" s="8" t="s">
        <v>75</v>
      </c>
      <c r="D278" s="8" t="n">
        <v>340</v>
      </c>
      <c r="E278" s="8" t="n">
        <v>9</v>
      </c>
      <c r="F278" s="8" t="s">
        <v>54</v>
      </c>
      <c r="G278" s="8" t="s">
        <v>617</v>
      </c>
      <c r="H278" s="8" t="s">
        <v>630</v>
      </c>
    </row>
    <row r="279" customFormat="false" ht="23.25" hidden="false" customHeight="true" outlineLevel="0" collapsed="false">
      <c r="A279" s="8" t="str">
        <f aca="false">"T-"&amp;TEXT(ROW()-1,"000")</f>
        <v>T-278</v>
      </c>
      <c r="B279" s="8" t="s">
        <v>631</v>
      </c>
      <c r="C279" s="8" t="s">
        <v>75</v>
      </c>
      <c r="D279" s="8" t="n">
        <v>279</v>
      </c>
      <c r="E279" s="8" t="n">
        <v>16</v>
      </c>
      <c r="F279" s="8" t="s">
        <v>54</v>
      </c>
      <c r="G279" s="8" t="s">
        <v>617</v>
      </c>
      <c r="H279" s="8" t="s">
        <v>632</v>
      </c>
    </row>
    <row r="280" customFormat="false" ht="23.25" hidden="false" customHeight="true" outlineLevel="0" collapsed="false">
      <c r="A280" s="8" t="str">
        <f aca="false">"T-"&amp;TEXT(ROW()-1,"000")</f>
        <v>T-279</v>
      </c>
      <c r="B280" s="8" t="s">
        <v>633</v>
      </c>
      <c r="C280" s="8" t="s">
        <v>75</v>
      </c>
      <c r="D280" s="8" t="n">
        <v>499</v>
      </c>
      <c r="E280" s="8" t="n">
        <v>29</v>
      </c>
      <c r="F280" s="8" t="s">
        <v>59</v>
      </c>
      <c r="G280" s="8" t="s">
        <v>617</v>
      </c>
      <c r="H280" s="8" t="s">
        <v>634</v>
      </c>
    </row>
    <row r="281" customFormat="false" ht="34.5" hidden="false" customHeight="true" outlineLevel="0" collapsed="false">
      <c r="A281" s="8" t="str">
        <f aca="false">"T-"&amp;TEXT(ROW()-1,"000")</f>
        <v>T-280</v>
      </c>
      <c r="B281" s="8" t="s">
        <v>635</v>
      </c>
      <c r="C281" s="8" t="s">
        <v>75</v>
      </c>
      <c r="D281" s="8" t="n">
        <v>226</v>
      </c>
      <c r="E281" s="8" t="n">
        <v>15</v>
      </c>
      <c r="F281" s="8" t="s">
        <v>59</v>
      </c>
      <c r="G281" s="8" t="s">
        <v>617</v>
      </c>
      <c r="H281" s="8" t="s">
        <v>636</v>
      </c>
    </row>
    <row r="282" customFormat="false" ht="34.5" hidden="false" customHeight="true" outlineLevel="0" collapsed="false">
      <c r="A282" s="8" t="str">
        <f aca="false">"T-"&amp;TEXT(ROW()-1,"000")</f>
        <v>T-281</v>
      </c>
      <c r="B282" s="8" t="s">
        <v>637</v>
      </c>
      <c r="C282" s="8" t="s">
        <v>47</v>
      </c>
      <c r="D282" s="8" t="n">
        <v>222</v>
      </c>
      <c r="E282" s="8" t="n">
        <v>13</v>
      </c>
      <c r="F282" s="8" t="s">
        <v>48</v>
      </c>
      <c r="G282" s="8" t="s">
        <v>617</v>
      </c>
      <c r="H282" s="8" t="s">
        <v>638</v>
      </c>
    </row>
    <row r="283" customFormat="false" ht="34.5" hidden="false" customHeight="true" outlineLevel="0" collapsed="false">
      <c r="A283" s="8" t="str">
        <f aca="false">"T-"&amp;TEXT(ROW()-1,"000")</f>
        <v>T-282</v>
      </c>
      <c r="B283" s="8" t="s">
        <v>639</v>
      </c>
      <c r="C283" s="8" t="s">
        <v>75</v>
      </c>
      <c r="D283" s="8" t="n">
        <v>388</v>
      </c>
      <c r="E283" s="8" t="n">
        <v>15</v>
      </c>
      <c r="F283" s="8" t="s">
        <v>48</v>
      </c>
      <c r="G283" s="8" t="s">
        <v>617</v>
      </c>
      <c r="H283" s="8" t="s">
        <v>640</v>
      </c>
    </row>
    <row r="284" customFormat="false" ht="34.5" hidden="false" customHeight="true" outlineLevel="0" collapsed="false">
      <c r="A284" s="8" t="str">
        <f aca="false">"T-"&amp;TEXT(ROW()-1,"000")</f>
        <v>T-283</v>
      </c>
      <c r="B284" s="8" t="s">
        <v>641</v>
      </c>
      <c r="C284" s="8" t="s">
        <v>53</v>
      </c>
      <c r="D284" s="8" t="n">
        <v>492</v>
      </c>
      <c r="E284" s="8" t="n">
        <v>20</v>
      </c>
      <c r="F284" s="8" t="s">
        <v>59</v>
      </c>
      <c r="G284" s="8" t="s">
        <v>617</v>
      </c>
      <c r="H284" s="8" t="s">
        <v>642</v>
      </c>
    </row>
    <row r="285" customFormat="false" ht="23.25" hidden="false" customHeight="true" outlineLevel="0" collapsed="false">
      <c r="A285" s="8" t="str">
        <f aca="false">"T-"&amp;TEXT(ROW()-1,"000")</f>
        <v>T-284</v>
      </c>
      <c r="B285" s="8" t="s">
        <v>643</v>
      </c>
      <c r="C285" s="8" t="s">
        <v>75</v>
      </c>
      <c r="D285" s="8" t="n">
        <v>498</v>
      </c>
      <c r="E285" s="8" t="n">
        <v>14</v>
      </c>
      <c r="F285" s="8" t="s">
        <v>48</v>
      </c>
      <c r="G285" s="8" t="s">
        <v>617</v>
      </c>
      <c r="H285" s="8" t="s">
        <v>644</v>
      </c>
    </row>
    <row r="286" customFormat="false" ht="23.25" hidden="false" customHeight="true" outlineLevel="0" collapsed="false">
      <c r="A286" s="8" t="str">
        <f aca="false">"T-"&amp;TEXT(ROW()-1,"000")</f>
        <v>T-285</v>
      </c>
      <c r="B286" s="8" t="s">
        <v>645</v>
      </c>
      <c r="C286" s="8" t="s">
        <v>75</v>
      </c>
      <c r="D286" s="8" t="n">
        <v>396</v>
      </c>
      <c r="E286" s="8" t="n">
        <v>9</v>
      </c>
      <c r="F286" s="8" t="s">
        <v>48</v>
      </c>
      <c r="G286" s="8" t="s">
        <v>617</v>
      </c>
      <c r="H286" s="8" t="s">
        <v>646</v>
      </c>
    </row>
    <row r="287" customFormat="false" ht="34.5" hidden="false" customHeight="true" outlineLevel="0" collapsed="false">
      <c r="A287" s="8" t="str">
        <f aca="false">"T-"&amp;TEXT(ROW()-1,"000")</f>
        <v>T-286</v>
      </c>
      <c r="B287" s="8" t="s">
        <v>647</v>
      </c>
      <c r="C287" s="8" t="s">
        <v>95</v>
      </c>
      <c r="D287" s="8" t="n">
        <v>303</v>
      </c>
      <c r="E287" s="8" t="n">
        <v>15</v>
      </c>
      <c r="F287" s="8" t="s">
        <v>59</v>
      </c>
      <c r="G287" s="8" t="s">
        <v>617</v>
      </c>
      <c r="H287" s="8" t="s">
        <v>648</v>
      </c>
    </row>
    <row r="288" customFormat="false" ht="23.25" hidden="false" customHeight="true" outlineLevel="0" collapsed="false">
      <c r="A288" s="8" t="str">
        <f aca="false">"T-"&amp;TEXT(ROW()-1,"000")</f>
        <v>T-287</v>
      </c>
      <c r="B288" s="8" t="s">
        <v>649</v>
      </c>
      <c r="C288" s="8" t="s">
        <v>47</v>
      </c>
      <c r="D288" s="8" t="n">
        <v>152</v>
      </c>
      <c r="E288" s="8" t="n">
        <v>18</v>
      </c>
      <c r="F288" s="8" t="s">
        <v>54</v>
      </c>
      <c r="G288" s="8" t="s">
        <v>617</v>
      </c>
      <c r="H288" s="8" t="s">
        <v>650</v>
      </c>
    </row>
    <row r="289" customFormat="false" ht="34.5" hidden="false" customHeight="true" outlineLevel="0" collapsed="false">
      <c r="A289" s="8" t="str">
        <f aca="false">"T-"&amp;TEXT(ROW()-1,"000")</f>
        <v>T-288</v>
      </c>
      <c r="B289" s="8" t="s">
        <v>651</v>
      </c>
      <c r="C289" s="8" t="s">
        <v>75</v>
      </c>
      <c r="D289" s="8" t="n">
        <v>389</v>
      </c>
      <c r="E289" s="8" t="n">
        <v>10</v>
      </c>
      <c r="F289" s="8" t="s">
        <v>48</v>
      </c>
      <c r="G289" s="8" t="s">
        <v>617</v>
      </c>
      <c r="H289" s="8" t="s">
        <v>652</v>
      </c>
    </row>
    <row r="290" customFormat="false" ht="23.25" hidden="false" customHeight="true" outlineLevel="0" collapsed="false">
      <c r="A290" s="8" t="str">
        <f aca="false">"T-"&amp;TEXT(ROW()-1,"000")</f>
        <v>T-289</v>
      </c>
      <c r="B290" s="8" t="s">
        <v>653</v>
      </c>
      <c r="C290" s="8" t="s">
        <v>95</v>
      </c>
      <c r="D290" s="8" t="n">
        <v>488</v>
      </c>
      <c r="E290" s="8" t="n">
        <v>20</v>
      </c>
      <c r="F290" s="8" t="s">
        <v>59</v>
      </c>
      <c r="G290" s="8" t="s">
        <v>654</v>
      </c>
      <c r="H290" s="8" t="s">
        <v>655</v>
      </c>
    </row>
    <row r="291" customFormat="false" ht="23.25" hidden="false" customHeight="true" outlineLevel="0" collapsed="false">
      <c r="A291" s="8" t="str">
        <f aca="false">"T-"&amp;TEXT(ROW()-1,"000")</f>
        <v>T-290</v>
      </c>
      <c r="B291" s="8" t="s">
        <v>656</v>
      </c>
      <c r="C291" s="8" t="s">
        <v>53</v>
      </c>
      <c r="D291" s="8" t="n">
        <v>106</v>
      </c>
      <c r="E291" s="8" t="n">
        <v>22</v>
      </c>
      <c r="F291" s="8" t="s">
        <v>48</v>
      </c>
      <c r="G291" s="8" t="s">
        <v>654</v>
      </c>
      <c r="H291" s="8" t="s">
        <v>657</v>
      </c>
    </row>
    <row r="292" customFormat="false" ht="34.5" hidden="false" customHeight="true" outlineLevel="0" collapsed="false">
      <c r="A292" s="8" t="str">
        <f aca="false">"T-"&amp;TEXT(ROW()-1,"000")</f>
        <v>T-291</v>
      </c>
      <c r="B292" s="8" t="s">
        <v>658</v>
      </c>
      <c r="C292" s="8" t="s">
        <v>75</v>
      </c>
      <c r="D292" s="8" t="n">
        <v>321</v>
      </c>
      <c r="E292" s="8" t="n">
        <v>20</v>
      </c>
      <c r="F292" s="8" t="s">
        <v>54</v>
      </c>
      <c r="G292" s="8" t="s">
        <v>654</v>
      </c>
      <c r="H292" s="8" t="s">
        <v>659</v>
      </c>
    </row>
    <row r="293" customFormat="false" ht="34.5" hidden="false" customHeight="true" outlineLevel="0" collapsed="false">
      <c r="A293" s="8" t="str">
        <f aca="false">"T-"&amp;TEXT(ROW()-1,"000")</f>
        <v>T-292</v>
      </c>
      <c r="B293" s="8" t="s">
        <v>660</v>
      </c>
      <c r="C293" s="8" t="s">
        <v>95</v>
      </c>
      <c r="D293" s="8" t="n">
        <v>462</v>
      </c>
      <c r="E293" s="8" t="n">
        <v>13</v>
      </c>
      <c r="F293" s="8" t="s">
        <v>48</v>
      </c>
      <c r="G293" s="8" t="s">
        <v>654</v>
      </c>
      <c r="H293" s="8" t="s">
        <v>661</v>
      </c>
    </row>
    <row r="294" customFormat="false" ht="34.5" hidden="false" customHeight="true" outlineLevel="0" collapsed="false">
      <c r="A294" s="8" t="str">
        <f aca="false">"T-"&amp;TEXT(ROW()-1,"000")</f>
        <v>T-293</v>
      </c>
      <c r="B294" s="8" t="s">
        <v>662</v>
      </c>
      <c r="C294" s="8" t="s">
        <v>47</v>
      </c>
      <c r="D294" s="8" t="n">
        <v>475</v>
      </c>
      <c r="E294" s="8" t="n">
        <v>25</v>
      </c>
      <c r="F294" s="8" t="s">
        <v>54</v>
      </c>
      <c r="G294" s="8" t="s">
        <v>654</v>
      </c>
      <c r="H294" s="8" t="s">
        <v>663</v>
      </c>
    </row>
    <row r="295" customFormat="false" ht="34.5" hidden="false" customHeight="true" outlineLevel="0" collapsed="false">
      <c r="A295" s="8" t="str">
        <f aca="false">"T-"&amp;TEXT(ROW()-1,"000")</f>
        <v>T-294</v>
      </c>
      <c r="B295" s="8" t="s">
        <v>664</v>
      </c>
      <c r="C295" s="8" t="s">
        <v>53</v>
      </c>
      <c r="D295" s="8" t="n">
        <v>415</v>
      </c>
      <c r="E295" s="8" t="n">
        <v>26</v>
      </c>
      <c r="F295" s="8" t="s">
        <v>48</v>
      </c>
      <c r="G295" s="8" t="s">
        <v>654</v>
      </c>
      <c r="H295" s="8" t="s">
        <v>665</v>
      </c>
    </row>
    <row r="296" customFormat="false" ht="34.5" hidden="false" customHeight="true" outlineLevel="0" collapsed="false">
      <c r="A296" s="8" t="str">
        <f aca="false">"T-"&amp;TEXT(ROW()-1,"000")</f>
        <v>T-295</v>
      </c>
      <c r="B296" s="8" t="s">
        <v>666</v>
      </c>
      <c r="C296" s="8" t="s">
        <v>95</v>
      </c>
      <c r="D296" s="8" t="n">
        <v>323</v>
      </c>
      <c r="E296" s="8" t="n">
        <v>27</v>
      </c>
      <c r="F296" s="8" t="s">
        <v>48</v>
      </c>
      <c r="G296" s="8" t="s">
        <v>654</v>
      </c>
      <c r="H296" s="8" t="s">
        <v>667</v>
      </c>
    </row>
    <row r="297" customFormat="false" ht="23.25" hidden="false" customHeight="true" outlineLevel="0" collapsed="false">
      <c r="A297" s="8" t="str">
        <f aca="false">"T-"&amp;TEXT(ROW()-1,"000")</f>
        <v>T-296</v>
      </c>
      <c r="B297" s="8" t="s">
        <v>668</v>
      </c>
      <c r="C297" s="8" t="s">
        <v>53</v>
      </c>
      <c r="D297" s="8" t="n">
        <v>225</v>
      </c>
      <c r="E297" s="8" t="n">
        <v>11</v>
      </c>
      <c r="F297" s="8" t="s">
        <v>48</v>
      </c>
      <c r="G297" s="8" t="s">
        <v>654</v>
      </c>
      <c r="H297" s="8" t="s">
        <v>669</v>
      </c>
    </row>
    <row r="298" customFormat="false" ht="23.25" hidden="false" customHeight="true" outlineLevel="0" collapsed="false">
      <c r="A298" s="8" t="str">
        <f aca="false">"T-"&amp;TEXT(ROW()-1,"000")</f>
        <v>T-297</v>
      </c>
      <c r="B298" s="8" t="s">
        <v>670</v>
      </c>
      <c r="C298" s="8" t="s">
        <v>95</v>
      </c>
      <c r="D298" s="8" t="n">
        <v>224</v>
      </c>
      <c r="E298" s="8" t="n">
        <v>23</v>
      </c>
      <c r="F298" s="8" t="s">
        <v>54</v>
      </c>
      <c r="G298" s="8" t="s">
        <v>654</v>
      </c>
      <c r="H298" s="8" t="s">
        <v>671</v>
      </c>
    </row>
    <row r="299" customFormat="false" ht="34.5" hidden="false" customHeight="true" outlineLevel="0" collapsed="false">
      <c r="A299" s="8" t="str">
        <f aca="false">"T-"&amp;TEXT(ROW()-1,"000")</f>
        <v>T-298</v>
      </c>
      <c r="B299" s="8" t="s">
        <v>672</v>
      </c>
      <c r="C299" s="8" t="s">
        <v>95</v>
      </c>
      <c r="D299" s="8" t="n">
        <v>272</v>
      </c>
      <c r="E299" s="8" t="n">
        <v>9</v>
      </c>
      <c r="F299" s="8" t="s">
        <v>48</v>
      </c>
      <c r="G299" s="8" t="s">
        <v>654</v>
      </c>
      <c r="H299" s="8" t="s">
        <v>673</v>
      </c>
    </row>
    <row r="300" customFormat="false" ht="34.5" hidden="false" customHeight="true" outlineLevel="0" collapsed="false">
      <c r="A300" s="8" t="str">
        <f aca="false">"T-"&amp;TEXT(ROW()-1,"000")</f>
        <v>T-299</v>
      </c>
      <c r="B300" s="8" t="s">
        <v>674</v>
      </c>
      <c r="C300" s="8" t="s">
        <v>53</v>
      </c>
      <c r="D300" s="8" t="n">
        <v>193</v>
      </c>
      <c r="E300" s="8" t="n">
        <v>24</v>
      </c>
      <c r="F300" s="8" t="s">
        <v>59</v>
      </c>
      <c r="G300" s="8" t="s">
        <v>654</v>
      </c>
      <c r="H300" s="8" t="s">
        <v>675</v>
      </c>
    </row>
    <row r="301" customFormat="false" ht="34.5" hidden="false" customHeight="true" outlineLevel="0" collapsed="false">
      <c r="A301" s="8" t="str">
        <f aca="false">"T-"&amp;TEXT(ROW()-1,"000")</f>
        <v>T-300</v>
      </c>
      <c r="B301" s="8" t="s">
        <v>676</v>
      </c>
      <c r="C301" s="8" t="s">
        <v>53</v>
      </c>
      <c r="D301" s="8" t="n">
        <v>232</v>
      </c>
      <c r="E301" s="8" t="n">
        <v>19</v>
      </c>
      <c r="F301" s="8" t="s">
        <v>48</v>
      </c>
      <c r="G301" s="8" t="s">
        <v>654</v>
      </c>
      <c r="H301" s="8" t="s">
        <v>677</v>
      </c>
    </row>
    <row r="302" customFormat="false" ht="34.5" hidden="false" customHeight="true" outlineLevel="0" collapsed="false">
      <c r="A302" s="8" t="str">
        <f aca="false">"T-"&amp;TEXT(ROW()-1,"000")</f>
        <v>T-301</v>
      </c>
      <c r="B302" s="8" t="s">
        <v>678</v>
      </c>
      <c r="C302" s="8" t="s">
        <v>53</v>
      </c>
      <c r="D302" s="8" t="n">
        <v>384</v>
      </c>
      <c r="E302" s="8" t="n">
        <v>9</v>
      </c>
      <c r="F302" s="8" t="s">
        <v>54</v>
      </c>
      <c r="G302" s="8" t="s">
        <v>654</v>
      </c>
      <c r="H302" s="8" t="s">
        <v>679</v>
      </c>
    </row>
    <row r="303" customFormat="false" ht="23.25" hidden="false" customHeight="true" outlineLevel="0" collapsed="false">
      <c r="A303" s="8" t="str">
        <f aca="false">"T-"&amp;TEXT(ROW()-1,"000")</f>
        <v>T-302</v>
      </c>
      <c r="B303" s="8" t="s">
        <v>680</v>
      </c>
      <c r="C303" s="8" t="s">
        <v>47</v>
      </c>
      <c r="D303" s="8" t="n">
        <v>143</v>
      </c>
      <c r="E303" s="8" t="n">
        <v>16</v>
      </c>
      <c r="F303" s="8" t="s">
        <v>54</v>
      </c>
      <c r="G303" s="8" t="s">
        <v>654</v>
      </c>
      <c r="H303" s="8" t="s">
        <v>681</v>
      </c>
    </row>
    <row r="304" customFormat="false" ht="23.25" hidden="false" customHeight="true" outlineLevel="0" collapsed="false">
      <c r="A304" s="8" t="str">
        <f aca="false">"T-"&amp;TEXT(ROW()-1,"000")</f>
        <v>T-303</v>
      </c>
      <c r="B304" s="8" t="s">
        <v>682</v>
      </c>
      <c r="C304" s="8" t="s">
        <v>95</v>
      </c>
      <c r="D304" s="8" t="n">
        <v>350</v>
      </c>
      <c r="E304" s="8" t="n">
        <v>26</v>
      </c>
      <c r="F304" s="8" t="s">
        <v>59</v>
      </c>
      <c r="G304" s="8" t="s">
        <v>654</v>
      </c>
      <c r="H304" s="8" t="s">
        <v>683</v>
      </c>
    </row>
    <row r="305" customFormat="false" ht="34.5" hidden="false" customHeight="true" outlineLevel="0" collapsed="false">
      <c r="A305" s="8" t="str">
        <f aca="false">"T-"&amp;TEXT(ROW()-1,"000")</f>
        <v>T-304</v>
      </c>
      <c r="B305" s="8" t="s">
        <v>684</v>
      </c>
      <c r="C305" s="8" t="s">
        <v>95</v>
      </c>
      <c r="D305" s="8" t="n">
        <v>430</v>
      </c>
      <c r="E305" s="8" t="n">
        <v>24</v>
      </c>
      <c r="F305" s="8" t="s">
        <v>48</v>
      </c>
      <c r="G305" s="8" t="s">
        <v>654</v>
      </c>
      <c r="H305" s="8" t="s">
        <v>685</v>
      </c>
    </row>
    <row r="306" customFormat="false" ht="23.25" hidden="false" customHeight="true" outlineLevel="0" collapsed="false">
      <c r="A306" s="8" t="str">
        <f aca="false">"T-"&amp;TEXT(ROW()-1,"000")</f>
        <v>T-305</v>
      </c>
      <c r="B306" s="8" t="s">
        <v>686</v>
      </c>
      <c r="C306" s="8" t="s">
        <v>75</v>
      </c>
      <c r="D306" s="8" t="n">
        <v>147</v>
      </c>
      <c r="E306" s="8" t="n">
        <v>18</v>
      </c>
      <c r="F306" s="8" t="s">
        <v>59</v>
      </c>
      <c r="G306" s="8" t="s">
        <v>654</v>
      </c>
      <c r="H306" s="8" t="s">
        <v>687</v>
      </c>
    </row>
    <row r="307" customFormat="false" ht="34.5" hidden="false" customHeight="true" outlineLevel="0" collapsed="false">
      <c r="A307" s="8" t="str">
        <f aca="false">"T-"&amp;TEXT(ROW()-1,"000")</f>
        <v>T-306</v>
      </c>
      <c r="B307" s="8" t="s">
        <v>688</v>
      </c>
      <c r="C307" s="8" t="s">
        <v>95</v>
      </c>
      <c r="D307" s="8" t="n">
        <v>454</v>
      </c>
      <c r="E307" s="8" t="n">
        <v>16</v>
      </c>
      <c r="F307" s="8" t="s">
        <v>48</v>
      </c>
      <c r="G307" s="8" t="s">
        <v>654</v>
      </c>
      <c r="H307" s="8" t="s">
        <v>689</v>
      </c>
    </row>
    <row r="308" customFormat="false" ht="23.25" hidden="false" customHeight="true" outlineLevel="0" collapsed="false">
      <c r="A308" s="8" t="str">
        <f aca="false">"T-"&amp;TEXT(ROW()-1,"000")</f>
        <v>T-307</v>
      </c>
      <c r="B308" s="8" t="s">
        <v>690</v>
      </c>
      <c r="C308" s="8" t="s">
        <v>53</v>
      </c>
      <c r="D308" s="8" t="n">
        <v>392</v>
      </c>
      <c r="E308" s="8" t="n">
        <v>26</v>
      </c>
      <c r="F308" s="8" t="s">
        <v>54</v>
      </c>
      <c r="G308" s="8" t="s">
        <v>691</v>
      </c>
      <c r="H308" s="8" t="s">
        <v>692</v>
      </c>
    </row>
    <row r="309" customFormat="false" ht="34.5" hidden="false" customHeight="true" outlineLevel="0" collapsed="false">
      <c r="A309" s="8" t="str">
        <f aca="false">"T-"&amp;TEXT(ROW()-1,"000")</f>
        <v>T-308</v>
      </c>
      <c r="B309" s="8" t="s">
        <v>693</v>
      </c>
      <c r="C309" s="8" t="s">
        <v>53</v>
      </c>
      <c r="D309" s="8" t="n">
        <v>317</v>
      </c>
      <c r="E309" s="8" t="n">
        <v>26</v>
      </c>
      <c r="F309" s="8" t="s">
        <v>48</v>
      </c>
      <c r="G309" s="8" t="s">
        <v>691</v>
      </c>
      <c r="H309" s="8" t="s">
        <v>694</v>
      </c>
    </row>
    <row r="310" customFormat="false" ht="34.5" hidden="false" customHeight="true" outlineLevel="0" collapsed="false">
      <c r="A310" s="8" t="str">
        <f aca="false">"T-"&amp;TEXT(ROW()-1,"000")</f>
        <v>T-309</v>
      </c>
      <c r="B310" s="8" t="s">
        <v>695</v>
      </c>
      <c r="C310" s="8" t="s">
        <v>53</v>
      </c>
      <c r="D310" s="8" t="n">
        <v>459</v>
      </c>
      <c r="E310" s="8" t="n">
        <v>23</v>
      </c>
      <c r="F310" s="8" t="s">
        <v>48</v>
      </c>
      <c r="G310" s="8" t="s">
        <v>691</v>
      </c>
      <c r="H310" s="8" t="s">
        <v>696</v>
      </c>
    </row>
    <row r="311" customFormat="false" ht="34.5" hidden="false" customHeight="true" outlineLevel="0" collapsed="false">
      <c r="A311" s="8" t="str">
        <f aca="false">"T-"&amp;TEXT(ROW()-1,"000")</f>
        <v>T-310</v>
      </c>
      <c r="B311" s="8" t="s">
        <v>697</v>
      </c>
      <c r="C311" s="8" t="s">
        <v>53</v>
      </c>
      <c r="D311" s="8" t="n">
        <v>228</v>
      </c>
      <c r="E311" s="8" t="n">
        <v>16</v>
      </c>
      <c r="F311" s="8" t="s">
        <v>59</v>
      </c>
      <c r="G311" s="8" t="s">
        <v>691</v>
      </c>
      <c r="H311" s="8" t="s">
        <v>698</v>
      </c>
    </row>
    <row r="312" customFormat="false" ht="34.5" hidden="false" customHeight="true" outlineLevel="0" collapsed="false">
      <c r="A312" s="8" t="str">
        <f aca="false">"T-"&amp;TEXT(ROW()-1,"000")</f>
        <v>T-311</v>
      </c>
      <c r="B312" s="8" t="s">
        <v>699</v>
      </c>
      <c r="C312" s="8" t="s">
        <v>47</v>
      </c>
      <c r="D312" s="8" t="n">
        <v>261</v>
      </c>
      <c r="E312" s="8" t="n">
        <v>12</v>
      </c>
      <c r="F312" s="8" t="s">
        <v>54</v>
      </c>
      <c r="G312" s="8" t="s">
        <v>691</v>
      </c>
      <c r="H312" s="8" t="s">
        <v>700</v>
      </c>
    </row>
    <row r="313" customFormat="false" ht="34.5" hidden="false" customHeight="true" outlineLevel="0" collapsed="false">
      <c r="A313" s="8" t="str">
        <f aca="false">"T-"&amp;TEXT(ROW()-1,"000")</f>
        <v>T-312</v>
      </c>
      <c r="B313" s="8" t="s">
        <v>701</v>
      </c>
      <c r="C313" s="8" t="s">
        <v>47</v>
      </c>
      <c r="D313" s="8" t="n">
        <v>198</v>
      </c>
      <c r="E313" s="8" t="n">
        <v>15</v>
      </c>
      <c r="F313" s="8" t="s">
        <v>54</v>
      </c>
      <c r="G313" s="8" t="s">
        <v>691</v>
      </c>
      <c r="H313" s="8" t="s">
        <v>702</v>
      </c>
    </row>
    <row r="314" customFormat="false" ht="34.5" hidden="false" customHeight="true" outlineLevel="0" collapsed="false">
      <c r="A314" s="8" t="str">
        <f aca="false">"T-"&amp;TEXT(ROW()-1,"000")</f>
        <v>T-313</v>
      </c>
      <c r="B314" s="8" t="s">
        <v>703</v>
      </c>
      <c r="C314" s="8" t="s">
        <v>95</v>
      </c>
      <c r="D314" s="8" t="n">
        <v>241</v>
      </c>
      <c r="E314" s="8" t="n">
        <v>27</v>
      </c>
      <c r="F314" s="8" t="s">
        <v>54</v>
      </c>
      <c r="G314" s="8" t="s">
        <v>691</v>
      </c>
      <c r="H314" s="8" t="s">
        <v>704</v>
      </c>
    </row>
    <row r="315" customFormat="false" ht="23.25" hidden="false" customHeight="true" outlineLevel="0" collapsed="false">
      <c r="A315" s="8" t="str">
        <f aca="false">"T-"&amp;TEXT(ROW()-1,"000")</f>
        <v>T-314</v>
      </c>
      <c r="B315" s="8" t="s">
        <v>705</v>
      </c>
      <c r="C315" s="8" t="s">
        <v>53</v>
      </c>
      <c r="D315" s="8" t="n">
        <v>151</v>
      </c>
      <c r="E315" s="8" t="n">
        <v>15</v>
      </c>
      <c r="F315" s="8" t="s">
        <v>48</v>
      </c>
      <c r="G315" s="8" t="s">
        <v>691</v>
      </c>
      <c r="H315" s="8" t="s">
        <v>706</v>
      </c>
    </row>
    <row r="316" customFormat="false" ht="23.25" hidden="false" customHeight="true" outlineLevel="0" collapsed="false">
      <c r="A316" s="8" t="str">
        <f aca="false">"T-"&amp;TEXT(ROW()-1,"000")</f>
        <v>T-315</v>
      </c>
      <c r="B316" s="8" t="s">
        <v>707</v>
      </c>
      <c r="C316" s="8" t="s">
        <v>47</v>
      </c>
      <c r="D316" s="8" t="n">
        <v>284</v>
      </c>
      <c r="E316" s="8" t="n">
        <v>14</v>
      </c>
      <c r="F316" s="8" t="s">
        <v>48</v>
      </c>
      <c r="G316" s="8" t="s">
        <v>691</v>
      </c>
      <c r="H316" s="8" t="s">
        <v>708</v>
      </c>
    </row>
    <row r="317" customFormat="false" ht="34.5" hidden="false" customHeight="true" outlineLevel="0" collapsed="false">
      <c r="A317" s="8" t="str">
        <f aca="false">"T-"&amp;TEXT(ROW()-1,"000")</f>
        <v>T-316</v>
      </c>
      <c r="B317" s="8" t="s">
        <v>709</v>
      </c>
      <c r="C317" s="8" t="s">
        <v>75</v>
      </c>
      <c r="D317" s="8" t="n">
        <v>462</v>
      </c>
      <c r="E317" s="8" t="n">
        <v>26</v>
      </c>
      <c r="F317" s="8" t="s">
        <v>59</v>
      </c>
      <c r="G317" s="8" t="s">
        <v>691</v>
      </c>
      <c r="H317" s="8" t="s">
        <v>710</v>
      </c>
    </row>
    <row r="318" customFormat="false" ht="34.5" hidden="false" customHeight="true" outlineLevel="0" collapsed="false">
      <c r="A318" s="8" t="str">
        <f aca="false">"T-"&amp;TEXT(ROW()-1,"000")</f>
        <v>T-317</v>
      </c>
      <c r="B318" s="8" t="s">
        <v>711</v>
      </c>
      <c r="C318" s="8" t="s">
        <v>53</v>
      </c>
      <c r="D318" s="8" t="n">
        <v>123</v>
      </c>
      <c r="E318" s="8" t="n">
        <v>10</v>
      </c>
      <c r="F318" s="8" t="s">
        <v>54</v>
      </c>
      <c r="G318" s="8" t="s">
        <v>691</v>
      </c>
      <c r="H318" s="8" t="s">
        <v>712</v>
      </c>
    </row>
    <row r="319" customFormat="false" ht="34.5" hidden="false" customHeight="true" outlineLevel="0" collapsed="false">
      <c r="A319" s="8" t="str">
        <f aca="false">"T-"&amp;TEXT(ROW()-1,"000")</f>
        <v>T-318</v>
      </c>
      <c r="B319" s="8" t="s">
        <v>713</v>
      </c>
      <c r="C319" s="8" t="s">
        <v>53</v>
      </c>
      <c r="D319" s="8" t="n">
        <v>457</v>
      </c>
      <c r="E319" s="8" t="n">
        <v>13</v>
      </c>
      <c r="F319" s="8" t="s">
        <v>54</v>
      </c>
      <c r="G319" s="8" t="s">
        <v>691</v>
      </c>
      <c r="H319" s="8" t="s">
        <v>714</v>
      </c>
    </row>
    <row r="320" customFormat="false" ht="34.5" hidden="false" customHeight="true" outlineLevel="0" collapsed="false">
      <c r="A320" s="8" t="str">
        <f aca="false">"T-"&amp;TEXT(ROW()-1,"000")</f>
        <v>T-319</v>
      </c>
      <c r="B320" s="8" t="s">
        <v>715</v>
      </c>
      <c r="C320" s="8" t="s">
        <v>95</v>
      </c>
      <c r="D320" s="8" t="n">
        <v>152</v>
      </c>
      <c r="E320" s="8" t="n">
        <v>9</v>
      </c>
      <c r="F320" s="8" t="s">
        <v>54</v>
      </c>
      <c r="G320" s="8" t="s">
        <v>691</v>
      </c>
      <c r="H320" s="8" t="s">
        <v>716</v>
      </c>
    </row>
    <row r="321" customFormat="false" ht="23.25" hidden="false" customHeight="true" outlineLevel="0" collapsed="false">
      <c r="A321" s="8" t="str">
        <f aca="false">"T-"&amp;TEXT(ROW()-1,"000")</f>
        <v>T-320</v>
      </c>
      <c r="B321" s="8" t="s">
        <v>717</v>
      </c>
      <c r="C321" s="8" t="s">
        <v>53</v>
      </c>
      <c r="D321" s="8" t="n">
        <v>340</v>
      </c>
      <c r="E321" s="8" t="n">
        <v>24</v>
      </c>
      <c r="F321" s="8" t="s">
        <v>48</v>
      </c>
      <c r="G321" s="8" t="s">
        <v>691</v>
      </c>
      <c r="H321" s="8" t="s">
        <v>718</v>
      </c>
    </row>
    <row r="322" customFormat="false" ht="23.25" hidden="false" customHeight="true" outlineLevel="0" collapsed="false">
      <c r="A322" s="8" t="str">
        <f aca="false">"T-"&amp;TEXT(ROW()-1,"000")</f>
        <v>T-321</v>
      </c>
      <c r="B322" s="8" t="s">
        <v>719</v>
      </c>
      <c r="C322" s="8" t="s">
        <v>53</v>
      </c>
      <c r="D322" s="8" t="n">
        <v>194</v>
      </c>
      <c r="E322" s="8" t="n">
        <v>10</v>
      </c>
      <c r="F322" s="8" t="s">
        <v>48</v>
      </c>
      <c r="G322" s="8" t="s">
        <v>691</v>
      </c>
      <c r="H322" s="8" t="s">
        <v>720</v>
      </c>
    </row>
    <row r="323" customFormat="false" ht="34.5" hidden="false" customHeight="true" outlineLevel="0" collapsed="false">
      <c r="A323" s="8" t="str">
        <f aca="false">"T-"&amp;TEXT(ROW()-1,"000")</f>
        <v>T-322</v>
      </c>
      <c r="B323" s="8" t="s">
        <v>721</v>
      </c>
      <c r="C323" s="8" t="s">
        <v>95</v>
      </c>
      <c r="D323" s="8" t="n">
        <v>158</v>
      </c>
      <c r="E323" s="8" t="n">
        <v>11</v>
      </c>
      <c r="F323" s="8" t="s">
        <v>48</v>
      </c>
      <c r="G323" s="8" t="s">
        <v>691</v>
      </c>
      <c r="H323" s="8" t="s">
        <v>722</v>
      </c>
    </row>
    <row r="324" customFormat="false" ht="34.5" hidden="false" customHeight="true" outlineLevel="0" collapsed="false">
      <c r="A324" s="8" t="str">
        <f aca="false">"T-"&amp;TEXT(ROW()-1,"000")</f>
        <v>T-323</v>
      </c>
      <c r="B324" s="8" t="s">
        <v>723</v>
      </c>
      <c r="C324" s="8" t="s">
        <v>95</v>
      </c>
      <c r="D324" s="8" t="n">
        <v>137</v>
      </c>
      <c r="E324" s="8" t="n">
        <v>27</v>
      </c>
      <c r="F324" s="8" t="s">
        <v>54</v>
      </c>
      <c r="G324" s="8" t="s">
        <v>691</v>
      </c>
      <c r="H324" s="8" t="s">
        <v>724</v>
      </c>
    </row>
    <row r="325" customFormat="false" ht="34.5" hidden="false" customHeight="true" outlineLevel="0" collapsed="false">
      <c r="A325" s="8" t="str">
        <f aca="false">"T-"&amp;TEXT(ROW()-1,"000")</f>
        <v>T-324</v>
      </c>
      <c r="B325" s="8" t="s">
        <v>725</v>
      </c>
      <c r="C325" s="8" t="s">
        <v>75</v>
      </c>
      <c r="D325" s="8" t="n">
        <v>177</v>
      </c>
      <c r="E325" s="8" t="n">
        <v>13</v>
      </c>
      <c r="F325" s="8" t="s">
        <v>54</v>
      </c>
      <c r="G325" s="8" t="s">
        <v>691</v>
      </c>
      <c r="H325" s="8" t="s">
        <v>726</v>
      </c>
    </row>
    <row r="326" customFormat="false" ht="23.25" hidden="false" customHeight="true" outlineLevel="0" collapsed="false">
      <c r="A326" s="8" t="str">
        <f aca="false">"T-"&amp;TEXT(ROW()-1,"000")</f>
        <v>T-325</v>
      </c>
      <c r="B326" s="8" t="s">
        <v>727</v>
      </c>
      <c r="C326" s="8" t="s">
        <v>53</v>
      </c>
      <c r="D326" s="8" t="n">
        <v>193</v>
      </c>
      <c r="E326" s="8" t="n">
        <v>16</v>
      </c>
      <c r="F326" s="8" t="s">
        <v>59</v>
      </c>
      <c r="G326" s="8" t="s">
        <v>728</v>
      </c>
      <c r="H326" s="8" t="s">
        <v>729</v>
      </c>
    </row>
    <row r="327" customFormat="false" ht="34.5" hidden="false" customHeight="true" outlineLevel="0" collapsed="false">
      <c r="A327" s="8" t="str">
        <f aca="false">"T-"&amp;TEXT(ROW()-1,"000")</f>
        <v>T-326</v>
      </c>
      <c r="B327" s="8" t="s">
        <v>730</v>
      </c>
      <c r="C327" s="8" t="s">
        <v>95</v>
      </c>
      <c r="D327" s="8" t="n">
        <v>410</v>
      </c>
      <c r="E327" s="8" t="n">
        <v>28</v>
      </c>
      <c r="F327" s="8" t="s">
        <v>54</v>
      </c>
      <c r="G327" s="8" t="s">
        <v>728</v>
      </c>
      <c r="H327" s="8" t="s">
        <v>731</v>
      </c>
    </row>
    <row r="328" customFormat="false" ht="34.5" hidden="false" customHeight="true" outlineLevel="0" collapsed="false">
      <c r="A328" s="8" t="str">
        <f aca="false">"T-"&amp;TEXT(ROW()-1,"000")</f>
        <v>T-327</v>
      </c>
      <c r="B328" s="8" t="s">
        <v>732</v>
      </c>
      <c r="C328" s="8" t="s">
        <v>47</v>
      </c>
      <c r="D328" s="8" t="n">
        <v>497</v>
      </c>
      <c r="E328" s="8" t="n">
        <v>25</v>
      </c>
      <c r="F328" s="8" t="s">
        <v>48</v>
      </c>
      <c r="G328" s="8" t="s">
        <v>728</v>
      </c>
      <c r="H328" s="8" t="s">
        <v>733</v>
      </c>
    </row>
    <row r="329" customFormat="false" ht="34.5" hidden="false" customHeight="true" outlineLevel="0" collapsed="false">
      <c r="A329" s="8" t="str">
        <f aca="false">"T-"&amp;TEXT(ROW()-1,"000")</f>
        <v>T-328</v>
      </c>
      <c r="B329" s="8" t="s">
        <v>734</v>
      </c>
      <c r="C329" s="8" t="s">
        <v>95</v>
      </c>
      <c r="D329" s="8" t="n">
        <v>326</v>
      </c>
      <c r="E329" s="8" t="n">
        <v>18</v>
      </c>
      <c r="F329" s="8" t="s">
        <v>54</v>
      </c>
      <c r="G329" s="8" t="s">
        <v>728</v>
      </c>
      <c r="H329" s="8" t="s">
        <v>735</v>
      </c>
    </row>
    <row r="330" customFormat="false" ht="34.5" hidden="false" customHeight="true" outlineLevel="0" collapsed="false">
      <c r="A330" s="8" t="str">
        <f aca="false">"T-"&amp;TEXT(ROW()-1,"000")</f>
        <v>T-329</v>
      </c>
      <c r="B330" s="8" t="s">
        <v>736</v>
      </c>
      <c r="C330" s="8" t="s">
        <v>95</v>
      </c>
      <c r="D330" s="8" t="n">
        <v>256</v>
      </c>
      <c r="E330" s="8" t="n">
        <v>27</v>
      </c>
      <c r="F330" s="8" t="s">
        <v>54</v>
      </c>
      <c r="G330" s="8" t="s">
        <v>728</v>
      </c>
      <c r="H330" s="8" t="s">
        <v>737</v>
      </c>
    </row>
    <row r="331" customFormat="false" ht="34.5" hidden="false" customHeight="true" outlineLevel="0" collapsed="false">
      <c r="A331" s="8" t="str">
        <f aca="false">"T-"&amp;TEXT(ROW()-1,"000")</f>
        <v>T-330</v>
      </c>
      <c r="B331" s="8" t="s">
        <v>738</v>
      </c>
      <c r="C331" s="8" t="s">
        <v>75</v>
      </c>
      <c r="D331" s="8" t="n">
        <v>412</v>
      </c>
      <c r="E331" s="8" t="n">
        <v>12</v>
      </c>
      <c r="F331" s="8" t="s">
        <v>59</v>
      </c>
      <c r="G331" s="8" t="s">
        <v>728</v>
      </c>
      <c r="H331" s="8" t="s">
        <v>739</v>
      </c>
    </row>
    <row r="332" customFormat="false" ht="34.5" hidden="false" customHeight="true" outlineLevel="0" collapsed="false">
      <c r="A332" s="8" t="str">
        <f aca="false">"T-"&amp;TEXT(ROW()-1,"000")</f>
        <v>T-331</v>
      </c>
      <c r="B332" s="8" t="s">
        <v>740</v>
      </c>
      <c r="C332" s="8" t="s">
        <v>47</v>
      </c>
      <c r="D332" s="8" t="n">
        <v>235</v>
      </c>
      <c r="E332" s="8" t="n">
        <v>30</v>
      </c>
      <c r="F332" s="8" t="s">
        <v>59</v>
      </c>
      <c r="G332" s="8" t="s">
        <v>728</v>
      </c>
      <c r="H332" s="8" t="s">
        <v>741</v>
      </c>
    </row>
    <row r="333" customFormat="false" ht="34.5" hidden="false" customHeight="true" outlineLevel="0" collapsed="false">
      <c r="A333" s="8" t="str">
        <f aca="false">"T-"&amp;TEXT(ROW()-1,"000")</f>
        <v>T-332</v>
      </c>
      <c r="B333" s="8" t="s">
        <v>742</v>
      </c>
      <c r="C333" s="8" t="s">
        <v>47</v>
      </c>
      <c r="D333" s="8" t="n">
        <v>222</v>
      </c>
      <c r="E333" s="8" t="n">
        <v>14</v>
      </c>
      <c r="F333" s="8" t="s">
        <v>54</v>
      </c>
      <c r="G333" s="8" t="s">
        <v>728</v>
      </c>
      <c r="H333" s="8" t="s">
        <v>743</v>
      </c>
    </row>
    <row r="334" customFormat="false" ht="34.5" hidden="false" customHeight="true" outlineLevel="0" collapsed="false">
      <c r="A334" s="8" t="str">
        <f aca="false">"T-"&amp;TEXT(ROW()-1,"000")</f>
        <v>T-333</v>
      </c>
      <c r="B334" s="8" t="s">
        <v>744</v>
      </c>
      <c r="C334" s="8" t="s">
        <v>75</v>
      </c>
      <c r="D334" s="8" t="n">
        <v>180</v>
      </c>
      <c r="E334" s="8" t="n">
        <v>9</v>
      </c>
      <c r="F334" s="8" t="s">
        <v>48</v>
      </c>
      <c r="G334" s="8" t="s">
        <v>728</v>
      </c>
      <c r="H334" s="8" t="s">
        <v>745</v>
      </c>
    </row>
    <row r="335" customFormat="false" ht="34.5" hidden="false" customHeight="true" outlineLevel="0" collapsed="false">
      <c r="A335" s="8" t="str">
        <f aca="false">"T-"&amp;TEXT(ROW()-1,"000")</f>
        <v>T-334</v>
      </c>
      <c r="B335" s="8" t="s">
        <v>746</v>
      </c>
      <c r="C335" s="8" t="s">
        <v>95</v>
      </c>
      <c r="D335" s="8" t="n">
        <v>452</v>
      </c>
      <c r="E335" s="8" t="n">
        <v>28</v>
      </c>
      <c r="F335" s="8" t="s">
        <v>48</v>
      </c>
      <c r="G335" s="8" t="s">
        <v>728</v>
      </c>
      <c r="H335" s="8" t="s">
        <v>747</v>
      </c>
    </row>
    <row r="336" customFormat="false" ht="34.5" hidden="false" customHeight="true" outlineLevel="0" collapsed="false">
      <c r="A336" s="8" t="str">
        <f aca="false">"T-"&amp;TEXT(ROW()-1,"000")</f>
        <v>T-335</v>
      </c>
      <c r="B336" s="8" t="s">
        <v>748</v>
      </c>
      <c r="C336" s="8" t="s">
        <v>53</v>
      </c>
      <c r="D336" s="8" t="n">
        <v>116</v>
      </c>
      <c r="E336" s="8" t="n">
        <v>16</v>
      </c>
      <c r="F336" s="8" t="s">
        <v>48</v>
      </c>
      <c r="G336" s="8" t="s">
        <v>728</v>
      </c>
      <c r="H336" s="8" t="s">
        <v>749</v>
      </c>
    </row>
    <row r="337" customFormat="false" ht="34.5" hidden="false" customHeight="true" outlineLevel="0" collapsed="false">
      <c r="A337" s="8" t="str">
        <f aca="false">"T-"&amp;TEXT(ROW()-1,"000")</f>
        <v>T-336</v>
      </c>
      <c r="B337" s="8" t="s">
        <v>750</v>
      </c>
      <c r="C337" s="8" t="s">
        <v>53</v>
      </c>
      <c r="D337" s="8" t="n">
        <v>459</v>
      </c>
      <c r="E337" s="8" t="n">
        <v>23</v>
      </c>
      <c r="F337" s="8" t="s">
        <v>59</v>
      </c>
      <c r="G337" s="8" t="s">
        <v>728</v>
      </c>
      <c r="H337" s="8" t="s">
        <v>751</v>
      </c>
    </row>
    <row r="338" customFormat="false" ht="34.5" hidden="false" customHeight="true" outlineLevel="0" collapsed="false">
      <c r="A338" s="8" t="str">
        <f aca="false">"T-"&amp;TEXT(ROW()-1,"000")</f>
        <v>T-337</v>
      </c>
      <c r="B338" s="8" t="s">
        <v>752</v>
      </c>
      <c r="C338" s="8" t="s">
        <v>47</v>
      </c>
      <c r="D338" s="8" t="n">
        <v>235</v>
      </c>
      <c r="E338" s="8" t="n">
        <v>29</v>
      </c>
      <c r="F338" s="8" t="s">
        <v>54</v>
      </c>
      <c r="G338" s="8" t="s">
        <v>728</v>
      </c>
      <c r="H338" s="8" t="s">
        <v>753</v>
      </c>
    </row>
    <row r="339" customFormat="false" ht="34.5" hidden="false" customHeight="true" outlineLevel="0" collapsed="false">
      <c r="A339" s="8" t="str">
        <f aca="false">"T-"&amp;TEXT(ROW()-1,"000")</f>
        <v>T-338</v>
      </c>
      <c r="B339" s="8" t="s">
        <v>754</v>
      </c>
      <c r="C339" s="8" t="s">
        <v>47</v>
      </c>
      <c r="D339" s="8" t="n">
        <v>317</v>
      </c>
      <c r="E339" s="8" t="n">
        <v>12</v>
      </c>
      <c r="F339" s="8" t="s">
        <v>54</v>
      </c>
      <c r="G339" s="8" t="s">
        <v>728</v>
      </c>
      <c r="H339" s="8" t="s">
        <v>755</v>
      </c>
    </row>
    <row r="340" customFormat="false" ht="34.5" hidden="false" customHeight="true" outlineLevel="0" collapsed="false">
      <c r="A340" s="8" t="str">
        <f aca="false">"T-"&amp;TEXT(ROW()-1,"000")</f>
        <v>T-339</v>
      </c>
      <c r="B340" s="8" t="s">
        <v>756</v>
      </c>
      <c r="C340" s="8" t="s">
        <v>47</v>
      </c>
      <c r="D340" s="8" t="n">
        <v>431</v>
      </c>
      <c r="E340" s="8" t="n">
        <v>13</v>
      </c>
      <c r="F340" s="8" t="s">
        <v>48</v>
      </c>
      <c r="G340" s="8" t="s">
        <v>728</v>
      </c>
      <c r="H340" s="8" t="s">
        <v>757</v>
      </c>
    </row>
    <row r="341" customFormat="false" ht="34.5" hidden="false" customHeight="true" outlineLevel="0" collapsed="false">
      <c r="A341" s="8" t="str">
        <f aca="false">"T-"&amp;TEXT(ROW()-1,"000")</f>
        <v>T-340</v>
      </c>
      <c r="B341" s="8" t="s">
        <v>758</v>
      </c>
      <c r="C341" s="8" t="s">
        <v>47</v>
      </c>
      <c r="D341" s="8" t="n">
        <v>136</v>
      </c>
      <c r="E341" s="8" t="n">
        <v>10</v>
      </c>
      <c r="F341" s="8" t="s">
        <v>59</v>
      </c>
      <c r="G341" s="8" t="s">
        <v>728</v>
      </c>
      <c r="H341" s="8" t="s">
        <v>759</v>
      </c>
    </row>
    <row r="342" customFormat="false" ht="34.5" hidden="false" customHeight="true" outlineLevel="0" collapsed="false">
      <c r="A342" s="8" t="str">
        <f aca="false">"T-"&amp;TEXT(ROW()-1,"000")</f>
        <v>T-341</v>
      </c>
      <c r="B342" s="8" t="s">
        <v>760</v>
      </c>
      <c r="C342" s="8" t="s">
        <v>53</v>
      </c>
      <c r="D342" s="8" t="n">
        <v>404</v>
      </c>
      <c r="E342" s="8" t="n">
        <v>27</v>
      </c>
      <c r="F342" s="8" t="s">
        <v>48</v>
      </c>
      <c r="G342" s="8" t="s">
        <v>728</v>
      </c>
      <c r="H342" s="8" t="s">
        <v>761</v>
      </c>
    </row>
    <row r="343" customFormat="false" ht="34.5" hidden="false" customHeight="true" outlineLevel="0" collapsed="false">
      <c r="A343" s="8" t="str">
        <f aca="false">"T-"&amp;TEXT(ROW()-1,"000")</f>
        <v>T-342</v>
      </c>
      <c r="B343" s="8" t="s">
        <v>762</v>
      </c>
      <c r="C343" s="8" t="s">
        <v>95</v>
      </c>
      <c r="D343" s="8" t="n">
        <v>163</v>
      </c>
      <c r="E343" s="8" t="n">
        <v>23</v>
      </c>
      <c r="F343" s="8" t="s">
        <v>54</v>
      </c>
      <c r="G343" s="8" t="s">
        <v>728</v>
      </c>
      <c r="H343" s="8" t="s">
        <v>763</v>
      </c>
    </row>
    <row r="344" customFormat="false" ht="23.25" hidden="false" customHeight="true" outlineLevel="0" collapsed="false">
      <c r="A344" s="8" t="str">
        <f aca="false">"T-"&amp;TEXT(ROW()-1,"000")</f>
        <v>T-343</v>
      </c>
      <c r="B344" s="8" t="s">
        <v>764</v>
      </c>
      <c r="C344" s="8" t="s">
        <v>53</v>
      </c>
      <c r="D344" s="8" t="n">
        <v>356</v>
      </c>
      <c r="E344" s="8" t="n">
        <v>17</v>
      </c>
      <c r="F344" s="8" t="s">
        <v>54</v>
      </c>
      <c r="G344" s="8" t="s">
        <v>765</v>
      </c>
      <c r="H344" s="8" t="s">
        <v>766</v>
      </c>
    </row>
    <row r="345" customFormat="false" ht="23.25" hidden="false" customHeight="true" outlineLevel="0" collapsed="false">
      <c r="A345" s="8" t="str">
        <f aca="false">"T-"&amp;TEXT(ROW()-1,"000")</f>
        <v>T-344</v>
      </c>
      <c r="B345" s="8" t="s">
        <v>767</v>
      </c>
      <c r="C345" s="8" t="s">
        <v>95</v>
      </c>
      <c r="D345" s="8" t="n">
        <v>324</v>
      </c>
      <c r="E345" s="8" t="n">
        <v>11</v>
      </c>
      <c r="F345" s="8" t="s">
        <v>54</v>
      </c>
      <c r="G345" s="8" t="s">
        <v>765</v>
      </c>
      <c r="H345" s="8" t="s">
        <v>768</v>
      </c>
    </row>
    <row r="346" customFormat="false" ht="23.25" hidden="false" customHeight="true" outlineLevel="0" collapsed="false">
      <c r="A346" s="8" t="str">
        <f aca="false">"T-"&amp;TEXT(ROW()-1,"000")</f>
        <v>T-345</v>
      </c>
      <c r="B346" s="8" t="s">
        <v>769</v>
      </c>
      <c r="C346" s="8" t="s">
        <v>75</v>
      </c>
      <c r="D346" s="8" t="n">
        <v>321</v>
      </c>
      <c r="E346" s="8" t="n">
        <v>19</v>
      </c>
      <c r="F346" s="8" t="s">
        <v>54</v>
      </c>
      <c r="G346" s="8" t="s">
        <v>765</v>
      </c>
      <c r="H346" s="8" t="s">
        <v>770</v>
      </c>
    </row>
    <row r="347" customFormat="false" ht="23.25" hidden="false" customHeight="true" outlineLevel="0" collapsed="false">
      <c r="A347" s="8" t="str">
        <f aca="false">"T-"&amp;TEXT(ROW()-1,"000")</f>
        <v>T-346</v>
      </c>
      <c r="B347" s="8" t="s">
        <v>771</v>
      </c>
      <c r="C347" s="8" t="s">
        <v>53</v>
      </c>
      <c r="D347" s="8" t="n">
        <v>113</v>
      </c>
      <c r="E347" s="8" t="n">
        <v>11</v>
      </c>
      <c r="F347" s="8" t="s">
        <v>59</v>
      </c>
      <c r="G347" s="8" t="s">
        <v>765</v>
      </c>
      <c r="H347" s="8" t="s">
        <v>772</v>
      </c>
    </row>
    <row r="348" customFormat="false" ht="34.5" hidden="false" customHeight="true" outlineLevel="0" collapsed="false">
      <c r="A348" s="8" t="str">
        <f aca="false">"T-"&amp;TEXT(ROW()-1,"000")</f>
        <v>T-347</v>
      </c>
      <c r="B348" s="8" t="s">
        <v>773</v>
      </c>
      <c r="C348" s="8" t="s">
        <v>75</v>
      </c>
      <c r="D348" s="8" t="n">
        <v>491</v>
      </c>
      <c r="E348" s="8" t="n">
        <v>30</v>
      </c>
      <c r="F348" s="8" t="s">
        <v>48</v>
      </c>
      <c r="G348" s="8" t="s">
        <v>765</v>
      </c>
      <c r="H348" s="8" t="s">
        <v>774</v>
      </c>
    </row>
    <row r="349" customFormat="false" ht="23.25" hidden="false" customHeight="true" outlineLevel="0" collapsed="false">
      <c r="A349" s="8" t="str">
        <f aca="false">"T-"&amp;TEXT(ROW()-1,"000")</f>
        <v>T-348</v>
      </c>
      <c r="B349" s="8" t="s">
        <v>775</v>
      </c>
      <c r="C349" s="8" t="s">
        <v>75</v>
      </c>
      <c r="D349" s="8" t="n">
        <v>490</v>
      </c>
      <c r="E349" s="8" t="n">
        <v>14</v>
      </c>
      <c r="F349" s="8" t="s">
        <v>48</v>
      </c>
      <c r="G349" s="8" t="s">
        <v>765</v>
      </c>
      <c r="H349" s="8" t="s">
        <v>776</v>
      </c>
    </row>
    <row r="350" customFormat="false" ht="23.25" hidden="false" customHeight="true" outlineLevel="0" collapsed="false">
      <c r="A350" s="8" t="str">
        <f aca="false">"T-"&amp;TEXT(ROW()-1,"000")</f>
        <v>T-349</v>
      </c>
      <c r="B350" s="8" t="s">
        <v>777</v>
      </c>
      <c r="C350" s="8" t="s">
        <v>95</v>
      </c>
      <c r="D350" s="8" t="n">
        <v>242</v>
      </c>
      <c r="E350" s="8" t="n">
        <v>14</v>
      </c>
      <c r="F350" s="8" t="s">
        <v>54</v>
      </c>
      <c r="G350" s="8" t="s">
        <v>765</v>
      </c>
      <c r="H350" s="8" t="s">
        <v>778</v>
      </c>
    </row>
    <row r="351" customFormat="false" ht="23.25" hidden="false" customHeight="true" outlineLevel="0" collapsed="false">
      <c r="A351" s="8" t="str">
        <f aca="false">"T-"&amp;TEXT(ROW()-1,"000")</f>
        <v>T-350</v>
      </c>
      <c r="B351" s="8" t="s">
        <v>779</v>
      </c>
      <c r="C351" s="8" t="s">
        <v>95</v>
      </c>
      <c r="D351" s="8" t="n">
        <v>425</v>
      </c>
      <c r="E351" s="8" t="n">
        <v>24</v>
      </c>
      <c r="F351" s="8" t="s">
        <v>59</v>
      </c>
      <c r="G351" s="8" t="s">
        <v>765</v>
      </c>
      <c r="H351" s="8" t="s">
        <v>780</v>
      </c>
    </row>
    <row r="352" customFormat="false" ht="23.25" hidden="false" customHeight="true" outlineLevel="0" collapsed="false">
      <c r="A352" s="8" t="str">
        <f aca="false">"T-"&amp;TEXT(ROW()-1,"000")</f>
        <v>T-351</v>
      </c>
      <c r="B352" s="8" t="s">
        <v>781</v>
      </c>
      <c r="C352" s="8" t="s">
        <v>95</v>
      </c>
      <c r="D352" s="8" t="n">
        <v>278</v>
      </c>
      <c r="E352" s="8" t="n">
        <v>22</v>
      </c>
      <c r="F352" s="8" t="s">
        <v>48</v>
      </c>
      <c r="G352" s="8" t="s">
        <v>765</v>
      </c>
      <c r="H352" s="8" t="s">
        <v>782</v>
      </c>
    </row>
    <row r="353" customFormat="false" ht="34.5" hidden="false" customHeight="true" outlineLevel="0" collapsed="false">
      <c r="A353" s="8" t="str">
        <f aca="false">"T-"&amp;TEXT(ROW()-1,"000")</f>
        <v>T-352</v>
      </c>
      <c r="B353" s="8" t="s">
        <v>783</v>
      </c>
      <c r="C353" s="8" t="s">
        <v>53</v>
      </c>
      <c r="D353" s="8" t="n">
        <v>443</v>
      </c>
      <c r="E353" s="8" t="n">
        <v>12</v>
      </c>
      <c r="F353" s="8" t="s">
        <v>59</v>
      </c>
      <c r="G353" s="8" t="s">
        <v>765</v>
      </c>
      <c r="H353" s="8" t="s">
        <v>784</v>
      </c>
    </row>
    <row r="354" customFormat="false" ht="23.25" hidden="false" customHeight="true" outlineLevel="0" collapsed="false">
      <c r="A354" s="8" t="str">
        <f aca="false">"T-"&amp;TEXT(ROW()-1,"000")</f>
        <v>T-353</v>
      </c>
      <c r="B354" s="8" t="s">
        <v>785</v>
      </c>
      <c r="C354" s="8" t="s">
        <v>53</v>
      </c>
      <c r="D354" s="8" t="n">
        <v>310</v>
      </c>
      <c r="E354" s="8" t="n">
        <v>24</v>
      </c>
      <c r="F354" s="8" t="s">
        <v>48</v>
      </c>
      <c r="G354" s="8" t="s">
        <v>765</v>
      </c>
      <c r="H354" s="8" t="s">
        <v>786</v>
      </c>
    </row>
    <row r="355" customFormat="false" ht="23.25" hidden="false" customHeight="true" outlineLevel="0" collapsed="false">
      <c r="A355" s="8" t="str">
        <f aca="false">"T-"&amp;TEXT(ROW()-1,"000")</f>
        <v>T-354</v>
      </c>
      <c r="B355" s="8" t="s">
        <v>787</v>
      </c>
      <c r="C355" s="8" t="s">
        <v>95</v>
      </c>
      <c r="D355" s="8" t="n">
        <v>489</v>
      </c>
      <c r="E355" s="8" t="n">
        <v>26</v>
      </c>
      <c r="F355" s="8" t="s">
        <v>59</v>
      </c>
      <c r="G355" s="8" t="s">
        <v>765</v>
      </c>
      <c r="H355" s="8" t="s">
        <v>788</v>
      </c>
    </row>
    <row r="356" customFormat="false" ht="23.25" hidden="false" customHeight="true" outlineLevel="0" collapsed="false">
      <c r="A356" s="8" t="str">
        <f aca="false">"T-"&amp;TEXT(ROW()-1,"000")</f>
        <v>T-355</v>
      </c>
      <c r="B356" s="8" t="s">
        <v>789</v>
      </c>
      <c r="C356" s="8" t="s">
        <v>95</v>
      </c>
      <c r="D356" s="8" t="n">
        <v>145</v>
      </c>
      <c r="E356" s="8" t="n">
        <v>19</v>
      </c>
      <c r="F356" s="8" t="s">
        <v>48</v>
      </c>
      <c r="G356" s="8" t="s">
        <v>765</v>
      </c>
      <c r="H356" s="8" t="s">
        <v>790</v>
      </c>
    </row>
    <row r="357" customFormat="false" ht="23.25" hidden="false" customHeight="true" outlineLevel="0" collapsed="false">
      <c r="A357" s="8" t="str">
        <f aca="false">"T-"&amp;TEXT(ROW()-1,"000")</f>
        <v>T-356</v>
      </c>
      <c r="B357" s="8" t="s">
        <v>791</v>
      </c>
      <c r="C357" s="8" t="s">
        <v>53</v>
      </c>
      <c r="D357" s="8" t="n">
        <v>159</v>
      </c>
      <c r="E357" s="8" t="n">
        <v>21</v>
      </c>
      <c r="F357" s="8" t="s">
        <v>54</v>
      </c>
      <c r="G357" s="8" t="s">
        <v>765</v>
      </c>
      <c r="H357" s="8" t="s">
        <v>792</v>
      </c>
    </row>
    <row r="358" customFormat="false" ht="23.25" hidden="false" customHeight="true" outlineLevel="0" collapsed="false">
      <c r="A358" s="8" t="str">
        <f aca="false">"T-"&amp;TEXT(ROW()-1,"000")</f>
        <v>T-357</v>
      </c>
      <c r="B358" s="8" t="s">
        <v>793</v>
      </c>
      <c r="C358" s="8" t="s">
        <v>75</v>
      </c>
      <c r="D358" s="8" t="n">
        <v>436</v>
      </c>
      <c r="E358" s="8" t="n">
        <v>26</v>
      </c>
      <c r="F358" s="8" t="s">
        <v>48</v>
      </c>
      <c r="G358" s="8" t="s">
        <v>765</v>
      </c>
      <c r="H358" s="8" t="s">
        <v>794</v>
      </c>
    </row>
    <row r="359" customFormat="false" ht="34.5" hidden="false" customHeight="true" outlineLevel="0" collapsed="false">
      <c r="A359" s="8" t="str">
        <f aca="false">"T-"&amp;TEXT(ROW()-1,"000")</f>
        <v>T-358</v>
      </c>
      <c r="B359" s="8" t="s">
        <v>795</v>
      </c>
      <c r="C359" s="8" t="s">
        <v>95</v>
      </c>
      <c r="D359" s="8" t="n">
        <v>127</v>
      </c>
      <c r="E359" s="8" t="n">
        <v>15</v>
      </c>
      <c r="F359" s="8" t="s">
        <v>54</v>
      </c>
      <c r="G359" s="8" t="s">
        <v>765</v>
      </c>
      <c r="H359" s="8" t="s">
        <v>796</v>
      </c>
    </row>
    <row r="360" customFormat="false" ht="23.25" hidden="false" customHeight="true" outlineLevel="0" collapsed="false">
      <c r="A360" s="8" t="str">
        <f aca="false">"T-"&amp;TEXT(ROW()-1,"000")</f>
        <v>T-359</v>
      </c>
      <c r="B360" s="8" t="s">
        <v>797</v>
      </c>
      <c r="C360" s="8" t="s">
        <v>53</v>
      </c>
      <c r="D360" s="8" t="n">
        <v>418</v>
      </c>
      <c r="E360" s="8" t="n">
        <v>24</v>
      </c>
      <c r="F360" s="8" t="s">
        <v>54</v>
      </c>
      <c r="G360" s="8" t="s">
        <v>765</v>
      </c>
      <c r="H360" s="8" t="s">
        <v>798</v>
      </c>
    </row>
    <row r="361" customFormat="false" ht="23.25" hidden="false" customHeight="true" outlineLevel="0" collapsed="false">
      <c r="A361" s="8" t="str">
        <f aca="false">"T-"&amp;TEXT(ROW()-1,"000")</f>
        <v>T-360</v>
      </c>
      <c r="B361" s="8" t="s">
        <v>799</v>
      </c>
      <c r="C361" s="8" t="s">
        <v>95</v>
      </c>
      <c r="D361" s="8" t="n">
        <v>489</v>
      </c>
      <c r="E361" s="8" t="n">
        <v>10</v>
      </c>
      <c r="F361" s="8" t="s">
        <v>59</v>
      </c>
      <c r="G361" s="8" t="s">
        <v>765</v>
      </c>
      <c r="H361" s="8" t="s">
        <v>800</v>
      </c>
    </row>
    <row r="362" customFormat="false" ht="23.25" hidden="false" customHeight="true" outlineLevel="0" collapsed="false">
      <c r="A362" s="8" t="str">
        <f aca="false">"T-"&amp;TEXT(ROW()-1,"000")</f>
        <v>T-361</v>
      </c>
      <c r="B362" s="8" t="s">
        <v>801</v>
      </c>
      <c r="C362" s="8" t="s">
        <v>53</v>
      </c>
      <c r="D362" s="8" t="n">
        <v>431</v>
      </c>
      <c r="E362" s="8" t="n">
        <v>13</v>
      </c>
      <c r="F362" s="8" t="s">
        <v>48</v>
      </c>
      <c r="G362" s="8" t="s">
        <v>802</v>
      </c>
      <c r="H362" s="8" t="s">
        <v>803</v>
      </c>
    </row>
    <row r="363" customFormat="false" ht="23.25" hidden="false" customHeight="true" outlineLevel="0" collapsed="false">
      <c r="A363" s="8" t="str">
        <f aca="false">"T-"&amp;TEXT(ROW()-1,"000")</f>
        <v>T-362</v>
      </c>
      <c r="B363" s="8" t="s">
        <v>804</v>
      </c>
      <c r="C363" s="8" t="s">
        <v>95</v>
      </c>
      <c r="D363" s="8" t="n">
        <v>457</v>
      </c>
      <c r="E363" s="8" t="n">
        <v>24</v>
      </c>
      <c r="F363" s="8" t="s">
        <v>59</v>
      </c>
      <c r="G363" s="8" t="s">
        <v>802</v>
      </c>
      <c r="H363" s="8" t="s">
        <v>805</v>
      </c>
    </row>
    <row r="364" customFormat="false" ht="23.25" hidden="false" customHeight="true" outlineLevel="0" collapsed="false">
      <c r="A364" s="8" t="str">
        <f aca="false">"T-"&amp;TEXT(ROW()-1,"000")</f>
        <v>T-363</v>
      </c>
      <c r="B364" s="8" t="s">
        <v>806</v>
      </c>
      <c r="C364" s="8" t="s">
        <v>75</v>
      </c>
      <c r="D364" s="8" t="n">
        <v>422</v>
      </c>
      <c r="E364" s="8" t="n">
        <v>28</v>
      </c>
      <c r="F364" s="8" t="s">
        <v>59</v>
      </c>
      <c r="G364" s="8" t="s">
        <v>802</v>
      </c>
      <c r="H364" s="8" t="s">
        <v>807</v>
      </c>
    </row>
    <row r="365" customFormat="false" ht="23.25" hidden="false" customHeight="true" outlineLevel="0" collapsed="false">
      <c r="A365" s="8" t="str">
        <f aca="false">"T-"&amp;TEXT(ROW()-1,"000")</f>
        <v>T-364</v>
      </c>
      <c r="B365" s="8" t="s">
        <v>808</v>
      </c>
      <c r="C365" s="8" t="s">
        <v>47</v>
      </c>
      <c r="D365" s="8" t="n">
        <v>259</v>
      </c>
      <c r="E365" s="8" t="n">
        <v>26</v>
      </c>
      <c r="F365" s="8" t="s">
        <v>59</v>
      </c>
      <c r="G365" s="8" t="s">
        <v>802</v>
      </c>
      <c r="H365" s="8" t="s">
        <v>809</v>
      </c>
    </row>
    <row r="366" customFormat="false" ht="23.25" hidden="false" customHeight="true" outlineLevel="0" collapsed="false">
      <c r="A366" s="8" t="str">
        <f aca="false">"T-"&amp;TEXT(ROW()-1,"000")</f>
        <v>T-365</v>
      </c>
      <c r="B366" s="8" t="s">
        <v>810</v>
      </c>
      <c r="C366" s="8" t="s">
        <v>95</v>
      </c>
      <c r="D366" s="8" t="n">
        <v>147</v>
      </c>
      <c r="E366" s="8" t="n">
        <v>16</v>
      </c>
      <c r="F366" s="8" t="s">
        <v>59</v>
      </c>
      <c r="G366" s="8" t="s">
        <v>802</v>
      </c>
      <c r="H366" s="8" t="s">
        <v>811</v>
      </c>
    </row>
    <row r="367" customFormat="false" ht="23.25" hidden="false" customHeight="true" outlineLevel="0" collapsed="false">
      <c r="A367" s="8" t="str">
        <f aca="false">"T-"&amp;TEXT(ROW()-1,"000")</f>
        <v>T-366</v>
      </c>
      <c r="B367" s="8" t="s">
        <v>812</v>
      </c>
      <c r="C367" s="8" t="s">
        <v>95</v>
      </c>
      <c r="D367" s="8" t="n">
        <v>160</v>
      </c>
      <c r="E367" s="8" t="n">
        <v>29</v>
      </c>
      <c r="F367" s="8" t="s">
        <v>59</v>
      </c>
      <c r="G367" s="8" t="s">
        <v>802</v>
      </c>
      <c r="H367" s="8" t="s">
        <v>813</v>
      </c>
    </row>
    <row r="368" customFormat="false" ht="23.25" hidden="false" customHeight="true" outlineLevel="0" collapsed="false">
      <c r="A368" s="8" t="str">
        <f aca="false">"T-"&amp;TEXT(ROW()-1,"000")</f>
        <v>T-367</v>
      </c>
      <c r="B368" s="8" t="s">
        <v>814</v>
      </c>
      <c r="C368" s="8" t="s">
        <v>95</v>
      </c>
      <c r="D368" s="8" t="n">
        <v>466</v>
      </c>
      <c r="E368" s="8" t="n">
        <v>18</v>
      </c>
      <c r="F368" s="8" t="s">
        <v>54</v>
      </c>
      <c r="G368" s="8" t="s">
        <v>802</v>
      </c>
      <c r="H368" s="8" t="s">
        <v>815</v>
      </c>
    </row>
    <row r="369" customFormat="false" ht="23.25" hidden="false" customHeight="true" outlineLevel="0" collapsed="false">
      <c r="A369" s="8" t="str">
        <f aca="false">"T-"&amp;TEXT(ROW()-1,"000")</f>
        <v>T-368</v>
      </c>
      <c r="B369" s="8" t="s">
        <v>816</v>
      </c>
      <c r="C369" s="8" t="s">
        <v>53</v>
      </c>
      <c r="D369" s="8" t="n">
        <v>312</v>
      </c>
      <c r="E369" s="8" t="n">
        <v>24</v>
      </c>
      <c r="F369" s="8" t="s">
        <v>48</v>
      </c>
      <c r="G369" s="8" t="s">
        <v>802</v>
      </c>
      <c r="H369" s="8" t="s">
        <v>817</v>
      </c>
    </row>
    <row r="370" customFormat="false" ht="23.25" hidden="false" customHeight="true" outlineLevel="0" collapsed="false">
      <c r="A370" s="8" t="str">
        <f aca="false">"T-"&amp;TEXT(ROW()-1,"000")</f>
        <v>T-369</v>
      </c>
      <c r="B370" s="8" t="s">
        <v>818</v>
      </c>
      <c r="C370" s="8" t="s">
        <v>47</v>
      </c>
      <c r="D370" s="8" t="n">
        <v>333</v>
      </c>
      <c r="E370" s="8" t="n">
        <v>26</v>
      </c>
      <c r="F370" s="8" t="s">
        <v>59</v>
      </c>
      <c r="G370" s="8" t="s">
        <v>802</v>
      </c>
      <c r="H370" s="8" t="s">
        <v>819</v>
      </c>
    </row>
    <row r="371" customFormat="false" ht="23.25" hidden="false" customHeight="true" outlineLevel="0" collapsed="false">
      <c r="A371" s="8" t="str">
        <f aca="false">"T-"&amp;TEXT(ROW()-1,"000")</f>
        <v>T-370</v>
      </c>
      <c r="B371" s="8" t="s">
        <v>820</v>
      </c>
      <c r="C371" s="8" t="s">
        <v>95</v>
      </c>
      <c r="D371" s="8" t="n">
        <v>197</v>
      </c>
      <c r="E371" s="8" t="n">
        <v>28</v>
      </c>
      <c r="F371" s="8" t="s">
        <v>54</v>
      </c>
      <c r="G371" s="8" t="s">
        <v>802</v>
      </c>
      <c r="H371" s="8" t="s">
        <v>821</v>
      </c>
    </row>
    <row r="372" customFormat="false" ht="23.25" hidden="false" customHeight="true" outlineLevel="0" collapsed="false">
      <c r="A372" s="8" t="str">
        <f aca="false">"T-"&amp;TEXT(ROW()-1,"000")</f>
        <v>T-371</v>
      </c>
      <c r="B372" s="8" t="s">
        <v>822</v>
      </c>
      <c r="C372" s="8" t="s">
        <v>47</v>
      </c>
      <c r="D372" s="8" t="n">
        <v>135</v>
      </c>
      <c r="E372" s="8" t="n">
        <v>17</v>
      </c>
      <c r="F372" s="8" t="s">
        <v>48</v>
      </c>
      <c r="G372" s="8" t="s">
        <v>802</v>
      </c>
      <c r="H372" s="8" t="s">
        <v>823</v>
      </c>
    </row>
    <row r="373" customFormat="false" ht="23.25" hidden="false" customHeight="true" outlineLevel="0" collapsed="false">
      <c r="A373" s="8" t="str">
        <f aca="false">"T-"&amp;TEXT(ROW()-1,"000")</f>
        <v>T-372</v>
      </c>
      <c r="B373" s="8" t="s">
        <v>824</v>
      </c>
      <c r="C373" s="8" t="s">
        <v>53</v>
      </c>
      <c r="D373" s="8" t="n">
        <v>359</v>
      </c>
      <c r="E373" s="8" t="n">
        <v>17</v>
      </c>
      <c r="F373" s="8" t="s">
        <v>59</v>
      </c>
      <c r="G373" s="8" t="s">
        <v>802</v>
      </c>
      <c r="H373" s="8" t="s">
        <v>825</v>
      </c>
    </row>
    <row r="374" customFormat="false" ht="23.25" hidden="false" customHeight="true" outlineLevel="0" collapsed="false">
      <c r="A374" s="8" t="str">
        <f aca="false">"T-"&amp;TEXT(ROW()-1,"000")</f>
        <v>T-373</v>
      </c>
      <c r="B374" s="8" t="s">
        <v>826</v>
      </c>
      <c r="C374" s="8" t="s">
        <v>53</v>
      </c>
      <c r="D374" s="8" t="n">
        <v>471</v>
      </c>
      <c r="E374" s="8" t="n">
        <v>18</v>
      </c>
      <c r="F374" s="8" t="s">
        <v>54</v>
      </c>
      <c r="G374" s="8" t="s">
        <v>802</v>
      </c>
      <c r="H374" s="8" t="s">
        <v>827</v>
      </c>
    </row>
    <row r="375" customFormat="false" ht="23.25" hidden="false" customHeight="true" outlineLevel="0" collapsed="false">
      <c r="A375" s="8" t="str">
        <f aca="false">"T-"&amp;TEXT(ROW()-1,"000")</f>
        <v>T-374</v>
      </c>
      <c r="B375" s="8" t="s">
        <v>828</v>
      </c>
      <c r="C375" s="8" t="s">
        <v>95</v>
      </c>
      <c r="D375" s="8" t="n">
        <v>176</v>
      </c>
      <c r="E375" s="8" t="n">
        <v>23</v>
      </c>
      <c r="F375" s="8" t="s">
        <v>54</v>
      </c>
      <c r="G375" s="8" t="s">
        <v>802</v>
      </c>
      <c r="H375" s="8" t="s">
        <v>829</v>
      </c>
    </row>
    <row r="376" customFormat="false" ht="23.25" hidden="false" customHeight="true" outlineLevel="0" collapsed="false">
      <c r="A376" s="8" t="str">
        <f aca="false">"T-"&amp;TEXT(ROW()-1,"000")</f>
        <v>T-375</v>
      </c>
      <c r="B376" s="8" t="s">
        <v>830</v>
      </c>
      <c r="C376" s="8" t="s">
        <v>95</v>
      </c>
      <c r="D376" s="8" t="n">
        <v>276</v>
      </c>
      <c r="E376" s="8" t="n">
        <v>19</v>
      </c>
      <c r="F376" s="8" t="s">
        <v>54</v>
      </c>
      <c r="G376" s="8" t="s">
        <v>802</v>
      </c>
      <c r="H376" s="8" t="s">
        <v>831</v>
      </c>
    </row>
    <row r="377" customFormat="false" ht="23.25" hidden="false" customHeight="true" outlineLevel="0" collapsed="false">
      <c r="A377" s="8" t="str">
        <f aca="false">"T-"&amp;TEXT(ROW()-1,"000")</f>
        <v>T-376</v>
      </c>
      <c r="B377" s="8" t="s">
        <v>832</v>
      </c>
      <c r="C377" s="8" t="s">
        <v>95</v>
      </c>
      <c r="D377" s="8" t="n">
        <v>333</v>
      </c>
      <c r="E377" s="8" t="n">
        <v>19</v>
      </c>
      <c r="F377" s="8" t="s">
        <v>59</v>
      </c>
      <c r="G377" s="8" t="s">
        <v>802</v>
      </c>
      <c r="H377" s="8" t="s">
        <v>833</v>
      </c>
    </row>
    <row r="378" customFormat="false" ht="23.25" hidden="false" customHeight="true" outlineLevel="0" collapsed="false">
      <c r="A378" s="8" t="str">
        <f aca="false">"T-"&amp;TEXT(ROW()-1,"000")</f>
        <v>T-377</v>
      </c>
      <c r="B378" s="8" t="s">
        <v>834</v>
      </c>
      <c r="C378" s="8" t="s">
        <v>47</v>
      </c>
      <c r="D378" s="8" t="n">
        <v>392</v>
      </c>
      <c r="E378" s="8" t="n">
        <v>21</v>
      </c>
      <c r="F378" s="8" t="s">
        <v>59</v>
      </c>
      <c r="G378" s="8" t="s">
        <v>802</v>
      </c>
      <c r="H378" s="8" t="s">
        <v>835</v>
      </c>
    </row>
    <row r="379" customFormat="false" ht="23.25" hidden="false" customHeight="true" outlineLevel="0" collapsed="false">
      <c r="A379" s="8" t="str">
        <f aca="false">"T-"&amp;TEXT(ROW()-1,"000")</f>
        <v>T-378</v>
      </c>
      <c r="B379" s="8" t="s">
        <v>836</v>
      </c>
      <c r="C379" s="8" t="s">
        <v>95</v>
      </c>
      <c r="D379" s="8" t="n">
        <v>122</v>
      </c>
      <c r="E379" s="8" t="n">
        <v>19</v>
      </c>
      <c r="F379" s="8" t="s">
        <v>54</v>
      </c>
      <c r="G379" s="8" t="s">
        <v>802</v>
      </c>
      <c r="H379" s="8" t="s">
        <v>837</v>
      </c>
    </row>
    <row r="380" customFormat="false" ht="23.25" hidden="false" customHeight="true" outlineLevel="0" collapsed="false">
      <c r="A380" s="8" t="str">
        <f aca="false">"T-"&amp;TEXT(ROW()-1,"000")</f>
        <v>T-379</v>
      </c>
      <c r="B380" s="8" t="s">
        <v>838</v>
      </c>
      <c r="C380" s="8" t="s">
        <v>95</v>
      </c>
      <c r="D380" s="8" t="n">
        <v>345</v>
      </c>
      <c r="E380" s="8" t="n">
        <v>21</v>
      </c>
      <c r="F380" s="8" t="s">
        <v>54</v>
      </c>
      <c r="G380" s="8" t="s">
        <v>839</v>
      </c>
      <c r="H380" s="8" t="s">
        <v>840</v>
      </c>
    </row>
    <row r="381" customFormat="false" ht="23.25" hidden="false" customHeight="true" outlineLevel="0" collapsed="false">
      <c r="A381" s="8" t="str">
        <f aca="false">"T-"&amp;TEXT(ROW()-1,"000")</f>
        <v>T-380</v>
      </c>
      <c r="B381" s="8" t="s">
        <v>841</v>
      </c>
      <c r="C381" s="8" t="s">
        <v>47</v>
      </c>
      <c r="D381" s="8" t="n">
        <v>353</v>
      </c>
      <c r="E381" s="8" t="n">
        <v>10</v>
      </c>
      <c r="F381" s="8" t="s">
        <v>59</v>
      </c>
      <c r="G381" s="8" t="s">
        <v>839</v>
      </c>
      <c r="H381" s="8" t="s">
        <v>842</v>
      </c>
    </row>
    <row r="382" customFormat="false" ht="23.25" hidden="false" customHeight="true" outlineLevel="0" collapsed="false">
      <c r="A382" s="8" t="str">
        <f aca="false">"T-"&amp;TEXT(ROW()-1,"000")</f>
        <v>T-381</v>
      </c>
      <c r="B382" s="8" t="s">
        <v>843</v>
      </c>
      <c r="C382" s="8" t="s">
        <v>53</v>
      </c>
      <c r="D382" s="8" t="n">
        <v>151</v>
      </c>
      <c r="E382" s="8" t="n">
        <v>23</v>
      </c>
      <c r="F382" s="8" t="s">
        <v>59</v>
      </c>
      <c r="G382" s="8" t="s">
        <v>839</v>
      </c>
      <c r="H382" s="8" t="s">
        <v>844</v>
      </c>
    </row>
    <row r="383" customFormat="false" ht="23.25" hidden="false" customHeight="true" outlineLevel="0" collapsed="false">
      <c r="A383" s="8" t="str">
        <f aca="false">"T-"&amp;TEXT(ROW()-1,"000")</f>
        <v>T-382</v>
      </c>
      <c r="B383" s="8" t="s">
        <v>845</v>
      </c>
      <c r="C383" s="8" t="s">
        <v>95</v>
      </c>
      <c r="D383" s="8" t="n">
        <v>107</v>
      </c>
      <c r="E383" s="8" t="n">
        <v>13</v>
      </c>
      <c r="F383" s="8" t="s">
        <v>48</v>
      </c>
      <c r="G383" s="8" t="s">
        <v>839</v>
      </c>
      <c r="H383" s="8" t="s">
        <v>846</v>
      </c>
    </row>
    <row r="384" customFormat="false" ht="34.5" hidden="false" customHeight="true" outlineLevel="0" collapsed="false">
      <c r="A384" s="8" t="str">
        <f aca="false">"T-"&amp;TEXT(ROW()-1,"000")</f>
        <v>T-383</v>
      </c>
      <c r="B384" s="8" t="s">
        <v>847</v>
      </c>
      <c r="C384" s="8" t="s">
        <v>47</v>
      </c>
      <c r="D384" s="8" t="n">
        <v>138</v>
      </c>
      <c r="E384" s="8" t="n">
        <v>24</v>
      </c>
      <c r="F384" s="8" t="s">
        <v>48</v>
      </c>
      <c r="G384" s="8" t="s">
        <v>839</v>
      </c>
      <c r="H384" s="8" t="s">
        <v>848</v>
      </c>
    </row>
    <row r="385" customFormat="false" ht="23.25" hidden="false" customHeight="true" outlineLevel="0" collapsed="false">
      <c r="A385" s="8" t="str">
        <f aca="false">"T-"&amp;TEXT(ROW()-1,"000")</f>
        <v>T-384</v>
      </c>
      <c r="B385" s="8" t="s">
        <v>849</v>
      </c>
      <c r="C385" s="8" t="s">
        <v>53</v>
      </c>
      <c r="D385" s="8" t="n">
        <v>419</v>
      </c>
      <c r="E385" s="8" t="n">
        <v>21</v>
      </c>
      <c r="F385" s="8" t="s">
        <v>54</v>
      </c>
      <c r="G385" s="8" t="s">
        <v>839</v>
      </c>
      <c r="H385" s="8" t="s">
        <v>850</v>
      </c>
    </row>
    <row r="386" customFormat="false" ht="23.25" hidden="false" customHeight="true" outlineLevel="0" collapsed="false">
      <c r="A386" s="8" t="str">
        <f aca="false">"T-"&amp;TEXT(ROW()-1,"000")</f>
        <v>T-385</v>
      </c>
      <c r="B386" s="8" t="s">
        <v>851</v>
      </c>
      <c r="C386" s="8" t="s">
        <v>75</v>
      </c>
      <c r="D386" s="8" t="n">
        <v>268</v>
      </c>
      <c r="E386" s="8" t="n">
        <v>30</v>
      </c>
      <c r="F386" s="8" t="s">
        <v>54</v>
      </c>
      <c r="G386" s="8" t="s">
        <v>839</v>
      </c>
      <c r="H386" s="8" t="s">
        <v>852</v>
      </c>
    </row>
    <row r="387" customFormat="false" ht="23.25" hidden="false" customHeight="true" outlineLevel="0" collapsed="false">
      <c r="A387" s="8" t="str">
        <f aca="false">"T-"&amp;TEXT(ROW()-1,"000")</f>
        <v>T-386</v>
      </c>
      <c r="B387" s="8" t="s">
        <v>853</v>
      </c>
      <c r="C387" s="8" t="s">
        <v>95</v>
      </c>
      <c r="D387" s="8" t="n">
        <v>262</v>
      </c>
      <c r="E387" s="8" t="n">
        <v>29</v>
      </c>
      <c r="F387" s="8" t="s">
        <v>54</v>
      </c>
      <c r="G387" s="8" t="s">
        <v>839</v>
      </c>
      <c r="H387" s="8" t="s">
        <v>854</v>
      </c>
    </row>
    <row r="388" customFormat="false" ht="23.25" hidden="false" customHeight="true" outlineLevel="0" collapsed="false">
      <c r="A388" s="8" t="str">
        <f aca="false">"T-"&amp;TEXT(ROW()-1,"000")</f>
        <v>T-387</v>
      </c>
      <c r="B388" s="8" t="s">
        <v>855</v>
      </c>
      <c r="C388" s="8" t="s">
        <v>95</v>
      </c>
      <c r="D388" s="8" t="n">
        <v>377</v>
      </c>
      <c r="E388" s="8" t="n">
        <v>10</v>
      </c>
      <c r="F388" s="8" t="s">
        <v>54</v>
      </c>
      <c r="G388" s="8" t="s">
        <v>839</v>
      </c>
      <c r="H388" s="8" t="s">
        <v>856</v>
      </c>
    </row>
    <row r="389" customFormat="false" ht="34.5" hidden="false" customHeight="true" outlineLevel="0" collapsed="false">
      <c r="A389" s="8" t="str">
        <f aca="false">"T-"&amp;TEXT(ROW()-1,"000")</f>
        <v>T-388</v>
      </c>
      <c r="B389" s="8" t="s">
        <v>857</v>
      </c>
      <c r="C389" s="8" t="s">
        <v>75</v>
      </c>
      <c r="D389" s="8" t="n">
        <v>220</v>
      </c>
      <c r="E389" s="8" t="n">
        <v>29</v>
      </c>
      <c r="F389" s="8" t="s">
        <v>54</v>
      </c>
      <c r="G389" s="8" t="s">
        <v>839</v>
      </c>
      <c r="H389" s="8" t="s">
        <v>858</v>
      </c>
    </row>
    <row r="390" customFormat="false" ht="23.25" hidden="false" customHeight="true" outlineLevel="0" collapsed="false">
      <c r="A390" s="8" t="str">
        <f aca="false">"T-"&amp;TEXT(ROW()-1,"000")</f>
        <v>T-389</v>
      </c>
      <c r="B390" s="8" t="s">
        <v>859</v>
      </c>
      <c r="C390" s="8" t="s">
        <v>53</v>
      </c>
      <c r="D390" s="8" t="n">
        <v>216</v>
      </c>
      <c r="E390" s="8" t="n">
        <v>11</v>
      </c>
      <c r="F390" s="8" t="s">
        <v>48</v>
      </c>
      <c r="G390" s="8" t="s">
        <v>839</v>
      </c>
      <c r="H390" s="8" t="s">
        <v>860</v>
      </c>
    </row>
    <row r="391" customFormat="false" ht="23.25" hidden="false" customHeight="true" outlineLevel="0" collapsed="false">
      <c r="A391" s="8" t="str">
        <f aca="false">"T-"&amp;TEXT(ROW()-1,"000")</f>
        <v>T-390</v>
      </c>
      <c r="B391" s="8" t="s">
        <v>861</v>
      </c>
      <c r="C391" s="8" t="s">
        <v>75</v>
      </c>
      <c r="D391" s="8" t="n">
        <v>489</v>
      </c>
      <c r="E391" s="8" t="n">
        <v>29</v>
      </c>
      <c r="F391" s="8" t="s">
        <v>54</v>
      </c>
      <c r="G391" s="8" t="s">
        <v>839</v>
      </c>
      <c r="H391" s="8" t="s">
        <v>862</v>
      </c>
    </row>
    <row r="392" customFormat="false" ht="23.25" hidden="false" customHeight="true" outlineLevel="0" collapsed="false">
      <c r="A392" s="8" t="str">
        <f aca="false">"T-"&amp;TEXT(ROW()-1,"000")</f>
        <v>T-391</v>
      </c>
      <c r="B392" s="8" t="s">
        <v>863</v>
      </c>
      <c r="C392" s="8" t="s">
        <v>75</v>
      </c>
      <c r="D392" s="8" t="n">
        <v>327</v>
      </c>
      <c r="E392" s="8" t="n">
        <v>14</v>
      </c>
      <c r="F392" s="8" t="s">
        <v>54</v>
      </c>
      <c r="G392" s="8" t="s">
        <v>839</v>
      </c>
      <c r="H392" s="8" t="s">
        <v>864</v>
      </c>
    </row>
    <row r="393" customFormat="false" ht="23.25" hidden="false" customHeight="true" outlineLevel="0" collapsed="false">
      <c r="A393" s="8" t="str">
        <f aca="false">"T-"&amp;TEXT(ROW()-1,"000")</f>
        <v>T-392</v>
      </c>
      <c r="B393" s="8" t="s">
        <v>865</v>
      </c>
      <c r="C393" s="8" t="s">
        <v>53</v>
      </c>
      <c r="D393" s="8" t="n">
        <v>114</v>
      </c>
      <c r="E393" s="8" t="n">
        <v>10</v>
      </c>
      <c r="F393" s="8" t="s">
        <v>48</v>
      </c>
      <c r="G393" s="8" t="s">
        <v>839</v>
      </c>
      <c r="H393" s="8" t="s">
        <v>866</v>
      </c>
    </row>
    <row r="394" customFormat="false" ht="23.25" hidden="false" customHeight="true" outlineLevel="0" collapsed="false">
      <c r="A394" s="8" t="str">
        <f aca="false">"T-"&amp;TEXT(ROW()-1,"000")</f>
        <v>T-393</v>
      </c>
      <c r="B394" s="8" t="s">
        <v>867</v>
      </c>
      <c r="C394" s="8" t="s">
        <v>75</v>
      </c>
      <c r="D394" s="8" t="n">
        <v>250</v>
      </c>
      <c r="E394" s="8" t="n">
        <v>20</v>
      </c>
      <c r="F394" s="8" t="s">
        <v>48</v>
      </c>
      <c r="G394" s="8" t="s">
        <v>839</v>
      </c>
      <c r="H394" s="8" t="s">
        <v>868</v>
      </c>
    </row>
    <row r="395" customFormat="false" ht="34.5" hidden="false" customHeight="true" outlineLevel="0" collapsed="false">
      <c r="A395" s="8" t="str">
        <f aca="false">"T-"&amp;TEXT(ROW()-1,"000")</f>
        <v>T-394</v>
      </c>
      <c r="B395" s="8" t="s">
        <v>869</v>
      </c>
      <c r="C395" s="8" t="s">
        <v>95</v>
      </c>
      <c r="D395" s="8" t="n">
        <v>174</v>
      </c>
      <c r="E395" s="8" t="n">
        <v>16</v>
      </c>
      <c r="F395" s="8" t="s">
        <v>54</v>
      </c>
      <c r="G395" s="8" t="s">
        <v>839</v>
      </c>
      <c r="H395" s="8" t="s">
        <v>870</v>
      </c>
    </row>
    <row r="396" customFormat="false" ht="23.25" hidden="false" customHeight="true" outlineLevel="0" collapsed="false">
      <c r="A396" s="8" t="str">
        <f aca="false">"T-"&amp;TEXT(ROW()-1,"000")</f>
        <v>T-395</v>
      </c>
      <c r="B396" s="8" t="s">
        <v>871</v>
      </c>
      <c r="C396" s="8" t="s">
        <v>95</v>
      </c>
      <c r="D396" s="8" t="n">
        <v>389</v>
      </c>
      <c r="E396" s="8" t="n">
        <v>30</v>
      </c>
      <c r="F396" s="8" t="s">
        <v>59</v>
      </c>
      <c r="G396" s="8" t="s">
        <v>839</v>
      </c>
      <c r="H396" s="8" t="s">
        <v>872</v>
      </c>
    </row>
    <row r="397" customFormat="false" ht="23.25" hidden="false" customHeight="true" outlineLevel="0" collapsed="false">
      <c r="A397" s="8" t="str">
        <f aca="false">"T-"&amp;TEXT(ROW()-1,"000")</f>
        <v>T-396</v>
      </c>
      <c r="B397" s="8" t="s">
        <v>873</v>
      </c>
      <c r="C397" s="8" t="s">
        <v>47</v>
      </c>
      <c r="D397" s="8" t="n">
        <v>189</v>
      </c>
      <c r="E397" s="8" t="n">
        <v>11</v>
      </c>
      <c r="F397" s="8" t="s">
        <v>54</v>
      </c>
      <c r="G397" s="8" t="s">
        <v>839</v>
      </c>
      <c r="H397" s="8" t="s">
        <v>874</v>
      </c>
    </row>
    <row r="398" customFormat="false" ht="23.25" hidden="false" customHeight="true" outlineLevel="0" collapsed="false">
      <c r="A398" s="8" t="str">
        <f aca="false">"T-"&amp;TEXT(ROW()-1,"000")</f>
        <v>T-397</v>
      </c>
      <c r="B398" s="8" t="s">
        <v>875</v>
      </c>
      <c r="C398" s="8" t="s">
        <v>95</v>
      </c>
      <c r="D398" s="8" t="n">
        <v>467</v>
      </c>
      <c r="E398" s="8" t="n">
        <v>30</v>
      </c>
      <c r="F398" s="8" t="s">
        <v>59</v>
      </c>
      <c r="G398" s="8" t="s">
        <v>876</v>
      </c>
      <c r="H398" s="8" t="s">
        <v>877</v>
      </c>
    </row>
    <row r="399" customFormat="false" ht="23.25" hidden="false" customHeight="true" outlineLevel="0" collapsed="false">
      <c r="A399" s="8" t="str">
        <f aca="false">"T-"&amp;TEXT(ROW()-1,"000")</f>
        <v>T-398</v>
      </c>
      <c r="B399" s="8" t="s">
        <v>878</v>
      </c>
      <c r="C399" s="8" t="s">
        <v>95</v>
      </c>
      <c r="D399" s="8" t="n">
        <v>398</v>
      </c>
      <c r="E399" s="8" t="n">
        <v>13</v>
      </c>
      <c r="F399" s="8" t="s">
        <v>59</v>
      </c>
      <c r="G399" s="8" t="s">
        <v>876</v>
      </c>
      <c r="H399" s="8" t="s">
        <v>879</v>
      </c>
    </row>
    <row r="400" customFormat="false" ht="23.25" hidden="false" customHeight="true" outlineLevel="0" collapsed="false">
      <c r="A400" s="8" t="str">
        <f aca="false">"T-"&amp;TEXT(ROW()-1,"000")</f>
        <v>T-399</v>
      </c>
      <c r="B400" s="8" t="s">
        <v>880</v>
      </c>
      <c r="C400" s="8" t="s">
        <v>95</v>
      </c>
      <c r="D400" s="8" t="n">
        <v>426</v>
      </c>
      <c r="E400" s="8" t="n">
        <v>17</v>
      </c>
      <c r="F400" s="8" t="s">
        <v>48</v>
      </c>
      <c r="G400" s="8" t="s">
        <v>876</v>
      </c>
      <c r="H400" s="8" t="s">
        <v>881</v>
      </c>
    </row>
    <row r="401" customFormat="false" ht="34.5" hidden="false" customHeight="true" outlineLevel="0" collapsed="false">
      <c r="A401" s="8" t="str">
        <f aca="false">"T-"&amp;TEXT(ROW()-1,"000")</f>
        <v>T-400</v>
      </c>
      <c r="B401" s="8" t="s">
        <v>882</v>
      </c>
      <c r="C401" s="8" t="s">
        <v>53</v>
      </c>
      <c r="D401" s="8" t="n">
        <v>441</v>
      </c>
      <c r="E401" s="8" t="n">
        <v>9</v>
      </c>
      <c r="F401" s="8" t="s">
        <v>48</v>
      </c>
      <c r="G401" s="8" t="s">
        <v>876</v>
      </c>
      <c r="H401" s="8" t="s">
        <v>883</v>
      </c>
    </row>
    <row r="402" customFormat="false" ht="34.5" hidden="false" customHeight="true" outlineLevel="0" collapsed="false">
      <c r="A402" s="8" t="str">
        <f aca="false">"T-"&amp;TEXT(ROW()-1,"000")</f>
        <v>T-401</v>
      </c>
      <c r="B402" s="8" t="s">
        <v>884</v>
      </c>
      <c r="C402" s="8" t="s">
        <v>53</v>
      </c>
      <c r="D402" s="8" t="n">
        <v>446</v>
      </c>
      <c r="E402" s="8" t="n">
        <v>26</v>
      </c>
      <c r="F402" s="8" t="s">
        <v>59</v>
      </c>
      <c r="G402" s="8" t="s">
        <v>876</v>
      </c>
      <c r="H402" s="8" t="s">
        <v>885</v>
      </c>
    </row>
    <row r="403" customFormat="false" ht="23.25" hidden="false" customHeight="true" outlineLevel="0" collapsed="false">
      <c r="A403" s="8" t="str">
        <f aca="false">"T-"&amp;TEXT(ROW()-1,"000")</f>
        <v>T-402</v>
      </c>
      <c r="B403" s="8" t="s">
        <v>886</v>
      </c>
      <c r="C403" s="8" t="s">
        <v>75</v>
      </c>
      <c r="D403" s="8" t="n">
        <v>326</v>
      </c>
      <c r="E403" s="8" t="n">
        <v>20</v>
      </c>
      <c r="F403" s="8" t="s">
        <v>54</v>
      </c>
      <c r="G403" s="8" t="s">
        <v>876</v>
      </c>
      <c r="H403" s="8" t="s">
        <v>887</v>
      </c>
    </row>
    <row r="404" customFormat="false" ht="23.25" hidden="false" customHeight="true" outlineLevel="0" collapsed="false">
      <c r="A404" s="8" t="str">
        <f aca="false">"T-"&amp;TEXT(ROW()-1,"000")</f>
        <v>T-403</v>
      </c>
      <c r="B404" s="8" t="s">
        <v>888</v>
      </c>
      <c r="C404" s="8" t="s">
        <v>53</v>
      </c>
      <c r="D404" s="8" t="n">
        <v>427</v>
      </c>
      <c r="E404" s="8" t="n">
        <v>22</v>
      </c>
      <c r="F404" s="8" t="s">
        <v>54</v>
      </c>
      <c r="G404" s="8" t="s">
        <v>876</v>
      </c>
      <c r="H404" s="8" t="s">
        <v>889</v>
      </c>
    </row>
    <row r="405" customFormat="false" ht="23.25" hidden="false" customHeight="true" outlineLevel="0" collapsed="false">
      <c r="A405" s="8" t="str">
        <f aca="false">"T-"&amp;TEXT(ROW()-1,"000")</f>
        <v>T-404</v>
      </c>
      <c r="B405" s="8" t="s">
        <v>890</v>
      </c>
      <c r="C405" s="8" t="s">
        <v>53</v>
      </c>
      <c r="D405" s="8" t="n">
        <v>333</v>
      </c>
      <c r="E405" s="8" t="n">
        <v>18</v>
      </c>
      <c r="F405" s="8" t="s">
        <v>59</v>
      </c>
      <c r="G405" s="8" t="s">
        <v>876</v>
      </c>
      <c r="H405" s="8" t="s">
        <v>891</v>
      </c>
    </row>
    <row r="406" customFormat="false" ht="23.25" hidden="false" customHeight="true" outlineLevel="0" collapsed="false">
      <c r="A406" s="8" t="str">
        <f aca="false">"T-"&amp;TEXT(ROW()-1,"000")</f>
        <v>T-405</v>
      </c>
      <c r="B406" s="8" t="s">
        <v>892</v>
      </c>
      <c r="C406" s="8" t="s">
        <v>95</v>
      </c>
      <c r="D406" s="8" t="n">
        <v>347</v>
      </c>
      <c r="E406" s="8" t="n">
        <v>12</v>
      </c>
      <c r="F406" s="8" t="s">
        <v>59</v>
      </c>
      <c r="G406" s="8" t="s">
        <v>876</v>
      </c>
      <c r="H406" s="8" t="s">
        <v>893</v>
      </c>
    </row>
    <row r="407" customFormat="false" ht="34.5" hidden="false" customHeight="true" outlineLevel="0" collapsed="false">
      <c r="A407" s="8" t="str">
        <f aca="false">"T-"&amp;TEXT(ROW()-1,"000")</f>
        <v>T-406</v>
      </c>
      <c r="B407" s="8" t="s">
        <v>894</v>
      </c>
      <c r="C407" s="8" t="s">
        <v>95</v>
      </c>
      <c r="D407" s="8" t="n">
        <v>392</v>
      </c>
      <c r="E407" s="8" t="n">
        <v>20</v>
      </c>
      <c r="F407" s="8" t="s">
        <v>54</v>
      </c>
      <c r="G407" s="8" t="s">
        <v>876</v>
      </c>
      <c r="H407" s="8" t="s">
        <v>895</v>
      </c>
    </row>
    <row r="408" customFormat="false" ht="23.25" hidden="false" customHeight="true" outlineLevel="0" collapsed="false">
      <c r="A408" s="8" t="str">
        <f aca="false">"T-"&amp;TEXT(ROW()-1,"000")</f>
        <v>T-407</v>
      </c>
      <c r="B408" s="8" t="s">
        <v>896</v>
      </c>
      <c r="C408" s="8" t="s">
        <v>53</v>
      </c>
      <c r="D408" s="8" t="n">
        <v>458</v>
      </c>
      <c r="E408" s="8" t="n">
        <v>18</v>
      </c>
      <c r="F408" s="8" t="s">
        <v>59</v>
      </c>
      <c r="G408" s="8" t="s">
        <v>876</v>
      </c>
      <c r="H408" s="8" t="s">
        <v>897</v>
      </c>
    </row>
    <row r="409" customFormat="false" ht="23.25" hidden="false" customHeight="true" outlineLevel="0" collapsed="false">
      <c r="A409" s="8" t="str">
        <f aca="false">"T-"&amp;TEXT(ROW()-1,"000")</f>
        <v>T-408</v>
      </c>
      <c r="B409" s="8" t="s">
        <v>898</v>
      </c>
      <c r="C409" s="8" t="s">
        <v>95</v>
      </c>
      <c r="D409" s="8" t="n">
        <v>240</v>
      </c>
      <c r="E409" s="8" t="n">
        <v>9</v>
      </c>
      <c r="F409" s="8" t="s">
        <v>54</v>
      </c>
      <c r="G409" s="8" t="s">
        <v>876</v>
      </c>
      <c r="H409" s="8" t="s">
        <v>899</v>
      </c>
    </row>
    <row r="410" customFormat="false" ht="23.25" hidden="false" customHeight="true" outlineLevel="0" collapsed="false">
      <c r="A410" s="8" t="str">
        <f aca="false">"T-"&amp;TEXT(ROW()-1,"000")</f>
        <v>T-409</v>
      </c>
      <c r="B410" s="8" t="s">
        <v>900</v>
      </c>
      <c r="C410" s="8" t="s">
        <v>75</v>
      </c>
      <c r="D410" s="8" t="n">
        <v>410</v>
      </c>
      <c r="E410" s="8" t="n">
        <v>24</v>
      </c>
      <c r="F410" s="8" t="s">
        <v>48</v>
      </c>
      <c r="G410" s="8" t="s">
        <v>876</v>
      </c>
      <c r="H410" s="8" t="s">
        <v>901</v>
      </c>
    </row>
    <row r="411" customFormat="false" ht="23.25" hidden="false" customHeight="true" outlineLevel="0" collapsed="false">
      <c r="A411" s="8" t="str">
        <f aca="false">"T-"&amp;TEXT(ROW()-1,"000")</f>
        <v>T-410</v>
      </c>
      <c r="B411" s="8" t="s">
        <v>902</v>
      </c>
      <c r="C411" s="8" t="s">
        <v>47</v>
      </c>
      <c r="D411" s="8" t="n">
        <v>410</v>
      </c>
      <c r="E411" s="8" t="n">
        <v>20</v>
      </c>
      <c r="F411" s="8" t="s">
        <v>59</v>
      </c>
      <c r="G411" s="8" t="s">
        <v>876</v>
      </c>
      <c r="H411" s="8" t="s">
        <v>903</v>
      </c>
    </row>
    <row r="412" customFormat="false" ht="23.25" hidden="false" customHeight="true" outlineLevel="0" collapsed="false">
      <c r="A412" s="8" t="str">
        <f aca="false">"T-"&amp;TEXT(ROW()-1,"000")</f>
        <v>T-411</v>
      </c>
      <c r="B412" s="8" t="s">
        <v>904</v>
      </c>
      <c r="C412" s="8" t="s">
        <v>47</v>
      </c>
      <c r="D412" s="8" t="n">
        <v>417</v>
      </c>
      <c r="E412" s="8" t="n">
        <v>17</v>
      </c>
      <c r="F412" s="8" t="s">
        <v>54</v>
      </c>
      <c r="G412" s="8" t="s">
        <v>876</v>
      </c>
      <c r="H412" s="8" t="s">
        <v>905</v>
      </c>
    </row>
    <row r="413" customFormat="false" ht="34.5" hidden="false" customHeight="true" outlineLevel="0" collapsed="false">
      <c r="A413" s="8" t="str">
        <f aca="false">"T-"&amp;TEXT(ROW()-1,"000")</f>
        <v>T-412</v>
      </c>
      <c r="B413" s="8" t="s">
        <v>906</v>
      </c>
      <c r="C413" s="8" t="s">
        <v>47</v>
      </c>
      <c r="D413" s="8" t="n">
        <v>421</v>
      </c>
      <c r="E413" s="8" t="n">
        <v>12</v>
      </c>
      <c r="F413" s="8" t="s">
        <v>54</v>
      </c>
      <c r="G413" s="8" t="s">
        <v>876</v>
      </c>
      <c r="H413" s="8" t="s">
        <v>907</v>
      </c>
    </row>
    <row r="414" customFormat="false" ht="23.25" hidden="false" customHeight="true" outlineLevel="0" collapsed="false">
      <c r="A414" s="8" t="str">
        <f aca="false">"T-"&amp;TEXT(ROW()-1,"000")</f>
        <v>T-413</v>
      </c>
      <c r="B414" s="8" t="s">
        <v>908</v>
      </c>
      <c r="C414" s="8" t="s">
        <v>75</v>
      </c>
      <c r="D414" s="8" t="n">
        <v>258</v>
      </c>
      <c r="E414" s="8" t="n">
        <v>23</v>
      </c>
      <c r="F414" s="8" t="s">
        <v>59</v>
      </c>
      <c r="G414" s="8" t="s">
        <v>876</v>
      </c>
      <c r="H414" s="8" t="s">
        <v>909</v>
      </c>
    </row>
    <row r="415" customFormat="false" ht="23.25" hidden="false" customHeight="true" outlineLevel="0" collapsed="false">
      <c r="A415" s="8" t="str">
        <f aca="false">"T-"&amp;TEXT(ROW()-1,"000")</f>
        <v>T-414</v>
      </c>
      <c r="B415" s="8" t="s">
        <v>910</v>
      </c>
      <c r="C415" s="8" t="s">
        <v>53</v>
      </c>
      <c r="D415" s="8" t="n">
        <v>474</v>
      </c>
      <c r="E415" s="8" t="n">
        <v>13</v>
      </c>
      <c r="F415" s="8" t="s">
        <v>59</v>
      </c>
      <c r="G415" s="8" t="s">
        <v>876</v>
      </c>
      <c r="H415" s="8" t="s">
        <v>911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32" activePane="bottomLeft" state="frozen"/>
      <selection pane="topLeft" activeCell="A1" activeCellId="0" sqref="A1"/>
      <selection pane="bottomLeft" activeCell="A50" activeCellId="0" sqref="A50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6"/>
    <col collapsed="false" customWidth="true" hidden="false" outlineLevel="0" max="3" min="3" style="1" width="26"/>
    <col collapsed="false" customWidth="true" hidden="false" outlineLevel="0" max="4" min="4" style="1" width="18"/>
    <col collapsed="false" customWidth="true" hidden="false" outlineLevel="0" max="5" min="5" style="1" width="22"/>
    <col collapsed="false" customWidth="true" hidden="false" outlineLevel="0" max="6" min="6" style="1" width="18"/>
    <col collapsed="false" customWidth="true" hidden="false" outlineLevel="0" max="7" min="7" style="1" width="20"/>
  </cols>
  <sheetData>
    <row r="1" customFormat="false" ht="23.25" hidden="false" customHeight="true" outlineLevel="0" collapsed="false">
      <c r="A1" s="7" t="s">
        <v>912</v>
      </c>
      <c r="B1" s="7" t="s">
        <v>913</v>
      </c>
      <c r="C1" s="7" t="s">
        <v>38</v>
      </c>
      <c r="D1" s="7" t="s">
        <v>914</v>
      </c>
      <c r="E1" s="7" t="s">
        <v>915</v>
      </c>
      <c r="F1" s="7" t="s">
        <v>916</v>
      </c>
      <c r="G1" s="7" t="s">
        <v>917</v>
      </c>
    </row>
    <row r="2" customFormat="false" ht="15" hidden="false" customHeight="true" outlineLevel="0" collapsed="false">
      <c r="A2" s="5" t="s">
        <v>918</v>
      </c>
      <c r="B2" s="5" t="s">
        <v>919</v>
      </c>
      <c r="C2" s="5" t="s">
        <v>46</v>
      </c>
      <c r="D2" s="5" t="n">
        <v>604.3</v>
      </c>
      <c r="E2" s="5" t="n">
        <v>4</v>
      </c>
      <c r="F2" s="5" t="n">
        <v>11</v>
      </c>
      <c r="G2" s="5" t="n">
        <v>4053</v>
      </c>
    </row>
    <row r="3" customFormat="false" ht="15" hidden="false" customHeight="true" outlineLevel="0" collapsed="false">
      <c r="A3" s="5" t="s">
        <v>918</v>
      </c>
      <c r="B3" s="5" t="s">
        <v>919</v>
      </c>
      <c r="C3" s="5" t="s">
        <v>52</v>
      </c>
      <c r="D3" s="5" t="n">
        <v>280.8</v>
      </c>
      <c r="E3" s="5" t="n">
        <v>8</v>
      </c>
      <c r="F3" s="5" t="n">
        <v>11</v>
      </c>
      <c r="G3" s="5" t="n">
        <v>2639</v>
      </c>
    </row>
    <row r="4" customFormat="false" ht="15" hidden="false" customHeight="true" outlineLevel="0" collapsed="false">
      <c r="A4" s="5" t="s">
        <v>918</v>
      </c>
      <c r="B4" s="5" t="s">
        <v>919</v>
      </c>
      <c r="C4" s="5" t="s">
        <v>58</v>
      </c>
      <c r="D4" s="5" t="n">
        <v>634.9</v>
      </c>
      <c r="E4" s="5" t="n">
        <v>6</v>
      </c>
      <c r="F4" s="5" t="n">
        <v>9</v>
      </c>
      <c r="G4" s="5" t="n">
        <v>5256</v>
      </c>
    </row>
    <row r="5" customFormat="false" ht="15" hidden="false" customHeight="true" outlineLevel="0" collapsed="false">
      <c r="A5" s="5" t="s">
        <v>918</v>
      </c>
      <c r="B5" s="5" t="s">
        <v>919</v>
      </c>
      <c r="C5" s="5" t="s">
        <v>63</v>
      </c>
      <c r="D5" s="5" t="n">
        <v>106.1</v>
      </c>
      <c r="E5" s="5" t="n">
        <v>6</v>
      </c>
      <c r="F5" s="5" t="n">
        <v>3</v>
      </c>
      <c r="G5" s="5" t="n">
        <v>3705</v>
      </c>
    </row>
    <row r="6" customFormat="false" ht="15" hidden="false" customHeight="true" outlineLevel="0" collapsed="false">
      <c r="A6" s="5" t="s">
        <v>918</v>
      </c>
      <c r="B6" s="5" t="s">
        <v>919</v>
      </c>
      <c r="C6" s="5" t="s">
        <v>67</v>
      </c>
      <c r="D6" s="5" t="n">
        <v>494.4</v>
      </c>
      <c r="E6" s="5" t="n">
        <v>4</v>
      </c>
      <c r="F6" s="5" t="n">
        <v>8</v>
      </c>
      <c r="G6" s="5" t="n">
        <v>3428</v>
      </c>
    </row>
    <row r="7" customFormat="false" ht="15" hidden="false" customHeight="true" outlineLevel="0" collapsed="false">
      <c r="A7" s="5" t="s">
        <v>918</v>
      </c>
      <c r="B7" s="5" t="s">
        <v>919</v>
      </c>
      <c r="C7" s="5" t="s">
        <v>71</v>
      </c>
      <c r="D7" s="5" t="n">
        <v>667.1</v>
      </c>
      <c r="E7" s="5" t="n">
        <v>17</v>
      </c>
      <c r="F7" s="5" t="n">
        <v>3</v>
      </c>
      <c r="G7" s="5" t="n">
        <v>5479</v>
      </c>
    </row>
    <row r="8" customFormat="false" ht="15" hidden="false" customHeight="true" outlineLevel="0" collapsed="false">
      <c r="A8" s="5" t="s">
        <v>920</v>
      </c>
      <c r="B8" s="5" t="s">
        <v>919</v>
      </c>
      <c r="C8" s="5" t="s">
        <v>46</v>
      </c>
      <c r="D8" s="5" t="n">
        <v>563.2</v>
      </c>
      <c r="E8" s="5" t="n">
        <v>4</v>
      </c>
      <c r="F8" s="5" t="n">
        <v>12</v>
      </c>
      <c r="G8" s="5" t="n">
        <v>8401</v>
      </c>
    </row>
    <row r="9" customFormat="false" ht="15" hidden="false" customHeight="true" outlineLevel="0" collapsed="false">
      <c r="A9" s="5" t="s">
        <v>920</v>
      </c>
      <c r="B9" s="5" t="s">
        <v>919</v>
      </c>
      <c r="C9" s="5" t="s">
        <v>52</v>
      </c>
      <c r="D9" s="5" t="n">
        <v>210.9</v>
      </c>
      <c r="E9" s="5" t="n">
        <v>17</v>
      </c>
      <c r="F9" s="5" t="n">
        <v>5</v>
      </c>
      <c r="G9" s="5" t="n">
        <v>4076</v>
      </c>
    </row>
    <row r="10" customFormat="false" ht="15" hidden="false" customHeight="true" outlineLevel="0" collapsed="false">
      <c r="A10" s="5" t="s">
        <v>920</v>
      </c>
      <c r="B10" s="5" t="s">
        <v>919</v>
      </c>
      <c r="C10" s="5" t="s">
        <v>58</v>
      </c>
      <c r="D10" s="5" t="n">
        <v>207.5</v>
      </c>
      <c r="E10" s="5" t="n">
        <v>14</v>
      </c>
      <c r="F10" s="5" t="n">
        <v>1</v>
      </c>
      <c r="G10" s="5" t="n">
        <v>2559</v>
      </c>
    </row>
    <row r="11" customFormat="false" ht="15" hidden="false" customHeight="true" outlineLevel="0" collapsed="false">
      <c r="A11" s="5" t="s">
        <v>920</v>
      </c>
      <c r="B11" s="5" t="s">
        <v>919</v>
      </c>
      <c r="C11" s="5" t="s">
        <v>63</v>
      </c>
      <c r="D11" s="5" t="n">
        <v>391.5</v>
      </c>
      <c r="E11" s="5" t="n">
        <v>15</v>
      </c>
      <c r="F11" s="5" t="n">
        <v>5</v>
      </c>
      <c r="G11" s="5" t="n">
        <v>6745</v>
      </c>
    </row>
    <row r="12" customFormat="false" ht="15" hidden="false" customHeight="true" outlineLevel="0" collapsed="false">
      <c r="A12" s="5" t="s">
        <v>920</v>
      </c>
      <c r="B12" s="5" t="s">
        <v>919</v>
      </c>
      <c r="C12" s="5" t="s">
        <v>67</v>
      </c>
      <c r="D12" s="5" t="n">
        <v>296.9</v>
      </c>
      <c r="E12" s="5" t="n">
        <v>5</v>
      </c>
      <c r="F12" s="5" t="n">
        <v>11</v>
      </c>
      <c r="G12" s="5" t="n">
        <v>5563</v>
      </c>
    </row>
    <row r="13" customFormat="false" ht="15" hidden="false" customHeight="true" outlineLevel="0" collapsed="false">
      <c r="A13" s="5" t="s">
        <v>920</v>
      </c>
      <c r="B13" s="5" t="s">
        <v>919</v>
      </c>
      <c r="C13" s="5" t="s">
        <v>71</v>
      </c>
      <c r="D13" s="5" t="n">
        <v>519.7</v>
      </c>
      <c r="E13" s="5" t="n">
        <v>16</v>
      </c>
      <c r="F13" s="5" t="n">
        <v>1</v>
      </c>
      <c r="G13" s="5" t="n">
        <v>6322</v>
      </c>
    </row>
    <row r="14" customFormat="false" ht="15" hidden="false" customHeight="true" outlineLevel="0" collapsed="false">
      <c r="A14" s="5" t="s">
        <v>921</v>
      </c>
      <c r="B14" s="5" t="s">
        <v>922</v>
      </c>
      <c r="C14" s="5" t="s">
        <v>46</v>
      </c>
      <c r="D14" s="5" t="n">
        <v>320.4</v>
      </c>
      <c r="E14" s="5" t="n">
        <v>15</v>
      </c>
      <c r="F14" s="5" t="n">
        <v>9</v>
      </c>
      <c r="G14" s="5" t="n">
        <v>3375</v>
      </c>
    </row>
    <row r="15" customFormat="false" ht="15" hidden="false" customHeight="true" outlineLevel="0" collapsed="false">
      <c r="A15" s="5" t="s">
        <v>921</v>
      </c>
      <c r="B15" s="5" t="s">
        <v>922</v>
      </c>
      <c r="C15" s="5" t="s">
        <v>52</v>
      </c>
      <c r="D15" s="5" t="n">
        <v>657.7</v>
      </c>
      <c r="E15" s="5" t="n">
        <v>5</v>
      </c>
      <c r="F15" s="5" t="n">
        <v>10</v>
      </c>
      <c r="G15" s="5" t="n">
        <v>3666</v>
      </c>
    </row>
    <row r="16" customFormat="false" ht="15" hidden="false" customHeight="true" outlineLevel="0" collapsed="false">
      <c r="A16" s="5" t="s">
        <v>921</v>
      </c>
      <c r="B16" s="5" t="s">
        <v>922</v>
      </c>
      <c r="C16" s="5" t="s">
        <v>58</v>
      </c>
      <c r="D16" s="5" t="n">
        <v>713.9</v>
      </c>
      <c r="E16" s="5" t="n">
        <v>6</v>
      </c>
      <c r="F16" s="5" t="n">
        <v>3</v>
      </c>
      <c r="G16" s="5" t="n">
        <v>8898</v>
      </c>
    </row>
    <row r="17" customFormat="false" ht="15" hidden="false" customHeight="true" outlineLevel="0" collapsed="false">
      <c r="A17" s="5" t="s">
        <v>921</v>
      </c>
      <c r="B17" s="5" t="s">
        <v>922</v>
      </c>
      <c r="C17" s="5" t="s">
        <v>63</v>
      </c>
      <c r="D17" s="5" t="n">
        <v>162.8</v>
      </c>
      <c r="E17" s="5" t="n">
        <v>12</v>
      </c>
      <c r="F17" s="5" t="n">
        <v>7</v>
      </c>
      <c r="G17" s="5" t="n">
        <v>7007</v>
      </c>
    </row>
    <row r="18" customFormat="false" ht="15" hidden="false" customHeight="true" outlineLevel="0" collapsed="false">
      <c r="A18" s="5" t="s">
        <v>921</v>
      </c>
      <c r="B18" s="5" t="s">
        <v>922</v>
      </c>
      <c r="C18" s="5" t="s">
        <v>67</v>
      </c>
      <c r="D18" s="5" t="n">
        <v>764</v>
      </c>
      <c r="E18" s="5" t="n">
        <v>9</v>
      </c>
      <c r="F18" s="5" t="n">
        <v>5</v>
      </c>
      <c r="G18" s="5" t="n">
        <v>4710</v>
      </c>
    </row>
    <row r="19" customFormat="false" ht="15" hidden="false" customHeight="true" outlineLevel="0" collapsed="false">
      <c r="A19" s="5" t="s">
        <v>921</v>
      </c>
      <c r="B19" s="5" t="s">
        <v>922</v>
      </c>
      <c r="C19" s="5" t="s">
        <v>71</v>
      </c>
      <c r="D19" s="5" t="n">
        <v>251.8</v>
      </c>
      <c r="E19" s="5" t="n">
        <v>12</v>
      </c>
      <c r="F19" s="5" t="n">
        <v>11</v>
      </c>
      <c r="G19" s="5" t="n">
        <v>9473</v>
      </c>
    </row>
    <row r="20" customFormat="false" ht="15" hidden="false" customHeight="true" outlineLevel="0" collapsed="false">
      <c r="A20" s="5" t="s">
        <v>923</v>
      </c>
      <c r="B20" s="5" t="s">
        <v>924</v>
      </c>
      <c r="C20" s="5" t="s">
        <v>46</v>
      </c>
      <c r="D20" s="5" t="n">
        <v>640.5</v>
      </c>
      <c r="E20" s="5" t="n">
        <v>6</v>
      </c>
      <c r="F20" s="5" t="n">
        <v>9</v>
      </c>
      <c r="G20" s="5" t="n">
        <v>7001</v>
      </c>
    </row>
    <row r="21" customFormat="false" ht="15" hidden="false" customHeight="true" outlineLevel="0" collapsed="false">
      <c r="A21" s="5" t="s">
        <v>923</v>
      </c>
      <c r="B21" s="5" t="s">
        <v>924</v>
      </c>
      <c r="C21" s="5" t="s">
        <v>52</v>
      </c>
      <c r="D21" s="5" t="n">
        <v>220.3</v>
      </c>
      <c r="E21" s="5" t="n">
        <v>11</v>
      </c>
      <c r="F21" s="5" t="n">
        <v>2</v>
      </c>
      <c r="G21" s="5" t="n">
        <v>5586</v>
      </c>
    </row>
    <row r="22" customFormat="false" ht="15" hidden="false" customHeight="true" outlineLevel="0" collapsed="false">
      <c r="A22" s="5" t="s">
        <v>923</v>
      </c>
      <c r="B22" s="5" t="s">
        <v>924</v>
      </c>
      <c r="C22" s="5" t="s">
        <v>58</v>
      </c>
      <c r="D22" s="5" t="n">
        <v>391.2</v>
      </c>
      <c r="E22" s="5" t="n">
        <v>11</v>
      </c>
      <c r="F22" s="5" t="n">
        <v>10</v>
      </c>
      <c r="G22" s="5" t="n">
        <v>4456</v>
      </c>
    </row>
    <row r="23" customFormat="false" ht="15" hidden="false" customHeight="true" outlineLevel="0" collapsed="false">
      <c r="A23" s="5" t="s">
        <v>923</v>
      </c>
      <c r="B23" s="5" t="s">
        <v>924</v>
      </c>
      <c r="C23" s="5" t="s">
        <v>63</v>
      </c>
      <c r="D23" s="5" t="n">
        <v>771.1</v>
      </c>
      <c r="E23" s="5" t="n">
        <v>5</v>
      </c>
      <c r="F23" s="5" t="n">
        <v>3</v>
      </c>
      <c r="G23" s="5" t="n">
        <v>8532</v>
      </c>
    </row>
    <row r="24" customFormat="false" ht="15" hidden="false" customHeight="true" outlineLevel="0" collapsed="false">
      <c r="A24" s="5" t="s">
        <v>923</v>
      </c>
      <c r="B24" s="5" t="s">
        <v>924</v>
      </c>
      <c r="C24" s="5" t="s">
        <v>67</v>
      </c>
      <c r="D24" s="5" t="n">
        <v>106.3</v>
      </c>
      <c r="E24" s="5" t="n">
        <v>14</v>
      </c>
      <c r="F24" s="5" t="n">
        <v>6</v>
      </c>
      <c r="G24" s="5" t="n">
        <v>3993</v>
      </c>
    </row>
    <row r="25" customFormat="false" ht="15" hidden="false" customHeight="true" outlineLevel="0" collapsed="false">
      <c r="A25" s="5" t="s">
        <v>923</v>
      </c>
      <c r="B25" s="5" t="s">
        <v>924</v>
      </c>
      <c r="C25" s="5" t="s">
        <v>71</v>
      </c>
      <c r="D25" s="5" t="n">
        <v>134.3</v>
      </c>
      <c r="E25" s="5" t="n">
        <v>14</v>
      </c>
      <c r="F25" s="5" t="n">
        <v>3</v>
      </c>
      <c r="G25" s="5" t="n">
        <v>7169</v>
      </c>
    </row>
    <row r="26" customFormat="false" ht="15" hidden="false" customHeight="true" outlineLevel="0" collapsed="false">
      <c r="A26" s="5" t="s">
        <v>925</v>
      </c>
      <c r="B26" s="5" t="s">
        <v>926</v>
      </c>
      <c r="C26" s="5" t="s">
        <v>46</v>
      </c>
      <c r="D26" s="5" t="n">
        <v>489.4</v>
      </c>
      <c r="E26" s="5" t="n">
        <v>18</v>
      </c>
      <c r="F26" s="5" t="n">
        <v>2</v>
      </c>
      <c r="G26" s="5" t="n">
        <v>3969</v>
      </c>
    </row>
    <row r="27" customFormat="false" ht="15" hidden="false" customHeight="true" outlineLevel="0" collapsed="false">
      <c r="A27" s="5" t="s">
        <v>925</v>
      </c>
      <c r="B27" s="5" t="s">
        <v>926</v>
      </c>
      <c r="C27" s="5" t="s">
        <v>52</v>
      </c>
      <c r="D27" s="5" t="n">
        <v>194.5</v>
      </c>
      <c r="E27" s="5" t="n">
        <v>12</v>
      </c>
      <c r="F27" s="5" t="n">
        <v>11</v>
      </c>
      <c r="G27" s="5" t="n">
        <v>6588</v>
      </c>
    </row>
    <row r="28" customFormat="false" ht="15" hidden="false" customHeight="true" outlineLevel="0" collapsed="false">
      <c r="A28" s="5" t="s">
        <v>925</v>
      </c>
      <c r="B28" s="5" t="s">
        <v>926</v>
      </c>
      <c r="C28" s="5" t="s">
        <v>58</v>
      </c>
      <c r="D28" s="5" t="n">
        <v>431.3</v>
      </c>
      <c r="E28" s="5" t="n">
        <v>16</v>
      </c>
      <c r="F28" s="5" t="n">
        <v>5</v>
      </c>
      <c r="G28" s="5" t="n">
        <v>3596</v>
      </c>
    </row>
    <row r="29" customFormat="false" ht="15" hidden="false" customHeight="true" outlineLevel="0" collapsed="false">
      <c r="A29" s="5" t="s">
        <v>925</v>
      </c>
      <c r="B29" s="5" t="s">
        <v>926</v>
      </c>
      <c r="C29" s="5" t="s">
        <v>63</v>
      </c>
      <c r="D29" s="5" t="n">
        <v>897.8</v>
      </c>
      <c r="E29" s="5" t="n">
        <v>8</v>
      </c>
      <c r="F29" s="5" t="n">
        <v>8</v>
      </c>
      <c r="G29" s="5" t="n">
        <v>5842</v>
      </c>
    </row>
    <row r="30" customFormat="false" ht="15" hidden="false" customHeight="true" outlineLevel="0" collapsed="false">
      <c r="A30" s="5" t="s">
        <v>925</v>
      </c>
      <c r="B30" s="5" t="s">
        <v>926</v>
      </c>
      <c r="C30" s="5" t="s">
        <v>67</v>
      </c>
      <c r="D30" s="5" t="n">
        <v>154.5</v>
      </c>
      <c r="E30" s="5" t="n">
        <v>5</v>
      </c>
      <c r="F30" s="5" t="n">
        <v>1</v>
      </c>
      <c r="G30" s="5" t="n">
        <v>3052</v>
      </c>
    </row>
    <row r="31" customFormat="false" ht="15" hidden="false" customHeight="true" outlineLevel="0" collapsed="false">
      <c r="A31" s="5" t="s">
        <v>925</v>
      </c>
      <c r="B31" s="5" t="s">
        <v>926</v>
      </c>
      <c r="C31" s="5" t="s">
        <v>71</v>
      </c>
      <c r="D31" s="5" t="n">
        <v>594.5</v>
      </c>
      <c r="E31" s="5" t="n">
        <v>17</v>
      </c>
      <c r="F31" s="5" t="n">
        <v>9</v>
      </c>
      <c r="G31" s="5" t="n">
        <v>2320</v>
      </c>
    </row>
    <row r="32" customFormat="false" ht="15" hidden="false" customHeight="true" outlineLevel="0" collapsed="false">
      <c r="A32" s="5" t="s">
        <v>927</v>
      </c>
      <c r="B32" s="5" t="s">
        <v>928</v>
      </c>
      <c r="C32" s="5" t="s">
        <v>46</v>
      </c>
      <c r="D32" s="5" t="n">
        <v>395.5</v>
      </c>
      <c r="E32" s="5" t="n">
        <v>18</v>
      </c>
      <c r="F32" s="5" t="n">
        <v>8</v>
      </c>
      <c r="G32" s="5" t="n">
        <v>3859</v>
      </c>
    </row>
    <row r="33" customFormat="false" ht="15" hidden="false" customHeight="true" outlineLevel="0" collapsed="false">
      <c r="A33" s="5" t="s">
        <v>927</v>
      </c>
      <c r="B33" s="5" t="s">
        <v>928</v>
      </c>
      <c r="C33" s="5" t="s">
        <v>52</v>
      </c>
      <c r="D33" s="5" t="n">
        <v>876.3</v>
      </c>
      <c r="E33" s="5" t="n">
        <v>4</v>
      </c>
      <c r="F33" s="5" t="n">
        <v>10</v>
      </c>
      <c r="G33" s="5" t="n">
        <v>7704</v>
      </c>
    </row>
    <row r="34" customFormat="false" ht="15" hidden="false" customHeight="true" outlineLevel="0" collapsed="false">
      <c r="A34" s="5" t="s">
        <v>927</v>
      </c>
      <c r="B34" s="5" t="s">
        <v>928</v>
      </c>
      <c r="C34" s="5" t="s">
        <v>58</v>
      </c>
      <c r="D34" s="5" t="n">
        <v>173.9</v>
      </c>
      <c r="E34" s="5" t="n">
        <v>12</v>
      </c>
      <c r="F34" s="5" t="n">
        <v>12</v>
      </c>
      <c r="G34" s="5" t="n">
        <v>7050</v>
      </c>
    </row>
    <row r="35" customFormat="false" ht="15" hidden="false" customHeight="true" outlineLevel="0" collapsed="false">
      <c r="A35" s="5" t="s">
        <v>927</v>
      </c>
      <c r="B35" s="5" t="s">
        <v>928</v>
      </c>
      <c r="C35" s="5" t="s">
        <v>63</v>
      </c>
      <c r="D35" s="5" t="n">
        <v>358.9</v>
      </c>
      <c r="E35" s="5" t="n">
        <v>13</v>
      </c>
      <c r="F35" s="5" t="n">
        <v>6</v>
      </c>
      <c r="G35" s="5" t="n">
        <v>3095</v>
      </c>
    </row>
    <row r="36" customFormat="false" ht="15" hidden="false" customHeight="true" outlineLevel="0" collapsed="false">
      <c r="A36" s="5" t="s">
        <v>927</v>
      </c>
      <c r="B36" s="5" t="s">
        <v>928</v>
      </c>
      <c r="C36" s="5" t="s">
        <v>67</v>
      </c>
      <c r="D36" s="5" t="n">
        <v>452.1</v>
      </c>
      <c r="E36" s="5" t="n">
        <v>12</v>
      </c>
      <c r="F36" s="5" t="n">
        <v>8</v>
      </c>
      <c r="G36" s="5" t="n">
        <v>8041</v>
      </c>
    </row>
    <row r="37" customFormat="false" ht="15" hidden="false" customHeight="true" outlineLevel="0" collapsed="false">
      <c r="A37" s="5" t="s">
        <v>927</v>
      </c>
      <c r="B37" s="5" t="s">
        <v>928</v>
      </c>
      <c r="C37" s="5" t="s">
        <v>71</v>
      </c>
      <c r="D37" s="5" t="n">
        <v>226.5</v>
      </c>
      <c r="E37" s="5" t="n">
        <v>7</v>
      </c>
      <c r="F37" s="5" t="n">
        <v>10</v>
      </c>
      <c r="G37" s="5" t="n">
        <v>4244</v>
      </c>
    </row>
    <row r="38" customFormat="false" ht="15" hidden="false" customHeight="true" outlineLevel="0" collapsed="false">
      <c r="A38" s="5" t="s">
        <v>929</v>
      </c>
      <c r="B38" s="5" t="s">
        <v>930</v>
      </c>
      <c r="C38" s="5" t="s">
        <v>46</v>
      </c>
      <c r="D38" s="5" t="n">
        <v>770.2</v>
      </c>
      <c r="E38" s="5" t="n">
        <v>20</v>
      </c>
      <c r="F38" s="5" t="n">
        <v>9</v>
      </c>
      <c r="G38" s="5" t="n">
        <v>3429</v>
      </c>
    </row>
    <row r="39" customFormat="false" ht="15" hidden="false" customHeight="true" outlineLevel="0" collapsed="false">
      <c r="A39" s="5" t="s">
        <v>929</v>
      </c>
      <c r="B39" s="5" t="s">
        <v>930</v>
      </c>
      <c r="C39" s="5" t="s">
        <v>52</v>
      </c>
      <c r="D39" s="5" t="n">
        <v>205.3</v>
      </c>
      <c r="E39" s="5" t="n">
        <v>9</v>
      </c>
      <c r="F39" s="5" t="n">
        <v>8</v>
      </c>
      <c r="G39" s="5" t="n">
        <v>8178</v>
      </c>
    </row>
    <row r="40" customFormat="false" ht="15" hidden="false" customHeight="true" outlineLevel="0" collapsed="false">
      <c r="A40" s="5" t="s">
        <v>929</v>
      </c>
      <c r="B40" s="5" t="s">
        <v>930</v>
      </c>
      <c r="C40" s="5" t="s">
        <v>58</v>
      </c>
      <c r="D40" s="5" t="n">
        <v>836.4</v>
      </c>
      <c r="E40" s="5" t="n">
        <v>4</v>
      </c>
      <c r="F40" s="5" t="n">
        <v>9</v>
      </c>
      <c r="G40" s="5" t="n">
        <v>4455</v>
      </c>
    </row>
    <row r="41" customFormat="false" ht="15" hidden="false" customHeight="true" outlineLevel="0" collapsed="false">
      <c r="A41" s="5" t="s">
        <v>929</v>
      </c>
      <c r="B41" s="5" t="s">
        <v>930</v>
      </c>
      <c r="C41" s="5" t="s">
        <v>63</v>
      </c>
      <c r="D41" s="5" t="n">
        <v>480.7</v>
      </c>
      <c r="E41" s="5" t="n">
        <v>7</v>
      </c>
      <c r="F41" s="5" t="n">
        <v>5</v>
      </c>
      <c r="G41" s="5" t="n">
        <v>8998</v>
      </c>
    </row>
    <row r="42" customFormat="false" ht="15" hidden="false" customHeight="true" outlineLevel="0" collapsed="false">
      <c r="A42" s="5" t="s">
        <v>929</v>
      </c>
      <c r="B42" s="5" t="s">
        <v>930</v>
      </c>
      <c r="C42" s="5" t="s">
        <v>67</v>
      </c>
      <c r="D42" s="5" t="n">
        <v>888</v>
      </c>
      <c r="E42" s="5" t="n">
        <v>13</v>
      </c>
      <c r="F42" s="5" t="n">
        <v>3</v>
      </c>
      <c r="G42" s="5" t="n">
        <v>2274</v>
      </c>
    </row>
    <row r="43" customFormat="false" ht="15" hidden="false" customHeight="true" outlineLevel="0" collapsed="false">
      <c r="A43" s="5" t="s">
        <v>929</v>
      </c>
      <c r="B43" s="5" t="s">
        <v>930</v>
      </c>
      <c r="C43" s="5" t="s">
        <v>71</v>
      </c>
      <c r="D43" s="5" t="n">
        <v>277.5</v>
      </c>
      <c r="E43" s="5" t="n">
        <v>6</v>
      </c>
      <c r="F43" s="5" t="n">
        <v>1</v>
      </c>
      <c r="G43" s="5" t="n">
        <v>7795</v>
      </c>
    </row>
    <row r="44" customFormat="false" ht="15" hidden="false" customHeight="true" outlineLevel="0" collapsed="false">
      <c r="A44" s="5" t="s">
        <v>931</v>
      </c>
      <c r="B44" s="5" t="s">
        <v>932</v>
      </c>
      <c r="C44" s="5" t="s">
        <v>46</v>
      </c>
      <c r="D44" s="5" t="n">
        <v>478.5</v>
      </c>
      <c r="E44" s="5" t="n">
        <v>6</v>
      </c>
      <c r="F44" s="5" t="n">
        <v>12</v>
      </c>
      <c r="G44" s="5" t="n">
        <v>6163</v>
      </c>
    </row>
    <row r="45" customFormat="false" ht="15" hidden="false" customHeight="true" outlineLevel="0" collapsed="false">
      <c r="A45" s="5" t="s">
        <v>931</v>
      </c>
      <c r="B45" s="5" t="s">
        <v>932</v>
      </c>
      <c r="C45" s="5" t="s">
        <v>52</v>
      </c>
      <c r="D45" s="5" t="n">
        <v>708</v>
      </c>
      <c r="E45" s="5" t="n">
        <v>8</v>
      </c>
      <c r="F45" s="5" t="n">
        <v>10</v>
      </c>
      <c r="G45" s="5" t="n">
        <v>5693</v>
      </c>
    </row>
    <row r="46" customFormat="false" ht="15" hidden="false" customHeight="true" outlineLevel="0" collapsed="false">
      <c r="A46" s="5" t="s">
        <v>931</v>
      </c>
      <c r="B46" s="5" t="s">
        <v>932</v>
      </c>
      <c r="C46" s="5" t="s">
        <v>58</v>
      </c>
      <c r="D46" s="5" t="n">
        <v>856.4</v>
      </c>
      <c r="E46" s="5" t="n">
        <v>9</v>
      </c>
      <c r="F46" s="5" t="n">
        <v>4</v>
      </c>
      <c r="G46" s="5" t="n">
        <v>6122</v>
      </c>
    </row>
    <row r="47" customFormat="false" ht="15" hidden="false" customHeight="true" outlineLevel="0" collapsed="false">
      <c r="A47" s="5" t="s">
        <v>931</v>
      </c>
      <c r="B47" s="5" t="s">
        <v>932</v>
      </c>
      <c r="C47" s="5" t="s">
        <v>63</v>
      </c>
      <c r="D47" s="5" t="n">
        <v>795.4</v>
      </c>
      <c r="E47" s="5" t="n">
        <v>17</v>
      </c>
      <c r="F47" s="5" t="n">
        <v>3</v>
      </c>
      <c r="G47" s="5" t="n">
        <v>9409</v>
      </c>
    </row>
    <row r="48" customFormat="false" ht="15" hidden="false" customHeight="true" outlineLevel="0" collapsed="false">
      <c r="A48" s="5" t="s">
        <v>931</v>
      </c>
      <c r="B48" s="5" t="s">
        <v>932</v>
      </c>
      <c r="C48" s="5" t="s">
        <v>67</v>
      </c>
      <c r="D48" s="5" t="n">
        <v>522.2</v>
      </c>
      <c r="E48" s="5" t="n">
        <v>10</v>
      </c>
      <c r="F48" s="5" t="n">
        <v>11</v>
      </c>
      <c r="G48" s="5" t="n">
        <v>4353</v>
      </c>
    </row>
    <row r="49" customFormat="false" ht="15" hidden="false" customHeight="true" outlineLevel="0" collapsed="false">
      <c r="A49" s="5" t="s">
        <v>931</v>
      </c>
      <c r="B49" s="5" t="s">
        <v>932</v>
      </c>
      <c r="C49" s="5" t="s">
        <v>71</v>
      </c>
      <c r="D49" s="5" t="n">
        <v>407.2</v>
      </c>
      <c r="E49" s="5" t="n">
        <v>15</v>
      </c>
      <c r="F49" s="5" t="n">
        <v>7</v>
      </c>
      <c r="G49" s="5" t="n">
        <v>9169</v>
      </c>
    </row>
    <row r="50" customFormat="false" ht="15" hidden="false" customHeight="true" outlineLevel="0" collapsed="false">
      <c r="A50" s="5" t="s">
        <v>933</v>
      </c>
      <c r="B50" s="5" t="s">
        <v>934</v>
      </c>
      <c r="C50" s="5" t="s">
        <v>46</v>
      </c>
      <c r="D50" s="5" t="n">
        <v>348</v>
      </c>
      <c r="E50" s="5" t="n">
        <v>16</v>
      </c>
      <c r="F50" s="5" t="n">
        <v>4</v>
      </c>
      <c r="G50" s="5" t="n">
        <v>7960</v>
      </c>
    </row>
    <row r="51" customFormat="false" ht="15" hidden="false" customHeight="true" outlineLevel="0" collapsed="false">
      <c r="A51" s="5" t="s">
        <v>933</v>
      </c>
      <c r="B51" s="5" t="s">
        <v>934</v>
      </c>
      <c r="C51" s="5" t="s">
        <v>52</v>
      </c>
      <c r="D51" s="5" t="n">
        <v>860</v>
      </c>
      <c r="E51" s="5" t="n">
        <v>17</v>
      </c>
      <c r="F51" s="5" t="n">
        <v>4</v>
      </c>
      <c r="G51" s="5" t="n">
        <v>8639</v>
      </c>
    </row>
    <row r="52" customFormat="false" ht="15" hidden="false" customHeight="true" outlineLevel="0" collapsed="false">
      <c r="A52" s="5" t="s">
        <v>933</v>
      </c>
      <c r="B52" s="5" t="s">
        <v>934</v>
      </c>
      <c r="C52" s="5" t="s">
        <v>58</v>
      </c>
      <c r="D52" s="5" t="n">
        <v>147.2</v>
      </c>
      <c r="E52" s="5" t="n">
        <v>4</v>
      </c>
      <c r="F52" s="5" t="n">
        <v>11</v>
      </c>
      <c r="G52" s="5" t="n">
        <v>6218</v>
      </c>
    </row>
    <row r="53" customFormat="false" ht="15" hidden="false" customHeight="true" outlineLevel="0" collapsed="false">
      <c r="A53" s="5" t="s">
        <v>933</v>
      </c>
      <c r="B53" s="5" t="s">
        <v>934</v>
      </c>
      <c r="C53" s="5" t="s">
        <v>63</v>
      </c>
      <c r="D53" s="5" t="n">
        <v>122.7</v>
      </c>
      <c r="E53" s="5" t="n">
        <v>15</v>
      </c>
      <c r="F53" s="5" t="n">
        <v>3</v>
      </c>
      <c r="G53" s="5" t="n">
        <v>7125</v>
      </c>
    </row>
    <row r="54" customFormat="false" ht="15" hidden="false" customHeight="true" outlineLevel="0" collapsed="false">
      <c r="A54" s="5" t="s">
        <v>933</v>
      </c>
      <c r="B54" s="5" t="s">
        <v>934</v>
      </c>
      <c r="C54" s="5" t="s">
        <v>67</v>
      </c>
      <c r="D54" s="5" t="n">
        <v>136.3</v>
      </c>
      <c r="E54" s="5" t="n">
        <v>5</v>
      </c>
      <c r="F54" s="5" t="n">
        <v>12</v>
      </c>
      <c r="G54" s="5" t="n">
        <v>2054</v>
      </c>
    </row>
    <row r="55" customFormat="false" ht="15" hidden="false" customHeight="true" outlineLevel="0" collapsed="false">
      <c r="A55" s="5" t="s">
        <v>933</v>
      </c>
      <c r="B55" s="5" t="s">
        <v>934</v>
      </c>
      <c r="C55" s="5" t="s">
        <v>71</v>
      </c>
      <c r="D55" s="5" t="n">
        <v>858.7</v>
      </c>
      <c r="E55" s="5" t="n">
        <v>10</v>
      </c>
      <c r="F55" s="5" t="n">
        <v>0</v>
      </c>
      <c r="G55" s="5" t="n">
        <v>6889</v>
      </c>
    </row>
    <row r="56" customFormat="false" ht="15" hidden="false" customHeight="true" outlineLevel="0" collapsed="false">
      <c r="A56" s="5" t="s">
        <v>935</v>
      </c>
      <c r="B56" s="5" t="s">
        <v>930</v>
      </c>
      <c r="C56" s="5" t="s">
        <v>46</v>
      </c>
      <c r="D56" s="5" t="n">
        <v>205</v>
      </c>
      <c r="E56" s="5" t="n">
        <v>8</v>
      </c>
      <c r="F56" s="5" t="n">
        <v>7</v>
      </c>
      <c r="G56" s="5" t="n">
        <v>7284</v>
      </c>
    </row>
    <row r="57" customFormat="false" ht="15" hidden="false" customHeight="true" outlineLevel="0" collapsed="false">
      <c r="A57" s="5" t="s">
        <v>935</v>
      </c>
      <c r="B57" s="5" t="s">
        <v>930</v>
      </c>
      <c r="C57" s="5" t="s">
        <v>52</v>
      </c>
      <c r="D57" s="5" t="n">
        <v>173.8</v>
      </c>
      <c r="E57" s="5" t="n">
        <v>10</v>
      </c>
      <c r="F57" s="5" t="n">
        <v>7</v>
      </c>
      <c r="G57" s="5" t="n">
        <v>7530</v>
      </c>
    </row>
    <row r="58" customFormat="false" ht="15" hidden="false" customHeight="true" outlineLevel="0" collapsed="false">
      <c r="A58" s="5" t="s">
        <v>935</v>
      </c>
      <c r="B58" s="5" t="s">
        <v>930</v>
      </c>
      <c r="C58" s="5" t="s">
        <v>58</v>
      </c>
      <c r="D58" s="5" t="n">
        <v>290.1</v>
      </c>
      <c r="E58" s="5" t="n">
        <v>15</v>
      </c>
      <c r="F58" s="5" t="n">
        <v>2</v>
      </c>
      <c r="G58" s="5" t="n">
        <v>6763</v>
      </c>
    </row>
    <row r="59" customFormat="false" ht="15" hidden="false" customHeight="true" outlineLevel="0" collapsed="false">
      <c r="A59" s="5" t="s">
        <v>935</v>
      </c>
      <c r="B59" s="5" t="s">
        <v>930</v>
      </c>
      <c r="C59" s="5" t="s">
        <v>63</v>
      </c>
      <c r="D59" s="5" t="n">
        <v>577.9</v>
      </c>
      <c r="E59" s="5" t="n">
        <v>7</v>
      </c>
      <c r="F59" s="5" t="n">
        <v>12</v>
      </c>
      <c r="G59" s="5" t="n">
        <v>8511</v>
      </c>
    </row>
    <row r="60" customFormat="false" ht="15" hidden="false" customHeight="true" outlineLevel="0" collapsed="false">
      <c r="A60" s="5" t="s">
        <v>935</v>
      </c>
      <c r="B60" s="5" t="s">
        <v>930</v>
      </c>
      <c r="C60" s="5" t="s">
        <v>67</v>
      </c>
      <c r="D60" s="5" t="n">
        <v>214.3</v>
      </c>
      <c r="E60" s="5" t="n">
        <v>13</v>
      </c>
      <c r="F60" s="5" t="n">
        <v>1</v>
      </c>
      <c r="G60" s="5" t="n">
        <v>6540</v>
      </c>
    </row>
    <row r="61" customFormat="false" ht="15" hidden="false" customHeight="true" outlineLevel="0" collapsed="false">
      <c r="A61" s="5" t="s">
        <v>935</v>
      </c>
      <c r="B61" s="5" t="s">
        <v>930</v>
      </c>
      <c r="C61" s="5" t="s">
        <v>71</v>
      </c>
      <c r="D61" s="5" t="n">
        <v>101.1</v>
      </c>
      <c r="E61" s="5" t="n">
        <v>13</v>
      </c>
      <c r="F61" s="5" t="n">
        <v>9</v>
      </c>
      <c r="G61" s="5" t="n">
        <v>7348</v>
      </c>
    </row>
    <row r="62" customFormat="false" ht="15" hidden="false" customHeight="true" outlineLevel="0" collapsed="false">
      <c r="A62" s="5" t="s">
        <v>936</v>
      </c>
      <c r="B62" s="5" t="s">
        <v>937</v>
      </c>
      <c r="C62" s="5" t="s">
        <v>46</v>
      </c>
      <c r="D62" s="5" t="n">
        <v>824.6</v>
      </c>
      <c r="E62" s="5" t="n">
        <v>16</v>
      </c>
      <c r="F62" s="5" t="n">
        <v>6</v>
      </c>
      <c r="G62" s="5" t="n">
        <v>7657</v>
      </c>
    </row>
    <row r="63" customFormat="false" ht="15" hidden="false" customHeight="true" outlineLevel="0" collapsed="false">
      <c r="A63" s="5" t="s">
        <v>936</v>
      </c>
      <c r="B63" s="5" t="s">
        <v>937</v>
      </c>
      <c r="C63" s="5" t="s">
        <v>52</v>
      </c>
      <c r="D63" s="5" t="n">
        <v>242.6</v>
      </c>
      <c r="E63" s="5" t="n">
        <v>11</v>
      </c>
      <c r="F63" s="5" t="n">
        <v>1</v>
      </c>
      <c r="G63" s="5" t="n">
        <v>7511</v>
      </c>
    </row>
    <row r="64" customFormat="false" ht="15" hidden="false" customHeight="true" outlineLevel="0" collapsed="false">
      <c r="A64" s="5" t="s">
        <v>936</v>
      </c>
      <c r="B64" s="5" t="s">
        <v>937</v>
      </c>
      <c r="C64" s="5" t="s">
        <v>58</v>
      </c>
      <c r="D64" s="5" t="n">
        <v>713.4</v>
      </c>
      <c r="E64" s="5" t="n">
        <v>7</v>
      </c>
      <c r="F64" s="5" t="n">
        <v>12</v>
      </c>
      <c r="G64" s="5" t="n">
        <v>6436</v>
      </c>
    </row>
    <row r="65" customFormat="false" ht="15" hidden="false" customHeight="true" outlineLevel="0" collapsed="false">
      <c r="A65" s="5" t="s">
        <v>936</v>
      </c>
      <c r="B65" s="5" t="s">
        <v>937</v>
      </c>
      <c r="C65" s="5" t="s">
        <v>63</v>
      </c>
      <c r="D65" s="5" t="n">
        <v>721.8</v>
      </c>
      <c r="E65" s="5" t="n">
        <v>15</v>
      </c>
      <c r="F65" s="5" t="n">
        <v>8</v>
      </c>
      <c r="G65" s="5" t="n">
        <v>5309</v>
      </c>
    </row>
    <row r="66" customFormat="false" ht="15" hidden="false" customHeight="true" outlineLevel="0" collapsed="false">
      <c r="A66" s="5" t="s">
        <v>936</v>
      </c>
      <c r="B66" s="5" t="s">
        <v>937</v>
      </c>
      <c r="C66" s="5" t="s">
        <v>67</v>
      </c>
      <c r="D66" s="5" t="n">
        <v>622.4</v>
      </c>
      <c r="E66" s="5" t="n">
        <v>6</v>
      </c>
      <c r="F66" s="5" t="n">
        <v>8</v>
      </c>
      <c r="G66" s="5" t="n">
        <v>7104</v>
      </c>
    </row>
    <row r="67" customFormat="false" ht="15" hidden="false" customHeight="true" outlineLevel="0" collapsed="false">
      <c r="A67" s="5" t="s">
        <v>936</v>
      </c>
      <c r="B67" s="5" t="s">
        <v>937</v>
      </c>
      <c r="C67" s="5" t="s">
        <v>71</v>
      </c>
      <c r="D67" s="5" t="n">
        <v>359.8</v>
      </c>
      <c r="E67" s="5" t="n">
        <v>17</v>
      </c>
      <c r="F67" s="5" t="n">
        <v>7</v>
      </c>
      <c r="G67" s="5" t="n">
        <v>2664</v>
      </c>
    </row>
    <row r="68" customFormat="false" ht="15" hidden="false" customHeight="true" outlineLevel="0" collapsed="false">
      <c r="A68" s="5" t="s">
        <v>938</v>
      </c>
      <c r="B68" s="5" t="s">
        <v>939</v>
      </c>
      <c r="C68" s="5" t="s">
        <v>46</v>
      </c>
      <c r="D68" s="5" t="n">
        <v>435.5</v>
      </c>
      <c r="E68" s="5" t="n">
        <v>15</v>
      </c>
      <c r="F68" s="5" t="n">
        <v>10</v>
      </c>
      <c r="G68" s="5" t="n">
        <v>9103</v>
      </c>
    </row>
    <row r="69" customFormat="false" ht="15" hidden="false" customHeight="true" outlineLevel="0" collapsed="false">
      <c r="A69" s="5" t="s">
        <v>938</v>
      </c>
      <c r="B69" s="5" t="s">
        <v>939</v>
      </c>
      <c r="C69" s="5" t="s">
        <v>52</v>
      </c>
      <c r="D69" s="5" t="n">
        <v>759.5</v>
      </c>
      <c r="E69" s="5" t="n">
        <v>8</v>
      </c>
      <c r="F69" s="5" t="n">
        <v>6</v>
      </c>
      <c r="G69" s="5" t="n">
        <v>3242</v>
      </c>
    </row>
    <row r="70" customFormat="false" ht="15" hidden="false" customHeight="true" outlineLevel="0" collapsed="false">
      <c r="A70" s="5" t="s">
        <v>938</v>
      </c>
      <c r="B70" s="5" t="s">
        <v>939</v>
      </c>
      <c r="C70" s="5" t="s">
        <v>58</v>
      </c>
      <c r="D70" s="5" t="n">
        <v>681.7</v>
      </c>
      <c r="E70" s="5" t="n">
        <v>12</v>
      </c>
      <c r="F70" s="5" t="n">
        <v>9</v>
      </c>
      <c r="G70" s="5" t="n">
        <v>8420</v>
      </c>
    </row>
    <row r="71" customFormat="false" ht="15" hidden="false" customHeight="true" outlineLevel="0" collapsed="false">
      <c r="A71" s="5" t="s">
        <v>938</v>
      </c>
      <c r="B71" s="5" t="s">
        <v>939</v>
      </c>
      <c r="C71" s="5" t="s">
        <v>63</v>
      </c>
      <c r="D71" s="5" t="n">
        <v>834.1</v>
      </c>
      <c r="E71" s="5" t="n">
        <v>19</v>
      </c>
      <c r="F71" s="5" t="n">
        <v>7</v>
      </c>
      <c r="G71" s="5" t="n">
        <v>5368</v>
      </c>
    </row>
    <row r="72" customFormat="false" ht="15" hidden="false" customHeight="true" outlineLevel="0" collapsed="false">
      <c r="A72" s="5" t="s">
        <v>938</v>
      </c>
      <c r="B72" s="5" t="s">
        <v>939</v>
      </c>
      <c r="C72" s="5" t="s">
        <v>67</v>
      </c>
      <c r="D72" s="5" t="n">
        <v>757.1</v>
      </c>
      <c r="E72" s="5" t="n">
        <v>12</v>
      </c>
      <c r="F72" s="5" t="n">
        <v>5</v>
      </c>
      <c r="G72" s="5" t="n">
        <v>8777</v>
      </c>
    </row>
    <row r="73" customFormat="false" ht="15" hidden="false" customHeight="true" outlineLevel="0" collapsed="false">
      <c r="A73" s="5" t="s">
        <v>938</v>
      </c>
      <c r="B73" s="5" t="s">
        <v>939</v>
      </c>
      <c r="C73" s="5" t="s">
        <v>71</v>
      </c>
      <c r="D73" s="5" t="n">
        <v>281.3</v>
      </c>
      <c r="E73" s="5" t="n">
        <v>6</v>
      </c>
      <c r="F73" s="5" t="n">
        <v>4</v>
      </c>
      <c r="G73" s="5" t="n">
        <v>9022</v>
      </c>
    </row>
    <row r="74" customFormat="false" ht="15" hidden="false" customHeight="true" outlineLevel="0" collapsed="false">
      <c r="A74" s="5" t="s">
        <v>940</v>
      </c>
      <c r="B74" s="5" t="s">
        <v>941</v>
      </c>
      <c r="C74" s="5" t="s">
        <v>46</v>
      </c>
      <c r="D74" s="5" t="n">
        <v>449.7</v>
      </c>
      <c r="E74" s="5" t="n">
        <v>18</v>
      </c>
      <c r="F74" s="5" t="n">
        <v>9</v>
      </c>
      <c r="G74" s="5" t="n">
        <v>6799</v>
      </c>
    </row>
    <row r="75" customFormat="false" ht="15" hidden="false" customHeight="true" outlineLevel="0" collapsed="false">
      <c r="A75" s="5" t="s">
        <v>940</v>
      </c>
      <c r="B75" s="5" t="s">
        <v>941</v>
      </c>
      <c r="C75" s="5" t="s">
        <v>52</v>
      </c>
      <c r="D75" s="5" t="n">
        <v>627.9</v>
      </c>
      <c r="E75" s="5" t="n">
        <v>14</v>
      </c>
      <c r="F75" s="5" t="n">
        <v>0</v>
      </c>
      <c r="G75" s="5" t="n">
        <v>5849</v>
      </c>
    </row>
    <row r="76" customFormat="false" ht="15" hidden="false" customHeight="true" outlineLevel="0" collapsed="false">
      <c r="A76" s="5" t="s">
        <v>940</v>
      </c>
      <c r="B76" s="5" t="s">
        <v>941</v>
      </c>
      <c r="C76" s="5" t="s">
        <v>58</v>
      </c>
      <c r="D76" s="5" t="n">
        <v>777.8</v>
      </c>
      <c r="E76" s="5" t="n">
        <v>9</v>
      </c>
      <c r="F76" s="5" t="n">
        <v>7</v>
      </c>
      <c r="G76" s="5" t="n">
        <v>3537</v>
      </c>
    </row>
    <row r="77" customFormat="false" ht="15" hidden="false" customHeight="true" outlineLevel="0" collapsed="false">
      <c r="A77" s="5" t="s">
        <v>940</v>
      </c>
      <c r="B77" s="5" t="s">
        <v>941</v>
      </c>
      <c r="C77" s="5" t="s">
        <v>63</v>
      </c>
      <c r="D77" s="5" t="n">
        <v>371</v>
      </c>
      <c r="E77" s="5" t="n">
        <v>12</v>
      </c>
      <c r="F77" s="5" t="n">
        <v>5</v>
      </c>
      <c r="G77" s="5" t="n">
        <v>4090</v>
      </c>
    </row>
    <row r="78" customFormat="false" ht="15" hidden="false" customHeight="true" outlineLevel="0" collapsed="false">
      <c r="A78" s="5" t="s">
        <v>940</v>
      </c>
      <c r="B78" s="5" t="s">
        <v>941</v>
      </c>
      <c r="C78" s="5" t="s">
        <v>67</v>
      </c>
      <c r="D78" s="5" t="n">
        <v>801.9</v>
      </c>
      <c r="E78" s="5" t="n">
        <v>12</v>
      </c>
      <c r="F78" s="5" t="n">
        <v>8</v>
      </c>
      <c r="G78" s="5" t="n">
        <v>1883</v>
      </c>
    </row>
    <row r="79" customFormat="false" ht="15" hidden="false" customHeight="true" outlineLevel="0" collapsed="false">
      <c r="A79" s="5" t="s">
        <v>940</v>
      </c>
      <c r="B79" s="5" t="s">
        <v>941</v>
      </c>
      <c r="C79" s="5" t="s">
        <v>71</v>
      </c>
      <c r="D79" s="5" t="n">
        <v>503.6</v>
      </c>
      <c r="E79" s="5" t="n">
        <v>10</v>
      </c>
      <c r="F79" s="5" t="n">
        <v>1</v>
      </c>
      <c r="G79" s="5" t="n">
        <v>3777</v>
      </c>
    </row>
    <row r="80" customFormat="false" ht="15" hidden="false" customHeight="true" outlineLevel="0" collapsed="false">
      <c r="A80" s="5" t="s">
        <v>942</v>
      </c>
      <c r="B80" s="5" t="s">
        <v>943</v>
      </c>
      <c r="C80" s="5" t="s">
        <v>46</v>
      </c>
      <c r="D80" s="5" t="n">
        <v>670.5</v>
      </c>
      <c r="E80" s="5" t="n">
        <v>19</v>
      </c>
      <c r="F80" s="5" t="n">
        <v>8</v>
      </c>
      <c r="G80" s="5" t="n">
        <v>8010</v>
      </c>
    </row>
    <row r="81" customFormat="false" ht="15" hidden="false" customHeight="true" outlineLevel="0" collapsed="false">
      <c r="A81" s="5" t="s">
        <v>942</v>
      </c>
      <c r="B81" s="5" t="s">
        <v>943</v>
      </c>
      <c r="C81" s="5" t="s">
        <v>52</v>
      </c>
      <c r="D81" s="5" t="n">
        <v>277.1</v>
      </c>
      <c r="E81" s="5" t="n">
        <v>19</v>
      </c>
      <c r="F81" s="5" t="n">
        <v>10</v>
      </c>
      <c r="G81" s="5" t="n">
        <v>7631</v>
      </c>
    </row>
    <row r="82" customFormat="false" ht="15" hidden="false" customHeight="true" outlineLevel="0" collapsed="false">
      <c r="A82" s="5" t="s">
        <v>942</v>
      </c>
      <c r="B82" s="5" t="s">
        <v>943</v>
      </c>
      <c r="C82" s="5" t="s">
        <v>58</v>
      </c>
      <c r="D82" s="5" t="n">
        <v>482.5</v>
      </c>
      <c r="E82" s="5" t="n">
        <v>4</v>
      </c>
      <c r="F82" s="5" t="n">
        <v>1</v>
      </c>
      <c r="G82" s="5" t="n">
        <v>4210</v>
      </c>
    </row>
    <row r="83" customFormat="false" ht="15" hidden="false" customHeight="true" outlineLevel="0" collapsed="false">
      <c r="A83" s="5" t="s">
        <v>942</v>
      </c>
      <c r="B83" s="5" t="s">
        <v>943</v>
      </c>
      <c r="C83" s="5" t="s">
        <v>63</v>
      </c>
      <c r="D83" s="5" t="n">
        <v>261.7</v>
      </c>
      <c r="E83" s="5" t="n">
        <v>11</v>
      </c>
      <c r="F83" s="5" t="n">
        <v>4</v>
      </c>
      <c r="G83" s="5" t="n">
        <v>7239</v>
      </c>
    </row>
    <row r="84" customFormat="false" ht="15" hidden="false" customHeight="true" outlineLevel="0" collapsed="false">
      <c r="A84" s="5" t="s">
        <v>942</v>
      </c>
      <c r="B84" s="5" t="s">
        <v>943</v>
      </c>
      <c r="C84" s="5" t="s">
        <v>67</v>
      </c>
      <c r="D84" s="5" t="n">
        <v>556.9</v>
      </c>
      <c r="E84" s="5" t="n">
        <v>19</v>
      </c>
      <c r="F84" s="5" t="n">
        <v>8</v>
      </c>
      <c r="G84" s="5" t="n">
        <v>6149</v>
      </c>
    </row>
    <row r="85" customFormat="false" ht="15" hidden="false" customHeight="true" outlineLevel="0" collapsed="false">
      <c r="A85" s="5" t="s">
        <v>942</v>
      </c>
      <c r="B85" s="5" t="s">
        <v>943</v>
      </c>
      <c r="C85" s="5" t="s">
        <v>71</v>
      </c>
      <c r="D85" s="5" t="n">
        <v>361.9</v>
      </c>
      <c r="E85" s="5" t="n">
        <v>14</v>
      </c>
      <c r="F85" s="5" t="n">
        <v>5</v>
      </c>
      <c r="G85" s="5" t="n">
        <v>7557</v>
      </c>
    </row>
    <row r="86" customFormat="false" ht="15" hidden="false" customHeight="true" outlineLevel="0" collapsed="false">
      <c r="A86" s="5" t="s">
        <v>944</v>
      </c>
      <c r="B86" s="5" t="s">
        <v>945</v>
      </c>
      <c r="C86" s="5" t="s">
        <v>46</v>
      </c>
      <c r="D86" s="5" t="n">
        <v>452.1</v>
      </c>
      <c r="E86" s="5" t="n">
        <v>13</v>
      </c>
      <c r="F86" s="5" t="n">
        <v>4</v>
      </c>
      <c r="G86" s="5" t="n">
        <v>3688</v>
      </c>
    </row>
    <row r="87" customFormat="false" ht="15" hidden="false" customHeight="true" outlineLevel="0" collapsed="false">
      <c r="A87" s="5" t="s">
        <v>944</v>
      </c>
      <c r="B87" s="5" t="s">
        <v>945</v>
      </c>
      <c r="C87" s="5" t="s">
        <v>52</v>
      </c>
      <c r="D87" s="5" t="n">
        <v>178.9</v>
      </c>
      <c r="E87" s="5" t="n">
        <v>10</v>
      </c>
      <c r="F87" s="5" t="n">
        <v>5</v>
      </c>
      <c r="G87" s="5" t="n">
        <v>2779</v>
      </c>
    </row>
    <row r="88" customFormat="false" ht="15" hidden="false" customHeight="true" outlineLevel="0" collapsed="false">
      <c r="A88" s="5" t="s">
        <v>944</v>
      </c>
      <c r="B88" s="5" t="s">
        <v>945</v>
      </c>
      <c r="C88" s="5" t="s">
        <v>58</v>
      </c>
      <c r="D88" s="5" t="n">
        <v>689.2</v>
      </c>
      <c r="E88" s="5" t="n">
        <v>9</v>
      </c>
      <c r="F88" s="5" t="n">
        <v>3</v>
      </c>
      <c r="G88" s="5" t="n">
        <v>3572</v>
      </c>
    </row>
    <row r="89" customFormat="false" ht="15" hidden="false" customHeight="true" outlineLevel="0" collapsed="false">
      <c r="A89" s="5" t="s">
        <v>944</v>
      </c>
      <c r="B89" s="5" t="s">
        <v>945</v>
      </c>
      <c r="C89" s="5" t="s">
        <v>63</v>
      </c>
      <c r="D89" s="5" t="n">
        <v>685.7</v>
      </c>
      <c r="E89" s="5" t="n">
        <v>12</v>
      </c>
      <c r="F89" s="5" t="n">
        <v>11</v>
      </c>
      <c r="G89" s="5" t="n">
        <v>6629</v>
      </c>
    </row>
    <row r="90" customFormat="false" ht="15" hidden="false" customHeight="true" outlineLevel="0" collapsed="false">
      <c r="A90" s="5" t="s">
        <v>944</v>
      </c>
      <c r="B90" s="5" t="s">
        <v>945</v>
      </c>
      <c r="C90" s="5" t="s">
        <v>67</v>
      </c>
      <c r="D90" s="5" t="n">
        <v>880.8</v>
      </c>
      <c r="E90" s="5" t="n">
        <v>20</v>
      </c>
      <c r="F90" s="5" t="n">
        <v>9</v>
      </c>
      <c r="G90" s="5" t="n">
        <v>4118</v>
      </c>
    </row>
    <row r="91" customFormat="false" ht="15" hidden="false" customHeight="true" outlineLevel="0" collapsed="false">
      <c r="A91" s="5" t="s">
        <v>944</v>
      </c>
      <c r="B91" s="5" t="s">
        <v>945</v>
      </c>
      <c r="C91" s="5" t="s">
        <v>71</v>
      </c>
      <c r="D91" s="5" t="n">
        <v>884</v>
      </c>
      <c r="E91" s="5" t="n">
        <v>10</v>
      </c>
      <c r="F91" s="5" t="n">
        <v>4</v>
      </c>
      <c r="G91" s="5" t="n">
        <v>3663</v>
      </c>
    </row>
    <row r="92" customFormat="false" ht="15" hidden="false" customHeight="true" outlineLevel="0" collapsed="false">
      <c r="A92" s="5" t="s">
        <v>946</v>
      </c>
      <c r="B92" s="5" t="s">
        <v>947</v>
      </c>
      <c r="C92" s="5" t="s">
        <v>46</v>
      </c>
      <c r="D92" s="5" t="n">
        <v>375.9</v>
      </c>
      <c r="E92" s="5" t="n">
        <v>13</v>
      </c>
      <c r="F92" s="5" t="n">
        <v>0</v>
      </c>
      <c r="G92" s="5" t="n">
        <v>7600</v>
      </c>
    </row>
    <row r="93" customFormat="false" ht="15" hidden="false" customHeight="true" outlineLevel="0" collapsed="false">
      <c r="A93" s="5" t="s">
        <v>946</v>
      </c>
      <c r="B93" s="5" t="s">
        <v>947</v>
      </c>
      <c r="C93" s="5" t="s">
        <v>52</v>
      </c>
      <c r="D93" s="5" t="n">
        <v>518</v>
      </c>
      <c r="E93" s="5" t="n">
        <v>12</v>
      </c>
      <c r="F93" s="5" t="n">
        <v>0</v>
      </c>
      <c r="G93" s="5" t="n">
        <v>2246</v>
      </c>
    </row>
    <row r="94" customFormat="false" ht="15" hidden="false" customHeight="true" outlineLevel="0" collapsed="false">
      <c r="A94" s="5" t="s">
        <v>946</v>
      </c>
      <c r="B94" s="5" t="s">
        <v>947</v>
      </c>
      <c r="C94" s="5" t="s">
        <v>58</v>
      </c>
      <c r="D94" s="5" t="n">
        <v>533.8</v>
      </c>
      <c r="E94" s="5" t="n">
        <v>8</v>
      </c>
      <c r="F94" s="5" t="n">
        <v>10</v>
      </c>
      <c r="G94" s="5" t="n">
        <v>8914</v>
      </c>
    </row>
    <row r="95" customFormat="false" ht="15" hidden="false" customHeight="true" outlineLevel="0" collapsed="false">
      <c r="A95" s="5" t="s">
        <v>946</v>
      </c>
      <c r="B95" s="5" t="s">
        <v>947</v>
      </c>
      <c r="C95" s="5" t="s">
        <v>63</v>
      </c>
      <c r="D95" s="5" t="n">
        <v>697.3</v>
      </c>
      <c r="E95" s="5" t="n">
        <v>7</v>
      </c>
      <c r="F95" s="5" t="n">
        <v>0</v>
      </c>
      <c r="G95" s="5" t="n">
        <v>6502</v>
      </c>
    </row>
    <row r="96" customFormat="false" ht="15" hidden="false" customHeight="true" outlineLevel="0" collapsed="false">
      <c r="A96" s="5" t="s">
        <v>946</v>
      </c>
      <c r="B96" s="5" t="s">
        <v>947</v>
      </c>
      <c r="C96" s="5" t="s">
        <v>67</v>
      </c>
      <c r="D96" s="5" t="n">
        <v>313.2</v>
      </c>
      <c r="E96" s="5" t="n">
        <v>19</v>
      </c>
      <c r="F96" s="5" t="n">
        <v>7</v>
      </c>
      <c r="G96" s="5" t="n">
        <v>4591</v>
      </c>
    </row>
    <row r="97" customFormat="false" ht="15" hidden="false" customHeight="true" outlineLevel="0" collapsed="false">
      <c r="A97" s="5" t="s">
        <v>946</v>
      </c>
      <c r="B97" s="5" t="s">
        <v>947</v>
      </c>
      <c r="C97" s="5" t="s">
        <v>71</v>
      </c>
      <c r="D97" s="5" t="n">
        <v>231.2</v>
      </c>
      <c r="E97" s="5" t="n">
        <v>5</v>
      </c>
      <c r="F97" s="5" t="n">
        <v>4</v>
      </c>
      <c r="G97" s="5" t="n">
        <v>8859</v>
      </c>
    </row>
    <row r="98" customFormat="false" ht="15" hidden="false" customHeight="true" outlineLevel="0" collapsed="false">
      <c r="A98" s="5" t="s">
        <v>948</v>
      </c>
      <c r="B98" s="5" t="s">
        <v>949</v>
      </c>
      <c r="C98" s="5" t="s">
        <v>46</v>
      </c>
      <c r="D98" s="5" t="n">
        <v>471.7</v>
      </c>
      <c r="E98" s="5" t="n">
        <v>6</v>
      </c>
      <c r="F98" s="5" t="n">
        <v>6</v>
      </c>
      <c r="G98" s="5" t="n">
        <v>5828</v>
      </c>
    </row>
    <row r="99" customFormat="false" ht="15" hidden="false" customHeight="true" outlineLevel="0" collapsed="false">
      <c r="A99" s="5" t="s">
        <v>948</v>
      </c>
      <c r="B99" s="5" t="s">
        <v>949</v>
      </c>
      <c r="C99" s="5" t="s">
        <v>52</v>
      </c>
      <c r="D99" s="5" t="n">
        <v>140.7</v>
      </c>
      <c r="E99" s="5" t="n">
        <v>5</v>
      </c>
      <c r="F99" s="5" t="n">
        <v>2</v>
      </c>
      <c r="G99" s="5" t="n">
        <v>3022</v>
      </c>
    </row>
    <row r="100" customFormat="false" ht="15" hidden="false" customHeight="true" outlineLevel="0" collapsed="false">
      <c r="A100" s="5" t="s">
        <v>948</v>
      </c>
      <c r="B100" s="5" t="s">
        <v>949</v>
      </c>
      <c r="C100" s="5" t="s">
        <v>58</v>
      </c>
      <c r="D100" s="5" t="n">
        <v>745.1</v>
      </c>
      <c r="E100" s="5" t="n">
        <v>13</v>
      </c>
      <c r="F100" s="5" t="n">
        <v>1</v>
      </c>
      <c r="G100" s="5" t="n">
        <v>3833</v>
      </c>
    </row>
    <row r="101" customFormat="false" ht="15" hidden="false" customHeight="true" outlineLevel="0" collapsed="false">
      <c r="A101" s="5" t="s">
        <v>948</v>
      </c>
      <c r="B101" s="5" t="s">
        <v>949</v>
      </c>
      <c r="C101" s="5" t="s">
        <v>63</v>
      </c>
      <c r="D101" s="5" t="n">
        <v>177.1</v>
      </c>
      <c r="E101" s="5" t="n">
        <v>17</v>
      </c>
      <c r="F101" s="5" t="n">
        <v>9</v>
      </c>
      <c r="G101" s="5" t="n">
        <v>6683</v>
      </c>
    </row>
    <row r="102" customFormat="false" ht="15" hidden="false" customHeight="true" outlineLevel="0" collapsed="false">
      <c r="A102" s="5" t="s">
        <v>948</v>
      </c>
      <c r="B102" s="5" t="s">
        <v>949</v>
      </c>
      <c r="C102" s="5" t="s">
        <v>67</v>
      </c>
      <c r="D102" s="5" t="n">
        <v>728.4</v>
      </c>
      <c r="E102" s="5" t="n">
        <v>11</v>
      </c>
      <c r="F102" s="5" t="n">
        <v>12</v>
      </c>
      <c r="G102" s="5" t="n">
        <v>6080</v>
      </c>
    </row>
    <row r="103" customFormat="false" ht="15" hidden="false" customHeight="true" outlineLevel="0" collapsed="false">
      <c r="A103" s="5" t="s">
        <v>948</v>
      </c>
      <c r="B103" s="5" t="s">
        <v>949</v>
      </c>
      <c r="C103" s="5" t="s">
        <v>71</v>
      </c>
      <c r="D103" s="5" t="n">
        <v>391.9</v>
      </c>
      <c r="E103" s="5" t="n">
        <v>18</v>
      </c>
      <c r="F103" s="5" t="n">
        <v>4</v>
      </c>
      <c r="G103" s="5" t="n">
        <v>8846</v>
      </c>
    </row>
    <row r="104" customFormat="false" ht="15" hidden="false" customHeight="true" outlineLevel="0" collapsed="false">
      <c r="A104" s="5" t="s">
        <v>950</v>
      </c>
      <c r="B104" s="5" t="s">
        <v>951</v>
      </c>
      <c r="C104" s="5" t="s">
        <v>46</v>
      </c>
      <c r="D104" s="5" t="n">
        <v>562.6</v>
      </c>
      <c r="E104" s="5" t="n">
        <v>17</v>
      </c>
      <c r="F104" s="5" t="n">
        <v>4</v>
      </c>
      <c r="G104" s="5" t="n">
        <v>6458</v>
      </c>
    </row>
    <row r="105" customFormat="false" ht="15" hidden="false" customHeight="true" outlineLevel="0" collapsed="false">
      <c r="A105" s="5" t="s">
        <v>950</v>
      </c>
      <c r="B105" s="5" t="s">
        <v>951</v>
      </c>
      <c r="C105" s="5" t="s">
        <v>52</v>
      </c>
      <c r="D105" s="5" t="n">
        <v>589.2</v>
      </c>
      <c r="E105" s="5" t="n">
        <v>7</v>
      </c>
      <c r="F105" s="5" t="n">
        <v>12</v>
      </c>
      <c r="G105" s="5" t="n">
        <v>3502</v>
      </c>
    </row>
    <row r="106" customFormat="false" ht="15" hidden="false" customHeight="true" outlineLevel="0" collapsed="false">
      <c r="A106" s="5" t="s">
        <v>950</v>
      </c>
      <c r="B106" s="5" t="s">
        <v>951</v>
      </c>
      <c r="C106" s="5" t="s">
        <v>58</v>
      </c>
      <c r="D106" s="5" t="n">
        <v>592.9</v>
      </c>
      <c r="E106" s="5" t="n">
        <v>12</v>
      </c>
      <c r="F106" s="5" t="n">
        <v>10</v>
      </c>
      <c r="G106" s="5" t="n">
        <v>2465</v>
      </c>
    </row>
    <row r="107" customFormat="false" ht="15" hidden="false" customHeight="true" outlineLevel="0" collapsed="false">
      <c r="A107" s="5" t="s">
        <v>950</v>
      </c>
      <c r="B107" s="5" t="s">
        <v>951</v>
      </c>
      <c r="C107" s="5" t="s">
        <v>63</v>
      </c>
      <c r="D107" s="5" t="n">
        <v>208.8</v>
      </c>
      <c r="E107" s="5" t="n">
        <v>9</v>
      </c>
      <c r="F107" s="5" t="n">
        <v>8</v>
      </c>
      <c r="G107" s="5" t="n">
        <v>2414</v>
      </c>
    </row>
    <row r="108" customFormat="false" ht="15" hidden="false" customHeight="true" outlineLevel="0" collapsed="false">
      <c r="A108" s="5" t="s">
        <v>950</v>
      </c>
      <c r="B108" s="5" t="s">
        <v>951</v>
      </c>
      <c r="C108" s="5" t="s">
        <v>67</v>
      </c>
      <c r="D108" s="5" t="n">
        <v>208.4</v>
      </c>
      <c r="E108" s="5" t="n">
        <v>17</v>
      </c>
      <c r="F108" s="5" t="n">
        <v>7</v>
      </c>
      <c r="G108" s="5" t="n">
        <v>7447</v>
      </c>
    </row>
    <row r="109" customFormat="false" ht="15" hidden="false" customHeight="true" outlineLevel="0" collapsed="false">
      <c r="A109" s="5" t="s">
        <v>950</v>
      </c>
      <c r="B109" s="5" t="s">
        <v>951</v>
      </c>
      <c r="C109" s="5" t="s">
        <v>71</v>
      </c>
      <c r="D109" s="5" t="n">
        <v>566.9</v>
      </c>
      <c r="E109" s="5" t="n">
        <v>13</v>
      </c>
      <c r="F109" s="5" t="n">
        <v>0</v>
      </c>
      <c r="G109" s="5" t="n">
        <v>3696</v>
      </c>
    </row>
    <row r="110" customFormat="false" ht="15" hidden="false" customHeight="true" outlineLevel="0" collapsed="false">
      <c r="A110" s="5" t="s">
        <v>952</v>
      </c>
      <c r="B110" s="5" t="s">
        <v>953</v>
      </c>
      <c r="C110" s="5" t="s">
        <v>46</v>
      </c>
      <c r="D110" s="5" t="n">
        <v>316.2</v>
      </c>
      <c r="E110" s="5" t="n">
        <v>13</v>
      </c>
      <c r="F110" s="5" t="n">
        <v>11</v>
      </c>
      <c r="G110" s="5" t="n">
        <v>8841</v>
      </c>
    </row>
    <row r="111" customFormat="false" ht="15" hidden="false" customHeight="true" outlineLevel="0" collapsed="false">
      <c r="A111" s="5" t="s">
        <v>952</v>
      </c>
      <c r="B111" s="5" t="s">
        <v>953</v>
      </c>
      <c r="C111" s="5" t="s">
        <v>52</v>
      </c>
      <c r="D111" s="5" t="n">
        <v>452.3</v>
      </c>
      <c r="E111" s="5" t="n">
        <v>11</v>
      </c>
      <c r="F111" s="5" t="n">
        <v>4</v>
      </c>
      <c r="G111" s="5" t="n">
        <v>8253</v>
      </c>
    </row>
    <row r="112" customFormat="false" ht="15" hidden="false" customHeight="true" outlineLevel="0" collapsed="false">
      <c r="A112" s="5" t="s">
        <v>952</v>
      </c>
      <c r="B112" s="5" t="s">
        <v>953</v>
      </c>
      <c r="C112" s="5" t="s">
        <v>58</v>
      </c>
      <c r="D112" s="5" t="n">
        <v>728.8</v>
      </c>
      <c r="E112" s="5" t="n">
        <v>10</v>
      </c>
      <c r="F112" s="5" t="n">
        <v>6</v>
      </c>
      <c r="G112" s="5" t="n">
        <v>2740</v>
      </c>
    </row>
    <row r="113" customFormat="false" ht="15" hidden="false" customHeight="true" outlineLevel="0" collapsed="false">
      <c r="A113" s="5" t="s">
        <v>952</v>
      </c>
      <c r="B113" s="5" t="s">
        <v>953</v>
      </c>
      <c r="C113" s="5" t="s">
        <v>63</v>
      </c>
      <c r="D113" s="5" t="n">
        <v>526.5</v>
      </c>
      <c r="E113" s="5" t="n">
        <v>8</v>
      </c>
      <c r="F113" s="5" t="n">
        <v>4</v>
      </c>
      <c r="G113" s="5" t="n">
        <v>8571</v>
      </c>
    </row>
    <row r="114" customFormat="false" ht="15" hidden="false" customHeight="true" outlineLevel="0" collapsed="false">
      <c r="A114" s="5" t="s">
        <v>952</v>
      </c>
      <c r="B114" s="5" t="s">
        <v>953</v>
      </c>
      <c r="C114" s="5" t="s">
        <v>67</v>
      </c>
      <c r="D114" s="5" t="n">
        <v>196.6</v>
      </c>
      <c r="E114" s="5" t="n">
        <v>5</v>
      </c>
      <c r="F114" s="5" t="n">
        <v>2</v>
      </c>
      <c r="G114" s="5" t="n">
        <v>8293</v>
      </c>
    </row>
    <row r="115" customFormat="false" ht="15" hidden="false" customHeight="true" outlineLevel="0" collapsed="false">
      <c r="A115" s="5" t="s">
        <v>952</v>
      </c>
      <c r="B115" s="5" t="s">
        <v>953</v>
      </c>
      <c r="C115" s="5" t="s">
        <v>71</v>
      </c>
      <c r="D115" s="5" t="n">
        <v>332.2</v>
      </c>
      <c r="E115" s="5" t="n">
        <v>13</v>
      </c>
      <c r="F115" s="5" t="n">
        <v>7</v>
      </c>
      <c r="G115" s="5" t="n">
        <v>2818</v>
      </c>
    </row>
    <row r="116" customFormat="false" ht="15" hidden="false" customHeight="true" outlineLevel="0" collapsed="false">
      <c r="A116" s="5" t="s">
        <v>954</v>
      </c>
      <c r="B116" s="5" t="s">
        <v>955</v>
      </c>
      <c r="C116" s="5" t="s">
        <v>46</v>
      </c>
      <c r="D116" s="5" t="n">
        <v>464.3</v>
      </c>
      <c r="E116" s="5" t="n">
        <v>13</v>
      </c>
      <c r="F116" s="5" t="n">
        <v>11</v>
      </c>
      <c r="G116" s="5" t="n">
        <v>5097</v>
      </c>
    </row>
    <row r="117" customFormat="false" ht="15" hidden="false" customHeight="true" outlineLevel="0" collapsed="false">
      <c r="A117" s="5" t="s">
        <v>954</v>
      </c>
      <c r="B117" s="5" t="s">
        <v>955</v>
      </c>
      <c r="C117" s="5" t="s">
        <v>52</v>
      </c>
      <c r="D117" s="5" t="n">
        <v>853</v>
      </c>
      <c r="E117" s="5" t="n">
        <v>20</v>
      </c>
      <c r="F117" s="5" t="n">
        <v>8</v>
      </c>
      <c r="G117" s="5" t="n">
        <v>5845</v>
      </c>
    </row>
    <row r="118" customFormat="false" ht="15" hidden="false" customHeight="true" outlineLevel="0" collapsed="false">
      <c r="A118" s="5" t="s">
        <v>954</v>
      </c>
      <c r="B118" s="5" t="s">
        <v>955</v>
      </c>
      <c r="C118" s="5" t="s">
        <v>58</v>
      </c>
      <c r="D118" s="5" t="n">
        <v>439</v>
      </c>
      <c r="E118" s="5" t="n">
        <v>5</v>
      </c>
      <c r="F118" s="5" t="n">
        <v>6</v>
      </c>
      <c r="G118" s="5" t="n">
        <v>7817</v>
      </c>
    </row>
    <row r="119" customFormat="false" ht="15" hidden="false" customHeight="true" outlineLevel="0" collapsed="false">
      <c r="A119" s="5" t="s">
        <v>954</v>
      </c>
      <c r="B119" s="5" t="s">
        <v>955</v>
      </c>
      <c r="C119" s="5" t="s">
        <v>63</v>
      </c>
      <c r="D119" s="5" t="n">
        <v>344.3</v>
      </c>
      <c r="E119" s="5" t="n">
        <v>12</v>
      </c>
      <c r="F119" s="5" t="n">
        <v>0</v>
      </c>
      <c r="G119" s="5" t="n">
        <v>2548</v>
      </c>
    </row>
    <row r="120" customFormat="false" ht="15" hidden="false" customHeight="true" outlineLevel="0" collapsed="false">
      <c r="A120" s="5" t="s">
        <v>954</v>
      </c>
      <c r="B120" s="5" t="s">
        <v>955</v>
      </c>
      <c r="C120" s="5" t="s">
        <v>67</v>
      </c>
      <c r="D120" s="5" t="n">
        <v>267.7</v>
      </c>
      <c r="E120" s="5" t="n">
        <v>4</v>
      </c>
      <c r="F120" s="5" t="n">
        <v>12</v>
      </c>
      <c r="G120" s="5" t="n">
        <v>7307</v>
      </c>
    </row>
    <row r="121" customFormat="false" ht="15" hidden="false" customHeight="true" outlineLevel="0" collapsed="false">
      <c r="A121" s="5" t="s">
        <v>954</v>
      </c>
      <c r="B121" s="5" t="s">
        <v>955</v>
      </c>
      <c r="C121" s="5" t="s">
        <v>71</v>
      </c>
      <c r="D121" s="5" t="n">
        <v>753.6</v>
      </c>
      <c r="E121" s="5" t="n">
        <v>5</v>
      </c>
      <c r="F121" s="5" t="n">
        <v>12</v>
      </c>
      <c r="G121" s="5" t="n">
        <v>7995</v>
      </c>
    </row>
    <row r="122" customFormat="false" ht="15" hidden="false" customHeight="true" outlineLevel="0" collapsed="false">
      <c r="A122" s="5" t="s">
        <v>956</v>
      </c>
      <c r="B122" s="5" t="s">
        <v>957</v>
      </c>
      <c r="C122" s="5" t="s">
        <v>46</v>
      </c>
      <c r="D122" s="5" t="n">
        <v>223.7</v>
      </c>
      <c r="E122" s="5" t="n">
        <v>20</v>
      </c>
      <c r="F122" s="5" t="n">
        <v>10</v>
      </c>
      <c r="G122" s="5" t="n">
        <v>5422</v>
      </c>
    </row>
    <row r="123" customFormat="false" ht="15" hidden="false" customHeight="true" outlineLevel="0" collapsed="false">
      <c r="A123" s="5" t="s">
        <v>956</v>
      </c>
      <c r="B123" s="5" t="s">
        <v>957</v>
      </c>
      <c r="C123" s="5" t="s">
        <v>52</v>
      </c>
      <c r="D123" s="5" t="n">
        <v>831.2</v>
      </c>
      <c r="E123" s="5" t="n">
        <v>9</v>
      </c>
      <c r="F123" s="5" t="n">
        <v>9</v>
      </c>
      <c r="G123" s="5" t="n">
        <v>5370</v>
      </c>
    </row>
    <row r="124" customFormat="false" ht="15" hidden="false" customHeight="true" outlineLevel="0" collapsed="false">
      <c r="A124" s="5" t="s">
        <v>956</v>
      </c>
      <c r="B124" s="5" t="s">
        <v>957</v>
      </c>
      <c r="C124" s="5" t="s">
        <v>58</v>
      </c>
      <c r="D124" s="5" t="n">
        <v>600.5</v>
      </c>
      <c r="E124" s="5" t="n">
        <v>19</v>
      </c>
      <c r="F124" s="5" t="n">
        <v>1</v>
      </c>
      <c r="G124" s="5" t="n">
        <v>5650</v>
      </c>
    </row>
    <row r="125" customFormat="false" ht="15" hidden="false" customHeight="true" outlineLevel="0" collapsed="false">
      <c r="A125" s="5" t="s">
        <v>956</v>
      </c>
      <c r="B125" s="5" t="s">
        <v>957</v>
      </c>
      <c r="C125" s="5" t="s">
        <v>63</v>
      </c>
      <c r="D125" s="5" t="n">
        <v>365.3</v>
      </c>
      <c r="E125" s="5" t="n">
        <v>14</v>
      </c>
      <c r="F125" s="5" t="n">
        <v>5</v>
      </c>
      <c r="G125" s="5" t="n">
        <v>7289</v>
      </c>
    </row>
    <row r="126" customFormat="false" ht="15" hidden="false" customHeight="true" outlineLevel="0" collapsed="false">
      <c r="A126" s="5" t="s">
        <v>956</v>
      </c>
      <c r="B126" s="5" t="s">
        <v>957</v>
      </c>
      <c r="C126" s="5" t="s">
        <v>67</v>
      </c>
      <c r="D126" s="5" t="n">
        <v>165.8</v>
      </c>
      <c r="E126" s="5" t="n">
        <v>9</v>
      </c>
      <c r="F126" s="5" t="n">
        <v>5</v>
      </c>
      <c r="G126" s="5" t="n">
        <v>5172</v>
      </c>
    </row>
    <row r="127" customFormat="false" ht="15" hidden="false" customHeight="true" outlineLevel="0" collapsed="false">
      <c r="A127" s="5" t="s">
        <v>956</v>
      </c>
      <c r="B127" s="5" t="s">
        <v>957</v>
      </c>
      <c r="C127" s="5" t="s">
        <v>71</v>
      </c>
      <c r="D127" s="5" t="n">
        <v>648.8</v>
      </c>
      <c r="E127" s="5" t="n">
        <v>13</v>
      </c>
      <c r="F127" s="5" t="n">
        <v>10</v>
      </c>
      <c r="G127" s="5" t="n">
        <v>5080</v>
      </c>
    </row>
    <row r="128" customFormat="false" ht="15" hidden="false" customHeight="true" outlineLevel="0" collapsed="false">
      <c r="A128" s="5" t="s">
        <v>958</v>
      </c>
      <c r="B128" s="5" t="s">
        <v>959</v>
      </c>
      <c r="C128" s="5" t="s">
        <v>46</v>
      </c>
      <c r="D128" s="5" t="n">
        <v>747.1</v>
      </c>
      <c r="E128" s="5" t="n">
        <v>5</v>
      </c>
      <c r="F128" s="5" t="n">
        <v>7</v>
      </c>
      <c r="G128" s="5" t="n">
        <v>2521</v>
      </c>
    </row>
    <row r="129" customFormat="false" ht="15" hidden="false" customHeight="true" outlineLevel="0" collapsed="false">
      <c r="A129" s="5" t="s">
        <v>958</v>
      </c>
      <c r="B129" s="5" t="s">
        <v>959</v>
      </c>
      <c r="C129" s="5" t="s">
        <v>52</v>
      </c>
      <c r="D129" s="5" t="n">
        <v>337.9</v>
      </c>
      <c r="E129" s="5" t="n">
        <v>14</v>
      </c>
      <c r="F129" s="5" t="n">
        <v>1</v>
      </c>
      <c r="G129" s="5" t="n">
        <v>8128</v>
      </c>
    </row>
    <row r="130" customFormat="false" ht="15" hidden="false" customHeight="true" outlineLevel="0" collapsed="false">
      <c r="A130" s="5" t="s">
        <v>958</v>
      </c>
      <c r="B130" s="5" t="s">
        <v>959</v>
      </c>
      <c r="C130" s="5" t="s">
        <v>58</v>
      </c>
      <c r="D130" s="5" t="n">
        <v>411.4</v>
      </c>
      <c r="E130" s="5" t="n">
        <v>20</v>
      </c>
      <c r="F130" s="5" t="n">
        <v>0</v>
      </c>
      <c r="G130" s="5" t="n">
        <v>7187</v>
      </c>
    </row>
    <row r="131" customFormat="false" ht="15" hidden="false" customHeight="true" outlineLevel="0" collapsed="false">
      <c r="A131" s="5" t="s">
        <v>958</v>
      </c>
      <c r="B131" s="5" t="s">
        <v>959</v>
      </c>
      <c r="C131" s="5" t="s">
        <v>63</v>
      </c>
      <c r="D131" s="5" t="n">
        <v>792.9</v>
      </c>
      <c r="E131" s="5" t="n">
        <v>18</v>
      </c>
      <c r="F131" s="5" t="n">
        <v>6</v>
      </c>
      <c r="G131" s="5" t="n">
        <v>2244</v>
      </c>
    </row>
    <row r="132" customFormat="false" ht="15" hidden="false" customHeight="true" outlineLevel="0" collapsed="false">
      <c r="A132" s="5" t="s">
        <v>958</v>
      </c>
      <c r="B132" s="5" t="s">
        <v>959</v>
      </c>
      <c r="C132" s="5" t="s">
        <v>67</v>
      </c>
      <c r="D132" s="5" t="n">
        <v>233.8</v>
      </c>
      <c r="E132" s="5" t="n">
        <v>15</v>
      </c>
      <c r="F132" s="5" t="n">
        <v>9</v>
      </c>
      <c r="G132" s="5" t="n">
        <v>7996</v>
      </c>
    </row>
    <row r="133" customFormat="false" ht="15" hidden="false" customHeight="true" outlineLevel="0" collapsed="false">
      <c r="A133" s="5" t="s">
        <v>958</v>
      </c>
      <c r="B133" s="5" t="s">
        <v>959</v>
      </c>
      <c r="C133" s="5" t="s">
        <v>71</v>
      </c>
      <c r="D133" s="5" t="n">
        <v>488.8</v>
      </c>
      <c r="E133" s="5" t="n">
        <v>18</v>
      </c>
      <c r="F133" s="5" t="n">
        <v>12</v>
      </c>
      <c r="G133" s="5" t="n">
        <v>2222</v>
      </c>
    </row>
    <row r="134" customFormat="false" ht="15" hidden="false" customHeight="true" outlineLevel="0" collapsed="false">
      <c r="A134" s="5" t="s">
        <v>960</v>
      </c>
      <c r="B134" s="5" t="s">
        <v>961</v>
      </c>
      <c r="C134" s="5" t="s">
        <v>46</v>
      </c>
      <c r="D134" s="5" t="n">
        <v>246.9</v>
      </c>
      <c r="E134" s="5" t="n">
        <v>8</v>
      </c>
      <c r="F134" s="5" t="n">
        <v>4</v>
      </c>
      <c r="G134" s="5" t="n">
        <v>5389</v>
      </c>
    </row>
    <row r="135" customFormat="false" ht="15" hidden="false" customHeight="true" outlineLevel="0" collapsed="false">
      <c r="A135" s="5" t="s">
        <v>960</v>
      </c>
      <c r="B135" s="5" t="s">
        <v>961</v>
      </c>
      <c r="C135" s="5" t="s">
        <v>52</v>
      </c>
      <c r="D135" s="5" t="n">
        <v>802.3</v>
      </c>
      <c r="E135" s="5" t="n">
        <v>19</v>
      </c>
      <c r="F135" s="5" t="n">
        <v>1</v>
      </c>
      <c r="G135" s="5" t="n">
        <v>2036</v>
      </c>
    </row>
    <row r="136" customFormat="false" ht="15" hidden="false" customHeight="true" outlineLevel="0" collapsed="false">
      <c r="A136" s="5" t="s">
        <v>960</v>
      </c>
      <c r="B136" s="5" t="s">
        <v>961</v>
      </c>
      <c r="C136" s="5" t="s">
        <v>58</v>
      </c>
      <c r="D136" s="5" t="n">
        <v>878</v>
      </c>
      <c r="E136" s="5" t="n">
        <v>11</v>
      </c>
      <c r="F136" s="5" t="n">
        <v>11</v>
      </c>
      <c r="G136" s="5" t="n">
        <v>3097</v>
      </c>
    </row>
    <row r="137" customFormat="false" ht="15" hidden="false" customHeight="true" outlineLevel="0" collapsed="false">
      <c r="A137" s="5" t="s">
        <v>960</v>
      </c>
      <c r="B137" s="5" t="s">
        <v>961</v>
      </c>
      <c r="C137" s="5" t="s">
        <v>63</v>
      </c>
      <c r="D137" s="5" t="n">
        <v>334.8</v>
      </c>
      <c r="E137" s="5" t="n">
        <v>4</v>
      </c>
      <c r="F137" s="5" t="n">
        <v>8</v>
      </c>
      <c r="G137" s="5" t="n">
        <v>5142</v>
      </c>
    </row>
    <row r="138" customFormat="false" ht="15" hidden="false" customHeight="true" outlineLevel="0" collapsed="false">
      <c r="A138" s="5" t="s">
        <v>960</v>
      </c>
      <c r="B138" s="5" t="s">
        <v>961</v>
      </c>
      <c r="C138" s="5" t="s">
        <v>67</v>
      </c>
      <c r="D138" s="5" t="n">
        <v>156.4</v>
      </c>
      <c r="E138" s="5" t="n">
        <v>7</v>
      </c>
      <c r="F138" s="5" t="n">
        <v>7</v>
      </c>
      <c r="G138" s="5" t="n">
        <v>2762</v>
      </c>
    </row>
    <row r="139" customFormat="false" ht="15" hidden="false" customHeight="true" outlineLevel="0" collapsed="false">
      <c r="A139" s="5" t="s">
        <v>960</v>
      </c>
      <c r="B139" s="5" t="s">
        <v>961</v>
      </c>
      <c r="C139" s="5" t="s">
        <v>71</v>
      </c>
      <c r="D139" s="5" t="n">
        <v>611.1</v>
      </c>
      <c r="E139" s="5" t="n">
        <v>8</v>
      </c>
      <c r="F139" s="5" t="n">
        <v>7</v>
      </c>
      <c r="G139" s="5" t="n">
        <v>9440</v>
      </c>
    </row>
    <row r="140" customFormat="false" ht="15" hidden="false" customHeight="true" outlineLevel="0" collapsed="false">
      <c r="A140" s="5" t="s">
        <v>962</v>
      </c>
      <c r="B140" s="5" t="s">
        <v>962</v>
      </c>
      <c r="C140" s="5" t="s">
        <v>46</v>
      </c>
      <c r="D140" s="5" t="n">
        <v>667.6</v>
      </c>
      <c r="E140" s="5" t="n">
        <v>20</v>
      </c>
      <c r="F140" s="5" t="n">
        <v>11</v>
      </c>
      <c r="G140" s="5" t="n">
        <v>4039</v>
      </c>
    </row>
    <row r="141" customFormat="false" ht="15" hidden="false" customHeight="true" outlineLevel="0" collapsed="false">
      <c r="A141" s="5" t="s">
        <v>962</v>
      </c>
      <c r="B141" s="5" t="s">
        <v>962</v>
      </c>
      <c r="C141" s="5" t="s">
        <v>52</v>
      </c>
      <c r="D141" s="5" t="n">
        <v>420.7</v>
      </c>
      <c r="E141" s="5" t="n">
        <v>19</v>
      </c>
      <c r="F141" s="5" t="n">
        <v>7</v>
      </c>
      <c r="G141" s="5" t="n">
        <v>3796</v>
      </c>
    </row>
    <row r="142" customFormat="false" ht="15" hidden="false" customHeight="true" outlineLevel="0" collapsed="false">
      <c r="A142" s="5" t="s">
        <v>962</v>
      </c>
      <c r="B142" s="5" t="s">
        <v>962</v>
      </c>
      <c r="C142" s="5" t="s">
        <v>58</v>
      </c>
      <c r="D142" s="5" t="n">
        <v>454.6</v>
      </c>
      <c r="E142" s="5" t="n">
        <v>8</v>
      </c>
      <c r="F142" s="5" t="n">
        <v>6</v>
      </c>
      <c r="G142" s="5" t="n">
        <v>3361</v>
      </c>
    </row>
    <row r="143" customFormat="false" ht="15" hidden="false" customHeight="true" outlineLevel="0" collapsed="false">
      <c r="A143" s="5" t="s">
        <v>962</v>
      </c>
      <c r="B143" s="5" t="s">
        <v>962</v>
      </c>
      <c r="C143" s="5" t="s">
        <v>63</v>
      </c>
      <c r="D143" s="5" t="n">
        <v>835.9</v>
      </c>
      <c r="E143" s="5" t="n">
        <v>20</v>
      </c>
      <c r="F143" s="5" t="n">
        <v>11</v>
      </c>
      <c r="G143" s="5" t="n">
        <v>9003</v>
      </c>
    </row>
    <row r="144" customFormat="false" ht="15" hidden="false" customHeight="true" outlineLevel="0" collapsed="false">
      <c r="A144" s="5" t="s">
        <v>962</v>
      </c>
      <c r="B144" s="5" t="s">
        <v>962</v>
      </c>
      <c r="C144" s="5" t="s">
        <v>67</v>
      </c>
      <c r="D144" s="5" t="n">
        <v>191.9</v>
      </c>
      <c r="E144" s="5" t="n">
        <v>6</v>
      </c>
      <c r="F144" s="5" t="n">
        <v>4</v>
      </c>
      <c r="G144" s="5" t="n">
        <v>8129</v>
      </c>
    </row>
    <row r="145" customFormat="false" ht="15" hidden="false" customHeight="true" outlineLevel="0" collapsed="false">
      <c r="A145" s="5" t="s">
        <v>962</v>
      </c>
      <c r="B145" s="5" t="s">
        <v>962</v>
      </c>
      <c r="C145" s="5" t="s">
        <v>71</v>
      </c>
      <c r="D145" s="5" t="n">
        <v>727.8</v>
      </c>
      <c r="E145" s="5" t="n">
        <v>17</v>
      </c>
      <c r="F145" s="5" t="n">
        <v>5</v>
      </c>
      <c r="G145" s="5" t="n">
        <v>9453</v>
      </c>
    </row>
    <row r="146" customFormat="false" ht="15" hidden="false" customHeight="true" outlineLevel="0" collapsed="false">
      <c r="A146" s="5" t="s">
        <v>936</v>
      </c>
      <c r="B146" s="5" t="s">
        <v>937</v>
      </c>
      <c r="C146" s="5" t="s">
        <v>283</v>
      </c>
      <c r="D146" s="5" t="n">
        <v>684</v>
      </c>
      <c r="E146" s="5" t="n">
        <v>13</v>
      </c>
      <c r="F146" s="5" t="n">
        <v>12</v>
      </c>
      <c r="G146" s="5" t="n">
        <v>8607</v>
      </c>
    </row>
    <row r="147" customFormat="false" ht="15" hidden="false" customHeight="true" outlineLevel="0" collapsed="false">
      <c r="A147" s="5" t="s">
        <v>933</v>
      </c>
      <c r="B147" s="5" t="s">
        <v>934</v>
      </c>
      <c r="C147" s="5" t="s">
        <v>283</v>
      </c>
      <c r="D147" s="5" t="n">
        <v>148.2</v>
      </c>
      <c r="E147" s="5" t="n">
        <v>7</v>
      </c>
      <c r="F147" s="5" t="n">
        <v>13</v>
      </c>
      <c r="G147" s="5" t="n">
        <v>10637</v>
      </c>
    </row>
    <row r="148" customFormat="false" ht="15" hidden="false" customHeight="true" outlineLevel="0" collapsed="false">
      <c r="A148" s="5" t="s">
        <v>952</v>
      </c>
      <c r="B148" s="5" t="s">
        <v>953</v>
      </c>
      <c r="C148" s="5" t="s">
        <v>283</v>
      </c>
      <c r="D148" s="5" t="n">
        <v>659.8</v>
      </c>
      <c r="E148" s="5" t="n">
        <v>14</v>
      </c>
      <c r="F148" s="5" t="n">
        <v>9</v>
      </c>
      <c r="G148" s="5" t="n">
        <v>10021</v>
      </c>
    </row>
    <row r="149" customFormat="false" ht="15" hidden="false" customHeight="true" outlineLevel="0" collapsed="false">
      <c r="A149" s="5" t="s">
        <v>954</v>
      </c>
      <c r="B149" s="5" t="s">
        <v>955</v>
      </c>
      <c r="C149" s="5" t="s">
        <v>283</v>
      </c>
      <c r="D149" s="5" t="n">
        <v>686.8</v>
      </c>
      <c r="E149" s="5" t="n">
        <v>8</v>
      </c>
      <c r="F149" s="5" t="n">
        <v>5</v>
      </c>
      <c r="G149" s="5" t="n">
        <v>9694</v>
      </c>
    </row>
    <row r="150" customFormat="false" ht="15" hidden="false" customHeight="true" outlineLevel="0" collapsed="false">
      <c r="A150" s="5" t="s">
        <v>923</v>
      </c>
      <c r="B150" s="5" t="s">
        <v>924</v>
      </c>
      <c r="C150" s="5" t="s">
        <v>283</v>
      </c>
      <c r="D150" s="5" t="n">
        <v>726.2</v>
      </c>
      <c r="E150" s="5" t="n">
        <v>12</v>
      </c>
      <c r="F150" s="5" t="n">
        <v>12</v>
      </c>
      <c r="G150" s="5" t="n">
        <v>7349</v>
      </c>
    </row>
    <row r="151" customFormat="false" ht="15" hidden="false" customHeight="true" outlineLevel="0" collapsed="false">
      <c r="A151" s="5" t="s">
        <v>929</v>
      </c>
      <c r="B151" s="5" t="s">
        <v>930</v>
      </c>
      <c r="C151" s="5" t="s">
        <v>283</v>
      </c>
      <c r="D151" s="5" t="n">
        <v>607.1</v>
      </c>
      <c r="E151" s="5" t="n">
        <v>17</v>
      </c>
      <c r="F151" s="5" t="n">
        <v>2</v>
      </c>
      <c r="G151" s="5" t="n">
        <v>4106</v>
      </c>
    </row>
    <row r="152" customFormat="false" ht="15" hidden="false" customHeight="true" outlineLevel="0" collapsed="false">
      <c r="A152" s="5" t="s">
        <v>944</v>
      </c>
      <c r="B152" s="5" t="s">
        <v>945</v>
      </c>
      <c r="C152" s="5" t="s">
        <v>283</v>
      </c>
      <c r="D152" s="5" t="n">
        <v>570.5</v>
      </c>
      <c r="E152" s="5" t="n">
        <v>10</v>
      </c>
      <c r="F152" s="5" t="n">
        <v>14</v>
      </c>
      <c r="G152" s="5" t="n">
        <v>8311</v>
      </c>
    </row>
    <row r="153" customFormat="false" ht="15" hidden="false" customHeight="true" outlineLevel="0" collapsed="false">
      <c r="A153" s="5" t="s">
        <v>946</v>
      </c>
      <c r="B153" s="5" t="s">
        <v>947</v>
      </c>
      <c r="C153" s="5" t="s">
        <v>283</v>
      </c>
      <c r="D153" s="5" t="n">
        <v>726.1</v>
      </c>
      <c r="E153" s="5" t="n">
        <v>20</v>
      </c>
      <c r="F153" s="5" t="n">
        <v>6</v>
      </c>
      <c r="G153" s="5" t="n">
        <v>3279</v>
      </c>
    </row>
    <row r="154" customFormat="false" ht="15" hidden="false" customHeight="true" outlineLevel="0" collapsed="false">
      <c r="A154" s="5" t="s">
        <v>938</v>
      </c>
      <c r="B154" s="5" t="s">
        <v>939</v>
      </c>
      <c r="C154" s="5" t="s">
        <v>283</v>
      </c>
      <c r="D154" s="5" t="n">
        <v>597.2</v>
      </c>
      <c r="E154" s="5" t="n">
        <v>3</v>
      </c>
      <c r="F154" s="5" t="n">
        <v>5</v>
      </c>
      <c r="G154" s="5" t="n">
        <v>10591</v>
      </c>
    </row>
    <row r="155" customFormat="false" ht="15" hidden="false" customHeight="true" outlineLevel="0" collapsed="false">
      <c r="A155" s="5" t="s">
        <v>927</v>
      </c>
      <c r="B155" s="5" t="s">
        <v>928</v>
      </c>
      <c r="C155" s="5" t="s">
        <v>283</v>
      </c>
      <c r="D155" s="5" t="n">
        <v>110.2</v>
      </c>
      <c r="E155" s="5" t="n">
        <v>14</v>
      </c>
      <c r="F155" s="5" t="n">
        <v>11</v>
      </c>
      <c r="G155" s="5" t="n">
        <v>6095</v>
      </c>
    </row>
    <row r="156" customFormat="false" ht="15" hidden="false" customHeight="true" outlineLevel="0" collapsed="false">
      <c r="A156" s="5" t="s">
        <v>920</v>
      </c>
      <c r="B156" s="5" t="s">
        <v>919</v>
      </c>
      <c r="C156" s="5" t="s">
        <v>283</v>
      </c>
      <c r="D156" s="5" t="n">
        <v>446.7</v>
      </c>
      <c r="E156" s="5" t="n">
        <v>14</v>
      </c>
      <c r="F156" s="5" t="n">
        <v>2</v>
      </c>
      <c r="G156" s="5" t="n">
        <v>5630</v>
      </c>
    </row>
    <row r="157" customFormat="false" ht="15" hidden="false" customHeight="true" outlineLevel="0" collapsed="false">
      <c r="A157" s="5" t="s">
        <v>960</v>
      </c>
      <c r="B157" s="5" t="s">
        <v>961</v>
      </c>
      <c r="C157" s="5" t="s">
        <v>283</v>
      </c>
      <c r="D157" s="5" t="n">
        <v>364.2</v>
      </c>
      <c r="E157" s="5" t="n">
        <v>20</v>
      </c>
      <c r="F157" s="5" t="n">
        <v>6</v>
      </c>
      <c r="G157" s="5" t="n">
        <v>11795</v>
      </c>
    </row>
    <row r="158" customFormat="false" ht="15" hidden="false" customHeight="true" outlineLevel="0" collapsed="false">
      <c r="A158" s="5" t="s">
        <v>950</v>
      </c>
      <c r="B158" s="5" t="s">
        <v>951</v>
      </c>
      <c r="C158" s="5" t="s">
        <v>283</v>
      </c>
      <c r="D158" s="5" t="n">
        <v>181.6</v>
      </c>
      <c r="E158" s="5" t="n">
        <v>5</v>
      </c>
      <c r="F158" s="5" t="n">
        <v>11</v>
      </c>
      <c r="G158" s="5" t="n">
        <v>9406</v>
      </c>
    </row>
    <row r="159" customFormat="false" ht="15" hidden="false" customHeight="true" outlineLevel="0" collapsed="false">
      <c r="A159" s="5" t="s">
        <v>948</v>
      </c>
      <c r="B159" s="5" t="s">
        <v>949</v>
      </c>
      <c r="C159" s="5" t="s">
        <v>283</v>
      </c>
      <c r="D159" s="5" t="n">
        <v>683.9</v>
      </c>
      <c r="E159" s="5" t="n">
        <v>12</v>
      </c>
      <c r="F159" s="5" t="n">
        <v>11</v>
      </c>
      <c r="G159" s="5" t="n">
        <v>8489</v>
      </c>
    </row>
    <row r="160" customFormat="false" ht="15" hidden="false" customHeight="true" outlineLevel="0" collapsed="false">
      <c r="A160" s="5" t="s">
        <v>918</v>
      </c>
      <c r="B160" s="5" t="s">
        <v>919</v>
      </c>
      <c r="C160" s="5" t="s">
        <v>283</v>
      </c>
      <c r="D160" s="5" t="n">
        <v>105.2</v>
      </c>
      <c r="E160" s="5" t="n">
        <v>4</v>
      </c>
      <c r="F160" s="5" t="n">
        <v>1</v>
      </c>
      <c r="G160" s="5" t="n">
        <v>6786</v>
      </c>
    </row>
    <row r="161" customFormat="false" ht="15" hidden="false" customHeight="true" outlineLevel="0" collapsed="false">
      <c r="A161" s="5" t="s">
        <v>921</v>
      </c>
      <c r="B161" s="5" t="s">
        <v>922</v>
      </c>
      <c r="C161" s="5" t="s">
        <v>283</v>
      </c>
      <c r="D161" s="5" t="n">
        <v>747</v>
      </c>
      <c r="E161" s="5" t="n">
        <v>6</v>
      </c>
      <c r="F161" s="5" t="n">
        <v>2</v>
      </c>
      <c r="G161" s="5" t="n">
        <v>5646</v>
      </c>
    </row>
    <row r="162" customFormat="false" ht="15" hidden="false" customHeight="true" outlineLevel="0" collapsed="false">
      <c r="A162" s="5" t="s">
        <v>958</v>
      </c>
      <c r="B162" s="5" t="s">
        <v>959</v>
      </c>
      <c r="C162" s="5" t="s">
        <v>283</v>
      </c>
      <c r="D162" s="5" t="n">
        <v>667.7</v>
      </c>
      <c r="E162" s="5" t="n">
        <v>7</v>
      </c>
      <c r="F162" s="5" t="n">
        <v>7</v>
      </c>
      <c r="G162" s="5" t="n">
        <v>9232</v>
      </c>
    </row>
    <row r="163" customFormat="false" ht="15" hidden="false" customHeight="true" outlineLevel="0" collapsed="false">
      <c r="A163" s="5" t="s">
        <v>956</v>
      </c>
      <c r="B163" s="5" t="s">
        <v>957</v>
      </c>
      <c r="C163" s="5" t="s">
        <v>283</v>
      </c>
      <c r="D163" s="5" t="n">
        <v>290.8</v>
      </c>
      <c r="E163" s="5" t="n">
        <v>20</v>
      </c>
      <c r="F163" s="5" t="n">
        <v>7</v>
      </c>
      <c r="G163" s="5" t="n">
        <v>11422</v>
      </c>
    </row>
    <row r="164" customFormat="false" ht="15" hidden="false" customHeight="true" outlineLevel="0" collapsed="false">
      <c r="A164" s="5" t="s">
        <v>942</v>
      </c>
      <c r="B164" s="5" t="s">
        <v>943</v>
      </c>
      <c r="C164" s="5" t="s">
        <v>283</v>
      </c>
      <c r="D164" s="5" t="n">
        <v>561.9</v>
      </c>
      <c r="E164" s="5" t="n">
        <v>7</v>
      </c>
      <c r="F164" s="5" t="n">
        <v>7</v>
      </c>
      <c r="G164" s="5" t="n">
        <v>3422</v>
      </c>
    </row>
    <row r="165" customFormat="false" ht="15" hidden="false" customHeight="true" outlineLevel="0" collapsed="false">
      <c r="A165" s="5" t="s">
        <v>935</v>
      </c>
      <c r="B165" s="5" t="s">
        <v>930</v>
      </c>
      <c r="C165" s="5" t="s">
        <v>283</v>
      </c>
      <c r="D165" s="5" t="n">
        <v>628.6</v>
      </c>
      <c r="E165" s="5" t="n">
        <v>16</v>
      </c>
      <c r="F165" s="5" t="n">
        <v>5</v>
      </c>
      <c r="G165" s="5" t="n">
        <v>2336</v>
      </c>
    </row>
    <row r="166" customFormat="false" ht="15" hidden="false" customHeight="true" outlineLevel="0" collapsed="false">
      <c r="A166" s="5" t="s">
        <v>931</v>
      </c>
      <c r="B166" s="5" t="s">
        <v>932</v>
      </c>
      <c r="C166" s="5" t="s">
        <v>283</v>
      </c>
      <c r="D166" s="5" t="n">
        <v>523.9</v>
      </c>
      <c r="E166" s="5" t="n">
        <v>9</v>
      </c>
      <c r="F166" s="5" t="n">
        <v>8</v>
      </c>
      <c r="G166" s="5" t="n">
        <v>9085</v>
      </c>
    </row>
    <row r="167" customFormat="false" ht="15" hidden="false" customHeight="true" outlineLevel="0" collapsed="false">
      <c r="A167" s="5" t="s">
        <v>962</v>
      </c>
      <c r="B167" s="5" t="s">
        <v>962</v>
      </c>
      <c r="C167" s="5" t="s">
        <v>283</v>
      </c>
      <c r="D167" s="5" t="n">
        <v>713.9</v>
      </c>
      <c r="E167" s="5" t="n">
        <v>14</v>
      </c>
      <c r="F167" s="5" t="n">
        <v>2</v>
      </c>
      <c r="G167" s="5" t="n">
        <v>7818</v>
      </c>
    </row>
    <row r="168" customFormat="false" ht="15" hidden="false" customHeight="true" outlineLevel="0" collapsed="false">
      <c r="A168" s="5" t="s">
        <v>940</v>
      </c>
      <c r="B168" s="5" t="s">
        <v>941</v>
      </c>
      <c r="C168" s="5" t="s">
        <v>283</v>
      </c>
      <c r="D168" s="5" t="n">
        <v>417.5</v>
      </c>
      <c r="E168" s="5" t="n">
        <v>14</v>
      </c>
      <c r="F168" s="5" t="n">
        <v>1</v>
      </c>
      <c r="G168" s="5" t="n">
        <v>8323</v>
      </c>
    </row>
    <row r="169" customFormat="false" ht="15" hidden="false" customHeight="true" outlineLevel="0" collapsed="false">
      <c r="A169" s="5" t="s">
        <v>925</v>
      </c>
      <c r="B169" s="5" t="s">
        <v>926</v>
      </c>
      <c r="C169" s="5" t="s">
        <v>283</v>
      </c>
      <c r="D169" s="5" t="n">
        <v>221.4</v>
      </c>
      <c r="E169" s="5" t="n">
        <v>6</v>
      </c>
      <c r="F169" s="5" t="n">
        <v>14</v>
      </c>
      <c r="G169" s="5" t="n">
        <v>9250</v>
      </c>
    </row>
    <row r="170" customFormat="false" ht="15" hidden="false" customHeight="true" outlineLevel="0" collapsed="false">
      <c r="A170" s="5" t="s">
        <v>936</v>
      </c>
      <c r="B170" s="5" t="s">
        <v>937</v>
      </c>
      <c r="C170" s="5" t="s">
        <v>320</v>
      </c>
      <c r="D170" s="5" t="n">
        <v>86.9</v>
      </c>
      <c r="E170" s="5" t="n">
        <v>9</v>
      </c>
      <c r="F170" s="5" t="n">
        <v>11</v>
      </c>
      <c r="G170" s="5" t="n">
        <v>11583</v>
      </c>
    </row>
    <row r="171" customFormat="false" ht="15" hidden="false" customHeight="true" outlineLevel="0" collapsed="false">
      <c r="A171" s="5" t="s">
        <v>933</v>
      </c>
      <c r="B171" s="5" t="s">
        <v>934</v>
      </c>
      <c r="C171" s="5" t="s">
        <v>320</v>
      </c>
      <c r="D171" s="5" t="n">
        <v>728.9</v>
      </c>
      <c r="E171" s="5" t="n">
        <v>4</v>
      </c>
      <c r="F171" s="5" t="n">
        <v>13</v>
      </c>
      <c r="G171" s="5" t="n">
        <v>7264</v>
      </c>
    </row>
    <row r="172" customFormat="false" ht="15" hidden="false" customHeight="true" outlineLevel="0" collapsed="false">
      <c r="A172" s="5" t="s">
        <v>952</v>
      </c>
      <c r="B172" s="5" t="s">
        <v>953</v>
      </c>
      <c r="C172" s="5" t="s">
        <v>320</v>
      </c>
      <c r="D172" s="5" t="n">
        <v>197.8</v>
      </c>
      <c r="E172" s="5" t="n">
        <v>7</v>
      </c>
      <c r="F172" s="5" t="n">
        <v>13</v>
      </c>
      <c r="G172" s="5" t="n">
        <v>11050</v>
      </c>
    </row>
    <row r="173" customFormat="false" ht="15" hidden="false" customHeight="true" outlineLevel="0" collapsed="false">
      <c r="A173" s="5" t="s">
        <v>954</v>
      </c>
      <c r="B173" s="5" t="s">
        <v>955</v>
      </c>
      <c r="C173" s="5" t="s">
        <v>320</v>
      </c>
      <c r="D173" s="5" t="n">
        <v>169.8</v>
      </c>
      <c r="E173" s="5" t="n">
        <v>20</v>
      </c>
      <c r="F173" s="5" t="n">
        <v>4</v>
      </c>
      <c r="G173" s="5" t="n">
        <v>11407</v>
      </c>
    </row>
    <row r="174" customFormat="false" ht="15" hidden="false" customHeight="true" outlineLevel="0" collapsed="false">
      <c r="A174" s="5" t="s">
        <v>923</v>
      </c>
      <c r="B174" s="5" t="s">
        <v>924</v>
      </c>
      <c r="C174" s="5" t="s">
        <v>320</v>
      </c>
      <c r="D174" s="5" t="n">
        <v>177.6</v>
      </c>
      <c r="E174" s="5" t="n">
        <v>10</v>
      </c>
      <c r="F174" s="5" t="n">
        <v>6</v>
      </c>
      <c r="G174" s="5" t="n">
        <v>4217</v>
      </c>
    </row>
    <row r="175" customFormat="false" ht="15" hidden="false" customHeight="true" outlineLevel="0" collapsed="false">
      <c r="A175" s="5" t="s">
        <v>929</v>
      </c>
      <c r="B175" s="5" t="s">
        <v>930</v>
      </c>
      <c r="C175" s="5" t="s">
        <v>320</v>
      </c>
      <c r="D175" s="5" t="n">
        <v>595.7</v>
      </c>
      <c r="E175" s="5" t="n">
        <v>3</v>
      </c>
      <c r="F175" s="5" t="n">
        <v>5</v>
      </c>
      <c r="G175" s="5" t="n">
        <v>4170</v>
      </c>
    </row>
    <row r="176" customFormat="false" ht="15" hidden="false" customHeight="true" outlineLevel="0" collapsed="false">
      <c r="A176" s="5" t="s">
        <v>944</v>
      </c>
      <c r="B176" s="5" t="s">
        <v>945</v>
      </c>
      <c r="C176" s="5" t="s">
        <v>320</v>
      </c>
      <c r="D176" s="5" t="n">
        <v>740.9</v>
      </c>
      <c r="E176" s="5" t="n">
        <v>20</v>
      </c>
      <c r="F176" s="5" t="n">
        <v>5</v>
      </c>
      <c r="G176" s="5" t="n">
        <v>4658</v>
      </c>
    </row>
    <row r="177" customFormat="false" ht="15" hidden="false" customHeight="true" outlineLevel="0" collapsed="false">
      <c r="A177" s="5" t="s">
        <v>946</v>
      </c>
      <c r="B177" s="5" t="s">
        <v>947</v>
      </c>
      <c r="C177" s="5" t="s">
        <v>320</v>
      </c>
      <c r="D177" s="5" t="n">
        <v>100.2</v>
      </c>
      <c r="E177" s="5" t="n">
        <v>3</v>
      </c>
      <c r="F177" s="5" t="n">
        <v>3</v>
      </c>
      <c r="G177" s="5" t="n">
        <v>2043</v>
      </c>
    </row>
    <row r="178" customFormat="false" ht="15" hidden="false" customHeight="true" outlineLevel="0" collapsed="false">
      <c r="A178" s="5" t="s">
        <v>938</v>
      </c>
      <c r="B178" s="5" t="s">
        <v>939</v>
      </c>
      <c r="C178" s="5" t="s">
        <v>320</v>
      </c>
      <c r="D178" s="5" t="n">
        <v>281.5</v>
      </c>
      <c r="E178" s="5" t="n">
        <v>10</v>
      </c>
      <c r="F178" s="5" t="n">
        <v>10</v>
      </c>
      <c r="G178" s="5" t="n">
        <v>7104</v>
      </c>
    </row>
    <row r="179" customFormat="false" ht="15" hidden="false" customHeight="true" outlineLevel="0" collapsed="false">
      <c r="A179" s="5" t="s">
        <v>927</v>
      </c>
      <c r="B179" s="5" t="s">
        <v>928</v>
      </c>
      <c r="C179" s="5" t="s">
        <v>320</v>
      </c>
      <c r="D179" s="5" t="n">
        <v>31.5</v>
      </c>
      <c r="E179" s="5" t="n">
        <v>11</v>
      </c>
      <c r="F179" s="5" t="n">
        <v>1</v>
      </c>
      <c r="G179" s="5" t="n">
        <v>3876</v>
      </c>
    </row>
    <row r="180" customFormat="false" ht="15" hidden="false" customHeight="true" outlineLevel="0" collapsed="false">
      <c r="A180" s="5" t="s">
        <v>920</v>
      </c>
      <c r="B180" s="5" t="s">
        <v>919</v>
      </c>
      <c r="C180" s="5" t="s">
        <v>320</v>
      </c>
      <c r="D180" s="5" t="n">
        <v>561.5</v>
      </c>
      <c r="E180" s="5" t="n">
        <v>19</v>
      </c>
      <c r="F180" s="5" t="n">
        <v>2</v>
      </c>
      <c r="G180" s="5" t="n">
        <v>2841</v>
      </c>
    </row>
    <row r="181" customFormat="false" ht="15" hidden="false" customHeight="true" outlineLevel="0" collapsed="false">
      <c r="A181" s="5" t="s">
        <v>960</v>
      </c>
      <c r="B181" s="5" t="s">
        <v>961</v>
      </c>
      <c r="C181" s="5" t="s">
        <v>320</v>
      </c>
      <c r="D181" s="5" t="n">
        <v>367.7</v>
      </c>
      <c r="E181" s="5" t="n">
        <v>14</v>
      </c>
      <c r="F181" s="5" t="n">
        <v>9</v>
      </c>
      <c r="G181" s="5" t="n">
        <v>11526</v>
      </c>
    </row>
    <row r="182" customFormat="false" ht="15" hidden="false" customHeight="true" outlineLevel="0" collapsed="false">
      <c r="A182" s="5" t="s">
        <v>950</v>
      </c>
      <c r="B182" s="5" t="s">
        <v>951</v>
      </c>
      <c r="C182" s="5" t="s">
        <v>320</v>
      </c>
      <c r="D182" s="5" t="n">
        <v>99.6</v>
      </c>
      <c r="E182" s="5" t="n">
        <v>19</v>
      </c>
      <c r="F182" s="5" t="n">
        <v>4</v>
      </c>
      <c r="G182" s="5" t="n">
        <v>11877</v>
      </c>
    </row>
    <row r="183" customFormat="false" ht="15" hidden="false" customHeight="true" outlineLevel="0" collapsed="false">
      <c r="A183" s="5" t="s">
        <v>948</v>
      </c>
      <c r="B183" s="5" t="s">
        <v>949</v>
      </c>
      <c r="C183" s="5" t="s">
        <v>320</v>
      </c>
      <c r="D183" s="5" t="n">
        <v>51.7</v>
      </c>
      <c r="E183" s="5" t="n">
        <v>19</v>
      </c>
      <c r="F183" s="5" t="n">
        <v>5</v>
      </c>
      <c r="G183" s="5" t="n">
        <v>9304</v>
      </c>
    </row>
    <row r="184" customFormat="false" ht="15" hidden="false" customHeight="true" outlineLevel="0" collapsed="false">
      <c r="A184" s="5" t="s">
        <v>918</v>
      </c>
      <c r="B184" s="5" t="s">
        <v>919</v>
      </c>
      <c r="C184" s="5" t="s">
        <v>320</v>
      </c>
      <c r="D184" s="5" t="n">
        <v>489.6</v>
      </c>
      <c r="E184" s="5" t="n">
        <v>3</v>
      </c>
      <c r="F184" s="5" t="n">
        <v>1</v>
      </c>
      <c r="G184" s="5" t="n">
        <v>9647</v>
      </c>
    </row>
    <row r="185" customFormat="false" ht="15" hidden="false" customHeight="true" outlineLevel="0" collapsed="false">
      <c r="A185" s="5" t="s">
        <v>921</v>
      </c>
      <c r="B185" s="5" t="s">
        <v>922</v>
      </c>
      <c r="C185" s="5" t="s">
        <v>320</v>
      </c>
      <c r="D185" s="5" t="n">
        <v>638.5</v>
      </c>
      <c r="E185" s="5" t="n">
        <v>16</v>
      </c>
      <c r="F185" s="5" t="n">
        <v>11</v>
      </c>
      <c r="G185" s="5" t="n">
        <v>3568</v>
      </c>
    </row>
    <row r="186" customFormat="false" ht="15" hidden="false" customHeight="true" outlineLevel="0" collapsed="false">
      <c r="A186" s="5" t="s">
        <v>958</v>
      </c>
      <c r="B186" s="5" t="s">
        <v>959</v>
      </c>
      <c r="C186" s="5" t="s">
        <v>320</v>
      </c>
      <c r="D186" s="5" t="n">
        <v>377.9</v>
      </c>
      <c r="E186" s="5" t="n">
        <v>17</v>
      </c>
      <c r="F186" s="5" t="n">
        <v>2</v>
      </c>
      <c r="G186" s="5" t="n">
        <v>3123</v>
      </c>
    </row>
    <row r="187" customFormat="false" ht="15" hidden="false" customHeight="true" outlineLevel="0" collapsed="false">
      <c r="A187" s="5" t="s">
        <v>956</v>
      </c>
      <c r="B187" s="5" t="s">
        <v>957</v>
      </c>
      <c r="C187" s="5" t="s">
        <v>320</v>
      </c>
      <c r="D187" s="5" t="n">
        <v>255.1</v>
      </c>
      <c r="E187" s="5" t="n">
        <v>7</v>
      </c>
      <c r="F187" s="5" t="n">
        <v>2</v>
      </c>
      <c r="G187" s="5" t="n">
        <v>3867</v>
      </c>
    </row>
    <row r="188" customFormat="false" ht="15" hidden="false" customHeight="true" outlineLevel="0" collapsed="false">
      <c r="A188" s="5" t="s">
        <v>942</v>
      </c>
      <c r="B188" s="5" t="s">
        <v>943</v>
      </c>
      <c r="C188" s="5" t="s">
        <v>320</v>
      </c>
      <c r="D188" s="5" t="n">
        <v>220.8</v>
      </c>
      <c r="E188" s="5" t="n">
        <v>20</v>
      </c>
      <c r="F188" s="5" t="n">
        <v>12</v>
      </c>
      <c r="G188" s="5" t="n">
        <v>7127</v>
      </c>
    </row>
    <row r="189" customFormat="false" ht="15" hidden="false" customHeight="true" outlineLevel="0" collapsed="false">
      <c r="A189" s="5" t="s">
        <v>935</v>
      </c>
      <c r="B189" s="5" t="s">
        <v>930</v>
      </c>
      <c r="C189" s="5" t="s">
        <v>320</v>
      </c>
      <c r="D189" s="5" t="n">
        <v>298.1</v>
      </c>
      <c r="E189" s="5" t="n">
        <v>19</v>
      </c>
      <c r="F189" s="5" t="n">
        <v>5</v>
      </c>
      <c r="G189" s="5" t="n">
        <v>9233</v>
      </c>
    </row>
    <row r="190" customFormat="false" ht="15" hidden="false" customHeight="true" outlineLevel="0" collapsed="false">
      <c r="A190" s="5" t="s">
        <v>931</v>
      </c>
      <c r="B190" s="5" t="s">
        <v>932</v>
      </c>
      <c r="C190" s="5" t="s">
        <v>320</v>
      </c>
      <c r="D190" s="5" t="n">
        <v>389.1</v>
      </c>
      <c r="E190" s="5" t="n">
        <v>16</v>
      </c>
      <c r="F190" s="5" t="n">
        <v>2</v>
      </c>
      <c r="G190" s="5" t="n">
        <v>3674</v>
      </c>
    </row>
    <row r="191" customFormat="false" ht="15" hidden="false" customHeight="true" outlineLevel="0" collapsed="false">
      <c r="A191" s="5" t="s">
        <v>962</v>
      </c>
      <c r="B191" s="5" t="s">
        <v>962</v>
      </c>
      <c r="C191" s="5" t="s">
        <v>320</v>
      </c>
      <c r="D191" s="5" t="n">
        <v>642.5</v>
      </c>
      <c r="E191" s="5" t="n">
        <v>20</v>
      </c>
      <c r="F191" s="5" t="n">
        <v>12</v>
      </c>
      <c r="G191" s="5" t="n">
        <v>5322</v>
      </c>
    </row>
    <row r="192" customFormat="false" ht="15" hidden="false" customHeight="true" outlineLevel="0" collapsed="false">
      <c r="A192" s="5" t="s">
        <v>940</v>
      </c>
      <c r="B192" s="5" t="s">
        <v>941</v>
      </c>
      <c r="C192" s="5" t="s">
        <v>320</v>
      </c>
      <c r="D192" s="5" t="n">
        <v>334</v>
      </c>
      <c r="E192" s="5" t="n">
        <v>10</v>
      </c>
      <c r="F192" s="5" t="n">
        <v>7</v>
      </c>
      <c r="G192" s="5" t="n">
        <v>7353</v>
      </c>
    </row>
    <row r="193" customFormat="false" ht="15" hidden="false" customHeight="true" outlineLevel="0" collapsed="false">
      <c r="A193" s="5" t="s">
        <v>925</v>
      </c>
      <c r="B193" s="5" t="s">
        <v>926</v>
      </c>
      <c r="C193" s="5" t="s">
        <v>320</v>
      </c>
      <c r="D193" s="5" t="n">
        <v>624</v>
      </c>
      <c r="E193" s="5" t="n">
        <v>15</v>
      </c>
      <c r="F193" s="5" t="n">
        <v>7</v>
      </c>
      <c r="G193" s="5" t="n">
        <v>3357</v>
      </c>
    </row>
    <row r="194" customFormat="false" ht="15" hidden="false" customHeight="true" outlineLevel="0" collapsed="false">
      <c r="A194" s="5" t="s">
        <v>936</v>
      </c>
      <c r="B194" s="5" t="s">
        <v>937</v>
      </c>
      <c r="C194" s="5" t="s">
        <v>357</v>
      </c>
      <c r="D194" s="5" t="n">
        <v>248.2</v>
      </c>
      <c r="E194" s="5" t="n">
        <v>13</v>
      </c>
      <c r="F194" s="5" t="n">
        <v>11</v>
      </c>
      <c r="G194" s="5" t="n">
        <v>5976</v>
      </c>
    </row>
    <row r="195" customFormat="false" ht="15" hidden="false" customHeight="true" outlineLevel="0" collapsed="false">
      <c r="A195" s="5" t="s">
        <v>933</v>
      </c>
      <c r="B195" s="5" t="s">
        <v>934</v>
      </c>
      <c r="C195" s="5" t="s">
        <v>357</v>
      </c>
      <c r="D195" s="5" t="n">
        <v>293.2</v>
      </c>
      <c r="E195" s="5" t="n">
        <v>7</v>
      </c>
      <c r="F195" s="5" t="n">
        <v>11</v>
      </c>
      <c r="G195" s="5" t="n">
        <v>9570</v>
      </c>
    </row>
    <row r="196" customFormat="false" ht="15" hidden="false" customHeight="true" outlineLevel="0" collapsed="false">
      <c r="A196" s="5" t="s">
        <v>952</v>
      </c>
      <c r="B196" s="5" t="s">
        <v>953</v>
      </c>
      <c r="C196" s="5" t="s">
        <v>357</v>
      </c>
      <c r="D196" s="5" t="n">
        <v>69</v>
      </c>
      <c r="E196" s="5" t="n">
        <v>5</v>
      </c>
      <c r="F196" s="5" t="n">
        <v>2</v>
      </c>
      <c r="G196" s="5" t="n">
        <v>8875</v>
      </c>
    </row>
    <row r="197" customFormat="false" ht="15" hidden="false" customHeight="true" outlineLevel="0" collapsed="false">
      <c r="A197" s="5" t="s">
        <v>954</v>
      </c>
      <c r="B197" s="5" t="s">
        <v>955</v>
      </c>
      <c r="C197" s="5" t="s">
        <v>357</v>
      </c>
      <c r="D197" s="5" t="n">
        <v>90.5</v>
      </c>
      <c r="E197" s="5" t="n">
        <v>14</v>
      </c>
      <c r="F197" s="5" t="n">
        <v>13</v>
      </c>
      <c r="G197" s="5" t="n">
        <v>3931</v>
      </c>
    </row>
    <row r="198" customFormat="false" ht="15" hidden="false" customHeight="true" outlineLevel="0" collapsed="false">
      <c r="A198" s="5" t="s">
        <v>923</v>
      </c>
      <c r="B198" s="5" t="s">
        <v>924</v>
      </c>
      <c r="C198" s="5" t="s">
        <v>357</v>
      </c>
      <c r="D198" s="5" t="n">
        <v>426.2</v>
      </c>
      <c r="E198" s="5" t="n">
        <v>20</v>
      </c>
      <c r="F198" s="5" t="n">
        <v>9</v>
      </c>
      <c r="G198" s="5" t="n">
        <v>7200</v>
      </c>
    </row>
    <row r="199" customFormat="false" ht="15" hidden="false" customHeight="true" outlineLevel="0" collapsed="false">
      <c r="A199" s="5" t="s">
        <v>929</v>
      </c>
      <c r="B199" s="5" t="s">
        <v>930</v>
      </c>
      <c r="C199" s="5" t="s">
        <v>357</v>
      </c>
      <c r="D199" s="5" t="n">
        <v>509.1</v>
      </c>
      <c r="E199" s="5" t="n">
        <v>16</v>
      </c>
      <c r="F199" s="5" t="n">
        <v>6</v>
      </c>
      <c r="G199" s="5" t="n">
        <v>8729</v>
      </c>
    </row>
    <row r="200" customFormat="false" ht="15" hidden="false" customHeight="true" outlineLevel="0" collapsed="false">
      <c r="A200" s="5" t="s">
        <v>944</v>
      </c>
      <c r="B200" s="5" t="s">
        <v>945</v>
      </c>
      <c r="C200" s="5" t="s">
        <v>357</v>
      </c>
      <c r="D200" s="5" t="n">
        <v>653.7</v>
      </c>
      <c r="E200" s="5" t="n">
        <v>4</v>
      </c>
      <c r="F200" s="5" t="n">
        <v>5</v>
      </c>
      <c r="G200" s="5" t="n">
        <v>11637</v>
      </c>
    </row>
    <row r="201" customFormat="false" ht="15" hidden="false" customHeight="true" outlineLevel="0" collapsed="false">
      <c r="A201" s="5" t="s">
        <v>946</v>
      </c>
      <c r="B201" s="5" t="s">
        <v>947</v>
      </c>
      <c r="C201" s="5" t="s">
        <v>357</v>
      </c>
      <c r="D201" s="5" t="n">
        <v>248.1</v>
      </c>
      <c r="E201" s="5" t="n">
        <v>6</v>
      </c>
      <c r="F201" s="5" t="n">
        <v>10</v>
      </c>
      <c r="G201" s="5" t="n">
        <v>10113</v>
      </c>
    </row>
    <row r="202" customFormat="false" ht="15" hidden="false" customHeight="true" outlineLevel="0" collapsed="false">
      <c r="A202" s="5" t="s">
        <v>938</v>
      </c>
      <c r="B202" s="5" t="s">
        <v>939</v>
      </c>
      <c r="C202" s="5" t="s">
        <v>357</v>
      </c>
      <c r="D202" s="5" t="n">
        <v>175.3</v>
      </c>
      <c r="E202" s="5" t="n">
        <v>18</v>
      </c>
      <c r="F202" s="5" t="n">
        <v>4</v>
      </c>
      <c r="G202" s="5" t="n">
        <v>3573</v>
      </c>
    </row>
    <row r="203" customFormat="false" ht="15" hidden="false" customHeight="true" outlineLevel="0" collapsed="false">
      <c r="A203" s="5" t="s">
        <v>927</v>
      </c>
      <c r="B203" s="5" t="s">
        <v>928</v>
      </c>
      <c r="C203" s="5" t="s">
        <v>357</v>
      </c>
      <c r="D203" s="5" t="n">
        <v>275.6</v>
      </c>
      <c r="E203" s="5" t="n">
        <v>20</v>
      </c>
      <c r="F203" s="5" t="n">
        <v>6</v>
      </c>
      <c r="G203" s="5" t="n">
        <v>3682</v>
      </c>
    </row>
    <row r="204" customFormat="false" ht="15" hidden="false" customHeight="true" outlineLevel="0" collapsed="false">
      <c r="A204" s="5" t="s">
        <v>920</v>
      </c>
      <c r="B204" s="5" t="s">
        <v>919</v>
      </c>
      <c r="C204" s="5" t="s">
        <v>357</v>
      </c>
      <c r="D204" s="5" t="n">
        <v>576.7</v>
      </c>
      <c r="E204" s="5" t="n">
        <v>10</v>
      </c>
      <c r="F204" s="5" t="n">
        <v>13</v>
      </c>
      <c r="G204" s="5" t="n">
        <v>8830</v>
      </c>
    </row>
    <row r="205" customFormat="false" ht="15" hidden="false" customHeight="true" outlineLevel="0" collapsed="false">
      <c r="A205" s="5" t="s">
        <v>960</v>
      </c>
      <c r="B205" s="5" t="s">
        <v>961</v>
      </c>
      <c r="C205" s="5" t="s">
        <v>357</v>
      </c>
      <c r="D205" s="5" t="n">
        <v>637</v>
      </c>
      <c r="E205" s="5" t="n">
        <v>20</v>
      </c>
      <c r="F205" s="5" t="n">
        <v>1</v>
      </c>
      <c r="G205" s="5" t="n">
        <v>11777</v>
      </c>
    </row>
    <row r="206" customFormat="false" ht="15" hidden="false" customHeight="true" outlineLevel="0" collapsed="false">
      <c r="A206" s="5" t="s">
        <v>950</v>
      </c>
      <c r="B206" s="5" t="s">
        <v>951</v>
      </c>
      <c r="C206" s="5" t="s">
        <v>357</v>
      </c>
      <c r="D206" s="5" t="n">
        <v>698.2</v>
      </c>
      <c r="E206" s="5" t="n">
        <v>11</v>
      </c>
      <c r="F206" s="5" t="n">
        <v>1</v>
      </c>
      <c r="G206" s="5" t="n">
        <v>4755</v>
      </c>
    </row>
    <row r="207" customFormat="false" ht="15" hidden="false" customHeight="true" outlineLevel="0" collapsed="false">
      <c r="A207" s="5" t="s">
        <v>948</v>
      </c>
      <c r="B207" s="5" t="s">
        <v>949</v>
      </c>
      <c r="C207" s="5" t="s">
        <v>357</v>
      </c>
      <c r="D207" s="5" t="n">
        <v>219.5</v>
      </c>
      <c r="E207" s="5" t="n">
        <v>12</v>
      </c>
      <c r="F207" s="5" t="n">
        <v>6</v>
      </c>
      <c r="G207" s="5" t="n">
        <v>7551</v>
      </c>
    </row>
    <row r="208" customFormat="false" ht="15" hidden="false" customHeight="true" outlineLevel="0" collapsed="false">
      <c r="A208" s="5" t="s">
        <v>918</v>
      </c>
      <c r="B208" s="5" t="s">
        <v>919</v>
      </c>
      <c r="C208" s="5" t="s">
        <v>357</v>
      </c>
      <c r="D208" s="5" t="n">
        <v>24.5</v>
      </c>
      <c r="E208" s="5" t="n">
        <v>7</v>
      </c>
      <c r="F208" s="5" t="n">
        <v>10</v>
      </c>
      <c r="G208" s="5" t="n">
        <v>8366</v>
      </c>
    </row>
    <row r="209" customFormat="false" ht="15" hidden="false" customHeight="true" outlineLevel="0" collapsed="false">
      <c r="A209" s="5" t="s">
        <v>921</v>
      </c>
      <c r="B209" s="5" t="s">
        <v>922</v>
      </c>
      <c r="C209" s="5" t="s">
        <v>357</v>
      </c>
      <c r="D209" s="5" t="n">
        <v>70.8</v>
      </c>
      <c r="E209" s="5" t="n">
        <v>3</v>
      </c>
      <c r="F209" s="5" t="n">
        <v>2</v>
      </c>
      <c r="G209" s="5" t="n">
        <v>10491</v>
      </c>
    </row>
    <row r="210" customFormat="false" ht="15" hidden="false" customHeight="true" outlineLevel="0" collapsed="false">
      <c r="A210" s="5" t="s">
        <v>958</v>
      </c>
      <c r="B210" s="5" t="s">
        <v>959</v>
      </c>
      <c r="C210" s="5" t="s">
        <v>357</v>
      </c>
      <c r="D210" s="5" t="n">
        <v>177</v>
      </c>
      <c r="E210" s="5" t="n">
        <v>16</v>
      </c>
      <c r="F210" s="5" t="n">
        <v>8</v>
      </c>
      <c r="G210" s="5" t="n">
        <v>7385</v>
      </c>
    </row>
    <row r="211" customFormat="false" ht="15" hidden="false" customHeight="true" outlineLevel="0" collapsed="false">
      <c r="A211" s="5" t="s">
        <v>956</v>
      </c>
      <c r="B211" s="5" t="s">
        <v>957</v>
      </c>
      <c r="C211" s="5" t="s">
        <v>357</v>
      </c>
      <c r="D211" s="5" t="n">
        <v>134.9</v>
      </c>
      <c r="E211" s="5" t="n">
        <v>12</v>
      </c>
      <c r="F211" s="5" t="n">
        <v>12</v>
      </c>
      <c r="G211" s="5" t="n">
        <v>7114</v>
      </c>
    </row>
    <row r="212" customFormat="false" ht="15" hidden="false" customHeight="true" outlineLevel="0" collapsed="false">
      <c r="A212" s="5" t="s">
        <v>942</v>
      </c>
      <c r="B212" s="5" t="s">
        <v>943</v>
      </c>
      <c r="C212" s="5" t="s">
        <v>357</v>
      </c>
      <c r="D212" s="5" t="n">
        <v>587.1</v>
      </c>
      <c r="E212" s="5" t="n">
        <v>5</v>
      </c>
      <c r="F212" s="5" t="n">
        <v>1</v>
      </c>
      <c r="G212" s="5" t="n">
        <v>4349</v>
      </c>
    </row>
    <row r="213" customFormat="false" ht="15" hidden="false" customHeight="true" outlineLevel="0" collapsed="false">
      <c r="A213" s="5" t="s">
        <v>935</v>
      </c>
      <c r="B213" s="5" t="s">
        <v>930</v>
      </c>
      <c r="C213" s="5" t="s">
        <v>357</v>
      </c>
      <c r="D213" s="5" t="n">
        <v>134.9</v>
      </c>
      <c r="E213" s="5" t="n">
        <v>4</v>
      </c>
      <c r="F213" s="5" t="n">
        <v>11</v>
      </c>
      <c r="G213" s="5" t="n">
        <v>3136</v>
      </c>
    </row>
    <row r="214" customFormat="false" ht="15" hidden="false" customHeight="true" outlineLevel="0" collapsed="false">
      <c r="A214" s="5" t="s">
        <v>931</v>
      </c>
      <c r="B214" s="5" t="s">
        <v>932</v>
      </c>
      <c r="C214" s="5" t="s">
        <v>357</v>
      </c>
      <c r="D214" s="5" t="n">
        <v>218.6</v>
      </c>
      <c r="E214" s="5" t="n">
        <v>16</v>
      </c>
      <c r="F214" s="5" t="n">
        <v>8</v>
      </c>
      <c r="G214" s="5" t="n">
        <v>11746</v>
      </c>
    </row>
    <row r="215" customFormat="false" ht="15" hidden="false" customHeight="true" outlineLevel="0" collapsed="false">
      <c r="A215" s="5" t="s">
        <v>962</v>
      </c>
      <c r="B215" s="5" t="s">
        <v>962</v>
      </c>
      <c r="C215" s="5" t="s">
        <v>357</v>
      </c>
      <c r="D215" s="5" t="n">
        <v>342.7</v>
      </c>
      <c r="E215" s="5" t="n">
        <v>11</v>
      </c>
      <c r="F215" s="5" t="n">
        <v>4</v>
      </c>
      <c r="G215" s="5" t="n">
        <v>10194</v>
      </c>
    </row>
    <row r="216" customFormat="false" ht="15" hidden="false" customHeight="true" outlineLevel="0" collapsed="false">
      <c r="A216" s="5" t="s">
        <v>940</v>
      </c>
      <c r="B216" s="5" t="s">
        <v>941</v>
      </c>
      <c r="C216" s="5" t="s">
        <v>357</v>
      </c>
      <c r="D216" s="5" t="n">
        <v>103.1</v>
      </c>
      <c r="E216" s="5" t="n">
        <v>16</v>
      </c>
      <c r="F216" s="5" t="n">
        <v>2</v>
      </c>
      <c r="G216" s="5" t="n">
        <v>6440</v>
      </c>
    </row>
    <row r="217" customFormat="false" ht="15" hidden="false" customHeight="true" outlineLevel="0" collapsed="false">
      <c r="A217" s="5" t="s">
        <v>925</v>
      </c>
      <c r="B217" s="5" t="s">
        <v>926</v>
      </c>
      <c r="C217" s="5" t="s">
        <v>357</v>
      </c>
      <c r="D217" s="5" t="n">
        <v>515.1</v>
      </c>
      <c r="E217" s="5" t="n">
        <v>18</v>
      </c>
      <c r="F217" s="5" t="n">
        <v>9</v>
      </c>
      <c r="G217" s="5" t="n">
        <v>6853</v>
      </c>
    </row>
    <row r="218" customFormat="false" ht="15" hidden="false" customHeight="true" outlineLevel="0" collapsed="false">
      <c r="A218" s="5" t="s">
        <v>936</v>
      </c>
      <c r="B218" s="5" t="s">
        <v>937</v>
      </c>
      <c r="C218" s="5" t="s">
        <v>394</v>
      </c>
      <c r="D218" s="5" t="n">
        <v>53.2</v>
      </c>
      <c r="E218" s="5" t="n">
        <v>15</v>
      </c>
      <c r="F218" s="5" t="n">
        <v>10</v>
      </c>
      <c r="G218" s="5" t="n">
        <v>2697</v>
      </c>
    </row>
    <row r="219" customFormat="false" ht="15" hidden="false" customHeight="true" outlineLevel="0" collapsed="false">
      <c r="A219" s="5" t="s">
        <v>933</v>
      </c>
      <c r="B219" s="5" t="s">
        <v>934</v>
      </c>
      <c r="C219" s="5" t="s">
        <v>394</v>
      </c>
      <c r="D219" s="5" t="n">
        <v>25.6</v>
      </c>
      <c r="E219" s="5" t="n">
        <v>12</v>
      </c>
      <c r="F219" s="5" t="n">
        <v>4</v>
      </c>
      <c r="G219" s="5" t="n">
        <v>4048</v>
      </c>
    </row>
    <row r="220" customFormat="false" ht="15" hidden="false" customHeight="true" outlineLevel="0" collapsed="false">
      <c r="A220" s="5" t="s">
        <v>952</v>
      </c>
      <c r="B220" s="5" t="s">
        <v>953</v>
      </c>
      <c r="C220" s="5" t="s">
        <v>394</v>
      </c>
      <c r="D220" s="5" t="n">
        <v>577.8</v>
      </c>
      <c r="E220" s="5" t="n">
        <v>12</v>
      </c>
      <c r="F220" s="5" t="n">
        <v>6</v>
      </c>
      <c r="G220" s="5" t="n">
        <v>3765</v>
      </c>
    </row>
    <row r="221" customFormat="false" ht="15" hidden="false" customHeight="true" outlineLevel="0" collapsed="false">
      <c r="A221" s="5" t="s">
        <v>954</v>
      </c>
      <c r="B221" s="5" t="s">
        <v>955</v>
      </c>
      <c r="C221" s="5" t="s">
        <v>394</v>
      </c>
      <c r="D221" s="5" t="n">
        <v>25.6</v>
      </c>
      <c r="E221" s="5" t="n">
        <v>16</v>
      </c>
      <c r="F221" s="5" t="n">
        <v>3</v>
      </c>
      <c r="G221" s="5" t="n">
        <v>3916</v>
      </c>
    </row>
    <row r="222" customFormat="false" ht="15" hidden="false" customHeight="true" outlineLevel="0" collapsed="false">
      <c r="A222" s="5" t="s">
        <v>923</v>
      </c>
      <c r="B222" s="5" t="s">
        <v>924</v>
      </c>
      <c r="C222" s="5" t="s">
        <v>394</v>
      </c>
      <c r="D222" s="5" t="n">
        <v>297.6</v>
      </c>
      <c r="E222" s="5" t="n">
        <v>10</v>
      </c>
      <c r="F222" s="5" t="n">
        <v>9</v>
      </c>
      <c r="G222" s="5" t="n">
        <v>10954</v>
      </c>
    </row>
    <row r="223" customFormat="false" ht="15" hidden="false" customHeight="true" outlineLevel="0" collapsed="false">
      <c r="A223" s="5" t="s">
        <v>929</v>
      </c>
      <c r="B223" s="5" t="s">
        <v>930</v>
      </c>
      <c r="C223" s="5" t="s">
        <v>394</v>
      </c>
      <c r="D223" s="5" t="n">
        <v>628.3</v>
      </c>
      <c r="E223" s="5" t="n">
        <v>14</v>
      </c>
      <c r="F223" s="5" t="n">
        <v>2</v>
      </c>
      <c r="G223" s="5" t="n">
        <v>8305</v>
      </c>
    </row>
    <row r="224" customFormat="false" ht="15" hidden="false" customHeight="true" outlineLevel="0" collapsed="false">
      <c r="A224" s="5" t="s">
        <v>944</v>
      </c>
      <c r="B224" s="5" t="s">
        <v>945</v>
      </c>
      <c r="C224" s="5" t="s">
        <v>394</v>
      </c>
      <c r="D224" s="5" t="n">
        <v>649.1</v>
      </c>
      <c r="E224" s="5" t="n">
        <v>4</v>
      </c>
      <c r="F224" s="5" t="n">
        <v>7</v>
      </c>
      <c r="G224" s="5" t="n">
        <v>2107</v>
      </c>
    </row>
    <row r="225" customFormat="false" ht="15" hidden="false" customHeight="true" outlineLevel="0" collapsed="false">
      <c r="A225" s="5" t="s">
        <v>946</v>
      </c>
      <c r="B225" s="5" t="s">
        <v>947</v>
      </c>
      <c r="C225" s="5" t="s">
        <v>394</v>
      </c>
      <c r="D225" s="5" t="n">
        <v>355.6</v>
      </c>
      <c r="E225" s="5" t="n">
        <v>5</v>
      </c>
      <c r="F225" s="5" t="n">
        <v>14</v>
      </c>
      <c r="G225" s="5" t="n">
        <v>6929</v>
      </c>
    </row>
    <row r="226" customFormat="false" ht="15" hidden="false" customHeight="true" outlineLevel="0" collapsed="false">
      <c r="A226" s="5" t="s">
        <v>938</v>
      </c>
      <c r="B226" s="5" t="s">
        <v>939</v>
      </c>
      <c r="C226" s="5" t="s">
        <v>394</v>
      </c>
      <c r="D226" s="5" t="n">
        <v>440.3</v>
      </c>
      <c r="E226" s="5" t="n">
        <v>15</v>
      </c>
      <c r="F226" s="5" t="n">
        <v>12</v>
      </c>
      <c r="G226" s="5" t="n">
        <v>8643</v>
      </c>
    </row>
    <row r="227" customFormat="false" ht="15" hidden="false" customHeight="true" outlineLevel="0" collapsed="false">
      <c r="A227" s="5" t="s">
        <v>927</v>
      </c>
      <c r="B227" s="5" t="s">
        <v>928</v>
      </c>
      <c r="C227" s="5" t="s">
        <v>394</v>
      </c>
      <c r="D227" s="5" t="n">
        <v>231.3</v>
      </c>
      <c r="E227" s="5" t="n">
        <v>15</v>
      </c>
      <c r="F227" s="5" t="n">
        <v>1</v>
      </c>
      <c r="G227" s="5" t="n">
        <v>7121</v>
      </c>
    </row>
    <row r="228" customFormat="false" ht="15" hidden="false" customHeight="true" outlineLevel="0" collapsed="false">
      <c r="A228" s="5" t="s">
        <v>920</v>
      </c>
      <c r="B228" s="5" t="s">
        <v>919</v>
      </c>
      <c r="C228" s="5" t="s">
        <v>394</v>
      </c>
      <c r="D228" s="5" t="n">
        <v>145.5</v>
      </c>
      <c r="E228" s="5" t="n">
        <v>17</v>
      </c>
      <c r="F228" s="5" t="n">
        <v>14</v>
      </c>
      <c r="G228" s="5" t="n">
        <v>7728</v>
      </c>
    </row>
    <row r="229" customFormat="false" ht="15" hidden="false" customHeight="true" outlineLevel="0" collapsed="false">
      <c r="A229" s="5" t="s">
        <v>960</v>
      </c>
      <c r="B229" s="5" t="s">
        <v>961</v>
      </c>
      <c r="C229" s="5" t="s">
        <v>394</v>
      </c>
      <c r="D229" s="5" t="n">
        <v>84.3</v>
      </c>
      <c r="E229" s="5" t="n">
        <v>6</v>
      </c>
      <c r="F229" s="5" t="n">
        <v>4</v>
      </c>
      <c r="G229" s="5" t="n">
        <v>8938</v>
      </c>
    </row>
    <row r="230" customFormat="false" ht="15" hidden="false" customHeight="true" outlineLevel="0" collapsed="false">
      <c r="A230" s="5" t="s">
        <v>950</v>
      </c>
      <c r="B230" s="5" t="s">
        <v>951</v>
      </c>
      <c r="C230" s="5" t="s">
        <v>394</v>
      </c>
      <c r="D230" s="5" t="n">
        <v>449.9</v>
      </c>
      <c r="E230" s="5" t="n">
        <v>19</v>
      </c>
      <c r="F230" s="5" t="n">
        <v>2</v>
      </c>
      <c r="G230" s="5" t="n">
        <v>8284</v>
      </c>
    </row>
    <row r="231" customFormat="false" ht="15" hidden="false" customHeight="true" outlineLevel="0" collapsed="false">
      <c r="A231" s="5" t="s">
        <v>948</v>
      </c>
      <c r="B231" s="5" t="s">
        <v>949</v>
      </c>
      <c r="C231" s="5" t="s">
        <v>394</v>
      </c>
      <c r="D231" s="5" t="n">
        <v>655.5</v>
      </c>
      <c r="E231" s="5" t="n">
        <v>13</v>
      </c>
      <c r="F231" s="5" t="n">
        <v>4</v>
      </c>
      <c r="G231" s="5" t="n">
        <v>7256</v>
      </c>
    </row>
    <row r="232" customFormat="false" ht="15" hidden="false" customHeight="true" outlineLevel="0" collapsed="false">
      <c r="A232" s="5" t="s">
        <v>918</v>
      </c>
      <c r="B232" s="5" t="s">
        <v>919</v>
      </c>
      <c r="C232" s="5" t="s">
        <v>394</v>
      </c>
      <c r="D232" s="5" t="n">
        <v>588.8</v>
      </c>
      <c r="E232" s="5" t="n">
        <v>5</v>
      </c>
      <c r="F232" s="5" t="n">
        <v>9</v>
      </c>
      <c r="G232" s="5" t="n">
        <v>3668</v>
      </c>
    </row>
    <row r="233" customFormat="false" ht="15" hidden="false" customHeight="true" outlineLevel="0" collapsed="false">
      <c r="A233" s="5" t="s">
        <v>921</v>
      </c>
      <c r="B233" s="5" t="s">
        <v>922</v>
      </c>
      <c r="C233" s="5" t="s">
        <v>394</v>
      </c>
      <c r="D233" s="5" t="n">
        <v>407.3</v>
      </c>
      <c r="E233" s="5" t="n">
        <v>9</v>
      </c>
      <c r="F233" s="5" t="n">
        <v>13</v>
      </c>
      <c r="G233" s="5" t="n">
        <v>7524</v>
      </c>
    </row>
    <row r="234" customFormat="false" ht="15" hidden="false" customHeight="true" outlineLevel="0" collapsed="false">
      <c r="A234" s="5" t="s">
        <v>958</v>
      </c>
      <c r="B234" s="5" t="s">
        <v>959</v>
      </c>
      <c r="C234" s="5" t="s">
        <v>394</v>
      </c>
      <c r="D234" s="5" t="n">
        <v>276.3</v>
      </c>
      <c r="E234" s="5" t="n">
        <v>7</v>
      </c>
      <c r="F234" s="5" t="n">
        <v>4</v>
      </c>
      <c r="G234" s="5" t="n">
        <v>3484</v>
      </c>
    </row>
    <row r="235" customFormat="false" ht="15" hidden="false" customHeight="true" outlineLevel="0" collapsed="false">
      <c r="A235" s="5" t="s">
        <v>956</v>
      </c>
      <c r="B235" s="5" t="s">
        <v>957</v>
      </c>
      <c r="C235" s="5" t="s">
        <v>394</v>
      </c>
      <c r="D235" s="5" t="n">
        <v>126.9</v>
      </c>
      <c r="E235" s="5" t="n">
        <v>9</v>
      </c>
      <c r="F235" s="5" t="n">
        <v>3</v>
      </c>
      <c r="G235" s="5" t="n">
        <v>11669</v>
      </c>
    </row>
    <row r="236" customFormat="false" ht="15" hidden="false" customHeight="true" outlineLevel="0" collapsed="false">
      <c r="A236" s="5" t="s">
        <v>942</v>
      </c>
      <c r="B236" s="5" t="s">
        <v>943</v>
      </c>
      <c r="C236" s="5" t="s">
        <v>394</v>
      </c>
      <c r="D236" s="5" t="n">
        <v>131.6</v>
      </c>
      <c r="E236" s="5" t="n">
        <v>5</v>
      </c>
      <c r="F236" s="5" t="n">
        <v>3</v>
      </c>
      <c r="G236" s="5" t="n">
        <v>9895</v>
      </c>
    </row>
    <row r="237" customFormat="false" ht="15" hidden="false" customHeight="true" outlineLevel="0" collapsed="false">
      <c r="A237" s="5" t="s">
        <v>935</v>
      </c>
      <c r="B237" s="5" t="s">
        <v>930</v>
      </c>
      <c r="C237" s="5" t="s">
        <v>394</v>
      </c>
      <c r="D237" s="5" t="n">
        <v>358.7</v>
      </c>
      <c r="E237" s="5" t="n">
        <v>17</v>
      </c>
      <c r="F237" s="5" t="n">
        <v>11</v>
      </c>
      <c r="G237" s="5" t="n">
        <v>11048</v>
      </c>
    </row>
    <row r="238" customFormat="false" ht="15" hidden="false" customHeight="true" outlineLevel="0" collapsed="false">
      <c r="A238" s="5" t="s">
        <v>931</v>
      </c>
      <c r="B238" s="5" t="s">
        <v>932</v>
      </c>
      <c r="C238" s="5" t="s">
        <v>394</v>
      </c>
      <c r="D238" s="5" t="n">
        <v>489.4</v>
      </c>
      <c r="E238" s="5" t="n">
        <v>13</v>
      </c>
      <c r="F238" s="5" t="n">
        <v>14</v>
      </c>
      <c r="G238" s="5" t="n">
        <v>6979</v>
      </c>
    </row>
    <row r="239" customFormat="false" ht="15" hidden="false" customHeight="true" outlineLevel="0" collapsed="false">
      <c r="A239" s="5" t="s">
        <v>962</v>
      </c>
      <c r="B239" s="5" t="s">
        <v>962</v>
      </c>
      <c r="C239" s="5" t="s">
        <v>394</v>
      </c>
      <c r="D239" s="5" t="n">
        <v>130.2</v>
      </c>
      <c r="E239" s="5" t="n">
        <v>5</v>
      </c>
      <c r="F239" s="5" t="n">
        <v>8</v>
      </c>
      <c r="G239" s="5" t="n">
        <v>9045</v>
      </c>
    </row>
    <row r="240" customFormat="false" ht="15" hidden="false" customHeight="true" outlineLevel="0" collapsed="false">
      <c r="A240" s="5" t="s">
        <v>940</v>
      </c>
      <c r="B240" s="5" t="s">
        <v>941</v>
      </c>
      <c r="C240" s="5" t="s">
        <v>394</v>
      </c>
      <c r="D240" s="5" t="n">
        <v>480.9</v>
      </c>
      <c r="E240" s="5" t="n">
        <v>11</v>
      </c>
      <c r="F240" s="5" t="n">
        <v>10</v>
      </c>
      <c r="G240" s="5" t="n">
        <v>2720</v>
      </c>
    </row>
    <row r="241" customFormat="false" ht="15" hidden="false" customHeight="true" outlineLevel="0" collapsed="false">
      <c r="A241" s="5" t="s">
        <v>925</v>
      </c>
      <c r="B241" s="5" t="s">
        <v>926</v>
      </c>
      <c r="C241" s="5" t="s">
        <v>394</v>
      </c>
      <c r="D241" s="5" t="n">
        <v>276.9</v>
      </c>
      <c r="E241" s="5" t="n">
        <v>5</v>
      </c>
      <c r="F241" s="5" t="n">
        <v>5</v>
      </c>
      <c r="G241" s="5" t="n">
        <v>9365</v>
      </c>
    </row>
    <row r="242" customFormat="false" ht="15" hidden="false" customHeight="true" outlineLevel="0" collapsed="false">
      <c r="A242" s="5" t="s">
        <v>936</v>
      </c>
      <c r="B242" s="5" t="s">
        <v>937</v>
      </c>
      <c r="C242" s="5" t="s">
        <v>431</v>
      </c>
      <c r="D242" s="5" t="n">
        <v>349.9</v>
      </c>
      <c r="E242" s="5" t="n">
        <v>4</v>
      </c>
      <c r="F242" s="5" t="n">
        <v>6</v>
      </c>
      <c r="G242" s="5" t="n">
        <v>6503</v>
      </c>
    </row>
    <row r="243" customFormat="false" ht="15" hidden="false" customHeight="true" outlineLevel="0" collapsed="false">
      <c r="A243" s="5" t="s">
        <v>933</v>
      </c>
      <c r="B243" s="5" t="s">
        <v>934</v>
      </c>
      <c r="C243" s="5" t="s">
        <v>431</v>
      </c>
      <c r="D243" s="5" t="n">
        <v>76</v>
      </c>
      <c r="E243" s="5" t="n">
        <v>5</v>
      </c>
      <c r="F243" s="5" t="n">
        <v>10</v>
      </c>
      <c r="G243" s="5" t="n">
        <v>11533</v>
      </c>
    </row>
    <row r="244" customFormat="false" ht="15" hidden="false" customHeight="true" outlineLevel="0" collapsed="false">
      <c r="A244" s="5" t="s">
        <v>952</v>
      </c>
      <c r="B244" s="5" t="s">
        <v>953</v>
      </c>
      <c r="C244" s="5" t="s">
        <v>431</v>
      </c>
      <c r="D244" s="5" t="n">
        <v>390.2</v>
      </c>
      <c r="E244" s="5" t="n">
        <v>17</v>
      </c>
      <c r="F244" s="5" t="n">
        <v>10</v>
      </c>
      <c r="G244" s="5" t="n">
        <v>10881</v>
      </c>
    </row>
    <row r="245" customFormat="false" ht="15" hidden="false" customHeight="true" outlineLevel="0" collapsed="false">
      <c r="A245" s="5" t="s">
        <v>954</v>
      </c>
      <c r="B245" s="5" t="s">
        <v>955</v>
      </c>
      <c r="C245" s="5" t="s">
        <v>431</v>
      </c>
      <c r="D245" s="5" t="n">
        <v>716.6</v>
      </c>
      <c r="E245" s="5" t="n">
        <v>4</v>
      </c>
      <c r="F245" s="5" t="n">
        <v>8</v>
      </c>
      <c r="G245" s="5" t="n">
        <v>11166</v>
      </c>
    </row>
    <row r="246" customFormat="false" ht="15" hidden="false" customHeight="true" outlineLevel="0" collapsed="false">
      <c r="A246" s="5" t="s">
        <v>923</v>
      </c>
      <c r="B246" s="5" t="s">
        <v>924</v>
      </c>
      <c r="C246" s="5" t="s">
        <v>431</v>
      </c>
      <c r="D246" s="5" t="n">
        <v>495.8</v>
      </c>
      <c r="E246" s="5" t="n">
        <v>13</v>
      </c>
      <c r="F246" s="5" t="n">
        <v>10</v>
      </c>
      <c r="G246" s="5" t="n">
        <v>9592</v>
      </c>
    </row>
    <row r="247" customFormat="false" ht="15" hidden="false" customHeight="true" outlineLevel="0" collapsed="false">
      <c r="A247" s="5" t="s">
        <v>929</v>
      </c>
      <c r="B247" s="5" t="s">
        <v>930</v>
      </c>
      <c r="C247" s="5" t="s">
        <v>431</v>
      </c>
      <c r="D247" s="5" t="n">
        <v>386</v>
      </c>
      <c r="E247" s="5" t="n">
        <v>4</v>
      </c>
      <c r="F247" s="5" t="n">
        <v>8</v>
      </c>
      <c r="G247" s="5" t="n">
        <v>3495</v>
      </c>
    </row>
    <row r="248" customFormat="false" ht="15" hidden="false" customHeight="true" outlineLevel="0" collapsed="false">
      <c r="A248" s="5" t="s">
        <v>944</v>
      </c>
      <c r="B248" s="5" t="s">
        <v>945</v>
      </c>
      <c r="C248" s="5" t="s">
        <v>431</v>
      </c>
      <c r="D248" s="5" t="n">
        <v>612</v>
      </c>
      <c r="E248" s="5" t="n">
        <v>13</v>
      </c>
      <c r="F248" s="5" t="n">
        <v>12</v>
      </c>
      <c r="G248" s="5" t="n">
        <v>3181</v>
      </c>
    </row>
    <row r="249" customFormat="false" ht="15" hidden="false" customHeight="true" outlineLevel="0" collapsed="false">
      <c r="A249" s="5" t="s">
        <v>946</v>
      </c>
      <c r="B249" s="5" t="s">
        <v>947</v>
      </c>
      <c r="C249" s="5" t="s">
        <v>431</v>
      </c>
      <c r="D249" s="5" t="n">
        <v>388.3</v>
      </c>
      <c r="E249" s="5" t="n">
        <v>8</v>
      </c>
      <c r="F249" s="5" t="n">
        <v>1</v>
      </c>
      <c r="G249" s="5" t="n">
        <v>5859</v>
      </c>
    </row>
    <row r="250" customFormat="false" ht="15" hidden="false" customHeight="true" outlineLevel="0" collapsed="false">
      <c r="A250" s="5" t="s">
        <v>938</v>
      </c>
      <c r="B250" s="5" t="s">
        <v>939</v>
      </c>
      <c r="C250" s="5" t="s">
        <v>431</v>
      </c>
      <c r="D250" s="5" t="n">
        <v>536.6</v>
      </c>
      <c r="E250" s="5" t="n">
        <v>17</v>
      </c>
      <c r="F250" s="5" t="n">
        <v>9</v>
      </c>
      <c r="G250" s="5" t="n">
        <v>10364</v>
      </c>
    </row>
    <row r="251" customFormat="false" ht="15" hidden="false" customHeight="true" outlineLevel="0" collapsed="false">
      <c r="A251" s="5" t="s">
        <v>927</v>
      </c>
      <c r="B251" s="5" t="s">
        <v>928</v>
      </c>
      <c r="C251" s="5" t="s">
        <v>431</v>
      </c>
      <c r="D251" s="5" t="n">
        <v>465.2</v>
      </c>
      <c r="E251" s="5" t="n">
        <v>14</v>
      </c>
      <c r="F251" s="5" t="n">
        <v>6</v>
      </c>
      <c r="G251" s="5" t="n">
        <v>6434</v>
      </c>
    </row>
    <row r="252" customFormat="false" ht="15" hidden="false" customHeight="true" outlineLevel="0" collapsed="false">
      <c r="A252" s="5" t="s">
        <v>920</v>
      </c>
      <c r="B252" s="5" t="s">
        <v>919</v>
      </c>
      <c r="C252" s="5" t="s">
        <v>431</v>
      </c>
      <c r="D252" s="5" t="n">
        <v>302.8</v>
      </c>
      <c r="E252" s="5" t="n">
        <v>13</v>
      </c>
      <c r="F252" s="5" t="n">
        <v>11</v>
      </c>
      <c r="G252" s="5" t="n">
        <v>11595</v>
      </c>
    </row>
    <row r="253" customFormat="false" ht="15" hidden="false" customHeight="true" outlineLevel="0" collapsed="false">
      <c r="A253" s="5" t="s">
        <v>960</v>
      </c>
      <c r="B253" s="5" t="s">
        <v>961</v>
      </c>
      <c r="C253" s="5" t="s">
        <v>431</v>
      </c>
      <c r="D253" s="5" t="n">
        <v>58.2</v>
      </c>
      <c r="E253" s="5" t="n">
        <v>13</v>
      </c>
      <c r="F253" s="5" t="n">
        <v>2</v>
      </c>
      <c r="G253" s="5" t="n">
        <v>7201</v>
      </c>
    </row>
    <row r="254" customFormat="false" ht="15" hidden="false" customHeight="true" outlineLevel="0" collapsed="false">
      <c r="A254" s="5" t="s">
        <v>950</v>
      </c>
      <c r="B254" s="5" t="s">
        <v>951</v>
      </c>
      <c r="C254" s="5" t="s">
        <v>431</v>
      </c>
      <c r="D254" s="5" t="n">
        <v>89</v>
      </c>
      <c r="E254" s="5" t="n">
        <v>15</v>
      </c>
      <c r="F254" s="5" t="n">
        <v>5</v>
      </c>
      <c r="G254" s="5" t="n">
        <v>5928</v>
      </c>
    </row>
    <row r="255" customFormat="false" ht="15" hidden="false" customHeight="true" outlineLevel="0" collapsed="false">
      <c r="A255" s="5" t="s">
        <v>948</v>
      </c>
      <c r="B255" s="5" t="s">
        <v>949</v>
      </c>
      <c r="C255" s="5" t="s">
        <v>431</v>
      </c>
      <c r="D255" s="5" t="n">
        <v>548.3</v>
      </c>
      <c r="E255" s="5" t="n">
        <v>7</v>
      </c>
      <c r="F255" s="5" t="n">
        <v>6</v>
      </c>
      <c r="G255" s="5" t="n">
        <v>3135</v>
      </c>
    </row>
    <row r="256" customFormat="false" ht="15" hidden="false" customHeight="true" outlineLevel="0" collapsed="false">
      <c r="A256" s="5" t="s">
        <v>918</v>
      </c>
      <c r="B256" s="5" t="s">
        <v>919</v>
      </c>
      <c r="C256" s="5" t="s">
        <v>431</v>
      </c>
      <c r="D256" s="5" t="n">
        <v>445.4</v>
      </c>
      <c r="E256" s="5" t="n">
        <v>7</v>
      </c>
      <c r="F256" s="5" t="n">
        <v>6</v>
      </c>
      <c r="G256" s="5" t="n">
        <v>6882</v>
      </c>
    </row>
    <row r="257" customFormat="false" ht="15" hidden="false" customHeight="true" outlineLevel="0" collapsed="false">
      <c r="A257" s="5" t="s">
        <v>921</v>
      </c>
      <c r="B257" s="5" t="s">
        <v>922</v>
      </c>
      <c r="C257" s="5" t="s">
        <v>431</v>
      </c>
      <c r="D257" s="5" t="n">
        <v>726.4</v>
      </c>
      <c r="E257" s="5" t="n">
        <v>15</v>
      </c>
      <c r="F257" s="5" t="n">
        <v>3</v>
      </c>
      <c r="G257" s="5" t="n">
        <v>11549</v>
      </c>
    </row>
    <row r="258" customFormat="false" ht="15" hidden="false" customHeight="true" outlineLevel="0" collapsed="false">
      <c r="A258" s="5" t="s">
        <v>958</v>
      </c>
      <c r="B258" s="5" t="s">
        <v>959</v>
      </c>
      <c r="C258" s="5" t="s">
        <v>431</v>
      </c>
      <c r="D258" s="5" t="n">
        <v>537.4</v>
      </c>
      <c r="E258" s="5" t="n">
        <v>5</v>
      </c>
      <c r="F258" s="5" t="n">
        <v>5</v>
      </c>
      <c r="G258" s="5" t="n">
        <v>10957</v>
      </c>
    </row>
    <row r="259" customFormat="false" ht="15" hidden="false" customHeight="true" outlineLevel="0" collapsed="false">
      <c r="A259" s="5" t="s">
        <v>956</v>
      </c>
      <c r="B259" s="5" t="s">
        <v>957</v>
      </c>
      <c r="C259" s="5" t="s">
        <v>431</v>
      </c>
      <c r="D259" s="5" t="n">
        <v>295</v>
      </c>
      <c r="E259" s="5" t="n">
        <v>13</v>
      </c>
      <c r="F259" s="5" t="n">
        <v>14</v>
      </c>
      <c r="G259" s="5" t="n">
        <v>3893</v>
      </c>
    </row>
    <row r="260" customFormat="false" ht="15" hidden="false" customHeight="true" outlineLevel="0" collapsed="false">
      <c r="A260" s="5" t="s">
        <v>942</v>
      </c>
      <c r="B260" s="5" t="s">
        <v>943</v>
      </c>
      <c r="C260" s="5" t="s">
        <v>431</v>
      </c>
      <c r="D260" s="5" t="n">
        <v>509.2</v>
      </c>
      <c r="E260" s="5" t="n">
        <v>19</v>
      </c>
      <c r="F260" s="5" t="n">
        <v>2</v>
      </c>
      <c r="G260" s="5" t="n">
        <v>8737</v>
      </c>
    </row>
    <row r="261" customFormat="false" ht="15" hidden="false" customHeight="true" outlineLevel="0" collapsed="false">
      <c r="A261" s="5" t="s">
        <v>935</v>
      </c>
      <c r="B261" s="5" t="s">
        <v>930</v>
      </c>
      <c r="C261" s="5" t="s">
        <v>431</v>
      </c>
      <c r="D261" s="5" t="n">
        <v>391.2</v>
      </c>
      <c r="E261" s="5" t="n">
        <v>3</v>
      </c>
      <c r="F261" s="5" t="n">
        <v>6</v>
      </c>
      <c r="G261" s="5" t="n">
        <v>6860</v>
      </c>
    </row>
    <row r="262" customFormat="false" ht="15" hidden="false" customHeight="true" outlineLevel="0" collapsed="false">
      <c r="A262" s="5" t="s">
        <v>931</v>
      </c>
      <c r="B262" s="5" t="s">
        <v>932</v>
      </c>
      <c r="C262" s="5" t="s">
        <v>431</v>
      </c>
      <c r="D262" s="5" t="n">
        <v>151.6</v>
      </c>
      <c r="E262" s="5" t="n">
        <v>9</v>
      </c>
      <c r="F262" s="5" t="n">
        <v>6</v>
      </c>
      <c r="G262" s="5" t="n">
        <v>9767</v>
      </c>
    </row>
    <row r="263" customFormat="false" ht="15" hidden="false" customHeight="true" outlineLevel="0" collapsed="false">
      <c r="A263" s="5" t="s">
        <v>962</v>
      </c>
      <c r="B263" s="5" t="s">
        <v>962</v>
      </c>
      <c r="C263" s="5" t="s">
        <v>431</v>
      </c>
      <c r="D263" s="5" t="n">
        <v>160.2</v>
      </c>
      <c r="E263" s="5" t="n">
        <v>7</v>
      </c>
      <c r="F263" s="5" t="n">
        <v>3</v>
      </c>
      <c r="G263" s="5" t="n">
        <v>3064</v>
      </c>
    </row>
    <row r="264" customFormat="false" ht="15" hidden="false" customHeight="true" outlineLevel="0" collapsed="false">
      <c r="A264" s="5" t="s">
        <v>940</v>
      </c>
      <c r="B264" s="5" t="s">
        <v>941</v>
      </c>
      <c r="C264" s="5" t="s">
        <v>431</v>
      </c>
      <c r="D264" s="5" t="n">
        <v>235.9</v>
      </c>
      <c r="E264" s="5" t="n">
        <v>6</v>
      </c>
      <c r="F264" s="5" t="n">
        <v>9</v>
      </c>
      <c r="G264" s="5" t="n">
        <v>10643</v>
      </c>
    </row>
    <row r="265" customFormat="false" ht="15" hidden="false" customHeight="true" outlineLevel="0" collapsed="false">
      <c r="A265" s="5" t="s">
        <v>925</v>
      </c>
      <c r="B265" s="5" t="s">
        <v>926</v>
      </c>
      <c r="C265" s="5" t="s">
        <v>431</v>
      </c>
      <c r="D265" s="5" t="n">
        <v>629.6</v>
      </c>
      <c r="E265" s="5" t="n">
        <v>19</v>
      </c>
      <c r="F265" s="5" t="n">
        <v>1</v>
      </c>
      <c r="G265" s="5" t="n">
        <v>7317</v>
      </c>
    </row>
    <row r="266" customFormat="false" ht="15" hidden="false" customHeight="true" outlineLevel="0" collapsed="false">
      <c r="A266" s="5" t="s">
        <v>936</v>
      </c>
      <c r="B266" s="5" t="s">
        <v>937</v>
      </c>
      <c r="C266" s="5" t="s">
        <v>468</v>
      </c>
      <c r="D266" s="5" t="n">
        <v>659.8</v>
      </c>
      <c r="E266" s="5" t="n">
        <v>7</v>
      </c>
      <c r="F266" s="5" t="n">
        <v>10</v>
      </c>
      <c r="G266" s="5" t="n">
        <v>7972</v>
      </c>
    </row>
    <row r="267" customFormat="false" ht="15" hidden="false" customHeight="true" outlineLevel="0" collapsed="false">
      <c r="A267" s="5" t="s">
        <v>933</v>
      </c>
      <c r="B267" s="5" t="s">
        <v>934</v>
      </c>
      <c r="C267" s="5" t="s">
        <v>468</v>
      </c>
      <c r="D267" s="5" t="n">
        <v>132.6</v>
      </c>
      <c r="E267" s="5" t="n">
        <v>8</v>
      </c>
      <c r="F267" s="5" t="n">
        <v>14</v>
      </c>
      <c r="G267" s="5" t="n">
        <v>4512</v>
      </c>
    </row>
    <row r="268" customFormat="false" ht="15" hidden="false" customHeight="true" outlineLevel="0" collapsed="false">
      <c r="A268" s="5" t="s">
        <v>952</v>
      </c>
      <c r="B268" s="5" t="s">
        <v>953</v>
      </c>
      <c r="C268" s="5" t="s">
        <v>468</v>
      </c>
      <c r="D268" s="5" t="n">
        <v>546.5</v>
      </c>
      <c r="E268" s="5" t="n">
        <v>4</v>
      </c>
      <c r="F268" s="5" t="n">
        <v>7</v>
      </c>
      <c r="G268" s="5" t="n">
        <v>7768</v>
      </c>
    </row>
    <row r="269" customFormat="false" ht="15" hidden="false" customHeight="true" outlineLevel="0" collapsed="false">
      <c r="A269" s="5" t="s">
        <v>954</v>
      </c>
      <c r="B269" s="5" t="s">
        <v>955</v>
      </c>
      <c r="C269" s="5" t="s">
        <v>468</v>
      </c>
      <c r="D269" s="5" t="n">
        <v>513.7</v>
      </c>
      <c r="E269" s="5" t="n">
        <v>10</v>
      </c>
      <c r="F269" s="5" t="n">
        <v>8</v>
      </c>
      <c r="G269" s="5" t="n">
        <v>11803</v>
      </c>
    </row>
    <row r="270" customFormat="false" ht="15" hidden="false" customHeight="true" outlineLevel="0" collapsed="false">
      <c r="A270" s="5" t="s">
        <v>923</v>
      </c>
      <c r="B270" s="5" t="s">
        <v>924</v>
      </c>
      <c r="C270" s="5" t="s">
        <v>468</v>
      </c>
      <c r="D270" s="5" t="n">
        <v>228</v>
      </c>
      <c r="E270" s="5" t="n">
        <v>17</v>
      </c>
      <c r="F270" s="5" t="n">
        <v>4</v>
      </c>
      <c r="G270" s="5" t="n">
        <v>10549</v>
      </c>
    </row>
    <row r="271" customFormat="false" ht="15" hidden="false" customHeight="true" outlineLevel="0" collapsed="false">
      <c r="A271" s="5" t="s">
        <v>929</v>
      </c>
      <c r="B271" s="5" t="s">
        <v>930</v>
      </c>
      <c r="C271" s="5" t="s">
        <v>468</v>
      </c>
      <c r="D271" s="5" t="n">
        <v>194.6</v>
      </c>
      <c r="E271" s="5" t="n">
        <v>18</v>
      </c>
      <c r="F271" s="5" t="n">
        <v>14</v>
      </c>
      <c r="G271" s="5" t="n">
        <v>4978</v>
      </c>
    </row>
    <row r="272" customFormat="false" ht="15" hidden="false" customHeight="true" outlineLevel="0" collapsed="false">
      <c r="A272" s="5" t="s">
        <v>944</v>
      </c>
      <c r="B272" s="5" t="s">
        <v>945</v>
      </c>
      <c r="C272" s="5" t="s">
        <v>468</v>
      </c>
      <c r="D272" s="5" t="n">
        <v>288.5</v>
      </c>
      <c r="E272" s="5" t="n">
        <v>17</v>
      </c>
      <c r="F272" s="5" t="n">
        <v>8</v>
      </c>
      <c r="G272" s="5" t="n">
        <v>6416</v>
      </c>
    </row>
    <row r="273" customFormat="false" ht="15" hidden="false" customHeight="true" outlineLevel="0" collapsed="false">
      <c r="A273" s="5" t="s">
        <v>946</v>
      </c>
      <c r="B273" s="5" t="s">
        <v>947</v>
      </c>
      <c r="C273" s="5" t="s">
        <v>468</v>
      </c>
      <c r="D273" s="5" t="n">
        <v>588</v>
      </c>
      <c r="E273" s="5" t="n">
        <v>19</v>
      </c>
      <c r="F273" s="5" t="n">
        <v>9</v>
      </c>
      <c r="G273" s="5" t="n">
        <v>8659</v>
      </c>
    </row>
    <row r="274" customFormat="false" ht="15" hidden="false" customHeight="true" outlineLevel="0" collapsed="false">
      <c r="A274" s="5" t="s">
        <v>938</v>
      </c>
      <c r="B274" s="5" t="s">
        <v>939</v>
      </c>
      <c r="C274" s="5" t="s">
        <v>468</v>
      </c>
      <c r="D274" s="5" t="n">
        <v>725.4</v>
      </c>
      <c r="E274" s="5" t="n">
        <v>9</v>
      </c>
      <c r="F274" s="5" t="n">
        <v>13</v>
      </c>
      <c r="G274" s="5" t="n">
        <v>11706</v>
      </c>
    </row>
    <row r="275" customFormat="false" ht="15" hidden="false" customHeight="true" outlineLevel="0" collapsed="false">
      <c r="A275" s="5" t="s">
        <v>927</v>
      </c>
      <c r="B275" s="5" t="s">
        <v>928</v>
      </c>
      <c r="C275" s="5" t="s">
        <v>468</v>
      </c>
      <c r="D275" s="5" t="n">
        <v>121</v>
      </c>
      <c r="E275" s="5" t="n">
        <v>11</v>
      </c>
      <c r="F275" s="5" t="n">
        <v>1</v>
      </c>
      <c r="G275" s="5" t="n">
        <v>9673</v>
      </c>
    </row>
    <row r="276" customFormat="false" ht="15" hidden="false" customHeight="true" outlineLevel="0" collapsed="false">
      <c r="A276" s="5" t="s">
        <v>920</v>
      </c>
      <c r="B276" s="5" t="s">
        <v>919</v>
      </c>
      <c r="C276" s="5" t="s">
        <v>468</v>
      </c>
      <c r="D276" s="5" t="n">
        <v>658.1</v>
      </c>
      <c r="E276" s="5" t="n">
        <v>20</v>
      </c>
      <c r="F276" s="5" t="n">
        <v>2</v>
      </c>
      <c r="G276" s="5" t="n">
        <v>10252</v>
      </c>
    </row>
    <row r="277" customFormat="false" ht="15" hidden="false" customHeight="true" outlineLevel="0" collapsed="false">
      <c r="A277" s="5" t="s">
        <v>960</v>
      </c>
      <c r="B277" s="5" t="s">
        <v>961</v>
      </c>
      <c r="C277" s="5" t="s">
        <v>468</v>
      </c>
      <c r="D277" s="5" t="n">
        <v>641.4</v>
      </c>
      <c r="E277" s="5" t="n">
        <v>12</v>
      </c>
      <c r="F277" s="5" t="n">
        <v>2</v>
      </c>
      <c r="G277" s="5" t="n">
        <v>4426</v>
      </c>
    </row>
    <row r="278" customFormat="false" ht="15" hidden="false" customHeight="true" outlineLevel="0" collapsed="false">
      <c r="A278" s="5" t="s">
        <v>950</v>
      </c>
      <c r="B278" s="5" t="s">
        <v>951</v>
      </c>
      <c r="C278" s="5" t="s">
        <v>468</v>
      </c>
      <c r="D278" s="5" t="n">
        <v>219.1</v>
      </c>
      <c r="E278" s="5" t="n">
        <v>19</v>
      </c>
      <c r="F278" s="5" t="n">
        <v>3</v>
      </c>
      <c r="G278" s="5" t="n">
        <v>8967</v>
      </c>
    </row>
    <row r="279" customFormat="false" ht="15" hidden="false" customHeight="true" outlineLevel="0" collapsed="false">
      <c r="A279" s="5" t="s">
        <v>948</v>
      </c>
      <c r="B279" s="5" t="s">
        <v>949</v>
      </c>
      <c r="C279" s="5" t="s">
        <v>468</v>
      </c>
      <c r="D279" s="5" t="n">
        <v>87</v>
      </c>
      <c r="E279" s="5" t="n">
        <v>10</v>
      </c>
      <c r="F279" s="5" t="n">
        <v>14</v>
      </c>
      <c r="G279" s="5" t="n">
        <v>9191</v>
      </c>
    </row>
    <row r="280" customFormat="false" ht="15" hidden="false" customHeight="true" outlineLevel="0" collapsed="false">
      <c r="A280" s="5" t="s">
        <v>918</v>
      </c>
      <c r="B280" s="5" t="s">
        <v>919</v>
      </c>
      <c r="C280" s="5" t="s">
        <v>468</v>
      </c>
      <c r="D280" s="5" t="n">
        <v>665.8</v>
      </c>
      <c r="E280" s="5" t="n">
        <v>3</v>
      </c>
      <c r="F280" s="5" t="n">
        <v>7</v>
      </c>
      <c r="G280" s="5" t="n">
        <v>2672</v>
      </c>
    </row>
    <row r="281" customFormat="false" ht="15" hidden="false" customHeight="true" outlineLevel="0" collapsed="false">
      <c r="A281" s="5" t="s">
        <v>921</v>
      </c>
      <c r="B281" s="5" t="s">
        <v>922</v>
      </c>
      <c r="C281" s="5" t="s">
        <v>468</v>
      </c>
      <c r="D281" s="5" t="n">
        <v>309.4</v>
      </c>
      <c r="E281" s="5" t="n">
        <v>14</v>
      </c>
      <c r="F281" s="5" t="n">
        <v>4</v>
      </c>
      <c r="G281" s="5" t="n">
        <v>8126</v>
      </c>
    </row>
    <row r="282" customFormat="false" ht="15" hidden="false" customHeight="true" outlineLevel="0" collapsed="false">
      <c r="A282" s="5" t="s">
        <v>958</v>
      </c>
      <c r="B282" s="5" t="s">
        <v>959</v>
      </c>
      <c r="C282" s="5" t="s">
        <v>468</v>
      </c>
      <c r="D282" s="5" t="n">
        <v>746</v>
      </c>
      <c r="E282" s="5" t="n">
        <v>14</v>
      </c>
      <c r="F282" s="5" t="n">
        <v>4</v>
      </c>
      <c r="G282" s="5" t="n">
        <v>2261</v>
      </c>
    </row>
    <row r="283" customFormat="false" ht="15" hidden="false" customHeight="true" outlineLevel="0" collapsed="false">
      <c r="A283" s="5" t="s">
        <v>956</v>
      </c>
      <c r="B283" s="5" t="s">
        <v>957</v>
      </c>
      <c r="C283" s="5" t="s">
        <v>468</v>
      </c>
      <c r="D283" s="5" t="n">
        <v>252.6</v>
      </c>
      <c r="E283" s="5" t="n">
        <v>6</v>
      </c>
      <c r="F283" s="5" t="n">
        <v>14</v>
      </c>
      <c r="G283" s="5" t="n">
        <v>7293</v>
      </c>
    </row>
    <row r="284" customFormat="false" ht="15" hidden="false" customHeight="true" outlineLevel="0" collapsed="false">
      <c r="A284" s="5" t="s">
        <v>942</v>
      </c>
      <c r="B284" s="5" t="s">
        <v>943</v>
      </c>
      <c r="C284" s="5" t="s">
        <v>468</v>
      </c>
      <c r="D284" s="5" t="n">
        <v>597.7</v>
      </c>
      <c r="E284" s="5" t="n">
        <v>7</v>
      </c>
      <c r="F284" s="5" t="n">
        <v>1</v>
      </c>
      <c r="G284" s="5" t="n">
        <v>6500</v>
      </c>
    </row>
    <row r="285" customFormat="false" ht="15" hidden="false" customHeight="true" outlineLevel="0" collapsed="false">
      <c r="A285" s="5" t="s">
        <v>935</v>
      </c>
      <c r="B285" s="5" t="s">
        <v>930</v>
      </c>
      <c r="C285" s="5" t="s">
        <v>468</v>
      </c>
      <c r="D285" s="5" t="n">
        <v>689.7</v>
      </c>
      <c r="E285" s="5" t="n">
        <v>18</v>
      </c>
      <c r="F285" s="5" t="n">
        <v>12</v>
      </c>
      <c r="G285" s="5" t="n">
        <v>4073</v>
      </c>
    </row>
    <row r="286" customFormat="false" ht="15" hidden="false" customHeight="true" outlineLevel="0" collapsed="false">
      <c r="A286" s="5" t="s">
        <v>931</v>
      </c>
      <c r="B286" s="5" t="s">
        <v>932</v>
      </c>
      <c r="C286" s="5" t="s">
        <v>468</v>
      </c>
      <c r="D286" s="5" t="n">
        <v>574</v>
      </c>
      <c r="E286" s="5" t="n">
        <v>18</v>
      </c>
      <c r="F286" s="5" t="n">
        <v>8</v>
      </c>
      <c r="G286" s="5" t="n">
        <v>11881</v>
      </c>
    </row>
    <row r="287" customFormat="false" ht="15" hidden="false" customHeight="true" outlineLevel="0" collapsed="false">
      <c r="A287" s="5" t="s">
        <v>962</v>
      </c>
      <c r="B287" s="5" t="s">
        <v>962</v>
      </c>
      <c r="C287" s="5" t="s">
        <v>468</v>
      </c>
      <c r="D287" s="5" t="n">
        <v>23.8</v>
      </c>
      <c r="E287" s="5" t="n">
        <v>5</v>
      </c>
      <c r="F287" s="5" t="n">
        <v>1</v>
      </c>
      <c r="G287" s="5" t="n">
        <v>5993</v>
      </c>
    </row>
    <row r="288" customFormat="false" ht="15" hidden="false" customHeight="true" outlineLevel="0" collapsed="false">
      <c r="A288" s="5" t="s">
        <v>940</v>
      </c>
      <c r="B288" s="5" t="s">
        <v>941</v>
      </c>
      <c r="C288" s="5" t="s">
        <v>468</v>
      </c>
      <c r="D288" s="5" t="n">
        <v>177.4</v>
      </c>
      <c r="E288" s="5" t="n">
        <v>7</v>
      </c>
      <c r="F288" s="5" t="n">
        <v>9</v>
      </c>
      <c r="G288" s="5" t="n">
        <v>11775</v>
      </c>
    </row>
    <row r="289" customFormat="false" ht="15" hidden="false" customHeight="true" outlineLevel="0" collapsed="false">
      <c r="A289" s="5" t="s">
        <v>925</v>
      </c>
      <c r="B289" s="5" t="s">
        <v>926</v>
      </c>
      <c r="C289" s="5" t="s">
        <v>468</v>
      </c>
      <c r="D289" s="5" t="n">
        <v>405.3</v>
      </c>
      <c r="E289" s="5" t="n">
        <v>6</v>
      </c>
      <c r="F289" s="5" t="n">
        <v>13</v>
      </c>
      <c r="G289" s="5" t="n">
        <v>6520</v>
      </c>
    </row>
    <row r="290" customFormat="false" ht="15" hidden="false" customHeight="true" outlineLevel="0" collapsed="false">
      <c r="A290" s="5" t="s">
        <v>936</v>
      </c>
      <c r="B290" s="5" t="s">
        <v>937</v>
      </c>
      <c r="C290" s="5" t="s">
        <v>505</v>
      </c>
      <c r="D290" s="5" t="n">
        <v>193.5</v>
      </c>
      <c r="E290" s="5" t="n">
        <v>6</v>
      </c>
      <c r="F290" s="5" t="n">
        <v>1</v>
      </c>
      <c r="G290" s="5" t="n">
        <v>5706</v>
      </c>
    </row>
    <row r="291" customFormat="false" ht="15" hidden="false" customHeight="true" outlineLevel="0" collapsed="false">
      <c r="A291" s="5" t="s">
        <v>933</v>
      </c>
      <c r="B291" s="5" t="s">
        <v>934</v>
      </c>
      <c r="C291" s="5" t="s">
        <v>505</v>
      </c>
      <c r="D291" s="5" t="n">
        <v>326.5</v>
      </c>
      <c r="E291" s="5" t="n">
        <v>17</v>
      </c>
      <c r="F291" s="5" t="n">
        <v>2</v>
      </c>
      <c r="G291" s="5" t="n">
        <v>3616</v>
      </c>
    </row>
    <row r="292" customFormat="false" ht="15" hidden="false" customHeight="true" outlineLevel="0" collapsed="false">
      <c r="A292" s="5" t="s">
        <v>952</v>
      </c>
      <c r="B292" s="5" t="s">
        <v>953</v>
      </c>
      <c r="C292" s="5" t="s">
        <v>505</v>
      </c>
      <c r="D292" s="5" t="n">
        <v>630.8</v>
      </c>
      <c r="E292" s="5" t="n">
        <v>18</v>
      </c>
      <c r="F292" s="5" t="n">
        <v>10</v>
      </c>
      <c r="G292" s="5" t="n">
        <v>10582</v>
      </c>
    </row>
    <row r="293" customFormat="false" ht="15" hidden="false" customHeight="true" outlineLevel="0" collapsed="false">
      <c r="A293" s="5" t="s">
        <v>954</v>
      </c>
      <c r="B293" s="5" t="s">
        <v>955</v>
      </c>
      <c r="C293" s="5" t="s">
        <v>505</v>
      </c>
      <c r="D293" s="5" t="n">
        <v>32</v>
      </c>
      <c r="E293" s="5" t="n">
        <v>19</v>
      </c>
      <c r="F293" s="5" t="n">
        <v>10</v>
      </c>
      <c r="G293" s="5" t="n">
        <v>5763</v>
      </c>
    </row>
    <row r="294" customFormat="false" ht="15" hidden="false" customHeight="true" outlineLevel="0" collapsed="false">
      <c r="A294" s="5" t="s">
        <v>923</v>
      </c>
      <c r="B294" s="5" t="s">
        <v>924</v>
      </c>
      <c r="C294" s="5" t="s">
        <v>505</v>
      </c>
      <c r="D294" s="5" t="n">
        <v>544.5</v>
      </c>
      <c r="E294" s="5" t="n">
        <v>12</v>
      </c>
      <c r="F294" s="5" t="n">
        <v>7</v>
      </c>
      <c r="G294" s="5" t="n">
        <v>1825</v>
      </c>
    </row>
    <row r="295" customFormat="false" ht="15" hidden="false" customHeight="true" outlineLevel="0" collapsed="false">
      <c r="A295" s="5" t="s">
        <v>929</v>
      </c>
      <c r="B295" s="5" t="s">
        <v>930</v>
      </c>
      <c r="C295" s="5" t="s">
        <v>505</v>
      </c>
      <c r="D295" s="5" t="n">
        <v>468.8</v>
      </c>
      <c r="E295" s="5" t="n">
        <v>10</v>
      </c>
      <c r="F295" s="5" t="n">
        <v>10</v>
      </c>
      <c r="G295" s="5" t="n">
        <v>8625</v>
      </c>
    </row>
    <row r="296" customFormat="false" ht="15" hidden="false" customHeight="true" outlineLevel="0" collapsed="false">
      <c r="A296" s="5" t="s">
        <v>944</v>
      </c>
      <c r="B296" s="5" t="s">
        <v>945</v>
      </c>
      <c r="C296" s="5" t="s">
        <v>505</v>
      </c>
      <c r="D296" s="5" t="n">
        <v>156.7</v>
      </c>
      <c r="E296" s="5" t="n">
        <v>5</v>
      </c>
      <c r="F296" s="5" t="n">
        <v>9</v>
      </c>
      <c r="G296" s="5" t="n">
        <v>7708</v>
      </c>
    </row>
    <row r="297" customFormat="false" ht="15" hidden="false" customHeight="true" outlineLevel="0" collapsed="false">
      <c r="A297" s="5" t="s">
        <v>946</v>
      </c>
      <c r="B297" s="5" t="s">
        <v>947</v>
      </c>
      <c r="C297" s="5" t="s">
        <v>505</v>
      </c>
      <c r="D297" s="5" t="n">
        <v>69.4</v>
      </c>
      <c r="E297" s="5" t="n">
        <v>19</v>
      </c>
      <c r="F297" s="5" t="n">
        <v>9</v>
      </c>
      <c r="G297" s="5" t="n">
        <v>10112</v>
      </c>
    </row>
    <row r="298" customFormat="false" ht="15" hidden="false" customHeight="true" outlineLevel="0" collapsed="false">
      <c r="A298" s="5" t="s">
        <v>938</v>
      </c>
      <c r="B298" s="5" t="s">
        <v>939</v>
      </c>
      <c r="C298" s="5" t="s">
        <v>505</v>
      </c>
      <c r="D298" s="5" t="n">
        <v>594.1</v>
      </c>
      <c r="E298" s="5" t="n">
        <v>19</v>
      </c>
      <c r="F298" s="5" t="n">
        <v>9</v>
      </c>
      <c r="G298" s="5" t="n">
        <v>2133</v>
      </c>
    </row>
    <row r="299" customFormat="false" ht="15" hidden="false" customHeight="true" outlineLevel="0" collapsed="false">
      <c r="A299" s="5" t="s">
        <v>927</v>
      </c>
      <c r="B299" s="5" t="s">
        <v>928</v>
      </c>
      <c r="C299" s="5" t="s">
        <v>505</v>
      </c>
      <c r="D299" s="5" t="n">
        <v>305</v>
      </c>
      <c r="E299" s="5" t="n">
        <v>18</v>
      </c>
      <c r="F299" s="5" t="n">
        <v>1</v>
      </c>
      <c r="G299" s="5" t="n">
        <v>8138</v>
      </c>
    </row>
    <row r="300" customFormat="false" ht="15" hidden="false" customHeight="true" outlineLevel="0" collapsed="false">
      <c r="A300" s="5" t="s">
        <v>920</v>
      </c>
      <c r="B300" s="5" t="s">
        <v>919</v>
      </c>
      <c r="C300" s="5" t="s">
        <v>505</v>
      </c>
      <c r="D300" s="5" t="n">
        <v>736.2</v>
      </c>
      <c r="E300" s="5" t="n">
        <v>11</v>
      </c>
      <c r="F300" s="5" t="n">
        <v>12</v>
      </c>
      <c r="G300" s="5" t="n">
        <v>2066</v>
      </c>
    </row>
    <row r="301" customFormat="false" ht="15" hidden="false" customHeight="true" outlineLevel="0" collapsed="false">
      <c r="A301" s="5" t="s">
        <v>960</v>
      </c>
      <c r="B301" s="5" t="s">
        <v>961</v>
      </c>
      <c r="C301" s="5" t="s">
        <v>505</v>
      </c>
      <c r="D301" s="5" t="n">
        <v>280.7</v>
      </c>
      <c r="E301" s="5" t="n">
        <v>5</v>
      </c>
      <c r="F301" s="5" t="n">
        <v>6</v>
      </c>
      <c r="G301" s="5" t="n">
        <v>5750</v>
      </c>
    </row>
    <row r="302" customFormat="false" ht="15" hidden="false" customHeight="true" outlineLevel="0" collapsed="false">
      <c r="A302" s="5" t="s">
        <v>950</v>
      </c>
      <c r="B302" s="5" t="s">
        <v>951</v>
      </c>
      <c r="C302" s="5" t="s">
        <v>505</v>
      </c>
      <c r="D302" s="5" t="n">
        <v>555</v>
      </c>
      <c r="E302" s="5" t="n">
        <v>6</v>
      </c>
      <c r="F302" s="5" t="n">
        <v>13</v>
      </c>
      <c r="G302" s="5" t="n">
        <v>11333</v>
      </c>
    </row>
    <row r="303" customFormat="false" ht="15" hidden="false" customHeight="true" outlineLevel="0" collapsed="false">
      <c r="A303" s="5" t="s">
        <v>948</v>
      </c>
      <c r="B303" s="5" t="s">
        <v>949</v>
      </c>
      <c r="C303" s="5" t="s">
        <v>505</v>
      </c>
      <c r="D303" s="5" t="n">
        <v>556.7</v>
      </c>
      <c r="E303" s="5" t="n">
        <v>13</v>
      </c>
      <c r="F303" s="5" t="n">
        <v>3</v>
      </c>
      <c r="G303" s="5" t="n">
        <v>2526</v>
      </c>
    </row>
    <row r="304" customFormat="false" ht="15" hidden="false" customHeight="true" outlineLevel="0" collapsed="false">
      <c r="A304" s="5" t="s">
        <v>918</v>
      </c>
      <c r="B304" s="5" t="s">
        <v>919</v>
      </c>
      <c r="C304" s="5" t="s">
        <v>505</v>
      </c>
      <c r="D304" s="5" t="n">
        <v>277.2</v>
      </c>
      <c r="E304" s="5" t="n">
        <v>13</v>
      </c>
      <c r="F304" s="5" t="n">
        <v>14</v>
      </c>
      <c r="G304" s="5" t="n">
        <v>4668</v>
      </c>
    </row>
    <row r="305" customFormat="false" ht="15" hidden="false" customHeight="true" outlineLevel="0" collapsed="false">
      <c r="A305" s="5" t="s">
        <v>921</v>
      </c>
      <c r="B305" s="5" t="s">
        <v>922</v>
      </c>
      <c r="C305" s="5" t="s">
        <v>505</v>
      </c>
      <c r="D305" s="5" t="n">
        <v>626.2</v>
      </c>
      <c r="E305" s="5" t="n">
        <v>17</v>
      </c>
      <c r="F305" s="5" t="n">
        <v>12</v>
      </c>
      <c r="G305" s="5" t="n">
        <v>9640</v>
      </c>
    </row>
    <row r="306" customFormat="false" ht="15" hidden="false" customHeight="true" outlineLevel="0" collapsed="false">
      <c r="A306" s="5" t="s">
        <v>958</v>
      </c>
      <c r="B306" s="5" t="s">
        <v>959</v>
      </c>
      <c r="C306" s="5" t="s">
        <v>505</v>
      </c>
      <c r="D306" s="5" t="n">
        <v>481.2</v>
      </c>
      <c r="E306" s="5" t="n">
        <v>7</v>
      </c>
      <c r="F306" s="5" t="n">
        <v>2</v>
      </c>
      <c r="G306" s="5" t="n">
        <v>9298</v>
      </c>
    </row>
    <row r="307" customFormat="false" ht="15" hidden="false" customHeight="true" outlineLevel="0" collapsed="false">
      <c r="A307" s="5" t="s">
        <v>956</v>
      </c>
      <c r="B307" s="5" t="s">
        <v>957</v>
      </c>
      <c r="C307" s="5" t="s">
        <v>505</v>
      </c>
      <c r="D307" s="5" t="n">
        <v>47</v>
      </c>
      <c r="E307" s="5" t="n">
        <v>9</v>
      </c>
      <c r="F307" s="5" t="n">
        <v>1</v>
      </c>
      <c r="G307" s="5" t="n">
        <v>5068</v>
      </c>
    </row>
    <row r="308" customFormat="false" ht="15" hidden="false" customHeight="true" outlineLevel="0" collapsed="false">
      <c r="A308" s="5" t="s">
        <v>942</v>
      </c>
      <c r="B308" s="5" t="s">
        <v>943</v>
      </c>
      <c r="C308" s="5" t="s">
        <v>505</v>
      </c>
      <c r="D308" s="5" t="n">
        <v>666.6</v>
      </c>
      <c r="E308" s="5" t="n">
        <v>13</v>
      </c>
      <c r="F308" s="5" t="n">
        <v>5</v>
      </c>
      <c r="G308" s="5" t="n">
        <v>10244</v>
      </c>
    </row>
    <row r="309" customFormat="false" ht="15" hidden="false" customHeight="true" outlineLevel="0" collapsed="false">
      <c r="A309" s="5" t="s">
        <v>935</v>
      </c>
      <c r="B309" s="5" t="s">
        <v>930</v>
      </c>
      <c r="C309" s="5" t="s">
        <v>505</v>
      </c>
      <c r="D309" s="5" t="n">
        <v>310.7</v>
      </c>
      <c r="E309" s="5" t="n">
        <v>20</v>
      </c>
      <c r="F309" s="5" t="n">
        <v>8</v>
      </c>
      <c r="G309" s="5" t="n">
        <v>5950</v>
      </c>
    </row>
    <row r="310" customFormat="false" ht="15" hidden="false" customHeight="true" outlineLevel="0" collapsed="false">
      <c r="A310" s="5" t="s">
        <v>931</v>
      </c>
      <c r="B310" s="5" t="s">
        <v>932</v>
      </c>
      <c r="C310" s="5" t="s">
        <v>505</v>
      </c>
      <c r="D310" s="5" t="n">
        <v>46.7</v>
      </c>
      <c r="E310" s="5" t="n">
        <v>9</v>
      </c>
      <c r="F310" s="5" t="n">
        <v>5</v>
      </c>
      <c r="G310" s="5" t="n">
        <v>7648</v>
      </c>
    </row>
    <row r="311" customFormat="false" ht="15" hidden="false" customHeight="true" outlineLevel="0" collapsed="false">
      <c r="A311" s="5" t="s">
        <v>962</v>
      </c>
      <c r="B311" s="5" t="s">
        <v>962</v>
      </c>
      <c r="C311" s="5" t="s">
        <v>505</v>
      </c>
      <c r="D311" s="5" t="n">
        <v>649.4</v>
      </c>
      <c r="E311" s="5" t="n">
        <v>4</v>
      </c>
      <c r="F311" s="5" t="n">
        <v>14</v>
      </c>
      <c r="G311" s="5" t="n">
        <v>7238</v>
      </c>
    </row>
    <row r="312" customFormat="false" ht="15" hidden="false" customHeight="true" outlineLevel="0" collapsed="false">
      <c r="A312" s="5" t="s">
        <v>940</v>
      </c>
      <c r="B312" s="5" t="s">
        <v>941</v>
      </c>
      <c r="C312" s="5" t="s">
        <v>505</v>
      </c>
      <c r="D312" s="5" t="n">
        <v>219.4</v>
      </c>
      <c r="E312" s="5" t="n">
        <v>14</v>
      </c>
      <c r="F312" s="5" t="n">
        <v>7</v>
      </c>
      <c r="G312" s="5" t="n">
        <v>8353</v>
      </c>
    </row>
    <row r="313" customFormat="false" ht="15" hidden="false" customHeight="true" outlineLevel="0" collapsed="false">
      <c r="A313" s="5" t="s">
        <v>925</v>
      </c>
      <c r="B313" s="5" t="s">
        <v>926</v>
      </c>
      <c r="C313" s="5" t="s">
        <v>505</v>
      </c>
      <c r="D313" s="5" t="n">
        <v>562.6</v>
      </c>
      <c r="E313" s="5" t="n">
        <v>15</v>
      </c>
      <c r="F313" s="5" t="n">
        <v>6</v>
      </c>
      <c r="G313" s="5" t="n">
        <v>4860</v>
      </c>
    </row>
    <row r="314" customFormat="false" ht="15" hidden="false" customHeight="true" outlineLevel="0" collapsed="false">
      <c r="A314" s="5" t="s">
        <v>936</v>
      </c>
      <c r="B314" s="5" t="s">
        <v>937</v>
      </c>
      <c r="C314" s="5" t="s">
        <v>542</v>
      </c>
      <c r="D314" s="5" t="n">
        <v>382.2</v>
      </c>
      <c r="E314" s="5" t="n">
        <v>18</v>
      </c>
      <c r="F314" s="5" t="n">
        <v>6</v>
      </c>
      <c r="G314" s="5" t="n">
        <v>10307</v>
      </c>
    </row>
    <row r="315" customFormat="false" ht="15" hidden="false" customHeight="true" outlineLevel="0" collapsed="false">
      <c r="A315" s="5" t="s">
        <v>933</v>
      </c>
      <c r="B315" s="5" t="s">
        <v>934</v>
      </c>
      <c r="C315" s="5" t="s">
        <v>542</v>
      </c>
      <c r="D315" s="5" t="n">
        <v>214.7</v>
      </c>
      <c r="E315" s="5" t="n">
        <v>5</v>
      </c>
      <c r="F315" s="5" t="n">
        <v>12</v>
      </c>
      <c r="G315" s="5" t="n">
        <v>8755</v>
      </c>
    </row>
    <row r="316" customFormat="false" ht="15" hidden="false" customHeight="true" outlineLevel="0" collapsed="false">
      <c r="A316" s="5" t="s">
        <v>952</v>
      </c>
      <c r="B316" s="5" t="s">
        <v>953</v>
      </c>
      <c r="C316" s="5" t="s">
        <v>542</v>
      </c>
      <c r="D316" s="5" t="n">
        <v>77.6</v>
      </c>
      <c r="E316" s="5" t="n">
        <v>8</v>
      </c>
      <c r="F316" s="5" t="n">
        <v>9</v>
      </c>
      <c r="G316" s="5" t="n">
        <v>6613</v>
      </c>
    </row>
    <row r="317" customFormat="false" ht="15" hidden="false" customHeight="true" outlineLevel="0" collapsed="false">
      <c r="A317" s="5" t="s">
        <v>954</v>
      </c>
      <c r="B317" s="5" t="s">
        <v>955</v>
      </c>
      <c r="C317" s="5" t="s">
        <v>542</v>
      </c>
      <c r="D317" s="5" t="n">
        <v>254.5</v>
      </c>
      <c r="E317" s="5" t="n">
        <v>5</v>
      </c>
      <c r="F317" s="5" t="n">
        <v>6</v>
      </c>
      <c r="G317" s="5" t="n">
        <v>6643</v>
      </c>
    </row>
    <row r="318" customFormat="false" ht="15" hidden="false" customHeight="true" outlineLevel="0" collapsed="false">
      <c r="A318" s="5" t="s">
        <v>923</v>
      </c>
      <c r="B318" s="5" t="s">
        <v>924</v>
      </c>
      <c r="C318" s="5" t="s">
        <v>542</v>
      </c>
      <c r="D318" s="5" t="n">
        <v>243.7</v>
      </c>
      <c r="E318" s="5" t="n">
        <v>16</v>
      </c>
      <c r="F318" s="5" t="n">
        <v>3</v>
      </c>
      <c r="G318" s="5" t="n">
        <v>9072</v>
      </c>
    </row>
    <row r="319" customFormat="false" ht="15" hidden="false" customHeight="true" outlineLevel="0" collapsed="false">
      <c r="A319" s="5" t="s">
        <v>929</v>
      </c>
      <c r="B319" s="5" t="s">
        <v>930</v>
      </c>
      <c r="C319" s="5" t="s">
        <v>542</v>
      </c>
      <c r="D319" s="5" t="n">
        <v>276.6</v>
      </c>
      <c r="E319" s="5" t="n">
        <v>4</v>
      </c>
      <c r="F319" s="5" t="n">
        <v>12</v>
      </c>
      <c r="G319" s="5" t="n">
        <v>7576</v>
      </c>
    </row>
    <row r="320" customFormat="false" ht="15" hidden="false" customHeight="true" outlineLevel="0" collapsed="false">
      <c r="A320" s="5" t="s">
        <v>944</v>
      </c>
      <c r="B320" s="5" t="s">
        <v>945</v>
      </c>
      <c r="C320" s="5" t="s">
        <v>542</v>
      </c>
      <c r="D320" s="5" t="n">
        <v>468.8</v>
      </c>
      <c r="E320" s="5" t="n">
        <v>16</v>
      </c>
      <c r="F320" s="5" t="n">
        <v>5</v>
      </c>
      <c r="G320" s="5" t="n">
        <v>2739</v>
      </c>
    </row>
    <row r="321" customFormat="false" ht="15" hidden="false" customHeight="true" outlineLevel="0" collapsed="false">
      <c r="A321" s="5" t="s">
        <v>946</v>
      </c>
      <c r="B321" s="5" t="s">
        <v>947</v>
      </c>
      <c r="C321" s="5" t="s">
        <v>542</v>
      </c>
      <c r="D321" s="5" t="n">
        <v>74.8</v>
      </c>
      <c r="E321" s="5" t="n">
        <v>15</v>
      </c>
      <c r="F321" s="5" t="n">
        <v>6</v>
      </c>
      <c r="G321" s="5" t="n">
        <v>10206</v>
      </c>
    </row>
    <row r="322" customFormat="false" ht="15" hidden="false" customHeight="true" outlineLevel="0" collapsed="false">
      <c r="A322" s="5" t="s">
        <v>938</v>
      </c>
      <c r="B322" s="5" t="s">
        <v>939</v>
      </c>
      <c r="C322" s="5" t="s">
        <v>542</v>
      </c>
      <c r="D322" s="5" t="n">
        <v>604.8</v>
      </c>
      <c r="E322" s="5" t="n">
        <v>8</v>
      </c>
      <c r="F322" s="5" t="n">
        <v>1</v>
      </c>
      <c r="G322" s="5" t="n">
        <v>4139</v>
      </c>
    </row>
    <row r="323" customFormat="false" ht="15" hidden="false" customHeight="true" outlineLevel="0" collapsed="false">
      <c r="A323" s="5" t="s">
        <v>927</v>
      </c>
      <c r="B323" s="5" t="s">
        <v>928</v>
      </c>
      <c r="C323" s="5" t="s">
        <v>542</v>
      </c>
      <c r="D323" s="5" t="n">
        <v>639.5</v>
      </c>
      <c r="E323" s="5" t="n">
        <v>17</v>
      </c>
      <c r="F323" s="5" t="n">
        <v>1</v>
      </c>
      <c r="G323" s="5" t="n">
        <v>3868</v>
      </c>
    </row>
    <row r="324" customFormat="false" ht="15" hidden="false" customHeight="true" outlineLevel="0" collapsed="false">
      <c r="A324" s="5" t="s">
        <v>920</v>
      </c>
      <c r="B324" s="5" t="s">
        <v>919</v>
      </c>
      <c r="C324" s="5" t="s">
        <v>542</v>
      </c>
      <c r="D324" s="5" t="n">
        <v>69.1</v>
      </c>
      <c r="E324" s="5" t="n">
        <v>14</v>
      </c>
      <c r="F324" s="5" t="n">
        <v>6</v>
      </c>
      <c r="G324" s="5" t="n">
        <v>8072</v>
      </c>
    </row>
    <row r="325" customFormat="false" ht="15" hidden="false" customHeight="true" outlineLevel="0" collapsed="false">
      <c r="A325" s="5" t="s">
        <v>960</v>
      </c>
      <c r="B325" s="5" t="s">
        <v>961</v>
      </c>
      <c r="C325" s="5" t="s">
        <v>542</v>
      </c>
      <c r="D325" s="5" t="n">
        <v>713.1</v>
      </c>
      <c r="E325" s="5" t="n">
        <v>4</v>
      </c>
      <c r="F325" s="5" t="n">
        <v>10</v>
      </c>
      <c r="G325" s="5" t="n">
        <v>4313</v>
      </c>
    </row>
    <row r="326" customFormat="false" ht="15" hidden="false" customHeight="true" outlineLevel="0" collapsed="false">
      <c r="A326" s="5" t="s">
        <v>950</v>
      </c>
      <c r="B326" s="5" t="s">
        <v>951</v>
      </c>
      <c r="C326" s="5" t="s">
        <v>542</v>
      </c>
      <c r="D326" s="5" t="n">
        <v>515.7</v>
      </c>
      <c r="E326" s="5" t="n">
        <v>14</v>
      </c>
      <c r="F326" s="5" t="n">
        <v>6</v>
      </c>
      <c r="G326" s="5" t="n">
        <v>9073</v>
      </c>
    </row>
    <row r="327" customFormat="false" ht="15" hidden="false" customHeight="true" outlineLevel="0" collapsed="false">
      <c r="A327" s="5" t="s">
        <v>948</v>
      </c>
      <c r="B327" s="5" t="s">
        <v>949</v>
      </c>
      <c r="C327" s="5" t="s">
        <v>542</v>
      </c>
      <c r="D327" s="5" t="n">
        <v>577.1</v>
      </c>
      <c r="E327" s="5" t="n">
        <v>7</v>
      </c>
      <c r="F327" s="5" t="n">
        <v>9</v>
      </c>
      <c r="G327" s="5" t="n">
        <v>7812</v>
      </c>
    </row>
    <row r="328" customFormat="false" ht="15" hidden="false" customHeight="true" outlineLevel="0" collapsed="false">
      <c r="A328" s="5" t="s">
        <v>918</v>
      </c>
      <c r="B328" s="5" t="s">
        <v>919</v>
      </c>
      <c r="C328" s="5" t="s">
        <v>542</v>
      </c>
      <c r="D328" s="5" t="n">
        <v>310.6</v>
      </c>
      <c r="E328" s="5" t="n">
        <v>11</v>
      </c>
      <c r="F328" s="5" t="n">
        <v>4</v>
      </c>
      <c r="G328" s="5" t="n">
        <v>3658</v>
      </c>
    </row>
    <row r="329" customFormat="false" ht="15" hidden="false" customHeight="true" outlineLevel="0" collapsed="false">
      <c r="A329" s="5" t="s">
        <v>921</v>
      </c>
      <c r="B329" s="5" t="s">
        <v>922</v>
      </c>
      <c r="C329" s="5" t="s">
        <v>542</v>
      </c>
      <c r="D329" s="5" t="n">
        <v>38.9</v>
      </c>
      <c r="E329" s="5" t="n">
        <v>8</v>
      </c>
      <c r="F329" s="5" t="n">
        <v>8</v>
      </c>
      <c r="G329" s="5" t="n">
        <v>10282</v>
      </c>
    </row>
    <row r="330" customFormat="false" ht="15" hidden="false" customHeight="true" outlineLevel="0" collapsed="false">
      <c r="A330" s="5" t="s">
        <v>958</v>
      </c>
      <c r="B330" s="5" t="s">
        <v>959</v>
      </c>
      <c r="C330" s="5" t="s">
        <v>542</v>
      </c>
      <c r="D330" s="5" t="n">
        <v>302.5</v>
      </c>
      <c r="E330" s="5" t="n">
        <v>20</v>
      </c>
      <c r="F330" s="5" t="n">
        <v>2</v>
      </c>
      <c r="G330" s="5" t="n">
        <v>6088</v>
      </c>
    </row>
    <row r="331" customFormat="false" ht="15" hidden="false" customHeight="true" outlineLevel="0" collapsed="false">
      <c r="A331" s="5" t="s">
        <v>956</v>
      </c>
      <c r="B331" s="5" t="s">
        <v>957</v>
      </c>
      <c r="C331" s="5" t="s">
        <v>542</v>
      </c>
      <c r="D331" s="5" t="n">
        <v>585.7</v>
      </c>
      <c r="E331" s="5" t="n">
        <v>17</v>
      </c>
      <c r="F331" s="5" t="n">
        <v>4</v>
      </c>
      <c r="G331" s="5" t="n">
        <v>11824</v>
      </c>
    </row>
    <row r="332" customFormat="false" ht="15" hidden="false" customHeight="true" outlineLevel="0" collapsed="false">
      <c r="A332" s="5" t="s">
        <v>942</v>
      </c>
      <c r="B332" s="5" t="s">
        <v>943</v>
      </c>
      <c r="C332" s="5" t="s">
        <v>542</v>
      </c>
      <c r="D332" s="5" t="n">
        <v>228.5</v>
      </c>
      <c r="E332" s="5" t="n">
        <v>18</v>
      </c>
      <c r="F332" s="5" t="n">
        <v>4</v>
      </c>
      <c r="G332" s="5" t="n">
        <v>3809</v>
      </c>
    </row>
    <row r="333" customFormat="false" ht="15" hidden="false" customHeight="true" outlineLevel="0" collapsed="false">
      <c r="A333" s="5" t="s">
        <v>935</v>
      </c>
      <c r="B333" s="5" t="s">
        <v>930</v>
      </c>
      <c r="C333" s="5" t="s">
        <v>542</v>
      </c>
      <c r="D333" s="5" t="n">
        <v>119.1</v>
      </c>
      <c r="E333" s="5" t="n">
        <v>5</v>
      </c>
      <c r="F333" s="5" t="n">
        <v>8</v>
      </c>
      <c r="G333" s="5" t="n">
        <v>4628</v>
      </c>
    </row>
    <row r="334" customFormat="false" ht="15" hidden="false" customHeight="true" outlineLevel="0" collapsed="false">
      <c r="A334" s="5" t="s">
        <v>931</v>
      </c>
      <c r="B334" s="5" t="s">
        <v>932</v>
      </c>
      <c r="C334" s="5" t="s">
        <v>542</v>
      </c>
      <c r="D334" s="5" t="n">
        <v>676</v>
      </c>
      <c r="E334" s="5" t="n">
        <v>17</v>
      </c>
      <c r="F334" s="5" t="n">
        <v>2</v>
      </c>
      <c r="G334" s="5" t="n">
        <v>7036</v>
      </c>
    </row>
    <row r="335" customFormat="false" ht="15" hidden="false" customHeight="true" outlineLevel="0" collapsed="false">
      <c r="A335" s="5" t="s">
        <v>962</v>
      </c>
      <c r="B335" s="5" t="s">
        <v>962</v>
      </c>
      <c r="C335" s="5" t="s">
        <v>542</v>
      </c>
      <c r="D335" s="5" t="n">
        <v>507.5</v>
      </c>
      <c r="E335" s="5" t="n">
        <v>5</v>
      </c>
      <c r="F335" s="5" t="n">
        <v>9</v>
      </c>
      <c r="G335" s="5" t="n">
        <v>10682</v>
      </c>
    </row>
    <row r="336" customFormat="false" ht="15" hidden="false" customHeight="true" outlineLevel="0" collapsed="false">
      <c r="A336" s="5" t="s">
        <v>940</v>
      </c>
      <c r="B336" s="5" t="s">
        <v>941</v>
      </c>
      <c r="C336" s="5" t="s">
        <v>542</v>
      </c>
      <c r="D336" s="5" t="n">
        <v>232</v>
      </c>
      <c r="E336" s="5" t="n">
        <v>12</v>
      </c>
      <c r="F336" s="5" t="n">
        <v>14</v>
      </c>
      <c r="G336" s="5" t="n">
        <v>4380</v>
      </c>
    </row>
    <row r="337" customFormat="false" ht="15" hidden="false" customHeight="true" outlineLevel="0" collapsed="false">
      <c r="A337" s="5" t="s">
        <v>925</v>
      </c>
      <c r="B337" s="5" t="s">
        <v>926</v>
      </c>
      <c r="C337" s="5" t="s">
        <v>542</v>
      </c>
      <c r="D337" s="5" t="n">
        <v>539.6</v>
      </c>
      <c r="E337" s="5" t="n">
        <v>8</v>
      </c>
      <c r="F337" s="5" t="n">
        <v>13</v>
      </c>
      <c r="G337" s="5" t="n">
        <v>7722</v>
      </c>
    </row>
    <row r="338" customFormat="false" ht="15" hidden="false" customHeight="true" outlineLevel="0" collapsed="false">
      <c r="A338" s="5" t="s">
        <v>936</v>
      </c>
      <c r="B338" s="5" t="s">
        <v>937</v>
      </c>
      <c r="C338" s="5" t="s">
        <v>579</v>
      </c>
      <c r="D338" s="5" t="n">
        <v>391.4</v>
      </c>
      <c r="E338" s="5" t="n">
        <v>6</v>
      </c>
      <c r="F338" s="5" t="n">
        <v>4</v>
      </c>
      <c r="G338" s="5" t="n">
        <v>4075</v>
      </c>
    </row>
    <row r="339" customFormat="false" ht="15" hidden="false" customHeight="true" outlineLevel="0" collapsed="false">
      <c r="A339" s="5" t="s">
        <v>933</v>
      </c>
      <c r="B339" s="5" t="s">
        <v>934</v>
      </c>
      <c r="C339" s="5" t="s">
        <v>579</v>
      </c>
      <c r="D339" s="5" t="n">
        <v>192.8</v>
      </c>
      <c r="E339" s="5" t="n">
        <v>18</v>
      </c>
      <c r="F339" s="5" t="n">
        <v>1</v>
      </c>
      <c r="G339" s="5" t="n">
        <v>7712</v>
      </c>
    </row>
    <row r="340" customFormat="false" ht="15" hidden="false" customHeight="true" outlineLevel="0" collapsed="false">
      <c r="A340" s="5" t="s">
        <v>952</v>
      </c>
      <c r="B340" s="5" t="s">
        <v>953</v>
      </c>
      <c r="C340" s="5" t="s">
        <v>579</v>
      </c>
      <c r="D340" s="5" t="n">
        <v>424.4</v>
      </c>
      <c r="E340" s="5" t="n">
        <v>14</v>
      </c>
      <c r="F340" s="5" t="n">
        <v>8</v>
      </c>
      <c r="G340" s="5" t="n">
        <v>10838</v>
      </c>
    </row>
    <row r="341" customFormat="false" ht="15" hidden="false" customHeight="true" outlineLevel="0" collapsed="false">
      <c r="A341" s="5" t="s">
        <v>954</v>
      </c>
      <c r="B341" s="5" t="s">
        <v>955</v>
      </c>
      <c r="C341" s="5" t="s">
        <v>579</v>
      </c>
      <c r="D341" s="5" t="n">
        <v>114.7</v>
      </c>
      <c r="E341" s="5" t="n">
        <v>5</v>
      </c>
      <c r="F341" s="5" t="n">
        <v>2</v>
      </c>
      <c r="G341" s="5" t="n">
        <v>6867</v>
      </c>
    </row>
    <row r="342" customFormat="false" ht="15" hidden="false" customHeight="true" outlineLevel="0" collapsed="false">
      <c r="A342" s="5" t="s">
        <v>923</v>
      </c>
      <c r="B342" s="5" t="s">
        <v>924</v>
      </c>
      <c r="C342" s="5" t="s">
        <v>579</v>
      </c>
      <c r="D342" s="5" t="n">
        <v>310.7</v>
      </c>
      <c r="E342" s="5" t="n">
        <v>18</v>
      </c>
      <c r="F342" s="5" t="n">
        <v>9</v>
      </c>
      <c r="G342" s="5" t="n">
        <v>8530</v>
      </c>
    </row>
    <row r="343" customFormat="false" ht="15" hidden="false" customHeight="true" outlineLevel="0" collapsed="false">
      <c r="A343" s="5" t="s">
        <v>929</v>
      </c>
      <c r="B343" s="5" t="s">
        <v>930</v>
      </c>
      <c r="C343" s="5" t="s">
        <v>579</v>
      </c>
      <c r="D343" s="5" t="n">
        <v>581.5</v>
      </c>
      <c r="E343" s="5" t="n">
        <v>5</v>
      </c>
      <c r="F343" s="5" t="n">
        <v>3</v>
      </c>
      <c r="G343" s="5" t="n">
        <v>6994</v>
      </c>
    </row>
    <row r="344" customFormat="false" ht="15" hidden="false" customHeight="true" outlineLevel="0" collapsed="false">
      <c r="A344" s="5" t="s">
        <v>944</v>
      </c>
      <c r="B344" s="5" t="s">
        <v>945</v>
      </c>
      <c r="C344" s="5" t="s">
        <v>579</v>
      </c>
      <c r="D344" s="5" t="n">
        <v>488.9</v>
      </c>
      <c r="E344" s="5" t="n">
        <v>17</v>
      </c>
      <c r="F344" s="5" t="n">
        <v>8</v>
      </c>
      <c r="G344" s="5" t="n">
        <v>10276</v>
      </c>
    </row>
    <row r="345" customFormat="false" ht="15" hidden="false" customHeight="true" outlineLevel="0" collapsed="false">
      <c r="A345" s="5" t="s">
        <v>946</v>
      </c>
      <c r="B345" s="5" t="s">
        <v>947</v>
      </c>
      <c r="C345" s="5" t="s">
        <v>579</v>
      </c>
      <c r="D345" s="5" t="n">
        <v>271.5</v>
      </c>
      <c r="E345" s="5" t="n">
        <v>20</v>
      </c>
      <c r="F345" s="5" t="n">
        <v>11</v>
      </c>
      <c r="G345" s="5" t="n">
        <v>11430</v>
      </c>
    </row>
    <row r="346" customFormat="false" ht="15" hidden="false" customHeight="true" outlineLevel="0" collapsed="false">
      <c r="A346" s="5" t="s">
        <v>938</v>
      </c>
      <c r="B346" s="5" t="s">
        <v>939</v>
      </c>
      <c r="C346" s="5" t="s">
        <v>579</v>
      </c>
      <c r="D346" s="5" t="n">
        <v>152.8</v>
      </c>
      <c r="E346" s="5" t="n">
        <v>7</v>
      </c>
      <c r="F346" s="5" t="n">
        <v>7</v>
      </c>
      <c r="G346" s="5" t="n">
        <v>10038</v>
      </c>
    </row>
    <row r="347" customFormat="false" ht="15" hidden="false" customHeight="true" outlineLevel="0" collapsed="false">
      <c r="A347" s="5" t="s">
        <v>927</v>
      </c>
      <c r="B347" s="5" t="s">
        <v>928</v>
      </c>
      <c r="C347" s="5" t="s">
        <v>579</v>
      </c>
      <c r="D347" s="5" t="n">
        <v>684.8</v>
      </c>
      <c r="E347" s="5" t="n">
        <v>4</v>
      </c>
      <c r="F347" s="5" t="n">
        <v>14</v>
      </c>
      <c r="G347" s="5" t="n">
        <v>3834</v>
      </c>
    </row>
    <row r="348" customFormat="false" ht="15" hidden="false" customHeight="true" outlineLevel="0" collapsed="false">
      <c r="A348" s="5" t="s">
        <v>920</v>
      </c>
      <c r="B348" s="5" t="s">
        <v>919</v>
      </c>
      <c r="C348" s="5" t="s">
        <v>579</v>
      </c>
      <c r="D348" s="5" t="n">
        <v>398.2</v>
      </c>
      <c r="E348" s="5" t="n">
        <v>12</v>
      </c>
      <c r="F348" s="5" t="n">
        <v>3</v>
      </c>
      <c r="G348" s="5" t="n">
        <v>4453</v>
      </c>
    </row>
    <row r="349" customFormat="false" ht="15" hidden="false" customHeight="true" outlineLevel="0" collapsed="false">
      <c r="A349" s="5" t="s">
        <v>960</v>
      </c>
      <c r="B349" s="5" t="s">
        <v>961</v>
      </c>
      <c r="C349" s="5" t="s">
        <v>579</v>
      </c>
      <c r="D349" s="5" t="n">
        <v>255.5</v>
      </c>
      <c r="E349" s="5" t="n">
        <v>10</v>
      </c>
      <c r="F349" s="5" t="n">
        <v>6</v>
      </c>
      <c r="G349" s="5" t="n">
        <v>10301</v>
      </c>
    </row>
    <row r="350" customFormat="false" ht="15" hidden="false" customHeight="true" outlineLevel="0" collapsed="false">
      <c r="A350" s="5" t="s">
        <v>950</v>
      </c>
      <c r="B350" s="5" t="s">
        <v>951</v>
      </c>
      <c r="C350" s="5" t="s">
        <v>579</v>
      </c>
      <c r="D350" s="5" t="n">
        <v>673.3</v>
      </c>
      <c r="E350" s="5" t="n">
        <v>5</v>
      </c>
      <c r="F350" s="5" t="n">
        <v>5</v>
      </c>
      <c r="G350" s="5" t="n">
        <v>5016</v>
      </c>
    </row>
    <row r="351" customFormat="false" ht="15" hidden="false" customHeight="true" outlineLevel="0" collapsed="false">
      <c r="A351" s="5" t="s">
        <v>948</v>
      </c>
      <c r="B351" s="5" t="s">
        <v>949</v>
      </c>
      <c r="C351" s="5" t="s">
        <v>579</v>
      </c>
      <c r="D351" s="5" t="n">
        <v>483.6</v>
      </c>
      <c r="E351" s="5" t="n">
        <v>20</v>
      </c>
      <c r="F351" s="5" t="n">
        <v>5</v>
      </c>
      <c r="G351" s="5" t="n">
        <v>3850</v>
      </c>
    </row>
    <row r="352" customFormat="false" ht="15" hidden="false" customHeight="true" outlineLevel="0" collapsed="false">
      <c r="A352" s="5" t="s">
        <v>918</v>
      </c>
      <c r="B352" s="5" t="s">
        <v>919</v>
      </c>
      <c r="C352" s="5" t="s">
        <v>579</v>
      </c>
      <c r="D352" s="5" t="n">
        <v>476.3</v>
      </c>
      <c r="E352" s="5" t="n">
        <v>20</v>
      </c>
      <c r="F352" s="5" t="n">
        <v>2</v>
      </c>
      <c r="G352" s="5" t="n">
        <v>10034</v>
      </c>
    </row>
    <row r="353" customFormat="false" ht="15" hidden="false" customHeight="true" outlineLevel="0" collapsed="false">
      <c r="A353" s="5" t="s">
        <v>921</v>
      </c>
      <c r="B353" s="5" t="s">
        <v>922</v>
      </c>
      <c r="C353" s="5" t="s">
        <v>579</v>
      </c>
      <c r="D353" s="5" t="n">
        <v>487.9</v>
      </c>
      <c r="E353" s="5" t="n">
        <v>7</v>
      </c>
      <c r="F353" s="5" t="n">
        <v>3</v>
      </c>
      <c r="G353" s="5" t="n">
        <v>11714</v>
      </c>
    </row>
    <row r="354" customFormat="false" ht="15" hidden="false" customHeight="true" outlineLevel="0" collapsed="false">
      <c r="A354" s="5" t="s">
        <v>958</v>
      </c>
      <c r="B354" s="5" t="s">
        <v>959</v>
      </c>
      <c r="C354" s="5" t="s">
        <v>579</v>
      </c>
      <c r="D354" s="5" t="n">
        <v>266.5</v>
      </c>
      <c r="E354" s="5" t="n">
        <v>4</v>
      </c>
      <c r="F354" s="5" t="n">
        <v>14</v>
      </c>
      <c r="G354" s="5" t="n">
        <v>2264</v>
      </c>
    </row>
    <row r="355" customFormat="false" ht="15" hidden="false" customHeight="true" outlineLevel="0" collapsed="false">
      <c r="A355" s="5" t="s">
        <v>956</v>
      </c>
      <c r="B355" s="5" t="s">
        <v>957</v>
      </c>
      <c r="C355" s="5" t="s">
        <v>579</v>
      </c>
      <c r="D355" s="5" t="n">
        <v>79.3</v>
      </c>
      <c r="E355" s="5" t="n">
        <v>11</v>
      </c>
      <c r="F355" s="5" t="n">
        <v>11</v>
      </c>
      <c r="G355" s="5" t="n">
        <v>5253</v>
      </c>
    </row>
    <row r="356" customFormat="false" ht="15" hidden="false" customHeight="true" outlineLevel="0" collapsed="false">
      <c r="A356" s="5" t="s">
        <v>942</v>
      </c>
      <c r="B356" s="5" t="s">
        <v>943</v>
      </c>
      <c r="C356" s="5" t="s">
        <v>579</v>
      </c>
      <c r="D356" s="5" t="n">
        <v>579.9</v>
      </c>
      <c r="E356" s="5" t="n">
        <v>16</v>
      </c>
      <c r="F356" s="5" t="n">
        <v>10</v>
      </c>
      <c r="G356" s="5" t="n">
        <v>2296</v>
      </c>
    </row>
    <row r="357" customFormat="false" ht="15" hidden="false" customHeight="true" outlineLevel="0" collapsed="false">
      <c r="A357" s="5" t="s">
        <v>935</v>
      </c>
      <c r="B357" s="5" t="s">
        <v>930</v>
      </c>
      <c r="C357" s="5" t="s">
        <v>579</v>
      </c>
      <c r="D357" s="5" t="n">
        <v>383.6</v>
      </c>
      <c r="E357" s="5" t="n">
        <v>20</v>
      </c>
      <c r="F357" s="5" t="n">
        <v>5</v>
      </c>
      <c r="G357" s="5" t="n">
        <v>6749</v>
      </c>
    </row>
    <row r="358" customFormat="false" ht="15" hidden="false" customHeight="true" outlineLevel="0" collapsed="false">
      <c r="A358" s="5" t="s">
        <v>931</v>
      </c>
      <c r="B358" s="5" t="s">
        <v>932</v>
      </c>
      <c r="C358" s="5" t="s">
        <v>579</v>
      </c>
      <c r="D358" s="5" t="n">
        <v>372.5</v>
      </c>
      <c r="E358" s="5" t="n">
        <v>15</v>
      </c>
      <c r="F358" s="5" t="n">
        <v>5</v>
      </c>
      <c r="G358" s="5" t="n">
        <v>9230</v>
      </c>
    </row>
    <row r="359" customFormat="false" ht="15" hidden="false" customHeight="true" outlineLevel="0" collapsed="false">
      <c r="A359" s="5" t="s">
        <v>962</v>
      </c>
      <c r="B359" s="5" t="s">
        <v>962</v>
      </c>
      <c r="C359" s="5" t="s">
        <v>579</v>
      </c>
      <c r="D359" s="5" t="n">
        <v>73.3</v>
      </c>
      <c r="E359" s="5" t="n">
        <v>4</v>
      </c>
      <c r="F359" s="5" t="n">
        <v>3</v>
      </c>
      <c r="G359" s="5" t="n">
        <v>9002</v>
      </c>
    </row>
    <row r="360" customFormat="false" ht="15" hidden="false" customHeight="true" outlineLevel="0" collapsed="false">
      <c r="A360" s="5" t="s">
        <v>940</v>
      </c>
      <c r="B360" s="5" t="s">
        <v>941</v>
      </c>
      <c r="C360" s="5" t="s">
        <v>579</v>
      </c>
      <c r="D360" s="5" t="n">
        <v>323.4</v>
      </c>
      <c r="E360" s="5" t="n">
        <v>17</v>
      </c>
      <c r="F360" s="5" t="n">
        <v>4</v>
      </c>
      <c r="G360" s="5" t="n">
        <v>7373</v>
      </c>
    </row>
    <row r="361" customFormat="false" ht="15" hidden="false" customHeight="true" outlineLevel="0" collapsed="false">
      <c r="A361" s="5" t="s">
        <v>925</v>
      </c>
      <c r="B361" s="5" t="s">
        <v>926</v>
      </c>
      <c r="C361" s="5" t="s">
        <v>579</v>
      </c>
      <c r="D361" s="5" t="n">
        <v>462.9</v>
      </c>
      <c r="E361" s="5" t="n">
        <v>13</v>
      </c>
      <c r="F361" s="5" t="n">
        <v>14</v>
      </c>
      <c r="G361" s="5" t="n">
        <v>7031</v>
      </c>
    </row>
    <row r="362" customFormat="false" ht="15" hidden="false" customHeight="true" outlineLevel="0" collapsed="false">
      <c r="A362" s="5" t="s">
        <v>936</v>
      </c>
      <c r="B362" s="5" t="s">
        <v>937</v>
      </c>
      <c r="C362" s="5" t="s">
        <v>616</v>
      </c>
      <c r="D362" s="5" t="n">
        <v>556</v>
      </c>
      <c r="E362" s="5" t="n">
        <v>14</v>
      </c>
      <c r="F362" s="5" t="n">
        <v>7</v>
      </c>
      <c r="G362" s="5" t="n">
        <v>3942</v>
      </c>
    </row>
    <row r="363" customFormat="false" ht="15" hidden="false" customHeight="true" outlineLevel="0" collapsed="false">
      <c r="A363" s="5" t="s">
        <v>933</v>
      </c>
      <c r="B363" s="5" t="s">
        <v>934</v>
      </c>
      <c r="C363" s="5" t="s">
        <v>616</v>
      </c>
      <c r="D363" s="5" t="n">
        <v>575.3</v>
      </c>
      <c r="E363" s="5" t="n">
        <v>19</v>
      </c>
      <c r="F363" s="5" t="n">
        <v>9</v>
      </c>
      <c r="G363" s="5" t="n">
        <v>3539</v>
      </c>
    </row>
    <row r="364" customFormat="false" ht="15" hidden="false" customHeight="true" outlineLevel="0" collapsed="false">
      <c r="A364" s="5" t="s">
        <v>952</v>
      </c>
      <c r="B364" s="5" t="s">
        <v>953</v>
      </c>
      <c r="C364" s="5" t="s">
        <v>616</v>
      </c>
      <c r="D364" s="5" t="n">
        <v>253</v>
      </c>
      <c r="E364" s="5" t="n">
        <v>17</v>
      </c>
      <c r="F364" s="5" t="n">
        <v>2</v>
      </c>
      <c r="G364" s="5" t="n">
        <v>6182</v>
      </c>
    </row>
    <row r="365" customFormat="false" ht="15" hidden="false" customHeight="true" outlineLevel="0" collapsed="false">
      <c r="A365" s="5" t="s">
        <v>954</v>
      </c>
      <c r="B365" s="5" t="s">
        <v>955</v>
      </c>
      <c r="C365" s="5" t="s">
        <v>616</v>
      </c>
      <c r="D365" s="5" t="n">
        <v>348.2</v>
      </c>
      <c r="E365" s="5" t="n">
        <v>7</v>
      </c>
      <c r="F365" s="5" t="n">
        <v>2</v>
      </c>
      <c r="G365" s="5" t="n">
        <v>2629</v>
      </c>
    </row>
    <row r="366" customFormat="false" ht="15" hidden="false" customHeight="true" outlineLevel="0" collapsed="false">
      <c r="A366" s="5" t="s">
        <v>923</v>
      </c>
      <c r="B366" s="5" t="s">
        <v>924</v>
      </c>
      <c r="C366" s="5" t="s">
        <v>616</v>
      </c>
      <c r="D366" s="5" t="n">
        <v>231.9</v>
      </c>
      <c r="E366" s="5" t="n">
        <v>15</v>
      </c>
      <c r="F366" s="5" t="n">
        <v>14</v>
      </c>
      <c r="G366" s="5" t="n">
        <v>11882</v>
      </c>
    </row>
    <row r="367" customFormat="false" ht="15" hidden="false" customHeight="true" outlineLevel="0" collapsed="false">
      <c r="A367" s="5" t="s">
        <v>929</v>
      </c>
      <c r="B367" s="5" t="s">
        <v>930</v>
      </c>
      <c r="C367" s="5" t="s">
        <v>616</v>
      </c>
      <c r="D367" s="5" t="n">
        <v>325.2</v>
      </c>
      <c r="E367" s="5" t="n">
        <v>8</v>
      </c>
      <c r="F367" s="5" t="n">
        <v>14</v>
      </c>
      <c r="G367" s="5" t="n">
        <v>7164</v>
      </c>
    </row>
    <row r="368" customFormat="false" ht="15" hidden="false" customHeight="true" outlineLevel="0" collapsed="false">
      <c r="A368" s="5" t="s">
        <v>944</v>
      </c>
      <c r="B368" s="5" t="s">
        <v>945</v>
      </c>
      <c r="C368" s="5" t="s">
        <v>616</v>
      </c>
      <c r="D368" s="5" t="n">
        <v>701.6</v>
      </c>
      <c r="E368" s="5" t="n">
        <v>13</v>
      </c>
      <c r="F368" s="5" t="n">
        <v>4</v>
      </c>
      <c r="G368" s="5" t="n">
        <v>4410</v>
      </c>
    </row>
    <row r="369" customFormat="false" ht="15" hidden="false" customHeight="true" outlineLevel="0" collapsed="false">
      <c r="A369" s="5" t="s">
        <v>946</v>
      </c>
      <c r="B369" s="5" t="s">
        <v>947</v>
      </c>
      <c r="C369" s="5" t="s">
        <v>616</v>
      </c>
      <c r="D369" s="5" t="n">
        <v>383.7</v>
      </c>
      <c r="E369" s="5" t="n">
        <v>19</v>
      </c>
      <c r="F369" s="5" t="n">
        <v>8</v>
      </c>
      <c r="G369" s="5" t="n">
        <v>9971</v>
      </c>
    </row>
    <row r="370" customFormat="false" ht="15" hidden="false" customHeight="true" outlineLevel="0" collapsed="false">
      <c r="A370" s="5" t="s">
        <v>938</v>
      </c>
      <c r="B370" s="5" t="s">
        <v>939</v>
      </c>
      <c r="C370" s="5" t="s">
        <v>616</v>
      </c>
      <c r="D370" s="5" t="n">
        <v>661.7</v>
      </c>
      <c r="E370" s="5" t="n">
        <v>18</v>
      </c>
      <c r="F370" s="5" t="n">
        <v>1</v>
      </c>
      <c r="G370" s="5" t="n">
        <v>3275</v>
      </c>
    </row>
    <row r="371" customFormat="false" ht="15" hidden="false" customHeight="true" outlineLevel="0" collapsed="false">
      <c r="A371" s="5" t="s">
        <v>927</v>
      </c>
      <c r="B371" s="5" t="s">
        <v>928</v>
      </c>
      <c r="C371" s="5" t="s">
        <v>616</v>
      </c>
      <c r="D371" s="5" t="n">
        <v>710</v>
      </c>
      <c r="E371" s="5" t="n">
        <v>19</v>
      </c>
      <c r="F371" s="5" t="n">
        <v>8</v>
      </c>
      <c r="G371" s="5" t="n">
        <v>5744</v>
      </c>
    </row>
    <row r="372" customFormat="false" ht="15" hidden="false" customHeight="true" outlineLevel="0" collapsed="false">
      <c r="A372" s="5" t="s">
        <v>920</v>
      </c>
      <c r="B372" s="5" t="s">
        <v>919</v>
      </c>
      <c r="C372" s="5" t="s">
        <v>616</v>
      </c>
      <c r="D372" s="5" t="n">
        <v>177.1</v>
      </c>
      <c r="E372" s="5" t="n">
        <v>14</v>
      </c>
      <c r="F372" s="5" t="n">
        <v>1</v>
      </c>
      <c r="G372" s="5" t="n">
        <v>2628</v>
      </c>
    </row>
    <row r="373" customFormat="false" ht="15" hidden="false" customHeight="true" outlineLevel="0" collapsed="false">
      <c r="A373" s="5" t="s">
        <v>960</v>
      </c>
      <c r="B373" s="5" t="s">
        <v>961</v>
      </c>
      <c r="C373" s="5" t="s">
        <v>616</v>
      </c>
      <c r="D373" s="5" t="n">
        <v>225.4</v>
      </c>
      <c r="E373" s="5" t="n">
        <v>18</v>
      </c>
      <c r="F373" s="5" t="n">
        <v>5</v>
      </c>
      <c r="G373" s="5" t="n">
        <v>10593</v>
      </c>
    </row>
    <row r="374" customFormat="false" ht="15" hidden="false" customHeight="true" outlineLevel="0" collapsed="false">
      <c r="A374" s="5" t="s">
        <v>950</v>
      </c>
      <c r="B374" s="5" t="s">
        <v>951</v>
      </c>
      <c r="C374" s="5" t="s">
        <v>616</v>
      </c>
      <c r="D374" s="5" t="n">
        <v>26</v>
      </c>
      <c r="E374" s="5" t="n">
        <v>6</v>
      </c>
      <c r="F374" s="5" t="n">
        <v>7</v>
      </c>
      <c r="G374" s="5" t="n">
        <v>3994</v>
      </c>
    </row>
    <row r="375" customFormat="false" ht="15" hidden="false" customHeight="true" outlineLevel="0" collapsed="false">
      <c r="A375" s="5" t="s">
        <v>948</v>
      </c>
      <c r="B375" s="5" t="s">
        <v>949</v>
      </c>
      <c r="C375" s="5" t="s">
        <v>616</v>
      </c>
      <c r="D375" s="5" t="n">
        <v>664.2</v>
      </c>
      <c r="E375" s="5" t="n">
        <v>14</v>
      </c>
      <c r="F375" s="5" t="n">
        <v>13</v>
      </c>
      <c r="G375" s="5" t="n">
        <v>8406</v>
      </c>
    </row>
    <row r="376" customFormat="false" ht="15" hidden="false" customHeight="true" outlineLevel="0" collapsed="false">
      <c r="A376" s="5" t="s">
        <v>918</v>
      </c>
      <c r="B376" s="5" t="s">
        <v>919</v>
      </c>
      <c r="C376" s="5" t="s">
        <v>616</v>
      </c>
      <c r="D376" s="5" t="n">
        <v>287.1</v>
      </c>
      <c r="E376" s="5" t="n">
        <v>15</v>
      </c>
      <c r="F376" s="5" t="n">
        <v>1</v>
      </c>
      <c r="G376" s="5" t="n">
        <v>11143</v>
      </c>
    </row>
    <row r="377" customFormat="false" ht="15" hidden="false" customHeight="true" outlineLevel="0" collapsed="false">
      <c r="A377" s="5" t="s">
        <v>921</v>
      </c>
      <c r="B377" s="5" t="s">
        <v>922</v>
      </c>
      <c r="C377" s="5" t="s">
        <v>616</v>
      </c>
      <c r="D377" s="5" t="n">
        <v>430.1</v>
      </c>
      <c r="E377" s="5" t="n">
        <v>14</v>
      </c>
      <c r="F377" s="5" t="n">
        <v>9</v>
      </c>
      <c r="G377" s="5" t="n">
        <v>6528</v>
      </c>
    </row>
    <row r="378" customFormat="false" ht="15" hidden="false" customHeight="true" outlineLevel="0" collapsed="false">
      <c r="A378" s="5" t="s">
        <v>958</v>
      </c>
      <c r="B378" s="5" t="s">
        <v>959</v>
      </c>
      <c r="C378" s="5" t="s">
        <v>616</v>
      </c>
      <c r="D378" s="5" t="n">
        <v>73.7</v>
      </c>
      <c r="E378" s="5" t="n">
        <v>19</v>
      </c>
      <c r="F378" s="5" t="n">
        <v>8</v>
      </c>
      <c r="G378" s="5" t="n">
        <v>10808</v>
      </c>
    </row>
    <row r="379" customFormat="false" ht="15" hidden="false" customHeight="true" outlineLevel="0" collapsed="false">
      <c r="A379" s="5" t="s">
        <v>956</v>
      </c>
      <c r="B379" s="5" t="s">
        <v>957</v>
      </c>
      <c r="C379" s="5" t="s">
        <v>616</v>
      </c>
      <c r="D379" s="5" t="n">
        <v>224.2</v>
      </c>
      <c r="E379" s="5" t="n">
        <v>6</v>
      </c>
      <c r="F379" s="5" t="n">
        <v>3</v>
      </c>
      <c r="G379" s="5" t="n">
        <v>3384</v>
      </c>
    </row>
    <row r="380" customFormat="false" ht="15" hidden="false" customHeight="true" outlineLevel="0" collapsed="false">
      <c r="A380" s="5" t="s">
        <v>942</v>
      </c>
      <c r="B380" s="5" t="s">
        <v>943</v>
      </c>
      <c r="C380" s="5" t="s">
        <v>616</v>
      </c>
      <c r="D380" s="5" t="n">
        <v>307.5</v>
      </c>
      <c r="E380" s="5" t="n">
        <v>13</v>
      </c>
      <c r="F380" s="5" t="n">
        <v>9</v>
      </c>
      <c r="G380" s="5" t="n">
        <v>7790</v>
      </c>
    </row>
    <row r="381" customFormat="false" ht="15" hidden="false" customHeight="true" outlineLevel="0" collapsed="false">
      <c r="A381" s="5" t="s">
        <v>935</v>
      </c>
      <c r="B381" s="5" t="s">
        <v>930</v>
      </c>
      <c r="C381" s="5" t="s">
        <v>616</v>
      </c>
      <c r="D381" s="5" t="n">
        <v>571.1</v>
      </c>
      <c r="E381" s="5" t="n">
        <v>9</v>
      </c>
      <c r="F381" s="5" t="n">
        <v>10</v>
      </c>
      <c r="G381" s="5" t="n">
        <v>10141</v>
      </c>
    </row>
    <row r="382" customFormat="false" ht="15" hidden="false" customHeight="true" outlineLevel="0" collapsed="false">
      <c r="A382" s="5" t="s">
        <v>931</v>
      </c>
      <c r="B382" s="5" t="s">
        <v>932</v>
      </c>
      <c r="C382" s="5" t="s">
        <v>616</v>
      </c>
      <c r="D382" s="5" t="n">
        <v>313</v>
      </c>
      <c r="E382" s="5" t="n">
        <v>4</v>
      </c>
      <c r="F382" s="5" t="n">
        <v>1</v>
      </c>
      <c r="G382" s="5" t="n">
        <v>2437</v>
      </c>
    </row>
    <row r="383" customFormat="false" ht="15" hidden="false" customHeight="true" outlineLevel="0" collapsed="false">
      <c r="A383" s="5" t="s">
        <v>962</v>
      </c>
      <c r="B383" s="5" t="s">
        <v>962</v>
      </c>
      <c r="C383" s="5" t="s">
        <v>616</v>
      </c>
      <c r="D383" s="5" t="n">
        <v>120</v>
      </c>
      <c r="E383" s="5" t="n">
        <v>13</v>
      </c>
      <c r="F383" s="5" t="n">
        <v>13</v>
      </c>
      <c r="G383" s="5" t="n">
        <v>9561</v>
      </c>
    </row>
    <row r="384" customFormat="false" ht="15" hidden="false" customHeight="true" outlineLevel="0" collapsed="false">
      <c r="A384" s="5" t="s">
        <v>940</v>
      </c>
      <c r="B384" s="5" t="s">
        <v>941</v>
      </c>
      <c r="C384" s="5" t="s">
        <v>616</v>
      </c>
      <c r="D384" s="5" t="n">
        <v>399.1</v>
      </c>
      <c r="E384" s="5" t="n">
        <v>7</v>
      </c>
      <c r="F384" s="5" t="n">
        <v>10</v>
      </c>
      <c r="G384" s="5" t="n">
        <v>10246</v>
      </c>
    </row>
    <row r="385" customFormat="false" ht="15" hidden="false" customHeight="true" outlineLevel="0" collapsed="false">
      <c r="A385" s="5" t="s">
        <v>925</v>
      </c>
      <c r="B385" s="5" t="s">
        <v>926</v>
      </c>
      <c r="C385" s="5" t="s">
        <v>616</v>
      </c>
      <c r="D385" s="5" t="n">
        <v>122</v>
      </c>
      <c r="E385" s="5" t="n">
        <v>13</v>
      </c>
      <c r="F385" s="5" t="n">
        <v>3</v>
      </c>
      <c r="G385" s="5" t="n">
        <v>8238</v>
      </c>
    </row>
    <row r="386" customFormat="false" ht="15" hidden="false" customHeight="true" outlineLevel="0" collapsed="false">
      <c r="A386" s="5" t="s">
        <v>936</v>
      </c>
      <c r="B386" s="5" t="s">
        <v>937</v>
      </c>
      <c r="C386" s="5" t="s">
        <v>653</v>
      </c>
      <c r="D386" s="5" t="n">
        <v>743.1</v>
      </c>
      <c r="E386" s="5" t="n">
        <v>12</v>
      </c>
      <c r="F386" s="5" t="n">
        <v>10</v>
      </c>
      <c r="G386" s="5" t="n">
        <v>7311</v>
      </c>
    </row>
    <row r="387" customFormat="false" ht="15" hidden="false" customHeight="true" outlineLevel="0" collapsed="false">
      <c r="A387" s="5" t="s">
        <v>933</v>
      </c>
      <c r="B387" s="5" t="s">
        <v>934</v>
      </c>
      <c r="C387" s="5" t="s">
        <v>653</v>
      </c>
      <c r="D387" s="5" t="n">
        <v>390.3</v>
      </c>
      <c r="E387" s="5" t="n">
        <v>19</v>
      </c>
      <c r="F387" s="5" t="n">
        <v>9</v>
      </c>
      <c r="G387" s="5" t="n">
        <v>9825</v>
      </c>
    </row>
    <row r="388" customFormat="false" ht="15" hidden="false" customHeight="true" outlineLevel="0" collapsed="false">
      <c r="A388" s="5" t="s">
        <v>952</v>
      </c>
      <c r="B388" s="5" t="s">
        <v>953</v>
      </c>
      <c r="C388" s="5" t="s">
        <v>653</v>
      </c>
      <c r="D388" s="5" t="n">
        <v>537.4</v>
      </c>
      <c r="E388" s="5" t="n">
        <v>12</v>
      </c>
      <c r="F388" s="5" t="n">
        <v>8</v>
      </c>
      <c r="G388" s="5" t="n">
        <v>2072</v>
      </c>
    </row>
    <row r="389" customFormat="false" ht="15" hidden="false" customHeight="true" outlineLevel="0" collapsed="false">
      <c r="A389" s="5" t="s">
        <v>954</v>
      </c>
      <c r="B389" s="5" t="s">
        <v>955</v>
      </c>
      <c r="C389" s="5" t="s">
        <v>653</v>
      </c>
      <c r="D389" s="5" t="n">
        <v>288.9</v>
      </c>
      <c r="E389" s="5" t="n">
        <v>6</v>
      </c>
      <c r="F389" s="5" t="n">
        <v>7</v>
      </c>
      <c r="G389" s="5" t="n">
        <v>11363</v>
      </c>
    </row>
    <row r="390" customFormat="false" ht="15" hidden="false" customHeight="true" outlineLevel="0" collapsed="false">
      <c r="A390" s="5" t="s">
        <v>923</v>
      </c>
      <c r="B390" s="5" t="s">
        <v>924</v>
      </c>
      <c r="C390" s="5" t="s">
        <v>653</v>
      </c>
      <c r="D390" s="5" t="n">
        <v>244.6</v>
      </c>
      <c r="E390" s="5" t="n">
        <v>3</v>
      </c>
      <c r="F390" s="5" t="n">
        <v>10</v>
      </c>
      <c r="G390" s="5" t="n">
        <v>9575</v>
      </c>
    </row>
    <row r="391" customFormat="false" ht="15" hidden="false" customHeight="true" outlineLevel="0" collapsed="false">
      <c r="A391" s="5" t="s">
        <v>929</v>
      </c>
      <c r="B391" s="5" t="s">
        <v>930</v>
      </c>
      <c r="C391" s="5" t="s">
        <v>653</v>
      </c>
      <c r="D391" s="5" t="n">
        <v>213.8</v>
      </c>
      <c r="E391" s="5" t="n">
        <v>10</v>
      </c>
      <c r="F391" s="5" t="n">
        <v>12</v>
      </c>
      <c r="G391" s="5" t="n">
        <v>2641</v>
      </c>
    </row>
    <row r="392" customFormat="false" ht="15" hidden="false" customHeight="true" outlineLevel="0" collapsed="false">
      <c r="A392" s="5" t="s">
        <v>944</v>
      </c>
      <c r="B392" s="5" t="s">
        <v>945</v>
      </c>
      <c r="C392" s="5" t="s">
        <v>653</v>
      </c>
      <c r="D392" s="5" t="n">
        <v>446</v>
      </c>
      <c r="E392" s="5" t="n">
        <v>8</v>
      </c>
      <c r="F392" s="5" t="n">
        <v>9</v>
      </c>
      <c r="G392" s="5" t="n">
        <v>11953</v>
      </c>
    </row>
    <row r="393" customFormat="false" ht="15" hidden="false" customHeight="true" outlineLevel="0" collapsed="false">
      <c r="A393" s="5" t="s">
        <v>946</v>
      </c>
      <c r="B393" s="5" t="s">
        <v>947</v>
      </c>
      <c r="C393" s="5" t="s">
        <v>653</v>
      </c>
      <c r="D393" s="5" t="n">
        <v>585.5</v>
      </c>
      <c r="E393" s="5" t="n">
        <v>15</v>
      </c>
      <c r="F393" s="5" t="n">
        <v>3</v>
      </c>
      <c r="G393" s="5" t="n">
        <v>5768</v>
      </c>
    </row>
    <row r="394" customFormat="false" ht="15" hidden="false" customHeight="true" outlineLevel="0" collapsed="false">
      <c r="A394" s="5" t="s">
        <v>938</v>
      </c>
      <c r="B394" s="5" t="s">
        <v>939</v>
      </c>
      <c r="C394" s="5" t="s">
        <v>653</v>
      </c>
      <c r="D394" s="5" t="n">
        <v>43</v>
      </c>
      <c r="E394" s="5" t="n">
        <v>6</v>
      </c>
      <c r="F394" s="5" t="n">
        <v>4</v>
      </c>
      <c r="G394" s="5" t="n">
        <v>2110</v>
      </c>
    </row>
    <row r="395" customFormat="false" ht="15" hidden="false" customHeight="true" outlineLevel="0" collapsed="false">
      <c r="A395" s="5" t="s">
        <v>927</v>
      </c>
      <c r="B395" s="5" t="s">
        <v>928</v>
      </c>
      <c r="C395" s="5" t="s">
        <v>653</v>
      </c>
      <c r="D395" s="5" t="n">
        <v>342</v>
      </c>
      <c r="E395" s="5" t="n">
        <v>16</v>
      </c>
      <c r="F395" s="5" t="n">
        <v>3</v>
      </c>
      <c r="G395" s="5" t="n">
        <v>8565</v>
      </c>
    </row>
    <row r="396" customFormat="false" ht="15" hidden="false" customHeight="true" outlineLevel="0" collapsed="false">
      <c r="A396" s="5" t="s">
        <v>920</v>
      </c>
      <c r="B396" s="5" t="s">
        <v>919</v>
      </c>
      <c r="C396" s="5" t="s">
        <v>653</v>
      </c>
      <c r="D396" s="5" t="n">
        <v>524.1</v>
      </c>
      <c r="E396" s="5" t="n">
        <v>16</v>
      </c>
      <c r="F396" s="5" t="n">
        <v>9</v>
      </c>
      <c r="G396" s="5" t="n">
        <v>11818</v>
      </c>
    </row>
    <row r="397" customFormat="false" ht="15" hidden="false" customHeight="true" outlineLevel="0" collapsed="false">
      <c r="A397" s="5" t="s">
        <v>960</v>
      </c>
      <c r="B397" s="5" t="s">
        <v>961</v>
      </c>
      <c r="C397" s="5" t="s">
        <v>653</v>
      </c>
      <c r="D397" s="5" t="n">
        <v>692</v>
      </c>
      <c r="E397" s="5" t="n">
        <v>4</v>
      </c>
      <c r="F397" s="5" t="n">
        <v>12</v>
      </c>
      <c r="G397" s="5" t="n">
        <v>4062</v>
      </c>
    </row>
    <row r="398" customFormat="false" ht="15" hidden="false" customHeight="true" outlineLevel="0" collapsed="false">
      <c r="A398" s="5" t="s">
        <v>950</v>
      </c>
      <c r="B398" s="5" t="s">
        <v>951</v>
      </c>
      <c r="C398" s="5" t="s">
        <v>653</v>
      </c>
      <c r="D398" s="5" t="n">
        <v>398.6</v>
      </c>
      <c r="E398" s="5" t="n">
        <v>20</v>
      </c>
      <c r="F398" s="5" t="n">
        <v>6</v>
      </c>
      <c r="G398" s="5" t="n">
        <v>9637</v>
      </c>
    </row>
    <row r="399" customFormat="false" ht="15" hidden="false" customHeight="true" outlineLevel="0" collapsed="false">
      <c r="A399" s="5" t="s">
        <v>948</v>
      </c>
      <c r="B399" s="5" t="s">
        <v>949</v>
      </c>
      <c r="C399" s="5" t="s">
        <v>653</v>
      </c>
      <c r="D399" s="5" t="n">
        <v>403.6</v>
      </c>
      <c r="E399" s="5" t="n">
        <v>13</v>
      </c>
      <c r="F399" s="5" t="n">
        <v>3</v>
      </c>
      <c r="G399" s="5" t="n">
        <v>9331</v>
      </c>
    </row>
    <row r="400" customFormat="false" ht="15" hidden="false" customHeight="true" outlineLevel="0" collapsed="false">
      <c r="A400" s="5" t="s">
        <v>918</v>
      </c>
      <c r="B400" s="5" t="s">
        <v>919</v>
      </c>
      <c r="C400" s="5" t="s">
        <v>653</v>
      </c>
      <c r="D400" s="5" t="n">
        <v>685.9</v>
      </c>
      <c r="E400" s="5" t="n">
        <v>13</v>
      </c>
      <c r="F400" s="5" t="n">
        <v>9</v>
      </c>
      <c r="G400" s="5" t="n">
        <v>7604</v>
      </c>
    </row>
    <row r="401" customFormat="false" ht="15" hidden="false" customHeight="true" outlineLevel="0" collapsed="false">
      <c r="A401" s="5" t="s">
        <v>921</v>
      </c>
      <c r="B401" s="5" t="s">
        <v>922</v>
      </c>
      <c r="C401" s="5" t="s">
        <v>653</v>
      </c>
      <c r="D401" s="5" t="n">
        <v>513.4</v>
      </c>
      <c r="E401" s="5" t="n">
        <v>11</v>
      </c>
      <c r="F401" s="5" t="n">
        <v>10</v>
      </c>
      <c r="G401" s="5" t="n">
        <v>9732</v>
      </c>
    </row>
    <row r="402" customFormat="false" ht="15" hidden="false" customHeight="true" outlineLevel="0" collapsed="false">
      <c r="A402" s="5" t="s">
        <v>958</v>
      </c>
      <c r="B402" s="5" t="s">
        <v>959</v>
      </c>
      <c r="C402" s="5" t="s">
        <v>653</v>
      </c>
      <c r="D402" s="5" t="n">
        <v>160.4</v>
      </c>
      <c r="E402" s="5" t="n">
        <v>10</v>
      </c>
      <c r="F402" s="5" t="n">
        <v>5</v>
      </c>
      <c r="G402" s="5" t="n">
        <v>10943</v>
      </c>
    </row>
    <row r="403" customFormat="false" ht="15" hidden="false" customHeight="true" outlineLevel="0" collapsed="false">
      <c r="A403" s="5" t="s">
        <v>956</v>
      </c>
      <c r="B403" s="5" t="s">
        <v>957</v>
      </c>
      <c r="C403" s="5" t="s">
        <v>653</v>
      </c>
      <c r="D403" s="5" t="n">
        <v>237.9</v>
      </c>
      <c r="E403" s="5" t="n">
        <v>12</v>
      </c>
      <c r="F403" s="5" t="n">
        <v>13</v>
      </c>
      <c r="G403" s="5" t="n">
        <v>6535</v>
      </c>
    </row>
    <row r="404" customFormat="false" ht="15" hidden="false" customHeight="true" outlineLevel="0" collapsed="false">
      <c r="A404" s="5" t="s">
        <v>942</v>
      </c>
      <c r="B404" s="5" t="s">
        <v>943</v>
      </c>
      <c r="C404" s="5" t="s">
        <v>653</v>
      </c>
      <c r="D404" s="5" t="n">
        <v>534.6</v>
      </c>
      <c r="E404" s="5" t="n">
        <v>18</v>
      </c>
      <c r="F404" s="5" t="n">
        <v>6</v>
      </c>
      <c r="G404" s="5" t="n">
        <v>9661</v>
      </c>
    </row>
    <row r="405" customFormat="false" ht="15" hidden="false" customHeight="true" outlineLevel="0" collapsed="false">
      <c r="A405" s="5" t="s">
        <v>935</v>
      </c>
      <c r="B405" s="5" t="s">
        <v>930</v>
      </c>
      <c r="C405" s="5" t="s">
        <v>653</v>
      </c>
      <c r="D405" s="5" t="n">
        <v>274.6</v>
      </c>
      <c r="E405" s="5" t="n">
        <v>11</v>
      </c>
      <c r="F405" s="5" t="n">
        <v>5</v>
      </c>
      <c r="G405" s="5" t="n">
        <v>3796</v>
      </c>
    </row>
    <row r="406" customFormat="false" ht="15" hidden="false" customHeight="true" outlineLevel="0" collapsed="false">
      <c r="A406" s="5" t="s">
        <v>931</v>
      </c>
      <c r="B406" s="5" t="s">
        <v>932</v>
      </c>
      <c r="C406" s="5" t="s">
        <v>653</v>
      </c>
      <c r="D406" s="5" t="n">
        <v>438.6</v>
      </c>
      <c r="E406" s="5" t="n">
        <v>20</v>
      </c>
      <c r="F406" s="5" t="n">
        <v>7</v>
      </c>
      <c r="G406" s="5" t="n">
        <v>8264</v>
      </c>
    </row>
    <row r="407" customFormat="false" ht="15" hidden="false" customHeight="true" outlineLevel="0" collapsed="false">
      <c r="A407" s="5" t="s">
        <v>962</v>
      </c>
      <c r="B407" s="5" t="s">
        <v>962</v>
      </c>
      <c r="C407" s="5" t="s">
        <v>653</v>
      </c>
      <c r="D407" s="5" t="n">
        <v>617.4</v>
      </c>
      <c r="E407" s="5" t="n">
        <v>7</v>
      </c>
      <c r="F407" s="5" t="n">
        <v>5</v>
      </c>
      <c r="G407" s="5" t="n">
        <v>2489</v>
      </c>
    </row>
    <row r="408" customFormat="false" ht="15" hidden="false" customHeight="true" outlineLevel="0" collapsed="false">
      <c r="A408" s="5" t="s">
        <v>940</v>
      </c>
      <c r="B408" s="5" t="s">
        <v>941</v>
      </c>
      <c r="C408" s="5" t="s">
        <v>653</v>
      </c>
      <c r="D408" s="5" t="n">
        <v>230</v>
      </c>
      <c r="E408" s="5" t="n">
        <v>5</v>
      </c>
      <c r="F408" s="5" t="n">
        <v>6</v>
      </c>
      <c r="G408" s="5" t="n">
        <v>9047</v>
      </c>
    </row>
    <row r="409" customFormat="false" ht="15" hidden="false" customHeight="true" outlineLevel="0" collapsed="false">
      <c r="A409" s="5" t="s">
        <v>925</v>
      </c>
      <c r="B409" s="5" t="s">
        <v>926</v>
      </c>
      <c r="C409" s="5" t="s">
        <v>653</v>
      </c>
      <c r="D409" s="5" t="n">
        <v>498.9</v>
      </c>
      <c r="E409" s="5" t="n">
        <v>18</v>
      </c>
      <c r="F409" s="5" t="n">
        <v>4</v>
      </c>
      <c r="G409" s="5" t="n">
        <v>5110</v>
      </c>
    </row>
    <row r="410" customFormat="false" ht="15" hidden="false" customHeight="true" outlineLevel="0" collapsed="false">
      <c r="A410" s="5" t="s">
        <v>936</v>
      </c>
      <c r="B410" s="5" t="s">
        <v>937</v>
      </c>
      <c r="C410" s="5" t="s">
        <v>690</v>
      </c>
      <c r="D410" s="5" t="n">
        <v>624.4</v>
      </c>
      <c r="E410" s="5" t="n">
        <v>11</v>
      </c>
      <c r="F410" s="5" t="n">
        <v>9</v>
      </c>
      <c r="G410" s="5" t="n">
        <v>6250</v>
      </c>
    </row>
    <row r="411" customFormat="false" ht="15" hidden="false" customHeight="true" outlineLevel="0" collapsed="false">
      <c r="A411" s="5" t="s">
        <v>933</v>
      </c>
      <c r="B411" s="5" t="s">
        <v>934</v>
      </c>
      <c r="C411" s="5" t="s">
        <v>690</v>
      </c>
      <c r="D411" s="5" t="n">
        <v>120.2</v>
      </c>
      <c r="E411" s="5" t="n">
        <v>10</v>
      </c>
      <c r="F411" s="5" t="n">
        <v>4</v>
      </c>
      <c r="G411" s="5" t="n">
        <v>2631</v>
      </c>
    </row>
    <row r="412" customFormat="false" ht="15" hidden="false" customHeight="true" outlineLevel="0" collapsed="false">
      <c r="A412" s="5" t="s">
        <v>952</v>
      </c>
      <c r="B412" s="5" t="s">
        <v>953</v>
      </c>
      <c r="C412" s="5" t="s">
        <v>690</v>
      </c>
      <c r="D412" s="5" t="n">
        <v>509</v>
      </c>
      <c r="E412" s="5" t="n">
        <v>19</v>
      </c>
      <c r="F412" s="5" t="n">
        <v>4</v>
      </c>
      <c r="G412" s="5" t="n">
        <v>5614</v>
      </c>
    </row>
    <row r="413" customFormat="false" ht="15" hidden="false" customHeight="true" outlineLevel="0" collapsed="false">
      <c r="A413" s="5" t="s">
        <v>954</v>
      </c>
      <c r="B413" s="5" t="s">
        <v>955</v>
      </c>
      <c r="C413" s="5" t="s">
        <v>690</v>
      </c>
      <c r="D413" s="5" t="n">
        <v>58.3</v>
      </c>
      <c r="E413" s="5" t="n">
        <v>16</v>
      </c>
      <c r="F413" s="5" t="n">
        <v>6</v>
      </c>
      <c r="G413" s="5" t="n">
        <v>9539</v>
      </c>
    </row>
    <row r="414" customFormat="false" ht="15" hidden="false" customHeight="true" outlineLevel="0" collapsed="false">
      <c r="A414" s="5" t="s">
        <v>923</v>
      </c>
      <c r="B414" s="5" t="s">
        <v>924</v>
      </c>
      <c r="C414" s="5" t="s">
        <v>690</v>
      </c>
      <c r="D414" s="5" t="n">
        <v>93.4</v>
      </c>
      <c r="E414" s="5" t="n">
        <v>7</v>
      </c>
      <c r="F414" s="5" t="n">
        <v>1</v>
      </c>
      <c r="G414" s="5" t="n">
        <v>10816</v>
      </c>
    </row>
    <row r="415" customFormat="false" ht="15" hidden="false" customHeight="true" outlineLevel="0" collapsed="false">
      <c r="A415" s="5" t="s">
        <v>929</v>
      </c>
      <c r="B415" s="5" t="s">
        <v>930</v>
      </c>
      <c r="C415" s="5" t="s">
        <v>690</v>
      </c>
      <c r="D415" s="5" t="n">
        <v>733.9</v>
      </c>
      <c r="E415" s="5" t="n">
        <v>8</v>
      </c>
      <c r="F415" s="5" t="n">
        <v>7</v>
      </c>
      <c r="G415" s="5" t="n">
        <v>9593</v>
      </c>
    </row>
    <row r="416" customFormat="false" ht="15" hidden="false" customHeight="true" outlineLevel="0" collapsed="false">
      <c r="A416" s="5" t="s">
        <v>944</v>
      </c>
      <c r="B416" s="5" t="s">
        <v>945</v>
      </c>
      <c r="C416" s="5" t="s">
        <v>690</v>
      </c>
      <c r="D416" s="5" t="n">
        <v>368.5</v>
      </c>
      <c r="E416" s="5" t="n">
        <v>9</v>
      </c>
      <c r="F416" s="5" t="n">
        <v>13</v>
      </c>
      <c r="G416" s="5" t="n">
        <v>6506</v>
      </c>
    </row>
    <row r="417" customFormat="false" ht="15" hidden="false" customHeight="true" outlineLevel="0" collapsed="false">
      <c r="A417" s="5" t="s">
        <v>946</v>
      </c>
      <c r="B417" s="5" t="s">
        <v>947</v>
      </c>
      <c r="C417" s="5" t="s">
        <v>690</v>
      </c>
      <c r="D417" s="5" t="n">
        <v>254.5</v>
      </c>
      <c r="E417" s="5" t="n">
        <v>4</v>
      </c>
      <c r="F417" s="5" t="n">
        <v>13</v>
      </c>
      <c r="G417" s="5" t="n">
        <v>3265</v>
      </c>
    </row>
    <row r="418" customFormat="false" ht="15" hidden="false" customHeight="true" outlineLevel="0" collapsed="false">
      <c r="A418" s="5" t="s">
        <v>938</v>
      </c>
      <c r="B418" s="5" t="s">
        <v>939</v>
      </c>
      <c r="C418" s="5" t="s">
        <v>690</v>
      </c>
      <c r="D418" s="5" t="n">
        <v>496.2</v>
      </c>
      <c r="E418" s="5" t="n">
        <v>10</v>
      </c>
      <c r="F418" s="5" t="n">
        <v>9</v>
      </c>
      <c r="G418" s="5" t="n">
        <v>2411</v>
      </c>
    </row>
    <row r="419" customFormat="false" ht="15" hidden="false" customHeight="true" outlineLevel="0" collapsed="false">
      <c r="A419" s="5" t="s">
        <v>927</v>
      </c>
      <c r="B419" s="5" t="s">
        <v>928</v>
      </c>
      <c r="C419" s="5" t="s">
        <v>690</v>
      </c>
      <c r="D419" s="5" t="n">
        <v>686.7</v>
      </c>
      <c r="E419" s="5" t="n">
        <v>8</v>
      </c>
      <c r="F419" s="5" t="n">
        <v>7</v>
      </c>
      <c r="G419" s="5" t="n">
        <v>4680</v>
      </c>
    </row>
    <row r="420" customFormat="false" ht="15" hidden="false" customHeight="true" outlineLevel="0" collapsed="false">
      <c r="A420" s="5" t="s">
        <v>920</v>
      </c>
      <c r="B420" s="5" t="s">
        <v>919</v>
      </c>
      <c r="C420" s="5" t="s">
        <v>690</v>
      </c>
      <c r="D420" s="5" t="n">
        <v>701.8</v>
      </c>
      <c r="E420" s="5" t="n">
        <v>4</v>
      </c>
      <c r="F420" s="5" t="n">
        <v>14</v>
      </c>
      <c r="G420" s="5" t="n">
        <v>8304</v>
      </c>
    </row>
    <row r="421" customFormat="false" ht="15" hidden="false" customHeight="true" outlineLevel="0" collapsed="false">
      <c r="A421" s="5" t="s">
        <v>960</v>
      </c>
      <c r="B421" s="5" t="s">
        <v>961</v>
      </c>
      <c r="C421" s="5" t="s">
        <v>690</v>
      </c>
      <c r="D421" s="5" t="n">
        <v>595.2</v>
      </c>
      <c r="E421" s="5" t="n">
        <v>8</v>
      </c>
      <c r="F421" s="5" t="n">
        <v>12</v>
      </c>
      <c r="G421" s="5" t="n">
        <v>6542</v>
      </c>
    </row>
    <row r="422" customFormat="false" ht="15" hidden="false" customHeight="true" outlineLevel="0" collapsed="false">
      <c r="A422" s="5" t="s">
        <v>950</v>
      </c>
      <c r="B422" s="5" t="s">
        <v>951</v>
      </c>
      <c r="C422" s="5" t="s">
        <v>690</v>
      </c>
      <c r="D422" s="5" t="n">
        <v>660</v>
      </c>
      <c r="E422" s="5" t="n">
        <v>3</v>
      </c>
      <c r="F422" s="5" t="n">
        <v>5</v>
      </c>
      <c r="G422" s="5" t="n">
        <v>11105</v>
      </c>
    </row>
    <row r="423" customFormat="false" ht="15" hidden="false" customHeight="true" outlineLevel="0" collapsed="false">
      <c r="A423" s="5" t="s">
        <v>948</v>
      </c>
      <c r="B423" s="5" t="s">
        <v>949</v>
      </c>
      <c r="C423" s="5" t="s">
        <v>690</v>
      </c>
      <c r="D423" s="5" t="n">
        <v>460</v>
      </c>
      <c r="E423" s="5" t="n">
        <v>13</v>
      </c>
      <c r="F423" s="5" t="n">
        <v>5</v>
      </c>
      <c r="G423" s="5" t="n">
        <v>9244</v>
      </c>
    </row>
    <row r="424" customFormat="false" ht="15" hidden="false" customHeight="true" outlineLevel="0" collapsed="false">
      <c r="A424" s="5" t="s">
        <v>918</v>
      </c>
      <c r="B424" s="5" t="s">
        <v>919</v>
      </c>
      <c r="C424" s="5" t="s">
        <v>690</v>
      </c>
      <c r="D424" s="5" t="n">
        <v>742</v>
      </c>
      <c r="E424" s="5" t="n">
        <v>20</v>
      </c>
      <c r="F424" s="5" t="n">
        <v>9</v>
      </c>
      <c r="G424" s="5" t="n">
        <v>9892</v>
      </c>
    </row>
    <row r="425" customFormat="false" ht="15" hidden="false" customHeight="true" outlineLevel="0" collapsed="false">
      <c r="A425" s="5" t="s">
        <v>921</v>
      </c>
      <c r="B425" s="5" t="s">
        <v>922</v>
      </c>
      <c r="C425" s="5" t="s">
        <v>690</v>
      </c>
      <c r="D425" s="5" t="n">
        <v>669.2</v>
      </c>
      <c r="E425" s="5" t="n">
        <v>7</v>
      </c>
      <c r="F425" s="5" t="n">
        <v>14</v>
      </c>
      <c r="G425" s="5" t="n">
        <v>10061</v>
      </c>
    </row>
    <row r="426" customFormat="false" ht="15" hidden="false" customHeight="true" outlineLevel="0" collapsed="false">
      <c r="A426" s="5" t="s">
        <v>958</v>
      </c>
      <c r="B426" s="5" t="s">
        <v>959</v>
      </c>
      <c r="C426" s="5" t="s">
        <v>690</v>
      </c>
      <c r="D426" s="5" t="n">
        <v>361.7</v>
      </c>
      <c r="E426" s="5" t="n">
        <v>9</v>
      </c>
      <c r="F426" s="5" t="n">
        <v>13</v>
      </c>
      <c r="G426" s="5" t="n">
        <v>3645</v>
      </c>
    </row>
    <row r="427" customFormat="false" ht="15" hidden="false" customHeight="true" outlineLevel="0" collapsed="false">
      <c r="A427" s="5" t="s">
        <v>956</v>
      </c>
      <c r="B427" s="5" t="s">
        <v>957</v>
      </c>
      <c r="C427" s="5" t="s">
        <v>690</v>
      </c>
      <c r="D427" s="5" t="n">
        <v>261.4</v>
      </c>
      <c r="E427" s="5" t="n">
        <v>17</v>
      </c>
      <c r="F427" s="5" t="n">
        <v>11</v>
      </c>
      <c r="G427" s="5" t="n">
        <v>6015</v>
      </c>
    </row>
    <row r="428" customFormat="false" ht="15" hidden="false" customHeight="true" outlineLevel="0" collapsed="false">
      <c r="A428" s="5" t="s">
        <v>942</v>
      </c>
      <c r="B428" s="5" t="s">
        <v>943</v>
      </c>
      <c r="C428" s="5" t="s">
        <v>690</v>
      </c>
      <c r="D428" s="5" t="n">
        <v>544.6</v>
      </c>
      <c r="E428" s="5" t="n">
        <v>3</v>
      </c>
      <c r="F428" s="5" t="n">
        <v>12</v>
      </c>
      <c r="G428" s="5" t="n">
        <v>7323</v>
      </c>
    </row>
    <row r="429" customFormat="false" ht="15" hidden="false" customHeight="true" outlineLevel="0" collapsed="false">
      <c r="A429" s="5" t="s">
        <v>935</v>
      </c>
      <c r="B429" s="5" t="s">
        <v>930</v>
      </c>
      <c r="C429" s="5" t="s">
        <v>690</v>
      </c>
      <c r="D429" s="5" t="n">
        <v>597.3</v>
      </c>
      <c r="E429" s="5" t="n">
        <v>9</v>
      </c>
      <c r="F429" s="5" t="n">
        <v>3</v>
      </c>
      <c r="G429" s="5" t="n">
        <v>11809</v>
      </c>
    </row>
    <row r="430" customFormat="false" ht="15" hidden="false" customHeight="true" outlineLevel="0" collapsed="false">
      <c r="A430" s="5" t="s">
        <v>931</v>
      </c>
      <c r="B430" s="5" t="s">
        <v>932</v>
      </c>
      <c r="C430" s="5" t="s">
        <v>690</v>
      </c>
      <c r="D430" s="5" t="n">
        <v>645</v>
      </c>
      <c r="E430" s="5" t="n">
        <v>15</v>
      </c>
      <c r="F430" s="5" t="n">
        <v>14</v>
      </c>
      <c r="G430" s="5" t="n">
        <v>8807</v>
      </c>
    </row>
    <row r="431" customFormat="false" ht="15" hidden="false" customHeight="true" outlineLevel="0" collapsed="false">
      <c r="A431" s="5" t="s">
        <v>962</v>
      </c>
      <c r="B431" s="5" t="s">
        <v>962</v>
      </c>
      <c r="C431" s="5" t="s">
        <v>690</v>
      </c>
      <c r="D431" s="5" t="n">
        <v>396.2</v>
      </c>
      <c r="E431" s="5" t="n">
        <v>5</v>
      </c>
      <c r="F431" s="5" t="n">
        <v>7</v>
      </c>
      <c r="G431" s="5" t="n">
        <v>3362</v>
      </c>
    </row>
    <row r="432" customFormat="false" ht="15" hidden="false" customHeight="true" outlineLevel="0" collapsed="false">
      <c r="A432" s="5" t="s">
        <v>940</v>
      </c>
      <c r="B432" s="5" t="s">
        <v>941</v>
      </c>
      <c r="C432" s="5" t="s">
        <v>690</v>
      </c>
      <c r="D432" s="5" t="n">
        <v>154.9</v>
      </c>
      <c r="E432" s="5" t="n">
        <v>7</v>
      </c>
      <c r="F432" s="5" t="n">
        <v>8</v>
      </c>
      <c r="G432" s="5" t="n">
        <v>7101</v>
      </c>
    </row>
    <row r="433" customFormat="false" ht="15" hidden="false" customHeight="true" outlineLevel="0" collapsed="false">
      <c r="A433" s="5" t="s">
        <v>925</v>
      </c>
      <c r="B433" s="5" t="s">
        <v>926</v>
      </c>
      <c r="C433" s="5" t="s">
        <v>690</v>
      </c>
      <c r="D433" s="5" t="n">
        <v>703.2</v>
      </c>
      <c r="E433" s="5" t="n">
        <v>3</v>
      </c>
      <c r="F433" s="5" t="n">
        <v>5</v>
      </c>
      <c r="G433" s="5" t="n">
        <v>8084</v>
      </c>
    </row>
    <row r="434" customFormat="false" ht="15" hidden="false" customHeight="true" outlineLevel="0" collapsed="false">
      <c r="A434" s="5" t="s">
        <v>936</v>
      </c>
      <c r="B434" s="5" t="s">
        <v>937</v>
      </c>
      <c r="C434" s="5" t="s">
        <v>727</v>
      </c>
      <c r="D434" s="5" t="n">
        <v>191.9</v>
      </c>
      <c r="E434" s="5" t="n">
        <v>11</v>
      </c>
      <c r="F434" s="5" t="n">
        <v>6</v>
      </c>
      <c r="G434" s="5" t="n">
        <v>6747</v>
      </c>
    </row>
    <row r="435" customFormat="false" ht="15" hidden="false" customHeight="true" outlineLevel="0" collapsed="false">
      <c r="A435" s="5" t="s">
        <v>933</v>
      </c>
      <c r="B435" s="5" t="s">
        <v>934</v>
      </c>
      <c r="C435" s="5" t="s">
        <v>727</v>
      </c>
      <c r="D435" s="5" t="n">
        <v>445.2</v>
      </c>
      <c r="E435" s="5" t="n">
        <v>3</v>
      </c>
      <c r="F435" s="5" t="n">
        <v>5</v>
      </c>
      <c r="G435" s="5" t="n">
        <v>7690</v>
      </c>
    </row>
    <row r="436" customFormat="false" ht="15" hidden="false" customHeight="true" outlineLevel="0" collapsed="false">
      <c r="A436" s="5" t="s">
        <v>952</v>
      </c>
      <c r="B436" s="5" t="s">
        <v>953</v>
      </c>
      <c r="C436" s="5" t="s">
        <v>727</v>
      </c>
      <c r="D436" s="5" t="n">
        <v>525.7</v>
      </c>
      <c r="E436" s="5" t="n">
        <v>4</v>
      </c>
      <c r="F436" s="5" t="n">
        <v>11</v>
      </c>
      <c r="G436" s="5" t="n">
        <v>3736</v>
      </c>
    </row>
    <row r="437" customFormat="false" ht="15" hidden="false" customHeight="true" outlineLevel="0" collapsed="false">
      <c r="A437" s="5" t="s">
        <v>954</v>
      </c>
      <c r="B437" s="5" t="s">
        <v>955</v>
      </c>
      <c r="C437" s="5" t="s">
        <v>727</v>
      </c>
      <c r="D437" s="5" t="n">
        <v>359.7</v>
      </c>
      <c r="E437" s="5" t="n">
        <v>8</v>
      </c>
      <c r="F437" s="5" t="n">
        <v>7</v>
      </c>
      <c r="G437" s="5" t="n">
        <v>10033</v>
      </c>
    </row>
    <row r="438" customFormat="false" ht="15" hidden="false" customHeight="true" outlineLevel="0" collapsed="false">
      <c r="A438" s="5" t="s">
        <v>923</v>
      </c>
      <c r="B438" s="5" t="s">
        <v>924</v>
      </c>
      <c r="C438" s="5" t="s">
        <v>727</v>
      </c>
      <c r="D438" s="5" t="n">
        <v>693.9</v>
      </c>
      <c r="E438" s="5" t="n">
        <v>12</v>
      </c>
      <c r="F438" s="5" t="n">
        <v>12</v>
      </c>
      <c r="G438" s="5" t="n">
        <v>3723</v>
      </c>
    </row>
    <row r="439" customFormat="false" ht="15" hidden="false" customHeight="true" outlineLevel="0" collapsed="false">
      <c r="A439" s="5" t="s">
        <v>929</v>
      </c>
      <c r="B439" s="5" t="s">
        <v>930</v>
      </c>
      <c r="C439" s="5" t="s">
        <v>727</v>
      </c>
      <c r="D439" s="5" t="n">
        <v>486.3</v>
      </c>
      <c r="E439" s="5" t="n">
        <v>12</v>
      </c>
      <c r="F439" s="5" t="n">
        <v>6</v>
      </c>
      <c r="G439" s="5" t="n">
        <v>11870</v>
      </c>
    </row>
    <row r="440" customFormat="false" ht="15" hidden="false" customHeight="true" outlineLevel="0" collapsed="false">
      <c r="A440" s="5" t="s">
        <v>944</v>
      </c>
      <c r="B440" s="5" t="s">
        <v>945</v>
      </c>
      <c r="C440" s="5" t="s">
        <v>727</v>
      </c>
      <c r="D440" s="5" t="n">
        <v>181.2</v>
      </c>
      <c r="E440" s="5" t="n">
        <v>7</v>
      </c>
      <c r="F440" s="5" t="n">
        <v>8</v>
      </c>
      <c r="G440" s="5" t="n">
        <v>4309</v>
      </c>
    </row>
    <row r="441" customFormat="false" ht="15" hidden="false" customHeight="true" outlineLevel="0" collapsed="false">
      <c r="A441" s="5" t="s">
        <v>946</v>
      </c>
      <c r="B441" s="5" t="s">
        <v>947</v>
      </c>
      <c r="C441" s="5" t="s">
        <v>727</v>
      </c>
      <c r="D441" s="5" t="n">
        <v>352.1</v>
      </c>
      <c r="E441" s="5" t="n">
        <v>14</v>
      </c>
      <c r="F441" s="5" t="n">
        <v>7</v>
      </c>
      <c r="G441" s="5" t="n">
        <v>10798</v>
      </c>
    </row>
    <row r="442" customFormat="false" ht="15" hidden="false" customHeight="true" outlineLevel="0" collapsed="false">
      <c r="A442" s="5" t="s">
        <v>938</v>
      </c>
      <c r="B442" s="5" t="s">
        <v>939</v>
      </c>
      <c r="C442" s="5" t="s">
        <v>727</v>
      </c>
      <c r="D442" s="5" t="n">
        <v>686.3</v>
      </c>
      <c r="E442" s="5" t="n">
        <v>20</v>
      </c>
      <c r="F442" s="5" t="n">
        <v>13</v>
      </c>
      <c r="G442" s="5" t="n">
        <v>5378</v>
      </c>
    </row>
    <row r="443" customFormat="false" ht="15" hidden="false" customHeight="true" outlineLevel="0" collapsed="false">
      <c r="A443" s="5" t="s">
        <v>927</v>
      </c>
      <c r="B443" s="5" t="s">
        <v>928</v>
      </c>
      <c r="C443" s="5" t="s">
        <v>727</v>
      </c>
      <c r="D443" s="5" t="n">
        <v>576.2</v>
      </c>
      <c r="E443" s="5" t="n">
        <v>5</v>
      </c>
      <c r="F443" s="5" t="n">
        <v>9</v>
      </c>
      <c r="G443" s="5" t="n">
        <v>9119</v>
      </c>
    </row>
    <row r="444" customFormat="false" ht="15" hidden="false" customHeight="true" outlineLevel="0" collapsed="false">
      <c r="A444" s="5" t="s">
        <v>920</v>
      </c>
      <c r="B444" s="5" t="s">
        <v>919</v>
      </c>
      <c r="C444" s="5" t="s">
        <v>727</v>
      </c>
      <c r="D444" s="5" t="n">
        <v>405.6</v>
      </c>
      <c r="E444" s="5" t="n">
        <v>14</v>
      </c>
      <c r="F444" s="5" t="n">
        <v>2</v>
      </c>
      <c r="G444" s="5" t="n">
        <v>11043</v>
      </c>
    </row>
    <row r="445" customFormat="false" ht="15" hidden="false" customHeight="true" outlineLevel="0" collapsed="false">
      <c r="A445" s="5" t="s">
        <v>960</v>
      </c>
      <c r="B445" s="5" t="s">
        <v>961</v>
      </c>
      <c r="C445" s="5" t="s">
        <v>727</v>
      </c>
      <c r="D445" s="5" t="n">
        <v>101.9</v>
      </c>
      <c r="E445" s="5" t="n">
        <v>20</v>
      </c>
      <c r="F445" s="5" t="n">
        <v>9</v>
      </c>
      <c r="G445" s="5" t="n">
        <v>5112</v>
      </c>
    </row>
    <row r="446" customFormat="false" ht="15" hidden="false" customHeight="true" outlineLevel="0" collapsed="false">
      <c r="A446" s="5" t="s">
        <v>950</v>
      </c>
      <c r="B446" s="5" t="s">
        <v>951</v>
      </c>
      <c r="C446" s="5" t="s">
        <v>727</v>
      </c>
      <c r="D446" s="5" t="n">
        <v>438.1</v>
      </c>
      <c r="E446" s="5" t="n">
        <v>7</v>
      </c>
      <c r="F446" s="5" t="n">
        <v>3</v>
      </c>
      <c r="G446" s="5" t="n">
        <v>7175</v>
      </c>
    </row>
    <row r="447" customFormat="false" ht="15" hidden="false" customHeight="true" outlineLevel="0" collapsed="false">
      <c r="A447" s="5" t="s">
        <v>948</v>
      </c>
      <c r="B447" s="5" t="s">
        <v>949</v>
      </c>
      <c r="C447" s="5" t="s">
        <v>727</v>
      </c>
      <c r="D447" s="5" t="n">
        <v>643.8</v>
      </c>
      <c r="E447" s="5" t="n">
        <v>17</v>
      </c>
      <c r="F447" s="5" t="n">
        <v>2</v>
      </c>
      <c r="G447" s="5" t="n">
        <v>5165</v>
      </c>
    </row>
    <row r="448" customFormat="false" ht="15" hidden="false" customHeight="true" outlineLevel="0" collapsed="false">
      <c r="A448" s="5" t="s">
        <v>918</v>
      </c>
      <c r="B448" s="5" t="s">
        <v>919</v>
      </c>
      <c r="C448" s="5" t="s">
        <v>727</v>
      </c>
      <c r="D448" s="5" t="n">
        <v>543.4</v>
      </c>
      <c r="E448" s="5" t="n">
        <v>18</v>
      </c>
      <c r="F448" s="5" t="n">
        <v>2</v>
      </c>
      <c r="G448" s="5" t="n">
        <v>10161</v>
      </c>
    </row>
    <row r="449" customFormat="false" ht="15" hidden="false" customHeight="true" outlineLevel="0" collapsed="false">
      <c r="A449" s="5" t="s">
        <v>921</v>
      </c>
      <c r="B449" s="5" t="s">
        <v>922</v>
      </c>
      <c r="C449" s="5" t="s">
        <v>727</v>
      </c>
      <c r="D449" s="5" t="n">
        <v>345.2</v>
      </c>
      <c r="E449" s="5" t="n">
        <v>4</v>
      </c>
      <c r="F449" s="5" t="n">
        <v>8</v>
      </c>
      <c r="G449" s="5" t="n">
        <v>3961</v>
      </c>
    </row>
    <row r="450" customFormat="false" ht="15" hidden="false" customHeight="true" outlineLevel="0" collapsed="false">
      <c r="A450" s="5" t="s">
        <v>958</v>
      </c>
      <c r="B450" s="5" t="s">
        <v>959</v>
      </c>
      <c r="C450" s="5" t="s">
        <v>727</v>
      </c>
      <c r="D450" s="5" t="n">
        <v>394.7</v>
      </c>
      <c r="E450" s="5" t="n">
        <v>17</v>
      </c>
      <c r="F450" s="5" t="n">
        <v>10</v>
      </c>
      <c r="G450" s="5" t="n">
        <v>2745</v>
      </c>
    </row>
    <row r="451" customFormat="false" ht="15" hidden="false" customHeight="true" outlineLevel="0" collapsed="false">
      <c r="A451" s="5" t="s">
        <v>956</v>
      </c>
      <c r="B451" s="5" t="s">
        <v>957</v>
      </c>
      <c r="C451" s="5" t="s">
        <v>727</v>
      </c>
      <c r="D451" s="5" t="n">
        <v>427.9</v>
      </c>
      <c r="E451" s="5" t="n">
        <v>12</v>
      </c>
      <c r="F451" s="5" t="n">
        <v>12</v>
      </c>
      <c r="G451" s="5" t="n">
        <v>2156</v>
      </c>
    </row>
    <row r="452" customFormat="false" ht="15" hidden="false" customHeight="true" outlineLevel="0" collapsed="false">
      <c r="A452" s="5" t="s">
        <v>942</v>
      </c>
      <c r="B452" s="5" t="s">
        <v>943</v>
      </c>
      <c r="C452" s="5" t="s">
        <v>727</v>
      </c>
      <c r="D452" s="5" t="n">
        <v>309</v>
      </c>
      <c r="E452" s="5" t="n">
        <v>3</v>
      </c>
      <c r="F452" s="5" t="n">
        <v>12</v>
      </c>
      <c r="G452" s="5" t="n">
        <v>5370</v>
      </c>
    </row>
    <row r="453" customFormat="false" ht="15" hidden="false" customHeight="true" outlineLevel="0" collapsed="false">
      <c r="A453" s="5" t="s">
        <v>935</v>
      </c>
      <c r="B453" s="5" t="s">
        <v>930</v>
      </c>
      <c r="C453" s="5" t="s">
        <v>727</v>
      </c>
      <c r="D453" s="5" t="n">
        <v>442.2</v>
      </c>
      <c r="E453" s="5" t="n">
        <v>4</v>
      </c>
      <c r="F453" s="5" t="n">
        <v>7</v>
      </c>
      <c r="G453" s="5" t="n">
        <v>7444</v>
      </c>
    </row>
    <row r="454" customFormat="false" ht="15" hidden="false" customHeight="true" outlineLevel="0" collapsed="false">
      <c r="A454" s="5" t="s">
        <v>931</v>
      </c>
      <c r="B454" s="5" t="s">
        <v>932</v>
      </c>
      <c r="C454" s="5" t="s">
        <v>727</v>
      </c>
      <c r="D454" s="5" t="n">
        <v>531.3</v>
      </c>
      <c r="E454" s="5" t="n">
        <v>20</v>
      </c>
      <c r="F454" s="5" t="n">
        <v>1</v>
      </c>
      <c r="G454" s="5" t="n">
        <v>2930</v>
      </c>
    </row>
    <row r="455" customFormat="false" ht="15" hidden="false" customHeight="true" outlineLevel="0" collapsed="false">
      <c r="A455" s="5" t="s">
        <v>962</v>
      </c>
      <c r="B455" s="5" t="s">
        <v>962</v>
      </c>
      <c r="C455" s="5" t="s">
        <v>727</v>
      </c>
      <c r="D455" s="5" t="n">
        <v>739.9</v>
      </c>
      <c r="E455" s="5" t="n">
        <v>18</v>
      </c>
      <c r="F455" s="5" t="n">
        <v>1</v>
      </c>
      <c r="G455" s="5" t="n">
        <v>6503</v>
      </c>
    </row>
    <row r="456" customFormat="false" ht="15" hidden="false" customHeight="true" outlineLevel="0" collapsed="false">
      <c r="A456" s="5" t="s">
        <v>940</v>
      </c>
      <c r="B456" s="5" t="s">
        <v>941</v>
      </c>
      <c r="C456" s="5" t="s">
        <v>727</v>
      </c>
      <c r="D456" s="5" t="n">
        <v>318.5</v>
      </c>
      <c r="E456" s="5" t="n">
        <v>7</v>
      </c>
      <c r="F456" s="5" t="n">
        <v>13</v>
      </c>
      <c r="G456" s="5" t="n">
        <v>8687</v>
      </c>
    </row>
    <row r="457" customFormat="false" ht="15" hidden="false" customHeight="true" outlineLevel="0" collapsed="false">
      <c r="A457" s="5" t="s">
        <v>925</v>
      </c>
      <c r="B457" s="5" t="s">
        <v>926</v>
      </c>
      <c r="C457" s="5" t="s">
        <v>727</v>
      </c>
      <c r="D457" s="5" t="n">
        <v>293.4</v>
      </c>
      <c r="E457" s="5" t="n">
        <v>15</v>
      </c>
      <c r="F457" s="5" t="n">
        <v>8</v>
      </c>
      <c r="G457" s="5" t="n">
        <v>7984</v>
      </c>
    </row>
    <row r="458" customFormat="false" ht="15" hidden="false" customHeight="true" outlineLevel="0" collapsed="false">
      <c r="A458" s="5" t="s">
        <v>936</v>
      </c>
      <c r="B458" s="5" t="s">
        <v>937</v>
      </c>
      <c r="C458" s="5" t="s">
        <v>764</v>
      </c>
      <c r="D458" s="5" t="n">
        <v>294.2</v>
      </c>
      <c r="E458" s="5" t="n">
        <v>20</v>
      </c>
      <c r="F458" s="5" t="n">
        <v>3</v>
      </c>
      <c r="G458" s="5" t="n">
        <v>7497</v>
      </c>
    </row>
    <row r="459" customFormat="false" ht="15" hidden="false" customHeight="true" outlineLevel="0" collapsed="false">
      <c r="A459" s="5" t="s">
        <v>933</v>
      </c>
      <c r="B459" s="5" t="s">
        <v>934</v>
      </c>
      <c r="C459" s="5" t="s">
        <v>764</v>
      </c>
      <c r="D459" s="5" t="n">
        <v>106.6</v>
      </c>
      <c r="E459" s="5" t="n">
        <v>20</v>
      </c>
      <c r="F459" s="5" t="n">
        <v>7</v>
      </c>
      <c r="G459" s="5" t="n">
        <v>10464</v>
      </c>
    </row>
    <row r="460" customFormat="false" ht="15" hidden="false" customHeight="true" outlineLevel="0" collapsed="false">
      <c r="A460" s="5" t="s">
        <v>952</v>
      </c>
      <c r="B460" s="5" t="s">
        <v>953</v>
      </c>
      <c r="C460" s="5" t="s">
        <v>764</v>
      </c>
      <c r="D460" s="5" t="n">
        <v>113</v>
      </c>
      <c r="E460" s="5" t="n">
        <v>10</v>
      </c>
      <c r="F460" s="5" t="n">
        <v>14</v>
      </c>
      <c r="G460" s="5" t="n">
        <v>1856</v>
      </c>
    </row>
    <row r="461" customFormat="false" ht="15" hidden="false" customHeight="true" outlineLevel="0" collapsed="false">
      <c r="A461" s="5" t="s">
        <v>954</v>
      </c>
      <c r="B461" s="5" t="s">
        <v>955</v>
      </c>
      <c r="C461" s="5" t="s">
        <v>764</v>
      </c>
      <c r="D461" s="5" t="n">
        <v>572</v>
      </c>
      <c r="E461" s="5" t="n">
        <v>12</v>
      </c>
      <c r="F461" s="5" t="n">
        <v>8</v>
      </c>
      <c r="G461" s="5" t="n">
        <v>10720</v>
      </c>
    </row>
    <row r="462" customFormat="false" ht="15" hidden="false" customHeight="true" outlineLevel="0" collapsed="false">
      <c r="A462" s="5" t="s">
        <v>923</v>
      </c>
      <c r="B462" s="5" t="s">
        <v>924</v>
      </c>
      <c r="C462" s="5" t="s">
        <v>764</v>
      </c>
      <c r="D462" s="5" t="n">
        <v>329.6</v>
      </c>
      <c r="E462" s="5" t="n">
        <v>15</v>
      </c>
      <c r="F462" s="5" t="n">
        <v>14</v>
      </c>
      <c r="G462" s="5" t="n">
        <v>5562</v>
      </c>
    </row>
    <row r="463" customFormat="false" ht="15" hidden="false" customHeight="true" outlineLevel="0" collapsed="false">
      <c r="A463" s="5" t="s">
        <v>929</v>
      </c>
      <c r="B463" s="5" t="s">
        <v>930</v>
      </c>
      <c r="C463" s="5" t="s">
        <v>764</v>
      </c>
      <c r="D463" s="5" t="n">
        <v>200.7</v>
      </c>
      <c r="E463" s="5" t="n">
        <v>14</v>
      </c>
      <c r="F463" s="5" t="n">
        <v>3</v>
      </c>
      <c r="G463" s="5" t="n">
        <v>6316</v>
      </c>
    </row>
    <row r="464" customFormat="false" ht="15" hidden="false" customHeight="true" outlineLevel="0" collapsed="false">
      <c r="A464" s="5" t="s">
        <v>944</v>
      </c>
      <c r="B464" s="5" t="s">
        <v>945</v>
      </c>
      <c r="C464" s="5" t="s">
        <v>764</v>
      </c>
      <c r="D464" s="5" t="n">
        <v>157.6</v>
      </c>
      <c r="E464" s="5" t="n">
        <v>6</v>
      </c>
      <c r="F464" s="5" t="n">
        <v>1</v>
      </c>
      <c r="G464" s="5" t="n">
        <v>8668</v>
      </c>
    </row>
    <row r="465" customFormat="false" ht="15" hidden="false" customHeight="true" outlineLevel="0" collapsed="false">
      <c r="A465" s="5" t="s">
        <v>946</v>
      </c>
      <c r="B465" s="5" t="s">
        <v>947</v>
      </c>
      <c r="C465" s="5" t="s">
        <v>764</v>
      </c>
      <c r="D465" s="5" t="n">
        <v>468.9</v>
      </c>
      <c r="E465" s="5" t="n">
        <v>3</v>
      </c>
      <c r="F465" s="5" t="n">
        <v>4</v>
      </c>
      <c r="G465" s="5" t="n">
        <v>5176</v>
      </c>
    </row>
    <row r="466" customFormat="false" ht="15" hidden="false" customHeight="true" outlineLevel="0" collapsed="false">
      <c r="A466" s="5" t="s">
        <v>938</v>
      </c>
      <c r="B466" s="5" t="s">
        <v>939</v>
      </c>
      <c r="C466" s="5" t="s">
        <v>764</v>
      </c>
      <c r="D466" s="5" t="n">
        <v>69.1</v>
      </c>
      <c r="E466" s="5" t="n">
        <v>4</v>
      </c>
      <c r="F466" s="5" t="n">
        <v>8</v>
      </c>
      <c r="G466" s="5" t="n">
        <v>11594</v>
      </c>
    </row>
    <row r="467" customFormat="false" ht="15" hidden="false" customHeight="true" outlineLevel="0" collapsed="false">
      <c r="A467" s="5" t="s">
        <v>927</v>
      </c>
      <c r="B467" s="5" t="s">
        <v>928</v>
      </c>
      <c r="C467" s="5" t="s">
        <v>764</v>
      </c>
      <c r="D467" s="5" t="n">
        <v>510.6</v>
      </c>
      <c r="E467" s="5" t="n">
        <v>4</v>
      </c>
      <c r="F467" s="5" t="n">
        <v>4</v>
      </c>
      <c r="G467" s="5" t="n">
        <v>2524</v>
      </c>
    </row>
    <row r="468" customFormat="false" ht="15" hidden="false" customHeight="true" outlineLevel="0" collapsed="false">
      <c r="A468" s="5" t="s">
        <v>920</v>
      </c>
      <c r="B468" s="5" t="s">
        <v>919</v>
      </c>
      <c r="C468" s="5" t="s">
        <v>764</v>
      </c>
      <c r="D468" s="5" t="n">
        <v>313.7</v>
      </c>
      <c r="E468" s="5" t="n">
        <v>10</v>
      </c>
      <c r="F468" s="5" t="n">
        <v>9</v>
      </c>
      <c r="G468" s="5" t="n">
        <v>5359</v>
      </c>
    </row>
    <row r="469" customFormat="false" ht="15" hidden="false" customHeight="true" outlineLevel="0" collapsed="false">
      <c r="A469" s="5" t="s">
        <v>960</v>
      </c>
      <c r="B469" s="5" t="s">
        <v>961</v>
      </c>
      <c r="C469" s="5" t="s">
        <v>764</v>
      </c>
      <c r="D469" s="5" t="n">
        <v>570.7</v>
      </c>
      <c r="E469" s="5" t="n">
        <v>4</v>
      </c>
      <c r="F469" s="5" t="n">
        <v>3</v>
      </c>
      <c r="G469" s="5" t="n">
        <v>10055</v>
      </c>
    </row>
    <row r="470" customFormat="false" ht="15" hidden="false" customHeight="true" outlineLevel="0" collapsed="false">
      <c r="A470" s="5" t="s">
        <v>950</v>
      </c>
      <c r="B470" s="5" t="s">
        <v>951</v>
      </c>
      <c r="C470" s="5" t="s">
        <v>764</v>
      </c>
      <c r="D470" s="5" t="n">
        <v>745.2</v>
      </c>
      <c r="E470" s="5" t="n">
        <v>10</v>
      </c>
      <c r="F470" s="5" t="n">
        <v>14</v>
      </c>
      <c r="G470" s="5" t="n">
        <v>11238</v>
      </c>
    </row>
    <row r="471" customFormat="false" ht="15" hidden="false" customHeight="true" outlineLevel="0" collapsed="false">
      <c r="A471" s="5" t="s">
        <v>948</v>
      </c>
      <c r="B471" s="5" t="s">
        <v>949</v>
      </c>
      <c r="C471" s="5" t="s">
        <v>764</v>
      </c>
      <c r="D471" s="5" t="n">
        <v>252.8</v>
      </c>
      <c r="E471" s="5" t="n">
        <v>13</v>
      </c>
      <c r="F471" s="5" t="n">
        <v>4</v>
      </c>
      <c r="G471" s="5" t="n">
        <v>6744</v>
      </c>
    </row>
    <row r="472" customFormat="false" ht="15" hidden="false" customHeight="true" outlineLevel="0" collapsed="false">
      <c r="A472" s="5" t="s">
        <v>918</v>
      </c>
      <c r="B472" s="5" t="s">
        <v>919</v>
      </c>
      <c r="C472" s="5" t="s">
        <v>764</v>
      </c>
      <c r="D472" s="5" t="n">
        <v>659.7</v>
      </c>
      <c r="E472" s="5" t="n">
        <v>19</v>
      </c>
      <c r="F472" s="5" t="n">
        <v>4</v>
      </c>
      <c r="G472" s="5" t="n">
        <v>8575</v>
      </c>
    </row>
    <row r="473" customFormat="false" ht="15" hidden="false" customHeight="true" outlineLevel="0" collapsed="false">
      <c r="A473" s="5" t="s">
        <v>921</v>
      </c>
      <c r="B473" s="5" t="s">
        <v>922</v>
      </c>
      <c r="C473" s="5" t="s">
        <v>764</v>
      </c>
      <c r="D473" s="5" t="n">
        <v>239.4</v>
      </c>
      <c r="E473" s="5" t="n">
        <v>4</v>
      </c>
      <c r="F473" s="5" t="n">
        <v>9</v>
      </c>
      <c r="G473" s="5" t="n">
        <v>11493</v>
      </c>
    </row>
    <row r="474" customFormat="false" ht="15" hidden="false" customHeight="true" outlineLevel="0" collapsed="false">
      <c r="A474" s="5" t="s">
        <v>958</v>
      </c>
      <c r="B474" s="5" t="s">
        <v>959</v>
      </c>
      <c r="C474" s="5" t="s">
        <v>764</v>
      </c>
      <c r="D474" s="5" t="n">
        <v>662.2</v>
      </c>
      <c r="E474" s="5" t="n">
        <v>8</v>
      </c>
      <c r="F474" s="5" t="n">
        <v>11</v>
      </c>
      <c r="G474" s="5" t="n">
        <v>8799</v>
      </c>
    </row>
    <row r="475" customFormat="false" ht="15" hidden="false" customHeight="true" outlineLevel="0" collapsed="false">
      <c r="A475" s="5" t="s">
        <v>956</v>
      </c>
      <c r="B475" s="5" t="s">
        <v>957</v>
      </c>
      <c r="C475" s="5" t="s">
        <v>764</v>
      </c>
      <c r="D475" s="5" t="n">
        <v>425.8</v>
      </c>
      <c r="E475" s="5" t="n">
        <v>4</v>
      </c>
      <c r="F475" s="5" t="n">
        <v>6</v>
      </c>
      <c r="G475" s="5" t="n">
        <v>8044</v>
      </c>
    </row>
    <row r="476" customFormat="false" ht="15" hidden="false" customHeight="true" outlineLevel="0" collapsed="false">
      <c r="A476" s="5" t="s">
        <v>942</v>
      </c>
      <c r="B476" s="5" t="s">
        <v>943</v>
      </c>
      <c r="C476" s="5" t="s">
        <v>764</v>
      </c>
      <c r="D476" s="5" t="n">
        <v>593.6</v>
      </c>
      <c r="E476" s="5" t="n">
        <v>13</v>
      </c>
      <c r="F476" s="5" t="n">
        <v>12</v>
      </c>
      <c r="G476" s="5" t="n">
        <v>8621</v>
      </c>
    </row>
    <row r="477" customFormat="false" ht="15" hidden="false" customHeight="true" outlineLevel="0" collapsed="false">
      <c r="A477" s="5" t="s">
        <v>935</v>
      </c>
      <c r="B477" s="5" t="s">
        <v>930</v>
      </c>
      <c r="C477" s="5" t="s">
        <v>764</v>
      </c>
      <c r="D477" s="5" t="n">
        <v>318</v>
      </c>
      <c r="E477" s="5" t="n">
        <v>12</v>
      </c>
      <c r="F477" s="5" t="n">
        <v>7</v>
      </c>
      <c r="G477" s="5" t="n">
        <v>4812</v>
      </c>
    </row>
    <row r="478" customFormat="false" ht="15" hidden="false" customHeight="true" outlineLevel="0" collapsed="false">
      <c r="A478" s="5" t="s">
        <v>931</v>
      </c>
      <c r="B478" s="5" t="s">
        <v>932</v>
      </c>
      <c r="C478" s="5" t="s">
        <v>764</v>
      </c>
      <c r="D478" s="5" t="n">
        <v>570.7</v>
      </c>
      <c r="E478" s="5" t="n">
        <v>18</v>
      </c>
      <c r="F478" s="5" t="n">
        <v>4</v>
      </c>
      <c r="G478" s="5" t="n">
        <v>5492</v>
      </c>
    </row>
    <row r="479" customFormat="false" ht="15" hidden="false" customHeight="true" outlineLevel="0" collapsed="false">
      <c r="A479" s="5" t="s">
        <v>962</v>
      </c>
      <c r="B479" s="5" t="s">
        <v>962</v>
      </c>
      <c r="C479" s="5" t="s">
        <v>764</v>
      </c>
      <c r="D479" s="5" t="n">
        <v>239.5</v>
      </c>
      <c r="E479" s="5" t="n">
        <v>7</v>
      </c>
      <c r="F479" s="5" t="n">
        <v>13</v>
      </c>
      <c r="G479" s="5" t="n">
        <v>9386</v>
      </c>
    </row>
    <row r="480" customFormat="false" ht="15" hidden="false" customHeight="true" outlineLevel="0" collapsed="false">
      <c r="A480" s="5" t="s">
        <v>940</v>
      </c>
      <c r="B480" s="5" t="s">
        <v>941</v>
      </c>
      <c r="C480" s="5" t="s">
        <v>764</v>
      </c>
      <c r="D480" s="5" t="n">
        <v>687.8</v>
      </c>
      <c r="E480" s="5" t="n">
        <v>20</v>
      </c>
      <c r="F480" s="5" t="n">
        <v>7</v>
      </c>
      <c r="G480" s="5" t="n">
        <v>8624</v>
      </c>
    </row>
    <row r="481" customFormat="false" ht="15" hidden="false" customHeight="true" outlineLevel="0" collapsed="false">
      <c r="A481" s="5" t="s">
        <v>925</v>
      </c>
      <c r="B481" s="5" t="s">
        <v>926</v>
      </c>
      <c r="C481" s="5" t="s">
        <v>764</v>
      </c>
      <c r="D481" s="5" t="n">
        <v>426.8</v>
      </c>
      <c r="E481" s="5" t="n">
        <v>7</v>
      </c>
      <c r="F481" s="5" t="n">
        <v>7</v>
      </c>
      <c r="G481" s="5" t="n">
        <v>5778</v>
      </c>
    </row>
    <row r="482" customFormat="false" ht="15" hidden="false" customHeight="true" outlineLevel="0" collapsed="false">
      <c r="A482" s="5" t="s">
        <v>936</v>
      </c>
      <c r="B482" s="5" t="s">
        <v>937</v>
      </c>
      <c r="C482" s="5" t="s">
        <v>801</v>
      </c>
      <c r="D482" s="5" t="n">
        <v>206.1</v>
      </c>
      <c r="E482" s="5" t="n">
        <v>13</v>
      </c>
      <c r="F482" s="5" t="n">
        <v>11</v>
      </c>
      <c r="G482" s="5" t="n">
        <v>3095</v>
      </c>
    </row>
    <row r="483" customFormat="false" ht="15" hidden="false" customHeight="true" outlineLevel="0" collapsed="false">
      <c r="A483" s="5" t="s">
        <v>933</v>
      </c>
      <c r="B483" s="5" t="s">
        <v>934</v>
      </c>
      <c r="C483" s="5" t="s">
        <v>801</v>
      </c>
      <c r="D483" s="5" t="n">
        <v>693.2</v>
      </c>
      <c r="E483" s="5" t="n">
        <v>14</v>
      </c>
      <c r="F483" s="5" t="n">
        <v>2</v>
      </c>
      <c r="G483" s="5" t="n">
        <v>10575</v>
      </c>
    </row>
    <row r="484" customFormat="false" ht="15" hidden="false" customHeight="true" outlineLevel="0" collapsed="false">
      <c r="A484" s="5" t="s">
        <v>952</v>
      </c>
      <c r="B484" s="5" t="s">
        <v>953</v>
      </c>
      <c r="C484" s="5" t="s">
        <v>801</v>
      </c>
      <c r="D484" s="5" t="n">
        <v>548.9</v>
      </c>
      <c r="E484" s="5" t="n">
        <v>9</v>
      </c>
      <c r="F484" s="5" t="n">
        <v>1</v>
      </c>
      <c r="G484" s="5" t="n">
        <v>6198</v>
      </c>
    </row>
    <row r="485" customFormat="false" ht="15" hidden="false" customHeight="true" outlineLevel="0" collapsed="false">
      <c r="A485" s="5" t="s">
        <v>954</v>
      </c>
      <c r="B485" s="5" t="s">
        <v>955</v>
      </c>
      <c r="C485" s="5" t="s">
        <v>801</v>
      </c>
      <c r="D485" s="5" t="n">
        <v>295.3</v>
      </c>
      <c r="E485" s="5" t="n">
        <v>4</v>
      </c>
      <c r="F485" s="5" t="n">
        <v>14</v>
      </c>
      <c r="G485" s="5" t="n">
        <v>2992</v>
      </c>
    </row>
    <row r="486" customFormat="false" ht="15" hidden="false" customHeight="true" outlineLevel="0" collapsed="false">
      <c r="A486" s="5" t="s">
        <v>923</v>
      </c>
      <c r="B486" s="5" t="s">
        <v>924</v>
      </c>
      <c r="C486" s="5" t="s">
        <v>801</v>
      </c>
      <c r="D486" s="5" t="n">
        <v>157.4</v>
      </c>
      <c r="E486" s="5" t="n">
        <v>20</v>
      </c>
      <c r="F486" s="5" t="n">
        <v>4</v>
      </c>
      <c r="G486" s="5" t="n">
        <v>9654</v>
      </c>
    </row>
    <row r="487" customFormat="false" ht="15" hidden="false" customHeight="true" outlineLevel="0" collapsed="false">
      <c r="A487" s="5" t="s">
        <v>929</v>
      </c>
      <c r="B487" s="5" t="s">
        <v>930</v>
      </c>
      <c r="C487" s="5" t="s">
        <v>801</v>
      </c>
      <c r="D487" s="5" t="n">
        <v>172.5</v>
      </c>
      <c r="E487" s="5" t="n">
        <v>13</v>
      </c>
      <c r="F487" s="5" t="n">
        <v>5</v>
      </c>
      <c r="G487" s="5" t="n">
        <v>2051</v>
      </c>
    </row>
    <row r="488" customFormat="false" ht="15" hidden="false" customHeight="true" outlineLevel="0" collapsed="false">
      <c r="A488" s="5" t="s">
        <v>944</v>
      </c>
      <c r="B488" s="5" t="s">
        <v>945</v>
      </c>
      <c r="C488" s="5" t="s">
        <v>801</v>
      </c>
      <c r="D488" s="5" t="n">
        <v>174.6</v>
      </c>
      <c r="E488" s="5" t="n">
        <v>9</v>
      </c>
      <c r="F488" s="5" t="n">
        <v>12</v>
      </c>
      <c r="G488" s="5" t="n">
        <v>3722</v>
      </c>
    </row>
    <row r="489" customFormat="false" ht="15" hidden="false" customHeight="true" outlineLevel="0" collapsed="false">
      <c r="A489" s="5" t="s">
        <v>946</v>
      </c>
      <c r="B489" s="5" t="s">
        <v>947</v>
      </c>
      <c r="C489" s="5" t="s">
        <v>801</v>
      </c>
      <c r="D489" s="5" t="n">
        <v>565.2</v>
      </c>
      <c r="E489" s="5" t="n">
        <v>18</v>
      </c>
      <c r="F489" s="5" t="n">
        <v>4</v>
      </c>
      <c r="G489" s="5" t="n">
        <v>11702</v>
      </c>
    </row>
    <row r="490" customFormat="false" ht="15" hidden="false" customHeight="true" outlineLevel="0" collapsed="false">
      <c r="A490" s="5" t="s">
        <v>938</v>
      </c>
      <c r="B490" s="5" t="s">
        <v>939</v>
      </c>
      <c r="C490" s="5" t="s">
        <v>801</v>
      </c>
      <c r="D490" s="5" t="n">
        <v>533.8</v>
      </c>
      <c r="E490" s="5" t="n">
        <v>15</v>
      </c>
      <c r="F490" s="5" t="n">
        <v>4</v>
      </c>
      <c r="G490" s="5" t="n">
        <v>10845</v>
      </c>
    </row>
    <row r="491" customFormat="false" ht="15" hidden="false" customHeight="true" outlineLevel="0" collapsed="false">
      <c r="A491" s="5" t="s">
        <v>927</v>
      </c>
      <c r="B491" s="5" t="s">
        <v>928</v>
      </c>
      <c r="C491" s="5" t="s">
        <v>801</v>
      </c>
      <c r="D491" s="5" t="n">
        <v>254.8</v>
      </c>
      <c r="E491" s="5" t="n">
        <v>12</v>
      </c>
      <c r="F491" s="5" t="n">
        <v>7</v>
      </c>
      <c r="G491" s="5" t="n">
        <v>9439</v>
      </c>
    </row>
    <row r="492" customFormat="false" ht="15" hidden="false" customHeight="true" outlineLevel="0" collapsed="false">
      <c r="A492" s="5" t="s">
        <v>920</v>
      </c>
      <c r="B492" s="5" t="s">
        <v>919</v>
      </c>
      <c r="C492" s="5" t="s">
        <v>801</v>
      </c>
      <c r="D492" s="5" t="n">
        <v>409.6</v>
      </c>
      <c r="E492" s="5" t="n">
        <v>14</v>
      </c>
      <c r="F492" s="5" t="n">
        <v>5</v>
      </c>
      <c r="G492" s="5" t="n">
        <v>6085</v>
      </c>
    </row>
    <row r="493" customFormat="false" ht="15" hidden="false" customHeight="true" outlineLevel="0" collapsed="false">
      <c r="A493" s="5" t="s">
        <v>960</v>
      </c>
      <c r="B493" s="5" t="s">
        <v>961</v>
      </c>
      <c r="C493" s="5" t="s">
        <v>801</v>
      </c>
      <c r="D493" s="5" t="n">
        <v>282.5</v>
      </c>
      <c r="E493" s="5" t="n">
        <v>18</v>
      </c>
      <c r="F493" s="5" t="n">
        <v>8</v>
      </c>
      <c r="G493" s="5" t="n">
        <v>3415</v>
      </c>
    </row>
    <row r="494" customFormat="false" ht="15" hidden="false" customHeight="true" outlineLevel="0" collapsed="false">
      <c r="A494" s="5" t="s">
        <v>950</v>
      </c>
      <c r="B494" s="5" t="s">
        <v>951</v>
      </c>
      <c r="C494" s="5" t="s">
        <v>801</v>
      </c>
      <c r="D494" s="5" t="n">
        <v>606.1</v>
      </c>
      <c r="E494" s="5" t="n">
        <v>18</v>
      </c>
      <c r="F494" s="5" t="n">
        <v>13</v>
      </c>
      <c r="G494" s="5" t="n">
        <v>7046</v>
      </c>
    </row>
    <row r="495" customFormat="false" ht="15" hidden="false" customHeight="true" outlineLevel="0" collapsed="false">
      <c r="A495" s="5" t="s">
        <v>948</v>
      </c>
      <c r="B495" s="5" t="s">
        <v>949</v>
      </c>
      <c r="C495" s="5" t="s">
        <v>801</v>
      </c>
      <c r="D495" s="5" t="n">
        <v>687.5</v>
      </c>
      <c r="E495" s="5" t="n">
        <v>14</v>
      </c>
      <c r="F495" s="5" t="n">
        <v>6</v>
      </c>
      <c r="G495" s="5" t="n">
        <v>8581</v>
      </c>
    </row>
    <row r="496" customFormat="false" ht="15" hidden="false" customHeight="true" outlineLevel="0" collapsed="false">
      <c r="A496" s="5" t="s">
        <v>918</v>
      </c>
      <c r="B496" s="5" t="s">
        <v>919</v>
      </c>
      <c r="C496" s="5" t="s">
        <v>801</v>
      </c>
      <c r="D496" s="5" t="n">
        <v>53.4</v>
      </c>
      <c r="E496" s="5" t="n">
        <v>10</v>
      </c>
      <c r="F496" s="5" t="n">
        <v>12</v>
      </c>
      <c r="G496" s="5" t="n">
        <v>4190</v>
      </c>
    </row>
    <row r="497" customFormat="false" ht="15" hidden="false" customHeight="true" outlineLevel="0" collapsed="false">
      <c r="A497" s="5" t="s">
        <v>921</v>
      </c>
      <c r="B497" s="5" t="s">
        <v>922</v>
      </c>
      <c r="C497" s="5" t="s">
        <v>801</v>
      </c>
      <c r="D497" s="5" t="n">
        <v>31.8</v>
      </c>
      <c r="E497" s="5" t="n">
        <v>20</v>
      </c>
      <c r="F497" s="5" t="n">
        <v>10</v>
      </c>
      <c r="G497" s="5" t="n">
        <v>11288</v>
      </c>
    </row>
    <row r="498" customFormat="false" ht="15" hidden="false" customHeight="true" outlineLevel="0" collapsed="false">
      <c r="A498" s="5" t="s">
        <v>958</v>
      </c>
      <c r="B498" s="5" t="s">
        <v>959</v>
      </c>
      <c r="C498" s="5" t="s">
        <v>801</v>
      </c>
      <c r="D498" s="5" t="n">
        <v>545.6</v>
      </c>
      <c r="E498" s="5" t="n">
        <v>12</v>
      </c>
      <c r="F498" s="5" t="n">
        <v>3</v>
      </c>
      <c r="G498" s="5" t="n">
        <v>5014</v>
      </c>
    </row>
    <row r="499" customFormat="false" ht="15" hidden="false" customHeight="true" outlineLevel="0" collapsed="false">
      <c r="A499" s="5" t="s">
        <v>956</v>
      </c>
      <c r="B499" s="5" t="s">
        <v>957</v>
      </c>
      <c r="C499" s="5" t="s">
        <v>801</v>
      </c>
      <c r="D499" s="5" t="n">
        <v>260.8</v>
      </c>
      <c r="E499" s="5" t="n">
        <v>15</v>
      </c>
      <c r="F499" s="5" t="n">
        <v>10</v>
      </c>
      <c r="G499" s="5" t="n">
        <v>5826</v>
      </c>
    </row>
    <row r="500" customFormat="false" ht="15" hidden="false" customHeight="true" outlineLevel="0" collapsed="false">
      <c r="A500" s="5" t="s">
        <v>942</v>
      </c>
      <c r="B500" s="5" t="s">
        <v>943</v>
      </c>
      <c r="C500" s="5" t="s">
        <v>801</v>
      </c>
      <c r="D500" s="5" t="n">
        <v>384.5</v>
      </c>
      <c r="E500" s="5" t="n">
        <v>13</v>
      </c>
      <c r="F500" s="5" t="n">
        <v>5</v>
      </c>
      <c r="G500" s="5" t="n">
        <v>9805</v>
      </c>
    </row>
    <row r="501" customFormat="false" ht="15" hidden="false" customHeight="true" outlineLevel="0" collapsed="false">
      <c r="A501" s="5" t="s">
        <v>935</v>
      </c>
      <c r="B501" s="5" t="s">
        <v>930</v>
      </c>
      <c r="C501" s="5" t="s">
        <v>801</v>
      </c>
      <c r="D501" s="5" t="n">
        <v>725.6</v>
      </c>
      <c r="E501" s="5" t="n">
        <v>18</v>
      </c>
      <c r="F501" s="5" t="n">
        <v>8</v>
      </c>
      <c r="G501" s="5" t="n">
        <v>4556</v>
      </c>
    </row>
    <row r="502" customFormat="false" ht="15" hidden="false" customHeight="true" outlineLevel="0" collapsed="false">
      <c r="A502" s="5" t="s">
        <v>931</v>
      </c>
      <c r="B502" s="5" t="s">
        <v>932</v>
      </c>
      <c r="C502" s="5" t="s">
        <v>801</v>
      </c>
      <c r="D502" s="5" t="n">
        <v>554.9</v>
      </c>
      <c r="E502" s="5" t="n">
        <v>14</v>
      </c>
      <c r="F502" s="5" t="n">
        <v>3</v>
      </c>
      <c r="G502" s="5" t="n">
        <v>4093</v>
      </c>
    </row>
    <row r="503" customFormat="false" ht="15" hidden="false" customHeight="true" outlineLevel="0" collapsed="false">
      <c r="A503" s="5" t="s">
        <v>962</v>
      </c>
      <c r="B503" s="5" t="s">
        <v>962</v>
      </c>
      <c r="C503" s="5" t="s">
        <v>801</v>
      </c>
      <c r="D503" s="5" t="n">
        <v>545.8</v>
      </c>
      <c r="E503" s="5" t="n">
        <v>18</v>
      </c>
      <c r="F503" s="5" t="n">
        <v>3</v>
      </c>
      <c r="G503" s="5" t="n">
        <v>10682</v>
      </c>
    </row>
    <row r="504" customFormat="false" ht="15" hidden="false" customHeight="true" outlineLevel="0" collapsed="false">
      <c r="A504" s="5" t="s">
        <v>940</v>
      </c>
      <c r="B504" s="5" t="s">
        <v>941</v>
      </c>
      <c r="C504" s="5" t="s">
        <v>801</v>
      </c>
      <c r="D504" s="5" t="n">
        <v>742.9</v>
      </c>
      <c r="E504" s="5" t="n">
        <v>4</v>
      </c>
      <c r="F504" s="5" t="n">
        <v>9</v>
      </c>
      <c r="G504" s="5" t="n">
        <v>2354</v>
      </c>
    </row>
    <row r="505" customFormat="false" ht="15" hidden="false" customHeight="true" outlineLevel="0" collapsed="false">
      <c r="A505" s="5" t="s">
        <v>925</v>
      </c>
      <c r="B505" s="5" t="s">
        <v>926</v>
      </c>
      <c r="C505" s="5" t="s">
        <v>801</v>
      </c>
      <c r="D505" s="5" t="n">
        <v>632.5</v>
      </c>
      <c r="E505" s="5" t="n">
        <v>5</v>
      </c>
      <c r="F505" s="5" t="n">
        <v>14</v>
      </c>
      <c r="G505" s="5" t="n">
        <v>2594</v>
      </c>
    </row>
    <row r="506" customFormat="false" ht="15" hidden="false" customHeight="true" outlineLevel="0" collapsed="false">
      <c r="A506" s="5" t="s">
        <v>936</v>
      </c>
      <c r="B506" s="5" t="s">
        <v>937</v>
      </c>
      <c r="C506" s="5" t="s">
        <v>838</v>
      </c>
      <c r="D506" s="5" t="n">
        <v>578</v>
      </c>
      <c r="E506" s="5" t="n">
        <v>16</v>
      </c>
      <c r="F506" s="5" t="n">
        <v>3</v>
      </c>
      <c r="G506" s="5" t="n">
        <v>5591</v>
      </c>
    </row>
    <row r="507" customFormat="false" ht="15" hidden="false" customHeight="true" outlineLevel="0" collapsed="false">
      <c r="A507" s="5" t="s">
        <v>933</v>
      </c>
      <c r="B507" s="5" t="s">
        <v>934</v>
      </c>
      <c r="C507" s="5" t="s">
        <v>838</v>
      </c>
      <c r="D507" s="5" t="n">
        <v>69.6</v>
      </c>
      <c r="E507" s="5" t="n">
        <v>7</v>
      </c>
      <c r="F507" s="5" t="n">
        <v>1</v>
      </c>
      <c r="G507" s="5" t="n">
        <v>5383</v>
      </c>
    </row>
    <row r="508" customFormat="false" ht="15" hidden="false" customHeight="true" outlineLevel="0" collapsed="false">
      <c r="A508" s="5" t="s">
        <v>952</v>
      </c>
      <c r="B508" s="5" t="s">
        <v>953</v>
      </c>
      <c r="C508" s="5" t="s">
        <v>838</v>
      </c>
      <c r="D508" s="5" t="n">
        <v>389.2</v>
      </c>
      <c r="E508" s="5" t="n">
        <v>14</v>
      </c>
      <c r="F508" s="5" t="n">
        <v>1</v>
      </c>
      <c r="G508" s="5" t="n">
        <v>11922</v>
      </c>
    </row>
    <row r="509" customFormat="false" ht="15" hidden="false" customHeight="true" outlineLevel="0" collapsed="false">
      <c r="A509" s="5" t="s">
        <v>954</v>
      </c>
      <c r="B509" s="5" t="s">
        <v>955</v>
      </c>
      <c r="C509" s="5" t="s">
        <v>838</v>
      </c>
      <c r="D509" s="5" t="n">
        <v>485.5</v>
      </c>
      <c r="E509" s="5" t="n">
        <v>18</v>
      </c>
      <c r="F509" s="5" t="n">
        <v>11</v>
      </c>
      <c r="G509" s="5" t="n">
        <v>9793</v>
      </c>
    </row>
    <row r="510" customFormat="false" ht="15" hidden="false" customHeight="true" outlineLevel="0" collapsed="false">
      <c r="A510" s="5" t="s">
        <v>923</v>
      </c>
      <c r="B510" s="5" t="s">
        <v>924</v>
      </c>
      <c r="C510" s="5" t="s">
        <v>838</v>
      </c>
      <c r="D510" s="5" t="n">
        <v>31.5</v>
      </c>
      <c r="E510" s="5" t="n">
        <v>20</v>
      </c>
      <c r="F510" s="5" t="n">
        <v>9</v>
      </c>
      <c r="G510" s="5" t="n">
        <v>8539</v>
      </c>
    </row>
    <row r="511" customFormat="false" ht="15" hidden="false" customHeight="true" outlineLevel="0" collapsed="false">
      <c r="A511" s="5" t="s">
        <v>929</v>
      </c>
      <c r="B511" s="5" t="s">
        <v>930</v>
      </c>
      <c r="C511" s="5" t="s">
        <v>838</v>
      </c>
      <c r="D511" s="5" t="n">
        <v>28.7</v>
      </c>
      <c r="E511" s="5" t="n">
        <v>19</v>
      </c>
      <c r="F511" s="5" t="n">
        <v>12</v>
      </c>
      <c r="G511" s="5" t="n">
        <v>6301</v>
      </c>
    </row>
    <row r="512" customFormat="false" ht="15" hidden="false" customHeight="true" outlineLevel="0" collapsed="false">
      <c r="A512" s="5" t="s">
        <v>944</v>
      </c>
      <c r="B512" s="5" t="s">
        <v>945</v>
      </c>
      <c r="C512" s="5" t="s">
        <v>838</v>
      </c>
      <c r="D512" s="5" t="n">
        <v>411.1</v>
      </c>
      <c r="E512" s="5" t="n">
        <v>12</v>
      </c>
      <c r="F512" s="5" t="n">
        <v>1</v>
      </c>
      <c r="G512" s="5" t="n">
        <v>10028</v>
      </c>
    </row>
    <row r="513" customFormat="false" ht="15" hidden="false" customHeight="true" outlineLevel="0" collapsed="false">
      <c r="A513" s="5" t="s">
        <v>946</v>
      </c>
      <c r="B513" s="5" t="s">
        <v>947</v>
      </c>
      <c r="C513" s="5" t="s">
        <v>838</v>
      </c>
      <c r="D513" s="5" t="n">
        <v>613.6</v>
      </c>
      <c r="E513" s="5" t="n">
        <v>16</v>
      </c>
      <c r="F513" s="5" t="n">
        <v>13</v>
      </c>
      <c r="G513" s="5" t="n">
        <v>4737</v>
      </c>
    </row>
    <row r="514" customFormat="false" ht="15" hidden="false" customHeight="true" outlineLevel="0" collapsed="false">
      <c r="A514" s="5" t="s">
        <v>938</v>
      </c>
      <c r="B514" s="5" t="s">
        <v>939</v>
      </c>
      <c r="C514" s="5" t="s">
        <v>838</v>
      </c>
      <c r="D514" s="5" t="n">
        <v>98.1</v>
      </c>
      <c r="E514" s="5" t="n">
        <v>6</v>
      </c>
      <c r="F514" s="5" t="n">
        <v>9</v>
      </c>
      <c r="G514" s="5" t="n">
        <v>4239</v>
      </c>
    </row>
    <row r="515" customFormat="false" ht="15" hidden="false" customHeight="true" outlineLevel="0" collapsed="false">
      <c r="A515" s="5" t="s">
        <v>927</v>
      </c>
      <c r="B515" s="5" t="s">
        <v>928</v>
      </c>
      <c r="C515" s="5" t="s">
        <v>838</v>
      </c>
      <c r="D515" s="5" t="n">
        <v>195.9</v>
      </c>
      <c r="E515" s="5" t="n">
        <v>19</v>
      </c>
      <c r="F515" s="5" t="n">
        <v>5</v>
      </c>
      <c r="G515" s="5" t="n">
        <v>7607</v>
      </c>
    </row>
    <row r="516" customFormat="false" ht="15" hidden="false" customHeight="true" outlineLevel="0" collapsed="false">
      <c r="A516" s="5" t="s">
        <v>920</v>
      </c>
      <c r="B516" s="5" t="s">
        <v>919</v>
      </c>
      <c r="C516" s="5" t="s">
        <v>838</v>
      </c>
      <c r="D516" s="5" t="n">
        <v>215.1</v>
      </c>
      <c r="E516" s="5" t="n">
        <v>15</v>
      </c>
      <c r="F516" s="5" t="n">
        <v>2</v>
      </c>
      <c r="G516" s="5" t="n">
        <v>7912</v>
      </c>
    </row>
    <row r="517" customFormat="false" ht="15" hidden="false" customHeight="true" outlineLevel="0" collapsed="false">
      <c r="A517" s="5" t="s">
        <v>960</v>
      </c>
      <c r="B517" s="5" t="s">
        <v>961</v>
      </c>
      <c r="C517" s="5" t="s">
        <v>838</v>
      </c>
      <c r="D517" s="5" t="n">
        <v>720.3</v>
      </c>
      <c r="E517" s="5" t="n">
        <v>17</v>
      </c>
      <c r="F517" s="5" t="n">
        <v>10</v>
      </c>
      <c r="G517" s="5" t="n">
        <v>5784</v>
      </c>
    </row>
    <row r="518" customFormat="false" ht="15" hidden="false" customHeight="true" outlineLevel="0" collapsed="false">
      <c r="A518" s="5" t="s">
        <v>950</v>
      </c>
      <c r="B518" s="5" t="s">
        <v>951</v>
      </c>
      <c r="C518" s="5" t="s">
        <v>838</v>
      </c>
      <c r="D518" s="5" t="n">
        <v>742.9</v>
      </c>
      <c r="E518" s="5" t="n">
        <v>10</v>
      </c>
      <c r="F518" s="5" t="n">
        <v>5</v>
      </c>
      <c r="G518" s="5" t="n">
        <v>3120</v>
      </c>
    </row>
    <row r="519" customFormat="false" ht="15" hidden="false" customHeight="true" outlineLevel="0" collapsed="false">
      <c r="A519" s="5" t="s">
        <v>948</v>
      </c>
      <c r="B519" s="5" t="s">
        <v>949</v>
      </c>
      <c r="C519" s="5" t="s">
        <v>838</v>
      </c>
      <c r="D519" s="5" t="n">
        <v>497.2</v>
      </c>
      <c r="E519" s="5" t="n">
        <v>4</v>
      </c>
      <c r="F519" s="5" t="n">
        <v>2</v>
      </c>
      <c r="G519" s="5" t="n">
        <v>8440</v>
      </c>
    </row>
    <row r="520" customFormat="false" ht="15" hidden="false" customHeight="true" outlineLevel="0" collapsed="false">
      <c r="A520" s="5" t="s">
        <v>918</v>
      </c>
      <c r="B520" s="5" t="s">
        <v>919</v>
      </c>
      <c r="C520" s="5" t="s">
        <v>838</v>
      </c>
      <c r="D520" s="5" t="n">
        <v>296.9</v>
      </c>
      <c r="E520" s="5" t="n">
        <v>20</v>
      </c>
      <c r="F520" s="5" t="n">
        <v>8</v>
      </c>
      <c r="G520" s="5" t="n">
        <v>2719</v>
      </c>
    </row>
    <row r="521" customFormat="false" ht="15" hidden="false" customHeight="true" outlineLevel="0" collapsed="false">
      <c r="A521" s="5" t="s">
        <v>921</v>
      </c>
      <c r="B521" s="5" t="s">
        <v>922</v>
      </c>
      <c r="C521" s="5" t="s">
        <v>838</v>
      </c>
      <c r="D521" s="5" t="n">
        <v>484.8</v>
      </c>
      <c r="E521" s="5" t="n">
        <v>8</v>
      </c>
      <c r="F521" s="5" t="n">
        <v>2</v>
      </c>
      <c r="G521" s="5" t="n">
        <v>9989</v>
      </c>
    </row>
    <row r="522" customFormat="false" ht="15" hidden="false" customHeight="true" outlineLevel="0" collapsed="false">
      <c r="A522" s="5" t="s">
        <v>958</v>
      </c>
      <c r="B522" s="5" t="s">
        <v>959</v>
      </c>
      <c r="C522" s="5" t="s">
        <v>838</v>
      </c>
      <c r="D522" s="5" t="n">
        <v>637.1</v>
      </c>
      <c r="E522" s="5" t="n">
        <v>13</v>
      </c>
      <c r="F522" s="5" t="n">
        <v>10</v>
      </c>
      <c r="G522" s="5" t="n">
        <v>3362</v>
      </c>
    </row>
    <row r="523" customFormat="false" ht="15" hidden="false" customHeight="true" outlineLevel="0" collapsed="false">
      <c r="A523" s="5" t="s">
        <v>956</v>
      </c>
      <c r="B523" s="5" t="s">
        <v>957</v>
      </c>
      <c r="C523" s="5" t="s">
        <v>838</v>
      </c>
      <c r="D523" s="5" t="n">
        <v>673.2</v>
      </c>
      <c r="E523" s="5" t="n">
        <v>4</v>
      </c>
      <c r="F523" s="5" t="n">
        <v>4</v>
      </c>
      <c r="G523" s="5" t="n">
        <v>5263</v>
      </c>
    </row>
    <row r="524" customFormat="false" ht="15" hidden="false" customHeight="true" outlineLevel="0" collapsed="false">
      <c r="A524" s="5" t="s">
        <v>942</v>
      </c>
      <c r="B524" s="5" t="s">
        <v>943</v>
      </c>
      <c r="C524" s="5" t="s">
        <v>838</v>
      </c>
      <c r="D524" s="5" t="n">
        <v>677.9</v>
      </c>
      <c r="E524" s="5" t="n">
        <v>18</v>
      </c>
      <c r="F524" s="5" t="n">
        <v>5</v>
      </c>
      <c r="G524" s="5" t="n">
        <v>2562</v>
      </c>
    </row>
    <row r="525" customFormat="false" ht="15" hidden="false" customHeight="true" outlineLevel="0" collapsed="false">
      <c r="A525" s="5" t="s">
        <v>935</v>
      </c>
      <c r="B525" s="5" t="s">
        <v>930</v>
      </c>
      <c r="C525" s="5" t="s">
        <v>838</v>
      </c>
      <c r="D525" s="5" t="n">
        <v>694.6</v>
      </c>
      <c r="E525" s="5" t="n">
        <v>11</v>
      </c>
      <c r="F525" s="5" t="n">
        <v>9</v>
      </c>
      <c r="G525" s="5" t="n">
        <v>11032</v>
      </c>
    </row>
    <row r="526" customFormat="false" ht="15" hidden="false" customHeight="true" outlineLevel="0" collapsed="false">
      <c r="A526" s="5" t="s">
        <v>931</v>
      </c>
      <c r="B526" s="5" t="s">
        <v>932</v>
      </c>
      <c r="C526" s="5" t="s">
        <v>838</v>
      </c>
      <c r="D526" s="5" t="n">
        <v>500.4</v>
      </c>
      <c r="E526" s="5" t="n">
        <v>8</v>
      </c>
      <c r="F526" s="5" t="n">
        <v>14</v>
      </c>
      <c r="G526" s="5" t="n">
        <v>6952</v>
      </c>
    </row>
    <row r="527" customFormat="false" ht="15" hidden="false" customHeight="true" outlineLevel="0" collapsed="false">
      <c r="A527" s="5" t="s">
        <v>962</v>
      </c>
      <c r="B527" s="5" t="s">
        <v>962</v>
      </c>
      <c r="C527" s="5" t="s">
        <v>838</v>
      </c>
      <c r="D527" s="5" t="n">
        <v>31.4</v>
      </c>
      <c r="E527" s="5" t="n">
        <v>9</v>
      </c>
      <c r="F527" s="5" t="n">
        <v>10</v>
      </c>
      <c r="G527" s="5" t="n">
        <v>4162</v>
      </c>
    </row>
    <row r="528" customFormat="false" ht="15" hidden="false" customHeight="true" outlineLevel="0" collapsed="false">
      <c r="A528" s="5" t="s">
        <v>940</v>
      </c>
      <c r="B528" s="5" t="s">
        <v>941</v>
      </c>
      <c r="C528" s="5" t="s">
        <v>838</v>
      </c>
      <c r="D528" s="5" t="n">
        <v>569.1</v>
      </c>
      <c r="E528" s="5" t="n">
        <v>15</v>
      </c>
      <c r="F528" s="5" t="n">
        <v>2</v>
      </c>
      <c r="G528" s="5" t="n">
        <v>6703</v>
      </c>
    </row>
    <row r="529" customFormat="false" ht="15" hidden="false" customHeight="true" outlineLevel="0" collapsed="false">
      <c r="A529" s="5" t="s">
        <v>925</v>
      </c>
      <c r="B529" s="5" t="s">
        <v>926</v>
      </c>
      <c r="C529" s="5" t="s">
        <v>838</v>
      </c>
      <c r="D529" s="5" t="n">
        <v>138.6</v>
      </c>
      <c r="E529" s="5" t="n">
        <v>10</v>
      </c>
      <c r="F529" s="5" t="n">
        <v>10</v>
      </c>
      <c r="G529" s="5" t="n">
        <v>8175</v>
      </c>
    </row>
    <row r="530" customFormat="false" ht="15" hidden="false" customHeight="true" outlineLevel="0" collapsed="false">
      <c r="A530" s="5" t="s">
        <v>936</v>
      </c>
      <c r="B530" s="5" t="s">
        <v>937</v>
      </c>
      <c r="C530" s="5" t="s">
        <v>875</v>
      </c>
      <c r="D530" s="5" t="n">
        <v>514.2</v>
      </c>
      <c r="E530" s="5" t="n">
        <v>20</v>
      </c>
      <c r="F530" s="5" t="n">
        <v>6</v>
      </c>
      <c r="G530" s="5" t="n">
        <v>8088</v>
      </c>
    </row>
    <row r="531" customFormat="false" ht="15" hidden="false" customHeight="true" outlineLevel="0" collapsed="false">
      <c r="A531" s="5" t="s">
        <v>933</v>
      </c>
      <c r="B531" s="5" t="s">
        <v>934</v>
      </c>
      <c r="C531" s="5" t="s">
        <v>875</v>
      </c>
      <c r="D531" s="5" t="n">
        <v>571.6</v>
      </c>
      <c r="E531" s="5" t="n">
        <v>7</v>
      </c>
      <c r="F531" s="5" t="n">
        <v>13</v>
      </c>
      <c r="G531" s="5" t="n">
        <v>3084</v>
      </c>
    </row>
    <row r="532" customFormat="false" ht="15" hidden="false" customHeight="true" outlineLevel="0" collapsed="false">
      <c r="A532" s="5" t="s">
        <v>952</v>
      </c>
      <c r="B532" s="5" t="s">
        <v>953</v>
      </c>
      <c r="C532" s="5" t="s">
        <v>875</v>
      </c>
      <c r="D532" s="5" t="n">
        <v>385.6</v>
      </c>
      <c r="E532" s="5" t="n">
        <v>14</v>
      </c>
      <c r="F532" s="5" t="n">
        <v>1</v>
      </c>
      <c r="G532" s="5" t="n">
        <v>3400</v>
      </c>
    </row>
    <row r="533" customFormat="false" ht="15" hidden="false" customHeight="true" outlineLevel="0" collapsed="false">
      <c r="A533" s="5" t="s">
        <v>954</v>
      </c>
      <c r="B533" s="5" t="s">
        <v>955</v>
      </c>
      <c r="C533" s="5" t="s">
        <v>875</v>
      </c>
      <c r="D533" s="5" t="n">
        <v>339.1</v>
      </c>
      <c r="E533" s="5" t="n">
        <v>5</v>
      </c>
      <c r="F533" s="5" t="n">
        <v>6</v>
      </c>
      <c r="G533" s="5" t="n">
        <v>11715</v>
      </c>
    </row>
    <row r="534" customFormat="false" ht="15" hidden="false" customHeight="true" outlineLevel="0" collapsed="false">
      <c r="A534" s="5" t="s">
        <v>923</v>
      </c>
      <c r="B534" s="5" t="s">
        <v>924</v>
      </c>
      <c r="C534" s="5" t="s">
        <v>875</v>
      </c>
      <c r="D534" s="5" t="n">
        <v>581.4</v>
      </c>
      <c r="E534" s="5" t="n">
        <v>15</v>
      </c>
      <c r="F534" s="5" t="n">
        <v>13</v>
      </c>
      <c r="G534" s="5" t="n">
        <v>7147</v>
      </c>
    </row>
    <row r="535" customFormat="false" ht="15" hidden="false" customHeight="true" outlineLevel="0" collapsed="false">
      <c r="A535" s="5" t="s">
        <v>929</v>
      </c>
      <c r="B535" s="5" t="s">
        <v>930</v>
      </c>
      <c r="C535" s="5" t="s">
        <v>875</v>
      </c>
      <c r="D535" s="5" t="n">
        <v>41.6</v>
      </c>
      <c r="E535" s="5" t="n">
        <v>11</v>
      </c>
      <c r="F535" s="5" t="n">
        <v>13</v>
      </c>
      <c r="G535" s="5" t="n">
        <v>9181</v>
      </c>
    </row>
    <row r="536" customFormat="false" ht="15" hidden="false" customHeight="true" outlineLevel="0" collapsed="false">
      <c r="A536" s="5" t="s">
        <v>944</v>
      </c>
      <c r="B536" s="5" t="s">
        <v>945</v>
      </c>
      <c r="C536" s="5" t="s">
        <v>875</v>
      </c>
      <c r="D536" s="5" t="n">
        <v>378.1</v>
      </c>
      <c r="E536" s="5" t="n">
        <v>14</v>
      </c>
      <c r="F536" s="5" t="n">
        <v>9</v>
      </c>
      <c r="G536" s="5" t="n">
        <v>7950</v>
      </c>
    </row>
    <row r="537" customFormat="false" ht="15" hidden="false" customHeight="true" outlineLevel="0" collapsed="false">
      <c r="A537" s="5" t="s">
        <v>946</v>
      </c>
      <c r="B537" s="5" t="s">
        <v>947</v>
      </c>
      <c r="C537" s="5" t="s">
        <v>875</v>
      </c>
      <c r="D537" s="5" t="n">
        <v>335.2</v>
      </c>
      <c r="E537" s="5" t="n">
        <v>15</v>
      </c>
      <c r="F537" s="5" t="n">
        <v>2</v>
      </c>
      <c r="G537" s="5" t="n">
        <v>11935</v>
      </c>
    </row>
    <row r="538" customFormat="false" ht="15" hidden="false" customHeight="true" outlineLevel="0" collapsed="false">
      <c r="A538" s="5" t="s">
        <v>938</v>
      </c>
      <c r="B538" s="5" t="s">
        <v>939</v>
      </c>
      <c r="C538" s="5" t="s">
        <v>875</v>
      </c>
      <c r="D538" s="5" t="n">
        <v>235.6</v>
      </c>
      <c r="E538" s="5" t="n">
        <v>10</v>
      </c>
      <c r="F538" s="5" t="n">
        <v>12</v>
      </c>
      <c r="G538" s="5" t="n">
        <v>3004</v>
      </c>
    </row>
    <row r="539" customFormat="false" ht="15" hidden="false" customHeight="true" outlineLevel="0" collapsed="false">
      <c r="A539" s="5" t="s">
        <v>927</v>
      </c>
      <c r="B539" s="5" t="s">
        <v>928</v>
      </c>
      <c r="C539" s="5" t="s">
        <v>875</v>
      </c>
      <c r="D539" s="5" t="n">
        <v>79.9</v>
      </c>
      <c r="E539" s="5" t="n">
        <v>7</v>
      </c>
      <c r="F539" s="5" t="n">
        <v>7</v>
      </c>
      <c r="G539" s="5" t="n">
        <v>4327</v>
      </c>
    </row>
    <row r="540" customFormat="false" ht="15" hidden="false" customHeight="true" outlineLevel="0" collapsed="false">
      <c r="A540" s="5" t="s">
        <v>920</v>
      </c>
      <c r="B540" s="5" t="s">
        <v>919</v>
      </c>
      <c r="C540" s="5" t="s">
        <v>875</v>
      </c>
      <c r="D540" s="5" t="n">
        <v>559.9</v>
      </c>
      <c r="E540" s="5" t="n">
        <v>13</v>
      </c>
      <c r="F540" s="5" t="n">
        <v>6</v>
      </c>
      <c r="G540" s="5" t="n">
        <v>3545</v>
      </c>
    </row>
    <row r="541" customFormat="false" ht="15" hidden="false" customHeight="true" outlineLevel="0" collapsed="false">
      <c r="A541" s="5" t="s">
        <v>960</v>
      </c>
      <c r="B541" s="5" t="s">
        <v>961</v>
      </c>
      <c r="C541" s="5" t="s">
        <v>875</v>
      </c>
      <c r="D541" s="5" t="n">
        <v>86.8</v>
      </c>
      <c r="E541" s="5" t="n">
        <v>12</v>
      </c>
      <c r="F541" s="5" t="n">
        <v>8</v>
      </c>
      <c r="G541" s="5" t="n">
        <v>7696</v>
      </c>
    </row>
    <row r="542" customFormat="false" ht="15" hidden="false" customHeight="true" outlineLevel="0" collapsed="false">
      <c r="A542" s="5" t="s">
        <v>950</v>
      </c>
      <c r="B542" s="5" t="s">
        <v>951</v>
      </c>
      <c r="C542" s="5" t="s">
        <v>875</v>
      </c>
      <c r="D542" s="5" t="n">
        <v>575.8</v>
      </c>
      <c r="E542" s="5" t="n">
        <v>6</v>
      </c>
      <c r="F542" s="5" t="n">
        <v>3</v>
      </c>
      <c r="G542" s="5" t="n">
        <v>3230</v>
      </c>
    </row>
    <row r="543" customFormat="false" ht="15" hidden="false" customHeight="true" outlineLevel="0" collapsed="false">
      <c r="A543" s="5" t="s">
        <v>948</v>
      </c>
      <c r="B543" s="5" t="s">
        <v>949</v>
      </c>
      <c r="C543" s="5" t="s">
        <v>875</v>
      </c>
      <c r="D543" s="5" t="n">
        <v>156.8</v>
      </c>
      <c r="E543" s="5" t="n">
        <v>17</v>
      </c>
      <c r="F543" s="5" t="n">
        <v>9</v>
      </c>
      <c r="G543" s="5" t="n">
        <v>10888</v>
      </c>
    </row>
    <row r="544" customFormat="false" ht="15" hidden="false" customHeight="true" outlineLevel="0" collapsed="false">
      <c r="A544" s="5" t="s">
        <v>918</v>
      </c>
      <c r="B544" s="5" t="s">
        <v>919</v>
      </c>
      <c r="C544" s="5" t="s">
        <v>875</v>
      </c>
      <c r="D544" s="5" t="n">
        <v>394.1</v>
      </c>
      <c r="E544" s="5" t="n">
        <v>6</v>
      </c>
      <c r="F544" s="5" t="n">
        <v>1</v>
      </c>
      <c r="G544" s="5" t="n">
        <v>3268</v>
      </c>
    </row>
    <row r="545" customFormat="false" ht="15" hidden="false" customHeight="true" outlineLevel="0" collapsed="false">
      <c r="A545" s="5" t="s">
        <v>921</v>
      </c>
      <c r="B545" s="5" t="s">
        <v>922</v>
      </c>
      <c r="C545" s="5" t="s">
        <v>875</v>
      </c>
      <c r="D545" s="5" t="n">
        <v>278.4</v>
      </c>
      <c r="E545" s="5" t="n">
        <v>5</v>
      </c>
      <c r="F545" s="5" t="n">
        <v>10</v>
      </c>
      <c r="G545" s="5" t="n">
        <v>11598</v>
      </c>
    </row>
    <row r="546" customFormat="false" ht="15" hidden="false" customHeight="true" outlineLevel="0" collapsed="false">
      <c r="A546" s="5" t="s">
        <v>958</v>
      </c>
      <c r="B546" s="5" t="s">
        <v>959</v>
      </c>
      <c r="C546" s="5" t="s">
        <v>875</v>
      </c>
      <c r="D546" s="5" t="n">
        <v>592.6</v>
      </c>
      <c r="E546" s="5" t="n">
        <v>15</v>
      </c>
      <c r="F546" s="5" t="n">
        <v>1</v>
      </c>
      <c r="G546" s="5" t="n">
        <v>6581</v>
      </c>
    </row>
    <row r="547" customFormat="false" ht="15" hidden="false" customHeight="true" outlineLevel="0" collapsed="false">
      <c r="A547" s="5" t="s">
        <v>956</v>
      </c>
      <c r="B547" s="5" t="s">
        <v>957</v>
      </c>
      <c r="C547" s="5" t="s">
        <v>875</v>
      </c>
      <c r="D547" s="5" t="n">
        <v>322.1</v>
      </c>
      <c r="E547" s="5" t="n">
        <v>5</v>
      </c>
      <c r="F547" s="5" t="n">
        <v>12</v>
      </c>
      <c r="G547" s="5" t="n">
        <v>10967</v>
      </c>
    </row>
    <row r="548" customFormat="false" ht="15" hidden="false" customHeight="true" outlineLevel="0" collapsed="false">
      <c r="A548" s="5" t="s">
        <v>942</v>
      </c>
      <c r="B548" s="5" t="s">
        <v>943</v>
      </c>
      <c r="C548" s="5" t="s">
        <v>875</v>
      </c>
      <c r="D548" s="5" t="n">
        <v>680.8</v>
      </c>
      <c r="E548" s="5" t="n">
        <v>10</v>
      </c>
      <c r="F548" s="5" t="n">
        <v>10</v>
      </c>
      <c r="G548" s="5" t="n">
        <v>10337</v>
      </c>
    </row>
    <row r="549" customFormat="false" ht="15" hidden="false" customHeight="true" outlineLevel="0" collapsed="false">
      <c r="A549" s="5" t="s">
        <v>935</v>
      </c>
      <c r="B549" s="5" t="s">
        <v>930</v>
      </c>
      <c r="C549" s="5" t="s">
        <v>875</v>
      </c>
      <c r="D549" s="5" t="n">
        <v>143.8</v>
      </c>
      <c r="E549" s="5" t="n">
        <v>15</v>
      </c>
      <c r="F549" s="5" t="n">
        <v>3</v>
      </c>
      <c r="G549" s="5" t="n">
        <v>4074</v>
      </c>
    </row>
    <row r="550" customFormat="false" ht="15" hidden="false" customHeight="true" outlineLevel="0" collapsed="false">
      <c r="A550" s="5" t="s">
        <v>931</v>
      </c>
      <c r="B550" s="5" t="s">
        <v>932</v>
      </c>
      <c r="C550" s="5" t="s">
        <v>875</v>
      </c>
      <c r="D550" s="5" t="n">
        <v>216.3</v>
      </c>
      <c r="E550" s="5" t="n">
        <v>11</v>
      </c>
      <c r="F550" s="5" t="n">
        <v>8</v>
      </c>
      <c r="G550" s="5" t="n">
        <v>4190</v>
      </c>
    </row>
    <row r="551" customFormat="false" ht="15" hidden="false" customHeight="true" outlineLevel="0" collapsed="false">
      <c r="A551" s="5" t="s">
        <v>962</v>
      </c>
      <c r="B551" s="5" t="s">
        <v>962</v>
      </c>
      <c r="C551" s="5" t="s">
        <v>875</v>
      </c>
      <c r="D551" s="5" t="n">
        <v>66.2</v>
      </c>
      <c r="E551" s="5" t="n">
        <v>16</v>
      </c>
      <c r="F551" s="5" t="n">
        <v>5</v>
      </c>
      <c r="G551" s="5" t="n">
        <v>8699</v>
      </c>
    </row>
    <row r="552" customFormat="false" ht="15" hidden="false" customHeight="true" outlineLevel="0" collapsed="false">
      <c r="A552" s="5" t="s">
        <v>940</v>
      </c>
      <c r="B552" s="5" t="s">
        <v>941</v>
      </c>
      <c r="C552" s="5" t="s">
        <v>875</v>
      </c>
      <c r="D552" s="5" t="n">
        <v>238.8</v>
      </c>
      <c r="E552" s="5" t="n">
        <v>5</v>
      </c>
      <c r="F552" s="5" t="n">
        <v>6</v>
      </c>
      <c r="G552" s="5" t="n">
        <v>5923</v>
      </c>
    </row>
    <row r="553" customFormat="false" ht="15" hidden="false" customHeight="true" outlineLevel="0" collapsed="false">
      <c r="A553" s="5" t="s">
        <v>925</v>
      </c>
      <c r="B553" s="5" t="s">
        <v>926</v>
      </c>
      <c r="C553" s="5" t="s">
        <v>875</v>
      </c>
      <c r="D553" s="5" t="n">
        <v>709.3</v>
      </c>
      <c r="E553" s="5" t="n">
        <v>18</v>
      </c>
      <c r="F553" s="5" t="n">
        <v>10</v>
      </c>
      <c r="G553" s="5" t="n">
        <v>11903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60" activePane="bottomLeft" state="frozen"/>
      <selection pane="topLeft" activeCell="A1" activeCellId="0" sqref="A1"/>
      <selection pane="bottomLeft" activeCell="A202" activeCellId="0" sqref="A202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4"/>
    <col collapsed="false" customWidth="true" hidden="false" outlineLevel="0" max="3" min="3" style="1" width="18"/>
    <col collapsed="false" customWidth="true" hidden="false" outlineLevel="0" max="4" min="4" style="1" width="16"/>
    <col collapsed="false" customWidth="true" hidden="false" outlineLevel="0" max="5" min="5" style="1" width="14"/>
    <col collapsed="false" customWidth="true" hidden="false" outlineLevel="0" max="6" min="6" style="1" width="18"/>
    <col collapsed="false" customWidth="true" hidden="false" outlineLevel="0" max="7" min="7" style="1" width="24"/>
    <col collapsed="false" customWidth="true" hidden="false" outlineLevel="0" max="8" min="8" style="1" width="14"/>
  </cols>
  <sheetData>
    <row r="1" customFormat="false" ht="15" hidden="false" customHeight="true" outlineLevel="0" collapsed="false">
      <c r="A1" s="7" t="s">
        <v>963</v>
      </c>
      <c r="B1" s="7" t="s">
        <v>964</v>
      </c>
      <c r="C1" s="7" t="s">
        <v>912</v>
      </c>
      <c r="D1" s="7" t="s">
        <v>913</v>
      </c>
      <c r="E1" s="7" t="s">
        <v>965</v>
      </c>
      <c r="F1" s="7" t="s">
        <v>966</v>
      </c>
      <c r="G1" s="7" t="s">
        <v>967</v>
      </c>
      <c r="H1" s="7" t="s">
        <v>968</v>
      </c>
    </row>
    <row r="2" customFormat="false" ht="15" hidden="false" customHeight="true" outlineLevel="0" collapsed="false">
      <c r="A2" s="5" t="s">
        <v>969</v>
      </c>
      <c r="B2" s="5" t="s">
        <v>970</v>
      </c>
      <c r="C2" s="5" t="s">
        <v>931</v>
      </c>
      <c r="D2" s="5" t="s">
        <v>932</v>
      </c>
      <c r="E2" s="5" t="s">
        <v>971</v>
      </c>
      <c r="F2" s="5" t="s">
        <v>972</v>
      </c>
      <c r="G2" s="5" t="s">
        <v>973</v>
      </c>
      <c r="H2" s="5" t="s">
        <v>974</v>
      </c>
    </row>
    <row r="3" customFormat="false" ht="15" hidden="false" customHeight="true" outlineLevel="0" collapsed="false">
      <c r="A3" s="5" t="s">
        <v>975</v>
      </c>
      <c r="B3" s="5" t="s">
        <v>976</v>
      </c>
      <c r="C3" s="5" t="s">
        <v>923</v>
      </c>
      <c r="D3" s="5" t="s">
        <v>924</v>
      </c>
      <c r="E3" s="5" t="s">
        <v>977</v>
      </c>
      <c r="F3" s="5" t="s">
        <v>972</v>
      </c>
      <c r="G3" s="5" t="s">
        <v>973</v>
      </c>
      <c r="H3" s="5" t="s">
        <v>974</v>
      </c>
    </row>
    <row r="4" customFormat="false" ht="15" hidden="false" customHeight="true" outlineLevel="0" collapsed="false">
      <c r="A4" s="5" t="s">
        <v>978</v>
      </c>
      <c r="B4" s="5" t="s">
        <v>979</v>
      </c>
      <c r="C4" s="5" t="s">
        <v>918</v>
      </c>
      <c r="D4" s="5" t="s">
        <v>919</v>
      </c>
      <c r="E4" s="5" t="s">
        <v>980</v>
      </c>
      <c r="F4" s="5" t="s">
        <v>981</v>
      </c>
      <c r="G4" s="5" t="s">
        <v>982</v>
      </c>
      <c r="H4" s="5" t="s">
        <v>974</v>
      </c>
    </row>
    <row r="5" customFormat="false" ht="15" hidden="false" customHeight="true" outlineLevel="0" collapsed="false">
      <c r="A5" s="5" t="s">
        <v>983</v>
      </c>
      <c r="B5" s="5" t="s">
        <v>984</v>
      </c>
      <c r="C5" s="5" t="s">
        <v>923</v>
      </c>
      <c r="D5" s="5" t="s">
        <v>924</v>
      </c>
      <c r="E5" s="5" t="s">
        <v>985</v>
      </c>
      <c r="F5" s="5" t="s">
        <v>986</v>
      </c>
      <c r="G5" s="5" t="s">
        <v>987</v>
      </c>
      <c r="H5" s="5" t="s">
        <v>974</v>
      </c>
    </row>
    <row r="6" customFormat="false" ht="15" hidden="false" customHeight="true" outlineLevel="0" collapsed="false">
      <c r="A6" s="5" t="s">
        <v>988</v>
      </c>
      <c r="B6" s="5" t="s">
        <v>989</v>
      </c>
      <c r="C6" s="5" t="s">
        <v>931</v>
      </c>
      <c r="D6" s="5" t="s">
        <v>932</v>
      </c>
      <c r="E6" s="5" t="s">
        <v>971</v>
      </c>
      <c r="F6" s="5" t="s">
        <v>990</v>
      </c>
      <c r="G6" s="5" t="s">
        <v>987</v>
      </c>
      <c r="H6" s="5" t="s">
        <v>974</v>
      </c>
    </row>
    <row r="7" customFormat="false" ht="15" hidden="false" customHeight="true" outlineLevel="0" collapsed="false">
      <c r="A7" s="5" t="s">
        <v>991</v>
      </c>
      <c r="B7" s="5" t="s">
        <v>992</v>
      </c>
      <c r="C7" s="5" t="s">
        <v>929</v>
      </c>
      <c r="D7" s="5" t="s">
        <v>930</v>
      </c>
      <c r="E7" s="5" t="s">
        <v>993</v>
      </c>
      <c r="F7" s="5" t="s">
        <v>990</v>
      </c>
      <c r="G7" s="5" t="s">
        <v>994</v>
      </c>
      <c r="H7" s="5" t="s">
        <v>995</v>
      </c>
    </row>
    <row r="8" customFormat="false" ht="15" hidden="false" customHeight="true" outlineLevel="0" collapsed="false">
      <c r="A8" s="5" t="s">
        <v>996</v>
      </c>
      <c r="B8" s="5" t="s">
        <v>997</v>
      </c>
      <c r="C8" s="5" t="s">
        <v>918</v>
      </c>
      <c r="D8" s="5" t="s">
        <v>919</v>
      </c>
      <c r="E8" s="5" t="s">
        <v>998</v>
      </c>
      <c r="F8" s="5" t="s">
        <v>981</v>
      </c>
      <c r="G8" s="5" t="s">
        <v>982</v>
      </c>
      <c r="H8" s="5" t="s">
        <v>974</v>
      </c>
    </row>
    <row r="9" customFormat="false" ht="15" hidden="false" customHeight="true" outlineLevel="0" collapsed="false">
      <c r="A9" s="5" t="s">
        <v>999</v>
      </c>
      <c r="B9" s="5" t="s">
        <v>1000</v>
      </c>
      <c r="C9" s="5" t="s">
        <v>920</v>
      </c>
      <c r="D9" s="5" t="s">
        <v>919</v>
      </c>
      <c r="E9" s="5" t="s">
        <v>1001</v>
      </c>
      <c r="F9" s="5" t="s">
        <v>972</v>
      </c>
      <c r="G9" s="5" t="s">
        <v>1002</v>
      </c>
      <c r="H9" s="5" t="s">
        <v>974</v>
      </c>
    </row>
    <row r="10" customFormat="false" ht="15" hidden="false" customHeight="true" outlineLevel="0" collapsed="false">
      <c r="A10" s="5" t="s">
        <v>1003</v>
      </c>
      <c r="B10" s="5" t="s">
        <v>1004</v>
      </c>
      <c r="C10" s="5" t="s">
        <v>929</v>
      </c>
      <c r="D10" s="5" t="s">
        <v>930</v>
      </c>
      <c r="E10" s="5" t="s">
        <v>1005</v>
      </c>
      <c r="F10" s="5" t="s">
        <v>1006</v>
      </c>
      <c r="G10" s="5" t="s">
        <v>987</v>
      </c>
      <c r="H10" s="5" t="s">
        <v>995</v>
      </c>
    </row>
    <row r="11" customFormat="false" ht="15" hidden="false" customHeight="true" outlineLevel="0" collapsed="false">
      <c r="A11" s="5" t="s">
        <v>1007</v>
      </c>
      <c r="B11" s="5" t="s">
        <v>1008</v>
      </c>
      <c r="C11" s="5" t="s">
        <v>920</v>
      </c>
      <c r="D11" s="5" t="s">
        <v>919</v>
      </c>
      <c r="E11" s="5" t="s">
        <v>1009</v>
      </c>
      <c r="F11" s="5" t="s">
        <v>1010</v>
      </c>
      <c r="G11" s="5" t="s">
        <v>973</v>
      </c>
      <c r="H11" s="5" t="s">
        <v>974</v>
      </c>
    </row>
    <row r="12" customFormat="false" ht="15" hidden="false" customHeight="true" outlineLevel="0" collapsed="false">
      <c r="A12" s="5" t="s">
        <v>1011</v>
      </c>
      <c r="B12" s="5" t="s">
        <v>1012</v>
      </c>
      <c r="C12" s="5" t="s">
        <v>918</v>
      </c>
      <c r="D12" s="5" t="s">
        <v>919</v>
      </c>
      <c r="E12" s="5" t="s">
        <v>998</v>
      </c>
      <c r="F12" s="5" t="s">
        <v>972</v>
      </c>
      <c r="G12" s="5" t="s">
        <v>994</v>
      </c>
      <c r="H12" s="5" t="s">
        <v>974</v>
      </c>
    </row>
    <row r="13" customFormat="false" ht="15" hidden="false" customHeight="true" outlineLevel="0" collapsed="false">
      <c r="A13" s="5" t="s">
        <v>1013</v>
      </c>
      <c r="B13" s="5" t="s">
        <v>1014</v>
      </c>
      <c r="C13" s="5" t="s">
        <v>923</v>
      </c>
      <c r="D13" s="5" t="s">
        <v>924</v>
      </c>
      <c r="E13" s="5" t="s">
        <v>985</v>
      </c>
      <c r="F13" s="5" t="s">
        <v>981</v>
      </c>
      <c r="G13" s="5" t="s">
        <v>994</v>
      </c>
      <c r="H13" s="5" t="s">
        <v>974</v>
      </c>
    </row>
    <row r="14" customFormat="false" ht="15" hidden="false" customHeight="true" outlineLevel="0" collapsed="false">
      <c r="A14" s="5" t="s">
        <v>1015</v>
      </c>
      <c r="B14" s="5" t="s">
        <v>992</v>
      </c>
      <c r="C14" s="5" t="s">
        <v>929</v>
      </c>
      <c r="D14" s="5" t="s">
        <v>930</v>
      </c>
      <c r="E14" s="5" t="s">
        <v>993</v>
      </c>
      <c r="F14" s="5" t="s">
        <v>990</v>
      </c>
      <c r="G14" s="5" t="s">
        <v>994</v>
      </c>
      <c r="H14" s="5" t="s">
        <v>974</v>
      </c>
    </row>
    <row r="15" customFormat="false" ht="15" hidden="false" customHeight="true" outlineLevel="0" collapsed="false">
      <c r="A15" s="5" t="s">
        <v>1016</v>
      </c>
      <c r="B15" s="5" t="s">
        <v>1017</v>
      </c>
      <c r="C15" s="5" t="s">
        <v>931</v>
      </c>
      <c r="D15" s="5" t="s">
        <v>932</v>
      </c>
      <c r="E15" s="5" t="s">
        <v>971</v>
      </c>
      <c r="F15" s="5" t="s">
        <v>972</v>
      </c>
      <c r="G15" s="5" t="s">
        <v>987</v>
      </c>
      <c r="H15" s="5" t="s">
        <v>995</v>
      </c>
    </row>
    <row r="16" customFormat="false" ht="15" hidden="false" customHeight="true" outlineLevel="0" collapsed="false">
      <c r="A16" s="5" t="s">
        <v>1018</v>
      </c>
      <c r="B16" s="5" t="s">
        <v>1019</v>
      </c>
      <c r="C16" s="5" t="s">
        <v>918</v>
      </c>
      <c r="D16" s="5" t="s">
        <v>919</v>
      </c>
      <c r="E16" s="5" t="s">
        <v>1020</v>
      </c>
      <c r="F16" s="5" t="s">
        <v>981</v>
      </c>
      <c r="G16" s="5" t="s">
        <v>1002</v>
      </c>
      <c r="H16" s="5" t="s">
        <v>974</v>
      </c>
    </row>
    <row r="17" customFormat="false" ht="15" hidden="false" customHeight="true" outlineLevel="0" collapsed="false">
      <c r="A17" s="5" t="s">
        <v>1021</v>
      </c>
      <c r="B17" s="5" t="s">
        <v>1022</v>
      </c>
      <c r="C17" s="5" t="s">
        <v>921</v>
      </c>
      <c r="D17" s="5" t="s">
        <v>922</v>
      </c>
      <c r="E17" s="5" t="s">
        <v>1023</v>
      </c>
      <c r="F17" s="5" t="s">
        <v>1010</v>
      </c>
      <c r="G17" s="5" t="s">
        <v>987</v>
      </c>
      <c r="H17" s="5" t="s">
        <v>974</v>
      </c>
    </row>
    <row r="18" customFormat="false" ht="15" hidden="false" customHeight="true" outlineLevel="0" collapsed="false">
      <c r="A18" s="5" t="s">
        <v>1024</v>
      </c>
      <c r="B18" s="5" t="s">
        <v>1025</v>
      </c>
      <c r="C18" s="5" t="s">
        <v>920</v>
      </c>
      <c r="D18" s="5" t="s">
        <v>919</v>
      </c>
      <c r="E18" s="5" t="s">
        <v>1001</v>
      </c>
      <c r="F18" s="5" t="s">
        <v>990</v>
      </c>
      <c r="G18" s="5" t="s">
        <v>1002</v>
      </c>
      <c r="H18" s="5" t="s">
        <v>974</v>
      </c>
    </row>
    <row r="19" customFormat="false" ht="15" hidden="false" customHeight="true" outlineLevel="0" collapsed="false">
      <c r="A19" s="5" t="s">
        <v>1026</v>
      </c>
      <c r="B19" s="5" t="s">
        <v>1027</v>
      </c>
      <c r="C19" s="5" t="s">
        <v>918</v>
      </c>
      <c r="D19" s="5" t="s">
        <v>919</v>
      </c>
      <c r="E19" s="5" t="s">
        <v>998</v>
      </c>
      <c r="F19" s="5" t="s">
        <v>990</v>
      </c>
      <c r="G19" s="5" t="s">
        <v>1002</v>
      </c>
      <c r="H19" s="5" t="s">
        <v>974</v>
      </c>
    </row>
    <row r="20" customFormat="false" ht="15" hidden="false" customHeight="true" outlineLevel="0" collapsed="false">
      <c r="A20" s="5" t="s">
        <v>1028</v>
      </c>
      <c r="B20" s="5" t="s">
        <v>1029</v>
      </c>
      <c r="C20" s="5" t="s">
        <v>927</v>
      </c>
      <c r="D20" s="5" t="s">
        <v>928</v>
      </c>
      <c r="E20" s="5" t="s">
        <v>1030</v>
      </c>
      <c r="F20" s="5" t="s">
        <v>972</v>
      </c>
      <c r="G20" s="5" t="s">
        <v>982</v>
      </c>
      <c r="H20" s="5" t="s">
        <v>974</v>
      </c>
    </row>
    <row r="21" customFormat="false" ht="15" hidden="false" customHeight="true" outlineLevel="0" collapsed="false">
      <c r="A21" s="5" t="s">
        <v>1031</v>
      </c>
      <c r="B21" s="5" t="s">
        <v>1032</v>
      </c>
      <c r="C21" s="5" t="s">
        <v>929</v>
      </c>
      <c r="D21" s="5" t="s">
        <v>930</v>
      </c>
      <c r="E21" s="5" t="s">
        <v>1005</v>
      </c>
      <c r="F21" s="5" t="s">
        <v>986</v>
      </c>
      <c r="G21" s="5" t="s">
        <v>982</v>
      </c>
      <c r="H21" s="5" t="s">
        <v>974</v>
      </c>
    </row>
    <row r="22" customFormat="false" ht="15" hidden="false" customHeight="true" outlineLevel="0" collapsed="false">
      <c r="A22" s="5" t="s">
        <v>1033</v>
      </c>
      <c r="B22" s="5" t="s">
        <v>1034</v>
      </c>
      <c r="C22" s="5" t="s">
        <v>920</v>
      </c>
      <c r="D22" s="5" t="s">
        <v>919</v>
      </c>
      <c r="E22" s="5" t="s">
        <v>1035</v>
      </c>
      <c r="F22" s="5" t="s">
        <v>990</v>
      </c>
      <c r="G22" s="5" t="s">
        <v>1002</v>
      </c>
      <c r="H22" s="5" t="s">
        <v>995</v>
      </c>
    </row>
    <row r="23" customFormat="false" ht="15" hidden="false" customHeight="true" outlineLevel="0" collapsed="false">
      <c r="A23" s="5" t="s">
        <v>1036</v>
      </c>
      <c r="B23" s="5" t="s">
        <v>1037</v>
      </c>
      <c r="C23" s="5" t="s">
        <v>920</v>
      </c>
      <c r="D23" s="5" t="s">
        <v>919</v>
      </c>
      <c r="E23" s="5" t="s">
        <v>1001</v>
      </c>
      <c r="F23" s="5" t="s">
        <v>1010</v>
      </c>
      <c r="G23" s="5" t="s">
        <v>987</v>
      </c>
      <c r="H23" s="5" t="s">
        <v>995</v>
      </c>
    </row>
    <row r="24" customFormat="false" ht="15" hidden="false" customHeight="true" outlineLevel="0" collapsed="false">
      <c r="A24" s="5" t="s">
        <v>1038</v>
      </c>
      <c r="B24" s="5" t="s">
        <v>1039</v>
      </c>
      <c r="C24" s="5" t="s">
        <v>920</v>
      </c>
      <c r="D24" s="5" t="s">
        <v>919</v>
      </c>
      <c r="E24" s="5" t="s">
        <v>1001</v>
      </c>
      <c r="F24" s="5" t="s">
        <v>1006</v>
      </c>
      <c r="G24" s="5" t="s">
        <v>987</v>
      </c>
      <c r="H24" s="5" t="s">
        <v>974</v>
      </c>
    </row>
    <row r="25" customFormat="false" ht="15" hidden="false" customHeight="true" outlineLevel="0" collapsed="false">
      <c r="A25" s="5" t="s">
        <v>1040</v>
      </c>
      <c r="B25" s="5" t="s">
        <v>1041</v>
      </c>
      <c r="C25" s="5" t="s">
        <v>925</v>
      </c>
      <c r="D25" s="5" t="s">
        <v>926</v>
      </c>
      <c r="E25" s="5" t="s">
        <v>1042</v>
      </c>
      <c r="F25" s="5" t="s">
        <v>986</v>
      </c>
      <c r="G25" s="5" t="s">
        <v>973</v>
      </c>
      <c r="H25" s="5" t="s">
        <v>974</v>
      </c>
    </row>
    <row r="26" customFormat="false" ht="15" hidden="false" customHeight="true" outlineLevel="0" collapsed="false">
      <c r="A26" s="5" t="s">
        <v>1043</v>
      </c>
      <c r="B26" s="5" t="s">
        <v>1044</v>
      </c>
      <c r="C26" s="5" t="s">
        <v>925</v>
      </c>
      <c r="D26" s="5" t="s">
        <v>926</v>
      </c>
      <c r="E26" s="5" t="s">
        <v>1042</v>
      </c>
      <c r="F26" s="5" t="s">
        <v>981</v>
      </c>
      <c r="G26" s="5" t="s">
        <v>982</v>
      </c>
      <c r="H26" s="5" t="s">
        <v>974</v>
      </c>
    </row>
    <row r="27" customFormat="false" ht="15" hidden="false" customHeight="true" outlineLevel="0" collapsed="false">
      <c r="A27" s="5" t="s">
        <v>1045</v>
      </c>
      <c r="B27" s="5" t="s">
        <v>1039</v>
      </c>
      <c r="C27" s="5" t="s">
        <v>920</v>
      </c>
      <c r="D27" s="5" t="s">
        <v>919</v>
      </c>
      <c r="E27" s="5" t="s">
        <v>1001</v>
      </c>
      <c r="F27" s="5" t="s">
        <v>1006</v>
      </c>
      <c r="G27" s="5" t="s">
        <v>1002</v>
      </c>
      <c r="H27" s="5" t="s">
        <v>974</v>
      </c>
    </row>
    <row r="28" customFormat="false" ht="15" hidden="false" customHeight="true" outlineLevel="0" collapsed="false">
      <c r="A28" s="5" t="s">
        <v>1046</v>
      </c>
      <c r="B28" s="5" t="s">
        <v>1047</v>
      </c>
      <c r="C28" s="5" t="s">
        <v>927</v>
      </c>
      <c r="D28" s="5" t="s">
        <v>928</v>
      </c>
      <c r="E28" s="5" t="s">
        <v>1048</v>
      </c>
      <c r="F28" s="5" t="s">
        <v>986</v>
      </c>
      <c r="G28" s="5" t="s">
        <v>982</v>
      </c>
      <c r="H28" s="5" t="s">
        <v>974</v>
      </c>
    </row>
    <row r="29" customFormat="false" ht="15" hidden="false" customHeight="true" outlineLevel="0" collapsed="false">
      <c r="A29" s="5" t="s">
        <v>1049</v>
      </c>
      <c r="B29" s="5" t="s">
        <v>1050</v>
      </c>
      <c r="C29" s="5" t="s">
        <v>925</v>
      </c>
      <c r="D29" s="5" t="s">
        <v>926</v>
      </c>
      <c r="E29" s="5" t="s">
        <v>1051</v>
      </c>
      <c r="F29" s="5" t="s">
        <v>981</v>
      </c>
      <c r="G29" s="5" t="s">
        <v>994</v>
      </c>
      <c r="H29" s="5" t="s">
        <v>974</v>
      </c>
    </row>
    <row r="30" customFormat="false" ht="15" hidden="false" customHeight="true" outlineLevel="0" collapsed="false">
      <c r="A30" s="5" t="s">
        <v>1052</v>
      </c>
      <c r="B30" s="5" t="s">
        <v>1053</v>
      </c>
      <c r="C30" s="5" t="s">
        <v>918</v>
      </c>
      <c r="D30" s="5" t="s">
        <v>919</v>
      </c>
      <c r="E30" s="5" t="s">
        <v>998</v>
      </c>
      <c r="F30" s="5" t="s">
        <v>1006</v>
      </c>
      <c r="G30" s="5" t="s">
        <v>982</v>
      </c>
      <c r="H30" s="5" t="s">
        <v>974</v>
      </c>
    </row>
    <row r="31" customFormat="false" ht="15" hidden="false" customHeight="true" outlineLevel="0" collapsed="false">
      <c r="A31" s="5" t="s">
        <v>1054</v>
      </c>
      <c r="B31" s="5" t="s">
        <v>1055</v>
      </c>
      <c r="C31" s="5" t="s">
        <v>931</v>
      </c>
      <c r="D31" s="5" t="s">
        <v>932</v>
      </c>
      <c r="E31" s="5" t="s">
        <v>1056</v>
      </c>
      <c r="F31" s="5" t="s">
        <v>1010</v>
      </c>
      <c r="G31" s="5" t="s">
        <v>973</v>
      </c>
      <c r="H31" s="5" t="s">
        <v>974</v>
      </c>
    </row>
    <row r="32" customFormat="false" ht="15" hidden="false" customHeight="true" outlineLevel="0" collapsed="false">
      <c r="A32" s="5" t="s">
        <v>1057</v>
      </c>
      <c r="B32" s="5" t="s">
        <v>1058</v>
      </c>
      <c r="C32" s="5" t="s">
        <v>921</v>
      </c>
      <c r="D32" s="5" t="s">
        <v>922</v>
      </c>
      <c r="E32" s="5" t="s">
        <v>1059</v>
      </c>
      <c r="F32" s="5" t="s">
        <v>981</v>
      </c>
      <c r="G32" s="5" t="s">
        <v>1002</v>
      </c>
      <c r="H32" s="5" t="s">
        <v>974</v>
      </c>
    </row>
    <row r="33" customFormat="false" ht="15" hidden="false" customHeight="true" outlineLevel="0" collapsed="false">
      <c r="A33" s="5" t="s">
        <v>1060</v>
      </c>
      <c r="B33" s="5" t="s">
        <v>1061</v>
      </c>
      <c r="C33" s="5" t="s">
        <v>929</v>
      </c>
      <c r="D33" s="5" t="s">
        <v>930</v>
      </c>
      <c r="E33" s="5" t="s">
        <v>1005</v>
      </c>
      <c r="F33" s="5" t="s">
        <v>981</v>
      </c>
      <c r="G33" s="5" t="s">
        <v>982</v>
      </c>
      <c r="H33" s="5" t="s">
        <v>995</v>
      </c>
    </row>
    <row r="34" customFormat="false" ht="15" hidden="false" customHeight="true" outlineLevel="0" collapsed="false">
      <c r="A34" s="5" t="s">
        <v>1062</v>
      </c>
      <c r="B34" s="5" t="s">
        <v>1063</v>
      </c>
      <c r="C34" s="5" t="s">
        <v>918</v>
      </c>
      <c r="D34" s="5" t="s">
        <v>919</v>
      </c>
      <c r="E34" s="5" t="s">
        <v>1020</v>
      </c>
      <c r="F34" s="5" t="s">
        <v>972</v>
      </c>
      <c r="G34" s="5" t="s">
        <v>987</v>
      </c>
      <c r="H34" s="5" t="s">
        <v>974</v>
      </c>
    </row>
    <row r="35" customFormat="false" ht="15" hidden="false" customHeight="true" outlineLevel="0" collapsed="false">
      <c r="A35" s="5" t="s">
        <v>1064</v>
      </c>
      <c r="B35" s="5" t="s">
        <v>1065</v>
      </c>
      <c r="C35" s="5" t="s">
        <v>927</v>
      </c>
      <c r="D35" s="5" t="s">
        <v>928</v>
      </c>
      <c r="E35" s="5" t="s">
        <v>1066</v>
      </c>
      <c r="F35" s="5" t="s">
        <v>990</v>
      </c>
      <c r="G35" s="5" t="s">
        <v>987</v>
      </c>
      <c r="H35" s="5" t="s">
        <v>995</v>
      </c>
    </row>
    <row r="36" customFormat="false" ht="15" hidden="false" customHeight="true" outlineLevel="0" collapsed="false">
      <c r="A36" s="5" t="s">
        <v>1067</v>
      </c>
      <c r="B36" s="5" t="s">
        <v>1068</v>
      </c>
      <c r="C36" s="5" t="s">
        <v>923</v>
      </c>
      <c r="D36" s="5" t="s">
        <v>924</v>
      </c>
      <c r="E36" s="5" t="s">
        <v>1069</v>
      </c>
      <c r="F36" s="5" t="s">
        <v>972</v>
      </c>
      <c r="G36" s="5" t="s">
        <v>973</v>
      </c>
      <c r="H36" s="5" t="s">
        <v>974</v>
      </c>
    </row>
    <row r="37" customFormat="false" ht="15" hidden="false" customHeight="true" outlineLevel="0" collapsed="false">
      <c r="A37" s="5" t="s">
        <v>1070</v>
      </c>
      <c r="B37" s="5" t="s">
        <v>1071</v>
      </c>
      <c r="C37" s="5" t="s">
        <v>927</v>
      </c>
      <c r="D37" s="5" t="s">
        <v>928</v>
      </c>
      <c r="E37" s="5" t="s">
        <v>1030</v>
      </c>
      <c r="F37" s="5" t="s">
        <v>986</v>
      </c>
      <c r="G37" s="5" t="s">
        <v>987</v>
      </c>
      <c r="H37" s="5" t="s">
        <v>974</v>
      </c>
    </row>
    <row r="38" customFormat="false" ht="15" hidden="false" customHeight="true" outlineLevel="0" collapsed="false">
      <c r="A38" s="5" t="s">
        <v>1072</v>
      </c>
      <c r="B38" s="5" t="s">
        <v>1073</v>
      </c>
      <c r="C38" s="5" t="s">
        <v>920</v>
      </c>
      <c r="D38" s="5" t="s">
        <v>919</v>
      </c>
      <c r="E38" s="5" t="s">
        <v>1009</v>
      </c>
      <c r="F38" s="5" t="s">
        <v>981</v>
      </c>
      <c r="G38" s="5" t="s">
        <v>987</v>
      </c>
      <c r="H38" s="5" t="s">
        <v>974</v>
      </c>
    </row>
    <row r="39" customFormat="false" ht="15" hidden="false" customHeight="true" outlineLevel="0" collapsed="false">
      <c r="A39" s="5" t="s">
        <v>1074</v>
      </c>
      <c r="B39" s="5" t="s">
        <v>1075</v>
      </c>
      <c r="C39" s="5" t="s">
        <v>931</v>
      </c>
      <c r="D39" s="5" t="s">
        <v>932</v>
      </c>
      <c r="E39" s="5" t="s">
        <v>1056</v>
      </c>
      <c r="F39" s="5" t="s">
        <v>1006</v>
      </c>
      <c r="G39" s="5" t="s">
        <v>987</v>
      </c>
      <c r="H39" s="5" t="s">
        <v>974</v>
      </c>
    </row>
    <row r="40" customFormat="false" ht="15" hidden="false" customHeight="true" outlineLevel="0" collapsed="false">
      <c r="A40" s="5" t="s">
        <v>1076</v>
      </c>
      <c r="B40" s="5" t="s">
        <v>1077</v>
      </c>
      <c r="C40" s="5" t="s">
        <v>923</v>
      </c>
      <c r="D40" s="5" t="s">
        <v>924</v>
      </c>
      <c r="E40" s="5" t="s">
        <v>985</v>
      </c>
      <c r="F40" s="5" t="s">
        <v>1006</v>
      </c>
      <c r="G40" s="5" t="s">
        <v>973</v>
      </c>
      <c r="H40" s="5" t="s">
        <v>995</v>
      </c>
    </row>
    <row r="41" customFormat="false" ht="15" hidden="false" customHeight="true" outlineLevel="0" collapsed="false">
      <c r="A41" s="5" t="s">
        <v>1078</v>
      </c>
      <c r="B41" s="5" t="s">
        <v>1079</v>
      </c>
      <c r="C41" s="5" t="s">
        <v>925</v>
      </c>
      <c r="D41" s="5" t="s">
        <v>926</v>
      </c>
      <c r="E41" s="5" t="s">
        <v>1080</v>
      </c>
      <c r="F41" s="5" t="s">
        <v>986</v>
      </c>
      <c r="G41" s="5" t="s">
        <v>994</v>
      </c>
      <c r="H41" s="5" t="s">
        <v>974</v>
      </c>
    </row>
    <row r="42" customFormat="false" ht="15" hidden="false" customHeight="true" outlineLevel="0" collapsed="false">
      <c r="A42" s="5" t="s">
        <v>1081</v>
      </c>
      <c r="B42" s="5" t="s">
        <v>1082</v>
      </c>
      <c r="C42" s="5" t="s">
        <v>927</v>
      </c>
      <c r="D42" s="5" t="s">
        <v>928</v>
      </c>
      <c r="E42" s="5" t="s">
        <v>1048</v>
      </c>
      <c r="F42" s="5" t="s">
        <v>981</v>
      </c>
      <c r="G42" s="5" t="s">
        <v>987</v>
      </c>
      <c r="H42" s="5" t="s">
        <v>974</v>
      </c>
    </row>
    <row r="43" customFormat="false" ht="15" hidden="false" customHeight="true" outlineLevel="0" collapsed="false">
      <c r="A43" s="5" t="s">
        <v>1083</v>
      </c>
      <c r="B43" s="5" t="s">
        <v>1050</v>
      </c>
      <c r="C43" s="5" t="s">
        <v>925</v>
      </c>
      <c r="D43" s="5" t="s">
        <v>926</v>
      </c>
      <c r="E43" s="5" t="s">
        <v>1051</v>
      </c>
      <c r="F43" s="5" t="s">
        <v>981</v>
      </c>
      <c r="G43" s="5" t="s">
        <v>994</v>
      </c>
      <c r="H43" s="5" t="s">
        <v>974</v>
      </c>
    </row>
    <row r="44" customFormat="false" ht="15" hidden="false" customHeight="true" outlineLevel="0" collapsed="false">
      <c r="A44" s="5" t="s">
        <v>1084</v>
      </c>
      <c r="B44" s="5" t="s">
        <v>1085</v>
      </c>
      <c r="C44" s="5" t="s">
        <v>927</v>
      </c>
      <c r="D44" s="5" t="s">
        <v>928</v>
      </c>
      <c r="E44" s="5" t="s">
        <v>1030</v>
      </c>
      <c r="F44" s="5" t="s">
        <v>1010</v>
      </c>
      <c r="G44" s="5" t="s">
        <v>973</v>
      </c>
      <c r="H44" s="5" t="s">
        <v>974</v>
      </c>
    </row>
    <row r="45" customFormat="false" ht="15" hidden="false" customHeight="true" outlineLevel="0" collapsed="false">
      <c r="A45" s="5" t="s">
        <v>1086</v>
      </c>
      <c r="B45" s="5" t="s">
        <v>1087</v>
      </c>
      <c r="C45" s="5" t="s">
        <v>923</v>
      </c>
      <c r="D45" s="5" t="s">
        <v>924</v>
      </c>
      <c r="E45" s="5" t="s">
        <v>985</v>
      </c>
      <c r="F45" s="5" t="s">
        <v>981</v>
      </c>
      <c r="G45" s="5" t="s">
        <v>994</v>
      </c>
      <c r="H45" s="5" t="s">
        <v>974</v>
      </c>
    </row>
    <row r="46" customFormat="false" ht="15" hidden="false" customHeight="true" outlineLevel="0" collapsed="false">
      <c r="A46" s="5" t="s">
        <v>1088</v>
      </c>
      <c r="B46" s="5" t="s">
        <v>1089</v>
      </c>
      <c r="C46" s="5" t="s">
        <v>923</v>
      </c>
      <c r="D46" s="5" t="s">
        <v>924</v>
      </c>
      <c r="E46" s="5" t="s">
        <v>985</v>
      </c>
      <c r="F46" s="5" t="s">
        <v>990</v>
      </c>
      <c r="G46" s="5" t="s">
        <v>982</v>
      </c>
      <c r="H46" s="5" t="s">
        <v>974</v>
      </c>
    </row>
    <row r="47" customFormat="false" ht="15" hidden="false" customHeight="true" outlineLevel="0" collapsed="false">
      <c r="A47" s="5" t="s">
        <v>1090</v>
      </c>
      <c r="B47" s="5" t="s">
        <v>1091</v>
      </c>
      <c r="C47" s="5" t="s">
        <v>920</v>
      </c>
      <c r="D47" s="5" t="s">
        <v>919</v>
      </c>
      <c r="E47" s="5" t="s">
        <v>1092</v>
      </c>
      <c r="F47" s="5" t="s">
        <v>1010</v>
      </c>
      <c r="G47" s="5" t="s">
        <v>994</v>
      </c>
      <c r="H47" s="5" t="s">
        <v>974</v>
      </c>
    </row>
    <row r="48" customFormat="false" ht="15" hidden="false" customHeight="true" outlineLevel="0" collapsed="false">
      <c r="A48" s="5" t="s">
        <v>1093</v>
      </c>
      <c r="B48" s="5" t="s">
        <v>1094</v>
      </c>
      <c r="C48" s="5" t="s">
        <v>925</v>
      </c>
      <c r="D48" s="5" t="s">
        <v>926</v>
      </c>
      <c r="E48" s="5" t="s">
        <v>1042</v>
      </c>
      <c r="F48" s="5" t="s">
        <v>972</v>
      </c>
      <c r="G48" s="5" t="s">
        <v>994</v>
      </c>
      <c r="H48" s="5" t="s">
        <v>974</v>
      </c>
    </row>
    <row r="49" customFormat="false" ht="15" hidden="false" customHeight="true" outlineLevel="0" collapsed="false">
      <c r="A49" s="5" t="s">
        <v>1095</v>
      </c>
      <c r="B49" s="5" t="s">
        <v>1096</v>
      </c>
      <c r="C49" s="5" t="s">
        <v>929</v>
      </c>
      <c r="D49" s="5" t="s">
        <v>930</v>
      </c>
      <c r="E49" s="5" t="s">
        <v>1097</v>
      </c>
      <c r="F49" s="5" t="s">
        <v>986</v>
      </c>
      <c r="G49" s="5" t="s">
        <v>1002</v>
      </c>
      <c r="H49" s="5" t="s">
        <v>974</v>
      </c>
    </row>
    <row r="50" customFormat="false" ht="15" hidden="false" customHeight="true" outlineLevel="0" collapsed="false">
      <c r="A50" s="5" t="s">
        <v>1098</v>
      </c>
      <c r="B50" s="5" t="s">
        <v>1099</v>
      </c>
      <c r="C50" s="5" t="s">
        <v>929</v>
      </c>
      <c r="D50" s="5" t="s">
        <v>930</v>
      </c>
      <c r="E50" s="5" t="s">
        <v>1097</v>
      </c>
      <c r="F50" s="5" t="s">
        <v>981</v>
      </c>
      <c r="G50" s="5" t="s">
        <v>982</v>
      </c>
      <c r="H50" s="5" t="s">
        <v>974</v>
      </c>
    </row>
    <row r="51" customFormat="false" ht="15" hidden="false" customHeight="true" outlineLevel="0" collapsed="false">
      <c r="A51" s="5" t="s">
        <v>1100</v>
      </c>
      <c r="B51" s="5" t="s">
        <v>1101</v>
      </c>
      <c r="C51" s="5" t="s">
        <v>927</v>
      </c>
      <c r="D51" s="5" t="s">
        <v>928</v>
      </c>
      <c r="E51" s="5" t="s">
        <v>1030</v>
      </c>
      <c r="F51" s="5" t="s">
        <v>990</v>
      </c>
      <c r="G51" s="5" t="s">
        <v>987</v>
      </c>
      <c r="H51" s="5" t="s">
        <v>974</v>
      </c>
    </row>
    <row r="52" customFormat="false" ht="15" hidden="false" customHeight="true" outlineLevel="0" collapsed="false">
      <c r="A52" s="5" t="s">
        <v>1102</v>
      </c>
      <c r="B52" s="5" t="s">
        <v>1058</v>
      </c>
      <c r="C52" s="5" t="s">
        <v>921</v>
      </c>
      <c r="D52" s="5" t="s">
        <v>922</v>
      </c>
      <c r="E52" s="5" t="s">
        <v>1059</v>
      </c>
      <c r="F52" s="5" t="s">
        <v>981</v>
      </c>
      <c r="G52" s="5" t="s">
        <v>1002</v>
      </c>
      <c r="H52" s="5" t="s">
        <v>974</v>
      </c>
    </row>
    <row r="53" customFormat="false" ht="15" hidden="false" customHeight="true" outlineLevel="0" collapsed="false">
      <c r="A53" s="5" t="s">
        <v>1103</v>
      </c>
      <c r="B53" s="5" t="s">
        <v>1104</v>
      </c>
      <c r="C53" s="5" t="s">
        <v>927</v>
      </c>
      <c r="D53" s="5" t="s">
        <v>928</v>
      </c>
      <c r="E53" s="5" t="s">
        <v>1048</v>
      </c>
      <c r="F53" s="5" t="s">
        <v>972</v>
      </c>
      <c r="G53" s="5" t="s">
        <v>982</v>
      </c>
      <c r="H53" s="5" t="s">
        <v>974</v>
      </c>
    </row>
    <row r="54" customFormat="false" ht="15" hidden="false" customHeight="true" outlineLevel="0" collapsed="false">
      <c r="A54" s="5" t="s">
        <v>1105</v>
      </c>
      <c r="B54" s="5" t="s">
        <v>1106</v>
      </c>
      <c r="C54" s="5" t="s">
        <v>923</v>
      </c>
      <c r="D54" s="5" t="s">
        <v>924</v>
      </c>
      <c r="E54" s="5" t="s">
        <v>1069</v>
      </c>
      <c r="F54" s="5" t="s">
        <v>981</v>
      </c>
      <c r="G54" s="5" t="s">
        <v>987</v>
      </c>
      <c r="H54" s="5" t="s">
        <v>995</v>
      </c>
    </row>
    <row r="55" customFormat="false" ht="15" hidden="false" customHeight="true" outlineLevel="0" collapsed="false">
      <c r="A55" s="5" t="s">
        <v>1107</v>
      </c>
      <c r="B55" s="5" t="s">
        <v>1108</v>
      </c>
      <c r="C55" s="5" t="s">
        <v>920</v>
      </c>
      <c r="D55" s="5" t="s">
        <v>919</v>
      </c>
      <c r="E55" s="5" t="s">
        <v>1009</v>
      </c>
      <c r="F55" s="5" t="s">
        <v>990</v>
      </c>
      <c r="G55" s="5" t="s">
        <v>1002</v>
      </c>
      <c r="H55" s="5" t="s">
        <v>974</v>
      </c>
    </row>
    <row r="56" customFormat="false" ht="15" hidden="false" customHeight="true" outlineLevel="0" collapsed="false">
      <c r="A56" s="5" t="s">
        <v>1109</v>
      </c>
      <c r="B56" s="5" t="s">
        <v>1110</v>
      </c>
      <c r="C56" s="5" t="s">
        <v>929</v>
      </c>
      <c r="D56" s="5" t="s">
        <v>930</v>
      </c>
      <c r="E56" s="5" t="s">
        <v>993</v>
      </c>
      <c r="F56" s="5" t="s">
        <v>990</v>
      </c>
      <c r="G56" s="5" t="s">
        <v>987</v>
      </c>
      <c r="H56" s="5" t="s">
        <v>974</v>
      </c>
    </row>
    <row r="57" customFormat="false" ht="15" hidden="false" customHeight="true" outlineLevel="0" collapsed="false">
      <c r="A57" s="5" t="s">
        <v>1111</v>
      </c>
      <c r="B57" s="5" t="s">
        <v>1112</v>
      </c>
      <c r="C57" s="5" t="s">
        <v>918</v>
      </c>
      <c r="D57" s="5" t="s">
        <v>919</v>
      </c>
      <c r="E57" s="5" t="s">
        <v>998</v>
      </c>
      <c r="F57" s="5" t="s">
        <v>990</v>
      </c>
      <c r="G57" s="5" t="s">
        <v>987</v>
      </c>
      <c r="H57" s="5" t="s">
        <v>974</v>
      </c>
    </row>
    <row r="58" customFormat="false" ht="15" hidden="false" customHeight="true" outlineLevel="0" collapsed="false">
      <c r="A58" s="5" t="s">
        <v>1113</v>
      </c>
      <c r="B58" s="5" t="s">
        <v>1114</v>
      </c>
      <c r="C58" s="5" t="s">
        <v>931</v>
      </c>
      <c r="D58" s="5" t="s">
        <v>932</v>
      </c>
      <c r="E58" s="5" t="s">
        <v>971</v>
      </c>
      <c r="F58" s="5" t="s">
        <v>1010</v>
      </c>
      <c r="G58" s="5" t="s">
        <v>973</v>
      </c>
      <c r="H58" s="5" t="s">
        <v>974</v>
      </c>
    </row>
    <row r="59" customFormat="false" ht="15" hidden="false" customHeight="true" outlineLevel="0" collapsed="false">
      <c r="A59" s="5" t="s">
        <v>1115</v>
      </c>
      <c r="B59" s="5" t="s">
        <v>1116</v>
      </c>
      <c r="C59" s="5" t="s">
        <v>931</v>
      </c>
      <c r="D59" s="5" t="s">
        <v>932</v>
      </c>
      <c r="E59" s="5" t="s">
        <v>1056</v>
      </c>
      <c r="F59" s="5" t="s">
        <v>990</v>
      </c>
      <c r="G59" s="5" t="s">
        <v>1002</v>
      </c>
      <c r="H59" s="5" t="s">
        <v>974</v>
      </c>
    </row>
    <row r="60" customFormat="false" ht="15" hidden="false" customHeight="true" outlineLevel="0" collapsed="false">
      <c r="A60" s="5" t="s">
        <v>1117</v>
      </c>
      <c r="B60" s="5" t="s">
        <v>1118</v>
      </c>
      <c r="C60" s="5" t="s">
        <v>931</v>
      </c>
      <c r="D60" s="5" t="s">
        <v>932</v>
      </c>
      <c r="E60" s="5" t="s">
        <v>971</v>
      </c>
      <c r="F60" s="5" t="s">
        <v>986</v>
      </c>
      <c r="G60" s="5" t="s">
        <v>994</v>
      </c>
      <c r="H60" s="5" t="s">
        <v>974</v>
      </c>
    </row>
    <row r="61" customFormat="false" ht="15" hidden="false" customHeight="true" outlineLevel="0" collapsed="false">
      <c r="A61" s="5" t="s">
        <v>1119</v>
      </c>
      <c r="B61" s="5" t="s">
        <v>1120</v>
      </c>
      <c r="C61" s="5" t="s">
        <v>923</v>
      </c>
      <c r="D61" s="5" t="s">
        <v>924</v>
      </c>
      <c r="E61" s="5" t="s">
        <v>977</v>
      </c>
      <c r="F61" s="5" t="s">
        <v>1006</v>
      </c>
      <c r="G61" s="5" t="s">
        <v>994</v>
      </c>
      <c r="H61" s="5" t="s">
        <v>974</v>
      </c>
    </row>
    <row r="62" customFormat="false" ht="15" hidden="false" customHeight="true" outlineLevel="0" collapsed="false">
      <c r="A62" s="5" t="s">
        <v>1121</v>
      </c>
      <c r="B62" s="5" t="s">
        <v>1122</v>
      </c>
      <c r="C62" s="5" t="s">
        <v>925</v>
      </c>
      <c r="D62" s="5" t="s">
        <v>926</v>
      </c>
      <c r="E62" s="5" t="s">
        <v>1080</v>
      </c>
      <c r="F62" s="5" t="s">
        <v>981</v>
      </c>
      <c r="G62" s="5" t="s">
        <v>982</v>
      </c>
      <c r="H62" s="5" t="s">
        <v>974</v>
      </c>
    </row>
    <row r="63" customFormat="false" ht="15" hidden="false" customHeight="true" outlineLevel="0" collapsed="false">
      <c r="A63" s="5" t="s">
        <v>1123</v>
      </c>
      <c r="B63" s="5" t="s">
        <v>1124</v>
      </c>
      <c r="C63" s="5" t="s">
        <v>927</v>
      </c>
      <c r="D63" s="5" t="s">
        <v>928</v>
      </c>
      <c r="E63" s="5" t="s">
        <v>1030</v>
      </c>
      <c r="F63" s="5" t="s">
        <v>1010</v>
      </c>
      <c r="G63" s="5" t="s">
        <v>987</v>
      </c>
      <c r="H63" s="5" t="s">
        <v>974</v>
      </c>
    </row>
    <row r="64" customFormat="false" ht="15" hidden="false" customHeight="true" outlineLevel="0" collapsed="false">
      <c r="A64" s="5" t="s">
        <v>1125</v>
      </c>
      <c r="B64" s="5" t="s">
        <v>1126</v>
      </c>
      <c r="C64" s="5" t="s">
        <v>929</v>
      </c>
      <c r="D64" s="5" t="s">
        <v>930</v>
      </c>
      <c r="E64" s="5" t="s">
        <v>1097</v>
      </c>
      <c r="F64" s="5" t="s">
        <v>972</v>
      </c>
      <c r="G64" s="5" t="s">
        <v>987</v>
      </c>
      <c r="H64" s="5" t="s">
        <v>974</v>
      </c>
    </row>
    <row r="65" customFormat="false" ht="15" hidden="false" customHeight="true" outlineLevel="0" collapsed="false">
      <c r="A65" s="5" t="s">
        <v>1127</v>
      </c>
      <c r="B65" s="5" t="s">
        <v>1128</v>
      </c>
      <c r="C65" s="5" t="s">
        <v>929</v>
      </c>
      <c r="D65" s="5" t="s">
        <v>930</v>
      </c>
      <c r="E65" s="5" t="s">
        <v>993</v>
      </c>
      <c r="F65" s="5" t="s">
        <v>1010</v>
      </c>
      <c r="G65" s="5" t="s">
        <v>994</v>
      </c>
      <c r="H65" s="5" t="s">
        <v>974</v>
      </c>
    </row>
    <row r="66" customFormat="false" ht="15" hidden="false" customHeight="true" outlineLevel="0" collapsed="false">
      <c r="A66" s="5" t="s">
        <v>1129</v>
      </c>
      <c r="B66" s="5" t="s">
        <v>1130</v>
      </c>
      <c r="C66" s="5" t="s">
        <v>929</v>
      </c>
      <c r="D66" s="5" t="s">
        <v>930</v>
      </c>
      <c r="E66" s="5" t="s">
        <v>993</v>
      </c>
      <c r="F66" s="5" t="s">
        <v>1010</v>
      </c>
      <c r="G66" s="5" t="s">
        <v>973</v>
      </c>
      <c r="H66" s="5" t="s">
        <v>995</v>
      </c>
    </row>
    <row r="67" customFormat="false" ht="15" hidden="false" customHeight="true" outlineLevel="0" collapsed="false">
      <c r="A67" s="5" t="s">
        <v>1131</v>
      </c>
      <c r="B67" s="5" t="s">
        <v>1132</v>
      </c>
      <c r="C67" s="5" t="s">
        <v>929</v>
      </c>
      <c r="D67" s="5" t="s">
        <v>930</v>
      </c>
      <c r="E67" s="5" t="s">
        <v>993</v>
      </c>
      <c r="F67" s="5" t="s">
        <v>981</v>
      </c>
      <c r="G67" s="5" t="s">
        <v>982</v>
      </c>
      <c r="H67" s="5" t="s">
        <v>974</v>
      </c>
    </row>
    <row r="68" customFormat="false" ht="15" hidden="false" customHeight="true" outlineLevel="0" collapsed="false">
      <c r="A68" s="5" t="s">
        <v>1133</v>
      </c>
      <c r="B68" s="5" t="s">
        <v>1134</v>
      </c>
      <c r="C68" s="5" t="s">
        <v>929</v>
      </c>
      <c r="D68" s="5" t="s">
        <v>930</v>
      </c>
      <c r="E68" s="5" t="s">
        <v>1097</v>
      </c>
      <c r="F68" s="5" t="s">
        <v>986</v>
      </c>
      <c r="G68" s="5" t="s">
        <v>1002</v>
      </c>
      <c r="H68" s="5" t="s">
        <v>974</v>
      </c>
    </row>
    <row r="69" customFormat="false" ht="15" hidden="false" customHeight="true" outlineLevel="0" collapsed="false">
      <c r="A69" s="5" t="s">
        <v>1135</v>
      </c>
      <c r="B69" s="5" t="s">
        <v>1136</v>
      </c>
      <c r="C69" s="5" t="s">
        <v>923</v>
      </c>
      <c r="D69" s="5" t="s">
        <v>924</v>
      </c>
      <c r="E69" s="5" t="s">
        <v>985</v>
      </c>
      <c r="F69" s="5" t="s">
        <v>972</v>
      </c>
      <c r="G69" s="5" t="s">
        <v>994</v>
      </c>
      <c r="H69" s="5" t="s">
        <v>974</v>
      </c>
    </row>
    <row r="70" customFormat="false" ht="15" hidden="false" customHeight="true" outlineLevel="0" collapsed="false">
      <c r="A70" s="5" t="s">
        <v>1137</v>
      </c>
      <c r="B70" s="5" t="s">
        <v>1138</v>
      </c>
      <c r="C70" s="5" t="s">
        <v>929</v>
      </c>
      <c r="D70" s="5" t="s">
        <v>930</v>
      </c>
      <c r="E70" s="5" t="s">
        <v>993</v>
      </c>
      <c r="F70" s="5" t="s">
        <v>986</v>
      </c>
      <c r="G70" s="5" t="s">
        <v>994</v>
      </c>
      <c r="H70" s="5" t="s">
        <v>974</v>
      </c>
    </row>
    <row r="71" customFormat="false" ht="15" hidden="false" customHeight="true" outlineLevel="0" collapsed="false">
      <c r="A71" s="5" t="s">
        <v>1139</v>
      </c>
      <c r="B71" s="5" t="s">
        <v>1140</v>
      </c>
      <c r="C71" s="5" t="s">
        <v>931</v>
      </c>
      <c r="D71" s="5" t="s">
        <v>932</v>
      </c>
      <c r="E71" s="5" t="s">
        <v>971</v>
      </c>
      <c r="F71" s="5" t="s">
        <v>1010</v>
      </c>
      <c r="G71" s="5" t="s">
        <v>973</v>
      </c>
      <c r="H71" s="5" t="s">
        <v>995</v>
      </c>
    </row>
    <row r="72" customFormat="false" ht="15" hidden="false" customHeight="true" outlineLevel="0" collapsed="false">
      <c r="A72" s="5" t="s">
        <v>1141</v>
      </c>
      <c r="B72" s="5" t="s">
        <v>1142</v>
      </c>
      <c r="C72" s="5" t="s">
        <v>918</v>
      </c>
      <c r="D72" s="5" t="s">
        <v>919</v>
      </c>
      <c r="E72" s="5" t="s">
        <v>998</v>
      </c>
      <c r="F72" s="5" t="s">
        <v>986</v>
      </c>
      <c r="G72" s="5" t="s">
        <v>987</v>
      </c>
      <c r="H72" s="5" t="s">
        <v>995</v>
      </c>
    </row>
    <row r="73" customFormat="false" ht="15" hidden="false" customHeight="true" outlineLevel="0" collapsed="false">
      <c r="A73" s="5" t="s">
        <v>1143</v>
      </c>
      <c r="B73" s="5" t="s">
        <v>1144</v>
      </c>
      <c r="C73" s="5" t="s">
        <v>921</v>
      </c>
      <c r="D73" s="5" t="s">
        <v>922</v>
      </c>
      <c r="E73" s="5" t="s">
        <v>1023</v>
      </c>
      <c r="F73" s="5" t="s">
        <v>1006</v>
      </c>
      <c r="G73" s="5" t="s">
        <v>982</v>
      </c>
      <c r="H73" s="5" t="s">
        <v>974</v>
      </c>
    </row>
    <row r="74" customFormat="false" ht="15" hidden="false" customHeight="true" outlineLevel="0" collapsed="false">
      <c r="A74" s="5" t="s">
        <v>1145</v>
      </c>
      <c r="B74" s="5" t="s">
        <v>1101</v>
      </c>
      <c r="C74" s="5" t="s">
        <v>927</v>
      </c>
      <c r="D74" s="5" t="s">
        <v>928</v>
      </c>
      <c r="E74" s="5" t="s">
        <v>1030</v>
      </c>
      <c r="F74" s="5" t="s">
        <v>990</v>
      </c>
      <c r="G74" s="5" t="s">
        <v>994</v>
      </c>
      <c r="H74" s="5" t="s">
        <v>974</v>
      </c>
    </row>
    <row r="75" customFormat="false" ht="15" hidden="false" customHeight="true" outlineLevel="0" collapsed="false">
      <c r="A75" s="5" t="s">
        <v>1146</v>
      </c>
      <c r="B75" s="5" t="s">
        <v>1147</v>
      </c>
      <c r="C75" s="5" t="s">
        <v>920</v>
      </c>
      <c r="D75" s="5" t="s">
        <v>919</v>
      </c>
      <c r="E75" s="5" t="s">
        <v>1009</v>
      </c>
      <c r="F75" s="5" t="s">
        <v>981</v>
      </c>
      <c r="G75" s="5" t="s">
        <v>1002</v>
      </c>
      <c r="H75" s="5" t="s">
        <v>974</v>
      </c>
    </row>
    <row r="76" customFormat="false" ht="15" hidden="false" customHeight="true" outlineLevel="0" collapsed="false">
      <c r="A76" s="5" t="s">
        <v>1148</v>
      </c>
      <c r="B76" s="5" t="s">
        <v>1149</v>
      </c>
      <c r="C76" s="5" t="s">
        <v>927</v>
      </c>
      <c r="D76" s="5" t="s">
        <v>928</v>
      </c>
      <c r="E76" s="5" t="s">
        <v>1048</v>
      </c>
      <c r="F76" s="5" t="s">
        <v>986</v>
      </c>
      <c r="G76" s="5" t="s">
        <v>973</v>
      </c>
      <c r="H76" s="5" t="s">
        <v>974</v>
      </c>
    </row>
    <row r="77" customFormat="false" ht="15" hidden="false" customHeight="true" outlineLevel="0" collapsed="false">
      <c r="A77" s="5" t="s">
        <v>1150</v>
      </c>
      <c r="B77" s="5" t="s">
        <v>1151</v>
      </c>
      <c r="C77" s="5" t="s">
        <v>923</v>
      </c>
      <c r="D77" s="5" t="s">
        <v>924</v>
      </c>
      <c r="E77" s="5" t="s">
        <v>1069</v>
      </c>
      <c r="F77" s="5" t="s">
        <v>981</v>
      </c>
      <c r="G77" s="5" t="s">
        <v>987</v>
      </c>
      <c r="H77" s="5" t="s">
        <v>974</v>
      </c>
    </row>
    <row r="78" customFormat="false" ht="15" hidden="false" customHeight="true" outlineLevel="0" collapsed="false">
      <c r="A78" s="5" t="s">
        <v>1152</v>
      </c>
      <c r="B78" s="5" t="s">
        <v>1114</v>
      </c>
      <c r="C78" s="5" t="s">
        <v>931</v>
      </c>
      <c r="D78" s="5" t="s">
        <v>932</v>
      </c>
      <c r="E78" s="5" t="s">
        <v>971</v>
      </c>
      <c r="F78" s="5" t="s">
        <v>1010</v>
      </c>
      <c r="G78" s="5" t="s">
        <v>994</v>
      </c>
      <c r="H78" s="5" t="s">
        <v>974</v>
      </c>
    </row>
    <row r="79" customFormat="false" ht="15" hidden="false" customHeight="true" outlineLevel="0" collapsed="false">
      <c r="A79" s="5" t="s">
        <v>1153</v>
      </c>
      <c r="B79" s="5" t="s">
        <v>1154</v>
      </c>
      <c r="C79" s="5" t="s">
        <v>927</v>
      </c>
      <c r="D79" s="5" t="s">
        <v>928</v>
      </c>
      <c r="E79" s="5" t="s">
        <v>1048</v>
      </c>
      <c r="F79" s="5" t="s">
        <v>1010</v>
      </c>
      <c r="G79" s="5" t="s">
        <v>973</v>
      </c>
      <c r="H79" s="5" t="s">
        <v>974</v>
      </c>
    </row>
    <row r="80" customFormat="false" ht="15" hidden="false" customHeight="true" outlineLevel="0" collapsed="false">
      <c r="A80" s="5" t="s">
        <v>1155</v>
      </c>
      <c r="B80" s="5" t="s">
        <v>1156</v>
      </c>
      <c r="C80" s="5" t="s">
        <v>921</v>
      </c>
      <c r="D80" s="5" t="s">
        <v>922</v>
      </c>
      <c r="E80" s="5" t="s">
        <v>1157</v>
      </c>
      <c r="F80" s="5" t="s">
        <v>981</v>
      </c>
      <c r="G80" s="5" t="s">
        <v>973</v>
      </c>
      <c r="H80" s="5" t="s">
        <v>995</v>
      </c>
    </row>
    <row r="81" customFormat="false" ht="15" hidden="false" customHeight="true" outlineLevel="0" collapsed="false">
      <c r="A81" s="5" t="s">
        <v>1158</v>
      </c>
      <c r="B81" s="5" t="s">
        <v>1159</v>
      </c>
      <c r="C81" s="5" t="s">
        <v>929</v>
      </c>
      <c r="D81" s="5" t="s">
        <v>930</v>
      </c>
      <c r="E81" s="5" t="s">
        <v>993</v>
      </c>
      <c r="F81" s="5" t="s">
        <v>986</v>
      </c>
      <c r="G81" s="5" t="s">
        <v>973</v>
      </c>
      <c r="H81" s="5" t="s">
        <v>974</v>
      </c>
    </row>
    <row r="82" customFormat="false" ht="15" hidden="false" customHeight="true" outlineLevel="0" collapsed="false">
      <c r="A82" s="5" t="s">
        <v>1160</v>
      </c>
      <c r="B82" s="5" t="s">
        <v>1161</v>
      </c>
      <c r="C82" s="5" t="s">
        <v>923</v>
      </c>
      <c r="D82" s="5" t="s">
        <v>924</v>
      </c>
      <c r="E82" s="5" t="s">
        <v>1069</v>
      </c>
      <c r="F82" s="5" t="s">
        <v>986</v>
      </c>
      <c r="G82" s="5" t="s">
        <v>1002</v>
      </c>
      <c r="H82" s="5" t="s">
        <v>974</v>
      </c>
    </row>
    <row r="83" customFormat="false" ht="15" hidden="false" customHeight="true" outlineLevel="0" collapsed="false">
      <c r="A83" s="5" t="s">
        <v>1162</v>
      </c>
      <c r="B83" s="5" t="s">
        <v>1163</v>
      </c>
      <c r="C83" s="5" t="s">
        <v>918</v>
      </c>
      <c r="D83" s="5" t="s">
        <v>919</v>
      </c>
      <c r="E83" s="5" t="s">
        <v>1020</v>
      </c>
      <c r="F83" s="5" t="s">
        <v>1010</v>
      </c>
      <c r="G83" s="5" t="s">
        <v>982</v>
      </c>
      <c r="H83" s="5" t="s">
        <v>974</v>
      </c>
    </row>
    <row r="84" customFormat="false" ht="15" hidden="false" customHeight="true" outlineLevel="0" collapsed="false">
      <c r="A84" s="5" t="s">
        <v>1164</v>
      </c>
      <c r="B84" s="5" t="s">
        <v>1165</v>
      </c>
      <c r="C84" s="5" t="s">
        <v>927</v>
      </c>
      <c r="D84" s="5" t="s">
        <v>928</v>
      </c>
      <c r="E84" s="5" t="s">
        <v>1048</v>
      </c>
      <c r="F84" s="5" t="s">
        <v>990</v>
      </c>
      <c r="G84" s="5" t="s">
        <v>973</v>
      </c>
      <c r="H84" s="5" t="s">
        <v>974</v>
      </c>
    </row>
    <row r="85" customFormat="false" ht="15" hidden="false" customHeight="true" outlineLevel="0" collapsed="false">
      <c r="A85" s="5" t="s">
        <v>1166</v>
      </c>
      <c r="B85" s="5" t="s">
        <v>1065</v>
      </c>
      <c r="C85" s="5" t="s">
        <v>927</v>
      </c>
      <c r="D85" s="5" t="s">
        <v>928</v>
      </c>
      <c r="E85" s="5" t="s">
        <v>1066</v>
      </c>
      <c r="F85" s="5" t="s">
        <v>990</v>
      </c>
      <c r="G85" s="5" t="s">
        <v>987</v>
      </c>
      <c r="H85" s="5" t="s">
        <v>974</v>
      </c>
    </row>
    <row r="86" customFormat="false" ht="15" hidden="false" customHeight="true" outlineLevel="0" collapsed="false">
      <c r="A86" s="5" t="s">
        <v>1167</v>
      </c>
      <c r="B86" s="5" t="s">
        <v>1168</v>
      </c>
      <c r="C86" s="5" t="s">
        <v>925</v>
      </c>
      <c r="D86" s="5" t="s">
        <v>926</v>
      </c>
      <c r="E86" s="5" t="s">
        <v>1042</v>
      </c>
      <c r="F86" s="5" t="s">
        <v>1010</v>
      </c>
      <c r="G86" s="5" t="s">
        <v>994</v>
      </c>
      <c r="H86" s="5" t="s">
        <v>974</v>
      </c>
    </row>
    <row r="87" customFormat="false" ht="15" hidden="false" customHeight="true" outlineLevel="0" collapsed="false">
      <c r="A87" s="5" t="s">
        <v>1169</v>
      </c>
      <c r="B87" s="5" t="s">
        <v>1170</v>
      </c>
      <c r="C87" s="5" t="s">
        <v>925</v>
      </c>
      <c r="D87" s="5" t="s">
        <v>926</v>
      </c>
      <c r="E87" s="5" t="s">
        <v>1080</v>
      </c>
      <c r="F87" s="5" t="s">
        <v>972</v>
      </c>
      <c r="G87" s="5" t="s">
        <v>982</v>
      </c>
      <c r="H87" s="5" t="s">
        <v>995</v>
      </c>
    </row>
    <row r="88" customFormat="false" ht="15" hidden="false" customHeight="true" outlineLevel="0" collapsed="false">
      <c r="A88" s="5" t="s">
        <v>1171</v>
      </c>
      <c r="B88" s="5" t="s">
        <v>1172</v>
      </c>
      <c r="C88" s="5" t="s">
        <v>923</v>
      </c>
      <c r="D88" s="5" t="s">
        <v>924</v>
      </c>
      <c r="E88" s="5" t="s">
        <v>985</v>
      </c>
      <c r="F88" s="5" t="s">
        <v>1010</v>
      </c>
      <c r="G88" s="5" t="s">
        <v>994</v>
      </c>
      <c r="H88" s="5" t="s">
        <v>974</v>
      </c>
    </row>
    <row r="89" customFormat="false" ht="15" hidden="false" customHeight="true" outlineLevel="0" collapsed="false">
      <c r="A89" s="5" t="s">
        <v>1173</v>
      </c>
      <c r="B89" s="5" t="s">
        <v>1174</v>
      </c>
      <c r="C89" s="5" t="s">
        <v>931</v>
      </c>
      <c r="D89" s="5" t="s">
        <v>932</v>
      </c>
      <c r="E89" s="5" t="s">
        <v>1056</v>
      </c>
      <c r="F89" s="5" t="s">
        <v>972</v>
      </c>
      <c r="G89" s="5" t="s">
        <v>987</v>
      </c>
      <c r="H89" s="5" t="s">
        <v>974</v>
      </c>
    </row>
    <row r="90" customFormat="false" ht="15" hidden="false" customHeight="true" outlineLevel="0" collapsed="false">
      <c r="A90" s="5" t="s">
        <v>1175</v>
      </c>
      <c r="B90" s="5" t="s">
        <v>1176</v>
      </c>
      <c r="C90" s="5" t="s">
        <v>925</v>
      </c>
      <c r="D90" s="5" t="s">
        <v>926</v>
      </c>
      <c r="E90" s="5" t="s">
        <v>1080</v>
      </c>
      <c r="F90" s="5" t="s">
        <v>1006</v>
      </c>
      <c r="G90" s="5" t="s">
        <v>982</v>
      </c>
      <c r="H90" s="5" t="s">
        <v>974</v>
      </c>
    </row>
    <row r="91" customFormat="false" ht="15" hidden="false" customHeight="true" outlineLevel="0" collapsed="false">
      <c r="A91" s="5" t="s">
        <v>1177</v>
      </c>
      <c r="B91" s="5" t="s">
        <v>1178</v>
      </c>
      <c r="C91" s="5" t="s">
        <v>923</v>
      </c>
      <c r="D91" s="5" t="s">
        <v>924</v>
      </c>
      <c r="E91" s="5" t="s">
        <v>1069</v>
      </c>
      <c r="F91" s="5" t="s">
        <v>972</v>
      </c>
      <c r="G91" s="5" t="s">
        <v>994</v>
      </c>
      <c r="H91" s="5" t="s">
        <v>974</v>
      </c>
    </row>
    <row r="92" customFormat="false" ht="15" hidden="false" customHeight="true" outlineLevel="0" collapsed="false">
      <c r="A92" s="5" t="s">
        <v>1179</v>
      </c>
      <c r="B92" s="5" t="s">
        <v>1180</v>
      </c>
      <c r="C92" s="5" t="s">
        <v>923</v>
      </c>
      <c r="D92" s="5" t="s">
        <v>924</v>
      </c>
      <c r="E92" s="5" t="s">
        <v>977</v>
      </c>
      <c r="F92" s="5" t="s">
        <v>990</v>
      </c>
      <c r="G92" s="5" t="s">
        <v>994</v>
      </c>
      <c r="H92" s="5" t="s">
        <v>974</v>
      </c>
    </row>
    <row r="93" customFormat="false" ht="15" hidden="false" customHeight="true" outlineLevel="0" collapsed="false">
      <c r="A93" s="5" t="s">
        <v>1181</v>
      </c>
      <c r="B93" s="5" t="s">
        <v>1053</v>
      </c>
      <c r="C93" s="5" t="s">
        <v>918</v>
      </c>
      <c r="D93" s="5" t="s">
        <v>919</v>
      </c>
      <c r="E93" s="5" t="s">
        <v>998</v>
      </c>
      <c r="F93" s="5" t="s">
        <v>1006</v>
      </c>
      <c r="G93" s="5" t="s">
        <v>994</v>
      </c>
      <c r="H93" s="5" t="s">
        <v>974</v>
      </c>
    </row>
    <row r="94" customFormat="false" ht="15" hidden="false" customHeight="true" outlineLevel="0" collapsed="false">
      <c r="A94" s="5" t="s">
        <v>1182</v>
      </c>
      <c r="B94" s="5" t="s">
        <v>1168</v>
      </c>
      <c r="C94" s="5" t="s">
        <v>925</v>
      </c>
      <c r="D94" s="5" t="s">
        <v>926</v>
      </c>
      <c r="E94" s="5" t="s">
        <v>1042</v>
      </c>
      <c r="F94" s="5" t="s">
        <v>1010</v>
      </c>
      <c r="G94" s="5" t="s">
        <v>994</v>
      </c>
      <c r="H94" s="5" t="s">
        <v>974</v>
      </c>
    </row>
    <row r="95" customFormat="false" ht="15" hidden="false" customHeight="true" outlineLevel="0" collapsed="false">
      <c r="A95" s="5" t="s">
        <v>1183</v>
      </c>
      <c r="B95" s="5" t="s">
        <v>1071</v>
      </c>
      <c r="C95" s="5" t="s">
        <v>927</v>
      </c>
      <c r="D95" s="5" t="s">
        <v>928</v>
      </c>
      <c r="E95" s="5" t="s">
        <v>1030</v>
      </c>
      <c r="F95" s="5" t="s">
        <v>986</v>
      </c>
      <c r="G95" s="5" t="s">
        <v>982</v>
      </c>
      <c r="H95" s="5" t="s">
        <v>974</v>
      </c>
    </row>
    <row r="96" customFormat="false" ht="15" hidden="false" customHeight="true" outlineLevel="0" collapsed="false">
      <c r="A96" s="5" t="s">
        <v>1184</v>
      </c>
      <c r="B96" s="5" t="s">
        <v>1185</v>
      </c>
      <c r="C96" s="5" t="s">
        <v>931</v>
      </c>
      <c r="D96" s="5" t="s">
        <v>932</v>
      </c>
      <c r="E96" s="5" t="s">
        <v>1056</v>
      </c>
      <c r="F96" s="5" t="s">
        <v>1006</v>
      </c>
      <c r="G96" s="5" t="s">
        <v>987</v>
      </c>
      <c r="H96" s="5" t="s">
        <v>974</v>
      </c>
    </row>
    <row r="97" customFormat="false" ht="15" hidden="false" customHeight="true" outlineLevel="0" collapsed="false">
      <c r="A97" s="5" t="s">
        <v>1186</v>
      </c>
      <c r="B97" s="5" t="s">
        <v>1087</v>
      </c>
      <c r="C97" s="5" t="s">
        <v>923</v>
      </c>
      <c r="D97" s="5" t="s">
        <v>924</v>
      </c>
      <c r="E97" s="5" t="s">
        <v>985</v>
      </c>
      <c r="F97" s="5" t="s">
        <v>981</v>
      </c>
      <c r="G97" s="5" t="s">
        <v>1002</v>
      </c>
      <c r="H97" s="5" t="s">
        <v>995</v>
      </c>
    </row>
    <row r="98" customFormat="false" ht="15" hidden="false" customHeight="true" outlineLevel="0" collapsed="false">
      <c r="A98" s="5" t="s">
        <v>1187</v>
      </c>
      <c r="B98" s="5" t="s">
        <v>1188</v>
      </c>
      <c r="C98" s="5" t="s">
        <v>921</v>
      </c>
      <c r="D98" s="5" t="s">
        <v>922</v>
      </c>
      <c r="E98" s="5" t="s">
        <v>1023</v>
      </c>
      <c r="F98" s="5" t="s">
        <v>972</v>
      </c>
      <c r="G98" s="5" t="s">
        <v>994</v>
      </c>
      <c r="H98" s="5" t="s">
        <v>974</v>
      </c>
    </row>
    <row r="99" customFormat="false" ht="15" hidden="false" customHeight="true" outlineLevel="0" collapsed="false">
      <c r="A99" s="5" t="s">
        <v>1189</v>
      </c>
      <c r="B99" s="5" t="s">
        <v>1190</v>
      </c>
      <c r="C99" s="5" t="s">
        <v>925</v>
      </c>
      <c r="D99" s="5" t="s">
        <v>926</v>
      </c>
      <c r="E99" s="5" t="s">
        <v>1051</v>
      </c>
      <c r="F99" s="5" t="s">
        <v>972</v>
      </c>
      <c r="G99" s="5" t="s">
        <v>987</v>
      </c>
      <c r="H99" s="5" t="s">
        <v>974</v>
      </c>
    </row>
    <row r="100" customFormat="false" ht="15" hidden="false" customHeight="true" outlineLevel="0" collapsed="false">
      <c r="A100" s="5" t="s">
        <v>1191</v>
      </c>
      <c r="B100" s="5" t="s">
        <v>1192</v>
      </c>
      <c r="C100" s="5" t="s">
        <v>925</v>
      </c>
      <c r="D100" s="5" t="s">
        <v>926</v>
      </c>
      <c r="E100" s="5" t="s">
        <v>1051</v>
      </c>
      <c r="F100" s="5" t="s">
        <v>986</v>
      </c>
      <c r="G100" s="5" t="s">
        <v>987</v>
      </c>
      <c r="H100" s="5" t="s">
        <v>974</v>
      </c>
    </row>
    <row r="101" customFormat="false" ht="15" hidden="false" customHeight="true" outlineLevel="0" collapsed="false">
      <c r="A101" s="5" t="s">
        <v>1193</v>
      </c>
      <c r="B101" s="5" t="s">
        <v>1194</v>
      </c>
      <c r="C101" s="5" t="s">
        <v>918</v>
      </c>
      <c r="D101" s="5" t="s">
        <v>919</v>
      </c>
      <c r="E101" s="5" t="s">
        <v>1020</v>
      </c>
      <c r="F101" s="5" t="s">
        <v>986</v>
      </c>
      <c r="G101" s="5" t="s">
        <v>994</v>
      </c>
      <c r="H101" s="5" t="s">
        <v>974</v>
      </c>
    </row>
    <row r="102" customFormat="false" ht="15" hidden="false" customHeight="true" outlineLevel="0" collapsed="false">
      <c r="A102" s="5" t="s">
        <v>1195</v>
      </c>
      <c r="B102" s="5" t="s">
        <v>1196</v>
      </c>
      <c r="C102" s="5" t="s">
        <v>918</v>
      </c>
      <c r="D102" s="5" t="s">
        <v>919</v>
      </c>
      <c r="E102" s="5" t="s">
        <v>1020</v>
      </c>
      <c r="F102" s="5" t="s">
        <v>990</v>
      </c>
      <c r="G102" s="5" t="s">
        <v>994</v>
      </c>
      <c r="H102" s="5" t="s">
        <v>974</v>
      </c>
    </row>
    <row r="103" customFormat="false" ht="15" hidden="false" customHeight="true" outlineLevel="0" collapsed="false">
      <c r="A103" s="5" t="s">
        <v>1197</v>
      </c>
      <c r="B103" s="5" t="s">
        <v>1198</v>
      </c>
      <c r="C103" s="5" t="s">
        <v>918</v>
      </c>
      <c r="D103" s="5" t="s">
        <v>919</v>
      </c>
      <c r="E103" s="5" t="s">
        <v>1020</v>
      </c>
      <c r="F103" s="5" t="s">
        <v>990</v>
      </c>
      <c r="G103" s="5" t="s">
        <v>973</v>
      </c>
      <c r="H103" s="5" t="s">
        <v>974</v>
      </c>
    </row>
    <row r="104" customFormat="false" ht="15" hidden="false" customHeight="true" outlineLevel="0" collapsed="false">
      <c r="A104" s="5" t="s">
        <v>1199</v>
      </c>
      <c r="B104" s="5" t="s">
        <v>1200</v>
      </c>
      <c r="C104" s="5" t="s">
        <v>920</v>
      </c>
      <c r="D104" s="5" t="s">
        <v>919</v>
      </c>
      <c r="E104" s="5" t="s">
        <v>1035</v>
      </c>
      <c r="F104" s="5" t="s">
        <v>972</v>
      </c>
      <c r="G104" s="5" t="s">
        <v>1002</v>
      </c>
      <c r="H104" s="5" t="s">
        <v>995</v>
      </c>
    </row>
    <row r="105" customFormat="false" ht="15" hidden="false" customHeight="true" outlineLevel="0" collapsed="false">
      <c r="A105" s="5" t="s">
        <v>1201</v>
      </c>
      <c r="B105" s="5" t="s">
        <v>1202</v>
      </c>
      <c r="C105" s="5" t="s">
        <v>920</v>
      </c>
      <c r="D105" s="5" t="s">
        <v>919</v>
      </c>
      <c r="E105" s="5" t="s">
        <v>1001</v>
      </c>
      <c r="F105" s="5" t="s">
        <v>981</v>
      </c>
      <c r="G105" s="5" t="s">
        <v>994</v>
      </c>
      <c r="H105" s="5" t="s">
        <v>974</v>
      </c>
    </row>
    <row r="106" customFormat="false" ht="15" hidden="false" customHeight="true" outlineLevel="0" collapsed="false">
      <c r="A106" s="5" t="s">
        <v>1203</v>
      </c>
      <c r="B106" s="5" t="s">
        <v>1204</v>
      </c>
      <c r="C106" s="5" t="s">
        <v>923</v>
      </c>
      <c r="D106" s="5" t="s">
        <v>924</v>
      </c>
      <c r="E106" s="5" t="s">
        <v>977</v>
      </c>
      <c r="F106" s="5" t="s">
        <v>990</v>
      </c>
      <c r="G106" s="5" t="s">
        <v>994</v>
      </c>
      <c r="H106" s="5" t="s">
        <v>974</v>
      </c>
    </row>
    <row r="107" customFormat="false" ht="15" hidden="false" customHeight="true" outlineLevel="0" collapsed="false">
      <c r="A107" s="5" t="s">
        <v>1205</v>
      </c>
      <c r="B107" s="5" t="s">
        <v>1130</v>
      </c>
      <c r="C107" s="5" t="s">
        <v>929</v>
      </c>
      <c r="D107" s="5" t="s">
        <v>930</v>
      </c>
      <c r="E107" s="5" t="s">
        <v>993</v>
      </c>
      <c r="F107" s="5" t="s">
        <v>1010</v>
      </c>
      <c r="G107" s="5" t="s">
        <v>973</v>
      </c>
      <c r="H107" s="5" t="s">
        <v>974</v>
      </c>
    </row>
    <row r="108" customFormat="false" ht="15" hidden="false" customHeight="true" outlineLevel="0" collapsed="false">
      <c r="A108" s="5" t="s">
        <v>1206</v>
      </c>
      <c r="B108" s="5" t="s">
        <v>1207</v>
      </c>
      <c r="C108" s="5" t="s">
        <v>920</v>
      </c>
      <c r="D108" s="5" t="s">
        <v>919</v>
      </c>
      <c r="E108" s="5" t="s">
        <v>1001</v>
      </c>
      <c r="F108" s="5" t="s">
        <v>986</v>
      </c>
      <c r="G108" s="5" t="s">
        <v>982</v>
      </c>
      <c r="H108" s="5" t="s">
        <v>974</v>
      </c>
    </row>
    <row r="109" customFormat="false" ht="15" hidden="false" customHeight="true" outlineLevel="0" collapsed="false">
      <c r="A109" s="5" t="s">
        <v>1208</v>
      </c>
      <c r="B109" s="5" t="s">
        <v>1188</v>
      </c>
      <c r="C109" s="5" t="s">
        <v>921</v>
      </c>
      <c r="D109" s="5" t="s">
        <v>922</v>
      </c>
      <c r="E109" s="5" t="s">
        <v>1023</v>
      </c>
      <c r="F109" s="5" t="s">
        <v>972</v>
      </c>
      <c r="G109" s="5" t="s">
        <v>973</v>
      </c>
      <c r="H109" s="5" t="s">
        <v>974</v>
      </c>
    </row>
    <row r="110" customFormat="false" ht="15" hidden="false" customHeight="true" outlineLevel="0" collapsed="false">
      <c r="A110" s="5" t="s">
        <v>1209</v>
      </c>
      <c r="B110" s="5" t="s">
        <v>1138</v>
      </c>
      <c r="C110" s="5" t="s">
        <v>929</v>
      </c>
      <c r="D110" s="5" t="s">
        <v>930</v>
      </c>
      <c r="E110" s="5" t="s">
        <v>993</v>
      </c>
      <c r="F110" s="5" t="s">
        <v>986</v>
      </c>
      <c r="G110" s="5" t="s">
        <v>994</v>
      </c>
      <c r="H110" s="5" t="s">
        <v>974</v>
      </c>
    </row>
    <row r="111" customFormat="false" ht="15" hidden="false" customHeight="true" outlineLevel="0" collapsed="false">
      <c r="A111" s="5" t="s">
        <v>1210</v>
      </c>
      <c r="B111" s="5" t="s">
        <v>984</v>
      </c>
      <c r="C111" s="5" t="s">
        <v>923</v>
      </c>
      <c r="D111" s="5" t="s">
        <v>924</v>
      </c>
      <c r="E111" s="5" t="s">
        <v>985</v>
      </c>
      <c r="F111" s="5" t="s">
        <v>986</v>
      </c>
      <c r="G111" s="5" t="s">
        <v>994</v>
      </c>
      <c r="H111" s="5" t="s">
        <v>974</v>
      </c>
    </row>
    <row r="112" customFormat="false" ht="15" hidden="false" customHeight="true" outlineLevel="0" collapsed="false">
      <c r="A112" s="5" t="s">
        <v>1211</v>
      </c>
      <c r="B112" s="5" t="s">
        <v>1212</v>
      </c>
      <c r="C112" s="5" t="s">
        <v>923</v>
      </c>
      <c r="D112" s="5" t="s">
        <v>924</v>
      </c>
      <c r="E112" s="5" t="s">
        <v>985</v>
      </c>
      <c r="F112" s="5" t="s">
        <v>986</v>
      </c>
      <c r="G112" s="5" t="s">
        <v>987</v>
      </c>
      <c r="H112" s="5" t="s">
        <v>974</v>
      </c>
    </row>
    <row r="113" customFormat="false" ht="15" hidden="false" customHeight="true" outlineLevel="0" collapsed="false">
      <c r="A113" s="5" t="s">
        <v>1213</v>
      </c>
      <c r="B113" s="5" t="s">
        <v>1214</v>
      </c>
      <c r="C113" s="5" t="s">
        <v>923</v>
      </c>
      <c r="D113" s="5" t="s">
        <v>924</v>
      </c>
      <c r="E113" s="5" t="s">
        <v>977</v>
      </c>
      <c r="F113" s="5" t="s">
        <v>972</v>
      </c>
      <c r="G113" s="5" t="s">
        <v>987</v>
      </c>
      <c r="H113" s="5" t="s">
        <v>974</v>
      </c>
    </row>
    <row r="114" customFormat="false" ht="15" hidden="false" customHeight="true" outlineLevel="0" collapsed="false">
      <c r="A114" s="5" t="s">
        <v>1215</v>
      </c>
      <c r="B114" s="5" t="s">
        <v>1216</v>
      </c>
      <c r="C114" s="5" t="s">
        <v>921</v>
      </c>
      <c r="D114" s="5" t="s">
        <v>922</v>
      </c>
      <c r="E114" s="5" t="s">
        <v>1157</v>
      </c>
      <c r="F114" s="5" t="s">
        <v>1010</v>
      </c>
      <c r="G114" s="5" t="s">
        <v>1002</v>
      </c>
      <c r="H114" s="5" t="s">
        <v>995</v>
      </c>
    </row>
    <row r="115" customFormat="false" ht="15" hidden="false" customHeight="true" outlineLevel="0" collapsed="false">
      <c r="A115" s="5" t="s">
        <v>1217</v>
      </c>
      <c r="B115" s="5" t="s">
        <v>1218</v>
      </c>
      <c r="C115" s="5" t="s">
        <v>931</v>
      </c>
      <c r="D115" s="5" t="s">
        <v>932</v>
      </c>
      <c r="E115" s="5" t="s">
        <v>971</v>
      </c>
      <c r="F115" s="5" t="s">
        <v>990</v>
      </c>
      <c r="G115" s="5" t="s">
        <v>982</v>
      </c>
      <c r="H115" s="5" t="s">
        <v>974</v>
      </c>
    </row>
    <row r="116" customFormat="false" ht="15" hidden="false" customHeight="true" outlineLevel="0" collapsed="false">
      <c r="A116" s="5" t="s">
        <v>1219</v>
      </c>
      <c r="B116" s="5" t="s">
        <v>1168</v>
      </c>
      <c r="C116" s="5" t="s">
        <v>925</v>
      </c>
      <c r="D116" s="5" t="s">
        <v>926</v>
      </c>
      <c r="E116" s="5" t="s">
        <v>1042</v>
      </c>
      <c r="F116" s="5" t="s">
        <v>1010</v>
      </c>
      <c r="G116" s="5" t="s">
        <v>994</v>
      </c>
      <c r="H116" s="5" t="s">
        <v>974</v>
      </c>
    </row>
    <row r="117" customFormat="false" ht="15" hidden="false" customHeight="true" outlineLevel="0" collapsed="false">
      <c r="A117" s="5" t="s">
        <v>1220</v>
      </c>
      <c r="B117" s="5" t="s">
        <v>1221</v>
      </c>
      <c r="C117" s="5" t="s">
        <v>918</v>
      </c>
      <c r="D117" s="5" t="s">
        <v>919</v>
      </c>
      <c r="E117" s="5" t="s">
        <v>1222</v>
      </c>
      <c r="F117" s="5" t="s">
        <v>986</v>
      </c>
      <c r="G117" s="5" t="s">
        <v>1002</v>
      </c>
      <c r="H117" s="5" t="s">
        <v>974</v>
      </c>
    </row>
    <row r="118" customFormat="false" ht="15" hidden="false" customHeight="true" outlineLevel="0" collapsed="false">
      <c r="A118" s="5" t="s">
        <v>1223</v>
      </c>
      <c r="B118" s="5" t="s">
        <v>1224</v>
      </c>
      <c r="C118" s="5" t="s">
        <v>920</v>
      </c>
      <c r="D118" s="5" t="s">
        <v>919</v>
      </c>
      <c r="E118" s="5" t="s">
        <v>1001</v>
      </c>
      <c r="F118" s="5" t="s">
        <v>986</v>
      </c>
      <c r="G118" s="5" t="s">
        <v>1002</v>
      </c>
      <c r="H118" s="5" t="s">
        <v>995</v>
      </c>
    </row>
    <row r="119" customFormat="false" ht="15" hidden="false" customHeight="true" outlineLevel="0" collapsed="false">
      <c r="A119" s="5" t="s">
        <v>1225</v>
      </c>
      <c r="B119" s="5" t="s">
        <v>1044</v>
      </c>
      <c r="C119" s="5" t="s">
        <v>925</v>
      </c>
      <c r="D119" s="5" t="s">
        <v>926</v>
      </c>
      <c r="E119" s="5" t="s">
        <v>1042</v>
      </c>
      <c r="F119" s="5" t="s">
        <v>981</v>
      </c>
      <c r="G119" s="5" t="s">
        <v>994</v>
      </c>
      <c r="H119" s="5" t="s">
        <v>974</v>
      </c>
    </row>
    <row r="120" customFormat="false" ht="15" hidden="false" customHeight="true" outlineLevel="0" collapsed="false">
      <c r="A120" s="5" t="s">
        <v>1226</v>
      </c>
      <c r="B120" s="5" t="s">
        <v>1227</v>
      </c>
      <c r="C120" s="5" t="s">
        <v>931</v>
      </c>
      <c r="D120" s="5" t="s">
        <v>932</v>
      </c>
      <c r="E120" s="5" t="s">
        <v>1056</v>
      </c>
      <c r="F120" s="5" t="s">
        <v>972</v>
      </c>
      <c r="G120" s="5" t="s">
        <v>994</v>
      </c>
      <c r="H120" s="5" t="s">
        <v>974</v>
      </c>
    </row>
    <row r="121" customFormat="false" ht="15" hidden="false" customHeight="true" outlineLevel="0" collapsed="false">
      <c r="A121" s="5" t="s">
        <v>1228</v>
      </c>
      <c r="B121" s="5" t="s">
        <v>989</v>
      </c>
      <c r="C121" s="5" t="s">
        <v>931</v>
      </c>
      <c r="D121" s="5" t="s">
        <v>932</v>
      </c>
      <c r="E121" s="5" t="s">
        <v>971</v>
      </c>
      <c r="F121" s="5" t="s">
        <v>990</v>
      </c>
      <c r="G121" s="5" t="s">
        <v>994</v>
      </c>
      <c r="H121" s="5" t="s">
        <v>974</v>
      </c>
    </row>
    <row r="122" customFormat="false" ht="15" hidden="false" customHeight="true" outlineLevel="0" collapsed="false">
      <c r="A122" s="5" t="s">
        <v>1229</v>
      </c>
      <c r="B122" s="5" t="s">
        <v>1039</v>
      </c>
      <c r="C122" s="5" t="s">
        <v>920</v>
      </c>
      <c r="D122" s="5" t="s">
        <v>919</v>
      </c>
      <c r="E122" s="5" t="s">
        <v>1001</v>
      </c>
      <c r="F122" s="5" t="s">
        <v>1006</v>
      </c>
      <c r="G122" s="5" t="s">
        <v>994</v>
      </c>
      <c r="H122" s="5" t="s">
        <v>974</v>
      </c>
    </row>
    <row r="123" customFormat="false" ht="15" hidden="false" customHeight="true" outlineLevel="0" collapsed="false">
      <c r="A123" s="5" t="s">
        <v>1230</v>
      </c>
      <c r="B123" s="5" t="s">
        <v>1099</v>
      </c>
      <c r="C123" s="5" t="s">
        <v>929</v>
      </c>
      <c r="D123" s="5" t="s">
        <v>930</v>
      </c>
      <c r="E123" s="5" t="s">
        <v>1097</v>
      </c>
      <c r="F123" s="5" t="s">
        <v>981</v>
      </c>
      <c r="G123" s="5" t="s">
        <v>973</v>
      </c>
      <c r="H123" s="5" t="s">
        <v>974</v>
      </c>
    </row>
    <row r="124" customFormat="false" ht="15" hidden="false" customHeight="true" outlineLevel="0" collapsed="false">
      <c r="A124" s="5" t="s">
        <v>1231</v>
      </c>
      <c r="B124" s="5" t="s">
        <v>1232</v>
      </c>
      <c r="C124" s="5" t="s">
        <v>927</v>
      </c>
      <c r="D124" s="5" t="s">
        <v>928</v>
      </c>
      <c r="E124" s="5" t="s">
        <v>1048</v>
      </c>
      <c r="F124" s="5" t="s">
        <v>990</v>
      </c>
      <c r="G124" s="5" t="s">
        <v>973</v>
      </c>
      <c r="H124" s="5" t="s">
        <v>974</v>
      </c>
    </row>
    <row r="125" customFormat="false" ht="15" hidden="false" customHeight="true" outlineLevel="0" collapsed="false">
      <c r="A125" s="5" t="s">
        <v>1233</v>
      </c>
      <c r="B125" s="5" t="s">
        <v>1234</v>
      </c>
      <c r="C125" s="5" t="s">
        <v>931</v>
      </c>
      <c r="D125" s="5" t="s">
        <v>932</v>
      </c>
      <c r="E125" s="5" t="s">
        <v>1056</v>
      </c>
      <c r="F125" s="5" t="s">
        <v>981</v>
      </c>
      <c r="G125" s="5" t="s">
        <v>1002</v>
      </c>
      <c r="H125" s="5" t="s">
        <v>974</v>
      </c>
    </row>
    <row r="126" customFormat="false" ht="15" hidden="false" customHeight="true" outlineLevel="0" collapsed="false">
      <c r="A126" s="5" t="s">
        <v>1235</v>
      </c>
      <c r="B126" s="5" t="s">
        <v>1234</v>
      </c>
      <c r="C126" s="5" t="s">
        <v>931</v>
      </c>
      <c r="D126" s="5" t="s">
        <v>932</v>
      </c>
      <c r="E126" s="5" t="s">
        <v>1056</v>
      </c>
      <c r="F126" s="5" t="s">
        <v>981</v>
      </c>
      <c r="G126" s="5" t="s">
        <v>982</v>
      </c>
      <c r="H126" s="5" t="s">
        <v>974</v>
      </c>
    </row>
    <row r="127" customFormat="false" ht="15" hidden="false" customHeight="true" outlineLevel="0" collapsed="false">
      <c r="A127" s="5" t="s">
        <v>1236</v>
      </c>
      <c r="B127" s="5" t="s">
        <v>1237</v>
      </c>
      <c r="C127" s="5" t="s">
        <v>925</v>
      </c>
      <c r="D127" s="5" t="s">
        <v>926</v>
      </c>
      <c r="E127" s="5" t="s">
        <v>1080</v>
      </c>
      <c r="F127" s="5" t="s">
        <v>986</v>
      </c>
      <c r="G127" s="5" t="s">
        <v>973</v>
      </c>
      <c r="H127" s="5" t="s">
        <v>974</v>
      </c>
    </row>
    <row r="128" customFormat="false" ht="15" hidden="false" customHeight="true" outlineLevel="0" collapsed="false">
      <c r="A128" s="5" t="s">
        <v>1238</v>
      </c>
      <c r="B128" s="5" t="s">
        <v>1214</v>
      </c>
      <c r="C128" s="5" t="s">
        <v>923</v>
      </c>
      <c r="D128" s="5" t="s">
        <v>924</v>
      </c>
      <c r="E128" s="5" t="s">
        <v>977</v>
      </c>
      <c r="F128" s="5" t="s">
        <v>972</v>
      </c>
      <c r="G128" s="5" t="s">
        <v>1002</v>
      </c>
      <c r="H128" s="5" t="s">
        <v>974</v>
      </c>
    </row>
    <row r="129" customFormat="false" ht="15" hidden="false" customHeight="true" outlineLevel="0" collapsed="false">
      <c r="A129" s="5" t="s">
        <v>1239</v>
      </c>
      <c r="B129" s="5" t="s">
        <v>1240</v>
      </c>
      <c r="C129" s="5" t="s">
        <v>929</v>
      </c>
      <c r="D129" s="5" t="s">
        <v>930</v>
      </c>
      <c r="E129" s="5" t="s">
        <v>1005</v>
      </c>
      <c r="F129" s="5" t="s">
        <v>972</v>
      </c>
      <c r="G129" s="5" t="s">
        <v>994</v>
      </c>
      <c r="H129" s="5" t="s">
        <v>995</v>
      </c>
    </row>
    <row r="130" customFormat="false" ht="15" hidden="false" customHeight="true" outlineLevel="0" collapsed="false">
      <c r="A130" s="5" t="s">
        <v>1241</v>
      </c>
      <c r="B130" s="5" t="s">
        <v>1242</v>
      </c>
      <c r="C130" s="5" t="s">
        <v>921</v>
      </c>
      <c r="D130" s="5" t="s">
        <v>922</v>
      </c>
      <c r="E130" s="5" t="s">
        <v>1157</v>
      </c>
      <c r="F130" s="5" t="s">
        <v>986</v>
      </c>
      <c r="G130" s="5" t="s">
        <v>1002</v>
      </c>
      <c r="H130" s="5" t="s">
        <v>974</v>
      </c>
    </row>
    <row r="131" customFormat="false" ht="15" hidden="false" customHeight="true" outlineLevel="0" collapsed="false">
      <c r="A131" s="5" t="s">
        <v>1243</v>
      </c>
      <c r="B131" s="5" t="s">
        <v>1110</v>
      </c>
      <c r="C131" s="5" t="s">
        <v>929</v>
      </c>
      <c r="D131" s="5" t="s">
        <v>930</v>
      </c>
      <c r="E131" s="5" t="s">
        <v>993</v>
      </c>
      <c r="F131" s="5" t="s">
        <v>990</v>
      </c>
      <c r="G131" s="5" t="s">
        <v>994</v>
      </c>
      <c r="H131" s="5" t="s">
        <v>974</v>
      </c>
    </row>
    <row r="132" customFormat="false" ht="15" hidden="false" customHeight="true" outlineLevel="0" collapsed="false">
      <c r="A132" s="5" t="s">
        <v>1244</v>
      </c>
      <c r="B132" s="5" t="s">
        <v>1245</v>
      </c>
      <c r="C132" s="5" t="s">
        <v>929</v>
      </c>
      <c r="D132" s="5" t="s">
        <v>930</v>
      </c>
      <c r="E132" s="5" t="s">
        <v>1005</v>
      </c>
      <c r="F132" s="5" t="s">
        <v>1010</v>
      </c>
      <c r="G132" s="5" t="s">
        <v>987</v>
      </c>
      <c r="H132" s="5" t="s">
        <v>995</v>
      </c>
    </row>
    <row r="133" customFormat="false" ht="15" hidden="false" customHeight="true" outlineLevel="0" collapsed="false">
      <c r="A133" s="5" t="s">
        <v>1246</v>
      </c>
      <c r="B133" s="5" t="s">
        <v>1176</v>
      </c>
      <c r="C133" s="5" t="s">
        <v>925</v>
      </c>
      <c r="D133" s="5" t="s">
        <v>926</v>
      </c>
      <c r="E133" s="5" t="s">
        <v>1080</v>
      </c>
      <c r="F133" s="5" t="s">
        <v>1006</v>
      </c>
      <c r="G133" s="5" t="s">
        <v>982</v>
      </c>
      <c r="H133" s="5" t="s">
        <v>974</v>
      </c>
    </row>
    <row r="134" customFormat="false" ht="15" hidden="false" customHeight="true" outlineLevel="0" collapsed="false">
      <c r="A134" s="5" t="s">
        <v>1247</v>
      </c>
      <c r="B134" s="5" t="s">
        <v>1248</v>
      </c>
      <c r="C134" s="5" t="s">
        <v>925</v>
      </c>
      <c r="D134" s="5" t="s">
        <v>926</v>
      </c>
      <c r="E134" s="5" t="s">
        <v>1042</v>
      </c>
      <c r="F134" s="5" t="s">
        <v>1006</v>
      </c>
      <c r="G134" s="5" t="s">
        <v>1002</v>
      </c>
      <c r="H134" s="5" t="s">
        <v>995</v>
      </c>
    </row>
    <row r="135" customFormat="false" ht="15" hidden="false" customHeight="true" outlineLevel="0" collapsed="false">
      <c r="A135" s="5" t="s">
        <v>1249</v>
      </c>
      <c r="B135" s="5" t="s">
        <v>1218</v>
      </c>
      <c r="C135" s="5" t="s">
        <v>931</v>
      </c>
      <c r="D135" s="5" t="s">
        <v>932</v>
      </c>
      <c r="E135" s="5" t="s">
        <v>971</v>
      </c>
      <c r="F135" s="5" t="s">
        <v>990</v>
      </c>
      <c r="G135" s="5" t="s">
        <v>994</v>
      </c>
      <c r="H135" s="5" t="s">
        <v>974</v>
      </c>
    </row>
    <row r="136" customFormat="false" ht="15" hidden="false" customHeight="true" outlineLevel="0" collapsed="false">
      <c r="A136" s="5" t="s">
        <v>1250</v>
      </c>
      <c r="B136" s="5" t="s">
        <v>1251</v>
      </c>
      <c r="C136" s="5" t="s">
        <v>929</v>
      </c>
      <c r="D136" s="5" t="s">
        <v>930</v>
      </c>
      <c r="E136" s="5" t="s">
        <v>993</v>
      </c>
      <c r="F136" s="5" t="s">
        <v>1006</v>
      </c>
      <c r="G136" s="5" t="s">
        <v>987</v>
      </c>
      <c r="H136" s="5" t="s">
        <v>974</v>
      </c>
    </row>
    <row r="137" customFormat="false" ht="15" hidden="false" customHeight="true" outlineLevel="0" collapsed="false">
      <c r="A137" s="5" t="s">
        <v>1252</v>
      </c>
      <c r="B137" s="5" t="s">
        <v>1253</v>
      </c>
      <c r="C137" s="5" t="s">
        <v>923</v>
      </c>
      <c r="D137" s="5" t="s">
        <v>924</v>
      </c>
      <c r="E137" s="5" t="s">
        <v>985</v>
      </c>
      <c r="F137" s="5" t="s">
        <v>981</v>
      </c>
      <c r="G137" s="5" t="s">
        <v>994</v>
      </c>
      <c r="H137" s="5" t="s">
        <v>974</v>
      </c>
    </row>
    <row r="138" customFormat="false" ht="15" hidden="false" customHeight="true" outlineLevel="0" collapsed="false">
      <c r="A138" s="5" t="s">
        <v>1254</v>
      </c>
      <c r="B138" s="5" t="s">
        <v>1138</v>
      </c>
      <c r="C138" s="5" t="s">
        <v>929</v>
      </c>
      <c r="D138" s="5" t="s">
        <v>930</v>
      </c>
      <c r="E138" s="5" t="s">
        <v>993</v>
      </c>
      <c r="F138" s="5" t="s">
        <v>986</v>
      </c>
      <c r="G138" s="5" t="s">
        <v>987</v>
      </c>
      <c r="H138" s="5" t="s">
        <v>974</v>
      </c>
    </row>
    <row r="139" customFormat="false" ht="15" hidden="false" customHeight="true" outlineLevel="0" collapsed="false">
      <c r="A139" s="5" t="s">
        <v>1255</v>
      </c>
      <c r="B139" s="5" t="s">
        <v>1256</v>
      </c>
      <c r="C139" s="5" t="s">
        <v>918</v>
      </c>
      <c r="D139" s="5" t="s">
        <v>919</v>
      </c>
      <c r="E139" s="5" t="s">
        <v>980</v>
      </c>
      <c r="F139" s="5" t="s">
        <v>1010</v>
      </c>
      <c r="G139" s="5" t="s">
        <v>982</v>
      </c>
      <c r="H139" s="5" t="s">
        <v>995</v>
      </c>
    </row>
    <row r="140" customFormat="false" ht="15" hidden="false" customHeight="true" outlineLevel="0" collapsed="false">
      <c r="A140" s="5" t="s">
        <v>1257</v>
      </c>
      <c r="B140" s="5" t="s">
        <v>1258</v>
      </c>
      <c r="C140" s="5" t="s">
        <v>931</v>
      </c>
      <c r="D140" s="5" t="s">
        <v>932</v>
      </c>
      <c r="E140" s="5" t="s">
        <v>971</v>
      </c>
      <c r="F140" s="5" t="s">
        <v>1010</v>
      </c>
      <c r="G140" s="5" t="s">
        <v>973</v>
      </c>
      <c r="H140" s="5" t="s">
        <v>974</v>
      </c>
    </row>
    <row r="141" customFormat="false" ht="15" hidden="false" customHeight="true" outlineLevel="0" collapsed="false">
      <c r="A141" s="5" t="s">
        <v>1259</v>
      </c>
      <c r="B141" s="5" t="s">
        <v>1260</v>
      </c>
      <c r="C141" s="5" t="s">
        <v>929</v>
      </c>
      <c r="D141" s="5" t="s">
        <v>930</v>
      </c>
      <c r="E141" s="5" t="s">
        <v>1097</v>
      </c>
      <c r="F141" s="5" t="s">
        <v>972</v>
      </c>
      <c r="G141" s="5" t="s">
        <v>994</v>
      </c>
      <c r="H141" s="5" t="s">
        <v>974</v>
      </c>
    </row>
    <row r="142" customFormat="false" ht="15" hidden="false" customHeight="true" outlineLevel="0" collapsed="false">
      <c r="A142" s="5" t="s">
        <v>1261</v>
      </c>
      <c r="B142" s="5" t="s">
        <v>1262</v>
      </c>
      <c r="C142" s="5" t="s">
        <v>925</v>
      </c>
      <c r="D142" s="5" t="s">
        <v>926</v>
      </c>
      <c r="E142" s="5" t="s">
        <v>1080</v>
      </c>
      <c r="F142" s="5" t="s">
        <v>1010</v>
      </c>
      <c r="G142" s="5" t="s">
        <v>994</v>
      </c>
      <c r="H142" s="5" t="s">
        <v>974</v>
      </c>
    </row>
    <row r="143" customFormat="false" ht="15" hidden="false" customHeight="true" outlineLevel="0" collapsed="false">
      <c r="A143" s="5" t="s">
        <v>1263</v>
      </c>
      <c r="B143" s="5" t="s">
        <v>1264</v>
      </c>
      <c r="C143" s="5" t="s">
        <v>927</v>
      </c>
      <c r="D143" s="5" t="s">
        <v>928</v>
      </c>
      <c r="E143" s="5" t="s">
        <v>1066</v>
      </c>
      <c r="F143" s="5" t="s">
        <v>1010</v>
      </c>
      <c r="G143" s="5" t="s">
        <v>982</v>
      </c>
      <c r="H143" s="5" t="s">
        <v>974</v>
      </c>
    </row>
    <row r="144" customFormat="false" ht="15" hidden="false" customHeight="true" outlineLevel="0" collapsed="false">
      <c r="A144" s="5" t="s">
        <v>1265</v>
      </c>
      <c r="B144" s="5" t="s">
        <v>1114</v>
      </c>
      <c r="C144" s="5" t="s">
        <v>931</v>
      </c>
      <c r="D144" s="5" t="s">
        <v>932</v>
      </c>
      <c r="E144" s="5" t="s">
        <v>971</v>
      </c>
      <c r="F144" s="5" t="s">
        <v>1010</v>
      </c>
      <c r="G144" s="5" t="s">
        <v>987</v>
      </c>
      <c r="H144" s="5" t="s">
        <v>974</v>
      </c>
    </row>
    <row r="145" customFormat="false" ht="15" hidden="false" customHeight="true" outlineLevel="0" collapsed="false">
      <c r="A145" s="5" t="s">
        <v>1266</v>
      </c>
      <c r="B145" s="5" t="s">
        <v>1267</v>
      </c>
      <c r="C145" s="5" t="s">
        <v>925</v>
      </c>
      <c r="D145" s="5" t="s">
        <v>926</v>
      </c>
      <c r="E145" s="5" t="s">
        <v>1051</v>
      </c>
      <c r="F145" s="5" t="s">
        <v>986</v>
      </c>
      <c r="G145" s="5" t="s">
        <v>994</v>
      </c>
      <c r="H145" s="5" t="s">
        <v>995</v>
      </c>
    </row>
    <row r="146" customFormat="false" ht="15" hidden="false" customHeight="true" outlineLevel="0" collapsed="false">
      <c r="A146" s="5" t="s">
        <v>1268</v>
      </c>
      <c r="B146" s="5" t="s">
        <v>1269</v>
      </c>
      <c r="C146" s="5" t="s">
        <v>920</v>
      </c>
      <c r="D146" s="5" t="s">
        <v>919</v>
      </c>
      <c r="E146" s="5" t="s">
        <v>1009</v>
      </c>
      <c r="F146" s="5" t="s">
        <v>972</v>
      </c>
      <c r="G146" s="5" t="s">
        <v>982</v>
      </c>
      <c r="H146" s="5" t="s">
        <v>995</v>
      </c>
    </row>
    <row r="147" customFormat="false" ht="15" hidden="false" customHeight="true" outlineLevel="0" collapsed="false">
      <c r="A147" s="5" t="s">
        <v>1270</v>
      </c>
      <c r="B147" s="5" t="s">
        <v>1271</v>
      </c>
      <c r="C147" s="5" t="s">
        <v>918</v>
      </c>
      <c r="D147" s="5" t="s">
        <v>919</v>
      </c>
      <c r="E147" s="5" t="s">
        <v>1020</v>
      </c>
      <c r="F147" s="5" t="s">
        <v>981</v>
      </c>
      <c r="G147" s="5" t="s">
        <v>982</v>
      </c>
      <c r="H147" s="5" t="s">
        <v>974</v>
      </c>
    </row>
    <row r="148" customFormat="false" ht="15" hidden="false" customHeight="true" outlineLevel="0" collapsed="false">
      <c r="A148" s="5" t="s">
        <v>1272</v>
      </c>
      <c r="B148" s="5" t="s">
        <v>1273</v>
      </c>
      <c r="C148" s="5" t="s">
        <v>921</v>
      </c>
      <c r="D148" s="5" t="s">
        <v>922</v>
      </c>
      <c r="E148" s="5" t="s">
        <v>1023</v>
      </c>
      <c r="F148" s="5" t="s">
        <v>1010</v>
      </c>
      <c r="G148" s="5" t="s">
        <v>1002</v>
      </c>
      <c r="H148" s="5" t="s">
        <v>974</v>
      </c>
    </row>
    <row r="149" customFormat="false" ht="15" hidden="false" customHeight="true" outlineLevel="0" collapsed="false">
      <c r="A149" s="5" t="s">
        <v>1274</v>
      </c>
      <c r="B149" s="5" t="s">
        <v>1275</v>
      </c>
      <c r="C149" s="5" t="s">
        <v>921</v>
      </c>
      <c r="D149" s="5" t="s">
        <v>922</v>
      </c>
      <c r="E149" s="5" t="s">
        <v>1023</v>
      </c>
      <c r="F149" s="5" t="s">
        <v>972</v>
      </c>
      <c r="G149" s="5" t="s">
        <v>1002</v>
      </c>
      <c r="H149" s="5" t="s">
        <v>995</v>
      </c>
    </row>
    <row r="150" customFormat="false" ht="15" hidden="false" customHeight="true" outlineLevel="0" collapsed="false">
      <c r="A150" s="5" t="s">
        <v>1276</v>
      </c>
      <c r="B150" s="5" t="s">
        <v>1277</v>
      </c>
      <c r="C150" s="5" t="s">
        <v>923</v>
      </c>
      <c r="D150" s="5" t="s">
        <v>924</v>
      </c>
      <c r="E150" s="5" t="s">
        <v>985</v>
      </c>
      <c r="F150" s="5" t="s">
        <v>1010</v>
      </c>
      <c r="G150" s="5" t="s">
        <v>987</v>
      </c>
      <c r="H150" s="5" t="s">
        <v>974</v>
      </c>
    </row>
    <row r="151" customFormat="false" ht="15" hidden="false" customHeight="true" outlineLevel="0" collapsed="false">
      <c r="A151" s="5" t="s">
        <v>1278</v>
      </c>
      <c r="B151" s="5" t="s">
        <v>1176</v>
      </c>
      <c r="C151" s="5" t="s">
        <v>925</v>
      </c>
      <c r="D151" s="5" t="s">
        <v>926</v>
      </c>
      <c r="E151" s="5" t="s">
        <v>1080</v>
      </c>
      <c r="F151" s="5" t="s">
        <v>1006</v>
      </c>
      <c r="G151" s="5" t="s">
        <v>973</v>
      </c>
      <c r="H151" s="5" t="s">
        <v>995</v>
      </c>
    </row>
    <row r="152" customFormat="false" ht="15" hidden="false" customHeight="true" outlineLevel="0" collapsed="false">
      <c r="A152" s="5" t="s">
        <v>1279</v>
      </c>
      <c r="B152" s="5" t="s">
        <v>1280</v>
      </c>
      <c r="C152" s="5" t="s">
        <v>931</v>
      </c>
      <c r="D152" s="5" t="s">
        <v>932</v>
      </c>
      <c r="E152" s="5" t="s">
        <v>1056</v>
      </c>
      <c r="F152" s="5" t="s">
        <v>986</v>
      </c>
      <c r="G152" s="5" t="s">
        <v>987</v>
      </c>
      <c r="H152" s="5" t="s">
        <v>974</v>
      </c>
    </row>
    <row r="153" customFormat="false" ht="15" hidden="false" customHeight="true" outlineLevel="0" collapsed="false">
      <c r="A153" s="5" t="s">
        <v>1281</v>
      </c>
      <c r="B153" s="5" t="s">
        <v>1282</v>
      </c>
      <c r="C153" s="5" t="s">
        <v>927</v>
      </c>
      <c r="D153" s="5" t="s">
        <v>928</v>
      </c>
      <c r="E153" s="5" t="s">
        <v>1066</v>
      </c>
      <c r="F153" s="5" t="s">
        <v>1006</v>
      </c>
      <c r="G153" s="5" t="s">
        <v>994</v>
      </c>
      <c r="H153" s="5" t="s">
        <v>974</v>
      </c>
    </row>
    <row r="154" customFormat="false" ht="15" hidden="false" customHeight="true" outlineLevel="0" collapsed="false">
      <c r="A154" s="5" t="s">
        <v>1283</v>
      </c>
      <c r="B154" s="5" t="s">
        <v>1174</v>
      </c>
      <c r="C154" s="5" t="s">
        <v>931</v>
      </c>
      <c r="D154" s="5" t="s">
        <v>932</v>
      </c>
      <c r="E154" s="5" t="s">
        <v>1056</v>
      </c>
      <c r="F154" s="5" t="s">
        <v>972</v>
      </c>
      <c r="G154" s="5" t="s">
        <v>994</v>
      </c>
      <c r="H154" s="5" t="s">
        <v>974</v>
      </c>
    </row>
    <row r="155" customFormat="false" ht="15" hidden="false" customHeight="true" outlineLevel="0" collapsed="false">
      <c r="A155" s="5" t="s">
        <v>1284</v>
      </c>
      <c r="B155" s="5" t="s">
        <v>1285</v>
      </c>
      <c r="C155" s="5" t="s">
        <v>929</v>
      </c>
      <c r="D155" s="5" t="s">
        <v>930</v>
      </c>
      <c r="E155" s="5" t="s">
        <v>1097</v>
      </c>
      <c r="F155" s="5" t="s">
        <v>1006</v>
      </c>
      <c r="G155" s="5" t="s">
        <v>982</v>
      </c>
      <c r="H155" s="5" t="s">
        <v>995</v>
      </c>
    </row>
    <row r="156" customFormat="false" ht="15" hidden="false" customHeight="true" outlineLevel="0" collapsed="false">
      <c r="A156" s="5" t="s">
        <v>1286</v>
      </c>
      <c r="B156" s="5" t="s">
        <v>1287</v>
      </c>
      <c r="C156" s="5" t="s">
        <v>925</v>
      </c>
      <c r="D156" s="5" t="s">
        <v>926</v>
      </c>
      <c r="E156" s="5" t="s">
        <v>1051</v>
      </c>
      <c r="F156" s="5" t="s">
        <v>986</v>
      </c>
      <c r="G156" s="5" t="s">
        <v>982</v>
      </c>
      <c r="H156" s="5" t="s">
        <v>974</v>
      </c>
    </row>
    <row r="157" customFormat="false" ht="15" hidden="false" customHeight="true" outlineLevel="0" collapsed="false">
      <c r="A157" s="5" t="s">
        <v>1288</v>
      </c>
      <c r="B157" s="5" t="s">
        <v>1289</v>
      </c>
      <c r="C157" s="5" t="s">
        <v>918</v>
      </c>
      <c r="D157" s="5" t="s">
        <v>919</v>
      </c>
      <c r="E157" s="5" t="s">
        <v>1222</v>
      </c>
      <c r="F157" s="5" t="s">
        <v>1006</v>
      </c>
      <c r="G157" s="5" t="s">
        <v>1002</v>
      </c>
      <c r="H157" s="5" t="s">
        <v>974</v>
      </c>
    </row>
    <row r="158" customFormat="false" ht="15" hidden="false" customHeight="true" outlineLevel="0" collapsed="false">
      <c r="A158" s="5" t="s">
        <v>1290</v>
      </c>
      <c r="B158" s="5" t="s">
        <v>1291</v>
      </c>
      <c r="C158" s="5" t="s">
        <v>923</v>
      </c>
      <c r="D158" s="5" t="s">
        <v>924</v>
      </c>
      <c r="E158" s="5" t="s">
        <v>977</v>
      </c>
      <c r="F158" s="5" t="s">
        <v>972</v>
      </c>
      <c r="G158" s="5" t="s">
        <v>982</v>
      </c>
      <c r="H158" s="5" t="s">
        <v>974</v>
      </c>
    </row>
    <row r="159" customFormat="false" ht="15" hidden="false" customHeight="true" outlineLevel="0" collapsed="false">
      <c r="A159" s="5" t="s">
        <v>1292</v>
      </c>
      <c r="B159" s="5" t="s">
        <v>1293</v>
      </c>
      <c r="C159" s="5" t="s">
        <v>921</v>
      </c>
      <c r="D159" s="5" t="s">
        <v>922</v>
      </c>
      <c r="E159" s="5" t="s">
        <v>1059</v>
      </c>
      <c r="F159" s="5" t="s">
        <v>981</v>
      </c>
      <c r="G159" s="5" t="s">
        <v>973</v>
      </c>
      <c r="H159" s="5" t="s">
        <v>974</v>
      </c>
    </row>
    <row r="160" customFormat="false" ht="15" hidden="false" customHeight="true" outlineLevel="0" collapsed="false">
      <c r="A160" s="5" t="s">
        <v>1294</v>
      </c>
      <c r="B160" s="5" t="s">
        <v>1258</v>
      </c>
      <c r="C160" s="5" t="s">
        <v>931</v>
      </c>
      <c r="D160" s="5" t="s">
        <v>932</v>
      </c>
      <c r="E160" s="5" t="s">
        <v>971</v>
      </c>
      <c r="F160" s="5" t="s">
        <v>1010</v>
      </c>
      <c r="G160" s="5" t="s">
        <v>987</v>
      </c>
      <c r="H160" s="5" t="s">
        <v>974</v>
      </c>
    </row>
    <row r="161" customFormat="false" ht="15" hidden="false" customHeight="true" outlineLevel="0" collapsed="false">
      <c r="A161" s="5" t="s">
        <v>1295</v>
      </c>
      <c r="B161" s="5" t="s">
        <v>1237</v>
      </c>
      <c r="C161" s="5" t="s">
        <v>925</v>
      </c>
      <c r="D161" s="5" t="s">
        <v>926</v>
      </c>
      <c r="E161" s="5" t="s">
        <v>1080</v>
      </c>
      <c r="F161" s="5" t="s">
        <v>986</v>
      </c>
      <c r="G161" s="5" t="s">
        <v>987</v>
      </c>
      <c r="H161" s="5" t="s">
        <v>974</v>
      </c>
    </row>
    <row r="162" customFormat="false" ht="15" hidden="false" customHeight="true" outlineLevel="0" collapsed="false">
      <c r="A162" s="5" t="s">
        <v>1296</v>
      </c>
      <c r="B162" s="5" t="s">
        <v>1264</v>
      </c>
      <c r="C162" s="5" t="s">
        <v>927</v>
      </c>
      <c r="D162" s="5" t="s">
        <v>928</v>
      </c>
      <c r="E162" s="5" t="s">
        <v>1066</v>
      </c>
      <c r="F162" s="5" t="s">
        <v>1010</v>
      </c>
      <c r="G162" s="5" t="s">
        <v>987</v>
      </c>
      <c r="H162" s="5" t="s">
        <v>974</v>
      </c>
    </row>
    <row r="163" customFormat="false" ht="15" hidden="false" customHeight="true" outlineLevel="0" collapsed="false">
      <c r="A163" s="5" t="s">
        <v>1297</v>
      </c>
      <c r="B163" s="5" t="s">
        <v>1298</v>
      </c>
      <c r="C163" s="5" t="s">
        <v>931</v>
      </c>
      <c r="D163" s="5" t="s">
        <v>932</v>
      </c>
      <c r="E163" s="5" t="s">
        <v>1056</v>
      </c>
      <c r="F163" s="5" t="s">
        <v>986</v>
      </c>
      <c r="G163" s="5" t="s">
        <v>973</v>
      </c>
      <c r="H163" s="5" t="s">
        <v>974</v>
      </c>
    </row>
    <row r="164" customFormat="false" ht="15" hidden="false" customHeight="true" outlineLevel="0" collapsed="false">
      <c r="A164" s="5" t="s">
        <v>1299</v>
      </c>
      <c r="B164" s="5" t="s">
        <v>1300</v>
      </c>
      <c r="C164" s="5" t="s">
        <v>920</v>
      </c>
      <c r="D164" s="5" t="s">
        <v>919</v>
      </c>
      <c r="E164" s="5" t="s">
        <v>1001</v>
      </c>
      <c r="F164" s="5" t="s">
        <v>972</v>
      </c>
      <c r="G164" s="5" t="s">
        <v>994</v>
      </c>
      <c r="H164" s="5" t="s">
        <v>995</v>
      </c>
    </row>
    <row r="165" customFormat="false" ht="15" hidden="false" customHeight="true" outlineLevel="0" collapsed="false">
      <c r="A165" s="5" t="s">
        <v>1301</v>
      </c>
      <c r="B165" s="5" t="s">
        <v>1302</v>
      </c>
      <c r="C165" s="5" t="s">
        <v>927</v>
      </c>
      <c r="D165" s="5" t="s">
        <v>928</v>
      </c>
      <c r="E165" s="5" t="s">
        <v>1048</v>
      </c>
      <c r="F165" s="5" t="s">
        <v>990</v>
      </c>
      <c r="G165" s="5" t="s">
        <v>982</v>
      </c>
      <c r="H165" s="5" t="s">
        <v>974</v>
      </c>
    </row>
    <row r="166" customFormat="false" ht="15" hidden="false" customHeight="true" outlineLevel="0" collapsed="false">
      <c r="A166" s="5" t="s">
        <v>1303</v>
      </c>
      <c r="B166" s="5" t="s">
        <v>1280</v>
      </c>
      <c r="C166" s="5" t="s">
        <v>931</v>
      </c>
      <c r="D166" s="5" t="s">
        <v>932</v>
      </c>
      <c r="E166" s="5" t="s">
        <v>1056</v>
      </c>
      <c r="F166" s="5" t="s">
        <v>986</v>
      </c>
      <c r="G166" s="5" t="s">
        <v>982</v>
      </c>
      <c r="H166" s="5" t="s">
        <v>974</v>
      </c>
    </row>
    <row r="167" customFormat="false" ht="15" hidden="false" customHeight="true" outlineLevel="0" collapsed="false">
      <c r="A167" s="5" t="s">
        <v>1304</v>
      </c>
      <c r="B167" s="5" t="s">
        <v>1149</v>
      </c>
      <c r="C167" s="5" t="s">
        <v>927</v>
      </c>
      <c r="D167" s="5" t="s">
        <v>928</v>
      </c>
      <c r="E167" s="5" t="s">
        <v>1048</v>
      </c>
      <c r="F167" s="5" t="s">
        <v>986</v>
      </c>
      <c r="G167" s="5" t="s">
        <v>994</v>
      </c>
      <c r="H167" s="5" t="s">
        <v>974</v>
      </c>
    </row>
    <row r="168" customFormat="false" ht="15" hidden="false" customHeight="true" outlineLevel="0" collapsed="false">
      <c r="A168" s="5" t="s">
        <v>1305</v>
      </c>
      <c r="B168" s="5" t="s">
        <v>1306</v>
      </c>
      <c r="C168" s="5" t="s">
        <v>927</v>
      </c>
      <c r="D168" s="5" t="s">
        <v>928</v>
      </c>
      <c r="E168" s="5" t="s">
        <v>1066</v>
      </c>
      <c r="F168" s="5" t="s">
        <v>972</v>
      </c>
      <c r="G168" s="5" t="s">
        <v>973</v>
      </c>
      <c r="H168" s="5" t="s">
        <v>974</v>
      </c>
    </row>
    <row r="169" customFormat="false" ht="15" hidden="false" customHeight="true" outlineLevel="0" collapsed="false">
      <c r="A169" s="5" t="s">
        <v>1307</v>
      </c>
      <c r="B169" s="5" t="s">
        <v>1298</v>
      </c>
      <c r="C169" s="5" t="s">
        <v>931</v>
      </c>
      <c r="D169" s="5" t="s">
        <v>932</v>
      </c>
      <c r="E169" s="5" t="s">
        <v>1056</v>
      </c>
      <c r="F169" s="5" t="s">
        <v>986</v>
      </c>
      <c r="G169" s="5" t="s">
        <v>973</v>
      </c>
      <c r="H169" s="5" t="s">
        <v>974</v>
      </c>
    </row>
    <row r="170" customFormat="false" ht="15" hidden="false" customHeight="true" outlineLevel="0" collapsed="false">
      <c r="A170" s="5" t="s">
        <v>1308</v>
      </c>
      <c r="B170" s="5" t="s">
        <v>1198</v>
      </c>
      <c r="C170" s="5" t="s">
        <v>918</v>
      </c>
      <c r="D170" s="5" t="s">
        <v>919</v>
      </c>
      <c r="E170" s="5" t="s">
        <v>1020</v>
      </c>
      <c r="F170" s="5" t="s">
        <v>990</v>
      </c>
      <c r="G170" s="5" t="s">
        <v>973</v>
      </c>
      <c r="H170" s="5" t="s">
        <v>974</v>
      </c>
    </row>
    <row r="171" customFormat="false" ht="15" hidden="false" customHeight="true" outlineLevel="0" collapsed="false">
      <c r="A171" s="5" t="s">
        <v>1309</v>
      </c>
      <c r="B171" s="5" t="s">
        <v>1310</v>
      </c>
      <c r="C171" s="5" t="s">
        <v>921</v>
      </c>
      <c r="D171" s="5" t="s">
        <v>922</v>
      </c>
      <c r="E171" s="5" t="s">
        <v>1157</v>
      </c>
      <c r="F171" s="5" t="s">
        <v>990</v>
      </c>
      <c r="G171" s="5" t="s">
        <v>1002</v>
      </c>
      <c r="H171" s="5" t="s">
        <v>974</v>
      </c>
    </row>
    <row r="172" customFormat="false" ht="15" hidden="false" customHeight="true" outlineLevel="0" collapsed="false">
      <c r="A172" s="5" t="s">
        <v>1311</v>
      </c>
      <c r="B172" s="5" t="s">
        <v>1312</v>
      </c>
      <c r="C172" s="5" t="s">
        <v>921</v>
      </c>
      <c r="D172" s="5" t="s">
        <v>922</v>
      </c>
      <c r="E172" s="5" t="s">
        <v>1157</v>
      </c>
      <c r="F172" s="5" t="s">
        <v>986</v>
      </c>
      <c r="G172" s="5" t="s">
        <v>994</v>
      </c>
      <c r="H172" s="5" t="s">
        <v>974</v>
      </c>
    </row>
    <row r="173" customFormat="false" ht="15" hidden="false" customHeight="true" outlineLevel="0" collapsed="false">
      <c r="A173" s="5" t="s">
        <v>1313</v>
      </c>
      <c r="B173" s="5" t="s">
        <v>1287</v>
      </c>
      <c r="C173" s="5" t="s">
        <v>925</v>
      </c>
      <c r="D173" s="5" t="s">
        <v>926</v>
      </c>
      <c r="E173" s="5" t="s">
        <v>1051</v>
      </c>
      <c r="F173" s="5" t="s">
        <v>986</v>
      </c>
      <c r="G173" s="5" t="s">
        <v>987</v>
      </c>
      <c r="H173" s="5" t="s">
        <v>974</v>
      </c>
    </row>
    <row r="174" customFormat="false" ht="15" hidden="false" customHeight="true" outlineLevel="0" collapsed="false">
      <c r="A174" s="5" t="s">
        <v>1314</v>
      </c>
      <c r="B174" s="5" t="s">
        <v>1087</v>
      </c>
      <c r="C174" s="5" t="s">
        <v>923</v>
      </c>
      <c r="D174" s="5" t="s">
        <v>924</v>
      </c>
      <c r="E174" s="5" t="s">
        <v>985</v>
      </c>
      <c r="F174" s="5" t="s">
        <v>981</v>
      </c>
      <c r="G174" s="5" t="s">
        <v>982</v>
      </c>
      <c r="H174" s="5" t="s">
        <v>974</v>
      </c>
    </row>
    <row r="175" customFormat="false" ht="15" hidden="false" customHeight="true" outlineLevel="0" collapsed="false">
      <c r="A175" s="5" t="s">
        <v>1315</v>
      </c>
      <c r="B175" s="5" t="s">
        <v>1165</v>
      </c>
      <c r="C175" s="5" t="s">
        <v>927</v>
      </c>
      <c r="D175" s="5" t="s">
        <v>928</v>
      </c>
      <c r="E175" s="5" t="s">
        <v>1048</v>
      </c>
      <c r="F175" s="5" t="s">
        <v>990</v>
      </c>
      <c r="G175" s="5" t="s">
        <v>987</v>
      </c>
      <c r="H175" s="5" t="s">
        <v>995</v>
      </c>
    </row>
    <row r="176" customFormat="false" ht="15" hidden="false" customHeight="true" outlineLevel="0" collapsed="false">
      <c r="A176" s="5" t="s">
        <v>1316</v>
      </c>
      <c r="B176" s="5" t="s">
        <v>1317</v>
      </c>
      <c r="C176" s="5" t="s">
        <v>931</v>
      </c>
      <c r="D176" s="5" t="s">
        <v>932</v>
      </c>
      <c r="E176" s="5" t="s">
        <v>971</v>
      </c>
      <c r="F176" s="5" t="s">
        <v>986</v>
      </c>
      <c r="G176" s="5" t="s">
        <v>1002</v>
      </c>
      <c r="H176" s="5" t="s">
        <v>995</v>
      </c>
    </row>
    <row r="177" customFormat="false" ht="15" hidden="false" customHeight="true" outlineLevel="0" collapsed="false">
      <c r="A177" s="5" t="s">
        <v>1318</v>
      </c>
      <c r="B177" s="5" t="s">
        <v>1319</v>
      </c>
      <c r="C177" s="5" t="s">
        <v>918</v>
      </c>
      <c r="D177" s="5" t="s">
        <v>919</v>
      </c>
      <c r="E177" s="5" t="s">
        <v>1020</v>
      </c>
      <c r="F177" s="5" t="s">
        <v>972</v>
      </c>
      <c r="G177" s="5" t="s">
        <v>1002</v>
      </c>
      <c r="H177" s="5" t="s">
        <v>974</v>
      </c>
    </row>
    <row r="178" customFormat="false" ht="15" hidden="false" customHeight="true" outlineLevel="0" collapsed="false">
      <c r="A178" s="5" t="s">
        <v>1320</v>
      </c>
      <c r="B178" s="5" t="s">
        <v>976</v>
      </c>
      <c r="C178" s="5" t="s">
        <v>923</v>
      </c>
      <c r="D178" s="5" t="s">
        <v>924</v>
      </c>
      <c r="E178" s="5" t="s">
        <v>977</v>
      </c>
      <c r="F178" s="5" t="s">
        <v>972</v>
      </c>
      <c r="G178" s="5" t="s">
        <v>982</v>
      </c>
      <c r="H178" s="5" t="s">
        <v>974</v>
      </c>
    </row>
    <row r="179" customFormat="false" ht="15" hidden="false" customHeight="true" outlineLevel="0" collapsed="false">
      <c r="A179" s="5" t="s">
        <v>1321</v>
      </c>
      <c r="B179" s="5" t="s">
        <v>1319</v>
      </c>
      <c r="C179" s="5" t="s">
        <v>918</v>
      </c>
      <c r="D179" s="5" t="s">
        <v>919</v>
      </c>
      <c r="E179" s="5" t="s">
        <v>1020</v>
      </c>
      <c r="F179" s="5" t="s">
        <v>972</v>
      </c>
      <c r="G179" s="5" t="s">
        <v>1002</v>
      </c>
      <c r="H179" s="5" t="s">
        <v>974</v>
      </c>
    </row>
    <row r="180" customFormat="false" ht="15" hidden="false" customHeight="true" outlineLevel="0" collapsed="false">
      <c r="A180" s="5" t="s">
        <v>1322</v>
      </c>
      <c r="B180" s="5" t="s">
        <v>1323</v>
      </c>
      <c r="C180" s="5" t="s">
        <v>921</v>
      </c>
      <c r="D180" s="5" t="s">
        <v>922</v>
      </c>
      <c r="E180" s="5" t="s">
        <v>1023</v>
      </c>
      <c r="F180" s="5" t="s">
        <v>986</v>
      </c>
      <c r="G180" s="5" t="s">
        <v>987</v>
      </c>
      <c r="H180" s="5" t="s">
        <v>974</v>
      </c>
    </row>
    <row r="181" customFormat="false" ht="15" hidden="false" customHeight="true" outlineLevel="0" collapsed="false">
      <c r="A181" s="5" t="s">
        <v>1324</v>
      </c>
      <c r="B181" s="5" t="s">
        <v>1325</v>
      </c>
      <c r="C181" s="5" t="s">
        <v>923</v>
      </c>
      <c r="D181" s="5" t="s">
        <v>924</v>
      </c>
      <c r="E181" s="5" t="s">
        <v>977</v>
      </c>
      <c r="F181" s="5" t="s">
        <v>1006</v>
      </c>
      <c r="G181" s="5" t="s">
        <v>987</v>
      </c>
      <c r="H181" s="5" t="s">
        <v>974</v>
      </c>
    </row>
    <row r="182" customFormat="false" ht="15" hidden="false" customHeight="true" outlineLevel="0" collapsed="false">
      <c r="A182" s="5" t="s">
        <v>1326</v>
      </c>
      <c r="B182" s="5" t="s">
        <v>1327</v>
      </c>
      <c r="C182" s="5" t="s">
        <v>921</v>
      </c>
      <c r="D182" s="5" t="s">
        <v>922</v>
      </c>
      <c r="E182" s="5" t="s">
        <v>1059</v>
      </c>
      <c r="F182" s="5" t="s">
        <v>990</v>
      </c>
      <c r="G182" s="5" t="s">
        <v>973</v>
      </c>
      <c r="H182" s="5" t="s">
        <v>974</v>
      </c>
    </row>
    <row r="183" customFormat="false" ht="15" hidden="false" customHeight="true" outlineLevel="0" collapsed="false">
      <c r="A183" s="5" t="s">
        <v>1328</v>
      </c>
      <c r="B183" s="5" t="s">
        <v>1329</v>
      </c>
      <c r="C183" s="5" t="s">
        <v>931</v>
      </c>
      <c r="D183" s="5" t="s">
        <v>932</v>
      </c>
      <c r="E183" s="5" t="s">
        <v>1056</v>
      </c>
      <c r="F183" s="5" t="s">
        <v>1006</v>
      </c>
      <c r="G183" s="5" t="s">
        <v>1002</v>
      </c>
      <c r="H183" s="5" t="s">
        <v>974</v>
      </c>
    </row>
    <row r="184" customFormat="false" ht="15" hidden="false" customHeight="true" outlineLevel="0" collapsed="false">
      <c r="A184" s="5" t="s">
        <v>1330</v>
      </c>
      <c r="B184" s="5" t="s">
        <v>1331</v>
      </c>
      <c r="C184" s="5" t="s">
        <v>923</v>
      </c>
      <c r="D184" s="5" t="s">
        <v>924</v>
      </c>
      <c r="E184" s="5" t="s">
        <v>977</v>
      </c>
      <c r="F184" s="5" t="s">
        <v>981</v>
      </c>
      <c r="G184" s="5" t="s">
        <v>1002</v>
      </c>
      <c r="H184" s="5" t="s">
        <v>974</v>
      </c>
    </row>
    <row r="185" customFormat="false" ht="15" hidden="false" customHeight="true" outlineLevel="0" collapsed="false">
      <c r="A185" s="5" t="s">
        <v>1332</v>
      </c>
      <c r="B185" s="5" t="s">
        <v>1333</v>
      </c>
      <c r="C185" s="5" t="s">
        <v>918</v>
      </c>
      <c r="D185" s="5" t="s">
        <v>919</v>
      </c>
      <c r="E185" s="5" t="s">
        <v>998</v>
      </c>
      <c r="F185" s="5" t="s">
        <v>990</v>
      </c>
      <c r="G185" s="5" t="s">
        <v>994</v>
      </c>
      <c r="H185" s="5" t="s">
        <v>974</v>
      </c>
    </row>
    <row r="186" customFormat="false" ht="15" hidden="false" customHeight="true" outlineLevel="0" collapsed="false">
      <c r="A186" s="5" t="s">
        <v>1334</v>
      </c>
      <c r="B186" s="5" t="s">
        <v>1234</v>
      </c>
      <c r="C186" s="5" t="s">
        <v>931</v>
      </c>
      <c r="D186" s="5" t="s">
        <v>932</v>
      </c>
      <c r="E186" s="5" t="s">
        <v>1056</v>
      </c>
      <c r="F186" s="5" t="s">
        <v>981</v>
      </c>
      <c r="G186" s="5" t="s">
        <v>982</v>
      </c>
      <c r="H186" s="5" t="s">
        <v>974</v>
      </c>
    </row>
    <row r="187" customFormat="false" ht="15" hidden="false" customHeight="true" outlineLevel="0" collapsed="false">
      <c r="A187" s="5" t="s">
        <v>1335</v>
      </c>
      <c r="B187" s="5" t="s">
        <v>1336</v>
      </c>
      <c r="C187" s="5" t="s">
        <v>920</v>
      </c>
      <c r="D187" s="5" t="s">
        <v>919</v>
      </c>
      <c r="E187" s="5" t="s">
        <v>1001</v>
      </c>
      <c r="F187" s="5" t="s">
        <v>1006</v>
      </c>
      <c r="G187" s="5" t="s">
        <v>1002</v>
      </c>
      <c r="H187" s="5" t="s">
        <v>974</v>
      </c>
    </row>
    <row r="188" customFormat="false" ht="15" hidden="false" customHeight="true" outlineLevel="0" collapsed="false">
      <c r="A188" s="5" t="s">
        <v>1337</v>
      </c>
      <c r="B188" s="5" t="s">
        <v>1085</v>
      </c>
      <c r="C188" s="5" t="s">
        <v>927</v>
      </c>
      <c r="D188" s="5" t="s">
        <v>928</v>
      </c>
      <c r="E188" s="5" t="s">
        <v>1030</v>
      </c>
      <c r="F188" s="5" t="s">
        <v>1010</v>
      </c>
      <c r="G188" s="5" t="s">
        <v>982</v>
      </c>
      <c r="H188" s="5" t="s">
        <v>974</v>
      </c>
    </row>
    <row r="189" customFormat="false" ht="15" hidden="false" customHeight="true" outlineLevel="0" collapsed="false">
      <c r="A189" s="5" t="s">
        <v>1338</v>
      </c>
      <c r="B189" s="5" t="s">
        <v>1339</v>
      </c>
      <c r="C189" s="5" t="s">
        <v>929</v>
      </c>
      <c r="D189" s="5" t="s">
        <v>930</v>
      </c>
      <c r="E189" s="5" t="s">
        <v>1005</v>
      </c>
      <c r="F189" s="5" t="s">
        <v>986</v>
      </c>
      <c r="G189" s="5" t="s">
        <v>1002</v>
      </c>
      <c r="H189" s="5" t="s">
        <v>974</v>
      </c>
    </row>
    <row r="190" customFormat="false" ht="15" hidden="false" customHeight="true" outlineLevel="0" collapsed="false">
      <c r="A190" s="5" t="s">
        <v>1340</v>
      </c>
      <c r="B190" s="5" t="s">
        <v>1089</v>
      </c>
      <c r="C190" s="5" t="s">
        <v>923</v>
      </c>
      <c r="D190" s="5" t="s">
        <v>924</v>
      </c>
      <c r="E190" s="5" t="s">
        <v>985</v>
      </c>
      <c r="F190" s="5" t="s">
        <v>990</v>
      </c>
      <c r="G190" s="5" t="s">
        <v>994</v>
      </c>
      <c r="H190" s="5" t="s">
        <v>974</v>
      </c>
    </row>
    <row r="191" customFormat="false" ht="15" hidden="false" customHeight="true" outlineLevel="0" collapsed="false">
      <c r="A191" s="5" t="s">
        <v>1341</v>
      </c>
      <c r="B191" s="5" t="s">
        <v>1116</v>
      </c>
      <c r="C191" s="5" t="s">
        <v>931</v>
      </c>
      <c r="D191" s="5" t="s">
        <v>932</v>
      </c>
      <c r="E191" s="5" t="s">
        <v>1056</v>
      </c>
      <c r="F191" s="5" t="s">
        <v>990</v>
      </c>
      <c r="G191" s="5" t="s">
        <v>973</v>
      </c>
      <c r="H191" s="5" t="s">
        <v>974</v>
      </c>
    </row>
    <row r="192" customFormat="false" ht="15" hidden="false" customHeight="true" outlineLevel="0" collapsed="false">
      <c r="A192" s="5" t="s">
        <v>1342</v>
      </c>
      <c r="B192" s="5" t="s">
        <v>1343</v>
      </c>
      <c r="C192" s="5" t="s">
        <v>927</v>
      </c>
      <c r="D192" s="5" t="s">
        <v>928</v>
      </c>
      <c r="E192" s="5" t="s">
        <v>1066</v>
      </c>
      <c r="F192" s="5" t="s">
        <v>1006</v>
      </c>
      <c r="G192" s="5" t="s">
        <v>987</v>
      </c>
      <c r="H192" s="5" t="s">
        <v>974</v>
      </c>
    </row>
    <row r="193" customFormat="false" ht="15" hidden="false" customHeight="true" outlineLevel="0" collapsed="false">
      <c r="A193" s="5" t="s">
        <v>1344</v>
      </c>
      <c r="B193" s="5" t="s">
        <v>1345</v>
      </c>
      <c r="C193" s="5" t="s">
        <v>931</v>
      </c>
      <c r="D193" s="5" t="s">
        <v>932</v>
      </c>
      <c r="E193" s="5" t="s">
        <v>971</v>
      </c>
      <c r="F193" s="5" t="s">
        <v>981</v>
      </c>
      <c r="G193" s="5" t="s">
        <v>973</v>
      </c>
      <c r="H193" s="5" t="s">
        <v>974</v>
      </c>
    </row>
    <row r="194" customFormat="false" ht="15" hidden="false" customHeight="true" outlineLevel="0" collapsed="false">
      <c r="A194" s="5" t="s">
        <v>1346</v>
      </c>
      <c r="B194" s="5" t="s">
        <v>1347</v>
      </c>
      <c r="C194" s="5" t="s">
        <v>927</v>
      </c>
      <c r="D194" s="5" t="s">
        <v>928</v>
      </c>
      <c r="E194" s="5" t="s">
        <v>1048</v>
      </c>
      <c r="F194" s="5" t="s">
        <v>1010</v>
      </c>
      <c r="G194" s="5" t="s">
        <v>1002</v>
      </c>
      <c r="H194" s="5" t="s">
        <v>995</v>
      </c>
    </row>
    <row r="195" customFormat="false" ht="15" hidden="false" customHeight="true" outlineLevel="0" collapsed="false">
      <c r="A195" s="5" t="s">
        <v>1348</v>
      </c>
      <c r="B195" s="5" t="s">
        <v>1349</v>
      </c>
      <c r="C195" s="5" t="s">
        <v>927</v>
      </c>
      <c r="D195" s="5" t="s">
        <v>928</v>
      </c>
      <c r="E195" s="5" t="s">
        <v>1066</v>
      </c>
      <c r="F195" s="5" t="s">
        <v>981</v>
      </c>
      <c r="G195" s="5" t="s">
        <v>982</v>
      </c>
      <c r="H195" s="5" t="s">
        <v>995</v>
      </c>
    </row>
    <row r="196" customFormat="false" ht="15" hidden="false" customHeight="true" outlineLevel="0" collapsed="false">
      <c r="A196" s="5" t="s">
        <v>1350</v>
      </c>
      <c r="B196" s="5" t="s">
        <v>1099</v>
      </c>
      <c r="C196" s="5" t="s">
        <v>929</v>
      </c>
      <c r="D196" s="5" t="s">
        <v>930</v>
      </c>
      <c r="E196" s="5" t="s">
        <v>1097</v>
      </c>
      <c r="F196" s="5" t="s">
        <v>981</v>
      </c>
      <c r="G196" s="5" t="s">
        <v>1002</v>
      </c>
      <c r="H196" s="5" t="s">
        <v>974</v>
      </c>
    </row>
    <row r="197" customFormat="false" ht="15" hidden="false" customHeight="true" outlineLevel="0" collapsed="false">
      <c r="A197" s="5" t="s">
        <v>1351</v>
      </c>
      <c r="B197" s="5" t="s">
        <v>1300</v>
      </c>
      <c r="C197" s="5" t="s">
        <v>920</v>
      </c>
      <c r="D197" s="5" t="s">
        <v>919</v>
      </c>
      <c r="E197" s="5" t="s">
        <v>1001</v>
      </c>
      <c r="F197" s="5" t="s">
        <v>972</v>
      </c>
      <c r="G197" s="5" t="s">
        <v>994</v>
      </c>
      <c r="H197" s="5" t="s">
        <v>974</v>
      </c>
    </row>
    <row r="198" customFormat="false" ht="15" hidden="false" customHeight="true" outlineLevel="0" collapsed="false">
      <c r="A198" s="5" t="s">
        <v>1352</v>
      </c>
      <c r="B198" s="5" t="s">
        <v>1091</v>
      </c>
      <c r="C198" s="5" t="s">
        <v>920</v>
      </c>
      <c r="D198" s="5" t="s">
        <v>919</v>
      </c>
      <c r="E198" s="5" t="s">
        <v>1092</v>
      </c>
      <c r="F198" s="5" t="s">
        <v>1010</v>
      </c>
      <c r="G198" s="5" t="s">
        <v>973</v>
      </c>
      <c r="H198" s="5" t="s">
        <v>974</v>
      </c>
    </row>
    <row r="199" customFormat="false" ht="15" hidden="false" customHeight="true" outlineLevel="0" collapsed="false">
      <c r="A199" s="5" t="s">
        <v>1353</v>
      </c>
      <c r="B199" s="5" t="s">
        <v>1172</v>
      </c>
      <c r="C199" s="5" t="s">
        <v>923</v>
      </c>
      <c r="D199" s="5" t="s">
        <v>924</v>
      </c>
      <c r="E199" s="5" t="s">
        <v>985</v>
      </c>
      <c r="F199" s="5" t="s">
        <v>1010</v>
      </c>
      <c r="G199" s="5" t="s">
        <v>1002</v>
      </c>
      <c r="H199" s="5" t="s">
        <v>974</v>
      </c>
    </row>
    <row r="200" customFormat="false" ht="15" hidden="false" customHeight="true" outlineLevel="0" collapsed="false">
      <c r="A200" s="5" t="s">
        <v>1354</v>
      </c>
      <c r="B200" s="5" t="s">
        <v>1019</v>
      </c>
      <c r="C200" s="5" t="s">
        <v>918</v>
      </c>
      <c r="D200" s="5" t="s">
        <v>919</v>
      </c>
      <c r="E200" s="5" t="s">
        <v>1020</v>
      </c>
      <c r="F200" s="5" t="s">
        <v>981</v>
      </c>
      <c r="G200" s="5" t="s">
        <v>982</v>
      </c>
      <c r="H200" s="5" t="s">
        <v>974</v>
      </c>
    </row>
    <row r="201" customFormat="false" ht="15" hidden="false" customHeight="true" outlineLevel="0" collapsed="false">
      <c r="A201" s="5" t="s">
        <v>1355</v>
      </c>
      <c r="B201" s="5" t="s">
        <v>1356</v>
      </c>
      <c r="C201" s="5" t="s">
        <v>925</v>
      </c>
      <c r="D201" s="5" t="s">
        <v>926</v>
      </c>
      <c r="E201" s="5" t="s">
        <v>1080</v>
      </c>
      <c r="F201" s="5" t="s">
        <v>1006</v>
      </c>
      <c r="G201" s="5" t="s">
        <v>987</v>
      </c>
      <c r="H201" s="5" t="s">
        <v>995</v>
      </c>
    </row>
    <row r="202" customFormat="false" ht="15" hidden="false" customHeight="true" outlineLevel="0" collapsed="false">
      <c r="A202" s="5" t="s">
        <v>1357</v>
      </c>
      <c r="B202" s="5" t="s">
        <v>1358</v>
      </c>
      <c r="C202" s="5" t="s">
        <v>954</v>
      </c>
      <c r="D202" s="5" t="s">
        <v>955</v>
      </c>
      <c r="E202" s="5" t="s">
        <v>1359</v>
      </c>
      <c r="F202" s="5" t="s">
        <v>986</v>
      </c>
      <c r="G202" s="5" t="s">
        <v>973</v>
      </c>
      <c r="H202" s="5" t="s">
        <v>974</v>
      </c>
    </row>
    <row r="203" customFormat="false" ht="15" hidden="false" customHeight="true" outlineLevel="0" collapsed="false">
      <c r="A203" s="5" t="s">
        <v>1360</v>
      </c>
      <c r="B203" s="5" t="s">
        <v>1361</v>
      </c>
      <c r="C203" s="5" t="s">
        <v>948</v>
      </c>
      <c r="D203" s="5" t="s">
        <v>949</v>
      </c>
      <c r="E203" s="5" t="s">
        <v>1362</v>
      </c>
      <c r="F203" s="5" t="s">
        <v>1010</v>
      </c>
      <c r="G203" s="5" t="s">
        <v>994</v>
      </c>
      <c r="H203" s="5" t="s">
        <v>974</v>
      </c>
    </row>
    <row r="204" customFormat="false" ht="15" hidden="false" customHeight="true" outlineLevel="0" collapsed="false">
      <c r="A204" s="5" t="s">
        <v>1363</v>
      </c>
      <c r="B204" s="5" t="s">
        <v>1364</v>
      </c>
      <c r="C204" s="5" t="s">
        <v>936</v>
      </c>
      <c r="D204" s="5" t="s">
        <v>937</v>
      </c>
      <c r="E204" s="5" t="s">
        <v>1365</v>
      </c>
      <c r="F204" s="5" t="s">
        <v>990</v>
      </c>
      <c r="G204" s="5" t="s">
        <v>982</v>
      </c>
      <c r="H204" s="5" t="s">
        <v>974</v>
      </c>
    </row>
    <row r="205" customFormat="false" ht="15" hidden="false" customHeight="true" outlineLevel="0" collapsed="false">
      <c r="A205" s="5" t="s">
        <v>1366</v>
      </c>
      <c r="B205" s="5" t="s">
        <v>1367</v>
      </c>
      <c r="C205" s="5" t="s">
        <v>958</v>
      </c>
      <c r="D205" s="5" t="s">
        <v>959</v>
      </c>
      <c r="E205" s="5" t="s">
        <v>1368</v>
      </c>
      <c r="F205" s="5" t="s">
        <v>1010</v>
      </c>
      <c r="G205" s="5" t="s">
        <v>987</v>
      </c>
      <c r="H205" s="5" t="s">
        <v>995</v>
      </c>
    </row>
    <row r="206" customFormat="false" ht="15" hidden="false" customHeight="true" outlineLevel="0" collapsed="false">
      <c r="A206" s="5" t="s">
        <v>1369</v>
      </c>
      <c r="B206" s="5" t="s">
        <v>1370</v>
      </c>
      <c r="C206" s="5" t="s">
        <v>933</v>
      </c>
      <c r="D206" s="5" t="s">
        <v>934</v>
      </c>
      <c r="E206" s="5" t="s">
        <v>1371</v>
      </c>
      <c r="F206" s="5" t="s">
        <v>972</v>
      </c>
      <c r="G206" s="5" t="s">
        <v>982</v>
      </c>
      <c r="H206" s="5" t="s">
        <v>974</v>
      </c>
    </row>
    <row r="207" customFormat="false" ht="15" hidden="false" customHeight="true" outlineLevel="0" collapsed="false">
      <c r="A207" s="5" t="s">
        <v>1372</v>
      </c>
      <c r="B207" s="5" t="s">
        <v>1373</v>
      </c>
      <c r="C207" s="5" t="s">
        <v>960</v>
      </c>
      <c r="D207" s="5" t="s">
        <v>961</v>
      </c>
      <c r="E207" s="5" t="s">
        <v>1374</v>
      </c>
      <c r="F207" s="5" t="s">
        <v>1006</v>
      </c>
      <c r="G207" s="5" t="s">
        <v>982</v>
      </c>
      <c r="H207" s="5" t="s">
        <v>974</v>
      </c>
    </row>
    <row r="208" customFormat="false" ht="15" hidden="false" customHeight="true" outlineLevel="0" collapsed="false">
      <c r="A208" s="5" t="s">
        <v>1375</v>
      </c>
      <c r="B208" s="5" t="s">
        <v>1376</v>
      </c>
      <c r="C208" s="5" t="s">
        <v>962</v>
      </c>
      <c r="D208" s="5" t="s">
        <v>962</v>
      </c>
      <c r="E208" s="5" t="s">
        <v>1377</v>
      </c>
      <c r="F208" s="5" t="s">
        <v>1006</v>
      </c>
      <c r="G208" s="5" t="s">
        <v>1002</v>
      </c>
      <c r="H208" s="5" t="s">
        <v>974</v>
      </c>
    </row>
    <row r="209" customFormat="false" ht="15" hidden="false" customHeight="true" outlineLevel="0" collapsed="false">
      <c r="A209" s="5" t="s">
        <v>1378</v>
      </c>
      <c r="B209" s="5" t="s">
        <v>1379</v>
      </c>
      <c r="C209" s="5" t="s">
        <v>940</v>
      </c>
      <c r="D209" s="5" t="s">
        <v>941</v>
      </c>
      <c r="E209" s="5" t="s">
        <v>1380</v>
      </c>
      <c r="F209" s="5" t="s">
        <v>1006</v>
      </c>
      <c r="G209" s="5" t="s">
        <v>982</v>
      </c>
      <c r="H209" s="5" t="s">
        <v>974</v>
      </c>
    </row>
    <row r="210" customFormat="false" ht="15" hidden="false" customHeight="true" outlineLevel="0" collapsed="false">
      <c r="A210" s="5" t="s">
        <v>1381</v>
      </c>
      <c r="B210" s="5" t="s">
        <v>1382</v>
      </c>
      <c r="C210" s="5" t="s">
        <v>960</v>
      </c>
      <c r="D210" s="5" t="s">
        <v>961</v>
      </c>
      <c r="E210" s="5" t="s">
        <v>1383</v>
      </c>
      <c r="F210" s="5" t="s">
        <v>1006</v>
      </c>
      <c r="G210" s="5" t="s">
        <v>982</v>
      </c>
      <c r="H210" s="5" t="s">
        <v>974</v>
      </c>
    </row>
    <row r="211" customFormat="false" ht="15" hidden="false" customHeight="true" outlineLevel="0" collapsed="false">
      <c r="A211" s="5" t="s">
        <v>1384</v>
      </c>
      <c r="B211" s="5" t="s">
        <v>1385</v>
      </c>
      <c r="C211" s="5" t="s">
        <v>929</v>
      </c>
      <c r="D211" s="5" t="s">
        <v>930</v>
      </c>
      <c r="E211" s="5" t="s">
        <v>1005</v>
      </c>
      <c r="F211" s="5" t="s">
        <v>1010</v>
      </c>
      <c r="G211" s="5" t="s">
        <v>1002</v>
      </c>
      <c r="H211" s="5" t="s">
        <v>974</v>
      </c>
    </row>
    <row r="212" customFormat="false" ht="15" hidden="false" customHeight="true" outlineLevel="0" collapsed="false">
      <c r="A212" s="5" t="s">
        <v>1386</v>
      </c>
      <c r="B212" s="5" t="s">
        <v>1387</v>
      </c>
      <c r="C212" s="5" t="s">
        <v>925</v>
      </c>
      <c r="D212" s="5" t="s">
        <v>926</v>
      </c>
      <c r="E212" s="5" t="s">
        <v>1051</v>
      </c>
      <c r="F212" s="5" t="s">
        <v>1010</v>
      </c>
      <c r="G212" s="5" t="s">
        <v>1002</v>
      </c>
      <c r="H212" s="5" t="s">
        <v>974</v>
      </c>
    </row>
    <row r="213" customFormat="false" ht="15" hidden="false" customHeight="true" outlineLevel="0" collapsed="false">
      <c r="A213" s="5" t="s">
        <v>1388</v>
      </c>
      <c r="B213" s="5" t="s">
        <v>1207</v>
      </c>
      <c r="C213" s="5" t="s">
        <v>920</v>
      </c>
      <c r="D213" s="5" t="s">
        <v>919</v>
      </c>
      <c r="E213" s="5" t="s">
        <v>1001</v>
      </c>
      <c r="F213" s="5" t="s">
        <v>986</v>
      </c>
      <c r="G213" s="5" t="s">
        <v>973</v>
      </c>
      <c r="H213" s="5" t="s">
        <v>974</v>
      </c>
    </row>
    <row r="214" customFormat="false" ht="15" hidden="false" customHeight="true" outlineLevel="0" collapsed="false">
      <c r="A214" s="5" t="s">
        <v>1389</v>
      </c>
      <c r="B214" s="5" t="s">
        <v>1390</v>
      </c>
      <c r="C214" s="5" t="s">
        <v>936</v>
      </c>
      <c r="D214" s="5" t="s">
        <v>937</v>
      </c>
      <c r="E214" s="5" t="s">
        <v>1391</v>
      </c>
      <c r="F214" s="5" t="s">
        <v>981</v>
      </c>
      <c r="G214" s="5" t="s">
        <v>987</v>
      </c>
      <c r="H214" s="5" t="s">
        <v>974</v>
      </c>
    </row>
    <row r="215" customFormat="false" ht="15" hidden="false" customHeight="true" outlineLevel="0" collapsed="false">
      <c r="A215" s="5" t="s">
        <v>1392</v>
      </c>
      <c r="B215" s="5" t="s">
        <v>1393</v>
      </c>
      <c r="C215" s="5" t="s">
        <v>950</v>
      </c>
      <c r="D215" s="5" t="s">
        <v>951</v>
      </c>
      <c r="E215" s="5" t="s">
        <v>1394</v>
      </c>
      <c r="F215" s="5" t="s">
        <v>990</v>
      </c>
      <c r="G215" s="5" t="s">
        <v>994</v>
      </c>
      <c r="H215" s="5" t="s">
        <v>974</v>
      </c>
    </row>
    <row r="216" customFormat="false" ht="15" hidden="false" customHeight="true" outlineLevel="0" collapsed="false">
      <c r="A216" s="5" t="s">
        <v>1395</v>
      </c>
      <c r="B216" s="5" t="s">
        <v>1396</v>
      </c>
      <c r="C216" s="5" t="s">
        <v>929</v>
      </c>
      <c r="D216" s="5" t="s">
        <v>930</v>
      </c>
      <c r="E216" s="5" t="s">
        <v>993</v>
      </c>
      <c r="F216" s="5" t="s">
        <v>1006</v>
      </c>
      <c r="G216" s="5" t="s">
        <v>973</v>
      </c>
      <c r="H216" s="5" t="s">
        <v>995</v>
      </c>
    </row>
    <row r="217" customFormat="false" ht="15" hidden="false" customHeight="true" outlineLevel="0" collapsed="false">
      <c r="A217" s="5" t="s">
        <v>1397</v>
      </c>
      <c r="B217" s="5" t="s">
        <v>1398</v>
      </c>
      <c r="C217" s="5" t="s">
        <v>921</v>
      </c>
      <c r="D217" s="5" t="s">
        <v>922</v>
      </c>
      <c r="E217" s="5" t="s">
        <v>1059</v>
      </c>
      <c r="F217" s="5" t="s">
        <v>1010</v>
      </c>
      <c r="G217" s="5" t="s">
        <v>1002</v>
      </c>
      <c r="H217" s="5" t="s">
        <v>974</v>
      </c>
    </row>
    <row r="218" customFormat="false" ht="15" hidden="false" customHeight="true" outlineLevel="0" collapsed="false">
      <c r="A218" s="5" t="s">
        <v>1399</v>
      </c>
      <c r="B218" s="5" t="s">
        <v>1025</v>
      </c>
      <c r="C218" s="5" t="s">
        <v>920</v>
      </c>
      <c r="D218" s="5" t="s">
        <v>919</v>
      </c>
      <c r="E218" s="5" t="s">
        <v>1001</v>
      </c>
      <c r="F218" s="5" t="s">
        <v>990</v>
      </c>
      <c r="G218" s="5" t="s">
        <v>973</v>
      </c>
      <c r="H218" s="5" t="s">
        <v>995</v>
      </c>
    </row>
    <row r="219" customFormat="false" ht="15" hidden="false" customHeight="true" outlineLevel="0" collapsed="false">
      <c r="A219" s="5" t="s">
        <v>1400</v>
      </c>
      <c r="B219" s="5" t="s">
        <v>1401</v>
      </c>
      <c r="C219" s="5" t="s">
        <v>940</v>
      </c>
      <c r="D219" s="5" t="s">
        <v>941</v>
      </c>
      <c r="E219" s="5" t="s">
        <v>1380</v>
      </c>
      <c r="F219" s="5" t="s">
        <v>972</v>
      </c>
      <c r="G219" s="5" t="s">
        <v>982</v>
      </c>
      <c r="H219" s="5" t="s">
        <v>995</v>
      </c>
    </row>
    <row r="220" customFormat="false" ht="15" hidden="false" customHeight="true" outlineLevel="0" collapsed="false">
      <c r="A220" s="5" t="s">
        <v>1402</v>
      </c>
      <c r="B220" s="5" t="s">
        <v>1403</v>
      </c>
      <c r="C220" s="5" t="s">
        <v>918</v>
      </c>
      <c r="D220" s="5" t="s">
        <v>919</v>
      </c>
      <c r="E220" s="5" t="s">
        <v>1020</v>
      </c>
      <c r="F220" s="5" t="s">
        <v>1010</v>
      </c>
      <c r="G220" s="5" t="s">
        <v>973</v>
      </c>
      <c r="H220" s="5" t="s">
        <v>995</v>
      </c>
    </row>
    <row r="221" customFormat="false" ht="15" hidden="false" customHeight="true" outlineLevel="0" collapsed="false">
      <c r="A221" s="5" t="s">
        <v>1404</v>
      </c>
      <c r="B221" s="5" t="s">
        <v>1405</v>
      </c>
      <c r="C221" s="5" t="s">
        <v>936</v>
      </c>
      <c r="D221" s="5" t="s">
        <v>937</v>
      </c>
      <c r="E221" s="5" t="s">
        <v>1391</v>
      </c>
      <c r="F221" s="5" t="s">
        <v>990</v>
      </c>
      <c r="G221" s="5" t="s">
        <v>1002</v>
      </c>
      <c r="H221" s="5" t="s">
        <v>974</v>
      </c>
    </row>
    <row r="222" customFormat="false" ht="15" hidden="false" customHeight="true" outlineLevel="0" collapsed="false">
      <c r="A222" s="5" t="s">
        <v>1406</v>
      </c>
      <c r="B222" s="5" t="s">
        <v>1407</v>
      </c>
      <c r="C222" s="5" t="s">
        <v>925</v>
      </c>
      <c r="D222" s="5" t="s">
        <v>926</v>
      </c>
      <c r="E222" s="5" t="s">
        <v>1042</v>
      </c>
      <c r="F222" s="5" t="s">
        <v>990</v>
      </c>
      <c r="G222" s="5" t="s">
        <v>987</v>
      </c>
      <c r="H222" s="5" t="s">
        <v>974</v>
      </c>
    </row>
    <row r="223" customFormat="false" ht="15" hidden="false" customHeight="true" outlineLevel="0" collapsed="false">
      <c r="A223" s="5" t="s">
        <v>1408</v>
      </c>
      <c r="B223" s="5" t="s">
        <v>1409</v>
      </c>
      <c r="C223" s="5" t="s">
        <v>936</v>
      </c>
      <c r="D223" s="5" t="s">
        <v>937</v>
      </c>
      <c r="E223" s="5" t="s">
        <v>1365</v>
      </c>
      <c r="F223" s="5" t="s">
        <v>986</v>
      </c>
      <c r="G223" s="5" t="s">
        <v>982</v>
      </c>
      <c r="H223" s="5" t="s">
        <v>974</v>
      </c>
    </row>
    <row r="224" customFormat="false" ht="15" hidden="false" customHeight="true" outlineLevel="0" collapsed="false">
      <c r="A224" s="5" t="s">
        <v>1410</v>
      </c>
      <c r="B224" s="5" t="s">
        <v>1411</v>
      </c>
      <c r="C224" s="5" t="s">
        <v>918</v>
      </c>
      <c r="D224" s="5" t="s">
        <v>919</v>
      </c>
      <c r="E224" s="5" t="s">
        <v>1020</v>
      </c>
      <c r="F224" s="5" t="s">
        <v>1006</v>
      </c>
      <c r="G224" s="5" t="s">
        <v>987</v>
      </c>
      <c r="H224" s="5" t="s">
        <v>974</v>
      </c>
    </row>
    <row r="225" customFormat="false" ht="15" hidden="false" customHeight="true" outlineLevel="0" collapsed="false">
      <c r="A225" s="5" t="s">
        <v>1412</v>
      </c>
      <c r="B225" s="5" t="s">
        <v>1413</v>
      </c>
      <c r="C225" s="5" t="s">
        <v>956</v>
      </c>
      <c r="D225" s="5" t="s">
        <v>957</v>
      </c>
      <c r="E225" s="5" t="s">
        <v>1414</v>
      </c>
      <c r="F225" s="5" t="s">
        <v>990</v>
      </c>
      <c r="G225" s="5" t="s">
        <v>982</v>
      </c>
      <c r="H225" s="5" t="s">
        <v>974</v>
      </c>
    </row>
    <row r="226" customFormat="false" ht="15" hidden="false" customHeight="true" outlineLevel="0" collapsed="false">
      <c r="A226" s="5" t="s">
        <v>1415</v>
      </c>
      <c r="B226" s="5" t="s">
        <v>1416</v>
      </c>
      <c r="C226" s="5" t="s">
        <v>958</v>
      </c>
      <c r="D226" s="5" t="s">
        <v>959</v>
      </c>
      <c r="E226" s="5" t="s">
        <v>1417</v>
      </c>
      <c r="F226" s="5" t="s">
        <v>972</v>
      </c>
      <c r="G226" s="5" t="s">
        <v>994</v>
      </c>
      <c r="H226" s="5" t="s">
        <v>974</v>
      </c>
    </row>
    <row r="227" customFormat="false" ht="15" hidden="false" customHeight="true" outlineLevel="0" collapsed="false">
      <c r="A227" s="5" t="s">
        <v>1418</v>
      </c>
      <c r="B227" s="5" t="s">
        <v>1419</v>
      </c>
      <c r="C227" s="5" t="s">
        <v>931</v>
      </c>
      <c r="D227" s="5" t="s">
        <v>932</v>
      </c>
      <c r="E227" s="5" t="s">
        <v>971</v>
      </c>
      <c r="F227" s="5" t="s">
        <v>1006</v>
      </c>
      <c r="G227" s="5" t="s">
        <v>987</v>
      </c>
      <c r="H227" s="5" t="s">
        <v>974</v>
      </c>
    </row>
    <row r="228" customFormat="false" ht="15" hidden="false" customHeight="true" outlineLevel="0" collapsed="false">
      <c r="A228" s="5" t="s">
        <v>1420</v>
      </c>
      <c r="B228" s="5" t="s">
        <v>1421</v>
      </c>
      <c r="C228" s="5" t="s">
        <v>933</v>
      </c>
      <c r="D228" s="5" t="s">
        <v>934</v>
      </c>
      <c r="E228" s="5" t="s">
        <v>1371</v>
      </c>
      <c r="F228" s="5" t="s">
        <v>1006</v>
      </c>
      <c r="G228" s="5" t="s">
        <v>1002</v>
      </c>
      <c r="H228" s="5" t="s">
        <v>974</v>
      </c>
    </row>
    <row r="229" customFormat="false" ht="15" hidden="false" customHeight="true" outlineLevel="0" collapsed="false">
      <c r="A229" s="5" t="s">
        <v>1422</v>
      </c>
      <c r="B229" s="5" t="s">
        <v>1423</v>
      </c>
      <c r="C229" s="5" t="s">
        <v>956</v>
      </c>
      <c r="D229" s="5" t="s">
        <v>957</v>
      </c>
      <c r="E229" s="5" t="s">
        <v>1414</v>
      </c>
      <c r="F229" s="5" t="s">
        <v>986</v>
      </c>
      <c r="G229" s="5" t="s">
        <v>973</v>
      </c>
      <c r="H229" s="5" t="s">
        <v>974</v>
      </c>
    </row>
    <row r="230" customFormat="false" ht="15" hidden="false" customHeight="true" outlineLevel="0" collapsed="false">
      <c r="A230" s="5" t="s">
        <v>1424</v>
      </c>
      <c r="B230" s="5" t="s">
        <v>1425</v>
      </c>
      <c r="C230" s="5" t="s">
        <v>944</v>
      </c>
      <c r="D230" s="5" t="s">
        <v>945</v>
      </c>
      <c r="E230" s="5" t="s">
        <v>1426</v>
      </c>
      <c r="F230" s="5" t="s">
        <v>972</v>
      </c>
      <c r="G230" s="5" t="s">
        <v>1002</v>
      </c>
      <c r="H230" s="5" t="s">
        <v>995</v>
      </c>
    </row>
    <row r="231" customFormat="false" ht="15" hidden="false" customHeight="true" outlineLevel="0" collapsed="false">
      <c r="A231" s="5" t="s">
        <v>1427</v>
      </c>
      <c r="B231" s="5" t="s">
        <v>1428</v>
      </c>
      <c r="C231" s="5" t="s">
        <v>960</v>
      </c>
      <c r="D231" s="5" t="s">
        <v>961</v>
      </c>
      <c r="E231" s="5" t="s">
        <v>1374</v>
      </c>
      <c r="F231" s="5" t="s">
        <v>986</v>
      </c>
      <c r="G231" s="5" t="s">
        <v>982</v>
      </c>
      <c r="H231" s="5" t="s">
        <v>974</v>
      </c>
    </row>
    <row r="232" customFormat="false" ht="15" hidden="false" customHeight="true" outlineLevel="0" collapsed="false">
      <c r="A232" s="5" t="s">
        <v>1429</v>
      </c>
      <c r="B232" s="5" t="s">
        <v>1017</v>
      </c>
      <c r="C232" s="5" t="s">
        <v>931</v>
      </c>
      <c r="D232" s="5" t="s">
        <v>932</v>
      </c>
      <c r="E232" s="5" t="s">
        <v>971</v>
      </c>
      <c r="F232" s="5" t="s">
        <v>972</v>
      </c>
      <c r="G232" s="5" t="s">
        <v>987</v>
      </c>
      <c r="H232" s="5" t="s">
        <v>974</v>
      </c>
    </row>
    <row r="233" customFormat="false" ht="15" hidden="false" customHeight="true" outlineLevel="0" collapsed="false">
      <c r="A233" s="5" t="s">
        <v>1430</v>
      </c>
      <c r="B233" s="5" t="s">
        <v>1431</v>
      </c>
      <c r="C233" s="5" t="s">
        <v>954</v>
      </c>
      <c r="D233" s="5" t="s">
        <v>955</v>
      </c>
      <c r="E233" s="5" t="s">
        <v>1359</v>
      </c>
      <c r="F233" s="5" t="s">
        <v>990</v>
      </c>
      <c r="G233" s="5" t="s">
        <v>1002</v>
      </c>
      <c r="H233" s="5" t="s">
        <v>995</v>
      </c>
    </row>
    <row r="234" customFormat="false" ht="15" hidden="false" customHeight="true" outlineLevel="0" collapsed="false">
      <c r="A234" s="5" t="s">
        <v>1432</v>
      </c>
      <c r="B234" s="5" t="s">
        <v>1433</v>
      </c>
      <c r="C234" s="5" t="s">
        <v>950</v>
      </c>
      <c r="D234" s="5" t="s">
        <v>951</v>
      </c>
      <c r="E234" s="5" t="s">
        <v>1394</v>
      </c>
      <c r="F234" s="5" t="s">
        <v>972</v>
      </c>
      <c r="G234" s="5" t="s">
        <v>1002</v>
      </c>
      <c r="H234" s="5" t="s">
        <v>995</v>
      </c>
    </row>
    <row r="235" customFormat="false" ht="15" hidden="false" customHeight="true" outlineLevel="0" collapsed="false">
      <c r="A235" s="5" t="s">
        <v>1434</v>
      </c>
      <c r="B235" s="5" t="s">
        <v>1327</v>
      </c>
      <c r="C235" s="5" t="s">
        <v>921</v>
      </c>
      <c r="D235" s="5" t="s">
        <v>922</v>
      </c>
      <c r="E235" s="5" t="s">
        <v>1059</v>
      </c>
      <c r="F235" s="5" t="s">
        <v>990</v>
      </c>
      <c r="G235" s="5" t="s">
        <v>982</v>
      </c>
      <c r="H235" s="5" t="s">
        <v>974</v>
      </c>
    </row>
    <row r="236" customFormat="false" ht="15" hidden="false" customHeight="true" outlineLevel="0" collapsed="false">
      <c r="A236" s="5" t="s">
        <v>1435</v>
      </c>
      <c r="B236" s="5" t="s">
        <v>1436</v>
      </c>
      <c r="C236" s="5" t="s">
        <v>952</v>
      </c>
      <c r="D236" s="5" t="s">
        <v>953</v>
      </c>
      <c r="E236" s="5" t="s">
        <v>1437</v>
      </c>
      <c r="F236" s="5" t="s">
        <v>981</v>
      </c>
      <c r="G236" s="5" t="s">
        <v>1002</v>
      </c>
      <c r="H236" s="5" t="s">
        <v>974</v>
      </c>
    </row>
    <row r="237" customFormat="false" ht="15" hidden="false" customHeight="true" outlineLevel="0" collapsed="false">
      <c r="A237" s="5" t="s">
        <v>1438</v>
      </c>
      <c r="B237" s="5" t="s">
        <v>1439</v>
      </c>
      <c r="C237" s="5" t="s">
        <v>950</v>
      </c>
      <c r="D237" s="5" t="s">
        <v>951</v>
      </c>
      <c r="E237" s="5" t="s">
        <v>1394</v>
      </c>
      <c r="F237" s="5" t="s">
        <v>972</v>
      </c>
      <c r="G237" s="5" t="s">
        <v>1002</v>
      </c>
      <c r="H237" s="5" t="s">
        <v>974</v>
      </c>
    </row>
    <row r="238" customFormat="false" ht="15" hidden="false" customHeight="true" outlineLevel="0" collapsed="false">
      <c r="A238" s="5" t="s">
        <v>1440</v>
      </c>
      <c r="B238" s="5" t="s">
        <v>1441</v>
      </c>
      <c r="C238" s="5" t="s">
        <v>958</v>
      </c>
      <c r="D238" s="5" t="s">
        <v>959</v>
      </c>
      <c r="E238" s="5" t="s">
        <v>1417</v>
      </c>
      <c r="F238" s="5" t="s">
        <v>986</v>
      </c>
      <c r="G238" s="5" t="s">
        <v>994</v>
      </c>
      <c r="H238" s="5" t="s">
        <v>974</v>
      </c>
    </row>
    <row r="239" customFormat="false" ht="15" hidden="false" customHeight="true" outlineLevel="0" collapsed="false">
      <c r="A239" s="5" t="s">
        <v>1442</v>
      </c>
      <c r="B239" s="5" t="s">
        <v>1443</v>
      </c>
      <c r="C239" s="5" t="s">
        <v>948</v>
      </c>
      <c r="D239" s="5" t="s">
        <v>949</v>
      </c>
      <c r="E239" s="5" t="s">
        <v>1444</v>
      </c>
      <c r="F239" s="5" t="s">
        <v>981</v>
      </c>
      <c r="G239" s="5" t="s">
        <v>987</v>
      </c>
      <c r="H239" s="5" t="s">
        <v>974</v>
      </c>
    </row>
    <row r="240" customFormat="false" ht="15" hidden="false" customHeight="true" outlineLevel="0" collapsed="false">
      <c r="A240" s="5" t="s">
        <v>1445</v>
      </c>
      <c r="B240" s="5" t="s">
        <v>1446</v>
      </c>
      <c r="C240" s="5" t="s">
        <v>944</v>
      </c>
      <c r="D240" s="5" t="s">
        <v>945</v>
      </c>
      <c r="E240" s="5" t="s">
        <v>1447</v>
      </c>
      <c r="F240" s="5" t="s">
        <v>1010</v>
      </c>
      <c r="G240" s="5" t="s">
        <v>982</v>
      </c>
      <c r="H240" s="5" t="s">
        <v>974</v>
      </c>
    </row>
    <row r="241" customFormat="false" ht="15" hidden="false" customHeight="true" outlineLevel="0" collapsed="false">
      <c r="A241" s="5" t="s">
        <v>1448</v>
      </c>
      <c r="B241" s="5" t="s">
        <v>1449</v>
      </c>
      <c r="C241" s="5" t="s">
        <v>940</v>
      </c>
      <c r="D241" s="5" t="s">
        <v>941</v>
      </c>
      <c r="E241" s="5" t="s">
        <v>1380</v>
      </c>
      <c r="F241" s="5" t="s">
        <v>981</v>
      </c>
      <c r="G241" s="5" t="s">
        <v>987</v>
      </c>
      <c r="H241" s="5" t="s">
        <v>974</v>
      </c>
    </row>
    <row r="242" customFormat="false" ht="15" hidden="false" customHeight="true" outlineLevel="0" collapsed="false">
      <c r="A242" s="5" t="s">
        <v>1450</v>
      </c>
      <c r="B242" s="5" t="s">
        <v>1451</v>
      </c>
      <c r="C242" s="5" t="s">
        <v>920</v>
      </c>
      <c r="D242" s="5" t="s">
        <v>919</v>
      </c>
      <c r="E242" s="5" t="s">
        <v>1009</v>
      </c>
      <c r="F242" s="5" t="s">
        <v>1006</v>
      </c>
      <c r="G242" s="5" t="s">
        <v>973</v>
      </c>
      <c r="H242" s="5" t="s">
        <v>974</v>
      </c>
    </row>
    <row r="243" customFormat="false" ht="15" hidden="false" customHeight="true" outlineLevel="0" collapsed="false">
      <c r="A243" s="5" t="s">
        <v>1452</v>
      </c>
      <c r="B243" s="5" t="s">
        <v>1453</v>
      </c>
      <c r="C243" s="5" t="s">
        <v>920</v>
      </c>
      <c r="D243" s="5" t="s">
        <v>919</v>
      </c>
      <c r="E243" s="5" t="s">
        <v>1035</v>
      </c>
      <c r="F243" s="5" t="s">
        <v>990</v>
      </c>
      <c r="G243" s="5" t="s">
        <v>982</v>
      </c>
      <c r="H243" s="5" t="s">
        <v>974</v>
      </c>
    </row>
    <row r="244" customFormat="false" ht="15" hidden="false" customHeight="true" outlineLevel="0" collapsed="false">
      <c r="A244" s="5" t="s">
        <v>1454</v>
      </c>
      <c r="B244" s="5" t="s">
        <v>1041</v>
      </c>
      <c r="C244" s="5" t="s">
        <v>925</v>
      </c>
      <c r="D244" s="5" t="s">
        <v>926</v>
      </c>
      <c r="E244" s="5" t="s">
        <v>1042</v>
      </c>
      <c r="F244" s="5" t="s">
        <v>986</v>
      </c>
      <c r="G244" s="5" t="s">
        <v>994</v>
      </c>
      <c r="H244" s="5" t="s">
        <v>974</v>
      </c>
    </row>
    <row r="245" customFormat="false" ht="15" hidden="false" customHeight="true" outlineLevel="0" collapsed="false">
      <c r="A245" s="5" t="s">
        <v>1455</v>
      </c>
      <c r="B245" s="5" t="s">
        <v>1456</v>
      </c>
      <c r="C245" s="5" t="s">
        <v>940</v>
      </c>
      <c r="D245" s="5" t="s">
        <v>941</v>
      </c>
      <c r="E245" s="5" t="s">
        <v>1380</v>
      </c>
      <c r="F245" s="5" t="s">
        <v>990</v>
      </c>
      <c r="G245" s="5" t="s">
        <v>973</v>
      </c>
      <c r="H245" s="5" t="s">
        <v>974</v>
      </c>
    </row>
    <row r="246" customFormat="false" ht="15" hidden="false" customHeight="true" outlineLevel="0" collapsed="false">
      <c r="A246" s="5" t="s">
        <v>1457</v>
      </c>
      <c r="B246" s="5" t="s">
        <v>1458</v>
      </c>
      <c r="C246" s="5" t="s">
        <v>958</v>
      </c>
      <c r="D246" s="5" t="s">
        <v>959</v>
      </c>
      <c r="E246" s="5" t="s">
        <v>1417</v>
      </c>
      <c r="F246" s="5" t="s">
        <v>986</v>
      </c>
      <c r="G246" s="5" t="s">
        <v>973</v>
      </c>
      <c r="H246" s="5" t="s">
        <v>974</v>
      </c>
    </row>
    <row r="247" customFormat="false" ht="15" hidden="false" customHeight="true" outlineLevel="0" collapsed="false">
      <c r="A247" s="5" t="s">
        <v>1459</v>
      </c>
      <c r="B247" s="5" t="s">
        <v>1460</v>
      </c>
      <c r="C247" s="5" t="s">
        <v>950</v>
      </c>
      <c r="D247" s="5" t="s">
        <v>951</v>
      </c>
      <c r="E247" s="5" t="s">
        <v>1461</v>
      </c>
      <c r="F247" s="5" t="s">
        <v>1010</v>
      </c>
      <c r="G247" s="5" t="s">
        <v>987</v>
      </c>
      <c r="H247" s="5" t="s">
        <v>974</v>
      </c>
    </row>
    <row r="248" customFormat="false" ht="15" hidden="false" customHeight="true" outlineLevel="0" collapsed="false">
      <c r="A248" s="5" t="s">
        <v>1462</v>
      </c>
      <c r="B248" s="5" t="s">
        <v>1463</v>
      </c>
      <c r="C248" s="5" t="s">
        <v>918</v>
      </c>
      <c r="D248" s="5" t="s">
        <v>919</v>
      </c>
      <c r="E248" s="5" t="s">
        <v>1020</v>
      </c>
      <c r="F248" s="5" t="s">
        <v>990</v>
      </c>
      <c r="G248" s="5" t="s">
        <v>1002</v>
      </c>
      <c r="H248" s="5" t="s">
        <v>974</v>
      </c>
    </row>
    <row r="249" customFormat="false" ht="15" hidden="false" customHeight="true" outlineLevel="0" collapsed="false">
      <c r="A249" s="5" t="s">
        <v>1464</v>
      </c>
      <c r="B249" s="5" t="s">
        <v>1465</v>
      </c>
      <c r="C249" s="5" t="s">
        <v>940</v>
      </c>
      <c r="D249" s="5" t="s">
        <v>941</v>
      </c>
      <c r="E249" s="5" t="s">
        <v>1466</v>
      </c>
      <c r="F249" s="5" t="s">
        <v>972</v>
      </c>
      <c r="G249" s="5" t="s">
        <v>982</v>
      </c>
      <c r="H249" s="5" t="s">
        <v>974</v>
      </c>
    </row>
    <row r="250" customFormat="false" ht="15" hidden="false" customHeight="true" outlineLevel="0" collapsed="false">
      <c r="A250" s="5" t="s">
        <v>1467</v>
      </c>
      <c r="B250" s="5" t="s">
        <v>1468</v>
      </c>
      <c r="C250" s="5" t="s">
        <v>929</v>
      </c>
      <c r="D250" s="5" t="s">
        <v>930</v>
      </c>
      <c r="E250" s="5" t="s">
        <v>1097</v>
      </c>
      <c r="F250" s="5" t="s">
        <v>981</v>
      </c>
      <c r="G250" s="5" t="s">
        <v>994</v>
      </c>
      <c r="H250" s="5" t="s">
        <v>974</v>
      </c>
    </row>
    <row r="251" customFormat="false" ht="15" hidden="false" customHeight="true" outlineLevel="0" collapsed="false">
      <c r="A251" s="5" t="s">
        <v>1469</v>
      </c>
      <c r="B251" s="5" t="s">
        <v>1470</v>
      </c>
      <c r="C251" s="5" t="s">
        <v>918</v>
      </c>
      <c r="D251" s="5" t="s">
        <v>919</v>
      </c>
      <c r="E251" s="5" t="s">
        <v>980</v>
      </c>
      <c r="F251" s="5" t="s">
        <v>972</v>
      </c>
      <c r="G251" s="5" t="s">
        <v>973</v>
      </c>
      <c r="H251" s="5" t="s">
        <v>974</v>
      </c>
    </row>
    <row r="252" customFormat="false" ht="15" hidden="false" customHeight="true" outlineLevel="0" collapsed="false">
      <c r="A252" s="5" t="s">
        <v>1471</v>
      </c>
      <c r="B252" s="5" t="s">
        <v>1472</v>
      </c>
      <c r="C252" s="5" t="s">
        <v>944</v>
      </c>
      <c r="D252" s="5" t="s">
        <v>945</v>
      </c>
      <c r="E252" s="5" t="s">
        <v>1447</v>
      </c>
      <c r="F252" s="5" t="s">
        <v>972</v>
      </c>
      <c r="G252" s="5" t="s">
        <v>973</v>
      </c>
      <c r="H252" s="5" t="s">
        <v>974</v>
      </c>
    </row>
    <row r="253" customFormat="false" ht="15" hidden="false" customHeight="true" outlineLevel="0" collapsed="false">
      <c r="A253" s="5" t="s">
        <v>1473</v>
      </c>
      <c r="B253" s="5" t="s">
        <v>1345</v>
      </c>
      <c r="C253" s="5" t="s">
        <v>931</v>
      </c>
      <c r="D253" s="5" t="s">
        <v>932</v>
      </c>
      <c r="E253" s="5" t="s">
        <v>971</v>
      </c>
      <c r="F253" s="5" t="s">
        <v>981</v>
      </c>
      <c r="G253" s="5" t="s">
        <v>1002</v>
      </c>
      <c r="H253" s="5" t="s">
        <v>995</v>
      </c>
    </row>
    <row r="254" customFormat="false" ht="15" hidden="false" customHeight="true" outlineLevel="0" collapsed="false">
      <c r="A254" s="5" t="s">
        <v>1474</v>
      </c>
      <c r="B254" s="5" t="s">
        <v>1475</v>
      </c>
      <c r="C254" s="5" t="s">
        <v>931</v>
      </c>
      <c r="D254" s="5" t="s">
        <v>932</v>
      </c>
      <c r="E254" s="5" t="s">
        <v>1056</v>
      </c>
      <c r="F254" s="5" t="s">
        <v>1010</v>
      </c>
      <c r="G254" s="5" t="s">
        <v>982</v>
      </c>
      <c r="H254" s="5" t="s">
        <v>974</v>
      </c>
    </row>
    <row r="255" customFormat="false" ht="15" hidden="false" customHeight="true" outlineLevel="0" collapsed="false">
      <c r="A255" s="5" t="s">
        <v>1476</v>
      </c>
      <c r="B255" s="5" t="s">
        <v>1477</v>
      </c>
      <c r="C255" s="5" t="s">
        <v>925</v>
      </c>
      <c r="D255" s="5" t="s">
        <v>926</v>
      </c>
      <c r="E255" s="5" t="s">
        <v>1042</v>
      </c>
      <c r="F255" s="5" t="s">
        <v>1010</v>
      </c>
      <c r="G255" s="5" t="s">
        <v>994</v>
      </c>
      <c r="H255" s="5" t="s">
        <v>974</v>
      </c>
    </row>
    <row r="256" customFormat="false" ht="15" hidden="false" customHeight="true" outlineLevel="0" collapsed="false">
      <c r="A256" s="5" t="s">
        <v>1478</v>
      </c>
      <c r="B256" s="5" t="s">
        <v>1224</v>
      </c>
      <c r="C256" s="5" t="s">
        <v>920</v>
      </c>
      <c r="D256" s="5" t="s">
        <v>919</v>
      </c>
      <c r="E256" s="5" t="s">
        <v>1001</v>
      </c>
      <c r="F256" s="5" t="s">
        <v>986</v>
      </c>
      <c r="G256" s="5" t="s">
        <v>994</v>
      </c>
      <c r="H256" s="5" t="s">
        <v>974</v>
      </c>
    </row>
    <row r="257" customFormat="false" ht="15" hidden="false" customHeight="true" outlineLevel="0" collapsed="false">
      <c r="A257" s="5" t="s">
        <v>1479</v>
      </c>
      <c r="B257" s="5" t="s">
        <v>1480</v>
      </c>
      <c r="C257" s="5" t="s">
        <v>920</v>
      </c>
      <c r="D257" s="5" t="s">
        <v>919</v>
      </c>
      <c r="E257" s="5" t="s">
        <v>1092</v>
      </c>
      <c r="F257" s="5" t="s">
        <v>986</v>
      </c>
      <c r="G257" s="5" t="s">
        <v>994</v>
      </c>
      <c r="H257" s="5" t="s">
        <v>974</v>
      </c>
    </row>
    <row r="258" customFormat="false" ht="15" hidden="false" customHeight="true" outlineLevel="0" collapsed="false">
      <c r="A258" s="5" t="s">
        <v>1481</v>
      </c>
      <c r="B258" s="5" t="s">
        <v>1482</v>
      </c>
      <c r="C258" s="5" t="s">
        <v>936</v>
      </c>
      <c r="D258" s="5" t="s">
        <v>937</v>
      </c>
      <c r="E258" s="5" t="s">
        <v>1391</v>
      </c>
      <c r="F258" s="5" t="s">
        <v>990</v>
      </c>
      <c r="G258" s="5" t="s">
        <v>982</v>
      </c>
      <c r="H258" s="5" t="s">
        <v>974</v>
      </c>
    </row>
    <row r="259" customFormat="false" ht="15" hidden="false" customHeight="true" outlineLevel="0" collapsed="false">
      <c r="A259" s="5" t="s">
        <v>1483</v>
      </c>
      <c r="B259" s="5" t="s">
        <v>1484</v>
      </c>
      <c r="C259" s="5" t="s">
        <v>950</v>
      </c>
      <c r="D259" s="5" t="s">
        <v>951</v>
      </c>
      <c r="E259" s="5" t="s">
        <v>1461</v>
      </c>
      <c r="F259" s="5" t="s">
        <v>972</v>
      </c>
      <c r="G259" s="5" t="s">
        <v>982</v>
      </c>
      <c r="H259" s="5" t="s">
        <v>995</v>
      </c>
    </row>
    <row r="260" customFormat="false" ht="15" hidden="false" customHeight="true" outlineLevel="0" collapsed="false">
      <c r="A260" s="5" t="s">
        <v>1485</v>
      </c>
      <c r="B260" s="5" t="s">
        <v>1122</v>
      </c>
      <c r="C260" s="5" t="s">
        <v>925</v>
      </c>
      <c r="D260" s="5" t="s">
        <v>926</v>
      </c>
      <c r="E260" s="5" t="s">
        <v>1080</v>
      </c>
      <c r="F260" s="5" t="s">
        <v>981</v>
      </c>
      <c r="G260" s="5" t="s">
        <v>994</v>
      </c>
      <c r="H260" s="5" t="s">
        <v>995</v>
      </c>
    </row>
    <row r="261" customFormat="false" ht="15" hidden="false" customHeight="true" outlineLevel="0" collapsed="false">
      <c r="A261" s="5" t="s">
        <v>1486</v>
      </c>
      <c r="B261" s="5" t="s">
        <v>1487</v>
      </c>
      <c r="C261" s="5" t="s">
        <v>950</v>
      </c>
      <c r="D261" s="5" t="s">
        <v>951</v>
      </c>
      <c r="E261" s="5" t="s">
        <v>1394</v>
      </c>
      <c r="F261" s="5" t="s">
        <v>990</v>
      </c>
      <c r="G261" s="5" t="s">
        <v>982</v>
      </c>
      <c r="H261" s="5" t="s">
        <v>974</v>
      </c>
    </row>
    <row r="262" customFormat="false" ht="15" hidden="false" customHeight="true" outlineLevel="0" collapsed="false">
      <c r="A262" s="5" t="s">
        <v>1488</v>
      </c>
      <c r="B262" s="5" t="s">
        <v>1489</v>
      </c>
      <c r="C262" s="5" t="s">
        <v>956</v>
      </c>
      <c r="D262" s="5" t="s">
        <v>957</v>
      </c>
      <c r="E262" s="5" t="s">
        <v>1490</v>
      </c>
      <c r="F262" s="5" t="s">
        <v>990</v>
      </c>
      <c r="G262" s="5" t="s">
        <v>973</v>
      </c>
      <c r="H262" s="5" t="s">
        <v>974</v>
      </c>
    </row>
    <row r="263" customFormat="false" ht="15" hidden="false" customHeight="true" outlineLevel="0" collapsed="false">
      <c r="A263" s="5" t="s">
        <v>1491</v>
      </c>
      <c r="B263" s="5" t="s">
        <v>1004</v>
      </c>
      <c r="C263" s="5" t="s">
        <v>929</v>
      </c>
      <c r="D263" s="5" t="s">
        <v>930</v>
      </c>
      <c r="E263" s="5" t="s">
        <v>1005</v>
      </c>
      <c r="F263" s="5" t="s">
        <v>1006</v>
      </c>
      <c r="G263" s="5" t="s">
        <v>1002</v>
      </c>
      <c r="H263" s="5" t="s">
        <v>974</v>
      </c>
    </row>
    <row r="264" customFormat="false" ht="15" hidden="false" customHeight="true" outlineLevel="0" collapsed="false">
      <c r="A264" s="5" t="s">
        <v>1492</v>
      </c>
      <c r="B264" s="5" t="s">
        <v>1493</v>
      </c>
      <c r="C264" s="5" t="s">
        <v>921</v>
      </c>
      <c r="D264" s="5" t="s">
        <v>922</v>
      </c>
      <c r="E264" s="5" t="s">
        <v>1023</v>
      </c>
      <c r="F264" s="5" t="s">
        <v>1010</v>
      </c>
      <c r="G264" s="5" t="s">
        <v>1002</v>
      </c>
      <c r="H264" s="5" t="s">
        <v>974</v>
      </c>
    </row>
    <row r="265" customFormat="false" ht="15" hidden="false" customHeight="true" outlineLevel="0" collapsed="false">
      <c r="A265" s="5" t="s">
        <v>1494</v>
      </c>
      <c r="B265" s="5" t="s">
        <v>1251</v>
      </c>
      <c r="C265" s="5" t="s">
        <v>929</v>
      </c>
      <c r="D265" s="5" t="s">
        <v>930</v>
      </c>
      <c r="E265" s="5" t="s">
        <v>993</v>
      </c>
      <c r="F265" s="5" t="s">
        <v>1006</v>
      </c>
      <c r="G265" s="5" t="s">
        <v>987</v>
      </c>
      <c r="H265" s="5" t="s">
        <v>995</v>
      </c>
    </row>
    <row r="266" customFormat="false" ht="15" hidden="false" customHeight="true" outlineLevel="0" collapsed="false">
      <c r="A266" s="5" t="s">
        <v>1495</v>
      </c>
      <c r="B266" s="5" t="s">
        <v>1496</v>
      </c>
      <c r="C266" s="5" t="s">
        <v>962</v>
      </c>
      <c r="D266" s="5" t="s">
        <v>962</v>
      </c>
      <c r="E266" s="5" t="s">
        <v>1497</v>
      </c>
      <c r="F266" s="5" t="s">
        <v>986</v>
      </c>
      <c r="G266" s="5" t="s">
        <v>987</v>
      </c>
      <c r="H266" s="5" t="s">
        <v>974</v>
      </c>
    </row>
    <row r="267" customFormat="false" ht="15" hidden="false" customHeight="true" outlineLevel="0" collapsed="false">
      <c r="A267" s="5" t="s">
        <v>1498</v>
      </c>
      <c r="B267" s="5" t="s">
        <v>1499</v>
      </c>
      <c r="C267" s="5" t="s">
        <v>960</v>
      </c>
      <c r="D267" s="5" t="s">
        <v>961</v>
      </c>
      <c r="E267" s="5" t="s">
        <v>1383</v>
      </c>
      <c r="F267" s="5" t="s">
        <v>990</v>
      </c>
      <c r="G267" s="5" t="s">
        <v>1002</v>
      </c>
      <c r="H267" s="5" t="s">
        <v>974</v>
      </c>
    </row>
    <row r="268" customFormat="false" ht="15" hidden="false" customHeight="true" outlineLevel="0" collapsed="false">
      <c r="A268" s="5" t="s">
        <v>1500</v>
      </c>
      <c r="B268" s="5" t="s">
        <v>1501</v>
      </c>
      <c r="C268" s="5" t="s">
        <v>935</v>
      </c>
      <c r="D268" s="5" t="s">
        <v>930</v>
      </c>
      <c r="E268" s="5" t="s">
        <v>1502</v>
      </c>
      <c r="F268" s="5" t="s">
        <v>990</v>
      </c>
      <c r="G268" s="5" t="s">
        <v>982</v>
      </c>
      <c r="H268" s="5" t="s">
        <v>974</v>
      </c>
    </row>
    <row r="269" customFormat="false" ht="15" hidden="false" customHeight="true" outlineLevel="0" collapsed="false">
      <c r="A269" s="5" t="s">
        <v>1503</v>
      </c>
      <c r="B269" s="5" t="s">
        <v>1504</v>
      </c>
      <c r="C269" s="5" t="s">
        <v>938</v>
      </c>
      <c r="D269" s="5" t="s">
        <v>939</v>
      </c>
      <c r="E269" s="5" t="s">
        <v>1505</v>
      </c>
      <c r="F269" s="5" t="s">
        <v>990</v>
      </c>
      <c r="G269" s="5" t="s">
        <v>994</v>
      </c>
      <c r="H269" s="5" t="s">
        <v>974</v>
      </c>
    </row>
    <row r="270" customFormat="false" ht="15" hidden="false" customHeight="true" outlineLevel="0" collapsed="false">
      <c r="A270" s="5" t="s">
        <v>1506</v>
      </c>
      <c r="B270" s="5" t="s">
        <v>1507</v>
      </c>
      <c r="C270" s="5" t="s">
        <v>936</v>
      </c>
      <c r="D270" s="5" t="s">
        <v>937</v>
      </c>
      <c r="E270" s="5" t="s">
        <v>1365</v>
      </c>
      <c r="F270" s="5" t="s">
        <v>1006</v>
      </c>
      <c r="G270" s="5" t="s">
        <v>994</v>
      </c>
      <c r="H270" s="5" t="s">
        <v>974</v>
      </c>
    </row>
    <row r="271" customFormat="false" ht="15" hidden="false" customHeight="true" outlineLevel="0" collapsed="false">
      <c r="A271" s="5" t="s">
        <v>1508</v>
      </c>
      <c r="B271" s="5" t="s">
        <v>1509</v>
      </c>
      <c r="C271" s="5" t="s">
        <v>931</v>
      </c>
      <c r="D271" s="5" t="s">
        <v>932</v>
      </c>
      <c r="E271" s="5" t="s">
        <v>971</v>
      </c>
      <c r="F271" s="5" t="s">
        <v>981</v>
      </c>
      <c r="G271" s="5" t="s">
        <v>1002</v>
      </c>
      <c r="H271" s="5" t="s">
        <v>995</v>
      </c>
    </row>
    <row r="272" customFormat="false" ht="15" hidden="false" customHeight="true" outlineLevel="0" collapsed="false">
      <c r="A272" s="5" t="s">
        <v>1510</v>
      </c>
      <c r="B272" s="5" t="s">
        <v>1511</v>
      </c>
      <c r="C272" s="5" t="s">
        <v>952</v>
      </c>
      <c r="D272" s="5" t="s">
        <v>953</v>
      </c>
      <c r="E272" s="5" t="s">
        <v>1512</v>
      </c>
      <c r="F272" s="5" t="s">
        <v>1006</v>
      </c>
      <c r="G272" s="5" t="s">
        <v>987</v>
      </c>
      <c r="H272" s="5" t="s">
        <v>974</v>
      </c>
    </row>
    <row r="273" customFormat="false" ht="15" hidden="false" customHeight="true" outlineLevel="0" collapsed="false">
      <c r="A273" s="5" t="s">
        <v>1513</v>
      </c>
      <c r="B273" s="5" t="s">
        <v>1514</v>
      </c>
      <c r="C273" s="5" t="s">
        <v>940</v>
      </c>
      <c r="D273" s="5" t="s">
        <v>941</v>
      </c>
      <c r="E273" s="5" t="s">
        <v>1466</v>
      </c>
      <c r="F273" s="5" t="s">
        <v>990</v>
      </c>
      <c r="G273" s="5" t="s">
        <v>982</v>
      </c>
      <c r="H273" s="5" t="s">
        <v>974</v>
      </c>
    </row>
    <row r="274" customFormat="false" ht="15" hidden="false" customHeight="true" outlineLevel="0" collapsed="false">
      <c r="A274" s="5" t="s">
        <v>1515</v>
      </c>
      <c r="B274" s="5" t="s">
        <v>1516</v>
      </c>
      <c r="C274" s="5" t="s">
        <v>946</v>
      </c>
      <c r="D274" s="5" t="s">
        <v>947</v>
      </c>
      <c r="E274" s="5" t="s">
        <v>1517</v>
      </c>
      <c r="F274" s="5" t="s">
        <v>990</v>
      </c>
      <c r="G274" s="5" t="s">
        <v>982</v>
      </c>
      <c r="H274" s="5" t="s">
        <v>974</v>
      </c>
    </row>
    <row r="275" customFormat="false" ht="15" hidden="false" customHeight="true" outlineLevel="0" collapsed="false">
      <c r="A275" s="5" t="s">
        <v>1518</v>
      </c>
      <c r="B275" s="5" t="s">
        <v>1519</v>
      </c>
      <c r="C275" s="5" t="s">
        <v>962</v>
      </c>
      <c r="D275" s="5" t="s">
        <v>962</v>
      </c>
      <c r="E275" s="5" t="s">
        <v>1377</v>
      </c>
      <c r="F275" s="5" t="s">
        <v>972</v>
      </c>
      <c r="G275" s="5" t="s">
        <v>973</v>
      </c>
      <c r="H275" s="5" t="s">
        <v>974</v>
      </c>
    </row>
    <row r="276" customFormat="false" ht="15" hidden="false" customHeight="true" outlineLevel="0" collapsed="false">
      <c r="A276" s="5" t="s">
        <v>1520</v>
      </c>
      <c r="B276" s="5" t="s">
        <v>1521</v>
      </c>
      <c r="C276" s="5" t="s">
        <v>921</v>
      </c>
      <c r="D276" s="5" t="s">
        <v>922</v>
      </c>
      <c r="E276" s="5" t="s">
        <v>1059</v>
      </c>
      <c r="F276" s="5" t="s">
        <v>981</v>
      </c>
      <c r="G276" s="5" t="s">
        <v>994</v>
      </c>
      <c r="H276" s="5" t="s">
        <v>974</v>
      </c>
    </row>
    <row r="277" customFormat="false" ht="15" hidden="false" customHeight="true" outlineLevel="0" collapsed="false">
      <c r="A277" s="5" t="s">
        <v>1522</v>
      </c>
      <c r="B277" s="5" t="s">
        <v>1523</v>
      </c>
      <c r="C277" s="5" t="s">
        <v>956</v>
      </c>
      <c r="D277" s="5" t="s">
        <v>957</v>
      </c>
      <c r="E277" s="5" t="s">
        <v>1490</v>
      </c>
      <c r="F277" s="5" t="s">
        <v>981</v>
      </c>
      <c r="G277" s="5" t="s">
        <v>987</v>
      </c>
      <c r="H277" s="5" t="s">
        <v>974</v>
      </c>
    </row>
    <row r="278" customFormat="false" ht="15" hidden="false" customHeight="true" outlineLevel="0" collapsed="false">
      <c r="A278" s="5" t="s">
        <v>1524</v>
      </c>
      <c r="B278" s="5" t="s">
        <v>1525</v>
      </c>
      <c r="C278" s="5" t="s">
        <v>948</v>
      </c>
      <c r="D278" s="5" t="s">
        <v>949</v>
      </c>
      <c r="E278" s="5" t="s">
        <v>1444</v>
      </c>
      <c r="F278" s="5" t="s">
        <v>1006</v>
      </c>
      <c r="G278" s="5" t="s">
        <v>1002</v>
      </c>
      <c r="H278" s="5" t="s">
        <v>974</v>
      </c>
    </row>
    <row r="279" customFormat="false" ht="15" hidden="false" customHeight="true" outlineLevel="0" collapsed="false">
      <c r="A279" s="5" t="s">
        <v>1526</v>
      </c>
      <c r="B279" s="5" t="s">
        <v>1527</v>
      </c>
      <c r="C279" s="5" t="s">
        <v>954</v>
      </c>
      <c r="D279" s="5" t="s">
        <v>955</v>
      </c>
      <c r="E279" s="5" t="s">
        <v>1359</v>
      </c>
      <c r="F279" s="5" t="s">
        <v>986</v>
      </c>
      <c r="G279" s="5" t="s">
        <v>973</v>
      </c>
      <c r="H279" s="5" t="s">
        <v>974</v>
      </c>
    </row>
    <row r="280" customFormat="false" ht="15" hidden="false" customHeight="true" outlineLevel="0" collapsed="false">
      <c r="A280" s="5" t="s">
        <v>1528</v>
      </c>
      <c r="B280" s="5" t="s">
        <v>1529</v>
      </c>
      <c r="C280" s="5" t="s">
        <v>950</v>
      </c>
      <c r="D280" s="5" t="s">
        <v>951</v>
      </c>
      <c r="E280" s="5" t="s">
        <v>1461</v>
      </c>
      <c r="F280" s="5" t="s">
        <v>981</v>
      </c>
      <c r="G280" s="5" t="s">
        <v>1002</v>
      </c>
      <c r="H280" s="5" t="s">
        <v>974</v>
      </c>
    </row>
    <row r="281" customFormat="false" ht="15" hidden="false" customHeight="true" outlineLevel="0" collapsed="false">
      <c r="A281" s="5" t="s">
        <v>1530</v>
      </c>
      <c r="B281" s="5" t="s">
        <v>1531</v>
      </c>
      <c r="C281" s="5" t="s">
        <v>950</v>
      </c>
      <c r="D281" s="5" t="s">
        <v>951</v>
      </c>
      <c r="E281" s="5" t="s">
        <v>1461</v>
      </c>
      <c r="F281" s="5" t="s">
        <v>981</v>
      </c>
      <c r="G281" s="5" t="s">
        <v>994</v>
      </c>
      <c r="H281" s="5" t="s">
        <v>974</v>
      </c>
    </row>
    <row r="282" customFormat="false" ht="15" hidden="false" customHeight="true" outlineLevel="0" collapsed="false">
      <c r="A282" s="5" t="s">
        <v>1532</v>
      </c>
      <c r="B282" s="5" t="s">
        <v>1533</v>
      </c>
      <c r="C282" s="5" t="s">
        <v>927</v>
      </c>
      <c r="D282" s="5" t="s">
        <v>928</v>
      </c>
      <c r="E282" s="5" t="s">
        <v>1048</v>
      </c>
      <c r="F282" s="5" t="s">
        <v>981</v>
      </c>
      <c r="G282" s="5" t="s">
        <v>987</v>
      </c>
      <c r="H282" s="5" t="s">
        <v>974</v>
      </c>
    </row>
    <row r="283" customFormat="false" ht="15" hidden="false" customHeight="true" outlineLevel="0" collapsed="false">
      <c r="A283" s="5" t="s">
        <v>1534</v>
      </c>
      <c r="B283" s="5" t="s">
        <v>1535</v>
      </c>
      <c r="C283" s="5" t="s">
        <v>954</v>
      </c>
      <c r="D283" s="5" t="s">
        <v>955</v>
      </c>
      <c r="E283" s="5" t="s">
        <v>1359</v>
      </c>
      <c r="F283" s="5" t="s">
        <v>1006</v>
      </c>
      <c r="G283" s="5" t="s">
        <v>994</v>
      </c>
      <c r="H283" s="5" t="s">
        <v>974</v>
      </c>
    </row>
    <row r="284" customFormat="false" ht="15" hidden="false" customHeight="true" outlineLevel="0" collapsed="false">
      <c r="A284" s="5" t="s">
        <v>1536</v>
      </c>
      <c r="B284" s="5" t="s">
        <v>1537</v>
      </c>
      <c r="C284" s="5" t="s">
        <v>940</v>
      </c>
      <c r="D284" s="5" t="s">
        <v>941</v>
      </c>
      <c r="E284" s="5" t="s">
        <v>1380</v>
      </c>
      <c r="F284" s="5" t="s">
        <v>1010</v>
      </c>
      <c r="G284" s="5" t="s">
        <v>987</v>
      </c>
      <c r="H284" s="5" t="s">
        <v>974</v>
      </c>
    </row>
    <row r="285" customFormat="false" ht="15" hidden="false" customHeight="true" outlineLevel="0" collapsed="false">
      <c r="A285" s="5" t="s">
        <v>1538</v>
      </c>
      <c r="B285" s="5" t="s">
        <v>1539</v>
      </c>
      <c r="C285" s="5" t="s">
        <v>921</v>
      </c>
      <c r="D285" s="5" t="s">
        <v>922</v>
      </c>
      <c r="E285" s="5" t="s">
        <v>1059</v>
      </c>
      <c r="F285" s="5" t="s">
        <v>986</v>
      </c>
      <c r="G285" s="5" t="s">
        <v>973</v>
      </c>
      <c r="H285" s="5" t="s">
        <v>974</v>
      </c>
    </row>
    <row r="286" customFormat="false" ht="15" hidden="false" customHeight="true" outlineLevel="0" collapsed="false">
      <c r="A286" s="5" t="s">
        <v>1540</v>
      </c>
      <c r="B286" s="5" t="s">
        <v>1449</v>
      </c>
      <c r="C286" s="5" t="s">
        <v>940</v>
      </c>
      <c r="D286" s="5" t="s">
        <v>941</v>
      </c>
      <c r="E286" s="5" t="s">
        <v>1380</v>
      </c>
      <c r="F286" s="5" t="s">
        <v>981</v>
      </c>
      <c r="G286" s="5" t="s">
        <v>973</v>
      </c>
      <c r="H286" s="5" t="s">
        <v>974</v>
      </c>
    </row>
    <row r="287" customFormat="false" ht="15" hidden="false" customHeight="true" outlineLevel="0" collapsed="false">
      <c r="A287" s="5" t="s">
        <v>1541</v>
      </c>
      <c r="B287" s="5" t="s">
        <v>1542</v>
      </c>
      <c r="C287" s="5" t="s">
        <v>921</v>
      </c>
      <c r="D287" s="5" t="s">
        <v>922</v>
      </c>
      <c r="E287" s="5" t="s">
        <v>1157</v>
      </c>
      <c r="F287" s="5" t="s">
        <v>990</v>
      </c>
      <c r="G287" s="5" t="s">
        <v>982</v>
      </c>
      <c r="H287" s="5" t="s">
        <v>974</v>
      </c>
    </row>
    <row r="288" customFormat="false" ht="15" hidden="false" customHeight="true" outlineLevel="0" collapsed="false">
      <c r="A288" s="5" t="s">
        <v>1543</v>
      </c>
      <c r="B288" s="5" t="s">
        <v>1544</v>
      </c>
      <c r="C288" s="5" t="s">
        <v>923</v>
      </c>
      <c r="D288" s="5" t="s">
        <v>924</v>
      </c>
      <c r="E288" s="5" t="s">
        <v>977</v>
      </c>
      <c r="F288" s="5" t="s">
        <v>981</v>
      </c>
      <c r="G288" s="5" t="s">
        <v>987</v>
      </c>
      <c r="H288" s="5" t="s">
        <v>995</v>
      </c>
    </row>
    <row r="289" customFormat="false" ht="15" hidden="false" customHeight="true" outlineLevel="0" collapsed="false">
      <c r="A289" s="5" t="s">
        <v>1545</v>
      </c>
      <c r="B289" s="5" t="s">
        <v>1546</v>
      </c>
      <c r="C289" s="5" t="s">
        <v>960</v>
      </c>
      <c r="D289" s="5" t="s">
        <v>961</v>
      </c>
      <c r="E289" s="5" t="s">
        <v>1374</v>
      </c>
      <c r="F289" s="5" t="s">
        <v>1006</v>
      </c>
      <c r="G289" s="5" t="s">
        <v>973</v>
      </c>
      <c r="H289" s="5" t="s">
        <v>974</v>
      </c>
    </row>
    <row r="290" customFormat="false" ht="15" hidden="false" customHeight="true" outlineLevel="0" collapsed="false">
      <c r="A290" s="5" t="s">
        <v>1547</v>
      </c>
      <c r="B290" s="5" t="s">
        <v>1548</v>
      </c>
      <c r="C290" s="5" t="s">
        <v>933</v>
      </c>
      <c r="D290" s="5" t="s">
        <v>934</v>
      </c>
      <c r="E290" s="5" t="s">
        <v>1549</v>
      </c>
      <c r="F290" s="5" t="s">
        <v>972</v>
      </c>
      <c r="G290" s="5" t="s">
        <v>973</v>
      </c>
      <c r="H290" s="5" t="s">
        <v>995</v>
      </c>
    </row>
    <row r="291" customFormat="false" ht="15" hidden="false" customHeight="true" outlineLevel="0" collapsed="false">
      <c r="A291" s="5" t="s">
        <v>1550</v>
      </c>
      <c r="B291" s="5" t="s">
        <v>1551</v>
      </c>
      <c r="C291" s="5" t="s">
        <v>952</v>
      </c>
      <c r="D291" s="5" t="s">
        <v>953</v>
      </c>
      <c r="E291" s="5" t="s">
        <v>1437</v>
      </c>
      <c r="F291" s="5" t="s">
        <v>986</v>
      </c>
      <c r="G291" s="5" t="s">
        <v>973</v>
      </c>
      <c r="H291" s="5" t="s">
        <v>974</v>
      </c>
    </row>
    <row r="292" customFormat="false" ht="15" hidden="false" customHeight="true" outlineLevel="0" collapsed="false">
      <c r="A292" s="5" t="s">
        <v>1552</v>
      </c>
      <c r="B292" s="5" t="s">
        <v>1553</v>
      </c>
      <c r="C292" s="5" t="s">
        <v>952</v>
      </c>
      <c r="D292" s="5" t="s">
        <v>953</v>
      </c>
      <c r="E292" s="5" t="s">
        <v>1437</v>
      </c>
      <c r="F292" s="5" t="s">
        <v>1010</v>
      </c>
      <c r="G292" s="5" t="s">
        <v>1002</v>
      </c>
      <c r="H292" s="5" t="s">
        <v>974</v>
      </c>
    </row>
    <row r="293" customFormat="false" ht="15" hidden="false" customHeight="true" outlineLevel="0" collapsed="false">
      <c r="A293" s="5" t="s">
        <v>1554</v>
      </c>
      <c r="B293" s="5" t="s">
        <v>1555</v>
      </c>
      <c r="C293" s="5" t="s">
        <v>962</v>
      </c>
      <c r="D293" s="5" t="s">
        <v>962</v>
      </c>
      <c r="E293" s="5" t="s">
        <v>1497</v>
      </c>
      <c r="F293" s="5" t="s">
        <v>986</v>
      </c>
      <c r="G293" s="5" t="s">
        <v>973</v>
      </c>
      <c r="H293" s="5" t="s">
        <v>974</v>
      </c>
    </row>
    <row r="294" customFormat="false" ht="15" hidden="false" customHeight="true" outlineLevel="0" collapsed="false">
      <c r="A294" s="5" t="s">
        <v>1556</v>
      </c>
      <c r="B294" s="5" t="s">
        <v>1557</v>
      </c>
      <c r="C294" s="5" t="s">
        <v>938</v>
      </c>
      <c r="D294" s="5" t="s">
        <v>939</v>
      </c>
      <c r="E294" s="5" t="s">
        <v>1558</v>
      </c>
      <c r="F294" s="5" t="s">
        <v>981</v>
      </c>
      <c r="G294" s="5" t="s">
        <v>987</v>
      </c>
      <c r="H294" s="5" t="s">
        <v>974</v>
      </c>
    </row>
    <row r="295" customFormat="false" ht="15" hidden="false" customHeight="true" outlineLevel="0" collapsed="false">
      <c r="A295" s="5" t="s">
        <v>1559</v>
      </c>
      <c r="B295" s="5" t="s">
        <v>1560</v>
      </c>
      <c r="C295" s="5" t="s">
        <v>936</v>
      </c>
      <c r="D295" s="5" t="s">
        <v>937</v>
      </c>
      <c r="E295" s="5" t="s">
        <v>1391</v>
      </c>
      <c r="F295" s="5" t="s">
        <v>1006</v>
      </c>
      <c r="G295" s="5" t="s">
        <v>982</v>
      </c>
      <c r="H295" s="5" t="s">
        <v>974</v>
      </c>
    </row>
    <row r="296" customFormat="false" ht="15" hidden="false" customHeight="true" outlineLevel="0" collapsed="false">
      <c r="A296" s="5" t="s">
        <v>1561</v>
      </c>
      <c r="B296" s="5" t="s">
        <v>1425</v>
      </c>
      <c r="C296" s="5" t="s">
        <v>944</v>
      </c>
      <c r="D296" s="5" t="s">
        <v>945</v>
      </c>
      <c r="E296" s="5" t="s">
        <v>1426</v>
      </c>
      <c r="F296" s="5" t="s">
        <v>972</v>
      </c>
      <c r="G296" s="5" t="s">
        <v>1002</v>
      </c>
      <c r="H296" s="5" t="s">
        <v>995</v>
      </c>
    </row>
    <row r="297" customFormat="false" ht="15" hidden="false" customHeight="true" outlineLevel="0" collapsed="false">
      <c r="A297" s="5" t="s">
        <v>1562</v>
      </c>
      <c r="B297" s="5" t="s">
        <v>1563</v>
      </c>
      <c r="C297" s="5" t="s">
        <v>942</v>
      </c>
      <c r="D297" s="5" t="s">
        <v>943</v>
      </c>
      <c r="E297" s="5" t="s">
        <v>1564</v>
      </c>
      <c r="F297" s="5" t="s">
        <v>986</v>
      </c>
      <c r="G297" s="5" t="s">
        <v>994</v>
      </c>
      <c r="H297" s="5" t="s">
        <v>974</v>
      </c>
    </row>
    <row r="298" customFormat="false" ht="15" hidden="false" customHeight="true" outlineLevel="0" collapsed="false">
      <c r="A298" s="5" t="s">
        <v>1565</v>
      </c>
      <c r="B298" s="5" t="s">
        <v>1566</v>
      </c>
      <c r="C298" s="5" t="s">
        <v>954</v>
      </c>
      <c r="D298" s="5" t="s">
        <v>955</v>
      </c>
      <c r="E298" s="5" t="s">
        <v>1359</v>
      </c>
      <c r="F298" s="5" t="s">
        <v>972</v>
      </c>
      <c r="G298" s="5" t="s">
        <v>973</v>
      </c>
      <c r="H298" s="5" t="s">
        <v>974</v>
      </c>
    </row>
    <row r="299" customFormat="false" ht="15" hidden="false" customHeight="true" outlineLevel="0" collapsed="false">
      <c r="A299" s="5" t="s">
        <v>1567</v>
      </c>
      <c r="B299" s="5" t="s">
        <v>1079</v>
      </c>
      <c r="C299" s="5" t="s">
        <v>925</v>
      </c>
      <c r="D299" s="5" t="s">
        <v>926</v>
      </c>
      <c r="E299" s="5" t="s">
        <v>1080</v>
      </c>
      <c r="F299" s="5" t="s">
        <v>986</v>
      </c>
      <c r="G299" s="5" t="s">
        <v>987</v>
      </c>
      <c r="H299" s="5" t="s">
        <v>974</v>
      </c>
    </row>
    <row r="300" customFormat="false" ht="15" hidden="false" customHeight="true" outlineLevel="0" collapsed="false">
      <c r="A300" s="5" t="s">
        <v>1568</v>
      </c>
      <c r="B300" s="5" t="s">
        <v>1569</v>
      </c>
      <c r="C300" s="5" t="s">
        <v>936</v>
      </c>
      <c r="D300" s="5" t="s">
        <v>937</v>
      </c>
      <c r="E300" s="5" t="s">
        <v>1391</v>
      </c>
      <c r="F300" s="5" t="s">
        <v>981</v>
      </c>
      <c r="G300" s="5" t="s">
        <v>973</v>
      </c>
      <c r="H300" s="5" t="s">
        <v>995</v>
      </c>
    </row>
    <row r="301" customFormat="false" ht="15" hidden="false" customHeight="true" outlineLevel="0" collapsed="false">
      <c r="A301" s="5" t="s">
        <v>1570</v>
      </c>
      <c r="B301" s="5" t="s">
        <v>1571</v>
      </c>
      <c r="C301" s="5" t="s">
        <v>944</v>
      </c>
      <c r="D301" s="5" t="s">
        <v>945</v>
      </c>
      <c r="E301" s="5" t="s">
        <v>1426</v>
      </c>
      <c r="F301" s="5" t="s">
        <v>1006</v>
      </c>
      <c r="G301" s="5" t="s">
        <v>987</v>
      </c>
      <c r="H301" s="5" t="s">
        <v>974</v>
      </c>
    </row>
    <row r="302" customFormat="false" ht="15" hidden="false" customHeight="true" outlineLevel="0" collapsed="false">
      <c r="A302" s="5" t="s">
        <v>1572</v>
      </c>
      <c r="B302" s="5" t="s">
        <v>1573</v>
      </c>
      <c r="C302" s="5" t="s">
        <v>944</v>
      </c>
      <c r="D302" s="5" t="s">
        <v>945</v>
      </c>
      <c r="E302" s="5" t="s">
        <v>1447</v>
      </c>
      <c r="F302" s="5" t="s">
        <v>981</v>
      </c>
      <c r="G302" s="5" t="s">
        <v>994</v>
      </c>
      <c r="H302" s="5" t="s">
        <v>974</v>
      </c>
    </row>
    <row r="303" customFormat="false" ht="15" hidden="false" customHeight="true" outlineLevel="0" collapsed="false">
      <c r="A303" s="5" t="s">
        <v>1574</v>
      </c>
      <c r="B303" s="5" t="s">
        <v>1575</v>
      </c>
      <c r="C303" s="5" t="s">
        <v>950</v>
      </c>
      <c r="D303" s="5" t="s">
        <v>951</v>
      </c>
      <c r="E303" s="5" t="s">
        <v>1461</v>
      </c>
      <c r="F303" s="5" t="s">
        <v>1576</v>
      </c>
      <c r="G303" s="5" t="s">
        <v>994</v>
      </c>
      <c r="H303" s="5" t="s">
        <v>974</v>
      </c>
    </row>
    <row r="304" customFormat="false" ht="15" hidden="false" customHeight="true" outlineLevel="0" collapsed="false">
      <c r="A304" s="5" t="s">
        <v>1577</v>
      </c>
      <c r="B304" s="5" t="s">
        <v>1578</v>
      </c>
      <c r="C304" s="5" t="s">
        <v>948</v>
      </c>
      <c r="D304" s="5" t="s">
        <v>949</v>
      </c>
      <c r="E304" s="5" t="s">
        <v>1579</v>
      </c>
      <c r="F304" s="5" t="s">
        <v>1576</v>
      </c>
      <c r="G304" s="5" t="s">
        <v>994</v>
      </c>
      <c r="H304" s="5" t="s">
        <v>974</v>
      </c>
    </row>
    <row r="305" customFormat="false" ht="15" hidden="false" customHeight="true" outlineLevel="0" collapsed="false">
      <c r="A305" s="5" t="s">
        <v>1580</v>
      </c>
      <c r="B305" s="5" t="s">
        <v>1581</v>
      </c>
      <c r="C305" s="5" t="s">
        <v>940</v>
      </c>
      <c r="D305" s="5" t="s">
        <v>941</v>
      </c>
      <c r="E305" s="5" t="s">
        <v>1466</v>
      </c>
      <c r="F305" s="5" t="s">
        <v>1582</v>
      </c>
      <c r="G305" s="5" t="s">
        <v>987</v>
      </c>
      <c r="H305" s="5" t="s">
        <v>995</v>
      </c>
    </row>
    <row r="306" customFormat="false" ht="15" hidden="false" customHeight="true" outlineLevel="0" collapsed="false">
      <c r="A306" s="5" t="s">
        <v>1583</v>
      </c>
      <c r="B306" s="5" t="s">
        <v>1584</v>
      </c>
      <c r="C306" s="5" t="s">
        <v>920</v>
      </c>
      <c r="D306" s="5" t="s">
        <v>919</v>
      </c>
      <c r="E306" s="5" t="s">
        <v>1001</v>
      </c>
      <c r="F306" s="5" t="s">
        <v>1585</v>
      </c>
      <c r="G306" s="5" t="s">
        <v>1002</v>
      </c>
      <c r="H306" s="5" t="s">
        <v>974</v>
      </c>
    </row>
    <row r="307" customFormat="false" ht="15" hidden="false" customHeight="true" outlineLevel="0" collapsed="false">
      <c r="A307" s="5" t="s">
        <v>1586</v>
      </c>
      <c r="B307" s="5" t="s">
        <v>1587</v>
      </c>
      <c r="C307" s="5" t="s">
        <v>920</v>
      </c>
      <c r="D307" s="5" t="s">
        <v>919</v>
      </c>
      <c r="E307" s="5" t="s">
        <v>1092</v>
      </c>
      <c r="F307" s="5" t="s">
        <v>972</v>
      </c>
      <c r="G307" s="5" t="s">
        <v>994</v>
      </c>
      <c r="H307" s="5" t="s">
        <v>974</v>
      </c>
    </row>
    <row r="308" customFormat="false" ht="15" hidden="false" customHeight="true" outlineLevel="0" collapsed="false">
      <c r="A308" s="5" t="s">
        <v>1588</v>
      </c>
      <c r="B308" s="5" t="s">
        <v>1589</v>
      </c>
      <c r="C308" s="5" t="s">
        <v>942</v>
      </c>
      <c r="D308" s="5" t="s">
        <v>943</v>
      </c>
      <c r="E308" s="5" t="s">
        <v>1564</v>
      </c>
      <c r="F308" s="5" t="s">
        <v>1576</v>
      </c>
      <c r="G308" s="5" t="s">
        <v>1002</v>
      </c>
      <c r="H308" s="5" t="s">
        <v>974</v>
      </c>
    </row>
    <row r="309" customFormat="false" ht="15" hidden="false" customHeight="true" outlineLevel="0" collapsed="false">
      <c r="A309" s="5" t="s">
        <v>1590</v>
      </c>
      <c r="B309" s="5" t="s">
        <v>1591</v>
      </c>
      <c r="C309" s="5" t="s">
        <v>925</v>
      </c>
      <c r="D309" s="5" t="s">
        <v>926</v>
      </c>
      <c r="E309" s="5" t="s">
        <v>1080</v>
      </c>
      <c r="F309" s="5" t="s">
        <v>1585</v>
      </c>
      <c r="G309" s="5" t="s">
        <v>982</v>
      </c>
      <c r="H309" s="5" t="s">
        <v>974</v>
      </c>
    </row>
    <row r="310" customFormat="false" ht="15" hidden="false" customHeight="true" outlineLevel="0" collapsed="false">
      <c r="A310" s="5" t="s">
        <v>1592</v>
      </c>
      <c r="B310" s="5" t="s">
        <v>1593</v>
      </c>
      <c r="C310" s="5" t="s">
        <v>940</v>
      </c>
      <c r="D310" s="5" t="s">
        <v>941</v>
      </c>
      <c r="E310" s="5" t="s">
        <v>1466</v>
      </c>
      <c r="F310" s="5" t="s">
        <v>1594</v>
      </c>
      <c r="G310" s="5" t="s">
        <v>987</v>
      </c>
      <c r="H310" s="5" t="s">
        <v>974</v>
      </c>
    </row>
    <row r="311" customFormat="false" ht="15" hidden="false" customHeight="true" outlineLevel="0" collapsed="false">
      <c r="A311" s="5" t="s">
        <v>1595</v>
      </c>
      <c r="B311" s="5" t="s">
        <v>1596</v>
      </c>
      <c r="C311" s="5" t="s">
        <v>946</v>
      </c>
      <c r="D311" s="5" t="s">
        <v>947</v>
      </c>
      <c r="E311" s="5" t="s">
        <v>1597</v>
      </c>
      <c r="F311" s="5" t="s">
        <v>1598</v>
      </c>
      <c r="G311" s="5" t="s">
        <v>982</v>
      </c>
      <c r="H311" s="5" t="s">
        <v>974</v>
      </c>
    </row>
    <row r="312" customFormat="false" ht="15" hidden="false" customHeight="true" outlineLevel="0" collapsed="false">
      <c r="A312" s="5" t="s">
        <v>1599</v>
      </c>
      <c r="B312" s="5" t="s">
        <v>1600</v>
      </c>
      <c r="C312" s="5" t="s">
        <v>952</v>
      </c>
      <c r="D312" s="5" t="s">
        <v>953</v>
      </c>
      <c r="E312" s="5" t="s">
        <v>1437</v>
      </c>
      <c r="F312" s="5" t="s">
        <v>1576</v>
      </c>
      <c r="G312" s="5" t="s">
        <v>1002</v>
      </c>
      <c r="H312" s="5" t="s">
        <v>974</v>
      </c>
    </row>
    <row r="313" customFormat="false" ht="15" hidden="false" customHeight="true" outlineLevel="0" collapsed="false">
      <c r="A313" s="5" t="s">
        <v>1601</v>
      </c>
      <c r="B313" s="5" t="s">
        <v>1602</v>
      </c>
      <c r="C313" s="5" t="s">
        <v>958</v>
      </c>
      <c r="D313" s="5" t="s">
        <v>959</v>
      </c>
      <c r="E313" s="5" t="s">
        <v>1603</v>
      </c>
      <c r="F313" s="5" t="s">
        <v>1594</v>
      </c>
      <c r="G313" s="5" t="s">
        <v>994</v>
      </c>
      <c r="H313" s="5" t="s">
        <v>974</v>
      </c>
    </row>
    <row r="314" customFormat="false" ht="15" hidden="false" customHeight="true" outlineLevel="0" collapsed="false">
      <c r="A314" s="5" t="s">
        <v>1604</v>
      </c>
      <c r="B314" s="5" t="s">
        <v>1605</v>
      </c>
      <c r="C314" s="5" t="s">
        <v>956</v>
      </c>
      <c r="D314" s="5" t="s">
        <v>957</v>
      </c>
      <c r="E314" s="5" t="s">
        <v>1414</v>
      </c>
      <c r="F314" s="5" t="s">
        <v>981</v>
      </c>
      <c r="G314" s="5" t="s">
        <v>994</v>
      </c>
      <c r="H314" s="5" t="s">
        <v>974</v>
      </c>
    </row>
    <row r="315" customFormat="false" ht="15" hidden="false" customHeight="true" outlineLevel="0" collapsed="false">
      <c r="A315" s="5" t="s">
        <v>1606</v>
      </c>
      <c r="B315" s="5" t="s">
        <v>1607</v>
      </c>
      <c r="C315" s="5" t="s">
        <v>935</v>
      </c>
      <c r="D315" s="5" t="s">
        <v>930</v>
      </c>
      <c r="E315" s="5" t="s">
        <v>1502</v>
      </c>
      <c r="F315" s="5" t="s">
        <v>1576</v>
      </c>
      <c r="G315" s="5" t="s">
        <v>994</v>
      </c>
      <c r="H315" s="5" t="s">
        <v>995</v>
      </c>
    </row>
    <row r="316" customFormat="false" ht="15" hidden="false" customHeight="true" outlineLevel="0" collapsed="false">
      <c r="A316" s="5" t="s">
        <v>1608</v>
      </c>
      <c r="B316" s="5" t="s">
        <v>1609</v>
      </c>
      <c r="C316" s="5" t="s">
        <v>948</v>
      </c>
      <c r="D316" s="5" t="s">
        <v>949</v>
      </c>
      <c r="E316" s="5" t="s">
        <v>1444</v>
      </c>
      <c r="F316" s="5" t="s">
        <v>1006</v>
      </c>
      <c r="G316" s="5" t="s">
        <v>994</v>
      </c>
      <c r="H316" s="5" t="s">
        <v>974</v>
      </c>
    </row>
    <row r="317" customFormat="false" ht="15" hidden="false" customHeight="true" outlineLevel="0" collapsed="false">
      <c r="A317" s="5" t="s">
        <v>1610</v>
      </c>
      <c r="B317" s="5" t="s">
        <v>1611</v>
      </c>
      <c r="C317" s="5" t="s">
        <v>925</v>
      </c>
      <c r="D317" s="5" t="s">
        <v>926</v>
      </c>
      <c r="E317" s="5" t="s">
        <v>1042</v>
      </c>
      <c r="F317" s="5" t="s">
        <v>1612</v>
      </c>
      <c r="G317" s="5" t="s">
        <v>982</v>
      </c>
      <c r="H317" s="5" t="s">
        <v>974</v>
      </c>
    </row>
    <row r="318" customFormat="false" ht="15" hidden="false" customHeight="true" outlineLevel="0" collapsed="false">
      <c r="A318" s="5" t="s">
        <v>1613</v>
      </c>
      <c r="B318" s="5" t="s">
        <v>1614</v>
      </c>
      <c r="C318" s="5" t="s">
        <v>918</v>
      </c>
      <c r="D318" s="5" t="s">
        <v>919</v>
      </c>
      <c r="E318" s="5" t="s">
        <v>998</v>
      </c>
      <c r="F318" s="5" t="s">
        <v>986</v>
      </c>
      <c r="G318" s="5" t="s">
        <v>973</v>
      </c>
      <c r="H318" s="5" t="s">
        <v>974</v>
      </c>
    </row>
    <row r="319" customFormat="false" ht="15" hidden="false" customHeight="true" outlineLevel="0" collapsed="false">
      <c r="A319" s="5" t="s">
        <v>1615</v>
      </c>
      <c r="B319" s="5" t="s">
        <v>1616</v>
      </c>
      <c r="C319" s="5" t="s">
        <v>925</v>
      </c>
      <c r="D319" s="5" t="s">
        <v>926</v>
      </c>
      <c r="E319" s="5" t="s">
        <v>1051</v>
      </c>
      <c r="F319" s="5" t="s">
        <v>986</v>
      </c>
      <c r="G319" s="5" t="s">
        <v>987</v>
      </c>
      <c r="H319" s="5" t="s">
        <v>974</v>
      </c>
    </row>
    <row r="320" customFormat="false" ht="15" hidden="false" customHeight="true" outlineLevel="0" collapsed="false">
      <c r="A320" s="5" t="s">
        <v>1617</v>
      </c>
      <c r="B320" s="5" t="s">
        <v>1618</v>
      </c>
      <c r="C320" s="5" t="s">
        <v>960</v>
      </c>
      <c r="D320" s="5" t="s">
        <v>961</v>
      </c>
      <c r="E320" s="5" t="s">
        <v>1374</v>
      </c>
      <c r="F320" s="5" t="s">
        <v>981</v>
      </c>
      <c r="G320" s="5" t="s">
        <v>982</v>
      </c>
      <c r="H320" s="5" t="s">
        <v>974</v>
      </c>
    </row>
    <row r="321" customFormat="false" ht="15" hidden="false" customHeight="true" outlineLevel="0" collapsed="false">
      <c r="A321" s="5" t="s">
        <v>1619</v>
      </c>
      <c r="B321" s="5" t="s">
        <v>1620</v>
      </c>
      <c r="C321" s="5" t="s">
        <v>927</v>
      </c>
      <c r="D321" s="5" t="s">
        <v>928</v>
      </c>
      <c r="E321" s="5" t="s">
        <v>1066</v>
      </c>
      <c r="F321" s="5" t="s">
        <v>1585</v>
      </c>
      <c r="G321" s="5" t="s">
        <v>973</v>
      </c>
      <c r="H321" s="5" t="s">
        <v>995</v>
      </c>
    </row>
    <row r="322" customFormat="false" ht="15" hidden="false" customHeight="true" outlineLevel="0" collapsed="false">
      <c r="A322" s="5" t="s">
        <v>1621</v>
      </c>
      <c r="B322" s="5" t="s">
        <v>1622</v>
      </c>
      <c r="C322" s="5" t="s">
        <v>931</v>
      </c>
      <c r="D322" s="5" t="s">
        <v>932</v>
      </c>
      <c r="E322" s="5" t="s">
        <v>971</v>
      </c>
      <c r="F322" s="5" t="s">
        <v>1598</v>
      </c>
      <c r="G322" s="5" t="s">
        <v>987</v>
      </c>
      <c r="H322" s="5" t="s">
        <v>974</v>
      </c>
    </row>
    <row r="323" customFormat="false" ht="15" hidden="false" customHeight="true" outlineLevel="0" collapsed="false">
      <c r="A323" s="5" t="s">
        <v>1623</v>
      </c>
      <c r="B323" s="5" t="s">
        <v>1624</v>
      </c>
      <c r="C323" s="5" t="s">
        <v>956</v>
      </c>
      <c r="D323" s="5" t="s">
        <v>957</v>
      </c>
      <c r="E323" s="5" t="s">
        <v>1414</v>
      </c>
      <c r="F323" s="5" t="s">
        <v>986</v>
      </c>
      <c r="G323" s="5" t="s">
        <v>982</v>
      </c>
      <c r="H323" s="5" t="s">
        <v>974</v>
      </c>
    </row>
    <row r="324" customFormat="false" ht="15" hidden="false" customHeight="true" outlineLevel="0" collapsed="false">
      <c r="A324" s="5" t="s">
        <v>1625</v>
      </c>
      <c r="B324" s="5" t="s">
        <v>1626</v>
      </c>
      <c r="C324" s="5" t="s">
        <v>929</v>
      </c>
      <c r="D324" s="5" t="s">
        <v>930</v>
      </c>
      <c r="E324" s="5" t="s">
        <v>993</v>
      </c>
      <c r="F324" s="5" t="s">
        <v>1598</v>
      </c>
      <c r="G324" s="5" t="s">
        <v>982</v>
      </c>
      <c r="H324" s="5" t="s">
        <v>974</v>
      </c>
    </row>
    <row r="325" customFormat="false" ht="15" hidden="false" customHeight="true" outlineLevel="0" collapsed="false">
      <c r="A325" s="5" t="s">
        <v>1627</v>
      </c>
      <c r="B325" s="5" t="s">
        <v>1628</v>
      </c>
      <c r="C325" s="5" t="s">
        <v>935</v>
      </c>
      <c r="D325" s="5" t="s">
        <v>930</v>
      </c>
      <c r="E325" s="5" t="s">
        <v>1502</v>
      </c>
      <c r="F325" s="5" t="s">
        <v>1582</v>
      </c>
      <c r="G325" s="5" t="s">
        <v>982</v>
      </c>
      <c r="H325" s="5" t="s">
        <v>974</v>
      </c>
    </row>
    <row r="326" customFormat="false" ht="15" hidden="false" customHeight="true" outlineLevel="0" collapsed="false">
      <c r="A326" s="5" t="s">
        <v>1629</v>
      </c>
      <c r="B326" s="5" t="s">
        <v>1630</v>
      </c>
      <c r="C326" s="5" t="s">
        <v>944</v>
      </c>
      <c r="D326" s="5" t="s">
        <v>945</v>
      </c>
      <c r="E326" s="5" t="s">
        <v>1426</v>
      </c>
      <c r="F326" s="5" t="s">
        <v>972</v>
      </c>
      <c r="G326" s="5" t="s">
        <v>1002</v>
      </c>
      <c r="H326" s="5" t="s">
        <v>974</v>
      </c>
    </row>
    <row r="327" customFormat="false" ht="15" hidden="false" customHeight="true" outlineLevel="0" collapsed="false">
      <c r="A327" s="5" t="s">
        <v>1631</v>
      </c>
      <c r="B327" s="5" t="s">
        <v>1632</v>
      </c>
      <c r="C327" s="5" t="s">
        <v>956</v>
      </c>
      <c r="D327" s="5" t="s">
        <v>957</v>
      </c>
      <c r="E327" s="5" t="s">
        <v>1414</v>
      </c>
      <c r="F327" s="5" t="s">
        <v>986</v>
      </c>
      <c r="G327" s="5" t="s">
        <v>1002</v>
      </c>
      <c r="H327" s="5" t="s">
        <v>974</v>
      </c>
    </row>
    <row r="328" customFormat="false" ht="15" hidden="false" customHeight="true" outlineLevel="0" collapsed="false">
      <c r="A328" s="5" t="s">
        <v>1633</v>
      </c>
      <c r="B328" s="5" t="s">
        <v>1634</v>
      </c>
      <c r="C328" s="5" t="s">
        <v>950</v>
      </c>
      <c r="D328" s="5" t="s">
        <v>951</v>
      </c>
      <c r="E328" s="5" t="s">
        <v>1394</v>
      </c>
      <c r="F328" s="5" t="s">
        <v>986</v>
      </c>
      <c r="G328" s="5" t="s">
        <v>982</v>
      </c>
      <c r="H328" s="5" t="s">
        <v>974</v>
      </c>
    </row>
    <row r="329" customFormat="false" ht="15" hidden="false" customHeight="true" outlineLevel="0" collapsed="false">
      <c r="A329" s="5" t="s">
        <v>1635</v>
      </c>
      <c r="B329" s="5" t="s">
        <v>1636</v>
      </c>
      <c r="C329" s="5" t="s">
        <v>962</v>
      </c>
      <c r="D329" s="5" t="s">
        <v>962</v>
      </c>
      <c r="E329" s="5" t="s">
        <v>1637</v>
      </c>
      <c r="F329" s="5" t="s">
        <v>972</v>
      </c>
      <c r="G329" s="5" t="s">
        <v>987</v>
      </c>
      <c r="H329" s="5" t="s">
        <v>974</v>
      </c>
    </row>
    <row r="330" customFormat="false" ht="15" hidden="false" customHeight="true" outlineLevel="0" collapsed="false">
      <c r="A330" s="5" t="s">
        <v>1638</v>
      </c>
      <c r="B330" s="5" t="s">
        <v>1639</v>
      </c>
      <c r="C330" s="5" t="s">
        <v>946</v>
      </c>
      <c r="D330" s="5" t="s">
        <v>947</v>
      </c>
      <c r="E330" s="5" t="s">
        <v>1597</v>
      </c>
      <c r="F330" s="5" t="s">
        <v>981</v>
      </c>
      <c r="G330" s="5" t="s">
        <v>994</v>
      </c>
      <c r="H330" s="5" t="s">
        <v>974</v>
      </c>
    </row>
    <row r="331" customFormat="false" ht="15" hidden="false" customHeight="true" outlineLevel="0" collapsed="false">
      <c r="A331" s="5" t="s">
        <v>1640</v>
      </c>
      <c r="B331" s="5" t="s">
        <v>1641</v>
      </c>
      <c r="C331" s="5" t="s">
        <v>958</v>
      </c>
      <c r="D331" s="5" t="s">
        <v>959</v>
      </c>
      <c r="E331" s="5" t="s">
        <v>1368</v>
      </c>
      <c r="F331" s="5" t="s">
        <v>1594</v>
      </c>
      <c r="G331" s="5" t="s">
        <v>1002</v>
      </c>
      <c r="H331" s="5" t="s">
        <v>974</v>
      </c>
    </row>
    <row r="332" customFormat="false" ht="15" hidden="false" customHeight="true" outlineLevel="0" collapsed="false">
      <c r="A332" s="5" t="s">
        <v>1642</v>
      </c>
      <c r="B332" s="5" t="s">
        <v>1643</v>
      </c>
      <c r="C332" s="5" t="s">
        <v>929</v>
      </c>
      <c r="D332" s="5" t="s">
        <v>930</v>
      </c>
      <c r="E332" s="5" t="s">
        <v>1005</v>
      </c>
      <c r="F332" s="5" t="s">
        <v>1598</v>
      </c>
      <c r="G332" s="5" t="s">
        <v>1002</v>
      </c>
      <c r="H332" s="5" t="s">
        <v>974</v>
      </c>
    </row>
    <row r="333" customFormat="false" ht="15" hidden="false" customHeight="true" outlineLevel="0" collapsed="false">
      <c r="A333" s="5" t="s">
        <v>1644</v>
      </c>
      <c r="B333" s="5" t="s">
        <v>1645</v>
      </c>
      <c r="C333" s="5" t="s">
        <v>927</v>
      </c>
      <c r="D333" s="5" t="s">
        <v>928</v>
      </c>
      <c r="E333" s="5" t="s">
        <v>1030</v>
      </c>
      <c r="F333" s="5" t="s">
        <v>1010</v>
      </c>
      <c r="G333" s="5" t="s">
        <v>982</v>
      </c>
      <c r="H333" s="5" t="s">
        <v>974</v>
      </c>
    </row>
    <row r="334" customFormat="false" ht="15" hidden="false" customHeight="true" outlineLevel="0" collapsed="false">
      <c r="A334" s="5" t="s">
        <v>1646</v>
      </c>
      <c r="B334" s="5" t="s">
        <v>1647</v>
      </c>
      <c r="C334" s="5" t="s">
        <v>960</v>
      </c>
      <c r="D334" s="5" t="s">
        <v>961</v>
      </c>
      <c r="E334" s="5" t="s">
        <v>1383</v>
      </c>
      <c r="F334" s="5" t="s">
        <v>1582</v>
      </c>
      <c r="G334" s="5" t="s">
        <v>987</v>
      </c>
      <c r="H334" s="5" t="s">
        <v>995</v>
      </c>
    </row>
    <row r="335" customFormat="false" ht="15" hidden="false" customHeight="true" outlineLevel="0" collapsed="false">
      <c r="A335" s="5" t="s">
        <v>1648</v>
      </c>
      <c r="B335" s="5" t="s">
        <v>1649</v>
      </c>
      <c r="C335" s="5" t="s">
        <v>956</v>
      </c>
      <c r="D335" s="5" t="s">
        <v>957</v>
      </c>
      <c r="E335" s="5" t="s">
        <v>1490</v>
      </c>
      <c r="F335" s="5" t="s">
        <v>1594</v>
      </c>
      <c r="G335" s="5" t="s">
        <v>982</v>
      </c>
      <c r="H335" s="5" t="s">
        <v>974</v>
      </c>
    </row>
    <row r="336" customFormat="false" ht="15" hidden="false" customHeight="true" outlineLevel="0" collapsed="false">
      <c r="A336" s="5" t="s">
        <v>1650</v>
      </c>
      <c r="B336" s="5" t="s">
        <v>1651</v>
      </c>
      <c r="C336" s="5" t="s">
        <v>918</v>
      </c>
      <c r="D336" s="5" t="s">
        <v>919</v>
      </c>
      <c r="E336" s="5" t="s">
        <v>1222</v>
      </c>
      <c r="F336" s="5" t="s">
        <v>1010</v>
      </c>
      <c r="G336" s="5" t="s">
        <v>1002</v>
      </c>
      <c r="H336" s="5" t="s">
        <v>974</v>
      </c>
    </row>
    <row r="337" customFormat="false" ht="15" hidden="false" customHeight="true" outlineLevel="0" collapsed="false">
      <c r="A337" s="5" t="s">
        <v>1652</v>
      </c>
      <c r="B337" s="5" t="s">
        <v>1653</v>
      </c>
      <c r="C337" s="5" t="s">
        <v>946</v>
      </c>
      <c r="D337" s="5" t="s">
        <v>947</v>
      </c>
      <c r="E337" s="5" t="s">
        <v>1597</v>
      </c>
      <c r="F337" s="5" t="s">
        <v>1006</v>
      </c>
      <c r="G337" s="5" t="s">
        <v>987</v>
      </c>
      <c r="H337" s="5" t="s">
        <v>974</v>
      </c>
    </row>
    <row r="338" customFormat="false" ht="15" hidden="false" customHeight="true" outlineLevel="0" collapsed="false">
      <c r="A338" s="5" t="s">
        <v>1654</v>
      </c>
      <c r="B338" s="5" t="s">
        <v>1655</v>
      </c>
      <c r="C338" s="5" t="s">
        <v>929</v>
      </c>
      <c r="D338" s="5" t="s">
        <v>930</v>
      </c>
      <c r="E338" s="5" t="s">
        <v>1005</v>
      </c>
      <c r="F338" s="5" t="s">
        <v>1576</v>
      </c>
      <c r="G338" s="5" t="s">
        <v>1002</v>
      </c>
      <c r="H338" s="5" t="s">
        <v>974</v>
      </c>
    </row>
    <row r="339" customFormat="false" ht="15" hidden="false" customHeight="true" outlineLevel="0" collapsed="false">
      <c r="A339" s="5" t="s">
        <v>1656</v>
      </c>
      <c r="B339" s="5" t="s">
        <v>1657</v>
      </c>
      <c r="C339" s="5" t="s">
        <v>942</v>
      </c>
      <c r="D339" s="5" t="s">
        <v>943</v>
      </c>
      <c r="E339" s="5" t="s">
        <v>1564</v>
      </c>
      <c r="F339" s="5" t="s">
        <v>972</v>
      </c>
      <c r="G339" s="5" t="s">
        <v>1002</v>
      </c>
      <c r="H339" s="5" t="s">
        <v>995</v>
      </c>
    </row>
    <row r="340" customFormat="false" ht="15" hidden="false" customHeight="true" outlineLevel="0" collapsed="false">
      <c r="A340" s="5" t="s">
        <v>1658</v>
      </c>
      <c r="B340" s="5" t="s">
        <v>1659</v>
      </c>
      <c r="C340" s="5" t="s">
        <v>933</v>
      </c>
      <c r="D340" s="5" t="s">
        <v>934</v>
      </c>
      <c r="E340" s="5" t="s">
        <v>1660</v>
      </c>
      <c r="F340" s="5" t="s">
        <v>1582</v>
      </c>
      <c r="G340" s="5" t="s">
        <v>982</v>
      </c>
      <c r="H340" s="5" t="s">
        <v>974</v>
      </c>
    </row>
    <row r="341" customFormat="false" ht="15" hidden="false" customHeight="true" outlineLevel="0" collapsed="false">
      <c r="A341" s="5" t="s">
        <v>1661</v>
      </c>
      <c r="B341" s="5" t="s">
        <v>1662</v>
      </c>
      <c r="C341" s="5" t="s">
        <v>931</v>
      </c>
      <c r="D341" s="5" t="s">
        <v>932</v>
      </c>
      <c r="E341" s="5" t="s">
        <v>971</v>
      </c>
      <c r="F341" s="5" t="s">
        <v>972</v>
      </c>
      <c r="G341" s="5" t="s">
        <v>982</v>
      </c>
      <c r="H341" s="5" t="s">
        <v>995</v>
      </c>
    </row>
    <row r="342" customFormat="false" ht="15" hidden="false" customHeight="true" outlineLevel="0" collapsed="false">
      <c r="A342" s="5" t="s">
        <v>1663</v>
      </c>
      <c r="B342" s="5" t="s">
        <v>1664</v>
      </c>
      <c r="C342" s="5" t="s">
        <v>954</v>
      </c>
      <c r="D342" s="5" t="s">
        <v>955</v>
      </c>
      <c r="E342" s="5" t="s">
        <v>1359</v>
      </c>
      <c r="F342" s="5" t="s">
        <v>990</v>
      </c>
      <c r="G342" s="5" t="s">
        <v>1002</v>
      </c>
      <c r="H342" s="5" t="s">
        <v>974</v>
      </c>
    </row>
    <row r="343" customFormat="false" ht="15" hidden="false" customHeight="true" outlineLevel="0" collapsed="false">
      <c r="A343" s="5" t="s">
        <v>1665</v>
      </c>
      <c r="B343" s="5" t="s">
        <v>1666</v>
      </c>
      <c r="C343" s="5" t="s">
        <v>940</v>
      </c>
      <c r="D343" s="5" t="s">
        <v>941</v>
      </c>
      <c r="E343" s="5" t="s">
        <v>1667</v>
      </c>
      <c r="F343" s="5" t="s">
        <v>1598</v>
      </c>
      <c r="G343" s="5" t="s">
        <v>987</v>
      </c>
      <c r="H343" s="5" t="s">
        <v>974</v>
      </c>
    </row>
    <row r="344" customFormat="false" ht="15" hidden="false" customHeight="true" outlineLevel="0" collapsed="false">
      <c r="A344" s="5" t="s">
        <v>1668</v>
      </c>
      <c r="B344" s="5" t="s">
        <v>1669</v>
      </c>
      <c r="C344" s="5" t="s">
        <v>944</v>
      </c>
      <c r="D344" s="5" t="s">
        <v>945</v>
      </c>
      <c r="E344" s="5" t="s">
        <v>1426</v>
      </c>
      <c r="F344" s="5" t="s">
        <v>1006</v>
      </c>
      <c r="G344" s="5" t="s">
        <v>1002</v>
      </c>
      <c r="H344" s="5" t="s">
        <v>974</v>
      </c>
    </row>
    <row r="345" customFormat="false" ht="15" hidden="false" customHeight="true" outlineLevel="0" collapsed="false">
      <c r="A345" s="5" t="s">
        <v>1670</v>
      </c>
      <c r="B345" s="5" t="s">
        <v>1671</v>
      </c>
      <c r="C345" s="5" t="s">
        <v>920</v>
      </c>
      <c r="D345" s="5" t="s">
        <v>919</v>
      </c>
      <c r="E345" s="5" t="s">
        <v>1001</v>
      </c>
      <c r="F345" s="5" t="s">
        <v>972</v>
      </c>
      <c r="G345" s="5" t="s">
        <v>1002</v>
      </c>
      <c r="H345" s="5" t="s">
        <v>995</v>
      </c>
    </row>
    <row r="346" customFormat="false" ht="15" hidden="false" customHeight="true" outlineLevel="0" collapsed="false">
      <c r="A346" s="5" t="s">
        <v>1672</v>
      </c>
      <c r="B346" s="5" t="s">
        <v>1673</v>
      </c>
      <c r="C346" s="5" t="s">
        <v>962</v>
      </c>
      <c r="D346" s="5" t="s">
        <v>962</v>
      </c>
      <c r="E346" s="5" t="s">
        <v>1497</v>
      </c>
      <c r="F346" s="5" t="s">
        <v>1010</v>
      </c>
      <c r="G346" s="5" t="s">
        <v>973</v>
      </c>
      <c r="H346" s="5" t="s">
        <v>995</v>
      </c>
    </row>
    <row r="347" customFormat="false" ht="15" hidden="false" customHeight="true" outlineLevel="0" collapsed="false">
      <c r="A347" s="5" t="s">
        <v>1674</v>
      </c>
      <c r="B347" s="5" t="s">
        <v>1675</v>
      </c>
      <c r="C347" s="5" t="s">
        <v>931</v>
      </c>
      <c r="D347" s="5" t="s">
        <v>932</v>
      </c>
      <c r="E347" s="5" t="s">
        <v>971</v>
      </c>
      <c r="F347" s="5" t="s">
        <v>1585</v>
      </c>
      <c r="G347" s="5" t="s">
        <v>987</v>
      </c>
      <c r="H347" s="5" t="s">
        <v>974</v>
      </c>
    </row>
    <row r="348" customFormat="false" ht="15" hidden="false" customHeight="true" outlineLevel="0" collapsed="false">
      <c r="A348" s="5" t="s">
        <v>1676</v>
      </c>
      <c r="B348" s="5" t="s">
        <v>1677</v>
      </c>
      <c r="C348" s="5" t="s">
        <v>920</v>
      </c>
      <c r="D348" s="5" t="s">
        <v>919</v>
      </c>
      <c r="E348" s="5" t="s">
        <v>1009</v>
      </c>
      <c r="F348" s="5" t="s">
        <v>1598</v>
      </c>
      <c r="G348" s="5" t="s">
        <v>982</v>
      </c>
      <c r="H348" s="5" t="s">
        <v>974</v>
      </c>
    </row>
    <row r="349" customFormat="false" ht="15" hidden="false" customHeight="true" outlineLevel="0" collapsed="false">
      <c r="A349" s="5" t="s">
        <v>1678</v>
      </c>
      <c r="B349" s="5" t="s">
        <v>1679</v>
      </c>
      <c r="C349" s="5" t="s">
        <v>931</v>
      </c>
      <c r="D349" s="5" t="s">
        <v>932</v>
      </c>
      <c r="E349" s="5" t="s">
        <v>1056</v>
      </c>
      <c r="F349" s="5" t="s">
        <v>1598</v>
      </c>
      <c r="G349" s="5" t="s">
        <v>982</v>
      </c>
      <c r="H349" s="5" t="s">
        <v>974</v>
      </c>
    </row>
    <row r="350" customFormat="false" ht="15" hidden="false" customHeight="true" outlineLevel="0" collapsed="false">
      <c r="A350" s="5" t="s">
        <v>1680</v>
      </c>
      <c r="B350" s="5" t="s">
        <v>1681</v>
      </c>
      <c r="C350" s="5" t="s">
        <v>931</v>
      </c>
      <c r="D350" s="5" t="s">
        <v>932</v>
      </c>
      <c r="E350" s="5" t="s">
        <v>971</v>
      </c>
      <c r="F350" s="5" t="s">
        <v>1594</v>
      </c>
      <c r="G350" s="5" t="s">
        <v>994</v>
      </c>
      <c r="H350" s="5" t="s">
        <v>974</v>
      </c>
    </row>
    <row r="351" customFormat="false" ht="15" hidden="false" customHeight="true" outlineLevel="0" collapsed="false">
      <c r="A351" s="5" t="s">
        <v>1682</v>
      </c>
      <c r="B351" s="5" t="s">
        <v>1683</v>
      </c>
      <c r="C351" s="5" t="s">
        <v>921</v>
      </c>
      <c r="D351" s="5" t="s">
        <v>922</v>
      </c>
      <c r="E351" s="5" t="s">
        <v>1157</v>
      </c>
      <c r="F351" s="5" t="s">
        <v>1576</v>
      </c>
      <c r="G351" s="5" t="s">
        <v>973</v>
      </c>
      <c r="H351" s="5" t="s">
        <v>974</v>
      </c>
    </row>
    <row r="352" customFormat="false" ht="15" hidden="false" customHeight="true" outlineLevel="0" collapsed="false">
      <c r="A352" s="5" t="s">
        <v>1684</v>
      </c>
      <c r="B352" s="5" t="s">
        <v>1685</v>
      </c>
      <c r="C352" s="5" t="s">
        <v>918</v>
      </c>
      <c r="D352" s="5" t="s">
        <v>919</v>
      </c>
      <c r="E352" s="5" t="s">
        <v>980</v>
      </c>
      <c r="F352" s="5" t="s">
        <v>981</v>
      </c>
      <c r="G352" s="5" t="s">
        <v>987</v>
      </c>
      <c r="H352" s="5" t="s">
        <v>995</v>
      </c>
    </row>
    <row r="353" customFormat="false" ht="15" hidden="false" customHeight="true" outlineLevel="0" collapsed="false">
      <c r="A353" s="5" t="s">
        <v>1686</v>
      </c>
      <c r="B353" s="5" t="s">
        <v>1687</v>
      </c>
      <c r="C353" s="5" t="s">
        <v>944</v>
      </c>
      <c r="D353" s="5" t="s">
        <v>945</v>
      </c>
      <c r="E353" s="5" t="s">
        <v>1447</v>
      </c>
      <c r="F353" s="5" t="s">
        <v>972</v>
      </c>
      <c r="G353" s="5" t="s">
        <v>994</v>
      </c>
      <c r="H353" s="5" t="s">
        <v>974</v>
      </c>
    </row>
    <row r="354" customFormat="false" ht="15" hidden="false" customHeight="true" outlineLevel="0" collapsed="false">
      <c r="A354" s="5" t="s">
        <v>1688</v>
      </c>
      <c r="B354" s="5" t="s">
        <v>1689</v>
      </c>
      <c r="C354" s="5" t="s">
        <v>942</v>
      </c>
      <c r="D354" s="5" t="s">
        <v>943</v>
      </c>
      <c r="E354" s="5" t="s">
        <v>1564</v>
      </c>
      <c r="F354" s="5" t="s">
        <v>1576</v>
      </c>
      <c r="G354" s="5" t="s">
        <v>994</v>
      </c>
      <c r="H354" s="5" t="s">
        <v>995</v>
      </c>
    </row>
    <row r="355" customFormat="false" ht="15" hidden="false" customHeight="true" outlineLevel="0" collapsed="false">
      <c r="A355" s="5" t="s">
        <v>1690</v>
      </c>
      <c r="B355" s="5" t="s">
        <v>1691</v>
      </c>
      <c r="C355" s="5" t="s">
        <v>933</v>
      </c>
      <c r="D355" s="5" t="s">
        <v>934</v>
      </c>
      <c r="E355" s="5" t="s">
        <v>1549</v>
      </c>
      <c r="F355" s="5" t="s">
        <v>981</v>
      </c>
      <c r="G355" s="5" t="s">
        <v>973</v>
      </c>
      <c r="H355" s="5" t="s">
        <v>974</v>
      </c>
    </row>
    <row r="356" customFormat="false" ht="15" hidden="false" customHeight="true" outlineLevel="0" collapsed="false">
      <c r="A356" s="5" t="s">
        <v>1692</v>
      </c>
      <c r="B356" s="5" t="s">
        <v>1693</v>
      </c>
      <c r="C356" s="5" t="s">
        <v>929</v>
      </c>
      <c r="D356" s="5" t="s">
        <v>930</v>
      </c>
      <c r="E356" s="5" t="s">
        <v>1005</v>
      </c>
      <c r="F356" s="5" t="s">
        <v>1582</v>
      </c>
      <c r="G356" s="5" t="s">
        <v>982</v>
      </c>
      <c r="H356" s="5" t="s">
        <v>974</v>
      </c>
    </row>
    <row r="357" customFormat="false" ht="15" hidden="false" customHeight="true" outlineLevel="0" collapsed="false">
      <c r="A357" s="5" t="s">
        <v>1694</v>
      </c>
      <c r="B357" s="5" t="s">
        <v>1695</v>
      </c>
      <c r="C357" s="5" t="s">
        <v>940</v>
      </c>
      <c r="D357" s="5" t="s">
        <v>941</v>
      </c>
      <c r="E357" s="5" t="s">
        <v>1466</v>
      </c>
      <c r="F357" s="5" t="s">
        <v>1598</v>
      </c>
      <c r="G357" s="5" t="s">
        <v>987</v>
      </c>
      <c r="H357" s="5" t="s">
        <v>995</v>
      </c>
    </row>
    <row r="358" customFormat="false" ht="15" hidden="false" customHeight="true" outlineLevel="0" collapsed="false">
      <c r="A358" s="5" t="s">
        <v>1696</v>
      </c>
      <c r="B358" s="5" t="s">
        <v>1697</v>
      </c>
      <c r="C358" s="5" t="s">
        <v>938</v>
      </c>
      <c r="D358" s="5" t="s">
        <v>939</v>
      </c>
      <c r="E358" s="5" t="s">
        <v>1505</v>
      </c>
      <c r="F358" s="5" t="s">
        <v>1598</v>
      </c>
      <c r="G358" s="5" t="s">
        <v>994</v>
      </c>
      <c r="H358" s="5" t="s">
        <v>974</v>
      </c>
    </row>
    <row r="359" customFormat="false" ht="15" hidden="false" customHeight="true" outlineLevel="0" collapsed="false">
      <c r="A359" s="5" t="s">
        <v>1698</v>
      </c>
      <c r="B359" s="5" t="s">
        <v>1699</v>
      </c>
      <c r="C359" s="5" t="s">
        <v>962</v>
      </c>
      <c r="D359" s="5" t="s">
        <v>962</v>
      </c>
      <c r="E359" s="5" t="s">
        <v>1637</v>
      </c>
      <c r="F359" s="5" t="s">
        <v>1010</v>
      </c>
      <c r="G359" s="5" t="s">
        <v>982</v>
      </c>
      <c r="H359" s="5" t="s">
        <v>974</v>
      </c>
    </row>
    <row r="360" customFormat="false" ht="15" hidden="false" customHeight="true" outlineLevel="0" collapsed="false">
      <c r="A360" s="5" t="s">
        <v>1700</v>
      </c>
      <c r="B360" s="5" t="s">
        <v>1701</v>
      </c>
      <c r="C360" s="5" t="s">
        <v>925</v>
      </c>
      <c r="D360" s="5" t="s">
        <v>926</v>
      </c>
      <c r="E360" s="5" t="s">
        <v>1042</v>
      </c>
      <c r="F360" s="5" t="s">
        <v>990</v>
      </c>
      <c r="G360" s="5" t="s">
        <v>973</v>
      </c>
      <c r="H360" s="5" t="s">
        <v>974</v>
      </c>
    </row>
    <row r="361" customFormat="false" ht="15" hidden="false" customHeight="true" outlineLevel="0" collapsed="false">
      <c r="A361" s="5" t="s">
        <v>1702</v>
      </c>
      <c r="B361" s="5" t="s">
        <v>1703</v>
      </c>
      <c r="C361" s="5" t="s">
        <v>936</v>
      </c>
      <c r="D361" s="5" t="s">
        <v>937</v>
      </c>
      <c r="E361" s="5" t="s">
        <v>1365</v>
      </c>
      <c r="F361" s="5" t="s">
        <v>1582</v>
      </c>
      <c r="G361" s="5" t="s">
        <v>987</v>
      </c>
      <c r="H361" s="5" t="s">
        <v>974</v>
      </c>
    </row>
    <row r="362" customFormat="false" ht="15" hidden="false" customHeight="true" outlineLevel="0" collapsed="false">
      <c r="A362" s="5" t="s">
        <v>1704</v>
      </c>
      <c r="B362" s="5" t="s">
        <v>1705</v>
      </c>
      <c r="C362" s="5" t="s">
        <v>958</v>
      </c>
      <c r="D362" s="5" t="s">
        <v>959</v>
      </c>
      <c r="E362" s="5" t="s">
        <v>1603</v>
      </c>
      <c r="F362" s="5" t="s">
        <v>1582</v>
      </c>
      <c r="G362" s="5" t="s">
        <v>973</v>
      </c>
      <c r="H362" s="5" t="s">
        <v>974</v>
      </c>
    </row>
    <row r="363" customFormat="false" ht="15" hidden="false" customHeight="true" outlineLevel="0" collapsed="false">
      <c r="A363" s="5" t="s">
        <v>1706</v>
      </c>
      <c r="B363" s="5" t="s">
        <v>1707</v>
      </c>
      <c r="C363" s="5" t="s">
        <v>954</v>
      </c>
      <c r="D363" s="5" t="s">
        <v>955</v>
      </c>
      <c r="E363" s="5" t="s">
        <v>1708</v>
      </c>
      <c r="F363" s="5" t="s">
        <v>1585</v>
      </c>
      <c r="G363" s="5" t="s">
        <v>982</v>
      </c>
      <c r="H363" s="5" t="s">
        <v>974</v>
      </c>
    </row>
    <row r="364" customFormat="false" ht="15" hidden="false" customHeight="true" outlineLevel="0" collapsed="false">
      <c r="A364" s="5" t="s">
        <v>1709</v>
      </c>
      <c r="B364" s="5" t="s">
        <v>1710</v>
      </c>
      <c r="C364" s="5" t="s">
        <v>950</v>
      </c>
      <c r="D364" s="5" t="s">
        <v>951</v>
      </c>
      <c r="E364" s="5" t="s">
        <v>1394</v>
      </c>
      <c r="F364" s="5" t="s">
        <v>1585</v>
      </c>
      <c r="G364" s="5" t="s">
        <v>973</v>
      </c>
      <c r="H364" s="5" t="s">
        <v>974</v>
      </c>
    </row>
    <row r="365" customFormat="false" ht="15" hidden="false" customHeight="true" outlineLevel="0" collapsed="false">
      <c r="A365" s="5" t="s">
        <v>1711</v>
      </c>
      <c r="B365" s="5" t="s">
        <v>1712</v>
      </c>
      <c r="C365" s="5" t="s">
        <v>927</v>
      </c>
      <c r="D365" s="5" t="s">
        <v>928</v>
      </c>
      <c r="E365" s="5" t="s">
        <v>1030</v>
      </c>
      <c r="F365" s="5" t="s">
        <v>1594</v>
      </c>
      <c r="G365" s="5" t="s">
        <v>987</v>
      </c>
      <c r="H365" s="5" t="s">
        <v>974</v>
      </c>
    </row>
    <row r="366" customFormat="false" ht="15" hidden="false" customHeight="true" outlineLevel="0" collapsed="false">
      <c r="A366" s="5" t="s">
        <v>1713</v>
      </c>
      <c r="B366" s="5" t="s">
        <v>1714</v>
      </c>
      <c r="C366" s="5" t="s">
        <v>942</v>
      </c>
      <c r="D366" s="5" t="s">
        <v>943</v>
      </c>
      <c r="E366" s="5" t="s">
        <v>1564</v>
      </c>
      <c r="F366" s="5" t="s">
        <v>1576</v>
      </c>
      <c r="G366" s="5" t="s">
        <v>987</v>
      </c>
      <c r="H366" s="5" t="s">
        <v>974</v>
      </c>
    </row>
    <row r="367" customFormat="false" ht="15" hidden="false" customHeight="true" outlineLevel="0" collapsed="false">
      <c r="A367" s="5" t="s">
        <v>1715</v>
      </c>
      <c r="B367" s="5" t="s">
        <v>1716</v>
      </c>
      <c r="C367" s="5" t="s">
        <v>923</v>
      </c>
      <c r="D367" s="5" t="s">
        <v>924</v>
      </c>
      <c r="E367" s="5" t="s">
        <v>985</v>
      </c>
      <c r="F367" s="5" t="s">
        <v>1576</v>
      </c>
      <c r="G367" s="5" t="s">
        <v>987</v>
      </c>
      <c r="H367" s="5" t="s">
        <v>974</v>
      </c>
    </row>
    <row r="368" customFormat="false" ht="15" hidden="false" customHeight="true" outlineLevel="0" collapsed="false">
      <c r="A368" s="5" t="s">
        <v>1717</v>
      </c>
      <c r="B368" s="5" t="s">
        <v>1718</v>
      </c>
      <c r="C368" s="5" t="s">
        <v>954</v>
      </c>
      <c r="D368" s="5" t="s">
        <v>955</v>
      </c>
      <c r="E368" s="5" t="s">
        <v>1359</v>
      </c>
      <c r="F368" s="5" t="s">
        <v>981</v>
      </c>
      <c r="G368" s="5" t="s">
        <v>994</v>
      </c>
      <c r="H368" s="5" t="s">
        <v>995</v>
      </c>
    </row>
    <row r="369" customFormat="false" ht="15" hidden="false" customHeight="true" outlineLevel="0" collapsed="false">
      <c r="A369" s="5" t="s">
        <v>1719</v>
      </c>
      <c r="B369" s="5" t="s">
        <v>1720</v>
      </c>
      <c r="C369" s="5" t="s">
        <v>920</v>
      </c>
      <c r="D369" s="5" t="s">
        <v>919</v>
      </c>
      <c r="E369" s="5" t="s">
        <v>1009</v>
      </c>
      <c r="F369" s="5" t="s">
        <v>990</v>
      </c>
      <c r="G369" s="5" t="s">
        <v>973</v>
      </c>
      <c r="H369" s="5" t="s">
        <v>974</v>
      </c>
    </row>
    <row r="370" customFormat="false" ht="15" hidden="false" customHeight="true" outlineLevel="0" collapsed="false">
      <c r="A370" s="5" t="s">
        <v>1721</v>
      </c>
      <c r="B370" s="5" t="s">
        <v>1722</v>
      </c>
      <c r="C370" s="5" t="s">
        <v>935</v>
      </c>
      <c r="D370" s="5" t="s">
        <v>930</v>
      </c>
      <c r="E370" s="5" t="s">
        <v>1723</v>
      </c>
      <c r="F370" s="5" t="s">
        <v>1585</v>
      </c>
      <c r="G370" s="5" t="s">
        <v>994</v>
      </c>
      <c r="H370" s="5" t="s">
        <v>974</v>
      </c>
    </row>
    <row r="371" customFormat="false" ht="15" hidden="false" customHeight="true" outlineLevel="0" collapsed="false">
      <c r="A371" s="5" t="s">
        <v>1724</v>
      </c>
      <c r="B371" s="5" t="s">
        <v>1725</v>
      </c>
      <c r="C371" s="5" t="s">
        <v>935</v>
      </c>
      <c r="D371" s="5" t="s">
        <v>930</v>
      </c>
      <c r="E371" s="5" t="s">
        <v>1502</v>
      </c>
      <c r="F371" s="5" t="s">
        <v>1585</v>
      </c>
      <c r="G371" s="5" t="s">
        <v>994</v>
      </c>
      <c r="H371" s="5" t="s">
        <v>974</v>
      </c>
    </row>
    <row r="372" customFormat="false" ht="15" hidden="false" customHeight="true" outlineLevel="0" collapsed="false">
      <c r="A372" s="5" t="s">
        <v>1726</v>
      </c>
      <c r="B372" s="5" t="s">
        <v>1727</v>
      </c>
      <c r="C372" s="5" t="s">
        <v>946</v>
      </c>
      <c r="D372" s="5" t="s">
        <v>947</v>
      </c>
      <c r="E372" s="5" t="s">
        <v>1597</v>
      </c>
      <c r="F372" s="5" t="s">
        <v>1594</v>
      </c>
      <c r="G372" s="5" t="s">
        <v>987</v>
      </c>
      <c r="H372" s="5" t="s">
        <v>974</v>
      </c>
    </row>
    <row r="373" customFormat="false" ht="15" hidden="false" customHeight="true" outlineLevel="0" collapsed="false">
      <c r="A373" s="5" t="s">
        <v>1728</v>
      </c>
      <c r="B373" s="5" t="s">
        <v>1729</v>
      </c>
      <c r="C373" s="5" t="s">
        <v>935</v>
      </c>
      <c r="D373" s="5" t="s">
        <v>930</v>
      </c>
      <c r="E373" s="5" t="s">
        <v>1502</v>
      </c>
      <c r="F373" s="5" t="s">
        <v>1612</v>
      </c>
      <c r="G373" s="5" t="s">
        <v>994</v>
      </c>
      <c r="H373" s="5" t="s">
        <v>995</v>
      </c>
    </row>
    <row r="374" customFormat="false" ht="15" hidden="false" customHeight="true" outlineLevel="0" collapsed="false">
      <c r="A374" s="5" t="s">
        <v>1730</v>
      </c>
      <c r="B374" s="5" t="s">
        <v>1731</v>
      </c>
      <c r="C374" s="5" t="s">
        <v>923</v>
      </c>
      <c r="D374" s="5" t="s">
        <v>924</v>
      </c>
      <c r="E374" s="5" t="s">
        <v>985</v>
      </c>
      <c r="F374" s="5" t="s">
        <v>1576</v>
      </c>
      <c r="G374" s="5" t="s">
        <v>982</v>
      </c>
      <c r="H374" s="5" t="s">
        <v>995</v>
      </c>
    </row>
    <row r="375" customFormat="false" ht="15" hidden="false" customHeight="true" outlineLevel="0" collapsed="false">
      <c r="A375" s="5" t="s">
        <v>1732</v>
      </c>
      <c r="B375" s="5" t="s">
        <v>1733</v>
      </c>
      <c r="C375" s="5" t="s">
        <v>952</v>
      </c>
      <c r="D375" s="5" t="s">
        <v>953</v>
      </c>
      <c r="E375" s="5" t="s">
        <v>1512</v>
      </c>
      <c r="F375" s="5" t="s">
        <v>1576</v>
      </c>
      <c r="G375" s="5" t="s">
        <v>973</v>
      </c>
      <c r="H375" s="5" t="s">
        <v>974</v>
      </c>
    </row>
    <row r="376" customFormat="false" ht="15" hidden="false" customHeight="true" outlineLevel="0" collapsed="false">
      <c r="A376" s="5" t="s">
        <v>1734</v>
      </c>
      <c r="B376" s="5" t="s">
        <v>1735</v>
      </c>
      <c r="C376" s="5" t="s">
        <v>933</v>
      </c>
      <c r="D376" s="5" t="s">
        <v>934</v>
      </c>
      <c r="E376" s="5" t="s">
        <v>1549</v>
      </c>
      <c r="F376" s="5" t="s">
        <v>1594</v>
      </c>
      <c r="G376" s="5" t="s">
        <v>1002</v>
      </c>
      <c r="H376" s="5" t="s">
        <v>974</v>
      </c>
    </row>
    <row r="377" customFormat="false" ht="15" hidden="false" customHeight="true" outlineLevel="0" collapsed="false">
      <c r="A377" s="5" t="s">
        <v>1736</v>
      </c>
      <c r="B377" s="5" t="s">
        <v>1737</v>
      </c>
      <c r="C377" s="5" t="s">
        <v>948</v>
      </c>
      <c r="D377" s="5" t="s">
        <v>949</v>
      </c>
      <c r="E377" s="5" t="s">
        <v>1579</v>
      </c>
      <c r="F377" s="5" t="s">
        <v>1594</v>
      </c>
      <c r="G377" s="5" t="s">
        <v>1002</v>
      </c>
      <c r="H377" s="5" t="s">
        <v>974</v>
      </c>
    </row>
    <row r="378" customFormat="false" ht="15" hidden="false" customHeight="true" outlineLevel="0" collapsed="false">
      <c r="A378" s="5" t="s">
        <v>1738</v>
      </c>
      <c r="B378" s="5" t="s">
        <v>1739</v>
      </c>
      <c r="C378" s="5" t="s">
        <v>923</v>
      </c>
      <c r="D378" s="5" t="s">
        <v>924</v>
      </c>
      <c r="E378" s="5" t="s">
        <v>985</v>
      </c>
      <c r="F378" s="5" t="s">
        <v>981</v>
      </c>
      <c r="G378" s="5" t="s">
        <v>982</v>
      </c>
      <c r="H378" s="5" t="s">
        <v>974</v>
      </c>
    </row>
    <row r="379" customFormat="false" ht="15" hidden="false" customHeight="true" outlineLevel="0" collapsed="false">
      <c r="A379" s="5" t="s">
        <v>1740</v>
      </c>
      <c r="B379" s="5" t="s">
        <v>1741</v>
      </c>
      <c r="C379" s="5" t="s">
        <v>931</v>
      </c>
      <c r="D379" s="5" t="s">
        <v>932</v>
      </c>
      <c r="E379" s="5" t="s">
        <v>971</v>
      </c>
      <c r="F379" s="5" t="s">
        <v>972</v>
      </c>
      <c r="G379" s="5" t="s">
        <v>1002</v>
      </c>
      <c r="H379" s="5" t="s">
        <v>974</v>
      </c>
    </row>
    <row r="380" customFormat="false" ht="15" hidden="false" customHeight="true" outlineLevel="0" collapsed="false">
      <c r="A380" s="5" t="s">
        <v>1742</v>
      </c>
      <c r="B380" s="5" t="s">
        <v>1743</v>
      </c>
      <c r="C380" s="5" t="s">
        <v>954</v>
      </c>
      <c r="D380" s="5" t="s">
        <v>955</v>
      </c>
      <c r="E380" s="5" t="s">
        <v>1359</v>
      </c>
      <c r="F380" s="5" t="s">
        <v>1585</v>
      </c>
      <c r="G380" s="5" t="s">
        <v>973</v>
      </c>
      <c r="H380" s="5" t="s">
        <v>995</v>
      </c>
    </row>
    <row r="381" customFormat="false" ht="15" hidden="false" customHeight="true" outlineLevel="0" collapsed="false">
      <c r="A381" s="5" t="s">
        <v>1744</v>
      </c>
      <c r="B381" s="5" t="s">
        <v>1745</v>
      </c>
      <c r="C381" s="5" t="s">
        <v>936</v>
      </c>
      <c r="D381" s="5" t="s">
        <v>937</v>
      </c>
      <c r="E381" s="5" t="s">
        <v>1365</v>
      </c>
      <c r="F381" s="5" t="s">
        <v>1006</v>
      </c>
      <c r="G381" s="5" t="s">
        <v>994</v>
      </c>
      <c r="H381" s="5" t="s">
        <v>974</v>
      </c>
    </row>
    <row r="382" customFormat="false" ht="15" hidden="false" customHeight="true" outlineLevel="0" collapsed="false">
      <c r="A382" s="5" t="s">
        <v>1746</v>
      </c>
      <c r="B382" s="5" t="s">
        <v>1747</v>
      </c>
      <c r="C382" s="5" t="s">
        <v>923</v>
      </c>
      <c r="D382" s="5" t="s">
        <v>924</v>
      </c>
      <c r="E382" s="5" t="s">
        <v>977</v>
      </c>
      <c r="F382" s="5" t="s">
        <v>1006</v>
      </c>
      <c r="G382" s="5" t="s">
        <v>994</v>
      </c>
      <c r="H382" s="5" t="s">
        <v>995</v>
      </c>
    </row>
    <row r="383" customFormat="false" ht="15" hidden="false" customHeight="true" outlineLevel="0" collapsed="false">
      <c r="A383" s="5" t="s">
        <v>1748</v>
      </c>
      <c r="B383" s="5" t="s">
        <v>1749</v>
      </c>
      <c r="C383" s="5" t="s">
        <v>942</v>
      </c>
      <c r="D383" s="5" t="s">
        <v>943</v>
      </c>
      <c r="E383" s="5" t="s">
        <v>1750</v>
      </c>
      <c r="F383" s="5" t="s">
        <v>981</v>
      </c>
      <c r="G383" s="5" t="s">
        <v>987</v>
      </c>
      <c r="H383" s="5" t="s">
        <v>974</v>
      </c>
    </row>
    <row r="384" customFormat="false" ht="15" hidden="false" customHeight="true" outlineLevel="0" collapsed="false">
      <c r="A384" s="5" t="s">
        <v>1751</v>
      </c>
      <c r="B384" s="5" t="s">
        <v>1752</v>
      </c>
      <c r="C384" s="5" t="s">
        <v>958</v>
      </c>
      <c r="D384" s="5" t="s">
        <v>959</v>
      </c>
      <c r="E384" s="5" t="s">
        <v>1417</v>
      </c>
      <c r="F384" s="5" t="s">
        <v>1594</v>
      </c>
      <c r="G384" s="5" t="s">
        <v>982</v>
      </c>
      <c r="H384" s="5" t="s">
        <v>995</v>
      </c>
    </row>
    <row r="385" customFormat="false" ht="15" hidden="false" customHeight="true" outlineLevel="0" collapsed="false">
      <c r="A385" s="5" t="s">
        <v>1753</v>
      </c>
      <c r="B385" s="5" t="s">
        <v>1754</v>
      </c>
      <c r="C385" s="5" t="s">
        <v>927</v>
      </c>
      <c r="D385" s="5" t="s">
        <v>928</v>
      </c>
      <c r="E385" s="5" t="s">
        <v>1048</v>
      </c>
      <c r="F385" s="5" t="s">
        <v>981</v>
      </c>
      <c r="G385" s="5" t="s">
        <v>1002</v>
      </c>
      <c r="H385" s="5" t="s">
        <v>974</v>
      </c>
    </row>
    <row r="386" customFormat="false" ht="15" hidden="false" customHeight="true" outlineLevel="0" collapsed="false">
      <c r="A386" s="5" t="s">
        <v>1755</v>
      </c>
      <c r="B386" s="5" t="s">
        <v>1756</v>
      </c>
      <c r="C386" s="5" t="s">
        <v>925</v>
      </c>
      <c r="D386" s="5" t="s">
        <v>926</v>
      </c>
      <c r="E386" s="5" t="s">
        <v>1042</v>
      </c>
      <c r="F386" s="5" t="s">
        <v>990</v>
      </c>
      <c r="G386" s="5" t="s">
        <v>982</v>
      </c>
      <c r="H386" s="5" t="s">
        <v>995</v>
      </c>
    </row>
    <row r="387" customFormat="false" ht="15" hidden="false" customHeight="true" outlineLevel="0" collapsed="false">
      <c r="A387" s="5" t="s">
        <v>1757</v>
      </c>
      <c r="B387" s="5" t="s">
        <v>1758</v>
      </c>
      <c r="C387" s="5" t="s">
        <v>944</v>
      </c>
      <c r="D387" s="5" t="s">
        <v>945</v>
      </c>
      <c r="E387" s="5" t="s">
        <v>1759</v>
      </c>
      <c r="F387" s="5" t="s">
        <v>1612</v>
      </c>
      <c r="G387" s="5" t="s">
        <v>987</v>
      </c>
      <c r="H387" s="5" t="s">
        <v>974</v>
      </c>
    </row>
    <row r="388" customFormat="false" ht="15" hidden="false" customHeight="true" outlineLevel="0" collapsed="false">
      <c r="A388" s="5" t="s">
        <v>1760</v>
      </c>
      <c r="B388" s="5" t="s">
        <v>1761</v>
      </c>
      <c r="C388" s="5" t="s">
        <v>948</v>
      </c>
      <c r="D388" s="5" t="s">
        <v>949</v>
      </c>
      <c r="E388" s="5" t="s">
        <v>1444</v>
      </c>
      <c r="F388" s="5" t="s">
        <v>990</v>
      </c>
      <c r="G388" s="5" t="s">
        <v>994</v>
      </c>
      <c r="H388" s="5" t="s">
        <v>974</v>
      </c>
    </row>
    <row r="389" customFormat="false" ht="15" hidden="false" customHeight="true" outlineLevel="0" collapsed="false">
      <c r="A389" s="5" t="s">
        <v>1762</v>
      </c>
      <c r="B389" s="5" t="s">
        <v>1763</v>
      </c>
      <c r="C389" s="5" t="s">
        <v>940</v>
      </c>
      <c r="D389" s="5" t="s">
        <v>941</v>
      </c>
      <c r="E389" s="5" t="s">
        <v>1466</v>
      </c>
      <c r="F389" s="5" t="s">
        <v>986</v>
      </c>
      <c r="G389" s="5" t="s">
        <v>982</v>
      </c>
      <c r="H389" s="5" t="s">
        <v>995</v>
      </c>
    </row>
    <row r="390" customFormat="false" ht="15" hidden="false" customHeight="true" outlineLevel="0" collapsed="false">
      <c r="A390" s="5" t="s">
        <v>1764</v>
      </c>
      <c r="B390" s="5" t="s">
        <v>1765</v>
      </c>
      <c r="C390" s="5" t="s">
        <v>925</v>
      </c>
      <c r="D390" s="5" t="s">
        <v>926</v>
      </c>
      <c r="E390" s="5" t="s">
        <v>1080</v>
      </c>
      <c r="F390" s="5" t="s">
        <v>981</v>
      </c>
      <c r="G390" s="5" t="s">
        <v>1002</v>
      </c>
      <c r="H390" s="5" t="s">
        <v>995</v>
      </c>
    </row>
    <row r="391" customFormat="false" ht="15" hidden="false" customHeight="true" outlineLevel="0" collapsed="false">
      <c r="A391" s="5" t="s">
        <v>1766</v>
      </c>
      <c r="B391" s="5" t="s">
        <v>1767</v>
      </c>
      <c r="C391" s="5" t="s">
        <v>948</v>
      </c>
      <c r="D391" s="5" t="s">
        <v>949</v>
      </c>
      <c r="E391" s="5" t="s">
        <v>1362</v>
      </c>
      <c r="F391" s="5" t="s">
        <v>1006</v>
      </c>
      <c r="G391" s="5" t="s">
        <v>994</v>
      </c>
      <c r="H391" s="5" t="s">
        <v>974</v>
      </c>
    </row>
    <row r="392" customFormat="false" ht="15" hidden="false" customHeight="true" outlineLevel="0" collapsed="false">
      <c r="A392" s="5" t="s">
        <v>1768</v>
      </c>
      <c r="B392" s="5" t="s">
        <v>1769</v>
      </c>
      <c r="C392" s="5" t="s">
        <v>946</v>
      </c>
      <c r="D392" s="5" t="s">
        <v>947</v>
      </c>
      <c r="E392" s="5" t="s">
        <v>1770</v>
      </c>
      <c r="F392" s="5" t="s">
        <v>1594</v>
      </c>
      <c r="G392" s="5" t="s">
        <v>982</v>
      </c>
      <c r="H392" s="5" t="s">
        <v>995</v>
      </c>
    </row>
    <row r="393" customFormat="false" ht="15" hidden="false" customHeight="true" outlineLevel="0" collapsed="false">
      <c r="A393" s="5" t="s">
        <v>1771</v>
      </c>
      <c r="B393" s="5" t="s">
        <v>1772</v>
      </c>
      <c r="C393" s="5" t="s">
        <v>952</v>
      </c>
      <c r="D393" s="5" t="s">
        <v>953</v>
      </c>
      <c r="E393" s="5" t="s">
        <v>1773</v>
      </c>
      <c r="F393" s="5" t="s">
        <v>981</v>
      </c>
      <c r="G393" s="5" t="s">
        <v>982</v>
      </c>
      <c r="H393" s="5" t="s">
        <v>974</v>
      </c>
    </row>
    <row r="394" customFormat="false" ht="15" hidden="false" customHeight="true" outlineLevel="0" collapsed="false">
      <c r="A394" s="5" t="s">
        <v>1774</v>
      </c>
      <c r="B394" s="5" t="s">
        <v>1775</v>
      </c>
      <c r="C394" s="5" t="s">
        <v>942</v>
      </c>
      <c r="D394" s="5" t="s">
        <v>943</v>
      </c>
      <c r="E394" s="5" t="s">
        <v>1564</v>
      </c>
      <c r="F394" s="5" t="s">
        <v>1594</v>
      </c>
      <c r="G394" s="5" t="s">
        <v>987</v>
      </c>
      <c r="H394" s="5" t="s">
        <v>974</v>
      </c>
    </row>
    <row r="395" customFormat="false" ht="15" hidden="false" customHeight="true" outlineLevel="0" collapsed="false">
      <c r="A395" s="5" t="s">
        <v>1776</v>
      </c>
      <c r="B395" s="5" t="s">
        <v>1777</v>
      </c>
      <c r="C395" s="5" t="s">
        <v>920</v>
      </c>
      <c r="D395" s="5" t="s">
        <v>919</v>
      </c>
      <c r="E395" s="5" t="s">
        <v>1092</v>
      </c>
      <c r="F395" s="5" t="s">
        <v>1585</v>
      </c>
      <c r="G395" s="5" t="s">
        <v>994</v>
      </c>
      <c r="H395" s="5" t="s">
        <v>974</v>
      </c>
    </row>
    <row r="396" customFormat="false" ht="15" hidden="false" customHeight="true" outlineLevel="0" collapsed="false">
      <c r="A396" s="5" t="s">
        <v>1778</v>
      </c>
      <c r="B396" s="5" t="s">
        <v>1779</v>
      </c>
      <c r="C396" s="5" t="s">
        <v>946</v>
      </c>
      <c r="D396" s="5" t="s">
        <v>947</v>
      </c>
      <c r="E396" s="5" t="s">
        <v>1517</v>
      </c>
      <c r="F396" s="5" t="s">
        <v>990</v>
      </c>
      <c r="G396" s="5" t="s">
        <v>1002</v>
      </c>
      <c r="H396" s="5" t="s">
        <v>974</v>
      </c>
    </row>
    <row r="397" customFormat="false" ht="15" hidden="false" customHeight="true" outlineLevel="0" collapsed="false">
      <c r="A397" s="5" t="s">
        <v>1780</v>
      </c>
      <c r="B397" s="5" t="s">
        <v>1781</v>
      </c>
      <c r="C397" s="5" t="s">
        <v>954</v>
      </c>
      <c r="D397" s="5" t="s">
        <v>955</v>
      </c>
      <c r="E397" s="5" t="s">
        <v>1359</v>
      </c>
      <c r="F397" s="5" t="s">
        <v>1582</v>
      </c>
      <c r="G397" s="5" t="s">
        <v>994</v>
      </c>
      <c r="H397" s="5" t="s">
        <v>974</v>
      </c>
    </row>
    <row r="398" customFormat="false" ht="15" hidden="false" customHeight="true" outlineLevel="0" collapsed="false">
      <c r="A398" s="5" t="s">
        <v>1782</v>
      </c>
      <c r="B398" s="5" t="s">
        <v>1783</v>
      </c>
      <c r="C398" s="5" t="s">
        <v>956</v>
      </c>
      <c r="D398" s="5" t="s">
        <v>957</v>
      </c>
      <c r="E398" s="5" t="s">
        <v>1490</v>
      </c>
      <c r="F398" s="5" t="s">
        <v>990</v>
      </c>
      <c r="G398" s="5" t="s">
        <v>994</v>
      </c>
      <c r="H398" s="5" t="s">
        <v>974</v>
      </c>
    </row>
    <row r="399" customFormat="false" ht="15" hidden="false" customHeight="true" outlineLevel="0" collapsed="false">
      <c r="A399" s="5" t="s">
        <v>1784</v>
      </c>
      <c r="B399" s="5" t="s">
        <v>1785</v>
      </c>
      <c r="C399" s="5" t="s">
        <v>954</v>
      </c>
      <c r="D399" s="5" t="s">
        <v>955</v>
      </c>
      <c r="E399" s="5" t="s">
        <v>1359</v>
      </c>
      <c r="F399" s="5" t="s">
        <v>1010</v>
      </c>
      <c r="G399" s="5" t="s">
        <v>1002</v>
      </c>
      <c r="H399" s="5" t="s">
        <v>974</v>
      </c>
    </row>
    <row r="400" customFormat="false" ht="15" hidden="false" customHeight="true" outlineLevel="0" collapsed="false">
      <c r="A400" s="5" t="s">
        <v>1786</v>
      </c>
      <c r="B400" s="5" t="s">
        <v>1787</v>
      </c>
      <c r="C400" s="5" t="s">
        <v>920</v>
      </c>
      <c r="D400" s="5" t="s">
        <v>919</v>
      </c>
      <c r="E400" s="5" t="s">
        <v>1009</v>
      </c>
      <c r="F400" s="5" t="s">
        <v>981</v>
      </c>
      <c r="G400" s="5" t="s">
        <v>994</v>
      </c>
      <c r="H400" s="5" t="s">
        <v>974</v>
      </c>
    </row>
    <row r="401" customFormat="false" ht="15" hidden="false" customHeight="true" outlineLevel="0" collapsed="false">
      <c r="A401" s="5" t="s">
        <v>1788</v>
      </c>
      <c r="B401" s="5" t="s">
        <v>1789</v>
      </c>
      <c r="C401" s="5" t="s">
        <v>933</v>
      </c>
      <c r="D401" s="5" t="s">
        <v>934</v>
      </c>
      <c r="E401" s="5" t="s">
        <v>1660</v>
      </c>
      <c r="F401" s="5" t="s">
        <v>972</v>
      </c>
      <c r="G401" s="5" t="s">
        <v>987</v>
      </c>
      <c r="H401" s="5" t="s">
        <v>974</v>
      </c>
    </row>
    <row r="402" customFormat="false" ht="15" hidden="false" customHeight="true" outlineLevel="0" collapsed="false">
      <c r="A402" s="5" t="s">
        <v>1790</v>
      </c>
      <c r="B402" s="5" t="s">
        <v>1791</v>
      </c>
      <c r="C402" s="5" t="s">
        <v>950</v>
      </c>
      <c r="D402" s="5" t="s">
        <v>951</v>
      </c>
      <c r="E402" s="5" t="s">
        <v>1461</v>
      </c>
      <c r="F402" s="5" t="s">
        <v>1612</v>
      </c>
      <c r="G402" s="5" t="s">
        <v>973</v>
      </c>
      <c r="H402" s="5" t="s">
        <v>974</v>
      </c>
    </row>
    <row r="403" customFormat="false" ht="15" hidden="false" customHeight="true" outlineLevel="0" collapsed="false">
      <c r="A403" s="5" t="s">
        <v>1792</v>
      </c>
      <c r="B403" s="5" t="s">
        <v>1793</v>
      </c>
      <c r="C403" s="5" t="s">
        <v>923</v>
      </c>
      <c r="D403" s="5" t="s">
        <v>924</v>
      </c>
      <c r="E403" s="5" t="s">
        <v>977</v>
      </c>
      <c r="F403" s="5" t="s">
        <v>1006</v>
      </c>
      <c r="G403" s="5" t="s">
        <v>987</v>
      </c>
      <c r="H403" s="5" t="s">
        <v>974</v>
      </c>
    </row>
    <row r="404" customFormat="false" ht="15" hidden="false" customHeight="true" outlineLevel="0" collapsed="false">
      <c r="A404" s="5" t="s">
        <v>1794</v>
      </c>
      <c r="B404" s="5" t="s">
        <v>1795</v>
      </c>
      <c r="C404" s="5" t="s">
        <v>950</v>
      </c>
      <c r="D404" s="5" t="s">
        <v>951</v>
      </c>
      <c r="E404" s="5" t="s">
        <v>1461</v>
      </c>
      <c r="F404" s="5" t="s">
        <v>1598</v>
      </c>
      <c r="G404" s="5" t="s">
        <v>1002</v>
      </c>
      <c r="H404" s="5" t="s">
        <v>974</v>
      </c>
    </row>
    <row r="405" customFormat="false" ht="15" hidden="false" customHeight="true" outlineLevel="0" collapsed="false">
      <c r="A405" s="5" t="s">
        <v>1796</v>
      </c>
      <c r="B405" s="5" t="s">
        <v>1797</v>
      </c>
      <c r="C405" s="5" t="s">
        <v>952</v>
      </c>
      <c r="D405" s="5" t="s">
        <v>953</v>
      </c>
      <c r="E405" s="5" t="s">
        <v>1512</v>
      </c>
      <c r="F405" s="5" t="s">
        <v>981</v>
      </c>
      <c r="G405" s="5" t="s">
        <v>982</v>
      </c>
      <c r="H405" s="5" t="s">
        <v>995</v>
      </c>
    </row>
    <row r="406" customFormat="false" ht="15" hidden="false" customHeight="true" outlineLevel="0" collapsed="false">
      <c r="A406" s="5" t="s">
        <v>1798</v>
      </c>
      <c r="B406" s="5" t="s">
        <v>1799</v>
      </c>
      <c r="C406" s="5" t="s">
        <v>952</v>
      </c>
      <c r="D406" s="5" t="s">
        <v>953</v>
      </c>
      <c r="E406" s="5" t="s">
        <v>1437</v>
      </c>
      <c r="F406" s="5" t="s">
        <v>981</v>
      </c>
      <c r="G406" s="5" t="s">
        <v>982</v>
      </c>
      <c r="H406" s="5" t="s">
        <v>974</v>
      </c>
    </row>
    <row r="407" customFormat="false" ht="15" hidden="false" customHeight="true" outlineLevel="0" collapsed="false">
      <c r="A407" s="5" t="s">
        <v>1800</v>
      </c>
      <c r="B407" s="5" t="s">
        <v>1801</v>
      </c>
      <c r="C407" s="5" t="s">
        <v>942</v>
      </c>
      <c r="D407" s="5" t="s">
        <v>943</v>
      </c>
      <c r="E407" s="5" t="s">
        <v>1750</v>
      </c>
      <c r="F407" s="5" t="s">
        <v>1585</v>
      </c>
      <c r="G407" s="5" t="s">
        <v>982</v>
      </c>
      <c r="H407" s="5" t="s">
        <v>974</v>
      </c>
    </row>
    <row r="408" customFormat="false" ht="15" hidden="false" customHeight="true" outlineLevel="0" collapsed="false">
      <c r="A408" s="5" t="s">
        <v>1802</v>
      </c>
      <c r="B408" s="5" t="s">
        <v>1803</v>
      </c>
      <c r="C408" s="5" t="s">
        <v>962</v>
      </c>
      <c r="D408" s="5" t="s">
        <v>962</v>
      </c>
      <c r="E408" s="5" t="s">
        <v>1377</v>
      </c>
      <c r="F408" s="5" t="s">
        <v>1010</v>
      </c>
      <c r="G408" s="5" t="s">
        <v>987</v>
      </c>
      <c r="H408" s="5" t="s">
        <v>995</v>
      </c>
    </row>
    <row r="409" customFormat="false" ht="15" hidden="false" customHeight="true" outlineLevel="0" collapsed="false">
      <c r="A409" s="5" t="s">
        <v>1804</v>
      </c>
      <c r="B409" s="5" t="s">
        <v>1805</v>
      </c>
      <c r="C409" s="5" t="s">
        <v>938</v>
      </c>
      <c r="D409" s="5" t="s">
        <v>939</v>
      </c>
      <c r="E409" s="5" t="s">
        <v>1558</v>
      </c>
      <c r="F409" s="5" t="s">
        <v>1582</v>
      </c>
      <c r="G409" s="5" t="s">
        <v>973</v>
      </c>
      <c r="H409" s="5" t="s">
        <v>974</v>
      </c>
    </row>
    <row r="410" customFormat="false" ht="15" hidden="false" customHeight="true" outlineLevel="0" collapsed="false">
      <c r="A410" s="5" t="s">
        <v>1806</v>
      </c>
      <c r="B410" s="5" t="s">
        <v>1807</v>
      </c>
      <c r="C410" s="5" t="s">
        <v>935</v>
      </c>
      <c r="D410" s="5" t="s">
        <v>930</v>
      </c>
      <c r="E410" s="5" t="s">
        <v>1502</v>
      </c>
      <c r="F410" s="5" t="s">
        <v>1598</v>
      </c>
      <c r="G410" s="5" t="s">
        <v>982</v>
      </c>
      <c r="H410" s="5" t="s">
        <v>974</v>
      </c>
    </row>
    <row r="411" customFormat="false" ht="15" hidden="false" customHeight="true" outlineLevel="0" collapsed="false">
      <c r="A411" s="5" t="s">
        <v>1808</v>
      </c>
      <c r="B411" s="5" t="s">
        <v>1809</v>
      </c>
      <c r="C411" s="5" t="s">
        <v>956</v>
      </c>
      <c r="D411" s="5" t="s">
        <v>957</v>
      </c>
      <c r="E411" s="5" t="s">
        <v>1490</v>
      </c>
      <c r="F411" s="5" t="s">
        <v>1006</v>
      </c>
      <c r="G411" s="5" t="s">
        <v>994</v>
      </c>
      <c r="H411" s="5" t="s">
        <v>974</v>
      </c>
    </row>
    <row r="412" customFormat="false" ht="15" hidden="false" customHeight="true" outlineLevel="0" collapsed="false">
      <c r="A412" s="5" t="s">
        <v>1810</v>
      </c>
      <c r="B412" s="5" t="s">
        <v>1811</v>
      </c>
      <c r="C412" s="5" t="s">
        <v>948</v>
      </c>
      <c r="D412" s="5" t="s">
        <v>949</v>
      </c>
      <c r="E412" s="5" t="s">
        <v>1444</v>
      </c>
      <c r="F412" s="5" t="s">
        <v>1598</v>
      </c>
      <c r="G412" s="5" t="s">
        <v>1002</v>
      </c>
      <c r="H412" s="5" t="s">
        <v>974</v>
      </c>
    </row>
    <row r="413" customFormat="false" ht="15" hidden="false" customHeight="true" outlineLevel="0" collapsed="false">
      <c r="A413" s="5" t="s">
        <v>1812</v>
      </c>
      <c r="B413" s="5" t="s">
        <v>1813</v>
      </c>
      <c r="C413" s="5" t="s">
        <v>950</v>
      </c>
      <c r="D413" s="5" t="s">
        <v>951</v>
      </c>
      <c r="E413" s="5" t="s">
        <v>1461</v>
      </c>
      <c r="F413" s="5" t="s">
        <v>1582</v>
      </c>
      <c r="G413" s="5" t="s">
        <v>994</v>
      </c>
      <c r="H413" s="5" t="s">
        <v>995</v>
      </c>
    </row>
    <row r="414" customFormat="false" ht="15" hidden="false" customHeight="true" outlineLevel="0" collapsed="false">
      <c r="A414" s="5" t="s">
        <v>1814</v>
      </c>
      <c r="B414" s="5" t="s">
        <v>1815</v>
      </c>
      <c r="C414" s="5" t="s">
        <v>958</v>
      </c>
      <c r="D414" s="5" t="s">
        <v>959</v>
      </c>
      <c r="E414" s="5" t="s">
        <v>1368</v>
      </c>
      <c r="F414" s="5" t="s">
        <v>1594</v>
      </c>
      <c r="G414" s="5" t="s">
        <v>987</v>
      </c>
      <c r="H414" s="5" t="s">
        <v>974</v>
      </c>
    </row>
    <row r="415" customFormat="false" ht="15" hidden="false" customHeight="true" outlineLevel="0" collapsed="false">
      <c r="A415" s="5" t="s">
        <v>1816</v>
      </c>
      <c r="B415" s="5" t="s">
        <v>1817</v>
      </c>
      <c r="C415" s="5" t="s">
        <v>935</v>
      </c>
      <c r="D415" s="5" t="s">
        <v>930</v>
      </c>
      <c r="E415" s="5" t="s">
        <v>1502</v>
      </c>
      <c r="F415" s="5" t="s">
        <v>1006</v>
      </c>
      <c r="G415" s="5" t="s">
        <v>973</v>
      </c>
      <c r="H415" s="5" t="s">
        <v>995</v>
      </c>
    </row>
    <row r="416" customFormat="false" ht="15" hidden="false" customHeight="true" outlineLevel="0" collapsed="false">
      <c r="A416" s="5" t="s">
        <v>1818</v>
      </c>
      <c r="B416" s="5" t="s">
        <v>1819</v>
      </c>
      <c r="C416" s="5" t="s">
        <v>921</v>
      </c>
      <c r="D416" s="5" t="s">
        <v>922</v>
      </c>
      <c r="E416" s="5" t="s">
        <v>1023</v>
      </c>
      <c r="F416" s="5" t="s">
        <v>986</v>
      </c>
      <c r="G416" s="5" t="s">
        <v>987</v>
      </c>
      <c r="H416" s="5" t="s">
        <v>974</v>
      </c>
    </row>
    <row r="417" customFormat="false" ht="15" hidden="false" customHeight="true" outlineLevel="0" collapsed="false">
      <c r="A417" s="5" t="s">
        <v>1820</v>
      </c>
      <c r="B417" s="5" t="s">
        <v>1821</v>
      </c>
      <c r="C417" s="5" t="s">
        <v>962</v>
      </c>
      <c r="D417" s="5" t="s">
        <v>962</v>
      </c>
      <c r="E417" s="5" t="s">
        <v>1497</v>
      </c>
      <c r="F417" s="5" t="s">
        <v>972</v>
      </c>
      <c r="G417" s="5" t="s">
        <v>987</v>
      </c>
      <c r="H417" s="5" t="s">
        <v>974</v>
      </c>
    </row>
    <row r="418" customFormat="false" ht="15" hidden="false" customHeight="true" outlineLevel="0" collapsed="false">
      <c r="A418" s="5" t="s">
        <v>1822</v>
      </c>
      <c r="B418" s="5" t="s">
        <v>1823</v>
      </c>
      <c r="C418" s="5" t="s">
        <v>950</v>
      </c>
      <c r="D418" s="5" t="s">
        <v>951</v>
      </c>
      <c r="E418" s="5" t="s">
        <v>1461</v>
      </c>
      <c r="F418" s="5" t="s">
        <v>1010</v>
      </c>
      <c r="G418" s="5" t="s">
        <v>994</v>
      </c>
      <c r="H418" s="5" t="s">
        <v>995</v>
      </c>
    </row>
    <row r="419" customFormat="false" ht="15" hidden="false" customHeight="true" outlineLevel="0" collapsed="false">
      <c r="A419" s="5" t="s">
        <v>1824</v>
      </c>
      <c r="B419" s="5" t="s">
        <v>1825</v>
      </c>
      <c r="C419" s="5" t="s">
        <v>936</v>
      </c>
      <c r="D419" s="5" t="s">
        <v>937</v>
      </c>
      <c r="E419" s="5" t="s">
        <v>1826</v>
      </c>
      <c r="F419" s="5" t="s">
        <v>1585</v>
      </c>
      <c r="G419" s="5" t="s">
        <v>1002</v>
      </c>
      <c r="H419" s="5" t="s">
        <v>974</v>
      </c>
    </row>
    <row r="420" customFormat="false" ht="15" hidden="false" customHeight="true" outlineLevel="0" collapsed="false">
      <c r="A420" s="5" t="s">
        <v>1827</v>
      </c>
      <c r="B420" s="5" t="s">
        <v>1828</v>
      </c>
      <c r="C420" s="5" t="s">
        <v>942</v>
      </c>
      <c r="D420" s="5" t="s">
        <v>943</v>
      </c>
      <c r="E420" s="5" t="s">
        <v>1564</v>
      </c>
      <c r="F420" s="5" t="s">
        <v>1582</v>
      </c>
      <c r="G420" s="5" t="s">
        <v>987</v>
      </c>
      <c r="H420" s="5" t="s">
        <v>974</v>
      </c>
    </row>
    <row r="421" customFormat="false" ht="15" hidden="false" customHeight="true" outlineLevel="0" collapsed="false">
      <c r="A421" s="5" t="s">
        <v>1829</v>
      </c>
      <c r="B421" s="5" t="s">
        <v>1830</v>
      </c>
      <c r="C421" s="5" t="s">
        <v>952</v>
      </c>
      <c r="D421" s="5" t="s">
        <v>953</v>
      </c>
      <c r="E421" s="5" t="s">
        <v>1512</v>
      </c>
      <c r="F421" s="5" t="s">
        <v>990</v>
      </c>
      <c r="G421" s="5" t="s">
        <v>987</v>
      </c>
      <c r="H421" s="5" t="s">
        <v>974</v>
      </c>
    </row>
    <row r="422" customFormat="false" ht="15" hidden="false" customHeight="true" outlineLevel="0" collapsed="false">
      <c r="A422" s="5" t="s">
        <v>1831</v>
      </c>
      <c r="B422" s="5" t="s">
        <v>1832</v>
      </c>
      <c r="C422" s="5" t="s">
        <v>921</v>
      </c>
      <c r="D422" s="5" t="s">
        <v>922</v>
      </c>
      <c r="E422" s="5" t="s">
        <v>1059</v>
      </c>
      <c r="F422" s="5" t="s">
        <v>986</v>
      </c>
      <c r="G422" s="5" t="s">
        <v>987</v>
      </c>
      <c r="H422" s="5" t="s">
        <v>974</v>
      </c>
    </row>
    <row r="423" customFormat="false" ht="15" hidden="false" customHeight="true" outlineLevel="0" collapsed="false">
      <c r="A423" s="5" t="s">
        <v>1833</v>
      </c>
      <c r="B423" s="5" t="s">
        <v>1834</v>
      </c>
      <c r="C423" s="5" t="s">
        <v>929</v>
      </c>
      <c r="D423" s="5" t="s">
        <v>930</v>
      </c>
      <c r="E423" s="5" t="s">
        <v>1005</v>
      </c>
      <c r="F423" s="5" t="s">
        <v>1006</v>
      </c>
      <c r="G423" s="5" t="s">
        <v>973</v>
      </c>
      <c r="H423" s="5" t="s">
        <v>995</v>
      </c>
    </row>
    <row r="424" customFormat="false" ht="15" hidden="false" customHeight="true" outlineLevel="0" collapsed="false">
      <c r="A424" s="5" t="s">
        <v>1835</v>
      </c>
      <c r="B424" s="5" t="s">
        <v>1836</v>
      </c>
      <c r="C424" s="5" t="s">
        <v>960</v>
      </c>
      <c r="D424" s="5" t="s">
        <v>961</v>
      </c>
      <c r="E424" s="5" t="s">
        <v>1383</v>
      </c>
      <c r="F424" s="5" t="s">
        <v>986</v>
      </c>
      <c r="G424" s="5" t="s">
        <v>1002</v>
      </c>
      <c r="H424" s="5" t="s">
        <v>974</v>
      </c>
    </row>
    <row r="425" customFormat="false" ht="15" hidden="false" customHeight="true" outlineLevel="0" collapsed="false">
      <c r="A425" s="5" t="s">
        <v>1837</v>
      </c>
      <c r="B425" s="5" t="s">
        <v>1838</v>
      </c>
      <c r="C425" s="5" t="s">
        <v>927</v>
      </c>
      <c r="D425" s="5" t="s">
        <v>928</v>
      </c>
      <c r="E425" s="5" t="s">
        <v>1048</v>
      </c>
      <c r="F425" s="5" t="s">
        <v>1010</v>
      </c>
      <c r="G425" s="5" t="s">
        <v>994</v>
      </c>
      <c r="H425" s="5" t="s">
        <v>974</v>
      </c>
    </row>
    <row r="426" customFormat="false" ht="15" hidden="false" customHeight="true" outlineLevel="0" collapsed="false">
      <c r="A426" s="5" t="s">
        <v>1839</v>
      </c>
      <c r="B426" s="5" t="s">
        <v>1840</v>
      </c>
      <c r="C426" s="5" t="s">
        <v>956</v>
      </c>
      <c r="D426" s="5" t="s">
        <v>957</v>
      </c>
      <c r="E426" s="5" t="s">
        <v>1490</v>
      </c>
      <c r="F426" s="5" t="s">
        <v>990</v>
      </c>
      <c r="G426" s="5" t="s">
        <v>994</v>
      </c>
      <c r="H426" s="5" t="s">
        <v>974</v>
      </c>
    </row>
    <row r="427" customFormat="false" ht="15" hidden="false" customHeight="true" outlineLevel="0" collapsed="false">
      <c r="A427" s="5" t="s">
        <v>1841</v>
      </c>
      <c r="B427" s="5" t="s">
        <v>1842</v>
      </c>
      <c r="C427" s="5" t="s">
        <v>927</v>
      </c>
      <c r="D427" s="5" t="s">
        <v>928</v>
      </c>
      <c r="E427" s="5" t="s">
        <v>1030</v>
      </c>
      <c r="F427" s="5" t="s">
        <v>1010</v>
      </c>
      <c r="G427" s="5" t="s">
        <v>987</v>
      </c>
      <c r="H427" s="5" t="s">
        <v>974</v>
      </c>
    </row>
    <row r="428" customFormat="false" ht="15" hidden="false" customHeight="true" outlineLevel="0" collapsed="false">
      <c r="A428" s="5" t="s">
        <v>1843</v>
      </c>
      <c r="B428" s="5" t="s">
        <v>1844</v>
      </c>
      <c r="C428" s="5" t="s">
        <v>935</v>
      </c>
      <c r="D428" s="5" t="s">
        <v>930</v>
      </c>
      <c r="E428" s="5" t="s">
        <v>1502</v>
      </c>
      <c r="F428" s="5" t="s">
        <v>1598</v>
      </c>
      <c r="G428" s="5" t="s">
        <v>982</v>
      </c>
      <c r="H428" s="5" t="s">
        <v>974</v>
      </c>
    </row>
    <row r="429" customFormat="false" ht="15" hidden="false" customHeight="true" outlineLevel="0" collapsed="false">
      <c r="A429" s="5" t="s">
        <v>1845</v>
      </c>
      <c r="B429" s="5" t="s">
        <v>1846</v>
      </c>
      <c r="C429" s="5" t="s">
        <v>925</v>
      </c>
      <c r="D429" s="5" t="s">
        <v>926</v>
      </c>
      <c r="E429" s="5" t="s">
        <v>1051</v>
      </c>
      <c r="F429" s="5" t="s">
        <v>990</v>
      </c>
      <c r="G429" s="5" t="s">
        <v>994</v>
      </c>
      <c r="H429" s="5" t="s">
        <v>974</v>
      </c>
    </row>
    <row r="430" customFormat="false" ht="15" hidden="false" customHeight="true" outlineLevel="0" collapsed="false">
      <c r="A430" s="5" t="s">
        <v>1847</v>
      </c>
      <c r="B430" s="5" t="s">
        <v>1848</v>
      </c>
      <c r="C430" s="5" t="s">
        <v>952</v>
      </c>
      <c r="D430" s="5" t="s">
        <v>953</v>
      </c>
      <c r="E430" s="5" t="s">
        <v>1773</v>
      </c>
      <c r="F430" s="5" t="s">
        <v>1598</v>
      </c>
      <c r="G430" s="5" t="s">
        <v>982</v>
      </c>
      <c r="H430" s="5" t="s">
        <v>974</v>
      </c>
    </row>
    <row r="431" customFormat="false" ht="15" hidden="false" customHeight="true" outlineLevel="0" collapsed="false">
      <c r="A431" s="5" t="s">
        <v>1849</v>
      </c>
      <c r="B431" s="5" t="s">
        <v>1850</v>
      </c>
      <c r="C431" s="5" t="s">
        <v>944</v>
      </c>
      <c r="D431" s="5" t="s">
        <v>945</v>
      </c>
      <c r="E431" s="5" t="s">
        <v>1426</v>
      </c>
      <c r="F431" s="5" t="s">
        <v>1585</v>
      </c>
      <c r="G431" s="5" t="s">
        <v>994</v>
      </c>
      <c r="H431" s="5" t="s">
        <v>974</v>
      </c>
    </row>
    <row r="432" customFormat="false" ht="15" hidden="false" customHeight="true" outlineLevel="0" collapsed="false">
      <c r="A432" s="5" t="s">
        <v>1851</v>
      </c>
      <c r="B432" s="5" t="s">
        <v>1852</v>
      </c>
      <c r="C432" s="5" t="s">
        <v>954</v>
      </c>
      <c r="D432" s="5" t="s">
        <v>955</v>
      </c>
      <c r="E432" s="5" t="s">
        <v>1853</v>
      </c>
      <c r="F432" s="5" t="s">
        <v>1006</v>
      </c>
      <c r="G432" s="5" t="s">
        <v>982</v>
      </c>
      <c r="H432" s="5" t="s">
        <v>974</v>
      </c>
    </row>
    <row r="433" customFormat="false" ht="15" hidden="false" customHeight="true" outlineLevel="0" collapsed="false">
      <c r="A433" s="5" t="s">
        <v>1854</v>
      </c>
      <c r="B433" s="5" t="s">
        <v>1855</v>
      </c>
      <c r="C433" s="5" t="s">
        <v>948</v>
      </c>
      <c r="D433" s="5" t="s">
        <v>949</v>
      </c>
      <c r="E433" s="5" t="s">
        <v>1444</v>
      </c>
      <c r="F433" s="5" t="s">
        <v>1594</v>
      </c>
      <c r="G433" s="5" t="s">
        <v>982</v>
      </c>
      <c r="H433" s="5" t="s">
        <v>974</v>
      </c>
    </row>
    <row r="434" customFormat="false" ht="15" hidden="false" customHeight="true" outlineLevel="0" collapsed="false">
      <c r="A434" s="5" t="s">
        <v>1856</v>
      </c>
      <c r="B434" s="5" t="s">
        <v>1857</v>
      </c>
      <c r="C434" s="5" t="s">
        <v>950</v>
      </c>
      <c r="D434" s="5" t="s">
        <v>951</v>
      </c>
      <c r="E434" s="5" t="s">
        <v>1394</v>
      </c>
      <c r="F434" s="5" t="s">
        <v>1582</v>
      </c>
      <c r="G434" s="5" t="s">
        <v>987</v>
      </c>
      <c r="H434" s="5" t="s">
        <v>974</v>
      </c>
    </row>
    <row r="435" customFormat="false" ht="15" hidden="false" customHeight="true" outlineLevel="0" collapsed="false">
      <c r="A435" s="5" t="s">
        <v>1858</v>
      </c>
      <c r="B435" s="5" t="s">
        <v>1859</v>
      </c>
      <c r="C435" s="5" t="s">
        <v>933</v>
      </c>
      <c r="D435" s="5" t="s">
        <v>934</v>
      </c>
      <c r="E435" s="5" t="s">
        <v>1371</v>
      </c>
      <c r="F435" s="5" t="s">
        <v>1006</v>
      </c>
      <c r="G435" s="5" t="s">
        <v>994</v>
      </c>
      <c r="H435" s="5" t="s">
        <v>995</v>
      </c>
    </row>
    <row r="436" customFormat="false" ht="15" hidden="false" customHeight="true" outlineLevel="0" collapsed="false">
      <c r="A436" s="5" t="s">
        <v>1860</v>
      </c>
      <c r="B436" s="5" t="s">
        <v>1861</v>
      </c>
      <c r="C436" s="5" t="s">
        <v>952</v>
      </c>
      <c r="D436" s="5" t="s">
        <v>953</v>
      </c>
      <c r="E436" s="5" t="s">
        <v>1437</v>
      </c>
      <c r="F436" s="5" t="s">
        <v>1010</v>
      </c>
      <c r="G436" s="5" t="s">
        <v>987</v>
      </c>
      <c r="H436" s="5" t="s">
        <v>974</v>
      </c>
    </row>
    <row r="437" customFormat="false" ht="15" hidden="false" customHeight="true" outlineLevel="0" collapsed="false">
      <c r="A437" s="5" t="s">
        <v>1862</v>
      </c>
      <c r="B437" s="5" t="s">
        <v>1863</v>
      </c>
      <c r="C437" s="5" t="s">
        <v>956</v>
      </c>
      <c r="D437" s="5" t="s">
        <v>957</v>
      </c>
      <c r="E437" s="5" t="s">
        <v>1414</v>
      </c>
      <c r="F437" s="5" t="s">
        <v>986</v>
      </c>
      <c r="G437" s="5" t="s">
        <v>973</v>
      </c>
      <c r="H437" s="5" t="s">
        <v>974</v>
      </c>
    </row>
    <row r="438" customFormat="false" ht="15" hidden="false" customHeight="true" outlineLevel="0" collapsed="false">
      <c r="A438" s="5" t="s">
        <v>1864</v>
      </c>
      <c r="B438" s="5" t="s">
        <v>1865</v>
      </c>
      <c r="C438" s="5" t="s">
        <v>944</v>
      </c>
      <c r="D438" s="5" t="s">
        <v>945</v>
      </c>
      <c r="E438" s="5" t="s">
        <v>1447</v>
      </c>
      <c r="F438" s="5" t="s">
        <v>1585</v>
      </c>
      <c r="G438" s="5" t="s">
        <v>994</v>
      </c>
      <c r="H438" s="5" t="s">
        <v>974</v>
      </c>
    </row>
    <row r="439" customFormat="false" ht="15" hidden="false" customHeight="true" outlineLevel="0" collapsed="false">
      <c r="A439" s="5" t="s">
        <v>1866</v>
      </c>
      <c r="B439" s="5" t="s">
        <v>1867</v>
      </c>
      <c r="C439" s="5" t="s">
        <v>954</v>
      </c>
      <c r="D439" s="5" t="s">
        <v>955</v>
      </c>
      <c r="E439" s="5" t="s">
        <v>1359</v>
      </c>
      <c r="F439" s="5" t="s">
        <v>1594</v>
      </c>
      <c r="G439" s="5" t="s">
        <v>987</v>
      </c>
      <c r="H439" s="5" t="s">
        <v>974</v>
      </c>
    </row>
    <row r="440" customFormat="false" ht="15" hidden="false" customHeight="true" outlineLevel="0" collapsed="false">
      <c r="A440" s="5" t="s">
        <v>1868</v>
      </c>
      <c r="B440" s="5" t="s">
        <v>1869</v>
      </c>
      <c r="C440" s="5" t="s">
        <v>936</v>
      </c>
      <c r="D440" s="5" t="s">
        <v>937</v>
      </c>
      <c r="E440" s="5" t="s">
        <v>1391</v>
      </c>
      <c r="F440" s="5" t="s">
        <v>981</v>
      </c>
      <c r="G440" s="5" t="s">
        <v>1002</v>
      </c>
      <c r="H440" s="5" t="s">
        <v>974</v>
      </c>
    </row>
    <row r="441" customFormat="false" ht="15" hidden="false" customHeight="true" outlineLevel="0" collapsed="false">
      <c r="A441" s="5" t="s">
        <v>1870</v>
      </c>
      <c r="B441" s="5" t="s">
        <v>1871</v>
      </c>
      <c r="C441" s="5" t="s">
        <v>954</v>
      </c>
      <c r="D441" s="5" t="s">
        <v>955</v>
      </c>
      <c r="E441" s="5" t="s">
        <v>1359</v>
      </c>
      <c r="F441" s="5" t="s">
        <v>990</v>
      </c>
      <c r="G441" s="5" t="s">
        <v>973</v>
      </c>
      <c r="H441" s="5" t="s">
        <v>974</v>
      </c>
    </row>
    <row r="442" customFormat="false" ht="15" hidden="false" customHeight="true" outlineLevel="0" collapsed="false">
      <c r="A442" s="5" t="s">
        <v>1872</v>
      </c>
      <c r="B442" s="5" t="s">
        <v>1873</v>
      </c>
      <c r="C442" s="5" t="s">
        <v>954</v>
      </c>
      <c r="D442" s="5" t="s">
        <v>955</v>
      </c>
      <c r="E442" s="5" t="s">
        <v>1708</v>
      </c>
      <c r="F442" s="5" t="s">
        <v>1594</v>
      </c>
      <c r="G442" s="5" t="s">
        <v>982</v>
      </c>
      <c r="H442" s="5" t="s">
        <v>995</v>
      </c>
    </row>
    <row r="443" customFormat="false" ht="15" hidden="false" customHeight="true" outlineLevel="0" collapsed="false">
      <c r="A443" s="5" t="s">
        <v>1874</v>
      </c>
      <c r="B443" s="5" t="s">
        <v>1875</v>
      </c>
      <c r="C443" s="5" t="s">
        <v>938</v>
      </c>
      <c r="D443" s="5" t="s">
        <v>939</v>
      </c>
      <c r="E443" s="5" t="s">
        <v>1505</v>
      </c>
      <c r="F443" s="5" t="s">
        <v>1598</v>
      </c>
      <c r="G443" s="5" t="s">
        <v>987</v>
      </c>
      <c r="H443" s="5" t="s">
        <v>974</v>
      </c>
    </row>
    <row r="444" customFormat="false" ht="15" hidden="false" customHeight="true" outlineLevel="0" collapsed="false">
      <c r="A444" s="5" t="s">
        <v>1876</v>
      </c>
      <c r="B444" s="5" t="s">
        <v>1877</v>
      </c>
      <c r="C444" s="5" t="s">
        <v>938</v>
      </c>
      <c r="D444" s="5" t="s">
        <v>939</v>
      </c>
      <c r="E444" s="5" t="s">
        <v>1558</v>
      </c>
      <c r="F444" s="5" t="s">
        <v>1582</v>
      </c>
      <c r="G444" s="5" t="s">
        <v>987</v>
      </c>
      <c r="H444" s="5" t="s">
        <v>995</v>
      </c>
    </row>
    <row r="445" customFormat="false" ht="15" hidden="false" customHeight="true" outlineLevel="0" collapsed="false">
      <c r="A445" s="5" t="s">
        <v>1878</v>
      </c>
      <c r="B445" s="5" t="s">
        <v>1879</v>
      </c>
      <c r="C445" s="5" t="s">
        <v>942</v>
      </c>
      <c r="D445" s="5" t="s">
        <v>943</v>
      </c>
      <c r="E445" s="5" t="s">
        <v>1564</v>
      </c>
      <c r="F445" s="5" t="s">
        <v>1010</v>
      </c>
      <c r="G445" s="5" t="s">
        <v>973</v>
      </c>
      <c r="H445" s="5" t="s">
        <v>974</v>
      </c>
    </row>
    <row r="446" customFormat="false" ht="15" hidden="false" customHeight="true" outlineLevel="0" collapsed="false">
      <c r="A446" s="5" t="s">
        <v>1880</v>
      </c>
      <c r="B446" s="5" t="s">
        <v>1881</v>
      </c>
      <c r="C446" s="5" t="s">
        <v>956</v>
      </c>
      <c r="D446" s="5" t="s">
        <v>957</v>
      </c>
      <c r="E446" s="5" t="s">
        <v>1490</v>
      </c>
      <c r="F446" s="5" t="s">
        <v>1576</v>
      </c>
      <c r="G446" s="5" t="s">
        <v>1002</v>
      </c>
      <c r="H446" s="5" t="s">
        <v>974</v>
      </c>
    </row>
    <row r="447" customFormat="false" ht="15" hidden="false" customHeight="true" outlineLevel="0" collapsed="false">
      <c r="A447" s="5" t="s">
        <v>1882</v>
      </c>
      <c r="B447" s="5" t="s">
        <v>1883</v>
      </c>
      <c r="C447" s="5" t="s">
        <v>950</v>
      </c>
      <c r="D447" s="5" t="s">
        <v>951</v>
      </c>
      <c r="E447" s="5" t="s">
        <v>1461</v>
      </c>
      <c r="F447" s="5" t="s">
        <v>1612</v>
      </c>
      <c r="G447" s="5" t="s">
        <v>1002</v>
      </c>
      <c r="H447" s="5" t="s">
        <v>995</v>
      </c>
    </row>
    <row r="448" customFormat="false" ht="15" hidden="false" customHeight="true" outlineLevel="0" collapsed="false">
      <c r="A448" s="5" t="s">
        <v>1884</v>
      </c>
      <c r="B448" s="5" t="s">
        <v>1885</v>
      </c>
      <c r="C448" s="5" t="s">
        <v>921</v>
      </c>
      <c r="D448" s="5" t="s">
        <v>922</v>
      </c>
      <c r="E448" s="5" t="s">
        <v>1157</v>
      </c>
      <c r="F448" s="5" t="s">
        <v>981</v>
      </c>
      <c r="G448" s="5" t="s">
        <v>973</v>
      </c>
      <c r="H448" s="5" t="s">
        <v>974</v>
      </c>
    </row>
    <row r="449" customFormat="false" ht="15" hidden="false" customHeight="true" outlineLevel="0" collapsed="false">
      <c r="A449" s="5" t="s">
        <v>1886</v>
      </c>
      <c r="B449" s="5" t="s">
        <v>1887</v>
      </c>
      <c r="C449" s="5" t="s">
        <v>958</v>
      </c>
      <c r="D449" s="5" t="s">
        <v>959</v>
      </c>
      <c r="E449" s="5" t="s">
        <v>1603</v>
      </c>
      <c r="F449" s="5" t="s">
        <v>1598</v>
      </c>
      <c r="G449" s="5" t="s">
        <v>973</v>
      </c>
      <c r="H449" s="5" t="s">
        <v>995</v>
      </c>
    </row>
    <row r="450" customFormat="false" ht="15" hidden="false" customHeight="true" outlineLevel="0" collapsed="false">
      <c r="A450" s="5" t="s">
        <v>1888</v>
      </c>
      <c r="B450" s="5" t="s">
        <v>1889</v>
      </c>
      <c r="C450" s="5" t="s">
        <v>918</v>
      </c>
      <c r="D450" s="5" t="s">
        <v>919</v>
      </c>
      <c r="E450" s="5" t="s">
        <v>998</v>
      </c>
      <c r="F450" s="5" t="s">
        <v>1010</v>
      </c>
      <c r="G450" s="5" t="s">
        <v>987</v>
      </c>
      <c r="H450" s="5" t="s">
        <v>974</v>
      </c>
    </row>
    <row r="451" customFormat="false" ht="15" hidden="false" customHeight="true" outlineLevel="0" collapsed="false">
      <c r="A451" s="5" t="s">
        <v>1890</v>
      </c>
      <c r="B451" s="5" t="s">
        <v>1891</v>
      </c>
      <c r="C451" s="5" t="s">
        <v>948</v>
      </c>
      <c r="D451" s="5" t="s">
        <v>949</v>
      </c>
      <c r="E451" s="5" t="s">
        <v>1444</v>
      </c>
      <c r="F451" s="5" t="s">
        <v>1598</v>
      </c>
      <c r="G451" s="5" t="s">
        <v>987</v>
      </c>
      <c r="H451" s="5" t="s">
        <v>995</v>
      </c>
    </row>
    <row r="452" customFormat="false" ht="15" hidden="false" customHeight="true" outlineLevel="0" collapsed="false">
      <c r="A452" s="5" t="s">
        <v>1892</v>
      </c>
      <c r="B452" s="5" t="s">
        <v>1893</v>
      </c>
      <c r="C452" s="5" t="s">
        <v>931</v>
      </c>
      <c r="D452" s="5" t="s">
        <v>932</v>
      </c>
      <c r="E452" s="5" t="s">
        <v>971</v>
      </c>
      <c r="F452" s="5" t="s">
        <v>1576</v>
      </c>
      <c r="G452" s="5" t="s">
        <v>994</v>
      </c>
      <c r="H452" s="5" t="s">
        <v>995</v>
      </c>
    </row>
    <row r="453" customFormat="false" ht="15" hidden="false" customHeight="true" outlineLevel="0" collapsed="false">
      <c r="A453" s="5" t="s">
        <v>1894</v>
      </c>
      <c r="B453" s="5" t="s">
        <v>1895</v>
      </c>
      <c r="C453" s="5" t="s">
        <v>952</v>
      </c>
      <c r="D453" s="5" t="s">
        <v>953</v>
      </c>
      <c r="E453" s="5" t="s">
        <v>1512</v>
      </c>
      <c r="F453" s="5" t="s">
        <v>1594</v>
      </c>
      <c r="G453" s="5" t="s">
        <v>1002</v>
      </c>
      <c r="H453" s="5" t="s">
        <v>974</v>
      </c>
    </row>
    <row r="454" customFormat="false" ht="15" hidden="false" customHeight="true" outlineLevel="0" collapsed="false">
      <c r="A454" s="5" t="s">
        <v>1896</v>
      </c>
      <c r="B454" s="5" t="s">
        <v>1897</v>
      </c>
      <c r="C454" s="5" t="s">
        <v>938</v>
      </c>
      <c r="D454" s="5" t="s">
        <v>939</v>
      </c>
      <c r="E454" s="5" t="s">
        <v>1898</v>
      </c>
      <c r="F454" s="5" t="s">
        <v>1582</v>
      </c>
      <c r="G454" s="5" t="s">
        <v>1002</v>
      </c>
      <c r="H454" s="5" t="s">
        <v>974</v>
      </c>
    </row>
    <row r="455" customFormat="false" ht="15" hidden="false" customHeight="true" outlineLevel="0" collapsed="false">
      <c r="A455" s="5" t="s">
        <v>1899</v>
      </c>
      <c r="B455" s="5" t="s">
        <v>1900</v>
      </c>
      <c r="C455" s="5" t="s">
        <v>948</v>
      </c>
      <c r="D455" s="5" t="s">
        <v>949</v>
      </c>
      <c r="E455" s="5" t="s">
        <v>1444</v>
      </c>
      <c r="F455" s="5" t="s">
        <v>1594</v>
      </c>
      <c r="G455" s="5" t="s">
        <v>987</v>
      </c>
      <c r="H455" s="5" t="s">
        <v>974</v>
      </c>
    </row>
    <row r="456" customFormat="false" ht="15" hidden="false" customHeight="true" outlineLevel="0" collapsed="false">
      <c r="A456" s="5" t="s">
        <v>1901</v>
      </c>
      <c r="B456" s="5" t="s">
        <v>1902</v>
      </c>
      <c r="C456" s="5" t="s">
        <v>942</v>
      </c>
      <c r="D456" s="5" t="s">
        <v>943</v>
      </c>
      <c r="E456" s="5" t="s">
        <v>1564</v>
      </c>
      <c r="F456" s="5" t="s">
        <v>981</v>
      </c>
      <c r="G456" s="5" t="s">
        <v>994</v>
      </c>
      <c r="H456" s="5" t="s">
        <v>995</v>
      </c>
    </row>
    <row r="457" customFormat="false" ht="15" hidden="false" customHeight="true" outlineLevel="0" collapsed="false">
      <c r="A457" s="5" t="s">
        <v>1903</v>
      </c>
      <c r="B457" s="5" t="s">
        <v>1904</v>
      </c>
      <c r="C457" s="5" t="s">
        <v>960</v>
      </c>
      <c r="D457" s="5" t="s">
        <v>961</v>
      </c>
      <c r="E457" s="5" t="s">
        <v>1374</v>
      </c>
      <c r="F457" s="5" t="s">
        <v>972</v>
      </c>
      <c r="G457" s="5" t="s">
        <v>982</v>
      </c>
      <c r="H457" s="5" t="s">
        <v>974</v>
      </c>
    </row>
    <row r="458" customFormat="false" ht="15" hidden="false" customHeight="true" outlineLevel="0" collapsed="false">
      <c r="A458" s="5" t="s">
        <v>1905</v>
      </c>
      <c r="B458" s="5" t="s">
        <v>1906</v>
      </c>
      <c r="C458" s="5" t="s">
        <v>921</v>
      </c>
      <c r="D458" s="5" t="s">
        <v>922</v>
      </c>
      <c r="E458" s="5" t="s">
        <v>1059</v>
      </c>
      <c r="F458" s="5" t="s">
        <v>1010</v>
      </c>
      <c r="G458" s="5" t="s">
        <v>982</v>
      </c>
      <c r="H458" s="5" t="s">
        <v>974</v>
      </c>
    </row>
    <row r="459" customFormat="false" ht="15" hidden="false" customHeight="true" outlineLevel="0" collapsed="false">
      <c r="A459" s="5" t="s">
        <v>1907</v>
      </c>
      <c r="B459" s="5" t="s">
        <v>1908</v>
      </c>
      <c r="C459" s="5" t="s">
        <v>935</v>
      </c>
      <c r="D459" s="5" t="s">
        <v>930</v>
      </c>
      <c r="E459" s="5" t="s">
        <v>1723</v>
      </c>
      <c r="F459" s="5" t="s">
        <v>1006</v>
      </c>
      <c r="G459" s="5" t="s">
        <v>994</v>
      </c>
      <c r="H459" s="5" t="s">
        <v>974</v>
      </c>
    </row>
    <row r="460" customFormat="false" ht="15" hidden="false" customHeight="true" outlineLevel="0" collapsed="false">
      <c r="A460" s="5" t="s">
        <v>1909</v>
      </c>
      <c r="B460" s="5" t="s">
        <v>1910</v>
      </c>
      <c r="C460" s="5" t="s">
        <v>933</v>
      </c>
      <c r="D460" s="5" t="s">
        <v>934</v>
      </c>
      <c r="E460" s="5" t="s">
        <v>1660</v>
      </c>
      <c r="F460" s="5" t="s">
        <v>1582</v>
      </c>
      <c r="G460" s="5" t="s">
        <v>994</v>
      </c>
      <c r="H460" s="5" t="s">
        <v>974</v>
      </c>
    </row>
    <row r="461" customFormat="false" ht="15" hidden="false" customHeight="true" outlineLevel="0" collapsed="false">
      <c r="A461" s="5" t="s">
        <v>1911</v>
      </c>
      <c r="B461" s="5" t="s">
        <v>1912</v>
      </c>
      <c r="C461" s="5" t="s">
        <v>927</v>
      </c>
      <c r="D461" s="5" t="s">
        <v>928</v>
      </c>
      <c r="E461" s="5" t="s">
        <v>1048</v>
      </c>
      <c r="F461" s="5" t="s">
        <v>972</v>
      </c>
      <c r="G461" s="5" t="s">
        <v>973</v>
      </c>
      <c r="H461" s="5" t="s">
        <v>995</v>
      </c>
    </row>
    <row r="462" customFormat="false" ht="15" hidden="false" customHeight="true" outlineLevel="0" collapsed="false">
      <c r="A462" s="5" t="s">
        <v>1913</v>
      </c>
      <c r="B462" s="5" t="s">
        <v>1914</v>
      </c>
      <c r="C462" s="5" t="s">
        <v>946</v>
      </c>
      <c r="D462" s="5" t="s">
        <v>947</v>
      </c>
      <c r="E462" s="5" t="s">
        <v>1517</v>
      </c>
      <c r="F462" s="5" t="s">
        <v>972</v>
      </c>
      <c r="G462" s="5" t="s">
        <v>994</v>
      </c>
      <c r="H462" s="5" t="s">
        <v>974</v>
      </c>
    </row>
    <row r="463" customFormat="false" ht="15" hidden="false" customHeight="true" outlineLevel="0" collapsed="false">
      <c r="A463" s="5" t="s">
        <v>1915</v>
      </c>
      <c r="B463" s="5" t="s">
        <v>1916</v>
      </c>
      <c r="C463" s="5" t="s">
        <v>948</v>
      </c>
      <c r="D463" s="5" t="s">
        <v>949</v>
      </c>
      <c r="E463" s="5" t="s">
        <v>1579</v>
      </c>
      <c r="F463" s="5" t="s">
        <v>1598</v>
      </c>
      <c r="G463" s="5" t="s">
        <v>987</v>
      </c>
      <c r="H463" s="5" t="s">
        <v>974</v>
      </c>
    </row>
    <row r="464" customFormat="false" ht="15" hidden="false" customHeight="true" outlineLevel="0" collapsed="false">
      <c r="A464" s="5" t="s">
        <v>1917</v>
      </c>
      <c r="B464" s="5" t="s">
        <v>1918</v>
      </c>
      <c r="C464" s="5" t="s">
        <v>948</v>
      </c>
      <c r="D464" s="5" t="s">
        <v>949</v>
      </c>
      <c r="E464" s="5" t="s">
        <v>1579</v>
      </c>
      <c r="F464" s="5" t="s">
        <v>1582</v>
      </c>
      <c r="G464" s="5" t="s">
        <v>973</v>
      </c>
      <c r="H464" s="5" t="s">
        <v>974</v>
      </c>
    </row>
    <row r="465" customFormat="false" ht="15" hidden="false" customHeight="true" outlineLevel="0" collapsed="false">
      <c r="A465" s="5" t="s">
        <v>1919</v>
      </c>
      <c r="B465" s="5" t="s">
        <v>1920</v>
      </c>
      <c r="C465" s="5" t="s">
        <v>929</v>
      </c>
      <c r="D465" s="5" t="s">
        <v>930</v>
      </c>
      <c r="E465" s="5" t="s">
        <v>1097</v>
      </c>
      <c r="F465" s="5" t="s">
        <v>972</v>
      </c>
      <c r="G465" s="5" t="s">
        <v>987</v>
      </c>
      <c r="H465" s="5" t="s">
        <v>974</v>
      </c>
    </row>
    <row r="466" customFormat="false" ht="15" hidden="false" customHeight="true" outlineLevel="0" collapsed="false">
      <c r="A466" s="5" t="s">
        <v>1921</v>
      </c>
      <c r="B466" s="5" t="s">
        <v>1922</v>
      </c>
      <c r="C466" s="5" t="s">
        <v>958</v>
      </c>
      <c r="D466" s="5" t="s">
        <v>959</v>
      </c>
      <c r="E466" s="5" t="s">
        <v>1603</v>
      </c>
      <c r="F466" s="5" t="s">
        <v>1006</v>
      </c>
      <c r="G466" s="5" t="s">
        <v>987</v>
      </c>
      <c r="H466" s="5" t="s">
        <v>995</v>
      </c>
    </row>
    <row r="467" customFormat="false" ht="15" hidden="false" customHeight="true" outlineLevel="0" collapsed="false">
      <c r="A467" s="5" t="s">
        <v>1923</v>
      </c>
      <c r="B467" s="5" t="s">
        <v>1924</v>
      </c>
      <c r="C467" s="5" t="s">
        <v>944</v>
      </c>
      <c r="D467" s="5" t="s">
        <v>945</v>
      </c>
      <c r="E467" s="5" t="s">
        <v>1426</v>
      </c>
      <c r="F467" s="5" t="s">
        <v>990</v>
      </c>
      <c r="G467" s="5" t="s">
        <v>982</v>
      </c>
      <c r="H467" s="5" t="s">
        <v>974</v>
      </c>
    </row>
    <row r="468" customFormat="false" ht="15" hidden="false" customHeight="true" outlineLevel="0" collapsed="false">
      <c r="A468" s="5" t="s">
        <v>1925</v>
      </c>
      <c r="B468" s="5" t="s">
        <v>1926</v>
      </c>
      <c r="C468" s="5" t="s">
        <v>960</v>
      </c>
      <c r="D468" s="5" t="s">
        <v>961</v>
      </c>
      <c r="E468" s="5" t="s">
        <v>1927</v>
      </c>
      <c r="F468" s="5" t="s">
        <v>990</v>
      </c>
      <c r="G468" s="5" t="s">
        <v>994</v>
      </c>
      <c r="H468" s="5" t="s">
        <v>995</v>
      </c>
    </row>
    <row r="469" customFormat="false" ht="15" hidden="false" customHeight="true" outlineLevel="0" collapsed="false">
      <c r="A469" s="5" t="s">
        <v>1928</v>
      </c>
      <c r="B469" s="5" t="s">
        <v>1929</v>
      </c>
      <c r="C469" s="5" t="s">
        <v>958</v>
      </c>
      <c r="D469" s="5" t="s">
        <v>959</v>
      </c>
      <c r="E469" s="5" t="s">
        <v>1368</v>
      </c>
      <c r="F469" s="5" t="s">
        <v>1598</v>
      </c>
      <c r="G469" s="5" t="s">
        <v>973</v>
      </c>
      <c r="H469" s="5" t="s">
        <v>974</v>
      </c>
    </row>
    <row r="470" customFormat="false" ht="15" hidden="false" customHeight="true" outlineLevel="0" collapsed="false">
      <c r="A470" s="5" t="s">
        <v>1930</v>
      </c>
      <c r="B470" s="5" t="s">
        <v>1931</v>
      </c>
      <c r="C470" s="5" t="s">
        <v>921</v>
      </c>
      <c r="D470" s="5" t="s">
        <v>922</v>
      </c>
      <c r="E470" s="5" t="s">
        <v>1023</v>
      </c>
      <c r="F470" s="5" t="s">
        <v>1582</v>
      </c>
      <c r="G470" s="5" t="s">
        <v>982</v>
      </c>
      <c r="H470" s="5" t="s">
        <v>974</v>
      </c>
    </row>
    <row r="471" customFormat="false" ht="15" hidden="false" customHeight="true" outlineLevel="0" collapsed="false">
      <c r="A471" s="5" t="s">
        <v>1932</v>
      </c>
      <c r="B471" s="5" t="s">
        <v>1933</v>
      </c>
      <c r="C471" s="5" t="s">
        <v>960</v>
      </c>
      <c r="D471" s="5" t="s">
        <v>961</v>
      </c>
      <c r="E471" s="5" t="s">
        <v>1374</v>
      </c>
      <c r="F471" s="5" t="s">
        <v>1010</v>
      </c>
      <c r="G471" s="5" t="s">
        <v>973</v>
      </c>
      <c r="H471" s="5" t="s">
        <v>974</v>
      </c>
    </row>
    <row r="472" customFormat="false" ht="15" hidden="false" customHeight="true" outlineLevel="0" collapsed="false">
      <c r="A472" s="5" t="s">
        <v>1934</v>
      </c>
      <c r="B472" s="5" t="s">
        <v>1935</v>
      </c>
      <c r="C472" s="5" t="s">
        <v>950</v>
      </c>
      <c r="D472" s="5" t="s">
        <v>951</v>
      </c>
      <c r="E472" s="5" t="s">
        <v>1394</v>
      </c>
      <c r="F472" s="5" t="s">
        <v>1010</v>
      </c>
      <c r="G472" s="5" t="s">
        <v>987</v>
      </c>
      <c r="H472" s="5" t="s">
        <v>974</v>
      </c>
    </row>
    <row r="473" customFormat="false" ht="15" hidden="false" customHeight="true" outlineLevel="0" collapsed="false">
      <c r="A473" s="5" t="s">
        <v>1936</v>
      </c>
      <c r="B473" s="5" t="s">
        <v>1937</v>
      </c>
      <c r="C473" s="5" t="s">
        <v>962</v>
      </c>
      <c r="D473" s="5" t="s">
        <v>962</v>
      </c>
      <c r="E473" s="5" t="s">
        <v>1497</v>
      </c>
      <c r="F473" s="5" t="s">
        <v>972</v>
      </c>
      <c r="G473" s="5" t="s">
        <v>1002</v>
      </c>
      <c r="H473" s="5" t="s">
        <v>974</v>
      </c>
    </row>
    <row r="474" customFormat="false" ht="15" hidden="false" customHeight="true" outlineLevel="0" collapsed="false">
      <c r="A474" s="5" t="s">
        <v>1938</v>
      </c>
      <c r="B474" s="5" t="s">
        <v>1939</v>
      </c>
      <c r="C474" s="5" t="s">
        <v>962</v>
      </c>
      <c r="D474" s="5" t="s">
        <v>962</v>
      </c>
      <c r="E474" s="5" t="s">
        <v>1497</v>
      </c>
      <c r="F474" s="5" t="s">
        <v>1582</v>
      </c>
      <c r="G474" s="5" t="s">
        <v>987</v>
      </c>
      <c r="H474" s="5" t="s">
        <v>974</v>
      </c>
    </row>
    <row r="475" customFormat="false" ht="15" hidden="false" customHeight="true" outlineLevel="0" collapsed="false">
      <c r="A475" s="5" t="s">
        <v>1940</v>
      </c>
      <c r="B475" s="5" t="s">
        <v>1941</v>
      </c>
      <c r="C475" s="5" t="s">
        <v>936</v>
      </c>
      <c r="D475" s="5" t="s">
        <v>937</v>
      </c>
      <c r="E475" s="5" t="s">
        <v>1365</v>
      </c>
      <c r="F475" s="5" t="s">
        <v>972</v>
      </c>
      <c r="G475" s="5" t="s">
        <v>994</v>
      </c>
      <c r="H475" s="5" t="s">
        <v>974</v>
      </c>
    </row>
    <row r="476" customFormat="false" ht="15" hidden="false" customHeight="true" outlineLevel="0" collapsed="false">
      <c r="A476" s="5" t="s">
        <v>1942</v>
      </c>
      <c r="B476" s="5" t="s">
        <v>1943</v>
      </c>
      <c r="C476" s="5" t="s">
        <v>950</v>
      </c>
      <c r="D476" s="5" t="s">
        <v>951</v>
      </c>
      <c r="E476" s="5" t="s">
        <v>1461</v>
      </c>
      <c r="F476" s="5" t="s">
        <v>1582</v>
      </c>
      <c r="G476" s="5" t="s">
        <v>994</v>
      </c>
      <c r="H476" s="5" t="s">
        <v>974</v>
      </c>
    </row>
    <row r="477" customFormat="false" ht="15" hidden="false" customHeight="true" outlineLevel="0" collapsed="false">
      <c r="A477" s="5" t="s">
        <v>1944</v>
      </c>
      <c r="B477" s="5" t="s">
        <v>1945</v>
      </c>
      <c r="C477" s="5" t="s">
        <v>935</v>
      </c>
      <c r="D477" s="5" t="s">
        <v>930</v>
      </c>
      <c r="E477" s="5" t="s">
        <v>1723</v>
      </c>
      <c r="F477" s="5" t="s">
        <v>1576</v>
      </c>
      <c r="G477" s="5" t="s">
        <v>973</v>
      </c>
      <c r="H477" s="5" t="s">
        <v>974</v>
      </c>
    </row>
    <row r="478" customFormat="false" ht="15" hidden="false" customHeight="true" outlineLevel="0" collapsed="false">
      <c r="A478" s="5" t="s">
        <v>1946</v>
      </c>
      <c r="B478" s="5" t="s">
        <v>1947</v>
      </c>
      <c r="C478" s="5" t="s">
        <v>962</v>
      </c>
      <c r="D478" s="5" t="s">
        <v>962</v>
      </c>
      <c r="E478" s="5" t="s">
        <v>1377</v>
      </c>
      <c r="F478" s="5" t="s">
        <v>1612</v>
      </c>
      <c r="G478" s="5" t="s">
        <v>994</v>
      </c>
      <c r="H478" s="5" t="s">
        <v>974</v>
      </c>
    </row>
    <row r="479" customFormat="false" ht="15" hidden="false" customHeight="true" outlineLevel="0" collapsed="false">
      <c r="A479" s="5" t="s">
        <v>1948</v>
      </c>
      <c r="B479" s="5" t="s">
        <v>1949</v>
      </c>
      <c r="C479" s="5" t="s">
        <v>921</v>
      </c>
      <c r="D479" s="5" t="s">
        <v>922</v>
      </c>
      <c r="E479" s="5" t="s">
        <v>1059</v>
      </c>
      <c r="F479" s="5" t="s">
        <v>986</v>
      </c>
      <c r="G479" s="5" t="s">
        <v>982</v>
      </c>
      <c r="H479" s="5" t="s">
        <v>974</v>
      </c>
    </row>
    <row r="480" customFormat="false" ht="15" hidden="false" customHeight="true" outlineLevel="0" collapsed="false">
      <c r="A480" s="5" t="s">
        <v>1950</v>
      </c>
      <c r="B480" s="5" t="s">
        <v>1951</v>
      </c>
      <c r="C480" s="5" t="s">
        <v>938</v>
      </c>
      <c r="D480" s="5" t="s">
        <v>939</v>
      </c>
      <c r="E480" s="5" t="s">
        <v>1898</v>
      </c>
      <c r="F480" s="5" t="s">
        <v>1612</v>
      </c>
      <c r="G480" s="5" t="s">
        <v>994</v>
      </c>
      <c r="H480" s="5" t="s">
        <v>974</v>
      </c>
    </row>
    <row r="481" customFormat="false" ht="15" hidden="false" customHeight="true" outlineLevel="0" collapsed="false">
      <c r="A481" s="5" t="s">
        <v>1952</v>
      </c>
      <c r="B481" s="5" t="s">
        <v>1953</v>
      </c>
      <c r="C481" s="5" t="s">
        <v>946</v>
      </c>
      <c r="D481" s="5" t="s">
        <v>947</v>
      </c>
      <c r="E481" s="5" t="s">
        <v>1597</v>
      </c>
      <c r="F481" s="5" t="s">
        <v>990</v>
      </c>
      <c r="G481" s="5" t="s">
        <v>994</v>
      </c>
      <c r="H481" s="5" t="s">
        <v>974</v>
      </c>
    </row>
    <row r="482" customFormat="false" ht="15" hidden="false" customHeight="true" outlineLevel="0" collapsed="false">
      <c r="A482" s="5" t="s">
        <v>1954</v>
      </c>
      <c r="B482" s="5" t="s">
        <v>1955</v>
      </c>
      <c r="C482" s="5" t="s">
        <v>920</v>
      </c>
      <c r="D482" s="5" t="s">
        <v>919</v>
      </c>
      <c r="E482" s="5" t="s">
        <v>1001</v>
      </c>
      <c r="F482" s="5" t="s">
        <v>972</v>
      </c>
      <c r="G482" s="5" t="s">
        <v>982</v>
      </c>
      <c r="H482" s="5" t="s">
        <v>974</v>
      </c>
    </row>
    <row r="483" customFormat="false" ht="15" hidden="false" customHeight="true" outlineLevel="0" collapsed="false">
      <c r="A483" s="5" t="s">
        <v>1956</v>
      </c>
      <c r="B483" s="5" t="s">
        <v>1957</v>
      </c>
      <c r="C483" s="5" t="s">
        <v>931</v>
      </c>
      <c r="D483" s="5" t="s">
        <v>932</v>
      </c>
      <c r="E483" s="5" t="s">
        <v>971</v>
      </c>
      <c r="F483" s="5" t="s">
        <v>1582</v>
      </c>
      <c r="G483" s="5" t="s">
        <v>1002</v>
      </c>
      <c r="H483" s="5" t="s">
        <v>974</v>
      </c>
    </row>
    <row r="484" customFormat="false" ht="15" hidden="false" customHeight="true" outlineLevel="0" collapsed="false">
      <c r="A484" s="5" t="s">
        <v>1958</v>
      </c>
      <c r="B484" s="5" t="s">
        <v>1959</v>
      </c>
      <c r="C484" s="5" t="s">
        <v>962</v>
      </c>
      <c r="D484" s="5" t="s">
        <v>962</v>
      </c>
      <c r="E484" s="5" t="s">
        <v>1377</v>
      </c>
      <c r="F484" s="5" t="s">
        <v>1612</v>
      </c>
      <c r="G484" s="5" t="s">
        <v>987</v>
      </c>
      <c r="H484" s="5" t="s">
        <v>974</v>
      </c>
    </row>
    <row r="485" customFormat="false" ht="15" hidden="false" customHeight="true" outlineLevel="0" collapsed="false">
      <c r="A485" s="5" t="s">
        <v>1960</v>
      </c>
      <c r="B485" s="5" t="s">
        <v>1961</v>
      </c>
      <c r="C485" s="5" t="s">
        <v>944</v>
      </c>
      <c r="D485" s="5" t="s">
        <v>945</v>
      </c>
      <c r="E485" s="5" t="s">
        <v>1447</v>
      </c>
      <c r="F485" s="5" t="s">
        <v>1594</v>
      </c>
      <c r="G485" s="5" t="s">
        <v>987</v>
      </c>
      <c r="H485" s="5" t="s">
        <v>974</v>
      </c>
    </row>
    <row r="486" customFormat="false" ht="15" hidden="false" customHeight="true" outlineLevel="0" collapsed="false">
      <c r="A486" s="5" t="s">
        <v>1962</v>
      </c>
      <c r="B486" s="5" t="s">
        <v>1963</v>
      </c>
      <c r="C486" s="5" t="s">
        <v>940</v>
      </c>
      <c r="D486" s="5" t="s">
        <v>941</v>
      </c>
      <c r="E486" s="5" t="s">
        <v>1466</v>
      </c>
      <c r="F486" s="5" t="s">
        <v>981</v>
      </c>
      <c r="G486" s="5" t="s">
        <v>994</v>
      </c>
      <c r="H486" s="5" t="s">
        <v>974</v>
      </c>
    </row>
    <row r="487" customFormat="false" ht="15" hidden="false" customHeight="true" outlineLevel="0" collapsed="false">
      <c r="A487" s="5" t="s">
        <v>1964</v>
      </c>
      <c r="B487" s="5" t="s">
        <v>1965</v>
      </c>
      <c r="C487" s="5" t="s">
        <v>929</v>
      </c>
      <c r="D487" s="5" t="s">
        <v>930</v>
      </c>
      <c r="E487" s="5" t="s">
        <v>1005</v>
      </c>
      <c r="F487" s="5" t="s">
        <v>1598</v>
      </c>
      <c r="G487" s="5" t="s">
        <v>994</v>
      </c>
      <c r="H487" s="5" t="s">
        <v>974</v>
      </c>
    </row>
    <row r="488" customFormat="false" ht="15" hidden="false" customHeight="true" outlineLevel="0" collapsed="false">
      <c r="A488" s="5" t="s">
        <v>1966</v>
      </c>
      <c r="B488" s="5" t="s">
        <v>1967</v>
      </c>
      <c r="C488" s="5" t="s">
        <v>929</v>
      </c>
      <c r="D488" s="5" t="s">
        <v>930</v>
      </c>
      <c r="E488" s="5" t="s">
        <v>993</v>
      </c>
      <c r="F488" s="5" t="s">
        <v>1010</v>
      </c>
      <c r="G488" s="5" t="s">
        <v>973</v>
      </c>
      <c r="H488" s="5" t="s">
        <v>974</v>
      </c>
    </row>
    <row r="489" customFormat="false" ht="15" hidden="false" customHeight="true" outlineLevel="0" collapsed="false">
      <c r="A489" s="5" t="s">
        <v>1968</v>
      </c>
      <c r="B489" s="5" t="s">
        <v>1969</v>
      </c>
      <c r="C489" s="5" t="s">
        <v>948</v>
      </c>
      <c r="D489" s="5" t="s">
        <v>949</v>
      </c>
      <c r="E489" s="5" t="s">
        <v>1579</v>
      </c>
      <c r="F489" s="5" t="s">
        <v>1594</v>
      </c>
      <c r="G489" s="5" t="s">
        <v>982</v>
      </c>
      <c r="H489" s="5" t="s">
        <v>995</v>
      </c>
    </row>
    <row r="490" customFormat="false" ht="15" hidden="false" customHeight="true" outlineLevel="0" collapsed="false">
      <c r="A490" s="5" t="s">
        <v>1970</v>
      </c>
      <c r="B490" s="5" t="s">
        <v>1971</v>
      </c>
      <c r="C490" s="5" t="s">
        <v>950</v>
      </c>
      <c r="D490" s="5" t="s">
        <v>951</v>
      </c>
      <c r="E490" s="5" t="s">
        <v>1394</v>
      </c>
      <c r="F490" s="5" t="s">
        <v>1006</v>
      </c>
      <c r="G490" s="5" t="s">
        <v>994</v>
      </c>
      <c r="H490" s="5" t="s">
        <v>995</v>
      </c>
    </row>
    <row r="491" customFormat="false" ht="15" hidden="false" customHeight="true" outlineLevel="0" collapsed="false">
      <c r="A491" s="5" t="s">
        <v>1972</v>
      </c>
      <c r="B491" s="5" t="s">
        <v>1973</v>
      </c>
      <c r="C491" s="5" t="s">
        <v>920</v>
      </c>
      <c r="D491" s="5" t="s">
        <v>919</v>
      </c>
      <c r="E491" s="5" t="s">
        <v>1009</v>
      </c>
      <c r="F491" s="5" t="s">
        <v>1006</v>
      </c>
      <c r="G491" s="5" t="s">
        <v>987</v>
      </c>
      <c r="H491" s="5" t="s">
        <v>974</v>
      </c>
    </row>
    <row r="492" customFormat="false" ht="15" hidden="false" customHeight="true" outlineLevel="0" collapsed="false">
      <c r="A492" s="5" t="s">
        <v>1974</v>
      </c>
      <c r="B492" s="5" t="s">
        <v>1975</v>
      </c>
      <c r="C492" s="5" t="s">
        <v>960</v>
      </c>
      <c r="D492" s="5" t="s">
        <v>961</v>
      </c>
      <c r="E492" s="5" t="s">
        <v>1374</v>
      </c>
      <c r="F492" s="5" t="s">
        <v>1010</v>
      </c>
      <c r="G492" s="5" t="s">
        <v>982</v>
      </c>
      <c r="H492" s="5" t="s">
        <v>974</v>
      </c>
    </row>
    <row r="493" customFormat="false" ht="15" hidden="false" customHeight="true" outlineLevel="0" collapsed="false">
      <c r="A493" s="5" t="s">
        <v>1976</v>
      </c>
      <c r="B493" s="5" t="s">
        <v>1977</v>
      </c>
      <c r="C493" s="5" t="s">
        <v>927</v>
      </c>
      <c r="D493" s="5" t="s">
        <v>928</v>
      </c>
      <c r="E493" s="5" t="s">
        <v>1030</v>
      </c>
      <c r="F493" s="5" t="s">
        <v>981</v>
      </c>
      <c r="G493" s="5" t="s">
        <v>994</v>
      </c>
      <c r="H493" s="5" t="s">
        <v>995</v>
      </c>
    </row>
    <row r="494" customFormat="false" ht="15" hidden="false" customHeight="true" outlineLevel="0" collapsed="false">
      <c r="A494" s="5" t="s">
        <v>1978</v>
      </c>
      <c r="B494" s="5" t="s">
        <v>1979</v>
      </c>
      <c r="C494" s="5" t="s">
        <v>918</v>
      </c>
      <c r="D494" s="5" t="s">
        <v>919</v>
      </c>
      <c r="E494" s="5" t="s">
        <v>980</v>
      </c>
      <c r="F494" s="5" t="s">
        <v>1594</v>
      </c>
      <c r="G494" s="5" t="s">
        <v>994</v>
      </c>
      <c r="H494" s="5" t="s">
        <v>995</v>
      </c>
    </row>
    <row r="495" customFormat="false" ht="15" hidden="false" customHeight="true" outlineLevel="0" collapsed="false">
      <c r="A495" s="5" t="s">
        <v>1980</v>
      </c>
      <c r="B495" s="5" t="s">
        <v>1981</v>
      </c>
      <c r="C495" s="5" t="s">
        <v>921</v>
      </c>
      <c r="D495" s="5" t="s">
        <v>922</v>
      </c>
      <c r="E495" s="5" t="s">
        <v>1157</v>
      </c>
      <c r="F495" s="5" t="s">
        <v>990</v>
      </c>
      <c r="G495" s="5" t="s">
        <v>987</v>
      </c>
      <c r="H495" s="5" t="s">
        <v>974</v>
      </c>
    </row>
    <row r="496" customFormat="false" ht="15" hidden="false" customHeight="true" outlineLevel="0" collapsed="false">
      <c r="A496" s="5" t="s">
        <v>1982</v>
      </c>
      <c r="B496" s="5" t="s">
        <v>1983</v>
      </c>
      <c r="C496" s="5" t="s">
        <v>942</v>
      </c>
      <c r="D496" s="5" t="s">
        <v>943</v>
      </c>
      <c r="E496" s="5" t="s">
        <v>1564</v>
      </c>
      <c r="F496" s="5" t="s">
        <v>981</v>
      </c>
      <c r="G496" s="5" t="s">
        <v>973</v>
      </c>
      <c r="H496" s="5" t="s">
        <v>974</v>
      </c>
    </row>
    <row r="497" customFormat="false" ht="15" hidden="false" customHeight="true" outlineLevel="0" collapsed="false">
      <c r="A497" s="5" t="s">
        <v>1984</v>
      </c>
      <c r="B497" s="5" t="s">
        <v>1985</v>
      </c>
      <c r="C497" s="5" t="s">
        <v>931</v>
      </c>
      <c r="D497" s="5" t="s">
        <v>932</v>
      </c>
      <c r="E497" s="5" t="s">
        <v>1056</v>
      </c>
      <c r="F497" s="5" t="s">
        <v>1612</v>
      </c>
      <c r="G497" s="5" t="s">
        <v>1002</v>
      </c>
      <c r="H497" s="5" t="s">
        <v>995</v>
      </c>
    </row>
    <row r="498" customFormat="false" ht="15" hidden="false" customHeight="true" outlineLevel="0" collapsed="false">
      <c r="A498" s="5" t="s">
        <v>1986</v>
      </c>
      <c r="B498" s="5" t="s">
        <v>1987</v>
      </c>
      <c r="C498" s="5" t="s">
        <v>962</v>
      </c>
      <c r="D498" s="5" t="s">
        <v>962</v>
      </c>
      <c r="E498" s="5" t="s">
        <v>1497</v>
      </c>
      <c r="F498" s="5" t="s">
        <v>1598</v>
      </c>
      <c r="G498" s="5" t="s">
        <v>973</v>
      </c>
      <c r="H498" s="5" t="s">
        <v>974</v>
      </c>
    </row>
    <row r="499" customFormat="false" ht="15" hidden="false" customHeight="true" outlineLevel="0" collapsed="false">
      <c r="A499" s="5" t="s">
        <v>1988</v>
      </c>
      <c r="B499" s="5" t="s">
        <v>1989</v>
      </c>
      <c r="C499" s="5" t="s">
        <v>948</v>
      </c>
      <c r="D499" s="5" t="s">
        <v>949</v>
      </c>
      <c r="E499" s="5" t="s">
        <v>1362</v>
      </c>
      <c r="F499" s="5" t="s">
        <v>1594</v>
      </c>
      <c r="G499" s="5" t="s">
        <v>1002</v>
      </c>
      <c r="H499" s="5" t="s">
        <v>974</v>
      </c>
    </row>
    <row r="500" customFormat="false" ht="15" hidden="false" customHeight="true" outlineLevel="0" collapsed="false">
      <c r="A500" s="5" t="s">
        <v>1990</v>
      </c>
      <c r="B500" s="5" t="s">
        <v>1991</v>
      </c>
      <c r="C500" s="5" t="s">
        <v>940</v>
      </c>
      <c r="D500" s="5" t="s">
        <v>941</v>
      </c>
      <c r="E500" s="5" t="s">
        <v>1466</v>
      </c>
      <c r="F500" s="5" t="s">
        <v>990</v>
      </c>
      <c r="G500" s="5" t="s">
        <v>973</v>
      </c>
      <c r="H500" s="5" t="s">
        <v>974</v>
      </c>
    </row>
    <row r="501" customFormat="false" ht="15" hidden="false" customHeight="true" outlineLevel="0" collapsed="false">
      <c r="A501" s="5" t="s">
        <v>1992</v>
      </c>
      <c r="B501" s="5" t="s">
        <v>1993</v>
      </c>
      <c r="C501" s="5" t="s">
        <v>962</v>
      </c>
      <c r="D501" s="5" t="s">
        <v>962</v>
      </c>
      <c r="E501" s="5" t="s">
        <v>1497</v>
      </c>
      <c r="F501" s="5" t="s">
        <v>1598</v>
      </c>
      <c r="G501" s="5" t="s">
        <v>1002</v>
      </c>
      <c r="H501" s="5" t="s">
        <v>974</v>
      </c>
    </row>
    <row r="502" customFormat="false" ht="15" hidden="false" customHeight="true" outlineLevel="0" collapsed="false">
      <c r="A502" s="5" t="s">
        <v>1994</v>
      </c>
      <c r="B502" s="5" t="s">
        <v>1995</v>
      </c>
      <c r="C502" s="5" t="s">
        <v>923</v>
      </c>
      <c r="D502" s="5" t="s">
        <v>924</v>
      </c>
      <c r="E502" s="5" t="s">
        <v>985</v>
      </c>
      <c r="F502" s="5" t="s">
        <v>981</v>
      </c>
      <c r="G502" s="5" t="s">
        <v>994</v>
      </c>
      <c r="H502" s="5" t="s">
        <v>974</v>
      </c>
    </row>
    <row r="503" customFormat="false" ht="15" hidden="false" customHeight="true" outlineLevel="0" collapsed="false">
      <c r="A503" s="5" t="s">
        <v>1996</v>
      </c>
      <c r="B503" s="5" t="s">
        <v>1997</v>
      </c>
      <c r="C503" s="5" t="s">
        <v>962</v>
      </c>
      <c r="D503" s="5" t="s">
        <v>962</v>
      </c>
      <c r="E503" s="5" t="s">
        <v>1377</v>
      </c>
      <c r="F503" s="5" t="s">
        <v>1594</v>
      </c>
      <c r="G503" s="5" t="s">
        <v>973</v>
      </c>
      <c r="H503" s="5" t="s">
        <v>995</v>
      </c>
    </row>
    <row r="504" customFormat="false" ht="15" hidden="false" customHeight="true" outlineLevel="0" collapsed="false">
      <c r="A504" s="5" t="s">
        <v>1998</v>
      </c>
      <c r="B504" s="5" t="s">
        <v>1999</v>
      </c>
      <c r="C504" s="5" t="s">
        <v>933</v>
      </c>
      <c r="D504" s="5" t="s">
        <v>934</v>
      </c>
      <c r="E504" s="5" t="s">
        <v>1549</v>
      </c>
      <c r="F504" s="5" t="s">
        <v>1010</v>
      </c>
      <c r="G504" s="5" t="s">
        <v>994</v>
      </c>
      <c r="H504" s="5" t="s">
        <v>974</v>
      </c>
    </row>
    <row r="505" customFormat="false" ht="15" hidden="false" customHeight="true" outlineLevel="0" collapsed="false">
      <c r="A505" s="5" t="s">
        <v>2000</v>
      </c>
      <c r="B505" s="5" t="s">
        <v>2001</v>
      </c>
      <c r="C505" s="5" t="s">
        <v>918</v>
      </c>
      <c r="D505" s="5" t="s">
        <v>919</v>
      </c>
      <c r="E505" s="5" t="s">
        <v>980</v>
      </c>
      <c r="F505" s="5" t="s">
        <v>1585</v>
      </c>
      <c r="G505" s="5" t="s">
        <v>994</v>
      </c>
      <c r="H505" s="5" t="s">
        <v>995</v>
      </c>
    </row>
    <row r="506" customFormat="false" ht="15" hidden="false" customHeight="true" outlineLevel="0" collapsed="false">
      <c r="A506" s="5" t="s">
        <v>2002</v>
      </c>
      <c r="B506" s="5" t="s">
        <v>2003</v>
      </c>
      <c r="C506" s="5" t="s">
        <v>929</v>
      </c>
      <c r="D506" s="5" t="s">
        <v>930</v>
      </c>
      <c r="E506" s="5" t="s">
        <v>1097</v>
      </c>
      <c r="F506" s="5" t="s">
        <v>1594</v>
      </c>
      <c r="G506" s="5" t="s">
        <v>982</v>
      </c>
      <c r="H506" s="5" t="s">
        <v>974</v>
      </c>
    </row>
    <row r="507" customFormat="false" ht="15" hidden="false" customHeight="true" outlineLevel="0" collapsed="false">
      <c r="A507" s="5" t="s">
        <v>2004</v>
      </c>
      <c r="B507" s="5" t="s">
        <v>2005</v>
      </c>
      <c r="C507" s="5" t="s">
        <v>950</v>
      </c>
      <c r="D507" s="5" t="s">
        <v>951</v>
      </c>
      <c r="E507" s="5" t="s">
        <v>1461</v>
      </c>
      <c r="F507" s="5" t="s">
        <v>1594</v>
      </c>
      <c r="G507" s="5" t="s">
        <v>973</v>
      </c>
      <c r="H507" s="5" t="s">
        <v>974</v>
      </c>
    </row>
    <row r="508" customFormat="false" ht="15" hidden="false" customHeight="true" outlineLevel="0" collapsed="false">
      <c r="A508" s="5" t="s">
        <v>2006</v>
      </c>
      <c r="B508" s="5" t="s">
        <v>2007</v>
      </c>
      <c r="C508" s="5" t="s">
        <v>925</v>
      </c>
      <c r="D508" s="5" t="s">
        <v>926</v>
      </c>
      <c r="E508" s="5" t="s">
        <v>1051</v>
      </c>
      <c r="F508" s="5" t="s">
        <v>1010</v>
      </c>
      <c r="G508" s="5" t="s">
        <v>982</v>
      </c>
      <c r="H508" s="5" t="s">
        <v>995</v>
      </c>
    </row>
    <row r="509" customFormat="false" ht="15" hidden="false" customHeight="true" outlineLevel="0" collapsed="false">
      <c r="A509" s="5" t="s">
        <v>2008</v>
      </c>
      <c r="B509" s="5" t="s">
        <v>2009</v>
      </c>
      <c r="C509" s="5" t="s">
        <v>921</v>
      </c>
      <c r="D509" s="5" t="s">
        <v>922</v>
      </c>
      <c r="E509" s="5" t="s">
        <v>1023</v>
      </c>
      <c r="F509" s="5" t="s">
        <v>1598</v>
      </c>
      <c r="G509" s="5" t="s">
        <v>987</v>
      </c>
      <c r="H509" s="5" t="s">
        <v>974</v>
      </c>
    </row>
    <row r="510" customFormat="false" ht="15" hidden="false" customHeight="true" outlineLevel="0" collapsed="false">
      <c r="A510" s="5" t="s">
        <v>2010</v>
      </c>
      <c r="B510" s="5" t="s">
        <v>2011</v>
      </c>
      <c r="C510" s="5" t="s">
        <v>960</v>
      </c>
      <c r="D510" s="5" t="s">
        <v>961</v>
      </c>
      <c r="E510" s="5" t="s">
        <v>1927</v>
      </c>
      <c r="F510" s="5" t="s">
        <v>1006</v>
      </c>
      <c r="G510" s="5" t="s">
        <v>982</v>
      </c>
      <c r="H510" s="5" t="s">
        <v>995</v>
      </c>
    </row>
    <row r="511" customFormat="false" ht="15" hidden="false" customHeight="true" outlineLevel="0" collapsed="false">
      <c r="A511" s="5" t="s">
        <v>2012</v>
      </c>
      <c r="B511" s="5" t="s">
        <v>2013</v>
      </c>
      <c r="C511" s="5" t="s">
        <v>954</v>
      </c>
      <c r="D511" s="5" t="s">
        <v>955</v>
      </c>
      <c r="E511" s="5" t="s">
        <v>1708</v>
      </c>
      <c r="F511" s="5" t="s">
        <v>1582</v>
      </c>
      <c r="G511" s="5" t="s">
        <v>973</v>
      </c>
      <c r="H511" s="5" t="s">
        <v>974</v>
      </c>
    </row>
    <row r="512" customFormat="false" ht="15" hidden="false" customHeight="true" outlineLevel="0" collapsed="false">
      <c r="A512" s="5" t="s">
        <v>2014</v>
      </c>
      <c r="B512" s="5" t="s">
        <v>2015</v>
      </c>
      <c r="C512" s="5" t="s">
        <v>920</v>
      </c>
      <c r="D512" s="5" t="s">
        <v>919</v>
      </c>
      <c r="E512" s="5" t="s">
        <v>1035</v>
      </c>
      <c r="F512" s="5" t="s">
        <v>1585</v>
      </c>
      <c r="G512" s="5" t="s">
        <v>994</v>
      </c>
      <c r="H512" s="5" t="s">
        <v>974</v>
      </c>
    </row>
    <row r="513" customFormat="false" ht="15" hidden="false" customHeight="true" outlineLevel="0" collapsed="false">
      <c r="A513" s="5" t="s">
        <v>2016</v>
      </c>
      <c r="B513" s="5" t="s">
        <v>2017</v>
      </c>
      <c r="C513" s="5" t="s">
        <v>940</v>
      </c>
      <c r="D513" s="5" t="s">
        <v>941</v>
      </c>
      <c r="E513" s="5" t="s">
        <v>1667</v>
      </c>
      <c r="F513" s="5" t="s">
        <v>1576</v>
      </c>
      <c r="G513" s="5" t="s">
        <v>982</v>
      </c>
      <c r="H513" s="5" t="s">
        <v>974</v>
      </c>
    </row>
    <row r="514" customFormat="false" ht="15" hidden="false" customHeight="true" outlineLevel="0" collapsed="false">
      <c r="A514" s="5" t="s">
        <v>2018</v>
      </c>
      <c r="B514" s="5" t="s">
        <v>2019</v>
      </c>
      <c r="C514" s="5" t="s">
        <v>946</v>
      </c>
      <c r="D514" s="5" t="s">
        <v>947</v>
      </c>
      <c r="E514" s="5" t="s">
        <v>1597</v>
      </c>
      <c r="F514" s="5" t="s">
        <v>986</v>
      </c>
      <c r="G514" s="5" t="s">
        <v>987</v>
      </c>
      <c r="H514" s="5" t="s">
        <v>995</v>
      </c>
    </row>
    <row r="515" customFormat="false" ht="15" hidden="false" customHeight="true" outlineLevel="0" collapsed="false">
      <c r="A515" s="5" t="s">
        <v>2020</v>
      </c>
      <c r="B515" s="5" t="s">
        <v>2021</v>
      </c>
      <c r="C515" s="5" t="s">
        <v>956</v>
      </c>
      <c r="D515" s="5" t="s">
        <v>957</v>
      </c>
      <c r="E515" s="5" t="s">
        <v>1414</v>
      </c>
      <c r="F515" s="5" t="s">
        <v>1006</v>
      </c>
      <c r="G515" s="5" t="s">
        <v>1002</v>
      </c>
      <c r="H515" s="5" t="s">
        <v>995</v>
      </c>
    </row>
    <row r="516" customFormat="false" ht="15" hidden="false" customHeight="true" outlineLevel="0" collapsed="false">
      <c r="A516" s="5" t="s">
        <v>2022</v>
      </c>
      <c r="B516" s="5" t="s">
        <v>2023</v>
      </c>
      <c r="C516" s="5" t="s">
        <v>921</v>
      </c>
      <c r="D516" s="5" t="s">
        <v>922</v>
      </c>
      <c r="E516" s="5" t="s">
        <v>1059</v>
      </c>
      <c r="F516" s="5" t="s">
        <v>981</v>
      </c>
      <c r="G516" s="5" t="s">
        <v>994</v>
      </c>
      <c r="H516" s="5" t="s">
        <v>995</v>
      </c>
    </row>
    <row r="517" customFormat="false" ht="15" hidden="false" customHeight="true" outlineLevel="0" collapsed="false">
      <c r="A517" s="5" t="s">
        <v>2024</v>
      </c>
      <c r="B517" s="5" t="s">
        <v>2025</v>
      </c>
      <c r="C517" s="5" t="s">
        <v>933</v>
      </c>
      <c r="D517" s="5" t="s">
        <v>934</v>
      </c>
      <c r="E517" s="5" t="s">
        <v>1660</v>
      </c>
      <c r="F517" s="5" t="s">
        <v>990</v>
      </c>
      <c r="G517" s="5" t="s">
        <v>982</v>
      </c>
      <c r="H517" s="5" t="s">
        <v>974</v>
      </c>
    </row>
    <row r="518" customFormat="false" ht="15" hidden="false" customHeight="true" outlineLevel="0" collapsed="false">
      <c r="A518" s="5" t="s">
        <v>2026</v>
      </c>
      <c r="B518" s="5" t="s">
        <v>2027</v>
      </c>
      <c r="C518" s="5" t="s">
        <v>946</v>
      </c>
      <c r="D518" s="5" t="s">
        <v>947</v>
      </c>
      <c r="E518" s="5" t="s">
        <v>1517</v>
      </c>
      <c r="F518" s="5" t="s">
        <v>1582</v>
      </c>
      <c r="G518" s="5" t="s">
        <v>1002</v>
      </c>
      <c r="H518" s="5" t="s">
        <v>974</v>
      </c>
    </row>
    <row r="519" customFormat="false" ht="15" hidden="false" customHeight="true" outlineLevel="0" collapsed="false">
      <c r="A519" s="5" t="s">
        <v>2028</v>
      </c>
      <c r="B519" s="5" t="s">
        <v>2029</v>
      </c>
      <c r="C519" s="5" t="s">
        <v>921</v>
      </c>
      <c r="D519" s="5" t="s">
        <v>922</v>
      </c>
      <c r="E519" s="5" t="s">
        <v>1157</v>
      </c>
      <c r="F519" s="5" t="s">
        <v>986</v>
      </c>
      <c r="G519" s="5" t="s">
        <v>982</v>
      </c>
      <c r="H519" s="5" t="s">
        <v>974</v>
      </c>
    </row>
    <row r="520" customFormat="false" ht="15" hidden="false" customHeight="true" outlineLevel="0" collapsed="false">
      <c r="A520" s="5" t="s">
        <v>2030</v>
      </c>
      <c r="B520" s="5" t="s">
        <v>2031</v>
      </c>
      <c r="C520" s="5" t="s">
        <v>940</v>
      </c>
      <c r="D520" s="5" t="s">
        <v>941</v>
      </c>
      <c r="E520" s="5" t="s">
        <v>1667</v>
      </c>
      <c r="F520" s="5" t="s">
        <v>1585</v>
      </c>
      <c r="G520" s="5" t="s">
        <v>973</v>
      </c>
      <c r="H520" s="5" t="s">
        <v>974</v>
      </c>
    </row>
    <row r="521" customFormat="false" ht="15" hidden="false" customHeight="true" outlineLevel="0" collapsed="false">
      <c r="A521" s="5" t="s">
        <v>2032</v>
      </c>
      <c r="B521" s="5" t="s">
        <v>2033</v>
      </c>
      <c r="C521" s="5" t="s">
        <v>944</v>
      </c>
      <c r="D521" s="5" t="s">
        <v>945</v>
      </c>
      <c r="E521" s="5" t="s">
        <v>1426</v>
      </c>
      <c r="F521" s="5" t="s">
        <v>981</v>
      </c>
      <c r="G521" s="5" t="s">
        <v>987</v>
      </c>
      <c r="H521" s="5" t="s">
        <v>974</v>
      </c>
    </row>
    <row r="522" customFormat="false" ht="15" hidden="false" customHeight="true" outlineLevel="0" collapsed="false">
      <c r="A522" s="5" t="s">
        <v>2034</v>
      </c>
      <c r="B522" s="5" t="s">
        <v>2035</v>
      </c>
      <c r="C522" s="5" t="s">
        <v>944</v>
      </c>
      <c r="D522" s="5" t="s">
        <v>945</v>
      </c>
      <c r="E522" s="5" t="s">
        <v>1759</v>
      </c>
      <c r="F522" s="5" t="s">
        <v>986</v>
      </c>
      <c r="G522" s="5" t="s">
        <v>982</v>
      </c>
      <c r="H522" s="5" t="s">
        <v>974</v>
      </c>
    </row>
    <row r="523" customFormat="false" ht="15" hidden="false" customHeight="true" outlineLevel="0" collapsed="false">
      <c r="A523" s="5" t="s">
        <v>2036</v>
      </c>
      <c r="B523" s="5" t="s">
        <v>2037</v>
      </c>
      <c r="C523" s="5" t="s">
        <v>931</v>
      </c>
      <c r="D523" s="5" t="s">
        <v>932</v>
      </c>
      <c r="E523" s="5" t="s">
        <v>971</v>
      </c>
      <c r="F523" s="5" t="s">
        <v>1582</v>
      </c>
      <c r="G523" s="5" t="s">
        <v>1002</v>
      </c>
      <c r="H523" s="5" t="s">
        <v>995</v>
      </c>
    </row>
    <row r="524" customFormat="false" ht="15" hidden="false" customHeight="true" outlineLevel="0" collapsed="false">
      <c r="A524" s="5" t="s">
        <v>2038</v>
      </c>
      <c r="B524" s="5" t="s">
        <v>2039</v>
      </c>
      <c r="C524" s="5" t="s">
        <v>923</v>
      </c>
      <c r="D524" s="5" t="s">
        <v>924</v>
      </c>
      <c r="E524" s="5" t="s">
        <v>985</v>
      </c>
      <c r="F524" s="5" t="s">
        <v>1006</v>
      </c>
      <c r="G524" s="5" t="s">
        <v>1002</v>
      </c>
      <c r="H524" s="5" t="s">
        <v>974</v>
      </c>
    </row>
    <row r="525" customFormat="false" ht="15" hidden="false" customHeight="true" outlineLevel="0" collapsed="false">
      <c r="A525" s="5" t="s">
        <v>2040</v>
      </c>
      <c r="B525" s="5" t="s">
        <v>2041</v>
      </c>
      <c r="C525" s="5" t="s">
        <v>923</v>
      </c>
      <c r="D525" s="5" t="s">
        <v>924</v>
      </c>
      <c r="E525" s="5" t="s">
        <v>977</v>
      </c>
      <c r="F525" s="5" t="s">
        <v>1594</v>
      </c>
      <c r="G525" s="5" t="s">
        <v>1002</v>
      </c>
      <c r="H525" s="5" t="s">
        <v>995</v>
      </c>
    </row>
    <row r="526" customFormat="false" ht="15" hidden="false" customHeight="true" outlineLevel="0" collapsed="false">
      <c r="A526" s="5" t="s">
        <v>2042</v>
      </c>
      <c r="B526" s="5" t="s">
        <v>2043</v>
      </c>
      <c r="C526" s="5" t="s">
        <v>948</v>
      </c>
      <c r="D526" s="5" t="s">
        <v>949</v>
      </c>
      <c r="E526" s="5" t="s">
        <v>1579</v>
      </c>
      <c r="F526" s="5" t="s">
        <v>1585</v>
      </c>
      <c r="G526" s="5" t="s">
        <v>994</v>
      </c>
      <c r="H526" s="5" t="s">
        <v>974</v>
      </c>
    </row>
    <row r="527" customFormat="false" ht="15" hidden="false" customHeight="true" outlineLevel="0" collapsed="false">
      <c r="A527" s="5" t="s">
        <v>2044</v>
      </c>
      <c r="B527" s="5" t="s">
        <v>2045</v>
      </c>
      <c r="C527" s="5" t="s">
        <v>920</v>
      </c>
      <c r="D527" s="5" t="s">
        <v>919</v>
      </c>
      <c r="E527" s="5" t="s">
        <v>1001</v>
      </c>
      <c r="F527" s="5" t="s">
        <v>1582</v>
      </c>
      <c r="G527" s="5" t="s">
        <v>987</v>
      </c>
      <c r="H527" s="5" t="s">
        <v>974</v>
      </c>
    </row>
    <row r="528" customFormat="false" ht="15" hidden="false" customHeight="true" outlineLevel="0" collapsed="false">
      <c r="A528" s="5" t="s">
        <v>2046</v>
      </c>
      <c r="B528" s="5" t="s">
        <v>2047</v>
      </c>
      <c r="C528" s="5" t="s">
        <v>940</v>
      </c>
      <c r="D528" s="5" t="s">
        <v>941</v>
      </c>
      <c r="E528" s="5" t="s">
        <v>1667</v>
      </c>
      <c r="F528" s="5" t="s">
        <v>1612</v>
      </c>
      <c r="G528" s="5" t="s">
        <v>1002</v>
      </c>
      <c r="H528" s="5" t="s">
        <v>995</v>
      </c>
    </row>
    <row r="529" customFormat="false" ht="15" hidden="false" customHeight="true" outlineLevel="0" collapsed="false">
      <c r="A529" s="5" t="s">
        <v>2048</v>
      </c>
      <c r="B529" s="5" t="s">
        <v>2049</v>
      </c>
      <c r="C529" s="5" t="s">
        <v>940</v>
      </c>
      <c r="D529" s="5" t="s">
        <v>941</v>
      </c>
      <c r="E529" s="5" t="s">
        <v>1667</v>
      </c>
      <c r="F529" s="5" t="s">
        <v>1612</v>
      </c>
      <c r="G529" s="5" t="s">
        <v>987</v>
      </c>
      <c r="H529" s="5" t="s">
        <v>974</v>
      </c>
    </row>
    <row r="530" customFormat="false" ht="15" hidden="false" customHeight="true" outlineLevel="0" collapsed="false">
      <c r="A530" s="5" t="s">
        <v>2050</v>
      </c>
      <c r="B530" s="5" t="s">
        <v>2051</v>
      </c>
      <c r="C530" s="5" t="s">
        <v>940</v>
      </c>
      <c r="D530" s="5" t="s">
        <v>941</v>
      </c>
      <c r="E530" s="5" t="s">
        <v>1380</v>
      </c>
      <c r="F530" s="5" t="s">
        <v>1598</v>
      </c>
      <c r="G530" s="5" t="s">
        <v>987</v>
      </c>
      <c r="H530" s="5" t="s">
        <v>995</v>
      </c>
    </row>
    <row r="531" customFormat="false" ht="15" hidden="false" customHeight="true" outlineLevel="0" collapsed="false">
      <c r="A531" s="5" t="s">
        <v>2052</v>
      </c>
      <c r="B531" s="5" t="s">
        <v>2053</v>
      </c>
      <c r="C531" s="5" t="s">
        <v>931</v>
      </c>
      <c r="D531" s="5" t="s">
        <v>932</v>
      </c>
      <c r="E531" s="5" t="s">
        <v>971</v>
      </c>
      <c r="F531" s="5" t="s">
        <v>1612</v>
      </c>
      <c r="G531" s="5" t="s">
        <v>973</v>
      </c>
      <c r="H531" s="5" t="s">
        <v>974</v>
      </c>
    </row>
    <row r="532" customFormat="false" ht="15" hidden="false" customHeight="true" outlineLevel="0" collapsed="false">
      <c r="A532" s="5" t="s">
        <v>2054</v>
      </c>
      <c r="B532" s="5" t="s">
        <v>2055</v>
      </c>
      <c r="C532" s="5" t="s">
        <v>956</v>
      </c>
      <c r="D532" s="5" t="s">
        <v>957</v>
      </c>
      <c r="E532" s="5" t="s">
        <v>1490</v>
      </c>
      <c r="F532" s="5" t="s">
        <v>1576</v>
      </c>
      <c r="G532" s="5" t="s">
        <v>1002</v>
      </c>
      <c r="H532" s="5" t="s">
        <v>974</v>
      </c>
    </row>
    <row r="533" customFormat="false" ht="15" hidden="false" customHeight="true" outlineLevel="0" collapsed="false">
      <c r="A533" s="5" t="s">
        <v>2056</v>
      </c>
      <c r="B533" s="5" t="s">
        <v>2057</v>
      </c>
      <c r="C533" s="5" t="s">
        <v>948</v>
      </c>
      <c r="D533" s="5" t="s">
        <v>949</v>
      </c>
      <c r="E533" s="5" t="s">
        <v>1444</v>
      </c>
      <c r="F533" s="5" t="s">
        <v>1612</v>
      </c>
      <c r="G533" s="5" t="s">
        <v>973</v>
      </c>
      <c r="H533" s="5" t="s">
        <v>974</v>
      </c>
    </row>
    <row r="534" customFormat="false" ht="15" hidden="false" customHeight="true" outlineLevel="0" collapsed="false">
      <c r="A534" s="5" t="s">
        <v>2058</v>
      </c>
      <c r="B534" s="5" t="s">
        <v>2059</v>
      </c>
      <c r="C534" s="5" t="s">
        <v>933</v>
      </c>
      <c r="D534" s="5" t="s">
        <v>934</v>
      </c>
      <c r="E534" s="5" t="s">
        <v>1660</v>
      </c>
      <c r="F534" s="5" t="s">
        <v>1006</v>
      </c>
      <c r="G534" s="5" t="s">
        <v>994</v>
      </c>
      <c r="H534" s="5" t="s">
        <v>974</v>
      </c>
    </row>
    <row r="535" customFormat="false" ht="15" hidden="false" customHeight="true" outlineLevel="0" collapsed="false">
      <c r="A535" s="5" t="s">
        <v>2060</v>
      </c>
      <c r="B535" s="5" t="s">
        <v>2061</v>
      </c>
      <c r="C535" s="5" t="s">
        <v>929</v>
      </c>
      <c r="D535" s="5" t="s">
        <v>930</v>
      </c>
      <c r="E535" s="5" t="s">
        <v>1005</v>
      </c>
      <c r="F535" s="5" t="s">
        <v>1598</v>
      </c>
      <c r="G535" s="5" t="s">
        <v>987</v>
      </c>
      <c r="H535" s="5" t="s">
        <v>995</v>
      </c>
    </row>
    <row r="536" customFormat="false" ht="15" hidden="false" customHeight="true" outlineLevel="0" collapsed="false">
      <c r="A536" s="5" t="s">
        <v>2062</v>
      </c>
      <c r="B536" s="5" t="s">
        <v>2063</v>
      </c>
      <c r="C536" s="5" t="s">
        <v>940</v>
      </c>
      <c r="D536" s="5" t="s">
        <v>941</v>
      </c>
      <c r="E536" s="5" t="s">
        <v>1380</v>
      </c>
      <c r="F536" s="5" t="s">
        <v>990</v>
      </c>
      <c r="G536" s="5" t="s">
        <v>982</v>
      </c>
      <c r="H536" s="5" t="s">
        <v>974</v>
      </c>
    </row>
    <row r="537" customFormat="false" ht="15" hidden="false" customHeight="true" outlineLevel="0" collapsed="false">
      <c r="A537" s="5" t="s">
        <v>2064</v>
      </c>
      <c r="B537" s="5" t="s">
        <v>2065</v>
      </c>
      <c r="C537" s="5" t="s">
        <v>962</v>
      </c>
      <c r="D537" s="5" t="s">
        <v>962</v>
      </c>
      <c r="E537" s="5" t="s">
        <v>1637</v>
      </c>
      <c r="F537" s="5" t="s">
        <v>1612</v>
      </c>
      <c r="G537" s="5" t="s">
        <v>1002</v>
      </c>
      <c r="H537" s="5" t="s">
        <v>974</v>
      </c>
    </row>
    <row r="538" customFormat="false" ht="15" hidden="false" customHeight="true" outlineLevel="0" collapsed="false">
      <c r="A538" s="5" t="s">
        <v>2066</v>
      </c>
      <c r="B538" s="5" t="s">
        <v>2067</v>
      </c>
      <c r="C538" s="5" t="s">
        <v>958</v>
      </c>
      <c r="D538" s="5" t="s">
        <v>959</v>
      </c>
      <c r="E538" s="5" t="s">
        <v>1603</v>
      </c>
      <c r="F538" s="5" t="s">
        <v>972</v>
      </c>
      <c r="G538" s="5" t="s">
        <v>982</v>
      </c>
      <c r="H538" s="5" t="s">
        <v>974</v>
      </c>
    </row>
    <row r="539" customFormat="false" ht="15" hidden="false" customHeight="true" outlineLevel="0" collapsed="false">
      <c r="A539" s="5" t="s">
        <v>2068</v>
      </c>
      <c r="B539" s="5" t="s">
        <v>2069</v>
      </c>
      <c r="C539" s="5" t="s">
        <v>962</v>
      </c>
      <c r="D539" s="5" t="s">
        <v>962</v>
      </c>
      <c r="E539" s="5" t="s">
        <v>1377</v>
      </c>
      <c r="F539" s="5" t="s">
        <v>1612</v>
      </c>
      <c r="G539" s="5" t="s">
        <v>987</v>
      </c>
      <c r="H539" s="5" t="s">
        <v>974</v>
      </c>
    </row>
    <row r="540" customFormat="false" ht="15" hidden="false" customHeight="true" outlineLevel="0" collapsed="false">
      <c r="A540" s="5" t="s">
        <v>2070</v>
      </c>
      <c r="B540" s="5" t="s">
        <v>2071</v>
      </c>
      <c r="C540" s="5" t="s">
        <v>918</v>
      </c>
      <c r="D540" s="5" t="s">
        <v>919</v>
      </c>
      <c r="E540" s="5" t="s">
        <v>998</v>
      </c>
      <c r="F540" s="5" t="s">
        <v>1598</v>
      </c>
      <c r="G540" s="5" t="s">
        <v>1002</v>
      </c>
      <c r="H540" s="5" t="s">
        <v>974</v>
      </c>
    </row>
    <row r="541" customFormat="false" ht="15" hidden="false" customHeight="true" outlineLevel="0" collapsed="false">
      <c r="A541" s="5" t="s">
        <v>2072</v>
      </c>
      <c r="B541" s="5" t="s">
        <v>2073</v>
      </c>
      <c r="C541" s="5" t="s">
        <v>935</v>
      </c>
      <c r="D541" s="5" t="s">
        <v>930</v>
      </c>
      <c r="E541" s="5" t="s">
        <v>1502</v>
      </c>
      <c r="F541" s="5" t="s">
        <v>1585</v>
      </c>
      <c r="G541" s="5" t="s">
        <v>994</v>
      </c>
      <c r="H541" s="5" t="s">
        <v>974</v>
      </c>
    </row>
    <row r="542" customFormat="false" ht="15" hidden="false" customHeight="true" outlineLevel="0" collapsed="false">
      <c r="A542" s="5" t="s">
        <v>2074</v>
      </c>
      <c r="B542" s="5" t="s">
        <v>2075</v>
      </c>
      <c r="C542" s="5" t="s">
        <v>962</v>
      </c>
      <c r="D542" s="5" t="s">
        <v>962</v>
      </c>
      <c r="E542" s="5" t="s">
        <v>1497</v>
      </c>
      <c r="F542" s="5" t="s">
        <v>1010</v>
      </c>
      <c r="G542" s="5" t="s">
        <v>1002</v>
      </c>
      <c r="H542" s="5" t="s">
        <v>974</v>
      </c>
    </row>
    <row r="543" customFormat="false" ht="15" hidden="false" customHeight="true" outlineLevel="0" collapsed="false">
      <c r="A543" s="5" t="s">
        <v>2076</v>
      </c>
      <c r="B543" s="5" t="s">
        <v>2077</v>
      </c>
      <c r="C543" s="5" t="s">
        <v>933</v>
      </c>
      <c r="D543" s="5" t="s">
        <v>934</v>
      </c>
      <c r="E543" s="5" t="s">
        <v>1371</v>
      </c>
      <c r="F543" s="5" t="s">
        <v>972</v>
      </c>
      <c r="G543" s="5" t="s">
        <v>1002</v>
      </c>
      <c r="H543" s="5" t="s">
        <v>995</v>
      </c>
    </row>
    <row r="544" customFormat="false" ht="15" hidden="false" customHeight="true" outlineLevel="0" collapsed="false">
      <c r="A544" s="5" t="s">
        <v>2078</v>
      </c>
      <c r="B544" s="5" t="s">
        <v>2079</v>
      </c>
      <c r="C544" s="5" t="s">
        <v>936</v>
      </c>
      <c r="D544" s="5" t="s">
        <v>937</v>
      </c>
      <c r="E544" s="5" t="s">
        <v>1391</v>
      </c>
      <c r="F544" s="5" t="s">
        <v>1582</v>
      </c>
      <c r="G544" s="5" t="s">
        <v>973</v>
      </c>
      <c r="H544" s="5" t="s">
        <v>974</v>
      </c>
    </row>
    <row r="545" customFormat="false" ht="15" hidden="false" customHeight="true" outlineLevel="0" collapsed="false">
      <c r="A545" s="5" t="s">
        <v>2080</v>
      </c>
      <c r="B545" s="5" t="s">
        <v>2081</v>
      </c>
      <c r="C545" s="5" t="s">
        <v>920</v>
      </c>
      <c r="D545" s="5" t="s">
        <v>919</v>
      </c>
      <c r="E545" s="5" t="s">
        <v>1035</v>
      </c>
      <c r="F545" s="5" t="s">
        <v>1598</v>
      </c>
      <c r="G545" s="5" t="s">
        <v>982</v>
      </c>
      <c r="H545" s="5" t="s">
        <v>974</v>
      </c>
    </row>
    <row r="546" customFormat="false" ht="15" hidden="false" customHeight="true" outlineLevel="0" collapsed="false">
      <c r="A546" s="5" t="s">
        <v>2082</v>
      </c>
      <c r="B546" s="5" t="s">
        <v>2083</v>
      </c>
      <c r="C546" s="5" t="s">
        <v>956</v>
      </c>
      <c r="D546" s="5" t="s">
        <v>957</v>
      </c>
      <c r="E546" s="5" t="s">
        <v>1490</v>
      </c>
      <c r="F546" s="5" t="s">
        <v>981</v>
      </c>
      <c r="G546" s="5" t="s">
        <v>1002</v>
      </c>
      <c r="H546" s="5" t="s">
        <v>974</v>
      </c>
    </row>
    <row r="547" customFormat="false" ht="15" hidden="false" customHeight="true" outlineLevel="0" collapsed="false">
      <c r="A547" s="5" t="s">
        <v>2084</v>
      </c>
      <c r="B547" s="5" t="s">
        <v>2085</v>
      </c>
      <c r="C547" s="5" t="s">
        <v>929</v>
      </c>
      <c r="D547" s="5" t="s">
        <v>930</v>
      </c>
      <c r="E547" s="5" t="s">
        <v>993</v>
      </c>
      <c r="F547" s="5" t="s">
        <v>981</v>
      </c>
      <c r="G547" s="5" t="s">
        <v>982</v>
      </c>
      <c r="H547" s="5" t="s">
        <v>974</v>
      </c>
    </row>
    <row r="548" customFormat="false" ht="15" hidden="false" customHeight="true" outlineLevel="0" collapsed="false">
      <c r="A548" s="5" t="s">
        <v>2086</v>
      </c>
      <c r="B548" s="5" t="s">
        <v>2087</v>
      </c>
      <c r="C548" s="5" t="s">
        <v>950</v>
      </c>
      <c r="D548" s="5" t="s">
        <v>951</v>
      </c>
      <c r="E548" s="5" t="s">
        <v>1394</v>
      </c>
      <c r="F548" s="5" t="s">
        <v>986</v>
      </c>
      <c r="G548" s="5" t="s">
        <v>987</v>
      </c>
      <c r="H548" s="5" t="s">
        <v>974</v>
      </c>
    </row>
    <row r="549" customFormat="false" ht="15" hidden="false" customHeight="true" outlineLevel="0" collapsed="false">
      <c r="A549" s="5" t="s">
        <v>2088</v>
      </c>
      <c r="B549" s="5" t="s">
        <v>2089</v>
      </c>
      <c r="C549" s="5" t="s">
        <v>920</v>
      </c>
      <c r="D549" s="5" t="s">
        <v>919</v>
      </c>
      <c r="E549" s="5" t="s">
        <v>1001</v>
      </c>
      <c r="F549" s="5" t="s">
        <v>972</v>
      </c>
      <c r="G549" s="5" t="s">
        <v>982</v>
      </c>
      <c r="H549" s="5" t="s">
        <v>974</v>
      </c>
    </row>
    <row r="550" customFormat="false" ht="15" hidden="false" customHeight="true" outlineLevel="0" collapsed="false">
      <c r="A550" s="5" t="s">
        <v>2090</v>
      </c>
      <c r="B550" s="5" t="s">
        <v>2091</v>
      </c>
      <c r="C550" s="5" t="s">
        <v>931</v>
      </c>
      <c r="D550" s="5" t="s">
        <v>932</v>
      </c>
      <c r="E550" s="5" t="s">
        <v>971</v>
      </c>
      <c r="F550" s="5" t="s">
        <v>1006</v>
      </c>
      <c r="G550" s="5" t="s">
        <v>982</v>
      </c>
      <c r="H550" s="5" t="s">
        <v>995</v>
      </c>
    </row>
    <row r="551" customFormat="false" ht="15" hidden="false" customHeight="true" outlineLevel="0" collapsed="false">
      <c r="A551" s="5" t="s">
        <v>2092</v>
      </c>
      <c r="B551" s="5" t="s">
        <v>2093</v>
      </c>
      <c r="C551" s="5" t="s">
        <v>954</v>
      </c>
      <c r="D551" s="5" t="s">
        <v>955</v>
      </c>
      <c r="E551" s="5" t="s">
        <v>1708</v>
      </c>
      <c r="F551" s="5" t="s">
        <v>972</v>
      </c>
      <c r="G551" s="5" t="s">
        <v>973</v>
      </c>
      <c r="H551" s="5" t="s">
        <v>995</v>
      </c>
    </row>
    <row r="552" customFormat="false" ht="15" hidden="false" customHeight="true" outlineLevel="0" collapsed="false">
      <c r="A552" s="5" t="s">
        <v>2094</v>
      </c>
      <c r="B552" s="5" t="s">
        <v>2095</v>
      </c>
      <c r="C552" s="5" t="s">
        <v>960</v>
      </c>
      <c r="D552" s="5" t="s">
        <v>961</v>
      </c>
      <c r="E552" s="5" t="s">
        <v>1927</v>
      </c>
      <c r="F552" s="5" t="s">
        <v>1612</v>
      </c>
      <c r="G552" s="5" t="s">
        <v>982</v>
      </c>
      <c r="H552" s="5" t="s">
        <v>974</v>
      </c>
    </row>
    <row r="553" customFormat="false" ht="15" hidden="false" customHeight="true" outlineLevel="0" collapsed="false">
      <c r="A553" s="5" t="s">
        <v>2096</v>
      </c>
      <c r="B553" s="5" t="s">
        <v>2097</v>
      </c>
      <c r="C553" s="5" t="s">
        <v>931</v>
      </c>
      <c r="D553" s="5" t="s">
        <v>932</v>
      </c>
      <c r="E553" s="5" t="s">
        <v>971</v>
      </c>
      <c r="F553" s="5" t="s">
        <v>986</v>
      </c>
      <c r="G553" s="5" t="s">
        <v>982</v>
      </c>
      <c r="H553" s="5" t="s">
        <v>974</v>
      </c>
    </row>
    <row r="554" customFormat="false" ht="15" hidden="false" customHeight="true" outlineLevel="0" collapsed="false">
      <c r="A554" s="5" t="s">
        <v>2098</v>
      </c>
      <c r="B554" s="5" t="s">
        <v>2099</v>
      </c>
      <c r="C554" s="5" t="s">
        <v>948</v>
      </c>
      <c r="D554" s="5" t="s">
        <v>949</v>
      </c>
      <c r="E554" s="5" t="s">
        <v>1362</v>
      </c>
      <c r="F554" s="5" t="s">
        <v>1006</v>
      </c>
      <c r="G554" s="5" t="s">
        <v>973</v>
      </c>
      <c r="H554" s="5" t="s">
        <v>974</v>
      </c>
    </row>
    <row r="555" customFormat="false" ht="15" hidden="false" customHeight="true" outlineLevel="0" collapsed="false">
      <c r="A555" s="5" t="s">
        <v>2100</v>
      </c>
      <c r="B555" s="5" t="s">
        <v>2101</v>
      </c>
      <c r="C555" s="5" t="s">
        <v>931</v>
      </c>
      <c r="D555" s="5" t="s">
        <v>932</v>
      </c>
      <c r="E555" s="5" t="s">
        <v>971</v>
      </c>
      <c r="F555" s="5" t="s">
        <v>1585</v>
      </c>
      <c r="G555" s="5" t="s">
        <v>1002</v>
      </c>
      <c r="H555" s="5" t="s">
        <v>974</v>
      </c>
    </row>
    <row r="556" customFormat="false" ht="15" hidden="false" customHeight="true" outlineLevel="0" collapsed="false">
      <c r="A556" s="5" t="s">
        <v>2102</v>
      </c>
      <c r="B556" s="5" t="s">
        <v>2103</v>
      </c>
      <c r="C556" s="5" t="s">
        <v>962</v>
      </c>
      <c r="D556" s="5" t="s">
        <v>962</v>
      </c>
      <c r="E556" s="5" t="s">
        <v>1377</v>
      </c>
      <c r="F556" s="5" t="s">
        <v>1576</v>
      </c>
      <c r="G556" s="5" t="s">
        <v>994</v>
      </c>
      <c r="H556" s="5" t="s">
        <v>974</v>
      </c>
    </row>
    <row r="557" customFormat="false" ht="15" hidden="false" customHeight="true" outlineLevel="0" collapsed="false">
      <c r="A557" s="5" t="s">
        <v>2104</v>
      </c>
      <c r="B557" s="5" t="s">
        <v>2105</v>
      </c>
      <c r="C557" s="5" t="s">
        <v>918</v>
      </c>
      <c r="D557" s="5" t="s">
        <v>919</v>
      </c>
      <c r="E557" s="5" t="s">
        <v>1222</v>
      </c>
      <c r="F557" s="5" t="s">
        <v>1594</v>
      </c>
      <c r="G557" s="5" t="s">
        <v>982</v>
      </c>
      <c r="H557" s="5" t="s">
        <v>974</v>
      </c>
    </row>
    <row r="558" customFormat="false" ht="15" hidden="false" customHeight="true" outlineLevel="0" collapsed="false">
      <c r="A558" s="5" t="s">
        <v>2106</v>
      </c>
      <c r="B558" s="5" t="s">
        <v>2107</v>
      </c>
      <c r="C558" s="5" t="s">
        <v>946</v>
      </c>
      <c r="D558" s="5" t="s">
        <v>947</v>
      </c>
      <c r="E558" s="5" t="s">
        <v>1517</v>
      </c>
      <c r="F558" s="5" t="s">
        <v>1585</v>
      </c>
      <c r="G558" s="5" t="s">
        <v>1002</v>
      </c>
      <c r="H558" s="5" t="s">
        <v>974</v>
      </c>
    </row>
    <row r="559" customFormat="false" ht="15" hidden="false" customHeight="true" outlineLevel="0" collapsed="false">
      <c r="A559" s="5" t="s">
        <v>2108</v>
      </c>
      <c r="B559" s="5" t="s">
        <v>2109</v>
      </c>
      <c r="C559" s="5" t="s">
        <v>931</v>
      </c>
      <c r="D559" s="5" t="s">
        <v>932</v>
      </c>
      <c r="E559" s="5" t="s">
        <v>971</v>
      </c>
      <c r="F559" s="5" t="s">
        <v>972</v>
      </c>
      <c r="G559" s="5" t="s">
        <v>994</v>
      </c>
      <c r="H559" s="5" t="s">
        <v>974</v>
      </c>
    </row>
    <row r="560" customFormat="false" ht="15" hidden="false" customHeight="true" outlineLevel="0" collapsed="false">
      <c r="A560" s="5" t="s">
        <v>2110</v>
      </c>
      <c r="B560" s="5" t="s">
        <v>2111</v>
      </c>
      <c r="C560" s="5" t="s">
        <v>927</v>
      </c>
      <c r="D560" s="5" t="s">
        <v>928</v>
      </c>
      <c r="E560" s="5" t="s">
        <v>1030</v>
      </c>
      <c r="F560" s="5" t="s">
        <v>1576</v>
      </c>
      <c r="G560" s="5" t="s">
        <v>994</v>
      </c>
      <c r="H560" s="5" t="s">
        <v>995</v>
      </c>
    </row>
    <row r="561" customFormat="false" ht="15" hidden="false" customHeight="true" outlineLevel="0" collapsed="false">
      <c r="A561" s="5" t="s">
        <v>2112</v>
      </c>
      <c r="B561" s="5" t="s">
        <v>2113</v>
      </c>
      <c r="C561" s="5" t="s">
        <v>929</v>
      </c>
      <c r="D561" s="5" t="s">
        <v>930</v>
      </c>
      <c r="E561" s="5" t="s">
        <v>1097</v>
      </c>
      <c r="F561" s="5" t="s">
        <v>986</v>
      </c>
      <c r="G561" s="5" t="s">
        <v>987</v>
      </c>
      <c r="H561" s="5" t="s">
        <v>974</v>
      </c>
    </row>
    <row r="562" customFormat="false" ht="15" hidden="false" customHeight="true" outlineLevel="0" collapsed="false">
      <c r="A562" s="5" t="s">
        <v>2114</v>
      </c>
      <c r="B562" s="5" t="s">
        <v>2115</v>
      </c>
      <c r="C562" s="5" t="s">
        <v>931</v>
      </c>
      <c r="D562" s="5" t="s">
        <v>932</v>
      </c>
      <c r="E562" s="5" t="s">
        <v>1056</v>
      </c>
      <c r="F562" s="5" t="s">
        <v>972</v>
      </c>
      <c r="G562" s="5" t="s">
        <v>987</v>
      </c>
      <c r="H562" s="5" t="s">
        <v>974</v>
      </c>
    </row>
    <row r="563" customFormat="false" ht="15" hidden="false" customHeight="true" outlineLevel="0" collapsed="false">
      <c r="A563" s="5" t="s">
        <v>2116</v>
      </c>
      <c r="B563" s="5" t="s">
        <v>2117</v>
      </c>
      <c r="C563" s="5" t="s">
        <v>942</v>
      </c>
      <c r="D563" s="5" t="s">
        <v>943</v>
      </c>
      <c r="E563" s="5" t="s">
        <v>1564</v>
      </c>
      <c r="F563" s="5" t="s">
        <v>1585</v>
      </c>
      <c r="G563" s="5" t="s">
        <v>994</v>
      </c>
      <c r="H563" s="5" t="s">
        <v>974</v>
      </c>
    </row>
    <row r="564" customFormat="false" ht="15" hidden="false" customHeight="true" outlineLevel="0" collapsed="false">
      <c r="A564" s="5" t="s">
        <v>2118</v>
      </c>
      <c r="B564" s="5" t="s">
        <v>2119</v>
      </c>
      <c r="C564" s="5" t="s">
        <v>921</v>
      </c>
      <c r="D564" s="5" t="s">
        <v>922</v>
      </c>
      <c r="E564" s="5" t="s">
        <v>1059</v>
      </c>
      <c r="F564" s="5" t="s">
        <v>981</v>
      </c>
      <c r="G564" s="5" t="s">
        <v>982</v>
      </c>
      <c r="H564" s="5" t="s">
        <v>974</v>
      </c>
    </row>
    <row r="565" customFormat="false" ht="15" hidden="false" customHeight="true" outlineLevel="0" collapsed="false">
      <c r="A565" s="5" t="s">
        <v>2120</v>
      </c>
      <c r="B565" s="5" t="s">
        <v>2121</v>
      </c>
      <c r="C565" s="5" t="s">
        <v>918</v>
      </c>
      <c r="D565" s="5" t="s">
        <v>919</v>
      </c>
      <c r="E565" s="5" t="s">
        <v>1020</v>
      </c>
      <c r="F565" s="5" t="s">
        <v>1006</v>
      </c>
      <c r="G565" s="5" t="s">
        <v>973</v>
      </c>
      <c r="H565" s="5" t="s">
        <v>974</v>
      </c>
    </row>
    <row r="566" customFormat="false" ht="15" hidden="false" customHeight="true" outlineLevel="0" collapsed="false">
      <c r="A566" s="5" t="s">
        <v>2122</v>
      </c>
      <c r="B566" s="5" t="s">
        <v>2123</v>
      </c>
      <c r="C566" s="5" t="s">
        <v>958</v>
      </c>
      <c r="D566" s="5" t="s">
        <v>959</v>
      </c>
      <c r="E566" s="5" t="s">
        <v>1603</v>
      </c>
      <c r="F566" s="5" t="s">
        <v>972</v>
      </c>
      <c r="G566" s="5" t="s">
        <v>1002</v>
      </c>
      <c r="H566" s="5" t="s">
        <v>974</v>
      </c>
    </row>
    <row r="567" customFormat="false" ht="15" hidden="false" customHeight="true" outlineLevel="0" collapsed="false">
      <c r="A567" s="5" t="s">
        <v>2124</v>
      </c>
      <c r="B567" s="5" t="s">
        <v>2125</v>
      </c>
      <c r="C567" s="5" t="s">
        <v>929</v>
      </c>
      <c r="D567" s="5" t="s">
        <v>930</v>
      </c>
      <c r="E567" s="5" t="s">
        <v>1005</v>
      </c>
      <c r="F567" s="5" t="s">
        <v>1598</v>
      </c>
      <c r="G567" s="5" t="s">
        <v>1002</v>
      </c>
      <c r="H567" s="5" t="s">
        <v>995</v>
      </c>
    </row>
    <row r="568" customFormat="false" ht="15" hidden="false" customHeight="true" outlineLevel="0" collapsed="false">
      <c r="A568" s="5" t="s">
        <v>2126</v>
      </c>
      <c r="B568" s="5" t="s">
        <v>2127</v>
      </c>
      <c r="C568" s="5" t="s">
        <v>918</v>
      </c>
      <c r="D568" s="5" t="s">
        <v>919</v>
      </c>
      <c r="E568" s="5" t="s">
        <v>998</v>
      </c>
      <c r="F568" s="5" t="s">
        <v>990</v>
      </c>
      <c r="G568" s="5" t="s">
        <v>987</v>
      </c>
      <c r="H568" s="5" t="s">
        <v>974</v>
      </c>
    </row>
    <row r="569" customFormat="false" ht="15" hidden="false" customHeight="true" outlineLevel="0" collapsed="false">
      <c r="A569" s="5" t="s">
        <v>2128</v>
      </c>
      <c r="B569" s="5" t="s">
        <v>2129</v>
      </c>
      <c r="C569" s="5" t="s">
        <v>960</v>
      </c>
      <c r="D569" s="5" t="s">
        <v>961</v>
      </c>
      <c r="E569" s="5" t="s">
        <v>1927</v>
      </c>
      <c r="F569" s="5" t="s">
        <v>1585</v>
      </c>
      <c r="G569" s="5" t="s">
        <v>987</v>
      </c>
      <c r="H569" s="5" t="s">
        <v>974</v>
      </c>
    </row>
    <row r="570" customFormat="false" ht="15" hidden="false" customHeight="true" outlineLevel="0" collapsed="false">
      <c r="A570" s="5" t="s">
        <v>2130</v>
      </c>
      <c r="B570" s="5" t="s">
        <v>2131</v>
      </c>
      <c r="C570" s="5" t="s">
        <v>920</v>
      </c>
      <c r="D570" s="5" t="s">
        <v>919</v>
      </c>
      <c r="E570" s="5" t="s">
        <v>1035</v>
      </c>
      <c r="F570" s="5" t="s">
        <v>1582</v>
      </c>
      <c r="G570" s="5" t="s">
        <v>982</v>
      </c>
      <c r="H570" s="5" t="s">
        <v>974</v>
      </c>
    </row>
    <row r="571" customFormat="false" ht="15" hidden="false" customHeight="true" outlineLevel="0" collapsed="false">
      <c r="A571" s="5" t="s">
        <v>2132</v>
      </c>
      <c r="B571" s="5" t="s">
        <v>2133</v>
      </c>
      <c r="C571" s="5" t="s">
        <v>929</v>
      </c>
      <c r="D571" s="5" t="s">
        <v>930</v>
      </c>
      <c r="E571" s="5" t="s">
        <v>993</v>
      </c>
      <c r="F571" s="5" t="s">
        <v>1594</v>
      </c>
      <c r="G571" s="5" t="s">
        <v>987</v>
      </c>
      <c r="H571" s="5" t="s">
        <v>974</v>
      </c>
    </row>
    <row r="572" customFormat="false" ht="15" hidden="false" customHeight="true" outlineLevel="0" collapsed="false">
      <c r="A572" s="5" t="s">
        <v>2134</v>
      </c>
      <c r="B572" s="5" t="s">
        <v>2135</v>
      </c>
      <c r="C572" s="5" t="s">
        <v>942</v>
      </c>
      <c r="D572" s="5" t="s">
        <v>943</v>
      </c>
      <c r="E572" s="5" t="s">
        <v>1564</v>
      </c>
      <c r="F572" s="5" t="s">
        <v>1010</v>
      </c>
      <c r="G572" s="5" t="s">
        <v>987</v>
      </c>
      <c r="H572" s="5" t="s">
        <v>974</v>
      </c>
    </row>
    <row r="573" customFormat="false" ht="15" hidden="false" customHeight="true" outlineLevel="0" collapsed="false">
      <c r="A573" s="5" t="s">
        <v>2136</v>
      </c>
      <c r="B573" s="5" t="s">
        <v>2137</v>
      </c>
      <c r="C573" s="5" t="s">
        <v>950</v>
      </c>
      <c r="D573" s="5" t="s">
        <v>951</v>
      </c>
      <c r="E573" s="5" t="s">
        <v>1394</v>
      </c>
      <c r="F573" s="5" t="s">
        <v>1585</v>
      </c>
      <c r="G573" s="5" t="s">
        <v>973</v>
      </c>
      <c r="H573" s="5" t="s">
        <v>974</v>
      </c>
    </row>
    <row r="574" customFormat="false" ht="15" hidden="false" customHeight="true" outlineLevel="0" collapsed="false">
      <c r="A574" s="5" t="s">
        <v>2138</v>
      </c>
      <c r="B574" s="5" t="s">
        <v>2139</v>
      </c>
      <c r="C574" s="5" t="s">
        <v>935</v>
      </c>
      <c r="D574" s="5" t="s">
        <v>930</v>
      </c>
      <c r="E574" s="5" t="s">
        <v>1723</v>
      </c>
      <c r="F574" s="5" t="s">
        <v>1582</v>
      </c>
      <c r="G574" s="5" t="s">
        <v>987</v>
      </c>
      <c r="H574" s="5" t="s">
        <v>995</v>
      </c>
    </row>
    <row r="575" customFormat="false" ht="15" hidden="false" customHeight="true" outlineLevel="0" collapsed="false">
      <c r="A575" s="5" t="s">
        <v>2140</v>
      </c>
      <c r="B575" s="5" t="s">
        <v>2141</v>
      </c>
      <c r="C575" s="5" t="s">
        <v>935</v>
      </c>
      <c r="D575" s="5" t="s">
        <v>930</v>
      </c>
      <c r="E575" s="5" t="s">
        <v>1502</v>
      </c>
      <c r="F575" s="5" t="s">
        <v>1576</v>
      </c>
      <c r="G575" s="5" t="s">
        <v>1002</v>
      </c>
      <c r="H575" s="5" t="s">
        <v>974</v>
      </c>
    </row>
    <row r="576" customFormat="false" ht="15" hidden="false" customHeight="true" outlineLevel="0" collapsed="false">
      <c r="A576" s="5" t="s">
        <v>2142</v>
      </c>
      <c r="B576" s="5" t="s">
        <v>2143</v>
      </c>
      <c r="C576" s="5" t="s">
        <v>938</v>
      </c>
      <c r="D576" s="5" t="s">
        <v>939</v>
      </c>
      <c r="E576" s="5" t="s">
        <v>1505</v>
      </c>
      <c r="F576" s="5" t="s">
        <v>1585</v>
      </c>
      <c r="G576" s="5" t="s">
        <v>982</v>
      </c>
      <c r="H576" s="5" t="s">
        <v>974</v>
      </c>
    </row>
    <row r="577" customFormat="false" ht="15" hidden="false" customHeight="true" outlineLevel="0" collapsed="false">
      <c r="A577" s="5" t="s">
        <v>2144</v>
      </c>
      <c r="B577" s="5" t="s">
        <v>2145</v>
      </c>
      <c r="C577" s="5" t="s">
        <v>952</v>
      </c>
      <c r="D577" s="5" t="s">
        <v>953</v>
      </c>
      <c r="E577" s="5" t="s">
        <v>1512</v>
      </c>
      <c r="F577" s="5" t="s">
        <v>1594</v>
      </c>
      <c r="G577" s="5" t="s">
        <v>973</v>
      </c>
      <c r="H577" s="5" t="s">
        <v>974</v>
      </c>
    </row>
    <row r="578" customFormat="false" ht="15" hidden="false" customHeight="true" outlineLevel="0" collapsed="false">
      <c r="A578" s="5" t="s">
        <v>2146</v>
      </c>
      <c r="B578" s="5" t="s">
        <v>2147</v>
      </c>
      <c r="C578" s="5" t="s">
        <v>958</v>
      </c>
      <c r="D578" s="5" t="s">
        <v>959</v>
      </c>
      <c r="E578" s="5" t="s">
        <v>1603</v>
      </c>
      <c r="F578" s="5" t="s">
        <v>1594</v>
      </c>
      <c r="G578" s="5" t="s">
        <v>1002</v>
      </c>
      <c r="H578" s="5" t="s">
        <v>974</v>
      </c>
    </row>
    <row r="579" customFormat="false" ht="15" hidden="false" customHeight="true" outlineLevel="0" collapsed="false">
      <c r="A579" s="5" t="s">
        <v>2148</v>
      </c>
      <c r="B579" s="5" t="s">
        <v>2149</v>
      </c>
      <c r="C579" s="5" t="s">
        <v>956</v>
      </c>
      <c r="D579" s="5" t="s">
        <v>957</v>
      </c>
      <c r="E579" s="5" t="s">
        <v>1414</v>
      </c>
      <c r="F579" s="5" t="s">
        <v>981</v>
      </c>
      <c r="G579" s="5" t="s">
        <v>987</v>
      </c>
      <c r="H579" s="5" t="s">
        <v>995</v>
      </c>
    </row>
    <row r="580" customFormat="false" ht="15" hidden="false" customHeight="true" outlineLevel="0" collapsed="false">
      <c r="A580" s="5" t="s">
        <v>2150</v>
      </c>
      <c r="B580" s="5" t="s">
        <v>2151</v>
      </c>
      <c r="C580" s="5" t="s">
        <v>956</v>
      </c>
      <c r="D580" s="5" t="s">
        <v>957</v>
      </c>
      <c r="E580" s="5" t="s">
        <v>1414</v>
      </c>
      <c r="F580" s="5" t="s">
        <v>1598</v>
      </c>
      <c r="G580" s="5" t="s">
        <v>1002</v>
      </c>
      <c r="H580" s="5" t="s">
        <v>974</v>
      </c>
    </row>
    <row r="581" customFormat="false" ht="15" hidden="false" customHeight="true" outlineLevel="0" collapsed="false">
      <c r="A581" s="5" t="s">
        <v>2152</v>
      </c>
      <c r="B581" s="5" t="s">
        <v>2153</v>
      </c>
      <c r="C581" s="5" t="s">
        <v>933</v>
      </c>
      <c r="D581" s="5" t="s">
        <v>934</v>
      </c>
      <c r="E581" s="5" t="s">
        <v>1660</v>
      </c>
      <c r="F581" s="5" t="s">
        <v>1612</v>
      </c>
      <c r="G581" s="5" t="s">
        <v>987</v>
      </c>
      <c r="H581" s="5" t="s">
        <v>995</v>
      </c>
    </row>
    <row r="582" customFormat="false" ht="15" hidden="false" customHeight="true" outlineLevel="0" collapsed="false">
      <c r="A582" s="5" t="s">
        <v>2154</v>
      </c>
      <c r="B582" s="5" t="s">
        <v>2155</v>
      </c>
      <c r="C582" s="5" t="s">
        <v>921</v>
      </c>
      <c r="D582" s="5" t="s">
        <v>922</v>
      </c>
      <c r="E582" s="5" t="s">
        <v>1157</v>
      </c>
      <c r="F582" s="5" t="s">
        <v>986</v>
      </c>
      <c r="G582" s="5" t="s">
        <v>1002</v>
      </c>
      <c r="H582" s="5" t="s">
        <v>974</v>
      </c>
    </row>
    <row r="583" customFormat="false" ht="15" hidden="false" customHeight="true" outlineLevel="0" collapsed="false">
      <c r="A583" s="5" t="s">
        <v>2156</v>
      </c>
      <c r="B583" s="5" t="s">
        <v>2157</v>
      </c>
      <c r="C583" s="5" t="s">
        <v>938</v>
      </c>
      <c r="D583" s="5" t="s">
        <v>939</v>
      </c>
      <c r="E583" s="5" t="s">
        <v>1558</v>
      </c>
      <c r="F583" s="5" t="s">
        <v>1576</v>
      </c>
      <c r="G583" s="5" t="s">
        <v>982</v>
      </c>
      <c r="H583" s="5" t="s">
        <v>974</v>
      </c>
    </row>
    <row r="584" customFormat="false" ht="15" hidden="false" customHeight="true" outlineLevel="0" collapsed="false">
      <c r="A584" s="5" t="s">
        <v>2158</v>
      </c>
      <c r="B584" s="5" t="s">
        <v>2159</v>
      </c>
      <c r="C584" s="5" t="s">
        <v>962</v>
      </c>
      <c r="D584" s="5" t="s">
        <v>962</v>
      </c>
      <c r="E584" s="5" t="s">
        <v>1497</v>
      </c>
      <c r="F584" s="5" t="s">
        <v>1585</v>
      </c>
      <c r="G584" s="5" t="s">
        <v>982</v>
      </c>
      <c r="H584" s="5" t="s">
        <v>974</v>
      </c>
    </row>
    <row r="585" customFormat="false" ht="15" hidden="false" customHeight="true" outlineLevel="0" collapsed="false">
      <c r="A585" s="5" t="s">
        <v>2160</v>
      </c>
      <c r="B585" s="5" t="s">
        <v>2161</v>
      </c>
      <c r="C585" s="5" t="s">
        <v>929</v>
      </c>
      <c r="D585" s="5" t="s">
        <v>930</v>
      </c>
      <c r="E585" s="5" t="s">
        <v>1097</v>
      </c>
      <c r="F585" s="5" t="s">
        <v>990</v>
      </c>
      <c r="G585" s="5" t="s">
        <v>982</v>
      </c>
      <c r="H585" s="5" t="s">
        <v>974</v>
      </c>
    </row>
    <row r="586" customFormat="false" ht="15" hidden="false" customHeight="true" outlineLevel="0" collapsed="false">
      <c r="A586" s="5" t="s">
        <v>2162</v>
      </c>
      <c r="B586" s="5" t="s">
        <v>2163</v>
      </c>
      <c r="C586" s="5" t="s">
        <v>956</v>
      </c>
      <c r="D586" s="5" t="s">
        <v>957</v>
      </c>
      <c r="E586" s="5" t="s">
        <v>1414</v>
      </c>
      <c r="F586" s="5" t="s">
        <v>1010</v>
      </c>
      <c r="G586" s="5" t="s">
        <v>973</v>
      </c>
      <c r="H586" s="5" t="s">
        <v>995</v>
      </c>
    </row>
    <row r="587" customFormat="false" ht="15" hidden="false" customHeight="true" outlineLevel="0" collapsed="false">
      <c r="A587" s="5" t="s">
        <v>2164</v>
      </c>
      <c r="B587" s="5" t="s">
        <v>2165</v>
      </c>
      <c r="C587" s="5" t="s">
        <v>923</v>
      </c>
      <c r="D587" s="5" t="s">
        <v>924</v>
      </c>
      <c r="E587" s="5" t="s">
        <v>985</v>
      </c>
      <c r="F587" s="5" t="s">
        <v>1576</v>
      </c>
      <c r="G587" s="5" t="s">
        <v>994</v>
      </c>
      <c r="H587" s="5" t="s">
        <v>974</v>
      </c>
    </row>
    <row r="588" customFormat="false" ht="15" hidden="false" customHeight="true" outlineLevel="0" collapsed="false">
      <c r="A588" s="5" t="s">
        <v>2166</v>
      </c>
      <c r="B588" s="5" t="s">
        <v>2167</v>
      </c>
      <c r="C588" s="5" t="s">
        <v>952</v>
      </c>
      <c r="D588" s="5" t="s">
        <v>953</v>
      </c>
      <c r="E588" s="5" t="s">
        <v>1773</v>
      </c>
      <c r="F588" s="5" t="s">
        <v>1006</v>
      </c>
      <c r="G588" s="5" t="s">
        <v>982</v>
      </c>
      <c r="H588" s="5" t="s">
        <v>974</v>
      </c>
    </row>
    <row r="589" customFormat="false" ht="15" hidden="false" customHeight="true" outlineLevel="0" collapsed="false">
      <c r="A589" s="5" t="s">
        <v>2168</v>
      </c>
      <c r="B589" s="5" t="s">
        <v>2169</v>
      </c>
      <c r="C589" s="5" t="s">
        <v>958</v>
      </c>
      <c r="D589" s="5" t="s">
        <v>959</v>
      </c>
      <c r="E589" s="5" t="s">
        <v>1368</v>
      </c>
      <c r="F589" s="5" t="s">
        <v>1585</v>
      </c>
      <c r="G589" s="5" t="s">
        <v>987</v>
      </c>
      <c r="H589" s="5" t="s">
        <v>974</v>
      </c>
    </row>
    <row r="590" customFormat="false" ht="15" hidden="false" customHeight="true" outlineLevel="0" collapsed="false">
      <c r="A590" s="5" t="s">
        <v>2170</v>
      </c>
      <c r="B590" s="5" t="s">
        <v>2171</v>
      </c>
      <c r="C590" s="5" t="s">
        <v>918</v>
      </c>
      <c r="D590" s="5" t="s">
        <v>919</v>
      </c>
      <c r="E590" s="5" t="s">
        <v>1020</v>
      </c>
      <c r="F590" s="5" t="s">
        <v>990</v>
      </c>
      <c r="G590" s="5" t="s">
        <v>982</v>
      </c>
      <c r="H590" s="5" t="s">
        <v>974</v>
      </c>
    </row>
    <row r="591" customFormat="false" ht="15" hidden="false" customHeight="true" outlineLevel="0" collapsed="false">
      <c r="A591" s="5" t="s">
        <v>2172</v>
      </c>
      <c r="B591" s="5" t="s">
        <v>2173</v>
      </c>
      <c r="C591" s="5" t="s">
        <v>944</v>
      </c>
      <c r="D591" s="5" t="s">
        <v>945</v>
      </c>
      <c r="E591" s="5" t="s">
        <v>1759</v>
      </c>
      <c r="F591" s="5" t="s">
        <v>1006</v>
      </c>
      <c r="G591" s="5" t="s">
        <v>973</v>
      </c>
      <c r="H591" s="5" t="s">
        <v>974</v>
      </c>
    </row>
    <row r="592" customFormat="false" ht="15" hidden="false" customHeight="true" outlineLevel="0" collapsed="false">
      <c r="A592" s="5" t="s">
        <v>2174</v>
      </c>
      <c r="B592" s="5" t="s">
        <v>2175</v>
      </c>
      <c r="C592" s="5" t="s">
        <v>925</v>
      </c>
      <c r="D592" s="5" t="s">
        <v>926</v>
      </c>
      <c r="E592" s="5" t="s">
        <v>1042</v>
      </c>
      <c r="F592" s="5" t="s">
        <v>1576</v>
      </c>
      <c r="G592" s="5" t="s">
        <v>994</v>
      </c>
      <c r="H592" s="5" t="s">
        <v>995</v>
      </c>
    </row>
    <row r="593" customFormat="false" ht="15" hidden="false" customHeight="true" outlineLevel="0" collapsed="false">
      <c r="A593" s="5" t="s">
        <v>2176</v>
      </c>
      <c r="B593" s="5" t="s">
        <v>2177</v>
      </c>
      <c r="C593" s="5" t="s">
        <v>938</v>
      </c>
      <c r="D593" s="5" t="s">
        <v>939</v>
      </c>
      <c r="E593" s="5" t="s">
        <v>1505</v>
      </c>
      <c r="F593" s="5" t="s">
        <v>1576</v>
      </c>
      <c r="G593" s="5" t="s">
        <v>982</v>
      </c>
      <c r="H593" s="5" t="s">
        <v>995</v>
      </c>
    </row>
    <row r="594" customFormat="false" ht="15" hidden="false" customHeight="true" outlineLevel="0" collapsed="false">
      <c r="A594" s="5" t="s">
        <v>2178</v>
      </c>
      <c r="B594" s="5" t="s">
        <v>2179</v>
      </c>
      <c r="C594" s="5" t="s">
        <v>942</v>
      </c>
      <c r="D594" s="5" t="s">
        <v>943</v>
      </c>
      <c r="E594" s="5" t="s">
        <v>1564</v>
      </c>
      <c r="F594" s="5" t="s">
        <v>972</v>
      </c>
      <c r="G594" s="5" t="s">
        <v>982</v>
      </c>
      <c r="H594" s="5" t="s">
        <v>974</v>
      </c>
    </row>
    <row r="595" customFormat="false" ht="15" hidden="false" customHeight="true" outlineLevel="0" collapsed="false">
      <c r="A595" s="5" t="s">
        <v>2180</v>
      </c>
      <c r="B595" s="5" t="s">
        <v>2181</v>
      </c>
      <c r="C595" s="5" t="s">
        <v>956</v>
      </c>
      <c r="D595" s="5" t="s">
        <v>957</v>
      </c>
      <c r="E595" s="5" t="s">
        <v>1414</v>
      </c>
      <c r="F595" s="5" t="s">
        <v>1612</v>
      </c>
      <c r="G595" s="5" t="s">
        <v>994</v>
      </c>
      <c r="H595" s="5" t="s">
        <v>995</v>
      </c>
    </row>
    <row r="596" customFormat="false" ht="15" hidden="false" customHeight="true" outlineLevel="0" collapsed="false">
      <c r="A596" s="5" t="s">
        <v>2182</v>
      </c>
      <c r="B596" s="5" t="s">
        <v>2183</v>
      </c>
      <c r="C596" s="5" t="s">
        <v>958</v>
      </c>
      <c r="D596" s="5" t="s">
        <v>959</v>
      </c>
      <c r="E596" s="5" t="s">
        <v>1368</v>
      </c>
      <c r="F596" s="5" t="s">
        <v>1612</v>
      </c>
      <c r="G596" s="5" t="s">
        <v>982</v>
      </c>
      <c r="H596" s="5" t="s">
        <v>995</v>
      </c>
    </row>
    <row r="597" customFormat="false" ht="15" hidden="false" customHeight="true" outlineLevel="0" collapsed="false">
      <c r="A597" s="5" t="s">
        <v>2184</v>
      </c>
      <c r="B597" s="5" t="s">
        <v>2185</v>
      </c>
      <c r="C597" s="5" t="s">
        <v>942</v>
      </c>
      <c r="D597" s="5" t="s">
        <v>943</v>
      </c>
      <c r="E597" s="5" t="s">
        <v>1750</v>
      </c>
      <c r="F597" s="5" t="s">
        <v>990</v>
      </c>
      <c r="G597" s="5" t="s">
        <v>982</v>
      </c>
      <c r="H597" s="5" t="s">
        <v>974</v>
      </c>
    </row>
    <row r="598" customFormat="false" ht="15" hidden="false" customHeight="true" outlineLevel="0" collapsed="false">
      <c r="A598" s="5" t="s">
        <v>2186</v>
      </c>
      <c r="B598" s="5" t="s">
        <v>2187</v>
      </c>
      <c r="C598" s="5" t="s">
        <v>942</v>
      </c>
      <c r="D598" s="5" t="s">
        <v>943</v>
      </c>
      <c r="E598" s="5" t="s">
        <v>1564</v>
      </c>
      <c r="F598" s="5" t="s">
        <v>1582</v>
      </c>
      <c r="G598" s="5" t="s">
        <v>994</v>
      </c>
      <c r="H598" s="5" t="s">
        <v>974</v>
      </c>
    </row>
    <row r="599" customFormat="false" ht="15" hidden="false" customHeight="true" outlineLevel="0" collapsed="false">
      <c r="A599" s="5" t="s">
        <v>2188</v>
      </c>
      <c r="B599" s="5" t="s">
        <v>2189</v>
      </c>
      <c r="C599" s="5" t="s">
        <v>931</v>
      </c>
      <c r="D599" s="5" t="s">
        <v>932</v>
      </c>
      <c r="E599" s="5" t="s">
        <v>971</v>
      </c>
      <c r="F599" s="5" t="s">
        <v>1598</v>
      </c>
      <c r="G599" s="5" t="s">
        <v>994</v>
      </c>
      <c r="H599" s="5" t="s">
        <v>974</v>
      </c>
    </row>
    <row r="600" customFormat="false" ht="15" hidden="false" customHeight="true" outlineLevel="0" collapsed="false">
      <c r="A600" s="5" t="s">
        <v>2190</v>
      </c>
      <c r="B600" s="5" t="s">
        <v>2191</v>
      </c>
      <c r="C600" s="5" t="s">
        <v>952</v>
      </c>
      <c r="D600" s="5" t="s">
        <v>953</v>
      </c>
      <c r="E600" s="5" t="s">
        <v>1437</v>
      </c>
      <c r="F600" s="5" t="s">
        <v>1598</v>
      </c>
      <c r="G600" s="5" t="s">
        <v>973</v>
      </c>
      <c r="H600" s="5" t="s">
        <v>974</v>
      </c>
    </row>
    <row r="601" customFormat="false" ht="15" hidden="false" customHeight="true" outlineLevel="0" collapsed="false">
      <c r="A601" s="5" t="s">
        <v>2192</v>
      </c>
      <c r="B601" s="5" t="s">
        <v>2193</v>
      </c>
      <c r="C601" s="5" t="s">
        <v>929</v>
      </c>
      <c r="D601" s="5" t="s">
        <v>930</v>
      </c>
      <c r="E601" s="5" t="s">
        <v>1005</v>
      </c>
      <c r="F601" s="5" t="s">
        <v>986</v>
      </c>
      <c r="G601" s="5" t="s">
        <v>987</v>
      </c>
      <c r="H601" s="5" t="s">
        <v>974</v>
      </c>
    </row>
    <row r="602" customFormat="false" ht="15" hidden="false" customHeight="true" outlineLevel="0" collapsed="false">
      <c r="A602" s="5" t="s">
        <v>2194</v>
      </c>
      <c r="B602" s="5" t="s">
        <v>2195</v>
      </c>
      <c r="C602" s="5" t="s">
        <v>938</v>
      </c>
      <c r="D602" s="5" t="s">
        <v>939</v>
      </c>
      <c r="E602" s="5" t="s">
        <v>1505</v>
      </c>
      <c r="F602" s="5" t="s">
        <v>990</v>
      </c>
      <c r="G602" s="5" t="s">
        <v>987</v>
      </c>
      <c r="H602" s="5" t="s">
        <v>995</v>
      </c>
    </row>
    <row r="603" customFormat="false" ht="15" hidden="false" customHeight="true" outlineLevel="0" collapsed="false">
      <c r="A603" s="5" t="s">
        <v>2196</v>
      </c>
      <c r="B603" s="5" t="s">
        <v>2197</v>
      </c>
      <c r="C603" s="5" t="s">
        <v>960</v>
      </c>
      <c r="D603" s="5" t="s">
        <v>961</v>
      </c>
      <c r="E603" s="5" t="s">
        <v>1383</v>
      </c>
      <c r="F603" s="5" t="s">
        <v>981</v>
      </c>
      <c r="G603" s="5" t="s">
        <v>973</v>
      </c>
      <c r="H603" s="5" t="s">
        <v>974</v>
      </c>
    </row>
    <row r="604" customFormat="false" ht="15" hidden="false" customHeight="true" outlineLevel="0" collapsed="false">
      <c r="A604" s="5" t="s">
        <v>2198</v>
      </c>
      <c r="B604" s="5" t="s">
        <v>2199</v>
      </c>
      <c r="C604" s="5" t="s">
        <v>962</v>
      </c>
      <c r="D604" s="5" t="s">
        <v>962</v>
      </c>
      <c r="E604" s="5" t="s">
        <v>1377</v>
      </c>
      <c r="F604" s="5" t="s">
        <v>1576</v>
      </c>
      <c r="G604" s="5" t="s">
        <v>982</v>
      </c>
      <c r="H604" s="5" t="s">
        <v>974</v>
      </c>
    </row>
    <row r="605" customFormat="false" ht="15" hidden="false" customHeight="true" outlineLevel="0" collapsed="false">
      <c r="A605" s="5" t="s">
        <v>2200</v>
      </c>
      <c r="B605" s="5" t="s">
        <v>2201</v>
      </c>
      <c r="C605" s="5" t="s">
        <v>920</v>
      </c>
      <c r="D605" s="5" t="s">
        <v>919</v>
      </c>
      <c r="E605" s="5" t="s">
        <v>1092</v>
      </c>
      <c r="F605" s="5" t="s">
        <v>1576</v>
      </c>
      <c r="G605" s="5" t="s">
        <v>982</v>
      </c>
      <c r="H605" s="5" t="s">
        <v>974</v>
      </c>
    </row>
    <row r="606" customFormat="false" ht="15" hidden="false" customHeight="true" outlineLevel="0" collapsed="false">
      <c r="A606" s="5" t="s">
        <v>2202</v>
      </c>
      <c r="B606" s="5" t="s">
        <v>2203</v>
      </c>
      <c r="C606" s="5" t="s">
        <v>958</v>
      </c>
      <c r="D606" s="5" t="s">
        <v>959</v>
      </c>
      <c r="E606" s="5" t="s">
        <v>1368</v>
      </c>
      <c r="F606" s="5" t="s">
        <v>1594</v>
      </c>
      <c r="G606" s="5" t="s">
        <v>982</v>
      </c>
      <c r="H606" s="5" t="s">
        <v>995</v>
      </c>
    </row>
    <row r="607" customFormat="false" ht="15" hidden="false" customHeight="true" outlineLevel="0" collapsed="false">
      <c r="A607" s="5" t="s">
        <v>2204</v>
      </c>
      <c r="B607" s="5" t="s">
        <v>2205</v>
      </c>
      <c r="C607" s="5" t="s">
        <v>929</v>
      </c>
      <c r="D607" s="5" t="s">
        <v>930</v>
      </c>
      <c r="E607" s="5" t="s">
        <v>1005</v>
      </c>
      <c r="F607" s="5" t="s">
        <v>981</v>
      </c>
      <c r="G607" s="5" t="s">
        <v>973</v>
      </c>
      <c r="H607" s="5" t="s">
        <v>974</v>
      </c>
    </row>
    <row r="608" customFormat="false" ht="15" hidden="false" customHeight="true" outlineLevel="0" collapsed="false">
      <c r="A608" s="5" t="s">
        <v>2206</v>
      </c>
      <c r="B608" s="5" t="s">
        <v>2207</v>
      </c>
      <c r="C608" s="5" t="s">
        <v>950</v>
      </c>
      <c r="D608" s="5" t="s">
        <v>951</v>
      </c>
      <c r="E608" s="5" t="s">
        <v>1394</v>
      </c>
      <c r="F608" s="5" t="s">
        <v>986</v>
      </c>
      <c r="G608" s="5" t="s">
        <v>1002</v>
      </c>
      <c r="H608" s="5" t="s">
        <v>974</v>
      </c>
    </row>
    <row r="609" customFormat="false" ht="15" hidden="false" customHeight="true" outlineLevel="0" collapsed="false">
      <c r="A609" s="5" t="s">
        <v>2208</v>
      </c>
      <c r="B609" s="5" t="s">
        <v>2209</v>
      </c>
      <c r="C609" s="5" t="s">
        <v>938</v>
      </c>
      <c r="D609" s="5" t="s">
        <v>939</v>
      </c>
      <c r="E609" s="5" t="s">
        <v>1558</v>
      </c>
      <c r="F609" s="5" t="s">
        <v>1576</v>
      </c>
      <c r="G609" s="5" t="s">
        <v>982</v>
      </c>
      <c r="H609" s="5" t="s">
        <v>974</v>
      </c>
    </row>
    <row r="610" customFormat="false" ht="15" hidden="false" customHeight="true" outlineLevel="0" collapsed="false">
      <c r="A610" s="5" t="s">
        <v>2210</v>
      </c>
      <c r="B610" s="5" t="s">
        <v>2211</v>
      </c>
      <c r="C610" s="5" t="s">
        <v>948</v>
      </c>
      <c r="D610" s="5" t="s">
        <v>949</v>
      </c>
      <c r="E610" s="5" t="s">
        <v>1579</v>
      </c>
      <c r="F610" s="5" t="s">
        <v>986</v>
      </c>
      <c r="G610" s="5" t="s">
        <v>982</v>
      </c>
      <c r="H610" s="5" t="s">
        <v>974</v>
      </c>
    </row>
    <row r="611" customFormat="false" ht="15" hidden="false" customHeight="true" outlineLevel="0" collapsed="false">
      <c r="A611" s="5" t="s">
        <v>2212</v>
      </c>
      <c r="B611" s="5" t="s">
        <v>2213</v>
      </c>
      <c r="C611" s="5" t="s">
        <v>929</v>
      </c>
      <c r="D611" s="5" t="s">
        <v>930</v>
      </c>
      <c r="E611" s="5" t="s">
        <v>993</v>
      </c>
      <c r="F611" s="5" t="s">
        <v>1010</v>
      </c>
      <c r="G611" s="5" t="s">
        <v>973</v>
      </c>
      <c r="H611" s="5" t="s">
        <v>974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196" activePane="bottomLeft" state="frozen"/>
      <selection pane="topLeft" activeCell="A1" activeCellId="0" sqref="A1"/>
      <selection pane="bottomLeft" activeCell="A202" activeCellId="0" sqref="A202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0"/>
    <col collapsed="false" customWidth="true" hidden="false" outlineLevel="0" max="4" min="3" style="1" width="14"/>
    <col collapsed="false" customWidth="true" hidden="false" outlineLevel="0" max="5" min="5" style="1" width="20"/>
    <col collapsed="false" customWidth="true" hidden="false" outlineLevel="0" max="6" min="6" style="1" width="14"/>
    <col collapsed="false" customWidth="true" hidden="false" outlineLevel="0" max="7" min="7" style="1" width="20"/>
    <col collapsed="false" customWidth="true" hidden="false" outlineLevel="0" max="9" min="8" style="1" width="18"/>
    <col collapsed="false" customWidth="true" hidden="false" outlineLevel="0" max="10" min="10" style="1" width="16"/>
    <col collapsed="false" customWidth="true" hidden="false" outlineLevel="0" max="11" min="11" style="1" width="18"/>
  </cols>
  <sheetData>
    <row r="1" customFormat="false" ht="34.5" hidden="false" customHeight="true" outlineLevel="0" collapsed="false">
      <c r="A1" s="7" t="s">
        <v>963</v>
      </c>
      <c r="B1" s="7" t="s">
        <v>2214</v>
      </c>
      <c r="C1" s="7" t="s">
        <v>2215</v>
      </c>
      <c r="D1" s="7" t="s">
        <v>2216</v>
      </c>
      <c r="E1" s="7" t="s">
        <v>2217</v>
      </c>
      <c r="F1" s="7" t="s">
        <v>2218</v>
      </c>
      <c r="G1" s="7" t="s">
        <v>2219</v>
      </c>
      <c r="H1" s="7" t="s">
        <v>2220</v>
      </c>
      <c r="I1" s="7" t="s">
        <v>2221</v>
      </c>
      <c r="J1" s="7" t="s">
        <v>2222</v>
      </c>
      <c r="K1" s="7" t="s">
        <v>2223</v>
      </c>
    </row>
    <row r="2" customFormat="false" ht="15" hidden="false" customHeight="true" outlineLevel="0" collapsed="false">
      <c r="A2" s="5" t="s">
        <v>969</v>
      </c>
      <c r="B2" s="5" t="n">
        <v>7</v>
      </c>
      <c r="C2" s="5" t="n">
        <v>11</v>
      </c>
      <c r="D2" s="5" t="n">
        <v>4</v>
      </c>
      <c r="E2" s="5" t="n">
        <v>15</v>
      </c>
      <c r="F2" s="5" t="n">
        <v>3.7</v>
      </c>
      <c r="G2" s="5" t="n">
        <v>8.5</v>
      </c>
      <c r="H2" s="5" t="n">
        <v>68.6</v>
      </c>
      <c r="I2" s="5" t="n">
        <v>73.1</v>
      </c>
      <c r="J2" s="5" t="n">
        <v>0</v>
      </c>
      <c r="K2" s="5" t="n">
        <f aca="false">ROUND(MIN(MAX((B2*10)*0.2 + (MIN(E2/25*100,100))*0.2 + (MAX(100-F2*5,0))*0.15 + (G2*10)*0.15 + (H2)*0.15 + (I2)*0.15 - (J2*5),0),100),0)</f>
        <v>72</v>
      </c>
    </row>
    <row r="3" customFormat="false" ht="15" hidden="false" customHeight="true" outlineLevel="0" collapsed="false">
      <c r="A3" s="5" t="s">
        <v>975</v>
      </c>
      <c r="B3" s="5" t="n">
        <v>5.6</v>
      </c>
      <c r="C3" s="5" t="n">
        <v>10</v>
      </c>
      <c r="D3" s="5" t="n">
        <v>6</v>
      </c>
      <c r="E3" s="5" t="n">
        <v>13.8</v>
      </c>
      <c r="F3" s="5" t="n">
        <v>4.9</v>
      </c>
      <c r="G3" s="5" t="n">
        <v>4.3</v>
      </c>
      <c r="H3" s="5" t="n">
        <v>66.3</v>
      </c>
      <c r="I3" s="5" t="n">
        <v>81.6</v>
      </c>
      <c r="J3" s="5" t="n">
        <v>1</v>
      </c>
      <c r="K3" s="5" t="n">
        <f aca="false">ROUND(MIN(MAX((B3*10)*0.2 + (MIN(E3/25*100,100))*0.2 + (MAX(100-F3*5,0))*0.15 + (G3*10)*0.15 + (H3)*0.15 + (I3)*0.15 - (J3*5),0),100),0)</f>
        <v>57</v>
      </c>
    </row>
    <row r="4" customFormat="false" ht="15" hidden="false" customHeight="true" outlineLevel="0" collapsed="false">
      <c r="A4" s="5" t="s">
        <v>978</v>
      </c>
      <c r="B4" s="5" t="n">
        <v>4.9</v>
      </c>
      <c r="C4" s="5" t="n">
        <v>9</v>
      </c>
      <c r="D4" s="5" t="n">
        <v>4</v>
      </c>
      <c r="E4" s="5" t="n">
        <v>11.4</v>
      </c>
      <c r="F4" s="5" t="n">
        <v>9</v>
      </c>
      <c r="G4" s="5" t="n">
        <v>8.5</v>
      </c>
      <c r="H4" s="5" t="n">
        <v>64.6</v>
      </c>
      <c r="I4" s="5" t="n">
        <v>73.5</v>
      </c>
      <c r="J4" s="5" t="n">
        <v>0</v>
      </c>
      <c r="K4" s="5" t="n">
        <f aca="false">ROUND(MIN(MAX((B4*10)*0.2 + (MIN(E4/25*100,100))*0.2 + (MAX(100-F4*5,0))*0.15 + (G4*10)*0.15 + (H4)*0.15 + (I4)*0.15 - (J4*5),0),100),0)</f>
        <v>61</v>
      </c>
    </row>
    <row r="5" customFormat="false" ht="15" hidden="false" customHeight="true" outlineLevel="0" collapsed="false">
      <c r="A5" s="5" t="s">
        <v>983</v>
      </c>
      <c r="B5" s="5" t="n">
        <v>7.7</v>
      </c>
      <c r="C5" s="5" t="n">
        <v>12</v>
      </c>
      <c r="D5" s="5" t="n">
        <v>7</v>
      </c>
      <c r="E5" s="5" t="n">
        <v>3.9</v>
      </c>
      <c r="F5" s="5" t="n">
        <v>11.7</v>
      </c>
      <c r="G5" s="5" t="n">
        <v>7.6</v>
      </c>
      <c r="H5" s="5" t="n">
        <v>60.3</v>
      </c>
      <c r="I5" s="5" t="n">
        <v>68</v>
      </c>
      <c r="J5" s="5" t="n">
        <v>0</v>
      </c>
      <c r="K5" s="5" t="n">
        <f aca="false">ROUND(MIN(MAX((B5*10)*0.2 + (MIN(E5/25*100,100))*0.2 + (MAX(100-F5*5,0))*0.15 + (G5*10)*0.15 + (H5)*0.15 + (I5)*0.15 - (J5*5),0),100),0)</f>
        <v>55</v>
      </c>
    </row>
    <row r="6" customFormat="false" ht="15" hidden="false" customHeight="true" outlineLevel="0" collapsed="false">
      <c r="A6" s="5" t="s">
        <v>988</v>
      </c>
      <c r="B6" s="5" t="n">
        <v>4</v>
      </c>
      <c r="C6" s="5" t="n">
        <v>5</v>
      </c>
      <c r="D6" s="5" t="n">
        <v>2</v>
      </c>
      <c r="E6" s="5" t="n">
        <v>3.1</v>
      </c>
      <c r="F6" s="5" t="n">
        <v>19.4</v>
      </c>
      <c r="G6" s="5" t="n">
        <v>5.1</v>
      </c>
      <c r="H6" s="5" t="n">
        <v>75.2</v>
      </c>
      <c r="I6" s="5" t="n">
        <v>85.3</v>
      </c>
      <c r="J6" s="5" t="n">
        <v>1</v>
      </c>
      <c r="K6" s="5" t="n">
        <f aca="false">ROUND(MIN(MAX((B6*10)*0.2 + (MIN(E6/25*100,100))*0.2 + (MAX(100-F6*5,0))*0.15 + (G6*10)*0.15 + (H6)*0.15 + (I6)*0.15 - (J6*5),0),100),0)</f>
        <v>38</v>
      </c>
    </row>
    <row r="7" customFormat="false" ht="15" hidden="false" customHeight="true" outlineLevel="0" collapsed="false">
      <c r="A7" s="5" t="s">
        <v>991</v>
      </c>
      <c r="B7" s="5" t="n">
        <v>8.8</v>
      </c>
      <c r="C7" s="5" t="n">
        <v>16</v>
      </c>
      <c r="D7" s="5" t="n">
        <v>7</v>
      </c>
      <c r="E7" s="5" t="n">
        <v>19.4</v>
      </c>
      <c r="F7" s="5" t="n">
        <v>3.9</v>
      </c>
      <c r="G7" s="5" t="n">
        <v>4.1</v>
      </c>
      <c r="H7" s="5" t="n">
        <v>96.8</v>
      </c>
      <c r="I7" s="5" t="n">
        <v>92.1</v>
      </c>
      <c r="J7" s="5" t="n">
        <v>1</v>
      </c>
      <c r="K7" s="5" t="n">
        <f aca="false">ROUND(MIN(MAX((B7*10)*0.2 + (MIN(E7/25*100,100))*0.2 + (MAX(100-F7*5,0))*0.15 + (G7*10)*0.15 + (H7)*0.15 + (I7)*0.15 - (J7*5),0),100),0)</f>
        <v>75</v>
      </c>
    </row>
    <row r="8" customFormat="false" ht="15" hidden="false" customHeight="true" outlineLevel="0" collapsed="false">
      <c r="A8" s="5" t="s">
        <v>996</v>
      </c>
      <c r="B8" s="5" t="n">
        <v>7</v>
      </c>
      <c r="C8" s="5" t="n">
        <v>12</v>
      </c>
      <c r="D8" s="5" t="n">
        <v>6</v>
      </c>
      <c r="E8" s="5" t="n">
        <v>5.2</v>
      </c>
      <c r="F8" s="5" t="n">
        <v>3.5</v>
      </c>
      <c r="G8" s="5" t="n">
        <v>5.9</v>
      </c>
      <c r="H8" s="5" t="n">
        <v>92.1</v>
      </c>
      <c r="I8" s="5" t="n">
        <v>81.6</v>
      </c>
      <c r="J8" s="5" t="n">
        <v>2</v>
      </c>
      <c r="K8" s="5" t="n">
        <f aca="false">ROUND(MIN(MAX((B8*10)*0.2 + (MIN(E8/25*100,100))*0.2 + (MAX(100-F8*5,0))*0.15 + (G8*10)*0.15 + (H8)*0.15 + (I8)*0.15 - (J8*5),0),100),0)</f>
        <v>55</v>
      </c>
    </row>
    <row r="9" customFormat="false" ht="15" hidden="false" customHeight="true" outlineLevel="0" collapsed="false">
      <c r="A9" s="5" t="s">
        <v>999</v>
      </c>
      <c r="B9" s="5" t="n">
        <v>9.4</v>
      </c>
      <c r="C9" s="5" t="n">
        <v>13</v>
      </c>
      <c r="D9" s="5" t="n">
        <v>8</v>
      </c>
      <c r="E9" s="5" t="n">
        <v>7.6</v>
      </c>
      <c r="F9" s="5" t="n">
        <v>16</v>
      </c>
      <c r="G9" s="5" t="n">
        <v>7.1</v>
      </c>
      <c r="H9" s="5" t="n">
        <v>75.8</v>
      </c>
      <c r="I9" s="5" t="n">
        <v>68.3</v>
      </c>
      <c r="J9" s="5" t="n">
        <v>0</v>
      </c>
      <c r="K9" s="5" t="n">
        <f aca="false">ROUND(MIN(MAX((B9*10)*0.2 + (MIN(E9/25*100,100))*0.2 + (MAX(100-F9*5,0))*0.15 + (G9*10)*0.15 + (H9)*0.15 + (I9)*0.15 - (J9*5),0),100),0)</f>
        <v>60</v>
      </c>
    </row>
    <row r="10" customFormat="false" ht="15" hidden="false" customHeight="true" outlineLevel="0" collapsed="false">
      <c r="A10" s="5" t="s">
        <v>1003</v>
      </c>
      <c r="B10" s="5" t="n">
        <v>5.3</v>
      </c>
      <c r="C10" s="5" t="n">
        <v>7</v>
      </c>
      <c r="D10" s="5" t="n">
        <v>4</v>
      </c>
      <c r="E10" s="5" t="n">
        <v>5.2</v>
      </c>
      <c r="F10" s="5" t="n">
        <v>14.2</v>
      </c>
      <c r="G10" s="5" t="n">
        <v>9.4</v>
      </c>
      <c r="H10" s="5" t="n">
        <v>74</v>
      </c>
      <c r="I10" s="5" t="n">
        <v>86.3</v>
      </c>
      <c r="J10" s="5" t="n">
        <v>2</v>
      </c>
      <c r="K10" s="5" t="n">
        <f aca="false">ROUND(MIN(MAX((B10*10)*0.2 + (MIN(E10/25*100,100))*0.2 + (MAX(100-F10*5,0))*0.15 + (G10*10)*0.15 + (H10)*0.15 + (I10)*0.15 - (J10*5),0),100),0)</f>
        <v>47</v>
      </c>
    </row>
    <row r="11" customFormat="false" ht="15" hidden="false" customHeight="true" outlineLevel="0" collapsed="false">
      <c r="A11" s="5" t="s">
        <v>1007</v>
      </c>
      <c r="B11" s="5" t="n">
        <v>8.7</v>
      </c>
      <c r="C11" s="5" t="n">
        <v>13</v>
      </c>
      <c r="D11" s="5" t="n">
        <v>5</v>
      </c>
      <c r="E11" s="5" t="n">
        <v>6.7</v>
      </c>
      <c r="F11" s="5" t="n">
        <v>16.3</v>
      </c>
      <c r="G11" s="5" t="n">
        <v>8.6</v>
      </c>
      <c r="H11" s="5" t="n">
        <v>86.2</v>
      </c>
      <c r="I11" s="5" t="n">
        <v>62.6</v>
      </c>
      <c r="J11" s="5" t="n">
        <v>2</v>
      </c>
      <c r="K11" s="5" t="n">
        <f aca="false">ROUND(MIN(MAX((B11*10)*0.2 + (MIN(E11/25*100,100))*0.2 + (MAX(100-F11*5,0))*0.15 + (G11*10)*0.15 + (H11)*0.15 + (I11)*0.15 - (J11*5),0),100),0)</f>
        <v>51</v>
      </c>
    </row>
    <row r="12" customFormat="false" ht="15" hidden="false" customHeight="true" outlineLevel="0" collapsed="false">
      <c r="A12" s="5" t="s">
        <v>1011</v>
      </c>
      <c r="B12" s="5" t="n">
        <v>6.5</v>
      </c>
      <c r="C12" s="5" t="n">
        <v>12</v>
      </c>
      <c r="D12" s="5" t="n">
        <v>7</v>
      </c>
      <c r="E12" s="5" t="n">
        <v>11.5</v>
      </c>
      <c r="F12" s="5" t="n">
        <v>23.3</v>
      </c>
      <c r="G12" s="5" t="n">
        <v>7.4</v>
      </c>
      <c r="H12" s="5" t="n">
        <v>85.4</v>
      </c>
      <c r="I12" s="5" t="n">
        <v>81.9</v>
      </c>
      <c r="J12" s="5" t="n">
        <v>3</v>
      </c>
      <c r="K12" s="5" t="n">
        <f aca="false">ROUND(MIN(MAX((B12*10)*0.2 + (MIN(E12/25*100,100))*0.2 + (MAX(100-F12*5,0))*0.15 + (G12*10)*0.15 + (H12)*0.15 + (I12)*0.15 - (J12*5),0),100),0)</f>
        <v>43</v>
      </c>
    </row>
    <row r="13" customFormat="false" ht="15" hidden="false" customHeight="true" outlineLevel="0" collapsed="false">
      <c r="A13" s="5" t="s">
        <v>1013</v>
      </c>
      <c r="B13" s="5" t="n">
        <v>7.4</v>
      </c>
      <c r="C13" s="5" t="n">
        <v>10</v>
      </c>
      <c r="D13" s="5" t="n">
        <v>4</v>
      </c>
      <c r="E13" s="5" t="n">
        <v>11.4</v>
      </c>
      <c r="F13" s="5" t="n">
        <v>9.7</v>
      </c>
      <c r="G13" s="5" t="n">
        <v>5.6</v>
      </c>
      <c r="H13" s="5" t="n">
        <v>62.2</v>
      </c>
      <c r="I13" s="5" t="n">
        <v>76.8</v>
      </c>
      <c r="J13" s="5" t="n">
        <v>0</v>
      </c>
      <c r="K13" s="5" t="n">
        <f aca="false">ROUND(MIN(MAX((B13*10)*0.2 + (MIN(E13/25*100,100))*0.2 + (MAX(100-F13*5,0))*0.15 + (G13*10)*0.15 + (H13)*0.15 + (I13)*0.15 - (J13*5),0),100),0)</f>
        <v>61</v>
      </c>
    </row>
    <row r="14" customFormat="false" ht="15" hidden="false" customHeight="true" outlineLevel="0" collapsed="false">
      <c r="A14" s="5" t="s">
        <v>1015</v>
      </c>
      <c r="B14" s="5" t="n">
        <v>6.2</v>
      </c>
      <c r="C14" s="5" t="n">
        <v>8</v>
      </c>
      <c r="D14" s="5" t="n">
        <v>5</v>
      </c>
      <c r="E14" s="5" t="n">
        <v>4.5</v>
      </c>
      <c r="F14" s="5" t="n">
        <v>22</v>
      </c>
      <c r="G14" s="5" t="n">
        <v>9.1</v>
      </c>
      <c r="H14" s="5" t="n">
        <v>84.6</v>
      </c>
      <c r="I14" s="5" t="n">
        <v>76.8</v>
      </c>
      <c r="J14" s="5" t="n">
        <v>1</v>
      </c>
      <c r="K14" s="5" t="n">
        <f aca="false">ROUND(MIN(MAX((B14*10)*0.2 + (MIN(E14/25*100,100))*0.2 + (MAX(100-F14*5,0))*0.15 + (G14*10)*0.15 + (H14)*0.15 + (I14)*0.15 - (J14*5),0),100),0)</f>
        <v>49</v>
      </c>
    </row>
    <row r="15" customFormat="false" ht="15" hidden="false" customHeight="true" outlineLevel="0" collapsed="false">
      <c r="A15" s="5" t="s">
        <v>1016</v>
      </c>
      <c r="B15" s="5" t="n">
        <v>6.9</v>
      </c>
      <c r="C15" s="5" t="n">
        <v>12</v>
      </c>
      <c r="D15" s="5" t="n">
        <v>7</v>
      </c>
      <c r="E15" s="5" t="n">
        <v>11.5</v>
      </c>
      <c r="F15" s="5" t="n">
        <v>20.8</v>
      </c>
      <c r="G15" s="5" t="n">
        <v>7.9</v>
      </c>
      <c r="H15" s="5" t="n">
        <v>72.9</v>
      </c>
      <c r="I15" s="5" t="n">
        <v>75.5</v>
      </c>
      <c r="J15" s="5" t="n">
        <v>0</v>
      </c>
      <c r="K15" s="5" t="n">
        <f aca="false">ROUND(MIN(MAX((B15*10)*0.2 + (MIN(E15/25*100,100))*0.2 + (MAX(100-F15*5,0))*0.15 + (G15*10)*0.15 + (H15)*0.15 + (I15)*0.15 - (J15*5),0),100),0)</f>
        <v>57</v>
      </c>
    </row>
    <row r="16" customFormat="false" ht="15" hidden="false" customHeight="true" outlineLevel="0" collapsed="false">
      <c r="A16" s="5" t="s">
        <v>1018</v>
      </c>
      <c r="B16" s="5" t="n">
        <v>3.4</v>
      </c>
      <c r="C16" s="5" t="n">
        <v>3</v>
      </c>
      <c r="D16" s="5" t="n">
        <v>3</v>
      </c>
      <c r="E16" s="5" t="n">
        <v>9.5</v>
      </c>
      <c r="F16" s="5" t="n">
        <v>18.7</v>
      </c>
      <c r="G16" s="5" t="n">
        <v>7</v>
      </c>
      <c r="H16" s="5" t="n">
        <v>66.9</v>
      </c>
      <c r="I16" s="5" t="n">
        <v>65.7</v>
      </c>
      <c r="J16" s="5" t="n">
        <v>1</v>
      </c>
      <c r="K16" s="5" t="n">
        <f aca="false">ROUND(MIN(MAX((B16*10)*0.2 + (MIN(E16/25*100,100))*0.2 + (MAX(100-F16*5,0))*0.15 + (G16*10)*0.15 + (H16)*0.15 + (I16)*0.15 - (J16*5),0),100),0)</f>
        <v>41</v>
      </c>
    </row>
    <row r="17" customFormat="false" ht="15" hidden="false" customHeight="true" outlineLevel="0" collapsed="false">
      <c r="A17" s="5" t="s">
        <v>1021</v>
      </c>
      <c r="B17" s="5" t="n">
        <v>6.1</v>
      </c>
      <c r="C17" s="5" t="n">
        <v>10</v>
      </c>
      <c r="D17" s="5" t="n">
        <v>4</v>
      </c>
      <c r="E17" s="5" t="n">
        <v>10.1</v>
      </c>
      <c r="F17" s="5" t="n">
        <v>9.2</v>
      </c>
      <c r="G17" s="5" t="n">
        <v>6.5</v>
      </c>
      <c r="H17" s="5" t="n">
        <v>73.5</v>
      </c>
      <c r="I17" s="5" t="n">
        <v>80.7</v>
      </c>
      <c r="J17" s="5" t="n">
        <v>2</v>
      </c>
      <c r="K17" s="5" t="n">
        <f aca="false">ROUND(MIN(MAX((B17*10)*0.2 + (MIN(E17/25*100,100))*0.2 + (MAX(100-F17*5,0))*0.15 + (G17*10)*0.15 + (H17)*0.15 + (I17)*0.15 - (J17*5),0),100),0)</f>
        <v>51</v>
      </c>
    </row>
    <row r="18" customFormat="false" ht="15" hidden="false" customHeight="true" outlineLevel="0" collapsed="false">
      <c r="A18" s="5" t="s">
        <v>1024</v>
      </c>
      <c r="B18" s="5" t="n">
        <v>7.5</v>
      </c>
      <c r="C18" s="5" t="n">
        <v>10</v>
      </c>
      <c r="D18" s="5" t="n">
        <v>4</v>
      </c>
      <c r="E18" s="5" t="n">
        <v>15.9</v>
      </c>
      <c r="F18" s="5" t="n">
        <v>9.3</v>
      </c>
      <c r="G18" s="5" t="n">
        <v>8.3</v>
      </c>
      <c r="H18" s="5" t="n">
        <v>86.3</v>
      </c>
      <c r="I18" s="5" t="n">
        <v>94</v>
      </c>
      <c r="J18" s="5" t="n">
        <v>3</v>
      </c>
      <c r="K18" s="5" t="n">
        <f aca="false">ROUND(MIN(MAX((B18*10)*0.2 + (MIN(E18/25*100,100))*0.2 + (MAX(100-F18*5,0))*0.15 + (G18*10)*0.15 + (H18)*0.15 + (I18)*0.15 - (J18*5),0),100),0)</f>
        <v>60</v>
      </c>
    </row>
    <row r="19" customFormat="false" ht="15" hidden="false" customHeight="true" outlineLevel="0" collapsed="false">
      <c r="A19" s="5" t="s">
        <v>1026</v>
      </c>
      <c r="B19" s="5" t="n">
        <v>5.3</v>
      </c>
      <c r="C19" s="5" t="n">
        <v>9</v>
      </c>
      <c r="D19" s="5" t="n">
        <v>3</v>
      </c>
      <c r="E19" s="5" t="n">
        <v>9.6</v>
      </c>
      <c r="F19" s="5" t="n">
        <v>24.3</v>
      </c>
      <c r="G19" s="5" t="n">
        <v>8.2</v>
      </c>
      <c r="H19" s="5" t="n">
        <v>75.7</v>
      </c>
      <c r="I19" s="5" t="n">
        <v>80.6</v>
      </c>
      <c r="J19" s="5" t="n">
        <v>3</v>
      </c>
      <c r="K19" s="5" t="n">
        <f aca="false">ROUND(MIN(MAX((B19*10)*0.2 + (MIN(E19/25*100,100))*0.2 + (MAX(100-F19*5,0))*0.15 + (G19*10)*0.15 + (H19)*0.15 + (I19)*0.15 - (J19*5),0),100),0)</f>
        <v>39</v>
      </c>
    </row>
    <row r="20" customFormat="false" ht="15" hidden="false" customHeight="true" outlineLevel="0" collapsed="false">
      <c r="A20" s="5" t="s">
        <v>1028</v>
      </c>
      <c r="B20" s="5" t="n">
        <v>5.2</v>
      </c>
      <c r="C20" s="5" t="n">
        <v>8</v>
      </c>
      <c r="D20" s="5" t="n">
        <v>5</v>
      </c>
      <c r="E20" s="5" t="n">
        <v>18.5</v>
      </c>
      <c r="F20" s="5" t="n">
        <v>17.7</v>
      </c>
      <c r="G20" s="5" t="n">
        <v>9</v>
      </c>
      <c r="H20" s="5" t="n">
        <v>89.6</v>
      </c>
      <c r="I20" s="5" t="n">
        <v>84.5</v>
      </c>
      <c r="J20" s="5" t="n">
        <v>1</v>
      </c>
      <c r="K20" s="5" t="n">
        <f aca="false">ROUND(MIN(MAX((B20*10)*0.2 + (MIN(E20/25*100,100))*0.2 + (MAX(100-F20*5,0))*0.15 + (G20*10)*0.15 + (H20)*0.15 + (I20)*0.15 - (J20*5),0),100),0)</f>
        <v>62</v>
      </c>
    </row>
    <row r="21" customFormat="false" ht="15" hidden="false" customHeight="true" outlineLevel="0" collapsed="false">
      <c r="A21" s="5" t="s">
        <v>1031</v>
      </c>
      <c r="B21" s="5" t="n">
        <v>7.5</v>
      </c>
      <c r="C21" s="5" t="n">
        <v>12</v>
      </c>
      <c r="D21" s="5" t="n">
        <v>6</v>
      </c>
      <c r="E21" s="5" t="n">
        <v>9.9</v>
      </c>
      <c r="F21" s="5" t="n">
        <v>7</v>
      </c>
      <c r="G21" s="5" t="n">
        <v>5.3</v>
      </c>
      <c r="H21" s="5" t="n">
        <v>97.9</v>
      </c>
      <c r="I21" s="5" t="n">
        <v>75.9</v>
      </c>
      <c r="J21" s="5" t="n">
        <v>0</v>
      </c>
      <c r="K21" s="5" t="n">
        <f aca="false">ROUND(MIN(MAX((B21*10)*0.2 + (MIN(E21/25*100,100))*0.2 + (MAX(100-F21*5,0))*0.15 + (G21*10)*0.15 + (H21)*0.15 + (I21)*0.15 - (J21*5),0),100),0)</f>
        <v>67</v>
      </c>
    </row>
    <row r="22" customFormat="false" ht="15" hidden="false" customHeight="true" outlineLevel="0" collapsed="false">
      <c r="A22" s="5" t="s">
        <v>1033</v>
      </c>
      <c r="B22" s="5" t="n">
        <v>4</v>
      </c>
      <c r="C22" s="5" t="n">
        <v>4</v>
      </c>
      <c r="D22" s="5" t="n">
        <v>3</v>
      </c>
      <c r="E22" s="5" t="n">
        <v>4.9</v>
      </c>
      <c r="F22" s="5" t="n">
        <v>20</v>
      </c>
      <c r="G22" s="5" t="n">
        <v>9</v>
      </c>
      <c r="H22" s="5" t="n">
        <v>95.3</v>
      </c>
      <c r="I22" s="5" t="n">
        <v>56.6</v>
      </c>
      <c r="J22" s="5" t="n">
        <v>0</v>
      </c>
      <c r="K22" s="5" t="n">
        <f aca="false">ROUND(MIN(MAX((B22*10)*0.2 + (MIN(E22/25*100,100))*0.2 + (MAX(100-F22*5,0))*0.15 + (G22*10)*0.15 + (H22)*0.15 + (I22)*0.15 - (J22*5),0),100),0)</f>
        <v>48</v>
      </c>
    </row>
    <row r="23" customFormat="false" ht="15" hidden="false" customHeight="true" outlineLevel="0" collapsed="false">
      <c r="A23" s="5" t="s">
        <v>1036</v>
      </c>
      <c r="B23" s="5" t="n">
        <v>8.4</v>
      </c>
      <c r="C23" s="5" t="n">
        <v>12</v>
      </c>
      <c r="D23" s="5" t="n">
        <v>6</v>
      </c>
      <c r="E23" s="5" t="n">
        <v>6.1</v>
      </c>
      <c r="F23" s="5" t="n">
        <v>21.3</v>
      </c>
      <c r="G23" s="5" t="n">
        <v>8.6</v>
      </c>
      <c r="H23" s="5" t="n">
        <v>92.4</v>
      </c>
      <c r="I23" s="5" t="n">
        <v>62.1</v>
      </c>
      <c r="J23" s="5" t="n">
        <v>1</v>
      </c>
      <c r="K23" s="5" t="n">
        <f aca="false">ROUND(MIN(MAX((B23*10)*0.2 + (MIN(E23/25*100,100))*0.2 + (MAX(100-F23*5,0))*0.15 + (G23*10)*0.15 + (H23)*0.15 + (I23)*0.15 - (J23*5),0),100),0)</f>
        <v>53</v>
      </c>
    </row>
    <row r="24" customFormat="false" ht="15" hidden="false" customHeight="true" outlineLevel="0" collapsed="false">
      <c r="A24" s="5" t="s">
        <v>1038</v>
      </c>
      <c r="B24" s="5" t="n">
        <v>5.9</v>
      </c>
      <c r="C24" s="5" t="n">
        <v>10</v>
      </c>
      <c r="D24" s="5" t="n">
        <v>4</v>
      </c>
      <c r="E24" s="5" t="n">
        <v>11.4</v>
      </c>
      <c r="F24" s="5" t="n">
        <v>9.3</v>
      </c>
      <c r="G24" s="5" t="n">
        <v>8.5</v>
      </c>
      <c r="H24" s="5" t="n">
        <v>78</v>
      </c>
      <c r="I24" s="5" t="n">
        <v>78</v>
      </c>
      <c r="J24" s="5" t="n">
        <v>0</v>
      </c>
      <c r="K24" s="5" t="n">
        <f aca="false">ROUND(MIN(MAX((B24*10)*0.2 + (MIN(E24/25*100,100))*0.2 + (MAX(100-F24*5,0))*0.15 + (G24*10)*0.15 + (H24)*0.15 + (I24)*0.15 - (J24*5),0),100),0)</f>
        <v>65</v>
      </c>
    </row>
    <row r="25" customFormat="false" ht="15" hidden="false" customHeight="true" outlineLevel="0" collapsed="false">
      <c r="A25" s="5" t="s">
        <v>1040</v>
      </c>
      <c r="B25" s="5" t="n">
        <v>8.7</v>
      </c>
      <c r="C25" s="5" t="n">
        <v>14</v>
      </c>
      <c r="D25" s="5" t="n">
        <v>8</v>
      </c>
      <c r="E25" s="5" t="n">
        <v>10</v>
      </c>
      <c r="F25" s="5" t="n">
        <v>23.8</v>
      </c>
      <c r="G25" s="5" t="n">
        <v>9.9</v>
      </c>
      <c r="H25" s="5" t="n">
        <v>78.5</v>
      </c>
      <c r="I25" s="5" t="n">
        <v>67.1</v>
      </c>
      <c r="J25" s="5" t="n">
        <v>0</v>
      </c>
      <c r="K25" s="5" t="n">
        <f aca="false">ROUND(MIN(MAX((B25*10)*0.2 + (MIN(E25/25*100,100))*0.2 + (MAX(100-F25*5,0))*0.15 + (G25*10)*0.15 + (H25)*0.15 + (I25)*0.15 - (J25*5),0),100),0)</f>
        <v>62</v>
      </c>
    </row>
    <row r="26" customFormat="false" ht="15" hidden="false" customHeight="true" outlineLevel="0" collapsed="false">
      <c r="A26" s="5" t="s">
        <v>1043</v>
      </c>
      <c r="B26" s="5" t="n">
        <v>6.7</v>
      </c>
      <c r="C26" s="5" t="n">
        <v>13</v>
      </c>
      <c r="D26" s="5" t="n">
        <v>7</v>
      </c>
      <c r="E26" s="5" t="n">
        <v>18.2</v>
      </c>
      <c r="F26" s="5" t="n">
        <v>6</v>
      </c>
      <c r="G26" s="5" t="n">
        <v>5.5</v>
      </c>
      <c r="H26" s="5" t="n">
        <v>85.6</v>
      </c>
      <c r="I26" s="5" t="n">
        <v>92.6</v>
      </c>
      <c r="J26" s="5" t="n">
        <v>1</v>
      </c>
      <c r="K26" s="5" t="n">
        <f aca="false">ROUND(MIN(MAX((B26*10)*0.2 + (MIN(E26/25*100,100))*0.2 + (MAX(100-F26*5,0))*0.15 + (G26*10)*0.15 + (H26)*0.15 + (I26)*0.15 - (J26*5),0),100),0)</f>
        <v>68</v>
      </c>
    </row>
    <row r="27" customFormat="false" ht="15" hidden="false" customHeight="true" outlineLevel="0" collapsed="false">
      <c r="A27" s="5" t="s">
        <v>1045</v>
      </c>
      <c r="B27" s="5" t="n">
        <v>3.7</v>
      </c>
      <c r="C27" s="5" t="n">
        <v>8</v>
      </c>
      <c r="D27" s="5" t="n">
        <v>5</v>
      </c>
      <c r="E27" s="5" t="n">
        <v>8.4</v>
      </c>
      <c r="F27" s="5" t="n">
        <v>19.8</v>
      </c>
      <c r="G27" s="5" t="n">
        <v>5.6</v>
      </c>
      <c r="H27" s="5" t="n">
        <v>96.2</v>
      </c>
      <c r="I27" s="5" t="n">
        <v>61.3</v>
      </c>
      <c r="J27" s="5" t="n">
        <v>1</v>
      </c>
      <c r="K27" s="5" t="n">
        <f aca="false">ROUND(MIN(MAX((B27*10)*0.2 + (MIN(E27/25*100,100))*0.2 + (MAX(100-F27*5,0))*0.15 + (G27*10)*0.15 + (H27)*0.15 + (I27)*0.15 - (J27*5),0),100),0)</f>
        <v>41</v>
      </c>
    </row>
    <row r="28" customFormat="false" ht="15" hidden="false" customHeight="true" outlineLevel="0" collapsed="false">
      <c r="A28" s="5" t="s">
        <v>1046</v>
      </c>
      <c r="B28" s="5" t="n">
        <v>9.6</v>
      </c>
      <c r="C28" s="5" t="n">
        <v>14</v>
      </c>
      <c r="D28" s="5" t="n">
        <v>7</v>
      </c>
      <c r="E28" s="5" t="n">
        <v>9.6</v>
      </c>
      <c r="F28" s="5" t="n">
        <v>3.6</v>
      </c>
      <c r="G28" s="5" t="n">
        <v>4.3</v>
      </c>
      <c r="H28" s="5" t="n">
        <v>80.1</v>
      </c>
      <c r="I28" s="5" t="n">
        <v>65.1</v>
      </c>
      <c r="J28" s="5" t="n">
        <v>4</v>
      </c>
      <c r="K28" s="5" t="n">
        <f aca="false">ROUND(MIN(MAX((B28*10)*0.2 + (MIN(E28/25*100,100))*0.2 + (MAX(100-F28*5,0))*0.15 + (G28*10)*0.15 + (H28)*0.15 + (I28)*0.15 - (J28*5),0),100),0)</f>
        <v>47</v>
      </c>
    </row>
    <row r="29" customFormat="false" ht="15" hidden="false" customHeight="true" outlineLevel="0" collapsed="false">
      <c r="A29" s="5" t="s">
        <v>1049</v>
      </c>
      <c r="B29" s="5" t="n">
        <v>5.6</v>
      </c>
      <c r="C29" s="5" t="n">
        <v>7</v>
      </c>
      <c r="D29" s="5" t="n">
        <v>5</v>
      </c>
      <c r="E29" s="5" t="n">
        <v>18.9</v>
      </c>
      <c r="F29" s="5" t="n">
        <v>17.3</v>
      </c>
      <c r="G29" s="5" t="n">
        <v>8.7</v>
      </c>
      <c r="H29" s="5" t="n">
        <v>65.5</v>
      </c>
      <c r="I29" s="5" t="n">
        <v>67.3</v>
      </c>
      <c r="J29" s="5" t="n">
        <v>2</v>
      </c>
      <c r="K29" s="5" t="n">
        <f aca="false">ROUND(MIN(MAX((B29*10)*0.2 + (MIN(E29/25*100,100))*0.2 + (MAX(100-F29*5,0))*0.15 + (G29*10)*0.15 + (H29)*0.15 + (I29)*0.15 - (J29*5),0),100),0)</f>
        <v>51</v>
      </c>
    </row>
    <row r="30" customFormat="false" ht="15" hidden="false" customHeight="true" outlineLevel="0" collapsed="false">
      <c r="A30" s="5" t="s">
        <v>1052</v>
      </c>
      <c r="B30" s="5" t="n">
        <v>7.9</v>
      </c>
      <c r="C30" s="5" t="n">
        <v>11</v>
      </c>
      <c r="D30" s="5" t="n">
        <v>6</v>
      </c>
      <c r="E30" s="5" t="n">
        <v>11.5</v>
      </c>
      <c r="F30" s="5" t="n">
        <v>3.1</v>
      </c>
      <c r="G30" s="5" t="n">
        <v>4.5</v>
      </c>
      <c r="H30" s="5" t="n">
        <v>70.2</v>
      </c>
      <c r="I30" s="5" t="n">
        <v>90.9</v>
      </c>
      <c r="J30" s="5" t="n">
        <v>1</v>
      </c>
      <c r="K30" s="5" t="n">
        <f aca="false">ROUND(MIN(MAX((B30*10)*0.2 + (MIN(E30/25*100,100))*0.2 + (MAX(100-F30*5,0))*0.15 + (G30*10)*0.15 + (H30)*0.15 + (I30)*0.15 - (J30*5),0),100),0)</f>
        <v>64</v>
      </c>
    </row>
    <row r="31" customFormat="false" ht="15" hidden="false" customHeight="true" outlineLevel="0" collapsed="false">
      <c r="A31" s="5" t="s">
        <v>1054</v>
      </c>
      <c r="B31" s="5" t="n">
        <v>8.1</v>
      </c>
      <c r="C31" s="5" t="n">
        <v>13</v>
      </c>
      <c r="D31" s="5" t="n">
        <v>5</v>
      </c>
      <c r="E31" s="5" t="n">
        <v>8.5</v>
      </c>
      <c r="F31" s="5" t="n">
        <v>9.6</v>
      </c>
      <c r="G31" s="5" t="n">
        <v>4.3</v>
      </c>
      <c r="H31" s="5" t="n">
        <v>76.8</v>
      </c>
      <c r="I31" s="5" t="n">
        <v>89.1</v>
      </c>
      <c r="J31" s="5" t="n">
        <v>1</v>
      </c>
      <c r="K31" s="5" t="n">
        <f aca="false">ROUND(MIN(MAX((B31*10)*0.2 + (MIN(E31/25*100,100))*0.2 + (MAX(100-F31*5,0))*0.15 + (G31*10)*0.15 + (H31)*0.15 + (I31)*0.15 - (J31*5),0),100),0)</f>
        <v>57</v>
      </c>
    </row>
    <row r="32" customFormat="false" ht="15" hidden="false" customHeight="true" outlineLevel="0" collapsed="false">
      <c r="A32" s="5" t="s">
        <v>1057</v>
      </c>
      <c r="B32" s="5" t="n">
        <v>3.8</v>
      </c>
      <c r="C32" s="5" t="n">
        <v>8</v>
      </c>
      <c r="D32" s="5" t="n">
        <v>4</v>
      </c>
      <c r="E32" s="5" t="n">
        <v>3.3</v>
      </c>
      <c r="F32" s="5" t="n">
        <v>14.3</v>
      </c>
      <c r="G32" s="5" t="n">
        <v>5.5</v>
      </c>
      <c r="H32" s="5" t="n">
        <v>65.7</v>
      </c>
      <c r="I32" s="5" t="n">
        <v>73.5</v>
      </c>
      <c r="J32" s="5" t="n">
        <v>1</v>
      </c>
      <c r="K32" s="5" t="n">
        <f aca="false">ROUND(MIN(MAX((B32*10)*0.2 + (MIN(E32/25*100,100))*0.2 + (MAX(100-F32*5,0))*0.15 + (G32*10)*0.15 + (H32)*0.15 + (I32)*0.15 - (J32*5),0),100),0)</f>
        <v>39</v>
      </c>
    </row>
    <row r="33" customFormat="false" ht="15" hidden="false" customHeight="true" outlineLevel="0" collapsed="false">
      <c r="A33" s="5" t="s">
        <v>1060</v>
      </c>
      <c r="B33" s="5" t="n">
        <v>4.7</v>
      </c>
      <c r="C33" s="5" t="n">
        <v>7</v>
      </c>
      <c r="D33" s="5" t="n">
        <v>4</v>
      </c>
      <c r="E33" s="5" t="n">
        <v>4.6</v>
      </c>
      <c r="F33" s="5" t="n">
        <v>24.4</v>
      </c>
      <c r="G33" s="5" t="n">
        <v>4.4</v>
      </c>
      <c r="H33" s="5" t="n">
        <v>81</v>
      </c>
      <c r="I33" s="5" t="n">
        <v>76.8</v>
      </c>
      <c r="J33" s="5" t="n">
        <v>4</v>
      </c>
      <c r="K33" s="5" t="n">
        <f aca="false">ROUND(MIN(MAX((B33*10)*0.2 + (MIN(E33/25*100,100))*0.2 + (MAX(100-F33*5,0))*0.15 + (G33*10)*0.15 + (H33)*0.15 + (I33)*0.15 - (J33*5),0),100),0)</f>
        <v>23</v>
      </c>
    </row>
    <row r="34" customFormat="false" ht="15" hidden="false" customHeight="true" outlineLevel="0" collapsed="false">
      <c r="A34" s="5" t="s">
        <v>1062</v>
      </c>
      <c r="B34" s="5" t="n">
        <v>6.9</v>
      </c>
      <c r="C34" s="5" t="n">
        <v>10</v>
      </c>
      <c r="D34" s="5" t="n">
        <v>5</v>
      </c>
      <c r="E34" s="5" t="n">
        <v>15.1</v>
      </c>
      <c r="F34" s="5" t="n">
        <v>24.6</v>
      </c>
      <c r="G34" s="5" t="n">
        <v>5.5</v>
      </c>
      <c r="H34" s="5" t="n">
        <v>60.6</v>
      </c>
      <c r="I34" s="5" t="n">
        <v>88.9</v>
      </c>
      <c r="J34" s="5" t="n">
        <v>0</v>
      </c>
      <c r="K34" s="5" t="n">
        <f aca="false">ROUND(MIN(MAX((B34*10)*0.2 + (MIN(E34/25*100,100))*0.2 + (MAX(100-F34*5,0))*0.15 + (G34*10)*0.15 + (H34)*0.15 + (I34)*0.15 - (J34*5),0),100),0)</f>
        <v>57</v>
      </c>
    </row>
    <row r="35" customFormat="false" ht="15" hidden="false" customHeight="true" outlineLevel="0" collapsed="false">
      <c r="A35" s="5" t="s">
        <v>1064</v>
      </c>
      <c r="B35" s="5" t="n">
        <v>8.1</v>
      </c>
      <c r="C35" s="5" t="n">
        <v>14</v>
      </c>
      <c r="D35" s="5" t="n">
        <v>8</v>
      </c>
      <c r="E35" s="5" t="n">
        <v>17</v>
      </c>
      <c r="F35" s="5" t="n">
        <v>10.3</v>
      </c>
      <c r="G35" s="5" t="n">
        <v>4.3</v>
      </c>
      <c r="H35" s="5" t="n">
        <v>81.8</v>
      </c>
      <c r="I35" s="5" t="n">
        <v>90</v>
      </c>
      <c r="J35" s="5" t="n">
        <v>0</v>
      </c>
      <c r="K35" s="5" t="n">
        <f aca="false">ROUND(MIN(MAX((B35*10)*0.2 + (MIN(E35/25*100,100))*0.2 + (MAX(100-F35*5,0))*0.15 + (G35*10)*0.15 + (H35)*0.15 + (I35)*0.15 - (J35*5),0),100),0)</f>
        <v>69</v>
      </c>
    </row>
    <row r="36" customFormat="false" ht="15" hidden="false" customHeight="true" outlineLevel="0" collapsed="false">
      <c r="A36" s="5" t="s">
        <v>1067</v>
      </c>
      <c r="B36" s="5" t="n">
        <v>8.5</v>
      </c>
      <c r="C36" s="5" t="n">
        <v>13</v>
      </c>
      <c r="D36" s="5" t="n">
        <v>7</v>
      </c>
      <c r="E36" s="5" t="n">
        <v>15</v>
      </c>
      <c r="F36" s="5" t="n">
        <v>20.9</v>
      </c>
      <c r="G36" s="5" t="n">
        <v>4.4</v>
      </c>
      <c r="H36" s="5" t="n">
        <v>91</v>
      </c>
      <c r="I36" s="5" t="n">
        <v>74.7</v>
      </c>
      <c r="J36" s="5" t="n">
        <v>0</v>
      </c>
      <c r="K36" s="5" t="n">
        <f aca="false">ROUND(MIN(MAX((B36*10)*0.2 + (MIN(E36/25*100,100))*0.2 + (MAX(100-F36*5,0))*0.15 + (G36*10)*0.15 + (H36)*0.15 + (I36)*0.15 - (J36*5),0),100),0)</f>
        <v>60</v>
      </c>
    </row>
    <row r="37" customFormat="false" ht="15" hidden="false" customHeight="true" outlineLevel="0" collapsed="false">
      <c r="A37" s="5" t="s">
        <v>1070</v>
      </c>
      <c r="B37" s="5" t="n">
        <v>3.3</v>
      </c>
      <c r="C37" s="5" t="n">
        <v>4</v>
      </c>
      <c r="D37" s="5" t="n">
        <v>1</v>
      </c>
      <c r="E37" s="5" t="n">
        <v>20.7</v>
      </c>
      <c r="F37" s="5" t="n">
        <v>14.3</v>
      </c>
      <c r="G37" s="5" t="n">
        <v>9.9</v>
      </c>
      <c r="H37" s="5" t="n">
        <v>81.7</v>
      </c>
      <c r="I37" s="5" t="n">
        <v>65.9</v>
      </c>
      <c r="J37" s="5" t="n">
        <v>2</v>
      </c>
      <c r="K37" s="5" t="n">
        <f aca="false">ROUND(MIN(MAX((B37*10)*0.2 + (MIN(E37/25*100,100))*0.2 + (MAX(100-F37*5,0))*0.15 + (G37*10)*0.15 + (H37)*0.15 + (I37)*0.15 - (J37*5),0),100),0)</f>
        <v>54</v>
      </c>
    </row>
    <row r="38" customFormat="false" ht="15" hidden="false" customHeight="true" outlineLevel="0" collapsed="false">
      <c r="A38" s="5" t="s">
        <v>1072</v>
      </c>
      <c r="B38" s="5" t="n">
        <v>4.3</v>
      </c>
      <c r="C38" s="5" t="n">
        <v>6</v>
      </c>
      <c r="D38" s="5" t="n">
        <v>4</v>
      </c>
      <c r="E38" s="5" t="n">
        <v>19.5</v>
      </c>
      <c r="F38" s="5" t="n">
        <v>10.3</v>
      </c>
      <c r="G38" s="5" t="n">
        <v>4.7</v>
      </c>
      <c r="H38" s="5" t="n">
        <v>74.7</v>
      </c>
      <c r="I38" s="5" t="n">
        <v>93.2</v>
      </c>
      <c r="J38" s="5" t="n">
        <v>2</v>
      </c>
      <c r="K38" s="5" t="n">
        <f aca="false">ROUND(MIN(MAX((B38*10)*0.2 + (MIN(E38/25*100,100))*0.2 + (MAX(100-F38*5,0))*0.15 + (G38*10)*0.15 + (H38)*0.15 + (I38)*0.15 - (J38*5),0),100),0)</f>
        <v>54</v>
      </c>
    </row>
    <row r="39" customFormat="false" ht="15" hidden="false" customHeight="true" outlineLevel="0" collapsed="false">
      <c r="A39" s="5" t="s">
        <v>1074</v>
      </c>
      <c r="B39" s="5" t="n">
        <v>9.3</v>
      </c>
      <c r="C39" s="5" t="n">
        <v>14</v>
      </c>
      <c r="D39" s="5" t="n">
        <v>8</v>
      </c>
      <c r="E39" s="5" t="n">
        <v>12.4</v>
      </c>
      <c r="F39" s="5" t="n">
        <v>13.9</v>
      </c>
      <c r="G39" s="5" t="n">
        <v>9.5</v>
      </c>
      <c r="H39" s="5" t="n">
        <v>80.8</v>
      </c>
      <c r="I39" s="5" t="n">
        <v>89.4</v>
      </c>
      <c r="J39" s="5" t="n">
        <v>2</v>
      </c>
      <c r="K39" s="5" t="n">
        <f aca="false">ROUND(MIN(MAX((B39*10)*0.2 + (MIN(E39/25*100,100))*0.2 + (MAX(100-F39*5,0))*0.15 + (G39*10)*0.15 + (H39)*0.15 + (I39)*0.15 - (J39*5),0),100),0)</f>
        <v>63</v>
      </c>
    </row>
    <row r="40" customFormat="false" ht="15" hidden="false" customHeight="true" outlineLevel="0" collapsed="false">
      <c r="A40" s="5" t="s">
        <v>1076</v>
      </c>
      <c r="B40" s="5" t="n">
        <v>3.6</v>
      </c>
      <c r="C40" s="5" t="n">
        <v>6</v>
      </c>
      <c r="D40" s="5" t="n">
        <v>4</v>
      </c>
      <c r="E40" s="5" t="n">
        <v>13.4</v>
      </c>
      <c r="F40" s="5" t="n">
        <v>10.1</v>
      </c>
      <c r="G40" s="5" t="n">
        <v>4.5</v>
      </c>
      <c r="H40" s="5" t="n">
        <v>86.4</v>
      </c>
      <c r="I40" s="5" t="n">
        <v>68.2</v>
      </c>
      <c r="J40" s="5" t="n">
        <v>1</v>
      </c>
      <c r="K40" s="5" t="n">
        <f aca="false">ROUND(MIN(MAX((B40*10)*0.2 + (MIN(E40/25*100,100))*0.2 + (MAX(100-F40*5,0))*0.15 + (G40*10)*0.15 + (H40)*0.15 + (I40)*0.15 - (J40*5),0),100),0)</f>
        <v>50</v>
      </c>
    </row>
    <row r="41" customFormat="false" ht="15" hidden="false" customHeight="true" outlineLevel="0" collapsed="false">
      <c r="A41" s="5" t="s">
        <v>1078</v>
      </c>
      <c r="B41" s="5" t="n">
        <v>6</v>
      </c>
      <c r="C41" s="5" t="n">
        <v>11</v>
      </c>
      <c r="D41" s="5" t="n">
        <v>5</v>
      </c>
      <c r="E41" s="5" t="n">
        <v>3.8</v>
      </c>
      <c r="F41" s="5" t="n">
        <v>22.1</v>
      </c>
      <c r="G41" s="5" t="n">
        <v>6.1</v>
      </c>
      <c r="H41" s="5" t="n">
        <v>99.9</v>
      </c>
      <c r="I41" s="5" t="n">
        <v>66.8</v>
      </c>
      <c r="J41" s="5" t="n">
        <v>4</v>
      </c>
      <c r="K41" s="5" t="n">
        <f aca="false">ROUND(MIN(MAX((B41*10)*0.2 + (MIN(E41/25*100,100))*0.2 + (MAX(100-F41*5,0))*0.15 + (G41*10)*0.15 + (H41)*0.15 + (I41)*0.15 - (J41*5),0),100),0)</f>
        <v>29</v>
      </c>
    </row>
    <row r="42" customFormat="false" ht="15" hidden="false" customHeight="true" outlineLevel="0" collapsed="false">
      <c r="A42" s="5" t="s">
        <v>1081</v>
      </c>
      <c r="B42" s="5" t="n">
        <v>9.6</v>
      </c>
      <c r="C42" s="5" t="n">
        <v>13</v>
      </c>
      <c r="D42" s="5" t="n">
        <v>7</v>
      </c>
      <c r="E42" s="5" t="n">
        <v>9.9</v>
      </c>
      <c r="F42" s="5" t="n">
        <v>20.6</v>
      </c>
      <c r="G42" s="5" t="n">
        <v>8.1</v>
      </c>
      <c r="H42" s="5" t="n">
        <v>98.1</v>
      </c>
      <c r="I42" s="5" t="n">
        <v>61.1</v>
      </c>
      <c r="J42" s="5" t="n">
        <v>1</v>
      </c>
      <c r="K42" s="5" t="n">
        <f aca="false">ROUND(MIN(MAX((B42*10)*0.2 + (MIN(E42/25*100,100))*0.2 + (MAX(100-F42*5,0))*0.15 + (G42*10)*0.15 + (H42)*0.15 + (I42)*0.15 - (J42*5),0),100),0)</f>
        <v>58</v>
      </c>
    </row>
    <row r="43" customFormat="false" ht="15" hidden="false" customHeight="true" outlineLevel="0" collapsed="false">
      <c r="A43" s="5" t="s">
        <v>1083</v>
      </c>
      <c r="B43" s="5" t="n">
        <v>8.5</v>
      </c>
      <c r="C43" s="5" t="n">
        <v>11</v>
      </c>
      <c r="D43" s="5" t="n">
        <v>4</v>
      </c>
      <c r="E43" s="5" t="n">
        <v>17.8</v>
      </c>
      <c r="F43" s="5" t="n">
        <v>11.1</v>
      </c>
      <c r="G43" s="5" t="n">
        <v>6.3</v>
      </c>
      <c r="H43" s="5" t="n">
        <v>82.7</v>
      </c>
      <c r="I43" s="5" t="n">
        <v>81</v>
      </c>
      <c r="J43" s="5" t="n">
        <v>1</v>
      </c>
      <c r="K43" s="5" t="n">
        <f aca="false">ROUND(MIN(MAX((B43*10)*0.2 + (MIN(E43/25*100,100))*0.2 + (MAX(100-F43*5,0))*0.15 + (G43*10)*0.15 + (H43)*0.15 + (I43)*0.15 - (J43*5),0),100),0)</f>
        <v>67</v>
      </c>
    </row>
    <row r="44" customFormat="false" ht="15" hidden="false" customHeight="true" outlineLevel="0" collapsed="false">
      <c r="A44" s="5" t="s">
        <v>1084</v>
      </c>
      <c r="B44" s="5" t="n">
        <v>9.6</v>
      </c>
      <c r="C44" s="5" t="n">
        <v>15</v>
      </c>
      <c r="D44" s="5" t="n">
        <v>8</v>
      </c>
      <c r="E44" s="5" t="n">
        <v>13.9</v>
      </c>
      <c r="F44" s="5" t="n">
        <v>14.6</v>
      </c>
      <c r="G44" s="5" t="n">
        <v>6.4</v>
      </c>
      <c r="H44" s="5" t="n">
        <v>86</v>
      </c>
      <c r="I44" s="5" t="n">
        <v>65.7</v>
      </c>
      <c r="J44" s="5" t="n">
        <v>0</v>
      </c>
      <c r="K44" s="5" t="n">
        <f aca="false">ROUND(MIN(MAX((B44*10)*0.2 + (MIN(E44/25*100,100))*0.2 + (MAX(100-F44*5,0))*0.15 + (G44*10)*0.15 + (H44)*0.15 + (I44)*0.15 - (J44*5),0),100),0)</f>
        <v>67</v>
      </c>
    </row>
    <row r="45" customFormat="false" ht="15" hidden="false" customHeight="true" outlineLevel="0" collapsed="false">
      <c r="A45" s="5" t="s">
        <v>1086</v>
      </c>
      <c r="B45" s="5" t="n">
        <v>8.1</v>
      </c>
      <c r="C45" s="5" t="n">
        <v>13</v>
      </c>
      <c r="D45" s="5" t="n">
        <v>6</v>
      </c>
      <c r="E45" s="5" t="n">
        <v>13.7</v>
      </c>
      <c r="F45" s="5" t="n">
        <v>8.8</v>
      </c>
      <c r="G45" s="5" t="n">
        <v>5.6</v>
      </c>
      <c r="H45" s="5" t="n">
        <v>77.9</v>
      </c>
      <c r="I45" s="5" t="n">
        <v>97.8</v>
      </c>
      <c r="J45" s="5" t="n">
        <v>0</v>
      </c>
      <c r="K45" s="5" t="n">
        <f aca="false">ROUND(MIN(MAX((B45*10)*0.2 + (MIN(E45/25*100,100))*0.2 + (MAX(100-F45*5,0))*0.15 + (G45*10)*0.15 + (H45)*0.15 + (I45)*0.15 - (J45*5),0),100),0)</f>
        <v>70</v>
      </c>
    </row>
    <row r="46" customFormat="false" ht="15" hidden="false" customHeight="true" outlineLevel="0" collapsed="false">
      <c r="A46" s="5" t="s">
        <v>1088</v>
      </c>
      <c r="B46" s="5" t="n">
        <v>9.4</v>
      </c>
      <c r="C46" s="5" t="n">
        <v>15</v>
      </c>
      <c r="D46" s="5" t="n">
        <v>6</v>
      </c>
      <c r="E46" s="5" t="n">
        <v>19.2</v>
      </c>
      <c r="F46" s="5" t="n">
        <v>12.9</v>
      </c>
      <c r="G46" s="5" t="n">
        <v>9.4</v>
      </c>
      <c r="H46" s="5" t="n">
        <v>77.8</v>
      </c>
      <c r="I46" s="5" t="n">
        <v>58.8</v>
      </c>
      <c r="J46" s="5" t="n">
        <v>1</v>
      </c>
      <c r="K46" s="5" t="n">
        <f aca="false">ROUND(MIN(MAX((B46*10)*0.2 + (MIN(E46/25*100,100))*0.2 + (MAX(100-F46*5,0))*0.15 + (G46*10)*0.15 + (H46)*0.15 + (I46)*0.15 - (J46*5),0),100),0)</f>
        <v>69</v>
      </c>
    </row>
    <row r="47" customFormat="false" ht="15" hidden="false" customHeight="true" outlineLevel="0" collapsed="false">
      <c r="A47" s="5" t="s">
        <v>1090</v>
      </c>
      <c r="B47" s="5" t="n">
        <v>8.9</v>
      </c>
      <c r="C47" s="5" t="n">
        <v>13</v>
      </c>
      <c r="D47" s="5" t="n">
        <v>6</v>
      </c>
      <c r="E47" s="5" t="n">
        <v>4.2</v>
      </c>
      <c r="F47" s="5" t="n">
        <v>14.9</v>
      </c>
      <c r="G47" s="5" t="n">
        <v>9.3</v>
      </c>
      <c r="H47" s="5" t="n">
        <v>94.1</v>
      </c>
      <c r="I47" s="5" t="n">
        <v>85.6</v>
      </c>
      <c r="J47" s="5" t="n">
        <v>3</v>
      </c>
      <c r="K47" s="5" t="n">
        <f aca="false">ROUND(MIN(MAX((B47*10)*0.2 + (MIN(E47/25*100,100))*0.2 + (MAX(100-F47*5,0))*0.15 + (G47*10)*0.15 + (H47)*0.15 + (I47)*0.15 - (J47*5),0),100),0)</f>
        <v>51</v>
      </c>
    </row>
    <row r="48" customFormat="false" ht="15" hidden="false" customHeight="true" outlineLevel="0" collapsed="false">
      <c r="A48" s="5" t="s">
        <v>1093</v>
      </c>
      <c r="B48" s="5" t="n">
        <v>7.5</v>
      </c>
      <c r="C48" s="5" t="n">
        <v>13</v>
      </c>
      <c r="D48" s="5" t="n">
        <v>7</v>
      </c>
      <c r="E48" s="5" t="n">
        <v>5.3</v>
      </c>
      <c r="F48" s="5" t="n">
        <v>7.4</v>
      </c>
      <c r="G48" s="5" t="n">
        <v>4.8</v>
      </c>
      <c r="H48" s="5" t="n">
        <v>91.6</v>
      </c>
      <c r="I48" s="5" t="n">
        <v>56.1</v>
      </c>
      <c r="J48" s="5" t="n">
        <v>1</v>
      </c>
      <c r="K48" s="5" t="n">
        <f aca="false">ROUND(MIN(MAX((B48*10)*0.2 + (MIN(E48/25*100,100))*0.2 + (MAX(100-F48*5,0))*0.15 + (G48*10)*0.15 + (H48)*0.15 + (I48)*0.15 - (J48*5),0),100),0)</f>
        <v>53</v>
      </c>
    </row>
    <row r="49" customFormat="false" ht="15" hidden="false" customHeight="true" outlineLevel="0" collapsed="false">
      <c r="A49" s="5" t="s">
        <v>1095</v>
      </c>
      <c r="B49" s="5" t="n">
        <v>5.6</v>
      </c>
      <c r="C49" s="5" t="n">
        <v>10</v>
      </c>
      <c r="D49" s="5" t="n">
        <v>5</v>
      </c>
      <c r="E49" s="5" t="n">
        <v>14.6</v>
      </c>
      <c r="F49" s="5" t="n">
        <v>4.9</v>
      </c>
      <c r="G49" s="5" t="n">
        <v>5.9</v>
      </c>
      <c r="H49" s="5" t="n">
        <v>100</v>
      </c>
      <c r="I49" s="5" t="n">
        <v>85.9</v>
      </c>
      <c r="J49" s="5" t="n">
        <v>1</v>
      </c>
      <c r="K49" s="5" t="n">
        <f aca="false">ROUND(MIN(MAX((B49*10)*0.2 + (MIN(E49/25*100,100))*0.2 + (MAX(100-F49*5,0))*0.15 + (G49*10)*0.15 + (H49)*0.15 + (I49)*0.15 - (J49*5),0),100),0)</f>
        <v>66</v>
      </c>
    </row>
    <row r="50" customFormat="false" ht="15" hidden="false" customHeight="true" outlineLevel="0" collapsed="false">
      <c r="A50" s="5" t="s">
        <v>1098</v>
      </c>
      <c r="B50" s="5" t="n">
        <v>8.4</v>
      </c>
      <c r="C50" s="5" t="n">
        <v>15</v>
      </c>
      <c r="D50" s="5" t="n">
        <v>6</v>
      </c>
      <c r="E50" s="5" t="n">
        <v>21.5</v>
      </c>
      <c r="F50" s="5" t="n">
        <v>17.1</v>
      </c>
      <c r="G50" s="5" t="n">
        <v>6.7</v>
      </c>
      <c r="H50" s="5" t="n">
        <v>87.2</v>
      </c>
      <c r="I50" s="5" t="n">
        <v>69.8</v>
      </c>
      <c r="J50" s="5" t="n">
        <v>3</v>
      </c>
      <c r="K50" s="5" t="n">
        <f aca="false">ROUND(MIN(MAX((B50*10)*0.2 + (MIN(E50/25*100,100))*0.2 + (MAX(100-F50*5,0))*0.15 + (G50*10)*0.15 + (H50)*0.15 + (I50)*0.15 - (J50*5),0),100),0)</f>
        <v>55</v>
      </c>
    </row>
    <row r="51" customFormat="false" ht="15" hidden="false" customHeight="true" outlineLevel="0" collapsed="false">
      <c r="A51" s="5" t="s">
        <v>1100</v>
      </c>
      <c r="B51" s="5" t="n">
        <v>8.5</v>
      </c>
      <c r="C51" s="5" t="n">
        <v>14</v>
      </c>
      <c r="D51" s="5" t="n">
        <v>6</v>
      </c>
      <c r="E51" s="5" t="n">
        <v>21.4</v>
      </c>
      <c r="F51" s="5" t="n">
        <v>12.5</v>
      </c>
      <c r="G51" s="5" t="n">
        <v>9.5</v>
      </c>
      <c r="H51" s="5" t="n">
        <v>62.2</v>
      </c>
      <c r="I51" s="5" t="n">
        <v>60.3</v>
      </c>
      <c r="J51" s="5" t="n">
        <v>0</v>
      </c>
      <c r="K51" s="5" t="n">
        <f aca="false">ROUND(MIN(MAX((B51*10)*0.2 + (MIN(E51/25*100,100))*0.2 + (MAX(100-F51*5,0))*0.15 + (G51*10)*0.15 + (H51)*0.15 + (I51)*0.15 - (J51*5),0),100),0)</f>
        <v>72</v>
      </c>
    </row>
    <row r="52" customFormat="false" ht="15" hidden="false" customHeight="true" outlineLevel="0" collapsed="false">
      <c r="A52" s="5" t="s">
        <v>1102</v>
      </c>
      <c r="B52" s="5" t="n">
        <v>4.2</v>
      </c>
      <c r="C52" s="5" t="n">
        <v>6</v>
      </c>
      <c r="D52" s="5" t="n">
        <v>4</v>
      </c>
      <c r="E52" s="5" t="n">
        <v>9.6</v>
      </c>
      <c r="F52" s="5" t="n">
        <v>23.7</v>
      </c>
      <c r="G52" s="5" t="n">
        <v>9.4</v>
      </c>
      <c r="H52" s="5" t="n">
        <v>93.8</v>
      </c>
      <c r="I52" s="5" t="n">
        <v>65.8</v>
      </c>
      <c r="J52" s="5" t="n">
        <v>1</v>
      </c>
      <c r="K52" s="5" t="n">
        <f aca="false">ROUND(MIN(MAX((B52*10)*0.2 + (MIN(E52/25*100,100))*0.2 + (MAX(100-F52*5,0))*0.15 + (G52*10)*0.15 + (H52)*0.15 + (I52)*0.15 - (J52*5),0),100),0)</f>
        <v>49</v>
      </c>
    </row>
    <row r="53" customFormat="false" ht="15" hidden="false" customHeight="true" outlineLevel="0" collapsed="false">
      <c r="A53" s="5" t="s">
        <v>1103</v>
      </c>
      <c r="B53" s="5" t="n">
        <v>6.9</v>
      </c>
      <c r="C53" s="5" t="n">
        <v>9</v>
      </c>
      <c r="D53" s="5" t="n">
        <v>4</v>
      </c>
      <c r="E53" s="5" t="n">
        <v>13.1</v>
      </c>
      <c r="F53" s="5" t="n">
        <v>14.1</v>
      </c>
      <c r="G53" s="5" t="n">
        <v>5</v>
      </c>
      <c r="H53" s="5" t="n">
        <v>97.7</v>
      </c>
      <c r="I53" s="5" t="n">
        <v>61.6</v>
      </c>
      <c r="J53" s="5" t="n">
        <v>1</v>
      </c>
      <c r="K53" s="5" t="n">
        <f aca="false">ROUND(MIN(MAX((B53*10)*0.2 + (MIN(E53/25*100,100))*0.2 + (MAX(100-F53*5,0))*0.15 + (G53*10)*0.15 + (H53)*0.15 + (I53)*0.15 - (J53*5),0),100),0)</f>
        <v>55</v>
      </c>
    </row>
    <row r="54" customFormat="false" ht="15" hidden="false" customHeight="true" outlineLevel="0" collapsed="false">
      <c r="A54" s="5" t="s">
        <v>1105</v>
      </c>
      <c r="B54" s="5" t="n">
        <v>8</v>
      </c>
      <c r="C54" s="5" t="n">
        <v>13</v>
      </c>
      <c r="D54" s="5" t="n">
        <v>8</v>
      </c>
      <c r="E54" s="5" t="n">
        <v>13.7</v>
      </c>
      <c r="F54" s="5" t="n">
        <v>21.2</v>
      </c>
      <c r="G54" s="5" t="n">
        <v>4.2</v>
      </c>
      <c r="H54" s="5" t="n">
        <v>61.8</v>
      </c>
      <c r="I54" s="5" t="n">
        <v>82.6</v>
      </c>
      <c r="J54" s="5" t="n">
        <v>1</v>
      </c>
      <c r="K54" s="5" t="n">
        <f aca="false">ROUND(MIN(MAX((B54*10)*0.2 + (MIN(E54/25*100,100))*0.2 + (MAX(100-F54*5,0))*0.15 + (G54*10)*0.15 + (H54)*0.15 + (I54)*0.15 - (J54*5),0),100),0)</f>
        <v>50</v>
      </c>
    </row>
    <row r="55" customFormat="false" ht="15" hidden="false" customHeight="true" outlineLevel="0" collapsed="false">
      <c r="A55" s="5" t="s">
        <v>1107</v>
      </c>
      <c r="B55" s="5" t="n">
        <v>7.6</v>
      </c>
      <c r="C55" s="5" t="n">
        <v>13</v>
      </c>
      <c r="D55" s="5" t="n">
        <v>6</v>
      </c>
      <c r="E55" s="5" t="n">
        <v>15.1</v>
      </c>
      <c r="F55" s="5" t="n">
        <v>14</v>
      </c>
      <c r="G55" s="5" t="n">
        <v>7.8</v>
      </c>
      <c r="H55" s="5" t="n">
        <v>71.6</v>
      </c>
      <c r="I55" s="5" t="n">
        <v>96.1</v>
      </c>
      <c r="J55" s="5" t="n">
        <v>1</v>
      </c>
      <c r="K55" s="5" t="n">
        <f aca="false">ROUND(MIN(MAX((B55*10)*0.2 + (MIN(E55/25*100,100))*0.2 + (MAX(100-F55*5,0))*0.15 + (G55*10)*0.15 + (H55)*0.15 + (I55)*0.15 - (J55*5),0),100),0)</f>
        <v>64</v>
      </c>
    </row>
    <row r="56" customFormat="false" ht="15" hidden="false" customHeight="true" outlineLevel="0" collapsed="false">
      <c r="A56" s="5" t="s">
        <v>1109</v>
      </c>
      <c r="B56" s="5" t="n">
        <v>8.6</v>
      </c>
      <c r="C56" s="5" t="n">
        <v>15</v>
      </c>
      <c r="D56" s="5" t="n">
        <v>7</v>
      </c>
      <c r="E56" s="5" t="n">
        <v>4.4</v>
      </c>
      <c r="F56" s="5" t="n">
        <v>4.3</v>
      </c>
      <c r="G56" s="5" t="n">
        <v>6.6</v>
      </c>
      <c r="H56" s="5" t="n">
        <v>79.4</v>
      </c>
      <c r="I56" s="5" t="n">
        <v>63.8</v>
      </c>
      <c r="J56" s="5" t="n">
        <v>1</v>
      </c>
      <c r="K56" s="5" t="n">
        <f aca="false">ROUND(MIN(MAX((B56*10)*0.2 + (MIN(E56/25*100,100))*0.2 + (MAX(100-F56*5,0))*0.15 + (G56*10)*0.15 + (H56)*0.15 + (I56)*0.15 - (J56*5),0),100),0)</f>
        <v>59</v>
      </c>
    </row>
    <row r="57" customFormat="false" ht="15" hidden="false" customHeight="true" outlineLevel="0" collapsed="false">
      <c r="A57" s="5" t="s">
        <v>1111</v>
      </c>
      <c r="B57" s="5" t="n">
        <v>5.2</v>
      </c>
      <c r="C57" s="5" t="n">
        <v>9</v>
      </c>
      <c r="D57" s="5" t="n">
        <v>5</v>
      </c>
      <c r="E57" s="5" t="n">
        <v>19.4</v>
      </c>
      <c r="F57" s="5" t="n">
        <v>24.5</v>
      </c>
      <c r="G57" s="5" t="n">
        <v>4.8</v>
      </c>
      <c r="H57" s="5" t="n">
        <v>74.8</v>
      </c>
      <c r="I57" s="5" t="n">
        <v>79.2</v>
      </c>
      <c r="J57" s="5" t="n">
        <v>0</v>
      </c>
      <c r="K57" s="5" t="n">
        <f aca="false">ROUND(MIN(MAX((B57*10)*0.2 + (MIN(E57/25*100,100))*0.2 + (MAX(100-F57*5,0))*0.15 + (G57*10)*0.15 + (H57)*0.15 + (I57)*0.15 - (J57*5),0),100),0)</f>
        <v>56</v>
      </c>
    </row>
    <row r="58" customFormat="false" ht="15" hidden="false" customHeight="true" outlineLevel="0" collapsed="false">
      <c r="A58" s="5" t="s">
        <v>1113</v>
      </c>
      <c r="B58" s="5" t="n">
        <v>6.3</v>
      </c>
      <c r="C58" s="5" t="n">
        <v>9</v>
      </c>
      <c r="D58" s="5" t="n">
        <v>4</v>
      </c>
      <c r="E58" s="5" t="n">
        <v>4.8</v>
      </c>
      <c r="F58" s="5" t="n">
        <v>9.4</v>
      </c>
      <c r="G58" s="5" t="n">
        <v>6.3</v>
      </c>
      <c r="H58" s="5" t="n">
        <v>84.6</v>
      </c>
      <c r="I58" s="5" t="n">
        <v>65.7</v>
      </c>
      <c r="J58" s="5" t="n">
        <v>3</v>
      </c>
      <c r="K58" s="5" t="n">
        <f aca="false">ROUND(MIN(MAX((B58*10)*0.2 + (MIN(E58/25*100,100))*0.2 + (MAX(100-F58*5,0))*0.15 + (G58*10)*0.15 + (H58)*0.15 + (I58)*0.15 - (J58*5),0),100),0)</f>
        <v>41</v>
      </c>
    </row>
    <row r="59" customFormat="false" ht="15" hidden="false" customHeight="true" outlineLevel="0" collapsed="false">
      <c r="A59" s="5" t="s">
        <v>1115</v>
      </c>
      <c r="B59" s="5" t="n">
        <v>4.1</v>
      </c>
      <c r="C59" s="5" t="n">
        <v>6</v>
      </c>
      <c r="D59" s="5" t="n">
        <v>3</v>
      </c>
      <c r="E59" s="5" t="n">
        <v>8.9</v>
      </c>
      <c r="F59" s="5" t="n">
        <v>19.8</v>
      </c>
      <c r="G59" s="5" t="n">
        <v>7</v>
      </c>
      <c r="H59" s="5" t="n">
        <v>80.6</v>
      </c>
      <c r="I59" s="5" t="n">
        <v>76.4</v>
      </c>
      <c r="J59" s="5" t="n">
        <v>0</v>
      </c>
      <c r="K59" s="5" t="n">
        <f aca="false">ROUND(MIN(MAX((B59*10)*0.2 + (MIN(E59/25*100,100))*0.2 + (MAX(100-F59*5,0))*0.15 + (G59*10)*0.15 + (H59)*0.15 + (I59)*0.15 - (J59*5),0),100),0)</f>
        <v>50</v>
      </c>
    </row>
    <row r="60" customFormat="false" ht="15" hidden="false" customHeight="true" outlineLevel="0" collapsed="false">
      <c r="A60" s="5" t="s">
        <v>1117</v>
      </c>
      <c r="B60" s="5" t="n">
        <v>3.2</v>
      </c>
      <c r="C60" s="5" t="n">
        <v>7</v>
      </c>
      <c r="D60" s="5" t="n">
        <v>4</v>
      </c>
      <c r="E60" s="5" t="n">
        <v>21.4</v>
      </c>
      <c r="F60" s="5" t="n">
        <v>7.7</v>
      </c>
      <c r="G60" s="5" t="n">
        <v>6.1</v>
      </c>
      <c r="H60" s="5" t="n">
        <v>62</v>
      </c>
      <c r="I60" s="5" t="n">
        <v>76.3</v>
      </c>
      <c r="J60" s="5" t="n">
        <v>3</v>
      </c>
      <c r="K60" s="5" t="n">
        <f aca="false">ROUND(MIN(MAX((B60*10)*0.2 + (MIN(E60/25*100,100))*0.2 + (MAX(100-F60*5,0))*0.15 + (G60*10)*0.15 + (H60)*0.15 + (I60)*0.15 - (J60*5),0),100),0)</f>
        <v>48</v>
      </c>
    </row>
    <row r="61" customFormat="false" ht="15" hidden="false" customHeight="true" outlineLevel="0" collapsed="false">
      <c r="A61" s="5" t="s">
        <v>1119</v>
      </c>
      <c r="B61" s="5" t="n">
        <v>7.6</v>
      </c>
      <c r="C61" s="5" t="n">
        <v>12</v>
      </c>
      <c r="D61" s="5" t="n">
        <v>6</v>
      </c>
      <c r="E61" s="5" t="n">
        <v>19.1</v>
      </c>
      <c r="F61" s="5" t="n">
        <v>12.5</v>
      </c>
      <c r="G61" s="5" t="n">
        <v>9.3</v>
      </c>
      <c r="H61" s="5" t="n">
        <v>89.1</v>
      </c>
      <c r="I61" s="5" t="n">
        <v>87.8</v>
      </c>
      <c r="J61" s="5" t="n">
        <v>0</v>
      </c>
      <c r="K61" s="5" t="n">
        <f aca="false">ROUND(MIN(MAX((B61*10)*0.2 + (MIN(E61/25*100,100))*0.2 + (MAX(100-F61*5,0))*0.15 + (G61*10)*0.15 + (H61)*0.15 + (I61)*0.15 - (J61*5),0),100),0)</f>
        <v>77</v>
      </c>
    </row>
    <row r="62" customFormat="false" ht="15" hidden="false" customHeight="true" outlineLevel="0" collapsed="false">
      <c r="A62" s="5" t="s">
        <v>1121</v>
      </c>
      <c r="B62" s="5" t="n">
        <v>5.8</v>
      </c>
      <c r="C62" s="5" t="n">
        <v>10</v>
      </c>
      <c r="D62" s="5" t="n">
        <v>4</v>
      </c>
      <c r="E62" s="5" t="n">
        <v>13.5</v>
      </c>
      <c r="F62" s="5" t="n">
        <v>4.6</v>
      </c>
      <c r="G62" s="5" t="n">
        <v>7</v>
      </c>
      <c r="H62" s="5" t="n">
        <v>90.6</v>
      </c>
      <c r="I62" s="5" t="n">
        <v>67</v>
      </c>
      <c r="J62" s="5" t="n">
        <v>4</v>
      </c>
      <c r="K62" s="5" t="n">
        <f aca="false">ROUND(MIN(MAX((B62*10)*0.2 + (MIN(E62/25*100,100))*0.2 + (MAX(100-F62*5,0))*0.15 + (G62*10)*0.15 + (H62)*0.15 + (I62)*0.15 - (J62*5),0),100),0)</f>
        <v>48</v>
      </c>
    </row>
    <row r="63" customFormat="false" ht="15" hidden="false" customHeight="true" outlineLevel="0" collapsed="false">
      <c r="A63" s="5" t="s">
        <v>1123</v>
      </c>
      <c r="B63" s="5" t="n">
        <v>7.8</v>
      </c>
      <c r="C63" s="5" t="n">
        <v>11</v>
      </c>
      <c r="D63" s="5" t="n">
        <v>7</v>
      </c>
      <c r="E63" s="5" t="n">
        <v>10.5</v>
      </c>
      <c r="F63" s="5" t="n">
        <v>20.5</v>
      </c>
      <c r="G63" s="5" t="n">
        <v>6</v>
      </c>
      <c r="H63" s="5" t="n">
        <v>97.6</v>
      </c>
      <c r="I63" s="5" t="n">
        <v>87.5</v>
      </c>
      <c r="J63" s="5" t="n">
        <v>0</v>
      </c>
      <c r="K63" s="5" t="n">
        <f aca="false">ROUND(MIN(MAX((B63*10)*0.2 + (MIN(E63/25*100,100))*0.2 + (MAX(100-F63*5,0))*0.15 + (G63*10)*0.15 + (H63)*0.15 + (I63)*0.15 - (J63*5),0),100),0)</f>
        <v>61</v>
      </c>
    </row>
    <row r="64" customFormat="false" ht="15" hidden="false" customHeight="true" outlineLevel="0" collapsed="false">
      <c r="A64" s="5" t="s">
        <v>1125</v>
      </c>
      <c r="B64" s="5" t="n">
        <v>6.6</v>
      </c>
      <c r="C64" s="5" t="n">
        <v>11</v>
      </c>
      <c r="D64" s="5" t="n">
        <v>4</v>
      </c>
      <c r="E64" s="5" t="n">
        <v>5.6</v>
      </c>
      <c r="F64" s="5" t="n">
        <v>10.3</v>
      </c>
      <c r="G64" s="5" t="n">
        <v>6.8</v>
      </c>
      <c r="H64" s="5" t="n">
        <v>78.3</v>
      </c>
      <c r="I64" s="5" t="n">
        <v>81.1</v>
      </c>
      <c r="J64" s="5" t="n">
        <v>1</v>
      </c>
      <c r="K64" s="5" t="n">
        <f aca="false">ROUND(MIN(MAX((B64*10)*0.2 + (MIN(E64/25*100,100))*0.2 + (MAX(100-F64*5,0))*0.15 + (G64*10)*0.15 + (H64)*0.15 + (I64)*0.15 - (J64*5),0),100),0)</f>
        <v>54</v>
      </c>
    </row>
    <row r="65" customFormat="false" ht="15" hidden="false" customHeight="true" outlineLevel="0" collapsed="false">
      <c r="A65" s="5" t="s">
        <v>1127</v>
      </c>
      <c r="B65" s="5" t="n">
        <v>5.3</v>
      </c>
      <c r="C65" s="5" t="n">
        <v>9</v>
      </c>
      <c r="D65" s="5" t="n">
        <v>3</v>
      </c>
      <c r="E65" s="5" t="n">
        <v>21.8</v>
      </c>
      <c r="F65" s="5" t="n">
        <v>19.3</v>
      </c>
      <c r="G65" s="5" t="n">
        <v>5.8</v>
      </c>
      <c r="H65" s="5" t="n">
        <v>73.5</v>
      </c>
      <c r="I65" s="5" t="n">
        <v>90.6</v>
      </c>
      <c r="J65" s="5" t="n">
        <v>1</v>
      </c>
      <c r="K65" s="5" t="n">
        <f aca="false">ROUND(MIN(MAX((B65*10)*0.2 + (MIN(E65/25*100,100))*0.2 + (MAX(100-F65*5,0))*0.15 + (G65*10)*0.15 + (H65)*0.15 + (I65)*0.15 - (J65*5),0),100),0)</f>
        <v>57</v>
      </c>
    </row>
    <row r="66" customFormat="false" ht="15" hidden="false" customHeight="true" outlineLevel="0" collapsed="false">
      <c r="A66" s="5" t="s">
        <v>1129</v>
      </c>
      <c r="B66" s="5" t="n">
        <v>8</v>
      </c>
      <c r="C66" s="5" t="n">
        <v>12</v>
      </c>
      <c r="D66" s="5" t="n">
        <v>7</v>
      </c>
      <c r="E66" s="5" t="n">
        <v>10</v>
      </c>
      <c r="F66" s="5" t="n">
        <v>17.8</v>
      </c>
      <c r="G66" s="5" t="n">
        <v>9.9</v>
      </c>
      <c r="H66" s="5" t="n">
        <v>83.3</v>
      </c>
      <c r="I66" s="5" t="n">
        <v>89.3</v>
      </c>
      <c r="J66" s="5" t="n">
        <v>2</v>
      </c>
      <c r="K66" s="5" t="n">
        <f aca="false">ROUND(MIN(MAX((B66*10)*0.2 + (MIN(E66/25*100,100))*0.2 + (MAX(100-F66*5,0))*0.15 + (G66*10)*0.15 + (H66)*0.15 + (I66)*0.15 - (J66*5),0),100),0)</f>
        <v>56</v>
      </c>
    </row>
    <row r="67" customFormat="false" ht="15" hidden="false" customHeight="true" outlineLevel="0" collapsed="false">
      <c r="A67" s="5" t="s">
        <v>1131</v>
      </c>
      <c r="B67" s="5" t="n">
        <v>7.8</v>
      </c>
      <c r="C67" s="5" t="n">
        <v>10</v>
      </c>
      <c r="D67" s="5" t="n">
        <v>5</v>
      </c>
      <c r="E67" s="5" t="n">
        <v>21.4</v>
      </c>
      <c r="F67" s="5" t="n">
        <v>20.2</v>
      </c>
      <c r="G67" s="5" t="n">
        <v>8.7</v>
      </c>
      <c r="H67" s="5" t="n">
        <v>83.1</v>
      </c>
      <c r="I67" s="5" t="n">
        <v>86</v>
      </c>
      <c r="J67" s="5" t="n">
        <v>1</v>
      </c>
      <c r="K67" s="5" t="n">
        <f aca="false">ROUND(MIN(MAX((B67*10)*0.2 + (MIN(E67/25*100,100))*0.2 + (MAX(100-F67*5,0))*0.15 + (G67*10)*0.15 + (H67)*0.15 + (I67)*0.15 - (J67*5),0),100),0)</f>
        <v>66</v>
      </c>
    </row>
    <row r="68" customFormat="false" ht="15" hidden="false" customHeight="true" outlineLevel="0" collapsed="false">
      <c r="A68" s="5" t="s">
        <v>1133</v>
      </c>
      <c r="B68" s="5" t="n">
        <v>4.2</v>
      </c>
      <c r="C68" s="5" t="n">
        <v>7</v>
      </c>
      <c r="D68" s="5" t="n">
        <v>4</v>
      </c>
      <c r="E68" s="5" t="n">
        <v>19</v>
      </c>
      <c r="F68" s="5" t="n">
        <v>6.3</v>
      </c>
      <c r="G68" s="5" t="n">
        <v>8.1</v>
      </c>
      <c r="H68" s="5" t="n">
        <v>61.3</v>
      </c>
      <c r="I68" s="5" t="n">
        <v>95.8</v>
      </c>
      <c r="J68" s="5" t="n">
        <v>0</v>
      </c>
      <c r="K68" s="5" t="n">
        <f aca="false">ROUND(MIN(MAX((B68*10)*0.2 + (MIN(E68/25*100,100))*0.2 + (MAX(100-F68*5,0))*0.15 + (G68*10)*0.15 + (H68)*0.15 + (I68)*0.15 - (J68*5),0),100),0)</f>
        <v>70</v>
      </c>
    </row>
    <row r="69" customFormat="false" ht="15" hidden="false" customHeight="true" outlineLevel="0" collapsed="false">
      <c r="A69" s="5" t="s">
        <v>1135</v>
      </c>
      <c r="B69" s="5" t="n">
        <v>3.1</v>
      </c>
      <c r="C69" s="5" t="n">
        <v>4</v>
      </c>
      <c r="D69" s="5" t="n">
        <v>1</v>
      </c>
      <c r="E69" s="5" t="n">
        <v>16.1</v>
      </c>
      <c r="F69" s="5" t="n">
        <v>12</v>
      </c>
      <c r="G69" s="5" t="n">
        <v>8.6</v>
      </c>
      <c r="H69" s="5" t="n">
        <v>96.8</v>
      </c>
      <c r="I69" s="5" t="n">
        <v>92.5</v>
      </c>
      <c r="J69" s="5" t="n">
        <v>2</v>
      </c>
      <c r="K69" s="5" t="n">
        <f aca="false">ROUND(MIN(MAX((B69*10)*0.2 + (MIN(E69/25*100,100))*0.2 + (MAX(100-F69*5,0))*0.15 + (G69*10)*0.15 + (H69)*0.15 + (I69)*0.15 - (J69*5),0),100),0)</f>
        <v>56</v>
      </c>
    </row>
    <row r="70" customFormat="false" ht="15" hidden="false" customHeight="true" outlineLevel="0" collapsed="false">
      <c r="A70" s="5" t="s">
        <v>1137</v>
      </c>
      <c r="B70" s="5" t="n">
        <v>3.4</v>
      </c>
      <c r="C70" s="5" t="n">
        <v>4</v>
      </c>
      <c r="D70" s="5" t="n">
        <v>1</v>
      </c>
      <c r="E70" s="5" t="n">
        <v>9.2</v>
      </c>
      <c r="F70" s="5" t="n">
        <v>17.6</v>
      </c>
      <c r="G70" s="5" t="n">
        <v>7.2</v>
      </c>
      <c r="H70" s="5" t="n">
        <v>72.6</v>
      </c>
      <c r="I70" s="5" t="n">
        <v>62.4</v>
      </c>
      <c r="J70" s="5" t="n">
        <v>3</v>
      </c>
      <c r="K70" s="5" t="n">
        <f aca="false">ROUND(MIN(MAX((B70*10)*0.2 + (MIN(E70/25*100,100))*0.2 + (MAX(100-F70*5,0))*0.15 + (G70*10)*0.15 + (H70)*0.15 + (I70)*0.15 - (J70*5),0),100),0)</f>
        <v>32</v>
      </c>
    </row>
    <row r="71" customFormat="false" ht="15" hidden="false" customHeight="true" outlineLevel="0" collapsed="false">
      <c r="A71" s="5" t="s">
        <v>1139</v>
      </c>
      <c r="B71" s="5" t="n">
        <v>5.4</v>
      </c>
      <c r="C71" s="5" t="n">
        <v>8</v>
      </c>
      <c r="D71" s="5" t="n">
        <v>5</v>
      </c>
      <c r="E71" s="5" t="n">
        <v>16.7</v>
      </c>
      <c r="F71" s="5" t="n">
        <v>17.2</v>
      </c>
      <c r="G71" s="5" t="n">
        <v>8.2</v>
      </c>
      <c r="H71" s="5" t="n">
        <v>84.4</v>
      </c>
      <c r="I71" s="5" t="n">
        <v>63.3</v>
      </c>
      <c r="J71" s="5" t="n">
        <v>0</v>
      </c>
      <c r="K71" s="5" t="n">
        <f aca="false">ROUND(MIN(MAX((B71*10)*0.2 + (MIN(E71/25*100,100))*0.2 + (MAX(100-F71*5,0))*0.15 + (G71*10)*0.15 + (H71)*0.15 + (I71)*0.15 - (J71*5),0),100),0)</f>
        <v>61</v>
      </c>
    </row>
    <row r="72" customFormat="false" ht="15" hidden="false" customHeight="true" outlineLevel="0" collapsed="false">
      <c r="A72" s="5" t="s">
        <v>1141</v>
      </c>
      <c r="B72" s="5" t="n">
        <v>6.9</v>
      </c>
      <c r="C72" s="5" t="n">
        <v>10</v>
      </c>
      <c r="D72" s="5" t="n">
        <v>6</v>
      </c>
      <c r="E72" s="5" t="n">
        <v>8.7</v>
      </c>
      <c r="F72" s="5" t="n">
        <v>9.4</v>
      </c>
      <c r="G72" s="5" t="n">
        <v>5.2</v>
      </c>
      <c r="H72" s="5" t="n">
        <v>88.2</v>
      </c>
      <c r="I72" s="5" t="n">
        <v>68.6</v>
      </c>
      <c r="J72" s="5" t="n">
        <v>0</v>
      </c>
      <c r="K72" s="5" t="n">
        <f aca="false">ROUND(MIN(MAX((B72*10)*0.2 + (MIN(E72/25*100,100))*0.2 + (MAX(100-F72*5,0))*0.15 + (G72*10)*0.15 + (H72)*0.15 + (I72)*0.15 - (J72*5),0),100),0)</f>
        <v>60</v>
      </c>
    </row>
    <row r="73" customFormat="false" ht="15" hidden="false" customHeight="true" outlineLevel="0" collapsed="false">
      <c r="A73" s="5" t="s">
        <v>1143</v>
      </c>
      <c r="B73" s="5" t="n">
        <v>9.5</v>
      </c>
      <c r="C73" s="5" t="n">
        <v>17</v>
      </c>
      <c r="D73" s="5" t="n">
        <v>8</v>
      </c>
      <c r="E73" s="5" t="n">
        <v>5.3</v>
      </c>
      <c r="F73" s="5" t="n">
        <v>17.9</v>
      </c>
      <c r="G73" s="5" t="n">
        <v>6.3</v>
      </c>
      <c r="H73" s="5" t="n">
        <v>99.2</v>
      </c>
      <c r="I73" s="5" t="n">
        <v>90.2</v>
      </c>
      <c r="J73" s="5" t="n">
        <v>4</v>
      </c>
      <c r="K73" s="5" t="n">
        <f aca="false">ROUND(MIN(MAX((B73*10)*0.2 + (MIN(E73/25*100,100))*0.2 + (MAX(100-F73*5,0))*0.15 + (G73*10)*0.15 + (H73)*0.15 + (I73)*0.15 - (J73*5),0),100),0)</f>
        <v>43</v>
      </c>
    </row>
    <row r="74" customFormat="false" ht="15" hidden="false" customHeight="true" outlineLevel="0" collapsed="false">
      <c r="A74" s="5" t="s">
        <v>1145</v>
      </c>
      <c r="B74" s="5" t="n">
        <v>8.6</v>
      </c>
      <c r="C74" s="5" t="n">
        <v>13</v>
      </c>
      <c r="D74" s="5" t="n">
        <v>6</v>
      </c>
      <c r="E74" s="5" t="n">
        <v>16.6</v>
      </c>
      <c r="F74" s="5" t="n">
        <v>10.6</v>
      </c>
      <c r="G74" s="5" t="n">
        <v>6.7</v>
      </c>
      <c r="H74" s="5" t="n">
        <v>70.3</v>
      </c>
      <c r="I74" s="5" t="n">
        <v>75.6</v>
      </c>
      <c r="J74" s="5" t="n">
        <v>0</v>
      </c>
      <c r="K74" s="5" t="n">
        <f aca="false">ROUND(MIN(MAX((B74*10)*0.2 + (MIN(E74/25*100,100))*0.2 + (MAX(100-F74*5,0))*0.15 + (G74*10)*0.15 + (H74)*0.15 + (I74)*0.15 - (J74*5),0),100),0)</f>
        <v>69</v>
      </c>
    </row>
    <row r="75" customFormat="false" ht="15" hidden="false" customHeight="true" outlineLevel="0" collapsed="false">
      <c r="A75" s="5" t="s">
        <v>1146</v>
      </c>
      <c r="B75" s="5" t="n">
        <v>6.8</v>
      </c>
      <c r="C75" s="5" t="n">
        <v>13</v>
      </c>
      <c r="D75" s="5" t="n">
        <v>7</v>
      </c>
      <c r="E75" s="5" t="n">
        <v>5.6</v>
      </c>
      <c r="F75" s="5" t="n">
        <v>16.5</v>
      </c>
      <c r="G75" s="5" t="n">
        <v>7.5</v>
      </c>
      <c r="H75" s="5" t="n">
        <v>69.7</v>
      </c>
      <c r="I75" s="5" t="n">
        <v>83.8</v>
      </c>
      <c r="J75" s="5" t="n">
        <v>1</v>
      </c>
      <c r="K75" s="5" t="n">
        <f aca="false">ROUND(MIN(MAX((B75*10)*0.2 + (MIN(E75/25*100,100))*0.2 + (MAX(100-F75*5,0))*0.15 + (G75*10)*0.15 + (H75)*0.15 + (I75)*0.15 - (J75*5),0),100),0)</f>
        <v>50</v>
      </c>
    </row>
    <row r="76" customFormat="false" ht="15" hidden="false" customHeight="true" outlineLevel="0" collapsed="false">
      <c r="A76" s="5" t="s">
        <v>1148</v>
      </c>
      <c r="B76" s="5" t="n">
        <v>7.5</v>
      </c>
      <c r="C76" s="5" t="n">
        <v>10</v>
      </c>
      <c r="D76" s="5" t="n">
        <v>5</v>
      </c>
      <c r="E76" s="5" t="n">
        <v>16.6</v>
      </c>
      <c r="F76" s="5" t="n">
        <v>5.2</v>
      </c>
      <c r="G76" s="5" t="n">
        <v>8.6</v>
      </c>
      <c r="H76" s="5" t="n">
        <v>60.2</v>
      </c>
      <c r="I76" s="5" t="n">
        <v>78.7</v>
      </c>
      <c r="J76" s="5" t="n">
        <v>3</v>
      </c>
      <c r="K76" s="5" t="n">
        <f aca="false">ROUND(MIN(MAX((B76*10)*0.2 + (MIN(E76/25*100,100))*0.2 + (MAX(100-F76*5,0))*0.15 + (G76*10)*0.15 + (H76)*0.15 + (I76)*0.15 - (J76*5),0),100),0)</f>
        <v>58</v>
      </c>
    </row>
    <row r="77" customFormat="false" ht="15" hidden="false" customHeight="true" outlineLevel="0" collapsed="false">
      <c r="A77" s="5" t="s">
        <v>1150</v>
      </c>
      <c r="B77" s="5" t="n">
        <v>5.8</v>
      </c>
      <c r="C77" s="5" t="n">
        <v>11</v>
      </c>
      <c r="D77" s="5" t="n">
        <v>7</v>
      </c>
      <c r="E77" s="5" t="n">
        <v>12.1</v>
      </c>
      <c r="F77" s="5" t="n">
        <v>7.4</v>
      </c>
      <c r="G77" s="5" t="n">
        <v>9.8</v>
      </c>
      <c r="H77" s="5" t="n">
        <v>72.8</v>
      </c>
      <c r="I77" s="5" t="n">
        <v>82.8</v>
      </c>
      <c r="J77" s="5" t="n">
        <v>3</v>
      </c>
      <c r="K77" s="5" t="n">
        <f aca="false">ROUND(MIN(MAX((B77*10)*0.2 + (MIN(E77/25*100,100))*0.2 + (MAX(100-F77*5,0))*0.15 + (G77*10)*0.15 + (H77)*0.15 + (I77)*0.15 - (J77*5),0),100),0)</f>
        <v>54</v>
      </c>
    </row>
    <row r="78" customFormat="false" ht="15" hidden="false" customHeight="true" outlineLevel="0" collapsed="false">
      <c r="A78" s="5" t="s">
        <v>1152</v>
      </c>
      <c r="B78" s="5" t="n">
        <v>3.6</v>
      </c>
      <c r="C78" s="5" t="n">
        <v>6</v>
      </c>
      <c r="D78" s="5" t="n">
        <v>3</v>
      </c>
      <c r="E78" s="5" t="n">
        <v>16.7</v>
      </c>
      <c r="F78" s="5" t="n">
        <v>23.6</v>
      </c>
      <c r="G78" s="5" t="n">
        <v>9.5</v>
      </c>
      <c r="H78" s="5" t="n">
        <v>67</v>
      </c>
      <c r="I78" s="5" t="n">
        <v>92.9</v>
      </c>
      <c r="J78" s="5" t="n">
        <v>0</v>
      </c>
      <c r="K78" s="5" t="n">
        <f aca="false">ROUND(MIN(MAX((B78*10)*0.2 + (MIN(E78/25*100,100))*0.2 + (MAX(100-F78*5,0))*0.15 + (G78*10)*0.15 + (H78)*0.15 + (I78)*0.15 - (J78*5),0),100),0)</f>
        <v>59</v>
      </c>
    </row>
    <row r="79" customFormat="false" ht="15" hidden="false" customHeight="true" outlineLevel="0" collapsed="false">
      <c r="A79" s="5" t="s">
        <v>1153</v>
      </c>
      <c r="B79" s="5" t="n">
        <v>9.4</v>
      </c>
      <c r="C79" s="5" t="n">
        <v>18</v>
      </c>
      <c r="D79" s="5" t="n">
        <v>9</v>
      </c>
      <c r="E79" s="5" t="n">
        <v>12.4</v>
      </c>
      <c r="F79" s="5" t="n">
        <v>23.6</v>
      </c>
      <c r="G79" s="5" t="n">
        <v>9.8</v>
      </c>
      <c r="H79" s="5" t="n">
        <v>97</v>
      </c>
      <c r="I79" s="5" t="n">
        <v>92.7</v>
      </c>
      <c r="J79" s="5" t="n">
        <v>0</v>
      </c>
      <c r="K79" s="5" t="n">
        <f aca="false">ROUND(MIN(MAX((B79*10)*0.2 + (MIN(E79/25*100,100))*0.2 + (MAX(100-F79*5,0))*0.15 + (G79*10)*0.15 + (H79)*0.15 + (I79)*0.15 - (J79*5),0),100),0)</f>
        <v>72</v>
      </c>
    </row>
    <row r="80" customFormat="false" ht="15" hidden="false" customHeight="true" outlineLevel="0" collapsed="false">
      <c r="A80" s="5" t="s">
        <v>1155</v>
      </c>
      <c r="B80" s="5" t="n">
        <v>7</v>
      </c>
      <c r="C80" s="5" t="n">
        <v>9</v>
      </c>
      <c r="D80" s="5" t="n">
        <v>6</v>
      </c>
      <c r="E80" s="5" t="n">
        <v>8.4</v>
      </c>
      <c r="F80" s="5" t="n">
        <v>24.8</v>
      </c>
      <c r="G80" s="5" t="n">
        <v>7.3</v>
      </c>
      <c r="H80" s="5" t="n">
        <v>79.8</v>
      </c>
      <c r="I80" s="5" t="n">
        <v>95.4</v>
      </c>
      <c r="J80" s="5" t="n">
        <v>3</v>
      </c>
      <c r="K80" s="5" t="n">
        <f aca="false">ROUND(MIN(MAX((B80*10)*0.2 + (MIN(E80/25*100,100))*0.2 + (MAX(100-F80*5,0))*0.15 + (G80*10)*0.15 + (H80)*0.15 + (I80)*0.15 - (J80*5),0),100),0)</f>
        <v>43</v>
      </c>
    </row>
    <row r="81" customFormat="false" ht="15" hidden="false" customHeight="true" outlineLevel="0" collapsed="false">
      <c r="A81" s="5" t="s">
        <v>1158</v>
      </c>
      <c r="B81" s="5" t="n">
        <v>6.3</v>
      </c>
      <c r="C81" s="5" t="n">
        <v>9</v>
      </c>
      <c r="D81" s="5" t="n">
        <v>3</v>
      </c>
      <c r="E81" s="5" t="n">
        <v>6.1</v>
      </c>
      <c r="F81" s="5" t="n">
        <v>13.1</v>
      </c>
      <c r="G81" s="5" t="n">
        <v>5.5</v>
      </c>
      <c r="H81" s="5" t="n">
        <v>67.4</v>
      </c>
      <c r="I81" s="5" t="n">
        <v>86.7</v>
      </c>
      <c r="J81" s="5" t="n">
        <v>2</v>
      </c>
      <c r="K81" s="5" t="n">
        <f aca="false">ROUND(MIN(MAX((B81*10)*0.2 + (MIN(E81/25*100,100))*0.2 + (MAX(100-F81*5,0))*0.15 + (G81*10)*0.15 + (H81)*0.15 + (I81)*0.15 - (J81*5),0),100),0)</f>
        <v>44</v>
      </c>
    </row>
    <row r="82" customFormat="false" ht="15" hidden="false" customHeight="true" outlineLevel="0" collapsed="false">
      <c r="A82" s="5" t="s">
        <v>1160</v>
      </c>
      <c r="B82" s="5" t="n">
        <v>7</v>
      </c>
      <c r="C82" s="5" t="n">
        <v>12</v>
      </c>
      <c r="D82" s="5" t="n">
        <v>5</v>
      </c>
      <c r="E82" s="5" t="n">
        <v>19.3</v>
      </c>
      <c r="F82" s="5" t="n">
        <v>22.7</v>
      </c>
      <c r="G82" s="5" t="n">
        <v>9</v>
      </c>
      <c r="H82" s="5" t="n">
        <v>80.6</v>
      </c>
      <c r="I82" s="5" t="n">
        <v>58.7</v>
      </c>
      <c r="J82" s="5" t="n">
        <v>1</v>
      </c>
      <c r="K82" s="5" t="n">
        <f aca="false">ROUND(MIN(MAX((B82*10)*0.2 + (MIN(E82/25*100,100))*0.2 + (MAX(100-F82*5,0))*0.15 + (G82*10)*0.15 + (H82)*0.15 + (I82)*0.15 - (J82*5),0),100),0)</f>
        <v>59</v>
      </c>
    </row>
    <row r="83" customFormat="false" ht="15" hidden="false" customHeight="true" outlineLevel="0" collapsed="false">
      <c r="A83" s="5" t="s">
        <v>1162</v>
      </c>
      <c r="B83" s="5" t="n">
        <v>4.3</v>
      </c>
      <c r="C83" s="5" t="n">
        <v>5</v>
      </c>
      <c r="D83" s="5" t="n">
        <v>2</v>
      </c>
      <c r="E83" s="5" t="n">
        <v>7.7</v>
      </c>
      <c r="F83" s="5" t="n">
        <v>8.7</v>
      </c>
      <c r="G83" s="5" t="n">
        <v>5.4</v>
      </c>
      <c r="H83" s="5" t="n">
        <v>90.2</v>
      </c>
      <c r="I83" s="5" t="n">
        <v>96</v>
      </c>
      <c r="J83" s="5" t="n">
        <v>0</v>
      </c>
      <c r="K83" s="5" t="n">
        <f aca="false">ROUND(MIN(MAX((B83*10)*0.2 + (MIN(E83/25*100,100))*0.2 + (MAX(100-F83*5,0))*0.15 + (G83*10)*0.15 + (H83)*0.15 + (I83)*0.15 - (J83*5),0),100),0)</f>
        <v>59</v>
      </c>
    </row>
    <row r="84" customFormat="false" ht="15" hidden="false" customHeight="true" outlineLevel="0" collapsed="false">
      <c r="A84" s="5" t="s">
        <v>1164</v>
      </c>
      <c r="B84" s="5" t="n">
        <v>8.1</v>
      </c>
      <c r="C84" s="5" t="n">
        <v>11</v>
      </c>
      <c r="D84" s="5" t="n">
        <v>6</v>
      </c>
      <c r="E84" s="5" t="n">
        <v>16.2</v>
      </c>
      <c r="F84" s="5" t="n">
        <v>4.4</v>
      </c>
      <c r="G84" s="5" t="n">
        <v>4.7</v>
      </c>
      <c r="H84" s="5" t="n">
        <v>72.3</v>
      </c>
      <c r="I84" s="5" t="n">
        <v>72.4</v>
      </c>
      <c r="J84" s="5" t="n">
        <v>1</v>
      </c>
      <c r="K84" s="5" t="n">
        <f aca="false">ROUND(MIN(MAX((B84*10)*0.2 + (MIN(E84/25*100,100))*0.2 + (MAX(100-F84*5,0))*0.15 + (G84*10)*0.15 + (H84)*0.15 + (I84)*0.15 - (J84*5),0),100),0)</f>
        <v>65</v>
      </c>
    </row>
    <row r="85" customFormat="false" ht="15" hidden="false" customHeight="true" outlineLevel="0" collapsed="false">
      <c r="A85" s="5" t="s">
        <v>1166</v>
      </c>
      <c r="B85" s="5" t="n">
        <v>9.3</v>
      </c>
      <c r="C85" s="5" t="n">
        <v>16</v>
      </c>
      <c r="D85" s="5" t="n">
        <v>7</v>
      </c>
      <c r="E85" s="5" t="n">
        <v>5.2</v>
      </c>
      <c r="F85" s="5" t="n">
        <v>23.2</v>
      </c>
      <c r="G85" s="5" t="n">
        <v>5.8</v>
      </c>
      <c r="H85" s="5" t="n">
        <v>84.6</v>
      </c>
      <c r="I85" s="5" t="n">
        <v>64.4</v>
      </c>
      <c r="J85" s="5" t="n">
        <v>0</v>
      </c>
      <c r="K85" s="5" t="n">
        <f aca="false">ROUND(MIN(MAX((B85*10)*0.2 + (MIN(E85/25*100,100))*0.2 + (MAX(100-F85*5,0))*0.15 + (G85*10)*0.15 + (H85)*0.15 + (I85)*0.15 - (J85*5),0),100),0)</f>
        <v>54</v>
      </c>
    </row>
    <row r="86" customFormat="false" ht="15" hidden="false" customHeight="true" outlineLevel="0" collapsed="false">
      <c r="A86" s="5" t="s">
        <v>1167</v>
      </c>
      <c r="B86" s="5" t="n">
        <v>4.1</v>
      </c>
      <c r="C86" s="5" t="n">
        <v>8</v>
      </c>
      <c r="D86" s="5" t="n">
        <v>4</v>
      </c>
      <c r="E86" s="5" t="n">
        <v>10.9</v>
      </c>
      <c r="F86" s="5" t="n">
        <v>15.1</v>
      </c>
      <c r="G86" s="5" t="n">
        <v>6.8</v>
      </c>
      <c r="H86" s="5" t="n">
        <v>81.5</v>
      </c>
      <c r="I86" s="5" t="n">
        <v>83.6</v>
      </c>
      <c r="J86" s="5" t="n">
        <v>0</v>
      </c>
      <c r="K86" s="5" t="n">
        <f aca="false">ROUND(MIN(MAX((B86*10)*0.2 + (MIN(E86/25*100,100))*0.2 + (MAX(100-F86*5,0))*0.15 + (G86*10)*0.15 + (H86)*0.15 + (I86)*0.15 - (J86*5),0),100),0)</f>
        <v>56</v>
      </c>
    </row>
    <row r="87" customFormat="false" ht="15" hidden="false" customHeight="true" outlineLevel="0" collapsed="false">
      <c r="A87" s="5" t="s">
        <v>1169</v>
      </c>
      <c r="B87" s="5" t="n">
        <v>4.7</v>
      </c>
      <c r="C87" s="5" t="n">
        <v>9</v>
      </c>
      <c r="D87" s="5" t="n">
        <v>6</v>
      </c>
      <c r="E87" s="5" t="n">
        <v>4.6</v>
      </c>
      <c r="F87" s="5" t="n">
        <v>12.8</v>
      </c>
      <c r="G87" s="5" t="n">
        <v>8.2</v>
      </c>
      <c r="H87" s="5" t="n">
        <v>63.1</v>
      </c>
      <c r="I87" s="5" t="n">
        <v>79.3</v>
      </c>
      <c r="J87" s="5" t="n">
        <v>0</v>
      </c>
      <c r="K87" s="5" t="n">
        <f aca="false">ROUND(MIN(MAX((B87*10)*0.2 + (MIN(E87/25*100,100))*0.2 + (MAX(100-F87*5,0))*0.15 + (G87*10)*0.15 + (H87)*0.15 + (I87)*0.15 - (J87*5),0),100),0)</f>
        <v>52</v>
      </c>
    </row>
    <row r="88" customFormat="false" ht="15" hidden="false" customHeight="true" outlineLevel="0" collapsed="false">
      <c r="A88" s="5" t="s">
        <v>1171</v>
      </c>
      <c r="B88" s="5" t="n">
        <v>6.8</v>
      </c>
      <c r="C88" s="5" t="n">
        <v>11</v>
      </c>
      <c r="D88" s="5" t="n">
        <v>6</v>
      </c>
      <c r="E88" s="5" t="n">
        <v>5.8</v>
      </c>
      <c r="F88" s="5" t="n">
        <v>10.2</v>
      </c>
      <c r="G88" s="5" t="n">
        <v>7.1</v>
      </c>
      <c r="H88" s="5" t="n">
        <v>64.6</v>
      </c>
      <c r="I88" s="5" t="n">
        <v>63.8</v>
      </c>
      <c r="J88" s="5" t="n">
        <v>1</v>
      </c>
      <c r="K88" s="5" t="n">
        <f aca="false">ROUND(MIN(MAX((B88*10)*0.2 + (MIN(E88/25*100,100))*0.2 + (MAX(100-F88*5,0))*0.15 + (G88*10)*0.15 + (H88)*0.15 + (I88)*0.15 - (J88*5),0),100),0)</f>
        <v>51</v>
      </c>
    </row>
    <row r="89" customFormat="false" ht="15" hidden="false" customHeight="true" outlineLevel="0" collapsed="false">
      <c r="A89" s="5" t="s">
        <v>1173</v>
      </c>
      <c r="B89" s="5" t="n">
        <v>3.6</v>
      </c>
      <c r="C89" s="5" t="n">
        <v>6</v>
      </c>
      <c r="D89" s="5" t="n">
        <v>4</v>
      </c>
      <c r="E89" s="5" t="n">
        <v>11.6</v>
      </c>
      <c r="F89" s="5" t="n">
        <v>14.3</v>
      </c>
      <c r="G89" s="5" t="n">
        <v>6.7</v>
      </c>
      <c r="H89" s="5" t="n">
        <v>62.3</v>
      </c>
      <c r="I89" s="5" t="n">
        <v>74.9</v>
      </c>
      <c r="J89" s="5" t="n">
        <v>2</v>
      </c>
      <c r="K89" s="5" t="n">
        <f aca="false">ROUND(MIN(MAX((B89*10)*0.2 + (MIN(E89/25*100,100))*0.2 + (MAX(100-F89*5,0))*0.15 + (G89*10)*0.15 + (H89)*0.15 + (I89)*0.15 - (J89*5),0),100),0)</f>
        <v>41</v>
      </c>
    </row>
    <row r="90" customFormat="false" ht="15" hidden="false" customHeight="true" outlineLevel="0" collapsed="false">
      <c r="A90" s="5" t="s">
        <v>1175</v>
      </c>
      <c r="B90" s="5" t="n">
        <v>8.1</v>
      </c>
      <c r="C90" s="5" t="n">
        <v>12</v>
      </c>
      <c r="D90" s="5" t="n">
        <v>7</v>
      </c>
      <c r="E90" s="5" t="n">
        <v>17.2</v>
      </c>
      <c r="F90" s="5" t="n">
        <v>15.7</v>
      </c>
      <c r="G90" s="5" t="n">
        <v>4.3</v>
      </c>
      <c r="H90" s="5" t="n">
        <v>73.8</v>
      </c>
      <c r="I90" s="5" t="n">
        <v>57.7</v>
      </c>
      <c r="J90" s="5" t="n">
        <v>4</v>
      </c>
      <c r="K90" s="5" t="n">
        <f aca="false">ROUND(MIN(MAX((B90*10)*0.2 + (MIN(E90/25*100,100))*0.2 + (MAX(100-F90*5,0))*0.15 + (G90*10)*0.15 + (H90)*0.15 + (I90)*0.15 - (J90*5),0),100),0)</f>
        <v>39</v>
      </c>
    </row>
    <row r="91" customFormat="false" ht="15" hidden="false" customHeight="true" outlineLevel="0" collapsed="false">
      <c r="A91" s="5" t="s">
        <v>1177</v>
      </c>
      <c r="B91" s="5" t="n">
        <v>9.5</v>
      </c>
      <c r="C91" s="5" t="n">
        <v>13</v>
      </c>
      <c r="D91" s="5" t="n">
        <v>8</v>
      </c>
      <c r="E91" s="5" t="n">
        <v>3.6</v>
      </c>
      <c r="F91" s="5" t="n">
        <v>12</v>
      </c>
      <c r="G91" s="5" t="n">
        <v>8.6</v>
      </c>
      <c r="H91" s="5" t="n">
        <v>90.6</v>
      </c>
      <c r="I91" s="5" t="n">
        <v>97.1</v>
      </c>
      <c r="J91" s="5" t="n">
        <v>1</v>
      </c>
      <c r="K91" s="5" t="n">
        <f aca="false">ROUND(MIN(MAX((B91*10)*0.2 + (MIN(E91/25*100,100))*0.2 + (MAX(100-F91*5,0))*0.15 + (G91*10)*0.15 + (H91)*0.15 + (I91)*0.15 - (J91*5),0),100),0)</f>
        <v>64</v>
      </c>
    </row>
    <row r="92" customFormat="false" ht="15" hidden="false" customHeight="true" outlineLevel="0" collapsed="false">
      <c r="A92" s="5" t="s">
        <v>1179</v>
      </c>
      <c r="B92" s="5" t="n">
        <v>5.9</v>
      </c>
      <c r="C92" s="5" t="n">
        <v>12</v>
      </c>
      <c r="D92" s="5" t="n">
        <v>6</v>
      </c>
      <c r="E92" s="5" t="n">
        <v>19.5</v>
      </c>
      <c r="F92" s="5" t="n">
        <v>22.9</v>
      </c>
      <c r="G92" s="5" t="n">
        <v>6.3</v>
      </c>
      <c r="H92" s="5" t="n">
        <v>87.3</v>
      </c>
      <c r="I92" s="5" t="n">
        <v>83.5</v>
      </c>
      <c r="J92" s="5" t="n">
        <v>1</v>
      </c>
      <c r="K92" s="5" t="n">
        <f aca="false">ROUND(MIN(MAX((B92*10)*0.2 + (MIN(E92/25*100,100))*0.2 + (MAX(100-F92*5,0))*0.15 + (G92*10)*0.15 + (H92)*0.15 + (I92)*0.15 - (J92*5),0),100),0)</f>
        <v>57</v>
      </c>
    </row>
    <row r="93" customFormat="false" ht="15" hidden="false" customHeight="true" outlineLevel="0" collapsed="false">
      <c r="A93" s="5" t="s">
        <v>1181</v>
      </c>
      <c r="B93" s="5" t="n">
        <v>7.6</v>
      </c>
      <c r="C93" s="5" t="n">
        <v>11</v>
      </c>
      <c r="D93" s="5" t="n">
        <v>5</v>
      </c>
      <c r="E93" s="5" t="n">
        <v>13.2</v>
      </c>
      <c r="F93" s="5" t="n">
        <v>14.6</v>
      </c>
      <c r="G93" s="5" t="n">
        <v>8.4</v>
      </c>
      <c r="H93" s="5" t="n">
        <v>68.9</v>
      </c>
      <c r="I93" s="5" t="n">
        <v>55.1</v>
      </c>
      <c r="J93" s="5" t="n">
        <v>0</v>
      </c>
      <c r="K93" s="5" t="n">
        <f aca="false">ROUND(MIN(MAX((B93*10)*0.2 + (MIN(E93/25*100,100))*0.2 + (MAX(100-F93*5,0))*0.15 + (G93*10)*0.15 + (H93)*0.15 + (I93)*0.15 - (J93*5),0),100),0)</f>
        <v>61</v>
      </c>
    </row>
    <row r="94" customFormat="false" ht="15" hidden="false" customHeight="true" outlineLevel="0" collapsed="false">
      <c r="A94" s="5" t="s">
        <v>1182</v>
      </c>
      <c r="B94" s="5" t="n">
        <v>5.1</v>
      </c>
      <c r="C94" s="5" t="n">
        <v>9</v>
      </c>
      <c r="D94" s="5" t="n">
        <v>5</v>
      </c>
      <c r="E94" s="5" t="n">
        <v>13.1</v>
      </c>
      <c r="F94" s="5" t="n">
        <v>21.1</v>
      </c>
      <c r="G94" s="5" t="n">
        <v>5.5</v>
      </c>
      <c r="H94" s="5" t="n">
        <v>73.8</v>
      </c>
      <c r="I94" s="5" t="n">
        <v>66.9</v>
      </c>
      <c r="J94" s="5" t="n">
        <v>3</v>
      </c>
      <c r="K94" s="5" t="n">
        <f aca="false">ROUND(MIN(MAX((B94*10)*0.2 + (MIN(E94/25*100,100))*0.2 + (MAX(100-F94*5,0))*0.15 + (G94*10)*0.15 + (H94)*0.15 + (I94)*0.15 - (J94*5),0),100),0)</f>
        <v>35</v>
      </c>
    </row>
    <row r="95" customFormat="false" ht="15" hidden="false" customHeight="true" outlineLevel="0" collapsed="false">
      <c r="A95" s="5" t="s">
        <v>1183</v>
      </c>
      <c r="B95" s="5" t="n">
        <v>8.1</v>
      </c>
      <c r="C95" s="5" t="n">
        <v>11</v>
      </c>
      <c r="D95" s="5" t="n">
        <v>6</v>
      </c>
      <c r="E95" s="5" t="n">
        <v>11</v>
      </c>
      <c r="F95" s="5" t="n">
        <v>19.9</v>
      </c>
      <c r="G95" s="5" t="n">
        <v>9.3</v>
      </c>
      <c r="H95" s="5" t="n">
        <v>60.6</v>
      </c>
      <c r="I95" s="5" t="n">
        <v>63.9</v>
      </c>
      <c r="J95" s="5" t="n">
        <v>0</v>
      </c>
      <c r="K95" s="5" t="n">
        <f aca="false">ROUND(MIN(MAX((B95*10)*0.2 + (MIN(E95/25*100,100))*0.2 + (MAX(100-F95*5,0))*0.15 + (G95*10)*0.15 + (H95)*0.15 + (I95)*0.15 - (J95*5),0),100),0)</f>
        <v>58</v>
      </c>
    </row>
    <row r="96" customFormat="false" ht="15" hidden="false" customHeight="true" outlineLevel="0" collapsed="false">
      <c r="A96" s="5" t="s">
        <v>1184</v>
      </c>
      <c r="B96" s="5" t="n">
        <v>3.2</v>
      </c>
      <c r="C96" s="5" t="n">
        <v>6</v>
      </c>
      <c r="D96" s="5" t="n">
        <v>4</v>
      </c>
      <c r="E96" s="5" t="n">
        <v>3.9</v>
      </c>
      <c r="F96" s="5" t="n">
        <v>19.3</v>
      </c>
      <c r="G96" s="5" t="n">
        <v>6.4</v>
      </c>
      <c r="H96" s="5" t="n">
        <v>69.4</v>
      </c>
      <c r="I96" s="5" t="n">
        <v>64.3</v>
      </c>
      <c r="J96" s="5" t="n">
        <v>3</v>
      </c>
      <c r="K96" s="5" t="n">
        <f aca="false">ROUND(MIN(MAX((B96*10)*0.2 + (MIN(E96/25*100,100))*0.2 + (MAX(100-F96*5,0))*0.15 + (G96*10)*0.15 + (H96)*0.15 + (I96)*0.15 - (J96*5),0),100),0)</f>
        <v>25</v>
      </c>
    </row>
    <row r="97" customFormat="false" ht="15" hidden="false" customHeight="true" outlineLevel="0" collapsed="false">
      <c r="A97" s="5" t="s">
        <v>1186</v>
      </c>
      <c r="B97" s="5" t="n">
        <v>3.4</v>
      </c>
      <c r="C97" s="5" t="n">
        <v>5</v>
      </c>
      <c r="D97" s="5" t="n">
        <v>2</v>
      </c>
      <c r="E97" s="5" t="n">
        <v>18.5</v>
      </c>
      <c r="F97" s="5" t="n">
        <v>19.1</v>
      </c>
      <c r="G97" s="5" t="n">
        <v>5.9</v>
      </c>
      <c r="H97" s="5" t="n">
        <v>83.9</v>
      </c>
      <c r="I97" s="5" t="n">
        <v>83.9</v>
      </c>
      <c r="J97" s="5" t="n">
        <v>0</v>
      </c>
      <c r="K97" s="5" t="n">
        <f aca="false">ROUND(MIN(MAX((B97*10)*0.2 + (MIN(E97/25*100,100))*0.2 + (MAX(100-F97*5,0))*0.15 + (G97*10)*0.15 + (H97)*0.15 + (I97)*0.15 - (J97*5),0),100),0)</f>
        <v>56</v>
      </c>
    </row>
    <row r="98" customFormat="false" ht="15" hidden="false" customHeight="true" outlineLevel="0" collapsed="false">
      <c r="A98" s="5" t="s">
        <v>1187</v>
      </c>
      <c r="B98" s="5" t="n">
        <v>5.1</v>
      </c>
      <c r="C98" s="5" t="n">
        <v>6</v>
      </c>
      <c r="D98" s="5" t="n">
        <v>3</v>
      </c>
      <c r="E98" s="5" t="n">
        <v>7.2</v>
      </c>
      <c r="F98" s="5" t="n">
        <v>9.6</v>
      </c>
      <c r="G98" s="5" t="n">
        <v>4.4</v>
      </c>
      <c r="H98" s="5" t="n">
        <v>97.9</v>
      </c>
      <c r="I98" s="5" t="n">
        <v>92.8</v>
      </c>
      <c r="J98" s="5" t="n">
        <v>3</v>
      </c>
      <c r="K98" s="5" t="n">
        <f aca="false">ROUND(MIN(MAX((B98*10)*0.2 + (MIN(E98/25*100,100))*0.2 + (MAX(100-F98*5,0))*0.15 + (G98*10)*0.15 + (H98)*0.15 + (I98)*0.15 - (J98*5),0),100),0)</f>
        <v>44</v>
      </c>
    </row>
    <row r="99" customFormat="false" ht="15" hidden="false" customHeight="true" outlineLevel="0" collapsed="false">
      <c r="A99" s="5" t="s">
        <v>1189</v>
      </c>
      <c r="B99" s="5" t="n">
        <v>7.4</v>
      </c>
      <c r="C99" s="5" t="n">
        <v>11</v>
      </c>
      <c r="D99" s="5" t="n">
        <v>5</v>
      </c>
      <c r="E99" s="5" t="n">
        <v>21.5</v>
      </c>
      <c r="F99" s="5" t="n">
        <v>23.7</v>
      </c>
      <c r="G99" s="5" t="n">
        <v>8</v>
      </c>
      <c r="H99" s="5" t="n">
        <v>91.4</v>
      </c>
      <c r="I99" s="5" t="n">
        <v>68.7</v>
      </c>
      <c r="J99" s="5" t="n">
        <v>1</v>
      </c>
      <c r="K99" s="5" t="n">
        <f aca="false">ROUND(MIN(MAX((B99*10)*0.2 + (MIN(E99/25*100,100))*0.2 + (MAX(100-F99*5,0))*0.15 + (G99*10)*0.15 + (H99)*0.15 + (I99)*0.15 - (J99*5),0),100),0)</f>
        <v>63</v>
      </c>
    </row>
    <row r="100" customFormat="false" ht="15" hidden="false" customHeight="true" outlineLevel="0" collapsed="false">
      <c r="A100" s="5" t="s">
        <v>1191</v>
      </c>
      <c r="B100" s="5" t="n">
        <v>4</v>
      </c>
      <c r="C100" s="5" t="n">
        <v>6</v>
      </c>
      <c r="D100" s="5" t="n">
        <v>4</v>
      </c>
      <c r="E100" s="5" t="n">
        <v>12</v>
      </c>
      <c r="F100" s="5" t="n">
        <v>21.7</v>
      </c>
      <c r="G100" s="5" t="n">
        <v>5.8</v>
      </c>
      <c r="H100" s="5" t="n">
        <v>88.3</v>
      </c>
      <c r="I100" s="5" t="n">
        <v>89.6</v>
      </c>
      <c r="J100" s="5" t="n">
        <v>3</v>
      </c>
      <c r="K100" s="5" t="n">
        <f aca="false">ROUND(MIN(MAX((B100*10)*0.2 + (MIN(E100/25*100,100))*0.2 + (MAX(100-F100*5,0))*0.15 + (G100*10)*0.15 + (H100)*0.15 + (I100)*0.15 - (J100*5),0),100),0)</f>
        <v>38</v>
      </c>
    </row>
    <row r="101" customFormat="false" ht="15" hidden="false" customHeight="true" outlineLevel="0" collapsed="false">
      <c r="A101" s="5" t="s">
        <v>1193</v>
      </c>
      <c r="B101" s="5" t="n">
        <v>6.9</v>
      </c>
      <c r="C101" s="5" t="n">
        <v>13</v>
      </c>
      <c r="D101" s="5" t="n">
        <v>7</v>
      </c>
      <c r="E101" s="5" t="n">
        <v>5.5</v>
      </c>
      <c r="F101" s="5" t="n">
        <v>8.3</v>
      </c>
      <c r="G101" s="5" t="n">
        <v>5.2</v>
      </c>
      <c r="H101" s="5" t="n">
        <v>85.9</v>
      </c>
      <c r="I101" s="5" t="n">
        <v>94.7</v>
      </c>
      <c r="J101" s="5" t="n">
        <v>2</v>
      </c>
      <c r="K101" s="5" t="n">
        <f aca="false">ROUND(MIN(MAX((B101*10)*0.2 + (MIN(E101/25*100,100))*0.2 + (MAX(100-F101*5,0))*0.15 + (G101*10)*0.15 + (H101)*0.15 + (I101)*0.15 - (J101*5),0),100),0)</f>
        <v>52</v>
      </c>
    </row>
    <row r="102" customFormat="false" ht="15" hidden="false" customHeight="true" outlineLevel="0" collapsed="false">
      <c r="A102" s="5" t="s">
        <v>1195</v>
      </c>
      <c r="B102" s="5" t="n">
        <v>3.6</v>
      </c>
      <c r="C102" s="5" t="n">
        <v>7</v>
      </c>
      <c r="D102" s="5" t="n">
        <v>3</v>
      </c>
      <c r="E102" s="5" t="n">
        <v>8.1</v>
      </c>
      <c r="F102" s="5" t="n">
        <v>17.8</v>
      </c>
      <c r="G102" s="5" t="n">
        <v>7.6</v>
      </c>
      <c r="H102" s="5" t="n">
        <v>94.9</v>
      </c>
      <c r="I102" s="5" t="n">
        <v>63.1</v>
      </c>
      <c r="J102" s="5" t="n">
        <v>2</v>
      </c>
      <c r="K102" s="5" t="n">
        <f aca="false">ROUND(MIN(MAX((B102*10)*0.2 + (MIN(E102/25*100,100))*0.2 + (MAX(100-F102*5,0))*0.15 + (G102*10)*0.15 + (H102)*0.15 + (I102)*0.15 - (J102*5),0),100),0)</f>
        <v>40</v>
      </c>
    </row>
    <row r="103" customFormat="false" ht="15" hidden="false" customHeight="true" outlineLevel="0" collapsed="false">
      <c r="A103" s="5" t="s">
        <v>1197</v>
      </c>
      <c r="B103" s="5" t="n">
        <v>8.1</v>
      </c>
      <c r="C103" s="5" t="n">
        <v>13</v>
      </c>
      <c r="D103" s="5" t="n">
        <v>6</v>
      </c>
      <c r="E103" s="5" t="n">
        <v>19.5</v>
      </c>
      <c r="F103" s="5" t="n">
        <v>10.3</v>
      </c>
      <c r="G103" s="5" t="n">
        <v>9.7</v>
      </c>
      <c r="H103" s="5" t="n">
        <v>60.6</v>
      </c>
      <c r="I103" s="5" t="n">
        <v>95.3</v>
      </c>
      <c r="J103" s="5" t="n">
        <v>4</v>
      </c>
      <c r="K103" s="5" t="n">
        <f aca="false">ROUND(MIN(MAX((B103*10)*0.2 + (MIN(E103/25*100,100))*0.2 + (MAX(100-F103*5,0))*0.15 + (G103*10)*0.15 + (H103)*0.15 + (I103)*0.15 - (J103*5),0),100),0)</f>
        <v>57</v>
      </c>
    </row>
    <row r="104" customFormat="false" ht="15" hidden="false" customHeight="true" outlineLevel="0" collapsed="false">
      <c r="A104" s="5" t="s">
        <v>1199</v>
      </c>
      <c r="B104" s="5" t="n">
        <v>3.8</v>
      </c>
      <c r="C104" s="5" t="n">
        <v>9</v>
      </c>
      <c r="D104" s="5" t="n">
        <v>4</v>
      </c>
      <c r="E104" s="5" t="n">
        <v>7.6</v>
      </c>
      <c r="F104" s="5" t="n">
        <v>16.3</v>
      </c>
      <c r="G104" s="5" t="n">
        <v>5.2</v>
      </c>
      <c r="H104" s="5" t="n">
        <v>96.6</v>
      </c>
      <c r="I104" s="5" t="n">
        <v>78.7</v>
      </c>
      <c r="J104" s="5" t="n">
        <v>2</v>
      </c>
      <c r="K104" s="5" t="n">
        <f aca="false">ROUND(MIN(MAX((B104*10)*0.2 + (MIN(E104/25*100,100))*0.2 + (MAX(100-F104*5,0))*0.15 + (G104*10)*0.15 + (H104)*0.15 + (I104)*0.15 - (J104*5),0),100),0)</f>
        <v>41</v>
      </c>
    </row>
    <row r="105" customFormat="false" ht="15" hidden="false" customHeight="true" outlineLevel="0" collapsed="false">
      <c r="A105" s="5" t="s">
        <v>1201</v>
      </c>
      <c r="B105" s="5" t="n">
        <v>5.7</v>
      </c>
      <c r="C105" s="5" t="n">
        <v>9</v>
      </c>
      <c r="D105" s="5" t="n">
        <v>4</v>
      </c>
      <c r="E105" s="5" t="n">
        <v>8</v>
      </c>
      <c r="F105" s="5" t="n">
        <v>14.3</v>
      </c>
      <c r="G105" s="5" t="n">
        <v>7</v>
      </c>
      <c r="H105" s="5" t="n">
        <v>63.9</v>
      </c>
      <c r="I105" s="5" t="n">
        <v>97.2</v>
      </c>
      <c r="J105" s="5" t="n">
        <v>1</v>
      </c>
      <c r="K105" s="5" t="n">
        <f aca="false">ROUND(MIN(MAX((B105*10)*0.2 + (MIN(E105/25*100,100))*0.2 + (MAX(100-F105*5,0))*0.15 + (G105*10)*0.15 + (H105)*0.15 + (I105)*0.15 - (J105*5),0),100),0)</f>
        <v>52</v>
      </c>
    </row>
    <row r="106" customFormat="false" ht="15" hidden="false" customHeight="true" outlineLevel="0" collapsed="false">
      <c r="A106" s="5" t="s">
        <v>1203</v>
      </c>
      <c r="B106" s="5" t="n">
        <v>8.9</v>
      </c>
      <c r="C106" s="5" t="n">
        <v>16</v>
      </c>
      <c r="D106" s="5" t="n">
        <v>8</v>
      </c>
      <c r="E106" s="5" t="n">
        <v>10.9</v>
      </c>
      <c r="F106" s="5" t="n">
        <v>15.4</v>
      </c>
      <c r="G106" s="5" t="n">
        <v>5.3</v>
      </c>
      <c r="H106" s="5" t="n">
        <v>65.8</v>
      </c>
      <c r="I106" s="5" t="n">
        <v>66.2</v>
      </c>
      <c r="J106" s="5" t="n">
        <v>3</v>
      </c>
      <c r="K106" s="5" t="n">
        <f aca="false">ROUND(MIN(MAX((B106*10)*0.2 + (MIN(E106/25*100,100))*0.2 + (MAX(100-F106*5,0))*0.15 + (G106*10)*0.15 + (H106)*0.15 + (I106)*0.15 - (J106*5),0),100),0)</f>
        <v>43</v>
      </c>
    </row>
    <row r="107" customFormat="false" ht="15" hidden="false" customHeight="true" outlineLevel="0" collapsed="false">
      <c r="A107" s="5" t="s">
        <v>1205</v>
      </c>
      <c r="B107" s="5" t="n">
        <v>7.1</v>
      </c>
      <c r="C107" s="5" t="n">
        <v>11</v>
      </c>
      <c r="D107" s="5" t="n">
        <v>4</v>
      </c>
      <c r="E107" s="5" t="n">
        <v>9.3</v>
      </c>
      <c r="F107" s="5" t="n">
        <v>11.4</v>
      </c>
      <c r="G107" s="5" t="n">
        <v>9</v>
      </c>
      <c r="H107" s="5" t="n">
        <v>80</v>
      </c>
      <c r="I107" s="5" t="n">
        <v>83.1</v>
      </c>
      <c r="J107" s="5" t="n">
        <v>1</v>
      </c>
      <c r="K107" s="5" t="n">
        <f aca="false">ROUND(MIN(MAX((B107*10)*0.2 + (MIN(E107/25*100,100))*0.2 + (MAX(100-F107*5,0))*0.15 + (G107*10)*0.15 + (H107)*0.15 + (I107)*0.15 - (J107*5),0),100),0)</f>
        <v>61</v>
      </c>
    </row>
    <row r="108" customFormat="false" ht="15" hidden="false" customHeight="true" outlineLevel="0" collapsed="false">
      <c r="A108" s="5" t="s">
        <v>1206</v>
      </c>
      <c r="B108" s="5" t="n">
        <v>4.8</v>
      </c>
      <c r="C108" s="5" t="n">
        <v>9</v>
      </c>
      <c r="D108" s="5" t="n">
        <v>6</v>
      </c>
      <c r="E108" s="5" t="n">
        <v>15.2</v>
      </c>
      <c r="F108" s="5" t="n">
        <v>13.8</v>
      </c>
      <c r="G108" s="5" t="n">
        <v>5</v>
      </c>
      <c r="H108" s="5" t="n">
        <v>91.8</v>
      </c>
      <c r="I108" s="5" t="n">
        <v>62.3</v>
      </c>
      <c r="J108" s="5" t="n">
        <v>2</v>
      </c>
      <c r="K108" s="5" t="n">
        <f aca="false">ROUND(MIN(MAX((B108*10)*0.2 + (MIN(E108/25*100,100))*0.2 + (MAX(100-F108*5,0))*0.15 + (G108*10)*0.15 + (H108)*0.15 + (I108)*0.15 - (J108*5),0),100),0)</f>
        <v>47</v>
      </c>
    </row>
    <row r="109" customFormat="false" ht="15" hidden="false" customHeight="true" outlineLevel="0" collapsed="false">
      <c r="A109" s="5" t="s">
        <v>1208</v>
      </c>
      <c r="B109" s="5" t="n">
        <v>6.4</v>
      </c>
      <c r="C109" s="5" t="n">
        <v>12</v>
      </c>
      <c r="D109" s="5" t="n">
        <v>6</v>
      </c>
      <c r="E109" s="5" t="n">
        <v>15.2</v>
      </c>
      <c r="F109" s="5" t="n">
        <v>4.3</v>
      </c>
      <c r="G109" s="5" t="n">
        <v>4.2</v>
      </c>
      <c r="H109" s="5" t="n">
        <v>93.9</v>
      </c>
      <c r="I109" s="5" t="n">
        <v>95.6</v>
      </c>
      <c r="J109" s="5" t="n">
        <v>1</v>
      </c>
      <c r="K109" s="5" t="n">
        <f aca="false">ROUND(MIN(MAX((B109*10)*0.2 + (MIN(E109/25*100,100))*0.2 + (MAX(100-F109*5,0))*0.15 + (G109*10)*0.15 + (H109)*0.15 + (I109)*0.15 - (J109*5),0),100),0)</f>
        <v>66</v>
      </c>
    </row>
    <row r="110" customFormat="false" ht="15" hidden="false" customHeight="true" outlineLevel="0" collapsed="false">
      <c r="A110" s="5" t="s">
        <v>1209</v>
      </c>
      <c r="B110" s="5" t="n">
        <v>8.4</v>
      </c>
      <c r="C110" s="5" t="n">
        <v>13</v>
      </c>
      <c r="D110" s="5" t="n">
        <v>8</v>
      </c>
      <c r="E110" s="5" t="n">
        <v>7.4</v>
      </c>
      <c r="F110" s="5" t="n">
        <v>18.6</v>
      </c>
      <c r="G110" s="5" t="n">
        <v>4.1</v>
      </c>
      <c r="H110" s="5" t="n">
        <v>80.2</v>
      </c>
      <c r="I110" s="5" t="n">
        <v>71</v>
      </c>
      <c r="J110" s="5" t="n">
        <v>1</v>
      </c>
      <c r="K110" s="5" t="n">
        <f aca="false">ROUND(MIN(MAX((B110*10)*0.2 + (MIN(E110/25*100,100))*0.2 + (MAX(100-F110*5,0))*0.15 + (G110*10)*0.15 + (H110)*0.15 + (I110)*0.15 - (J110*5),0),100),0)</f>
        <v>48</v>
      </c>
    </row>
    <row r="111" customFormat="false" ht="15" hidden="false" customHeight="true" outlineLevel="0" collapsed="false">
      <c r="A111" s="5" t="s">
        <v>1210</v>
      </c>
      <c r="B111" s="5" t="n">
        <v>7.7</v>
      </c>
      <c r="C111" s="5" t="n">
        <v>13</v>
      </c>
      <c r="D111" s="5" t="n">
        <v>6</v>
      </c>
      <c r="E111" s="5" t="n">
        <v>12.3</v>
      </c>
      <c r="F111" s="5" t="n">
        <v>3.1</v>
      </c>
      <c r="G111" s="5" t="n">
        <v>7.3</v>
      </c>
      <c r="H111" s="5" t="n">
        <v>60.5</v>
      </c>
      <c r="I111" s="5" t="n">
        <v>77.8</v>
      </c>
      <c r="J111" s="5" t="n">
        <v>0</v>
      </c>
      <c r="K111" s="5" t="n">
        <f aca="false">ROUND(MIN(MAX((B111*10)*0.2 + (MIN(E111/25*100,100))*0.2 + (MAX(100-F111*5,0))*0.15 + (G111*10)*0.15 + (H111)*0.15 + (I111)*0.15 - (J111*5),0),100),0)</f>
        <v>70</v>
      </c>
    </row>
    <row r="112" customFormat="false" ht="15" hidden="false" customHeight="true" outlineLevel="0" collapsed="false">
      <c r="A112" s="5" t="s">
        <v>1211</v>
      </c>
      <c r="B112" s="5" t="n">
        <v>9.8</v>
      </c>
      <c r="C112" s="5" t="n">
        <v>13</v>
      </c>
      <c r="D112" s="5" t="n">
        <v>7</v>
      </c>
      <c r="E112" s="5" t="n">
        <v>15.8</v>
      </c>
      <c r="F112" s="5" t="n">
        <v>20.7</v>
      </c>
      <c r="G112" s="5" t="n">
        <v>9.5</v>
      </c>
      <c r="H112" s="5" t="n">
        <v>64.3</v>
      </c>
      <c r="I112" s="5" t="n">
        <v>59.1</v>
      </c>
      <c r="J112" s="5" t="n">
        <v>0</v>
      </c>
      <c r="K112" s="5" t="n">
        <f aca="false">ROUND(MIN(MAX((B112*10)*0.2 + (MIN(E112/25*100,100))*0.2 + (MAX(100-F112*5,0))*0.15 + (G112*10)*0.15 + (H112)*0.15 + (I112)*0.15 - (J112*5),0),100),0)</f>
        <v>65</v>
      </c>
    </row>
    <row r="113" customFormat="false" ht="15" hidden="false" customHeight="true" outlineLevel="0" collapsed="false">
      <c r="A113" s="5" t="s">
        <v>1213</v>
      </c>
      <c r="B113" s="5" t="n">
        <v>4.3</v>
      </c>
      <c r="C113" s="5" t="n">
        <v>7</v>
      </c>
      <c r="D113" s="5" t="n">
        <v>4</v>
      </c>
      <c r="E113" s="5" t="n">
        <v>8.1</v>
      </c>
      <c r="F113" s="5" t="n">
        <v>11.7</v>
      </c>
      <c r="G113" s="5" t="n">
        <v>6.2</v>
      </c>
      <c r="H113" s="5" t="n">
        <v>76.2</v>
      </c>
      <c r="I113" s="5" t="n">
        <v>79.3</v>
      </c>
      <c r="J113" s="5" t="n">
        <v>4</v>
      </c>
      <c r="K113" s="5" t="n">
        <f aca="false">ROUND(MIN(MAX((B113*10)*0.2 + (MIN(E113/25*100,100))*0.2 + (MAX(100-F113*5,0))*0.15 + (G113*10)*0.15 + (H113)*0.15 + (I113)*0.15 - (J113*5),0),100),0)</f>
        <v>34</v>
      </c>
    </row>
    <row r="114" customFormat="false" ht="15" hidden="false" customHeight="true" outlineLevel="0" collapsed="false">
      <c r="A114" s="5" t="s">
        <v>1215</v>
      </c>
      <c r="B114" s="5" t="n">
        <v>4.6</v>
      </c>
      <c r="C114" s="5" t="n">
        <v>8</v>
      </c>
      <c r="D114" s="5" t="n">
        <v>5</v>
      </c>
      <c r="E114" s="5" t="n">
        <v>15.4</v>
      </c>
      <c r="F114" s="5" t="n">
        <v>21.9</v>
      </c>
      <c r="G114" s="5" t="n">
        <v>8.6</v>
      </c>
      <c r="H114" s="5" t="n">
        <v>63.7</v>
      </c>
      <c r="I114" s="5" t="n">
        <v>71.3</v>
      </c>
      <c r="J114" s="5" t="n">
        <v>1</v>
      </c>
      <c r="K114" s="5" t="n">
        <f aca="false">ROUND(MIN(MAX((B114*10)*0.2 + (MIN(E114/25*100,100))*0.2 + (MAX(100-F114*5,0))*0.15 + (G114*10)*0.15 + (H114)*0.15 + (I114)*0.15 - (J114*5),0),100),0)</f>
        <v>50</v>
      </c>
    </row>
    <row r="115" customFormat="false" ht="15" hidden="false" customHeight="true" outlineLevel="0" collapsed="false">
      <c r="A115" s="5" t="s">
        <v>1217</v>
      </c>
      <c r="B115" s="5" t="n">
        <v>3.4</v>
      </c>
      <c r="C115" s="5" t="n">
        <v>3</v>
      </c>
      <c r="D115" s="5" t="n">
        <v>1</v>
      </c>
      <c r="E115" s="5" t="n">
        <v>12.5</v>
      </c>
      <c r="F115" s="5" t="n">
        <v>12.5</v>
      </c>
      <c r="G115" s="5" t="n">
        <v>8.7</v>
      </c>
      <c r="H115" s="5" t="n">
        <v>82.6</v>
      </c>
      <c r="I115" s="5" t="n">
        <v>91.9</v>
      </c>
      <c r="J115" s="5" t="n">
        <v>0</v>
      </c>
      <c r="K115" s="5" t="n">
        <f aca="false">ROUND(MIN(MAX((B115*10)*0.2 + (MIN(E115/25*100,100))*0.2 + (MAX(100-F115*5,0))*0.15 + (G115*10)*0.15 + (H115)*0.15 + (I115)*0.15 - (J115*5),0),100),0)</f>
        <v>62</v>
      </c>
    </row>
    <row r="116" customFormat="false" ht="15" hidden="false" customHeight="true" outlineLevel="0" collapsed="false">
      <c r="A116" s="5" t="s">
        <v>1219</v>
      </c>
      <c r="B116" s="5" t="n">
        <v>6.7</v>
      </c>
      <c r="C116" s="5" t="n">
        <v>8</v>
      </c>
      <c r="D116" s="5" t="n">
        <v>3</v>
      </c>
      <c r="E116" s="5" t="n">
        <v>19.5</v>
      </c>
      <c r="F116" s="5" t="n">
        <v>22.5</v>
      </c>
      <c r="G116" s="5" t="n">
        <v>6.9</v>
      </c>
      <c r="H116" s="5" t="n">
        <v>61.9</v>
      </c>
      <c r="I116" s="5" t="n">
        <v>58.2</v>
      </c>
      <c r="J116" s="5" t="n">
        <v>3</v>
      </c>
      <c r="K116" s="5" t="n">
        <f aca="false">ROUND(MIN(MAX((B116*10)*0.2 + (MIN(E116/25*100,100))*0.2 + (MAX(100-F116*5,0))*0.15 + (G116*10)*0.15 + (H116)*0.15 + (I116)*0.15 - (J116*5),0),100),0)</f>
        <v>42</v>
      </c>
    </row>
    <row r="117" customFormat="false" ht="15" hidden="false" customHeight="true" outlineLevel="0" collapsed="false">
      <c r="A117" s="5" t="s">
        <v>1220</v>
      </c>
      <c r="B117" s="5" t="n">
        <v>9.3</v>
      </c>
      <c r="C117" s="5" t="n">
        <v>15</v>
      </c>
      <c r="D117" s="5" t="n">
        <v>6</v>
      </c>
      <c r="E117" s="5" t="n">
        <v>20.6</v>
      </c>
      <c r="F117" s="5" t="n">
        <v>9.9</v>
      </c>
      <c r="G117" s="5" t="n">
        <v>9.8</v>
      </c>
      <c r="H117" s="5" t="n">
        <v>83.5</v>
      </c>
      <c r="I117" s="5" t="n">
        <v>87.3</v>
      </c>
      <c r="J117" s="5" t="n">
        <v>2</v>
      </c>
      <c r="K117" s="5" t="n">
        <f aca="false">ROUND(MIN(MAX((B117*10)*0.2 + (MIN(E117/25*100,100))*0.2 + (MAX(100-F117*5,0))*0.15 + (G117*10)*0.15 + (H117)*0.15 + (I117)*0.15 - (J117*5),0),100),0)</f>
        <v>73</v>
      </c>
    </row>
    <row r="118" customFormat="false" ht="15" hidden="false" customHeight="true" outlineLevel="0" collapsed="false">
      <c r="A118" s="5" t="s">
        <v>1223</v>
      </c>
      <c r="B118" s="5" t="n">
        <v>5.8</v>
      </c>
      <c r="C118" s="5" t="n">
        <v>7</v>
      </c>
      <c r="D118" s="5" t="n">
        <v>2</v>
      </c>
      <c r="E118" s="5" t="n">
        <v>7.6</v>
      </c>
      <c r="F118" s="5" t="n">
        <v>21.4</v>
      </c>
      <c r="G118" s="5" t="n">
        <v>6.3</v>
      </c>
      <c r="H118" s="5" t="n">
        <v>95.9</v>
      </c>
      <c r="I118" s="5" t="n">
        <v>69.3</v>
      </c>
      <c r="J118" s="5" t="n">
        <v>2</v>
      </c>
      <c r="K118" s="5" t="n">
        <f aca="false">ROUND(MIN(MAX((B118*10)*0.2 + (MIN(E118/25*100,100))*0.2 + (MAX(100-F118*5,0))*0.15 + (G118*10)*0.15 + (H118)*0.15 + (I118)*0.15 - (J118*5),0),100),0)</f>
        <v>42</v>
      </c>
    </row>
    <row r="119" customFormat="false" ht="15" hidden="false" customHeight="true" outlineLevel="0" collapsed="false">
      <c r="A119" s="5" t="s">
        <v>1225</v>
      </c>
      <c r="B119" s="5" t="n">
        <v>4</v>
      </c>
      <c r="C119" s="5" t="n">
        <v>9</v>
      </c>
      <c r="D119" s="5" t="n">
        <v>5</v>
      </c>
      <c r="E119" s="5" t="n">
        <v>12.5</v>
      </c>
      <c r="F119" s="5" t="n">
        <v>24.4</v>
      </c>
      <c r="G119" s="5" t="n">
        <v>4.3</v>
      </c>
      <c r="H119" s="5" t="n">
        <v>77.5</v>
      </c>
      <c r="I119" s="5" t="n">
        <v>91.1</v>
      </c>
      <c r="J119" s="5" t="n">
        <v>0</v>
      </c>
      <c r="K119" s="5" t="n">
        <f aca="false">ROUND(MIN(MAX((B119*10)*0.2 + (MIN(E119/25*100,100))*0.2 + (MAX(100-F119*5,0))*0.15 + (G119*10)*0.15 + (H119)*0.15 + (I119)*0.15 - (J119*5),0),100),0)</f>
        <v>50</v>
      </c>
    </row>
    <row r="120" customFormat="false" ht="15" hidden="false" customHeight="true" outlineLevel="0" collapsed="false">
      <c r="A120" s="5" t="s">
        <v>1226</v>
      </c>
      <c r="B120" s="5" t="n">
        <v>8.4</v>
      </c>
      <c r="C120" s="5" t="n">
        <v>16</v>
      </c>
      <c r="D120" s="5" t="n">
        <v>8</v>
      </c>
      <c r="E120" s="5" t="n">
        <v>17.7</v>
      </c>
      <c r="F120" s="5" t="n">
        <v>3.7</v>
      </c>
      <c r="G120" s="5" t="n">
        <v>5.6</v>
      </c>
      <c r="H120" s="5" t="n">
        <v>99.7</v>
      </c>
      <c r="I120" s="5" t="n">
        <v>76.1</v>
      </c>
      <c r="J120" s="5" t="n">
        <v>0</v>
      </c>
      <c r="K120" s="5" t="n">
        <f aca="false">ROUND(MIN(MAX((B120*10)*0.2 + (MIN(E120/25*100,100))*0.2 + (MAX(100-F120*5,0))*0.15 + (G120*10)*0.15 + (H120)*0.15 + (I120)*0.15 - (J120*5),0),100),0)</f>
        <v>78</v>
      </c>
    </row>
    <row r="121" customFormat="false" ht="15" hidden="false" customHeight="true" outlineLevel="0" collapsed="false">
      <c r="A121" s="5" t="s">
        <v>1228</v>
      </c>
      <c r="B121" s="5" t="n">
        <v>9.6</v>
      </c>
      <c r="C121" s="5" t="n">
        <v>15</v>
      </c>
      <c r="D121" s="5" t="n">
        <v>8</v>
      </c>
      <c r="E121" s="5" t="n">
        <v>15.6</v>
      </c>
      <c r="F121" s="5" t="n">
        <v>4.9</v>
      </c>
      <c r="G121" s="5" t="n">
        <v>7.7</v>
      </c>
      <c r="H121" s="5" t="n">
        <v>91.9</v>
      </c>
      <c r="I121" s="5" t="n">
        <v>85.7</v>
      </c>
      <c r="J121" s="5" t="n">
        <v>0</v>
      </c>
      <c r="K121" s="5" t="n">
        <f aca="false">ROUND(MIN(MAX((B121*10)*0.2 + (MIN(E121/25*100,100))*0.2 + (MAX(100-F121*5,0))*0.15 + (G121*10)*0.15 + (H121)*0.15 + (I121)*0.15 - (J121*5),0),100),0)</f>
        <v>81</v>
      </c>
    </row>
    <row r="122" customFormat="false" ht="15" hidden="false" customHeight="true" outlineLevel="0" collapsed="false">
      <c r="A122" s="5" t="s">
        <v>1229</v>
      </c>
      <c r="B122" s="5" t="n">
        <v>4.1</v>
      </c>
      <c r="C122" s="5" t="n">
        <v>8</v>
      </c>
      <c r="D122" s="5" t="n">
        <v>4</v>
      </c>
      <c r="E122" s="5" t="n">
        <v>17.1</v>
      </c>
      <c r="F122" s="5" t="n">
        <v>10</v>
      </c>
      <c r="G122" s="5" t="n">
        <v>4.6</v>
      </c>
      <c r="H122" s="5" t="n">
        <v>60.2</v>
      </c>
      <c r="I122" s="5" t="n">
        <v>68.3</v>
      </c>
      <c r="J122" s="5" t="n">
        <v>0</v>
      </c>
      <c r="K122" s="5" t="n">
        <f aca="false">ROUND(MIN(MAX((B122*10)*0.2 + (MIN(E122/25*100,100))*0.2 + (MAX(100-F122*5,0))*0.15 + (G122*10)*0.15 + (H122)*0.15 + (I122)*0.15 - (J122*5),0),100),0)</f>
        <v>56</v>
      </c>
    </row>
    <row r="123" customFormat="false" ht="15" hidden="false" customHeight="true" outlineLevel="0" collapsed="false">
      <c r="A123" s="5" t="s">
        <v>1230</v>
      </c>
      <c r="B123" s="5" t="n">
        <v>4.9</v>
      </c>
      <c r="C123" s="5" t="n">
        <v>6</v>
      </c>
      <c r="D123" s="5" t="n">
        <v>2</v>
      </c>
      <c r="E123" s="5" t="n">
        <v>11.5</v>
      </c>
      <c r="F123" s="5" t="n">
        <v>15.2</v>
      </c>
      <c r="G123" s="5" t="n">
        <v>6.4</v>
      </c>
      <c r="H123" s="5" t="n">
        <v>61.1</v>
      </c>
      <c r="I123" s="5" t="n">
        <v>70.2</v>
      </c>
      <c r="J123" s="5" t="n">
        <v>0</v>
      </c>
      <c r="K123" s="5" t="n">
        <f aca="false">ROUND(MIN(MAX((B123*10)*0.2 + (MIN(E123/25*100,100))*0.2 + (MAX(100-F123*5,0))*0.15 + (G123*10)*0.15 + (H123)*0.15 + (I123)*0.15 - (J123*5),0),100),0)</f>
        <v>52</v>
      </c>
    </row>
    <row r="124" customFormat="false" ht="15" hidden="false" customHeight="true" outlineLevel="0" collapsed="false">
      <c r="A124" s="5" t="s">
        <v>1231</v>
      </c>
      <c r="B124" s="5" t="n">
        <v>7.2</v>
      </c>
      <c r="C124" s="5" t="n">
        <v>11</v>
      </c>
      <c r="D124" s="5" t="n">
        <v>5</v>
      </c>
      <c r="E124" s="5" t="n">
        <v>8.5</v>
      </c>
      <c r="F124" s="5" t="n">
        <v>11.5</v>
      </c>
      <c r="G124" s="5" t="n">
        <v>4.5</v>
      </c>
      <c r="H124" s="5" t="n">
        <v>96</v>
      </c>
      <c r="I124" s="5" t="n">
        <v>93.9</v>
      </c>
      <c r="J124" s="5" t="n">
        <v>4</v>
      </c>
      <c r="K124" s="5" t="n">
        <f aca="false">ROUND(MIN(MAX((B124*10)*0.2 + (MIN(E124/25*100,100))*0.2 + (MAX(100-F124*5,0))*0.15 + (G124*10)*0.15 + (H124)*0.15 + (I124)*0.15 - (J124*5),0),100),0)</f>
        <v>43</v>
      </c>
    </row>
    <row r="125" customFormat="false" ht="15" hidden="false" customHeight="true" outlineLevel="0" collapsed="false">
      <c r="A125" s="5" t="s">
        <v>1233</v>
      </c>
      <c r="B125" s="5" t="n">
        <v>7</v>
      </c>
      <c r="C125" s="5" t="n">
        <v>10</v>
      </c>
      <c r="D125" s="5" t="n">
        <v>5</v>
      </c>
      <c r="E125" s="5" t="n">
        <v>5.6</v>
      </c>
      <c r="F125" s="5" t="n">
        <v>9.6</v>
      </c>
      <c r="G125" s="5" t="n">
        <v>7</v>
      </c>
      <c r="H125" s="5" t="n">
        <v>62.5</v>
      </c>
      <c r="I125" s="5" t="n">
        <v>73.7</v>
      </c>
      <c r="J125" s="5" t="n">
        <v>1</v>
      </c>
      <c r="K125" s="5" t="n">
        <f aca="false">ROUND(MIN(MAX((B125*10)*0.2 + (MIN(E125/25*100,100))*0.2 + (MAX(100-F125*5,0))*0.15 + (G125*10)*0.15 + (H125)*0.15 + (I125)*0.15 - (J125*5),0),100),0)</f>
        <v>52</v>
      </c>
    </row>
    <row r="126" customFormat="false" ht="15" hidden="false" customHeight="true" outlineLevel="0" collapsed="false">
      <c r="A126" s="5" t="s">
        <v>1235</v>
      </c>
      <c r="B126" s="5" t="n">
        <v>6.4</v>
      </c>
      <c r="C126" s="5" t="n">
        <v>8</v>
      </c>
      <c r="D126" s="5" t="n">
        <v>3</v>
      </c>
      <c r="E126" s="5" t="n">
        <v>7.7</v>
      </c>
      <c r="F126" s="5" t="n">
        <v>16.8</v>
      </c>
      <c r="G126" s="5" t="n">
        <v>7.6</v>
      </c>
      <c r="H126" s="5" t="n">
        <v>67.8</v>
      </c>
      <c r="I126" s="5" t="n">
        <v>59.6</v>
      </c>
      <c r="J126" s="5" t="n">
        <v>0</v>
      </c>
      <c r="K126" s="5" t="n">
        <f aca="false">ROUND(MIN(MAX((B126*10)*0.2 + (MIN(E126/25*100,100))*0.2 + (MAX(100-F126*5,0))*0.15 + (G126*10)*0.15 + (H126)*0.15 + (I126)*0.15 - (J126*5),0),100),0)</f>
        <v>52</v>
      </c>
    </row>
    <row r="127" customFormat="false" ht="15" hidden="false" customHeight="true" outlineLevel="0" collapsed="false">
      <c r="A127" s="5" t="s">
        <v>1236</v>
      </c>
      <c r="B127" s="5" t="n">
        <v>9.6</v>
      </c>
      <c r="C127" s="5" t="n">
        <v>15</v>
      </c>
      <c r="D127" s="5" t="n">
        <v>8</v>
      </c>
      <c r="E127" s="5" t="n">
        <v>18.3</v>
      </c>
      <c r="F127" s="5" t="n">
        <v>10.2</v>
      </c>
      <c r="G127" s="5" t="n">
        <v>6</v>
      </c>
      <c r="H127" s="5" t="n">
        <v>92.6</v>
      </c>
      <c r="I127" s="5" t="n">
        <v>92</v>
      </c>
      <c r="J127" s="5" t="n">
        <v>4</v>
      </c>
      <c r="K127" s="5" t="n">
        <f aca="false">ROUND(MIN(MAX((B127*10)*0.2 + (MIN(E127/25*100,100))*0.2 + (MAX(100-F127*5,0))*0.15 + (G127*10)*0.15 + (H127)*0.15 + (I127)*0.15 - (J127*5),0),100),0)</f>
        <v>58</v>
      </c>
    </row>
    <row r="128" customFormat="false" ht="15" hidden="false" customHeight="true" outlineLevel="0" collapsed="false">
      <c r="A128" s="5" t="s">
        <v>1238</v>
      </c>
      <c r="B128" s="5" t="n">
        <v>4</v>
      </c>
      <c r="C128" s="5" t="n">
        <v>6</v>
      </c>
      <c r="D128" s="5" t="n">
        <v>4</v>
      </c>
      <c r="E128" s="5" t="n">
        <v>6.8</v>
      </c>
      <c r="F128" s="5" t="n">
        <v>9.9</v>
      </c>
      <c r="G128" s="5" t="n">
        <v>9.8</v>
      </c>
      <c r="H128" s="5" t="n">
        <v>98.7</v>
      </c>
      <c r="I128" s="5" t="n">
        <v>67.5</v>
      </c>
      <c r="J128" s="5" t="n">
        <v>1</v>
      </c>
      <c r="K128" s="5" t="n">
        <f aca="false">ROUND(MIN(MAX((B128*10)*0.2 + (MIN(E128/25*100,100))*0.2 + (MAX(100-F128*5,0))*0.15 + (G128*10)*0.15 + (H128)*0.15 + (I128)*0.15 - (J128*5),0),100),0)</f>
        <v>56</v>
      </c>
    </row>
    <row r="129" customFormat="false" ht="15" hidden="false" customHeight="true" outlineLevel="0" collapsed="false">
      <c r="A129" s="5" t="s">
        <v>1239</v>
      </c>
      <c r="B129" s="5" t="n">
        <v>6.4</v>
      </c>
      <c r="C129" s="5" t="n">
        <v>11</v>
      </c>
      <c r="D129" s="5" t="n">
        <v>5</v>
      </c>
      <c r="E129" s="5" t="n">
        <v>10.1</v>
      </c>
      <c r="F129" s="5" t="n">
        <v>21</v>
      </c>
      <c r="G129" s="5" t="n">
        <v>6.4</v>
      </c>
      <c r="H129" s="5" t="n">
        <v>64.6</v>
      </c>
      <c r="I129" s="5" t="n">
        <v>79.2</v>
      </c>
      <c r="J129" s="5" t="n">
        <v>1</v>
      </c>
      <c r="K129" s="5" t="n">
        <f aca="false">ROUND(MIN(MAX((B129*10)*0.2 + (MIN(E129/25*100,100))*0.2 + (MAX(100-F129*5,0))*0.15 + (G129*10)*0.15 + (H129)*0.15 + (I129)*0.15 - (J129*5),0),100),0)</f>
        <v>47</v>
      </c>
    </row>
    <row r="130" customFormat="false" ht="15" hidden="false" customHeight="true" outlineLevel="0" collapsed="false">
      <c r="A130" s="5" t="s">
        <v>1241</v>
      </c>
      <c r="B130" s="5" t="n">
        <v>6.8</v>
      </c>
      <c r="C130" s="5" t="n">
        <v>12</v>
      </c>
      <c r="D130" s="5" t="n">
        <v>6</v>
      </c>
      <c r="E130" s="5" t="n">
        <v>21.1</v>
      </c>
      <c r="F130" s="5" t="n">
        <v>13.2</v>
      </c>
      <c r="G130" s="5" t="n">
        <v>8.3</v>
      </c>
      <c r="H130" s="5" t="n">
        <v>77.5</v>
      </c>
      <c r="I130" s="5" t="n">
        <v>67.5</v>
      </c>
      <c r="J130" s="5" t="n">
        <v>1</v>
      </c>
      <c r="K130" s="5" t="n">
        <f aca="false">ROUND(MIN(MAX((B130*10)*0.2 + (MIN(E130/25*100,100))*0.2 + (MAX(100-F130*5,0))*0.15 + (G130*10)*0.15 + (H130)*0.15 + (I130)*0.15 - (J130*5),0),100),0)</f>
        <v>65</v>
      </c>
    </row>
    <row r="131" customFormat="false" ht="15" hidden="false" customHeight="true" outlineLevel="0" collapsed="false">
      <c r="A131" s="5" t="s">
        <v>1243</v>
      </c>
      <c r="B131" s="5" t="n">
        <v>8.7</v>
      </c>
      <c r="C131" s="5" t="n">
        <v>15</v>
      </c>
      <c r="D131" s="5" t="n">
        <v>7</v>
      </c>
      <c r="E131" s="5" t="n">
        <v>12.5</v>
      </c>
      <c r="F131" s="5" t="n">
        <v>16.9</v>
      </c>
      <c r="G131" s="5" t="n">
        <v>5.5</v>
      </c>
      <c r="H131" s="5" t="n">
        <v>86.3</v>
      </c>
      <c r="I131" s="5" t="n">
        <v>85.8</v>
      </c>
      <c r="J131" s="5" t="n">
        <v>2</v>
      </c>
      <c r="K131" s="5" t="n">
        <f aca="false">ROUND(MIN(MAX((B131*10)*0.2 + (MIN(E131/25*100,100))*0.2 + (MAX(100-F131*5,0))*0.15 + (G131*10)*0.15 + (H131)*0.15 + (I131)*0.15 - (J131*5),0),100),0)</f>
        <v>54</v>
      </c>
    </row>
    <row r="132" customFormat="false" ht="15" hidden="false" customHeight="true" outlineLevel="0" collapsed="false">
      <c r="A132" s="5" t="s">
        <v>1244</v>
      </c>
      <c r="B132" s="5" t="n">
        <v>3.5</v>
      </c>
      <c r="C132" s="5" t="n">
        <v>8</v>
      </c>
      <c r="D132" s="5" t="n">
        <v>4</v>
      </c>
      <c r="E132" s="5" t="n">
        <v>10.6</v>
      </c>
      <c r="F132" s="5" t="n">
        <v>14.1</v>
      </c>
      <c r="G132" s="5" t="n">
        <v>9.5</v>
      </c>
      <c r="H132" s="5" t="n">
        <v>87.7</v>
      </c>
      <c r="I132" s="5" t="n">
        <v>78.4</v>
      </c>
      <c r="J132" s="5" t="n">
        <v>2</v>
      </c>
      <c r="K132" s="5" t="n">
        <f aca="false">ROUND(MIN(MAX((B132*10)*0.2 + (MIN(E132/25*100,100))*0.2 + (MAX(100-F132*5,0))*0.15 + (G132*10)*0.15 + (H132)*0.15 + (I132)*0.15 - (J132*5),0),100),0)</f>
        <v>49</v>
      </c>
    </row>
    <row r="133" customFormat="false" ht="15" hidden="false" customHeight="true" outlineLevel="0" collapsed="false">
      <c r="A133" s="5" t="s">
        <v>1246</v>
      </c>
      <c r="B133" s="5" t="n">
        <v>5.5</v>
      </c>
      <c r="C133" s="5" t="n">
        <v>11</v>
      </c>
      <c r="D133" s="5" t="n">
        <v>6</v>
      </c>
      <c r="E133" s="5" t="n">
        <v>15.1</v>
      </c>
      <c r="F133" s="5" t="n">
        <v>4.9</v>
      </c>
      <c r="G133" s="5" t="n">
        <v>8.6</v>
      </c>
      <c r="H133" s="5" t="n">
        <v>86.3</v>
      </c>
      <c r="I133" s="5" t="n">
        <v>70.3</v>
      </c>
      <c r="J133" s="5" t="n">
        <v>1</v>
      </c>
      <c r="K133" s="5" t="n">
        <f aca="false">ROUND(MIN(MAX((B133*10)*0.2 + (MIN(E133/25*100,100))*0.2 + (MAX(100-F133*5,0))*0.15 + (G133*10)*0.15 + (H133)*0.15 + (I133)*0.15 - (J133*5),0),100),0)</f>
        <v>66</v>
      </c>
    </row>
    <row r="134" customFormat="false" ht="15" hidden="false" customHeight="true" outlineLevel="0" collapsed="false">
      <c r="A134" s="5" t="s">
        <v>1247</v>
      </c>
      <c r="B134" s="5" t="n">
        <v>3.3</v>
      </c>
      <c r="C134" s="5" t="n">
        <v>8</v>
      </c>
      <c r="D134" s="5" t="n">
        <v>5</v>
      </c>
      <c r="E134" s="5" t="n">
        <v>10.6</v>
      </c>
      <c r="F134" s="5" t="n">
        <v>19.6</v>
      </c>
      <c r="G134" s="5" t="n">
        <v>9.8</v>
      </c>
      <c r="H134" s="5" t="n">
        <v>77.2</v>
      </c>
      <c r="I134" s="5" t="n">
        <v>55.5</v>
      </c>
      <c r="J134" s="5" t="n">
        <v>0</v>
      </c>
      <c r="K134" s="5" t="n">
        <f aca="false">ROUND(MIN(MAX((B134*10)*0.2 + (MIN(E134/25*100,100))*0.2 + (MAX(100-F134*5,0))*0.15 + (G134*10)*0.15 + (H134)*0.15 + (I134)*0.15 - (J134*5),0),100),0)</f>
        <v>50</v>
      </c>
    </row>
    <row r="135" customFormat="false" ht="15" hidden="false" customHeight="true" outlineLevel="0" collapsed="false">
      <c r="A135" s="5" t="s">
        <v>1249</v>
      </c>
      <c r="B135" s="5" t="n">
        <v>6.6</v>
      </c>
      <c r="C135" s="5" t="n">
        <v>11</v>
      </c>
      <c r="D135" s="5" t="n">
        <v>6</v>
      </c>
      <c r="E135" s="5" t="n">
        <v>13.9</v>
      </c>
      <c r="F135" s="5" t="n">
        <v>12.8</v>
      </c>
      <c r="G135" s="5" t="n">
        <v>6.3</v>
      </c>
      <c r="H135" s="5" t="n">
        <v>90.9</v>
      </c>
      <c r="I135" s="5" t="n">
        <v>80.3</v>
      </c>
      <c r="J135" s="5" t="n">
        <v>1</v>
      </c>
      <c r="K135" s="5" t="n">
        <f aca="false">ROUND(MIN(MAX((B135*10)*0.2 + (MIN(E135/25*100,100))*0.2 + (MAX(100-F135*5,0))*0.15 + (G135*10)*0.15 + (H135)*0.15 + (I135)*0.15 - (J135*5),0),100),0)</f>
        <v>60</v>
      </c>
    </row>
    <row r="136" customFormat="false" ht="15" hidden="false" customHeight="true" outlineLevel="0" collapsed="false">
      <c r="A136" s="5" t="s">
        <v>1250</v>
      </c>
      <c r="B136" s="5" t="n">
        <v>5.4</v>
      </c>
      <c r="C136" s="5" t="n">
        <v>6</v>
      </c>
      <c r="D136" s="5" t="n">
        <v>2</v>
      </c>
      <c r="E136" s="5" t="n">
        <v>10.9</v>
      </c>
      <c r="F136" s="5" t="n">
        <v>24.2</v>
      </c>
      <c r="G136" s="5" t="n">
        <v>4.7</v>
      </c>
      <c r="H136" s="5" t="n">
        <v>97.6</v>
      </c>
      <c r="I136" s="5" t="n">
        <v>61.1</v>
      </c>
      <c r="J136" s="5" t="n">
        <v>0</v>
      </c>
      <c r="K136" s="5" t="n">
        <f aca="false">ROUND(MIN(MAX((B136*10)*0.2 + (MIN(E136/25*100,100))*0.2 + (MAX(100-F136*5,0))*0.15 + (G136*10)*0.15 + (H136)*0.15 + (I136)*0.15 - (J136*5),0),100),0)</f>
        <v>50</v>
      </c>
    </row>
    <row r="137" customFormat="false" ht="15" hidden="false" customHeight="true" outlineLevel="0" collapsed="false">
      <c r="A137" s="5" t="s">
        <v>1252</v>
      </c>
      <c r="B137" s="5" t="n">
        <v>6.2</v>
      </c>
      <c r="C137" s="5" t="n">
        <v>8</v>
      </c>
      <c r="D137" s="5" t="n">
        <v>4</v>
      </c>
      <c r="E137" s="5" t="n">
        <v>12</v>
      </c>
      <c r="F137" s="5" t="n">
        <v>12.6</v>
      </c>
      <c r="G137" s="5" t="n">
        <v>8.2</v>
      </c>
      <c r="H137" s="5" t="n">
        <v>72.8</v>
      </c>
      <c r="I137" s="5" t="n">
        <v>67.9</v>
      </c>
      <c r="J137" s="5" t="n">
        <v>2</v>
      </c>
      <c r="K137" s="5" t="n">
        <f aca="false">ROUND(MIN(MAX((B137*10)*0.2 + (MIN(E137/25*100,100))*0.2 + (MAX(100-F137*5,0))*0.15 + (G137*10)*0.15 + (H137)*0.15 + (I137)*0.15 - (J137*5),0),100),0)</f>
        <v>51</v>
      </c>
    </row>
    <row r="138" customFormat="false" ht="15" hidden="false" customHeight="true" outlineLevel="0" collapsed="false">
      <c r="A138" s="5" t="s">
        <v>1254</v>
      </c>
      <c r="B138" s="5" t="n">
        <v>3.8</v>
      </c>
      <c r="C138" s="5" t="n">
        <v>8</v>
      </c>
      <c r="D138" s="5" t="n">
        <v>4</v>
      </c>
      <c r="E138" s="5" t="n">
        <v>15.9</v>
      </c>
      <c r="F138" s="5" t="n">
        <v>6.6</v>
      </c>
      <c r="G138" s="5" t="n">
        <v>9.9</v>
      </c>
      <c r="H138" s="5" t="n">
        <v>69.8</v>
      </c>
      <c r="I138" s="5" t="n">
        <v>62.5</v>
      </c>
      <c r="J138" s="5" t="n">
        <v>0</v>
      </c>
      <c r="K138" s="5" t="n">
        <f aca="false">ROUND(MIN(MAX((B138*10)*0.2 + (MIN(E138/25*100,100))*0.2 + (MAX(100-F138*5,0))*0.15 + (G138*10)*0.15 + (H138)*0.15 + (I138)*0.15 - (J138*5),0),100),0)</f>
        <v>65</v>
      </c>
    </row>
    <row r="139" customFormat="false" ht="15" hidden="false" customHeight="true" outlineLevel="0" collapsed="false">
      <c r="A139" s="5" t="s">
        <v>1255</v>
      </c>
      <c r="B139" s="5" t="n">
        <v>6.9</v>
      </c>
      <c r="C139" s="5" t="n">
        <v>13</v>
      </c>
      <c r="D139" s="5" t="n">
        <v>6</v>
      </c>
      <c r="E139" s="5" t="n">
        <v>10.7</v>
      </c>
      <c r="F139" s="5" t="n">
        <v>7.1</v>
      </c>
      <c r="G139" s="5" t="n">
        <v>7.8</v>
      </c>
      <c r="H139" s="5" t="n">
        <v>77.3</v>
      </c>
      <c r="I139" s="5" t="n">
        <v>56.3</v>
      </c>
      <c r="J139" s="5" t="n">
        <v>1</v>
      </c>
      <c r="K139" s="5" t="n">
        <f aca="false">ROUND(MIN(MAX((B139*10)*0.2 + (MIN(E139/25*100,100))*0.2 + (MAX(100-F139*5,0))*0.15 + (G139*10)*0.15 + (H139)*0.15 + (I139)*0.15 - (J139*5),0),100),0)</f>
        <v>59</v>
      </c>
    </row>
    <row r="140" customFormat="false" ht="15" hidden="false" customHeight="true" outlineLevel="0" collapsed="false">
      <c r="A140" s="5" t="s">
        <v>1257</v>
      </c>
      <c r="B140" s="5" t="n">
        <v>4.4</v>
      </c>
      <c r="C140" s="5" t="n">
        <v>8</v>
      </c>
      <c r="D140" s="5" t="n">
        <v>4</v>
      </c>
      <c r="E140" s="5" t="n">
        <v>16.4</v>
      </c>
      <c r="F140" s="5" t="n">
        <v>7.5</v>
      </c>
      <c r="G140" s="5" t="n">
        <v>8.5</v>
      </c>
      <c r="H140" s="5" t="n">
        <v>92.3</v>
      </c>
      <c r="I140" s="5" t="n">
        <v>57.7</v>
      </c>
      <c r="J140" s="5" t="n">
        <v>0</v>
      </c>
      <c r="K140" s="5" t="n">
        <f aca="false">ROUND(MIN(MAX((B140*10)*0.2 + (MIN(E140/25*100,100))*0.2 + (MAX(100-F140*5,0))*0.15 + (G140*10)*0.15 + (H140)*0.15 + (I140)*0.15 - (J140*5),0),100),0)</f>
        <v>67</v>
      </c>
    </row>
    <row r="141" customFormat="false" ht="15" hidden="false" customHeight="true" outlineLevel="0" collapsed="false">
      <c r="A141" s="5" t="s">
        <v>1259</v>
      </c>
      <c r="B141" s="5" t="n">
        <v>9.1</v>
      </c>
      <c r="C141" s="5" t="n">
        <v>13</v>
      </c>
      <c r="D141" s="5" t="n">
        <v>6</v>
      </c>
      <c r="E141" s="5" t="n">
        <v>11.7</v>
      </c>
      <c r="F141" s="5" t="n">
        <v>8.8</v>
      </c>
      <c r="G141" s="5" t="n">
        <v>9.2</v>
      </c>
      <c r="H141" s="5" t="n">
        <v>81.1</v>
      </c>
      <c r="I141" s="5" t="n">
        <v>82.5</v>
      </c>
      <c r="J141" s="5" t="n">
        <v>1</v>
      </c>
      <c r="K141" s="5" t="n">
        <f aca="false">ROUND(MIN(MAX((B141*10)*0.2 + (MIN(E141/25*100,100))*0.2 + (MAX(100-F141*5,0))*0.15 + (G141*10)*0.15 + (H141)*0.15 + (I141)*0.15 - (J141*5),0),100),0)</f>
        <v>69</v>
      </c>
    </row>
    <row r="142" customFormat="false" ht="15" hidden="false" customHeight="true" outlineLevel="0" collapsed="false">
      <c r="A142" s="5" t="s">
        <v>1261</v>
      </c>
      <c r="B142" s="5" t="n">
        <v>7.3</v>
      </c>
      <c r="C142" s="5" t="n">
        <v>12</v>
      </c>
      <c r="D142" s="5" t="n">
        <v>6</v>
      </c>
      <c r="E142" s="5" t="n">
        <v>19.1</v>
      </c>
      <c r="F142" s="5" t="n">
        <v>16.6</v>
      </c>
      <c r="G142" s="5" t="n">
        <v>8.9</v>
      </c>
      <c r="H142" s="5" t="n">
        <v>88.2</v>
      </c>
      <c r="I142" s="5" t="n">
        <v>67.8</v>
      </c>
      <c r="J142" s="5" t="n">
        <v>1</v>
      </c>
      <c r="K142" s="5" t="n">
        <f aca="false">ROUND(MIN(MAX((B142*10)*0.2 + (MIN(E142/25*100,100))*0.2 + (MAX(100-F142*5,0))*0.15 + (G142*10)*0.15 + (H142)*0.15 + (I142)*0.15 - (J142*5),0),100),0)</f>
        <v>64</v>
      </c>
    </row>
    <row r="143" customFormat="false" ht="15" hidden="false" customHeight="true" outlineLevel="0" collapsed="false">
      <c r="A143" s="5" t="s">
        <v>1263</v>
      </c>
      <c r="B143" s="5" t="n">
        <v>3.6</v>
      </c>
      <c r="C143" s="5" t="n">
        <v>4</v>
      </c>
      <c r="D143" s="5" t="n">
        <v>1</v>
      </c>
      <c r="E143" s="5" t="n">
        <v>8.8</v>
      </c>
      <c r="F143" s="5" t="n">
        <v>7</v>
      </c>
      <c r="G143" s="5" t="n">
        <v>8.2</v>
      </c>
      <c r="H143" s="5" t="n">
        <v>80.4</v>
      </c>
      <c r="I143" s="5" t="n">
        <v>73</v>
      </c>
      <c r="J143" s="5" t="n">
        <v>0</v>
      </c>
      <c r="K143" s="5" t="n">
        <f aca="false">ROUND(MIN(MAX((B143*10)*0.2 + (MIN(E143/25*100,100))*0.2 + (MAX(100-F143*5,0))*0.15 + (G143*10)*0.15 + (H143)*0.15 + (I143)*0.15 - (J143*5),0),100),0)</f>
        <v>59</v>
      </c>
    </row>
    <row r="144" customFormat="false" ht="15" hidden="false" customHeight="true" outlineLevel="0" collapsed="false">
      <c r="A144" s="5" t="s">
        <v>1265</v>
      </c>
      <c r="B144" s="5" t="n">
        <v>5.7</v>
      </c>
      <c r="C144" s="5" t="n">
        <v>8</v>
      </c>
      <c r="D144" s="5" t="n">
        <v>4</v>
      </c>
      <c r="E144" s="5" t="n">
        <v>16.2</v>
      </c>
      <c r="F144" s="5" t="n">
        <v>17.2</v>
      </c>
      <c r="G144" s="5" t="n">
        <v>10</v>
      </c>
      <c r="H144" s="5" t="n">
        <v>82.2</v>
      </c>
      <c r="I144" s="5" t="n">
        <v>76.1</v>
      </c>
      <c r="J144" s="5" t="n">
        <v>0</v>
      </c>
      <c r="K144" s="5" t="n">
        <f aca="false">ROUND(MIN(MAX((B144*10)*0.2 + (MIN(E144/25*100,100))*0.2 + (MAX(100-F144*5,0))*0.15 + (G144*10)*0.15 + (H144)*0.15 + (I144)*0.15 - (J144*5),0),100),0)</f>
        <v>65</v>
      </c>
    </row>
    <row r="145" customFormat="false" ht="15" hidden="false" customHeight="true" outlineLevel="0" collapsed="false">
      <c r="A145" s="5" t="s">
        <v>1266</v>
      </c>
      <c r="B145" s="5" t="n">
        <v>5.2</v>
      </c>
      <c r="C145" s="5" t="n">
        <v>8</v>
      </c>
      <c r="D145" s="5" t="n">
        <v>3</v>
      </c>
      <c r="E145" s="5" t="n">
        <v>9.8</v>
      </c>
      <c r="F145" s="5" t="n">
        <v>3.2</v>
      </c>
      <c r="G145" s="5" t="n">
        <v>4.8</v>
      </c>
      <c r="H145" s="5" t="n">
        <v>92.6</v>
      </c>
      <c r="I145" s="5" t="n">
        <v>96.4</v>
      </c>
      <c r="J145" s="5" t="n">
        <v>1</v>
      </c>
      <c r="K145" s="5" t="n">
        <f aca="false">ROUND(MIN(MAX((B145*10)*0.2 + (MIN(E145/25*100,100))*0.2 + (MAX(100-F145*5,0))*0.15 + (G145*10)*0.15 + (H145)*0.15 + (I145)*0.15 - (J145*5),0),100),0)</f>
        <v>61</v>
      </c>
    </row>
    <row r="146" customFormat="false" ht="15" hidden="false" customHeight="true" outlineLevel="0" collapsed="false">
      <c r="A146" s="5" t="s">
        <v>1268</v>
      </c>
      <c r="B146" s="5" t="n">
        <v>6.5</v>
      </c>
      <c r="C146" s="5" t="n">
        <v>11</v>
      </c>
      <c r="D146" s="5" t="n">
        <v>5</v>
      </c>
      <c r="E146" s="5" t="n">
        <v>19</v>
      </c>
      <c r="F146" s="5" t="n">
        <v>13.8</v>
      </c>
      <c r="G146" s="5" t="n">
        <v>4.5</v>
      </c>
      <c r="H146" s="5" t="n">
        <v>61.2</v>
      </c>
      <c r="I146" s="5" t="n">
        <v>87.7</v>
      </c>
      <c r="J146" s="5" t="n">
        <v>0</v>
      </c>
      <c r="K146" s="5" t="n">
        <f aca="false">ROUND(MIN(MAX((B146*10)*0.2 + (MIN(E146/25*100,100))*0.2 + (MAX(100-F146*5,0))*0.15 + (G146*10)*0.15 + (H146)*0.15 + (I146)*0.15 - (J146*5),0),100),0)</f>
        <v>62</v>
      </c>
    </row>
    <row r="147" customFormat="false" ht="15" hidden="false" customHeight="true" outlineLevel="0" collapsed="false">
      <c r="A147" s="5" t="s">
        <v>1270</v>
      </c>
      <c r="B147" s="5" t="n">
        <v>4.9</v>
      </c>
      <c r="C147" s="5" t="n">
        <v>8</v>
      </c>
      <c r="D147" s="5" t="n">
        <v>3</v>
      </c>
      <c r="E147" s="5" t="n">
        <v>11.7</v>
      </c>
      <c r="F147" s="5" t="n">
        <v>19.3</v>
      </c>
      <c r="G147" s="5" t="n">
        <v>8.6</v>
      </c>
      <c r="H147" s="5" t="n">
        <v>82</v>
      </c>
      <c r="I147" s="5" t="n">
        <v>59.9</v>
      </c>
      <c r="J147" s="5" t="n">
        <v>0</v>
      </c>
      <c r="K147" s="5" t="n">
        <f aca="false">ROUND(MIN(MAX((B147*10)*0.2 + (MIN(E147/25*100,100))*0.2 + (MAX(100-F147*5,0))*0.15 + (G147*10)*0.15 + (H147)*0.15 + (I147)*0.15 - (J147*5),0),100),0)</f>
        <v>54</v>
      </c>
    </row>
    <row r="148" customFormat="false" ht="15" hidden="false" customHeight="true" outlineLevel="0" collapsed="false">
      <c r="A148" s="5" t="s">
        <v>1272</v>
      </c>
      <c r="B148" s="5" t="n">
        <v>8.4</v>
      </c>
      <c r="C148" s="5" t="n">
        <v>15</v>
      </c>
      <c r="D148" s="5" t="n">
        <v>7</v>
      </c>
      <c r="E148" s="5" t="n">
        <v>18.6</v>
      </c>
      <c r="F148" s="5" t="n">
        <v>3.9</v>
      </c>
      <c r="G148" s="5" t="n">
        <v>8.3</v>
      </c>
      <c r="H148" s="5" t="n">
        <v>81.9</v>
      </c>
      <c r="I148" s="5" t="n">
        <v>97.6</v>
      </c>
      <c r="J148" s="5" t="n">
        <v>0</v>
      </c>
      <c r="K148" s="5" t="n">
        <f aca="false">ROUND(MIN(MAX((B148*10)*0.2 + (MIN(E148/25*100,100))*0.2 + (MAX(100-F148*5,0))*0.15 + (G148*10)*0.15 + (H148)*0.15 + (I148)*0.15 - (J148*5),0),100),0)</f>
        <v>83</v>
      </c>
    </row>
    <row r="149" customFormat="false" ht="15" hidden="false" customHeight="true" outlineLevel="0" collapsed="false">
      <c r="A149" s="5" t="s">
        <v>1274</v>
      </c>
      <c r="B149" s="5" t="n">
        <v>8.8</v>
      </c>
      <c r="C149" s="5" t="n">
        <v>15</v>
      </c>
      <c r="D149" s="5" t="n">
        <v>7</v>
      </c>
      <c r="E149" s="5" t="n">
        <v>22</v>
      </c>
      <c r="F149" s="5" t="n">
        <v>12.9</v>
      </c>
      <c r="G149" s="5" t="n">
        <v>6.1</v>
      </c>
      <c r="H149" s="5" t="n">
        <v>92.7</v>
      </c>
      <c r="I149" s="5" t="n">
        <v>73.9</v>
      </c>
      <c r="J149" s="5" t="n">
        <v>4</v>
      </c>
      <c r="K149" s="5" t="n">
        <f aca="false">ROUND(MIN(MAX((B149*10)*0.2 + (MIN(E149/25*100,100))*0.2 + (MAX(100-F149*5,0))*0.15 + (G149*10)*0.15 + (H149)*0.15 + (I149)*0.15 - (J149*5),0),100),0)</f>
        <v>55</v>
      </c>
    </row>
    <row r="150" customFormat="false" ht="15" hidden="false" customHeight="true" outlineLevel="0" collapsed="false">
      <c r="A150" s="5" t="s">
        <v>1276</v>
      </c>
      <c r="B150" s="5" t="n">
        <v>8.4</v>
      </c>
      <c r="C150" s="5" t="n">
        <v>12</v>
      </c>
      <c r="D150" s="5" t="n">
        <v>7</v>
      </c>
      <c r="E150" s="5" t="n">
        <v>14.2</v>
      </c>
      <c r="F150" s="5" t="n">
        <v>10.7</v>
      </c>
      <c r="G150" s="5" t="n">
        <v>8.3</v>
      </c>
      <c r="H150" s="5" t="n">
        <v>85.3</v>
      </c>
      <c r="I150" s="5" t="n">
        <v>62.1</v>
      </c>
      <c r="J150" s="5" t="n">
        <v>0</v>
      </c>
      <c r="K150" s="5" t="n">
        <f aca="false">ROUND(MIN(MAX((B150*10)*0.2 + (MIN(E150/25*100,100))*0.2 + (MAX(100-F150*5,0))*0.15 + (G150*10)*0.15 + (H150)*0.15 + (I150)*0.15 - (J150*5),0),100),0)</f>
        <v>70</v>
      </c>
    </row>
    <row r="151" customFormat="false" ht="15" hidden="false" customHeight="true" outlineLevel="0" collapsed="false">
      <c r="A151" s="5" t="s">
        <v>1278</v>
      </c>
      <c r="B151" s="5" t="n">
        <v>4.4</v>
      </c>
      <c r="C151" s="5" t="n">
        <v>6</v>
      </c>
      <c r="D151" s="5" t="n">
        <v>2</v>
      </c>
      <c r="E151" s="5" t="n">
        <v>9.7</v>
      </c>
      <c r="F151" s="5" t="n">
        <v>9.2</v>
      </c>
      <c r="G151" s="5" t="n">
        <v>7.2</v>
      </c>
      <c r="H151" s="5" t="n">
        <v>72.9</v>
      </c>
      <c r="I151" s="5" t="n">
        <v>85.3</v>
      </c>
      <c r="J151" s="5" t="n">
        <v>0</v>
      </c>
      <c r="K151" s="5" t="n">
        <f aca="false">ROUND(MIN(MAX((B151*10)*0.2 + (MIN(E151/25*100,100))*0.2 + (MAX(100-F151*5,0))*0.15 + (G151*10)*0.15 + (H151)*0.15 + (I151)*0.15 - (J151*5),0),100),0)</f>
        <v>59</v>
      </c>
    </row>
    <row r="152" customFormat="false" ht="15" hidden="false" customHeight="true" outlineLevel="0" collapsed="false">
      <c r="A152" s="5" t="s">
        <v>1279</v>
      </c>
      <c r="B152" s="5" t="n">
        <v>4.9</v>
      </c>
      <c r="C152" s="5" t="n">
        <v>10</v>
      </c>
      <c r="D152" s="5" t="n">
        <v>6</v>
      </c>
      <c r="E152" s="5" t="n">
        <v>15.9</v>
      </c>
      <c r="F152" s="5" t="n">
        <v>5.1</v>
      </c>
      <c r="G152" s="5" t="n">
        <v>9.8</v>
      </c>
      <c r="H152" s="5" t="n">
        <v>91.4</v>
      </c>
      <c r="I152" s="5" t="n">
        <v>94.5</v>
      </c>
      <c r="J152" s="5" t="n">
        <v>4</v>
      </c>
      <c r="K152" s="5" t="n">
        <f aca="false">ROUND(MIN(MAX((B152*10)*0.2 + (MIN(E152/25*100,100))*0.2 + (MAX(100-F152*5,0))*0.15 + (G152*10)*0.15 + (H152)*0.15 + (I152)*0.15 - (J152*5),0),100),0)</f>
        <v>56</v>
      </c>
    </row>
    <row r="153" customFormat="false" ht="15" hidden="false" customHeight="true" outlineLevel="0" collapsed="false">
      <c r="A153" s="5" t="s">
        <v>1281</v>
      </c>
      <c r="B153" s="5" t="n">
        <v>9.1</v>
      </c>
      <c r="C153" s="5" t="n">
        <v>13</v>
      </c>
      <c r="D153" s="5" t="n">
        <v>8</v>
      </c>
      <c r="E153" s="5" t="n">
        <v>7.7</v>
      </c>
      <c r="F153" s="5" t="n">
        <v>18.7</v>
      </c>
      <c r="G153" s="5" t="n">
        <v>9</v>
      </c>
      <c r="H153" s="5" t="n">
        <v>90.5</v>
      </c>
      <c r="I153" s="5" t="n">
        <v>84.1</v>
      </c>
      <c r="J153" s="5" t="n">
        <v>1</v>
      </c>
      <c r="K153" s="5" t="n">
        <f aca="false">ROUND(MIN(MAX((B153*10)*0.2 + (MIN(E153/25*100,100))*0.2 + (MAX(100-F153*5,0))*0.15 + (G153*10)*0.15 + (H153)*0.15 + (I153)*0.15 - (J153*5),0),100),0)</f>
        <v>60</v>
      </c>
    </row>
    <row r="154" customFormat="false" ht="15" hidden="false" customHeight="true" outlineLevel="0" collapsed="false">
      <c r="A154" s="5" t="s">
        <v>1283</v>
      </c>
      <c r="B154" s="5" t="n">
        <v>7</v>
      </c>
      <c r="C154" s="5" t="n">
        <v>10</v>
      </c>
      <c r="D154" s="5" t="n">
        <v>5</v>
      </c>
      <c r="E154" s="5" t="n">
        <v>11.6</v>
      </c>
      <c r="F154" s="5" t="n">
        <v>16.9</v>
      </c>
      <c r="G154" s="5" t="n">
        <v>9.3</v>
      </c>
      <c r="H154" s="5" t="n">
        <v>63.7</v>
      </c>
      <c r="I154" s="5" t="n">
        <v>77.2</v>
      </c>
      <c r="J154" s="5" t="n">
        <v>0</v>
      </c>
      <c r="K154" s="5" t="n">
        <f aca="false">ROUND(MIN(MAX((B154*10)*0.2 + (MIN(E154/25*100,100))*0.2 + (MAX(100-F154*5,0))*0.15 + (G154*10)*0.15 + (H154)*0.15 + (I154)*0.15 - (J154*5),0),100),0)</f>
        <v>61</v>
      </c>
    </row>
    <row r="155" customFormat="false" ht="15" hidden="false" customHeight="true" outlineLevel="0" collapsed="false">
      <c r="A155" s="5" t="s">
        <v>1284</v>
      </c>
      <c r="B155" s="5" t="n">
        <v>9.6</v>
      </c>
      <c r="C155" s="5" t="n">
        <v>15</v>
      </c>
      <c r="D155" s="5" t="n">
        <v>9</v>
      </c>
      <c r="E155" s="5" t="n">
        <v>9.2</v>
      </c>
      <c r="F155" s="5" t="n">
        <v>3.1</v>
      </c>
      <c r="G155" s="5" t="n">
        <v>8.6</v>
      </c>
      <c r="H155" s="5" t="n">
        <v>89.3</v>
      </c>
      <c r="I155" s="5" t="n">
        <v>86.4</v>
      </c>
      <c r="J155" s="5" t="n">
        <v>1</v>
      </c>
      <c r="K155" s="5" t="n">
        <f aca="false">ROUND(MIN(MAX((B155*10)*0.2 + (MIN(E155/25*100,100))*0.2 + (MAX(100-F155*5,0))*0.15 + (G155*10)*0.15 + (H155)*0.15 + (I155)*0.15 - (J155*5),0),100),0)</f>
        <v>73</v>
      </c>
    </row>
    <row r="156" customFormat="false" ht="15" hidden="false" customHeight="true" outlineLevel="0" collapsed="false">
      <c r="A156" s="5" t="s">
        <v>1286</v>
      </c>
      <c r="B156" s="5" t="n">
        <v>7.6</v>
      </c>
      <c r="C156" s="5" t="n">
        <v>11</v>
      </c>
      <c r="D156" s="5" t="n">
        <v>4</v>
      </c>
      <c r="E156" s="5" t="n">
        <v>13.2</v>
      </c>
      <c r="F156" s="5" t="n">
        <v>7.8</v>
      </c>
      <c r="G156" s="5" t="n">
        <v>6.6</v>
      </c>
      <c r="H156" s="5" t="n">
        <v>68.5</v>
      </c>
      <c r="I156" s="5" t="n">
        <v>66.5</v>
      </c>
      <c r="J156" s="5" t="n">
        <v>2</v>
      </c>
      <c r="K156" s="5" t="n">
        <f aca="false">ROUND(MIN(MAX((B156*10)*0.2 + (MIN(E156/25*100,100))*0.2 + (MAX(100-F156*5,0))*0.15 + (G156*10)*0.15 + (H156)*0.15 + (I156)*0.15 - (J156*5),0),100),0)</f>
        <v>55</v>
      </c>
    </row>
    <row r="157" customFormat="false" ht="15" hidden="false" customHeight="true" outlineLevel="0" collapsed="false">
      <c r="A157" s="5" t="s">
        <v>1288</v>
      </c>
      <c r="B157" s="5" t="n">
        <v>5.4</v>
      </c>
      <c r="C157" s="5" t="n">
        <v>9</v>
      </c>
      <c r="D157" s="5" t="n">
        <v>5</v>
      </c>
      <c r="E157" s="5" t="n">
        <v>12.2</v>
      </c>
      <c r="F157" s="5" t="n">
        <v>10.6</v>
      </c>
      <c r="G157" s="5" t="n">
        <v>8.1</v>
      </c>
      <c r="H157" s="5" t="n">
        <v>61.9</v>
      </c>
      <c r="I157" s="5" t="n">
        <v>59.3</v>
      </c>
      <c r="J157" s="5" t="n">
        <v>2</v>
      </c>
      <c r="K157" s="5" t="n">
        <f aca="false">ROUND(MIN(MAX((B157*10)*0.2 + (MIN(E157/25*100,100))*0.2 + (MAX(100-F157*5,0))*0.15 + (G157*10)*0.15 + (H157)*0.15 + (I157)*0.15 - (J157*5),0),100),0)</f>
        <v>48</v>
      </c>
    </row>
    <row r="158" customFormat="false" ht="15" hidden="false" customHeight="true" outlineLevel="0" collapsed="false">
      <c r="A158" s="5" t="s">
        <v>1290</v>
      </c>
      <c r="B158" s="5" t="n">
        <v>6.2</v>
      </c>
      <c r="C158" s="5" t="n">
        <v>8</v>
      </c>
      <c r="D158" s="5" t="n">
        <v>5</v>
      </c>
      <c r="E158" s="5" t="n">
        <v>11.4</v>
      </c>
      <c r="F158" s="5" t="n">
        <v>3</v>
      </c>
      <c r="G158" s="5" t="n">
        <v>9.7</v>
      </c>
      <c r="H158" s="5" t="n">
        <v>68.1</v>
      </c>
      <c r="I158" s="5" t="n">
        <v>84.6</v>
      </c>
      <c r="J158" s="5" t="n">
        <v>0</v>
      </c>
      <c r="K158" s="5" t="n">
        <f aca="false">ROUND(MIN(MAX((B158*10)*0.2 + (MIN(E158/25*100,100))*0.2 + (MAX(100-F158*5,0))*0.15 + (G158*10)*0.15 + (H158)*0.15 + (I158)*0.15 - (J158*5),0),100),0)</f>
        <v>72</v>
      </c>
    </row>
    <row r="159" customFormat="false" ht="15" hidden="false" customHeight="true" outlineLevel="0" collapsed="false">
      <c r="A159" s="5" t="s">
        <v>1292</v>
      </c>
      <c r="B159" s="5" t="n">
        <v>7.5</v>
      </c>
      <c r="C159" s="5" t="n">
        <v>10</v>
      </c>
      <c r="D159" s="5" t="n">
        <v>6</v>
      </c>
      <c r="E159" s="5" t="n">
        <v>8.2</v>
      </c>
      <c r="F159" s="5" t="n">
        <v>17.4</v>
      </c>
      <c r="G159" s="5" t="n">
        <v>5.5</v>
      </c>
      <c r="H159" s="5" t="n">
        <v>74.9</v>
      </c>
      <c r="I159" s="5" t="n">
        <v>93.9</v>
      </c>
      <c r="J159" s="5" t="n">
        <v>0</v>
      </c>
      <c r="K159" s="5" t="n">
        <f aca="false">ROUND(MIN(MAX((B159*10)*0.2 + (MIN(E159/25*100,100))*0.2 + (MAX(100-F159*5,0))*0.15 + (G159*10)*0.15 + (H159)*0.15 + (I159)*0.15 - (J159*5),0),100),0)</f>
        <v>57</v>
      </c>
    </row>
    <row r="160" customFormat="false" ht="15" hidden="false" customHeight="true" outlineLevel="0" collapsed="false">
      <c r="A160" s="5" t="s">
        <v>1294</v>
      </c>
      <c r="B160" s="5" t="n">
        <v>5.8</v>
      </c>
      <c r="C160" s="5" t="n">
        <v>8</v>
      </c>
      <c r="D160" s="5" t="n">
        <v>5</v>
      </c>
      <c r="E160" s="5" t="n">
        <v>7.4</v>
      </c>
      <c r="F160" s="5" t="n">
        <v>17.4</v>
      </c>
      <c r="G160" s="5" t="n">
        <v>8.2</v>
      </c>
      <c r="H160" s="5" t="n">
        <v>60</v>
      </c>
      <c r="I160" s="5" t="n">
        <v>75.5</v>
      </c>
      <c r="J160" s="5" t="n">
        <v>0</v>
      </c>
      <c r="K160" s="5" t="n">
        <f aca="false">ROUND(MIN(MAX((B160*10)*0.2 + (MIN(E160/25*100,100))*0.2 + (MAX(100-F160*5,0))*0.15 + (G160*10)*0.15 + (H160)*0.15 + (I160)*0.15 - (J160*5),0),100),0)</f>
        <v>52</v>
      </c>
    </row>
    <row r="161" customFormat="false" ht="15" hidden="false" customHeight="true" outlineLevel="0" collapsed="false">
      <c r="A161" s="5" t="s">
        <v>1295</v>
      </c>
      <c r="B161" s="5" t="n">
        <v>4.6</v>
      </c>
      <c r="C161" s="5" t="n">
        <v>8</v>
      </c>
      <c r="D161" s="5" t="n">
        <v>3</v>
      </c>
      <c r="E161" s="5" t="n">
        <v>16.2</v>
      </c>
      <c r="F161" s="5" t="n">
        <v>21</v>
      </c>
      <c r="G161" s="5" t="n">
        <v>9.9</v>
      </c>
      <c r="H161" s="5" t="n">
        <v>76.9</v>
      </c>
      <c r="I161" s="5" t="n">
        <v>60.7</v>
      </c>
      <c r="J161" s="5" t="n">
        <v>0</v>
      </c>
      <c r="K161" s="5" t="n">
        <f aca="false">ROUND(MIN(MAX((B161*10)*0.2 + (MIN(E161/25*100,100))*0.2 + (MAX(100-F161*5,0))*0.15 + (G161*10)*0.15 + (H161)*0.15 + (I161)*0.15 - (J161*5),0),100),0)</f>
        <v>58</v>
      </c>
    </row>
    <row r="162" customFormat="false" ht="15" hidden="false" customHeight="true" outlineLevel="0" collapsed="false">
      <c r="A162" s="5" t="s">
        <v>1296</v>
      </c>
      <c r="B162" s="5" t="n">
        <v>5.7</v>
      </c>
      <c r="C162" s="5" t="n">
        <v>10</v>
      </c>
      <c r="D162" s="5" t="n">
        <v>4</v>
      </c>
      <c r="E162" s="5" t="n">
        <v>9</v>
      </c>
      <c r="F162" s="5" t="n">
        <v>22.4</v>
      </c>
      <c r="G162" s="5" t="n">
        <v>4.8</v>
      </c>
      <c r="H162" s="5" t="n">
        <v>90.9</v>
      </c>
      <c r="I162" s="5" t="n">
        <v>87.4</v>
      </c>
      <c r="J162" s="5" t="n">
        <v>0</v>
      </c>
      <c r="K162" s="5" t="n">
        <f aca="false">ROUND(MIN(MAX((B162*10)*0.2 + (MIN(E162/25*100,100))*0.2 + (MAX(100-F162*5,0))*0.15 + (G162*10)*0.15 + (H162)*0.15 + (I162)*0.15 - (J162*5),0),100),0)</f>
        <v>53</v>
      </c>
    </row>
    <row r="163" customFormat="false" ht="15" hidden="false" customHeight="true" outlineLevel="0" collapsed="false">
      <c r="A163" s="5" t="s">
        <v>1297</v>
      </c>
      <c r="B163" s="5" t="n">
        <v>10</v>
      </c>
      <c r="C163" s="5" t="n">
        <v>14</v>
      </c>
      <c r="D163" s="5" t="n">
        <v>7</v>
      </c>
      <c r="E163" s="5" t="n">
        <v>3.2</v>
      </c>
      <c r="F163" s="5" t="n">
        <v>17.3</v>
      </c>
      <c r="G163" s="5" t="n">
        <v>6.6</v>
      </c>
      <c r="H163" s="5" t="n">
        <v>88.9</v>
      </c>
      <c r="I163" s="5" t="n">
        <v>82</v>
      </c>
      <c r="J163" s="5" t="n">
        <v>0</v>
      </c>
      <c r="K163" s="5" t="n">
        <f aca="false">ROUND(MIN(MAX((B163*10)*0.2 + (MIN(E163/25*100,100))*0.2 + (MAX(100-F163*5,0))*0.15 + (G163*10)*0.15 + (H163)*0.15 + (I163)*0.15 - (J163*5),0),100),0)</f>
        <v>60</v>
      </c>
    </row>
    <row r="164" customFormat="false" ht="15" hidden="false" customHeight="true" outlineLevel="0" collapsed="false">
      <c r="A164" s="5" t="s">
        <v>1299</v>
      </c>
      <c r="B164" s="5" t="n">
        <v>5.9</v>
      </c>
      <c r="C164" s="5" t="n">
        <v>10</v>
      </c>
      <c r="D164" s="5" t="n">
        <v>6</v>
      </c>
      <c r="E164" s="5" t="n">
        <v>4.6</v>
      </c>
      <c r="F164" s="5" t="n">
        <v>5.2</v>
      </c>
      <c r="G164" s="5" t="n">
        <v>8.5</v>
      </c>
      <c r="H164" s="5" t="n">
        <v>83.6</v>
      </c>
      <c r="I164" s="5" t="n">
        <v>71.5</v>
      </c>
      <c r="J164" s="5" t="n">
        <v>4</v>
      </c>
      <c r="K164" s="5" t="n">
        <f aca="false">ROUND(MIN(MAX((B164*10)*0.2 + (MIN(E164/25*100,100))*0.2 + (MAX(100-F164*5,0))*0.15 + (G164*10)*0.15 + (H164)*0.15 + (I164)*0.15 - (J164*5),0),100),0)</f>
        <v>43</v>
      </c>
    </row>
    <row r="165" customFormat="false" ht="15" hidden="false" customHeight="true" outlineLevel="0" collapsed="false">
      <c r="A165" s="5" t="s">
        <v>1301</v>
      </c>
      <c r="B165" s="5" t="n">
        <v>5.2</v>
      </c>
      <c r="C165" s="5" t="n">
        <v>7</v>
      </c>
      <c r="D165" s="5" t="n">
        <v>3</v>
      </c>
      <c r="E165" s="5" t="n">
        <v>4.6</v>
      </c>
      <c r="F165" s="5" t="n">
        <v>15.2</v>
      </c>
      <c r="G165" s="5" t="n">
        <v>7.6</v>
      </c>
      <c r="H165" s="5" t="n">
        <v>84.3</v>
      </c>
      <c r="I165" s="5" t="n">
        <v>88.5</v>
      </c>
      <c r="J165" s="5" t="n">
        <v>1</v>
      </c>
      <c r="K165" s="5" t="n">
        <f aca="false">ROUND(MIN(MAX((B165*10)*0.2 + (MIN(E165/25*100,100))*0.2 + (MAX(100-F165*5,0))*0.15 + (G165*10)*0.15 + (H165)*0.15 + (I165)*0.15 - (J165*5),0),100),0)</f>
        <v>50</v>
      </c>
    </row>
    <row r="166" customFormat="false" ht="15" hidden="false" customHeight="true" outlineLevel="0" collapsed="false">
      <c r="A166" s="5" t="s">
        <v>1303</v>
      </c>
      <c r="B166" s="5" t="n">
        <v>8.9</v>
      </c>
      <c r="C166" s="5" t="n">
        <v>15</v>
      </c>
      <c r="D166" s="5" t="n">
        <v>7</v>
      </c>
      <c r="E166" s="5" t="n">
        <v>12.8</v>
      </c>
      <c r="F166" s="5" t="n">
        <v>14.2</v>
      </c>
      <c r="G166" s="5" t="n">
        <v>8.5</v>
      </c>
      <c r="H166" s="5" t="n">
        <v>71.8</v>
      </c>
      <c r="I166" s="5" t="n">
        <v>57.3</v>
      </c>
      <c r="J166" s="5" t="n">
        <v>3</v>
      </c>
      <c r="K166" s="5" t="n">
        <f aca="false">ROUND(MIN(MAX((B166*10)*0.2 + (MIN(E166/25*100,100))*0.2 + (MAX(100-F166*5,0))*0.15 + (G166*10)*0.15 + (H166)*0.15 + (I166)*0.15 - (J166*5),0),100),0)</f>
        <v>50</v>
      </c>
    </row>
    <row r="167" customFormat="false" ht="15" hidden="false" customHeight="true" outlineLevel="0" collapsed="false">
      <c r="A167" s="5" t="s">
        <v>1304</v>
      </c>
      <c r="B167" s="5" t="n">
        <v>9.7</v>
      </c>
      <c r="C167" s="5" t="n">
        <v>15</v>
      </c>
      <c r="D167" s="5" t="n">
        <v>6</v>
      </c>
      <c r="E167" s="5" t="n">
        <v>12.5</v>
      </c>
      <c r="F167" s="5" t="n">
        <v>16.1</v>
      </c>
      <c r="G167" s="5" t="n">
        <v>7.2</v>
      </c>
      <c r="H167" s="5" t="n">
        <v>99.1</v>
      </c>
      <c r="I167" s="5" t="n">
        <v>97.4</v>
      </c>
      <c r="J167" s="5" t="n">
        <v>3</v>
      </c>
      <c r="K167" s="5" t="n">
        <f aca="false">ROUND(MIN(MAX((B167*10)*0.2 + (MIN(E167/25*100,100))*0.2 + (MAX(100-F167*5,0))*0.15 + (G167*10)*0.15 + (H167)*0.15 + (I167)*0.15 - (J167*5),0),100),0)</f>
        <v>58</v>
      </c>
    </row>
    <row r="168" customFormat="false" ht="15" hidden="false" customHeight="true" outlineLevel="0" collapsed="false">
      <c r="A168" s="5" t="s">
        <v>1305</v>
      </c>
      <c r="B168" s="5" t="n">
        <v>3.9</v>
      </c>
      <c r="C168" s="5" t="n">
        <v>8</v>
      </c>
      <c r="D168" s="5" t="n">
        <v>4</v>
      </c>
      <c r="E168" s="5" t="n">
        <v>9.9</v>
      </c>
      <c r="F168" s="5" t="n">
        <v>18</v>
      </c>
      <c r="G168" s="5" t="n">
        <v>8.6</v>
      </c>
      <c r="H168" s="5" t="n">
        <v>98.2</v>
      </c>
      <c r="I168" s="5" t="n">
        <v>88.1</v>
      </c>
      <c r="J168" s="5" t="n">
        <v>0</v>
      </c>
      <c r="K168" s="5" t="n">
        <f aca="false">ROUND(MIN(MAX((B168*10)*0.2 + (MIN(E168/25*100,100))*0.2 + (MAX(100-F168*5,0))*0.15 + (G168*10)*0.15 + (H168)*0.15 + (I168)*0.15 - (J168*5),0),100),0)</f>
        <v>58</v>
      </c>
    </row>
    <row r="169" customFormat="false" ht="15" hidden="false" customHeight="true" outlineLevel="0" collapsed="false">
      <c r="A169" s="5" t="s">
        <v>1307</v>
      </c>
      <c r="B169" s="5" t="n">
        <v>3.5</v>
      </c>
      <c r="C169" s="5" t="n">
        <v>4</v>
      </c>
      <c r="D169" s="5" t="n">
        <v>1</v>
      </c>
      <c r="E169" s="5" t="n">
        <v>4.1</v>
      </c>
      <c r="F169" s="5" t="n">
        <v>20.4</v>
      </c>
      <c r="G169" s="5" t="n">
        <v>7</v>
      </c>
      <c r="H169" s="5" t="n">
        <v>85.1</v>
      </c>
      <c r="I169" s="5" t="n">
        <v>76.5</v>
      </c>
      <c r="J169" s="5" t="n">
        <v>1</v>
      </c>
      <c r="K169" s="5" t="n">
        <f aca="false">ROUND(MIN(MAX((B169*10)*0.2 + (MIN(E169/25*100,100))*0.2 + (MAX(100-F169*5,0))*0.15 + (G169*10)*0.15 + (H169)*0.15 + (I169)*0.15 - (J169*5),0),100),0)</f>
        <v>40</v>
      </c>
    </row>
    <row r="170" customFormat="false" ht="15" hidden="false" customHeight="true" outlineLevel="0" collapsed="false">
      <c r="A170" s="5" t="s">
        <v>1308</v>
      </c>
      <c r="B170" s="5" t="n">
        <v>7.9</v>
      </c>
      <c r="C170" s="5" t="n">
        <v>11</v>
      </c>
      <c r="D170" s="5" t="n">
        <v>6</v>
      </c>
      <c r="E170" s="5" t="n">
        <v>14.7</v>
      </c>
      <c r="F170" s="5" t="n">
        <v>9.1</v>
      </c>
      <c r="G170" s="5" t="n">
        <v>5.9</v>
      </c>
      <c r="H170" s="5" t="n">
        <v>80.5</v>
      </c>
      <c r="I170" s="5" t="n">
        <v>63.7</v>
      </c>
      <c r="J170" s="5" t="n">
        <v>2</v>
      </c>
      <c r="K170" s="5" t="n">
        <f aca="false">ROUND(MIN(MAX((B170*10)*0.2 + (MIN(E170/25*100,100))*0.2 + (MAX(100-F170*5,0))*0.15 + (G170*10)*0.15 + (H170)*0.15 + (I170)*0.15 - (J170*5),0),100),0)</f>
        <v>56</v>
      </c>
    </row>
    <row r="171" customFormat="false" ht="15" hidden="false" customHeight="true" outlineLevel="0" collapsed="false">
      <c r="A171" s="5" t="s">
        <v>1309</v>
      </c>
      <c r="B171" s="5" t="n">
        <v>6.8</v>
      </c>
      <c r="C171" s="5" t="n">
        <v>10</v>
      </c>
      <c r="D171" s="5" t="n">
        <v>5</v>
      </c>
      <c r="E171" s="5" t="n">
        <v>18.9</v>
      </c>
      <c r="F171" s="5" t="n">
        <v>18</v>
      </c>
      <c r="G171" s="5" t="n">
        <v>4.4</v>
      </c>
      <c r="H171" s="5" t="n">
        <v>87.9</v>
      </c>
      <c r="I171" s="5" t="n">
        <v>86.4</v>
      </c>
      <c r="J171" s="5" t="n">
        <v>2</v>
      </c>
      <c r="K171" s="5" t="n">
        <f aca="false">ROUND(MIN(MAX((B171*10)*0.2 + (MIN(E171/25*100,100))*0.2 + (MAX(100-F171*5,0))*0.15 + (G171*10)*0.15 + (H171)*0.15 + (I171)*0.15 - (J171*5),0),100),0)</f>
        <v>53</v>
      </c>
    </row>
    <row r="172" customFormat="false" ht="15" hidden="false" customHeight="true" outlineLevel="0" collapsed="false">
      <c r="A172" s="5" t="s">
        <v>1311</v>
      </c>
      <c r="B172" s="5" t="n">
        <v>3.4</v>
      </c>
      <c r="C172" s="5" t="n">
        <v>3</v>
      </c>
      <c r="D172" s="5" t="n">
        <v>1</v>
      </c>
      <c r="E172" s="5" t="n">
        <v>11.6</v>
      </c>
      <c r="F172" s="5" t="n">
        <v>16.4</v>
      </c>
      <c r="G172" s="5" t="n">
        <v>5.9</v>
      </c>
      <c r="H172" s="5" t="n">
        <v>89.7</v>
      </c>
      <c r="I172" s="5" t="n">
        <v>86.8</v>
      </c>
      <c r="J172" s="5" t="n">
        <v>0</v>
      </c>
      <c r="K172" s="5" t="n">
        <f aca="false">ROUND(MIN(MAX((B172*10)*0.2 + (MIN(E172/25*100,100))*0.2 + (MAX(100-F172*5,0))*0.15 + (G172*10)*0.15 + (H172)*0.15 + (I172)*0.15 - (J172*5),0),100),0)</f>
        <v>54</v>
      </c>
    </row>
    <row r="173" customFormat="false" ht="15" hidden="false" customHeight="true" outlineLevel="0" collapsed="false">
      <c r="A173" s="5" t="s">
        <v>1313</v>
      </c>
      <c r="B173" s="5" t="n">
        <v>8</v>
      </c>
      <c r="C173" s="5" t="n">
        <v>14</v>
      </c>
      <c r="D173" s="5" t="n">
        <v>6</v>
      </c>
      <c r="E173" s="5" t="n">
        <v>21.1</v>
      </c>
      <c r="F173" s="5" t="n">
        <v>14.5</v>
      </c>
      <c r="G173" s="5" t="n">
        <v>8.7</v>
      </c>
      <c r="H173" s="5" t="n">
        <v>88.8</v>
      </c>
      <c r="I173" s="5" t="n">
        <v>62.2</v>
      </c>
      <c r="J173" s="5" t="n">
        <v>0</v>
      </c>
      <c r="K173" s="5" t="n">
        <f aca="false">ROUND(MIN(MAX((B173*10)*0.2 + (MIN(E173/25*100,100))*0.2 + (MAX(100-F173*5,0))*0.15 + (G173*10)*0.15 + (H173)*0.15 + (I173)*0.15 - (J173*5),0),100),0)</f>
        <v>73</v>
      </c>
    </row>
    <row r="174" customFormat="false" ht="15" hidden="false" customHeight="true" outlineLevel="0" collapsed="false">
      <c r="A174" s="5" t="s">
        <v>1314</v>
      </c>
      <c r="B174" s="5" t="n">
        <v>8.5</v>
      </c>
      <c r="C174" s="5" t="n">
        <v>12</v>
      </c>
      <c r="D174" s="5" t="n">
        <v>7</v>
      </c>
      <c r="E174" s="5" t="n">
        <v>17.7</v>
      </c>
      <c r="F174" s="5" t="n">
        <v>3.6</v>
      </c>
      <c r="G174" s="5" t="n">
        <v>8.8</v>
      </c>
      <c r="H174" s="5" t="n">
        <v>70.9</v>
      </c>
      <c r="I174" s="5" t="n">
        <v>57.7</v>
      </c>
      <c r="J174" s="5" t="n">
        <v>2</v>
      </c>
      <c r="K174" s="5" t="n">
        <f aca="false">ROUND(MIN(MAX((B174*10)*0.2 + (MIN(E174/25*100,100))*0.2 + (MAX(100-F174*5,0))*0.15 + (G174*10)*0.15 + (H174)*0.15 + (I174)*0.15 - (J174*5),0),100),0)</f>
        <v>66</v>
      </c>
    </row>
    <row r="175" customFormat="false" ht="15" hidden="false" customHeight="true" outlineLevel="0" collapsed="false">
      <c r="A175" s="5" t="s">
        <v>1315</v>
      </c>
      <c r="B175" s="5" t="n">
        <v>7</v>
      </c>
      <c r="C175" s="5" t="n">
        <v>9</v>
      </c>
      <c r="D175" s="5" t="n">
        <v>4</v>
      </c>
      <c r="E175" s="5" t="n">
        <v>9.8</v>
      </c>
      <c r="F175" s="5" t="n">
        <v>14</v>
      </c>
      <c r="G175" s="5" t="n">
        <v>7.4</v>
      </c>
      <c r="H175" s="5" t="n">
        <v>74.7</v>
      </c>
      <c r="I175" s="5" t="n">
        <v>66</v>
      </c>
      <c r="J175" s="5" t="n">
        <v>0</v>
      </c>
      <c r="K175" s="5" t="n">
        <f aca="false">ROUND(MIN(MAX((B175*10)*0.2 + (MIN(E175/25*100,100))*0.2 + (MAX(100-F175*5,0))*0.15 + (G175*10)*0.15 + (H175)*0.15 + (I175)*0.15 - (J175*5),0),100),0)</f>
        <v>59</v>
      </c>
    </row>
    <row r="176" customFormat="false" ht="15" hidden="false" customHeight="true" outlineLevel="0" collapsed="false">
      <c r="A176" s="5" t="s">
        <v>1316</v>
      </c>
      <c r="B176" s="5" t="n">
        <v>7</v>
      </c>
      <c r="C176" s="5" t="n">
        <v>12</v>
      </c>
      <c r="D176" s="5" t="n">
        <v>5</v>
      </c>
      <c r="E176" s="5" t="n">
        <v>12.7</v>
      </c>
      <c r="F176" s="5" t="n">
        <v>4</v>
      </c>
      <c r="G176" s="5" t="n">
        <v>9.2</v>
      </c>
      <c r="H176" s="5" t="n">
        <v>69.8</v>
      </c>
      <c r="I176" s="5" t="n">
        <v>75.3</v>
      </c>
      <c r="J176" s="5" t="n">
        <v>0</v>
      </c>
      <c r="K176" s="5" t="n">
        <f aca="false">ROUND(MIN(MAX((B176*10)*0.2 + (MIN(E176/25*100,100))*0.2 + (MAX(100-F176*5,0))*0.15 + (G176*10)*0.15 + (H176)*0.15 + (I176)*0.15 - (J176*5),0),100),0)</f>
        <v>72</v>
      </c>
    </row>
    <row r="177" customFormat="false" ht="15" hidden="false" customHeight="true" outlineLevel="0" collapsed="false">
      <c r="A177" s="5" t="s">
        <v>1318</v>
      </c>
      <c r="B177" s="5" t="n">
        <v>4.1</v>
      </c>
      <c r="C177" s="5" t="n">
        <v>9</v>
      </c>
      <c r="D177" s="5" t="n">
        <v>6</v>
      </c>
      <c r="E177" s="5" t="n">
        <v>13.5</v>
      </c>
      <c r="F177" s="5" t="n">
        <v>23.1</v>
      </c>
      <c r="G177" s="5" t="n">
        <v>8.4</v>
      </c>
      <c r="H177" s="5" t="n">
        <v>76.8</v>
      </c>
      <c r="I177" s="5" t="n">
        <v>68.8</v>
      </c>
      <c r="J177" s="5" t="n">
        <v>1</v>
      </c>
      <c r="K177" s="5" t="n">
        <f aca="false">ROUND(MIN(MAX((B177*10)*0.2 + (MIN(E177/25*100,100))*0.2 + (MAX(100-F177*5,0))*0.15 + (G177*10)*0.15 + (H177)*0.15 + (I177)*0.15 - (J177*5),0),100),0)</f>
        <v>48</v>
      </c>
    </row>
    <row r="178" customFormat="false" ht="15" hidden="false" customHeight="true" outlineLevel="0" collapsed="false">
      <c r="A178" s="5" t="s">
        <v>1320</v>
      </c>
      <c r="B178" s="5" t="n">
        <v>8</v>
      </c>
      <c r="C178" s="5" t="n">
        <v>12</v>
      </c>
      <c r="D178" s="5" t="n">
        <v>5</v>
      </c>
      <c r="E178" s="5" t="n">
        <v>10.1</v>
      </c>
      <c r="F178" s="5" t="n">
        <v>14</v>
      </c>
      <c r="G178" s="5" t="n">
        <v>9.4</v>
      </c>
      <c r="H178" s="5" t="n">
        <v>67.2</v>
      </c>
      <c r="I178" s="5" t="n">
        <v>89.6</v>
      </c>
      <c r="J178" s="5" t="n">
        <v>4</v>
      </c>
      <c r="K178" s="5" t="n">
        <f aca="false">ROUND(MIN(MAX((B178*10)*0.2 + (MIN(E178/25*100,100))*0.2 + (MAX(100-F178*5,0))*0.15 + (G178*10)*0.15 + (H178)*0.15 + (I178)*0.15 - (J178*5),0),100),0)</f>
        <v>46</v>
      </c>
    </row>
    <row r="179" customFormat="false" ht="15" hidden="false" customHeight="true" outlineLevel="0" collapsed="false">
      <c r="A179" s="5" t="s">
        <v>1321</v>
      </c>
      <c r="B179" s="5" t="n">
        <v>9.7</v>
      </c>
      <c r="C179" s="5" t="n">
        <v>13</v>
      </c>
      <c r="D179" s="5" t="n">
        <v>6</v>
      </c>
      <c r="E179" s="5" t="n">
        <v>8.4</v>
      </c>
      <c r="F179" s="5" t="n">
        <v>21.6</v>
      </c>
      <c r="G179" s="5" t="n">
        <v>6</v>
      </c>
      <c r="H179" s="5" t="n">
        <v>82.1</v>
      </c>
      <c r="I179" s="5" t="n">
        <v>55.3</v>
      </c>
      <c r="J179" s="5" t="n">
        <v>0</v>
      </c>
      <c r="K179" s="5" t="n">
        <f aca="false">ROUND(MIN(MAX((B179*10)*0.2 + (MIN(E179/25*100,100))*0.2 + (MAX(100-F179*5,0))*0.15 + (G179*10)*0.15 + (H179)*0.15 + (I179)*0.15 - (J179*5),0),100),0)</f>
        <v>56</v>
      </c>
    </row>
    <row r="180" customFormat="false" ht="15" hidden="false" customHeight="true" outlineLevel="0" collapsed="false">
      <c r="A180" s="5" t="s">
        <v>1322</v>
      </c>
      <c r="B180" s="5" t="n">
        <v>6.9</v>
      </c>
      <c r="C180" s="5" t="n">
        <v>10</v>
      </c>
      <c r="D180" s="5" t="n">
        <v>5</v>
      </c>
      <c r="E180" s="5" t="n">
        <v>11.8</v>
      </c>
      <c r="F180" s="5" t="n">
        <v>16</v>
      </c>
      <c r="G180" s="5" t="n">
        <v>7</v>
      </c>
      <c r="H180" s="5" t="n">
        <v>90.9</v>
      </c>
      <c r="I180" s="5" t="n">
        <v>63.4</v>
      </c>
      <c r="J180" s="5" t="n">
        <v>3</v>
      </c>
      <c r="K180" s="5" t="n">
        <f aca="false">ROUND(MIN(MAX((B180*10)*0.2 + (MIN(E180/25*100,100))*0.2 + (MAX(100-F180*5,0))*0.15 + (G180*10)*0.15 + (H180)*0.15 + (I180)*0.15 - (J180*5),0),100),0)</f>
        <v>45</v>
      </c>
    </row>
    <row r="181" customFormat="false" ht="15" hidden="false" customHeight="true" outlineLevel="0" collapsed="false">
      <c r="A181" s="5" t="s">
        <v>1324</v>
      </c>
      <c r="B181" s="5" t="n">
        <v>8.3</v>
      </c>
      <c r="C181" s="5" t="n">
        <v>12</v>
      </c>
      <c r="D181" s="5" t="n">
        <v>5</v>
      </c>
      <c r="E181" s="5" t="n">
        <v>10.8</v>
      </c>
      <c r="F181" s="5" t="n">
        <v>8.1</v>
      </c>
      <c r="G181" s="5" t="n">
        <v>6.1</v>
      </c>
      <c r="H181" s="5" t="n">
        <v>93.6</v>
      </c>
      <c r="I181" s="5" t="n">
        <v>92.7</v>
      </c>
      <c r="J181" s="5" t="n">
        <v>4</v>
      </c>
      <c r="K181" s="5" t="n">
        <f aca="false">ROUND(MIN(MAX((B181*10)*0.2 + (MIN(E181/25*100,100))*0.2 + (MAX(100-F181*5,0))*0.15 + (G181*10)*0.15 + (H181)*0.15 + (I181)*0.15 - (J181*5),0),100),0)</f>
        <v>51</v>
      </c>
    </row>
    <row r="182" customFormat="false" ht="15" hidden="false" customHeight="true" outlineLevel="0" collapsed="false">
      <c r="A182" s="5" t="s">
        <v>1326</v>
      </c>
      <c r="B182" s="5" t="n">
        <v>3</v>
      </c>
      <c r="C182" s="5" t="n">
        <v>6</v>
      </c>
      <c r="D182" s="5" t="n">
        <v>4</v>
      </c>
      <c r="E182" s="5" t="n">
        <v>16.8</v>
      </c>
      <c r="F182" s="5" t="n">
        <v>5.3</v>
      </c>
      <c r="G182" s="5" t="n">
        <v>7.2</v>
      </c>
      <c r="H182" s="5" t="n">
        <v>69.5</v>
      </c>
      <c r="I182" s="5" t="n">
        <v>76.2</v>
      </c>
      <c r="J182" s="5" t="n">
        <v>0</v>
      </c>
      <c r="K182" s="5" t="n">
        <f aca="false">ROUND(MIN(MAX((B182*10)*0.2 + (MIN(E182/25*100,100))*0.2 + (MAX(100-F182*5,0))*0.15 + (G182*10)*0.15 + (H182)*0.15 + (I182)*0.15 - (J182*5),0),100),0)</f>
        <v>63</v>
      </c>
    </row>
    <row r="183" customFormat="false" ht="15" hidden="false" customHeight="true" outlineLevel="0" collapsed="false">
      <c r="A183" s="5" t="s">
        <v>1328</v>
      </c>
      <c r="B183" s="5" t="n">
        <v>10</v>
      </c>
      <c r="C183" s="5" t="n">
        <v>17</v>
      </c>
      <c r="D183" s="5" t="n">
        <v>7</v>
      </c>
      <c r="E183" s="5" t="n">
        <v>20.5</v>
      </c>
      <c r="F183" s="5" t="n">
        <v>22.7</v>
      </c>
      <c r="G183" s="5" t="n">
        <v>7.1</v>
      </c>
      <c r="H183" s="5" t="n">
        <v>88</v>
      </c>
      <c r="I183" s="5" t="n">
        <v>71</v>
      </c>
      <c r="J183" s="5" t="n">
        <v>4</v>
      </c>
      <c r="K183" s="5" t="n">
        <f aca="false">ROUND(MIN(MAX((B183*10)*0.2 + (MIN(E183/25*100,100))*0.2 + (MAX(100-F183*5,0))*0.15 + (G183*10)*0.15 + (H183)*0.15 + (I183)*0.15 - (J183*5),0),100),0)</f>
        <v>51</v>
      </c>
    </row>
    <row r="184" customFormat="false" ht="15" hidden="false" customHeight="true" outlineLevel="0" collapsed="false">
      <c r="A184" s="5" t="s">
        <v>1330</v>
      </c>
      <c r="B184" s="5" t="n">
        <v>3.6</v>
      </c>
      <c r="C184" s="5" t="n">
        <v>4</v>
      </c>
      <c r="D184" s="5" t="n">
        <v>1</v>
      </c>
      <c r="E184" s="5" t="n">
        <v>18.6</v>
      </c>
      <c r="F184" s="5" t="n">
        <v>4.6</v>
      </c>
      <c r="G184" s="5" t="n">
        <v>7.4</v>
      </c>
      <c r="H184" s="5" t="n">
        <v>77.4</v>
      </c>
      <c r="I184" s="5" t="n">
        <v>96.5</v>
      </c>
      <c r="J184" s="5" t="n">
        <v>0</v>
      </c>
      <c r="K184" s="5" t="n">
        <f aca="false">ROUND(MIN(MAX((B184*10)*0.2 + (MIN(E184/25*100,100))*0.2 + (MAX(100-F184*5,0))*0.15 + (G184*10)*0.15 + (H184)*0.15 + (I184)*0.15 - (J184*5),0),100),0)</f>
        <v>71</v>
      </c>
    </row>
    <row r="185" customFormat="false" ht="15" hidden="false" customHeight="true" outlineLevel="0" collapsed="false">
      <c r="A185" s="5" t="s">
        <v>1332</v>
      </c>
      <c r="B185" s="5" t="n">
        <v>4.8</v>
      </c>
      <c r="C185" s="5" t="n">
        <v>7</v>
      </c>
      <c r="D185" s="5" t="n">
        <v>4</v>
      </c>
      <c r="E185" s="5" t="n">
        <v>16.3</v>
      </c>
      <c r="F185" s="5" t="n">
        <v>19.2</v>
      </c>
      <c r="G185" s="5" t="n">
        <v>5.9</v>
      </c>
      <c r="H185" s="5" t="n">
        <v>70.9</v>
      </c>
      <c r="I185" s="5" t="n">
        <v>58.2</v>
      </c>
      <c r="J185" s="5" t="n">
        <v>0</v>
      </c>
      <c r="K185" s="5" t="n">
        <f aca="false">ROUND(MIN(MAX((B185*10)*0.2 + (MIN(E185/25*100,100))*0.2 + (MAX(100-F185*5,0))*0.15 + (G185*10)*0.15 + (H185)*0.15 + (I185)*0.15 - (J185*5),0),100),0)</f>
        <v>51</v>
      </c>
    </row>
    <row r="186" customFormat="false" ht="15" hidden="false" customHeight="true" outlineLevel="0" collapsed="false">
      <c r="A186" s="5" t="s">
        <v>1334</v>
      </c>
      <c r="B186" s="5" t="n">
        <v>8.5</v>
      </c>
      <c r="C186" s="5" t="n">
        <v>14</v>
      </c>
      <c r="D186" s="5" t="n">
        <v>6</v>
      </c>
      <c r="E186" s="5" t="n">
        <v>6.1</v>
      </c>
      <c r="F186" s="5" t="n">
        <v>13.3</v>
      </c>
      <c r="G186" s="5" t="n">
        <v>6.4</v>
      </c>
      <c r="H186" s="5" t="n">
        <v>81.4</v>
      </c>
      <c r="I186" s="5" t="n">
        <v>96.5</v>
      </c>
      <c r="J186" s="5" t="n">
        <v>0</v>
      </c>
      <c r="K186" s="5" t="n">
        <f aca="false">ROUND(MIN(MAX((B186*10)*0.2 + (MIN(E186/25*100,100))*0.2 + (MAX(100-F186*5,0))*0.15 + (G186*10)*0.15 + (H186)*0.15 + (I186)*0.15 - (J186*5),0),100),0)</f>
        <v>63</v>
      </c>
    </row>
    <row r="187" customFormat="false" ht="15" hidden="false" customHeight="true" outlineLevel="0" collapsed="false">
      <c r="A187" s="5" t="s">
        <v>1335</v>
      </c>
      <c r="B187" s="5" t="n">
        <v>5.2</v>
      </c>
      <c r="C187" s="5" t="n">
        <v>7</v>
      </c>
      <c r="D187" s="5" t="n">
        <v>2</v>
      </c>
      <c r="E187" s="5" t="n">
        <v>6</v>
      </c>
      <c r="F187" s="5" t="n">
        <v>18.1</v>
      </c>
      <c r="G187" s="5" t="n">
        <v>9</v>
      </c>
      <c r="H187" s="5" t="n">
        <v>87.9</v>
      </c>
      <c r="I187" s="5" t="n">
        <v>56.7</v>
      </c>
      <c r="J187" s="5" t="n">
        <v>2</v>
      </c>
      <c r="K187" s="5" t="n">
        <f aca="false">ROUND(MIN(MAX((B187*10)*0.2 + (MIN(E187/25*100,100))*0.2 + (MAX(100-F187*5,0))*0.15 + (G187*10)*0.15 + (H187)*0.15 + (I187)*0.15 - (J187*5),0),100),0)</f>
        <v>42</v>
      </c>
    </row>
    <row r="188" customFormat="false" ht="15" hidden="false" customHeight="true" outlineLevel="0" collapsed="false">
      <c r="A188" s="5" t="s">
        <v>1337</v>
      </c>
      <c r="B188" s="5" t="n">
        <v>5.3</v>
      </c>
      <c r="C188" s="5" t="n">
        <v>6</v>
      </c>
      <c r="D188" s="5" t="n">
        <v>2</v>
      </c>
      <c r="E188" s="5" t="n">
        <v>9.8</v>
      </c>
      <c r="F188" s="5" t="n">
        <v>14.3</v>
      </c>
      <c r="G188" s="5" t="n">
        <v>8.1</v>
      </c>
      <c r="H188" s="5" t="n">
        <v>70.4</v>
      </c>
      <c r="I188" s="5" t="n">
        <v>97.6</v>
      </c>
      <c r="J188" s="5" t="n">
        <v>0</v>
      </c>
      <c r="K188" s="5" t="n">
        <f aca="false">ROUND(MIN(MAX((B188*10)*0.2 + (MIN(E188/25*100,100))*0.2 + (MAX(100-F188*5,0))*0.15 + (G188*10)*0.15 + (H188)*0.15 + (I188)*0.15 - (J188*5),0),100),0)</f>
        <v>60</v>
      </c>
    </row>
    <row r="189" customFormat="false" ht="15" hidden="false" customHeight="true" outlineLevel="0" collapsed="false">
      <c r="A189" s="5" t="s">
        <v>1338</v>
      </c>
      <c r="B189" s="5" t="n">
        <v>5.8</v>
      </c>
      <c r="C189" s="5" t="n">
        <v>9</v>
      </c>
      <c r="D189" s="5" t="n">
        <v>5</v>
      </c>
      <c r="E189" s="5" t="n">
        <v>7.7</v>
      </c>
      <c r="F189" s="5" t="n">
        <v>13.2</v>
      </c>
      <c r="G189" s="5" t="n">
        <v>8.8</v>
      </c>
      <c r="H189" s="5" t="n">
        <v>65.6</v>
      </c>
      <c r="I189" s="5" t="n">
        <v>55.5</v>
      </c>
      <c r="J189" s="5" t="n">
        <v>2</v>
      </c>
      <c r="K189" s="5" t="n">
        <f aca="false">ROUND(MIN(MAX((B189*10)*0.2 + (MIN(E189/25*100,100))*0.2 + (MAX(100-F189*5,0))*0.15 + (G189*10)*0.15 + (H189)*0.15 + (I189)*0.15 - (J189*5),0),100),0)</f>
        <v>44</v>
      </c>
    </row>
    <row r="190" customFormat="false" ht="15" hidden="false" customHeight="true" outlineLevel="0" collapsed="false">
      <c r="A190" s="5" t="s">
        <v>1340</v>
      </c>
      <c r="B190" s="5" t="n">
        <v>9.9</v>
      </c>
      <c r="C190" s="5" t="n">
        <v>14</v>
      </c>
      <c r="D190" s="5" t="n">
        <v>8</v>
      </c>
      <c r="E190" s="5" t="n">
        <v>10.1</v>
      </c>
      <c r="F190" s="5" t="n">
        <v>16.9</v>
      </c>
      <c r="G190" s="5" t="n">
        <v>7.9</v>
      </c>
      <c r="H190" s="5" t="n">
        <v>83.3</v>
      </c>
      <c r="I190" s="5" t="n">
        <v>66.1</v>
      </c>
      <c r="J190" s="5" t="n">
        <v>2</v>
      </c>
      <c r="K190" s="5" t="n">
        <f aca="false">ROUND(MIN(MAX((B190*10)*0.2 + (MIN(E190/25*100,100))*0.2 + (MAX(100-F190*5,0))*0.15 + (G190*10)*0.15 + (H190)*0.15 + (I190)*0.15 - (J190*5),0),100),0)</f>
        <v>54</v>
      </c>
    </row>
    <row r="191" customFormat="false" ht="15" hidden="false" customHeight="true" outlineLevel="0" collapsed="false">
      <c r="A191" s="5" t="s">
        <v>1341</v>
      </c>
      <c r="B191" s="5" t="n">
        <v>3.2</v>
      </c>
      <c r="C191" s="5" t="n">
        <v>3</v>
      </c>
      <c r="D191" s="5" t="n">
        <v>3</v>
      </c>
      <c r="E191" s="5" t="n">
        <v>11.4</v>
      </c>
      <c r="F191" s="5" t="n">
        <v>5.8</v>
      </c>
      <c r="G191" s="5" t="n">
        <v>9.4</v>
      </c>
      <c r="H191" s="5" t="n">
        <v>93.2</v>
      </c>
      <c r="I191" s="5" t="n">
        <v>69.3</v>
      </c>
      <c r="J191" s="5" t="n">
        <v>0</v>
      </c>
      <c r="K191" s="5" t="n">
        <f aca="false">ROUND(MIN(MAX((B191*10)*0.2 + (MIN(E191/25*100,100))*0.2 + (MAX(100-F191*5,0))*0.15 + (G191*10)*0.15 + (H191)*0.15 + (I191)*0.15 - (J191*5),0),100),0)</f>
        <v>65</v>
      </c>
    </row>
    <row r="192" customFormat="false" ht="15" hidden="false" customHeight="true" outlineLevel="0" collapsed="false">
      <c r="A192" s="5" t="s">
        <v>1342</v>
      </c>
      <c r="B192" s="5" t="n">
        <v>6.2</v>
      </c>
      <c r="C192" s="5" t="n">
        <v>8</v>
      </c>
      <c r="D192" s="5" t="n">
        <v>4</v>
      </c>
      <c r="E192" s="5" t="n">
        <v>18.6</v>
      </c>
      <c r="F192" s="5" t="n">
        <v>11.7</v>
      </c>
      <c r="G192" s="5" t="n">
        <v>4.2</v>
      </c>
      <c r="H192" s="5" t="n">
        <v>87.3</v>
      </c>
      <c r="I192" s="5" t="n">
        <v>62.4</v>
      </c>
      <c r="J192" s="5" t="n">
        <v>0</v>
      </c>
      <c r="K192" s="5" t="n">
        <f aca="false">ROUND(MIN(MAX((B192*10)*0.2 + (MIN(E192/25*100,100))*0.2 + (MAX(100-F192*5,0))*0.15 + (G192*10)*0.15 + (H192)*0.15 + (I192)*0.15 - (J192*5),0),100),0)</f>
        <v>62</v>
      </c>
    </row>
    <row r="193" customFormat="false" ht="15" hidden="false" customHeight="true" outlineLevel="0" collapsed="false">
      <c r="A193" s="5" t="s">
        <v>1344</v>
      </c>
      <c r="B193" s="5" t="n">
        <v>4.3</v>
      </c>
      <c r="C193" s="5" t="n">
        <v>6</v>
      </c>
      <c r="D193" s="5" t="n">
        <v>4</v>
      </c>
      <c r="E193" s="5" t="n">
        <v>3.7</v>
      </c>
      <c r="F193" s="5" t="n">
        <v>16.6</v>
      </c>
      <c r="G193" s="5" t="n">
        <v>5.5</v>
      </c>
      <c r="H193" s="5" t="n">
        <v>71.8</v>
      </c>
      <c r="I193" s="5" t="n">
        <v>72.7</v>
      </c>
      <c r="J193" s="5" t="n">
        <v>1</v>
      </c>
      <c r="K193" s="5" t="n">
        <f aca="false">ROUND(MIN(MAX((B193*10)*0.2 + (MIN(E193/25*100,100))*0.2 + (MAX(100-F193*5,0))*0.15 + (G193*10)*0.15 + (H193)*0.15 + (I193)*0.15 - (J193*5),0),100),0)</f>
        <v>39</v>
      </c>
    </row>
    <row r="194" customFormat="false" ht="15" hidden="false" customHeight="true" outlineLevel="0" collapsed="false">
      <c r="A194" s="5" t="s">
        <v>1346</v>
      </c>
      <c r="B194" s="5" t="n">
        <v>3.4</v>
      </c>
      <c r="C194" s="5" t="n">
        <v>4</v>
      </c>
      <c r="D194" s="5" t="n">
        <v>1</v>
      </c>
      <c r="E194" s="5" t="n">
        <v>6.8</v>
      </c>
      <c r="F194" s="5" t="n">
        <v>22.5</v>
      </c>
      <c r="G194" s="5" t="n">
        <v>7.2</v>
      </c>
      <c r="H194" s="5" t="n">
        <v>85.2</v>
      </c>
      <c r="I194" s="5" t="n">
        <v>89.5</v>
      </c>
      <c r="J194" s="5" t="n">
        <v>2</v>
      </c>
      <c r="K194" s="5" t="n">
        <f aca="false">ROUND(MIN(MAX((B194*10)*0.2 + (MIN(E194/25*100,100))*0.2 + (MAX(100-F194*5,0))*0.15 + (G194*10)*0.15 + (H194)*0.15 + (I194)*0.15 - (J194*5),0),100),0)</f>
        <v>39</v>
      </c>
    </row>
    <row r="195" customFormat="false" ht="15" hidden="false" customHeight="true" outlineLevel="0" collapsed="false">
      <c r="A195" s="5" t="s">
        <v>1348</v>
      </c>
      <c r="B195" s="5" t="n">
        <v>9.9</v>
      </c>
      <c r="C195" s="5" t="n">
        <v>17</v>
      </c>
      <c r="D195" s="5" t="n">
        <v>8</v>
      </c>
      <c r="E195" s="5" t="n">
        <v>13.3</v>
      </c>
      <c r="F195" s="5" t="n">
        <v>13.7</v>
      </c>
      <c r="G195" s="5" t="n">
        <v>9.5</v>
      </c>
      <c r="H195" s="5" t="n">
        <v>80.1</v>
      </c>
      <c r="I195" s="5" t="n">
        <v>71.7</v>
      </c>
      <c r="J195" s="5" t="n">
        <v>0</v>
      </c>
      <c r="K195" s="5" t="n">
        <f aca="false">ROUND(MIN(MAX((B195*10)*0.2 + (MIN(E195/25*100,100))*0.2 + (MAX(100-F195*5,0))*0.15 + (G195*10)*0.15 + (H195)*0.15 + (I195)*0.15 - (J195*5),0),100),0)</f>
        <v>72</v>
      </c>
    </row>
    <row r="196" customFormat="false" ht="15" hidden="false" customHeight="true" outlineLevel="0" collapsed="false">
      <c r="A196" s="5" t="s">
        <v>1350</v>
      </c>
      <c r="B196" s="5" t="n">
        <v>5.2</v>
      </c>
      <c r="C196" s="5" t="n">
        <v>7</v>
      </c>
      <c r="D196" s="5" t="n">
        <v>5</v>
      </c>
      <c r="E196" s="5" t="n">
        <v>17.8</v>
      </c>
      <c r="F196" s="5" t="n">
        <v>4.3</v>
      </c>
      <c r="G196" s="5" t="n">
        <v>9.9</v>
      </c>
      <c r="H196" s="5" t="n">
        <v>81.2</v>
      </c>
      <c r="I196" s="5" t="n">
        <v>88</v>
      </c>
      <c r="J196" s="5" t="n">
        <v>4</v>
      </c>
      <c r="K196" s="5" t="n">
        <f aca="false">ROUND(MIN(MAX((B196*10)*0.2 + (MIN(E196/25*100,100))*0.2 + (MAX(100-F196*5,0))*0.15 + (G196*10)*0.15 + (H196)*0.15 + (I196)*0.15 - (J196*5),0),100),0)</f>
        <v>57</v>
      </c>
    </row>
    <row r="197" customFormat="false" ht="15" hidden="false" customHeight="true" outlineLevel="0" collapsed="false">
      <c r="A197" s="5" t="s">
        <v>1351</v>
      </c>
      <c r="B197" s="5" t="n">
        <v>9.8</v>
      </c>
      <c r="C197" s="5" t="n">
        <v>14</v>
      </c>
      <c r="D197" s="5" t="n">
        <v>7</v>
      </c>
      <c r="E197" s="5" t="n">
        <v>8.1</v>
      </c>
      <c r="F197" s="5" t="n">
        <v>21</v>
      </c>
      <c r="G197" s="5" t="n">
        <v>9.5</v>
      </c>
      <c r="H197" s="5" t="n">
        <v>62.2</v>
      </c>
      <c r="I197" s="5" t="n">
        <v>97.8</v>
      </c>
      <c r="J197" s="5" t="n">
        <v>0</v>
      </c>
      <c r="K197" s="5" t="n">
        <f aca="false">ROUND(MIN(MAX((B197*10)*0.2 + (MIN(E197/25*100,100))*0.2 + (MAX(100-F197*5,0))*0.15 + (G197*10)*0.15 + (H197)*0.15 + (I197)*0.15 - (J197*5),0),100),0)</f>
        <v>64</v>
      </c>
    </row>
    <row r="198" customFormat="false" ht="15" hidden="false" customHeight="true" outlineLevel="0" collapsed="false">
      <c r="A198" s="5" t="s">
        <v>1352</v>
      </c>
      <c r="B198" s="5" t="n">
        <v>8.9</v>
      </c>
      <c r="C198" s="5" t="n">
        <v>16</v>
      </c>
      <c r="D198" s="5" t="n">
        <v>8</v>
      </c>
      <c r="E198" s="5" t="n">
        <v>18.9</v>
      </c>
      <c r="F198" s="5" t="n">
        <v>21.6</v>
      </c>
      <c r="G198" s="5" t="n">
        <v>5.1</v>
      </c>
      <c r="H198" s="5" t="n">
        <v>83.7</v>
      </c>
      <c r="I198" s="5" t="n">
        <v>89.7</v>
      </c>
      <c r="J198" s="5" t="n">
        <v>1</v>
      </c>
      <c r="K198" s="5" t="n">
        <f aca="false">ROUND(MIN(MAX((B198*10)*0.2 + (MIN(E198/25*100,100))*0.2 + (MAX(100-F198*5,0))*0.15 + (G198*10)*0.15 + (H198)*0.15 + (I198)*0.15 - (J198*5),0),100),0)</f>
        <v>62</v>
      </c>
    </row>
    <row r="199" customFormat="false" ht="15" hidden="false" customHeight="true" outlineLevel="0" collapsed="false">
      <c r="A199" s="5" t="s">
        <v>1353</v>
      </c>
      <c r="B199" s="5" t="n">
        <v>9.4</v>
      </c>
      <c r="C199" s="5" t="n">
        <v>13</v>
      </c>
      <c r="D199" s="5" t="n">
        <v>7</v>
      </c>
      <c r="E199" s="5" t="n">
        <v>21</v>
      </c>
      <c r="F199" s="5" t="n">
        <v>15.4</v>
      </c>
      <c r="G199" s="5" t="n">
        <v>7.4</v>
      </c>
      <c r="H199" s="5" t="n">
        <v>67.5</v>
      </c>
      <c r="I199" s="5" t="n">
        <v>97.5</v>
      </c>
      <c r="J199" s="5" t="n">
        <v>3</v>
      </c>
      <c r="K199" s="5" t="n">
        <f aca="false">ROUND(MIN(MAX((B199*10)*0.2 + (MIN(E199/25*100,100))*0.2 + (MAX(100-F199*5,0))*0.15 + (G199*10)*0.15 + (H199)*0.15 + (I199)*0.15 - (J199*5),0),100),0)</f>
        <v>60</v>
      </c>
    </row>
    <row r="200" customFormat="false" ht="15" hidden="false" customHeight="true" outlineLevel="0" collapsed="false">
      <c r="A200" s="5" t="s">
        <v>1354</v>
      </c>
      <c r="B200" s="5" t="n">
        <v>6.4</v>
      </c>
      <c r="C200" s="5" t="n">
        <v>9</v>
      </c>
      <c r="D200" s="5" t="n">
        <v>4</v>
      </c>
      <c r="E200" s="5" t="n">
        <v>4.7</v>
      </c>
      <c r="F200" s="5" t="n">
        <v>8.1</v>
      </c>
      <c r="G200" s="5" t="n">
        <v>5.3</v>
      </c>
      <c r="H200" s="5" t="n">
        <v>81.1</v>
      </c>
      <c r="I200" s="5" t="n">
        <v>55</v>
      </c>
      <c r="J200" s="5" t="n">
        <v>3</v>
      </c>
      <c r="K200" s="5" t="n">
        <f aca="false">ROUND(MIN(MAX((B200*10)*0.2 + (MIN(E200/25*100,100))*0.2 + (MAX(100-F200*5,0))*0.15 + (G200*10)*0.15 + (H200)*0.15 + (I200)*0.15 - (J200*5),0),100),0)</f>
        <v>39</v>
      </c>
    </row>
    <row r="201" customFormat="false" ht="15" hidden="false" customHeight="true" outlineLevel="0" collapsed="false">
      <c r="A201" s="5" t="s">
        <v>1355</v>
      </c>
      <c r="B201" s="5" t="n">
        <v>4.4</v>
      </c>
      <c r="C201" s="5" t="n">
        <v>5</v>
      </c>
      <c r="D201" s="5" t="n">
        <v>3</v>
      </c>
      <c r="E201" s="5" t="n">
        <v>20.5</v>
      </c>
      <c r="F201" s="5" t="n">
        <v>21.6</v>
      </c>
      <c r="G201" s="5" t="n">
        <v>5.9</v>
      </c>
      <c r="H201" s="5" t="n">
        <v>60.9</v>
      </c>
      <c r="I201" s="5" t="n">
        <v>80.2</v>
      </c>
      <c r="J201" s="5" t="n">
        <v>3</v>
      </c>
      <c r="K201" s="5" t="n">
        <f aca="false">ROUND(MIN(MAX((B201*10)*0.2 + (MIN(E201/25*100,100))*0.2 + (MAX(100-F201*5,0))*0.15 + (G201*10)*0.15 + (H201)*0.15 + (I201)*0.15 - (J201*5),0),100),0)</f>
        <v>40</v>
      </c>
    </row>
    <row r="202" customFormat="false" ht="15" hidden="false" customHeight="true" outlineLevel="0" collapsed="false">
      <c r="A202" s="5" t="s">
        <v>1357</v>
      </c>
      <c r="B202" s="5" t="n">
        <v>6.8</v>
      </c>
      <c r="C202" s="5" t="n">
        <v>10</v>
      </c>
      <c r="D202" s="5" t="n">
        <v>4</v>
      </c>
      <c r="E202" s="5" t="n">
        <v>17.1</v>
      </c>
      <c r="F202" s="5" t="n">
        <v>3.2</v>
      </c>
      <c r="G202" s="5" t="n">
        <v>7.1</v>
      </c>
      <c r="H202" s="5" t="n">
        <v>80.8</v>
      </c>
      <c r="I202" s="5" t="n">
        <v>71.1</v>
      </c>
      <c r="J202" s="5" t="n">
        <v>0</v>
      </c>
      <c r="K202" s="5" t="n">
        <f aca="false">ROUND(MIN(MAX((B202*10)*0.2 + (MIN(E202/25*100,100))*0.2 + (MAX(100-F202*5,0))*0.15 + (G202*10)*0.15 + (H202)*0.15 + (I202)*0.15 - (J202*5),0),100),0)</f>
        <v>73</v>
      </c>
    </row>
    <row r="203" customFormat="false" ht="15" hidden="false" customHeight="true" outlineLevel="0" collapsed="false">
      <c r="A203" s="5" t="s">
        <v>1360</v>
      </c>
      <c r="B203" s="5" t="n">
        <v>8.6</v>
      </c>
      <c r="C203" s="5" t="n">
        <v>13</v>
      </c>
      <c r="D203" s="5" t="n">
        <v>5</v>
      </c>
      <c r="E203" s="5" t="n">
        <v>11.1</v>
      </c>
      <c r="F203" s="5" t="n">
        <v>15.9</v>
      </c>
      <c r="G203" s="5" t="n">
        <v>5.6</v>
      </c>
      <c r="H203" s="5" t="n">
        <v>81.4</v>
      </c>
      <c r="I203" s="5" t="n">
        <v>79.3</v>
      </c>
      <c r="J203" s="5" t="n">
        <v>1</v>
      </c>
      <c r="K203" s="5" t="n">
        <f aca="false">ROUND(MIN(MAX((B203*10)*0.2 + (MIN(E203/25*100,100))*0.2 + (MAX(100-F203*5,0))*0.15 + (G203*10)*0.15 + (H203)*0.15 + (I203)*0.15 - (J203*5),0),100),0)</f>
        <v>57</v>
      </c>
    </row>
    <row r="204" customFormat="false" ht="15" hidden="false" customHeight="true" outlineLevel="0" collapsed="false">
      <c r="A204" s="5" t="s">
        <v>1363</v>
      </c>
      <c r="B204" s="5" t="n">
        <v>9.9</v>
      </c>
      <c r="C204" s="5" t="n">
        <v>15</v>
      </c>
      <c r="D204" s="5" t="n">
        <v>7</v>
      </c>
      <c r="E204" s="5" t="n">
        <v>13.5</v>
      </c>
      <c r="F204" s="5" t="n">
        <v>15.3</v>
      </c>
      <c r="G204" s="5" t="n">
        <v>5.1</v>
      </c>
      <c r="H204" s="5" t="n">
        <v>82.4</v>
      </c>
      <c r="I204" s="5" t="n">
        <v>75.8</v>
      </c>
      <c r="J204" s="5" t="n">
        <v>4</v>
      </c>
      <c r="K204" s="5" t="n">
        <f aca="false">ROUND(MIN(MAX((B204*10)*0.2 + (MIN(E204/25*100,100))*0.2 + (MAX(100-F204*5,0))*0.15 + (G204*10)*0.15 + (H204)*0.15 + (I204)*0.15 - (J204*5),0),100),0)</f>
        <v>46</v>
      </c>
    </row>
    <row r="205" customFormat="false" ht="15" hidden="false" customHeight="true" outlineLevel="0" collapsed="false">
      <c r="A205" s="5" t="s">
        <v>1366</v>
      </c>
      <c r="B205" s="5" t="n">
        <v>7</v>
      </c>
      <c r="C205" s="5" t="n">
        <v>13</v>
      </c>
      <c r="D205" s="5" t="n">
        <v>6</v>
      </c>
      <c r="E205" s="5" t="n">
        <v>5.6</v>
      </c>
      <c r="F205" s="5" t="n">
        <v>22</v>
      </c>
      <c r="G205" s="5" t="n">
        <v>4.7</v>
      </c>
      <c r="H205" s="5" t="n">
        <v>69.2</v>
      </c>
      <c r="I205" s="5" t="n">
        <v>88.7</v>
      </c>
      <c r="J205" s="5" t="n">
        <v>3</v>
      </c>
      <c r="K205" s="5" t="n">
        <f aca="false">ROUND(MIN(MAX((B205*10)*0.2 + (MIN(E205/25*100,100))*0.2 + (MAX(100-F205*5,0))*0.15 + (G205*10)*0.15 + (H205)*0.15 + (I205)*0.15 - (J205*5),0),100),0)</f>
        <v>34</v>
      </c>
    </row>
    <row r="206" customFormat="false" ht="15" hidden="false" customHeight="true" outlineLevel="0" collapsed="false">
      <c r="A206" s="5" t="s">
        <v>1369</v>
      </c>
      <c r="B206" s="5" t="n">
        <v>3.7</v>
      </c>
      <c r="C206" s="5" t="n">
        <v>6</v>
      </c>
      <c r="D206" s="5" t="n">
        <v>4</v>
      </c>
      <c r="E206" s="5" t="n">
        <v>18.2</v>
      </c>
      <c r="F206" s="5" t="n">
        <v>16.5</v>
      </c>
      <c r="G206" s="5" t="n">
        <v>8.1</v>
      </c>
      <c r="H206" s="5" t="n">
        <v>62.1</v>
      </c>
      <c r="I206" s="5" t="n">
        <v>71.7</v>
      </c>
      <c r="J206" s="5" t="n">
        <v>1</v>
      </c>
      <c r="K206" s="5" t="n">
        <f aca="false">ROUND(MIN(MAX((B206*10)*0.2 + (MIN(E206/25*100,100))*0.2 + (MAX(100-F206*5,0))*0.15 + (G206*10)*0.15 + (H206)*0.15 + (I206)*0.15 - (J206*5),0),100),0)</f>
        <v>52</v>
      </c>
    </row>
    <row r="207" customFormat="false" ht="15" hidden="false" customHeight="true" outlineLevel="0" collapsed="false">
      <c r="A207" s="5" t="s">
        <v>1372</v>
      </c>
      <c r="B207" s="5" t="n">
        <v>8.6</v>
      </c>
      <c r="C207" s="5" t="n">
        <v>15</v>
      </c>
      <c r="D207" s="5" t="n">
        <v>7</v>
      </c>
      <c r="E207" s="5" t="n">
        <v>14.4</v>
      </c>
      <c r="F207" s="5" t="n">
        <v>4.9</v>
      </c>
      <c r="G207" s="5" t="n">
        <v>5.6</v>
      </c>
      <c r="H207" s="5" t="n">
        <v>74.8</v>
      </c>
      <c r="I207" s="5" t="n">
        <v>81.2</v>
      </c>
      <c r="J207" s="5" t="n">
        <v>2</v>
      </c>
      <c r="K207" s="5" t="n">
        <f aca="false">ROUND(MIN(MAX((B207*10)*0.2 + (MIN(E207/25*100,100))*0.2 + (MAX(100-F207*5,0))*0.15 + (G207*10)*0.15 + (H207)*0.15 + (I207)*0.15 - (J207*5),0),100),0)</f>
        <v>62</v>
      </c>
    </row>
    <row r="208" customFormat="false" ht="15" hidden="false" customHeight="true" outlineLevel="0" collapsed="false">
      <c r="A208" s="5" t="s">
        <v>1375</v>
      </c>
      <c r="B208" s="5" t="n">
        <v>9.5</v>
      </c>
      <c r="C208" s="5" t="n">
        <v>15</v>
      </c>
      <c r="D208" s="5" t="n">
        <v>8</v>
      </c>
      <c r="E208" s="5" t="n">
        <v>8.4</v>
      </c>
      <c r="F208" s="5" t="n">
        <v>24.2</v>
      </c>
      <c r="G208" s="5" t="n">
        <v>4.3</v>
      </c>
      <c r="H208" s="5" t="n">
        <v>90.9</v>
      </c>
      <c r="I208" s="5" t="n">
        <v>62.5</v>
      </c>
      <c r="J208" s="5" t="n">
        <v>1</v>
      </c>
      <c r="K208" s="5" t="n">
        <f aca="false">ROUND(MIN(MAX((B208*10)*0.2 + (MIN(E208/25*100,100))*0.2 + (MAX(100-F208*5,0))*0.15 + (G208*10)*0.15 + (H208)*0.15 + (I208)*0.15 - (J208*5),0),100),0)</f>
        <v>50</v>
      </c>
    </row>
    <row r="209" customFormat="false" ht="15" hidden="false" customHeight="true" outlineLevel="0" collapsed="false">
      <c r="A209" s="5" t="s">
        <v>1378</v>
      </c>
      <c r="B209" s="5" t="n">
        <v>3.1</v>
      </c>
      <c r="C209" s="5" t="n">
        <v>7</v>
      </c>
      <c r="D209" s="5" t="n">
        <v>5</v>
      </c>
      <c r="E209" s="5" t="n">
        <v>12.8</v>
      </c>
      <c r="F209" s="5" t="n">
        <v>7.3</v>
      </c>
      <c r="G209" s="5" t="n">
        <v>8.7</v>
      </c>
      <c r="H209" s="5" t="n">
        <v>80.4</v>
      </c>
      <c r="I209" s="5" t="n">
        <v>85</v>
      </c>
      <c r="J209" s="5" t="n">
        <v>1</v>
      </c>
      <c r="K209" s="5" t="n">
        <f aca="false">ROUND(MIN(MAX((B209*10)*0.2 + (MIN(E209/25*100,100))*0.2 + (MAX(100-F209*5,0))*0.15 + (G209*10)*0.15 + (H209)*0.15 + (I209)*0.15 - (J209*5),0),100),0)</f>
        <v>59</v>
      </c>
    </row>
    <row r="210" customFormat="false" ht="15" hidden="false" customHeight="true" outlineLevel="0" collapsed="false">
      <c r="A210" s="5" t="s">
        <v>1381</v>
      </c>
      <c r="B210" s="5" t="n">
        <v>7.7</v>
      </c>
      <c r="C210" s="5" t="n">
        <v>12</v>
      </c>
      <c r="D210" s="5" t="n">
        <v>6</v>
      </c>
      <c r="E210" s="5" t="n">
        <v>21.5</v>
      </c>
      <c r="F210" s="5" t="n">
        <v>4.9</v>
      </c>
      <c r="G210" s="5" t="n">
        <v>5.7</v>
      </c>
      <c r="H210" s="5" t="n">
        <v>76</v>
      </c>
      <c r="I210" s="5" t="n">
        <v>83.8</v>
      </c>
      <c r="J210" s="5" t="n">
        <v>1</v>
      </c>
      <c r="K210" s="5" t="n">
        <f aca="false">ROUND(MIN(MAX((B210*10)*0.2 + (MIN(E210/25*100,100))*0.2 + (MAX(100-F210*5,0))*0.15 + (G210*10)*0.15 + (H210)*0.15 + (I210)*0.15 - (J210*5),0),100),0)</f>
        <v>71</v>
      </c>
    </row>
    <row r="211" customFormat="false" ht="15" hidden="false" customHeight="true" outlineLevel="0" collapsed="false">
      <c r="A211" s="5" t="s">
        <v>1384</v>
      </c>
      <c r="B211" s="5" t="n">
        <v>4.4</v>
      </c>
      <c r="C211" s="5" t="n">
        <v>5</v>
      </c>
      <c r="D211" s="5" t="n">
        <v>3</v>
      </c>
      <c r="E211" s="5" t="n">
        <v>20.5</v>
      </c>
      <c r="F211" s="5" t="n">
        <v>15.1</v>
      </c>
      <c r="G211" s="5" t="n">
        <v>8.4</v>
      </c>
      <c r="H211" s="5" t="n">
        <v>82.4</v>
      </c>
      <c r="I211" s="5" t="n">
        <v>80.1</v>
      </c>
      <c r="J211" s="5" t="n">
        <v>0</v>
      </c>
      <c r="K211" s="5" t="n">
        <f aca="false">ROUND(MIN(MAX((B211*10)*0.2 + (MIN(E211/25*100,100))*0.2 + (MAX(100-F211*5,0))*0.15 + (G211*10)*0.15 + (H211)*0.15 + (I211)*0.15 - (J211*5),0),100),0)</f>
        <v>66</v>
      </c>
    </row>
    <row r="212" customFormat="false" ht="15" hidden="false" customHeight="true" outlineLevel="0" collapsed="false">
      <c r="A212" s="5" t="s">
        <v>1386</v>
      </c>
      <c r="B212" s="5" t="n">
        <v>8.7</v>
      </c>
      <c r="C212" s="5" t="n">
        <v>13</v>
      </c>
      <c r="D212" s="5" t="n">
        <v>8</v>
      </c>
      <c r="E212" s="5" t="n">
        <v>11.6</v>
      </c>
      <c r="F212" s="5" t="n">
        <v>11.9</v>
      </c>
      <c r="G212" s="5" t="n">
        <v>4</v>
      </c>
      <c r="H212" s="5" t="n">
        <v>67</v>
      </c>
      <c r="I212" s="5" t="n">
        <v>76.8</v>
      </c>
      <c r="J212" s="5" t="n">
        <v>1</v>
      </c>
      <c r="K212" s="5" t="n">
        <f aca="false">ROUND(MIN(MAX((B212*10)*0.2 + (MIN(E212/25*100,100))*0.2 + (MAX(100-F212*5,0))*0.15 + (G212*10)*0.15 + (H212)*0.15 + (I212)*0.15 - (J212*5),0),100),0)</f>
        <v>55</v>
      </c>
    </row>
    <row r="213" customFormat="false" ht="15" hidden="false" customHeight="true" outlineLevel="0" collapsed="false">
      <c r="A213" s="5" t="s">
        <v>1388</v>
      </c>
      <c r="B213" s="5" t="n">
        <v>6.5</v>
      </c>
      <c r="C213" s="5" t="n">
        <v>10</v>
      </c>
      <c r="D213" s="5" t="n">
        <v>4</v>
      </c>
      <c r="E213" s="5" t="n">
        <v>12.8</v>
      </c>
      <c r="F213" s="5" t="n">
        <v>8.7</v>
      </c>
      <c r="G213" s="5" t="n">
        <v>7.2</v>
      </c>
      <c r="H213" s="5" t="n">
        <v>91.7</v>
      </c>
      <c r="I213" s="5" t="n">
        <v>65.8</v>
      </c>
      <c r="J213" s="5" t="n">
        <v>1</v>
      </c>
      <c r="K213" s="5" t="n">
        <f aca="false">ROUND(MIN(MAX((B213*10)*0.2 + (MIN(E213/25*100,100))*0.2 + (MAX(100-F213*5,0))*0.15 + (G213*10)*0.15 + (H213)*0.15 + (I213)*0.15 - (J213*5),0),100),0)</f>
        <v>61</v>
      </c>
    </row>
    <row r="214" customFormat="false" ht="15" hidden="false" customHeight="true" outlineLevel="0" collapsed="false">
      <c r="A214" s="5" t="s">
        <v>1389</v>
      </c>
      <c r="B214" s="5" t="n">
        <v>5.6</v>
      </c>
      <c r="C214" s="5" t="n">
        <v>9</v>
      </c>
      <c r="D214" s="5" t="n">
        <v>4</v>
      </c>
      <c r="E214" s="5" t="n">
        <v>9.5</v>
      </c>
      <c r="F214" s="5" t="n">
        <v>20.1</v>
      </c>
      <c r="G214" s="5" t="n">
        <v>8.1</v>
      </c>
      <c r="H214" s="5" t="n">
        <v>95.9</v>
      </c>
      <c r="I214" s="5" t="n">
        <v>92.1</v>
      </c>
      <c r="J214" s="5" t="n">
        <v>1</v>
      </c>
      <c r="K214" s="5" t="n">
        <f aca="false">ROUND(MIN(MAX((B214*10)*0.2 + (MIN(E214/25*100,100))*0.2 + (MAX(100-F214*5,0))*0.15 + (G214*10)*0.15 + (H214)*0.15 + (I214)*0.15 - (J214*5),0),100),0)</f>
        <v>54</v>
      </c>
    </row>
    <row r="215" customFormat="false" ht="15" hidden="false" customHeight="true" outlineLevel="0" collapsed="false">
      <c r="A215" s="5" t="s">
        <v>1392</v>
      </c>
      <c r="B215" s="5" t="n">
        <v>4.8</v>
      </c>
      <c r="C215" s="5" t="n">
        <v>7</v>
      </c>
      <c r="D215" s="5" t="n">
        <v>4</v>
      </c>
      <c r="E215" s="5" t="n">
        <v>7.2</v>
      </c>
      <c r="F215" s="5" t="n">
        <v>18.4</v>
      </c>
      <c r="G215" s="5" t="n">
        <v>8.8</v>
      </c>
      <c r="H215" s="5" t="n">
        <v>76.5</v>
      </c>
      <c r="I215" s="5" t="n">
        <v>70.2</v>
      </c>
      <c r="J215" s="5" t="n">
        <v>1</v>
      </c>
      <c r="K215" s="5" t="n">
        <f aca="false">ROUND(MIN(MAX((B215*10)*0.2 + (MIN(E215/25*100,100))*0.2 + (MAX(100-F215*5,0))*0.15 + (G215*10)*0.15 + (H215)*0.15 + (I215)*0.15 - (J215*5),0),100),0)</f>
        <v>47</v>
      </c>
    </row>
    <row r="216" customFormat="false" ht="15" hidden="false" customHeight="true" outlineLevel="0" collapsed="false">
      <c r="A216" s="5" t="s">
        <v>1395</v>
      </c>
      <c r="B216" s="5" t="n">
        <v>7.9</v>
      </c>
      <c r="C216" s="5" t="n">
        <v>11</v>
      </c>
      <c r="D216" s="5" t="n">
        <v>5</v>
      </c>
      <c r="E216" s="5" t="n">
        <v>10.6</v>
      </c>
      <c r="F216" s="5" t="n">
        <v>19.5</v>
      </c>
      <c r="G216" s="5" t="n">
        <v>6.1</v>
      </c>
      <c r="H216" s="5" t="n">
        <v>82.2</v>
      </c>
      <c r="I216" s="5" t="n">
        <v>62.7</v>
      </c>
      <c r="J216" s="5" t="n">
        <v>0</v>
      </c>
      <c r="K216" s="5" t="n">
        <f aca="false">ROUND(MIN(MAX((B216*10)*0.2 + (MIN(E216/25*100,100))*0.2 + (MAX(100-F216*5,0))*0.15 + (G216*10)*0.15 + (H216)*0.15 + (I216)*0.15 - (J216*5),0),100),0)</f>
        <v>56</v>
      </c>
    </row>
    <row r="217" customFormat="false" ht="15" hidden="false" customHeight="true" outlineLevel="0" collapsed="false">
      <c r="A217" s="5" t="s">
        <v>1397</v>
      </c>
      <c r="B217" s="5" t="n">
        <v>4.5</v>
      </c>
      <c r="C217" s="5" t="n">
        <v>8</v>
      </c>
      <c r="D217" s="5" t="n">
        <v>3</v>
      </c>
      <c r="E217" s="5" t="n">
        <v>17.2</v>
      </c>
      <c r="F217" s="5" t="n">
        <v>23.5</v>
      </c>
      <c r="G217" s="5" t="n">
        <v>5.1</v>
      </c>
      <c r="H217" s="5" t="n">
        <v>89.5</v>
      </c>
      <c r="I217" s="5" t="n">
        <v>65.1</v>
      </c>
      <c r="J217" s="5" t="n">
        <v>0</v>
      </c>
      <c r="K217" s="5" t="n">
        <f aca="false">ROUND(MIN(MAX((B217*10)*0.2 + (MIN(E217/25*100,100))*0.2 + (MAX(100-F217*5,0))*0.15 + (G217*10)*0.15 + (H217)*0.15 + (I217)*0.15 - (J217*5),0),100),0)</f>
        <v>54</v>
      </c>
    </row>
    <row r="218" customFormat="false" ht="15" hidden="false" customHeight="true" outlineLevel="0" collapsed="false">
      <c r="A218" s="5" t="s">
        <v>1399</v>
      </c>
      <c r="B218" s="5" t="n">
        <v>4.9</v>
      </c>
      <c r="C218" s="5" t="n">
        <v>6</v>
      </c>
      <c r="D218" s="5" t="n">
        <v>4</v>
      </c>
      <c r="E218" s="5" t="n">
        <v>18.9</v>
      </c>
      <c r="F218" s="5" t="n">
        <v>10.8</v>
      </c>
      <c r="G218" s="5" t="n">
        <v>8.7</v>
      </c>
      <c r="H218" s="5" t="n">
        <v>64.8</v>
      </c>
      <c r="I218" s="5" t="n">
        <v>58.4</v>
      </c>
      <c r="J218" s="5" t="n">
        <v>4</v>
      </c>
      <c r="K218" s="5" t="n">
        <f aca="false">ROUND(MIN(MAX((B218*10)*0.2 + (MIN(E218/25*100,100))*0.2 + (MAX(100-F218*5,0))*0.15 + (G218*10)*0.15 + (H218)*0.15 + (I218)*0.15 - (J218*5),0),100),0)</f>
        <v>43</v>
      </c>
    </row>
    <row r="219" customFormat="false" ht="15" hidden="false" customHeight="true" outlineLevel="0" collapsed="false">
      <c r="A219" s="5" t="s">
        <v>1400</v>
      </c>
      <c r="B219" s="5" t="n">
        <v>6.4</v>
      </c>
      <c r="C219" s="5" t="n">
        <v>8</v>
      </c>
      <c r="D219" s="5" t="n">
        <v>5</v>
      </c>
      <c r="E219" s="5" t="n">
        <v>21.2</v>
      </c>
      <c r="F219" s="5" t="n">
        <v>21.7</v>
      </c>
      <c r="G219" s="5" t="n">
        <v>6.2</v>
      </c>
      <c r="H219" s="5" t="n">
        <v>72.6</v>
      </c>
      <c r="I219" s="5" t="n">
        <v>93.6</v>
      </c>
      <c r="J219" s="5" t="n">
        <v>3</v>
      </c>
      <c r="K219" s="5" t="n">
        <f aca="false">ROUND(MIN(MAX((B219*10)*0.2 + (MIN(E219/25*100,100))*0.2 + (MAX(100-F219*5,0))*0.15 + (G219*10)*0.15 + (H219)*0.15 + (I219)*0.15 - (J219*5),0),100),0)</f>
        <v>49</v>
      </c>
    </row>
    <row r="220" customFormat="false" ht="15" hidden="false" customHeight="true" outlineLevel="0" collapsed="false">
      <c r="A220" s="5" t="s">
        <v>1402</v>
      </c>
      <c r="B220" s="5" t="n">
        <v>7</v>
      </c>
      <c r="C220" s="5" t="n">
        <v>10</v>
      </c>
      <c r="D220" s="5" t="n">
        <v>4</v>
      </c>
      <c r="E220" s="5" t="n">
        <v>17.5</v>
      </c>
      <c r="F220" s="5" t="n">
        <v>14.2</v>
      </c>
      <c r="G220" s="5" t="n">
        <v>6.4</v>
      </c>
      <c r="H220" s="5" t="n">
        <v>90</v>
      </c>
      <c r="I220" s="5" t="n">
        <v>60.5</v>
      </c>
      <c r="J220" s="5" t="n">
        <v>1</v>
      </c>
      <c r="K220" s="5" t="n">
        <f aca="false">ROUND(MIN(MAX((B220*10)*0.2 + (MIN(E220/25*100,100))*0.2 + (MAX(100-F220*5,0))*0.15 + (G220*10)*0.15 + (H220)*0.15 + (I220)*0.15 - (J220*5),0),100),0)</f>
        <v>60</v>
      </c>
    </row>
    <row r="221" customFormat="false" ht="15" hidden="false" customHeight="true" outlineLevel="0" collapsed="false">
      <c r="A221" s="5" t="s">
        <v>1404</v>
      </c>
      <c r="B221" s="5" t="n">
        <v>6</v>
      </c>
      <c r="C221" s="5" t="n">
        <v>12</v>
      </c>
      <c r="D221" s="5" t="n">
        <v>5</v>
      </c>
      <c r="E221" s="5" t="n">
        <v>9.6</v>
      </c>
      <c r="F221" s="5" t="n">
        <v>21.9</v>
      </c>
      <c r="G221" s="5" t="n">
        <v>8.7</v>
      </c>
      <c r="H221" s="5" t="n">
        <v>78.3</v>
      </c>
      <c r="I221" s="5" t="n">
        <v>60.2</v>
      </c>
      <c r="J221" s="5" t="n">
        <v>1</v>
      </c>
      <c r="K221" s="5" t="n">
        <f aca="false">ROUND(MIN(MAX((B221*10)*0.2 + (MIN(E221/25*100,100))*0.2 + (MAX(100-F221*5,0))*0.15 + (G221*10)*0.15 + (H221)*0.15 + (I221)*0.15 - (J221*5),0),100),0)</f>
        <v>49</v>
      </c>
    </row>
    <row r="222" customFormat="false" ht="15" hidden="false" customHeight="true" outlineLevel="0" collapsed="false">
      <c r="A222" s="5" t="s">
        <v>1406</v>
      </c>
      <c r="B222" s="5" t="n">
        <v>5.2</v>
      </c>
      <c r="C222" s="5" t="n">
        <v>6</v>
      </c>
      <c r="D222" s="5" t="n">
        <v>4</v>
      </c>
      <c r="E222" s="5" t="n">
        <v>10.2</v>
      </c>
      <c r="F222" s="5" t="n">
        <v>5.2</v>
      </c>
      <c r="G222" s="5" t="n">
        <v>6.2</v>
      </c>
      <c r="H222" s="5" t="n">
        <v>94.5</v>
      </c>
      <c r="I222" s="5" t="n">
        <v>63</v>
      </c>
      <c r="J222" s="5" t="n">
        <v>0</v>
      </c>
      <c r="K222" s="5" t="n">
        <f aca="false">ROUND(MIN(MAX((B222*10)*0.2 + (MIN(E222/25*100,100))*0.2 + (MAX(100-F222*5,0))*0.15 + (G222*10)*0.15 + (H222)*0.15 + (I222)*0.15 - (J222*5),0),100),0)</f>
        <v>63</v>
      </c>
    </row>
    <row r="223" customFormat="false" ht="15" hidden="false" customHeight="true" outlineLevel="0" collapsed="false">
      <c r="A223" s="5" t="s">
        <v>1408</v>
      </c>
      <c r="B223" s="5" t="n">
        <v>4.9</v>
      </c>
      <c r="C223" s="5" t="n">
        <v>10</v>
      </c>
      <c r="D223" s="5" t="n">
        <v>5</v>
      </c>
      <c r="E223" s="5" t="n">
        <v>6.5</v>
      </c>
      <c r="F223" s="5" t="n">
        <v>12.3</v>
      </c>
      <c r="G223" s="5" t="n">
        <v>6.5</v>
      </c>
      <c r="H223" s="5" t="n">
        <v>90.1</v>
      </c>
      <c r="I223" s="5" t="n">
        <v>70.7</v>
      </c>
      <c r="J223" s="5" t="n">
        <v>1</v>
      </c>
      <c r="K223" s="5" t="n">
        <f aca="false">ROUND(MIN(MAX((B223*10)*0.2 + (MIN(E223/25*100,100))*0.2 + (MAX(100-F223*5,0))*0.15 + (G223*10)*0.15 + (H223)*0.15 + (I223)*0.15 - (J223*5),0),100),0)</f>
        <v>50</v>
      </c>
    </row>
    <row r="224" customFormat="false" ht="15" hidden="false" customHeight="true" outlineLevel="0" collapsed="false">
      <c r="A224" s="5" t="s">
        <v>1410</v>
      </c>
      <c r="B224" s="5" t="n">
        <v>6.2</v>
      </c>
      <c r="C224" s="5" t="n">
        <v>10</v>
      </c>
      <c r="D224" s="5" t="n">
        <v>6</v>
      </c>
      <c r="E224" s="5" t="n">
        <v>16</v>
      </c>
      <c r="F224" s="5" t="n">
        <v>20.9</v>
      </c>
      <c r="G224" s="5" t="n">
        <v>8.3</v>
      </c>
      <c r="H224" s="5" t="n">
        <v>92.2</v>
      </c>
      <c r="I224" s="5" t="n">
        <v>78.9</v>
      </c>
      <c r="J224" s="5" t="n">
        <v>3</v>
      </c>
      <c r="K224" s="5" t="n">
        <f aca="false">ROUND(MIN(MAX((B224*10)*0.2 + (MIN(E224/25*100,100))*0.2 + (MAX(100-F224*5,0))*0.15 + (G224*10)*0.15 + (H224)*0.15 + (I224)*0.15 - (J224*5),0),100),0)</f>
        <v>48</v>
      </c>
    </row>
    <row r="225" customFormat="false" ht="15" hidden="false" customHeight="true" outlineLevel="0" collapsed="false">
      <c r="A225" s="5" t="s">
        <v>1412</v>
      </c>
      <c r="B225" s="5" t="n">
        <v>4.4</v>
      </c>
      <c r="C225" s="5" t="n">
        <v>9</v>
      </c>
      <c r="D225" s="5" t="n">
        <v>5</v>
      </c>
      <c r="E225" s="5" t="n">
        <v>12</v>
      </c>
      <c r="F225" s="5" t="n">
        <v>3.2</v>
      </c>
      <c r="G225" s="5" t="n">
        <v>6.5</v>
      </c>
      <c r="H225" s="5" t="n">
        <v>65.4</v>
      </c>
      <c r="I225" s="5" t="n">
        <v>93.4</v>
      </c>
      <c r="J225" s="5" t="n">
        <v>1</v>
      </c>
      <c r="K225" s="5" t="n">
        <f aca="false">ROUND(MIN(MAX((B225*10)*0.2 + (MIN(E225/25*100,100))*0.2 + (MAX(100-F225*5,0))*0.15 + (G225*10)*0.15 + (H225)*0.15 + (I225)*0.15 - (J225*5),0),100),0)</f>
        <v>60</v>
      </c>
    </row>
    <row r="226" customFormat="false" ht="15" hidden="false" customHeight="true" outlineLevel="0" collapsed="false">
      <c r="A226" s="5" t="s">
        <v>1415</v>
      </c>
      <c r="B226" s="5" t="n">
        <v>6.7</v>
      </c>
      <c r="C226" s="5" t="n">
        <v>10</v>
      </c>
      <c r="D226" s="5" t="n">
        <v>5</v>
      </c>
      <c r="E226" s="5" t="n">
        <v>7.8</v>
      </c>
      <c r="F226" s="5" t="n">
        <v>21.9</v>
      </c>
      <c r="G226" s="5" t="n">
        <v>4.3</v>
      </c>
      <c r="H226" s="5" t="n">
        <v>64</v>
      </c>
      <c r="I226" s="5" t="n">
        <v>62</v>
      </c>
      <c r="J226" s="5" t="n">
        <v>0</v>
      </c>
      <c r="K226" s="5" t="n">
        <f aca="false">ROUND(MIN(MAX((B226*10)*0.2 + (MIN(E226/25*100,100))*0.2 + (MAX(100-F226*5,0))*0.15 + (G226*10)*0.15 + (H226)*0.15 + (I226)*0.15 - (J226*5),0),100),0)</f>
        <v>45</v>
      </c>
    </row>
    <row r="227" customFormat="false" ht="15" hidden="false" customHeight="true" outlineLevel="0" collapsed="false">
      <c r="A227" s="5" t="s">
        <v>1418</v>
      </c>
      <c r="B227" s="5" t="n">
        <v>4.8</v>
      </c>
      <c r="C227" s="5" t="n">
        <v>9</v>
      </c>
      <c r="D227" s="5" t="n">
        <v>3</v>
      </c>
      <c r="E227" s="5" t="n">
        <v>17.1</v>
      </c>
      <c r="F227" s="5" t="n">
        <v>8.7</v>
      </c>
      <c r="G227" s="5" t="n">
        <v>6.2</v>
      </c>
      <c r="H227" s="5" t="n">
        <v>82.3</v>
      </c>
      <c r="I227" s="5" t="n">
        <v>89.8</v>
      </c>
      <c r="J227" s="5" t="n">
        <v>0</v>
      </c>
      <c r="K227" s="5" t="n">
        <f aca="false">ROUND(MIN(MAX((B227*10)*0.2 + (MIN(E227/25*100,100))*0.2 + (MAX(100-F227*5,0))*0.15 + (G227*10)*0.15 + (H227)*0.15 + (I227)*0.15 - (J227*5),0),100),0)</f>
        <v>67</v>
      </c>
    </row>
    <row r="228" customFormat="false" ht="15" hidden="false" customHeight="true" outlineLevel="0" collapsed="false">
      <c r="A228" s="5" t="s">
        <v>1420</v>
      </c>
      <c r="B228" s="5" t="n">
        <v>5.9</v>
      </c>
      <c r="C228" s="5" t="n">
        <v>9</v>
      </c>
      <c r="D228" s="5" t="n">
        <v>5</v>
      </c>
      <c r="E228" s="5" t="n">
        <v>14.5</v>
      </c>
      <c r="F228" s="5" t="n">
        <v>15.7</v>
      </c>
      <c r="G228" s="5" t="n">
        <v>7.9</v>
      </c>
      <c r="H228" s="5" t="n">
        <v>81.5</v>
      </c>
      <c r="I228" s="5" t="n">
        <v>97.1</v>
      </c>
      <c r="J228" s="5" t="n">
        <v>0</v>
      </c>
      <c r="K228" s="5" t="n">
        <f aca="false">ROUND(MIN(MAX((B228*10)*0.2 + (MIN(E228/25*100,100))*0.2 + (MAX(100-F228*5,0))*0.15 + (G228*10)*0.15 + (H228)*0.15 + (I228)*0.15 - (J228*5),0),100),0)</f>
        <v>65</v>
      </c>
    </row>
    <row r="229" customFormat="false" ht="15" hidden="false" customHeight="true" outlineLevel="0" collapsed="false">
      <c r="A229" s="5" t="s">
        <v>1422</v>
      </c>
      <c r="B229" s="5" t="n">
        <v>5.3</v>
      </c>
      <c r="C229" s="5" t="n">
        <v>9</v>
      </c>
      <c r="D229" s="5" t="n">
        <v>5</v>
      </c>
      <c r="E229" s="5" t="n">
        <v>11.5</v>
      </c>
      <c r="F229" s="5" t="n">
        <v>4.7</v>
      </c>
      <c r="G229" s="5" t="n">
        <v>7.7</v>
      </c>
      <c r="H229" s="5" t="n">
        <v>78.6</v>
      </c>
      <c r="I229" s="5" t="n">
        <v>96.1</v>
      </c>
      <c r="J229" s="5" t="n">
        <v>3</v>
      </c>
      <c r="K229" s="5" t="n">
        <f aca="false">ROUND(MIN(MAX((B229*10)*0.2 + (MIN(E229/25*100,100))*0.2 + (MAX(100-F229*5,0))*0.15 + (G229*10)*0.15 + (H229)*0.15 + (I229)*0.15 - (J229*5),0),100),0)</f>
        <v>54</v>
      </c>
    </row>
    <row r="230" customFormat="false" ht="15" hidden="false" customHeight="true" outlineLevel="0" collapsed="false">
      <c r="A230" s="5" t="s">
        <v>1424</v>
      </c>
      <c r="B230" s="5" t="n">
        <v>7.5</v>
      </c>
      <c r="C230" s="5" t="n">
        <v>14</v>
      </c>
      <c r="D230" s="5" t="n">
        <v>7</v>
      </c>
      <c r="E230" s="5" t="n">
        <v>14.6</v>
      </c>
      <c r="F230" s="5" t="n">
        <v>11.9</v>
      </c>
      <c r="G230" s="5" t="n">
        <v>9.4</v>
      </c>
      <c r="H230" s="5" t="n">
        <v>63.2</v>
      </c>
      <c r="I230" s="5" t="n">
        <v>69.8</v>
      </c>
      <c r="J230" s="5" t="n">
        <v>0</v>
      </c>
      <c r="K230" s="5" t="n">
        <f aca="false">ROUND(MIN(MAX((B230*10)*0.2 + (MIN(E230/25*100,100))*0.2 + (MAX(100-F230*5,0))*0.15 + (G230*10)*0.15 + (H230)*0.15 + (I230)*0.15 - (J230*5),0),100),0)</f>
        <v>67</v>
      </c>
    </row>
    <row r="231" customFormat="false" ht="15" hidden="false" customHeight="true" outlineLevel="0" collapsed="false">
      <c r="A231" s="5" t="s">
        <v>1427</v>
      </c>
      <c r="B231" s="5" t="n">
        <v>7.6</v>
      </c>
      <c r="C231" s="5" t="n">
        <v>13</v>
      </c>
      <c r="D231" s="5" t="n">
        <v>7</v>
      </c>
      <c r="E231" s="5" t="n">
        <v>10.5</v>
      </c>
      <c r="F231" s="5" t="n">
        <v>22.5</v>
      </c>
      <c r="G231" s="5" t="n">
        <v>8.7</v>
      </c>
      <c r="H231" s="5" t="n">
        <v>97.6</v>
      </c>
      <c r="I231" s="5" t="n">
        <v>87.2</v>
      </c>
      <c r="J231" s="5" t="n">
        <v>1</v>
      </c>
      <c r="K231" s="5" t="n">
        <f aca="false">ROUND(MIN(MAX((B231*10)*0.2 + (MIN(E231/25*100,100))*0.2 + (MAX(100-F231*5,0))*0.15 + (G231*10)*0.15 + (H231)*0.15 + (I231)*0.15 - (J231*5),0),100),0)</f>
        <v>59</v>
      </c>
    </row>
    <row r="232" customFormat="false" ht="15" hidden="false" customHeight="true" outlineLevel="0" collapsed="false">
      <c r="A232" s="5" t="s">
        <v>1429</v>
      </c>
      <c r="B232" s="5" t="n">
        <v>6.2</v>
      </c>
      <c r="C232" s="5" t="n">
        <v>8</v>
      </c>
      <c r="D232" s="5" t="n">
        <v>5</v>
      </c>
      <c r="E232" s="5" t="n">
        <v>5.4</v>
      </c>
      <c r="F232" s="5" t="n">
        <v>8.2</v>
      </c>
      <c r="G232" s="5" t="n">
        <v>5.5</v>
      </c>
      <c r="H232" s="5" t="n">
        <v>89.8</v>
      </c>
      <c r="I232" s="5" t="n">
        <v>87.2</v>
      </c>
      <c r="J232" s="5" t="n">
        <v>0</v>
      </c>
      <c r="K232" s="5" t="n">
        <f aca="false">ROUND(MIN(MAX((B232*10)*0.2 + (MIN(E232/25*100,100))*0.2 + (MAX(100-F232*5,0))*0.15 + (G232*10)*0.15 + (H232)*0.15 + (I232)*0.15 - (J232*5),0),100),0)</f>
        <v>60</v>
      </c>
    </row>
    <row r="233" customFormat="false" ht="15" hidden="false" customHeight="true" outlineLevel="0" collapsed="false">
      <c r="A233" s="5" t="s">
        <v>1430</v>
      </c>
      <c r="B233" s="5" t="n">
        <v>5.8</v>
      </c>
      <c r="C233" s="5" t="n">
        <v>7</v>
      </c>
      <c r="D233" s="5" t="n">
        <v>5</v>
      </c>
      <c r="E233" s="5" t="n">
        <v>12</v>
      </c>
      <c r="F233" s="5" t="n">
        <v>4.2</v>
      </c>
      <c r="G233" s="5" t="n">
        <v>8.6</v>
      </c>
      <c r="H233" s="5" t="n">
        <v>81</v>
      </c>
      <c r="I233" s="5" t="n">
        <v>97.8</v>
      </c>
      <c r="J233" s="5" t="n">
        <v>0</v>
      </c>
      <c r="K233" s="5" t="n">
        <f aca="false">ROUND(MIN(MAX((B233*10)*0.2 + (MIN(E233/25*100,100))*0.2 + (MAX(100-F233*5,0))*0.15 + (G233*10)*0.15 + (H233)*0.15 + (I233)*0.15 - (J233*5),0),100),0)</f>
        <v>73</v>
      </c>
    </row>
    <row r="234" customFormat="false" ht="15" hidden="false" customHeight="true" outlineLevel="0" collapsed="false">
      <c r="A234" s="5" t="s">
        <v>1432</v>
      </c>
      <c r="B234" s="5" t="n">
        <v>7.3</v>
      </c>
      <c r="C234" s="5" t="n">
        <v>10</v>
      </c>
      <c r="D234" s="5" t="n">
        <v>6</v>
      </c>
      <c r="E234" s="5" t="n">
        <v>10.4</v>
      </c>
      <c r="F234" s="5" t="n">
        <v>8</v>
      </c>
      <c r="G234" s="5" t="n">
        <v>8.4</v>
      </c>
      <c r="H234" s="5" t="n">
        <v>77.7</v>
      </c>
      <c r="I234" s="5" t="n">
        <v>60.4</v>
      </c>
      <c r="J234" s="5" t="n">
        <v>1</v>
      </c>
      <c r="K234" s="5" t="n">
        <f aca="false">ROUND(MIN(MAX((B234*10)*0.2 + (MIN(E234/25*100,100))*0.2 + (MAX(100-F234*5,0))*0.15 + (G234*10)*0.15 + (H234)*0.15 + (I234)*0.15 - (J234*5),0),100),0)</f>
        <v>60</v>
      </c>
    </row>
    <row r="235" customFormat="false" ht="15" hidden="false" customHeight="true" outlineLevel="0" collapsed="false">
      <c r="A235" s="5" t="s">
        <v>1434</v>
      </c>
      <c r="B235" s="5" t="n">
        <v>4.2</v>
      </c>
      <c r="C235" s="5" t="n">
        <v>4</v>
      </c>
      <c r="D235" s="5" t="n">
        <v>2</v>
      </c>
      <c r="E235" s="5" t="n">
        <v>20.4</v>
      </c>
      <c r="F235" s="5" t="n">
        <v>22</v>
      </c>
      <c r="G235" s="5" t="n">
        <v>6.8</v>
      </c>
      <c r="H235" s="5" t="n">
        <v>94.8</v>
      </c>
      <c r="I235" s="5" t="n">
        <v>95.2</v>
      </c>
      <c r="J235" s="5" t="n">
        <v>1</v>
      </c>
      <c r="K235" s="5" t="n">
        <f aca="false">ROUND(MIN(MAX((B235*10)*0.2 + (MIN(E235/25*100,100))*0.2 + (MAX(100-F235*5,0))*0.15 + (G235*10)*0.15 + (H235)*0.15 + (I235)*0.15 - (J235*5),0),100),0)</f>
        <v>58</v>
      </c>
    </row>
    <row r="236" customFormat="false" ht="15" hidden="false" customHeight="true" outlineLevel="0" collapsed="false">
      <c r="A236" s="5" t="s">
        <v>1435</v>
      </c>
      <c r="B236" s="5" t="n">
        <v>3.9</v>
      </c>
      <c r="C236" s="5" t="n">
        <v>8</v>
      </c>
      <c r="D236" s="5" t="n">
        <v>4</v>
      </c>
      <c r="E236" s="5" t="n">
        <v>14.2</v>
      </c>
      <c r="F236" s="5" t="n">
        <v>13</v>
      </c>
      <c r="G236" s="5" t="n">
        <v>8.5</v>
      </c>
      <c r="H236" s="5" t="n">
        <v>95.1</v>
      </c>
      <c r="I236" s="5" t="n">
        <v>73.7</v>
      </c>
      <c r="J236" s="5" t="n">
        <v>1</v>
      </c>
      <c r="K236" s="5" t="n">
        <f aca="false">ROUND(MIN(MAX((B236*10)*0.2 + (MIN(E236/25*100,100))*0.2 + (MAX(100-F236*5,0))*0.15 + (G236*10)*0.15 + (H236)*0.15 + (I236)*0.15 - (J236*5),0),100),0)</f>
        <v>57</v>
      </c>
    </row>
    <row r="237" customFormat="false" ht="15" hidden="false" customHeight="true" outlineLevel="0" collapsed="false">
      <c r="A237" s="5" t="s">
        <v>1438</v>
      </c>
      <c r="B237" s="5" t="n">
        <v>6.7</v>
      </c>
      <c r="C237" s="5" t="n">
        <v>13</v>
      </c>
      <c r="D237" s="5" t="n">
        <v>6</v>
      </c>
      <c r="E237" s="5" t="n">
        <v>7.3</v>
      </c>
      <c r="F237" s="5" t="n">
        <v>5</v>
      </c>
      <c r="G237" s="5" t="n">
        <v>5.8</v>
      </c>
      <c r="H237" s="5" t="n">
        <v>76.5</v>
      </c>
      <c r="I237" s="5" t="n">
        <v>61.7</v>
      </c>
      <c r="J237" s="5" t="n">
        <v>0</v>
      </c>
      <c r="K237" s="5" t="n">
        <f aca="false">ROUND(MIN(MAX((B237*10)*0.2 + (MIN(E237/25*100,100))*0.2 + (MAX(100-F237*5,0))*0.15 + (G237*10)*0.15 + (H237)*0.15 + (I237)*0.15 - (J237*5),0),100),0)</f>
        <v>60</v>
      </c>
    </row>
    <row r="238" customFormat="false" ht="15" hidden="false" customHeight="true" outlineLevel="0" collapsed="false">
      <c r="A238" s="5" t="s">
        <v>1440</v>
      </c>
      <c r="B238" s="5" t="n">
        <v>6.7</v>
      </c>
      <c r="C238" s="5" t="n">
        <v>12</v>
      </c>
      <c r="D238" s="5" t="n">
        <v>5</v>
      </c>
      <c r="E238" s="5" t="n">
        <v>8.4</v>
      </c>
      <c r="F238" s="5" t="n">
        <v>14.8</v>
      </c>
      <c r="G238" s="5" t="n">
        <v>8.1</v>
      </c>
      <c r="H238" s="5" t="n">
        <v>79.7</v>
      </c>
      <c r="I238" s="5" t="n">
        <v>87.5</v>
      </c>
      <c r="J238" s="5" t="n">
        <v>0</v>
      </c>
      <c r="K238" s="5" t="n">
        <f aca="false">ROUND(MIN(MAX((B238*10)*0.2 + (MIN(E238/25*100,100))*0.2 + (MAX(100-F238*5,0))*0.15 + (G238*10)*0.15 + (H238)*0.15 + (I238)*0.15 - (J238*5),0),100),0)</f>
        <v>61</v>
      </c>
    </row>
    <row r="239" customFormat="false" ht="15" hidden="false" customHeight="true" outlineLevel="0" collapsed="false">
      <c r="A239" s="5" t="s">
        <v>1442</v>
      </c>
      <c r="B239" s="5" t="n">
        <v>8.4</v>
      </c>
      <c r="C239" s="5" t="n">
        <v>15</v>
      </c>
      <c r="D239" s="5" t="n">
        <v>8</v>
      </c>
      <c r="E239" s="5" t="n">
        <v>18.1</v>
      </c>
      <c r="F239" s="5" t="n">
        <v>15.1</v>
      </c>
      <c r="G239" s="5" t="n">
        <v>5.1</v>
      </c>
      <c r="H239" s="5" t="n">
        <v>95.3</v>
      </c>
      <c r="I239" s="5" t="n">
        <v>73.8</v>
      </c>
      <c r="J239" s="5" t="n">
        <v>0</v>
      </c>
      <c r="K239" s="5" t="n">
        <f aca="false">ROUND(MIN(MAX((B239*10)*0.2 + (MIN(E239/25*100,100))*0.2 + (MAX(100-F239*5,0))*0.15 + (G239*10)*0.15 + (H239)*0.15 + (I239)*0.15 - (J239*5),0),100),0)</f>
        <v>68</v>
      </c>
    </row>
    <row r="240" customFormat="false" ht="15" hidden="false" customHeight="true" outlineLevel="0" collapsed="false">
      <c r="A240" s="5" t="s">
        <v>1445</v>
      </c>
      <c r="B240" s="5" t="n">
        <v>8</v>
      </c>
      <c r="C240" s="5" t="n">
        <v>14</v>
      </c>
      <c r="D240" s="5" t="n">
        <v>8</v>
      </c>
      <c r="E240" s="5" t="n">
        <v>7.2</v>
      </c>
      <c r="F240" s="5" t="n">
        <v>4.7</v>
      </c>
      <c r="G240" s="5" t="n">
        <v>7.8</v>
      </c>
      <c r="H240" s="5" t="n">
        <v>80.7</v>
      </c>
      <c r="I240" s="5" t="n">
        <v>89.4</v>
      </c>
      <c r="J240" s="5" t="n">
        <v>1</v>
      </c>
      <c r="K240" s="5" t="n">
        <f aca="false">ROUND(MIN(MAX((B240*10)*0.2 + (MIN(E240/25*100,100))*0.2 + (MAX(100-F240*5,0))*0.15 + (G240*10)*0.15 + (H240)*0.15 + (I240)*0.15 - (J240*5),0),100),0)</f>
        <v>65</v>
      </c>
    </row>
    <row r="241" customFormat="false" ht="15" hidden="false" customHeight="true" outlineLevel="0" collapsed="false">
      <c r="A241" s="5" t="s">
        <v>1448</v>
      </c>
      <c r="B241" s="5" t="n">
        <v>7.9</v>
      </c>
      <c r="C241" s="5" t="n">
        <v>11</v>
      </c>
      <c r="D241" s="5" t="n">
        <v>6</v>
      </c>
      <c r="E241" s="5" t="n">
        <v>13.1</v>
      </c>
      <c r="F241" s="5" t="n">
        <v>8.9</v>
      </c>
      <c r="G241" s="5" t="n">
        <v>5.1</v>
      </c>
      <c r="H241" s="5" t="n">
        <v>62.7</v>
      </c>
      <c r="I241" s="5" t="n">
        <v>60.9</v>
      </c>
      <c r="J241" s="5" t="n">
        <v>0</v>
      </c>
      <c r="K241" s="5" t="n">
        <f aca="false">ROUND(MIN(MAX((B241*10)*0.2 + (MIN(E241/25*100,100))*0.2 + (MAX(100-F241*5,0))*0.15 + (G241*10)*0.15 + (H241)*0.15 + (I241)*0.15 - (J241*5),0),100),0)</f>
        <v>61</v>
      </c>
    </row>
    <row r="242" customFormat="false" ht="15" hidden="false" customHeight="true" outlineLevel="0" collapsed="false">
      <c r="A242" s="5" t="s">
        <v>1450</v>
      </c>
      <c r="B242" s="5" t="n">
        <v>6.2</v>
      </c>
      <c r="C242" s="5" t="n">
        <v>10</v>
      </c>
      <c r="D242" s="5" t="n">
        <v>6</v>
      </c>
      <c r="E242" s="5" t="n">
        <v>12.3</v>
      </c>
      <c r="F242" s="5" t="n">
        <v>10.1</v>
      </c>
      <c r="G242" s="5" t="n">
        <v>4.9</v>
      </c>
      <c r="H242" s="5" t="n">
        <v>98.8</v>
      </c>
      <c r="I242" s="5" t="n">
        <v>56</v>
      </c>
      <c r="J242" s="5" t="n">
        <v>4</v>
      </c>
      <c r="K242" s="5" t="n">
        <f aca="false">ROUND(MIN(MAX((B242*10)*0.2 + (MIN(E242/25*100,100))*0.2 + (MAX(100-F242*5,0))*0.15 + (G242*10)*0.15 + (H242)*0.15 + (I242)*0.15 - (J242*5),0),100),0)</f>
        <v>40</v>
      </c>
    </row>
    <row r="243" customFormat="false" ht="15" hidden="false" customHeight="true" outlineLevel="0" collapsed="false">
      <c r="A243" s="5" t="s">
        <v>1452</v>
      </c>
      <c r="B243" s="5" t="n">
        <v>5</v>
      </c>
      <c r="C243" s="5" t="n">
        <v>6</v>
      </c>
      <c r="D243" s="5" t="n">
        <v>3</v>
      </c>
      <c r="E243" s="5" t="n">
        <v>3.2</v>
      </c>
      <c r="F243" s="5" t="n">
        <v>5</v>
      </c>
      <c r="G243" s="5" t="n">
        <v>4.1</v>
      </c>
      <c r="H243" s="5" t="n">
        <v>68.7</v>
      </c>
      <c r="I243" s="5" t="n">
        <v>73.1</v>
      </c>
      <c r="J243" s="5" t="n">
        <v>2</v>
      </c>
      <c r="K243" s="5" t="n">
        <f aca="false">ROUND(MIN(MAX((B243*10)*0.2 + (MIN(E243/25*100,100))*0.2 + (MAX(100-F243*5,0))*0.15 + (G243*10)*0.15 + (H243)*0.15 + (I243)*0.15 - (J243*5),0),100),0)</f>
        <v>41</v>
      </c>
    </row>
    <row r="244" customFormat="false" ht="15" hidden="false" customHeight="true" outlineLevel="0" collapsed="false">
      <c r="A244" s="5" t="s">
        <v>1454</v>
      </c>
      <c r="B244" s="5" t="n">
        <v>6.5</v>
      </c>
      <c r="C244" s="5" t="n">
        <v>10</v>
      </c>
      <c r="D244" s="5" t="n">
        <v>6</v>
      </c>
      <c r="E244" s="5" t="n">
        <v>3.6</v>
      </c>
      <c r="F244" s="5" t="n">
        <v>4.8</v>
      </c>
      <c r="G244" s="5" t="n">
        <v>8.5</v>
      </c>
      <c r="H244" s="5" t="n">
        <v>65.8</v>
      </c>
      <c r="I244" s="5" t="n">
        <v>66.5</v>
      </c>
      <c r="J244" s="5" t="n">
        <v>0</v>
      </c>
      <c r="K244" s="5" t="n">
        <f aca="false">ROUND(MIN(MAX((B244*10)*0.2 + (MIN(E244/25*100,100))*0.2 + (MAX(100-F244*5,0))*0.15 + (G244*10)*0.15 + (H244)*0.15 + (I244)*0.15 - (J244*5),0),100),0)</f>
        <v>60</v>
      </c>
    </row>
    <row r="245" customFormat="false" ht="15" hidden="false" customHeight="true" outlineLevel="0" collapsed="false">
      <c r="A245" s="5" t="s">
        <v>1455</v>
      </c>
      <c r="B245" s="5" t="n">
        <v>6.8</v>
      </c>
      <c r="C245" s="5" t="n">
        <v>9</v>
      </c>
      <c r="D245" s="5" t="n">
        <v>6</v>
      </c>
      <c r="E245" s="5" t="n">
        <v>7.8</v>
      </c>
      <c r="F245" s="5" t="n">
        <v>11.4</v>
      </c>
      <c r="G245" s="5" t="n">
        <v>4.1</v>
      </c>
      <c r="H245" s="5" t="n">
        <v>99</v>
      </c>
      <c r="I245" s="5" t="n">
        <v>85.7</v>
      </c>
      <c r="J245" s="5" t="n">
        <v>0</v>
      </c>
      <c r="K245" s="5" t="n">
        <f aca="false">ROUND(MIN(MAX((B245*10)*0.2 + (MIN(E245/25*100,100))*0.2 + (MAX(100-F245*5,0))*0.15 + (G245*10)*0.15 + (H245)*0.15 + (I245)*0.15 - (J245*5),0),100),0)</f>
        <v>60</v>
      </c>
    </row>
    <row r="246" customFormat="false" ht="15" hidden="false" customHeight="true" outlineLevel="0" collapsed="false">
      <c r="A246" s="5" t="s">
        <v>1457</v>
      </c>
      <c r="B246" s="5" t="n">
        <v>9.8</v>
      </c>
      <c r="C246" s="5" t="n">
        <v>14</v>
      </c>
      <c r="D246" s="5" t="n">
        <v>8</v>
      </c>
      <c r="E246" s="5" t="n">
        <v>6.8</v>
      </c>
      <c r="F246" s="5" t="n">
        <v>19.2</v>
      </c>
      <c r="G246" s="5" t="n">
        <v>4.6</v>
      </c>
      <c r="H246" s="5" t="n">
        <v>86.6</v>
      </c>
      <c r="I246" s="5" t="n">
        <v>64</v>
      </c>
      <c r="J246" s="5" t="n">
        <v>0</v>
      </c>
      <c r="K246" s="5" t="n">
        <f aca="false">ROUND(MIN(MAX((B246*10)*0.2 + (MIN(E246/25*100,100))*0.2 + (MAX(100-F246*5,0))*0.15 + (G246*10)*0.15 + (H246)*0.15 + (I246)*0.15 - (J246*5),0),100),0)</f>
        <v>55</v>
      </c>
    </row>
    <row r="247" customFormat="false" ht="15" hidden="false" customHeight="true" outlineLevel="0" collapsed="false">
      <c r="A247" s="5" t="s">
        <v>1459</v>
      </c>
      <c r="B247" s="5" t="n">
        <v>9.7</v>
      </c>
      <c r="C247" s="5" t="n">
        <v>18</v>
      </c>
      <c r="D247" s="5" t="n">
        <v>8</v>
      </c>
      <c r="E247" s="5" t="n">
        <v>16.8</v>
      </c>
      <c r="F247" s="5" t="n">
        <v>19.4</v>
      </c>
      <c r="G247" s="5" t="n">
        <v>7.3</v>
      </c>
      <c r="H247" s="5" t="n">
        <v>64.9</v>
      </c>
      <c r="I247" s="5" t="n">
        <v>75.7</v>
      </c>
      <c r="J247" s="5" t="n">
        <v>0</v>
      </c>
      <c r="K247" s="5" t="n">
        <f aca="false">ROUND(MIN(MAX((B247*10)*0.2 + (MIN(E247/25*100,100))*0.2 + (MAX(100-F247*5,0))*0.15 + (G247*10)*0.15 + (H247)*0.15 + (I247)*0.15 - (J247*5),0),100),0)</f>
        <v>65</v>
      </c>
    </row>
    <row r="248" customFormat="false" ht="15" hidden="false" customHeight="true" outlineLevel="0" collapsed="false">
      <c r="A248" s="5" t="s">
        <v>1462</v>
      </c>
      <c r="B248" s="5" t="n">
        <v>5.5</v>
      </c>
      <c r="C248" s="5" t="n">
        <v>7</v>
      </c>
      <c r="D248" s="5" t="n">
        <v>4</v>
      </c>
      <c r="E248" s="5" t="n">
        <v>21.5</v>
      </c>
      <c r="F248" s="5" t="n">
        <v>8.2</v>
      </c>
      <c r="G248" s="5" t="n">
        <v>6.6</v>
      </c>
      <c r="H248" s="5" t="n">
        <v>60.6</v>
      </c>
      <c r="I248" s="5" t="n">
        <v>89.2</v>
      </c>
      <c r="J248" s="5" t="n">
        <v>1</v>
      </c>
      <c r="K248" s="5" t="n">
        <f aca="false">ROUND(MIN(MAX((B248*10)*0.2 + (MIN(E248/25*100,100))*0.2 + (MAX(100-F248*5,0))*0.15 + (G248*10)*0.15 + (H248)*0.15 + (I248)*0.15 - (J248*5),0),100),0)</f>
        <v>64</v>
      </c>
    </row>
    <row r="249" customFormat="false" ht="15" hidden="false" customHeight="true" outlineLevel="0" collapsed="false">
      <c r="A249" s="5" t="s">
        <v>1464</v>
      </c>
      <c r="B249" s="5" t="n">
        <v>5.8</v>
      </c>
      <c r="C249" s="5" t="n">
        <v>8</v>
      </c>
      <c r="D249" s="5" t="n">
        <v>5</v>
      </c>
      <c r="E249" s="5" t="n">
        <v>14</v>
      </c>
      <c r="F249" s="5" t="n">
        <v>18.2</v>
      </c>
      <c r="G249" s="5" t="n">
        <v>8.1</v>
      </c>
      <c r="H249" s="5" t="n">
        <v>66.2</v>
      </c>
      <c r="I249" s="5" t="n">
        <v>88.1</v>
      </c>
      <c r="J249" s="5" t="n">
        <v>0</v>
      </c>
      <c r="K249" s="5" t="n">
        <f aca="false">ROUND(MIN(MAX((B249*10)*0.2 + (MIN(E249/25*100,100))*0.2 + (MAX(100-F249*5,0))*0.15 + (G249*10)*0.15 + (H249)*0.15 + (I249)*0.15 - (J249*5),0),100),0)</f>
        <v>59</v>
      </c>
    </row>
    <row r="250" customFormat="false" ht="15" hidden="false" customHeight="true" outlineLevel="0" collapsed="false">
      <c r="A250" s="5" t="s">
        <v>1467</v>
      </c>
      <c r="B250" s="5" t="n">
        <v>6.5</v>
      </c>
      <c r="C250" s="5" t="n">
        <v>11</v>
      </c>
      <c r="D250" s="5" t="n">
        <v>5</v>
      </c>
      <c r="E250" s="5" t="n">
        <v>21.4</v>
      </c>
      <c r="F250" s="5" t="n">
        <v>19.7</v>
      </c>
      <c r="G250" s="5" t="n">
        <v>4.4</v>
      </c>
      <c r="H250" s="5" t="n">
        <v>74.2</v>
      </c>
      <c r="I250" s="5" t="n">
        <v>61.6</v>
      </c>
      <c r="J250" s="5" t="n">
        <v>1</v>
      </c>
      <c r="K250" s="5" t="n">
        <f aca="false">ROUND(MIN(MAX((B250*10)*0.2 + (MIN(E250/25*100,100))*0.2 + (MAX(100-F250*5,0))*0.15 + (G250*10)*0.15 + (H250)*0.15 + (I250)*0.15 - (J250*5),0),100),0)</f>
        <v>52</v>
      </c>
    </row>
    <row r="251" customFormat="false" ht="15" hidden="false" customHeight="true" outlineLevel="0" collapsed="false">
      <c r="A251" s="5" t="s">
        <v>1469</v>
      </c>
      <c r="B251" s="5" t="n">
        <v>3.8</v>
      </c>
      <c r="C251" s="5" t="n">
        <v>6</v>
      </c>
      <c r="D251" s="5" t="n">
        <v>2</v>
      </c>
      <c r="E251" s="5" t="n">
        <v>13.6</v>
      </c>
      <c r="F251" s="5" t="n">
        <v>17.2</v>
      </c>
      <c r="G251" s="5" t="n">
        <v>6.1</v>
      </c>
      <c r="H251" s="5" t="n">
        <v>95.7</v>
      </c>
      <c r="I251" s="5" t="n">
        <v>86.5</v>
      </c>
      <c r="J251" s="5" t="n">
        <v>0</v>
      </c>
      <c r="K251" s="5" t="n">
        <f aca="false">ROUND(MIN(MAX((B251*10)*0.2 + (MIN(E251/25*100,100))*0.2 + (MAX(100-F251*5,0))*0.15 + (G251*10)*0.15 + (H251)*0.15 + (I251)*0.15 - (J251*5),0),100),0)</f>
        <v>57</v>
      </c>
    </row>
    <row r="252" customFormat="false" ht="15" hidden="false" customHeight="true" outlineLevel="0" collapsed="false">
      <c r="A252" s="5" t="s">
        <v>1471</v>
      </c>
      <c r="B252" s="5" t="n">
        <v>5.6</v>
      </c>
      <c r="C252" s="5" t="n">
        <v>10</v>
      </c>
      <c r="D252" s="5" t="n">
        <v>4</v>
      </c>
      <c r="E252" s="5" t="n">
        <v>3.8</v>
      </c>
      <c r="F252" s="5" t="n">
        <v>18.5</v>
      </c>
      <c r="G252" s="5" t="n">
        <v>7.4</v>
      </c>
      <c r="H252" s="5" t="n">
        <v>81.7</v>
      </c>
      <c r="I252" s="5" t="n">
        <v>76.1</v>
      </c>
      <c r="J252" s="5" t="n">
        <v>1</v>
      </c>
      <c r="K252" s="5" t="n">
        <f aca="false">ROUND(MIN(MAX((B252*10)*0.2 + (MIN(E252/25*100,100))*0.2 + (MAX(100-F252*5,0))*0.15 + (G252*10)*0.15 + (H252)*0.15 + (I252)*0.15 - (J252*5),0),100),0)</f>
        <v>45</v>
      </c>
    </row>
    <row r="253" customFormat="false" ht="15" hidden="false" customHeight="true" outlineLevel="0" collapsed="false">
      <c r="A253" s="5" t="s">
        <v>1473</v>
      </c>
      <c r="B253" s="5" t="n">
        <v>6.8</v>
      </c>
      <c r="C253" s="5" t="n">
        <v>10</v>
      </c>
      <c r="D253" s="5" t="n">
        <v>5</v>
      </c>
      <c r="E253" s="5" t="n">
        <v>19.5</v>
      </c>
      <c r="F253" s="5" t="n">
        <v>16.2</v>
      </c>
      <c r="G253" s="5" t="n">
        <v>9.2</v>
      </c>
      <c r="H253" s="5" t="n">
        <v>66.4</v>
      </c>
      <c r="I253" s="5" t="n">
        <v>77.8</v>
      </c>
      <c r="J253" s="5" t="n">
        <v>1</v>
      </c>
      <c r="K253" s="5" t="n">
        <f aca="false">ROUND(MIN(MAX((B253*10)*0.2 + (MIN(E253/25*100,100))*0.2 + (MAX(100-F253*5,0))*0.15 + (G253*10)*0.15 + (H253)*0.15 + (I253)*0.15 - (J253*5),0),100),0)</f>
        <v>62</v>
      </c>
    </row>
    <row r="254" customFormat="false" ht="15" hidden="false" customHeight="true" outlineLevel="0" collapsed="false">
      <c r="A254" s="5" t="s">
        <v>1474</v>
      </c>
      <c r="B254" s="5" t="n">
        <v>8.7</v>
      </c>
      <c r="C254" s="5" t="n">
        <v>14</v>
      </c>
      <c r="D254" s="5" t="n">
        <v>7</v>
      </c>
      <c r="E254" s="5" t="n">
        <v>17.7</v>
      </c>
      <c r="F254" s="5" t="n">
        <v>14.1</v>
      </c>
      <c r="G254" s="5" t="n">
        <v>8.4</v>
      </c>
      <c r="H254" s="5" t="n">
        <v>95.3</v>
      </c>
      <c r="I254" s="5" t="n">
        <v>81.6</v>
      </c>
      <c r="J254" s="5" t="n">
        <v>0</v>
      </c>
      <c r="K254" s="5" t="n">
        <f aca="false">ROUND(MIN(MAX((B254*10)*0.2 + (MIN(E254/25*100,100))*0.2 + (MAX(100-F254*5,0))*0.15 + (G254*10)*0.15 + (H254)*0.15 + (I254)*0.15 - (J254*5),0),100),0)</f>
        <v>75</v>
      </c>
    </row>
    <row r="255" customFormat="false" ht="15" hidden="false" customHeight="true" outlineLevel="0" collapsed="false">
      <c r="A255" s="5" t="s">
        <v>1476</v>
      </c>
      <c r="B255" s="5" t="n">
        <v>7.3</v>
      </c>
      <c r="C255" s="5" t="n">
        <v>11</v>
      </c>
      <c r="D255" s="5" t="n">
        <v>4</v>
      </c>
      <c r="E255" s="5" t="n">
        <v>21.4</v>
      </c>
      <c r="F255" s="5" t="n">
        <v>21</v>
      </c>
      <c r="G255" s="5" t="n">
        <v>5.1</v>
      </c>
      <c r="H255" s="5" t="n">
        <v>87.3</v>
      </c>
      <c r="I255" s="5" t="n">
        <v>87.9</v>
      </c>
      <c r="J255" s="5" t="n">
        <v>0</v>
      </c>
      <c r="K255" s="5" t="n">
        <f aca="false">ROUND(MIN(MAX((B255*10)*0.2 + (MIN(E255/25*100,100))*0.2 + (MAX(100-F255*5,0))*0.15 + (G255*10)*0.15 + (H255)*0.15 + (I255)*0.15 - (J255*5),0),100),0)</f>
        <v>66</v>
      </c>
    </row>
    <row r="256" customFormat="false" ht="15" hidden="false" customHeight="true" outlineLevel="0" collapsed="false">
      <c r="A256" s="5" t="s">
        <v>1478</v>
      </c>
      <c r="B256" s="5" t="n">
        <v>5</v>
      </c>
      <c r="C256" s="5" t="n">
        <v>8</v>
      </c>
      <c r="D256" s="5" t="n">
        <v>3</v>
      </c>
      <c r="E256" s="5" t="n">
        <v>4.8</v>
      </c>
      <c r="F256" s="5" t="n">
        <v>17.5</v>
      </c>
      <c r="G256" s="5" t="n">
        <v>4.3</v>
      </c>
      <c r="H256" s="5" t="n">
        <v>97.5</v>
      </c>
      <c r="I256" s="5" t="n">
        <v>62.7</v>
      </c>
      <c r="J256" s="5" t="n">
        <v>0</v>
      </c>
      <c r="K256" s="5" t="n">
        <f aca="false">ROUND(MIN(MAX((B256*10)*0.2 + (MIN(E256/25*100,100))*0.2 + (MAX(100-F256*5,0))*0.15 + (G256*10)*0.15 + (H256)*0.15 + (I256)*0.15 - (J256*5),0),100),0)</f>
        <v>46</v>
      </c>
    </row>
    <row r="257" customFormat="false" ht="15" hidden="false" customHeight="true" outlineLevel="0" collapsed="false">
      <c r="A257" s="5" t="s">
        <v>1479</v>
      </c>
      <c r="B257" s="5" t="n">
        <v>3.7</v>
      </c>
      <c r="C257" s="5" t="n">
        <v>4</v>
      </c>
      <c r="D257" s="5" t="n">
        <v>1</v>
      </c>
      <c r="E257" s="5" t="n">
        <v>15.2</v>
      </c>
      <c r="F257" s="5" t="n">
        <v>11.5</v>
      </c>
      <c r="G257" s="5" t="n">
        <v>6.9</v>
      </c>
      <c r="H257" s="5" t="n">
        <v>85</v>
      </c>
      <c r="I257" s="5" t="n">
        <v>80.4</v>
      </c>
      <c r="J257" s="5" t="n">
        <v>0</v>
      </c>
      <c r="K257" s="5" t="n">
        <f aca="false">ROUND(MIN(MAX((B257*10)*0.2 + (MIN(E257/25*100,100))*0.2 + (MAX(100-F257*5,0))*0.15 + (G257*10)*0.15 + (H257)*0.15 + (I257)*0.15 - (J257*5),0),100),0)</f>
        <v>61</v>
      </c>
    </row>
    <row r="258" customFormat="false" ht="15" hidden="false" customHeight="true" outlineLevel="0" collapsed="false">
      <c r="A258" s="5" t="s">
        <v>1481</v>
      </c>
      <c r="B258" s="5" t="n">
        <v>4.5</v>
      </c>
      <c r="C258" s="5" t="n">
        <v>8</v>
      </c>
      <c r="D258" s="5" t="n">
        <v>3</v>
      </c>
      <c r="E258" s="5" t="n">
        <v>20.5</v>
      </c>
      <c r="F258" s="5" t="n">
        <v>17.4</v>
      </c>
      <c r="G258" s="5" t="n">
        <v>9.6</v>
      </c>
      <c r="H258" s="5" t="n">
        <v>93.3</v>
      </c>
      <c r="I258" s="5" t="n">
        <v>75.1</v>
      </c>
      <c r="J258" s="5" t="n">
        <v>1</v>
      </c>
      <c r="K258" s="5" t="n">
        <f aca="false">ROUND(MIN(MAX((B258*10)*0.2 + (MIN(E258/25*100,100))*0.2 + (MAX(100-F258*5,0))*0.15 + (G258*10)*0.15 + (H258)*0.15 + (I258)*0.15 - (J258*5),0),100),0)</f>
        <v>62</v>
      </c>
    </row>
    <row r="259" customFormat="false" ht="15" hidden="false" customHeight="true" outlineLevel="0" collapsed="false">
      <c r="A259" s="5" t="s">
        <v>1483</v>
      </c>
      <c r="B259" s="5" t="n">
        <v>5.5</v>
      </c>
      <c r="C259" s="5" t="n">
        <v>10</v>
      </c>
      <c r="D259" s="5" t="n">
        <v>6</v>
      </c>
      <c r="E259" s="5" t="n">
        <v>18.6</v>
      </c>
      <c r="F259" s="5" t="n">
        <v>20.5</v>
      </c>
      <c r="G259" s="5" t="n">
        <v>4.3</v>
      </c>
      <c r="H259" s="5" t="n">
        <v>84.7</v>
      </c>
      <c r="I259" s="5" t="n">
        <v>77.7</v>
      </c>
      <c r="J259" s="5" t="n">
        <v>2</v>
      </c>
      <c r="K259" s="5" t="n">
        <f aca="false">ROUND(MIN(MAX((B259*10)*0.2 + (MIN(E259/25*100,100))*0.2 + (MAX(100-F259*5,0))*0.15 + (G259*10)*0.15 + (H259)*0.15 + (I259)*0.15 - (J259*5),0),100),0)</f>
        <v>47</v>
      </c>
    </row>
    <row r="260" customFormat="false" ht="15" hidden="false" customHeight="true" outlineLevel="0" collapsed="false">
      <c r="A260" s="5" t="s">
        <v>1485</v>
      </c>
      <c r="B260" s="5" t="n">
        <v>8.8</v>
      </c>
      <c r="C260" s="5" t="n">
        <v>12</v>
      </c>
      <c r="D260" s="5" t="n">
        <v>5</v>
      </c>
      <c r="E260" s="5" t="n">
        <v>12.9</v>
      </c>
      <c r="F260" s="5" t="n">
        <v>5.2</v>
      </c>
      <c r="G260" s="5" t="n">
        <v>5.4</v>
      </c>
      <c r="H260" s="5" t="n">
        <v>75.4</v>
      </c>
      <c r="I260" s="5" t="n">
        <v>63.3</v>
      </c>
      <c r="J260" s="5" t="n">
        <v>1</v>
      </c>
      <c r="K260" s="5" t="n">
        <f aca="false">ROUND(MIN(MAX((B260*10)*0.2 + (MIN(E260/25*100,100))*0.2 + (MAX(100-F260*5,0))*0.15 + (G260*10)*0.15 + (H260)*0.15 + (I260)*0.15 - (J260*5),0),100),0)</f>
        <v>63</v>
      </c>
    </row>
    <row r="261" customFormat="false" ht="15" hidden="false" customHeight="true" outlineLevel="0" collapsed="false">
      <c r="A261" s="5" t="s">
        <v>1486</v>
      </c>
      <c r="B261" s="5" t="n">
        <v>7</v>
      </c>
      <c r="C261" s="5" t="n">
        <v>13</v>
      </c>
      <c r="D261" s="5" t="n">
        <v>7</v>
      </c>
      <c r="E261" s="5" t="n">
        <v>13.6</v>
      </c>
      <c r="F261" s="5" t="n">
        <v>19.4</v>
      </c>
      <c r="G261" s="5" t="n">
        <v>8.6</v>
      </c>
      <c r="H261" s="5" t="n">
        <v>83.1</v>
      </c>
      <c r="I261" s="5" t="n">
        <v>84</v>
      </c>
      <c r="J261" s="5" t="n">
        <v>2</v>
      </c>
      <c r="K261" s="5" t="n">
        <f aca="false">ROUND(MIN(MAX((B261*10)*0.2 + (MIN(E261/25*100,100))*0.2 + (MAX(100-F261*5,0))*0.15 + (G261*10)*0.15 + (H261)*0.15 + (I261)*0.15 - (J261*5),0),100),0)</f>
        <v>53</v>
      </c>
    </row>
    <row r="262" customFormat="false" ht="15" hidden="false" customHeight="true" outlineLevel="0" collapsed="false">
      <c r="A262" s="5" t="s">
        <v>1488</v>
      </c>
      <c r="B262" s="5" t="n">
        <v>6</v>
      </c>
      <c r="C262" s="5" t="n">
        <v>8</v>
      </c>
      <c r="D262" s="5" t="n">
        <v>5</v>
      </c>
      <c r="E262" s="5" t="n">
        <v>13.4</v>
      </c>
      <c r="F262" s="5" t="n">
        <v>14.1</v>
      </c>
      <c r="G262" s="5" t="n">
        <v>7.9</v>
      </c>
      <c r="H262" s="5" t="n">
        <v>81.4</v>
      </c>
      <c r="I262" s="5" t="n">
        <v>80.8</v>
      </c>
      <c r="J262" s="5" t="n">
        <v>3</v>
      </c>
      <c r="K262" s="5" t="n">
        <f aca="false">ROUND(MIN(MAX((B262*10)*0.2 + (MIN(E262/25*100,100))*0.2 + (MAX(100-F262*5,0))*0.15 + (G262*10)*0.15 + (H262)*0.15 + (I262)*0.15 - (J262*5),0),100),0)</f>
        <v>48</v>
      </c>
    </row>
    <row r="263" customFormat="false" ht="15" hidden="false" customHeight="true" outlineLevel="0" collapsed="false">
      <c r="A263" s="5" t="s">
        <v>1491</v>
      </c>
      <c r="B263" s="5" t="n">
        <v>9.3</v>
      </c>
      <c r="C263" s="5" t="n">
        <v>15</v>
      </c>
      <c r="D263" s="5" t="n">
        <v>9</v>
      </c>
      <c r="E263" s="5" t="n">
        <v>19.1</v>
      </c>
      <c r="F263" s="5" t="n">
        <v>12.1</v>
      </c>
      <c r="G263" s="5" t="n">
        <v>7.8</v>
      </c>
      <c r="H263" s="5" t="n">
        <v>93</v>
      </c>
      <c r="I263" s="5" t="n">
        <v>68.9</v>
      </c>
      <c r="J263" s="5" t="n">
        <v>0</v>
      </c>
      <c r="K263" s="5" t="n">
        <f aca="false">ROUND(MIN(MAX((B263*10)*0.2 + (MIN(E263/25*100,100))*0.2 + (MAX(100-F263*5,0))*0.15 + (G263*10)*0.15 + (H263)*0.15 + (I263)*0.15 - (J263*5),0),100),0)</f>
        <v>76</v>
      </c>
    </row>
    <row r="264" customFormat="false" ht="15" hidden="false" customHeight="true" outlineLevel="0" collapsed="false">
      <c r="A264" s="5" t="s">
        <v>1492</v>
      </c>
      <c r="B264" s="5" t="n">
        <v>6.8</v>
      </c>
      <c r="C264" s="5" t="n">
        <v>10</v>
      </c>
      <c r="D264" s="5" t="n">
        <v>5</v>
      </c>
      <c r="E264" s="5" t="n">
        <v>17.1</v>
      </c>
      <c r="F264" s="5" t="n">
        <v>10.9</v>
      </c>
      <c r="G264" s="5" t="n">
        <v>6.7</v>
      </c>
      <c r="H264" s="5" t="n">
        <v>98.4</v>
      </c>
      <c r="I264" s="5" t="n">
        <v>55</v>
      </c>
      <c r="J264" s="5" t="n">
        <v>0</v>
      </c>
      <c r="K264" s="5" t="n">
        <f aca="false">ROUND(MIN(MAX((B264*10)*0.2 + (MIN(E264/25*100,100))*0.2 + (MAX(100-F264*5,0))*0.15 + (G264*10)*0.15 + (H264)*0.15 + (I264)*0.15 - (J264*5),0),100),0)</f>
        <v>67</v>
      </c>
    </row>
    <row r="265" customFormat="false" ht="15" hidden="false" customHeight="true" outlineLevel="0" collapsed="false">
      <c r="A265" s="5" t="s">
        <v>1494</v>
      </c>
      <c r="B265" s="5" t="n">
        <v>5</v>
      </c>
      <c r="C265" s="5" t="n">
        <v>6</v>
      </c>
      <c r="D265" s="5" t="n">
        <v>2</v>
      </c>
      <c r="E265" s="5" t="n">
        <v>19.9</v>
      </c>
      <c r="F265" s="5" t="n">
        <v>3.1</v>
      </c>
      <c r="G265" s="5" t="n">
        <v>9.9</v>
      </c>
      <c r="H265" s="5" t="n">
        <v>68.6</v>
      </c>
      <c r="I265" s="5" t="n">
        <v>68.5</v>
      </c>
      <c r="J265" s="5" t="n">
        <v>2</v>
      </c>
      <c r="K265" s="5" t="n">
        <f aca="false">ROUND(MIN(MAX((B265*10)*0.2 + (MIN(E265/25*100,100))*0.2 + (MAX(100-F265*5,0))*0.15 + (G265*10)*0.15 + (H265)*0.15 + (I265)*0.15 - (J265*5),0),100),0)</f>
        <v>64</v>
      </c>
    </row>
    <row r="266" customFormat="false" ht="15" hidden="false" customHeight="true" outlineLevel="0" collapsed="false">
      <c r="A266" s="5" t="s">
        <v>1495</v>
      </c>
      <c r="B266" s="5" t="n">
        <v>9.6</v>
      </c>
      <c r="C266" s="5" t="n">
        <v>17</v>
      </c>
      <c r="D266" s="5" t="n">
        <v>10</v>
      </c>
      <c r="E266" s="5" t="n">
        <v>12.7</v>
      </c>
      <c r="F266" s="5" t="n">
        <v>15.6</v>
      </c>
      <c r="G266" s="5" t="n">
        <v>7.4</v>
      </c>
      <c r="H266" s="5" t="n">
        <v>63.8</v>
      </c>
      <c r="I266" s="5" t="n">
        <v>74.8</v>
      </c>
      <c r="J266" s="5" t="n">
        <v>0</v>
      </c>
      <c r="K266" s="5" t="n">
        <f aca="false">ROUND(MIN(MAX((B266*10)*0.2 + (MIN(E266/25*100,100))*0.2 + (MAX(100-F266*5,0))*0.15 + (G266*10)*0.15 + (H266)*0.15 + (I266)*0.15 - (J266*5),0),100),0)</f>
        <v>65</v>
      </c>
    </row>
    <row r="267" customFormat="false" ht="15" hidden="false" customHeight="true" outlineLevel="0" collapsed="false">
      <c r="A267" s="5" t="s">
        <v>1498</v>
      </c>
      <c r="B267" s="5" t="n">
        <v>4.9</v>
      </c>
      <c r="C267" s="5" t="n">
        <v>10</v>
      </c>
      <c r="D267" s="5" t="n">
        <v>4</v>
      </c>
      <c r="E267" s="5" t="n">
        <v>7.9</v>
      </c>
      <c r="F267" s="5" t="n">
        <v>9.6</v>
      </c>
      <c r="G267" s="5" t="n">
        <v>7.4</v>
      </c>
      <c r="H267" s="5" t="n">
        <v>82.8</v>
      </c>
      <c r="I267" s="5" t="n">
        <v>64.3</v>
      </c>
      <c r="J267" s="5" t="n">
        <v>0</v>
      </c>
      <c r="K267" s="5" t="n">
        <f aca="false">ROUND(MIN(MAX((B267*10)*0.2 + (MIN(E267/25*100,100))*0.2 + (MAX(100-F267*5,0))*0.15 + (G267*10)*0.15 + (H267)*0.15 + (I267)*0.15 - (J267*5),0),100),0)</f>
        <v>57</v>
      </c>
    </row>
    <row r="268" customFormat="false" ht="15" hidden="false" customHeight="true" outlineLevel="0" collapsed="false">
      <c r="A268" s="5" t="s">
        <v>1500</v>
      </c>
      <c r="B268" s="5" t="n">
        <v>5.3</v>
      </c>
      <c r="C268" s="5" t="n">
        <v>8</v>
      </c>
      <c r="D268" s="5" t="n">
        <v>4</v>
      </c>
      <c r="E268" s="5" t="n">
        <v>20.1</v>
      </c>
      <c r="F268" s="5" t="n">
        <v>18.5</v>
      </c>
      <c r="G268" s="5" t="n">
        <v>8.9</v>
      </c>
      <c r="H268" s="5" t="n">
        <v>63.8</v>
      </c>
      <c r="I268" s="5" t="n">
        <v>82.6</v>
      </c>
      <c r="J268" s="5" t="n">
        <v>0</v>
      </c>
      <c r="K268" s="5" t="n">
        <f aca="false">ROUND(MIN(MAX((B268*10)*0.2 + (MIN(E268/25*100,100))*0.2 + (MAX(100-F268*5,0))*0.15 + (G268*10)*0.15 + (H268)*0.15 + (I268)*0.15 - (J268*5),0),100),0)</f>
        <v>63</v>
      </c>
    </row>
    <row r="269" customFormat="false" ht="15" hidden="false" customHeight="true" outlineLevel="0" collapsed="false">
      <c r="A269" s="5" t="s">
        <v>1503</v>
      </c>
      <c r="B269" s="5" t="n">
        <v>8.7</v>
      </c>
      <c r="C269" s="5" t="n">
        <v>13</v>
      </c>
      <c r="D269" s="5" t="n">
        <v>7</v>
      </c>
      <c r="E269" s="5" t="n">
        <v>20.5</v>
      </c>
      <c r="F269" s="5" t="n">
        <v>10.4</v>
      </c>
      <c r="G269" s="5" t="n">
        <v>9.3</v>
      </c>
      <c r="H269" s="5" t="n">
        <v>77.4</v>
      </c>
      <c r="I269" s="5" t="n">
        <v>95</v>
      </c>
      <c r="J269" s="5" t="n">
        <v>0</v>
      </c>
      <c r="K269" s="5" t="n">
        <f aca="false">ROUND(MIN(MAX((B269*10)*0.2 + (MIN(E269/25*100,100))*0.2 + (MAX(100-F269*5,0))*0.15 + (G269*10)*0.15 + (H269)*0.15 + (I269)*0.15 - (J269*5),0),100),0)</f>
        <v>81</v>
      </c>
    </row>
    <row r="270" customFormat="false" ht="15" hidden="false" customHeight="true" outlineLevel="0" collapsed="false">
      <c r="A270" s="5" t="s">
        <v>1506</v>
      </c>
      <c r="B270" s="5" t="n">
        <v>8.4</v>
      </c>
      <c r="C270" s="5" t="n">
        <v>15</v>
      </c>
      <c r="D270" s="5" t="n">
        <v>9</v>
      </c>
      <c r="E270" s="5" t="n">
        <v>20.6</v>
      </c>
      <c r="F270" s="5" t="n">
        <v>16.9</v>
      </c>
      <c r="G270" s="5" t="n">
        <v>7.8</v>
      </c>
      <c r="H270" s="5" t="n">
        <v>62.2</v>
      </c>
      <c r="I270" s="5" t="n">
        <v>77.5</v>
      </c>
      <c r="J270" s="5" t="n">
        <v>0</v>
      </c>
      <c r="K270" s="5" t="n">
        <f aca="false">ROUND(MIN(MAX((B270*10)*0.2 + (MIN(E270/25*100,100))*0.2 + (MAX(100-F270*5,0))*0.15 + (G270*10)*0.15 + (H270)*0.15 + (I270)*0.15 - (J270*5),0),100),0)</f>
        <v>68</v>
      </c>
    </row>
    <row r="271" customFormat="false" ht="15" hidden="false" customHeight="true" outlineLevel="0" collapsed="false">
      <c r="A271" s="5" t="s">
        <v>1508</v>
      </c>
      <c r="B271" s="5" t="n">
        <v>7</v>
      </c>
      <c r="C271" s="5" t="n">
        <v>10</v>
      </c>
      <c r="D271" s="5" t="n">
        <v>6</v>
      </c>
      <c r="E271" s="5" t="n">
        <v>5.9</v>
      </c>
      <c r="F271" s="5" t="n">
        <v>17.8</v>
      </c>
      <c r="G271" s="5" t="n">
        <v>10</v>
      </c>
      <c r="H271" s="5" t="n">
        <v>98.8</v>
      </c>
      <c r="I271" s="5" t="n">
        <v>87.4</v>
      </c>
      <c r="J271" s="5" t="n">
        <v>1</v>
      </c>
      <c r="K271" s="5" t="n">
        <f aca="false">ROUND(MIN(MAX((B271*10)*0.2 + (MIN(E271/25*100,100))*0.2 + (MAX(100-F271*5,0))*0.15 + (G271*10)*0.15 + (H271)*0.15 + (I271)*0.15 - (J271*5),0),100),0)</f>
        <v>58</v>
      </c>
    </row>
    <row r="272" customFormat="false" ht="15" hidden="false" customHeight="true" outlineLevel="0" collapsed="false">
      <c r="A272" s="5" t="s">
        <v>1510</v>
      </c>
      <c r="B272" s="5" t="n">
        <v>3.6</v>
      </c>
      <c r="C272" s="5" t="n">
        <v>5</v>
      </c>
      <c r="D272" s="5" t="n">
        <v>3</v>
      </c>
      <c r="E272" s="5" t="n">
        <v>5.8</v>
      </c>
      <c r="F272" s="5" t="n">
        <v>10.4</v>
      </c>
      <c r="G272" s="5" t="n">
        <v>6.9</v>
      </c>
      <c r="H272" s="5" t="n">
        <v>89.8</v>
      </c>
      <c r="I272" s="5" t="n">
        <v>78.6</v>
      </c>
      <c r="J272" s="5" t="n">
        <v>0</v>
      </c>
      <c r="K272" s="5" t="n">
        <f aca="false">ROUND(MIN(MAX((B272*10)*0.2 + (MIN(E272/25*100,100))*0.2 + (MAX(100-F272*5,0))*0.15 + (G272*10)*0.15 + (H272)*0.15 + (I272)*0.15 - (J272*5),0),100),0)</f>
        <v>55</v>
      </c>
    </row>
    <row r="273" customFormat="false" ht="15" hidden="false" customHeight="true" outlineLevel="0" collapsed="false">
      <c r="A273" s="5" t="s">
        <v>1513</v>
      </c>
      <c r="B273" s="5" t="n">
        <v>5.8</v>
      </c>
      <c r="C273" s="5" t="n">
        <v>9</v>
      </c>
      <c r="D273" s="5" t="n">
        <v>5</v>
      </c>
      <c r="E273" s="5" t="n">
        <v>17.5</v>
      </c>
      <c r="F273" s="5" t="n">
        <v>13.6</v>
      </c>
      <c r="G273" s="5" t="n">
        <v>5.2</v>
      </c>
      <c r="H273" s="5" t="n">
        <v>75.8</v>
      </c>
      <c r="I273" s="5" t="n">
        <v>79.6</v>
      </c>
      <c r="J273" s="5" t="n">
        <v>1</v>
      </c>
      <c r="K273" s="5" t="n">
        <f aca="false">ROUND(MIN(MAX((B273*10)*0.2 + (MIN(E273/25*100,100))*0.2 + (MAX(100-F273*5,0))*0.15 + (G273*10)*0.15 + (H273)*0.15 + (I273)*0.15 - (J273*5),0),100),0)</f>
        <v>57</v>
      </c>
    </row>
    <row r="274" customFormat="false" ht="15" hidden="false" customHeight="true" outlineLevel="0" collapsed="false">
      <c r="A274" s="5" t="s">
        <v>1515</v>
      </c>
      <c r="B274" s="5" t="n">
        <v>10</v>
      </c>
      <c r="C274" s="5" t="n">
        <v>16</v>
      </c>
      <c r="D274" s="5" t="n">
        <v>7</v>
      </c>
      <c r="E274" s="5" t="n">
        <v>8.1</v>
      </c>
      <c r="F274" s="5" t="n">
        <v>12.5</v>
      </c>
      <c r="G274" s="5" t="n">
        <v>8.1</v>
      </c>
      <c r="H274" s="5" t="n">
        <v>83</v>
      </c>
      <c r="I274" s="5" t="n">
        <v>59.8</v>
      </c>
      <c r="J274" s="5" t="n">
        <v>1</v>
      </c>
      <c r="K274" s="5" t="n">
        <f aca="false">ROUND(MIN(MAX((B274*10)*0.2 + (MIN(E274/25*100,100))*0.2 + (MAX(100-F274*5,0))*0.15 + (G274*10)*0.15 + (H274)*0.15 + (I274)*0.15 - (J274*5),0),100),0)</f>
        <v>61</v>
      </c>
    </row>
    <row r="275" customFormat="false" ht="15" hidden="false" customHeight="true" outlineLevel="0" collapsed="false">
      <c r="A275" s="5" t="s">
        <v>1518</v>
      </c>
      <c r="B275" s="5" t="n">
        <v>5.6</v>
      </c>
      <c r="C275" s="5" t="n">
        <v>7</v>
      </c>
      <c r="D275" s="5" t="n">
        <v>3</v>
      </c>
      <c r="E275" s="5" t="n">
        <v>15.5</v>
      </c>
      <c r="F275" s="5" t="n">
        <v>19.9</v>
      </c>
      <c r="G275" s="5" t="n">
        <v>5</v>
      </c>
      <c r="H275" s="5" t="n">
        <v>74</v>
      </c>
      <c r="I275" s="5" t="n">
        <v>90.3</v>
      </c>
      <c r="J275" s="5" t="n">
        <v>2</v>
      </c>
      <c r="K275" s="5" t="n">
        <f aca="false">ROUND(MIN(MAX((B275*10)*0.2 + (MIN(E275/25*100,100))*0.2 + (MAX(100-F275*5,0))*0.15 + (G275*10)*0.15 + (H275)*0.15 + (I275)*0.15 - (J275*5),0),100),0)</f>
        <v>46</v>
      </c>
    </row>
    <row r="276" customFormat="false" ht="15" hidden="false" customHeight="true" outlineLevel="0" collapsed="false">
      <c r="A276" s="5" t="s">
        <v>1520</v>
      </c>
      <c r="B276" s="5" t="n">
        <v>7.4</v>
      </c>
      <c r="C276" s="5" t="n">
        <v>12</v>
      </c>
      <c r="D276" s="5" t="n">
        <v>7</v>
      </c>
      <c r="E276" s="5" t="n">
        <v>7.4</v>
      </c>
      <c r="F276" s="5" t="n">
        <v>18.1</v>
      </c>
      <c r="G276" s="5" t="n">
        <v>4.9</v>
      </c>
      <c r="H276" s="5" t="n">
        <v>89.1</v>
      </c>
      <c r="I276" s="5" t="n">
        <v>58.7</v>
      </c>
      <c r="J276" s="5" t="n">
        <v>2</v>
      </c>
      <c r="K276" s="5" t="n">
        <f aca="false">ROUND(MIN(MAX((B276*10)*0.2 + (MIN(E276/25*100,100))*0.2 + (MAX(100-F276*5,0))*0.15 + (G276*10)*0.15 + (H276)*0.15 + (I276)*0.15 - (J276*5),0),100),0)</f>
        <v>42</v>
      </c>
    </row>
    <row r="277" customFormat="false" ht="15" hidden="false" customHeight="true" outlineLevel="0" collapsed="false">
      <c r="A277" s="5" t="s">
        <v>1522</v>
      </c>
      <c r="B277" s="5" t="n">
        <v>4.7</v>
      </c>
      <c r="C277" s="5" t="n">
        <v>8</v>
      </c>
      <c r="D277" s="5" t="n">
        <v>3</v>
      </c>
      <c r="E277" s="5" t="n">
        <v>18.8</v>
      </c>
      <c r="F277" s="5" t="n">
        <v>9.3</v>
      </c>
      <c r="G277" s="5" t="n">
        <v>6.1</v>
      </c>
      <c r="H277" s="5" t="n">
        <v>92.2</v>
      </c>
      <c r="I277" s="5" t="n">
        <v>68.1</v>
      </c>
      <c r="J277" s="5" t="n">
        <v>1</v>
      </c>
      <c r="K277" s="5" t="n">
        <f aca="false">ROUND(MIN(MAX((B277*10)*0.2 + (MIN(E277/25*100,100))*0.2 + (MAX(100-F277*5,0))*0.15 + (G277*10)*0.15 + (H277)*0.15 + (I277)*0.15 - (J277*5),0),100),0)</f>
        <v>61</v>
      </c>
    </row>
    <row r="278" customFormat="false" ht="15" hidden="false" customHeight="true" outlineLevel="0" collapsed="false">
      <c r="A278" s="5" t="s">
        <v>1524</v>
      </c>
      <c r="B278" s="5" t="n">
        <v>5.3</v>
      </c>
      <c r="C278" s="5" t="n">
        <v>10</v>
      </c>
      <c r="D278" s="5" t="n">
        <v>4</v>
      </c>
      <c r="E278" s="5" t="n">
        <v>13.4</v>
      </c>
      <c r="F278" s="5" t="n">
        <v>19.5</v>
      </c>
      <c r="G278" s="5" t="n">
        <v>7.3</v>
      </c>
      <c r="H278" s="5" t="n">
        <v>84.9</v>
      </c>
      <c r="I278" s="5" t="n">
        <v>97.7</v>
      </c>
      <c r="J278" s="5" t="n">
        <v>1</v>
      </c>
      <c r="K278" s="5" t="n">
        <f aca="false">ROUND(MIN(MAX((B278*10)*0.2 + (MIN(E278/25*100,100))*0.2 + (MAX(100-F278*5,0))*0.15 + (G278*10)*0.15 + (H278)*0.15 + (I278)*0.15 - (J278*5),0),100),0)</f>
        <v>55</v>
      </c>
    </row>
    <row r="279" customFormat="false" ht="15" hidden="false" customHeight="true" outlineLevel="0" collapsed="false">
      <c r="A279" s="5" t="s">
        <v>1526</v>
      </c>
      <c r="B279" s="5" t="n">
        <v>7.7</v>
      </c>
      <c r="C279" s="5" t="n">
        <v>12</v>
      </c>
      <c r="D279" s="5" t="n">
        <v>7</v>
      </c>
      <c r="E279" s="5" t="n">
        <v>13</v>
      </c>
      <c r="F279" s="5" t="n">
        <v>8.6</v>
      </c>
      <c r="G279" s="5" t="n">
        <v>4.4</v>
      </c>
      <c r="H279" s="5" t="n">
        <v>68</v>
      </c>
      <c r="I279" s="5" t="n">
        <v>85</v>
      </c>
      <c r="J279" s="5" t="n">
        <v>0</v>
      </c>
      <c r="K279" s="5" t="n">
        <f aca="false">ROUND(MIN(MAX((B279*10)*0.2 + (MIN(E279/25*100,100))*0.2 + (MAX(100-F279*5,0))*0.15 + (G279*10)*0.15 + (H279)*0.15 + (I279)*0.15 - (J279*5),0),100),0)</f>
        <v>64</v>
      </c>
    </row>
    <row r="280" customFormat="false" ht="15" hidden="false" customHeight="true" outlineLevel="0" collapsed="false">
      <c r="A280" s="5" t="s">
        <v>1528</v>
      </c>
      <c r="B280" s="5" t="n">
        <v>6.3</v>
      </c>
      <c r="C280" s="5" t="n">
        <v>12</v>
      </c>
      <c r="D280" s="5" t="n">
        <v>5</v>
      </c>
      <c r="E280" s="5" t="n">
        <v>15.5</v>
      </c>
      <c r="F280" s="5" t="n">
        <v>17.6</v>
      </c>
      <c r="G280" s="5" t="n">
        <v>9.5</v>
      </c>
      <c r="H280" s="5" t="n">
        <v>74.4</v>
      </c>
      <c r="I280" s="5" t="n">
        <v>59.6</v>
      </c>
      <c r="J280" s="5" t="n">
        <v>0</v>
      </c>
      <c r="K280" s="5" t="n">
        <f aca="false">ROUND(MIN(MAX((B280*10)*0.2 + (MIN(E280/25*100,100))*0.2 + (MAX(100-F280*5,0))*0.15 + (G280*10)*0.15 + (H280)*0.15 + (I280)*0.15 - (J280*5),0),100),0)</f>
        <v>61</v>
      </c>
    </row>
    <row r="281" customFormat="false" ht="15" hidden="false" customHeight="true" outlineLevel="0" collapsed="false">
      <c r="A281" s="5" t="s">
        <v>1530</v>
      </c>
      <c r="B281" s="5" t="n">
        <v>9.2</v>
      </c>
      <c r="C281" s="5" t="n">
        <v>14</v>
      </c>
      <c r="D281" s="5" t="n">
        <v>8</v>
      </c>
      <c r="E281" s="5" t="n">
        <v>12.7</v>
      </c>
      <c r="F281" s="5" t="n">
        <v>18.6</v>
      </c>
      <c r="G281" s="5" t="n">
        <v>9.4</v>
      </c>
      <c r="H281" s="5" t="n">
        <v>79.4</v>
      </c>
      <c r="I281" s="5" t="n">
        <v>80.7</v>
      </c>
      <c r="J281" s="5" t="n">
        <v>0</v>
      </c>
      <c r="K281" s="5" t="n">
        <f aca="false">ROUND(MIN(MAX((B281*10)*0.2 + (MIN(E281/25*100,100))*0.2 + (MAX(100-F281*5,0))*0.15 + (G281*10)*0.15 + (H281)*0.15 + (I281)*0.15 - (J281*5),0),100),0)</f>
        <v>68</v>
      </c>
    </row>
    <row r="282" customFormat="false" ht="15" hidden="false" customHeight="true" outlineLevel="0" collapsed="false">
      <c r="A282" s="5" t="s">
        <v>1532</v>
      </c>
      <c r="B282" s="5" t="n">
        <v>4.4</v>
      </c>
      <c r="C282" s="5" t="n">
        <v>9</v>
      </c>
      <c r="D282" s="5" t="n">
        <v>5</v>
      </c>
      <c r="E282" s="5" t="n">
        <v>16.5</v>
      </c>
      <c r="F282" s="5" t="n">
        <v>3.9</v>
      </c>
      <c r="G282" s="5" t="n">
        <v>9.5</v>
      </c>
      <c r="H282" s="5" t="n">
        <v>72.2</v>
      </c>
      <c r="I282" s="5" t="n">
        <v>76.1</v>
      </c>
      <c r="J282" s="5" t="n">
        <v>2</v>
      </c>
      <c r="K282" s="5" t="n">
        <f aca="false">ROUND(MIN(MAX((B282*10)*0.2 + (MIN(E282/25*100,100))*0.2 + (MAX(100-F282*5,0))*0.15 + (G282*10)*0.15 + (H282)*0.15 + (I282)*0.15 - (J282*5),0),100),0)</f>
        <v>61</v>
      </c>
    </row>
    <row r="283" customFormat="false" ht="15" hidden="false" customHeight="true" outlineLevel="0" collapsed="false">
      <c r="A283" s="5" t="s">
        <v>1534</v>
      </c>
      <c r="B283" s="5" t="n">
        <v>3.1</v>
      </c>
      <c r="C283" s="5" t="n">
        <v>6</v>
      </c>
      <c r="D283" s="5" t="n">
        <v>3</v>
      </c>
      <c r="E283" s="5" t="n">
        <v>8.7</v>
      </c>
      <c r="F283" s="5" t="n">
        <v>24.9</v>
      </c>
      <c r="G283" s="5" t="n">
        <v>9.9</v>
      </c>
      <c r="H283" s="5" t="n">
        <v>71</v>
      </c>
      <c r="I283" s="5" t="n">
        <v>57.7</v>
      </c>
      <c r="J283" s="5" t="n">
        <v>0</v>
      </c>
      <c r="K283" s="5" t="n">
        <f aca="false">ROUND(MIN(MAX((B283*10)*0.2 + (MIN(E283/25*100,100))*0.2 + (MAX(100-F283*5,0))*0.15 + (G283*10)*0.15 + (H283)*0.15 + (I283)*0.15 - (J283*5),0),100),0)</f>
        <v>47</v>
      </c>
    </row>
    <row r="284" customFormat="false" ht="15" hidden="false" customHeight="true" outlineLevel="0" collapsed="false">
      <c r="A284" s="5" t="s">
        <v>1536</v>
      </c>
      <c r="B284" s="5" t="n">
        <v>5.7</v>
      </c>
      <c r="C284" s="5" t="n">
        <v>12</v>
      </c>
      <c r="D284" s="5" t="n">
        <v>7</v>
      </c>
      <c r="E284" s="5" t="n">
        <v>20.9</v>
      </c>
      <c r="F284" s="5" t="n">
        <v>23.9</v>
      </c>
      <c r="G284" s="5" t="n">
        <v>5.4</v>
      </c>
      <c r="H284" s="5" t="n">
        <v>73.7</v>
      </c>
      <c r="I284" s="5" t="n">
        <v>71.9</v>
      </c>
      <c r="J284" s="5" t="n">
        <v>0</v>
      </c>
      <c r="K284" s="5" t="n">
        <f aca="false">ROUND(MIN(MAX((B284*10)*0.2 + (MIN(E284/25*100,100))*0.2 + (MAX(100-F284*5,0))*0.15 + (G284*10)*0.15 + (H284)*0.15 + (I284)*0.15 - (J284*5),0),100),0)</f>
        <v>58</v>
      </c>
    </row>
    <row r="285" customFormat="false" ht="15" hidden="false" customHeight="true" outlineLevel="0" collapsed="false">
      <c r="A285" s="5" t="s">
        <v>1538</v>
      </c>
      <c r="B285" s="5" t="n">
        <v>8.1</v>
      </c>
      <c r="C285" s="5" t="n">
        <v>13</v>
      </c>
      <c r="D285" s="5" t="n">
        <v>7</v>
      </c>
      <c r="E285" s="5" t="n">
        <v>19.6</v>
      </c>
      <c r="F285" s="5" t="n">
        <v>18.1</v>
      </c>
      <c r="G285" s="5" t="n">
        <v>6.5</v>
      </c>
      <c r="H285" s="5" t="n">
        <v>82.9</v>
      </c>
      <c r="I285" s="5" t="n">
        <v>73.3</v>
      </c>
      <c r="J285" s="5" t="n">
        <v>0</v>
      </c>
      <c r="K285" s="5" t="n">
        <f aca="false">ROUND(MIN(MAX((B285*10)*0.2 + (MIN(E285/25*100,100))*0.2 + (MAX(100-F285*5,0))*0.15 + (G285*10)*0.15 + (H285)*0.15 + (I285)*0.15 - (J285*5),0),100),0)</f>
        <v>66</v>
      </c>
    </row>
    <row r="286" customFormat="false" ht="15" hidden="false" customHeight="true" outlineLevel="0" collapsed="false">
      <c r="A286" s="5" t="s">
        <v>1540</v>
      </c>
      <c r="B286" s="5" t="n">
        <v>7.2</v>
      </c>
      <c r="C286" s="5" t="n">
        <v>11</v>
      </c>
      <c r="D286" s="5" t="n">
        <v>4</v>
      </c>
      <c r="E286" s="5" t="n">
        <v>15.4</v>
      </c>
      <c r="F286" s="5" t="n">
        <v>15.8</v>
      </c>
      <c r="G286" s="5" t="n">
        <v>8.1</v>
      </c>
      <c r="H286" s="5" t="n">
        <v>68.1</v>
      </c>
      <c r="I286" s="5" t="n">
        <v>60.9</v>
      </c>
      <c r="J286" s="5" t="n">
        <v>1</v>
      </c>
      <c r="K286" s="5" t="n">
        <f aca="false">ROUND(MIN(MAX((B286*10)*0.2 + (MIN(E286/25*100,100))*0.2 + (MAX(100-F286*5,0))*0.15 + (G286*10)*0.15 + (H286)*0.15 + (I286)*0.15 - (J286*5),0),100),0)</f>
        <v>56</v>
      </c>
    </row>
    <row r="287" customFormat="false" ht="15" hidden="false" customHeight="true" outlineLevel="0" collapsed="false">
      <c r="A287" s="5" t="s">
        <v>1541</v>
      </c>
      <c r="B287" s="5" t="n">
        <v>9.3</v>
      </c>
      <c r="C287" s="5" t="n">
        <v>17</v>
      </c>
      <c r="D287" s="5" t="n">
        <v>8</v>
      </c>
      <c r="E287" s="5" t="n">
        <v>20.3</v>
      </c>
      <c r="F287" s="5" t="n">
        <v>19.9</v>
      </c>
      <c r="G287" s="5" t="n">
        <v>7.9</v>
      </c>
      <c r="H287" s="5" t="n">
        <v>82.6</v>
      </c>
      <c r="I287" s="5" t="n">
        <v>61.8</v>
      </c>
      <c r="J287" s="5" t="n">
        <v>0</v>
      </c>
      <c r="K287" s="5" t="n">
        <f aca="false">ROUND(MIN(MAX((B287*10)*0.2 + (MIN(E287/25*100,100))*0.2 + (MAX(100-F287*5,0))*0.15 + (G287*10)*0.15 + (H287)*0.15 + (I287)*0.15 - (J287*5),0),100),0)</f>
        <v>68</v>
      </c>
    </row>
    <row r="288" customFormat="false" ht="15" hidden="false" customHeight="true" outlineLevel="0" collapsed="false">
      <c r="A288" s="5" t="s">
        <v>1543</v>
      </c>
      <c r="B288" s="5" t="n">
        <v>6.7</v>
      </c>
      <c r="C288" s="5" t="n">
        <v>12</v>
      </c>
      <c r="D288" s="5" t="n">
        <v>5</v>
      </c>
      <c r="E288" s="5" t="n">
        <v>19</v>
      </c>
      <c r="F288" s="5" t="n">
        <v>6.2</v>
      </c>
      <c r="G288" s="5" t="n">
        <v>4.2</v>
      </c>
      <c r="H288" s="5" t="n">
        <v>72.7</v>
      </c>
      <c r="I288" s="5" t="n">
        <v>96.8</v>
      </c>
      <c r="J288" s="5" t="n">
        <v>4</v>
      </c>
      <c r="K288" s="5" t="n">
        <f aca="false">ROUND(MIN(MAX((B288*10)*0.2 + (MIN(E288/25*100,100))*0.2 + (MAX(100-F288*5,0))*0.15 + (G288*10)*0.15 + (H288)*0.15 + (I288)*0.15 - (J288*5),0),100),0)</f>
        <v>51</v>
      </c>
    </row>
    <row r="289" customFormat="false" ht="15" hidden="false" customHeight="true" outlineLevel="0" collapsed="false">
      <c r="A289" s="5" t="s">
        <v>1545</v>
      </c>
      <c r="B289" s="5" t="n">
        <v>5.1</v>
      </c>
      <c r="C289" s="5" t="n">
        <v>9</v>
      </c>
      <c r="D289" s="5" t="n">
        <v>5</v>
      </c>
      <c r="E289" s="5" t="n">
        <v>15.1</v>
      </c>
      <c r="F289" s="5" t="n">
        <v>19.2</v>
      </c>
      <c r="G289" s="5" t="n">
        <v>4.9</v>
      </c>
      <c r="H289" s="5" t="n">
        <v>67.5</v>
      </c>
      <c r="I289" s="5" t="n">
        <v>60.7</v>
      </c>
      <c r="J289" s="5" t="n">
        <v>0</v>
      </c>
      <c r="K289" s="5" t="n">
        <f aca="false">ROUND(MIN(MAX((B289*10)*0.2 + (MIN(E289/25*100,100))*0.2 + (MAX(100-F289*5,0))*0.15 + (G289*10)*0.15 + (H289)*0.15 + (I289)*0.15 - (J289*5),0),100),0)</f>
        <v>49</v>
      </c>
    </row>
    <row r="290" customFormat="false" ht="15" hidden="false" customHeight="true" outlineLevel="0" collapsed="false">
      <c r="A290" s="5" t="s">
        <v>1547</v>
      </c>
      <c r="B290" s="5" t="n">
        <v>9.9</v>
      </c>
      <c r="C290" s="5" t="n">
        <v>16</v>
      </c>
      <c r="D290" s="5" t="n">
        <v>8</v>
      </c>
      <c r="E290" s="5" t="n">
        <v>14.6</v>
      </c>
      <c r="F290" s="5" t="n">
        <v>16.1</v>
      </c>
      <c r="G290" s="5" t="n">
        <v>5.4</v>
      </c>
      <c r="H290" s="5" t="n">
        <v>61</v>
      </c>
      <c r="I290" s="5" t="n">
        <v>58.4</v>
      </c>
      <c r="J290" s="5" t="n">
        <v>2</v>
      </c>
      <c r="K290" s="5" t="n">
        <f aca="false">ROUND(MIN(MAX((B290*10)*0.2 + (MIN(E290/25*100,100))*0.2 + (MAX(100-F290*5,0))*0.15 + (G290*10)*0.15 + (H290)*0.15 + (I290)*0.15 - (J290*5),0),100),0)</f>
        <v>50</v>
      </c>
    </row>
    <row r="291" customFormat="false" ht="15" hidden="false" customHeight="true" outlineLevel="0" collapsed="false">
      <c r="A291" s="5" t="s">
        <v>1550</v>
      </c>
      <c r="B291" s="5" t="n">
        <v>3.9</v>
      </c>
      <c r="C291" s="5" t="n">
        <v>8</v>
      </c>
      <c r="D291" s="5" t="n">
        <v>4</v>
      </c>
      <c r="E291" s="5" t="n">
        <v>15.3</v>
      </c>
      <c r="F291" s="5" t="n">
        <v>7</v>
      </c>
      <c r="G291" s="5" t="n">
        <v>6.3</v>
      </c>
      <c r="H291" s="5" t="n">
        <v>79</v>
      </c>
      <c r="I291" s="5" t="n">
        <v>62</v>
      </c>
      <c r="J291" s="5" t="n">
        <v>0</v>
      </c>
      <c r="K291" s="5" t="n">
        <f aca="false">ROUND(MIN(MAX((B291*10)*0.2 + (MIN(E291/25*100,100))*0.2 + (MAX(100-F291*5,0))*0.15 + (G291*10)*0.15 + (H291)*0.15 + (I291)*0.15 - (J291*5),0),100),0)</f>
        <v>60</v>
      </c>
    </row>
    <row r="292" customFormat="false" ht="15" hidden="false" customHeight="true" outlineLevel="0" collapsed="false">
      <c r="A292" s="5" t="s">
        <v>1552</v>
      </c>
      <c r="B292" s="5" t="n">
        <v>5.9</v>
      </c>
      <c r="C292" s="5" t="n">
        <v>12</v>
      </c>
      <c r="D292" s="5" t="n">
        <v>7</v>
      </c>
      <c r="E292" s="5" t="n">
        <v>21.1</v>
      </c>
      <c r="F292" s="5" t="n">
        <v>7.9</v>
      </c>
      <c r="G292" s="5" t="n">
        <v>8</v>
      </c>
      <c r="H292" s="5" t="n">
        <v>68.1</v>
      </c>
      <c r="I292" s="5" t="n">
        <v>63.8</v>
      </c>
      <c r="J292" s="5" t="n">
        <v>0</v>
      </c>
      <c r="K292" s="5" t="n">
        <f aca="false">ROUND(MIN(MAX((B292*10)*0.2 + (MIN(E292/25*100,100))*0.2 + (MAX(100-F292*5,0))*0.15 + (G292*10)*0.15 + (H292)*0.15 + (I292)*0.15 - (J292*5),0),100),0)</f>
        <v>70</v>
      </c>
    </row>
    <row r="293" customFormat="false" ht="15" hidden="false" customHeight="true" outlineLevel="0" collapsed="false">
      <c r="A293" s="5" t="s">
        <v>1554</v>
      </c>
      <c r="B293" s="5" t="n">
        <v>9.7</v>
      </c>
      <c r="C293" s="5" t="n">
        <v>15</v>
      </c>
      <c r="D293" s="5" t="n">
        <v>8</v>
      </c>
      <c r="E293" s="5" t="n">
        <v>16.1</v>
      </c>
      <c r="F293" s="5" t="n">
        <v>22.1</v>
      </c>
      <c r="G293" s="5" t="n">
        <v>9.3</v>
      </c>
      <c r="H293" s="5" t="n">
        <v>77.1</v>
      </c>
      <c r="I293" s="5" t="n">
        <v>88.4</v>
      </c>
      <c r="J293" s="5" t="n">
        <v>1</v>
      </c>
      <c r="K293" s="5" t="n">
        <f aca="false">ROUND(MIN(MAX((B293*10)*0.2 + (MIN(E293/25*100,100))*0.2 + (MAX(100-F293*5,0))*0.15 + (G293*10)*0.15 + (H293)*0.15 + (I293)*0.15 - (J293*5),0),100),0)</f>
        <v>66</v>
      </c>
    </row>
    <row r="294" customFormat="false" ht="15" hidden="false" customHeight="true" outlineLevel="0" collapsed="false">
      <c r="A294" s="5" t="s">
        <v>1556</v>
      </c>
      <c r="B294" s="5" t="n">
        <v>8.8</v>
      </c>
      <c r="C294" s="5" t="n">
        <v>15</v>
      </c>
      <c r="D294" s="5" t="n">
        <v>7</v>
      </c>
      <c r="E294" s="5" t="n">
        <v>20.8</v>
      </c>
      <c r="F294" s="5" t="n">
        <v>15.6</v>
      </c>
      <c r="G294" s="5" t="n">
        <v>7.2</v>
      </c>
      <c r="H294" s="5" t="n">
        <v>85.7</v>
      </c>
      <c r="I294" s="5" t="n">
        <v>85.3</v>
      </c>
      <c r="J294" s="5" t="n">
        <v>0</v>
      </c>
      <c r="K294" s="5" t="n">
        <f aca="false">ROUND(MIN(MAX((B294*10)*0.2 + (MIN(E294/25*100,100))*0.2 + (MAX(100-F294*5,0))*0.15 + (G294*10)*0.15 + (H294)*0.15 + (I294)*0.15 - (J294*5),0),100),0)</f>
        <v>74</v>
      </c>
    </row>
    <row r="295" customFormat="false" ht="15" hidden="false" customHeight="true" outlineLevel="0" collapsed="false">
      <c r="A295" s="5" t="s">
        <v>1559</v>
      </c>
      <c r="B295" s="5" t="n">
        <v>3.8</v>
      </c>
      <c r="C295" s="5" t="n">
        <v>6</v>
      </c>
      <c r="D295" s="5" t="n">
        <v>4</v>
      </c>
      <c r="E295" s="5" t="n">
        <v>19.7</v>
      </c>
      <c r="F295" s="5" t="n">
        <v>8.4</v>
      </c>
      <c r="G295" s="5" t="n">
        <v>7.2</v>
      </c>
      <c r="H295" s="5" t="n">
        <v>99.4</v>
      </c>
      <c r="I295" s="5" t="n">
        <v>56.7</v>
      </c>
      <c r="J295" s="5" t="n">
        <v>0</v>
      </c>
      <c r="K295" s="5" t="n">
        <f aca="false">ROUND(MIN(MAX((B295*10)*0.2 + (MIN(E295/25*100,100))*0.2 + (MAX(100-F295*5,0))*0.15 + (G295*10)*0.15 + (H295)*0.15 + (I295)*0.15 - (J295*5),0),100),0)</f>
        <v>66</v>
      </c>
    </row>
    <row r="296" customFormat="false" ht="15" hidden="false" customHeight="true" outlineLevel="0" collapsed="false">
      <c r="A296" s="5" t="s">
        <v>1561</v>
      </c>
      <c r="B296" s="5" t="n">
        <v>8.4</v>
      </c>
      <c r="C296" s="5" t="n">
        <v>16</v>
      </c>
      <c r="D296" s="5" t="n">
        <v>7</v>
      </c>
      <c r="E296" s="5" t="n">
        <v>11.4</v>
      </c>
      <c r="F296" s="5" t="n">
        <v>22.5</v>
      </c>
      <c r="G296" s="5" t="n">
        <v>8.6</v>
      </c>
      <c r="H296" s="5" t="n">
        <v>71.4</v>
      </c>
      <c r="I296" s="5" t="n">
        <v>62.2</v>
      </c>
      <c r="J296" s="5" t="n">
        <v>0</v>
      </c>
      <c r="K296" s="5" t="n">
        <f aca="false">ROUND(MIN(MAX((B296*10)*0.2 + (MIN(E296/25*100,100))*0.2 + (MAX(100-F296*5,0))*0.15 + (G296*10)*0.15 + (H296)*0.15 + (I296)*0.15 - (J296*5),0),100),0)</f>
        <v>59</v>
      </c>
    </row>
    <row r="297" customFormat="false" ht="15" hidden="false" customHeight="true" outlineLevel="0" collapsed="false">
      <c r="A297" s="5" t="s">
        <v>1562</v>
      </c>
      <c r="B297" s="5" t="n">
        <v>9.4</v>
      </c>
      <c r="C297" s="5" t="n">
        <v>16</v>
      </c>
      <c r="D297" s="5" t="n">
        <v>9</v>
      </c>
      <c r="E297" s="5" t="n">
        <v>11.8</v>
      </c>
      <c r="F297" s="5" t="n">
        <v>17.2</v>
      </c>
      <c r="G297" s="5" t="n">
        <v>4.5</v>
      </c>
      <c r="H297" s="5" t="n">
        <v>80</v>
      </c>
      <c r="I297" s="5" t="n">
        <v>62.7</v>
      </c>
      <c r="J297" s="5" t="n">
        <v>1</v>
      </c>
      <c r="K297" s="5" t="n">
        <f aca="false">ROUND(MIN(MAX((B297*10)*0.2 + (MIN(E297/25*100,100))*0.2 + (MAX(100-F297*5,0))*0.15 + (G297*10)*0.15 + (H297)*0.15 + (I297)*0.15 - (J297*5),0),100),0)</f>
        <v>53</v>
      </c>
    </row>
    <row r="298" customFormat="false" ht="15" hidden="false" customHeight="true" outlineLevel="0" collapsed="false">
      <c r="A298" s="5" t="s">
        <v>1565</v>
      </c>
      <c r="B298" s="5" t="n">
        <v>9.3</v>
      </c>
      <c r="C298" s="5" t="n">
        <v>15</v>
      </c>
      <c r="D298" s="5" t="n">
        <v>7</v>
      </c>
      <c r="E298" s="5" t="n">
        <v>9.1</v>
      </c>
      <c r="F298" s="5" t="n">
        <v>3.5</v>
      </c>
      <c r="G298" s="5" t="n">
        <v>6.7</v>
      </c>
      <c r="H298" s="5" t="n">
        <v>95.9</v>
      </c>
      <c r="I298" s="5" t="n">
        <v>93.5</v>
      </c>
      <c r="J298" s="5" t="n">
        <v>3</v>
      </c>
      <c r="K298" s="5" t="n">
        <f aca="false">ROUND(MIN(MAX((B298*10)*0.2 + (MIN(E298/25*100,100))*0.2 + (MAX(100-F298*5,0))*0.15 + (G298*10)*0.15 + (H298)*0.15 + (I298)*0.15 - (J298*5),0),100),0)</f>
        <v>62</v>
      </c>
    </row>
    <row r="299" customFormat="false" ht="15" hidden="false" customHeight="true" outlineLevel="0" collapsed="false">
      <c r="A299" s="5" t="s">
        <v>1567</v>
      </c>
      <c r="B299" s="5" t="n">
        <v>3.6</v>
      </c>
      <c r="C299" s="5" t="n">
        <v>5</v>
      </c>
      <c r="D299" s="5" t="n">
        <v>3</v>
      </c>
      <c r="E299" s="5" t="n">
        <v>16.5</v>
      </c>
      <c r="F299" s="5" t="n">
        <v>6.6</v>
      </c>
      <c r="G299" s="5" t="n">
        <v>8.4</v>
      </c>
      <c r="H299" s="5" t="n">
        <v>63.6</v>
      </c>
      <c r="I299" s="5" t="n">
        <v>85.4</v>
      </c>
      <c r="J299" s="5" t="n">
        <v>1</v>
      </c>
      <c r="K299" s="5" t="n">
        <f aca="false">ROUND(MIN(MAX((B299*10)*0.2 + (MIN(E299/25*100,100))*0.2 + (MAX(100-F299*5,0))*0.15 + (G299*10)*0.15 + (H299)*0.15 + (I299)*0.15 - (J299*5),0),100),0)</f>
        <v>60</v>
      </c>
    </row>
    <row r="300" customFormat="false" ht="15" hidden="false" customHeight="true" outlineLevel="0" collapsed="false">
      <c r="A300" s="5" t="s">
        <v>1568</v>
      </c>
      <c r="B300" s="5" t="n">
        <v>3.6</v>
      </c>
      <c r="C300" s="5" t="n">
        <v>7</v>
      </c>
      <c r="D300" s="5" t="n">
        <v>4</v>
      </c>
      <c r="E300" s="5" t="n">
        <v>21.5</v>
      </c>
      <c r="F300" s="5" t="n">
        <v>16.5</v>
      </c>
      <c r="G300" s="5" t="n">
        <v>5</v>
      </c>
      <c r="H300" s="5" t="n">
        <v>82</v>
      </c>
      <c r="I300" s="5" t="n">
        <v>56.9</v>
      </c>
      <c r="J300" s="5" t="n">
        <v>0</v>
      </c>
      <c r="K300" s="5" t="n">
        <f aca="false">ROUND(MIN(MAX((B300*10)*0.2 + (MIN(E300/25*100,100))*0.2 + (MAX(100-F300*5,0))*0.15 + (G300*10)*0.15 + (H300)*0.15 + (I300)*0.15 - (J300*5),0),100),0)</f>
        <v>55</v>
      </c>
    </row>
    <row r="301" customFormat="false" ht="15" hidden="false" customHeight="true" outlineLevel="0" collapsed="false">
      <c r="A301" s="5" t="s">
        <v>1570</v>
      </c>
      <c r="B301" s="5" t="n">
        <v>5.3</v>
      </c>
      <c r="C301" s="5" t="n">
        <v>10</v>
      </c>
      <c r="D301" s="5" t="n">
        <v>6</v>
      </c>
      <c r="E301" s="5" t="n">
        <v>6.1</v>
      </c>
      <c r="F301" s="5" t="n">
        <v>6.2</v>
      </c>
      <c r="G301" s="5" t="n">
        <v>8.6</v>
      </c>
      <c r="H301" s="5" t="n">
        <v>62.1</v>
      </c>
      <c r="I301" s="5" t="n">
        <v>68.2</v>
      </c>
      <c r="J301" s="5" t="n">
        <v>2</v>
      </c>
      <c r="K301" s="5" t="n">
        <f aca="false">ROUND(MIN(MAX((B301*10)*0.2 + (MIN(E301/25*100,100))*0.2 + (MAX(100-F301*5,0))*0.15 + (G301*10)*0.15 + (H301)*0.15 + (I301)*0.15 - (J301*5),0),100),0)</f>
        <v>48</v>
      </c>
    </row>
    <row r="302" customFormat="false" ht="15" hidden="false" customHeight="true" outlineLevel="0" collapsed="false">
      <c r="A302" s="5" t="s">
        <v>1572</v>
      </c>
      <c r="B302" s="5" t="n">
        <v>8</v>
      </c>
      <c r="C302" s="5" t="n">
        <v>18</v>
      </c>
      <c r="D302" s="5" t="n">
        <v>13</v>
      </c>
      <c r="E302" s="5" t="n">
        <v>26.1</v>
      </c>
      <c r="F302" s="5" t="n">
        <v>3.7</v>
      </c>
      <c r="G302" s="5" t="n">
        <v>8.4</v>
      </c>
      <c r="H302" s="5" t="n">
        <v>78</v>
      </c>
      <c r="I302" s="5" t="n">
        <v>67.4</v>
      </c>
      <c r="J302" s="5" t="n">
        <v>0</v>
      </c>
      <c r="K302" s="5" t="n">
        <f aca="false">ROUND(MIN(MAX((B302*10)*0.2 + (MIN(E302/25*100,100))*0.2 + (MAX(100-F302*5,0))*0.15 + (G302*10)*0.15 + (H302)*0.15 + (I302)*0.15 - (J302*5),0),100),0)</f>
        <v>83</v>
      </c>
    </row>
    <row r="303" customFormat="false" ht="15" hidden="false" customHeight="true" outlineLevel="0" collapsed="false">
      <c r="A303" s="5" t="s">
        <v>1574</v>
      </c>
      <c r="B303" s="5" t="n">
        <v>3.3</v>
      </c>
      <c r="C303" s="5" t="n">
        <v>16</v>
      </c>
      <c r="D303" s="5" t="n">
        <v>4</v>
      </c>
      <c r="E303" s="5" t="n">
        <v>29.9</v>
      </c>
      <c r="F303" s="5" t="n">
        <v>12.9</v>
      </c>
      <c r="G303" s="5" t="n">
        <v>6.1</v>
      </c>
      <c r="H303" s="5" t="n">
        <v>76.8</v>
      </c>
      <c r="I303" s="5" t="n">
        <v>85.5</v>
      </c>
      <c r="J303" s="5" t="n">
        <v>2</v>
      </c>
      <c r="K303" s="5" t="n">
        <f aca="false">ROUND(MIN(MAX((B303*10)*0.2 + (MIN(E303/25*100,100))*0.2 + (MAX(100-F303*5,0))*0.15 + (G303*10)*0.15 + (H303)*0.15 + (I303)*0.15 - (J303*5),0),100),0)</f>
        <v>55</v>
      </c>
    </row>
    <row r="304" customFormat="false" ht="15" hidden="false" customHeight="true" outlineLevel="0" collapsed="false">
      <c r="A304" s="5" t="s">
        <v>1577</v>
      </c>
      <c r="B304" s="5" t="n">
        <v>3.9</v>
      </c>
      <c r="C304" s="5" t="n">
        <v>19</v>
      </c>
      <c r="D304" s="5" t="n">
        <v>1</v>
      </c>
      <c r="E304" s="5" t="n">
        <v>13.8</v>
      </c>
      <c r="F304" s="5" t="n">
        <v>10.7</v>
      </c>
      <c r="G304" s="5" t="n">
        <v>2.5</v>
      </c>
      <c r="H304" s="5" t="n">
        <v>82.9</v>
      </c>
      <c r="I304" s="5" t="n">
        <v>67.6</v>
      </c>
      <c r="J304" s="5" t="n">
        <v>0</v>
      </c>
      <c r="K304" s="5" t="n">
        <f aca="false">ROUND(MIN(MAX((B304*10)*0.2 + (MIN(E304/25*100,100))*0.2 + (MAX(100-F304*5,0))*0.15 + (G304*10)*0.15 + (H304)*0.15 + (I304)*0.15 - (J304*5),0),100),0)</f>
        <v>52</v>
      </c>
    </row>
    <row r="305" customFormat="false" ht="15" hidden="false" customHeight="true" outlineLevel="0" collapsed="false">
      <c r="A305" s="5" t="s">
        <v>1580</v>
      </c>
      <c r="B305" s="5" t="n">
        <v>5.4</v>
      </c>
      <c r="C305" s="5" t="n">
        <v>11</v>
      </c>
      <c r="D305" s="5" t="n">
        <v>8</v>
      </c>
      <c r="E305" s="5" t="n">
        <v>12.7</v>
      </c>
      <c r="F305" s="5" t="n">
        <v>8.8</v>
      </c>
      <c r="G305" s="5" t="n">
        <v>9.5</v>
      </c>
      <c r="H305" s="5" t="n">
        <v>46.8</v>
      </c>
      <c r="I305" s="5" t="n">
        <v>41.2</v>
      </c>
      <c r="J305" s="5" t="n">
        <v>0</v>
      </c>
      <c r="K305" s="5" t="n">
        <f aca="false">ROUND(MIN(MAX((B305*10)*0.2 + (MIN(E305/25*100,100))*0.2 + (MAX(100-F305*5,0))*0.15 + (G305*10)*0.15 + (H305)*0.15 + (I305)*0.15 - (J305*5),0),100),0)</f>
        <v>57</v>
      </c>
    </row>
    <row r="306" customFormat="false" ht="15" hidden="false" customHeight="true" outlineLevel="0" collapsed="false">
      <c r="A306" s="5" t="s">
        <v>1583</v>
      </c>
      <c r="B306" s="5" t="n">
        <v>4.6</v>
      </c>
      <c r="C306" s="5" t="n">
        <v>20</v>
      </c>
      <c r="D306" s="5" t="n">
        <v>6</v>
      </c>
      <c r="E306" s="5" t="n">
        <v>18.6</v>
      </c>
      <c r="F306" s="5" t="n">
        <v>10.1</v>
      </c>
      <c r="G306" s="5" t="n">
        <v>6.3</v>
      </c>
      <c r="H306" s="5" t="n">
        <v>93.7</v>
      </c>
      <c r="I306" s="5" t="n">
        <v>56.5</v>
      </c>
      <c r="J306" s="5" t="n">
        <v>2</v>
      </c>
      <c r="K306" s="5" t="n">
        <f aca="false">ROUND(MIN(MAX((B306*10)*0.2 + (MIN(E306/25*100,100))*0.2 + (MAX(100-F306*5,0))*0.15 + (G306*10)*0.15 + (H306)*0.15 + (I306)*0.15 - (J306*5),0),100),0)</f>
        <v>53</v>
      </c>
    </row>
    <row r="307" customFormat="false" ht="15" hidden="false" customHeight="true" outlineLevel="0" collapsed="false">
      <c r="A307" s="5" t="s">
        <v>1586</v>
      </c>
      <c r="B307" s="5" t="n">
        <v>7</v>
      </c>
      <c r="C307" s="5" t="n">
        <v>16</v>
      </c>
      <c r="D307" s="5" t="n">
        <v>14</v>
      </c>
      <c r="E307" s="5" t="n">
        <v>27</v>
      </c>
      <c r="F307" s="5" t="n">
        <v>6.3</v>
      </c>
      <c r="G307" s="5" t="n">
        <v>4.3</v>
      </c>
      <c r="H307" s="5" t="n">
        <v>71.1</v>
      </c>
      <c r="I307" s="5" t="n">
        <v>48.4</v>
      </c>
      <c r="J307" s="5" t="n">
        <v>1</v>
      </c>
      <c r="K307" s="5" t="n">
        <f aca="false">ROUND(MIN(MAX((B307*10)*0.2 + (MIN(E307/25*100,100))*0.2 + (MAX(100-F307*5,0))*0.15 + (G307*10)*0.15 + (H307)*0.15 + (I307)*0.15 - (J307*5),0),100),0)</f>
        <v>64</v>
      </c>
    </row>
    <row r="308" customFormat="false" ht="15" hidden="false" customHeight="true" outlineLevel="0" collapsed="false">
      <c r="A308" s="5" t="s">
        <v>1588</v>
      </c>
      <c r="B308" s="5" t="n">
        <v>6.8</v>
      </c>
      <c r="C308" s="5" t="n">
        <v>11</v>
      </c>
      <c r="D308" s="5" t="n">
        <v>13</v>
      </c>
      <c r="E308" s="5" t="n">
        <v>20</v>
      </c>
      <c r="F308" s="5" t="n">
        <v>9</v>
      </c>
      <c r="G308" s="5" t="n">
        <v>8.8</v>
      </c>
      <c r="H308" s="5" t="n">
        <v>34.6</v>
      </c>
      <c r="I308" s="5" t="n">
        <v>49.4</v>
      </c>
      <c r="J308" s="5" t="n">
        <v>1</v>
      </c>
      <c r="K308" s="5" t="n">
        <f aca="false">ROUND(MIN(MAX((B308*10)*0.2 + (MIN(E308/25*100,100))*0.2 + (MAX(100-F308*5,0))*0.15 + (G308*10)*0.15 + (H308)*0.15 + (I308)*0.15 - (J308*5),0),100),0)</f>
        <v>59</v>
      </c>
    </row>
    <row r="309" customFormat="false" ht="15" hidden="false" customHeight="true" outlineLevel="0" collapsed="false">
      <c r="A309" s="5" t="s">
        <v>1590</v>
      </c>
      <c r="B309" s="5" t="n">
        <v>4.4</v>
      </c>
      <c r="C309" s="5" t="n">
        <v>10</v>
      </c>
      <c r="D309" s="5" t="n">
        <v>8</v>
      </c>
      <c r="E309" s="5" t="n">
        <v>19.3</v>
      </c>
      <c r="F309" s="5" t="n">
        <v>6.5</v>
      </c>
      <c r="G309" s="5" t="n">
        <v>9.1</v>
      </c>
      <c r="H309" s="5" t="n">
        <v>80.8</v>
      </c>
      <c r="I309" s="5" t="n">
        <v>94.4</v>
      </c>
      <c r="J309" s="5" t="n">
        <v>4</v>
      </c>
      <c r="K309" s="5" t="n">
        <f aca="false">ROUND(MIN(MAX((B309*10)*0.2 + (MIN(E309/25*100,100))*0.2 + (MAX(100-F309*5,0))*0.15 + (G309*10)*0.15 + (H309)*0.15 + (I309)*0.15 - (J309*5),0),100),0)</f>
        <v>54</v>
      </c>
    </row>
    <row r="310" customFormat="false" ht="15" hidden="false" customHeight="true" outlineLevel="0" collapsed="false">
      <c r="A310" s="5" t="s">
        <v>1592</v>
      </c>
      <c r="B310" s="5" t="n">
        <v>5.9</v>
      </c>
      <c r="C310" s="5" t="n">
        <v>15</v>
      </c>
      <c r="D310" s="5" t="n">
        <v>13</v>
      </c>
      <c r="E310" s="5" t="n">
        <v>7.5</v>
      </c>
      <c r="F310" s="5" t="n">
        <v>13</v>
      </c>
      <c r="G310" s="5" t="n">
        <v>3</v>
      </c>
      <c r="H310" s="5" t="n">
        <v>45.3</v>
      </c>
      <c r="I310" s="5" t="n">
        <v>54.6</v>
      </c>
      <c r="J310" s="5" t="n">
        <v>0</v>
      </c>
      <c r="K310" s="5" t="n">
        <f aca="false">ROUND(MIN(MAX((B310*10)*0.2 + (MIN(E310/25*100,100))*0.2 + (MAX(100-F310*5,0))*0.15 + (G310*10)*0.15 + (H310)*0.15 + (I310)*0.15 - (J310*5),0),100),0)</f>
        <v>43</v>
      </c>
    </row>
    <row r="311" customFormat="false" ht="15" hidden="false" customHeight="true" outlineLevel="0" collapsed="false">
      <c r="A311" s="5" t="s">
        <v>1595</v>
      </c>
      <c r="B311" s="5" t="n">
        <v>3.6</v>
      </c>
      <c r="C311" s="5" t="n">
        <v>13</v>
      </c>
      <c r="D311" s="5" t="n">
        <v>3</v>
      </c>
      <c r="E311" s="5" t="n">
        <v>5.6</v>
      </c>
      <c r="F311" s="5" t="n">
        <v>14.1</v>
      </c>
      <c r="G311" s="5" t="n">
        <v>5.8</v>
      </c>
      <c r="H311" s="5" t="n">
        <v>33.5</v>
      </c>
      <c r="I311" s="5" t="n">
        <v>84.7</v>
      </c>
      <c r="J311" s="5" t="n">
        <v>4</v>
      </c>
      <c r="K311" s="5" t="n">
        <f aca="false">ROUND(MIN(MAX((B311*10)*0.2 + (MIN(E311/25*100,100))*0.2 + (MAX(100-F311*5,0))*0.15 + (G311*10)*0.15 + (H311)*0.15 + (I311)*0.15 - (J311*5),0),100),0)</f>
        <v>23</v>
      </c>
    </row>
    <row r="312" customFormat="false" ht="15" hidden="false" customHeight="true" outlineLevel="0" collapsed="false">
      <c r="A312" s="5" t="s">
        <v>1599</v>
      </c>
      <c r="B312" s="5" t="n">
        <v>7.7</v>
      </c>
      <c r="C312" s="5" t="n">
        <v>3</v>
      </c>
      <c r="D312" s="5" t="n">
        <v>3</v>
      </c>
      <c r="E312" s="5" t="n">
        <v>10.1</v>
      </c>
      <c r="F312" s="5" t="n">
        <v>3.2</v>
      </c>
      <c r="G312" s="5" t="n">
        <v>7.2</v>
      </c>
      <c r="H312" s="5" t="n">
        <v>87.6</v>
      </c>
      <c r="I312" s="5" t="n">
        <v>57.9</v>
      </c>
      <c r="J312" s="5" t="n">
        <v>1</v>
      </c>
      <c r="K312" s="5" t="n">
        <f aca="false">ROUND(MIN(MAX((B312*10)*0.2 + (MIN(E312/25*100,100))*0.2 + (MAX(100-F312*5,0))*0.15 + (G312*10)*0.15 + (H312)*0.15 + (I312)*0.15 - (J312*5),0),100),0)</f>
        <v>64</v>
      </c>
    </row>
    <row r="313" customFormat="false" ht="15" hidden="false" customHeight="true" outlineLevel="0" collapsed="false">
      <c r="A313" s="5" t="s">
        <v>1601</v>
      </c>
      <c r="B313" s="5" t="n">
        <v>7.5</v>
      </c>
      <c r="C313" s="5" t="n">
        <v>15</v>
      </c>
      <c r="D313" s="5" t="n">
        <v>4</v>
      </c>
      <c r="E313" s="5" t="n">
        <v>6.5</v>
      </c>
      <c r="F313" s="5" t="n">
        <v>12.7</v>
      </c>
      <c r="G313" s="5" t="n">
        <v>2.2</v>
      </c>
      <c r="H313" s="5" t="n">
        <v>73.1</v>
      </c>
      <c r="I313" s="5" t="n">
        <v>89.9</v>
      </c>
      <c r="J313" s="5" t="n">
        <v>2</v>
      </c>
      <c r="K313" s="5" t="n">
        <f aca="false">ROUND(MIN(MAX((B313*10)*0.2 + (MIN(E313/25*100,100))*0.2 + (MAX(100-F313*5,0))*0.15 + (G313*10)*0.15 + (H313)*0.15 + (I313)*0.15 - (J313*5),0),100),0)</f>
        <v>43</v>
      </c>
    </row>
    <row r="314" customFormat="false" ht="15" hidden="false" customHeight="true" outlineLevel="0" collapsed="false">
      <c r="A314" s="5" t="s">
        <v>1604</v>
      </c>
      <c r="B314" s="5" t="n">
        <v>8.5</v>
      </c>
      <c r="C314" s="5" t="n">
        <v>15</v>
      </c>
      <c r="D314" s="5" t="n">
        <v>8</v>
      </c>
      <c r="E314" s="5" t="n">
        <v>17.8</v>
      </c>
      <c r="F314" s="5" t="n">
        <v>2.9</v>
      </c>
      <c r="G314" s="5" t="n">
        <v>9.6</v>
      </c>
      <c r="H314" s="5" t="n">
        <v>65.1</v>
      </c>
      <c r="I314" s="5" t="n">
        <v>74.3</v>
      </c>
      <c r="J314" s="5" t="n">
        <v>3</v>
      </c>
      <c r="K314" s="5" t="n">
        <f aca="false">ROUND(MIN(MAX((B314*10)*0.2 + (MIN(E314/25*100,100))*0.2 + (MAX(100-F314*5,0))*0.15 + (G314*10)*0.15 + (H314)*0.15 + (I314)*0.15 - (J314*5),0),100),0)</f>
        <v>64</v>
      </c>
    </row>
    <row r="315" customFormat="false" ht="15" hidden="false" customHeight="true" outlineLevel="0" collapsed="false">
      <c r="A315" s="5" t="s">
        <v>1606</v>
      </c>
      <c r="B315" s="5" t="n">
        <v>6.7</v>
      </c>
      <c r="C315" s="5" t="n">
        <v>19</v>
      </c>
      <c r="D315" s="5" t="n">
        <v>13</v>
      </c>
      <c r="E315" s="5" t="n">
        <v>17.1</v>
      </c>
      <c r="F315" s="5" t="n">
        <v>10</v>
      </c>
      <c r="G315" s="5" t="n">
        <v>4.5</v>
      </c>
      <c r="H315" s="5" t="n">
        <v>52.6</v>
      </c>
      <c r="I315" s="5" t="n">
        <v>71.3</v>
      </c>
      <c r="J315" s="5" t="n">
        <v>0</v>
      </c>
      <c r="K315" s="5" t="n">
        <f aca="false">ROUND(MIN(MAX((B315*10)*0.2 + (MIN(E315/25*100,100))*0.2 + (MAX(100-F315*5,0))*0.15 + (G315*10)*0.15 + (H315)*0.15 + (I315)*0.15 - (J315*5),0),100),0)</f>
        <v>60</v>
      </c>
    </row>
    <row r="316" customFormat="false" ht="15" hidden="false" customHeight="true" outlineLevel="0" collapsed="false">
      <c r="A316" s="5" t="s">
        <v>1608</v>
      </c>
      <c r="B316" s="5" t="n">
        <v>5.3</v>
      </c>
      <c r="C316" s="5" t="n">
        <v>12</v>
      </c>
      <c r="D316" s="5" t="n">
        <v>13</v>
      </c>
      <c r="E316" s="5" t="n">
        <v>10</v>
      </c>
      <c r="F316" s="5" t="n">
        <v>5.3</v>
      </c>
      <c r="G316" s="5" t="n">
        <v>2</v>
      </c>
      <c r="H316" s="5" t="n">
        <v>83</v>
      </c>
      <c r="I316" s="5" t="n">
        <v>89.2</v>
      </c>
      <c r="J316" s="5" t="n">
        <v>2</v>
      </c>
      <c r="K316" s="5" t="n">
        <f aca="false">ROUND(MIN(MAX((B316*10)*0.2 + (MIN(E316/25*100,100))*0.2 + (MAX(100-F316*5,0))*0.15 + (G316*10)*0.15 + (H316)*0.15 + (I316)*0.15 - (J316*5),0),100),0)</f>
        <v>48</v>
      </c>
    </row>
    <row r="317" customFormat="false" ht="15" hidden="false" customHeight="true" outlineLevel="0" collapsed="false">
      <c r="A317" s="5" t="s">
        <v>1610</v>
      </c>
      <c r="B317" s="5" t="n">
        <v>4.2</v>
      </c>
      <c r="C317" s="5" t="n">
        <v>18</v>
      </c>
      <c r="D317" s="5" t="n">
        <v>0</v>
      </c>
      <c r="E317" s="5" t="n">
        <v>21.6</v>
      </c>
      <c r="F317" s="5" t="n">
        <v>7.9</v>
      </c>
      <c r="G317" s="5" t="n">
        <v>8</v>
      </c>
      <c r="H317" s="5" t="n">
        <v>49.5</v>
      </c>
      <c r="I317" s="5" t="n">
        <v>84.4</v>
      </c>
      <c r="J317" s="5" t="n">
        <v>2</v>
      </c>
      <c r="K317" s="5" t="n">
        <f aca="false">ROUND(MIN(MAX((B317*10)*0.2 + (MIN(E317/25*100,100))*0.2 + (MAX(100-F317*5,0))*0.15 + (G317*10)*0.15 + (H317)*0.15 + (I317)*0.15 - (J317*5),0),100),0)</f>
        <v>57</v>
      </c>
    </row>
    <row r="318" customFormat="false" ht="15" hidden="false" customHeight="true" outlineLevel="0" collapsed="false">
      <c r="A318" s="5" t="s">
        <v>1613</v>
      </c>
      <c r="B318" s="5" t="n">
        <v>6.5</v>
      </c>
      <c r="C318" s="5" t="n">
        <v>1</v>
      </c>
      <c r="D318" s="5" t="n">
        <v>11</v>
      </c>
      <c r="E318" s="5" t="n">
        <v>8.1</v>
      </c>
      <c r="F318" s="5" t="n">
        <v>13.4</v>
      </c>
      <c r="G318" s="5" t="n">
        <v>5.5</v>
      </c>
      <c r="H318" s="5" t="n">
        <v>46.2</v>
      </c>
      <c r="I318" s="5" t="n">
        <v>81.5</v>
      </c>
      <c r="J318" s="5" t="n">
        <v>3</v>
      </c>
      <c r="K318" s="5" t="n">
        <f aca="false">ROUND(MIN(MAX((B318*10)*0.2 + (MIN(E318/25*100,100))*0.2 + (MAX(100-F318*5,0))*0.15 + (G318*10)*0.15 + (H318)*0.15 + (I318)*0.15 - (J318*5),0),100),0)</f>
        <v>37</v>
      </c>
    </row>
    <row r="319" customFormat="false" ht="15" hidden="false" customHeight="true" outlineLevel="0" collapsed="false">
      <c r="A319" s="5" t="s">
        <v>1615</v>
      </c>
      <c r="B319" s="5" t="n">
        <v>8.2</v>
      </c>
      <c r="C319" s="5" t="n">
        <v>8</v>
      </c>
      <c r="D319" s="5" t="n">
        <v>8</v>
      </c>
      <c r="E319" s="5" t="n">
        <v>5.1</v>
      </c>
      <c r="F319" s="5" t="n">
        <v>9.8</v>
      </c>
      <c r="G319" s="5" t="n">
        <v>6.1</v>
      </c>
      <c r="H319" s="5" t="n">
        <v>82</v>
      </c>
      <c r="I319" s="5" t="n">
        <v>75.6</v>
      </c>
      <c r="J319" s="5" t="n">
        <v>2</v>
      </c>
      <c r="K319" s="5" t="n">
        <f aca="false">ROUND(MIN(MAX((B319*10)*0.2 + (MIN(E319/25*100,100))*0.2 + (MAX(100-F319*5,0))*0.15 + (G319*10)*0.15 + (H319)*0.15 + (I319)*0.15 - (J319*5),0),100),0)</f>
        <v>51</v>
      </c>
    </row>
    <row r="320" customFormat="false" ht="15" hidden="false" customHeight="true" outlineLevel="0" collapsed="false">
      <c r="A320" s="5" t="s">
        <v>1617</v>
      </c>
      <c r="B320" s="5" t="n">
        <v>4.1</v>
      </c>
      <c r="C320" s="5" t="n">
        <v>18</v>
      </c>
      <c r="D320" s="5" t="n">
        <v>8</v>
      </c>
      <c r="E320" s="5" t="n">
        <v>14.1</v>
      </c>
      <c r="F320" s="5" t="n">
        <v>12.9</v>
      </c>
      <c r="G320" s="5" t="n">
        <v>3.5</v>
      </c>
      <c r="H320" s="5" t="n">
        <v>48.8</v>
      </c>
      <c r="I320" s="5" t="n">
        <v>76.9</v>
      </c>
      <c r="J320" s="5" t="n">
        <v>4</v>
      </c>
      <c r="K320" s="5" t="n">
        <f aca="false">ROUND(MIN(MAX((B320*10)*0.2 + (MIN(E320/25*100,100))*0.2 + (MAX(100-F320*5,0))*0.15 + (G320*10)*0.15 + (H320)*0.15 + (I320)*0.15 - (J320*5),0),100),0)</f>
        <v>29</v>
      </c>
    </row>
    <row r="321" customFormat="false" ht="15" hidden="false" customHeight="true" outlineLevel="0" collapsed="false">
      <c r="A321" s="5" t="s">
        <v>1619</v>
      </c>
      <c r="B321" s="5" t="n">
        <v>5.4</v>
      </c>
      <c r="C321" s="5" t="n">
        <v>20</v>
      </c>
      <c r="D321" s="5" t="n">
        <v>15</v>
      </c>
      <c r="E321" s="5" t="n">
        <v>8.1</v>
      </c>
      <c r="F321" s="5" t="n">
        <v>1.3</v>
      </c>
      <c r="G321" s="5" t="n">
        <v>2.4</v>
      </c>
      <c r="H321" s="5" t="n">
        <v>64.8</v>
      </c>
      <c r="I321" s="5" t="n">
        <v>50.8</v>
      </c>
      <c r="J321" s="5" t="n">
        <v>0</v>
      </c>
      <c r="K321" s="5" t="n">
        <f aca="false">ROUND(MIN(MAX((B321*10)*0.2 + (MIN(E321/25*100,100))*0.2 + (MAX(100-F321*5,0))*0.15 + (G321*10)*0.15 + (H321)*0.15 + (I321)*0.15 - (J321*5),0),100),0)</f>
        <v>52</v>
      </c>
    </row>
    <row r="322" customFormat="false" ht="15" hidden="false" customHeight="true" outlineLevel="0" collapsed="false">
      <c r="A322" s="5" t="s">
        <v>1621</v>
      </c>
      <c r="B322" s="5" t="n">
        <v>4.1</v>
      </c>
      <c r="C322" s="5" t="n">
        <v>5</v>
      </c>
      <c r="D322" s="5" t="n">
        <v>14</v>
      </c>
      <c r="E322" s="5" t="n">
        <v>22.6</v>
      </c>
      <c r="F322" s="5" t="n">
        <v>4.3</v>
      </c>
      <c r="G322" s="5" t="n">
        <v>3.2</v>
      </c>
      <c r="H322" s="5" t="n">
        <v>62.1</v>
      </c>
      <c r="I322" s="5" t="n">
        <v>59.8</v>
      </c>
      <c r="J322" s="5" t="n">
        <v>2</v>
      </c>
      <c r="K322" s="5" t="n">
        <f aca="false">ROUND(MIN(MAX((B322*10)*0.2 + (MIN(E322/25*100,100))*0.2 + (MAX(100-F322*5,0))*0.15 + (G322*10)*0.15 + (H322)*0.15 + (I322)*0.15 - (J322*5),0),100),0)</f>
        <v>51</v>
      </c>
    </row>
    <row r="323" customFormat="false" ht="15" hidden="false" customHeight="true" outlineLevel="0" collapsed="false">
      <c r="A323" s="5" t="s">
        <v>1623</v>
      </c>
      <c r="B323" s="5" t="n">
        <v>7.9</v>
      </c>
      <c r="C323" s="5" t="n">
        <v>16</v>
      </c>
      <c r="D323" s="5" t="n">
        <v>11</v>
      </c>
      <c r="E323" s="5" t="n">
        <v>15.5</v>
      </c>
      <c r="F323" s="5" t="n">
        <v>12.1</v>
      </c>
      <c r="G323" s="5" t="n">
        <v>4.6</v>
      </c>
      <c r="H323" s="5" t="n">
        <v>84.8</v>
      </c>
      <c r="I323" s="5" t="n">
        <v>95.2</v>
      </c>
      <c r="J323" s="5" t="n">
        <v>0</v>
      </c>
      <c r="K323" s="5" t="n">
        <f aca="false">ROUND(MIN(MAX((B323*10)*0.2 + (MIN(E323/25*100,100))*0.2 + (MAX(100-F323*5,0))*0.15 + (G323*10)*0.15 + (H323)*0.15 + (I323)*0.15 - (J323*5),0),100),0)</f>
        <v>68</v>
      </c>
    </row>
    <row r="324" customFormat="false" ht="15" hidden="false" customHeight="true" outlineLevel="0" collapsed="false">
      <c r="A324" s="5" t="s">
        <v>1625</v>
      </c>
      <c r="B324" s="5" t="n">
        <v>4</v>
      </c>
      <c r="C324" s="5" t="n">
        <v>13</v>
      </c>
      <c r="D324" s="5" t="n">
        <v>2</v>
      </c>
      <c r="E324" s="5" t="n">
        <v>17.7</v>
      </c>
      <c r="F324" s="5" t="n">
        <v>3.5</v>
      </c>
      <c r="G324" s="5" t="n">
        <v>9.2</v>
      </c>
      <c r="H324" s="5" t="n">
        <v>46.3</v>
      </c>
      <c r="I324" s="5" t="n">
        <v>62.1</v>
      </c>
      <c r="J324" s="5" t="n">
        <v>0</v>
      </c>
      <c r="K324" s="5" t="n">
        <f aca="false">ROUND(MIN(MAX((B324*10)*0.2 + (MIN(E324/25*100,100))*0.2 + (MAX(100-F324*5,0))*0.15 + (G324*10)*0.15 + (H324)*0.15 + (I324)*0.15 - (J324*5),0),100),0)</f>
        <v>65</v>
      </c>
    </row>
    <row r="325" customFormat="false" ht="15" hidden="false" customHeight="true" outlineLevel="0" collapsed="false">
      <c r="A325" s="5" t="s">
        <v>1627</v>
      </c>
      <c r="B325" s="5" t="n">
        <v>2.9</v>
      </c>
      <c r="C325" s="5" t="n">
        <v>8</v>
      </c>
      <c r="D325" s="5" t="n">
        <v>12</v>
      </c>
      <c r="E325" s="5" t="n">
        <v>23.8</v>
      </c>
      <c r="F325" s="5" t="n">
        <v>7.2</v>
      </c>
      <c r="G325" s="5" t="n">
        <v>7.9</v>
      </c>
      <c r="H325" s="5" t="n">
        <v>32.2</v>
      </c>
      <c r="I325" s="5" t="n">
        <v>66.7</v>
      </c>
      <c r="J325" s="5" t="n">
        <v>0</v>
      </c>
      <c r="K325" s="5" t="n">
        <f aca="false">ROUND(MIN(MAX((B325*10)*0.2 + (MIN(E325/25*100,100))*0.2 + (MAX(100-F325*5,0))*0.15 + (G325*10)*0.15 + (H325)*0.15 + (I325)*0.15 - (J325*5),0),100),0)</f>
        <v>61</v>
      </c>
    </row>
    <row r="326" customFormat="false" ht="15" hidden="false" customHeight="true" outlineLevel="0" collapsed="false">
      <c r="A326" s="5" t="s">
        <v>1629</v>
      </c>
      <c r="B326" s="5" t="n">
        <v>5.9</v>
      </c>
      <c r="C326" s="5" t="n">
        <v>7</v>
      </c>
      <c r="D326" s="5" t="n">
        <v>15</v>
      </c>
      <c r="E326" s="5" t="n">
        <v>13.5</v>
      </c>
      <c r="F326" s="5" t="n">
        <v>14.5</v>
      </c>
      <c r="G326" s="5" t="n">
        <v>9.5</v>
      </c>
      <c r="H326" s="5" t="n">
        <v>40.3</v>
      </c>
      <c r="I326" s="5" t="n">
        <v>82.2</v>
      </c>
      <c r="J326" s="5" t="n">
        <v>4</v>
      </c>
      <c r="K326" s="5" t="n">
        <f aca="false">ROUND(MIN(MAX((B326*10)*0.2 + (MIN(E326/25*100,100))*0.2 + (MAX(100-F326*5,0))*0.15 + (G326*10)*0.15 + (H326)*0.15 + (I326)*0.15 - (J326*5),0),100),0)</f>
        <v>39</v>
      </c>
    </row>
    <row r="327" customFormat="false" ht="15" hidden="false" customHeight="true" outlineLevel="0" collapsed="false">
      <c r="A327" s="5" t="s">
        <v>1631</v>
      </c>
      <c r="B327" s="5" t="n">
        <v>5.9</v>
      </c>
      <c r="C327" s="5" t="n">
        <v>9</v>
      </c>
      <c r="D327" s="5" t="n">
        <v>15</v>
      </c>
      <c r="E327" s="5" t="n">
        <v>20.2</v>
      </c>
      <c r="F327" s="5" t="n">
        <v>3.8</v>
      </c>
      <c r="G327" s="5" t="n">
        <v>9.1</v>
      </c>
      <c r="H327" s="5" t="n">
        <v>86.1</v>
      </c>
      <c r="I327" s="5" t="n">
        <v>52.6</v>
      </c>
      <c r="J327" s="5" t="n">
        <v>0</v>
      </c>
      <c r="K327" s="5" t="n">
        <f aca="false">ROUND(MIN(MAX((B327*10)*0.2 + (MIN(E327/25*100,100))*0.2 + (MAX(100-F327*5,0))*0.15 + (G327*10)*0.15 + (H327)*0.15 + (I327)*0.15 - (J327*5),0),100),0)</f>
        <v>75</v>
      </c>
    </row>
    <row r="328" customFormat="false" ht="15" hidden="false" customHeight="true" outlineLevel="0" collapsed="false">
      <c r="A328" s="5" t="s">
        <v>1633</v>
      </c>
      <c r="B328" s="5" t="n">
        <v>3.8</v>
      </c>
      <c r="C328" s="5" t="n">
        <v>14</v>
      </c>
      <c r="D328" s="5" t="n">
        <v>10</v>
      </c>
      <c r="E328" s="5" t="n">
        <v>3.4</v>
      </c>
      <c r="F328" s="5" t="n">
        <v>12.1</v>
      </c>
      <c r="G328" s="5" t="n">
        <v>6.7</v>
      </c>
      <c r="H328" s="5" t="n">
        <v>55.7</v>
      </c>
      <c r="I328" s="5" t="n">
        <v>54.1</v>
      </c>
      <c r="J328" s="5" t="n">
        <v>0</v>
      </c>
      <c r="K328" s="5" t="n">
        <f aca="false">ROUND(MIN(MAX((B328*10)*0.2 + (MIN(E328/25*100,100))*0.2 + (MAX(100-F328*5,0))*0.15 + (G328*10)*0.15 + (H328)*0.15 + (I328)*0.15 - (J328*5),0),100),0)</f>
        <v>43</v>
      </c>
    </row>
    <row r="329" customFormat="false" ht="15" hidden="false" customHeight="true" outlineLevel="0" collapsed="false">
      <c r="A329" s="5" t="s">
        <v>1635</v>
      </c>
      <c r="B329" s="5" t="n">
        <v>6.4</v>
      </c>
      <c r="C329" s="5" t="n">
        <v>16</v>
      </c>
      <c r="D329" s="5" t="n">
        <v>4</v>
      </c>
      <c r="E329" s="5" t="n">
        <v>13</v>
      </c>
      <c r="F329" s="5" t="n">
        <v>2.3</v>
      </c>
      <c r="G329" s="5" t="n">
        <v>3.3</v>
      </c>
      <c r="H329" s="5" t="n">
        <v>35.9</v>
      </c>
      <c r="I329" s="5" t="n">
        <v>75.9</v>
      </c>
      <c r="J329" s="5" t="n">
        <v>0</v>
      </c>
      <c r="K329" s="5" t="n">
        <f aca="false">ROUND(MIN(MAX((B329*10)*0.2 + (MIN(E329/25*100,100))*0.2 + (MAX(100-F329*5,0))*0.15 + (G329*10)*0.15 + (H329)*0.15 + (I329)*0.15 - (J329*5),0),100),0)</f>
        <v>58</v>
      </c>
    </row>
    <row r="330" customFormat="false" ht="15" hidden="false" customHeight="true" outlineLevel="0" collapsed="false">
      <c r="A330" s="5" t="s">
        <v>1638</v>
      </c>
      <c r="B330" s="5" t="n">
        <v>2.4</v>
      </c>
      <c r="C330" s="5" t="n">
        <v>5</v>
      </c>
      <c r="D330" s="5" t="n">
        <v>3</v>
      </c>
      <c r="E330" s="5" t="n">
        <v>6.4</v>
      </c>
      <c r="F330" s="5" t="n">
        <v>4.3</v>
      </c>
      <c r="G330" s="5" t="n">
        <v>9.9</v>
      </c>
      <c r="H330" s="5" t="n">
        <v>81.3</v>
      </c>
      <c r="I330" s="5" t="n">
        <v>83.9</v>
      </c>
      <c r="J330" s="5" t="n">
        <v>3</v>
      </c>
      <c r="K330" s="5" t="n">
        <f aca="false">ROUND(MIN(MAX((B330*10)*0.2 + (MIN(E330/25*100,100))*0.2 + (MAX(100-F330*5,0))*0.15 + (G330*10)*0.15 + (H330)*0.15 + (I330)*0.15 - (J330*5),0),100),0)</f>
        <v>46</v>
      </c>
    </row>
    <row r="331" customFormat="false" ht="15" hidden="false" customHeight="true" outlineLevel="0" collapsed="false">
      <c r="A331" s="5" t="s">
        <v>1640</v>
      </c>
      <c r="B331" s="5" t="n">
        <v>7.5</v>
      </c>
      <c r="C331" s="5" t="n">
        <v>1</v>
      </c>
      <c r="D331" s="5" t="n">
        <v>12</v>
      </c>
      <c r="E331" s="5" t="n">
        <v>12.7</v>
      </c>
      <c r="F331" s="5" t="n">
        <v>2.9</v>
      </c>
      <c r="G331" s="5" t="n">
        <v>9.2</v>
      </c>
      <c r="H331" s="5" t="n">
        <v>61.5</v>
      </c>
      <c r="I331" s="5" t="n">
        <v>65.4</v>
      </c>
      <c r="J331" s="5" t="n">
        <v>2</v>
      </c>
      <c r="K331" s="5" t="n">
        <f aca="false">ROUND(MIN(MAX((B331*10)*0.2 + (MIN(E331/25*100,100))*0.2 + (MAX(100-F331*5,0))*0.15 + (G331*10)*0.15 + (H331)*0.15 + (I331)*0.15 - (J331*5),0),100),0)</f>
        <v>61</v>
      </c>
    </row>
    <row r="332" customFormat="false" ht="15" hidden="false" customHeight="true" outlineLevel="0" collapsed="false">
      <c r="A332" s="5" t="s">
        <v>1642</v>
      </c>
      <c r="B332" s="5" t="n">
        <v>6.1</v>
      </c>
      <c r="C332" s="5" t="n">
        <v>16</v>
      </c>
      <c r="D332" s="5" t="n">
        <v>6</v>
      </c>
      <c r="E332" s="5" t="n">
        <v>18.3</v>
      </c>
      <c r="F332" s="5" t="n">
        <v>8.6</v>
      </c>
      <c r="G332" s="5" t="n">
        <v>4.6</v>
      </c>
      <c r="H332" s="5" t="n">
        <v>60.4</v>
      </c>
      <c r="I332" s="5" t="n">
        <v>90.3</v>
      </c>
      <c r="J332" s="5" t="n">
        <v>4</v>
      </c>
      <c r="K332" s="5" t="n">
        <f aca="false">ROUND(MIN(MAX((B332*10)*0.2 + (MIN(E332/25*100,100))*0.2 + (MAX(100-F332*5,0))*0.15 + (G332*10)*0.15 + (H332)*0.15 + (I332)*0.15 - (J332*5),0),100),0)</f>
        <v>45</v>
      </c>
    </row>
    <row r="333" customFormat="false" ht="15" hidden="false" customHeight="true" outlineLevel="0" collapsed="false">
      <c r="A333" s="5" t="s">
        <v>1644</v>
      </c>
      <c r="B333" s="5" t="n">
        <v>8.9</v>
      </c>
      <c r="C333" s="5" t="n">
        <v>18</v>
      </c>
      <c r="D333" s="5" t="n">
        <v>5</v>
      </c>
      <c r="E333" s="5" t="n">
        <v>4.9</v>
      </c>
      <c r="F333" s="5" t="n">
        <v>3.2</v>
      </c>
      <c r="G333" s="5" t="n">
        <v>4.4</v>
      </c>
      <c r="H333" s="5" t="n">
        <v>47.1</v>
      </c>
      <c r="I333" s="5" t="n">
        <v>61.3</v>
      </c>
      <c r="J333" s="5" t="n">
        <v>0</v>
      </c>
      <c r="K333" s="5" t="n">
        <f aca="false">ROUND(MIN(MAX((B333*10)*0.2 + (MIN(E333/25*100,100))*0.2 + (MAX(100-F333*5,0))*0.15 + (G333*10)*0.15 + (H333)*0.15 + (I333)*0.15 - (J333*5),0),100),0)</f>
        <v>57</v>
      </c>
    </row>
    <row r="334" customFormat="false" ht="15" hidden="false" customHeight="true" outlineLevel="0" collapsed="false">
      <c r="A334" s="5" t="s">
        <v>1646</v>
      </c>
      <c r="B334" s="5" t="n">
        <v>7.8</v>
      </c>
      <c r="C334" s="5" t="n">
        <v>17</v>
      </c>
      <c r="D334" s="5" t="n">
        <v>12</v>
      </c>
      <c r="E334" s="5" t="n">
        <v>22.8</v>
      </c>
      <c r="F334" s="5" t="n">
        <v>13.4</v>
      </c>
      <c r="G334" s="5" t="n">
        <v>7</v>
      </c>
      <c r="H334" s="5" t="n">
        <v>53.7</v>
      </c>
      <c r="I334" s="5" t="n">
        <v>76</v>
      </c>
      <c r="J334" s="5" t="n">
        <v>2</v>
      </c>
      <c r="K334" s="5" t="n">
        <f aca="false">ROUND(MIN(MAX((B334*10)*0.2 + (MIN(E334/25*100,100))*0.2 + (MAX(100-F334*5,0))*0.15 + (G334*10)*0.15 + (H334)*0.15 + (I334)*0.15 - (J334*5),0),100),0)</f>
        <v>59</v>
      </c>
    </row>
    <row r="335" customFormat="false" ht="15" hidden="false" customHeight="true" outlineLevel="0" collapsed="false">
      <c r="A335" s="5" t="s">
        <v>1648</v>
      </c>
      <c r="B335" s="5" t="n">
        <v>7.4</v>
      </c>
      <c r="C335" s="5" t="n">
        <v>18</v>
      </c>
      <c r="D335" s="5" t="n">
        <v>12</v>
      </c>
      <c r="E335" s="5" t="n">
        <v>8.1</v>
      </c>
      <c r="F335" s="5" t="n">
        <v>10.6</v>
      </c>
      <c r="G335" s="5" t="n">
        <v>8.1</v>
      </c>
      <c r="H335" s="5" t="n">
        <v>40</v>
      </c>
      <c r="I335" s="5" t="n">
        <v>56.4</v>
      </c>
      <c r="J335" s="5" t="n">
        <v>3</v>
      </c>
      <c r="K335" s="5" t="n">
        <f aca="false">ROUND(MIN(MAX((B335*10)*0.2 + (MIN(E335/25*100,100))*0.2 + (MAX(100-F335*5,0))*0.15 + (G335*10)*0.15 + (H335)*0.15 + (I335)*0.15 - (J335*5),0),100),0)</f>
        <v>40</v>
      </c>
    </row>
    <row r="336" customFormat="false" ht="15" hidden="false" customHeight="true" outlineLevel="0" collapsed="false">
      <c r="A336" s="5" t="s">
        <v>1650</v>
      </c>
      <c r="B336" s="5" t="n">
        <v>6.8</v>
      </c>
      <c r="C336" s="5" t="n">
        <v>4</v>
      </c>
      <c r="D336" s="5" t="n">
        <v>3</v>
      </c>
      <c r="E336" s="5" t="n">
        <v>17.1</v>
      </c>
      <c r="F336" s="5" t="n">
        <v>1.9</v>
      </c>
      <c r="G336" s="5" t="n">
        <v>8.7</v>
      </c>
      <c r="H336" s="5" t="n">
        <v>38.4</v>
      </c>
      <c r="I336" s="5" t="n">
        <v>90.7</v>
      </c>
      <c r="J336" s="5" t="n">
        <v>1</v>
      </c>
      <c r="K336" s="5" t="n">
        <f aca="false">ROUND(MIN(MAX((B336*10)*0.2 + (MIN(E336/25*100,100))*0.2 + (MAX(100-F336*5,0))*0.15 + (G336*10)*0.15 + (H336)*0.15 + (I336)*0.15 - (J336*5),0),100),0)</f>
        <v>68</v>
      </c>
    </row>
    <row r="337" customFormat="false" ht="15" hidden="false" customHeight="true" outlineLevel="0" collapsed="false">
      <c r="A337" s="5" t="s">
        <v>1652</v>
      </c>
      <c r="B337" s="5" t="n">
        <v>2.8</v>
      </c>
      <c r="C337" s="5" t="n">
        <v>7</v>
      </c>
      <c r="D337" s="5" t="n">
        <v>3</v>
      </c>
      <c r="E337" s="5" t="n">
        <v>3.9</v>
      </c>
      <c r="F337" s="5" t="n">
        <v>10</v>
      </c>
      <c r="G337" s="5" t="n">
        <v>5.1</v>
      </c>
      <c r="H337" s="5" t="n">
        <v>61.8</v>
      </c>
      <c r="I337" s="5" t="n">
        <v>76.2</v>
      </c>
      <c r="J337" s="5" t="n">
        <v>4</v>
      </c>
      <c r="K337" s="5" t="n">
        <f aca="false">ROUND(MIN(MAX((B337*10)*0.2 + (MIN(E337/25*100,100))*0.2 + (MAX(100-F337*5,0))*0.15 + (G337*10)*0.15 + (H337)*0.15 + (I337)*0.15 - (J337*5),0),100),0)</f>
        <v>25</v>
      </c>
    </row>
    <row r="338" customFormat="false" ht="15" hidden="false" customHeight="true" outlineLevel="0" collapsed="false">
      <c r="A338" s="5" t="s">
        <v>1654</v>
      </c>
      <c r="B338" s="5" t="n">
        <v>3.9</v>
      </c>
      <c r="C338" s="5" t="n">
        <v>12</v>
      </c>
      <c r="D338" s="5" t="n">
        <v>7</v>
      </c>
      <c r="E338" s="5" t="n">
        <v>19.4</v>
      </c>
      <c r="F338" s="5" t="n">
        <v>2</v>
      </c>
      <c r="G338" s="5" t="n">
        <v>9.4</v>
      </c>
      <c r="H338" s="5" t="n">
        <v>43.6</v>
      </c>
      <c r="I338" s="5" t="n">
        <v>68.5</v>
      </c>
      <c r="J338" s="5" t="n">
        <v>0</v>
      </c>
      <c r="K338" s="5" t="n">
        <f aca="false">ROUND(MIN(MAX((B338*10)*0.2 + (MIN(E338/25*100,100))*0.2 + (MAX(100-F338*5,0))*0.15 + (G338*10)*0.15 + (H338)*0.15 + (I338)*0.15 - (J338*5),0),100),0)</f>
        <v>68</v>
      </c>
    </row>
    <row r="339" customFormat="false" ht="15" hidden="false" customHeight="true" outlineLevel="0" collapsed="false">
      <c r="A339" s="5" t="s">
        <v>1656</v>
      </c>
      <c r="B339" s="5" t="n">
        <v>5.5</v>
      </c>
      <c r="C339" s="5" t="n">
        <v>2</v>
      </c>
      <c r="D339" s="5" t="n">
        <v>11</v>
      </c>
      <c r="E339" s="5" t="n">
        <v>18.1</v>
      </c>
      <c r="F339" s="5" t="n">
        <v>14.1</v>
      </c>
      <c r="G339" s="5" t="n">
        <v>5.3</v>
      </c>
      <c r="H339" s="5" t="n">
        <v>54</v>
      </c>
      <c r="I339" s="5" t="n">
        <v>81.1</v>
      </c>
      <c r="J339" s="5" t="n">
        <v>4</v>
      </c>
      <c r="K339" s="5" t="n">
        <f aca="false">ROUND(MIN(MAX((B339*10)*0.2 + (MIN(E339/25*100,100))*0.2 + (MAX(100-F339*5,0))*0.15 + (G339*10)*0.15 + (H339)*0.15 + (I339)*0.15 - (J339*5),0),100),0)</f>
        <v>38</v>
      </c>
    </row>
    <row r="340" customFormat="false" ht="15" hidden="false" customHeight="true" outlineLevel="0" collapsed="false">
      <c r="A340" s="5" t="s">
        <v>1658</v>
      </c>
      <c r="B340" s="5" t="n">
        <v>4</v>
      </c>
      <c r="C340" s="5" t="n">
        <v>2</v>
      </c>
      <c r="D340" s="5" t="n">
        <v>2</v>
      </c>
      <c r="E340" s="5" t="n">
        <v>25.5</v>
      </c>
      <c r="F340" s="5" t="n">
        <v>2.1</v>
      </c>
      <c r="G340" s="5" t="n">
        <v>3.7</v>
      </c>
      <c r="H340" s="5" t="n">
        <v>63.8</v>
      </c>
      <c r="I340" s="5" t="n">
        <v>45.9</v>
      </c>
      <c r="J340" s="5" t="n">
        <v>1</v>
      </c>
      <c r="K340" s="5" t="n">
        <f aca="false">ROUND(MIN(MAX((B340*10)*0.2 + (MIN(E340/25*100,100))*0.2 + (MAX(100-F340*5,0))*0.15 + (G340*10)*0.15 + (H340)*0.15 + (I340)*0.15 - (J340*5),0),100),0)</f>
        <v>58</v>
      </c>
    </row>
    <row r="341" customFormat="false" ht="15" hidden="false" customHeight="true" outlineLevel="0" collapsed="false">
      <c r="A341" s="5" t="s">
        <v>1661</v>
      </c>
      <c r="B341" s="5" t="n">
        <v>6</v>
      </c>
      <c r="C341" s="5" t="n">
        <v>7</v>
      </c>
      <c r="D341" s="5" t="n">
        <v>6</v>
      </c>
      <c r="E341" s="5" t="n">
        <v>17.2</v>
      </c>
      <c r="F341" s="5" t="n">
        <v>4.5</v>
      </c>
      <c r="G341" s="5" t="n">
        <v>7</v>
      </c>
      <c r="H341" s="5" t="n">
        <v>41.6</v>
      </c>
      <c r="I341" s="5" t="n">
        <v>83.5</v>
      </c>
      <c r="J341" s="5" t="n">
        <v>3</v>
      </c>
      <c r="K341" s="5" t="n">
        <f aca="false">ROUND(MIN(MAX((B341*10)*0.2 + (MIN(E341/25*100,100))*0.2 + (MAX(100-F341*5,0))*0.15 + (G341*10)*0.15 + (H341)*0.15 + (I341)*0.15 - (J341*5),0),100),0)</f>
        <v>52</v>
      </c>
    </row>
    <row r="342" customFormat="false" ht="15" hidden="false" customHeight="true" outlineLevel="0" collapsed="false">
      <c r="A342" s="5" t="s">
        <v>1663</v>
      </c>
      <c r="B342" s="5" t="n">
        <v>7.6</v>
      </c>
      <c r="C342" s="5" t="n">
        <v>19</v>
      </c>
      <c r="D342" s="5" t="n">
        <v>11</v>
      </c>
      <c r="E342" s="5" t="n">
        <v>21.2</v>
      </c>
      <c r="F342" s="5" t="n">
        <v>10.8</v>
      </c>
      <c r="G342" s="5" t="n">
        <v>5.4</v>
      </c>
      <c r="H342" s="5" t="n">
        <v>36.8</v>
      </c>
      <c r="I342" s="5" t="n">
        <v>86</v>
      </c>
      <c r="J342" s="5" t="n">
        <v>4</v>
      </c>
      <c r="K342" s="5" t="n">
        <f aca="false">ROUND(MIN(MAX((B342*10)*0.2 + (MIN(E342/25*100,100))*0.2 + (MAX(100-F342*5,0))*0.15 + (G342*10)*0.15 + (H342)*0.15 + (I342)*0.15 - (J342*5),0),100),0)</f>
        <v>46</v>
      </c>
    </row>
    <row r="343" customFormat="false" ht="15" hidden="false" customHeight="true" outlineLevel="0" collapsed="false">
      <c r="A343" s="5" t="s">
        <v>1665</v>
      </c>
      <c r="B343" s="5" t="n">
        <v>5</v>
      </c>
      <c r="C343" s="5" t="n">
        <v>11</v>
      </c>
      <c r="D343" s="5" t="n">
        <v>5</v>
      </c>
      <c r="E343" s="5" t="n">
        <v>17.4</v>
      </c>
      <c r="F343" s="5" t="n">
        <v>9.4</v>
      </c>
      <c r="G343" s="5" t="n">
        <v>9.5</v>
      </c>
      <c r="H343" s="5" t="n">
        <v>88.7</v>
      </c>
      <c r="I343" s="5" t="n">
        <v>71.9</v>
      </c>
      <c r="J343" s="5" t="n">
        <v>2</v>
      </c>
      <c r="K343" s="5" t="n">
        <f aca="false">ROUND(MIN(MAX((B343*10)*0.2 + (MIN(E343/25*100,100))*0.2 + (MAX(100-F343*5,0))*0.15 + (G343*10)*0.15 + (H343)*0.15 + (I343)*0.15 - (J343*5),0),100),0)</f>
        <v>60</v>
      </c>
    </row>
    <row r="344" customFormat="false" ht="15" hidden="false" customHeight="true" outlineLevel="0" collapsed="false">
      <c r="A344" s="5" t="s">
        <v>1668</v>
      </c>
      <c r="B344" s="5" t="n">
        <v>8.3</v>
      </c>
      <c r="C344" s="5" t="n">
        <v>14</v>
      </c>
      <c r="D344" s="5" t="n">
        <v>13</v>
      </c>
      <c r="E344" s="5" t="n">
        <v>25.3</v>
      </c>
      <c r="F344" s="5" t="n">
        <v>5.5</v>
      </c>
      <c r="G344" s="5" t="n">
        <v>3.9</v>
      </c>
      <c r="H344" s="5" t="n">
        <v>65.5</v>
      </c>
      <c r="I344" s="5" t="n">
        <v>61.8</v>
      </c>
      <c r="J344" s="5" t="n">
        <v>4</v>
      </c>
      <c r="K344" s="5" t="n">
        <f aca="false">ROUND(MIN(MAX((B344*10)*0.2 + (MIN(E344/25*100,100))*0.2 + (MAX(100-F344*5,0))*0.15 + (G344*10)*0.15 + (H344)*0.15 + (I344)*0.15 - (J344*5),0),100),0)</f>
        <v>52</v>
      </c>
    </row>
    <row r="345" customFormat="false" ht="15" hidden="false" customHeight="true" outlineLevel="0" collapsed="false">
      <c r="A345" s="5" t="s">
        <v>1670</v>
      </c>
      <c r="B345" s="5" t="n">
        <v>8.9</v>
      </c>
      <c r="C345" s="5" t="n">
        <v>9</v>
      </c>
      <c r="D345" s="5" t="n">
        <v>11</v>
      </c>
      <c r="E345" s="5" t="n">
        <v>29</v>
      </c>
      <c r="F345" s="5" t="n">
        <v>7.3</v>
      </c>
      <c r="G345" s="5" t="n">
        <v>5.2</v>
      </c>
      <c r="H345" s="5" t="n">
        <v>77.2</v>
      </c>
      <c r="I345" s="5" t="n">
        <v>97</v>
      </c>
      <c r="J345" s="5" t="n">
        <v>4</v>
      </c>
      <c r="K345" s="5" t="n">
        <f aca="false">ROUND(MIN(MAX((B345*10)*0.2 + (MIN(E345/25*100,100))*0.2 + (MAX(100-F345*5,0))*0.15 + (G345*10)*0.15 + (H345)*0.15 + (I345)*0.15 - (J345*5),0),100),0)</f>
        <v>61</v>
      </c>
    </row>
    <row r="346" customFormat="false" ht="15" hidden="false" customHeight="true" outlineLevel="0" collapsed="false">
      <c r="A346" s="5" t="s">
        <v>1672</v>
      </c>
      <c r="B346" s="5" t="n">
        <v>2.1</v>
      </c>
      <c r="C346" s="5" t="n">
        <v>5</v>
      </c>
      <c r="D346" s="5" t="n">
        <v>9</v>
      </c>
      <c r="E346" s="5" t="n">
        <v>3.2</v>
      </c>
      <c r="F346" s="5" t="n">
        <v>14.8</v>
      </c>
      <c r="G346" s="5" t="n">
        <v>3.7</v>
      </c>
      <c r="H346" s="5" t="n">
        <v>50.5</v>
      </c>
      <c r="I346" s="5" t="n">
        <v>84.7</v>
      </c>
      <c r="J346" s="5" t="n">
        <v>2</v>
      </c>
      <c r="K346" s="5" t="n">
        <f aca="false">ROUND(MIN(MAX((B346*10)*0.2 + (MIN(E346/25*100,100))*0.2 + (MAX(100-F346*5,0))*0.15 + (G346*10)*0.15 + (H346)*0.15 + (I346)*0.15 - (J346*5),0),100),0)</f>
        <v>26</v>
      </c>
    </row>
    <row r="347" customFormat="false" ht="15" hidden="false" customHeight="true" outlineLevel="0" collapsed="false">
      <c r="A347" s="5" t="s">
        <v>1674</v>
      </c>
      <c r="B347" s="5" t="n">
        <v>8.9</v>
      </c>
      <c r="C347" s="5" t="n">
        <v>17</v>
      </c>
      <c r="D347" s="5" t="n">
        <v>4</v>
      </c>
      <c r="E347" s="5" t="n">
        <v>5.5</v>
      </c>
      <c r="F347" s="5" t="n">
        <v>7.4</v>
      </c>
      <c r="G347" s="5" t="n">
        <v>3.2</v>
      </c>
      <c r="H347" s="5" t="n">
        <v>47.2</v>
      </c>
      <c r="I347" s="5" t="n">
        <v>91.6</v>
      </c>
      <c r="J347" s="5" t="n">
        <v>1</v>
      </c>
      <c r="K347" s="5" t="n">
        <f aca="false">ROUND(MIN(MAX((B347*10)*0.2 + (MIN(E347/25*100,100))*0.2 + (MAX(100-F347*5,0))*0.15 + (G347*10)*0.15 + (H347)*0.15 + (I347)*0.15 - (J347*5),0),100),0)</f>
        <v>52</v>
      </c>
    </row>
    <row r="348" customFormat="false" ht="15" hidden="false" customHeight="true" outlineLevel="0" collapsed="false">
      <c r="A348" s="5" t="s">
        <v>1676</v>
      </c>
      <c r="B348" s="5" t="n">
        <v>3.7</v>
      </c>
      <c r="C348" s="5" t="n">
        <v>10</v>
      </c>
      <c r="D348" s="5" t="n">
        <v>2</v>
      </c>
      <c r="E348" s="5" t="n">
        <v>18.4</v>
      </c>
      <c r="F348" s="5" t="n">
        <v>9</v>
      </c>
      <c r="G348" s="5" t="n">
        <v>3.7</v>
      </c>
      <c r="H348" s="5" t="n">
        <v>35</v>
      </c>
      <c r="I348" s="5" t="n">
        <v>58.8</v>
      </c>
      <c r="J348" s="5" t="n">
        <v>3</v>
      </c>
      <c r="K348" s="5" t="n">
        <f aca="false">ROUND(MIN(MAX((B348*10)*0.2 + (MIN(E348/25*100,100))*0.2 + (MAX(100-F348*5,0))*0.15 + (G348*10)*0.15 + (H348)*0.15 + (I348)*0.15 - (J348*5),0),100),0)</f>
        <v>35</v>
      </c>
    </row>
    <row r="349" customFormat="false" ht="15" hidden="false" customHeight="true" outlineLevel="0" collapsed="false">
      <c r="A349" s="5" t="s">
        <v>1678</v>
      </c>
      <c r="B349" s="5" t="n">
        <v>3.3</v>
      </c>
      <c r="C349" s="5" t="n">
        <v>19</v>
      </c>
      <c r="D349" s="5" t="n">
        <v>3</v>
      </c>
      <c r="E349" s="5" t="n">
        <v>19.1</v>
      </c>
      <c r="F349" s="5" t="n">
        <v>5.2</v>
      </c>
      <c r="G349" s="5" t="n">
        <v>7.8</v>
      </c>
      <c r="H349" s="5" t="n">
        <v>67.5</v>
      </c>
      <c r="I349" s="5" t="n">
        <v>44.6</v>
      </c>
      <c r="J349" s="5" t="n">
        <v>0</v>
      </c>
      <c r="K349" s="5" t="n">
        <f aca="false">ROUND(MIN(MAX((B349*10)*0.2 + (MIN(E349/25*100,100))*0.2 + (MAX(100-F349*5,0))*0.15 + (G349*10)*0.15 + (H349)*0.15 + (I349)*0.15 - (J349*5),0),100),0)</f>
        <v>61</v>
      </c>
    </row>
    <row r="350" customFormat="false" ht="15" hidden="false" customHeight="true" outlineLevel="0" collapsed="false">
      <c r="A350" s="5" t="s">
        <v>1680</v>
      </c>
      <c r="B350" s="5" t="n">
        <v>8.9</v>
      </c>
      <c r="C350" s="5" t="n">
        <v>11</v>
      </c>
      <c r="D350" s="5" t="n">
        <v>11</v>
      </c>
      <c r="E350" s="5" t="n">
        <v>26.8</v>
      </c>
      <c r="F350" s="5" t="n">
        <v>7.1</v>
      </c>
      <c r="G350" s="5" t="n">
        <v>9.4</v>
      </c>
      <c r="H350" s="5" t="n">
        <v>37.8</v>
      </c>
      <c r="I350" s="5" t="n">
        <v>84.7</v>
      </c>
      <c r="J350" s="5" t="n">
        <v>4</v>
      </c>
      <c r="K350" s="5" t="n">
        <f aca="false">ROUND(MIN(MAX((B350*10)*0.2 + (MIN(E350/25*100,100))*0.2 + (MAX(100-F350*5,0))*0.15 + (G350*10)*0.15 + (H350)*0.15 + (I350)*0.15 - (J350*5),0),100),0)</f>
        <v>60</v>
      </c>
    </row>
    <row r="351" customFormat="false" ht="15" hidden="false" customHeight="true" outlineLevel="0" collapsed="false">
      <c r="A351" s="5" t="s">
        <v>1682</v>
      </c>
      <c r="B351" s="5" t="n">
        <v>9</v>
      </c>
      <c r="C351" s="5" t="n">
        <v>13</v>
      </c>
      <c r="D351" s="5" t="n">
        <v>1</v>
      </c>
      <c r="E351" s="5" t="n">
        <v>11.2</v>
      </c>
      <c r="F351" s="5" t="n">
        <v>1.6</v>
      </c>
      <c r="G351" s="5" t="n">
        <v>6.3</v>
      </c>
      <c r="H351" s="5" t="n">
        <v>39.7</v>
      </c>
      <c r="I351" s="5" t="n">
        <v>69.1</v>
      </c>
      <c r="J351" s="5" t="n">
        <v>1</v>
      </c>
      <c r="K351" s="5" t="n">
        <f aca="false">ROUND(MIN(MAX((B351*10)*0.2 + (MIN(E351/25*100,100))*0.2 + (MAX(100-F351*5,0))*0.15 + (G351*10)*0.15 + (H351)*0.15 + (I351)*0.15 - (J351*5),0),100),0)</f>
        <v>62</v>
      </c>
    </row>
    <row r="352" customFormat="false" ht="15" hidden="false" customHeight="true" outlineLevel="0" collapsed="false">
      <c r="A352" s="5" t="s">
        <v>1684</v>
      </c>
      <c r="B352" s="5" t="n">
        <v>3.1</v>
      </c>
      <c r="C352" s="5" t="n">
        <v>13</v>
      </c>
      <c r="D352" s="5" t="n">
        <v>14</v>
      </c>
      <c r="E352" s="5" t="n">
        <v>23.3</v>
      </c>
      <c r="F352" s="5" t="n">
        <v>9.1</v>
      </c>
      <c r="G352" s="5" t="n">
        <v>2.7</v>
      </c>
      <c r="H352" s="5" t="n">
        <v>58.1</v>
      </c>
      <c r="I352" s="5" t="n">
        <v>85.6</v>
      </c>
      <c r="J352" s="5" t="n">
        <v>1</v>
      </c>
      <c r="K352" s="5" t="n">
        <f aca="false">ROUND(MIN(MAX((B352*10)*0.2 + (MIN(E352/25*100,100))*0.2 + (MAX(100-F352*5,0))*0.15 + (G352*10)*0.15 + (H352)*0.15 + (I352)*0.15 - (J352*5),0),100),0)</f>
        <v>54</v>
      </c>
    </row>
    <row r="353" customFormat="false" ht="15" hidden="false" customHeight="true" outlineLevel="0" collapsed="false">
      <c r="A353" s="5" t="s">
        <v>1686</v>
      </c>
      <c r="B353" s="5" t="n">
        <v>3</v>
      </c>
      <c r="C353" s="5" t="n">
        <v>3</v>
      </c>
      <c r="D353" s="5" t="n">
        <v>15</v>
      </c>
      <c r="E353" s="5" t="n">
        <v>18.4</v>
      </c>
      <c r="F353" s="5" t="n">
        <v>1.7</v>
      </c>
      <c r="G353" s="5" t="n">
        <v>5.2</v>
      </c>
      <c r="H353" s="5" t="n">
        <v>35.5</v>
      </c>
      <c r="I353" s="5" t="n">
        <v>69.1</v>
      </c>
      <c r="J353" s="5" t="n">
        <v>1</v>
      </c>
      <c r="K353" s="5" t="n">
        <f aca="false">ROUND(MIN(MAX((B353*10)*0.2 + (MIN(E353/25*100,100))*0.2 + (MAX(100-F353*5,0))*0.15 + (G353*10)*0.15 + (H353)*0.15 + (I353)*0.15 - (J353*5),0),100),0)</f>
        <v>53</v>
      </c>
    </row>
    <row r="354" customFormat="false" ht="15" hidden="false" customHeight="true" outlineLevel="0" collapsed="false">
      <c r="A354" s="5" t="s">
        <v>1688</v>
      </c>
      <c r="B354" s="5" t="n">
        <v>7.7</v>
      </c>
      <c r="C354" s="5" t="n">
        <v>16</v>
      </c>
      <c r="D354" s="5" t="n">
        <v>6</v>
      </c>
      <c r="E354" s="5" t="n">
        <v>16.2</v>
      </c>
      <c r="F354" s="5" t="n">
        <v>10.1</v>
      </c>
      <c r="G354" s="5" t="n">
        <v>3.6</v>
      </c>
      <c r="H354" s="5" t="n">
        <v>70</v>
      </c>
      <c r="I354" s="5" t="n">
        <v>82.7</v>
      </c>
      <c r="J354" s="5" t="n">
        <v>1</v>
      </c>
      <c r="K354" s="5" t="n">
        <f aca="false">ROUND(MIN(MAX((B354*10)*0.2 + (MIN(E354/25*100,100))*0.2 + (MAX(100-F354*5,0))*0.15 + (G354*10)*0.15 + (H354)*0.15 + (I354)*0.15 - (J354*5),0),100),0)</f>
        <v>59</v>
      </c>
    </row>
    <row r="355" customFormat="false" ht="15" hidden="false" customHeight="true" outlineLevel="0" collapsed="false">
      <c r="A355" s="5" t="s">
        <v>1690</v>
      </c>
      <c r="B355" s="5" t="n">
        <v>3.8</v>
      </c>
      <c r="C355" s="5" t="n">
        <v>9</v>
      </c>
      <c r="D355" s="5" t="n">
        <v>13</v>
      </c>
      <c r="E355" s="5" t="n">
        <v>11.7</v>
      </c>
      <c r="F355" s="5" t="n">
        <v>13.9</v>
      </c>
      <c r="G355" s="5" t="n">
        <v>2.7</v>
      </c>
      <c r="H355" s="5" t="n">
        <v>73.7</v>
      </c>
      <c r="I355" s="5" t="n">
        <v>64.6</v>
      </c>
      <c r="J355" s="5" t="n">
        <v>2</v>
      </c>
      <c r="K355" s="5" t="n">
        <f aca="false">ROUND(MIN(MAX((B355*10)*0.2 + (MIN(E355/25*100,100))*0.2 + (MAX(100-F355*5,0))*0.15 + (G355*10)*0.15 + (H355)*0.15 + (I355)*0.15 - (J355*5),0),100),0)</f>
        <v>36</v>
      </c>
    </row>
    <row r="356" customFormat="false" ht="15" hidden="false" customHeight="true" outlineLevel="0" collapsed="false">
      <c r="A356" s="5" t="s">
        <v>1692</v>
      </c>
      <c r="B356" s="5" t="n">
        <v>3.4</v>
      </c>
      <c r="C356" s="5" t="n">
        <v>12</v>
      </c>
      <c r="D356" s="5" t="n">
        <v>0</v>
      </c>
      <c r="E356" s="5" t="n">
        <v>23.8</v>
      </c>
      <c r="F356" s="5" t="n">
        <v>3.4</v>
      </c>
      <c r="G356" s="5" t="n">
        <v>4.8</v>
      </c>
      <c r="H356" s="5" t="n">
        <v>83.4</v>
      </c>
      <c r="I356" s="5" t="n">
        <v>86.6</v>
      </c>
      <c r="J356" s="5" t="n">
        <v>4</v>
      </c>
      <c r="K356" s="5" t="n">
        <f aca="false">ROUND(MIN(MAX((B356*10)*0.2 + (MIN(E356/25*100,100))*0.2 + (MAX(100-F356*5,0))*0.15 + (G356*10)*0.15 + (H356)*0.15 + (I356)*0.15 - (J356*5),0),100),0)</f>
        <v>51</v>
      </c>
    </row>
    <row r="357" customFormat="false" ht="15" hidden="false" customHeight="true" outlineLevel="0" collapsed="false">
      <c r="A357" s="5" t="s">
        <v>1694</v>
      </c>
      <c r="B357" s="5" t="n">
        <v>3.1</v>
      </c>
      <c r="C357" s="5" t="n">
        <v>2</v>
      </c>
      <c r="D357" s="5" t="n">
        <v>7</v>
      </c>
      <c r="E357" s="5" t="n">
        <v>8.4</v>
      </c>
      <c r="F357" s="5" t="n">
        <v>6.2</v>
      </c>
      <c r="G357" s="5" t="n">
        <v>8.1</v>
      </c>
      <c r="H357" s="5" t="n">
        <v>85.4</v>
      </c>
      <c r="I357" s="5" t="n">
        <v>46.5</v>
      </c>
      <c r="J357" s="5" t="n">
        <v>0</v>
      </c>
      <c r="K357" s="5" t="n">
        <f aca="false">ROUND(MIN(MAX((B357*10)*0.2 + (MIN(E357/25*100,100))*0.2 + (MAX(100-F357*5,0))*0.15 + (G357*10)*0.15 + (H357)*0.15 + (I357)*0.15 - (J357*5),0),100),0)</f>
        <v>55</v>
      </c>
    </row>
    <row r="358" customFormat="false" ht="15" hidden="false" customHeight="true" outlineLevel="0" collapsed="false">
      <c r="A358" s="5" t="s">
        <v>1696</v>
      </c>
      <c r="B358" s="5" t="n">
        <v>3.8</v>
      </c>
      <c r="C358" s="5" t="n">
        <v>20</v>
      </c>
      <c r="D358" s="5" t="n">
        <v>4</v>
      </c>
      <c r="E358" s="5" t="n">
        <v>26.5</v>
      </c>
      <c r="F358" s="5" t="n">
        <v>12.5</v>
      </c>
      <c r="G358" s="5" t="n">
        <v>2.1</v>
      </c>
      <c r="H358" s="5" t="n">
        <v>75.1</v>
      </c>
      <c r="I358" s="5" t="n">
        <v>46.5</v>
      </c>
      <c r="J358" s="5" t="n">
        <v>3</v>
      </c>
      <c r="K358" s="5" t="n">
        <f aca="false">ROUND(MIN(MAX((B358*10)*0.2 + (MIN(E358/25*100,100))*0.2 + (MAX(100-F358*5,0))*0.15 + (G358*10)*0.15 + (H358)*0.15 + (I358)*0.15 - (J358*5),0),100),0)</f>
        <v>40</v>
      </c>
    </row>
    <row r="359" customFormat="false" ht="15" hidden="false" customHeight="true" outlineLevel="0" collapsed="false">
      <c r="A359" s="5" t="s">
        <v>1698</v>
      </c>
      <c r="B359" s="5" t="n">
        <v>5.5</v>
      </c>
      <c r="C359" s="5" t="n">
        <v>11</v>
      </c>
      <c r="D359" s="5" t="n">
        <v>6</v>
      </c>
      <c r="E359" s="5" t="n">
        <v>23</v>
      </c>
      <c r="F359" s="5" t="n">
        <v>4</v>
      </c>
      <c r="G359" s="5" t="n">
        <v>6.4</v>
      </c>
      <c r="H359" s="5" t="n">
        <v>78.8</v>
      </c>
      <c r="I359" s="5" t="n">
        <v>71.8</v>
      </c>
      <c r="J359" s="5" t="n">
        <v>4</v>
      </c>
      <c r="K359" s="5" t="n">
        <f aca="false">ROUND(MIN(MAX((B359*10)*0.2 + (MIN(E359/25*100,100))*0.2 + (MAX(100-F359*5,0))*0.15 + (G359*10)*0.15 + (H359)*0.15 + (I359)*0.15 - (J359*5),0),100),0)</f>
        <v>54</v>
      </c>
    </row>
    <row r="360" customFormat="false" ht="15" hidden="false" customHeight="true" outlineLevel="0" collapsed="false">
      <c r="A360" s="5" t="s">
        <v>1700</v>
      </c>
      <c r="B360" s="5" t="n">
        <v>7.5</v>
      </c>
      <c r="C360" s="5" t="n">
        <v>5</v>
      </c>
      <c r="D360" s="5" t="n">
        <v>0</v>
      </c>
      <c r="E360" s="5" t="n">
        <v>13.2</v>
      </c>
      <c r="F360" s="5" t="n">
        <v>13.7</v>
      </c>
      <c r="G360" s="5" t="n">
        <v>6.2</v>
      </c>
      <c r="H360" s="5" t="n">
        <v>46.6</v>
      </c>
      <c r="I360" s="5" t="n">
        <v>43.5</v>
      </c>
      <c r="J360" s="5" t="n">
        <v>1</v>
      </c>
      <c r="K360" s="5" t="n">
        <f aca="false">ROUND(MIN(MAX((B360*10)*0.2 + (MIN(E360/25*100,100))*0.2 + (MAX(100-F360*5,0))*0.15 + (G360*10)*0.15 + (H360)*0.15 + (I360)*0.15 - (J360*5),0),100),0)</f>
        <v>48</v>
      </c>
    </row>
    <row r="361" customFormat="false" ht="15" hidden="false" customHeight="true" outlineLevel="0" collapsed="false">
      <c r="A361" s="5" t="s">
        <v>1702</v>
      </c>
      <c r="B361" s="5" t="n">
        <v>7.9</v>
      </c>
      <c r="C361" s="5" t="n">
        <v>20</v>
      </c>
      <c r="D361" s="5" t="n">
        <v>8</v>
      </c>
      <c r="E361" s="5" t="n">
        <v>4.4</v>
      </c>
      <c r="F361" s="5" t="n">
        <v>10.2</v>
      </c>
      <c r="G361" s="5" t="n">
        <v>2.1</v>
      </c>
      <c r="H361" s="5" t="n">
        <v>55.3</v>
      </c>
      <c r="I361" s="5" t="n">
        <v>55.7</v>
      </c>
      <c r="J361" s="5" t="n">
        <v>2</v>
      </c>
      <c r="K361" s="5" t="n">
        <f aca="false">ROUND(MIN(MAX((B361*10)*0.2 + (MIN(E361/25*100,100))*0.2 + (MAX(100-F361*5,0))*0.15 + (G361*10)*0.15 + (H361)*0.15 + (I361)*0.15 - (J361*5),0),100),0)</f>
        <v>36</v>
      </c>
    </row>
    <row r="362" customFormat="false" ht="15" hidden="false" customHeight="true" outlineLevel="0" collapsed="false">
      <c r="A362" s="5" t="s">
        <v>1704</v>
      </c>
      <c r="B362" s="5" t="n">
        <v>8.5</v>
      </c>
      <c r="C362" s="5" t="n">
        <v>1</v>
      </c>
      <c r="D362" s="5" t="n">
        <v>9</v>
      </c>
      <c r="E362" s="5" t="n">
        <v>26.4</v>
      </c>
      <c r="F362" s="5" t="n">
        <v>10.1</v>
      </c>
      <c r="G362" s="5" t="n">
        <v>3.8</v>
      </c>
      <c r="H362" s="5" t="n">
        <v>54.7</v>
      </c>
      <c r="I362" s="5" t="n">
        <v>96.6</v>
      </c>
      <c r="J362" s="5" t="n">
        <v>0</v>
      </c>
      <c r="K362" s="5" t="n">
        <f aca="false">ROUND(MIN(MAX((B362*10)*0.2 + (MIN(E362/25*100,100))*0.2 + (MAX(100-F362*5,0))*0.15 + (G362*10)*0.15 + (H362)*0.15 + (I362)*0.15 - (J362*5),0),100),0)</f>
        <v>73</v>
      </c>
    </row>
    <row r="363" customFormat="false" ht="15" hidden="false" customHeight="true" outlineLevel="0" collapsed="false">
      <c r="A363" s="5" t="s">
        <v>1706</v>
      </c>
      <c r="B363" s="5" t="n">
        <v>8.8</v>
      </c>
      <c r="C363" s="5" t="n">
        <v>16</v>
      </c>
      <c r="D363" s="5" t="n">
        <v>2</v>
      </c>
      <c r="E363" s="5" t="n">
        <v>8</v>
      </c>
      <c r="F363" s="5" t="n">
        <v>8</v>
      </c>
      <c r="G363" s="5" t="n">
        <v>5.7</v>
      </c>
      <c r="H363" s="5" t="n">
        <v>90.2</v>
      </c>
      <c r="I363" s="5" t="n">
        <v>41.2</v>
      </c>
      <c r="J363" s="5" t="n">
        <v>1</v>
      </c>
      <c r="K363" s="5" t="n">
        <f aca="false">ROUND(MIN(MAX((B363*10)*0.2 + (MIN(E363/25*100,100))*0.2 + (MAX(100-F363*5,0))*0.15 + (G363*10)*0.15 + (H363)*0.15 + (I363)*0.15 - (J363*5),0),100),0)</f>
        <v>56</v>
      </c>
    </row>
    <row r="364" customFormat="false" ht="15" hidden="false" customHeight="true" outlineLevel="0" collapsed="false">
      <c r="A364" s="5" t="s">
        <v>1709</v>
      </c>
      <c r="B364" s="5" t="n">
        <v>8.9</v>
      </c>
      <c r="C364" s="5" t="n">
        <v>10</v>
      </c>
      <c r="D364" s="5" t="n">
        <v>10</v>
      </c>
      <c r="E364" s="5" t="n">
        <v>16.2</v>
      </c>
      <c r="F364" s="5" t="n">
        <v>11.4</v>
      </c>
      <c r="G364" s="5" t="n">
        <v>2.1</v>
      </c>
      <c r="H364" s="5" t="n">
        <v>74.5</v>
      </c>
      <c r="I364" s="5" t="n">
        <v>60.6</v>
      </c>
      <c r="J364" s="5" t="n">
        <v>2</v>
      </c>
      <c r="K364" s="5" t="n">
        <f aca="false">ROUND(MIN(MAX((B364*10)*0.2 + (MIN(E364/25*100,100))*0.2 + (MAX(100-F364*5,0))*0.15 + (G364*10)*0.15 + (H364)*0.15 + (I364)*0.15 - (J364*5),0),100),0)</f>
        <v>51</v>
      </c>
    </row>
    <row r="365" customFormat="false" ht="15" hidden="false" customHeight="true" outlineLevel="0" collapsed="false">
      <c r="A365" s="5" t="s">
        <v>1711</v>
      </c>
      <c r="B365" s="5" t="n">
        <v>3.8</v>
      </c>
      <c r="C365" s="5" t="n">
        <v>17</v>
      </c>
      <c r="D365" s="5" t="n">
        <v>8</v>
      </c>
      <c r="E365" s="5" t="n">
        <v>24.9</v>
      </c>
      <c r="F365" s="5" t="n">
        <v>9.8</v>
      </c>
      <c r="G365" s="5" t="n">
        <v>9</v>
      </c>
      <c r="H365" s="5" t="n">
        <v>87.9</v>
      </c>
      <c r="I365" s="5" t="n">
        <v>87.3</v>
      </c>
      <c r="J365" s="5" t="n">
        <v>0</v>
      </c>
      <c r="K365" s="5" t="n">
        <f aca="false">ROUND(MIN(MAX((B365*10)*0.2 + (MIN(E365/25*100,100))*0.2 + (MAX(100-F365*5,0))*0.15 + (G365*10)*0.15 + (H365)*0.15 + (I365)*0.15 - (J365*5),0),100),0)</f>
        <v>75</v>
      </c>
    </row>
    <row r="366" customFormat="false" ht="15" hidden="false" customHeight="true" outlineLevel="0" collapsed="false">
      <c r="A366" s="5" t="s">
        <v>1713</v>
      </c>
      <c r="B366" s="5" t="n">
        <v>9.1</v>
      </c>
      <c r="C366" s="5" t="n">
        <v>9</v>
      </c>
      <c r="D366" s="5" t="n">
        <v>7</v>
      </c>
      <c r="E366" s="5" t="n">
        <v>7.1</v>
      </c>
      <c r="F366" s="5" t="n">
        <v>13.6</v>
      </c>
      <c r="G366" s="5" t="n">
        <v>7.3</v>
      </c>
      <c r="H366" s="5" t="n">
        <v>35.7</v>
      </c>
      <c r="I366" s="5" t="n">
        <v>62.2</v>
      </c>
      <c r="J366" s="5" t="n">
        <v>4</v>
      </c>
      <c r="K366" s="5" t="n">
        <f aca="false">ROUND(MIN(MAX((B366*10)*0.2 + (MIN(E366/25*100,100))*0.2 + (MAX(100-F366*5,0))*0.15 + (G366*10)*0.15 + (H366)*0.15 + (I366)*0.15 - (J366*5),0),100),0)</f>
        <v>34</v>
      </c>
    </row>
    <row r="367" customFormat="false" ht="15" hidden="false" customHeight="true" outlineLevel="0" collapsed="false">
      <c r="A367" s="5" t="s">
        <v>1715</v>
      </c>
      <c r="B367" s="5" t="n">
        <v>8.5</v>
      </c>
      <c r="C367" s="5" t="n">
        <v>8</v>
      </c>
      <c r="D367" s="5" t="n">
        <v>13</v>
      </c>
      <c r="E367" s="5" t="n">
        <v>9.5</v>
      </c>
      <c r="F367" s="5" t="n">
        <v>3.1</v>
      </c>
      <c r="G367" s="5" t="n">
        <v>9.8</v>
      </c>
      <c r="H367" s="5" t="n">
        <v>89.1</v>
      </c>
      <c r="I367" s="5" t="n">
        <v>59.1</v>
      </c>
      <c r="J367" s="5" t="n">
        <v>4</v>
      </c>
      <c r="K367" s="5" t="n">
        <f aca="false">ROUND(MIN(MAX((B367*10)*0.2 + (MIN(E367/25*100,100))*0.2 + (MAX(100-F367*5,0))*0.15 + (G367*10)*0.15 + (H367)*0.15 + (I367)*0.15 - (J367*5),0),100),0)</f>
        <v>54</v>
      </c>
    </row>
    <row r="368" customFormat="false" ht="15" hidden="false" customHeight="true" outlineLevel="0" collapsed="false">
      <c r="A368" s="5" t="s">
        <v>1717</v>
      </c>
      <c r="B368" s="5" t="n">
        <v>3</v>
      </c>
      <c r="C368" s="5" t="n">
        <v>5</v>
      </c>
      <c r="D368" s="5" t="n">
        <v>6</v>
      </c>
      <c r="E368" s="5" t="n">
        <v>26.3</v>
      </c>
      <c r="F368" s="5" t="n">
        <v>5.3</v>
      </c>
      <c r="G368" s="5" t="n">
        <v>7.6</v>
      </c>
      <c r="H368" s="5" t="n">
        <v>64</v>
      </c>
      <c r="I368" s="5" t="n">
        <v>47.8</v>
      </c>
      <c r="J368" s="5" t="n">
        <v>1</v>
      </c>
      <c r="K368" s="5" t="n">
        <f aca="false">ROUND(MIN(MAX((B368*10)*0.2 + (MIN(E368/25*100,100))*0.2 + (MAX(100-F368*5,0))*0.15 + (G368*10)*0.15 + (H368)*0.15 + (I368)*0.15 - (J368*5),0),100),0)</f>
        <v>60</v>
      </c>
    </row>
    <row r="369" customFormat="false" ht="15" hidden="false" customHeight="true" outlineLevel="0" collapsed="false">
      <c r="A369" s="5" t="s">
        <v>1719</v>
      </c>
      <c r="B369" s="5" t="n">
        <v>6.9</v>
      </c>
      <c r="C369" s="5" t="n">
        <v>19</v>
      </c>
      <c r="D369" s="5" t="n">
        <v>5</v>
      </c>
      <c r="E369" s="5" t="n">
        <v>11.6</v>
      </c>
      <c r="F369" s="5" t="n">
        <v>8.8</v>
      </c>
      <c r="G369" s="5" t="n">
        <v>9.6</v>
      </c>
      <c r="H369" s="5" t="n">
        <v>37.7</v>
      </c>
      <c r="I369" s="5" t="n">
        <v>58.4</v>
      </c>
      <c r="J369" s="5" t="n">
        <v>1</v>
      </c>
      <c r="K369" s="5" t="n">
        <f aca="false">ROUND(MIN(MAX((B369*10)*0.2 + (MIN(E369/25*100,100))*0.2 + (MAX(100-F369*5,0))*0.15 + (G369*10)*0.15 + (H369)*0.15 + (I369)*0.15 - (J369*5),0),100),0)</f>
        <v>55</v>
      </c>
    </row>
    <row r="370" customFormat="false" ht="15" hidden="false" customHeight="true" outlineLevel="0" collapsed="false">
      <c r="A370" s="5" t="s">
        <v>1721</v>
      </c>
      <c r="B370" s="5" t="n">
        <v>7.5</v>
      </c>
      <c r="C370" s="5" t="n">
        <v>11</v>
      </c>
      <c r="D370" s="5" t="n">
        <v>13</v>
      </c>
      <c r="E370" s="5" t="n">
        <v>29</v>
      </c>
      <c r="F370" s="5" t="n">
        <v>5.2</v>
      </c>
      <c r="G370" s="5" t="n">
        <v>8</v>
      </c>
      <c r="H370" s="5" t="n">
        <v>83.4</v>
      </c>
      <c r="I370" s="5" t="n">
        <v>76.9</v>
      </c>
      <c r="J370" s="5" t="n">
        <v>2</v>
      </c>
      <c r="K370" s="5" t="n">
        <f aca="false">ROUND(MIN(MAX((B370*10)*0.2 + (MIN(E370/25*100,100))*0.2 + (MAX(100-F370*5,0))*0.15 + (G370*10)*0.15 + (H370)*0.15 + (I370)*0.15 - (J370*5),0),100),0)</f>
        <v>72</v>
      </c>
    </row>
    <row r="371" customFormat="false" ht="15" hidden="false" customHeight="true" outlineLevel="0" collapsed="false">
      <c r="A371" s="5" t="s">
        <v>1724</v>
      </c>
      <c r="B371" s="5" t="n">
        <v>3.1</v>
      </c>
      <c r="C371" s="5" t="n">
        <v>7</v>
      </c>
      <c r="D371" s="5" t="n">
        <v>3</v>
      </c>
      <c r="E371" s="5" t="n">
        <v>6.6</v>
      </c>
      <c r="F371" s="5" t="n">
        <v>1.4</v>
      </c>
      <c r="G371" s="5" t="n">
        <v>9.9</v>
      </c>
      <c r="H371" s="5" t="n">
        <v>70.1</v>
      </c>
      <c r="I371" s="5" t="n">
        <v>75.1</v>
      </c>
      <c r="J371" s="5" t="n">
        <v>4</v>
      </c>
      <c r="K371" s="5" t="n">
        <f aca="false">ROUND(MIN(MAX((B371*10)*0.2 + (MIN(E371/25*100,100))*0.2 + (MAX(100-F371*5,0))*0.15 + (G371*10)*0.15 + (H371)*0.15 + (I371)*0.15 - (J371*5),0),100),0)</f>
        <v>42</v>
      </c>
    </row>
    <row r="372" customFormat="false" ht="15" hidden="false" customHeight="true" outlineLevel="0" collapsed="false">
      <c r="A372" s="5" t="s">
        <v>1726</v>
      </c>
      <c r="B372" s="5" t="n">
        <v>3.7</v>
      </c>
      <c r="C372" s="5" t="n">
        <v>8</v>
      </c>
      <c r="D372" s="5" t="n">
        <v>7</v>
      </c>
      <c r="E372" s="5" t="n">
        <v>21.6</v>
      </c>
      <c r="F372" s="5" t="n">
        <v>6</v>
      </c>
      <c r="G372" s="5" t="n">
        <v>7.5</v>
      </c>
      <c r="H372" s="5" t="n">
        <v>61</v>
      </c>
      <c r="I372" s="5" t="n">
        <v>69.1</v>
      </c>
      <c r="J372" s="5" t="n">
        <v>4</v>
      </c>
      <c r="K372" s="5" t="n">
        <f aca="false">ROUND(MIN(MAX((B372*10)*0.2 + (MIN(E372/25*100,100))*0.2 + (MAX(100-F372*5,0))*0.15 + (G372*10)*0.15 + (H372)*0.15 + (I372)*0.15 - (J372*5),0),100),0)</f>
        <v>46</v>
      </c>
    </row>
    <row r="373" customFormat="false" ht="15" hidden="false" customHeight="true" outlineLevel="0" collapsed="false">
      <c r="A373" s="5" t="s">
        <v>1728</v>
      </c>
      <c r="B373" s="5" t="n">
        <v>5.5</v>
      </c>
      <c r="C373" s="5" t="n">
        <v>12</v>
      </c>
      <c r="D373" s="5" t="n">
        <v>5</v>
      </c>
      <c r="E373" s="5" t="n">
        <v>26</v>
      </c>
      <c r="F373" s="5" t="n">
        <v>7.9</v>
      </c>
      <c r="G373" s="5" t="n">
        <v>3.1</v>
      </c>
      <c r="H373" s="5" t="n">
        <v>42.6</v>
      </c>
      <c r="I373" s="5" t="n">
        <v>41.9</v>
      </c>
      <c r="J373" s="5" t="n">
        <v>0</v>
      </c>
      <c r="K373" s="5" t="n">
        <f aca="false">ROUND(MIN(MAX((B373*10)*0.2 + (MIN(E373/25*100,100))*0.2 + (MAX(100-F373*5,0))*0.15 + (G373*10)*0.15 + (H373)*0.15 + (I373)*0.15 - (J373*5),0),100),0)</f>
        <v>57</v>
      </c>
    </row>
    <row r="374" customFormat="false" ht="15" hidden="false" customHeight="true" outlineLevel="0" collapsed="false">
      <c r="A374" s="5" t="s">
        <v>1730</v>
      </c>
      <c r="B374" s="5" t="n">
        <v>8.9</v>
      </c>
      <c r="C374" s="5" t="n">
        <v>14</v>
      </c>
      <c r="D374" s="5" t="n">
        <v>7</v>
      </c>
      <c r="E374" s="5" t="n">
        <v>23</v>
      </c>
      <c r="F374" s="5" t="n">
        <v>14.8</v>
      </c>
      <c r="G374" s="5" t="n">
        <v>8.1</v>
      </c>
      <c r="H374" s="5" t="n">
        <v>34.3</v>
      </c>
      <c r="I374" s="5" t="n">
        <v>93.8</v>
      </c>
      <c r="J374" s="5" t="n">
        <v>3</v>
      </c>
      <c r="K374" s="5" t="n">
        <f aca="false">ROUND(MIN(MAX((B374*10)*0.2 + (MIN(E374/25*100,100))*0.2 + (MAX(100-F374*5,0))*0.15 + (G374*10)*0.15 + (H374)*0.15 + (I374)*0.15 - (J374*5),0),100),0)</f>
        <v>56</v>
      </c>
    </row>
    <row r="375" customFormat="false" ht="15" hidden="false" customHeight="true" outlineLevel="0" collapsed="false">
      <c r="A375" s="5" t="s">
        <v>1732</v>
      </c>
      <c r="B375" s="5" t="n">
        <v>8.5</v>
      </c>
      <c r="C375" s="5" t="n">
        <v>16</v>
      </c>
      <c r="D375" s="5" t="n">
        <v>10</v>
      </c>
      <c r="E375" s="5" t="n">
        <v>26.4</v>
      </c>
      <c r="F375" s="5" t="n">
        <v>13.4</v>
      </c>
      <c r="G375" s="5" t="n">
        <v>5.4</v>
      </c>
      <c r="H375" s="5" t="n">
        <v>80.5</v>
      </c>
      <c r="I375" s="5" t="n">
        <v>75.3</v>
      </c>
      <c r="J375" s="5" t="n">
        <v>3</v>
      </c>
      <c r="K375" s="5" t="n">
        <f aca="false">ROUND(MIN(MAX((B375*10)*0.2 + (MIN(E375/25*100,100))*0.2 + (MAX(100-F375*5,0))*0.15 + (G375*10)*0.15 + (H375)*0.15 + (I375)*0.15 - (J375*5),0),100),0)</f>
        <v>58</v>
      </c>
    </row>
    <row r="376" customFormat="false" ht="15" hidden="false" customHeight="true" outlineLevel="0" collapsed="false">
      <c r="A376" s="5" t="s">
        <v>1734</v>
      </c>
      <c r="B376" s="5" t="n">
        <v>7.4</v>
      </c>
      <c r="C376" s="5" t="n">
        <v>13</v>
      </c>
      <c r="D376" s="5" t="n">
        <v>1</v>
      </c>
      <c r="E376" s="5" t="n">
        <v>17.1</v>
      </c>
      <c r="F376" s="5" t="n">
        <v>7.3</v>
      </c>
      <c r="G376" s="5" t="n">
        <v>8.6</v>
      </c>
      <c r="H376" s="5" t="n">
        <v>32.8</v>
      </c>
      <c r="I376" s="5" t="n">
        <v>97.8</v>
      </c>
      <c r="J376" s="5" t="n">
        <v>4</v>
      </c>
      <c r="K376" s="5" t="n">
        <f aca="false">ROUND(MIN(MAX((B376*10)*0.2 + (MIN(E376/25*100,100))*0.2 + (MAX(100-F376*5,0))*0.15 + (G376*10)*0.15 + (H376)*0.15 + (I376)*0.15 - (J376*5),0),100),0)</f>
        <v>50</v>
      </c>
    </row>
    <row r="377" customFormat="false" ht="15" hidden="false" customHeight="true" outlineLevel="0" collapsed="false">
      <c r="A377" s="5" t="s">
        <v>1736</v>
      </c>
      <c r="B377" s="5" t="n">
        <v>6</v>
      </c>
      <c r="C377" s="5" t="n">
        <v>2</v>
      </c>
      <c r="D377" s="5" t="n">
        <v>12</v>
      </c>
      <c r="E377" s="5" t="n">
        <v>16.9</v>
      </c>
      <c r="F377" s="5" t="n">
        <v>9.8</v>
      </c>
      <c r="G377" s="5" t="n">
        <v>2.4</v>
      </c>
      <c r="H377" s="5" t="n">
        <v>48.9</v>
      </c>
      <c r="I377" s="5" t="n">
        <v>63.1</v>
      </c>
      <c r="J377" s="5" t="n">
        <v>2</v>
      </c>
      <c r="K377" s="5" t="n">
        <f aca="false">ROUND(MIN(MAX((B377*10)*0.2 + (MIN(E377/25*100,100))*0.2 + (MAX(100-F377*5,0))*0.15 + (G377*10)*0.15 + (H377)*0.15 + (I377)*0.15 - (J377*5),0),100),0)</f>
        <v>44</v>
      </c>
    </row>
    <row r="378" customFormat="false" ht="15" hidden="false" customHeight="true" outlineLevel="0" collapsed="false">
      <c r="A378" s="5" t="s">
        <v>1738</v>
      </c>
      <c r="B378" s="5" t="n">
        <v>7.8</v>
      </c>
      <c r="C378" s="5" t="n">
        <v>10</v>
      </c>
      <c r="D378" s="5" t="n">
        <v>14</v>
      </c>
      <c r="E378" s="5" t="n">
        <v>7.5</v>
      </c>
      <c r="F378" s="5" t="n">
        <v>5.1</v>
      </c>
      <c r="G378" s="5" t="n">
        <v>9.4</v>
      </c>
      <c r="H378" s="5" t="n">
        <v>74.8</v>
      </c>
      <c r="I378" s="5" t="n">
        <v>92.4</v>
      </c>
      <c r="J378" s="5" t="n">
        <v>3</v>
      </c>
      <c r="K378" s="5" t="n">
        <f aca="false">ROUND(MIN(MAX((B378*10)*0.2 + (MIN(E378/25*100,100))*0.2 + (MAX(100-F378*5,0))*0.15 + (G378*10)*0.15 + (H378)*0.15 + (I378)*0.15 - (J378*5),0),100),0)</f>
        <v>57</v>
      </c>
    </row>
    <row r="379" customFormat="false" ht="15" hidden="false" customHeight="true" outlineLevel="0" collapsed="false">
      <c r="A379" s="5" t="s">
        <v>1740</v>
      </c>
      <c r="B379" s="5" t="n">
        <v>8.2</v>
      </c>
      <c r="C379" s="5" t="n">
        <v>15</v>
      </c>
      <c r="D379" s="5" t="n">
        <v>2</v>
      </c>
      <c r="E379" s="5" t="n">
        <v>22.5</v>
      </c>
      <c r="F379" s="5" t="n">
        <v>2.6</v>
      </c>
      <c r="G379" s="5" t="n">
        <v>8.2</v>
      </c>
      <c r="H379" s="5" t="n">
        <v>91</v>
      </c>
      <c r="I379" s="5" t="n">
        <v>80.4</v>
      </c>
      <c r="J379" s="5" t="n">
        <v>1</v>
      </c>
      <c r="K379" s="5" t="n">
        <f aca="false">ROUND(MIN(MAX((B379*10)*0.2 + (MIN(E379/25*100,100))*0.2 + (MAX(100-F379*5,0))*0.15 + (G379*10)*0.15 + (H379)*0.15 + (I379)*0.15 - (J379*5),0),100),0)</f>
        <v>80</v>
      </c>
    </row>
    <row r="380" customFormat="false" ht="15" hidden="false" customHeight="true" outlineLevel="0" collapsed="false">
      <c r="A380" s="5" t="s">
        <v>1742</v>
      </c>
      <c r="B380" s="5" t="n">
        <v>4.9</v>
      </c>
      <c r="C380" s="5" t="n">
        <v>11</v>
      </c>
      <c r="D380" s="5" t="n">
        <v>14</v>
      </c>
      <c r="E380" s="5" t="n">
        <v>3.7</v>
      </c>
      <c r="F380" s="5" t="n">
        <v>7.4</v>
      </c>
      <c r="G380" s="5" t="n">
        <v>9.2</v>
      </c>
      <c r="H380" s="5" t="n">
        <v>88.2</v>
      </c>
      <c r="I380" s="5" t="n">
        <v>91.2</v>
      </c>
      <c r="J380" s="5" t="n">
        <v>0</v>
      </c>
      <c r="K380" s="5" t="n">
        <f aca="false">ROUND(MIN(MAX((B380*10)*0.2 + (MIN(E380/25*100,100))*0.2 + (MAX(100-F380*5,0))*0.15 + (G380*10)*0.15 + (H380)*0.15 + (I380)*0.15 - (J380*5),0),100),0)</f>
        <v>63</v>
      </c>
    </row>
    <row r="381" customFormat="false" ht="15" hidden="false" customHeight="true" outlineLevel="0" collapsed="false">
      <c r="A381" s="5" t="s">
        <v>1744</v>
      </c>
      <c r="B381" s="5" t="n">
        <v>3.9</v>
      </c>
      <c r="C381" s="5" t="n">
        <v>6</v>
      </c>
      <c r="D381" s="5" t="n">
        <v>3</v>
      </c>
      <c r="E381" s="5" t="n">
        <v>5.5</v>
      </c>
      <c r="F381" s="5" t="n">
        <v>10.9</v>
      </c>
      <c r="G381" s="5" t="n">
        <v>7.1</v>
      </c>
      <c r="H381" s="5" t="n">
        <v>35.5</v>
      </c>
      <c r="I381" s="5" t="n">
        <v>81</v>
      </c>
      <c r="J381" s="5" t="n">
        <v>4</v>
      </c>
      <c r="K381" s="5" t="n">
        <f aca="false">ROUND(MIN(MAX((B381*10)*0.2 + (MIN(E381/25*100,100))*0.2 + (MAX(100-F381*5,0))*0.15 + (G381*10)*0.15 + (H381)*0.15 + (I381)*0.15 - (J381*5),0),100),0)</f>
        <v>27</v>
      </c>
    </row>
    <row r="382" customFormat="false" ht="15" hidden="false" customHeight="true" outlineLevel="0" collapsed="false">
      <c r="A382" s="5" t="s">
        <v>1746</v>
      </c>
      <c r="B382" s="5" t="n">
        <v>6.6</v>
      </c>
      <c r="C382" s="5" t="n">
        <v>6</v>
      </c>
      <c r="D382" s="5" t="n">
        <v>12</v>
      </c>
      <c r="E382" s="5" t="n">
        <v>17.9</v>
      </c>
      <c r="F382" s="5" t="n">
        <v>1.6</v>
      </c>
      <c r="G382" s="5" t="n">
        <v>3.4</v>
      </c>
      <c r="H382" s="5" t="n">
        <v>51.8</v>
      </c>
      <c r="I382" s="5" t="n">
        <v>90.5</v>
      </c>
      <c r="J382" s="5" t="n">
        <v>1</v>
      </c>
      <c r="K382" s="5" t="n">
        <f aca="false">ROUND(MIN(MAX((B382*10)*0.2 + (MIN(E382/25*100,100))*0.2 + (MAX(100-F382*5,0))*0.15 + (G382*10)*0.15 + (H382)*0.15 + (I382)*0.15 - (J382*5),0),100),0)</f>
        <v>63</v>
      </c>
    </row>
    <row r="383" customFormat="false" ht="15" hidden="false" customHeight="true" outlineLevel="0" collapsed="false">
      <c r="A383" s="5" t="s">
        <v>1748</v>
      </c>
      <c r="B383" s="5" t="n">
        <v>3.2</v>
      </c>
      <c r="C383" s="5" t="n">
        <v>5</v>
      </c>
      <c r="D383" s="5" t="n">
        <v>5</v>
      </c>
      <c r="E383" s="5" t="n">
        <v>23.8</v>
      </c>
      <c r="F383" s="5" t="n">
        <v>1.7</v>
      </c>
      <c r="G383" s="5" t="n">
        <v>4.5</v>
      </c>
      <c r="H383" s="5" t="n">
        <v>77.5</v>
      </c>
      <c r="I383" s="5" t="n">
        <v>95.7</v>
      </c>
      <c r="J383" s="5" t="n">
        <v>2</v>
      </c>
      <c r="K383" s="5" t="n">
        <f aca="false">ROUND(MIN(MAX((B383*10)*0.2 + (MIN(E383/25*100,100))*0.2 + (MAX(100-F383*5,0))*0.15 + (G383*10)*0.15 + (H383)*0.15 + (I383)*0.15 - (J383*5),0),100),0)</f>
        <v>62</v>
      </c>
    </row>
    <row r="384" customFormat="false" ht="15" hidden="false" customHeight="true" outlineLevel="0" collapsed="false">
      <c r="A384" s="5" t="s">
        <v>1751</v>
      </c>
      <c r="B384" s="5" t="n">
        <v>6.7</v>
      </c>
      <c r="C384" s="5" t="n">
        <v>4</v>
      </c>
      <c r="D384" s="5" t="n">
        <v>4</v>
      </c>
      <c r="E384" s="5" t="n">
        <v>28.9</v>
      </c>
      <c r="F384" s="5" t="n">
        <v>1</v>
      </c>
      <c r="G384" s="5" t="n">
        <v>8.1</v>
      </c>
      <c r="H384" s="5" t="n">
        <v>30.8</v>
      </c>
      <c r="I384" s="5" t="n">
        <v>68.9</v>
      </c>
      <c r="J384" s="5" t="n">
        <v>3</v>
      </c>
      <c r="K384" s="5" t="n">
        <f aca="false">ROUND(MIN(MAX((B384*10)*0.2 + (MIN(E384/25*100,100))*0.2 + (MAX(100-F384*5,0))*0.15 + (G384*10)*0.15 + (H384)*0.15 + (I384)*0.15 - (J384*5),0),100),0)</f>
        <v>60</v>
      </c>
    </row>
    <row r="385" customFormat="false" ht="15" hidden="false" customHeight="true" outlineLevel="0" collapsed="false">
      <c r="A385" s="5" t="s">
        <v>1753</v>
      </c>
      <c r="B385" s="5" t="n">
        <v>6.1</v>
      </c>
      <c r="C385" s="5" t="n">
        <v>1</v>
      </c>
      <c r="D385" s="5" t="n">
        <v>15</v>
      </c>
      <c r="E385" s="5" t="n">
        <v>9.4</v>
      </c>
      <c r="F385" s="5" t="n">
        <v>9.2</v>
      </c>
      <c r="G385" s="5" t="n">
        <v>5.8</v>
      </c>
      <c r="H385" s="5" t="n">
        <v>56.7</v>
      </c>
      <c r="I385" s="5" t="n">
        <v>44.6</v>
      </c>
      <c r="J385" s="5" t="n">
        <v>4</v>
      </c>
      <c r="K385" s="5" t="n">
        <f aca="false">ROUND(MIN(MAX((B385*10)*0.2 + (MIN(E385/25*100,100))*0.2 + (MAX(100-F385*5,0))*0.15 + (G385*10)*0.15 + (H385)*0.15 + (I385)*0.15 - (J385*5),0),100),0)</f>
        <v>32</v>
      </c>
    </row>
    <row r="386" customFormat="false" ht="15" hidden="false" customHeight="true" outlineLevel="0" collapsed="false">
      <c r="A386" s="5" t="s">
        <v>1755</v>
      </c>
      <c r="B386" s="5" t="n">
        <v>2</v>
      </c>
      <c r="C386" s="5" t="n">
        <v>18</v>
      </c>
      <c r="D386" s="5" t="n">
        <v>8</v>
      </c>
      <c r="E386" s="5" t="n">
        <v>19.7</v>
      </c>
      <c r="F386" s="5" t="n">
        <v>8.8</v>
      </c>
      <c r="G386" s="5" t="n">
        <v>8.6</v>
      </c>
      <c r="H386" s="5" t="n">
        <v>33.2</v>
      </c>
      <c r="I386" s="5" t="n">
        <v>48.6</v>
      </c>
      <c r="J386" s="5" t="n">
        <v>2</v>
      </c>
      <c r="K386" s="5" t="n">
        <f aca="false">ROUND(MIN(MAX((B386*10)*0.2 + (MIN(E386/25*100,100))*0.2 + (MAX(100-F386*5,0))*0.15 + (G386*10)*0.15 + (H386)*0.15 + (I386)*0.15 - (J386*5),0),100),0)</f>
        <v>43</v>
      </c>
    </row>
    <row r="387" customFormat="false" ht="15" hidden="false" customHeight="true" outlineLevel="0" collapsed="false">
      <c r="A387" s="5" t="s">
        <v>1757</v>
      </c>
      <c r="B387" s="5" t="n">
        <v>2.3</v>
      </c>
      <c r="C387" s="5" t="n">
        <v>2</v>
      </c>
      <c r="D387" s="5" t="n">
        <v>9</v>
      </c>
      <c r="E387" s="5" t="n">
        <v>11.9</v>
      </c>
      <c r="F387" s="5" t="n">
        <v>2.2</v>
      </c>
      <c r="G387" s="5" t="n">
        <v>2.9</v>
      </c>
      <c r="H387" s="5" t="n">
        <v>94.6</v>
      </c>
      <c r="I387" s="5" t="n">
        <v>49.4</v>
      </c>
      <c r="J387" s="5" t="n">
        <v>2</v>
      </c>
      <c r="K387" s="5" t="n">
        <f aca="false">ROUND(MIN(MAX((B387*10)*0.2 + (MIN(E387/25*100,100))*0.2 + (MAX(100-F387*5,0))*0.15 + (G387*10)*0.15 + (H387)*0.15 + (I387)*0.15 - (J387*5),0),100),0)</f>
        <v>43</v>
      </c>
    </row>
    <row r="388" customFormat="false" ht="15" hidden="false" customHeight="true" outlineLevel="0" collapsed="false">
      <c r="A388" s="5" t="s">
        <v>1760</v>
      </c>
      <c r="B388" s="5" t="n">
        <v>6.6</v>
      </c>
      <c r="C388" s="5" t="n">
        <v>20</v>
      </c>
      <c r="D388" s="5" t="n">
        <v>5</v>
      </c>
      <c r="E388" s="5" t="n">
        <v>29.1</v>
      </c>
      <c r="F388" s="5" t="n">
        <v>11.5</v>
      </c>
      <c r="G388" s="5" t="n">
        <v>4.9</v>
      </c>
      <c r="H388" s="5" t="n">
        <v>32.3</v>
      </c>
      <c r="I388" s="5" t="n">
        <v>84.6</v>
      </c>
      <c r="J388" s="5" t="n">
        <v>2</v>
      </c>
      <c r="K388" s="5" t="n">
        <f aca="false">ROUND(MIN(MAX((B388*10)*0.2 + (MIN(E388/25*100,100))*0.2 + (MAX(100-F388*5,0))*0.15 + (G388*10)*0.15 + (H388)*0.15 + (I388)*0.15 - (J388*5),0),100),0)</f>
        <v>54</v>
      </c>
    </row>
    <row r="389" customFormat="false" ht="15" hidden="false" customHeight="true" outlineLevel="0" collapsed="false">
      <c r="A389" s="5" t="s">
        <v>1762</v>
      </c>
      <c r="B389" s="5" t="n">
        <v>4.8</v>
      </c>
      <c r="C389" s="5" t="n">
        <v>13</v>
      </c>
      <c r="D389" s="5" t="n">
        <v>2</v>
      </c>
      <c r="E389" s="5" t="n">
        <v>23.5</v>
      </c>
      <c r="F389" s="5" t="n">
        <v>12.8</v>
      </c>
      <c r="G389" s="5" t="n">
        <v>2.5</v>
      </c>
      <c r="H389" s="5" t="n">
        <v>60.6</v>
      </c>
      <c r="I389" s="5" t="n">
        <v>47.1</v>
      </c>
      <c r="J389" s="5" t="n">
        <v>2</v>
      </c>
      <c r="K389" s="5" t="n">
        <f aca="false">ROUND(MIN(MAX((B389*10)*0.2 + (MIN(E389/25*100,100))*0.2 + (MAX(100-F389*5,0))*0.15 + (G389*10)*0.15 + (H389)*0.15 + (I389)*0.15 - (J389*5),0),100),0)</f>
        <v>44</v>
      </c>
    </row>
    <row r="390" customFormat="false" ht="15" hidden="false" customHeight="true" outlineLevel="0" collapsed="false">
      <c r="A390" s="5" t="s">
        <v>1764</v>
      </c>
      <c r="B390" s="5" t="n">
        <v>4.5</v>
      </c>
      <c r="C390" s="5" t="n">
        <v>14</v>
      </c>
      <c r="D390" s="5" t="n">
        <v>6</v>
      </c>
      <c r="E390" s="5" t="n">
        <v>21.8</v>
      </c>
      <c r="F390" s="5" t="n">
        <v>9.6</v>
      </c>
      <c r="G390" s="5" t="n">
        <v>2.9</v>
      </c>
      <c r="H390" s="5" t="n">
        <v>77.4</v>
      </c>
      <c r="I390" s="5" t="n">
        <v>76.5</v>
      </c>
      <c r="J390" s="5" t="n">
        <v>0</v>
      </c>
      <c r="K390" s="5" t="n">
        <f aca="false">ROUND(MIN(MAX((B390*10)*0.2 + (MIN(E390/25*100,100))*0.2 + (MAX(100-F390*5,0))*0.15 + (G390*10)*0.15 + (H390)*0.15 + (I390)*0.15 - (J390*5),0),100),0)</f>
        <v>62</v>
      </c>
    </row>
    <row r="391" customFormat="false" ht="15" hidden="false" customHeight="true" outlineLevel="0" collapsed="false">
      <c r="A391" s="5" t="s">
        <v>1766</v>
      </c>
      <c r="B391" s="5" t="n">
        <v>5.6</v>
      </c>
      <c r="C391" s="5" t="n">
        <v>20</v>
      </c>
      <c r="D391" s="5" t="n">
        <v>9</v>
      </c>
      <c r="E391" s="5" t="n">
        <v>14.5</v>
      </c>
      <c r="F391" s="5" t="n">
        <v>12.9</v>
      </c>
      <c r="G391" s="5" t="n">
        <v>4.1</v>
      </c>
      <c r="H391" s="5" t="n">
        <v>67.4</v>
      </c>
      <c r="I391" s="5" t="n">
        <v>76.1</v>
      </c>
      <c r="J391" s="5" t="n">
        <v>1</v>
      </c>
      <c r="K391" s="5" t="n">
        <f aca="false">ROUND(MIN(MAX((B391*10)*0.2 + (MIN(E391/25*100,100))*0.2 + (MAX(100-F391*5,0))*0.15 + (G391*10)*0.15 + (H391)*0.15 + (I391)*0.15 - (J391*5),0),100),0)</f>
        <v>51</v>
      </c>
    </row>
    <row r="392" customFormat="false" ht="15" hidden="false" customHeight="true" outlineLevel="0" collapsed="false">
      <c r="A392" s="5" t="s">
        <v>1768</v>
      </c>
      <c r="B392" s="5" t="n">
        <v>6.6</v>
      </c>
      <c r="C392" s="5" t="n">
        <v>16</v>
      </c>
      <c r="D392" s="5" t="n">
        <v>15</v>
      </c>
      <c r="E392" s="5" t="n">
        <v>16.3</v>
      </c>
      <c r="F392" s="5" t="n">
        <v>3.5</v>
      </c>
      <c r="G392" s="5" t="n">
        <v>6.9</v>
      </c>
      <c r="H392" s="5" t="n">
        <v>76.1</v>
      </c>
      <c r="I392" s="5" t="n">
        <v>96.8</v>
      </c>
      <c r="J392" s="5" t="n">
        <v>0</v>
      </c>
      <c r="K392" s="5" t="n">
        <f aca="false">ROUND(MIN(MAX((B392*10)*0.2 + (MIN(E392/25*100,100))*0.2 + (MAX(100-F392*5,0))*0.15 + (G392*10)*0.15 + (H392)*0.15 + (I392)*0.15 - (J392*5),0),100),0)</f>
        <v>75</v>
      </c>
    </row>
    <row r="393" customFormat="false" ht="15" hidden="false" customHeight="true" outlineLevel="0" collapsed="false">
      <c r="A393" s="5" t="s">
        <v>1771</v>
      </c>
      <c r="B393" s="5" t="n">
        <v>2.9</v>
      </c>
      <c r="C393" s="5" t="n">
        <v>15</v>
      </c>
      <c r="D393" s="5" t="n">
        <v>3</v>
      </c>
      <c r="E393" s="5" t="n">
        <v>22.9</v>
      </c>
      <c r="F393" s="5" t="n">
        <v>3.9</v>
      </c>
      <c r="G393" s="5" t="n">
        <v>6.9</v>
      </c>
      <c r="H393" s="5" t="n">
        <v>57</v>
      </c>
      <c r="I393" s="5" t="n">
        <v>42.6</v>
      </c>
      <c r="J393" s="5" t="n">
        <v>2</v>
      </c>
      <c r="K393" s="5" t="n">
        <f aca="false">ROUND(MIN(MAX((B393*10)*0.2 + (MIN(E393/25*100,100))*0.2 + (MAX(100-F393*5,0))*0.15 + (G393*10)*0.15 + (H393)*0.15 + (I393)*0.15 - (J393*5),0),100),0)</f>
        <v>51</v>
      </c>
    </row>
    <row r="394" customFormat="false" ht="15" hidden="false" customHeight="true" outlineLevel="0" collapsed="false">
      <c r="A394" s="5" t="s">
        <v>1774</v>
      </c>
      <c r="B394" s="5" t="n">
        <v>6.2</v>
      </c>
      <c r="C394" s="5" t="n">
        <v>7</v>
      </c>
      <c r="D394" s="5" t="n">
        <v>0</v>
      </c>
      <c r="E394" s="5" t="n">
        <v>20.3</v>
      </c>
      <c r="F394" s="5" t="n">
        <v>10.7</v>
      </c>
      <c r="G394" s="5" t="n">
        <v>4</v>
      </c>
      <c r="H394" s="5" t="n">
        <v>34.4</v>
      </c>
      <c r="I394" s="5" t="n">
        <v>57.4</v>
      </c>
      <c r="J394" s="5" t="n">
        <v>4</v>
      </c>
      <c r="K394" s="5" t="n">
        <f aca="false">ROUND(MIN(MAX((B394*10)*0.2 + (MIN(E394/25*100,100))*0.2 + (MAX(100-F394*5,0))*0.15 + (G394*10)*0.15 + (H394)*0.15 + (I394)*0.15 - (J394*5),0),100),0)</f>
        <v>35</v>
      </c>
    </row>
    <row r="395" customFormat="false" ht="15" hidden="false" customHeight="true" outlineLevel="0" collapsed="false">
      <c r="A395" s="5" t="s">
        <v>1776</v>
      </c>
      <c r="B395" s="5" t="n">
        <v>4.4</v>
      </c>
      <c r="C395" s="5" t="n">
        <v>1</v>
      </c>
      <c r="D395" s="5" t="n">
        <v>3</v>
      </c>
      <c r="E395" s="5" t="n">
        <v>21.5</v>
      </c>
      <c r="F395" s="5" t="n">
        <v>5.8</v>
      </c>
      <c r="G395" s="5" t="n">
        <v>7.8</v>
      </c>
      <c r="H395" s="5" t="n">
        <v>70</v>
      </c>
      <c r="I395" s="5" t="n">
        <v>41.7</v>
      </c>
      <c r="J395" s="5" t="n">
        <v>1</v>
      </c>
      <c r="K395" s="5" t="n">
        <f aca="false">ROUND(MIN(MAX((B395*10)*0.2 + (MIN(E395/25*100,100))*0.2 + (MAX(100-F395*5,0))*0.15 + (G395*10)*0.15 + (H395)*0.15 + (I395)*0.15 - (J395*5),0),100),0)</f>
        <v>60</v>
      </c>
    </row>
    <row r="396" customFormat="false" ht="15" hidden="false" customHeight="true" outlineLevel="0" collapsed="false">
      <c r="A396" s="5" t="s">
        <v>1778</v>
      </c>
      <c r="B396" s="5" t="n">
        <v>3.5</v>
      </c>
      <c r="C396" s="5" t="n">
        <v>11</v>
      </c>
      <c r="D396" s="5" t="n">
        <v>15</v>
      </c>
      <c r="E396" s="5" t="n">
        <v>27.7</v>
      </c>
      <c r="F396" s="5" t="n">
        <v>12.2</v>
      </c>
      <c r="G396" s="5" t="n">
        <v>7.2</v>
      </c>
      <c r="H396" s="5" t="n">
        <v>61.3</v>
      </c>
      <c r="I396" s="5" t="n">
        <v>76.4</v>
      </c>
      <c r="J396" s="5" t="n">
        <v>4</v>
      </c>
      <c r="K396" s="5" t="n">
        <f aca="false">ROUND(MIN(MAX((B396*10)*0.2 + (MIN(E396/25*100,100))*0.2 + (MAX(100-F396*5,0))*0.15 + (G396*10)*0.15 + (H396)*0.15 + (I396)*0.15 - (J396*5),0),100),0)</f>
        <v>44</v>
      </c>
    </row>
    <row r="397" customFormat="false" ht="15" hidden="false" customHeight="true" outlineLevel="0" collapsed="false">
      <c r="A397" s="5" t="s">
        <v>1780</v>
      </c>
      <c r="B397" s="5" t="n">
        <v>8.7</v>
      </c>
      <c r="C397" s="5" t="n">
        <v>15</v>
      </c>
      <c r="D397" s="5" t="n">
        <v>13</v>
      </c>
      <c r="E397" s="5" t="n">
        <v>28.1</v>
      </c>
      <c r="F397" s="5" t="n">
        <v>1.8</v>
      </c>
      <c r="G397" s="5" t="n">
        <v>6.2</v>
      </c>
      <c r="H397" s="5" t="n">
        <v>66.7</v>
      </c>
      <c r="I397" s="5" t="n">
        <v>79.3</v>
      </c>
      <c r="J397" s="5" t="n">
        <v>4</v>
      </c>
      <c r="K397" s="5" t="n">
        <f aca="false">ROUND(MIN(MAX((B397*10)*0.2 + (MIN(E397/25*100,100))*0.2 + (MAX(100-F397*5,0))*0.15 + (G397*10)*0.15 + (H397)*0.15 + (I397)*0.15 - (J397*5),0),100),0)</f>
        <v>62</v>
      </c>
    </row>
    <row r="398" customFormat="false" ht="15" hidden="false" customHeight="true" outlineLevel="0" collapsed="false">
      <c r="A398" s="5" t="s">
        <v>1782</v>
      </c>
      <c r="B398" s="5" t="n">
        <v>6</v>
      </c>
      <c r="C398" s="5" t="n">
        <v>7</v>
      </c>
      <c r="D398" s="5" t="n">
        <v>10</v>
      </c>
      <c r="E398" s="5" t="n">
        <v>24.6</v>
      </c>
      <c r="F398" s="5" t="n">
        <v>13.4</v>
      </c>
      <c r="G398" s="5" t="n">
        <v>4.8</v>
      </c>
      <c r="H398" s="5" t="n">
        <v>93</v>
      </c>
      <c r="I398" s="5" t="n">
        <v>56.3</v>
      </c>
      <c r="J398" s="5" t="n">
        <v>0</v>
      </c>
      <c r="K398" s="5" t="n">
        <f aca="false">ROUND(MIN(MAX((B398*10)*0.2 + (MIN(E398/25*100,100))*0.2 + (MAX(100-F398*5,0))*0.15 + (G398*10)*0.15 + (H398)*0.15 + (I398)*0.15 - (J398*5),0),100),0)</f>
        <v>66</v>
      </c>
    </row>
    <row r="399" customFormat="false" ht="15" hidden="false" customHeight="true" outlineLevel="0" collapsed="false">
      <c r="A399" s="5" t="s">
        <v>1784</v>
      </c>
      <c r="B399" s="5" t="n">
        <v>4.5</v>
      </c>
      <c r="C399" s="5" t="n">
        <v>13</v>
      </c>
      <c r="D399" s="5" t="n">
        <v>5</v>
      </c>
      <c r="E399" s="5" t="n">
        <v>18.4</v>
      </c>
      <c r="F399" s="5" t="n">
        <v>6.5</v>
      </c>
      <c r="G399" s="5" t="n">
        <v>6.8</v>
      </c>
      <c r="H399" s="5" t="n">
        <v>86.2</v>
      </c>
      <c r="I399" s="5" t="n">
        <v>83.6</v>
      </c>
      <c r="J399" s="5" t="n">
        <v>2</v>
      </c>
      <c r="K399" s="5" t="n">
        <f aca="false">ROUND(MIN(MAX((B399*10)*0.2 + (MIN(E399/25*100,100))*0.2 + (MAX(100-F399*5,0))*0.15 + (G399*10)*0.15 + (H399)*0.15 + (I399)*0.15 - (J399*5),0),100),0)</f>
        <v>60</v>
      </c>
    </row>
    <row r="400" customFormat="false" ht="15" hidden="false" customHeight="true" outlineLevel="0" collapsed="false">
      <c r="A400" s="5" t="s">
        <v>1786</v>
      </c>
      <c r="B400" s="5" t="n">
        <v>7.3</v>
      </c>
      <c r="C400" s="5" t="n">
        <v>9</v>
      </c>
      <c r="D400" s="5" t="n">
        <v>13</v>
      </c>
      <c r="E400" s="5" t="n">
        <v>5.3</v>
      </c>
      <c r="F400" s="5" t="n">
        <v>13.3</v>
      </c>
      <c r="G400" s="5" t="n">
        <v>5</v>
      </c>
      <c r="H400" s="5" t="n">
        <v>83.9</v>
      </c>
      <c r="I400" s="5" t="n">
        <v>57.6</v>
      </c>
      <c r="J400" s="5" t="n">
        <v>4</v>
      </c>
      <c r="K400" s="5" t="n">
        <f aca="false">ROUND(MIN(MAX((B400*10)*0.2 + (MIN(E400/25*100,100))*0.2 + (MAX(100-F400*5,0))*0.15 + (G400*10)*0.15 + (H400)*0.15 + (I400)*0.15 - (J400*5),0),100),0)</f>
        <v>33</v>
      </c>
    </row>
    <row r="401" customFormat="false" ht="15" hidden="false" customHeight="true" outlineLevel="0" collapsed="false">
      <c r="A401" s="5" t="s">
        <v>1788</v>
      </c>
      <c r="B401" s="5" t="n">
        <v>4.3</v>
      </c>
      <c r="C401" s="5" t="n">
        <v>4</v>
      </c>
      <c r="D401" s="5" t="n">
        <v>11</v>
      </c>
      <c r="E401" s="5" t="n">
        <v>24.2</v>
      </c>
      <c r="F401" s="5" t="n">
        <v>11.9</v>
      </c>
      <c r="G401" s="5" t="n">
        <v>9.3</v>
      </c>
      <c r="H401" s="5" t="n">
        <v>58.8</v>
      </c>
      <c r="I401" s="5" t="n">
        <v>41.4</v>
      </c>
      <c r="J401" s="5" t="n">
        <v>3</v>
      </c>
      <c r="K401" s="5" t="n">
        <f aca="false">ROUND(MIN(MAX((B401*10)*0.2 + (MIN(E401/25*100,100))*0.2 + (MAX(100-F401*5,0))*0.15 + (G401*10)*0.15 + (H401)*0.15 + (I401)*0.15 - (J401*5),0),100),0)</f>
        <v>48</v>
      </c>
    </row>
    <row r="402" customFormat="false" ht="15" hidden="false" customHeight="true" outlineLevel="0" collapsed="false">
      <c r="A402" s="5" t="s">
        <v>1790</v>
      </c>
      <c r="B402" s="5" t="n">
        <v>8.8</v>
      </c>
      <c r="C402" s="5" t="n">
        <v>5</v>
      </c>
      <c r="D402" s="5" t="n">
        <v>6</v>
      </c>
      <c r="E402" s="5" t="n">
        <v>12.2</v>
      </c>
      <c r="F402" s="5" t="n">
        <v>7.8</v>
      </c>
      <c r="G402" s="5" t="n">
        <v>9</v>
      </c>
      <c r="H402" s="5" t="n">
        <v>50.2</v>
      </c>
      <c r="I402" s="5" t="n">
        <v>59</v>
      </c>
      <c r="J402" s="5" t="n">
        <v>0</v>
      </c>
      <c r="K402" s="5" t="n">
        <f aca="false">ROUND(MIN(MAX((B402*10)*0.2 + (MIN(E402/25*100,100))*0.2 + (MAX(100-F402*5,0))*0.15 + (G402*10)*0.15 + (H402)*0.15 + (I402)*0.15 - (J402*5),0),100),0)</f>
        <v>66</v>
      </c>
    </row>
    <row r="403" customFormat="false" ht="15" hidden="false" customHeight="true" outlineLevel="0" collapsed="false">
      <c r="A403" s="5" t="s">
        <v>1792</v>
      </c>
      <c r="B403" s="5" t="n">
        <v>8.2</v>
      </c>
      <c r="C403" s="5" t="n">
        <v>17</v>
      </c>
      <c r="D403" s="5" t="n">
        <v>4</v>
      </c>
      <c r="E403" s="5" t="n">
        <v>8.5</v>
      </c>
      <c r="F403" s="5" t="n">
        <v>1.5</v>
      </c>
      <c r="G403" s="5" t="n">
        <v>5.1</v>
      </c>
      <c r="H403" s="5" t="n">
        <v>86.2</v>
      </c>
      <c r="I403" s="5" t="n">
        <v>46.7</v>
      </c>
      <c r="J403" s="5" t="n">
        <v>2</v>
      </c>
      <c r="K403" s="5" t="n">
        <f aca="false">ROUND(MIN(MAX((B403*10)*0.2 + (MIN(E403/25*100,100))*0.2 + (MAX(100-F403*5,0))*0.15 + (G403*10)*0.15 + (H403)*0.15 + (I403)*0.15 - (J403*5),0),100),0)</f>
        <v>55</v>
      </c>
    </row>
    <row r="404" customFormat="false" ht="15" hidden="false" customHeight="true" outlineLevel="0" collapsed="false">
      <c r="A404" s="5" t="s">
        <v>1794</v>
      </c>
      <c r="B404" s="5" t="n">
        <v>9</v>
      </c>
      <c r="C404" s="5" t="n">
        <v>20</v>
      </c>
      <c r="D404" s="5" t="n">
        <v>2</v>
      </c>
      <c r="E404" s="5" t="n">
        <v>12</v>
      </c>
      <c r="F404" s="5" t="n">
        <v>13.4</v>
      </c>
      <c r="G404" s="5" t="n">
        <v>2.8</v>
      </c>
      <c r="H404" s="5" t="n">
        <v>79.8</v>
      </c>
      <c r="I404" s="5" t="n">
        <v>83.2</v>
      </c>
      <c r="J404" s="5" t="n">
        <v>0</v>
      </c>
      <c r="K404" s="5" t="n">
        <f aca="false">ROUND(MIN(MAX((B404*10)*0.2 + (MIN(E404/25*100,100))*0.2 + (MAX(100-F404*5,0))*0.15 + (G404*10)*0.15 + (H404)*0.15 + (I404)*0.15 - (J404*5),0),100),0)</f>
        <v>61</v>
      </c>
    </row>
    <row r="405" customFormat="false" ht="15" hidden="false" customHeight="true" outlineLevel="0" collapsed="false">
      <c r="A405" s="5" t="s">
        <v>1796</v>
      </c>
      <c r="B405" s="5" t="n">
        <v>6.3</v>
      </c>
      <c r="C405" s="5" t="n">
        <v>10</v>
      </c>
      <c r="D405" s="5" t="n">
        <v>6</v>
      </c>
      <c r="E405" s="5" t="n">
        <v>11.7</v>
      </c>
      <c r="F405" s="5" t="n">
        <v>3.7</v>
      </c>
      <c r="G405" s="5" t="n">
        <v>4.2</v>
      </c>
      <c r="H405" s="5" t="n">
        <v>50.7</v>
      </c>
      <c r="I405" s="5" t="n">
        <v>65.6</v>
      </c>
      <c r="J405" s="5" t="n">
        <v>0</v>
      </c>
      <c r="K405" s="5" t="n">
        <f aca="false">ROUND(MIN(MAX((B405*10)*0.2 + (MIN(E405/25*100,100))*0.2 + (MAX(100-F405*5,0))*0.15 + (G405*10)*0.15 + (H405)*0.15 + (I405)*0.15 - (J405*5),0),100),0)</f>
        <v>58</v>
      </c>
    </row>
    <row r="406" customFormat="false" ht="15" hidden="false" customHeight="true" outlineLevel="0" collapsed="false">
      <c r="A406" s="5" t="s">
        <v>1798</v>
      </c>
      <c r="B406" s="5" t="n">
        <v>4</v>
      </c>
      <c r="C406" s="5" t="n">
        <v>6</v>
      </c>
      <c r="D406" s="5" t="n">
        <v>8</v>
      </c>
      <c r="E406" s="5" t="n">
        <v>6.1</v>
      </c>
      <c r="F406" s="5" t="n">
        <v>14.4</v>
      </c>
      <c r="G406" s="5" t="n">
        <v>6.5</v>
      </c>
      <c r="H406" s="5" t="n">
        <v>36.7</v>
      </c>
      <c r="I406" s="5" t="n">
        <v>71.5</v>
      </c>
      <c r="J406" s="5" t="n">
        <v>4</v>
      </c>
      <c r="K406" s="5" t="n">
        <f aca="false">ROUND(MIN(MAX((B406*10)*0.2 + (MIN(E406/25*100,100))*0.2 + (MAX(100-F406*5,0))*0.15 + (G406*10)*0.15 + (H406)*0.15 + (I406)*0.15 - (J406*5),0),100),0)</f>
        <v>23</v>
      </c>
    </row>
    <row r="407" customFormat="false" ht="15" hidden="false" customHeight="true" outlineLevel="0" collapsed="false">
      <c r="A407" s="5" t="s">
        <v>1800</v>
      </c>
      <c r="B407" s="5" t="n">
        <v>4.4</v>
      </c>
      <c r="C407" s="5" t="n">
        <v>5</v>
      </c>
      <c r="D407" s="5" t="n">
        <v>9</v>
      </c>
      <c r="E407" s="5" t="n">
        <v>18.5</v>
      </c>
      <c r="F407" s="5" t="n">
        <v>3.4</v>
      </c>
      <c r="G407" s="5" t="n">
        <v>4.5</v>
      </c>
      <c r="H407" s="5" t="n">
        <v>88</v>
      </c>
      <c r="I407" s="5" t="n">
        <v>71.4</v>
      </c>
      <c r="J407" s="5" t="n">
        <v>0</v>
      </c>
      <c r="K407" s="5" t="n">
        <f aca="false">ROUND(MIN(MAX((B407*10)*0.2 + (MIN(E407/25*100,100))*0.2 + (MAX(100-F407*5,0))*0.15 + (G407*10)*0.15 + (H407)*0.15 + (I407)*0.15 - (J407*5),0),100),0)</f>
        <v>67</v>
      </c>
    </row>
    <row r="408" customFormat="false" ht="15" hidden="false" customHeight="true" outlineLevel="0" collapsed="false">
      <c r="A408" s="5" t="s">
        <v>1802</v>
      </c>
      <c r="B408" s="5" t="n">
        <v>3</v>
      </c>
      <c r="C408" s="5" t="n">
        <v>16</v>
      </c>
      <c r="D408" s="5" t="n">
        <v>1</v>
      </c>
      <c r="E408" s="5" t="n">
        <v>5.9</v>
      </c>
      <c r="F408" s="5" t="n">
        <v>1.8</v>
      </c>
      <c r="G408" s="5" t="n">
        <v>5.4</v>
      </c>
      <c r="H408" s="5" t="n">
        <v>41.6</v>
      </c>
      <c r="I408" s="5" t="n">
        <v>74.6</v>
      </c>
      <c r="J408" s="5" t="n">
        <v>4</v>
      </c>
      <c r="K408" s="5" t="n">
        <f aca="false">ROUND(MIN(MAX((B408*10)*0.2 + (MIN(E408/25*100,100))*0.2 + (MAX(100-F408*5,0))*0.15 + (G408*10)*0.15 + (H408)*0.15 + (I408)*0.15 - (J408*5),0),100),0)</f>
        <v>30</v>
      </c>
    </row>
    <row r="409" customFormat="false" ht="15" hidden="false" customHeight="true" outlineLevel="0" collapsed="false">
      <c r="A409" s="5" t="s">
        <v>1804</v>
      </c>
      <c r="B409" s="5" t="n">
        <v>6.7</v>
      </c>
      <c r="C409" s="5" t="n">
        <v>15</v>
      </c>
      <c r="D409" s="5" t="n">
        <v>11</v>
      </c>
      <c r="E409" s="5" t="n">
        <v>11.4</v>
      </c>
      <c r="F409" s="5" t="n">
        <v>12.4</v>
      </c>
      <c r="G409" s="5" t="n">
        <v>7.7</v>
      </c>
      <c r="H409" s="5" t="n">
        <v>73.6</v>
      </c>
      <c r="I409" s="5" t="n">
        <v>70.9</v>
      </c>
      <c r="J409" s="5" t="n">
        <v>3</v>
      </c>
      <c r="K409" s="5" t="n">
        <f aca="false">ROUND(MIN(MAX((B409*10)*0.2 + (MIN(E409/25*100,100))*0.2 + (MAX(100-F409*5,0))*0.15 + (G409*10)*0.15 + (H409)*0.15 + (I409)*0.15 - (J409*5),0),100),0)</f>
        <v>46</v>
      </c>
    </row>
    <row r="410" customFormat="false" ht="15" hidden="false" customHeight="true" outlineLevel="0" collapsed="false">
      <c r="A410" s="5" t="s">
        <v>1806</v>
      </c>
      <c r="B410" s="5" t="n">
        <v>6.3</v>
      </c>
      <c r="C410" s="5" t="n">
        <v>3</v>
      </c>
      <c r="D410" s="5" t="n">
        <v>14</v>
      </c>
      <c r="E410" s="5" t="n">
        <v>5.6</v>
      </c>
      <c r="F410" s="5" t="n">
        <v>5.3</v>
      </c>
      <c r="G410" s="5" t="n">
        <v>7.2</v>
      </c>
      <c r="H410" s="5" t="n">
        <v>79.8</v>
      </c>
      <c r="I410" s="5" t="n">
        <v>67.3</v>
      </c>
      <c r="J410" s="5" t="n">
        <v>1</v>
      </c>
      <c r="K410" s="5" t="n">
        <f aca="false">ROUND(MIN(MAX((B410*10)*0.2 + (MIN(E410/25*100,100))*0.2 + (MAX(100-F410*5,0))*0.15 + (G410*10)*0.15 + (H410)*0.15 + (I410)*0.15 - (J410*5),0),100),0)</f>
        <v>56</v>
      </c>
    </row>
    <row r="411" customFormat="false" ht="15" hidden="false" customHeight="true" outlineLevel="0" collapsed="false">
      <c r="A411" s="5" t="s">
        <v>1808</v>
      </c>
      <c r="B411" s="5" t="n">
        <v>3.1</v>
      </c>
      <c r="C411" s="5" t="n">
        <v>20</v>
      </c>
      <c r="D411" s="5" t="n">
        <v>8</v>
      </c>
      <c r="E411" s="5" t="n">
        <v>27.6</v>
      </c>
      <c r="F411" s="5" t="n">
        <v>6.5</v>
      </c>
      <c r="G411" s="5" t="n">
        <v>7.6</v>
      </c>
      <c r="H411" s="5" t="n">
        <v>73.2</v>
      </c>
      <c r="I411" s="5" t="n">
        <v>85.7</v>
      </c>
      <c r="J411" s="5" t="n">
        <v>2</v>
      </c>
      <c r="K411" s="5" t="n">
        <f aca="false">ROUND(MIN(MAX((B411*10)*0.2 + (MIN(E411/25*100,100))*0.2 + (MAX(100-F411*5,0))*0.15 + (G411*10)*0.15 + (H411)*0.15 + (I411)*0.15 - (J411*5),0),100),0)</f>
        <v>62</v>
      </c>
    </row>
    <row r="412" customFormat="false" ht="15" hidden="false" customHeight="true" outlineLevel="0" collapsed="false">
      <c r="A412" s="5" t="s">
        <v>1810</v>
      </c>
      <c r="B412" s="5" t="n">
        <v>5.4</v>
      </c>
      <c r="C412" s="5" t="n">
        <v>1</v>
      </c>
      <c r="D412" s="5" t="n">
        <v>2</v>
      </c>
      <c r="E412" s="5" t="n">
        <v>15.8</v>
      </c>
      <c r="F412" s="5" t="n">
        <v>5.9</v>
      </c>
      <c r="G412" s="5" t="n">
        <v>5.7</v>
      </c>
      <c r="H412" s="5" t="n">
        <v>41.1</v>
      </c>
      <c r="I412" s="5" t="n">
        <v>84.5</v>
      </c>
      <c r="J412" s="5" t="n">
        <v>4</v>
      </c>
      <c r="K412" s="5" t="n">
        <f aca="false">ROUND(MIN(MAX((B412*10)*0.2 + (MIN(E412/25*100,100))*0.2 + (MAX(100-F412*5,0))*0.15 + (G412*10)*0.15 + (H412)*0.15 + (I412)*0.15 - (J412*5),0),100),0)</f>
        <v>41</v>
      </c>
    </row>
    <row r="413" customFormat="false" ht="15" hidden="false" customHeight="true" outlineLevel="0" collapsed="false">
      <c r="A413" s="5" t="s">
        <v>1812</v>
      </c>
      <c r="B413" s="5" t="n">
        <v>6.3</v>
      </c>
      <c r="C413" s="5" t="n">
        <v>17</v>
      </c>
      <c r="D413" s="5" t="n">
        <v>3</v>
      </c>
      <c r="E413" s="5" t="n">
        <v>14</v>
      </c>
      <c r="F413" s="5" t="n">
        <v>11</v>
      </c>
      <c r="G413" s="5" t="n">
        <v>2.9</v>
      </c>
      <c r="H413" s="5" t="n">
        <v>66.1</v>
      </c>
      <c r="I413" s="5" t="n">
        <v>44.1</v>
      </c>
      <c r="J413" s="5" t="n">
        <v>2</v>
      </c>
      <c r="K413" s="5" t="n">
        <f aca="false">ROUND(MIN(MAX((B413*10)*0.2 + (MIN(E413/25*100,100))*0.2 + (MAX(100-F413*5,0))*0.15 + (G413*10)*0.15 + (H413)*0.15 + (I413)*0.15 - (J413*5),0),100),0)</f>
        <v>41</v>
      </c>
    </row>
    <row r="414" customFormat="false" ht="15" hidden="false" customHeight="true" outlineLevel="0" collapsed="false">
      <c r="A414" s="5" t="s">
        <v>1814</v>
      </c>
      <c r="B414" s="5" t="n">
        <v>6</v>
      </c>
      <c r="C414" s="5" t="n">
        <v>13</v>
      </c>
      <c r="D414" s="5" t="n">
        <v>13</v>
      </c>
      <c r="E414" s="5" t="n">
        <v>9.4</v>
      </c>
      <c r="F414" s="5" t="n">
        <v>4.4</v>
      </c>
      <c r="G414" s="5" t="n">
        <v>3.3</v>
      </c>
      <c r="H414" s="5" t="n">
        <v>61.4</v>
      </c>
      <c r="I414" s="5" t="n">
        <v>43.8</v>
      </c>
      <c r="J414" s="5" t="n">
        <v>1</v>
      </c>
      <c r="K414" s="5" t="n">
        <f aca="false">ROUND(MIN(MAX((B414*10)*0.2 + (MIN(E414/25*100,100))*0.2 + (MAX(100-F414*5,0))*0.15 + (G414*10)*0.15 + (H414)*0.15 + (I414)*0.15 - (J414*5),0),100),0)</f>
        <v>47</v>
      </c>
    </row>
    <row r="415" customFormat="false" ht="15" hidden="false" customHeight="true" outlineLevel="0" collapsed="false">
      <c r="A415" s="5" t="s">
        <v>1816</v>
      </c>
      <c r="B415" s="5" t="n">
        <v>8.1</v>
      </c>
      <c r="C415" s="5" t="n">
        <v>19</v>
      </c>
      <c r="D415" s="5" t="n">
        <v>13</v>
      </c>
      <c r="E415" s="5" t="n">
        <v>24.2</v>
      </c>
      <c r="F415" s="5" t="n">
        <v>7.1</v>
      </c>
      <c r="G415" s="5" t="n">
        <v>8.3</v>
      </c>
      <c r="H415" s="5" t="n">
        <v>65.4</v>
      </c>
      <c r="I415" s="5" t="n">
        <v>53.7</v>
      </c>
      <c r="J415" s="5" t="n">
        <v>0</v>
      </c>
      <c r="K415" s="5" t="n">
        <f aca="false">ROUND(MIN(MAX((B415*10)*0.2 + (MIN(E415/25*100,100))*0.2 + (MAX(100-F415*5,0))*0.15 + (G415*10)*0.15 + (H415)*0.15 + (I415)*0.15 - (J415*5),0),100),0)</f>
        <v>76</v>
      </c>
    </row>
    <row r="416" customFormat="false" ht="15" hidden="false" customHeight="true" outlineLevel="0" collapsed="false">
      <c r="A416" s="5" t="s">
        <v>1818</v>
      </c>
      <c r="B416" s="5" t="n">
        <v>7.5</v>
      </c>
      <c r="C416" s="5" t="n">
        <v>19</v>
      </c>
      <c r="D416" s="5" t="n">
        <v>15</v>
      </c>
      <c r="E416" s="5" t="n">
        <v>6.1</v>
      </c>
      <c r="F416" s="5" t="n">
        <v>9.3</v>
      </c>
      <c r="G416" s="5" t="n">
        <v>4.6</v>
      </c>
      <c r="H416" s="5" t="n">
        <v>36.3</v>
      </c>
      <c r="I416" s="5" t="n">
        <v>65.8</v>
      </c>
      <c r="J416" s="5" t="n">
        <v>2</v>
      </c>
      <c r="K416" s="5" t="n">
        <f aca="false">ROUND(MIN(MAX((B416*10)*0.2 + (MIN(E416/25*100,100))*0.2 + (MAX(100-F416*5,0))*0.15 + (G416*10)*0.15 + (H416)*0.15 + (I416)*0.15 - (J416*5),0),100),0)</f>
        <v>40</v>
      </c>
    </row>
    <row r="417" customFormat="false" ht="15" hidden="false" customHeight="true" outlineLevel="0" collapsed="false">
      <c r="A417" s="5" t="s">
        <v>1820</v>
      </c>
      <c r="B417" s="5" t="n">
        <v>9.2</v>
      </c>
      <c r="C417" s="5" t="n">
        <v>3</v>
      </c>
      <c r="D417" s="5" t="n">
        <v>3</v>
      </c>
      <c r="E417" s="5" t="n">
        <v>21.5</v>
      </c>
      <c r="F417" s="5" t="n">
        <v>9.3</v>
      </c>
      <c r="G417" s="5" t="n">
        <v>8.6</v>
      </c>
      <c r="H417" s="5" t="n">
        <v>51.3</v>
      </c>
      <c r="I417" s="5" t="n">
        <v>77.4</v>
      </c>
      <c r="J417" s="5" t="n">
        <v>0</v>
      </c>
      <c r="K417" s="5" t="n">
        <f aca="false">ROUND(MIN(MAX((B417*10)*0.2 + (MIN(E417/25*100,100))*0.2 + (MAX(100-F417*5,0))*0.15 + (G417*10)*0.15 + (H417)*0.15 + (I417)*0.15 - (J417*5),0),100),0)</f>
        <v>76</v>
      </c>
    </row>
    <row r="418" customFormat="false" ht="15" hidden="false" customHeight="true" outlineLevel="0" collapsed="false">
      <c r="A418" s="5" t="s">
        <v>1822</v>
      </c>
      <c r="B418" s="5" t="n">
        <v>2.7</v>
      </c>
      <c r="C418" s="5" t="n">
        <v>5</v>
      </c>
      <c r="D418" s="5" t="n">
        <v>0</v>
      </c>
      <c r="E418" s="5" t="n">
        <v>23.4</v>
      </c>
      <c r="F418" s="5" t="n">
        <v>10.3</v>
      </c>
      <c r="G418" s="5" t="n">
        <v>5.6</v>
      </c>
      <c r="H418" s="5" t="n">
        <v>48.9</v>
      </c>
      <c r="I418" s="5" t="n">
        <v>75.7</v>
      </c>
      <c r="J418" s="5" t="n">
        <v>3</v>
      </c>
      <c r="K418" s="5" t="n">
        <f aca="false">ROUND(MIN(MAX((B418*10)*0.2 + (MIN(E418/25*100,100))*0.2 + (MAX(100-F418*5,0))*0.15 + (G418*10)*0.15 + (H418)*0.15 + (I418)*0.15 - (J418*5),0),100),0)</f>
        <v>43</v>
      </c>
    </row>
    <row r="419" customFormat="false" ht="15" hidden="false" customHeight="true" outlineLevel="0" collapsed="false">
      <c r="A419" s="5" t="s">
        <v>1824</v>
      </c>
      <c r="B419" s="5" t="n">
        <v>3.5</v>
      </c>
      <c r="C419" s="5" t="n">
        <v>11</v>
      </c>
      <c r="D419" s="5" t="n">
        <v>9</v>
      </c>
      <c r="E419" s="5" t="n">
        <v>18.4</v>
      </c>
      <c r="F419" s="5" t="n">
        <v>13.8</v>
      </c>
      <c r="G419" s="5" t="n">
        <v>4.4</v>
      </c>
      <c r="H419" s="5" t="n">
        <v>91.3</v>
      </c>
      <c r="I419" s="5" t="n">
        <v>65.2</v>
      </c>
      <c r="J419" s="5" t="n">
        <v>2</v>
      </c>
      <c r="K419" s="5" t="n">
        <f aca="false">ROUND(MIN(MAX((B419*10)*0.2 + (MIN(E419/25*100,100))*0.2 + (MAX(100-F419*5,0))*0.15 + (G419*10)*0.15 + (H419)*0.15 + (I419)*0.15 - (J419*5),0),100),0)</f>
        <v>46</v>
      </c>
    </row>
    <row r="420" customFormat="false" ht="15" hidden="false" customHeight="true" outlineLevel="0" collapsed="false">
      <c r="A420" s="5" t="s">
        <v>1827</v>
      </c>
      <c r="B420" s="5" t="n">
        <v>9.4</v>
      </c>
      <c r="C420" s="5" t="n">
        <v>19</v>
      </c>
      <c r="D420" s="5" t="n">
        <v>0</v>
      </c>
      <c r="E420" s="5" t="n">
        <v>19.5</v>
      </c>
      <c r="F420" s="5" t="n">
        <v>8.1</v>
      </c>
      <c r="G420" s="5" t="n">
        <v>8.8</v>
      </c>
      <c r="H420" s="5" t="n">
        <v>85.4</v>
      </c>
      <c r="I420" s="5" t="n">
        <v>43.6</v>
      </c>
      <c r="J420" s="5" t="n">
        <v>4</v>
      </c>
      <c r="K420" s="5" t="n">
        <f aca="false">ROUND(MIN(MAX((B420*10)*0.2 + (MIN(E420/25*100,100))*0.2 + (MAX(100-F420*5,0))*0.15 + (G420*10)*0.15 + (H420)*0.15 + (I420)*0.15 - (J420*5),0),100),0)</f>
        <v>56</v>
      </c>
    </row>
    <row r="421" customFormat="false" ht="15" hidden="false" customHeight="true" outlineLevel="0" collapsed="false">
      <c r="A421" s="5" t="s">
        <v>1829</v>
      </c>
      <c r="B421" s="5" t="n">
        <v>9.3</v>
      </c>
      <c r="C421" s="5" t="n">
        <v>1</v>
      </c>
      <c r="D421" s="5" t="n">
        <v>11</v>
      </c>
      <c r="E421" s="5" t="n">
        <v>6</v>
      </c>
      <c r="F421" s="5" t="n">
        <v>5</v>
      </c>
      <c r="G421" s="5" t="n">
        <v>2.2</v>
      </c>
      <c r="H421" s="5" t="n">
        <v>58.1</v>
      </c>
      <c r="I421" s="5" t="n">
        <v>74.2</v>
      </c>
      <c r="J421" s="5" t="n">
        <v>2</v>
      </c>
      <c r="K421" s="5" t="n">
        <f aca="false">ROUND(MIN(MAX((B421*10)*0.2 + (MIN(E421/25*100,100))*0.2 + (MAX(100-F421*5,0))*0.15 + (G421*10)*0.15 + (H421)*0.15 + (I421)*0.15 - (J421*5),0),100),0)</f>
        <v>48</v>
      </c>
    </row>
    <row r="422" customFormat="false" ht="15" hidden="false" customHeight="true" outlineLevel="0" collapsed="false">
      <c r="A422" s="5" t="s">
        <v>1831</v>
      </c>
      <c r="B422" s="5" t="n">
        <v>7.3</v>
      </c>
      <c r="C422" s="5" t="n">
        <v>13</v>
      </c>
      <c r="D422" s="5" t="n">
        <v>12</v>
      </c>
      <c r="E422" s="5" t="n">
        <v>14.8</v>
      </c>
      <c r="F422" s="5" t="n">
        <v>4</v>
      </c>
      <c r="G422" s="5" t="n">
        <v>3.4</v>
      </c>
      <c r="H422" s="5" t="n">
        <v>39</v>
      </c>
      <c r="I422" s="5" t="n">
        <v>72.2</v>
      </c>
      <c r="J422" s="5" t="n">
        <v>2</v>
      </c>
      <c r="K422" s="5" t="n">
        <f aca="false">ROUND(MIN(MAX((B422*10)*0.2 + (MIN(E422/25*100,100))*0.2 + (MAX(100-F422*5,0))*0.15 + (G422*10)*0.15 + (H422)*0.15 + (I422)*0.15 - (J422*5),0),100),0)</f>
        <v>50</v>
      </c>
    </row>
    <row r="423" customFormat="false" ht="15" hidden="false" customHeight="true" outlineLevel="0" collapsed="false">
      <c r="A423" s="5" t="s">
        <v>1833</v>
      </c>
      <c r="B423" s="5" t="n">
        <v>8.3</v>
      </c>
      <c r="C423" s="5" t="n">
        <v>5</v>
      </c>
      <c r="D423" s="5" t="n">
        <v>9</v>
      </c>
      <c r="E423" s="5" t="n">
        <v>29.9</v>
      </c>
      <c r="F423" s="5" t="n">
        <v>10.4</v>
      </c>
      <c r="G423" s="5" t="n">
        <v>3.1</v>
      </c>
      <c r="H423" s="5" t="n">
        <v>34.7</v>
      </c>
      <c r="I423" s="5" t="n">
        <v>40.9</v>
      </c>
      <c r="J423" s="5" t="n">
        <v>3</v>
      </c>
      <c r="K423" s="5" t="n">
        <f aca="false">ROUND(MIN(MAX((B423*10)*0.2 + (MIN(E423/25*100,100))*0.2 + (MAX(100-F423*5,0))*0.15 + (G423*10)*0.15 + (H423)*0.15 + (I423)*0.15 - (J423*5),0),100),0)</f>
        <v>45</v>
      </c>
    </row>
    <row r="424" customFormat="false" ht="15" hidden="false" customHeight="true" outlineLevel="0" collapsed="false">
      <c r="A424" s="5" t="s">
        <v>1835</v>
      </c>
      <c r="B424" s="5" t="n">
        <v>6.9</v>
      </c>
      <c r="C424" s="5" t="n">
        <v>5</v>
      </c>
      <c r="D424" s="5" t="n">
        <v>2</v>
      </c>
      <c r="E424" s="5" t="n">
        <v>6.7</v>
      </c>
      <c r="F424" s="5" t="n">
        <v>12.3</v>
      </c>
      <c r="G424" s="5" t="n">
        <v>8.9</v>
      </c>
      <c r="H424" s="5" t="n">
        <v>88.1</v>
      </c>
      <c r="I424" s="5" t="n">
        <v>80.3</v>
      </c>
      <c r="J424" s="5" t="n">
        <v>3</v>
      </c>
      <c r="K424" s="5" t="n">
        <f aca="false">ROUND(MIN(MAX((B424*10)*0.2 + (MIN(E424/25*100,100))*0.2 + (MAX(100-F424*5,0))*0.15 + (G424*10)*0.15 + (H424)*0.15 + (I424)*0.15 - (J424*5),0),100),0)</f>
        <v>49</v>
      </c>
    </row>
    <row r="425" customFormat="false" ht="15" hidden="false" customHeight="true" outlineLevel="0" collapsed="false">
      <c r="A425" s="5" t="s">
        <v>1837</v>
      </c>
      <c r="B425" s="5" t="n">
        <v>6.7</v>
      </c>
      <c r="C425" s="5" t="n">
        <v>15</v>
      </c>
      <c r="D425" s="5" t="n">
        <v>13</v>
      </c>
      <c r="E425" s="5" t="n">
        <v>17.9</v>
      </c>
      <c r="F425" s="5" t="n">
        <v>7.3</v>
      </c>
      <c r="G425" s="5" t="n">
        <v>4.8</v>
      </c>
      <c r="H425" s="5" t="n">
        <v>42.1</v>
      </c>
      <c r="I425" s="5" t="n">
        <v>75.1</v>
      </c>
      <c r="J425" s="5" t="n">
        <v>4</v>
      </c>
      <c r="K425" s="5" t="n">
        <f aca="false">ROUND(MIN(MAX((B425*10)*0.2 + (MIN(E425/25*100,100))*0.2 + (MAX(100-F425*5,0))*0.15 + (G425*10)*0.15 + (H425)*0.15 + (I425)*0.15 - (J425*5),0),100),0)</f>
        <v>42</v>
      </c>
    </row>
    <row r="426" customFormat="false" ht="15" hidden="false" customHeight="true" outlineLevel="0" collapsed="false">
      <c r="A426" s="5" t="s">
        <v>1839</v>
      </c>
      <c r="B426" s="5" t="n">
        <v>5.7</v>
      </c>
      <c r="C426" s="5" t="n">
        <v>8</v>
      </c>
      <c r="D426" s="5" t="n">
        <v>8</v>
      </c>
      <c r="E426" s="5" t="n">
        <v>14.1</v>
      </c>
      <c r="F426" s="5" t="n">
        <v>8.6</v>
      </c>
      <c r="G426" s="5" t="n">
        <v>4.9</v>
      </c>
      <c r="H426" s="5" t="n">
        <v>93.6</v>
      </c>
      <c r="I426" s="5" t="n">
        <v>73</v>
      </c>
      <c r="J426" s="5" t="n">
        <v>2</v>
      </c>
      <c r="K426" s="5" t="n">
        <f aca="false">ROUND(MIN(MAX((B426*10)*0.2 + (MIN(E426/25*100,100))*0.2 + (MAX(100-F426*5,0))*0.15 + (G426*10)*0.15 + (H426)*0.15 + (I426)*0.15 - (J426*5),0),100),0)</f>
        <v>54</v>
      </c>
    </row>
    <row r="427" customFormat="false" ht="15" hidden="false" customHeight="true" outlineLevel="0" collapsed="false">
      <c r="A427" s="5" t="s">
        <v>1841</v>
      </c>
      <c r="B427" s="5" t="n">
        <v>2.8</v>
      </c>
      <c r="C427" s="5" t="n">
        <v>16</v>
      </c>
      <c r="D427" s="5" t="n">
        <v>2</v>
      </c>
      <c r="E427" s="5" t="n">
        <v>6.8</v>
      </c>
      <c r="F427" s="5" t="n">
        <v>11.2</v>
      </c>
      <c r="G427" s="5" t="n">
        <v>9.9</v>
      </c>
      <c r="H427" s="5" t="n">
        <v>93.9</v>
      </c>
      <c r="I427" s="5" t="n">
        <v>85.2</v>
      </c>
      <c r="J427" s="5" t="n">
        <v>3</v>
      </c>
      <c r="K427" s="5" t="n">
        <f aca="false">ROUND(MIN(MAX((B427*10)*0.2 + (MIN(E427/25*100,100))*0.2 + (MAX(100-F427*5,0))*0.15 + (G427*10)*0.15 + (H427)*0.15 + (I427)*0.15 - (J427*5),0),100),0)</f>
        <v>44</v>
      </c>
    </row>
    <row r="428" customFormat="false" ht="15" hidden="false" customHeight="true" outlineLevel="0" collapsed="false">
      <c r="A428" s="5" t="s">
        <v>1843</v>
      </c>
      <c r="B428" s="5" t="n">
        <v>5.9</v>
      </c>
      <c r="C428" s="5" t="n">
        <v>17</v>
      </c>
      <c r="D428" s="5" t="n">
        <v>2</v>
      </c>
      <c r="E428" s="5" t="n">
        <v>9.6</v>
      </c>
      <c r="F428" s="5" t="n">
        <v>9.8</v>
      </c>
      <c r="G428" s="5" t="n">
        <v>7.3</v>
      </c>
      <c r="H428" s="5" t="n">
        <v>73.5</v>
      </c>
      <c r="I428" s="5" t="n">
        <v>79.7</v>
      </c>
      <c r="J428" s="5" t="n">
        <v>4</v>
      </c>
      <c r="K428" s="5" t="n">
        <f aca="false">ROUND(MIN(MAX((B428*10)*0.2 + (MIN(E428/25*100,100))*0.2 + (MAX(100-F428*5,0))*0.15 + (G428*10)*0.15 + (H428)*0.15 + (I428)*0.15 - (J428*5),0),100),0)</f>
        <v>41</v>
      </c>
    </row>
    <row r="429" customFormat="false" ht="15" hidden="false" customHeight="true" outlineLevel="0" collapsed="false">
      <c r="A429" s="5" t="s">
        <v>1845</v>
      </c>
      <c r="B429" s="5" t="n">
        <v>8</v>
      </c>
      <c r="C429" s="5" t="n">
        <v>10</v>
      </c>
      <c r="D429" s="5" t="n">
        <v>1</v>
      </c>
      <c r="E429" s="5" t="n">
        <v>27.4</v>
      </c>
      <c r="F429" s="5" t="n">
        <v>8.5</v>
      </c>
      <c r="G429" s="5" t="n">
        <v>2.1</v>
      </c>
      <c r="H429" s="5" t="n">
        <v>59.5</v>
      </c>
      <c r="I429" s="5" t="n">
        <v>92.6</v>
      </c>
      <c r="J429" s="5" t="n">
        <v>4</v>
      </c>
      <c r="K429" s="5" t="n">
        <f aca="false">ROUND(MIN(MAX((B429*10)*0.2 + (MIN(E429/25*100,100))*0.2 + (MAX(100-F429*5,0))*0.15 + (G429*10)*0.15 + (H429)*0.15 + (I429)*0.15 - (J429*5),0),100),0)</f>
        <v>51</v>
      </c>
    </row>
    <row r="430" customFormat="false" ht="15" hidden="false" customHeight="true" outlineLevel="0" collapsed="false">
      <c r="A430" s="5" t="s">
        <v>1847</v>
      </c>
      <c r="B430" s="5" t="n">
        <v>7.5</v>
      </c>
      <c r="C430" s="5" t="n">
        <v>14</v>
      </c>
      <c r="D430" s="5" t="n">
        <v>11</v>
      </c>
      <c r="E430" s="5" t="n">
        <v>28.9</v>
      </c>
      <c r="F430" s="5" t="n">
        <v>12.2</v>
      </c>
      <c r="G430" s="5" t="n">
        <v>4.3</v>
      </c>
      <c r="H430" s="5" t="n">
        <v>32.3</v>
      </c>
      <c r="I430" s="5" t="n">
        <v>93.5</v>
      </c>
      <c r="J430" s="5" t="n">
        <v>2</v>
      </c>
      <c r="K430" s="5" t="n">
        <f aca="false">ROUND(MIN(MAX((B430*10)*0.2 + (MIN(E430/25*100,100))*0.2 + (MAX(100-F430*5,0))*0.15 + (G430*10)*0.15 + (H430)*0.15 + (I430)*0.15 - (J430*5),0),100),0)</f>
        <v>56</v>
      </c>
    </row>
    <row r="431" customFormat="false" ht="15" hidden="false" customHeight="true" outlineLevel="0" collapsed="false">
      <c r="A431" s="5" t="s">
        <v>1849</v>
      </c>
      <c r="B431" s="5" t="n">
        <v>7.5</v>
      </c>
      <c r="C431" s="5" t="n">
        <v>19</v>
      </c>
      <c r="D431" s="5" t="n">
        <v>8</v>
      </c>
      <c r="E431" s="5" t="n">
        <v>4.7</v>
      </c>
      <c r="F431" s="5" t="n">
        <v>7.6</v>
      </c>
      <c r="G431" s="5" t="n">
        <v>3.4</v>
      </c>
      <c r="H431" s="5" t="n">
        <v>33.4</v>
      </c>
      <c r="I431" s="5" t="n">
        <v>97.4</v>
      </c>
      <c r="J431" s="5" t="n">
        <v>4</v>
      </c>
      <c r="K431" s="5" t="n">
        <f aca="false">ROUND(MIN(MAX((B431*10)*0.2 + (MIN(E431/25*100,100))*0.2 + (MAX(100-F431*5,0))*0.15 + (G431*10)*0.15 + (H431)*0.15 + (I431)*0.15 - (J431*5),0),100),0)</f>
        <v>33</v>
      </c>
    </row>
    <row r="432" customFormat="false" ht="15" hidden="false" customHeight="true" outlineLevel="0" collapsed="false">
      <c r="A432" s="5" t="s">
        <v>1851</v>
      </c>
      <c r="B432" s="5" t="n">
        <v>2.2</v>
      </c>
      <c r="C432" s="5" t="n">
        <v>16</v>
      </c>
      <c r="D432" s="5" t="n">
        <v>2</v>
      </c>
      <c r="E432" s="5" t="n">
        <v>6.4</v>
      </c>
      <c r="F432" s="5" t="n">
        <v>2.1</v>
      </c>
      <c r="G432" s="5" t="n">
        <v>8.3</v>
      </c>
      <c r="H432" s="5" t="n">
        <v>46.4</v>
      </c>
      <c r="I432" s="5" t="n">
        <v>75.7</v>
      </c>
      <c r="J432" s="5" t="n">
        <v>2</v>
      </c>
      <c r="K432" s="5" t="n">
        <f aca="false">ROUND(MIN(MAX((B432*10)*0.2 + (MIN(E432/25*100,100))*0.2 + (MAX(100-F432*5,0))*0.15 + (G432*10)*0.15 + (H432)*0.15 + (I432)*0.15 - (J432*5),0),100),0)</f>
        <v>44</v>
      </c>
    </row>
    <row r="433" customFormat="false" ht="15" hidden="false" customHeight="true" outlineLevel="0" collapsed="false">
      <c r="A433" s="5" t="s">
        <v>1854</v>
      </c>
      <c r="B433" s="5" t="n">
        <v>8.4</v>
      </c>
      <c r="C433" s="5" t="n">
        <v>1</v>
      </c>
      <c r="D433" s="5" t="n">
        <v>3</v>
      </c>
      <c r="E433" s="5" t="n">
        <v>19.3</v>
      </c>
      <c r="F433" s="5" t="n">
        <v>13.7</v>
      </c>
      <c r="G433" s="5" t="n">
        <v>7.9</v>
      </c>
      <c r="H433" s="5" t="n">
        <v>72.8</v>
      </c>
      <c r="I433" s="5" t="n">
        <v>61.4</v>
      </c>
      <c r="J433" s="5" t="n">
        <v>1</v>
      </c>
      <c r="K433" s="5" t="n">
        <f aca="false">ROUND(MIN(MAX((B433*10)*0.2 + (MIN(E433/25*100,100))*0.2 + (MAX(100-F433*5,0))*0.15 + (G433*10)*0.15 + (H433)*0.15 + (I433)*0.15 - (J433*5),0),100),0)</f>
        <v>64</v>
      </c>
    </row>
    <row r="434" customFormat="false" ht="15" hidden="false" customHeight="true" outlineLevel="0" collapsed="false">
      <c r="A434" s="5" t="s">
        <v>1856</v>
      </c>
      <c r="B434" s="5" t="n">
        <v>4</v>
      </c>
      <c r="C434" s="5" t="n">
        <v>8</v>
      </c>
      <c r="D434" s="5" t="n">
        <v>15</v>
      </c>
      <c r="E434" s="5" t="n">
        <v>7.9</v>
      </c>
      <c r="F434" s="5" t="n">
        <v>8.4</v>
      </c>
      <c r="G434" s="5" t="n">
        <v>2.3</v>
      </c>
      <c r="H434" s="5" t="n">
        <v>94</v>
      </c>
      <c r="I434" s="5" t="n">
        <v>96.1</v>
      </c>
      <c r="J434" s="5" t="n">
        <v>4</v>
      </c>
      <c r="K434" s="5" t="n">
        <f aca="false">ROUND(MIN(MAX((B434*10)*0.2 + (MIN(E434/25*100,100))*0.2 + (MAX(100-F434*5,0))*0.15 + (G434*10)*0.15 + (H434)*0.15 + (I434)*0.15 - (J434*5),0),100),0)</f>
        <v>35</v>
      </c>
    </row>
    <row r="435" customFormat="false" ht="15" hidden="false" customHeight="true" outlineLevel="0" collapsed="false">
      <c r="A435" s="5" t="s">
        <v>1858</v>
      </c>
      <c r="B435" s="5" t="n">
        <v>9</v>
      </c>
      <c r="C435" s="5" t="n">
        <v>5</v>
      </c>
      <c r="D435" s="5" t="n">
        <v>15</v>
      </c>
      <c r="E435" s="5" t="n">
        <v>23.3</v>
      </c>
      <c r="F435" s="5" t="n">
        <v>6.8</v>
      </c>
      <c r="G435" s="5" t="n">
        <v>5.1</v>
      </c>
      <c r="H435" s="5" t="n">
        <v>72.9</v>
      </c>
      <c r="I435" s="5" t="n">
        <v>82.1</v>
      </c>
      <c r="J435" s="5" t="n">
        <v>1</v>
      </c>
      <c r="K435" s="5" t="n">
        <f aca="false">ROUND(MIN(MAX((B435*10)*0.2 + (MIN(E435/25*100,100))*0.2 + (MAX(100-F435*5,0))*0.15 + (G435*10)*0.15 + (H435)*0.15 + (I435)*0.15 - (J435*5),0),100),0)</f>
        <v>72</v>
      </c>
    </row>
    <row r="436" customFormat="false" ht="15" hidden="false" customHeight="true" outlineLevel="0" collapsed="false">
      <c r="A436" s="5" t="s">
        <v>1860</v>
      </c>
      <c r="B436" s="5" t="n">
        <v>3.6</v>
      </c>
      <c r="C436" s="5" t="n">
        <v>12</v>
      </c>
      <c r="D436" s="5" t="n">
        <v>1</v>
      </c>
      <c r="E436" s="5" t="n">
        <v>20.3</v>
      </c>
      <c r="F436" s="5" t="n">
        <v>11.6</v>
      </c>
      <c r="G436" s="5" t="n">
        <v>2.9</v>
      </c>
      <c r="H436" s="5" t="n">
        <v>40.9</v>
      </c>
      <c r="I436" s="5" t="n">
        <v>63.1</v>
      </c>
      <c r="J436" s="5" t="n">
        <v>2</v>
      </c>
      <c r="K436" s="5" t="n">
        <f aca="false">ROUND(MIN(MAX((B436*10)*0.2 + (MIN(E436/25*100,100))*0.2 + (MAX(100-F436*5,0))*0.15 + (G436*10)*0.15 + (H436)*0.15 + (I436)*0.15 - (J436*5),0),100),0)</f>
        <v>40</v>
      </c>
    </row>
    <row r="437" customFormat="false" ht="15" hidden="false" customHeight="true" outlineLevel="0" collapsed="false">
      <c r="A437" s="5" t="s">
        <v>1862</v>
      </c>
      <c r="B437" s="5" t="n">
        <v>5.6</v>
      </c>
      <c r="C437" s="5" t="n">
        <v>18</v>
      </c>
      <c r="D437" s="5" t="n">
        <v>7</v>
      </c>
      <c r="E437" s="5" t="n">
        <v>13.3</v>
      </c>
      <c r="F437" s="5" t="n">
        <v>10.9</v>
      </c>
      <c r="G437" s="5" t="n">
        <v>5.8</v>
      </c>
      <c r="H437" s="5" t="n">
        <v>39.4</v>
      </c>
      <c r="I437" s="5" t="n">
        <v>90.5</v>
      </c>
      <c r="J437" s="5" t="n">
        <v>0</v>
      </c>
      <c r="K437" s="5" t="n">
        <f aca="false">ROUND(MIN(MAX((B437*10)*0.2 + (MIN(E437/25*100,100))*0.2 + (MAX(100-F437*5,0))*0.15 + (G437*10)*0.15 + (H437)*0.15 + (I437)*0.15 - (J437*5),0),100),0)</f>
        <v>57</v>
      </c>
    </row>
    <row r="438" customFormat="false" ht="15" hidden="false" customHeight="true" outlineLevel="0" collapsed="false">
      <c r="A438" s="5" t="s">
        <v>1864</v>
      </c>
      <c r="B438" s="5" t="n">
        <v>4.2</v>
      </c>
      <c r="C438" s="5" t="n">
        <v>15</v>
      </c>
      <c r="D438" s="5" t="n">
        <v>12</v>
      </c>
      <c r="E438" s="5" t="n">
        <v>21.3</v>
      </c>
      <c r="F438" s="5" t="n">
        <v>14.5</v>
      </c>
      <c r="G438" s="5" t="n">
        <v>7.5</v>
      </c>
      <c r="H438" s="5" t="n">
        <v>32.7</v>
      </c>
      <c r="I438" s="5" t="n">
        <v>93.2</v>
      </c>
      <c r="J438" s="5" t="n">
        <v>2</v>
      </c>
      <c r="K438" s="5" t="n">
        <f aca="false">ROUND(MIN(MAX((B438*10)*0.2 + (MIN(E438/25*100,100))*0.2 + (MAX(100-F438*5,0))*0.15 + (G438*10)*0.15 + (H438)*0.15 + (I438)*0.15 - (J438*5),0),100),0)</f>
        <v>50</v>
      </c>
    </row>
    <row r="439" customFormat="false" ht="15" hidden="false" customHeight="true" outlineLevel="0" collapsed="false">
      <c r="A439" s="5" t="s">
        <v>1866</v>
      </c>
      <c r="B439" s="5" t="n">
        <v>9.2</v>
      </c>
      <c r="C439" s="5" t="n">
        <v>14</v>
      </c>
      <c r="D439" s="5" t="n">
        <v>8</v>
      </c>
      <c r="E439" s="5" t="n">
        <v>12</v>
      </c>
      <c r="F439" s="5" t="n">
        <v>4.7</v>
      </c>
      <c r="G439" s="5" t="n">
        <v>2.8</v>
      </c>
      <c r="H439" s="5" t="n">
        <v>72.5</v>
      </c>
      <c r="I439" s="5" t="n">
        <v>62.7</v>
      </c>
      <c r="J439" s="5" t="n">
        <v>1</v>
      </c>
      <c r="K439" s="5" t="n">
        <f aca="false">ROUND(MIN(MAX((B439*10)*0.2 + (MIN(E439/25*100,100))*0.2 + (MAX(100-F439*5,0))*0.15 + (G439*10)*0.15 + (H439)*0.15 + (I439)*0.15 - (J439*5),0),100),0)</f>
        <v>59</v>
      </c>
    </row>
    <row r="440" customFormat="false" ht="15" hidden="false" customHeight="true" outlineLevel="0" collapsed="false">
      <c r="A440" s="5" t="s">
        <v>1868</v>
      </c>
      <c r="B440" s="5" t="n">
        <v>7.5</v>
      </c>
      <c r="C440" s="5" t="n">
        <v>19</v>
      </c>
      <c r="D440" s="5" t="n">
        <v>6</v>
      </c>
      <c r="E440" s="5" t="n">
        <v>17</v>
      </c>
      <c r="F440" s="5" t="n">
        <v>10.5</v>
      </c>
      <c r="G440" s="5" t="n">
        <v>9.9</v>
      </c>
      <c r="H440" s="5" t="n">
        <v>50.4</v>
      </c>
      <c r="I440" s="5" t="n">
        <v>40.6</v>
      </c>
      <c r="J440" s="5" t="n">
        <v>0</v>
      </c>
      <c r="K440" s="5" t="n">
        <f aca="false">ROUND(MIN(MAX((B440*10)*0.2 + (MIN(E440/25*100,100))*0.2 + (MAX(100-F440*5,0))*0.15 + (G440*10)*0.15 + (H440)*0.15 + (I440)*0.15 - (J440*5),0),100),0)</f>
        <v>64</v>
      </c>
    </row>
    <row r="441" customFormat="false" ht="15" hidden="false" customHeight="true" outlineLevel="0" collapsed="false">
      <c r="A441" s="5" t="s">
        <v>1870</v>
      </c>
      <c r="B441" s="5" t="n">
        <v>8.2</v>
      </c>
      <c r="C441" s="5" t="n">
        <v>1</v>
      </c>
      <c r="D441" s="5" t="n">
        <v>13</v>
      </c>
      <c r="E441" s="5" t="n">
        <v>5.6</v>
      </c>
      <c r="F441" s="5" t="n">
        <v>2.5</v>
      </c>
      <c r="G441" s="5" t="n">
        <v>5.6</v>
      </c>
      <c r="H441" s="5" t="n">
        <v>44.3</v>
      </c>
      <c r="I441" s="5" t="n">
        <v>56.4</v>
      </c>
      <c r="J441" s="5" t="n">
        <v>1</v>
      </c>
      <c r="K441" s="5" t="n">
        <f aca="false">ROUND(MIN(MAX((B441*10)*0.2 + (MIN(E441/25*100,100))*0.2 + (MAX(100-F441*5,0))*0.15 + (G441*10)*0.15 + (H441)*0.15 + (I441)*0.15 - (J441*5),0),100),0)</f>
        <v>53</v>
      </c>
    </row>
    <row r="442" customFormat="false" ht="15" hidden="false" customHeight="true" outlineLevel="0" collapsed="false">
      <c r="A442" s="5" t="s">
        <v>1872</v>
      </c>
      <c r="B442" s="5" t="n">
        <v>2.3</v>
      </c>
      <c r="C442" s="5" t="n">
        <v>20</v>
      </c>
      <c r="D442" s="5" t="n">
        <v>2</v>
      </c>
      <c r="E442" s="5" t="n">
        <v>4.5</v>
      </c>
      <c r="F442" s="5" t="n">
        <v>9.3</v>
      </c>
      <c r="G442" s="5" t="n">
        <v>9.2</v>
      </c>
      <c r="H442" s="5" t="n">
        <v>44.1</v>
      </c>
      <c r="I442" s="5" t="n">
        <v>74.8</v>
      </c>
      <c r="J442" s="5" t="n">
        <v>0</v>
      </c>
      <c r="K442" s="5" t="n">
        <f aca="false">ROUND(MIN(MAX((B442*10)*0.2 + (MIN(E442/25*100,100))*0.2 + (MAX(100-F442*5,0))*0.15 + (G442*10)*0.15 + (H442)*0.15 + (I442)*0.15 - (J442*5),0),100),0)</f>
        <v>48</v>
      </c>
    </row>
    <row r="443" customFormat="false" ht="15" hidden="false" customHeight="true" outlineLevel="0" collapsed="false">
      <c r="A443" s="5" t="s">
        <v>1874</v>
      </c>
      <c r="B443" s="5" t="n">
        <v>7.3</v>
      </c>
      <c r="C443" s="5" t="n">
        <v>4</v>
      </c>
      <c r="D443" s="5" t="n">
        <v>2</v>
      </c>
      <c r="E443" s="5" t="n">
        <v>26.1</v>
      </c>
      <c r="F443" s="5" t="n">
        <v>2.8</v>
      </c>
      <c r="G443" s="5" t="n">
        <v>7.3</v>
      </c>
      <c r="H443" s="5" t="n">
        <v>88.5</v>
      </c>
      <c r="I443" s="5" t="n">
        <v>72.8</v>
      </c>
      <c r="J443" s="5" t="n">
        <v>1</v>
      </c>
      <c r="K443" s="5" t="n">
        <f aca="false">ROUND(MIN(MAX((B443*10)*0.2 + (MIN(E443/25*100,100))*0.2 + (MAX(100-F443*5,0))*0.15 + (G443*10)*0.15 + (H443)*0.15 + (I443)*0.15 - (J443*5),0),100),0)</f>
        <v>78</v>
      </c>
    </row>
    <row r="444" customFormat="false" ht="15" hidden="false" customHeight="true" outlineLevel="0" collapsed="false">
      <c r="A444" s="5" t="s">
        <v>1876</v>
      </c>
      <c r="B444" s="5" t="n">
        <v>8.7</v>
      </c>
      <c r="C444" s="5" t="n">
        <v>6</v>
      </c>
      <c r="D444" s="5" t="n">
        <v>8</v>
      </c>
      <c r="E444" s="5" t="n">
        <v>11</v>
      </c>
      <c r="F444" s="5" t="n">
        <v>10.2</v>
      </c>
      <c r="G444" s="5" t="n">
        <v>2.6</v>
      </c>
      <c r="H444" s="5" t="n">
        <v>59.5</v>
      </c>
      <c r="I444" s="5" t="n">
        <v>97.7</v>
      </c>
      <c r="J444" s="5" t="n">
        <v>3</v>
      </c>
      <c r="K444" s="5" t="n">
        <f aca="false">ROUND(MIN(MAX((B444*10)*0.2 + (MIN(E444/25*100,100))*0.2 + (MAX(100-F444*5,0))*0.15 + (G444*10)*0.15 + (H444)*0.15 + (I444)*0.15 - (J444*5),0),100),0)</f>
        <v>46</v>
      </c>
    </row>
    <row r="445" customFormat="false" ht="15" hidden="false" customHeight="true" outlineLevel="0" collapsed="false">
      <c r="A445" s="5" t="s">
        <v>1878</v>
      </c>
      <c r="B445" s="5" t="n">
        <v>7.2</v>
      </c>
      <c r="C445" s="5" t="n">
        <v>11</v>
      </c>
      <c r="D445" s="5" t="n">
        <v>8</v>
      </c>
      <c r="E445" s="5" t="n">
        <v>7.4</v>
      </c>
      <c r="F445" s="5" t="n">
        <v>2</v>
      </c>
      <c r="G445" s="5" t="n">
        <v>8.2</v>
      </c>
      <c r="H445" s="5" t="n">
        <v>54.9</v>
      </c>
      <c r="I445" s="5" t="n">
        <v>59.3</v>
      </c>
      <c r="J445" s="5" t="n">
        <v>0</v>
      </c>
      <c r="K445" s="5" t="n">
        <f aca="false">ROUND(MIN(MAX((B445*10)*0.2 + (MIN(E445/25*100,100))*0.2 + (MAX(100-F445*5,0))*0.15 + (G445*10)*0.15 + (H445)*0.15 + (I445)*0.15 - (J445*5),0),100),0)</f>
        <v>63</v>
      </c>
    </row>
    <row r="446" customFormat="false" ht="15" hidden="false" customHeight="true" outlineLevel="0" collapsed="false">
      <c r="A446" s="5" t="s">
        <v>1880</v>
      </c>
      <c r="B446" s="5" t="n">
        <v>3.9</v>
      </c>
      <c r="C446" s="5" t="n">
        <v>9</v>
      </c>
      <c r="D446" s="5" t="n">
        <v>5</v>
      </c>
      <c r="E446" s="5" t="n">
        <v>14.9</v>
      </c>
      <c r="F446" s="5" t="n">
        <v>7.9</v>
      </c>
      <c r="G446" s="5" t="n">
        <v>9.4</v>
      </c>
      <c r="H446" s="5" t="n">
        <v>69.7</v>
      </c>
      <c r="I446" s="5" t="n">
        <v>50.3</v>
      </c>
      <c r="J446" s="5" t="n">
        <v>3</v>
      </c>
      <c r="K446" s="5" t="n">
        <f aca="false">ROUND(MIN(MAX((B446*10)*0.2 + (MIN(E446/25*100,100))*0.2 + (MAX(100-F446*5,0))*0.15 + (G446*10)*0.15 + (H446)*0.15 + (I446)*0.15 - (J446*5),0),100),0)</f>
        <v>46</v>
      </c>
    </row>
    <row r="447" customFormat="false" ht="15" hidden="false" customHeight="true" outlineLevel="0" collapsed="false">
      <c r="A447" s="5" t="s">
        <v>1882</v>
      </c>
      <c r="B447" s="5" t="n">
        <v>2.8</v>
      </c>
      <c r="C447" s="5" t="n">
        <v>18</v>
      </c>
      <c r="D447" s="5" t="n">
        <v>13</v>
      </c>
      <c r="E447" s="5" t="n">
        <v>8.9</v>
      </c>
      <c r="F447" s="5" t="n">
        <v>10</v>
      </c>
      <c r="G447" s="5" t="n">
        <v>9.3</v>
      </c>
      <c r="H447" s="5" t="n">
        <v>76.5</v>
      </c>
      <c r="I447" s="5" t="n">
        <v>46</v>
      </c>
      <c r="J447" s="5" t="n">
        <v>0</v>
      </c>
      <c r="K447" s="5" t="n">
        <f aca="false">ROUND(MIN(MAX((B447*10)*0.2 + (MIN(E447/25*100,100))*0.2 + (MAX(100-F447*5,0))*0.15 + (G447*10)*0.15 + (H447)*0.15 + (I447)*0.15 - (J447*5),0),100),0)</f>
        <v>53</v>
      </c>
    </row>
    <row r="448" customFormat="false" ht="15" hidden="false" customHeight="true" outlineLevel="0" collapsed="false">
      <c r="A448" s="5" t="s">
        <v>1884</v>
      </c>
      <c r="B448" s="5" t="n">
        <v>2.5</v>
      </c>
      <c r="C448" s="5" t="n">
        <v>9</v>
      </c>
      <c r="D448" s="5" t="n">
        <v>14</v>
      </c>
      <c r="E448" s="5" t="n">
        <v>3.5</v>
      </c>
      <c r="F448" s="5" t="n">
        <v>8</v>
      </c>
      <c r="G448" s="5" t="n">
        <v>7.2</v>
      </c>
      <c r="H448" s="5" t="n">
        <v>30.1</v>
      </c>
      <c r="I448" s="5" t="n">
        <v>42.2</v>
      </c>
      <c r="J448" s="5" t="n">
        <v>3</v>
      </c>
      <c r="K448" s="5" t="n">
        <f aca="false">ROUND(MIN(MAX((B448*10)*0.2 + (MIN(E448/25*100,100))*0.2 + (MAX(100-F448*5,0))*0.15 + (G448*10)*0.15 + (H448)*0.15 + (I448)*0.15 - (J448*5),0),100),0)</f>
        <v>23</v>
      </c>
    </row>
    <row r="449" customFormat="false" ht="15" hidden="false" customHeight="true" outlineLevel="0" collapsed="false">
      <c r="A449" s="5" t="s">
        <v>1886</v>
      </c>
      <c r="B449" s="5" t="n">
        <v>4</v>
      </c>
      <c r="C449" s="5" t="n">
        <v>11</v>
      </c>
      <c r="D449" s="5" t="n">
        <v>12</v>
      </c>
      <c r="E449" s="5" t="n">
        <v>18.5</v>
      </c>
      <c r="F449" s="5" t="n">
        <v>8.2</v>
      </c>
      <c r="G449" s="5" t="n">
        <v>9.5</v>
      </c>
      <c r="H449" s="5" t="n">
        <v>61.9</v>
      </c>
      <c r="I449" s="5" t="n">
        <v>65.3</v>
      </c>
      <c r="J449" s="5" t="n">
        <v>0</v>
      </c>
      <c r="K449" s="5" t="n">
        <f aca="false">ROUND(MIN(MAX((B449*10)*0.2 + (MIN(E449/25*100,100))*0.2 + (MAX(100-F449*5,0))*0.15 + (G449*10)*0.15 + (H449)*0.15 + (I449)*0.15 - (J449*5),0),100),0)</f>
        <v>65</v>
      </c>
    </row>
    <row r="450" customFormat="false" ht="15" hidden="false" customHeight="true" outlineLevel="0" collapsed="false">
      <c r="A450" s="5" t="s">
        <v>1888</v>
      </c>
      <c r="B450" s="5" t="n">
        <v>6.1</v>
      </c>
      <c r="C450" s="5" t="n">
        <v>1</v>
      </c>
      <c r="D450" s="5" t="n">
        <v>12</v>
      </c>
      <c r="E450" s="5" t="n">
        <v>28.8</v>
      </c>
      <c r="F450" s="5" t="n">
        <v>12.5</v>
      </c>
      <c r="G450" s="5" t="n">
        <v>5.9</v>
      </c>
      <c r="H450" s="5" t="n">
        <v>66.9</v>
      </c>
      <c r="I450" s="5" t="n">
        <v>94.2</v>
      </c>
      <c r="J450" s="5" t="n">
        <v>2</v>
      </c>
      <c r="K450" s="5" t="n">
        <f aca="false">ROUND(MIN(MAX((B450*10)*0.2 + (MIN(E450/25*100,100))*0.2 + (MAX(100-F450*5,0))*0.15 + (G450*10)*0.15 + (H450)*0.15 + (I450)*0.15 - (J450*5),0),100),0)</f>
        <v>61</v>
      </c>
    </row>
    <row r="451" customFormat="false" ht="15" hidden="false" customHeight="true" outlineLevel="0" collapsed="false">
      <c r="A451" s="5" t="s">
        <v>1890</v>
      </c>
      <c r="B451" s="5" t="n">
        <v>4.5</v>
      </c>
      <c r="C451" s="5" t="n">
        <v>10</v>
      </c>
      <c r="D451" s="5" t="n">
        <v>12</v>
      </c>
      <c r="E451" s="5" t="n">
        <v>4.5</v>
      </c>
      <c r="F451" s="5" t="n">
        <v>15</v>
      </c>
      <c r="G451" s="5" t="n">
        <v>7.2</v>
      </c>
      <c r="H451" s="5" t="n">
        <v>53.7</v>
      </c>
      <c r="I451" s="5" t="n">
        <v>89.5</v>
      </c>
      <c r="J451" s="5" t="n">
        <v>2</v>
      </c>
      <c r="K451" s="5" t="n">
        <f aca="false">ROUND(MIN(MAX((B451*10)*0.2 + (MIN(E451/25*100,100))*0.2 + (MAX(100-F451*5,0))*0.15 + (G451*10)*0.15 + (H451)*0.15 + (I451)*0.15 - (J451*5),0),100),0)</f>
        <v>39</v>
      </c>
    </row>
    <row r="452" customFormat="false" ht="15" hidden="false" customHeight="true" outlineLevel="0" collapsed="false">
      <c r="A452" s="5" t="s">
        <v>1892</v>
      </c>
      <c r="B452" s="5" t="n">
        <v>2.6</v>
      </c>
      <c r="C452" s="5" t="n">
        <v>15</v>
      </c>
      <c r="D452" s="5" t="n">
        <v>9</v>
      </c>
      <c r="E452" s="5" t="n">
        <v>20.5</v>
      </c>
      <c r="F452" s="5" t="n">
        <v>3.5</v>
      </c>
      <c r="G452" s="5" t="n">
        <v>2.3</v>
      </c>
      <c r="H452" s="5" t="n">
        <v>55</v>
      </c>
      <c r="I452" s="5" t="n">
        <v>51.1</v>
      </c>
      <c r="J452" s="5" t="n">
        <v>3</v>
      </c>
      <c r="K452" s="5" t="n">
        <f aca="false">ROUND(MIN(MAX((B452*10)*0.2 + (MIN(E452/25*100,100))*0.2 + (MAX(100-F452*5,0))*0.15 + (G452*10)*0.15 + (H452)*0.15 + (I452)*0.15 - (J452*5),0),100),0)</f>
        <v>38</v>
      </c>
    </row>
    <row r="453" customFormat="false" ht="15" hidden="false" customHeight="true" outlineLevel="0" collapsed="false">
      <c r="A453" s="5" t="s">
        <v>1894</v>
      </c>
      <c r="B453" s="5" t="n">
        <v>8.7</v>
      </c>
      <c r="C453" s="5" t="n">
        <v>12</v>
      </c>
      <c r="D453" s="5" t="n">
        <v>15</v>
      </c>
      <c r="E453" s="5" t="n">
        <v>5.3</v>
      </c>
      <c r="F453" s="5" t="n">
        <v>9.9</v>
      </c>
      <c r="G453" s="5" t="n">
        <v>7.9</v>
      </c>
      <c r="H453" s="5" t="n">
        <v>39.1</v>
      </c>
      <c r="I453" s="5" t="n">
        <v>51.2</v>
      </c>
      <c r="J453" s="5" t="n">
        <v>4</v>
      </c>
      <c r="K453" s="5" t="n">
        <f aca="false">ROUND(MIN(MAX((B453*10)*0.2 + (MIN(E453/25*100,100))*0.2 + (MAX(100-F453*5,0))*0.15 + (G453*10)*0.15 + (H453)*0.15 + (I453)*0.15 - (J453*5),0),100),0)</f>
        <v>35</v>
      </c>
    </row>
    <row r="454" customFormat="false" ht="15" hidden="false" customHeight="true" outlineLevel="0" collapsed="false">
      <c r="A454" s="5" t="s">
        <v>1896</v>
      </c>
      <c r="B454" s="5" t="n">
        <v>3.8</v>
      </c>
      <c r="C454" s="5" t="n">
        <v>13</v>
      </c>
      <c r="D454" s="5" t="n">
        <v>2</v>
      </c>
      <c r="E454" s="5" t="n">
        <v>24.4</v>
      </c>
      <c r="F454" s="5" t="n">
        <v>10</v>
      </c>
      <c r="G454" s="5" t="n">
        <v>6</v>
      </c>
      <c r="H454" s="5" t="n">
        <v>92.7</v>
      </c>
      <c r="I454" s="5" t="n">
        <v>87.1</v>
      </c>
      <c r="J454" s="5" t="n">
        <v>0</v>
      </c>
      <c r="K454" s="5" t="n">
        <f aca="false">ROUND(MIN(MAX((B454*10)*0.2 + (MIN(E454/25*100,100))*0.2 + (MAX(100-F454*5,0))*0.15 + (G454*10)*0.15 + (H454)*0.15 + (I454)*0.15 - (J454*5),0),100),0)</f>
        <v>71</v>
      </c>
    </row>
    <row r="455" customFormat="false" ht="15" hidden="false" customHeight="true" outlineLevel="0" collapsed="false">
      <c r="A455" s="5" t="s">
        <v>1899</v>
      </c>
      <c r="B455" s="5" t="n">
        <v>2.3</v>
      </c>
      <c r="C455" s="5" t="n">
        <v>2</v>
      </c>
      <c r="D455" s="5" t="n">
        <v>10</v>
      </c>
      <c r="E455" s="5" t="n">
        <v>24.3</v>
      </c>
      <c r="F455" s="5" t="n">
        <v>1.6</v>
      </c>
      <c r="G455" s="5" t="n">
        <v>2.9</v>
      </c>
      <c r="H455" s="5" t="n">
        <v>82.5</v>
      </c>
      <c r="I455" s="5" t="n">
        <v>78.7</v>
      </c>
      <c r="J455" s="5" t="n">
        <v>3</v>
      </c>
      <c r="K455" s="5" t="n">
        <f aca="false">ROUND(MIN(MAX((B455*10)*0.2 + (MIN(E455/25*100,100))*0.2 + (MAX(100-F455*5,0))*0.15 + (G455*10)*0.15 + (H455)*0.15 + (I455)*0.15 - (J455*5),0),100),0)</f>
        <v>51</v>
      </c>
    </row>
    <row r="456" customFormat="false" ht="15" hidden="false" customHeight="true" outlineLevel="0" collapsed="false">
      <c r="A456" s="5" t="s">
        <v>1901</v>
      </c>
      <c r="B456" s="5" t="n">
        <v>9.1</v>
      </c>
      <c r="C456" s="5" t="n">
        <v>18</v>
      </c>
      <c r="D456" s="5" t="n">
        <v>4</v>
      </c>
      <c r="E456" s="5" t="n">
        <v>23</v>
      </c>
      <c r="F456" s="5" t="n">
        <v>4.3</v>
      </c>
      <c r="G456" s="5" t="n">
        <v>2.6</v>
      </c>
      <c r="H456" s="5" t="n">
        <v>77.8</v>
      </c>
      <c r="I456" s="5" t="n">
        <v>68.4</v>
      </c>
      <c r="J456" s="5" t="n">
        <v>0</v>
      </c>
      <c r="K456" s="5" t="n">
        <f aca="false">ROUND(MIN(MAX((B456*10)*0.2 + (MIN(E456/25*100,100))*0.2 + (MAX(100-F456*5,0))*0.15 + (G456*10)*0.15 + (H456)*0.15 + (I456)*0.15 - (J456*5),0),100),0)</f>
        <v>74</v>
      </c>
    </row>
    <row r="457" customFormat="false" ht="15" hidden="false" customHeight="true" outlineLevel="0" collapsed="false">
      <c r="A457" s="5" t="s">
        <v>1903</v>
      </c>
      <c r="B457" s="5" t="n">
        <v>5.5</v>
      </c>
      <c r="C457" s="5" t="n">
        <v>20</v>
      </c>
      <c r="D457" s="5" t="n">
        <v>1</v>
      </c>
      <c r="E457" s="5" t="n">
        <v>9.6</v>
      </c>
      <c r="F457" s="5" t="n">
        <v>10.1</v>
      </c>
      <c r="G457" s="5" t="n">
        <v>2.1</v>
      </c>
      <c r="H457" s="5" t="n">
        <v>71.1</v>
      </c>
      <c r="I457" s="5" t="n">
        <v>92.5</v>
      </c>
      <c r="J457" s="5" t="n">
        <v>0</v>
      </c>
      <c r="K457" s="5" t="n">
        <f aca="false">ROUND(MIN(MAX((B457*10)*0.2 + (MIN(E457/25*100,100))*0.2 + (MAX(100-F457*5,0))*0.15 + (G457*10)*0.15 + (H457)*0.15 + (I457)*0.15 - (J457*5),0),100),0)</f>
        <v>54</v>
      </c>
    </row>
    <row r="458" customFormat="false" ht="15" hidden="false" customHeight="true" outlineLevel="0" collapsed="false">
      <c r="A458" s="5" t="s">
        <v>1905</v>
      </c>
      <c r="B458" s="5" t="n">
        <v>5.4</v>
      </c>
      <c r="C458" s="5" t="n">
        <v>6</v>
      </c>
      <c r="D458" s="5" t="n">
        <v>2</v>
      </c>
      <c r="E458" s="5" t="n">
        <v>25.1</v>
      </c>
      <c r="F458" s="5" t="n">
        <v>2.5</v>
      </c>
      <c r="G458" s="5" t="n">
        <v>6</v>
      </c>
      <c r="H458" s="5" t="n">
        <v>81.9</v>
      </c>
      <c r="I458" s="5" t="n">
        <v>52.8</v>
      </c>
      <c r="J458" s="5" t="n">
        <v>1</v>
      </c>
      <c r="K458" s="5" t="n">
        <f aca="false">ROUND(MIN(MAX((B458*10)*0.2 + (MIN(E458/25*100,100))*0.2 + (MAX(100-F458*5,0))*0.15 + (G458*10)*0.15 + (H458)*0.15 + (I458)*0.15 - (J458*5),0),100),0)</f>
        <v>68</v>
      </c>
    </row>
    <row r="459" customFormat="false" ht="15" hidden="false" customHeight="true" outlineLevel="0" collapsed="false">
      <c r="A459" s="5" t="s">
        <v>1907</v>
      </c>
      <c r="B459" s="5" t="n">
        <v>5.2</v>
      </c>
      <c r="C459" s="5" t="n">
        <v>13</v>
      </c>
      <c r="D459" s="5" t="n">
        <v>10</v>
      </c>
      <c r="E459" s="5" t="n">
        <v>6.3</v>
      </c>
      <c r="F459" s="5" t="n">
        <v>10.6</v>
      </c>
      <c r="G459" s="5" t="n">
        <v>6.4</v>
      </c>
      <c r="H459" s="5" t="n">
        <v>50.9</v>
      </c>
      <c r="I459" s="5" t="n">
        <v>96</v>
      </c>
      <c r="J459" s="5" t="n">
        <v>1</v>
      </c>
      <c r="K459" s="5" t="n">
        <f aca="false">ROUND(MIN(MAX((B459*10)*0.2 + (MIN(E459/25*100,100))*0.2 + (MAX(100-F459*5,0))*0.15 + (G459*10)*0.15 + (H459)*0.15 + (I459)*0.15 - (J459*5),0),100),0)</f>
        <v>49</v>
      </c>
    </row>
    <row r="460" customFormat="false" ht="15" hidden="false" customHeight="true" outlineLevel="0" collapsed="false">
      <c r="A460" s="5" t="s">
        <v>1909</v>
      </c>
      <c r="B460" s="5" t="n">
        <v>7.7</v>
      </c>
      <c r="C460" s="5" t="n">
        <v>19</v>
      </c>
      <c r="D460" s="5" t="n">
        <v>5</v>
      </c>
      <c r="E460" s="5" t="n">
        <v>12.1</v>
      </c>
      <c r="F460" s="5" t="n">
        <v>2.7</v>
      </c>
      <c r="G460" s="5" t="n">
        <v>3.1</v>
      </c>
      <c r="H460" s="5" t="n">
        <v>57</v>
      </c>
      <c r="I460" s="5" t="n">
        <v>80.4</v>
      </c>
      <c r="J460" s="5" t="n">
        <v>4</v>
      </c>
      <c r="K460" s="5" t="n">
        <f aca="false">ROUND(MIN(MAX((B460*10)*0.2 + (MIN(E460/25*100,100))*0.2 + (MAX(100-F460*5,0))*0.15 + (G460*10)*0.15 + (H460)*0.15 + (I460)*0.15 - (J460*5),0),100),0)</f>
        <v>43</v>
      </c>
    </row>
    <row r="461" customFormat="false" ht="15" hidden="false" customHeight="true" outlineLevel="0" collapsed="false">
      <c r="A461" s="5" t="s">
        <v>1911</v>
      </c>
      <c r="B461" s="5" t="n">
        <v>3.2</v>
      </c>
      <c r="C461" s="5" t="n">
        <v>8</v>
      </c>
      <c r="D461" s="5" t="n">
        <v>1</v>
      </c>
      <c r="E461" s="5" t="n">
        <v>6.6</v>
      </c>
      <c r="F461" s="5" t="n">
        <v>12.1</v>
      </c>
      <c r="G461" s="5" t="n">
        <v>7.1</v>
      </c>
      <c r="H461" s="5" t="n">
        <v>54.4</v>
      </c>
      <c r="I461" s="5" t="n">
        <v>49.1</v>
      </c>
      <c r="J461" s="5" t="n">
        <v>3</v>
      </c>
      <c r="K461" s="5" t="n">
        <f aca="false">ROUND(MIN(MAX((B461*10)*0.2 + (MIN(E461/25*100,100))*0.2 + (MAX(100-F461*5,0))*0.15 + (G461*10)*0.15 + (H461)*0.15 + (I461)*0.15 - (J461*5),0),100),0)</f>
        <v>29</v>
      </c>
    </row>
    <row r="462" customFormat="false" ht="15" hidden="false" customHeight="true" outlineLevel="0" collapsed="false">
      <c r="A462" s="5" t="s">
        <v>1913</v>
      </c>
      <c r="B462" s="5" t="n">
        <v>2.6</v>
      </c>
      <c r="C462" s="5" t="n">
        <v>1</v>
      </c>
      <c r="D462" s="5" t="n">
        <v>5</v>
      </c>
      <c r="E462" s="5" t="n">
        <v>28</v>
      </c>
      <c r="F462" s="5" t="n">
        <v>10.9</v>
      </c>
      <c r="G462" s="5" t="n">
        <v>6.7</v>
      </c>
      <c r="H462" s="5" t="n">
        <v>48.4</v>
      </c>
      <c r="I462" s="5" t="n">
        <v>80.2</v>
      </c>
      <c r="J462" s="5" t="n">
        <v>3</v>
      </c>
      <c r="K462" s="5" t="n">
        <f aca="false">ROUND(MIN(MAX((B462*10)*0.2 + (MIN(E462/25*100,100))*0.2 + (MAX(100-F462*5,0))*0.15 + (G462*10)*0.15 + (H462)*0.15 + (I462)*0.15 - (J462*5),0),100),0)</f>
        <v>46</v>
      </c>
    </row>
    <row r="463" customFormat="false" ht="15" hidden="false" customHeight="true" outlineLevel="0" collapsed="false">
      <c r="A463" s="5" t="s">
        <v>1915</v>
      </c>
      <c r="B463" s="5" t="n">
        <v>7.2</v>
      </c>
      <c r="C463" s="5" t="n">
        <v>7</v>
      </c>
      <c r="D463" s="5" t="n">
        <v>4</v>
      </c>
      <c r="E463" s="5" t="n">
        <v>20.3</v>
      </c>
      <c r="F463" s="5" t="n">
        <v>8.3</v>
      </c>
      <c r="G463" s="5" t="n">
        <v>5.3</v>
      </c>
      <c r="H463" s="5" t="n">
        <v>91</v>
      </c>
      <c r="I463" s="5" t="n">
        <v>75.4</v>
      </c>
      <c r="J463" s="5" t="n">
        <v>0</v>
      </c>
      <c r="K463" s="5" t="n">
        <f aca="false">ROUND(MIN(MAX((B463*10)*0.2 + (MIN(E463/25*100,100))*0.2 + (MAX(100-F463*5,0))*0.15 + (G463*10)*0.15 + (H463)*0.15 + (I463)*0.15 - (J463*5),0),100),0)</f>
        <v>72</v>
      </c>
    </row>
    <row r="464" customFormat="false" ht="15" hidden="false" customHeight="true" outlineLevel="0" collapsed="false">
      <c r="A464" s="5" t="s">
        <v>1917</v>
      </c>
      <c r="B464" s="5" t="n">
        <v>6.5</v>
      </c>
      <c r="C464" s="5" t="n">
        <v>16</v>
      </c>
      <c r="D464" s="5" t="n">
        <v>2</v>
      </c>
      <c r="E464" s="5" t="n">
        <v>19.9</v>
      </c>
      <c r="F464" s="5" t="n">
        <v>12</v>
      </c>
      <c r="G464" s="5" t="n">
        <v>4.8</v>
      </c>
      <c r="H464" s="5" t="n">
        <v>30.3</v>
      </c>
      <c r="I464" s="5" t="n">
        <v>53.7</v>
      </c>
      <c r="J464" s="5" t="n">
        <v>0</v>
      </c>
      <c r="K464" s="5" t="n">
        <f aca="false">ROUND(MIN(MAX((B464*10)*0.2 + (MIN(E464/25*100,100))*0.2 + (MAX(100-F464*5,0))*0.15 + (G464*10)*0.15 + (H464)*0.15 + (I464)*0.15 - (J464*5),0),100),0)</f>
        <v>55</v>
      </c>
    </row>
    <row r="465" customFormat="false" ht="15" hidden="false" customHeight="true" outlineLevel="0" collapsed="false">
      <c r="A465" s="5" t="s">
        <v>1919</v>
      </c>
      <c r="B465" s="5" t="n">
        <v>9.4</v>
      </c>
      <c r="C465" s="5" t="n">
        <v>4</v>
      </c>
      <c r="D465" s="5" t="n">
        <v>11</v>
      </c>
      <c r="E465" s="5" t="n">
        <v>26.3</v>
      </c>
      <c r="F465" s="5" t="n">
        <v>14.8</v>
      </c>
      <c r="G465" s="5" t="n">
        <v>6.1</v>
      </c>
      <c r="H465" s="5" t="n">
        <v>60.2</v>
      </c>
      <c r="I465" s="5" t="n">
        <v>76.3</v>
      </c>
      <c r="J465" s="5" t="n">
        <v>1</v>
      </c>
      <c r="K465" s="5" t="n">
        <f aca="false">ROUND(MIN(MAX((B465*10)*0.2 + (MIN(E465/25*100,100))*0.2 + (MAX(100-F465*5,0))*0.15 + (G465*10)*0.15 + (H465)*0.15 + (I465)*0.15 - (J465*5),0),100),0)</f>
        <v>67</v>
      </c>
    </row>
    <row r="466" customFormat="false" ht="15" hidden="false" customHeight="true" outlineLevel="0" collapsed="false">
      <c r="A466" s="5" t="s">
        <v>1921</v>
      </c>
      <c r="B466" s="5" t="n">
        <v>4.1</v>
      </c>
      <c r="C466" s="5" t="n">
        <v>7</v>
      </c>
      <c r="D466" s="5" t="n">
        <v>3</v>
      </c>
      <c r="E466" s="5" t="n">
        <v>24.5</v>
      </c>
      <c r="F466" s="5" t="n">
        <v>10.6</v>
      </c>
      <c r="G466" s="5" t="n">
        <v>9.7</v>
      </c>
      <c r="H466" s="5" t="n">
        <v>60.8</v>
      </c>
      <c r="I466" s="5" t="n">
        <v>50.2</v>
      </c>
      <c r="J466" s="5" t="n">
        <v>0</v>
      </c>
      <c r="K466" s="5" t="n">
        <f aca="false">ROUND(MIN(MAX((B466*10)*0.2 + (MIN(E466/25*100,100))*0.2 + (MAX(100-F466*5,0))*0.15 + (G466*10)*0.15 + (H466)*0.15 + (I466)*0.15 - (J466*5),0),100),0)</f>
        <v>66</v>
      </c>
    </row>
    <row r="467" customFormat="false" ht="15" hidden="false" customHeight="true" outlineLevel="0" collapsed="false">
      <c r="A467" s="5" t="s">
        <v>1923</v>
      </c>
      <c r="B467" s="5" t="n">
        <v>2.4</v>
      </c>
      <c r="C467" s="5" t="n">
        <v>12</v>
      </c>
      <c r="D467" s="5" t="n">
        <v>9</v>
      </c>
      <c r="E467" s="5" t="n">
        <v>8.7</v>
      </c>
      <c r="F467" s="5" t="n">
        <v>4.5</v>
      </c>
      <c r="G467" s="5" t="n">
        <v>6.9</v>
      </c>
      <c r="H467" s="5" t="n">
        <v>87.9</v>
      </c>
      <c r="I467" s="5" t="n">
        <v>66.3</v>
      </c>
      <c r="J467" s="5" t="n">
        <v>0</v>
      </c>
      <c r="K467" s="5" t="n">
        <f aca="false">ROUND(MIN(MAX((B467*10)*0.2 + (MIN(E467/25*100,100))*0.2 + (MAX(100-F467*5,0))*0.15 + (G467*10)*0.15 + (H467)*0.15 + (I467)*0.15 - (J467*5),0),100),0)</f>
        <v>57</v>
      </c>
    </row>
    <row r="468" customFormat="false" ht="15" hidden="false" customHeight="true" outlineLevel="0" collapsed="false">
      <c r="A468" s="5" t="s">
        <v>1925</v>
      </c>
      <c r="B468" s="5" t="n">
        <v>7.6</v>
      </c>
      <c r="C468" s="5" t="n">
        <v>18</v>
      </c>
      <c r="D468" s="5" t="n">
        <v>5</v>
      </c>
      <c r="E468" s="5" t="n">
        <v>7.3</v>
      </c>
      <c r="F468" s="5" t="n">
        <v>1.4</v>
      </c>
      <c r="G468" s="5" t="n">
        <v>6.1</v>
      </c>
      <c r="H468" s="5" t="n">
        <v>34.6</v>
      </c>
      <c r="I468" s="5" t="n">
        <v>53.6</v>
      </c>
      <c r="J468" s="5" t="n">
        <v>3</v>
      </c>
      <c r="K468" s="5" t="n">
        <f aca="false">ROUND(MIN(MAX((B468*10)*0.2 + (MIN(E468/25*100,100))*0.2 + (MAX(100-F468*5,0))*0.15 + (G468*10)*0.15 + (H468)*0.15 + (I468)*0.15 - (J468*5),0),100),0)</f>
        <v>42</v>
      </c>
    </row>
    <row r="469" customFormat="false" ht="15" hidden="false" customHeight="true" outlineLevel="0" collapsed="false">
      <c r="A469" s="5" t="s">
        <v>1928</v>
      </c>
      <c r="B469" s="5" t="n">
        <v>6.4</v>
      </c>
      <c r="C469" s="5" t="n">
        <v>11</v>
      </c>
      <c r="D469" s="5" t="n">
        <v>13</v>
      </c>
      <c r="E469" s="5" t="n">
        <v>8.4</v>
      </c>
      <c r="F469" s="5" t="n">
        <v>10.5</v>
      </c>
      <c r="G469" s="5" t="n">
        <v>4.6</v>
      </c>
      <c r="H469" s="5" t="n">
        <v>80.6</v>
      </c>
      <c r="I469" s="5" t="n">
        <v>58.9</v>
      </c>
      <c r="J469" s="5" t="n">
        <v>0</v>
      </c>
      <c r="K469" s="5" t="n">
        <f aca="false">ROUND(MIN(MAX((B469*10)*0.2 + (MIN(E469/25*100,100))*0.2 + (MAX(100-F469*5,0))*0.15 + (G469*10)*0.15 + (H469)*0.15 + (I469)*0.15 - (J469*5),0),100),0)</f>
        <v>54</v>
      </c>
    </row>
    <row r="470" customFormat="false" ht="15" hidden="false" customHeight="true" outlineLevel="0" collapsed="false">
      <c r="A470" s="5" t="s">
        <v>1930</v>
      </c>
      <c r="B470" s="5" t="n">
        <v>3.8</v>
      </c>
      <c r="C470" s="5" t="n">
        <v>14</v>
      </c>
      <c r="D470" s="5" t="n">
        <v>6</v>
      </c>
      <c r="E470" s="5" t="n">
        <v>13.1</v>
      </c>
      <c r="F470" s="5" t="n">
        <v>4.1</v>
      </c>
      <c r="G470" s="5" t="n">
        <v>5.8</v>
      </c>
      <c r="H470" s="5" t="n">
        <v>61.5</v>
      </c>
      <c r="I470" s="5" t="n">
        <v>91.6</v>
      </c>
      <c r="J470" s="5" t="n">
        <v>1</v>
      </c>
      <c r="K470" s="5" t="n">
        <f aca="false">ROUND(MIN(MAX((B470*10)*0.2 + (MIN(E470/25*100,100))*0.2 + (MAX(100-F470*5,0))*0.15 + (G470*10)*0.15 + (H470)*0.15 + (I470)*0.15 - (J470*5),0),100),0)</f>
        <v>57</v>
      </c>
    </row>
    <row r="471" customFormat="false" ht="15" hidden="false" customHeight="true" outlineLevel="0" collapsed="false">
      <c r="A471" s="5" t="s">
        <v>1932</v>
      </c>
      <c r="B471" s="5" t="n">
        <v>3.6</v>
      </c>
      <c r="C471" s="5" t="n">
        <v>20</v>
      </c>
      <c r="D471" s="5" t="n">
        <v>14</v>
      </c>
      <c r="E471" s="5" t="n">
        <v>7.8</v>
      </c>
      <c r="F471" s="5" t="n">
        <v>6.2</v>
      </c>
      <c r="G471" s="5" t="n">
        <v>5.7</v>
      </c>
      <c r="H471" s="5" t="n">
        <v>42.6</v>
      </c>
      <c r="I471" s="5" t="n">
        <v>60.8</v>
      </c>
      <c r="J471" s="5" t="n">
        <v>2</v>
      </c>
      <c r="K471" s="5" t="n">
        <f aca="false">ROUND(MIN(MAX((B471*10)*0.2 + (MIN(E471/25*100,100))*0.2 + (MAX(100-F471*5,0))*0.15 + (G471*10)*0.15 + (H471)*0.15 + (I471)*0.15 - (J471*5),0),100),0)</f>
        <v>38</v>
      </c>
    </row>
    <row r="472" customFormat="false" ht="15" hidden="false" customHeight="true" outlineLevel="0" collapsed="false">
      <c r="A472" s="5" t="s">
        <v>1934</v>
      </c>
      <c r="B472" s="5" t="n">
        <v>3.5</v>
      </c>
      <c r="C472" s="5" t="n">
        <v>5</v>
      </c>
      <c r="D472" s="5" t="n">
        <v>1</v>
      </c>
      <c r="E472" s="5" t="n">
        <v>21.7</v>
      </c>
      <c r="F472" s="5" t="n">
        <v>1.8</v>
      </c>
      <c r="G472" s="5" t="n">
        <v>3.1</v>
      </c>
      <c r="H472" s="5" t="n">
        <v>85.4</v>
      </c>
      <c r="I472" s="5" t="n">
        <v>66.6</v>
      </c>
      <c r="J472" s="5" t="n">
        <v>1</v>
      </c>
      <c r="K472" s="5" t="n">
        <f aca="false">ROUND(MIN(MAX((B472*10)*0.2 + (MIN(E472/25*100,100))*0.2 + (MAX(100-F472*5,0))*0.15 + (G472*10)*0.15 + (H472)*0.15 + (I472)*0.15 - (J472*5),0),100),0)</f>
        <v>60</v>
      </c>
    </row>
    <row r="473" customFormat="false" ht="15" hidden="false" customHeight="true" outlineLevel="0" collapsed="false">
      <c r="A473" s="5" t="s">
        <v>1936</v>
      </c>
      <c r="B473" s="5" t="n">
        <v>7.7</v>
      </c>
      <c r="C473" s="5" t="n">
        <v>8</v>
      </c>
      <c r="D473" s="5" t="n">
        <v>9</v>
      </c>
      <c r="E473" s="5" t="n">
        <v>19.3</v>
      </c>
      <c r="F473" s="5" t="n">
        <v>12.1</v>
      </c>
      <c r="G473" s="5" t="n">
        <v>7.1</v>
      </c>
      <c r="H473" s="5" t="n">
        <v>69.7</v>
      </c>
      <c r="I473" s="5" t="n">
        <v>49.9</v>
      </c>
      <c r="J473" s="5" t="n">
        <v>4</v>
      </c>
      <c r="K473" s="5" t="n">
        <f aca="false">ROUND(MIN(MAX((B473*10)*0.2 + (MIN(E473/25*100,100))*0.2 + (MAX(100-F473*5,0))*0.15 + (G473*10)*0.15 + (H473)*0.15 + (I473)*0.15 - (J473*5),0),100),0)</f>
        <v>45</v>
      </c>
    </row>
    <row r="474" customFormat="false" ht="15" hidden="false" customHeight="true" outlineLevel="0" collapsed="false">
      <c r="A474" s="5" t="s">
        <v>1938</v>
      </c>
      <c r="B474" s="5" t="n">
        <v>8.4</v>
      </c>
      <c r="C474" s="5" t="n">
        <v>3</v>
      </c>
      <c r="D474" s="5" t="n">
        <v>13</v>
      </c>
      <c r="E474" s="5" t="n">
        <v>26.1</v>
      </c>
      <c r="F474" s="5" t="n">
        <v>7.8</v>
      </c>
      <c r="G474" s="5" t="n">
        <v>10</v>
      </c>
      <c r="H474" s="5" t="n">
        <v>68.5</v>
      </c>
      <c r="I474" s="5" t="n">
        <v>88.5</v>
      </c>
      <c r="J474" s="5" t="n">
        <v>2</v>
      </c>
      <c r="K474" s="5" t="n">
        <f aca="false">ROUND(MIN(MAX((B474*10)*0.2 + (MIN(E474/25*100,100))*0.2 + (MAX(100-F474*5,0))*0.15 + (G474*10)*0.15 + (H474)*0.15 + (I474)*0.15 - (J474*5),0),100),0)</f>
        <v>75</v>
      </c>
    </row>
    <row r="475" customFormat="false" ht="15" hidden="false" customHeight="true" outlineLevel="0" collapsed="false">
      <c r="A475" s="5" t="s">
        <v>1940</v>
      </c>
      <c r="B475" s="5" t="n">
        <v>2.1</v>
      </c>
      <c r="C475" s="5" t="n">
        <v>14</v>
      </c>
      <c r="D475" s="5" t="n">
        <v>7</v>
      </c>
      <c r="E475" s="5" t="n">
        <v>9.7</v>
      </c>
      <c r="F475" s="5" t="n">
        <v>7.1</v>
      </c>
      <c r="G475" s="5" t="n">
        <v>3.8</v>
      </c>
      <c r="H475" s="5" t="n">
        <v>90.3</v>
      </c>
      <c r="I475" s="5" t="n">
        <v>94.9</v>
      </c>
      <c r="J475" s="5" t="n">
        <v>4</v>
      </c>
      <c r="K475" s="5" t="n">
        <f aca="false">ROUND(MIN(MAX((B475*10)*0.2 + (MIN(E475/25*100,100))*0.2 + (MAX(100-F475*5,0))*0.15 + (G475*10)*0.15 + (H475)*0.15 + (I475)*0.15 - (J475*5),0),100),0)</f>
        <v>35</v>
      </c>
    </row>
    <row r="476" customFormat="false" ht="15" hidden="false" customHeight="true" outlineLevel="0" collapsed="false">
      <c r="A476" s="5" t="s">
        <v>1942</v>
      </c>
      <c r="B476" s="5" t="n">
        <v>8.7</v>
      </c>
      <c r="C476" s="5" t="n">
        <v>14</v>
      </c>
      <c r="D476" s="5" t="n">
        <v>1</v>
      </c>
      <c r="E476" s="5" t="n">
        <v>4.1</v>
      </c>
      <c r="F476" s="5" t="n">
        <v>7.6</v>
      </c>
      <c r="G476" s="5" t="n">
        <v>8.1</v>
      </c>
      <c r="H476" s="5" t="n">
        <v>32.2</v>
      </c>
      <c r="I476" s="5" t="n">
        <v>70.8</v>
      </c>
      <c r="J476" s="5" t="n">
        <v>3</v>
      </c>
      <c r="K476" s="5" t="n">
        <f aca="false">ROUND(MIN(MAX((B476*10)*0.2 + (MIN(E476/25*100,100))*0.2 + (MAX(100-F476*5,0))*0.15 + (G476*10)*0.15 + (H476)*0.15 + (I476)*0.15 - (J476*5),0),100),0)</f>
        <v>43</v>
      </c>
    </row>
    <row r="477" customFormat="false" ht="15" hidden="false" customHeight="true" outlineLevel="0" collapsed="false">
      <c r="A477" s="5" t="s">
        <v>1944</v>
      </c>
      <c r="B477" s="5" t="n">
        <v>8.1</v>
      </c>
      <c r="C477" s="5" t="n">
        <v>4</v>
      </c>
      <c r="D477" s="5" t="n">
        <v>14</v>
      </c>
      <c r="E477" s="5" t="n">
        <v>16.4</v>
      </c>
      <c r="F477" s="5" t="n">
        <v>2.2</v>
      </c>
      <c r="G477" s="5" t="n">
        <v>8</v>
      </c>
      <c r="H477" s="5" t="n">
        <v>75.1</v>
      </c>
      <c r="I477" s="5" t="n">
        <v>63.6</v>
      </c>
      <c r="J477" s="5" t="n">
        <v>1</v>
      </c>
      <c r="K477" s="5" t="n">
        <f aca="false">ROUND(MIN(MAX((B477*10)*0.2 + (MIN(E477/25*100,100))*0.2 + (MAX(100-F477*5,0))*0.15 + (G477*10)*0.15 + (H477)*0.15 + (I477)*0.15 - (J477*5),0),100),0)</f>
        <v>70</v>
      </c>
    </row>
    <row r="478" customFormat="false" ht="15" hidden="false" customHeight="true" outlineLevel="0" collapsed="false">
      <c r="A478" s="5" t="s">
        <v>1946</v>
      </c>
      <c r="B478" s="5" t="n">
        <v>3</v>
      </c>
      <c r="C478" s="5" t="n">
        <v>10</v>
      </c>
      <c r="D478" s="5" t="n">
        <v>7</v>
      </c>
      <c r="E478" s="5" t="n">
        <v>20.5</v>
      </c>
      <c r="F478" s="5" t="n">
        <v>2.3</v>
      </c>
      <c r="G478" s="5" t="n">
        <v>5.8</v>
      </c>
      <c r="H478" s="5" t="n">
        <v>49.8</v>
      </c>
      <c r="I478" s="5" t="n">
        <v>80.8</v>
      </c>
      <c r="J478" s="5" t="n">
        <v>4</v>
      </c>
      <c r="K478" s="5" t="n">
        <f aca="false">ROUND(MIN(MAX((B478*10)*0.2 + (MIN(E478/25*100,100))*0.2 + (MAX(100-F478*5,0))*0.15 + (G478*10)*0.15 + (H478)*0.15 + (I478)*0.15 - (J478*5),0),100),0)</f>
        <v>44</v>
      </c>
    </row>
    <row r="479" customFormat="false" ht="15" hidden="false" customHeight="true" outlineLevel="0" collapsed="false">
      <c r="A479" s="5" t="s">
        <v>1948</v>
      </c>
      <c r="B479" s="5" t="n">
        <v>7.6</v>
      </c>
      <c r="C479" s="5" t="n">
        <v>1</v>
      </c>
      <c r="D479" s="5" t="n">
        <v>14</v>
      </c>
      <c r="E479" s="5" t="n">
        <v>15.5</v>
      </c>
      <c r="F479" s="5" t="n">
        <v>2.9</v>
      </c>
      <c r="G479" s="5" t="n">
        <v>7.6</v>
      </c>
      <c r="H479" s="5" t="n">
        <v>42</v>
      </c>
      <c r="I479" s="5" t="n">
        <v>90.6</v>
      </c>
      <c r="J479" s="5" t="n">
        <v>3</v>
      </c>
      <c r="K479" s="5" t="n">
        <f aca="false">ROUND(MIN(MAX((B479*10)*0.2 + (MIN(E479/25*100,100))*0.2 + (MAX(100-F479*5,0))*0.15 + (G479*10)*0.15 + (H479)*0.15 + (I479)*0.15 - (J479*5),0),100),0)</f>
        <v>57</v>
      </c>
    </row>
    <row r="480" customFormat="false" ht="15" hidden="false" customHeight="true" outlineLevel="0" collapsed="false">
      <c r="A480" s="5" t="s">
        <v>1950</v>
      </c>
      <c r="B480" s="5" t="n">
        <v>7.3</v>
      </c>
      <c r="C480" s="5" t="n">
        <v>1</v>
      </c>
      <c r="D480" s="5" t="n">
        <v>2</v>
      </c>
      <c r="E480" s="5" t="n">
        <v>13.4</v>
      </c>
      <c r="F480" s="5" t="n">
        <v>10.7</v>
      </c>
      <c r="G480" s="5" t="n">
        <v>6.2</v>
      </c>
      <c r="H480" s="5" t="n">
        <v>49.3</v>
      </c>
      <c r="I480" s="5" t="n">
        <v>83.7</v>
      </c>
      <c r="J480" s="5" t="n">
        <v>4</v>
      </c>
      <c r="K480" s="5" t="n">
        <f aca="false">ROUND(MIN(MAX((B480*10)*0.2 + (MIN(E480/25*100,100))*0.2 + (MAX(100-F480*5,0))*0.15 + (G480*10)*0.15 + (H480)*0.15 + (I480)*0.15 - (J480*5),0),100),0)</f>
        <v>42</v>
      </c>
    </row>
    <row r="481" customFormat="false" ht="15" hidden="false" customHeight="true" outlineLevel="0" collapsed="false">
      <c r="A481" s="5" t="s">
        <v>1952</v>
      </c>
      <c r="B481" s="5" t="n">
        <v>6.1</v>
      </c>
      <c r="C481" s="5" t="n">
        <v>7</v>
      </c>
      <c r="D481" s="5" t="n">
        <v>2</v>
      </c>
      <c r="E481" s="5" t="n">
        <v>19.8</v>
      </c>
      <c r="F481" s="5" t="n">
        <v>5.7</v>
      </c>
      <c r="G481" s="5" t="n">
        <v>9.5</v>
      </c>
      <c r="H481" s="5" t="n">
        <v>63.5</v>
      </c>
      <c r="I481" s="5" t="n">
        <v>92.8</v>
      </c>
      <c r="J481" s="5" t="n">
        <v>2</v>
      </c>
      <c r="K481" s="5" t="n">
        <f aca="false">ROUND(MIN(MAX((B481*10)*0.2 + (MIN(E481/25*100,100))*0.2 + (MAX(100-F481*5,0))*0.15 + (G481*10)*0.15 + (H481)*0.15 + (I481)*0.15 - (J481*5),0),100),0)</f>
        <v>66</v>
      </c>
    </row>
    <row r="482" customFormat="false" ht="15" hidden="false" customHeight="true" outlineLevel="0" collapsed="false">
      <c r="A482" s="5" t="s">
        <v>1954</v>
      </c>
      <c r="B482" s="5" t="n">
        <v>8.7</v>
      </c>
      <c r="C482" s="5" t="n">
        <v>4</v>
      </c>
      <c r="D482" s="5" t="n">
        <v>12</v>
      </c>
      <c r="E482" s="5" t="n">
        <v>12.9</v>
      </c>
      <c r="F482" s="5" t="n">
        <v>9.7</v>
      </c>
      <c r="G482" s="5" t="n">
        <v>4.9</v>
      </c>
      <c r="H482" s="5" t="n">
        <v>41.4</v>
      </c>
      <c r="I482" s="5" t="n">
        <v>72.4</v>
      </c>
      <c r="J482" s="5" t="n">
        <v>0</v>
      </c>
      <c r="K482" s="5" t="n">
        <f aca="false">ROUND(MIN(MAX((B482*10)*0.2 + (MIN(E482/25*100,100))*0.2 + (MAX(100-F482*5,0))*0.15 + (G482*10)*0.15 + (H482)*0.15 + (I482)*0.15 - (J482*5),0),100),0)</f>
        <v>60</v>
      </c>
    </row>
    <row r="483" customFormat="false" ht="15" hidden="false" customHeight="true" outlineLevel="0" collapsed="false">
      <c r="A483" s="5" t="s">
        <v>1956</v>
      </c>
      <c r="B483" s="5" t="n">
        <v>6.2</v>
      </c>
      <c r="C483" s="5" t="n">
        <v>7</v>
      </c>
      <c r="D483" s="5" t="n">
        <v>4</v>
      </c>
      <c r="E483" s="5" t="n">
        <v>29.5</v>
      </c>
      <c r="F483" s="5" t="n">
        <v>4.3</v>
      </c>
      <c r="G483" s="5" t="n">
        <v>2.9</v>
      </c>
      <c r="H483" s="5" t="n">
        <v>61.1</v>
      </c>
      <c r="I483" s="5" t="n">
        <v>94.5</v>
      </c>
      <c r="J483" s="5" t="n">
        <v>4</v>
      </c>
      <c r="K483" s="5" t="n">
        <f aca="false">ROUND(MIN(MAX((B483*10)*0.2 + (MIN(E483/25*100,100))*0.2 + (MAX(100-F483*5,0))*0.15 + (G483*10)*0.15 + (H483)*0.15 + (I483)*0.15 - (J483*5),0),100),0)</f>
        <v>52</v>
      </c>
    </row>
    <row r="484" customFormat="false" ht="15" hidden="false" customHeight="true" outlineLevel="0" collapsed="false">
      <c r="A484" s="5" t="s">
        <v>1958</v>
      </c>
      <c r="B484" s="5" t="n">
        <v>8.5</v>
      </c>
      <c r="C484" s="5" t="n">
        <v>7</v>
      </c>
      <c r="D484" s="5" t="n">
        <v>7</v>
      </c>
      <c r="E484" s="5" t="n">
        <v>11.7</v>
      </c>
      <c r="F484" s="5" t="n">
        <v>13.6</v>
      </c>
      <c r="G484" s="5" t="n">
        <v>6</v>
      </c>
      <c r="H484" s="5" t="n">
        <v>57.5</v>
      </c>
      <c r="I484" s="5" t="n">
        <v>43.2</v>
      </c>
      <c r="J484" s="5" t="n">
        <v>2</v>
      </c>
      <c r="K484" s="5" t="n">
        <f aca="false">ROUND(MIN(MAX((B484*10)*0.2 + (MIN(E484/25*100,100))*0.2 + (MAX(100-F484*5,0))*0.15 + (G484*10)*0.15 + (H484)*0.15 + (I484)*0.15 - (J484*5),0),100),0)</f>
        <v>45</v>
      </c>
    </row>
    <row r="485" customFormat="false" ht="15" hidden="false" customHeight="true" outlineLevel="0" collapsed="false">
      <c r="A485" s="5" t="s">
        <v>1960</v>
      </c>
      <c r="B485" s="5" t="n">
        <v>4.6</v>
      </c>
      <c r="C485" s="5" t="n">
        <v>16</v>
      </c>
      <c r="D485" s="5" t="n">
        <v>3</v>
      </c>
      <c r="E485" s="5" t="n">
        <v>15.7</v>
      </c>
      <c r="F485" s="5" t="n">
        <v>8.4</v>
      </c>
      <c r="G485" s="5" t="n">
        <v>8.6</v>
      </c>
      <c r="H485" s="5" t="n">
        <v>88.5</v>
      </c>
      <c r="I485" s="5" t="n">
        <v>66.2</v>
      </c>
      <c r="J485" s="5" t="n">
        <v>2</v>
      </c>
      <c r="K485" s="5" t="n">
        <f aca="false">ROUND(MIN(MAX((B485*10)*0.2 + (MIN(E485/25*100,100))*0.2 + (MAX(100-F485*5,0))*0.15 + (G485*10)*0.15 + (H485)*0.15 + (I485)*0.15 - (J485*5),0),100),0)</f>
        <v>57</v>
      </c>
    </row>
    <row r="486" customFormat="false" ht="15" hidden="false" customHeight="true" outlineLevel="0" collapsed="false">
      <c r="A486" s="5" t="s">
        <v>1962</v>
      </c>
      <c r="B486" s="5" t="n">
        <v>8</v>
      </c>
      <c r="C486" s="5" t="n">
        <v>3</v>
      </c>
      <c r="D486" s="5" t="n">
        <v>6</v>
      </c>
      <c r="E486" s="5" t="n">
        <v>27.1</v>
      </c>
      <c r="F486" s="5" t="n">
        <v>7.4</v>
      </c>
      <c r="G486" s="5" t="n">
        <v>2.6</v>
      </c>
      <c r="H486" s="5" t="n">
        <v>88.4</v>
      </c>
      <c r="I486" s="5" t="n">
        <v>56.7</v>
      </c>
      <c r="J486" s="5" t="n">
        <v>0</v>
      </c>
      <c r="K486" s="5" t="n">
        <f aca="false">ROUND(MIN(MAX((B486*10)*0.2 + (MIN(E486/25*100,100))*0.2 + (MAX(100-F486*5,0))*0.15 + (G486*10)*0.15 + (H486)*0.15 + (I486)*0.15 - (J486*5),0),100),0)</f>
        <v>71</v>
      </c>
    </row>
    <row r="487" customFormat="false" ht="15" hidden="false" customHeight="true" outlineLevel="0" collapsed="false">
      <c r="A487" s="5" t="s">
        <v>1964</v>
      </c>
      <c r="B487" s="5" t="n">
        <v>2.8</v>
      </c>
      <c r="C487" s="5" t="n">
        <v>9</v>
      </c>
      <c r="D487" s="5" t="n">
        <v>3</v>
      </c>
      <c r="E487" s="5" t="n">
        <v>21.8</v>
      </c>
      <c r="F487" s="5" t="n">
        <v>7.9</v>
      </c>
      <c r="G487" s="5" t="n">
        <v>9</v>
      </c>
      <c r="H487" s="5" t="n">
        <v>63.8</v>
      </c>
      <c r="I487" s="5" t="n">
        <v>76.4</v>
      </c>
      <c r="J487" s="5" t="n">
        <v>2</v>
      </c>
      <c r="K487" s="5" t="n">
        <f aca="false">ROUND(MIN(MAX((B487*10)*0.2 + (MIN(E487/25*100,100))*0.2 + (MAX(100-F487*5,0))*0.15 + (G487*10)*0.15 + (H487)*0.15 + (I487)*0.15 - (J487*5),0),100),0)</f>
        <v>57</v>
      </c>
    </row>
    <row r="488" customFormat="false" ht="15" hidden="false" customHeight="true" outlineLevel="0" collapsed="false">
      <c r="A488" s="5" t="s">
        <v>1966</v>
      </c>
      <c r="B488" s="5" t="n">
        <v>5.1</v>
      </c>
      <c r="C488" s="5" t="n">
        <v>18</v>
      </c>
      <c r="D488" s="5" t="n">
        <v>4</v>
      </c>
      <c r="E488" s="5" t="n">
        <v>15.8</v>
      </c>
      <c r="F488" s="5" t="n">
        <v>6.9</v>
      </c>
      <c r="G488" s="5" t="n">
        <v>7.9</v>
      </c>
      <c r="H488" s="5" t="n">
        <v>31.4</v>
      </c>
      <c r="I488" s="5" t="n">
        <v>51</v>
      </c>
      <c r="J488" s="5" t="n">
        <v>0</v>
      </c>
      <c r="K488" s="5" t="n">
        <f aca="false">ROUND(MIN(MAX((B488*10)*0.2 + (MIN(E488/25*100,100))*0.2 + (MAX(100-F488*5,0))*0.15 + (G488*10)*0.15 + (H488)*0.15 + (I488)*0.15 - (J488*5),0),100),0)</f>
        <v>57</v>
      </c>
    </row>
    <row r="489" customFormat="false" ht="15" hidden="false" customHeight="true" outlineLevel="0" collapsed="false">
      <c r="A489" s="5" t="s">
        <v>1968</v>
      </c>
      <c r="B489" s="5" t="n">
        <v>8.5</v>
      </c>
      <c r="C489" s="5" t="n">
        <v>8</v>
      </c>
      <c r="D489" s="5" t="n">
        <v>10</v>
      </c>
      <c r="E489" s="5" t="n">
        <v>14.1</v>
      </c>
      <c r="F489" s="5" t="n">
        <v>5.8</v>
      </c>
      <c r="G489" s="5" t="n">
        <v>7.2</v>
      </c>
      <c r="H489" s="5" t="n">
        <v>51.2</v>
      </c>
      <c r="I489" s="5" t="n">
        <v>74.4</v>
      </c>
      <c r="J489" s="5" t="n">
        <v>4</v>
      </c>
      <c r="K489" s="5" t="n">
        <f aca="false">ROUND(MIN(MAX((B489*10)*0.2 + (MIN(E489/25*100,100))*0.2 + (MAX(100-F489*5,0))*0.15 + (G489*10)*0.15 + (H489)*0.15 + (I489)*0.15 - (J489*5),0),100),0)</f>
        <v>49</v>
      </c>
    </row>
    <row r="490" customFormat="false" ht="15" hidden="false" customHeight="true" outlineLevel="0" collapsed="false">
      <c r="A490" s="5" t="s">
        <v>1970</v>
      </c>
      <c r="B490" s="5" t="n">
        <v>8.3</v>
      </c>
      <c r="C490" s="5" t="n">
        <v>15</v>
      </c>
      <c r="D490" s="5" t="n">
        <v>14</v>
      </c>
      <c r="E490" s="5" t="n">
        <v>11.2</v>
      </c>
      <c r="F490" s="5" t="n">
        <v>2.8</v>
      </c>
      <c r="G490" s="5" t="n">
        <v>8.3</v>
      </c>
      <c r="H490" s="5" t="n">
        <v>41.2</v>
      </c>
      <c r="I490" s="5" t="n">
        <v>55.1</v>
      </c>
      <c r="J490" s="5" t="n">
        <v>3</v>
      </c>
      <c r="K490" s="5" t="n">
        <f aca="false">ROUND(MIN(MAX((B490*10)*0.2 + (MIN(E490/25*100,100))*0.2 + (MAX(100-F490*5,0))*0.15 + (G490*10)*0.15 + (H490)*0.15 + (I490)*0.15 - (J490*5),0),100),0)</f>
        <v>50</v>
      </c>
    </row>
    <row r="491" customFormat="false" ht="15" hidden="false" customHeight="true" outlineLevel="0" collapsed="false">
      <c r="A491" s="5" t="s">
        <v>1972</v>
      </c>
      <c r="B491" s="5" t="n">
        <v>4.8</v>
      </c>
      <c r="C491" s="5" t="n">
        <v>10</v>
      </c>
      <c r="D491" s="5" t="n">
        <v>1</v>
      </c>
      <c r="E491" s="5" t="n">
        <v>7</v>
      </c>
      <c r="F491" s="5" t="n">
        <v>5</v>
      </c>
      <c r="G491" s="5" t="n">
        <v>9.6</v>
      </c>
      <c r="H491" s="5" t="n">
        <v>70.2</v>
      </c>
      <c r="I491" s="5" t="n">
        <v>49.3</v>
      </c>
      <c r="J491" s="5" t="n">
        <v>4</v>
      </c>
      <c r="K491" s="5" t="n">
        <f aca="false">ROUND(MIN(MAX((B491*10)*0.2 + (MIN(E491/25*100,100))*0.2 + (MAX(100-F491*5,0))*0.15 + (G491*10)*0.15 + (H491)*0.15 + (I491)*0.15 - (J491*5),0),100),0)</f>
        <v>39</v>
      </c>
    </row>
    <row r="492" customFormat="false" ht="15" hidden="false" customHeight="true" outlineLevel="0" collapsed="false">
      <c r="A492" s="5" t="s">
        <v>1974</v>
      </c>
      <c r="B492" s="5" t="n">
        <v>4.1</v>
      </c>
      <c r="C492" s="5" t="n">
        <v>6</v>
      </c>
      <c r="D492" s="5" t="n">
        <v>4</v>
      </c>
      <c r="E492" s="5" t="n">
        <v>7.4</v>
      </c>
      <c r="F492" s="5" t="n">
        <v>2.6</v>
      </c>
      <c r="G492" s="5" t="n">
        <v>10</v>
      </c>
      <c r="H492" s="5" t="n">
        <v>67.3</v>
      </c>
      <c r="I492" s="5" t="n">
        <v>65.6</v>
      </c>
      <c r="J492" s="5" t="n">
        <v>2</v>
      </c>
      <c r="K492" s="5" t="n">
        <f aca="false">ROUND(MIN(MAX((B492*10)*0.2 + (MIN(E492/25*100,100))*0.2 + (MAX(100-F492*5,0))*0.15 + (G492*10)*0.15 + (H492)*0.15 + (I492)*0.15 - (J492*5),0),100),0)</f>
        <v>52</v>
      </c>
    </row>
    <row r="493" customFormat="false" ht="15" hidden="false" customHeight="true" outlineLevel="0" collapsed="false">
      <c r="A493" s="5" t="s">
        <v>1976</v>
      </c>
      <c r="B493" s="5" t="n">
        <v>3.4</v>
      </c>
      <c r="C493" s="5" t="n">
        <v>18</v>
      </c>
      <c r="D493" s="5" t="n">
        <v>1</v>
      </c>
      <c r="E493" s="5" t="n">
        <v>21</v>
      </c>
      <c r="F493" s="5" t="n">
        <v>14.7</v>
      </c>
      <c r="G493" s="5" t="n">
        <v>3.2</v>
      </c>
      <c r="H493" s="5" t="n">
        <v>59.1</v>
      </c>
      <c r="I493" s="5" t="n">
        <v>96.6</v>
      </c>
      <c r="J493" s="5" t="n">
        <v>4</v>
      </c>
      <c r="K493" s="5" t="n">
        <f aca="false">ROUND(MIN(MAX((B493*10)*0.2 + (MIN(E493/25*100,100))*0.2 + (MAX(100-F493*5,0))*0.15 + (G493*10)*0.15 + (H493)*0.15 + (I493)*0.15 - (J493*5),0),100),0)</f>
        <v>36</v>
      </c>
    </row>
    <row r="494" customFormat="false" ht="15" hidden="false" customHeight="true" outlineLevel="0" collapsed="false">
      <c r="A494" s="5" t="s">
        <v>1978</v>
      </c>
      <c r="B494" s="5" t="n">
        <v>4.3</v>
      </c>
      <c r="C494" s="5" t="n">
        <v>1</v>
      </c>
      <c r="D494" s="5" t="n">
        <v>12</v>
      </c>
      <c r="E494" s="5" t="n">
        <v>28.1</v>
      </c>
      <c r="F494" s="5" t="n">
        <v>11.8</v>
      </c>
      <c r="G494" s="5" t="n">
        <v>9.6</v>
      </c>
      <c r="H494" s="5" t="n">
        <v>90.3</v>
      </c>
      <c r="I494" s="5" t="n">
        <v>49.1</v>
      </c>
      <c r="J494" s="5" t="n">
        <v>4</v>
      </c>
      <c r="K494" s="5" t="n">
        <f aca="false">ROUND(MIN(MAX((B494*10)*0.2 + (MIN(E494/25*100,100))*0.2 + (MAX(100-F494*5,0))*0.15 + (G494*10)*0.15 + (H494)*0.15 + (I494)*0.15 - (J494*5),0),100),0)</f>
        <v>50</v>
      </c>
    </row>
    <row r="495" customFormat="false" ht="15" hidden="false" customHeight="true" outlineLevel="0" collapsed="false">
      <c r="A495" s="5" t="s">
        <v>1980</v>
      </c>
      <c r="B495" s="5" t="n">
        <v>9.3</v>
      </c>
      <c r="C495" s="5" t="n">
        <v>11</v>
      </c>
      <c r="D495" s="5" t="n">
        <v>9</v>
      </c>
      <c r="E495" s="5" t="n">
        <v>15.8</v>
      </c>
      <c r="F495" s="5" t="n">
        <v>5.1</v>
      </c>
      <c r="G495" s="5" t="n">
        <v>9.6</v>
      </c>
      <c r="H495" s="5" t="n">
        <v>93.7</v>
      </c>
      <c r="I495" s="5" t="n">
        <v>73.3</v>
      </c>
      <c r="J495" s="5" t="n">
        <v>1</v>
      </c>
      <c r="K495" s="5" t="n">
        <f aca="false">ROUND(MIN(MAX((B495*10)*0.2 + (MIN(E495/25*100,100))*0.2 + (MAX(100-F495*5,0))*0.15 + (G495*10)*0.15 + (H495)*0.15 + (I495)*0.15 - (J495*5),0),100),0)</f>
        <v>77</v>
      </c>
    </row>
    <row r="496" customFormat="false" ht="15" hidden="false" customHeight="true" outlineLevel="0" collapsed="false">
      <c r="A496" s="5" t="s">
        <v>1982</v>
      </c>
      <c r="B496" s="5" t="n">
        <v>8</v>
      </c>
      <c r="C496" s="5" t="n">
        <v>15</v>
      </c>
      <c r="D496" s="5" t="n">
        <v>10</v>
      </c>
      <c r="E496" s="5" t="n">
        <v>21.6</v>
      </c>
      <c r="F496" s="5" t="n">
        <v>11.2</v>
      </c>
      <c r="G496" s="5" t="n">
        <v>9.2</v>
      </c>
      <c r="H496" s="5" t="n">
        <v>39.1</v>
      </c>
      <c r="I496" s="5" t="n">
        <v>72</v>
      </c>
      <c r="J496" s="5" t="n">
        <v>2</v>
      </c>
      <c r="K496" s="5" t="n">
        <f aca="false">ROUND(MIN(MAX((B496*10)*0.2 + (MIN(E496/25*100,100))*0.2 + (MAX(100-F496*5,0))*0.15 + (G496*10)*0.15 + (H496)*0.15 + (I496)*0.15 - (J496*5),0),100),0)</f>
        <v>60</v>
      </c>
    </row>
    <row r="497" customFormat="false" ht="15" hidden="false" customHeight="true" outlineLevel="0" collapsed="false">
      <c r="A497" s="5" t="s">
        <v>1984</v>
      </c>
      <c r="B497" s="5" t="n">
        <v>2.2</v>
      </c>
      <c r="C497" s="5" t="n">
        <v>20</v>
      </c>
      <c r="D497" s="5" t="n">
        <v>7</v>
      </c>
      <c r="E497" s="5" t="n">
        <v>15</v>
      </c>
      <c r="F497" s="5" t="n">
        <v>2.3</v>
      </c>
      <c r="G497" s="5" t="n">
        <v>2.4</v>
      </c>
      <c r="H497" s="5" t="n">
        <v>71.7</v>
      </c>
      <c r="I497" s="5" t="n">
        <v>73.8</v>
      </c>
      <c r="J497" s="5" t="n">
        <v>1</v>
      </c>
      <c r="K497" s="5" t="n">
        <f aca="false">ROUND(MIN(MAX((B497*10)*0.2 + (MIN(E497/25*100,100))*0.2 + (MAX(100-F497*5,0))*0.15 + (G497*10)*0.15 + (H497)*0.15 + (I497)*0.15 - (J497*5),0),100),0)</f>
        <v>50</v>
      </c>
    </row>
    <row r="498" customFormat="false" ht="15" hidden="false" customHeight="true" outlineLevel="0" collapsed="false">
      <c r="A498" s="5" t="s">
        <v>1986</v>
      </c>
      <c r="B498" s="5" t="n">
        <v>7.9</v>
      </c>
      <c r="C498" s="5" t="n">
        <v>9</v>
      </c>
      <c r="D498" s="5" t="n">
        <v>6</v>
      </c>
      <c r="E498" s="5" t="n">
        <v>3.6</v>
      </c>
      <c r="F498" s="5" t="n">
        <v>8.5</v>
      </c>
      <c r="G498" s="5" t="n">
        <v>5.6</v>
      </c>
      <c r="H498" s="5" t="n">
        <v>73.7</v>
      </c>
      <c r="I498" s="5" t="n">
        <v>45.1</v>
      </c>
      <c r="J498" s="5" t="n">
        <v>4</v>
      </c>
      <c r="K498" s="5" t="n">
        <f aca="false">ROUND(MIN(MAX((B498*10)*0.2 + (MIN(E498/25*100,100))*0.2 + (MAX(100-F498*5,0))*0.15 + (G498*10)*0.15 + (H498)*0.15 + (I498)*0.15 - (J498*5),0),100),0)</f>
        <v>34</v>
      </c>
    </row>
    <row r="499" customFormat="false" ht="15" hidden="false" customHeight="true" outlineLevel="0" collapsed="false">
      <c r="A499" s="5" t="s">
        <v>1988</v>
      </c>
      <c r="B499" s="5" t="n">
        <v>5</v>
      </c>
      <c r="C499" s="5" t="n">
        <v>16</v>
      </c>
      <c r="D499" s="5" t="n">
        <v>10</v>
      </c>
      <c r="E499" s="5" t="n">
        <v>19.3</v>
      </c>
      <c r="F499" s="5" t="n">
        <v>8.2</v>
      </c>
      <c r="G499" s="5" t="n">
        <v>2.4</v>
      </c>
      <c r="H499" s="5" t="n">
        <v>73.3</v>
      </c>
      <c r="I499" s="5" t="n">
        <v>63.1</v>
      </c>
      <c r="J499" s="5" t="n">
        <v>3</v>
      </c>
      <c r="K499" s="5" t="n">
        <f aca="false">ROUND(MIN(MAX((B499*10)*0.2 + (MIN(E499/25*100,100))*0.2 + (MAX(100-F499*5,0))*0.15 + (G499*10)*0.15 + (H499)*0.15 + (I499)*0.15 - (J499*5),0),100),0)</f>
        <v>43</v>
      </c>
    </row>
    <row r="500" customFormat="false" ht="15" hidden="false" customHeight="true" outlineLevel="0" collapsed="false">
      <c r="A500" s="5" t="s">
        <v>1990</v>
      </c>
      <c r="B500" s="5" t="n">
        <v>4.8</v>
      </c>
      <c r="C500" s="5" t="n">
        <v>12</v>
      </c>
      <c r="D500" s="5" t="n">
        <v>0</v>
      </c>
      <c r="E500" s="5" t="n">
        <v>10.7</v>
      </c>
      <c r="F500" s="5" t="n">
        <v>5.9</v>
      </c>
      <c r="G500" s="5" t="n">
        <v>9.8</v>
      </c>
      <c r="H500" s="5" t="n">
        <v>86.8</v>
      </c>
      <c r="I500" s="5" t="n">
        <v>45.1</v>
      </c>
      <c r="J500" s="5" t="n">
        <v>3</v>
      </c>
      <c r="K500" s="5" t="n">
        <f aca="false">ROUND(MIN(MAX((B500*10)*0.2 + (MIN(E500/25*100,100))*0.2 + (MAX(100-F500*5,0))*0.15 + (G500*10)*0.15 + (H500)*0.15 + (I500)*0.15 - (J500*5),0),100),0)</f>
        <v>48</v>
      </c>
    </row>
    <row r="501" customFormat="false" ht="15" hidden="false" customHeight="true" outlineLevel="0" collapsed="false">
      <c r="A501" s="5" t="s">
        <v>1992</v>
      </c>
      <c r="B501" s="5" t="n">
        <v>7.6</v>
      </c>
      <c r="C501" s="5" t="n">
        <v>14</v>
      </c>
      <c r="D501" s="5" t="n">
        <v>14</v>
      </c>
      <c r="E501" s="5" t="n">
        <v>10.8</v>
      </c>
      <c r="F501" s="5" t="n">
        <v>12.3</v>
      </c>
      <c r="G501" s="5" t="n">
        <v>9.8</v>
      </c>
      <c r="H501" s="5" t="n">
        <v>57.5</v>
      </c>
      <c r="I501" s="5" t="n">
        <v>92</v>
      </c>
      <c r="J501" s="5" t="n">
        <v>1</v>
      </c>
      <c r="K501" s="5" t="n">
        <f aca="false">ROUND(MIN(MAX((B501*10)*0.2 + (MIN(E501/25*100,100))*0.2 + (MAX(100-F501*5,0))*0.15 + (G501*10)*0.15 + (H501)*0.15 + (I501)*0.15 - (J501*5),0),100),0)</f>
        <v>62</v>
      </c>
    </row>
    <row r="502" customFormat="false" ht="15" hidden="false" customHeight="true" outlineLevel="0" collapsed="false">
      <c r="A502" s="5" t="s">
        <v>1994</v>
      </c>
      <c r="B502" s="5" t="n">
        <v>8.3</v>
      </c>
      <c r="C502" s="5" t="n">
        <v>20</v>
      </c>
      <c r="D502" s="5" t="n">
        <v>2</v>
      </c>
      <c r="E502" s="5" t="n">
        <v>6.9</v>
      </c>
      <c r="F502" s="5" t="n">
        <v>5.2</v>
      </c>
      <c r="G502" s="5" t="n">
        <v>9.9</v>
      </c>
      <c r="H502" s="5" t="n">
        <v>64.1</v>
      </c>
      <c r="I502" s="5" t="n">
        <v>59.5</v>
      </c>
      <c r="J502" s="5" t="n">
        <v>4</v>
      </c>
      <c r="K502" s="5" t="n">
        <f aca="false">ROUND(MIN(MAX((B502*10)*0.2 + (MIN(E502/25*100,100))*0.2 + (MAX(100-F502*5,0))*0.15 + (G502*10)*0.15 + (H502)*0.15 + (I502)*0.15 - (J502*5),0),100),0)</f>
        <v>47</v>
      </c>
    </row>
    <row r="503" customFormat="false" ht="15" hidden="false" customHeight="true" outlineLevel="0" collapsed="false">
      <c r="A503" s="5" t="s">
        <v>1996</v>
      </c>
      <c r="B503" s="5" t="n">
        <v>7.7</v>
      </c>
      <c r="C503" s="5" t="n">
        <v>3</v>
      </c>
      <c r="D503" s="5" t="n">
        <v>0</v>
      </c>
      <c r="E503" s="5" t="n">
        <v>14.1</v>
      </c>
      <c r="F503" s="5" t="n">
        <v>13.8</v>
      </c>
      <c r="G503" s="5" t="n">
        <v>5.3</v>
      </c>
      <c r="H503" s="5" t="n">
        <v>66.1</v>
      </c>
      <c r="I503" s="5" t="n">
        <v>81.2</v>
      </c>
      <c r="J503" s="5" t="n">
        <v>1</v>
      </c>
      <c r="K503" s="5" t="n">
        <f aca="false">ROUND(MIN(MAX((B503*10)*0.2 + (MIN(E503/25*100,100))*0.2 + (MAX(100-F503*5,0))*0.15 + (G503*10)*0.15 + (H503)*0.15 + (I503)*0.15 - (J503*5),0),100),0)</f>
        <v>56</v>
      </c>
    </row>
    <row r="504" customFormat="false" ht="15" hidden="false" customHeight="true" outlineLevel="0" collapsed="false">
      <c r="A504" s="5" t="s">
        <v>1998</v>
      </c>
      <c r="B504" s="5" t="n">
        <v>3.5</v>
      </c>
      <c r="C504" s="5" t="n">
        <v>13</v>
      </c>
      <c r="D504" s="5" t="n">
        <v>9</v>
      </c>
      <c r="E504" s="5" t="n">
        <v>18</v>
      </c>
      <c r="F504" s="5" t="n">
        <v>1.6</v>
      </c>
      <c r="G504" s="5" t="n">
        <v>8.6</v>
      </c>
      <c r="H504" s="5" t="n">
        <v>84.2</v>
      </c>
      <c r="I504" s="5" t="n">
        <v>57.6</v>
      </c>
      <c r="J504" s="5" t="n">
        <v>4</v>
      </c>
      <c r="K504" s="5" t="n">
        <f aca="false">ROUND(MIN(MAX((B504*10)*0.2 + (MIN(E504/25*100,100))*0.2 + (MAX(100-F504*5,0))*0.15 + (G504*10)*0.15 + (H504)*0.15 + (I504)*0.15 - (J504*5),0),100),0)</f>
        <v>49</v>
      </c>
    </row>
    <row r="505" customFormat="false" ht="15" hidden="false" customHeight="true" outlineLevel="0" collapsed="false">
      <c r="A505" s="5" t="s">
        <v>2000</v>
      </c>
      <c r="B505" s="5" t="n">
        <v>7.5</v>
      </c>
      <c r="C505" s="5" t="n">
        <v>8</v>
      </c>
      <c r="D505" s="5" t="n">
        <v>0</v>
      </c>
      <c r="E505" s="5" t="n">
        <v>24.4</v>
      </c>
      <c r="F505" s="5" t="n">
        <v>3.2</v>
      </c>
      <c r="G505" s="5" t="n">
        <v>4.4</v>
      </c>
      <c r="H505" s="5" t="n">
        <v>71.6</v>
      </c>
      <c r="I505" s="5" t="n">
        <v>76.9</v>
      </c>
      <c r="J505" s="5" t="n">
        <v>0</v>
      </c>
      <c r="K505" s="5" t="n">
        <f aca="false">ROUND(MIN(MAX((B505*10)*0.2 + (MIN(E505/25*100,100))*0.2 + (MAX(100-F505*5,0))*0.15 + (G505*10)*0.15 + (H505)*0.15 + (I505)*0.15 - (J505*5),0),100),0)</f>
        <v>76</v>
      </c>
    </row>
    <row r="506" customFormat="false" ht="15" hidden="false" customHeight="true" outlineLevel="0" collapsed="false">
      <c r="A506" s="5" t="s">
        <v>2002</v>
      </c>
      <c r="B506" s="5" t="n">
        <v>6.9</v>
      </c>
      <c r="C506" s="5" t="n">
        <v>10</v>
      </c>
      <c r="D506" s="5" t="n">
        <v>13</v>
      </c>
      <c r="E506" s="5" t="n">
        <v>7.8</v>
      </c>
      <c r="F506" s="5" t="n">
        <v>13.7</v>
      </c>
      <c r="G506" s="5" t="n">
        <v>7.2</v>
      </c>
      <c r="H506" s="5" t="n">
        <v>31.8</v>
      </c>
      <c r="I506" s="5" t="n">
        <v>84.4</v>
      </c>
      <c r="J506" s="5" t="n">
        <v>3</v>
      </c>
      <c r="K506" s="5" t="n">
        <f aca="false">ROUND(MIN(MAX((B506*10)*0.2 + (MIN(E506/25*100,100))*0.2 + (MAX(100-F506*5,0))*0.15 + (G506*10)*0.15 + (H506)*0.15 + (I506)*0.15 - (J506*5),0),100),0)</f>
        <v>38</v>
      </c>
    </row>
    <row r="507" customFormat="false" ht="15" hidden="false" customHeight="true" outlineLevel="0" collapsed="false">
      <c r="A507" s="5" t="s">
        <v>2004</v>
      </c>
      <c r="B507" s="5" t="n">
        <v>9.5</v>
      </c>
      <c r="C507" s="5" t="n">
        <v>3</v>
      </c>
      <c r="D507" s="5" t="n">
        <v>11</v>
      </c>
      <c r="E507" s="5" t="n">
        <v>18.7</v>
      </c>
      <c r="F507" s="5" t="n">
        <v>8.9</v>
      </c>
      <c r="G507" s="5" t="n">
        <v>8.9</v>
      </c>
      <c r="H507" s="5" t="n">
        <v>70.8</v>
      </c>
      <c r="I507" s="5" t="n">
        <v>67.6</v>
      </c>
      <c r="J507" s="5" t="n">
        <v>0</v>
      </c>
      <c r="K507" s="5" t="n">
        <f aca="false">ROUND(MIN(MAX((B507*10)*0.2 + (MIN(E507/25*100,100))*0.2 + (MAX(100-F507*5,0))*0.15 + (G507*10)*0.15 + (H507)*0.15 + (I507)*0.15 - (J507*5),0),100),0)</f>
        <v>76</v>
      </c>
    </row>
    <row r="508" customFormat="false" ht="15" hidden="false" customHeight="true" outlineLevel="0" collapsed="false">
      <c r="A508" s="5" t="s">
        <v>2006</v>
      </c>
      <c r="B508" s="5" t="n">
        <v>4.8</v>
      </c>
      <c r="C508" s="5" t="n">
        <v>19</v>
      </c>
      <c r="D508" s="5" t="n">
        <v>0</v>
      </c>
      <c r="E508" s="5" t="n">
        <v>25.8</v>
      </c>
      <c r="F508" s="5" t="n">
        <v>3.3</v>
      </c>
      <c r="G508" s="5" t="n">
        <v>2.5</v>
      </c>
      <c r="H508" s="5" t="n">
        <v>50.8</v>
      </c>
      <c r="I508" s="5" t="n">
        <v>90.9</v>
      </c>
      <c r="J508" s="5" t="n">
        <v>1</v>
      </c>
      <c r="K508" s="5" t="n">
        <f aca="false">ROUND(MIN(MAX((B508*10)*0.2 + (MIN(E508/25*100,100))*0.2 + (MAX(100-F508*5,0))*0.15 + (G508*10)*0.15 + (H508)*0.15 + (I508)*0.15 - (J508*5),0),100),0)</f>
        <v>62</v>
      </c>
    </row>
    <row r="509" customFormat="false" ht="15" hidden="false" customHeight="true" outlineLevel="0" collapsed="false">
      <c r="A509" s="5" t="s">
        <v>2008</v>
      </c>
      <c r="B509" s="5" t="n">
        <v>4.7</v>
      </c>
      <c r="C509" s="5" t="n">
        <v>2</v>
      </c>
      <c r="D509" s="5" t="n">
        <v>8</v>
      </c>
      <c r="E509" s="5" t="n">
        <v>12.8</v>
      </c>
      <c r="F509" s="5" t="n">
        <v>9.9</v>
      </c>
      <c r="G509" s="5" t="n">
        <v>9.6</v>
      </c>
      <c r="H509" s="5" t="n">
        <v>33.2</v>
      </c>
      <c r="I509" s="5" t="n">
        <v>56.9</v>
      </c>
      <c r="J509" s="5" t="n">
        <v>0</v>
      </c>
      <c r="K509" s="5" t="n">
        <f aca="false">ROUND(MIN(MAX((B509*10)*0.2 + (MIN(E509/25*100,100))*0.2 + (MAX(100-F509*5,0))*0.15 + (G509*10)*0.15 + (H509)*0.15 + (I509)*0.15 - (J509*5),0),100),0)</f>
        <v>55</v>
      </c>
    </row>
    <row r="510" customFormat="false" ht="15" hidden="false" customHeight="true" outlineLevel="0" collapsed="false">
      <c r="A510" s="5" t="s">
        <v>2010</v>
      </c>
      <c r="B510" s="5" t="n">
        <v>5.9</v>
      </c>
      <c r="C510" s="5" t="n">
        <v>6</v>
      </c>
      <c r="D510" s="5" t="n">
        <v>3</v>
      </c>
      <c r="E510" s="5" t="n">
        <v>19.2</v>
      </c>
      <c r="F510" s="5" t="n">
        <v>3.3</v>
      </c>
      <c r="G510" s="5" t="n">
        <v>4.6</v>
      </c>
      <c r="H510" s="5" t="n">
        <v>50.6</v>
      </c>
      <c r="I510" s="5" t="n">
        <v>89</v>
      </c>
      <c r="J510" s="5" t="n">
        <v>2</v>
      </c>
      <c r="K510" s="5" t="n">
        <f aca="false">ROUND(MIN(MAX((B510*10)*0.2 + (MIN(E510/25*100,100))*0.2 + (MAX(100-F510*5,0))*0.15 + (G510*10)*0.15 + (H510)*0.15 + (I510)*0.15 - (J510*5),0),100),0)</f>
        <v>58</v>
      </c>
    </row>
    <row r="511" customFormat="false" ht="15" hidden="false" customHeight="true" outlineLevel="0" collapsed="false">
      <c r="A511" s="5" t="s">
        <v>2012</v>
      </c>
      <c r="B511" s="5" t="n">
        <v>4</v>
      </c>
      <c r="C511" s="5" t="n">
        <v>12</v>
      </c>
      <c r="D511" s="5" t="n">
        <v>3</v>
      </c>
      <c r="E511" s="5" t="n">
        <v>17.4</v>
      </c>
      <c r="F511" s="5" t="n">
        <v>5.9</v>
      </c>
      <c r="G511" s="5" t="n">
        <v>3.1</v>
      </c>
      <c r="H511" s="5" t="n">
        <v>38.9</v>
      </c>
      <c r="I511" s="5" t="n">
        <v>56.3</v>
      </c>
      <c r="J511" s="5" t="n">
        <v>3</v>
      </c>
      <c r="K511" s="5" t="n">
        <f aca="false">ROUND(MIN(MAX((B511*10)*0.2 + (MIN(E511/25*100,100))*0.2 + (MAX(100-F511*5,0))*0.15 + (G511*10)*0.15 + (H511)*0.15 + (I511)*0.15 - (J511*5),0),100),0)</f>
        <v>36</v>
      </c>
    </row>
    <row r="512" customFormat="false" ht="15" hidden="false" customHeight="true" outlineLevel="0" collapsed="false">
      <c r="A512" s="5" t="s">
        <v>2014</v>
      </c>
      <c r="B512" s="5" t="n">
        <v>5.1</v>
      </c>
      <c r="C512" s="5" t="n">
        <v>6</v>
      </c>
      <c r="D512" s="5" t="n">
        <v>3</v>
      </c>
      <c r="E512" s="5" t="n">
        <v>8.9</v>
      </c>
      <c r="F512" s="5" t="n">
        <v>8</v>
      </c>
      <c r="G512" s="5" t="n">
        <v>8.7</v>
      </c>
      <c r="H512" s="5" t="n">
        <v>81.7</v>
      </c>
      <c r="I512" s="5" t="n">
        <v>72.4</v>
      </c>
      <c r="J512" s="5" t="n">
        <v>4</v>
      </c>
      <c r="K512" s="5" t="n">
        <f aca="false">ROUND(MIN(MAX((B512*10)*0.2 + (MIN(E512/25*100,100))*0.2 + (MAX(100-F512*5,0))*0.15 + (G512*10)*0.15 + (H512)*0.15 + (I512)*0.15 - (J512*5),0),100),0)</f>
        <v>42</v>
      </c>
    </row>
    <row r="513" customFormat="false" ht="15" hidden="false" customHeight="true" outlineLevel="0" collapsed="false">
      <c r="A513" s="5" t="s">
        <v>2016</v>
      </c>
      <c r="B513" s="5" t="n">
        <v>8.3</v>
      </c>
      <c r="C513" s="5" t="n">
        <v>18</v>
      </c>
      <c r="D513" s="5" t="n">
        <v>3</v>
      </c>
      <c r="E513" s="5" t="n">
        <v>14.3</v>
      </c>
      <c r="F513" s="5" t="n">
        <v>13.8</v>
      </c>
      <c r="G513" s="5" t="n">
        <v>2.9</v>
      </c>
      <c r="H513" s="5" t="n">
        <v>38.5</v>
      </c>
      <c r="I513" s="5" t="n">
        <v>41</v>
      </c>
      <c r="J513" s="5" t="n">
        <v>2</v>
      </c>
      <c r="K513" s="5" t="n">
        <f aca="false">ROUND(MIN(MAX((B513*10)*0.2 + (MIN(E513/25*100,100))*0.2 + (MAX(100-F513*5,0))*0.15 + (G513*10)*0.15 + (H513)*0.15 + (I513)*0.15 - (J513*5),0),100),0)</f>
        <v>39</v>
      </c>
    </row>
    <row r="514" customFormat="false" ht="15" hidden="false" customHeight="true" outlineLevel="0" collapsed="false">
      <c r="A514" s="5" t="s">
        <v>2018</v>
      </c>
      <c r="B514" s="5" t="n">
        <v>4.3</v>
      </c>
      <c r="C514" s="5" t="n">
        <v>12</v>
      </c>
      <c r="D514" s="5" t="n">
        <v>4</v>
      </c>
      <c r="E514" s="5" t="n">
        <v>25.1</v>
      </c>
      <c r="F514" s="5" t="n">
        <v>13.5</v>
      </c>
      <c r="G514" s="5" t="n">
        <v>6.8</v>
      </c>
      <c r="H514" s="5" t="n">
        <v>79.6</v>
      </c>
      <c r="I514" s="5" t="n">
        <v>59.8</v>
      </c>
      <c r="J514" s="5" t="n">
        <v>2</v>
      </c>
      <c r="K514" s="5" t="n">
        <f aca="false">ROUND(MIN(MAX((B514*10)*0.2 + (MIN(E514/25*100,100))*0.2 + (MAX(100-F514*5,0))*0.15 + (G514*10)*0.15 + (H514)*0.15 + (I514)*0.15 - (J514*5),0),100),0)</f>
        <v>55</v>
      </c>
    </row>
    <row r="515" customFormat="false" ht="15" hidden="false" customHeight="true" outlineLevel="0" collapsed="false">
      <c r="A515" s="5" t="s">
        <v>2020</v>
      </c>
      <c r="B515" s="5" t="n">
        <v>2.2</v>
      </c>
      <c r="C515" s="5" t="n">
        <v>4</v>
      </c>
      <c r="D515" s="5" t="n">
        <v>7</v>
      </c>
      <c r="E515" s="5" t="n">
        <v>6.5</v>
      </c>
      <c r="F515" s="5" t="n">
        <v>10.7</v>
      </c>
      <c r="G515" s="5" t="n">
        <v>7.5</v>
      </c>
      <c r="H515" s="5" t="n">
        <v>50</v>
      </c>
      <c r="I515" s="5" t="n">
        <v>52.2</v>
      </c>
      <c r="J515" s="5" t="n">
        <v>0</v>
      </c>
      <c r="K515" s="5" t="n">
        <f aca="false">ROUND(MIN(MAX((B515*10)*0.2 + (MIN(E515/25*100,100))*0.2 + (MAX(100-F515*5,0))*0.15 + (G515*10)*0.15 + (H515)*0.15 + (I515)*0.15 - (J515*5),0),100),0)</f>
        <v>43</v>
      </c>
    </row>
    <row r="516" customFormat="false" ht="15" hidden="false" customHeight="true" outlineLevel="0" collapsed="false">
      <c r="A516" s="5" t="s">
        <v>2022</v>
      </c>
      <c r="B516" s="5" t="n">
        <v>5.2</v>
      </c>
      <c r="C516" s="5" t="n">
        <v>4</v>
      </c>
      <c r="D516" s="5" t="n">
        <v>2</v>
      </c>
      <c r="E516" s="5" t="n">
        <v>3.5</v>
      </c>
      <c r="F516" s="5" t="n">
        <v>7.8</v>
      </c>
      <c r="G516" s="5" t="n">
        <v>5.4</v>
      </c>
      <c r="H516" s="5" t="n">
        <v>42.8</v>
      </c>
      <c r="I516" s="5" t="n">
        <v>41.9</v>
      </c>
      <c r="J516" s="5" t="n">
        <v>4</v>
      </c>
      <c r="K516" s="5" t="n">
        <f aca="false">ROUND(MIN(MAX((B516*10)*0.2 + (MIN(E516/25*100,100))*0.2 + (MAX(100-F516*5,0))*0.15 + (G516*10)*0.15 + (H516)*0.15 + (I516)*0.15 - (J516*5),0),100),0)</f>
        <v>23</v>
      </c>
    </row>
    <row r="517" customFormat="false" ht="15" hidden="false" customHeight="true" outlineLevel="0" collapsed="false">
      <c r="A517" s="5" t="s">
        <v>2024</v>
      </c>
      <c r="B517" s="5" t="n">
        <v>6.4</v>
      </c>
      <c r="C517" s="5" t="n">
        <v>16</v>
      </c>
      <c r="D517" s="5" t="n">
        <v>3</v>
      </c>
      <c r="E517" s="5" t="n">
        <v>27.5</v>
      </c>
      <c r="F517" s="5" t="n">
        <v>1.6</v>
      </c>
      <c r="G517" s="5" t="n">
        <v>4.4</v>
      </c>
      <c r="H517" s="5" t="n">
        <v>30.7</v>
      </c>
      <c r="I517" s="5" t="n">
        <v>45.6</v>
      </c>
      <c r="J517" s="5" t="n">
        <v>0</v>
      </c>
      <c r="K517" s="5" t="n">
        <f aca="false">ROUND(MIN(MAX((B517*10)*0.2 + (MIN(E517/25*100,100))*0.2 + (MAX(100-F517*5,0))*0.15 + (G517*10)*0.15 + (H517)*0.15 + (I517)*0.15 - (J517*5),0),100),0)</f>
        <v>65</v>
      </c>
    </row>
    <row r="518" customFormat="false" ht="15" hidden="false" customHeight="true" outlineLevel="0" collapsed="false">
      <c r="A518" s="5" t="s">
        <v>2026</v>
      </c>
      <c r="B518" s="5" t="n">
        <v>8.9</v>
      </c>
      <c r="C518" s="5" t="n">
        <v>7</v>
      </c>
      <c r="D518" s="5" t="n">
        <v>6</v>
      </c>
      <c r="E518" s="5" t="n">
        <v>8</v>
      </c>
      <c r="F518" s="5" t="n">
        <v>5.9</v>
      </c>
      <c r="G518" s="5" t="n">
        <v>2.7</v>
      </c>
      <c r="H518" s="5" t="n">
        <v>85</v>
      </c>
      <c r="I518" s="5" t="n">
        <v>94.6</v>
      </c>
      <c r="J518" s="5" t="n">
        <v>4</v>
      </c>
      <c r="K518" s="5" t="n">
        <f aca="false">ROUND(MIN(MAX((B518*10)*0.2 + (MIN(E518/25*100,100))*0.2 + (MAX(100-F518*5,0))*0.15 + (G518*10)*0.15 + (H518)*0.15 + (I518)*0.15 - (J518*5),0),100),0)</f>
        <v>46</v>
      </c>
    </row>
    <row r="519" customFormat="false" ht="15" hidden="false" customHeight="true" outlineLevel="0" collapsed="false">
      <c r="A519" s="5" t="s">
        <v>2028</v>
      </c>
      <c r="B519" s="5" t="n">
        <v>4.6</v>
      </c>
      <c r="C519" s="5" t="n">
        <v>6</v>
      </c>
      <c r="D519" s="5" t="n">
        <v>7</v>
      </c>
      <c r="E519" s="5" t="n">
        <v>16.6</v>
      </c>
      <c r="F519" s="5" t="n">
        <v>2</v>
      </c>
      <c r="G519" s="5" t="n">
        <v>8.6</v>
      </c>
      <c r="H519" s="5" t="n">
        <v>79.6</v>
      </c>
      <c r="I519" s="5" t="n">
        <v>70.7</v>
      </c>
      <c r="J519" s="5" t="n">
        <v>1</v>
      </c>
      <c r="K519" s="5" t="n">
        <f aca="false">ROUND(MIN(MAX((B519*10)*0.2 + (MIN(E519/25*100,100))*0.2 + (MAX(100-F519*5,0))*0.15 + (G519*10)*0.15 + (H519)*0.15 + (I519)*0.15 - (J519*5),0),100),0)</f>
        <v>66</v>
      </c>
    </row>
    <row r="520" customFormat="false" ht="15" hidden="false" customHeight="true" outlineLevel="0" collapsed="false">
      <c r="A520" s="5" t="s">
        <v>2030</v>
      </c>
      <c r="B520" s="5" t="n">
        <v>9.2</v>
      </c>
      <c r="C520" s="5" t="n">
        <v>6</v>
      </c>
      <c r="D520" s="5" t="n">
        <v>0</v>
      </c>
      <c r="E520" s="5" t="n">
        <v>29.3</v>
      </c>
      <c r="F520" s="5" t="n">
        <v>2.4</v>
      </c>
      <c r="G520" s="5" t="n">
        <v>3.7</v>
      </c>
      <c r="H520" s="5" t="n">
        <v>62.8</v>
      </c>
      <c r="I520" s="5" t="n">
        <v>81</v>
      </c>
      <c r="J520" s="5" t="n">
        <v>2</v>
      </c>
      <c r="K520" s="5" t="n">
        <f aca="false">ROUND(MIN(MAX((B520*10)*0.2 + (MIN(E520/25*100,100))*0.2 + (MAX(100-F520*5,0))*0.15 + (G520*10)*0.15 + (H520)*0.15 + (I520)*0.15 - (J520*5),0),100),0)</f>
        <v>69</v>
      </c>
    </row>
    <row r="521" customFormat="false" ht="15" hidden="false" customHeight="true" outlineLevel="0" collapsed="false">
      <c r="A521" s="5" t="s">
        <v>2032</v>
      </c>
      <c r="B521" s="5" t="n">
        <v>7.2</v>
      </c>
      <c r="C521" s="5" t="n">
        <v>6</v>
      </c>
      <c r="D521" s="5" t="n">
        <v>14</v>
      </c>
      <c r="E521" s="5" t="n">
        <v>21.2</v>
      </c>
      <c r="F521" s="5" t="n">
        <v>2.5</v>
      </c>
      <c r="G521" s="5" t="n">
        <v>8.7</v>
      </c>
      <c r="H521" s="5" t="n">
        <v>93.8</v>
      </c>
      <c r="I521" s="5" t="n">
        <v>64.6</v>
      </c>
      <c r="J521" s="5" t="n">
        <v>4</v>
      </c>
      <c r="K521" s="5" t="n">
        <f aca="false">ROUND(MIN(MAX((B521*10)*0.2 + (MIN(E521/25*100,100))*0.2 + (MAX(100-F521*5,0))*0.15 + (G521*10)*0.15 + (H521)*0.15 + (I521)*0.15 - (J521*5),0),100),0)</f>
        <v>61</v>
      </c>
    </row>
    <row r="522" customFormat="false" ht="15" hidden="false" customHeight="true" outlineLevel="0" collapsed="false">
      <c r="A522" s="5" t="s">
        <v>2034</v>
      </c>
      <c r="B522" s="5" t="n">
        <v>3.7</v>
      </c>
      <c r="C522" s="5" t="n">
        <v>4</v>
      </c>
      <c r="D522" s="5" t="n">
        <v>10</v>
      </c>
      <c r="E522" s="5" t="n">
        <v>6.3</v>
      </c>
      <c r="F522" s="5" t="n">
        <v>2.5</v>
      </c>
      <c r="G522" s="5" t="n">
        <v>3.1</v>
      </c>
      <c r="H522" s="5" t="n">
        <v>79.5</v>
      </c>
      <c r="I522" s="5" t="n">
        <v>80.9</v>
      </c>
      <c r="J522" s="5" t="n">
        <v>4</v>
      </c>
      <c r="K522" s="5" t="n">
        <f aca="false">ROUND(MIN(MAX((B522*10)*0.2 + (MIN(E522/25*100,100))*0.2 + (MAX(100-F522*5,0))*0.15 + (G522*10)*0.15 + (H522)*0.15 + (I522)*0.15 - (J522*5),0),100),0)</f>
        <v>34</v>
      </c>
    </row>
    <row r="523" customFormat="false" ht="15" hidden="false" customHeight="true" outlineLevel="0" collapsed="false">
      <c r="A523" s="5" t="s">
        <v>2036</v>
      </c>
      <c r="B523" s="5" t="n">
        <v>7.4</v>
      </c>
      <c r="C523" s="5" t="n">
        <v>3</v>
      </c>
      <c r="D523" s="5" t="n">
        <v>10</v>
      </c>
      <c r="E523" s="5" t="n">
        <v>16.3</v>
      </c>
      <c r="F523" s="5" t="n">
        <v>6.4</v>
      </c>
      <c r="G523" s="5" t="n">
        <v>5.7</v>
      </c>
      <c r="H523" s="5" t="n">
        <v>77.9</v>
      </c>
      <c r="I523" s="5" t="n">
        <v>79.8</v>
      </c>
      <c r="J523" s="5" t="n">
        <v>3</v>
      </c>
      <c r="K523" s="5" t="n">
        <f aca="false">ROUND(MIN(MAX((B523*10)*0.2 + (MIN(E523/25*100,100))*0.2 + (MAX(100-F523*5,0))*0.15 + (G523*10)*0.15 + (H523)*0.15 + (I523)*0.15 - (J523*5),0),100),0)</f>
        <v>55</v>
      </c>
    </row>
    <row r="524" customFormat="false" ht="15" hidden="false" customHeight="true" outlineLevel="0" collapsed="false">
      <c r="A524" s="5" t="s">
        <v>2038</v>
      </c>
      <c r="B524" s="5" t="n">
        <v>3.7</v>
      </c>
      <c r="C524" s="5" t="n">
        <v>14</v>
      </c>
      <c r="D524" s="5" t="n">
        <v>9</v>
      </c>
      <c r="E524" s="5" t="n">
        <v>29.6</v>
      </c>
      <c r="F524" s="5" t="n">
        <v>7</v>
      </c>
      <c r="G524" s="5" t="n">
        <v>8.9</v>
      </c>
      <c r="H524" s="5" t="n">
        <v>88.2</v>
      </c>
      <c r="I524" s="5" t="n">
        <v>86.5</v>
      </c>
      <c r="J524" s="5" t="n">
        <v>2</v>
      </c>
      <c r="K524" s="5" t="n">
        <f aca="false">ROUND(MIN(MAX((B524*10)*0.2 + (MIN(E524/25*100,100))*0.2 + (MAX(100-F524*5,0))*0.15 + (G524*10)*0.15 + (H524)*0.15 + (I524)*0.15 - (J524*5),0),100),0)</f>
        <v>67</v>
      </c>
    </row>
    <row r="525" customFormat="false" ht="15" hidden="false" customHeight="true" outlineLevel="0" collapsed="false">
      <c r="A525" s="5" t="s">
        <v>2040</v>
      </c>
      <c r="B525" s="5" t="n">
        <v>3.3</v>
      </c>
      <c r="C525" s="5" t="n">
        <v>16</v>
      </c>
      <c r="D525" s="5" t="n">
        <v>3</v>
      </c>
      <c r="E525" s="5" t="n">
        <v>13.7</v>
      </c>
      <c r="F525" s="5" t="n">
        <v>8.3</v>
      </c>
      <c r="G525" s="5" t="n">
        <v>7.4</v>
      </c>
      <c r="H525" s="5" t="n">
        <v>37.7</v>
      </c>
      <c r="I525" s="5" t="n">
        <v>62.9</v>
      </c>
      <c r="J525" s="5" t="n">
        <v>4</v>
      </c>
      <c r="K525" s="5" t="n">
        <f aca="false">ROUND(MIN(MAX((B525*10)*0.2 + (MIN(E525/25*100,100))*0.2 + (MAX(100-F525*5,0))*0.15 + (G525*10)*0.15 + (H525)*0.15 + (I525)*0.15 - (J525*5),0),100),0)</f>
        <v>33</v>
      </c>
    </row>
    <row r="526" customFormat="false" ht="15" hidden="false" customHeight="true" outlineLevel="0" collapsed="false">
      <c r="A526" s="5" t="s">
        <v>2042</v>
      </c>
      <c r="B526" s="5" t="n">
        <v>9.3</v>
      </c>
      <c r="C526" s="5" t="n">
        <v>6</v>
      </c>
      <c r="D526" s="5" t="n">
        <v>2</v>
      </c>
      <c r="E526" s="5" t="n">
        <v>12.8</v>
      </c>
      <c r="F526" s="5" t="n">
        <v>3.8</v>
      </c>
      <c r="G526" s="5" t="n">
        <v>3.6</v>
      </c>
      <c r="H526" s="5" t="n">
        <v>84.9</v>
      </c>
      <c r="I526" s="5" t="n">
        <v>63.4</v>
      </c>
      <c r="J526" s="5" t="n">
        <v>1</v>
      </c>
      <c r="K526" s="5" t="n">
        <f aca="false">ROUND(MIN(MAX((B526*10)*0.2 + (MIN(E526/25*100,100))*0.2 + (MAX(100-F526*5,0))*0.15 + (G526*10)*0.15 + (H526)*0.15 + (I526)*0.15 - (J526*5),0),100),0)</f>
        <v>64</v>
      </c>
    </row>
    <row r="527" customFormat="false" ht="15" hidden="false" customHeight="true" outlineLevel="0" collapsed="false">
      <c r="A527" s="5" t="s">
        <v>2044</v>
      </c>
      <c r="B527" s="5" t="n">
        <v>8.3</v>
      </c>
      <c r="C527" s="5" t="n">
        <v>16</v>
      </c>
      <c r="D527" s="5" t="n">
        <v>8</v>
      </c>
      <c r="E527" s="5" t="n">
        <v>23.7</v>
      </c>
      <c r="F527" s="5" t="n">
        <v>11.7</v>
      </c>
      <c r="G527" s="5" t="n">
        <v>6.7</v>
      </c>
      <c r="H527" s="5" t="n">
        <v>79.2</v>
      </c>
      <c r="I527" s="5" t="n">
        <v>86.5</v>
      </c>
      <c r="J527" s="5" t="n">
        <v>3</v>
      </c>
      <c r="K527" s="5" t="n">
        <f aca="false">ROUND(MIN(MAX((B527*10)*0.2 + (MIN(E527/25*100,100))*0.2 + (MAX(100-F527*5,0))*0.15 + (G527*10)*0.15 + (H527)*0.15 + (I527)*0.15 - (J527*5),0),100),0)</f>
        <v>62</v>
      </c>
    </row>
    <row r="528" customFormat="false" ht="15" hidden="false" customHeight="true" outlineLevel="0" collapsed="false">
      <c r="A528" s="5" t="s">
        <v>2046</v>
      </c>
      <c r="B528" s="5" t="n">
        <v>4.7</v>
      </c>
      <c r="C528" s="5" t="n">
        <v>20</v>
      </c>
      <c r="D528" s="5" t="n">
        <v>12</v>
      </c>
      <c r="E528" s="5" t="n">
        <v>29.7</v>
      </c>
      <c r="F528" s="5" t="n">
        <v>8.2</v>
      </c>
      <c r="G528" s="5" t="n">
        <v>3.2</v>
      </c>
      <c r="H528" s="5" t="n">
        <v>59.6</v>
      </c>
      <c r="I528" s="5" t="n">
        <v>47.1</v>
      </c>
      <c r="J528" s="5" t="n">
        <v>3</v>
      </c>
      <c r="K528" s="5" t="n">
        <f aca="false">ROUND(MIN(MAX((B528*10)*0.2 + (MIN(E528/25*100,100))*0.2 + (MAX(100-F528*5,0))*0.15 + (G528*10)*0.15 + (H528)*0.15 + (I528)*0.15 - (J528*5),0),100),0)</f>
        <v>44</v>
      </c>
    </row>
    <row r="529" customFormat="false" ht="15" hidden="false" customHeight="true" outlineLevel="0" collapsed="false">
      <c r="A529" s="5" t="s">
        <v>2048</v>
      </c>
      <c r="B529" s="5" t="n">
        <v>5.7</v>
      </c>
      <c r="C529" s="5" t="n">
        <v>5</v>
      </c>
      <c r="D529" s="5" t="n">
        <v>0</v>
      </c>
      <c r="E529" s="5" t="n">
        <v>5.7</v>
      </c>
      <c r="F529" s="5" t="n">
        <v>1.7</v>
      </c>
      <c r="G529" s="5" t="n">
        <v>2.5</v>
      </c>
      <c r="H529" s="5" t="n">
        <v>74.1</v>
      </c>
      <c r="I529" s="5" t="n">
        <v>96.4</v>
      </c>
      <c r="J529" s="5" t="n">
        <v>3</v>
      </c>
      <c r="K529" s="5" t="n">
        <f aca="false">ROUND(MIN(MAX((B529*10)*0.2 + (MIN(E529/25*100,100))*0.2 + (MAX(100-F529*5,0))*0.15 + (G529*10)*0.15 + (H529)*0.15 + (I529)*0.15 - (J529*5),0),100),0)</f>
        <v>44</v>
      </c>
    </row>
    <row r="530" customFormat="false" ht="15" hidden="false" customHeight="true" outlineLevel="0" collapsed="false">
      <c r="A530" s="5" t="s">
        <v>2050</v>
      </c>
      <c r="B530" s="5" t="n">
        <v>6.5</v>
      </c>
      <c r="C530" s="5" t="n">
        <v>11</v>
      </c>
      <c r="D530" s="5" t="n">
        <v>4</v>
      </c>
      <c r="E530" s="5" t="n">
        <v>11.2</v>
      </c>
      <c r="F530" s="5" t="n">
        <v>9.7</v>
      </c>
      <c r="G530" s="5" t="n">
        <v>8.1</v>
      </c>
      <c r="H530" s="5" t="n">
        <v>73</v>
      </c>
      <c r="I530" s="5" t="n">
        <v>70.2</v>
      </c>
      <c r="J530" s="5" t="n">
        <v>3</v>
      </c>
      <c r="K530" s="5" t="n">
        <f aca="false">ROUND(MIN(MAX((B530*10)*0.2 + (MIN(E530/25*100,100))*0.2 + (MAX(100-F530*5,0))*0.15 + (G530*10)*0.15 + (H530)*0.15 + (I530)*0.15 - (J530*5),0),100),0)</f>
        <v>48</v>
      </c>
    </row>
    <row r="531" customFormat="false" ht="15" hidden="false" customHeight="true" outlineLevel="0" collapsed="false">
      <c r="A531" s="5" t="s">
        <v>2052</v>
      </c>
      <c r="B531" s="5" t="n">
        <v>7.9</v>
      </c>
      <c r="C531" s="5" t="n">
        <v>7</v>
      </c>
      <c r="D531" s="5" t="n">
        <v>9</v>
      </c>
      <c r="E531" s="5" t="n">
        <v>20.9</v>
      </c>
      <c r="F531" s="5" t="n">
        <v>7.9</v>
      </c>
      <c r="G531" s="5" t="n">
        <v>4.1</v>
      </c>
      <c r="H531" s="5" t="n">
        <v>52.3</v>
      </c>
      <c r="I531" s="5" t="n">
        <v>89.9</v>
      </c>
      <c r="J531" s="5" t="n">
        <v>4</v>
      </c>
      <c r="K531" s="5" t="n">
        <f aca="false">ROUND(MIN(MAX((B531*10)*0.2 + (MIN(E531/25*100,100))*0.2 + (MAX(100-F531*5,0))*0.15 + (G531*10)*0.15 + (H531)*0.15 + (I531)*0.15 - (J531*5),0),100),0)</f>
        <v>49</v>
      </c>
    </row>
    <row r="532" customFormat="false" ht="15" hidden="false" customHeight="true" outlineLevel="0" collapsed="false">
      <c r="A532" s="5" t="s">
        <v>2054</v>
      </c>
      <c r="B532" s="5" t="n">
        <v>2.1</v>
      </c>
      <c r="C532" s="5" t="n">
        <v>2</v>
      </c>
      <c r="D532" s="5" t="n">
        <v>13</v>
      </c>
      <c r="E532" s="5" t="n">
        <v>26.8</v>
      </c>
      <c r="F532" s="5" t="n">
        <v>2.7</v>
      </c>
      <c r="G532" s="5" t="n">
        <v>5.6</v>
      </c>
      <c r="H532" s="5" t="n">
        <v>85.4</v>
      </c>
      <c r="I532" s="5" t="n">
        <v>65.7</v>
      </c>
      <c r="J532" s="5" t="n">
        <v>0</v>
      </c>
      <c r="K532" s="5" t="n">
        <f aca="false">ROUND(MIN(MAX((B532*10)*0.2 + (MIN(E532/25*100,100))*0.2 + (MAX(100-F532*5,0))*0.15 + (G532*10)*0.15 + (H532)*0.15 + (I532)*0.15 - (J532*5),0),100),0)</f>
        <v>68</v>
      </c>
    </row>
    <row r="533" customFormat="false" ht="15" hidden="false" customHeight="true" outlineLevel="0" collapsed="false">
      <c r="A533" s="5" t="s">
        <v>2056</v>
      </c>
      <c r="B533" s="5" t="n">
        <v>2.2</v>
      </c>
      <c r="C533" s="5" t="n">
        <v>18</v>
      </c>
      <c r="D533" s="5" t="n">
        <v>9</v>
      </c>
      <c r="E533" s="5" t="n">
        <v>26.9</v>
      </c>
      <c r="F533" s="5" t="n">
        <v>3.3</v>
      </c>
      <c r="G533" s="5" t="n">
        <v>5.4</v>
      </c>
      <c r="H533" s="5" t="n">
        <v>50.3</v>
      </c>
      <c r="I533" s="5" t="n">
        <v>62.6</v>
      </c>
      <c r="J533" s="5" t="n">
        <v>0</v>
      </c>
      <c r="K533" s="5" t="n">
        <f aca="false">ROUND(MIN(MAX((B533*10)*0.2 + (MIN(E533/25*100,100))*0.2 + (MAX(100-F533*5,0))*0.15 + (G533*10)*0.15 + (H533)*0.15 + (I533)*0.15 - (J533*5),0),100),0)</f>
        <v>62</v>
      </c>
    </row>
    <row r="534" customFormat="false" ht="15" hidden="false" customHeight="true" outlineLevel="0" collapsed="false">
      <c r="A534" s="5" t="s">
        <v>2058</v>
      </c>
      <c r="B534" s="5" t="n">
        <v>6.3</v>
      </c>
      <c r="C534" s="5" t="n">
        <v>16</v>
      </c>
      <c r="D534" s="5" t="n">
        <v>15</v>
      </c>
      <c r="E534" s="5" t="n">
        <v>15.8</v>
      </c>
      <c r="F534" s="5" t="n">
        <v>13</v>
      </c>
      <c r="G534" s="5" t="n">
        <v>6.1</v>
      </c>
      <c r="H534" s="5" t="n">
        <v>55.4</v>
      </c>
      <c r="I534" s="5" t="n">
        <v>68.7</v>
      </c>
      <c r="J534" s="5" t="n">
        <v>3</v>
      </c>
      <c r="K534" s="5" t="n">
        <f aca="false">ROUND(MIN(MAX((B534*10)*0.2 + (MIN(E534/25*100,100))*0.2 + (MAX(100-F534*5,0))*0.15 + (G534*10)*0.15 + (H534)*0.15 + (I534)*0.15 - (J534*5),0),100),0)</f>
        <v>43</v>
      </c>
    </row>
    <row r="535" customFormat="false" ht="15" hidden="false" customHeight="true" outlineLevel="0" collapsed="false">
      <c r="A535" s="5" t="s">
        <v>2060</v>
      </c>
      <c r="B535" s="5" t="n">
        <v>6.6</v>
      </c>
      <c r="C535" s="5" t="n">
        <v>12</v>
      </c>
      <c r="D535" s="5" t="n">
        <v>9</v>
      </c>
      <c r="E535" s="5" t="n">
        <v>11.7</v>
      </c>
      <c r="F535" s="5" t="n">
        <v>1.4</v>
      </c>
      <c r="G535" s="5" t="n">
        <v>2.4</v>
      </c>
      <c r="H535" s="5" t="n">
        <v>84.4</v>
      </c>
      <c r="I535" s="5" t="n">
        <v>60.2</v>
      </c>
      <c r="J535" s="5" t="n">
        <v>4</v>
      </c>
      <c r="K535" s="5" t="n">
        <f aca="false">ROUND(MIN(MAX((B535*10)*0.2 + (MIN(E535/25*100,100))*0.2 + (MAX(100-F535*5,0))*0.15 + (G535*10)*0.15 + (H535)*0.15 + (I535)*0.15 - (J535*5),0),100),0)</f>
        <v>42</v>
      </c>
    </row>
    <row r="536" customFormat="false" ht="15" hidden="false" customHeight="true" outlineLevel="0" collapsed="false">
      <c r="A536" s="5" t="s">
        <v>2062</v>
      </c>
      <c r="B536" s="5" t="n">
        <v>2.2</v>
      </c>
      <c r="C536" s="5" t="n">
        <v>11</v>
      </c>
      <c r="D536" s="5" t="n">
        <v>12</v>
      </c>
      <c r="E536" s="5" t="n">
        <v>5.6</v>
      </c>
      <c r="F536" s="5" t="n">
        <v>5.8</v>
      </c>
      <c r="G536" s="5" t="n">
        <v>4.9</v>
      </c>
      <c r="H536" s="5" t="n">
        <v>52.8</v>
      </c>
      <c r="I536" s="5" t="n">
        <v>78.4</v>
      </c>
      <c r="J536" s="5" t="n">
        <v>1</v>
      </c>
      <c r="K536" s="5" t="n">
        <f aca="false">ROUND(MIN(MAX((B536*10)*0.2 + (MIN(E536/25*100,100))*0.2 + (MAX(100-F536*5,0))*0.15 + (G536*10)*0.15 + (H536)*0.15 + (I536)*0.15 - (J536*5),0),100),0)</f>
        <v>42</v>
      </c>
    </row>
    <row r="537" customFormat="false" ht="15" hidden="false" customHeight="true" outlineLevel="0" collapsed="false">
      <c r="A537" s="5" t="s">
        <v>2064</v>
      </c>
      <c r="B537" s="5" t="n">
        <v>3.8</v>
      </c>
      <c r="C537" s="5" t="n">
        <v>10</v>
      </c>
      <c r="D537" s="5" t="n">
        <v>2</v>
      </c>
      <c r="E537" s="5" t="n">
        <v>27.6</v>
      </c>
      <c r="F537" s="5" t="n">
        <v>1.9</v>
      </c>
      <c r="G537" s="5" t="n">
        <v>4.4</v>
      </c>
      <c r="H537" s="5" t="n">
        <v>51.9</v>
      </c>
      <c r="I537" s="5" t="n">
        <v>41.1</v>
      </c>
      <c r="J537" s="5" t="n">
        <v>2</v>
      </c>
      <c r="K537" s="5" t="n">
        <f aca="false">ROUND(MIN(MAX((B537*10)*0.2 + (MIN(E537/25*100,100))*0.2 + (MAX(100-F537*5,0))*0.15 + (G537*10)*0.15 + (H537)*0.15 + (I537)*0.15 - (J537*5),0),100),0)</f>
        <v>52</v>
      </c>
    </row>
    <row r="538" customFormat="false" ht="15" hidden="false" customHeight="true" outlineLevel="0" collapsed="false">
      <c r="A538" s="5" t="s">
        <v>2066</v>
      </c>
      <c r="B538" s="5" t="n">
        <v>2.3</v>
      </c>
      <c r="C538" s="5" t="n">
        <v>14</v>
      </c>
      <c r="D538" s="5" t="n">
        <v>13</v>
      </c>
      <c r="E538" s="5" t="n">
        <v>10.2</v>
      </c>
      <c r="F538" s="5" t="n">
        <v>10.7</v>
      </c>
      <c r="G538" s="5" t="n">
        <v>6.7</v>
      </c>
      <c r="H538" s="5" t="n">
        <v>94.1</v>
      </c>
      <c r="I538" s="5" t="n">
        <v>61.9</v>
      </c>
      <c r="J538" s="5" t="n">
        <v>3</v>
      </c>
      <c r="K538" s="5" t="n">
        <f aca="false">ROUND(MIN(MAX((B538*10)*0.2 + (MIN(E538/25*100,100))*0.2 + (MAX(100-F538*5,0))*0.15 + (G538*10)*0.15 + (H538)*0.15 + (I538)*0.15 - (J538*5),0),100),0)</f>
        <v>38</v>
      </c>
    </row>
    <row r="539" customFormat="false" ht="15" hidden="false" customHeight="true" outlineLevel="0" collapsed="false">
      <c r="A539" s="5" t="s">
        <v>2068</v>
      </c>
      <c r="B539" s="5" t="n">
        <v>4.4</v>
      </c>
      <c r="C539" s="5" t="n">
        <v>4</v>
      </c>
      <c r="D539" s="5" t="n">
        <v>15</v>
      </c>
      <c r="E539" s="5" t="n">
        <v>5.7</v>
      </c>
      <c r="F539" s="5" t="n">
        <v>10.5</v>
      </c>
      <c r="G539" s="5" t="n">
        <v>4.7</v>
      </c>
      <c r="H539" s="5" t="n">
        <v>62.7</v>
      </c>
      <c r="I539" s="5" t="n">
        <v>84.4</v>
      </c>
      <c r="J539" s="5" t="n">
        <v>2</v>
      </c>
      <c r="K539" s="5" t="n">
        <f aca="false">ROUND(MIN(MAX((B539*10)*0.2 + (MIN(E539/25*100,100))*0.2 + (MAX(100-F539*5,0))*0.15 + (G539*10)*0.15 + (H539)*0.15 + (I539)*0.15 - (J539*5),0),100),0)</f>
        <v>40</v>
      </c>
    </row>
    <row r="540" customFormat="false" ht="15" hidden="false" customHeight="true" outlineLevel="0" collapsed="false">
      <c r="A540" s="5" t="s">
        <v>2070</v>
      </c>
      <c r="B540" s="5" t="n">
        <v>3.2</v>
      </c>
      <c r="C540" s="5" t="n">
        <v>10</v>
      </c>
      <c r="D540" s="5" t="n">
        <v>11</v>
      </c>
      <c r="E540" s="5" t="n">
        <v>29.2</v>
      </c>
      <c r="F540" s="5" t="n">
        <v>3.8</v>
      </c>
      <c r="G540" s="5" t="n">
        <v>7.1</v>
      </c>
      <c r="H540" s="5" t="n">
        <v>93.3</v>
      </c>
      <c r="I540" s="5" t="n">
        <v>44.4</v>
      </c>
      <c r="J540" s="5" t="n">
        <v>4</v>
      </c>
      <c r="K540" s="5" t="n">
        <f aca="false">ROUND(MIN(MAX((B540*10)*0.2 + (MIN(E540/25*100,100))*0.2 + (MAX(100-F540*5,0))*0.15 + (G540*10)*0.15 + (H540)*0.15 + (I540)*0.15 - (J540*5),0),100),0)</f>
        <v>50</v>
      </c>
    </row>
    <row r="541" customFormat="false" ht="15" hidden="false" customHeight="true" outlineLevel="0" collapsed="false">
      <c r="A541" s="5" t="s">
        <v>2072</v>
      </c>
      <c r="B541" s="5" t="n">
        <v>3.6</v>
      </c>
      <c r="C541" s="5" t="n">
        <v>9</v>
      </c>
      <c r="D541" s="5" t="n">
        <v>1</v>
      </c>
      <c r="E541" s="5" t="n">
        <v>11</v>
      </c>
      <c r="F541" s="5" t="n">
        <v>9</v>
      </c>
      <c r="G541" s="5" t="n">
        <v>8.4</v>
      </c>
      <c r="H541" s="5" t="n">
        <v>70.6</v>
      </c>
      <c r="I541" s="5" t="n">
        <v>95.6</v>
      </c>
      <c r="J541" s="5" t="n">
        <v>4</v>
      </c>
      <c r="K541" s="5" t="n">
        <f aca="false">ROUND(MIN(MAX((B541*10)*0.2 + (MIN(E541/25*100,100))*0.2 + (MAX(100-F541*5,0))*0.15 + (G541*10)*0.15 + (H541)*0.15 + (I541)*0.15 - (J541*5),0),100),0)</f>
        <v>42</v>
      </c>
    </row>
    <row r="542" customFormat="false" ht="15" hidden="false" customHeight="true" outlineLevel="0" collapsed="false">
      <c r="A542" s="5" t="s">
        <v>2074</v>
      </c>
      <c r="B542" s="5" t="n">
        <v>2.7</v>
      </c>
      <c r="C542" s="5" t="n">
        <v>11</v>
      </c>
      <c r="D542" s="5" t="n">
        <v>8</v>
      </c>
      <c r="E542" s="5" t="n">
        <v>4.8</v>
      </c>
      <c r="F542" s="5" t="n">
        <v>12.2</v>
      </c>
      <c r="G542" s="5" t="n">
        <v>5.8</v>
      </c>
      <c r="H542" s="5" t="n">
        <v>43.6</v>
      </c>
      <c r="I542" s="5" t="n">
        <v>86.1</v>
      </c>
      <c r="J542" s="5" t="n">
        <v>2</v>
      </c>
      <c r="K542" s="5" t="n">
        <f aca="false">ROUND(MIN(MAX((B542*10)*0.2 + (MIN(E542/25*100,100))*0.2 + (MAX(100-F542*5,0))*0.15 + (G542*10)*0.15 + (H542)*0.15 + (I542)*0.15 - (J542*5),0),100),0)</f>
        <v>33</v>
      </c>
    </row>
    <row r="543" customFormat="false" ht="15" hidden="false" customHeight="true" outlineLevel="0" collapsed="false">
      <c r="A543" s="5" t="s">
        <v>2076</v>
      </c>
      <c r="B543" s="5" t="n">
        <v>5.8</v>
      </c>
      <c r="C543" s="5" t="n">
        <v>10</v>
      </c>
      <c r="D543" s="5" t="n">
        <v>13</v>
      </c>
      <c r="E543" s="5" t="n">
        <v>20.9</v>
      </c>
      <c r="F543" s="5" t="n">
        <v>5.4</v>
      </c>
      <c r="G543" s="5" t="n">
        <v>5.3</v>
      </c>
      <c r="H543" s="5" t="n">
        <v>46.3</v>
      </c>
      <c r="I543" s="5" t="n">
        <v>69.9</v>
      </c>
      <c r="J543" s="5" t="n">
        <v>4</v>
      </c>
      <c r="K543" s="5" t="n">
        <f aca="false">ROUND(MIN(MAX((B543*10)*0.2 + (MIN(E543/25*100,100))*0.2 + (MAX(100-F543*5,0))*0.15 + (G543*10)*0.15 + (H543)*0.15 + (I543)*0.15 - (J543*5),0),100),0)</f>
        <v>45</v>
      </c>
    </row>
    <row r="544" customFormat="false" ht="15" hidden="false" customHeight="true" outlineLevel="0" collapsed="false">
      <c r="A544" s="5" t="s">
        <v>2078</v>
      </c>
      <c r="B544" s="5" t="n">
        <v>3.4</v>
      </c>
      <c r="C544" s="5" t="n">
        <v>1</v>
      </c>
      <c r="D544" s="5" t="n">
        <v>5</v>
      </c>
      <c r="E544" s="5" t="n">
        <v>18.6</v>
      </c>
      <c r="F544" s="5" t="n">
        <v>4</v>
      </c>
      <c r="G544" s="5" t="n">
        <v>9.7</v>
      </c>
      <c r="H544" s="5" t="n">
        <v>78.2</v>
      </c>
      <c r="I544" s="5" t="n">
        <v>67.1</v>
      </c>
      <c r="J544" s="5" t="n">
        <v>4</v>
      </c>
      <c r="K544" s="5" t="n">
        <f aca="false">ROUND(MIN(MAX((B544*10)*0.2 + (MIN(E544/25*100,100))*0.2 + (MAX(100-F544*5,0))*0.15 + (G544*10)*0.15 + (H544)*0.15 + (I544)*0.15 - (J544*5),0),100),0)</f>
        <v>50</v>
      </c>
    </row>
    <row r="545" customFormat="false" ht="15" hidden="false" customHeight="true" outlineLevel="0" collapsed="false">
      <c r="A545" s="5" t="s">
        <v>2080</v>
      </c>
      <c r="B545" s="5" t="n">
        <v>8.1</v>
      </c>
      <c r="C545" s="5" t="n">
        <v>14</v>
      </c>
      <c r="D545" s="5" t="n">
        <v>1</v>
      </c>
      <c r="E545" s="5" t="n">
        <v>17.1</v>
      </c>
      <c r="F545" s="5" t="n">
        <v>6.1</v>
      </c>
      <c r="G545" s="5" t="n">
        <v>3.2</v>
      </c>
      <c r="H545" s="5" t="n">
        <v>39.8</v>
      </c>
      <c r="I545" s="5" t="n">
        <v>79.7</v>
      </c>
      <c r="J545" s="5" t="n">
        <v>2</v>
      </c>
      <c r="K545" s="5" t="n">
        <f aca="false">ROUND(MIN(MAX((B545*10)*0.2 + (MIN(E545/25*100,100))*0.2 + (MAX(100-F545*5,0))*0.15 + (G545*10)*0.15 + (H545)*0.15 + (I545)*0.15 - (J545*5),0),100),0)</f>
        <v>53</v>
      </c>
    </row>
    <row r="546" customFormat="false" ht="15" hidden="false" customHeight="true" outlineLevel="0" collapsed="false">
      <c r="A546" s="5" t="s">
        <v>2082</v>
      </c>
      <c r="B546" s="5" t="n">
        <v>8.3</v>
      </c>
      <c r="C546" s="5" t="n">
        <v>14</v>
      </c>
      <c r="D546" s="5" t="n">
        <v>10</v>
      </c>
      <c r="E546" s="5" t="n">
        <v>26.2</v>
      </c>
      <c r="F546" s="5" t="n">
        <v>13.8</v>
      </c>
      <c r="G546" s="5" t="n">
        <v>7.1</v>
      </c>
      <c r="H546" s="5" t="n">
        <v>85</v>
      </c>
      <c r="I546" s="5" t="n">
        <v>55.5</v>
      </c>
      <c r="J546" s="5" t="n">
        <v>2</v>
      </c>
      <c r="K546" s="5" t="n">
        <f aca="false">ROUND(MIN(MAX((B546*10)*0.2 + (MIN(E546/25*100,100))*0.2 + (MAX(100-F546*5,0))*0.15 + (G546*10)*0.15 + (H546)*0.15 + (I546)*0.15 - (J546*5),0),100),0)</f>
        <v>63</v>
      </c>
    </row>
    <row r="547" customFormat="false" ht="15" hidden="false" customHeight="true" outlineLevel="0" collapsed="false">
      <c r="A547" s="5" t="s">
        <v>2084</v>
      </c>
      <c r="B547" s="5" t="n">
        <v>6.8</v>
      </c>
      <c r="C547" s="5" t="n">
        <v>9</v>
      </c>
      <c r="D547" s="5" t="n">
        <v>7</v>
      </c>
      <c r="E547" s="5" t="n">
        <v>14</v>
      </c>
      <c r="F547" s="5" t="n">
        <v>2.6</v>
      </c>
      <c r="G547" s="5" t="n">
        <v>3.5</v>
      </c>
      <c r="H547" s="5" t="n">
        <v>46</v>
      </c>
      <c r="I547" s="5" t="n">
        <v>88</v>
      </c>
      <c r="J547" s="5" t="n">
        <v>3</v>
      </c>
      <c r="K547" s="5" t="n">
        <f aca="false">ROUND(MIN(MAX((B547*10)*0.2 + (MIN(E547/25*100,100))*0.2 + (MAX(100-F547*5,0))*0.15 + (G547*10)*0.15 + (H547)*0.15 + (I547)*0.15 - (J547*5),0),100),0)</f>
        <v>48</v>
      </c>
    </row>
    <row r="548" customFormat="false" ht="15" hidden="false" customHeight="true" outlineLevel="0" collapsed="false">
      <c r="A548" s="5" t="s">
        <v>2086</v>
      </c>
      <c r="B548" s="5" t="n">
        <v>5.6</v>
      </c>
      <c r="C548" s="5" t="n">
        <v>14</v>
      </c>
      <c r="D548" s="5" t="n">
        <v>13</v>
      </c>
      <c r="E548" s="5" t="n">
        <v>20.5</v>
      </c>
      <c r="F548" s="5" t="n">
        <v>1.5</v>
      </c>
      <c r="G548" s="5" t="n">
        <v>3.3</v>
      </c>
      <c r="H548" s="5" t="n">
        <v>38.9</v>
      </c>
      <c r="I548" s="5" t="n">
        <v>55</v>
      </c>
      <c r="J548" s="5" t="n">
        <v>2</v>
      </c>
      <c r="K548" s="5" t="n">
        <f aca="false">ROUND(MIN(MAX((B548*10)*0.2 + (MIN(E548/25*100,100))*0.2 + (MAX(100-F548*5,0))*0.15 + (G548*10)*0.15 + (H548)*0.15 + (I548)*0.15 - (J548*5),0),100),0)</f>
        <v>51</v>
      </c>
    </row>
    <row r="549" customFormat="false" ht="15" hidden="false" customHeight="true" outlineLevel="0" collapsed="false">
      <c r="A549" s="5" t="s">
        <v>2088</v>
      </c>
      <c r="B549" s="5" t="n">
        <v>6.9</v>
      </c>
      <c r="C549" s="5" t="n">
        <v>6</v>
      </c>
      <c r="D549" s="5" t="n">
        <v>1</v>
      </c>
      <c r="E549" s="5" t="n">
        <v>29</v>
      </c>
      <c r="F549" s="5" t="n">
        <v>7.8</v>
      </c>
      <c r="G549" s="5" t="n">
        <v>2.2</v>
      </c>
      <c r="H549" s="5" t="n">
        <v>85.9</v>
      </c>
      <c r="I549" s="5" t="n">
        <v>44.9</v>
      </c>
      <c r="J549" s="5" t="n">
        <v>4</v>
      </c>
      <c r="K549" s="5" t="n">
        <f aca="false">ROUND(MIN(MAX((B549*10)*0.2 + (MIN(E549/25*100,100))*0.2 + (MAX(100-F549*5,0))*0.15 + (G549*10)*0.15 + (H549)*0.15 + (I549)*0.15 - (J549*5),0),100),0)</f>
        <v>46</v>
      </c>
    </row>
    <row r="550" customFormat="false" ht="15" hidden="false" customHeight="true" outlineLevel="0" collapsed="false">
      <c r="A550" s="5" t="s">
        <v>2090</v>
      </c>
      <c r="B550" s="5" t="n">
        <v>4.2</v>
      </c>
      <c r="C550" s="5" t="n">
        <v>3</v>
      </c>
      <c r="D550" s="5" t="n">
        <v>13</v>
      </c>
      <c r="E550" s="5" t="n">
        <v>27.2</v>
      </c>
      <c r="F550" s="5" t="n">
        <v>10.4</v>
      </c>
      <c r="G550" s="5" t="n">
        <v>9.1</v>
      </c>
      <c r="H550" s="5" t="n">
        <v>55.8</v>
      </c>
      <c r="I550" s="5" t="n">
        <v>88.7</v>
      </c>
      <c r="J550" s="5" t="n">
        <v>1</v>
      </c>
      <c r="K550" s="5" t="n">
        <f aca="false">ROUND(MIN(MAX((B550*10)*0.2 + (MIN(E550/25*100,100))*0.2 + (MAX(100-F550*5,0))*0.15 + (G550*10)*0.15 + (H550)*0.15 + (I550)*0.15 - (J550*5),0),100),0)</f>
        <v>66</v>
      </c>
    </row>
    <row r="551" customFormat="false" ht="15" hidden="false" customHeight="true" outlineLevel="0" collapsed="false">
      <c r="A551" s="5" t="s">
        <v>2092</v>
      </c>
      <c r="B551" s="5" t="n">
        <v>3.8</v>
      </c>
      <c r="C551" s="5" t="n">
        <v>19</v>
      </c>
      <c r="D551" s="5" t="n">
        <v>3</v>
      </c>
      <c r="E551" s="5" t="n">
        <v>17.1</v>
      </c>
      <c r="F551" s="5" t="n">
        <v>12.6</v>
      </c>
      <c r="G551" s="5" t="n">
        <v>9.6</v>
      </c>
      <c r="H551" s="5" t="n">
        <v>90.6</v>
      </c>
      <c r="I551" s="5" t="n">
        <v>54.6</v>
      </c>
      <c r="J551" s="5" t="n">
        <v>0</v>
      </c>
      <c r="K551" s="5" t="n">
        <f aca="false">ROUND(MIN(MAX((B551*10)*0.2 + (MIN(E551/25*100,100))*0.2 + (MAX(100-F551*5,0))*0.15 + (G551*10)*0.15 + (H551)*0.15 + (I551)*0.15 - (J551*5),0),100),0)</f>
        <v>63</v>
      </c>
    </row>
    <row r="552" customFormat="false" ht="15" hidden="false" customHeight="true" outlineLevel="0" collapsed="false">
      <c r="A552" s="5" t="s">
        <v>2094</v>
      </c>
      <c r="B552" s="5" t="n">
        <v>3.8</v>
      </c>
      <c r="C552" s="5" t="n">
        <v>4</v>
      </c>
      <c r="D552" s="5" t="n">
        <v>10</v>
      </c>
      <c r="E552" s="5" t="n">
        <v>11.9</v>
      </c>
      <c r="F552" s="5" t="n">
        <v>9.2</v>
      </c>
      <c r="G552" s="5" t="n">
        <v>5.1</v>
      </c>
      <c r="H552" s="5" t="n">
        <v>78.6</v>
      </c>
      <c r="I552" s="5" t="n">
        <v>53.7</v>
      </c>
      <c r="J552" s="5" t="n">
        <v>3</v>
      </c>
      <c r="K552" s="5" t="n">
        <f aca="false">ROUND(MIN(MAX((B552*10)*0.2 + (MIN(E552/25*100,100))*0.2 + (MAX(100-F552*5,0))*0.15 + (G552*10)*0.15 + (H552)*0.15 + (I552)*0.15 - (J552*5),0),100),0)</f>
        <v>38</v>
      </c>
    </row>
    <row r="553" customFormat="false" ht="15" hidden="false" customHeight="true" outlineLevel="0" collapsed="false">
      <c r="A553" s="5" t="s">
        <v>2096</v>
      </c>
      <c r="B553" s="5" t="n">
        <v>3.6</v>
      </c>
      <c r="C553" s="5" t="n">
        <v>4</v>
      </c>
      <c r="D553" s="5" t="n">
        <v>5</v>
      </c>
      <c r="E553" s="5" t="n">
        <v>8.8</v>
      </c>
      <c r="F553" s="5" t="n">
        <v>4.8</v>
      </c>
      <c r="G553" s="5" t="n">
        <v>5.3</v>
      </c>
      <c r="H553" s="5" t="n">
        <v>86.1</v>
      </c>
      <c r="I553" s="5" t="n">
        <v>43.2</v>
      </c>
      <c r="J553" s="5" t="n">
        <v>4</v>
      </c>
      <c r="K553" s="5" t="n">
        <f aca="false">ROUND(MIN(MAX((B553*10)*0.2 + (MIN(E553/25*100,100))*0.2 + (MAX(100-F553*5,0))*0.15 + (G553*10)*0.15 + (H553)*0.15 + (I553)*0.15 - (J553*5),0),100),0)</f>
        <v>33</v>
      </c>
    </row>
    <row r="554" customFormat="false" ht="15" hidden="false" customHeight="true" outlineLevel="0" collapsed="false">
      <c r="A554" s="5" t="s">
        <v>2098</v>
      </c>
      <c r="B554" s="5" t="n">
        <v>4.8</v>
      </c>
      <c r="C554" s="5" t="n">
        <v>4</v>
      </c>
      <c r="D554" s="5" t="n">
        <v>10</v>
      </c>
      <c r="E554" s="5" t="n">
        <v>17.7</v>
      </c>
      <c r="F554" s="5" t="n">
        <v>7.6</v>
      </c>
      <c r="G554" s="5" t="n">
        <v>4</v>
      </c>
      <c r="H554" s="5" t="n">
        <v>48.1</v>
      </c>
      <c r="I554" s="5" t="n">
        <v>85.5</v>
      </c>
      <c r="J554" s="5" t="n">
        <v>1</v>
      </c>
      <c r="K554" s="5" t="n">
        <f aca="false">ROUND(MIN(MAX((B554*10)*0.2 + (MIN(E554/25*100,100))*0.2 + (MAX(100-F554*5,0))*0.15 + (G554*10)*0.15 + (H554)*0.15 + (I554)*0.15 - (J554*5),0),100),0)</f>
        <v>54</v>
      </c>
    </row>
    <row r="555" customFormat="false" ht="15" hidden="false" customHeight="true" outlineLevel="0" collapsed="false">
      <c r="A555" s="5" t="s">
        <v>2100</v>
      </c>
      <c r="B555" s="5" t="n">
        <v>4.7</v>
      </c>
      <c r="C555" s="5" t="n">
        <v>12</v>
      </c>
      <c r="D555" s="5" t="n">
        <v>9</v>
      </c>
      <c r="E555" s="5" t="n">
        <v>3.6</v>
      </c>
      <c r="F555" s="5" t="n">
        <v>14.5</v>
      </c>
      <c r="G555" s="5" t="n">
        <v>6.8</v>
      </c>
      <c r="H555" s="5" t="n">
        <v>84.7</v>
      </c>
      <c r="I555" s="5" t="n">
        <v>78.4</v>
      </c>
      <c r="J555" s="5" t="n">
        <v>0</v>
      </c>
      <c r="K555" s="5" t="n">
        <f aca="false">ROUND(MIN(MAX((B555*10)*0.2 + (MIN(E555/25*100,100))*0.2 + (MAX(100-F555*5,0))*0.15 + (G555*10)*0.15 + (H555)*0.15 + (I555)*0.15 - (J555*5),0),100),0)</f>
        <v>51</v>
      </c>
    </row>
    <row r="556" customFormat="false" ht="15" hidden="false" customHeight="true" outlineLevel="0" collapsed="false">
      <c r="A556" s="5" t="s">
        <v>2102</v>
      </c>
      <c r="B556" s="5" t="n">
        <v>7.2</v>
      </c>
      <c r="C556" s="5" t="n">
        <v>8</v>
      </c>
      <c r="D556" s="5" t="n">
        <v>8</v>
      </c>
      <c r="E556" s="5" t="n">
        <v>17.9</v>
      </c>
      <c r="F556" s="5" t="n">
        <v>5.3</v>
      </c>
      <c r="G556" s="5" t="n">
        <v>9.7</v>
      </c>
      <c r="H556" s="5" t="n">
        <v>53.6</v>
      </c>
      <c r="I556" s="5" t="n">
        <v>87.1</v>
      </c>
      <c r="J556" s="5" t="n">
        <v>0</v>
      </c>
      <c r="K556" s="5" t="n">
        <f aca="false">ROUND(MIN(MAX((B556*10)*0.2 + (MIN(E556/25*100,100))*0.2 + (MAX(100-F556*5,0))*0.15 + (G556*10)*0.15 + (H556)*0.15 + (I556)*0.15 - (J556*5),0),100),0)</f>
        <v>75</v>
      </c>
    </row>
    <row r="557" customFormat="false" ht="15" hidden="false" customHeight="true" outlineLevel="0" collapsed="false">
      <c r="A557" s="5" t="s">
        <v>2104</v>
      </c>
      <c r="B557" s="5" t="n">
        <v>6</v>
      </c>
      <c r="C557" s="5" t="n">
        <v>8</v>
      </c>
      <c r="D557" s="5" t="n">
        <v>14</v>
      </c>
      <c r="E557" s="5" t="n">
        <v>13.5</v>
      </c>
      <c r="F557" s="5" t="n">
        <v>13.7</v>
      </c>
      <c r="G557" s="5" t="n">
        <v>5.1</v>
      </c>
      <c r="H557" s="5" t="n">
        <v>93.6</v>
      </c>
      <c r="I557" s="5" t="n">
        <v>54.8</v>
      </c>
      <c r="J557" s="5" t="n">
        <v>0</v>
      </c>
      <c r="K557" s="5" t="n">
        <f aca="false">ROUND(MIN(MAX((B557*10)*0.2 + (MIN(E557/25*100,100))*0.2 + (MAX(100-F557*5,0))*0.15 + (G557*10)*0.15 + (H557)*0.15 + (I557)*0.15 - (J557*5),0),100),0)</f>
        <v>57</v>
      </c>
    </row>
    <row r="558" customFormat="false" ht="15" hidden="false" customHeight="true" outlineLevel="0" collapsed="false">
      <c r="A558" s="5" t="s">
        <v>2106</v>
      </c>
      <c r="B558" s="5" t="n">
        <v>9</v>
      </c>
      <c r="C558" s="5" t="n">
        <v>8</v>
      </c>
      <c r="D558" s="5" t="n">
        <v>9</v>
      </c>
      <c r="E558" s="5" t="n">
        <v>8.7</v>
      </c>
      <c r="F558" s="5" t="n">
        <v>13.5</v>
      </c>
      <c r="G558" s="5" t="n">
        <v>9.3</v>
      </c>
      <c r="H558" s="5" t="n">
        <v>71</v>
      </c>
      <c r="I558" s="5" t="n">
        <v>91</v>
      </c>
      <c r="J558" s="5" t="n">
        <v>3</v>
      </c>
      <c r="K558" s="5" t="n">
        <f aca="false">ROUND(MIN(MAX((B558*10)*0.2 + (MIN(E558/25*100,100))*0.2 + (MAX(100-F558*5,0))*0.15 + (G558*10)*0.15 + (H558)*0.15 + (I558)*0.15 - (J558*5),0),100),0)</f>
        <v>53</v>
      </c>
    </row>
    <row r="559" customFormat="false" ht="15" hidden="false" customHeight="true" outlineLevel="0" collapsed="false">
      <c r="A559" s="5" t="s">
        <v>2108</v>
      </c>
      <c r="B559" s="5" t="n">
        <v>7.9</v>
      </c>
      <c r="C559" s="5" t="n">
        <v>9</v>
      </c>
      <c r="D559" s="5" t="n">
        <v>2</v>
      </c>
      <c r="E559" s="5" t="n">
        <v>25.2</v>
      </c>
      <c r="F559" s="5" t="n">
        <v>14.2</v>
      </c>
      <c r="G559" s="5" t="n">
        <v>5.8</v>
      </c>
      <c r="H559" s="5" t="n">
        <v>56.8</v>
      </c>
      <c r="I559" s="5" t="n">
        <v>88.8</v>
      </c>
      <c r="J559" s="5" t="n">
        <v>3</v>
      </c>
      <c r="K559" s="5" t="n">
        <f aca="false">ROUND(MIN(MAX((B559*10)*0.2 + (MIN(E559/25*100,100))*0.2 + (MAX(100-F559*5,0))*0.15 + (G559*10)*0.15 + (H559)*0.15 + (I559)*0.15 - (J559*5),0),100),0)</f>
        <v>56</v>
      </c>
    </row>
    <row r="560" customFormat="false" ht="15" hidden="false" customHeight="true" outlineLevel="0" collapsed="false">
      <c r="A560" s="5" t="s">
        <v>2110</v>
      </c>
      <c r="B560" s="5" t="n">
        <v>8.6</v>
      </c>
      <c r="C560" s="5" t="n">
        <v>4</v>
      </c>
      <c r="D560" s="5" t="n">
        <v>5</v>
      </c>
      <c r="E560" s="5" t="n">
        <v>21.9</v>
      </c>
      <c r="F560" s="5" t="n">
        <v>8.1</v>
      </c>
      <c r="G560" s="5" t="n">
        <v>4.8</v>
      </c>
      <c r="H560" s="5" t="n">
        <v>69.1</v>
      </c>
      <c r="I560" s="5" t="n">
        <v>87.2</v>
      </c>
      <c r="J560" s="5" t="n">
        <v>2</v>
      </c>
      <c r="K560" s="5" t="n">
        <f aca="false">ROUND(MIN(MAX((B560*10)*0.2 + (MIN(E560/25*100,100))*0.2 + (MAX(100-F560*5,0))*0.15 + (G560*10)*0.15 + (H560)*0.15 + (I560)*0.15 - (J560*5),0),100),0)</f>
        <v>64</v>
      </c>
    </row>
    <row r="561" customFormat="false" ht="15" hidden="false" customHeight="true" outlineLevel="0" collapsed="false">
      <c r="A561" s="5" t="s">
        <v>2112</v>
      </c>
      <c r="B561" s="5" t="n">
        <v>5.4</v>
      </c>
      <c r="C561" s="5" t="n">
        <v>1</v>
      </c>
      <c r="D561" s="5" t="n">
        <v>1</v>
      </c>
      <c r="E561" s="5" t="n">
        <v>20.3</v>
      </c>
      <c r="F561" s="5" t="n">
        <v>3.6</v>
      </c>
      <c r="G561" s="5" t="n">
        <v>5.5</v>
      </c>
      <c r="H561" s="5" t="n">
        <v>71.7</v>
      </c>
      <c r="I561" s="5" t="n">
        <v>40.2</v>
      </c>
      <c r="J561" s="5" t="n">
        <v>1</v>
      </c>
      <c r="K561" s="5" t="n">
        <f aca="false">ROUND(MIN(MAX((B561*10)*0.2 + (MIN(E561/25*100,100))*0.2 + (MAX(100-F561*5,0))*0.15 + (G561*10)*0.15 + (H561)*0.15 + (I561)*0.15 - (J561*5),0),100),0)</f>
        <v>59</v>
      </c>
    </row>
    <row r="562" customFormat="false" ht="15" hidden="false" customHeight="true" outlineLevel="0" collapsed="false">
      <c r="A562" s="5" t="s">
        <v>2114</v>
      </c>
      <c r="B562" s="5" t="n">
        <v>6.7</v>
      </c>
      <c r="C562" s="5" t="n">
        <v>11</v>
      </c>
      <c r="D562" s="5" t="n">
        <v>2</v>
      </c>
      <c r="E562" s="5" t="n">
        <v>6</v>
      </c>
      <c r="F562" s="5" t="n">
        <v>4.5</v>
      </c>
      <c r="G562" s="5" t="n">
        <v>7.7</v>
      </c>
      <c r="H562" s="5" t="n">
        <v>79.9</v>
      </c>
      <c r="I562" s="5" t="n">
        <v>77.7</v>
      </c>
      <c r="J562" s="5" t="n">
        <v>1</v>
      </c>
      <c r="K562" s="5" t="n">
        <f aca="false">ROUND(MIN(MAX((B562*10)*0.2 + (MIN(E562/25*100,100))*0.2 + (MAX(100-F562*5,0))*0.15 + (G562*10)*0.15 + (H562)*0.15 + (I562)*0.15 - (J562*5),0),100),0)</f>
        <v>60</v>
      </c>
    </row>
    <row r="563" customFormat="false" ht="15" hidden="false" customHeight="true" outlineLevel="0" collapsed="false">
      <c r="A563" s="5" t="s">
        <v>2116</v>
      </c>
      <c r="B563" s="5" t="n">
        <v>8.4</v>
      </c>
      <c r="C563" s="5" t="n">
        <v>14</v>
      </c>
      <c r="D563" s="5" t="n">
        <v>10</v>
      </c>
      <c r="E563" s="5" t="n">
        <v>15.2</v>
      </c>
      <c r="F563" s="5" t="n">
        <v>13.2</v>
      </c>
      <c r="G563" s="5" t="n">
        <v>3.1</v>
      </c>
      <c r="H563" s="5" t="n">
        <v>41.3</v>
      </c>
      <c r="I563" s="5" t="n">
        <v>74.4</v>
      </c>
      <c r="J563" s="5" t="n">
        <v>2</v>
      </c>
      <c r="K563" s="5" t="n">
        <f aca="false">ROUND(MIN(MAX((B563*10)*0.2 + (MIN(E563/25*100,100))*0.2 + (MAX(100-F563*5,0))*0.15 + (G563*10)*0.15 + (H563)*0.15 + (I563)*0.15 - (J563*5),0),100),0)</f>
        <v>46</v>
      </c>
    </row>
    <row r="564" customFormat="false" ht="15" hidden="false" customHeight="true" outlineLevel="0" collapsed="false">
      <c r="A564" s="5" t="s">
        <v>2118</v>
      </c>
      <c r="B564" s="5" t="n">
        <v>8</v>
      </c>
      <c r="C564" s="5" t="n">
        <v>7</v>
      </c>
      <c r="D564" s="5" t="n">
        <v>2</v>
      </c>
      <c r="E564" s="5" t="n">
        <v>14.2</v>
      </c>
      <c r="F564" s="5" t="n">
        <v>3.5</v>
      </c>
      <c r="G564" s="5" t="n">
        <v>9</v>
      </c>
      <c r="H564" s="5" t="n">
        <v>91.4</v>
      </c>
      <c r="I564" s="5" t="n">
        <v>91.3</v>
      </c>
      <c r="J564" s="5" t="n">
        <v>1</v>
      </c>
      <c r="K564" s="5" t="n">
        <f aca="false">ROUND(MIN(MAX((B564*10)*0.2 + (MIN(E564/25*100,100))*0.2 + (MAX(100-F564*5,0))*0.15 + (G564*10)*0.15 + (H564)*0.15 + (I564)*0.15 - (J564*5),0),100),0)</f>
        <v>76</v>
      </c>
    </row>
    <row r="565" customFormat="false" ht="15" hidden="false" customHeight="true" outlineLevel="0" collapsed="false">
      <c r="A565" s="5" t="s">
        <v>2120</v>
      </c>
      <c r="B565" s="5" t="n">
        <v>2.2</v>
      </c>
      <c r="C565" s="5" t="n">
        <v>1</v>
      </c>
      <c r="D565" s="5" t="n">
        <v>7</v>
      </c>
      <c r="E565" s="5" t="n">
        <v>27.5</v>
      </c>
      <c r="F565" s="5" t="n">
        <v>14.6</v>
      </c>
      <c r="G565" s="5" t="n">
        <v>3.6</v>
      </c>
      <c r="H565" s="5" t="n">
        <v>75.6</v>
      </c>
      <c r="I565" s="5" t="n">
        <v>49.8</v>
      </c>
      <c r="J565" s="5" t="n">
        <v>3</v>
      </c>
      <c r="K565" s="5" t="n">
        <f aca="false">ROUND(MIN(MAX((B565*10)*0.2 + (MIN(E565/25*100,100))*0.2 + (MAX(100-F565*5,0))*0.15 + (G565*10)*0.15 + (H565)*0.15 + (I565)*0.15 - (J565*5),0),100),0)</f>
        <v>38</v>
      </c>
    </row>
    <row r="566" customFormat="false" ht="15" hidden="false" customHeight="true" outlineLevel="0" collapsed="false">
      <c r="A566" s="5" t="s">
        <v>2122</v>
      </c>
      <c r="B566" s="5" t="n">
        <v>6.6</v>
      </c>
      <c r="C566" s="5" t="n">
        <v>20</v>
      </c>
      <c r="D566" s="5" t="n">
        <v>8</v>
      </c>
      <c r="E566" s="5" t="n">
        <v>7</v>
      </c>
      <c r="F566" s="5" t="n">
        <v>14.4</v>
      </c>
      <c r="G566" s="5" t="n">
        <v>3.4</v>
      </c>
      <c r="H566" s="5" t="n">
        <v>66.9</v>
      </c>
      <c r="I566" s="5" t="n">
        <v>40.8</v>
      </c>
      <c r="J566" s="5" t="n">
        <v>4</v>
      </c>
      <c r="K566" s="5" t="n">
        <f aca="false">ROUND(MIN(MAX((B566*10)*0.2 + (MIN(E566/25*100,100))*0.2 + (MAX(100-F566*5,0))*0.15 + (G566*10)*0.15 + (H566)*0.15 + (I566)*0.15 - (J566*5),0),100),0)</f>
        <v>24</v>
      </c>
    </row>
    <row r="567" customFormat="false" ht="15" hidden="false" customHeight="true" outlineLevel="0" collapsed="false">
      <c r="A567" s="5" t="s">
        <v>2124</v>
      </c>
      <c r="B567" s="5" t="n">
        <v>5.3</v>
      </c>
      <c r="C567" s="5" t="n">
        <v>15</v>
      </c>
      <c r="D567" s="5" t="n">
        <v>15</v>
      </c>
      <c r="E567" s="5" t="n">
        <v>6.2</v>
      </c>
      <c r="F567" s="5" t="n">
        <v>11</v>
      </c>
      <c r="G567" s="5" t="n">
        <v>3.5</v>
      </c>
      <c r="H567" s="5" t="n">
        <v>86</v>
      </c>
      <c r="I567" s="5" t="n">
        <v>85.4</v>
      </c>
      <c r="J567" s="5" t="n">
        <v>2</v>
      </c>
      <c r="K567" s="5" t="n">
        <f aca="false">ROUND(MIN(MAX((B567*10)*0.2 + (MIN(E567/25*100,100))*0.2 + (MAX(100-F567*5,0))*0.15 + (G567*10)*0.15 + (H567)*0.15 + (I567)*0.15 - (J567*5),0),100),0)</f>
        <v>43</v>
      </c>
    </row>
    <row r="568" customFormat="false" ht="15" hidden="false" customHeight="true" outlineLevel="0" collapsed="false">
      <c r="A568" s="5" t="s">
        <v>2126</v>
      </c>
      <c r="B568" s="5" t="n">
        <v>7.6</v>
      </c>
      <c r="C568" s="5" t="n">
        <v>13</v>
      </c>
      <c r="D568" s="5" t="n">
        <v>4</v>
      </c>
      <c r="E568" s="5" t="n">
        <v>14.6</v>
      </c>
      <c r="F568" s="5" t="n">
        <v>3.9</v>
      </c>
      <c r="G568" s="5" t="n">
        <v>3.7</v>
      </c>
      <c r="H568" s="5" t="n">
        <v>83.6</v>
      </c>
      <c r="I568" s="5" t="n">
        <v>82.1</v>
      </c>
      <c r="J568" s="5" t="n">
        <v>1</v>
      </c>
      <c r="K568" s="5" t="n">
        <f aca="false">ROUND(MIN(MAX((B568*10)*0.2 + (MIN(E568/25*100,100))*0.2 + (MAX(100-F568*5,0))*0.15 + (G568*10)*0.15 + (H568)*0.15 + (I568)*0.15 - (J568*5),0),100),0)</f>
        <v>64</v>
      </c>
    </row>
    <row r="569" customFormat="false" ht="15" hidden="false" customHeight="true" outlineLevel="0" collapsed="false">
      <c r="A569" s="5" t="s">
        <v>2128</v>
      </c>
      <c r="B569" s="5" t="n">
        <v>5.1</v>
      </c>
      <c r="C569" s="5" t="n">
        <v>14</v>
      </c>
      <c r="D569" s="5" t="n">
        <v>4</v>
      </c>
      <c r="E569" s="5" t="n">
        <v>3.8</v>
      </c>
      <c r="F569" s="5" t="n">
        <v>14.7</v>
      </c>
      <c r="G569" s="5" t="n">
        <v>3.9</v>
      </c>
      <c r="H569" s="5" t="n">
        <v>59.3</v>
      </c>
      <c r="I569" s="5" t="n">
        <v>54.4</v>
      </c>
      <c r="J569" s="5" t="n">
        <v>4</v>
      </c>
      <c r="K569" s="5" t="n">
        <f aca="false">ROUND(MIN(MAX((B569*10)*0.2 + (MIN(E569/25*100,100))*0.2 + (MAX(100-F569*5,0))*0.15 + (G569*10)*0.15 + (H569)*0.15 + (I569)*0.15 - (J569*5),0),100),0)</f>
        <v>20</v>
      </c>
    </row>
    <row r="570" customFormat="false" ht="15" hidden="false" customHeight="true" outlineLevel="0" collapsed="false">
      <c r="A570" s="5" t="s">
        <v>2130</v>
      </c>
      <c r="B570" s="5" t="n">
        <v>7.1</v>
      </c>
      <c r="C570" s="5" t="n">
        <v>15</v>
      </c>
      <c r="D570" s="5" t="n">
        <v>2</v>
      </c>
      <c r="E570" s="5" t="n">
        <v>3.3</v>
      </c>
      <c r="F570" s="5" t="n">
        <v>2.9</v>
      </c>
      <c r="G570" s="5" t="n">
        <v>4.6</v>
      </c>
      <c r="H570" s="5" t="n">
        <v>75</v>
      </c>
      <c r="I570" s="5" t="n">
        <v>79.8</v>
      </c>
      <c r="J570" s="5" t="n">
        <v>3</v>
      </c>
      <c r="K570" s="5" t="n">
        <f aca="false">ROUND(MIN(MAX((B570*10)*0.2 + (MIN(E570/25*100,100))*0.2 + (MAX(100-F570*5,0))*0.15 + (G570*10)*0.15 + (H570)*0.15 + (I570)*0.15 - (J570*5),0),100),0)</f>
        <v>45</v>
      </c>
    </row>
    <row r="571" customFormat="false" ht="15" hidden="false" customHeight="true" outlineLevel="0" collapsed="false">
      <c r="A571" s="5" t="s">
        <v>2132</v>
      </c>
      <c r="B571" s="5" t="n">
        <v>7.3</v>
      </c>
      <c r="C571" s="5" t="n">
        <v>20</v>
      </c>
      <c r="D571" s="5" t="n">
        <v>8</v>
      </c>
      <c r="E571" s="5" t="n">
        <v>5</v>
      </c>
      <c r="F571" s="5" t="n">
        <v>8.8</v>
      </c>
      <c r="G571" s="5" t="n">
        <v>2.4</v>
      </c>
      <c r="H571" s="5" t="n">
        <v>90.5</v>
      </c>
      <c r="I571" s="5" t="n">
        <v>67.3</v>
      </c>
      <c r="J571" s="5" t="n">
        <v>2</v>
      </c>
      <c r="K571" s="5" t="n">
        <f aca="false">ROUND(MIN(MAX((B571*10)*0.2 + (MIN(E571/25*100,100))*0.2 + (MAX(100-F571*5,0))*0.15 + (G571*10)*0.15 + (H571)*0.15 + (I571)*0.15 - (J571*5),0),100),0)</f>
        <v>44</v>
      </c>
    </row>
    <row r="572" customFormat="false" ht="15" hidden="false" customHeight="true" outlineLevel="0" collapsed="false">
      <c r="A572" s="5" t="s">
        <v>2134</v>
      </c>
      <c r="B572" s="5" t="n">
        <v>9.5</v>
      </c>
      <c r="C572" s="5" t="n">
        <v>20</v>
      </c>
      <c r="D572" s="5" t="n">
        <v>1</v>
      </c>
      <c r="E572" s="5" t="n">
        <v>3.1</v>
      </c>
      <c r="F572" s="5" t="n">
        <v>8.1</v>
      </c>
      <c r="G572" s="5" t="n">
        <v>5</v>
      </c>
      <c r="H572" s="5" t="n">
        <v>93.5</v>
      </c>
      <c r="I572" s="5" t="n">
        <v>78.9</v>
      </c>
      <c r="J572" s="5" t="n">
        <v>1</v>
      </c>
      <c r="K572" s="5" t="n">
        <f aca="false">ROUND(MIN(MAX((B572*10)*0.2 + (MIN(E572/25*100,100))*0.2 + (MAX(100-F572*5,0))*0.15 + (G572*10)*0.15 + (H572)*0.15 + (I572)*0.15 - (J572*5),0),100),0)</f>
        <v>59</v>
      </c>
    </row>
    <row r="573" customFormat="false" ht="15" hidden="false" customHeight="true" outlineLevel="0" collapsed="false">
      <c r="A573" s="5" t="s">
        <v>2136</v>
      </c>
      <c r="B573" s="5" t="n">
        <v>9.3</v>
      </c>
      <c r="C573" s="5" t="n">
        <v>18</v>
      </c>
      <c r="D573" s="5" t="n">
        <v>1</v>
      </c>
      <c r="E573" s="5" t="n">
        <v>18.7</v>
      </c>
      <c r="F573" s="5" t="n">
        <v>4.6</v>
      </c>
      <c r="G573" s="5" t="n">
        <v>6</v>
      </c>
      <c r="H573" s="5" t="n">
        <v>90.5</v>
      </c>
      <c r="I573" s="5" t="n">
        <v>90.9</v>
      </c>
      <c r="J573" s="5" t="n">
        <v>1</v>
      </c>
      <c r="K573" s="5" t="n">
        <f aca="false">ROUND(MIN(MAX((B573*10)*0.2 + (MIN(E573/25*100,100))*0.2 + (MAX(100-F573*5,0))*0.15 + (G573*10)*0.15 + (H573)*0.15 + (I573)*0.15 - (J573*5),0),100),0)</f>
        <v>76</v>
      </c>
    </row>
    <row r="574" customFormat="false" ht="15" hidden="false" customHeight="true" outlineLevel="0" collapsed="false">
      <c r="A574" s="5" t="s">
        <v>2138</v>
      </c>
      <c r="B574" s="5" t="n">
        <v>2.7</v>
      </c>
      <c r="C574" s="5" t="n">
        <v>17</v>
      </c>
      <c r="D574" s="5" t="n">
        <v>13</v>
      </c>
      <c r="E574" s="5" t="n">
        <v>6.8</v>
      </c>
      <c r="F574" s="5" t="n">
        <v>2.6</v>
      </c>
      <c r="G574" s="5" t="n">
        <v>2.4</v>
      </c>
      <c r="H574" s="5" t="n">
        <v>38.3</v>
      </c>
      <c r="I574" s="5" t="n">
        <v>90.6</v>
      </c>
      <c r="J574" s="5" t="n">
        <v>2</v>
      </c>
      <c r="K574" s="5" t="n">
        <f aca="false">ROUND(MIN(MAX((B574*10)*0.2 + (MIN(E574/25*100,100))*0.2 + (MAX(100-F574*5,0))*0.15 + (G574*10)*0.15 + (H574)*0.15 + (I574)*0.15 - (J574*5),0),100),0)</f>
        <v>37</v>
      </c>
    </row>
    <row r="575" customFormat="false" ht="15" hidden="false" customHeight="true" outlineLevel="0" collapsed="false">
      <c r="A575" s="5" t="s">
        <v>2140</v>
      </c>
      <c r="B575" s="5" t="n">
        <v>7.6</v>
      </c>
      <c r="C575" s="5" t="n">
        <v>14</v>
      </c>
      <c r="D575" s="5" t="n">
        <v>9</v>
      </c>
      <c r="E575" s="5" t="n">
        <v>27.4</v>
      </c>
      <c r="F575" s="5" t="n">
        <v>4.7</v>
      </c>
      <c r="G575" s="5" t="n">
        <v>8.6</v>
      </c>
      <c r="H575" s="5" t="n">
        <v>90.2</v>
      </c>
      <c r="I575" s="5" t="n">
        <v>70</v>
      </c>
      <c r="J575" s="5" t="n">
        <v>3</v>
      </c>
      <c r="K575" s="5" t="n">
        <f aca="false">ROUND(MIN(MAX((B575*10)*0.2 + (MIN(E575/25*100,100))*0.2 + (MAX(100-F575*5,0))*0.15 + (G575*10)*0.15 + (H575)*0.15 + (I575)*0.15 - (J575*5),0),100),0)</f>
        <v>69</v>
      </c>
    </row>
    <row r="576" customFormat="false" ht="15" hidden="false" customHeight="true" outlineLevel="0" collapsed="false">
      <c r="A576" s="5" t="s">
        <v>2142</v>
      </c>
      <c r="B576" s="5" t="n">
        <v>8.7</v>
      </c>
      <c r="C576" s="5" t="n">
        <v>11</v>
      </c>
      <c r="D576" s="5" t="n">
        <v>15</v>
      </c>
      <c r="E576" s="5" t="n">
        <v>23.6</v>
      </c>
      <c r="F576" s="5" t="n">
        <v>3.1</v>
      </c>
      <c r="G576" s="5" t="n">
        <v>8.8</v>
      </c>
      <c r="H576" s="5" t="n">
        <v>72.7</v>
      </c>
      <c r="I576" s="5" t="n">
        <v>86.3</v>
      </c>
      <c r="J576" s="5" t="n">
        <v>0</v>
      </c>
      <c r="K576" s="5" t="n">
        <f aca="false">ROUND(MIN(MAX((B576*10)*0.2 + (MIN(E576/25*100,100))*0.2 + (MAX(100-F576*5,0))*0.15 + (G576*10)*0.15 + (H576)*0.15 + (I576)*0.15 - (J576*5),0),100),0)</f>
        <v>86</v>
      </c>
    </row>
    <row r="577" customFormat="false" ht="15" hidden="false" customHeight="true" outlineLevel="0" collapsed="false">
      <c r="A577" s="5" t="s">
        <v>2144</v>
      </c>
      <c r="B577" s="5" t="n">
        <v>3.4</v>
      </c>
      <c r="C577" s="5" t="n">
        <v>2</v>
      </c>
      <c r="D577" s="5" t="n">
        <v>7</v>
      </c>
      <c r="E577" s="5" t="n">
        <v>7.9</v>
      </c>
      <c r="F577" s="5" t="n">
        <v>7.6</v>
      </c>
      <c r="G577" s="5" t="n">
        <v>3.3</v>
      </c>
      <c r="H577" s="5" t="n">
        <v>60.4</v>
      </c>
      <c r="I577" s="5" t="n">
        <v>46.7</v>
      </c>
      <c r="J577" s="5" t="n">
        <v>3</v>
      </c>
      <c r="K577" s="5" t="n">
        <f aca="false">ROUND(MIN(MAX((B577*10)*0.2 + (MIN(E577/25*100,100))*0.2 + (MAX(100-F577*5,0))*0.15 + (G577*10)*0.15 + (H577)*0.15 + (I577)*0.15 - (J577*5),0),100),0)</f>
        <v>28</v>
      </c>
    </row>
    <row r="578" customFormat="false" ht="15" hidden="false" customHeight="true" outlineLevel="0" collapsed="false">
      <c r="A578" s="5" t="s">
        <v>2146</v>
      </c>
      <c r="B578" s="5" t="n">
        <v>2.3</v>
      </c>
      <c r="C578" s="5" t="n">
        <v>12</v>
      </c>
      <c r="D578" s="5" t="n">
        <v>15</v>
      </c>
      <c r="E578" s="5" t="n">
        <v>15.4</v>
      </c>
      <c r="F578" s="5" t="n">
        <v>2.6</v>
      </c>
      <c r="G578" s="5" t="n">
        <v>7.8</v>
      </c>
      <c r="H578" s="5" t="n">
        <v>39.6</v>
      </c>
      <c r="I578" s="5" t="n">
        <v>60.3</v>
      </c>
      <c r="J578" s="5" t="n">
        <v>1</v>
      </c>
      <c r="K578" s="5" t="n">
        <f aca="false">ROUND(MIN(MAX((B578*10)*0.2 + (MIN(E578/25*100,100))*0.2 + (MAX(100-F578*5,0))*0.15 + (G578*10)*0.15 + (H578)*0.15 + (I578)*0.15 - (J578*5),0),100),0)</f>
        <v>52</v>
      </c>
    </row>
    <row r="579" customFormat="false" ht="15" hidden="false" customHeight="true" outlineLevel="0" collapsed="false">
      <c r="A579" s="5" t="s">
        <v>2148</v>
      </c>
      <c r="B579" s="5" t="n">
        <v>8.5</v>
      </c>
      <c r="C579" s="5" t="n">
        <v>6</v>
      </c>
      <c r="D579" s="5" t="n">
        <v>5</v>
      </c>
      <c r="E579" s="5" t="n">
        <v>23.2</v>
      </c>
      <c r="F579" s="5" t="n">
        <v>12.5</v>
      </c>
      <c r="G579" s="5" t="n">
        <v>6.5</v>
      </c>
      <c r="H579" s="5" t="n">
        <v>73.1</v>
      </c>
      <c r="I579" s="5" t="n">
        <v>52.3</v>
      </c>
      <c r="J579" s="5" t="n">
        <v>0</v>
      </c>
      <c r="K579" s="5" t="n">
        <f aca="false">ROUND(MIN(MAX((B579*10)*0.2 + (MIN(E579/25*100,100))*0.2 + (MAX(100-F579*5,0))*0.15 + (G579*10)*0.15 + (H579)*0.15 + (I579)*0.15 - (J579*5),0),100),0)</f>
        <v>70</v>
      </c>
    </row>
    <row r="580" customFormat="false" ht="15" hidden="false" customHeight="true" outlineLevel="0" collapsed="false">
      <c r="A580" s="5" t="s">
        <v>2150</v>
      </c>
      <c r="B580" s="5" t="n">
        <v>5.9</v>
      </c>
      <c r="C580" s="5" t="n">
        <v>19</v>
      </c>
      <c r="D580" s="5" t="n">
        <v>5</v>
      </c>
      <c r="E580" s="5" t="n">
        <v>14.2</v>
      </c>
      <c r="F580" s="5" t="n">
        <v>2.1</v>
      </c>
      <c r="G580" s="5" t="n">
        <v>8.1</v>
      </c>
      <c r="H580" s="5" t="n">
        <v>74</v>
      </c>
      <c r="I580" s="5" t="n">
        <v>91.5</v>
      </c>
      <c r="J580" s="5" t="n">
        <v>0</v>
      </c>
      <c r="K580" s="5" t="n">
        <f aca="false">ROUND(MIN(MAX((B580*10)*0.2 + (MIN(E580/25*100,100))*0.2 + (MAX(100-F580*5,0))*0.15 + (G580*10)*0.15 + (H580)*0.15 + (I580)*0.15 - (J580*5),0),100),0)</f>
        <v>74</v>
      </c>
    </row>
    <row r="581" customFormat="false" ht="15" hidden="false" customHeight="true" outlineLevel="0" collapsed="false">
      <c r="A581" s="5" t="s">
        <v>2152</v>
      </c>
      <c r="B581" s="5" t="n">
        <v>4.1</v>
      </c>
      <c r="C581" s="5" t="n">
        <v>4</v>
      </c>
      <c r="D581" s="5" t="n">
        <v>12</v>
      </c>
      <c r="E581" s="5" t="n">
        <v>13.1</v>
      </c>
      <c r="F581" s="5" t="n">
        <v>14</v>
      </c>
      <c r="G581" s="5" t="n">
        <v>2.8</v>
      </c>
      <c r="H581" s="5" t="n">
        <v>51</v>
      </c>
      <c r="I581" s="5" t="n">
        <v>41.7</v>
      </c>
      <c r="J581" s="5" t="n">
        <v>3</v>
      </c>
      <c r="K581" s="5" t="n">
        <f aca="false">ROUND(MIN(MAX((B581*10)*0.2 + (MIN(E581/25*100,100))*0.2 + (MAX(100-F581*5,0))*0.15 + (G581*10)*0.15 + (H581)*0.15 + (I581)*0.15 - (J581*5),0),100),0)</f>
        <v>26</v>
      </c>
    </row>
    <row r="582" customFormat="false" ht="15" hidden="false" customHeight="true" outlineLevel="0" collapsed="false">
      <c r="A582" s="5" t="s">
        <v>2154</v>
      </c>
      <c r="B582" s="5" t="n">
        <v>8.2</v>
      </c>
      <c r="C582" s="5" t="n">
        <v>16</v>
      </c>
      <c r="D582" s="5" t="n">
        <v>14</v>
      </c>
      <c r="E582" s="5" t="n">
        <v>20</v>
      </c>
      <c r="F582" s="5" t="n">
        <v>4.8</v>
      </c>
      <c r="G582" s="5" t="n">
        <v>7.3</v>
      </c>
      <c r="H582" s="5" t="n">
        <v>51.4</v>
      </c>
      <c r="I582" s="5" t="n">
        <v>42.5</v>
      </c>
      <c r="J582" s="5" t="n">
        <v>4</v>
      </c>
      <c r="K582" s="5" t="n">
        <f aca="false">ROUND(MIN(MAX((B582*10)*0.2 + (MIN(E582/25*100,100))*0.2 + (MAX(100-F582*5,0))*0.15 + (G582*10)*0.15 + (H582)*0.15 + (I582)*0.15 - (J582*5),0),100),0)</f>
        <v>49</v>
      </c>
    </row>
    <row r="583" customFormat="false" ht="15" hidden="false" customHeight="true" outlineLevel="0" collapsed="false">
      <c r="A583" s="5" t="s">
        <v>2156</v>
      </c>
      <c r="B583" s="5" t="n">
        <v>9.1</v>
      </c>
      <c r="C583" s="5" t="n">
        <v>11</v>
      </c>
      <c r="D583" s="5" t="n">
        <v>4</v>
      </c>
      <c r="E583" s="5" t="n">
        <v>8.7</v>
      </c>
      <c r="F583" s="5" t="n">
        <v>1.7</v>
      </c>
      <c r="G583" s="5" t="n">
        <v>7.1</v>
      </c>
      <c r="H583" s="5" t="n">
        <v>51</v>
      </c>
      <c r="I583" s="5" t="n">
        <v>43.2</v>
      </c>
      <c r="J583" s="5" t="n">
        <v>0</v>
      </c>
      <c r="K583" s="5" t="n">
        <f aca="false">ROUND(MIN(MAX((B583*10)*0.2 + (MIN(E583/25*100,100))*0.2 + (MAX(100-F583*5,0))*0.15 + (G583*10)*0.15 + (H583)*0.15 + (I583)*0.15 - (J583*5),0),100),0)</f>
        <v>64</v>
      </c>
    </row>
    <row r="584" customFormat="false" ht="15" hidden="false" customHeight="true" outlineLevel="0" collapsed="false">
      <c r="A584" s="5" t="s">
        <v>2158</v>
      </c>
      <c r="B584" s="5" t="n">
        <v>6.1</v>
      </c>
      <c r="C584" s="5" t="n">
        <v>20</v>
      </c>
      <c r="D584" s="5" t="n">
        <v>12</v>
      </c>
      <c r="E584" s="5" t="n">
        <v>5.5</v>
      </c>
      <c r="F584" s="5" t="n">
        <v>4.6</v>
      </c>
      <c r="G584" s="5" t="n">
        <v>3.9</v>
      </c>
      <c r="H584" s="5" t="n">
        <v>80.1</v>
      </c>
      <c r="I584" s="5" t="n">
        <v>63.1</v>
      </c>
      <c r="J584" s="5" t="n">
        <v>0</v>
      </c>
      <c r="K584" s="5" t="n">
        <f aca="false">ROUND(MIN(MAX((B584*10)*0.2 + (MIN(E584/25*100,100))*0.2 + (MAX(100-F584*5,0))*0.15 + (G584*10)*0.15 + (H584)*0.15 + (I584)*0.15 - (J584*5),0),100),0)</f>
        <v>55</v>
      </c>
    </row>
    <row r="585" customFormat="false" ht="15" hidden="false" customHeight="true" outlineLevel="0" collapsed="false">
      <c r="A585" s="5" t="s">
        <v>2160</v>
      </c>
      <c r="B585" s="5" t="n">
        <v>8.4</v>
      </c>
      <c r="C585" s="5" t="n">
        <v>6</v>
      </c>
      <c r="D585" s="5" t="n">
        <v>12</v>
      </c>
      <c r="E585" s="5" t="n">
        <v>24</v>
      </c>
      <c r="F585" s="5" t="n">
        <v>5</v>
      </c>
      <c r="G585" s="5" t="n">
        <v>8</v>
      </c>
      <c r="H585" s="5" t="n">
        <v>72.5</v>
      </c>
      <c r="I585" s="5" t="n">
        <v>47</v>
      </c>
      <c r="J585" s="5" t="n">
        <v>3</v>
      </c>
      <c r="K585" s="5" t="n">
        <f aca="false">ROUND(MIN(MAX((B585*10)*0.2 + (MIN(E585/25*100,100))*0.2 + (MAX(100-F585*5,0))*0.15 + (G585*10)*0.15 + (H585)*0.15 + (I585)*0.15 - (J585*5),0),100),0)</f>
        <v>62</v>
      </c>
    </row>
    <row r="586" customFormat="false" ht="15" hidden="false" customHeight="true" outlineLevel="0" collapsed="false">
      <c r="A586" s="5" t="s">
        <v>2162</v>
      </c>
      <c r="B586" s="5" t="n">
        <v>8</v>
      </c>
      <c r="C586" s="5" t="n">
        <v>10</v>
      </c>
      <c r="D586" s="5" t="n">
        <v>4</v>
      </c>
      <c r="E586" s="5" t="n">
        <v>12.7</v>
      </c>
      <c r="F586" s="5" t="n">
        <v>2.3</v>
      </c>
      <c r="G586" s="5" t="n">
        <v>4.9</v>
      </c>
      <c r="H586" s="5" t="n">
        <v>43</v>
      </c>
      <c r="I586" s="5" t="n">
        <v>65.8</v>
      </c>
      <c r="J586" s="5" t="n">
        <v>3</v>
      </c>
      <c r="K586" s="5" t="n">
        <f aca="false">ROUND(MIN(MAX((B586*10)*0.2 + (MIN(E586/25*100,100))*0.2 + (MAX(100-F586*5,0))*0.15 + (G586*10)*0.15 + (H586)*0.15 + (I586)*0.15 - (J586*5),0),100),0)</f>
        <v>48</v>
      </c>
    </row>
    <row r="587" customFormat="false" ht="15" hidden="false" customHeight="true" outlineLevel="0" collapsed="false">
      <c r="A587" s="5" t="s">
        <v>2164</v>
      </c>
      <c r="B587" s="5" t="n">
        <v>5.6</v>
      </c>
      <c r="C587" s="5" t="n">
        <v>19</v>
      </c>
      <c r="D587" s="5" t="n">
        <v>13</v>
      </c>
      <c r="E587" s="5" t="n">
        <v>5.4</v>
      </c>
      <c r="F587" s="5" t="n">
        <v>6.9</v>
      </c>
      <c r="G587" s="5" t="n">
        <v>4.9</v>
      </c>
      <c r="H587" s="5" t="n">
        <v>42.1</v>
      </c>
      <c r="I587" s="5" t="n">
        <v>76.6</v>
      </c>
      <c r="J587" s="5" t="n">
        <v>0</v>
      </c>
      <c r="K587" s="5" t="n">
        <f aca="false">ROUND(MIN(MAX((B587*10)*0.2 + (MIN(E587/25*100,100))*0.2 + (MAX(100-F587*5,0))*0.15 + (G587*10)*0.15 + (H587)*0.15 + (I587)*0.15 - (J587*5),0),100),0)</f>
        <v>51</v>
      </c>
    </row>
    <row r="588" customFormat="false" ht="15" hidden="false" customHeight="true" outlineLevel="0" collapsed="false">
      <c r="A588" s="5" t="s">
        <v>2166</v>
      </c>
      <c r="B588" s="5" t="n">
        <v>2.3</v>
      </c>
      <c r="C588" s="5" t="n">
        <v>11</v>
      </c>
      <c r="D588" s="5" t="n">
        <v>14</v>
      </c>
      <c r="E588" s="5" t="n">
        <v>21.3</v>
      </c>
      <c r="F588" s="5" t="n">
        <v>10.1</v>
      </c>
      <c r="G588" s="5" t="n">
        <v>7.7</v>
      </c>
      <c r="H588" s="5" t="n">
        <v>90.5</v>
      </c>
      <c r="I588" s="5" t="n">
        <v>70.6</v>
      </c>
      <c r="J588" s="5" t="n">
        <v>4</v>
      </c>
      <c r="K588" s="5" t="n">
        <f aca="false">ROUND(MIN(MAX((B588*10)*0.2 + (MIN(E588/25*100,100))*0.2 + (MAX(100-F588*5,0))*0.15 + (G588*10)*0.15 + (H588)*0.15 + (I588)*0.15 - (J588*5),0),100),0)</f>
        <v>45</v>
      </c>
    </row>
    <row r="589" customFormat="false" ht="15" hidden="false" customHeight="true" outlineLevel="0" collapsed="false">
      <c r="A589" s="5" t="s">
        <v>2168</v>
      </c>
      <c r="B589" s="5" t="n">
        <v>2.6</v>
      </c>
      <c r="C589" s="5" t="n">
        <v>15</v>
      </c>
      <c r="D589" s="5" t="n">
        <v>13</v>
      </c>
      <c r="E589" s="5" t="n">
        <v>5.1</v>
      </c>
      <c r="F589" s="5" t="n">
        <v>12.2</v>
      </c>
      <c r="G589" s="5" t="n">
        <v>4.4</v>
      </c>
      <c r="H589" s="5" t="n">
        <v>94</v>
      </c>
      <c r="I589" s="5" t="n">
        <v>79.7</v>
      </c>
      <c r="J589" s="5" t="n">
        <v>2</v>
      </c>
      <c r="K589" s="5" t="n">
        <f aca="false">ROUND(MIN(MAX((B589*10)*0.2 + (MIN(E589/25*100,100))*0.2 + (MAX(100-F589*5,0))*0.15 + (G589*10)*0.15 + (H589)*0.15 + (I589)*0.15 - (J589*5),0),100),0)</f>
        <v>38</v>
      </c>
    </row>
    <row r="590" customFormat="false" ht="15" hidden="false" customHeight="true" outlineLevel="0" collapsed="false">
      <c r="A590" s="5" t="s">
        <v>2170</v>
      </c>
      <c r="B590" s="5" t="n">
        <v>8.3</v>
      </c>
      <c r="C590" s="5" t="n">
        <v>17</v>
      </c>
      <c r="D590" s="5" t="n">
        <v>13</v>
      </c>
      <c r="E590" s="5" t="n">
        <v>11</v>
      </c>
      <c r="F590" s="5" t="n">
        <v>1.7</v>
      </c>
      <c r="G590" s="5" t="n">
        <v>2.6</v>
      </c>
      <c r="H590" s="5" t="n">
        <v>32.9</v>
      </c>
      <c r="I590" s="5" t="n">
        <v>46.2</v>
      </c>
      <c r="J590" s="5" t="n">
        <v>3</v>
      </c>
      <c r="K590" s="5" t="n">
        <f aca="false">ROUND(MIN(MAX((B590*10)*0.2 + (MIN(E590/25*100,100))*0.2 + (MAX(100-F590*5,0))*0.15 + (G590*10)*0.15 + (H590)*0.15 + (I590)*0.15 - (J590*5),0),100),0)</f>
        <v>40</v>
      </c>
    </row>
    <row r="591" customFormat="false" ht="15" hidden="false" customHeight="true" outlineLevel="0" collapsed="false">
      <c r="A591" s="5" t="s">
        <v>2172</v>
      </c>
      <c r="B591" s="5" t="n">
        <v>5.1</v>
      </c>
      <c r="C591" s="5" t="n">
        <v>15</v>
      </c>
      <c r="D591" s="5" t="n">
        <v>8</v>
      </c>
      <c r="E591" s="5" t="n">
        <v>12.6</v>
      </c>
      <c r="F591" s="5" t="n">
        <v>9.2</v>
      </c>
      <c r="G591" s="5" t="n">
        <v>8.1</v>
      </c>
      <c r="H591" s="5" t="n">
        <v>31.1</v>
      </c>
      <c r="I591" s="5" t="n">
        <v>82.9</v>
      </c>
      <c r="J591" s="5" t="n">
        <v>3</v>
      </c>
      <c r="K591" s="5" t="n">
        <f aca="false">ROUND(MIN(MAX((B591*10)*0.2 + (MIN(E591/25*100,100))*0.2 + (MAX(100-F591*5,0))*0.15 + (G591*10)*0.15 + (H591)*0.15 + (I591)*0.15 - (J591*5),0),100),0)</f>
        <v>43</v>
      </c>
    </row>
    <row r="592" customFormat="false" ht="15" hidden="false" customHeight="true" outlineLevel="0" collapsed="false">
      <c r="A592" s="5" t="s">
        <v>2174</v>
      </c>
      <c r="B592" s="5" t="n">
        <v>3.3</v>
      </c>
      <c r="C592" s="5" t="n">
        <v>6</v>
      </c>
      <c r="D592" s="5" t="n">
        <v>12</v>
      </c>
      <c r="E592" s="5" t="n">
        <v>4.2</v>
      </c>
      <c r="F592" s="5" t="n">
        <v>6.8</v>
      </c>
      <c r="G592" s="5" t="n">
        <v>7.6</v>
      </c>
      <c r="H592" s="5" t="n">
        <v>50.4</v>
      </c>
      <c r="I592" s="5" t="n">
        <v>82</v>
      </c>
      <c r="J592" s="5" t="n">
        <v>3</v>
      </c>
      <c r="K592" s="5" t="n">
        <f aca="false">ROUND(MIN(MAX((B592*10)*0.2 + (MIN(E592/25*100,100))*0.2 + (MAX(100-F592*5,0))*0.15 + (G592*10)*0.15 + (H592)*0.15 + (I592)*0.15 - (J592*5),0),100),0)</f>
        <v>36</v>
      </c>
    </row>
    <row r="593" customFormat="false" ht="15" hidden="false" customHeight="true" outlineLevel="0" collapsed="false">
      <c r="A593" s="5" t="s">
        <v>2176</v>
      </c>
      <c r="B593" s="5" t="n">
        <v>6.7</v>
      </c>
      <c r="C593" s="5" t="n">
        <v>9</v>
      </c>
      <c r="D593" s="5" t="n">
        <v>10</v>
      </c>
      <c r="E593" s="5" t="n">
        <v>29.1</v>
      </c>
      <c r="F593" s="5" t="n">
        <v>13.2</v>
      </c>
      <c r="G593" s="5" t="n">
        <v>3.5</v>
      </c>
      <c r="H593" s="5" t="n">
        <v>42</v>
      </c>
      <c r="I593" s="5" t="n">
        <v>83.3</v>
      </c>
      <c r="J593" s="5" t="n">
        <v>4</v>
      </c>
      <c r="K593" s="5" t="n">
        <f aca="false">ROUND(MIN(MAX((B593*10)*0.2 + (MIN(E593/25*100,100))*0.2 + (MAX(100-F593*5,0))*0.15 + (G593*10)*0.15 + (H593)*0.15 + (I593)*0.15 - (J593*5),0),100),0)</f>
        <v>43</v>
      </c>
    </row>
    <row r="594" customFormat="false" ht="15" hidden="false" customHeight="true" outlineLevel="0" collapsed="false">
      <c r="A594" s="5" t="s">
        <v>2178</v>
      </c>
      <c r="B594" s="5" t="n">
        <v>3.9</v>
      </c>
      <c r="C594" s="5" t="n">
        <v>4</v>
      </c>
      <c r="D594" s="5" t="n">
        <v>13</v>
      </c>
      <c r="E594" s="5" t="n">
        <v>17.4</v>
      </c>
      <c r="F594" s="5" t="n">
        <v>1.1</v>
      </c>
      <c r="G594" s="5" t="n">
        <v>2.9</v>
      </c>
      <c r="H594" s="5" t="n">
        <v>41.2</v>
      </c>
      <c r="I594" s="5" t="n">
        <v>67.7</v>
      </c>
      <c r="J594" s="5" t="n">
        <v>3</v>
      </c>
      <c r="K594" s="5" t="n">
        <f aca="false">ROUND(MIN(MAX((B594*10)*0.2 + (MIN(E594/25*100,100))*0.2 + (MAX(100-F594*5,0))*0.15 + (G594*10)*0.15 + (H594)*0.15 + (I594)*0.15 - (J594*5),0),100),0)</f>
        <v>42</v>
      </c>
    </row>
    <row r="595" customFormat="false" ht="15" hidden="false" customHeight="true" outlineLevel="0" collapsed="false">
      <c r="A595" s="5" t="s">
        <v>2180</v>
      </c>
      <c r="B595" s="5" t="n">
        <v>8.5</v>
      </c>
      <c r="C595" s="5" t="n">
        <v>20</v>
      </c>
      <c r="D595" s="5" t="n">
        <v>15</v>
      </c>
      <c r="E595" s="5" t="n">
        <v>11.2</v>
      </c>
      <c r="F595" s="5" t="n">
        <v>12.4</v>
      </c>
      <c r="G595" s="5" t="n">
        <v>6.9</v>
      </c>
      <c r="H595" s="5" t="n">
        <v>74.9</v>
      </c>
      <c r="I595" s="5" t="n">
        <v>95.9</v>
      </c>
      <c r="J595" s="5" t="n">
        <v>3</v>
      </c>
      <c r="K595" s="5" t="n">
        <f aca="false">ROUND(MIN(MAX((B595*10)*0.2 + (MIN(E595/25*100,100))*0.2 + (MAX(100-F595*5,0))*0.15 + (G595*10)*0.15 + (H595)*0.15 + (I595)*0.15 - (J595*5),0),100),0)</f>
        <v>53</v>
      </c>
    </row>
    <row r="596" customFormat="false" ht="15" hidden="false" customHeight="true" outlineLevel="0" collapsed="false">
      <c r="A596" s="5" t="s">
        <v>2182</v>
      </c>
      <c r="B596" s="5" t="n">
        <v>8</v>
      </c>
      <c r="C596" s="5" t="n">
        <v>3</v>
      </c>
      <c r="D596" s="5" t="n">
        <v>4</v>
      </c>
      <c r="E596" s="5" t="n">
        <v>6.6</v>
      </c>
      <c r="F596" s="5" t="n">
        <v>3.7</v>
      </c>
      <c r="G596" s="5" t="n">
        <v>8.5</v>
      </c>
      <c r="H596" s="5" t="n">
        <v>75.2</v>
      </c>
      <c r="I596" s="5" t="n">
        <v>50.9</v>
      </c>
      <c r="J596" s="5" t="n">
        <v>0</v>
      </c>
      <c r="K596" s="5" t="n">
        <f aca="false">ROUND(MIN(MAX((B596*10)*0.2 + (MIN(E596/25*100,100))*0.2 + (MAX(100-F596*5,0))*0.15 + (G596*10)*0.15 + (H596)*0.15 + (I596)*0.15 - (J596*5),0),100),0)</f>
        <v>65</v>
      </c>
    </row>
    <row r="597" customFormat="false" ht="15" hidden="false" customHeight="true" outlineLevel="0" collapsed="false">
      <c r="A597" s="5" t="s">
        <v>2184</v>
      </c>
      <c r="B597" s="5" t="n">
        <v>3.6</v>
      </c>
      <c r="C597" s="5" t="n">
        <v>5</v>
      </c>
      <c r="D597" s="5" t="n">
        <v>7</v>
      </c>
      <c r="E597" s="5" t="n">
        <v>14.8</v>
      </c>
      <c r="F597" s="5" t="n">
        <v>9.8</v>
      </c>
      <c r="G597" s="5" t="n">
        <v>8.3</v>
      </c>
      <c r="H597" s="5" t="n">
        <v>42.4</v>
      </c>
      <c r="I597" s="5" t="n">
        <v>57.5</v>
      </c>
      <c r="J597" s="5" t="n">
        <v>3</v>
      </c>
      <c r="K597" s="5" t="n">
        <f aca="false">ROUND(MIN(MAX((B597*10)*0.2 + (MIN(E597/25*100,100))*0.2 + (MAX(100-F597*5,0))*0.15 + (G597*10)*0.15 + (H597)*0.15 + (I597)*0.15 - (J597*5),0),100),0)</f>
        <v>39</v>
      </c>
    </row>
    <row r="598" customFormat="false" ht="15" hidden="false" customHeight="true" outlineLevel="0" collapsed="false">
      <c r="A598" s="5" t="s">
        <v>2186</v>
      </c>
      <c r="B598" s="5" t="n">
        <v>3.1</v>
      </c>
      <c r="C598" s="5" t="n">
        <v>14</v>
      </c>
      <c r="D598" s="5" t="n">
        <v>0</v>
      </c>
      <c r="E598" s="5" t="n">
        <v>6.1</v>
      </c>
      <c r="F598" s="5" t="n">
        <v>13.6</v>
      </c>
      <c r="G598" s="5" t="n">
        <v>7.9</v>
      </c>
      <c r="H598" s="5" t="n">
        <v>58.9</v>
      </c>
      <c r="I598" s="5" t="n">
        <v>68.1</v>
      </c>
      <c r="J598" s="5" t="n">
        <v>0</v>
      </c>
      <c r="K598" s="5" t="n">
        <f aca="false">ROUND(MIN(MAX((B598*10)*0.2 + (MIN(E598/25*100,100))*0.2 + (MAX(100-F598*5,0))*0.15 + (G598*10)*0.15 + (H598)*0.15 + (I598)*0.15 - (J598*5),0),100),0)</f>
        <v>47</v>
      </c>
    </row>
    <row r="599" customFormat="false" ht="15" hidden="false" customHeight="true" outlineLevel="0" collapsed="false">
      <c r="A599" s="5" t="s">
        <v>2188</v>
      </c>
      <c r="B599" s="5" t="n">
        <v>8.4</v>
      </c>
      <c r="C599" s="5" t="n">
        <v>19</v>
      </c>
      <c r="D599" s="5" t="n">
        <v>7</v>
      </c>
      <c r="E599" s="5" t="n">
        <v>8.4</v>
      </c>
      <c r="F599" s="5" t="n">
        <v>9</v>
      </c>
      <c r="G599" s="5" t="n">
        <v>8.7</v>
      </c>
      <c r="H599" s="5" t="n">
        <v>33.3</v>
      </c>
      <c r="I599" s="5" t="n">
        <v>40.5</v>
      </c>
      <c r="J599" s="5" t="n">
        <v>3</v>
      </c>
      <c r="K599" s="5" t="n">
        <f aca="false">ROUND(MIN(MAX((B599*10)*0.2 + (MIN(E599/25*100,100))*0.2 + (MAX(100-F599*5,0))*0.15 + (G599*10)*0.15 + (H599)*0.15 + (I599)*0.15 - (J599*5),0),100),0)</f>
        <v>41</v>
      </c>
    </row>
    <row r="600" customFormat="false" ht="15" hidden="false" customHeight="true" outlineLevel="0" collapsed="false">
      <c r="A600" s="5" t="s">
        <v>2190</v>
      </c>
      <c r="B600" s="5" t="n">
        <v>9.3</v>
      </c>
      <c r="C600" s="5" t="n">
        <v>16</v>
      </c>
      <c r="D600" s="5" t="n">
        <v>9</v>
      </c>
      <c r="E600" s="5" t="n">
        <v>4</v>
      </c>
      <c r="F600" s="5" t="n">
        <v>6.6</v>
      </c>
      <c r="G600" s="5" t="n">
        <v>6.1</v>
      </c>
      <c r="H600" s="5" t="n">
        <v>77.1</v>
      </c>
      <c r="I600" s="5" t="n">
        <v>94.2</v>
      </c>
      <c r="J600" s="5" t="n">
        <v>3</v>
      </c>
      <c r="K600" s="5" t="n">
        <f aca="false">ROUND(MIN(MAX((B600*10)*0.2 + (MIN(E600/25*100,100))*0.2 + (MAX(100-F600*5,0))*0.15 + (G600*10)*0.15 + (H600)*0.15 + (I600)*0.15 - (J600*5),0),100),0)</f>
        <v>52</v>
      </c>
    </row>
    <row r="601" customFormat="false" ht="15" hidden="false" customHeight="true" outlineLevel="0" collapsed="false">
      <c r="A601" s="5" t="s">
        <v>2192</v>
      </c>
      <c r="B601" s="5" t="n">
        <v>3.7</v>
      </c>
      <c r="C601" s="5" t="n">
        <v>2</v>
      </c>
      <c r="D601" s="5" t="n">
        <v>0</v>
      </c>
      <c r="E601" s="5" t="n">
        <v>14.4</v>
      </c>
      <c r="F601" s="5" t="n">
        <v>5.4</v>
      </c>
      <c r="G601" s="5" t="n">
        <v>2.5</v>
      </c>
      <c r="H601" s="5" t="n">
        <v>88</v>
      </c>
      <c r="I601" s="5" t="n">
        <v>64.2</v>
      </c>
      <c r="J601" s="5" t="n">
        <v>3</v>
      </c>
      <c r="K601" s="5" t="n">
        <f aca="false">ROUND(MIN(MAX((B601*10)*0.2 + (MIN(E601/25*100,100))*0.2 + (MAX(100-F601*5,0))*0.15 + (G601*10)*0.15 + (H601)*0.15 + (I601)*0.15 - (J601*5),0),100),0)</f>
        <v>41</v>
      </c>
    </row>
    <row r="602" customFormat="false" ht="15" hidden="false" customHeight="true" outlineLevel="0" collapsed="false">
      <c r="A602" s="5" t="s">
        <v>2194</v>
      </c>
      <c r="B602" s="5" t="n">
        <v>2.9</v>
      </c>
      <c r="C602" s="5" t="n">
        <v>20</v>
      </c>
      <c r="D602" s="5" t="n">
        <v>11</v>
      </c>
      <c r="E602" s="5" t="n">
        <v>15.1</v>
      </c>
      <c r="F602" s="5" t="n">
        <v>7.1</v>
      </c>
      <c r="G602" s="5" t="n">
        <v>3.3</v>
      </c>
      <c r="H602" s="5" t="n">
        <v>77.2</v>
      </c>
      <c r="I602" s="5" t="n">
        <v>67.2</v>
      </c>
      <c r="J602" s="5" t="n">
        <v>3</v>
      </c>
      <c r="K602" s="5" t="n">
        <f aca="false">ROUND(MIN(MAX((B602*10)*0.2 + (MIN(E602/25*100,100))*0.2 + (MAX(100-F602*5,0))*0.15 + (G602*10)*0.15 + (H602)*0.15 + (I602)*0.15 - (J602*5),0),100),0)</f>
        <v>39</v>
      </c>
    </row>
    <row r="603" customFormat="false" ht="15" hidden="false" customHeight="true" outlineLevel="0" collapsed="false">
      <c r="A603" s="5" t="s">
        <v>2196</v>
      </c>
      <c r="B603" s="5" t="n">
        <v>3.7</v>
      </c>
      <c r="C603" s="5" t="n">
        <v>8</v>
      </c>
      <c r="D603" s="5" t="n">
        <v>10</v>
      </c>
      <c r="E603" s="5" t="n">
        <v>27.9</v>
      </c>
      <c r="F603" s="5" t="n">
        <v>12.9</v>
      </c>
      <c r="G603" s="5" t="n">
        <v>7.7</v>
      </c>
      <c r="H603" s="5" t="n">
        <v>60.5</v>
      </c>
      <c r="I603" s="5" t="n">
        <v>91.2</v>
      </c>
      <c r="J603" s="5" t="n">
        <v>3</v>
      </c>
      <c r="K603" s="5" t="n">
        <f aca="false">ROUND(MIN(MAX((B603*10)*0.2 + (MIN(E603/25*100,100))*0.2 + (MAX(100-F603*5,0))*0.15 + (G603*10)*0.15 + (H603)*0.15 + (I603)*0.15 - (J603*5),0),100),0)</f>
        <v>52</v>
      </c>
    </row>
    <row r="604" customFormat="false" ht="15" hidden="false" customHeight="true" outlineLevel="0" collapsed="false">
      <c r="A604" s="5" t="s">
        <v>2198</v>
      </c>
      <c r="B604" s="5" t="n">
        <v>9.2</v>
      </c>
      <c r="C604" s="5" t="n">
        <v>12</v>
      </c>
      <c r="D604" s="5" t="n">
        <v>15</v>
      </c>
      <c r="E604" s="5" t="n">
        <v>24.6</v>
      </c>
      <c r="F604" s="5" t="n">
        <v>12.8</v>
      </c>
      <c r="G604" s="5" t="n">
        <v>7</v>
      </c>
      <c r="H604" s="5" t="n">
        <v>48.4</v>
      </c>
      <c r="I604" s="5" t="n">
        <v>83.5</v>
      </c>
      <c r="J604" s="5" t="n">
        <v>3</v>
      </c>
      <c r="K604" s="5" t="n">
        <f aca="false">ROUND(MIN(MAX((B604*10)*0.2 + (MIN(E604/25*100,100))*0.2 + (MAX(100-F604*5,0))*0.15 + (G604*10)*0.15 + (H604)*0.15 + (I604)*0.15 - (J604*5),0),100),0)</f>
        <v>59</v>
      </c>
    </row>
    <row r="605" customFormat="false" ht="15" hidden="false" customHeight="true" outlineLevel="0" collapsed="false">
      <c r="A605" s="5" t="s">
        <v>2200</v>
      </c>
      <c r="B605" s="5" t="n">
        <v>3</v>
      </c>
      <c r="C605" s="5" t="n">
        <v>7</v>
      </c>
      <c r="D605" s="5" t="n">
        <v>5</v>
      </c>
      <c r="E605" s="5" t="n">
        <v>19.4</v>
      </c>
      <c r="F605" s="5" t="n">
        <v>2.4</v>
      </c>
      <c r="G605" s="5" t="n">
        <v>5.3</v>
      </c>
      <c r="H605" s="5" t="n">
        <v>94.6</v>
      </c>
      <c r="I605" s="5" t="n">
        <v>57.6</v>
      </c>
      <c r="J605" s="5" t="n">
        <v>1</v>
      </c>
      <c r="K605" s="5" t="n">
        <f aca="false">ROUND(MIN(MAX((B605*10)*0.2 + (MIN(E605/25*100,100))*0.2 + (MAX(100-F605*5,0))*0.15 + (G605*10)*0.15 + (H605)*0.15 + (I605)*0.15 - (J605*5),0),100),0)</f>
        <v>61</v>
      </c>
    </row>
    <row r="606" customFormat="false" ht="15" hidden="false" customHeight="true" outlineLevel="0" collapsed="false">
      <c r="A606" s="5" t="s">
        <v>2202</v>
      </c>
      <c r="B606" s="5" t="n">
        <v>6.2</v>
      </c>
      <c r="C606" s="5" t="n">
        <v>1</v>
      </c>
      <c r="D606" s="5" t="n">
        <v>11</v>
      </c>
      <c r="E606" s="5" t="n">
        <v>26.8</v>
      </c>
      <c r="F606" s="5" t="n">
        <v>6</v>
      </c>
      <c r="G606" s="5" t="n">
        <v>3.3</v>
      </c>
      <c r="H606" s="5" t="n">
        <v>83.8</v>
      </c>
      <c r="I606" s="5" t="n">
        <v>91.9</v>
      </c>
      <c r="J606" s="5" t="n">
        <v>0</v>
      </c>
      <c r="K606" s="5" t="n">
        <f aca="false">ROUND(MIN(MAX((B606*10)*0.2 + (MIN(E606/25*100,100))*0.2 + (MAX(100-F606*5,0))*0.15 + (G606*10)*0.15 + (H606)*0.15 + (I606)*0.15 - (J606*5),0),100),0)</f>
        <v>74</v>
      </c>
    </row>
    <row r="607" customFormat="false" ht="15" hidden="false" customHeight="true" outlineLevel="0" collapsed="false">
      <c r="A607" s="5" t="s">
        <v>2204</v>
      </c>
      <c r="B607" s="5" t="n">
        <v>8.1</v>
      </c>
      <c r="C607" s="5" t="n">
        <v>11</v>
      </c>
      <c r="D607" s="5" t="n">
        <v>13</v>
      </c>
      <c r="E607" s="5" t="n">
        <v>6.1</v>
      </c>
      <c r="F607" s="5" t="n">
        <v>4.2</v>
      </c>
      <c r="G607" s="5" t="n">
        <v>6.5</v>
      </c>
      <c r="H607" s="5" t="n">
        <v>61.6</v>
      </c>
      <c r="I607" s="5" t="n">
        <v>97.6</v>
      </c>
      <c r="J607" s="5" t="n">
        <v>2</v>
      </c>
      <c r="K607" s="5" t="n">
        <f aca="false">ROUND(MIN(MAX((B607*10)*0.2 + (MIN(E607/25*100,100))*0.2 + (MAX(100-F607*5,0))*0.15 + (G607*10)*0.15 + (H607)*0.15 + (I607)*0.15 - (J607*5),0),100),0)</f>
        <v>57</v>
      </c>
    </row>
    <row r="608" customFormat="false" ht="15" hidden="false" customHeight="true" outlineLevel="0" collapsed="false">
      <c r="A608" s="5" t="s">
        <v>2206</v>
      </c>
      <c r="B608" s="5" t="n">
        <v>7.8</v>
      </c>
      <c r="C608" s="5" t="n">
        <v>18</v>
      </c>
      <c r="D608" s="5" t="n">
        <v>8</v>
      </c>
      <c r="E608" s="5" t="n">
        <v>27.2</v>
      </c>
      <c r="F608" s="5" t="n">
        <v>12.9</v>
      </c>
      <c r="G608" s="5" t="n">
        <v>9</v>
      </c>
      <c r="H608" s="5" t="n">
        <v>69.3</v>
      </c>
      <c r="I608" s="5" t="n">
        <v>46</v>
      </c>
      <c r="J608" s="5" t="n">
        <v>0</v>
      </c>
      <c r="K608" s="5" t="n">
        <f aca="false">ROUND(MIN(MAX((B608*10)*0.2 + (MIN(E608/25*100,100))*0.2 + (MAX(100-F608*5,0))*0.15 + (G608*10)*0.15 + (H608)*0.15 + (I608)*0.15 - (J608*5),0),100),0)</f>
        <v>72</v>
      </c>
    </row>
    <row r="609" customFormat="false" ht="15" hidden="false" customHeight="true" outlineLevel="0" collapsed="false">
      <c r="A609" s="5" t="s">
        <v>2208</v>
      </c>
      <c r="B609" s="5" t="n">
        <v>8.9</v>
      </c>
      <c r="C609" s="5" t="n">
        <v>15</v>
      </c>
      <c r="D609" s="5" t="n">
        <v>14</v>
      </c>
      <c r="E609" s="5" t="n">
        <v>29</v>
      </c>
      <c r="F609" s="5" t="n">
        <v>11.6</v>
      </c>
      <c r="G609" s="5" t="n">
        <v>9.8</v>
      </c>
      <c r="H609" s="5" t="n">
        <v>80.8</v>
      </c>
      <c r="I609" s="5" t="n">
        <v>75.4</v>
      </c>
      <c r="J609" s="5" t="n">
        <v>0</v>
      </c>
      <c r="K609" s="5" t="n">
        <f aca="false">ROUND(MIN(MAX((B609*10)*0.2 + (MIN(E609/25*100,100))*0.2 + (MAX(100-F609*5,0))*0.15 + (G609*10)*0.15 + (H609)*0.15 + (I609)*0.15 - (J609*5),0),100),0)</f>
        <v>82</v>
      </c>
    </row>
    <row r="610" customFormat="false" ht="15" hidden="false" customHeight="true" outlineLevel="0" collapsed="false">
      <c r="A610" s="5" t="s">
        <v>2210</v>
      </c>
      <c r="B610" s="5" t="n">
        <v>8.2</v>
      </c>
      <c r="C610" s="5" t="n">
        <v>2</v>
      </c>
      <c r="D610" s="5" t="n">
        <v>3</v>
      </c>
      <c r="E610" s="5" t="n">
        <v>7.5</v>
      </c>
      <c r="F610" s="5" t="n">
        <v>2.7</v>
      </c>
      <c r="G610" s="5" t="n">
        <v>3.6</v>
      </c>
      <c r="H610" s="5" t="n">
        <v>53.5</v>
      </c>
      <c r="I610" s="5" t="n">
        <v>82.2</v>
      </c>
      <c r="J610" s="5" t="n">
        <v>3</v>
      </c>
      <c r="K610" s="5" t="n">
        <f aca="false">ROUND(MIN(MAX((B610*10)*0.2 + (MIN(E610/25*100,100))*0.2 + (MAX(100-F610*5,0))*0.15 + (G610*10)*0.15 + (H610)*0.15 + (I610)*0.15 - (J610*5),0),100),0)</f>
        <v>46</v>
      </c>
    </row>
    <row r="611" customFormat="false" ht="15" hidden="false" customHeight="true" outlineLevel="0" collapsed="false">
      <c r="A611" s="5" t="s">
        <v>2212</v>
      </c>
      <c r="B611" s="5" t="n">
        <v>7.7</v>
      </c>
      <c r="C611" s="5" t="n">
        <v>16</v>
      </c>
      <c r="D611" s="5" t="n">
        <v>3</v>
      </c>
      <c r="E611" s="5" t="n">
        <v>7.2</v>
      </c>
      <c r="F611" s="5" t="n">
        <v>6.1</v>
      </c>
      <c r="G611" s="5" t="n">
        <v>8.6</v>
      </c>
      <c r="H611" s="5" t="n">
        <v>38</v>
      </c>
      <c r="I611" s="5" t="n">
        <v>51.7</v>
      </c>
      <c r="J611" s="5" t="n">
        <v>3</v>
      </c>
      <c r="K611" s="5" t="n">
        <f aca="false">ROUND(MIN(MAX((B611*10)*0.2 + (MIN(E611/25*100,100))*0.2 + (MAX(100-F611*5,0))*0.15 + (G611*10)*0.15 + (H611)*0.15 + (I611)*0.15 - (J611*5),0),100),0)</f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4" min="2" style="1" width="12"/>
  </cols>
  <sheetData>
    <row r="1" customFormat="false" ht="15" hidden="false" customHeight="true" outlineLevel="0" collapsed="false">
      <c r="A1" s="9" t="s">
        <v>2224</v>
      </c>
      <c r="B1" s="9" t="s">
        <v>59</v>
      </c>
      <c r="C1" s="9" t="s">
        <v>2225</v>
      </c>
      <c r="D1" s="9" t="s">
        <v>54</v>
      </c>
    </row>
    <row r="2" customFormat="false" ht="15" hidden="false" customHeight="true" outlineLevel="0" collapsed="false">
      <c r="A2" s="9" t="s">
        <v>59</v>
      </c>
      <c r="B2" s="10" t="s">
        <v>59</v>
      </c>
      <c r="C2" s="10" t="s">
        <v>59</v>
      </c>
      <c r="D2" s="10" t="s">
        <v>2225</v>
      </c>
    </row>
    <row r="3" customFormat="false" ht="15" hidden="false" customHeight="true" outlineLevel="0" collapsed="false">
      <c r="A3" s="9" t="s">
        <v>2225</v>
      </c>
      <c r="B3" s="10" t="s">
        <v>59</v>
      </c>
      <c r="C3" s="10" t="s">
        <v>2225</v>
      </c>
      <c r="D3" s="10" t="s">
        <v>54</v>
      </c>
    </row>
    <row r="4" customFormat="false" ht="15" hidden="false" customHeight="true" outlineLevel="0" collapsed="false">
      <c r="A4" s="9" t="s">
        <v>54</v>
      </c>
      <c r="B4" s="10" t="s">
        <v>2225</v>
      </c>
      <c r="C4" s="10" t="s">
        <v>54</v>
      </c>
      <c r="D4" s="10" t="s">
        <v>54</v>
      </c>
    </row>
    <row r="7" customFormat="false" ht="15" hidden="false" customHeight="true" outlineLevel="0" collapsed="false">
      <c r="A7" s="11" t="s">
        <v>2226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6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1691" activePane="bottomLeft" state="frozen"/>
      <selection pane="topLeft" activeCell="A1" activeCellId="0" sqref="A1"/>
      <selection pane="bottomLeft" activeCell="H1807" activeCellId="0" sqref="H1807"/>
    </sheetView>
  </sheetViews>
  <sheetFormatPr defaultColWidth="8.71484375" defaultRowHeight="15" zeroHeight="false" outlineLevelRow="0" outlineLevelCol="0"/>
  <cols>
    <col collapsed="false" customWidth="true" hidden="false" outlineLevel="0" max="2" min="1" style="1" width="10"/>
    <col collapsed="false" customWidth="true" hidden="false" outlineLevel="0" max="3" min="3" style="1" width="16"/>
    <col collapsed="false" customWidth="true" hidden="false" outlineLevel="0" max="4" min="4" style="1" width="42"/>
    <col collapsed="false" customWidth="true" hidden="false" outlineLevel="0" max="5" min="5" style="1" width="12"/>
    <col collapsed="false" customWidth="true" hidden="false" outlineLevel="0" max="6" min="6" style="1" width="10"/>
    <col collapsed="false" customWidth="true" hidden="false" outlineLevel="0" max="8" min="7" style="1" width="16"/>
    <col collapsed="false" customWidth="true" hidden="false" outlineLevel="0" max="9" min="9" style="1" width="12"/>
    <col collapsed="false" customWidth="true" hidden="false" outlineLevel="0" max="10" min="10" style="1" width="40"/>
    <col collapsed="false" customWidth="true" hidden="false" outlineLevel="0" max="11" min="11" style="1" width="22"/>
    <col collapsed="false" customWidth="true" hidden="false" outlineLevel="0" max="12" min="12" style="1" width="16"/>
  </cols>
  <sheetData>
    <row r="1" customFormat="false" ht="23.25" hidden="false" customHeight="true" outlineLevel="0" collapsed="false">
      <c r="A1" s="7" t="s">
        <v>2227</v>
      </c>
      <c r="B1" s="7" t="s">
        <v>963</v>
      </c>
      <c r="C1" s="7" t="s">
        <v>2228</v>
      </c>
      <c r="D1" s="7" t="s">
        <v>2229</v>
      </c>
      <c r="E1" s="7" t="s">
        <v>2230</v>
      </c>
      <c r="F1" s="7" t="s">
        <v>2231</v>
      </c>
      <c r="G1" s="7" t="s">
        <v>2232</v>
      </c>
      <c r="H1" s="7" t="s">
        <v>2233</v>
      </c>
      <c r="I1" s="7" t="s">
        <v>2234</v>
      </c>
      <c r="J1" s="7" t="s">
        <v>2235</v>
      </c>
      <c r="K1" s="7" t="s">
        <v>2236</v>
      </c>
      <c r="L1" s="7" t="s">
        <v>2237</v>
      </c>
    </row>
    <row r="2" customFormat="false" ht="15" hidden="false" customHeight="true" outlineLevel="0" collapsed="false">
      <c r="A2" s="5" t="s">
        <v>2238</v>
      </c>
      <c r="B2" s="5" t="s">
        <v>969</v>
      </c>
      <c r="C2" s="5" t="s">
        <v>2239</v>
      </c>
      <c r="D2" s="5" t="s">
        <v>2240</v>
      </c>
      <c r="E2" s="5" t="s">
        <v>2225</v>
      </c>
      <c r="F2" s="5" t="s">
        <v>54</v>
      </c>
      <c r="G2" s="5" t="str">
        <f aca="false">INDEX(Risk_Matrix!$B$2:$D$4,MATCH(E2,Risk_Matrix!$A$2:$A$4,0),MATCH(F2,Risk_Matrix!$B$1:$D$1,0))</f>
        <v>High</v>
      </c>
      <c r="H2" s="12" t="n">
        <v>46143</v>
      </c>
      <c r="I2" s="5" t="s">
        <v>2241</v>
      </c>
      <c r="J2" s="5" t="s">
        <v>2242</v>
      </c>
      <c r="K2" s="5" t="s">
        <v>2243</v>
      </c>
      <c r="L2" s="5" t="n">
        <f aca="false">IF(G2="High",3,IF(G2="Medium",2,1))</f>
        <v>3</v>
      </c>
    </row>
    <row r="3" customFormat="false" ht="15" hidden="false" customHeight="true" outlineLevel="0" collapsed="false">
      <c r="A3" s="5" t="s">
        <v>2244</v>
      </c>
      <c r="B3" s="5" t="s">
        <v>969</v>
      </c>
      <c r="C3" s="5" t="s">
        <v>2245</v>
      </c>
      <c r="D3" s="5" t="s">
        <v>2246</v>
      </c>
      <c r="E3" s="5" t="s">
        <v>59</v>
      </c>
      <c r="F3" s="5" t="s">
        <v>59</v>
      </c>
      <c r="G3" s="5" t="str">
        <f aca="false">INDEX(Risk_Matrix!$B$2:$D$4,MATCH(E3,Risk_Matrix!$A$2:$A$4,0),MATCH(F3,Risk_Matrix!$B$1:$D$1,0))</f>
        <v>Low</v>
      </c>
      <c r="H3" s="12" t="n">
        <v>46127</v>
      </c>
      <c r="I3" s="5" t="s">
        <v>2241</v>
      </c>
      <c r="J3" s="5" t="s">
        <v>2242</v>
      </c>
      <c r="K3" s="5" t="s">
        <v>2243</v>
      </c>
      <c r="L3" s="5" t="n">
        <f aca="false">IF(G3="High",3,IF(G3="Medium",2,1))</f>
        <v>1</v>
      </c>
    </row>
    <row r="4" customFormat="false" ht="15" hidden="false" customHeight="true" outlineLevel="0" collapsed="false">
      <c r="A4" s="5" t="s">
        <v>2247</v>
      </c>
      <c r="B4" s="5" t="s">
        <v>969</v>
      </c>
      <c r="C4" s="5" t="s">
        <v>2248</v>
      </c>
      <c r="D4" s="5" t="s">
        <v>2249</v>
      </c>
      <c r="E4" s="5" t="s">
        <v>59</v>
      </c>
      <c r="F4" s="5" t="s">
        <v>54</v>
      </c>
      <c r="G4" s="5" t="str">
        <f aca="false">INDEX(Risk_Matrix!$B$2:$D$4,MATCH(E4,Risk_Matrix!$A$2:$A$4,0),MATCH(F4,Risk_Matrix!$B$1:$D$1,0))</f>
        <v>Medium</v>
      </c>
      <c r="H4" s="12" t="n">
        <v>46081</v>
      </c>
      <c r="I4" s="5" t="s">
        <v>2250</v>
      </c>
      <c r="J4" s="5" t="s">
        <v>2251</v>
      </c>
      <c r="K4" s="5" t="s">
        <v>2252</v>
      </c>
      <c r="L4" s="5" t="n">
        <f aca="false">IF(G4="High",3,IF(G4="Medium",2,1))</f>
        <v>2</v>
      </c>
    </row>
    <row r="5" customFormat="false" ht="15" hidden="false" customHeight="true" outlineLevel="0" collapsed="false">
      <c r="A5" s="5" t="s">
        <v>2253</v>
      </c>
      <c r="B5" s="5" t="s">
        <v>969</v>
      </c>
      <c r="C5" s="5" t="s">
        <v>2254</v>
      </c>
      <c r="D5" s="5" t="s">
        <v>2255</v>
      </c>
      <c r="E5" s="5" t="s">
        <v>2225</v>
      </c>
      <c r="F5" s="5" t="s">
        <v>2225</v>
      </c>
      <c r="G5" s="5" t="str">
        <f aca="false">INDEX(Risk_Matrix!$B$2:$D$4,MATCH(E5,Risk_Matrix!$A$2:$A$4,0),MATCH(F5,Risk_Matrix!$B$1:$D$1,0))</f>
        <v>Medium</v>
      </c>
      <c r="H5" s="12" t="n">
        <v>46062</v>
      </c>
      <c r="I5" s="5" t="s">
        <v>2256</v>
      </c>
      <c r="J5" s="5" t="s">
        <v>2257</v>
      </c>
      <c r="K5" s="5" t="s">
        <v>2252</v>
      </c>
      <c r="L5" s="5" t="n">
        <f aca="false">IF(G5="High",3,IF(G5="Medium",2,1))</f>
        <v>2</v>
      </c>
    </row>
    <row r="6" customFormat="false" ht="15" hidden="false" customHeight="true" outlineLevel="0" collapsed="false">
      <c r="A6" s="5" t="s">
        <v>2258</v>
      </c>
      <c r="B6" s="5" t="s">
        <v>969</v>
      </c>
      <c r="C6" s="5" t="s">
        <v>2259</v>
      </c>
      <c r="D6" s="5" t="s">
        <v>2260</v>
      </c>
      <c r="E6" s="5" t="s">
        <v>59</v>
      </c>
      <c r="F6" s="5" t="s">
        <v>59</v>
      </c>
      <c r="G6" s="5" t="str">
        <f aca="false">INDEX(Risk_Matrix!$B$2:$D$4,MATCH(E6,Risk_Matrix!$A$2:$A$4,0),MATCH(F6,Risk_Matrix!$B$1:$D$1,0))</f>
        <v>Low</v>
      </c>
      <c r="H6" s="12" t="n">
        <v>46092</v>
      </c>
      <c r="I6" s="5" t="s">
        <v>2250</v>
      </c>
      <c r="J6" s="5" t="s">
        <v>2251</v>
      </c>
      <c r="K6" s="5" t="s">
        <v>2243</v>
      </c>
      <c r="L6" s="5" t="n">
        <f aca="false">IF(G6="High",3,IF(G6="Medium",2,1))</f>
        <v>1</v>
      </c>
    </row>
    <row r="7" customFormat="false" ht="15" hidden="false" customHeight="true" outlineLevel="0" collapsed="false">
      <c r="A7" s="5" t="s">
        <v>2261</v>
      </c>
      <c r="B7" s="5" t="s">
        <v>969</v>
      </c>
      <c r="C7" s="5" t="s">
        <v>2262</v>
      </c>
      <c r="D7" s="5" t="s">
        <v>2263</v>
      </c>
      <c r="E7" s="5" t="s">
        <v>59</v>
      </c>
      <c r="F7" s="5" t="s">
        <v>2225</v>
      </c>
      <c r="G7" s="5" t="str">
        <f aca="false">INDEX(Risk_Matrix!$B$2:$D$4,MATCH(E7,Risk_Matrix!$A$2:$A$4,0),MATCH(F7,Risk_Matrix!$B$1:$D$1,0))</f>
        <v>Low</v>
      </c>
      <c r="H7" s="12" t="n">
        <v>46082</v>
      </c>
      <c r="I7" s="5" t="s">
        <v>2264</v>
      </c>
      <c r="J7" s="5" t="s">
        <v>2265</v>
      </c>
      <c r="K7" s="5" t="s">
        <v>2266</v>
      </c>
      <c r="L7" s="5" t="n">
        <f aca="false">IF(G7="High",3,IF(G7="Medium",2,1))</f>
        <v>1</v>
      </c>
    </row>
    <row r="8" customFormat="false" ht="15" hidden="false" customHeight="true" outlineLevel="0" collapsed="false">
      <c r="A8" s="5" t="s">
        <v>2267</v>
      </c>
      <c r="B8" s="5" t="s">
        <v>975</v>
      </c>
      <c r="C8" s="5" t="s">
        <v>2239</v>
      </c>
      <c r="D8" s="5" t="s">
        <v>2240</v>
      </c>
      <c r="E8" s="5" t="s">
        <v>54</v>
      </c>
      <c r="F8" s="5" t="s">
        <v>59</v>
      </c>
      <c r="G8" s="5" t="str">
        <f aca="false">INDEX(Risk_Matrix!$B$2:$D$4,MATCH(E8,Risk_Matrix!$A$2:$A$4,0),MATCH(F8,Risk_Matrix!$B$1:$D$1,0))</f>
        <v>Medium</v>
      </c>
      <c r="H8" s="12" t="n">
        <v>46178</v>
      </c>
      <c r="I8" s="5" t="s">
        <v>2250</v>
      </c>
      <c r="J8" s="5" t="s">
        <v>2251</v>
      </c>
      <c r="K8" s="5" t="s">
        <v>2252</v>
      </c>
      <c r="L8" s="5" t="n">
        <f aca="false">IF(G8="High",3,IF(G8="Medium",2,1))</f>
        <v>2</v>
      </c>
    </row>
    <row r="9" customFormat="false" ht="15" hidden="false" customHeight="true" outlineLevel="0" collapsed="false">
      <c r="A9" s="5" t="s">
        <v>2268</v>
      </c>
      <c r="B9" s="5" t="s">
        <v>975</v>
      </c>
      <c r="C9" s="5" t="s">
        <v>2245</v>
      </c>
      <c r="D9" s="5" t="s">
        <v>2269</v>
      </c>
      <c r="E9" s="5" t="s">
        <v>59</v>
      </c>
      <c r="F9" s="5" t="s">
        <v>54</v>
      </c>
      <c r="G9" s="5" t="str">
        <f aca="false">INDEX(Risk_Matrix!$B$2:$D$4,MATCH(E9,Risk_Matrix!$A$2:$A$4,0),MATCH(F9,Risk_Matrix!$B$1:$D$1,0))</f>
        <v>Medium</v>
      </c>
      <c r="H9" s="12" t="n">
        <v>46067</v>
      </c>
      <c r="I9" s="5" t="s">
        <v>2256</v>
      </c>
      <c r="J9" s="5" t="s">
        <v>2257</v>
      </c>
      <c r="K9" s="5" t="s">
        <v>2252</v>
      </c>
      <c r="L9" s="5" t="n">
        <f aca="false">IF(G9="High",3,IF(G9="Medium",2,1))</f>
        <v>2</v>
      </c>
    </row>
    <row r="10" customFormat="false" ht="15" hidden="false" customHeight="true" outlineLevel="0" collapsed="false">
      <c r="A10" s="5" t="s">
        <v>2270</v>
      </c>
      <c r="B10" s="5" t="s">
        <v>975</v>
      </c>
      <c r="C10" s="5" t="s">
        <v>2248</v>
      </c>
      <c r="D10" s="5" t="s">
        <v>2271</v>
      </c>
      <c r="E10" s="5" t="s">
        <v>59</v>
      </c>
      <c r="F10" s="5" t="s">
        <v>59</v>
      </c>
      <c r="G10" s="5" t="str">
        <f aca="false">INDEX(Risk_Matrix!$B$2:$D$4,MATCH(E10,Risk_Matrix!$A$2:$A$4,0),MATCH(F10,Risk_Matrix!$B$1:$D$1,0))</f>
        <v>Low</v>
      </c>
      <c r="H10" s="12" t="n">
        <v>46149</v>
      </c>
      <c r="I10" s="5" t="s">
        <v>2250</v>
      </c>
      <c r="J10" s="5" t="s">
        <v>2251</v>
      </c>
      <c r="K10" s="5" t="s">
        <v>2252</v>
      </c>
      <c r="L10" s="5" t="n">
        <f aca="false">IF(G10="High",3,IF(G10="Medium",2,1))</f>
        <v>1</v>
      </c>
    </row>
    <row r="11" customFormat="false" ht="15" hidden="false" customHeight="true" outlineLevel="0" collapsed="false">
      <c r="A11" s="5" t="s">
        <v>2272</v>
      </c>
      <c r="B11" s="5" t="s">
        <v>975</v>
      </c>
      <c r="C11" s="5" t="s">
        <v>2254</v>
      </c>
      <c r="D11" s="5" t="s">
        <v>2255</v>
      </c>
      <c r="E11" s="5" t="s">
        <v>2225</v>
      </c>
      <c r="F11" s="5" t="s">
        <v>59</v>
      </c>
      <c r="G11" s="5" t="str">
        <f aca="false">INDEX(Risk_Matrix!$B$2:$D$4,MATCH(E11,Risk_Matrix!$A$2:$A$4,0),MATCH(F11,Risk_Matrix!$B$1:$D$1,0))</f>
        <v>Low</v>
      </c>
      <c r="H11" s="12" t="n">
        <v>46131</v>
      </c>
      <c r="I11" s="5" t="s">
        <v>2250</v>
      </c>
      <c r="J11" s="5" t="s">
        <v>2251</v>
      </c>
      <c r="K11" s="5" t="s">
        <v>2266</v>
      </c>
      <c r="L11" s="5" t="n">
        <f aca="false">IF(G11="High",3,IF(G11="Medium",2,1))</f>
        <v>1</v>
      </c>
    </row>
    <row r="12" customFormat="false" ht="15" hidden="false" customHeight="true" outlineLevel="0" collapsed="false">
      <c r="A12" s="5" t="s">
        <v>2273</v>
      </c>
      <c r="B12" s="5" t="s">
        <v>975</v>
      </c>
      <c r="C12" s="5" t="s">
        <v>2259</v>
      </c>
      <c r="D12" s="5" t="s">
        <v>2274</v>
      </c>
      <c r="E12" s="5" t="s">
        <v>59</v>
      </c>
      <c r="F12" s="5" t="s">
        <v>59</v>
      </c>
      <c r="G12" s="5" t="str">
        <f aca="false">INDEX(Risk_Matrix!$B$2:$D$4,MATCH(E12,Risk_Matrix!$A$2:$A$4,0),MATCH(F12,Risk_Matrix!$B$1:$D$1,0))</f>
        <v>Low</v>
      </c>
      <c r="H12" s="12" t="n">
        <v>46213</v>
      </c>
      <c r="I12" s="5" t="s">
        <v>2250</v>
      </c>
      <c r="J12" s="5" t="s">
        <v>2251</v>
      </c>
      <c r="K12" s="5" t="s">
        <v>2243</v>
      </c>
      <c r="L12" s="5" t="n">
        <f aca="false">IF(G12="High",3,IF(G12="Medium",2,1))</f>
        <v>1</v>
      </c>
    </row>
    <row r="13" customFormat="false" ht="15" hidden="false" customHeight="true" outlineLevel="0" collapsed="false">
      <c r="A13" s="5" t="s">
        <v>2275</v>
      </c>
      <c r="B13" s="5" t="s">
        <v>975</v>
      </c>
      <c r="C13" s="5" t="s">
        <v>2262</v>
      </c>
      <c r="D13" s="5" t="s">
        <v>2263</v>
      </c>
      <c r="E13" s="5" t="s">
        <v>2225</v>
      </c>
      <c r="F13" s="5" t="s">
        <v>2225</v>
      </c>
      <c r="G13" s="5" t="str">
        <f aca="false">INDEX(Risk_Matrix!$B$2:$D$4,MATCH(E13,Risk_Matrix!$A$2:$A$4,0),MATCH(F13,Risk_Matrix!$B$1:$D$1,0))</f>
        <v>Medium</v>
      </c>
      <c r="H13" s="12" t="n">
        <v>46220</v>
      </c>
      <c r="I13" s="5" t="s">
        <v>2256</v>
      </c>
      <c r="J13" s="5" t="s">
        <v>2257</v>
      </c>
      <c r="K13" s="5" t="s">
        <v>2276</v>
      </c>
      <c r="L13" s="5" t="n">
        <f aca="false">IF(G13="High",3,IF(G13="Medium",2,1))</f>
        <v>2</v>
      </c>
    </row>
    <row r="14" customFormat="false" ht="15" hidden="false" customHeight="true" outlineLevel="0" collapsed="false">
      <c r="A14" s="5" t="s">
        <v>2277</v>
      </c>
      <c r="B14" s="5" t="s">
        <v>978</v>
      </c>
      <c r="C14" s="5" t="s">
        <v>2239</v>
      </c>
      <c r="D14" s="5" t="s">
        <v>2278</v>
      </c>
      <c r="E14" s="5" t="s">
        <v>59</v>
      </c>
      <c r="F14" s="5" t="s">
        <v>59</v>
      </c>
      <c r="G14" s="5" t="str">
        <f aca="false">INDEX(Risk_Matrix!$B$2:$D$4,MATCH(E14,Risk_Matrix!$A$2:$A$4,0),MATCH(F14,Risk_Matrix!$B$1:$D$1,0))</f>
        <v>Low</v>
      </c>
      <c r="H14" s="12" t="n">
        <v>46151</v>
      </c>
      <c r="I14" s="5" t="s">
        <v>2256</v>
      </c>
      <c r="J14" s="5" t="s">
        <v>2257</v>
      </c>
      <c r="K14" s="5" t="s">
        <v>2266</v>
      </c>
      <c r="L14" s="5" t="n">
        <f aca="false">IF(G14="High",3,IF(G14="Medium",2,1))</f>
        <v>1</v>
      </c>
    </row>
    <row r="15" customFormat="false" ht="15" hidden="false" customHeight="true" outlineLevel="0" collapsed="false">
      <c r="A15" s="5" t="s">
        <v>2279</v>
      </c>
      <c r="B15" s="5" t="s">
        <v>978</v>
      </c>
      <c r="C15" s="5" t="s">
        <v>2245</v>
      </c>
      <c r="D15" s="5" t="s">
        <v>2280</v>
      </c>
      <c r="E15" s="5" t="s">
        <v>59</v>
      </c>
      <c r="F15" s="5" t="s">
        <v>59</v>
      </c>
      <c r="G15" s="5" t="str">
        <f aca="false">INDEX(Risk_Matrix!$B$2:$D$4,MATCH(E15,Risk_Matrix!$A$2:$A$4,0),MATCH(F15,Risk_Matrix!$B$1:$D$1,0))</f>
        <v>Low</v>
      </c>
      <c r="H15" s="12" t="n">
        <v>46215</v>
      </c>
      <c r="I15" s="5" t="s">
        <v>2264</v>
      </c>
      <c r="J15" s="5" t="s">
        <v>2265</v>
      </c>
      <c r="K15" s="5" t="s">
        <v>2252</v>
      </c>
      <c r="L15" s="5" t="n">
        <f aca="false">IF(G15="High",3,IF(G15="Medium",2,1))</f>
        <v>1</v>
      </c>
    </row>
    <row r="16" customFormat="false" ht="15" hidden="false" customHeight="true" outlineLevel="0" collapsed="false">
      <c r="A16" s="5" t="s">
        <v>2281</v>
      </c>
      <c r="B16" s="5" t="s">
        <v>978</v>
      </c>
      <c r="C16" s="5" t="s">
        <v>2248</v>
      </c>
      <c r="D16" s="5" t="s">
        <v>2271</v>
      </c>
      <c r="E16" s="5" t="s">
        <v>2225</v>
      </c>
      <c r="F16" s="5" t="s">
        <v>59</v>
      </c>
      <c r="G16" s="5" t="str">
        <f aca="false">INDEX(Risk_Matrix!$B$2:$D$4,MATCH(E16,Risk_Matrix!$A$2:$A$4,0),MATCH(F16,Risk_Matrix!$B$1:$D$1,0))</f>
        <v>Low</v>
      </c>
      <c r="H16" s="12" t="n">
        <v>46083</v>
      </c>
      <c r="I16" s="5" t="s">
        <v>2250</v>
      </c>
      <c r="J16" s="5" t="s">
        <v>2251</v>
      </c>
      <c r="K16" s="5" t="s">
        <v>2243</v>
      </c>
      <c r="L16" s="5" t="n">
        <f aca="false">IF(G16="High",3,IF(G16="Medium",2,1))</f>
        <v>1</v>
      </c>
    </row>
    <row r="17" customFormat="false" ht="15" hidden="false" customHeight="true" outlineLevel="0" collapsed="false">
      <c r="A17" s="5" t="s">
        <v>2282</v>
      </c>
      <c r="B17" s="5" t="s">
        <v>978</v>
      </c>
      <c r="C17" s="5" t="s">
        <v>2254</v>
      </c>
      <c r="D17" s="5" t="s">
        <v>2255</v>
      </c>
      <c r="E17" s="5" t="s">
        <v>59</v>
      </c>
      <c r="F17" s="5" t="s">
        <v>59</v>
      </c>
      <c r="G17" s="5" t="str">
        <f aca="false">INDEX(Risk_Matrix!$B$2:$D$4,MATCH(E17,Risk_Matrix!$A$2:$A$4,0),MATCH(F17,Risk_Matrix!$B$1:$D$1,0))</f>
        <v>Low</v>
      </c>
      <c r="H17" s="12" t="n">
        <v>46134</v>
      </c>
      <c r="I17" s="5" t="s">
        <v>2241</v>
      </c>
      <c r="J17" s="5" t="s">
        <v>2242</v>
      </c>
      <c r="K17" s="5" t="s">
        <v>2283</v>
      </c>
      <c r="L17" s="5" t="n">
        <f aca="false">IF(G17="High",3,IF(G17="Medium",2,1))</f>
        <v>1</v>
      </c>
    </row>
    <row r="18" customFormat="false" ht="15" hidden="false" customHeight="true" outlineLevel="0" collapsed="false">
      <c r="A18" s="5" t="s">
        <v>2284</v>
      </c>
      <c r="B18" s="5" t="s">
        <v>978</v>
      </c>
      <c r="C18" s="5" t="s">
        <v>2259</v>
      </c>
      <c r="D18" s="5" t="s">
        <v>2285</v>
      </c>
      <c r="E18" s="5" t="s">
        <v>54</v>
      </c>
      <c r="F18" s="5" t="s">
        <v>2225</v>
      </c>
      <c r="G18" s="5" t="str">
        <f aca="false">INDEX(Risk_Matrix!$B$2:$D$4,MATCH(E18,Risk_Matrix!$A$2:$A$4,0),MATCH(F18,Risk_Matrix!$B$1:$D$1,0))</f>
        <v>High</v>
      </c>
      <c r="H18" s="12" t="n">
        <v>46162</v>
      </c>
      <c r="I18" s="5" t="s">
        <v>2250</v>
      </c>
      <c r="J18" s="5" t="s">
        <v>2251</v>
      </c>
      <c r="K18" s="5" t="s">
        <v>2266</v>
      </c>
      <c r="L18" s="5" t="n">
        <f aca="false">IF(G18="High",3,IF(G18="Medium",2,1))</f>
        <v>3</v>
      </c>
    </row>
    <row r="19" customFormat="false" ht="15" hidden="false" customHeight="true" outlineLevel="0" collapsed="false">
      <c r="A19" s="5" t="s">
        <v>2286</v>
      </c>
      <c r="B19" s="5" t="s">
        <v>978</v>
      </c>
      <c r="C19" s="5" t="s">
        <v>2262</v>
      </c>
      <c r="D19" s="5" t="s">
        <v>2287</v>
      </c>
      <c r="E19" s="5" t="s">
        <v>59</v>
      </c>
      <c r="F19" s="5" t="s">
        <v>2225</v>
      </c>
      <c r="G19" s="5" t="str">
        <f aca="false">INDEX(Risk_Matrix!$B$2:$D$4,MATCH(E19,Risk_Matrix!$A$2:$A$4,0),MATCH(F19,Risk_Matrix!$B$1:$D$1,0))</f>
        <v>Low</v>
      </c>
      <c r="H19" s="12" t="n">
        <v>46199</v>
      </c>
      <c r="I19" s="5" t="s">
        <v>2264</v>
      </c>
      <c r="J19" s="5" t="s">
        <v>2265</v>
      </c>
      <c r="K19" s="5" t="s">
        <v>2276</v>
      </c>
      <c r="L19" s="5" t="n">
        <f aca="false">IF(G19="High",3,IF(G19="Medium",2,1))</f>
        <v>1</v>
      </c>
    </row>
    <row r="20" customFormat="false" ht="15" hidden="false" customHeight="true" outlineLevel="0" collapsed="false">
      <c r="A20" s="5" t="s">
        <v>2288</v>
      </c>
      <c r="B20" s="5" t="s">
        <v>983</v>
      </c>
      <c r="C20" s="5" t="s">
        <v>2239</v>
      </c>
      <c r="D20" s="5" t="s">
        <v>2278</v>
      </c>
      <c r="E20" s="5" t="s">
        <v>59</v>
      </c>
      <c r="F20" s="5" t="s">
        <v>59</v>
      </c>
      <c r="G20" s="5" t="str">
        <f aca="false">INDEX(Risk_Matrix!$B$2:$D$4,MATCH(E20,Risk_Matrix!$A$2:$A$4,0),MATCH(F20,Risk_Matrix!$B$1:$D$1,0))</f>
        <v>Low</v>
      </c>
      <c r="H20" s="12" t="n">
        <v>46078</v>
      </c>
      <c r="I20" s="5" t="s">
        <v>2264</v>
      </c>
      <c r="J20" s="5" t="s">
        <v>2265</v>
      </c>
      <c r="K20" s="5" t="s">
        <v>2283</v>
      </c>
      <c r="L20" s="5" t="n">
        <f aca="false">IF(G20="High",3,IF(G20="Medium",2,1))</f>
        <v>1</v>
      </c>
    </row>
    <row r="21" customFormat="false" ht="15" hidden="false" customHeight="true" outlineLevel="0" collapsed="false">
      <c r="A21" s="5" t="s">
        <v>2289</v>
      </c>
      <c r="B21" s="5" t="s">
        <v>983</v>
      </c>
      <c r="C21" s="5" t="s">
        <v>2245</v>
      </c>
      <c r="D21" s="5" t="s">
        <v>2280</v>
      </c>
      <c r="E21" s="5" t="s">
        <v>59</v>
      </c>
      <c r="F21" s="5" t="s">
        <v>59</v>
      </c>
      <c r="G21" s="5" t="str">
        <f aca="false">INDEX(Risk_Matrix!$B$2:$D$4,MATCH(E21,Risk_Matrix!$A$2:$A$4,0),MATCH(F21,Risk_Matrix!$B$1:$D$1,0))</f>
        <v>Low</v>
      </c>
      <c r="H21" s="12" t="n">
        <v>46164</v>
      </c>
      <c r="I21" s="5" t="s">
        <v>2256</v>
      </c>
      <c r="J21" s="5" t="s">
        <v>2257</v>
      </c>
      <c r="K21" s="5" t="s">
        <v>2276</v>
      </c>
      <c r="L21" s="5" t="n">
        <f aca="false">IF(G21="High",3,IF(G21="Medium",2,1))</f>
        <v>1</v>
      </c>
    </row>
    <row r="22" customFormat="false" ht="15" hidden="false" customHeight="true" outlineLevel="0" collapsed="false">
      <c r="A22" s="5" t="s">
        <v>2290</v>
      </c>
      <c r="B22" s="5" t="s">
        <v>983</v>
      </c>
      <c r="C22" s="5" t="s">
        <v>2248</v>
      </c>
      <c r="D22" s="5" t="s">
        <v>2271</v>
      </c>
      <c r="E22" s="5" t="s">
        <v>2225</v>
      </c>
      <c r="F22" s="5" t="s">
        <v>59</v>
      </c>
      <c r="G22" s="5" t="str">
        <f aca="false">INDEX(Risk_Matrix!$B$2:$D$4,MATCH(E22,Risk_Matrix!$A$2:$A$4,0),MATCH(F22,Risk_Matrix!$B$1:$D$1,0))</f>
        <v>Low</v>
      </c>
      <c r="H22" s="12" t="n">
        <v>46113</v>
      </c>
      <c r="I22" s="5" t="s">
        <v>2256</v>
      </c>
      <c r="J22" s="5" t="s">
        <v>2257</v>
      </c>
      <c r="K22" s="5" t="s">
        <v>2252</v>
      </c>
      <c r="L22" s="5" t="n">
        <f aca="false">IF(G22="High",3,IF(G22="Medium",2,1))</f>
        <v>1</v>
      </c>
    </row>
    <row r="23" customFormat="false" ht="15" hidden="false" customHeight="true" outlineLevel="0" collapsed="false">
      <c r="A23" s="5" t="s">
        <v>2291</v>
      </c>
      <c r="B23" s="5" t="s">
        <v>983</v>
      </c>
      <c r="C23" s="5" t="s">
        <v>2254</v>
      </c>
      <c r="D23" s="5" t="s">
        <v>2255</v>
      </c>
      <c r="E23" s="5" t="s">
        <v>2225</v>
      </c>
      <c r="F23" s="5" t="s">
        <v>59</v>
      </c>
      <c r="G23" s="5" t="str">
        <f aca="false">INDEX(Risk_Matrix!$B$2:$D$4,MATCH(E23,Risk_Matrix!$A$2:$A$4,0),MATCH(F23,Risk_Matrix!$B$1:$D$1,0))</f>
        <v>Low</v>
      </c>
      <c r="H23" s="12" t="n">
        <v>46141</v>
      </c>
      <c r="I23" s="5" t="s">
        <v>2256</v>
      </c>
      <c r="J23" s="5" t="s">
        <v>2257</v>
      </c>
      <c r="K23" s="5" t="s">
        <v>2252</v>
      </c>
      <c r="L23" s="5" t="n">
        <f aca="false">IF(G23="High",3,IF(G23="Medium",2,1))</f>
        <v>1</v>
      </c>
    </row>
    <row r="24" customFormat="false" ht="15" hidden="false" customHeight="true" outlineLevel="0" collapsed="false">
      <c r="A24" s="5" t="s">
        <v>2292</v>
      </c>
      <c r="B24" s="5" t="s">
        <v>983</v>
      </c>
      <c r="C24" s="5" t="s">
        <v>2259</v>
      </c>
      <c r="D24" s="5" t="s">
        <v>2260</v>
      </c>
      <c r="E24" s="5" t="s">
        <v>59</v>
      </c>
      <c r="F24" s="5" t="s">
        <v>59</v>
      </c>
      <c r="G24" s="5" t="str">
        <f aca="false">INDEX(Risk_Matrix!$B$2:$D$4,MATCH(E24,Risk_Matrix!$A$2:$A$4,0),MATCH(F24,Risk_Matrix!$B$1:$D$1,0))</f>
        <v>Low</v>
      </c>
      <c r="H24" s="12" t="n">
        <v>46181</v>
      </c>
      <c r="I24" s="5" t="s">
        <v>2250</v>
      </c>
      <c r="J24" s="5" t="s">
        <v>2251</v>
      </c>
      <c r="K24" s="5" t="s">
        <v>2252</v>
      </c>
      <c r="L24" s="5" t="n">
        <f aca="false">IF(G24="High",3,IF(G24="Medium",2,1))</f>
        <v>1</v>
      </c>
    </row>
    <row r="25" customFormat="false" ht="15" hidden="false" customHeight="true" outlineLevel="0" collapsed="false">
      <c r="A25" s="5" t="s">
        <v>2293</v>
      </c>
      <c r="B25" s="5" t="s">
        <v>983</v>
      </c>
      <c r="C25" s="5" t="s">
        <v>2262</v>
      </c>
      <c r="D25" s="5" t="s">
        <v>2263</v>
      </c>
      <c r="E25" s="5" t="s">
        <v>59</v>
      </c>
      <c r="F25" s="5" t="s">
        <v>2225</v>
      </c>
      <c r="G25" s="5" t="str">
        <f aca="false">INDEX(Risk_Matrix!$B$2:$D$4,MATCH(E25,Risk_Matrix!$A$2:$A$4,0),MATCH(F25,Risk_Matrix!$B$1:$D$1,0))</f>
        <v>Low</v>
      </c>
      <c r="H25" s="12" t="n">
        <v>46217</v>
      </c>
      <c r="I25" s="5" t="s">
        <v>2250</v>
      </c>
      <c r="J25" s="5" t="s">
        <v>2251</v>
      </c>
      <c r="K25" s="5" t="s">
        <v>2252</v>
      </c>
      <c r="L25" s="5" t="n">
        <f aca="false">IF(G25="High",3,IF(G25="Medium",2,1))</f>
        <v>1</v>
      </c>
    </row>
    <row r="26" customFormat="false" ht="15" hidden="false" customHeight="true" outlineLevel="0" collapsed="false">
      <c r="A26" s="5" t="s">
        <v>2294</v>
      </c>
      <c r="B26" s="5" t="s">
        <v>988</v>
      </c>
      <c r="C26" s="5" t="s">
        <v>2239</v>
      </c>
      <c r="D26" s="5" t="s">
        <v>2295</v>
      </c>
      <c r="E26" s="5" t="s">
        <v>54</v>
      </c>
      <c r="F26" s="5" t="s">
        <v>2225</v>
      </c>
      <c r="G26" s="5" t="str">
        <f aca="false">INDEX(Risk_Matrix!$B$2:$D$4,MATCH(E26,Risk_Matrix!$A$2:$A$4,0),MATCH(F26,Risk_Matrix!$B$1:$D$1,0))</f>
        <v>High</v>
      </c>
      <c r="H26" s="12" t="n">
        <v>46139</v>
      </c>
      <c r="I26" s="5" t="s">
        <v>2250</v>
      </c>
      <c r="J26" s="5" t="s">
        <v>2251</v>
      </c>
      <c r="K26" s="5" t="s">
        <v>2283</v>
      </c>
      <c r="L26" s="5" t="n">
        <f aca="false">IF(G26="High",3,IF(G26="Medium",2,1))</f>
        <v>3</v>
      </c>
    </row>
    <row r="27" customFormat="false" ht="15" hidden="false" customHeight="true" outlineLevel="0" collapsed="false">
      <c r="A27" s="5" t="s">
        <v>2296</v>
      </c>
      <c r="B27" s="5" t="s">
        <v>988</v>
      </c>
      <c r="C27" s="5" t="s">
        <v>2245</v>
      </c>
      <c r="D27" s="5" t="s">
        <v>2280</v>
      </c>
      <c r="E27" s="5" t="s">
        <v>54</v>
      </c>
      <c r="F27" s="5" t="s">
        <v>2225</v>
      </c>
      <c r="G27" s="5" t="str">
        <f aca="false">INDEX(Risk_Matrix!$B$2:$D$4,MATCH(E27,Risk_Matrix!$A$2:$A$4,0),MATCH(F27,Risk_Matrix!$B$1:$D$1,0))</f>
        <v>High</v>
      </c>
      <c r="H27" s="12" t="n">
        <v>46092</v>
      </c>
      <c r="I27" s="5" t="s">
        <v>2264</v>
      </c>
      <c r="J27" s="5" t="s">
        <v>2265</v>
      </c>
      <c r="K27" s="5" t="s">
        <v>2266</v>
      </c>
      <c r="L27" s="5" t="n">
        <f aca="false">IF(G27="High",3,IF(G27="Medium",2,1))</f>
        <v>3</v>
      </c>
    </row>
    <row r="28" customFormat="false" ht="15" hidden="false" customHeight="true" outlineLevel="0" collapsed="false">
      <c r="A28" s="5" t="s">
        <v>2297</v>
      </c>
      <c r="B28" s="5" t="s">
        <v>988</v>
      </c>
      <c r="C28" s="5" t="s">
        <v>2248</v>
      </c>
      <c r="D28" s="5" t="s">
        <v>2271</v>
      </c>
      <c r="E28" s="5" t="s">
        <v>59</v>
      </c>
      <c r="F28" s="5" t="s">
        <v>59</v>
      </c>
      <c r="G28" s="5" t="str">
        <f aca="false">INDEX(Risk_Matrix!$B$2:$D$4,MATCH(E28,Risk_Matrix!$A$2:$A$4,0),MATCH(F28,Risk_Matrix!$B$1:$D$1,0))</f>
        <v>Low</v>
      </c>
      <c r="H28" s="12" t="n">
        <v>46230</v>
      </c>
      <c r="I28" s="5" t="s">
        <v>2264</v>
      </c>
      <c r="J28" s="5" t="s">
        <v>2265</v>
      </c>
      <c r="K28" s="5" t="s">
        <v>2283</v>
      </c>
      <c r="L28" s="5" t="n">
        <f aca="false">IF(G28="High",3,IF(G28="Medium",2,1))</f>
        <v>1</v>
      </c>
    </row>
    <row r="29" customFormat="false" ht="15" hidden="false" customHeight="true" outlineLevel="0" collapsed="false">
      <c r="A29" s="5" t="s">
        <v>2298</v>
      </c>
      <c r="B29" s="5" t="s">
        <v>988</v>
      </c>
      <c r="C29" s="5" t="s">
        <v>2254</v>
      </c>
      <c r="D29" s="5" t="s">
        <v>2299</v>
      </c>
      <c r="E29" s="5" t="s">
        <v>54</v>
      </c>
      <c r="F29" s="5" t="s">
        <v>2225</v>
      </c>
      <c r="G29" s="5" t="str">
        <f aca="false">INDEX(Risk_Matrix!$B$2:$D$4,MATCH(E29,Risk_Matrix!$A$2:$A$4,0),MATCH(F29,Risk_Matrix!$B$1:$D$1,0))</f>
        <v>High</v>
      </c>
      <c r="H29" s="12" t="n">
        <v>46080</v>
      </c>
      <c r="I29" s="5" t="s">
        <v>2250</v>
      </c>
      <c r="J29" s="5" t="s">
        <v>2251</v>
      </c>
      <c r="K29" s="5" t="s">
        <v>2266</v>
      </c>
      <c r="L29" s="5" t="n">
        <f aca="false">IF(G29="High",3,IF(G29="Medium",2,1))</f>
        <v>3</v>
      </c>
    </row>
    <row r="30" customFormat="false" ht="15" hidden="false" customHeight="true" outlineLevel="0" collapsed="false">
      <c r="A30" s="5" t="s">
        <v>2300</v>
      </c>
      <c r="B30" s="5" t="s">
        <v>988</v>
      </c>
      <c r="C30" s="5" t="s">
        <v>2259</v>
      </c>
      <c r="D30" s="5" t="s">
        <v>2260</v>
      </c>
      <c r="E30" s="5" t="s">
        <v>54</v>
      </c>
      <c r="F30" s="5" t="s">
        <v>59</v>
      </c>
      <c r="G30" s="5" t="str">
        <f aca="false">INDEX(Risk_Matrix!$B$2:$D$4,MATCH(E30,Risk_Matrix!$A$2:$A$4,0),MATCH(F30,Risk_Matrix!$B$1:$D$1,0))</f>
        <v>Medium</v>
      </c>
      <c r="H30" s="12" t="n">
        <v>46196</v>
      </c>
      <c r="I30" s="5" t="s">
        <v>2264</v>
      </c>
      <c r="J30" s="5" t="s">
        <v>2265</v>
      </c>
      <c r="K30" s="5" t="s">
        <v>2266</v>
      </c>
      <c r="L30" s="5" t="n">
        <f aca="false">IF(G30="High",3,IF(G30="Medium",2,1))</f>
        <v>2</v>
      </c>
    </row>
    <row r="31" customFormat="false" ht="15" hidden="false" customHeight="true" outlineLevel="0" collapsed="false">
      <c r="A31" s="5" t="s">
        <v>2301</v>
      </c>
      <c r="B31" s="5" t="s">
        <v>988</v>
      </c>
      <c r="C31" s="5" t="s">
        <v>2262</v>
      </c>
      <c r="D31" s="5" t="s">
        <v>2287</v>
      </c>
      <c r="E31" s="5" t="s">
        <v>59</v>
      </c>
      <c r="F31" s="5" t="s">
        <v>59</v>
      </c>
      <c r="G31" s="5" t="str">
        <f aca="false">INDEX(Risk_Matrix!$B$2:$D$4,MATCH(E31,Risk_Matrix!$A$2:$A$4,0),MATCH(F31,Risk_Matrix!$B$1:$D$1,0))</f>
        <v>Low</v>
      </c>
      <c r="H31" s="12" t="n">
        <v>46127</v>
      </c>
      <c r="I31" s="5" t="s">
        <v>2241</v>
      </c>
      <c r="J31" s="5" t="s">
        <v>2242</v>
      </c>
      <c r="K31" s="5" t="s">
        <v>2266</v>
      </c>
      <c r="L31" s="5" t="n">
        <f aca="false">IF(G31="High",3,IF(G31="Medium",2,1))</f>
        <v>1</v>
      </c>
    </row>
    <row r="32" customFormat="false" ht="15" hidden="false" customHeight="true" outlineLevel="0" collapsed="false">
      <c r="A32" s="5" t="s">
        <v>2302</v>
      </c>
      <c r="B32" s="5" t="s">
        <v>991</v>
      </c>
      <c r="C32" s="5" t="s">
        <v>2239</v>
      </c>
      <c r="D32" s="5" t="s">
        <v>2303</v>
      </c>
      <c r="E32" s="5" t="s">
        <v>2225</v>
      </c>
      <c r="F32" s="5" t="s">
        <v>59</v>
      </c>
      <c r="G32" s="5" t="str">
        <f aca="false">INDEX(Risk_Matrix!$B$2:$D$4,MATCH(E32,Risk_Matrix!$A$2:$A$4,0),MATCH(F32,Risk_Matrix!$B$1:$D$1,0))</f>
        <v>Low</v>
      </c>
      <c r="H32" s="12" t="n">
        <v>46221</v>
      </c>
      <c r="I32" s="5" t="s">
        <v>2264</v>
      </c>
      <c r="J32" s="5" t="s">
        <v>2265</v>
      </c>
      <c r="K32" s="5" t="s">
        <v>2276</v>
      </c>
      <c r="L32" s="5" t="n">
        <f aca="false">IF(G32="High",3,IF(G32="Medium",2,1))</f>
        <v>1</v>
      </c>
    </row>
    <row r="33" customFormat="false" ht="15" hidden="false" customHeight="true" outlineLevel="0" collapsed="false">
      <c r="A33" s="5" t="s">
        <v>2304</v>
      </c>
      <c r="B33" s="5" t="s">
        <v>991</v>
      </c>
      <c r="C33" s="5" t="s">
        <v>2245</v>
      </c>
      <c r="D33" s="5" t="s">
        <v>2280</v>
      </c>
      <c r="E33" s="5" t="s">
        <v>2225</v>
      </c>
      <c r="F33" s="5" t="s">
        <v>2225</v>
      </c>
      <c r="G33" s="5" t="str">
        <f aca="false">INDEX(Risk_Matrix!$B$2:$D$4,MATCH(E33,Risk_Matrix!$A$2:$A$4,0),MATCH(F33,Risk_Matrix!$B$1:$D$1,0))</f>
        <v>Medium</v>
      </c>
      <c r="H33" s="12" t="n">
        <v>46105</v>
      </c>
      <c r="I33" s="5" t="s">
        <v>2264</v>
      </c>
      <c r="J33" s="5" t="s">
        <v>2265</v>
      </c>
      <c r="K33" s="5" t="s">
        <v>2243</v>
      </c>
      <c r="L33" s="5" t="n">
        <f aca="false">IF(G33="High",3,IF(G33="Medium",2,1))</f>
        <v>2</v>
      </c>
    </row>
    <row r="34" customFormat="false" ht="15" hidden="false" customHeight="true" outlineLevel="0" collapsed="false">
      <c r="A34" s="5" t="s">
        <v>2305</v>
      </c>
      <c r="B34" s="5" t="s">
        <v>991</v>
      </c>
      <c r="C34" s="5" t="s">
        <v>2248</v>
      </c>
      <c r="D34" s="5" t="s">
        <v>2306</v>
      </c>
      <c r="E34" s="5" t="s">
        <v>2225</v>
      </c>
      <c r="F34" s="5" t="s">
        <v>2225</v>
      </c>
      <c r="G34" s="5" t="str">
        <f aca="false">INDEX(Risk_Matrix!$B$2:$D$4,MATCH(E34,Risk_Matrix!$A$2:$A$4,0),MATCH(F34,Risk_Matrix!$B$1:$D$1,0))</f>
        <v>Medium</v>
      </c>
      <c r="H34" s="12" t="n">
        <v>46131</v>
      </c>
      <c r="I34" s="5" t="s">
        <v>2250</v>
      </c>
      <c r="J34" s="5" t="s">
        <v>2251</v>
      </c>
      <c r="K34" s="5" t="s">
        <v>2276</v>
      </c>
      <c r="L34" s="5" t="n">
        <f aca="false">IF(G34="High",3,IF(G34="Medium",2,1))</f>
        <v>2</v>
      </c>
    </row>
    <row r="35" customFormat="false" ht="15" hidden="false" customHeight="true" outlineLevel="0" collapsed="false">
      <c r="A35" s="5" t="s">
        <v>2307</v>
      </c>
      <c r="B35" s="5" t="s">
        <v>991</v>
      </c>
      <c r="C35" s="5" t="s">
        <v>2254</v>
      </c>
      <c r="D35" s="5" t="s">
        <v>2308</v>
      </c>
      <c r="E35" s="5" t="s">
        <v>59</v>
      </c>
      <c r="F35" s="5" t="s">
        <v>2225</v>
      </c>
      <c r="G35" s="5" t="str">
        <f aca="false">INDEX(Risk_Matrix!$B$2:$D$4,MATCH(E35,Risk_Matrix!$A$2:$A$4,0),MATCH(F35,Risk_Matrix!$B$1:$D$1,0))</f>
        <v>Low</v>
      </c>
      <c r="H35" s="12" t="n">
        <v>46213</v>
      </c>
      <c r="I35" s="5" t="s">
        <v>2250</v>
      </c>
      <c r="J35" s="5" t="s">
        <v>2251</v>
      </c>
      <c r="K35" s="5" t="s">
        <v>2276</v>
      </c>
      <c r="L35" s="5" t="n">
        <f aca="false">IF(G35="High",3,IF(G35="Medium",2,1))</f>
        <v>1</v>
      </c>
    </row>
    <row r="36" customFormat="false" ht="15" hidden="false" customHeight="true" outlineLevel="0" collapsed="false">
      <c r="A36" s="5" t="s">
        <v>2309</v>
      </c>
      <c r="B36" s="5" t="s">
        <v>991</v>
      </c>
      <c r="C36" s="5" t="s">
        <v>2259</v>
      </c>
      <c r="D36" s="5" t="s">
        <v>2285</v>
      </c>
      <c r="E36" s="5" t="s">
        <v>2225</v>
      </c>
      <c r="F36" s="5" t="s">
        <v>2225</v>
      </c>
      <c r="G36" s="5" t="str">
        <f aca="false">INDEX(Risk_Matrix!$B$2:$D$4,MATCH(E36,Risk_Matrix!$A$2:$A$4,0),MATCH(F36,Risk_Matrix!$B$1:$D$1,0))</f>
        <v>Medium</v>
      </c>
      <c r="H36" s="12" t="n">
        <v>46150</v>
      </c>
      <c r="I36" s="5" t="s">
        <v>2264</v>
      </c>
      <c r="J36" s="5" t="s">
        <v>2265</v>
      </c>
      <c r="K36" s="5" t="s">
        <v>2243</v>
      </c>
      <c r="L36" s="5" t="n">
        <f aca="false">IF(G36="High",3,IF(G36="Medium",2,1))</f>
        <v>2</v>
      </c>
    </row>
    <row r="37" customFormat="false" ht="15" hidden="false" customHeight="true" outlineLevel="0" collapsed="false">
      <c r="A37" s="5" t="s">
        <v>2310</v>
      </c>
      <c r="B37" s="5" t="s">
        <v>991</v>
      </c>
      <c r="C37" s="5" t="s">
        <v>2262</v>
      </c>
      <c r="D37" s="5" t="s">
        <v>2311</v>
      </c>
      <c r="E37" s="5" t="s">
        <v>59</v>
      </c>
      <c r="F37" s="5" t="s">
        <v>59</v>
      </c>
      <c r="G37" s="5" t="str">
        <f aca="false">INDEX(Risk_Matrix!$B$2:$D$4,MATCH(E37,Risk_Matrix!$A$2:$A$4,0),MATCH(F37,Risk_Matrix!$B$1:$D$1,0))</f>
        <v>Low</v>
      </c>
      <c r="H37" s="12" t="n">
        <v>46229</v>
      </c>
      <c r="I37" s="5" t="s">
        <v>2250</v>
      </c>
      <c r="J37" s="5" t="s">
        <v>2251</v>
      </c>
      <c r="K37" s="5" t="s">
        <v>2266</v>
      </c>
      <c r="L37" s="5" t="n">
        <f aca="false">IF(G37="High",3,IF(G37="Medium",2,1))</f>
        <v>1</v>
      </c>
    </row>
    <row r="38" customFormat="false" ht="15" hidden="false" customHeight="true" outlineLevel="0" collapsed="false">
      <c r="A38" s="5" t="s">
        <v>2312</v>
      </c>
      <c r="B38" s="5" t="s">
        <v>996</v>
      </c>
      <c r="C38" s="5" t="s">
        <v>2239</v>
      </c>
      <c r="D38" s="5" t="s">
        <v>2278</v>
      </c>
      <c r="E38" s="5" t="s">
        <v>59</v>
      </c>
      <c r="F38" s="5" t="s">
        <v>2225</v>
      </c>
      <c r="G38" s="5" t="str">
        <f aca="false">INDEX(Risk_Matrix!$B$2:$D$4,MATCH(E38,Risk_Matrix!$A$2:$A$4,0),MATCH(F38,Risk_Matrix!$B$1:$D$1,0))</f>
        <v>Low</v>
      </c>
      <c r="H38" s="12" t="n">
        <v>46136</v>
      </c>
      <c r="I38" s="5" t="s">
        <v>2250</v>
      </c>
      <c r="J38" s="5" t="s">
        <v>2251</v>
      </c>
      <c r="K38" s="5" t="s">
        <v>2276</v>
      </c>
      <c r="L38" s="5" t="n">
        <f aca="false">IF(G38="High",3,IF(G38="Medium",2,1))</f>
        <v>1</v>
      </c>
    </row>
    <row r="39" customFormat="false" ht="15" hidden="false" customHeight="true" outlineLevel="0" collapsed="false">
      <c r="A39" s="5" t="s">
        <v>2313</v>
      </c>
      <c r="B39" s="5" t="s">
        <v>996</v>
      </c>
      <c r="C39" s="5" t="s">
        <v>2245</v>
      </c>
      <c r="D39" s="5" t="s">
        <v>2280</v>
      </c>
      <c r="E39" s="5" t="s">
        <v>54</v>
      </c>
      <c r="F39" s="5" t="s">
        <v>59</v>
      </c>
      <c r="G39" s="5" t="str">
        <f aca="false">INDEX(Risk_Matrix!$B$2:$D$4,MATCH(E39,Risk_Matrix!$A$2:$A$4,0),MATCH(F39,Risk_Matrix!$B$1:$D$1,0))</f>
        <v>Medium</v>
      </c>
      <c r="H39" s="12" t="n">
        <v>46117</v>
      </c>
      <c r="I39" s="5" t="s">
        <v>2256</v>
      </c>
      <c r="J39" s="5" t="s">
        <v>2257</v>
      </c>
      <c r="K39" s="5" t="s">
        <v>2252</v>
      </c>
      <c r="L39" s="5" t="n">
        <f aca="false">IF(G39="High",3,IF(G39="Medium",2,1))</f>
        <v>2</v>
      </c>
    </row>
    <row r="40" customFormat="false" ht="15" hidden="false" customHeight="true" outlineLevel="0" collapsed="false">
      <c r="A40" s="5" t="s">
        <v>2314</v>
      </c>
      <c r="B40" s="5" t="s">
        <v>996</v>
      </c>
      <c r="C40" s="5" t="s">
        <v>2248</v>
      </c>
      <c r="D40" s="5" t="s">
        <v>2249</v>
      </c>
      <c r="E40" s="5" t="s">
        <v>59</v>
      </c>
      <c r="F40" s="5" t="s">
        <v>2225</v>
      </c>
      <c r="G40" s="5" t="str">
        <f aca="false">INDEX(Risk_Matrix!$B$2:$D$4,MATCH(E40,Risk_Matrix!$A$2:$A$4,0),MATCH(F40,Risk_Matrix!$B$1:$D$1,0))</f>
        <v>Low</v>
      </c>
      <c r="H40" s="12" t="n">
        <v>46167</v>
      </c>
      <c r="I40" s="5" t="s">
        <v>2256</v>
      </c>
      <c r="J40" s="5" t="s">
        <v>2257</v>
      </c>
      <c r="K40" s="5" t="s">
        <v>2243</v>
      </c>
      <c r="L40" s="5" t="n">
        <f aca="false">IF(G40="High",3,IF(G40="Medium",2,1))</f>
        <v>1</v>
      </c>
    </row>
    <row r="41" customFormat="false" ht="15" hidden="false" customHeight="true" outlineLevel="0" collapsed="false">
      <c r="A41" s="5" t="s">
        <v>2315</v>
      </c>
      <c r="B41" s="5" t="s">
        <v>996</v>
      </c>
      <c r="C41" s="5" t="s">
        <v>2254</v>
      </c>
      <c r="D41" s="5" t="s">
        <v>2299</v>
      </c>
      <c r="E41" s="5" t="s">
        <v>2225</v>
      </c>
      <c r="F41" s="5" t="s">
        <v>54</v>
      </c>
      <c r="G41" s="5" t="str">
        <f aca="false">INDEX(Risk_Matrix!$B$2:$D$4,MATCH(E41,Risk_Matrix!$A$2:$A$4,0),MATCH(F41,Risk_Matrix!$B$1:$D$1,0))</f>
        <v>High</v>
      </c>
      <c r="H41" s="12" t="n">
        <v>46162</v>
      </c>
      <c r="I41" s="5" t="s">
        <v>2256</v>
      </c>
      <c r="J41" s="5" t="s">
        <v>2257</v>
      </c>
      <c r="K41" s="5" t="s">
        <v>2243</v>
      </c>
      <c r="L41" s="5" t="n">
        <f aca="false">IF(G41="High",3,IF(G41="Medium",2,1))</f>
        <v>3</v>
      </c>
    </row>
    <row r="42" customFormat="false" ht="15" hidden="false" customHeight="true" outlineLevel="0" collapsed="false">
      <c r="A42" s="5" t="s">
        <v>2316</v>
      </c>
      <c r="B42" s="5" t="s">
        <v>996</v>
      </c>
      <c r="C42" s="5" t="s">
        <v>2259</v>
      </c>
      <c r="D42" s="5" t="s">
        <v>2274</v>
      </c>
      <c r="E42" s="5" t="s">
        <v>59</v>
      </c>
      <c r="F42" s="5" t="s">
        <v>59</v>
      </c>
      <c r="G42" s="5" t="str">
        <f aca="false">INDEX(Risk_Matrix!$B$2:$D$4,MATCH(E42,Risk_Matrix!$A$2:$A$4,0),MATCH(F42,Risk_Matrix!$B$1:$D$1,0))</f>
        <v>Low</v>
      </c>
      <c r="H42" s="12" t="n">
        <v>46190</v>
      </c>
      <c r="I42" s="5" t="s">
        <v>2250</v>
      </c>
      <c r="J42" s="5" t="s">
        <v>2251</v>
      </c>
      <c r="K42" s="5" t="s">
        <v>2243</v>
      </c>
      <c r="L42" s="5" t="n">
        <f aca="false">IF(G42="High",3,IF(G42="Medium",2,1))</f>
        <v>1</v>
      </c>
    </row>
    <row r="43" customFormat="false" ht="15" hidden="false" customHeight="true" outlineLevel="0" collapsed="false">
      <c r="A43" s="5" t="s">
        <v>2317</v>
      </c>
      <c r="B43" s="5" t="s">
        <v>996</v>
      </c>
      <c r="C43" s="5" t="s">
        <v>2262</v>
      </c>
      <c r="D43" s="5" t="s">
        <v>2287</v>
      </c>
      <c r="E43" s="5" t="s">
        <v>54</v>
      </c>
      <c r="F43" s="5" t="s">
        <v>59</v>
      </c>
      <c r="G43" s="5" t="str">
        <f aca="false">INDEX(Risk_Matrix!$B$2:$D$4,MATCH(E43,Risk_Matrix!$A$2:$A$4,0),MATCH(F43,Risk_Matrix!$B$1:$D$1,0))</f>
        <v>Medium</v>
      </c>
      <c r="H43" s="12" t="n">
        <v>46106</v>
      </c>
      <c r="I43" s="5" t="s">
        <v>2250</v>
      </c>
      <c r="J43" s="5" t="s">
        <v>2251</v>
      </c>
      <c r="K43" s="5" t="s">
        <v>2252</v>
      </c>
      <c r="L43" s="5" t="n">
        <f aca="false">IF(G43="High",3,IF(G43="Medium",2,1))</f>
        <v>2</v>
      </c>
    </row>
    <row r="44" customFormat="false" ht="15" hidden="false" customHeight="true" outlineLevel="0" collapsed="false">
      <c r="A44" s="5" t="s">
        <v>2318</v>
      </c>
      <c r="B44" s="5" t="s">
        <v>999</v>
      </c>
      <c r="C44" s="5" t="s">
        <v>2239</v>
      </c>
      <c r="D44" s="5" t="s">
        <v>2240</v>
      </c>
      <c r="E44" s="5" t="s">
        <v>2225</v>
      </c>
      <c r="F44" s="5" t="s">
        <v>59</v>
      </c>
      <c r="G44" s="5" t="str">
        <f aca="false">INDEX(Risk_Matrix!$B$2:$D$4,MATCH(E44,Risk_Matrix!$A$2:$A$4,0),MATCH(F44,Risk_Matrix!$B$1:$D$1,0))</f>
        <v>Low</v>
      </c>
      <c r="H44" s="12" t="n">
        <v>46109</v>
      </c>
      <c r="I44" s="5" t="s">
        <v>2256</v>
      </c>
      <c r="J44" s="5" t="s">
        <v>2257</v>
      </c>
      <c r="K44" s="5" t="s">
        <v>2243</v>
      </c>
      <c r="L44" s="5" t="n">
        <f aca="false">IF(G44="High",3,IF(G44="Medium",2,1))</f>
        <v>1</v>
      </c>
    </row>
    <row r="45" customFormat="false" ht="15" hidden="false" customHeight="true" outlineLevel="0" collapsed="false">
      <c r="A45" s="5" t="s">
        <v>2319</v>
      </c>
      <c r="B45" s="5" t="s">
        <v>999</v>
      </c>
      <c r="C45" s="5" t="s">
        <v>2245</v>
      </c>
      <c r="D45" s="5" t="s">
        <v>2320</v>
      </c>
      <c r="E45" s="5" t="s">
        <v>2225</v>
      </c>
      <c r="F45" s="5" t="s">
        <v>2225</v>
      </c>
      <c r="G45" s="5" t="str">
        <f aca="false">INDEX(Risk_Matrix!$B$2:$D$4,MATCH(E45,Risk_Matrix!$A$2:$A$4,0),MATCH(F45,Risk_Matrix!$B$1:$D$1,0))</f>
        <v>Medium</v>
      </c>
      <c r="H45" s="12" t="n">
        <v>46194</v>
      </c>
      <c r="I45" s="5" t="s">
        <v>2250</v>
      </c>
      <c r="J45" s="5" t="s">
        <v>2251</v>
      </c>
      <c r="K45" s="5" t="s">
        <v>2266</v>
      </c>
      <c r="L45" s="5" t="n">
        <f aca="false">IF(G45="High",3,IF(G45="Medium",2,1))</f>
        <v>2</v>
      </c>
    </row>
    <row r="46" customFormat="false" ht="15" hidden="false" customHeight="true" outlineLevel="0" collapsed="false">
      <c r="A46" s="5" t="s">
        <v>2321</v>
      </c>
      <c r="B46" s="5" t="s">
        <v>999</v>
      </c>
      <c r="C46" s="5" t="s">
        <v>2248</v>
      </c>
      <c r="D46" s="5" t="s">
        <v>2322</v>
      </c>
      <c r="E46" s="5" t="s">
        <v>2225</v>
      </c>
      <c r="F46" s="5" t="s">
        <v>59</v>
      </c>
      <c r="G46" s="5" t="str">
        <f aca="false">INDEX(Risk_Matrix!$B$2:$D$4,MATCH(E46,Risk_Matrix!$A$2:$A$4,0),MATCH(F46,Risk_Matrix!$B$1:$D$1,0))</f>
        <v>Low</v>
      </c>
      <c r="H46" s="12" t="n">
        <v>46146</v>
      </c>
      <c r="I46" s="5" t="s">
        <v>2250</v>
      </c>
      <c r="J46" s="5" t="s">
        <v>2251</v>
      </c>
      <c r="K46" s="5" t="s">
        <v>2266</v>
      </c>
      <c r="L46" s="5" t="n">
        <f aca="false">IF(G46="High",3,IF(G46="Medium",2,1))</f>
        <v>1</v>
      </c>
    </row>
    <row r="47" customFormat="false" ht="15" hidden="false" customHeight="true" outlineLevel="0" collapsed="false">
      <c r="A47" s="5" t="s">
        <v>2323</v>
      </c>
      <c r="B47" s="5" t="s">
        <v>999</v>
      </c>
      <c r="C47" s="5" t="s">
        <v>2254</v>
      </c>
      <c r="D47" s="5" t="s">
        <v>2308</v>
      </c>
      <c r="E47" s="5" t="s">
        <v>59</v>
      </c>
      <c r="F47" s="5" t="s">
        <v>59</v>
      </c>
      <c r="G47" s="5" t="str">
        <f aca="false">INDEX(Risk_Matrix!$B$2:$D$4,MATCH(E47,Risk_Matrix!$A$2:$A$4,0),MATCH(F47,Risk_Matrix!$B$1:$D$1,0))</f>
        <v>Low</v>
      </c>
      <c r="H47" s="12" t="n">
        <v>46207</v>
      </c>
      <c r="I47" s="5" t="s">
        <v>2256</v>
      </c>
      <c r="J47" s="5" t="s">
        <v>2257</v>
      </c>
      <c r="K47" s="5" t="s">
        <v>2276</v>
      </c>
      <c r="L47" s="5" t="n">
        <f aca="false">IF(G47="High",3,IF(G47="Medium",2,1))</f>
        <v>1</v>
      </c>
    </row>
    <row r="48" customFormat="false" ht="15" hidden="false" customHeight="true" outlineLevel="0" collapsed="false">
      <c r="A48" s="5" t="s">
        <v>2324</v>
      </c>
      <c r="B48" s="5" t="s">
        <v>999</v>
      </c>
      <c r="C48" s="5" t="s">
        <v>2259</v>
      </c>
      <c r="D48" s="5" t="s">
        <v>2260</v>
      </c>
      <c r="E48" s="5" t="s">
        <v>59</v>
      </c>
      <c r="F48" s="5" t="s">
        <v>2225</v>
      </c>
      <c r="G48" s="5" t="str">
        <f aca="false">INDEX(Risk_Matrix!$B$2:$D$4,MATCH(E48,Risk_Matrix!$A$2:$A$4,0),MATCH(F48,Risk_Matrix!$B$1:$D$1,0))</f>
        <v>Low</v>
      </c>
      <c r="H48" s="12" t="n">
        <v>46117</v>
      </c>
      <c r="I48" s="5" t="s">
        <v>2256</v>
      </c>
      <c r="J48" s="5" t="s">
        <v>2257</v>
      </c>
      <c r="K48" s="5" t="s">
        <v>2283</v>
      </c>
      <c r="L48" s="5" t="n">
        <f aca="false">IF(G48="High",3,IF(G48="Medium",2,1))</f>
        <v>1</v>
      </c>
    </row>
    <row r="49" customFormat="false" ht="15" hidden="false" customHeight="true" outlineLevel="0" collapsed="false">
      <c r="A49" s="5" t="s">
        <v>2325</v>
      </c>
      <c r="B49" s="5" t="s">
        <v>999</v>
      </c>
      <c r="C49" s="5" t="s">
        <v>2262</v>
      </c>
      <c r="D49" s="5" t="s">
        <v>2263</v>
      </c>
      <c r="E49" s="5" t="s">
        <v>59</v>
      </c>
      <c r="F49" s="5" t="s">
        <v>59</v>
      </c>
      <c r="G49" s="5" t="str">
        <f aca="false">INDEX(Risk_Matrix!$B$2:$D$4,MATCH(E49,Risk_Matrix!$A$2:$A$4,0),MATCH(F49,Risk_Matrix!$B$1:$D$1,0))</f>
        <v>Low</v>
      </c>
      <c r="H49" s="12" t="n">
        <v>46062</v>
      </c>
      <c r="I49" s="5" t="s">
        <v>2264</v>
      </c>
      <c r="J49" s="5" t="s">
        <v>2265</v>
      </c>
      <c r="K49" s="5" t="s">
        <v>2276</v>
      </c>
      <c r="L49" s="5" t="n">
        <f aca="false">IF(G49="High",3,IF(G49="Medium",2,1))</f>
        <v>1</v>
      </c>
    </row>
    <row r="50" customFormat="false" ht="15" hidden="false" customHeight="true" outlineLevel="0" collapsed="false">
      <c r="A50" s="5" t="s">
        <v>2326</v>
      </c>
      <c r="B50" s="5" t="s">
        <v>1003</v>
      </c>
      <c r="C50" s="5" t="s">
        <v>2239</v>
      </c>
      <c r="D50" s="5" t="s">
        <v>2278</v>
      </c>
      <c r="E50" s="5" t="s">
        <v>59</v>
      </c>
      <c r="F50" s="5" t="s">
        <v>59</v>
      </c>
      <c r="G50" s="5" t="str">
        <f aca="false">INDEX(Risk_Matrix!$B$2:$D$4,MATCH(E50,Risk_Matrix!$A$2:$A$4,0),MATCH(F50,Risk_Matrix!$B$1:$D$1,0))</f>
        <v>Low</v>
      </c>
      <c r="H50" s="12" t="n">
        <v>46184</v>
      </c>
      <c r="I50" s="5" t="s">
        <v>2264</v>
      </c>
      <c r="J50" s="5" t="s">
        <v>2265</v>
      </c>
      <c r="K50" s="5" t="s">
        <v>2266</v>
      </c>
      <c r="L50" s="5" t="n">
        <f aca="false">IF(G50="High",3,IF(G50="Medium",2,1))</f>
        <v>1</v>
      </c>
    </row>
    <row r="51" customFormat="false" ht="15" hidden="false" customHeight="true" outlineLevel="0" collapsed="false">
      <c r="A51" s="5" t="s">
        <v>2327</v>
      </c>
      <c r="B51" s="5" t="s">
        <v>1003</v>
      </c>
      <c r="C51" s="5" t="s">
        <v>2245</v>
      </c>
      <c r="D51" s="5" t="s">
        <v>2320</v>
      </c>
      <c r="E51" s="5" t="s">
        <v>2225</v>
      </c>
      <c r="F51" s="5" t="s">
        <v>59</v>
      </c>
      <c r="G51" s="5" t="str">
        <f aca="false">INDEX(Risk_Matrix!$B$2:$D$4,MATCH(E51,Risk_Matrix!$A$2:$A$4,0),MATCH(F51,Risk_Matrix!$B$1:$D$1,0))</f>
        <v>Low</v>
      </c>
      <c r="H51" s="12" t="n">
        <v>46233</v>
      </c>
      <c r="I51" s="5" t="s">
        <v>2250</v>
      </c>
      <c r="J51" s="5" t="s">
        <v>2251</v>
      </c>
      <c r="K51" s="5" t="s">
        <v>2276</v>
      </c>
      <c r="L51" s="5" t="n">
        <f aca="false">IF(G51="High",3,IF(G51="Medium",2,1))</f>
        <v>1</v>
      </c>
    </row>
    <row r="52" customFormat="false" ht="15" hidden="false" customHeight="true" outlineLevel="0" collapsed="false">
      <c r="A52" s="5" t="s">
        <v>2328</v>
      </c>
      <c r="B52" s="5" t="s">
        <v>1003</v>
      </c>
      <c r="C52" s="5" t="s">
        <v>2248</v>
      </c>
      <c r="D52" s="5" t="s">
        <v>2271</v>
      </c>
      <c r="E52" s="5" t="s">
        <v>54</v>
      </c>
      <c r="F52" s="5" t="s">
        <v>2225</v>
      </c>
      <c r="G52" s="5" t="str">
        <f aca="false">INDEX(Risk_Matrix!$B$2:$D$4,MATCH(E52,Risk_Matrix!$A$2:$A$4,0),MATCH(F52,Risk_Matrix!$B$1:$D$1,0))</f>
        <v>High</v>
      </c>
      <c r="H52" s="12" t="n">
        <v>46236</v>
      </c>
      <c r="I52" s="5" t="s">
        <v>2250</v>
      </c>
      <c r="J52" s="5" t="s">
        <v>2251</v>
      </c>
      <c r="K52" s="5" t="s">
        <v>2266</v>
      </c>
      <c r="L52" s="5" t="n">
        <f aca="false">IF(G52="High",3,IF(G52="Medium",2,1))</f>
        <v>3</v>
      </c>
    </row>
    <row r="53" customFormat="false" ht="15" hidden="false" customHeight="true" outlineLevel="0" collapsed="false">
      <c r="A53" s="5" t="s">
        <v>2329</v>
      </c>
      <c r="B53" s="5" t="s">
        <v>1003</v>
      </c>
      <c r="C53" s="5" t="s">
        <v>2254</v>
      </c>
      <c r="D53" s="5" t="s">
        <v>2308</v>
      </c>
      <c r="E53" s="5" t="s">
        <v>2225</v>
      </c>
      <c r="F53" s="5" t="s">
        <v>54</v>
      </c>
      <c r="G53" s="5" t="str">
        <f aca="false">INDEX(Risk_Matrix!$B$2:$D$4,MATCH(E53,Risk_Matrix!$A$2:$A$4,0),MATCH(F53,Risk_Matrix!$B$1:$D$1,0))</f>
        <v>High</v>
      </c>
      <c r="H53" s="12" t="n">
        <v>46074</v>
      </c>
      <c r="I53" s="5" t="s">
        <v>2250</v>
      </c>
      <c r="J53" s="5" t="s">
        <v>2251</v>
      </c>
      <c r="K53" s="5" t="s">
        <v>2252</v>
      </c>
      <c r="L53" s="5" t="n">
        <f aca="false">IF(G53="High",3,IF(G53="Medium",2,1))</f>
        <v>3</v>
      </c>
    </row>
    <row r="54" customFormat="false" ht="15" hidden="false" customHeight="true" outlineLevel="0" collapsed="false">
      <c r="A54" s="5" t="s">
        <v>2330</v>
      </c>
      <c r="B54" s="5" t="s">
        <v>1003</v>
      </c>
      <c r="C54" s="5" t="s">
        <v>2259</v>
      </c>
      <c r="D54" s="5" t="s">
        <v>2274</v>
      </c>
      <c r="E54" s="5" t="s">
        <v>54</v>
      </c>
      <c r="F54" s="5" t="s">
        <v>54</v>
      </c>
      <c r="G54" s="5" t="str">
        <f aca="false">INDEX(Risk_Matrix!$B$2:$D$4,MATCH(E54,Risk_Matrix!$A$2:$A$4,0),MATCH(F54,Risk_Matrix!$B$1:$D$1,0))</f>
        <v>High</v>
      </c>
      <c r="H54" s="12" t="n">
        <v>46183</v>
      </c>
      <c r="I54" s="5" t="s">
        <v>2250</v>
      </c>
      <c r="J54" s="5" t="s">
        <v>2251</v>
      </c>
      <c r="K54" s="5" t="s">
        <v>2243</v>
      </c>
      <c r="L54" s="5" t="n">
        <f aca="false">IF(G54="High",3,IF(G54="Medium",2,1))</f>
        <v>3</v>
      </c>
    </row>
    <row r="55" customFormat="false" ht="15" hidden="false" customHeight="true" outlineLevel="0" collapsed="false">
      <c r="A55" s="5" t="s">
        <v>2331</v>
      </c>
      <c r="B55" s="5" t="s">
        <v>1003</v>
      </c>
      <c r="C55" s="5" t="s">
        <v>2262</v>
      </c>
      <c r="D55" s="5" t="s">
        <v>2311</v>
      </c>
      <c r="E55" s="5" t="s">
        <v>2225</v>
      </c>
      <c r="F55" s="5" t="s">
        <v>2225</v>
      </c>
      <c r="G55" s="5" t="str">
        <f aca="false">INDEX(Risk_Matrix!$B$2:$D$4,MATCH(E55,Risk_Matrix!$A$2:$A$4,0),MATCH(F55,Risk_Matrix!$B$1:$D$1,0))</f>
        <v>Medium</v>
      </c>
      <c r="H55" s="12" t="n">
        <v>46212</v>
      </c>
      <c r="I55" s="5" t="s">
        <v>2256</v>
      </c>
      <c r="J55" s="5" t="s">
        <v>2257</v>
      </c>
      <c r="K55" s="5" t="s">
        <v>2276</v>
      </c>
      <c r="L55" s="5" t="n">
        <f aca="false">IF(G55="High",3,IF(G55="Medium",2,1))</f>
        <v>2</v>
      </c>
    </row>
    <row r="56" customFormat="false" ht="15" hidden="false" customHeight="true" outlineLevel="0" collapsed="false">
      <c r="A56" s="5" t="s">
        <v>2332</v>
      </c>
      <c r="B56" s="5" t="s">
        <v>1007</v>
      </c>
      <c r="C56" s="5" t="s">
        <v>2239</v>
      </c>
      <c r="D56" s="5" t="s">
        <v>2278</v>
      </c>
      <c r="E56" s="5" t="s">
        <v>2225</v>
      </c>
      <c r="F56" s="5" t="s">
        <v>2225</v>
      </c>
      <c r="G56" s="5" t="str">
        <f aca="false">INDEX(Risk_Matrix!$B$2:$D$4,MATCH(E56,Risk_Matrix!$A$2:$A$4,0),MATCH(F56,Risk_Matrix!$B$1:$D$1,0))</f>
        <v>Medium</v>
      </c>
      <c r="H56" s="12" t="n">
        <v>46063</v>
      </c>
      <c r="I56" s="5" t="s">
        <v>2256</v>
      </c>
      <c r="J56" s="5" t="s">
        <v>2257</v>
      </c>
      <c r="K56" s="5" t="s">
        <v>2276</v>
      </c>
      <c r="L56" s="5" t="n">
        <f aca="false">IF(G56="High",3,IF(G56="Medium",2,1))</f>
        <v>2</v>
      </c>
    </row>
    <row r="57" customFormat="false" ht="15" hidden="false" customHeight="true" outlineLevel="0" collapsed="false">
      <c r="A57" s="5" t="s">
        <v>2333</v>
      </c>
      <c r="B57" s="5" t="s">
        <v>1007</v>
      </c>
      <c r="C57" s="5" t="s">
        <v>2245</v>
      </c>
      <c r="D57" s="5" t="s">
        <v>2280</v>
      </c>
      <c r="E57" s="5" t="s">
        <v>59</v>
      </c>
      <c r="F57" s="5" t="s">
        <v>54</v>
      </c>
      <c r="G57" s="5" t="str">
        <f aca="false">INDEX(Risk_Matrix!$B$2:$D$4,MATCH(E57,Risk_Matrix!$A$2:$A$4,0),MATCH(F57,Risk_Matrix!$B$1:$D$1,0))</f>
        <v>Medium</v>
      </c>
      <c r="H57" s="12" t="n">
        <v>46168</v>
      </c>
      <c r="I57" s="5" t="s">
        <v>2250</v>
      </c>
      <c r="J57" s="5" t="s">
        <v>2251</v>
      </c>
      <c r="K57" s="5" t="s">
        <v>2252</v>
      </c>
      <c r="L57" s="5" t="n">
        <f aca="false">IF(G57="High",3,IF(G57="Medium",2,1))</f>
        <v>2</v>
      </c>
    </row>
    <row r="58" customFormat="false" ht="15" hidden="false" customHeight="true" outlineLevel="0" collapsed="false">
      <c r="A58" s="5" t="s">
        <v>2334</v>
      </c>
      <c r="B58" s="5" t="s">
        <v>1007</v>
      </c>
      <c r="C58" s="5" t="s">
        <v>2248</v>
      </c>
      <c r="D58" s="5" t="s">
        <v>2249</v>
      </c>
      <c r="E58" s="5" t="s">
        <v>59</v>
      </c>
      <c r="F58" s="5" t="s">
        <v>2225</v>
      </c>
      <c r="G58" s="5" t="str">
        <f aca="false">INDEX(Risk_Matrix!$B$2:$D$4,MATCH(E58,Risk_Matrix!$A$2:$A$4,0),MATCH(F58,Risk_Matrix!$B$1:$D$1,0))</f>
        <v>Low</v>
      </c>
      <c r="H58" s="12" t="n">
        <v>46224</v>
      </c>
      <c r="I58" s="5" t="s">
        <v>2256</v>
      </c>
      <c r="J58" s="5" t="s">
        <v>2257</v>
      </c>
      <c r="K58" s="5" t="s">
        <v>2283</v>
      </c>
      <c r="L58" s="5" t="n">
        <f aca="false">IF(G58="High",3,IF(G58="Medium",2,1))</f>
        <v>1</v>
      </c>
    </row>
    <row r="59" customFormat="false" ht="15" hidden="false" customHeight="true" outlineLevel="0" collapsed="false">
      <c r="A59" s="5" t="s">
        <v>2335</v>
      </c>
      <c r="B59" s="5" t="s">
        <v>1007</v>
      </c>
      <c r="C59" s="5" t="s">
        <v>2254</v>
      </c>
      <c r="D59" s="5" t="s">
        <v>2308</v>
      </c>
      <c r="E59" s="5" t="s">
        <v>2225</v>
      </c>
      <c r="F59" s="5" t="s">
        <v>2225</v>
      </c>
      <c r="G59" s="5" t="str">
        <f aca="false">INDEX(Risk_Matrix!$B$2:$D$4,MATCH(E59,Risk_Matrix!$A$2:$A$4,0),MATCH(F59,Risk_Matrix!$B$1:$D$1,0))</f>
        <v>Medium</v>
      </c>
      <c r="H59" s="12" t="n">
        <v>46071</v>
      </c>
      <c r="I59" s="5" t="s">
        <v>2250</v>
      </c>
      <c r="J59" s="5" t="s">
        <v>2251</v>
      </c>
      <c r="K59" s="5" t="s">
        <v>2243</v>
      </c>
      <c r="L59" s="5" t="n">
        <f aca="false">IF(G59="High",3,IF(G59="Medium",2,1))</f>
        <v>2</v>
      </c>
    </row>
    <row r="60" customFormat="false" ht="15" hidden="false" customHeight="true" outlineLevel="0" collapsed="false">
      <c r="A60" s="5" t="s">
        <v>2336</v>
      </c>
      <c r="B60" s="5" t="s">
        <v>1007</v>
      </c>
      <c r="C60" s="5" t="s">
        <v>2259</v>
      </c>
      <c r="D60" s="5" t="s">
        <v>2274</v>
      </c>
      <c r="E60" s="5" t="s">
        <v>59</v>
      </c>
      <c r="F60" s="5" t="s">
        <v>59</v>
      </c>
      <c r="G60" s="5" t="str">
        <f aca="false">INDEX(Risk_Matrix!$B$2:$D$4,MATCH(E60,Risk_Matrix!$A$2:$A$4,0),MATCH(F60,Risk_Matrix!$B$1:$D$1,0))</f>
        <v>Low</v>
      </c>
      <c r="H60" s="12" t="n">
        <v>46229</v>
      </c>
      <c r="I60" s="5" t="s">
        <v>2256</v>
      </c>
      <c r="J60" s="5" t="s">
        <v>2257</v>
      </c>
      <c r="K60" s="5" t="s">
        <v>2283</v>
      </c>
      <c r="L60" s="5" t="n">
        <f aca="false">IF(G60="High",3,IF(G60="Medium",2,1))</f>
        <v>1</v>
      </c>
    </row>
    <row r="61" customFormat="false" ht="15" hidden="false" customHeight="true" outlineLevel="0" collapsed="false">
      <c r="A61" s="5" t="s">
        <v>2337</v>
      </c>
      <c r="B61" s="5" t="s">
        <v>1007</v>
      </c>
      <c r="C61" s="5" t="s">
        <v>2262</v>
      </c>
      <c r="D61" s="5" t="s">
        <v>2263</v>
      </c>
      <c r="E61" s="5" t="s">
        <v>54</v>
      </c>
      <c r="F61" s="5" t="s">
        <v>2225</v>
      </c>
      <c r="G61" s="5" t="str">
        <f aca="false">INDEX(Risk_Matrix!$B$2:$D$4,MATCH(E61,Risk_Matrix!$A$2:$A$4,0),MATCH(F61,Risk_Matrix!$B$1:$D$1,0))</f>
        <v>High</v>
      </c>
      <c r="H61" s="12" t="n">
        <v>46182</v>
      </c>
      <c r="I61" s="5" t="s">
        <v>2256</v>
      </c>
      <c r="J61" s="5" t="s">
        <v>2257</v>
      </c>
      <c r="K61" s="5" t="s">
        <v>2283</v>
      </c>
      <c r="L61" s="5" t="n">
        <f aca="false">IF(G61="High",3,IF(G61="Medium",2,1))</f>
        <v>3</v>
      </c>
    </row>
    <row r="62" customFormat="false" ht="15" hidden="false" customHeight="true" outlineLevel="0" collapsed="false">
      <c r="A62" s="5" t="s">
        <v>2338</v>
      </c>
      <c r="B62" s="5" t="s">
        <v>1011</v>
      </c>
      <c r="C62" s="5" t="s">
        <v>2239</v>
      </c>
      <c r="D62" s="5" t="s">
        <v>2295</v>
      </c>
      <c r="E62" s="5" t="s">
        <v>54</v>
      </c>
      <c r="F62" s="5" t="s">
        <v>2225</v>
      </c>
      <c r="G62" s="5" t="str">
        <f aca="false">INDEX(Risk_Matrix!$B$2:$D$4,MATCH(E62,Risk_Matrix!$A$2:$A$4,0),MATCH(F62,Risk_Matrix!$B$1:$D$1,0))</f>
        <v>High</v>
      </c>
      <c r="H62" s="12" t="n">
        <v>46195</v>
      </c>
      <c r="I62" s="5" t="s">
        <v>2250</v>
      </c>
      <c r="J62" s="5" t="s">
        <v>2251</v>
      </c>
      <c r="K62" s="5" t="s">
        <v>2283</v>
      </c>
      <c r="L62" s="5" t="n">
        <f aca="false">IF(G62="High",3,IF(G62="Medium",2,1))</f>
        <v>3</v>
      </c>
    </row>
    <row r="63" customFormat="false" ht="15" hidden="false" customHeight="true" outlineLevel="0" collapsed="false">
      <c r="A63" s="5" t="s">
        <v>2339</v>
      </c>
      <c r="B63" s="5" t="s">
        <v>1011</v>
      </c>
      <c r="C63" s="5" t="s">
        <v>2245</v>
      </c>
      <c r="D63" s="5" t="s">
        <v>2320</v>
      </c>
      <c r="E63" s="5" t="s">
        <v>59</v>
      </c>
      <c r="F63" s="5" t="s">
        <v>59</v>
      </c>
      <c r="G63" s="5" t="str">
        <f aca="false">INDEX(Risk_Matrix!$B$2:$D$4,MATCH(E63,Risk_Matrix!$A$2:$A$4,0),MATCH(F63,Risk_Matrix!$B$1:$D$1,0))</f>
        <v>Low</v>
      </c>
      <c r="H63" s="12" t="n">
        <v>46095</v>
      </c>
      <c r="I63" s="5" t="s">
        <v>2250</v>
      </c>
      <c r="J63" s="5" t="s">
        <v>2251</v>
      </c>
      <c r="K63" s="5" t="s">
        <v>2266</v>
      </c>
      <c r="L63" s="5" t="n">
        <f aca="false">IF(G63="High",3,IF(G63="Medium",2,1))</f>
        <v>1</v>
      </c>
    </row>
    <row r="64" customFormat="false" ht="15" hidden="false" customHeight="true" outlineLevel="0" collapsed="false">
      <c r="A64" s="5" t="s">
        <v>2340</v>
      </c>
      <c r="B64" s="5" t="s">
        <v>1011</v>
      </c>
      <c r="C64" s="5" t="s">
        <v>2248</v>
      </c>
      <c r="D64" s="5" t="s">
        <v>2249</v>
      </c>
      <c r="E64" s="5" t="s">
        <v>2225</v>
      </c>
      <c r="F64" s="5" t="s">
        <v>59</v>
      </c>
      <c r="G64" s="5" t="str">
        <f aca="false">INDEX(Risk_Matrix!$B$2:$D$4,MATCH(E64,Risk_Matrix!$A$2:$A$4,0),MATCH(F64,Risk_Matrix!$B$1:$D$1,0))</f>
        <v>Low</v>
      </c>
      <c r="H64" s="12" t="n">
        <v>46160</v>
      </c>
      <c r="I64" s="5" t="s">
        <v>2256</v>
      </c>
      <c r="J64" s="5" t="s">
        <v>2257</v>
      </c>
      <c r="K64" s="5" t="s">
        <v>2243</v>
      </c>
      <c r="L64" s="5" t="n">
        <f aca="false">IF(G64="High",3,IF(G64="Medium",2,1))</f>
        <v>1</v>
      </c>
    </row>
    <row r="65" customFormat="false" ht="15" hidden="false" customHeight="true" outlineLevel="0" collapsed="false">
      <c r="A65" s="5" t="s">
        <v>2341</v>
      </c>
      <c r="B65" s="5" t="s">
        <v>1011</v>
      </c>
      <c r="C65" s="5" t="s">
        <v>2254</v>
      </c>
      <c r="D65" s="5" t="s">
        <v>2308</v>
      </c>
      <c r="E65" s="5" t="s">
        <v>59</v>
      </c>
      <c r="F65" s="5" t="s">
        <v>2225</v>
      </c>
      <c r="G65" s="5" t="str">
        <f aca="false">INDEX(Risk_Matrix!$B$2:$D$4,MATCH(E65,Risk_Matrix!$A$2:$A$4,0),MATCH(F65,Risk_Matrix!$B$1:$D$1,0))</f>
        <v>Low</v>
      </c>
      <c r="H65" s="12" t="n">
        <v>46208</v>
      </c>
      <c r="I65" s="5" t="s">
        <v>2250</v>
      </c>
      <c r="J65" s="5" t="s">
        <v>2251</v>
      </c>
      <c r="K65" s="5" t="s">
        <v>2243</v>
      </c>
      <c r="L65" s="5" t="n">
        <f aca="false">IF(G65="High",3,IF(G65="Medium",2,1))</f>
        <v>1</v>
      </c>
    </row>
    <row r="66" customFormat="false" ht="15" hidden="false" customHeight="true" outlineLevel="0" collapsed="false">
      <c r="A66" s="5" t="s">
        <v>2342</v>
      </c>
      <c r="B66" s="5" t="s">
        <v>1011</v>
      </c>
      <c r="C66" s="5" t="s">
        <v>2259</v>
      </c>
      <c r="D66" s="5" t="s">
        <v>2260</v>
      </c>
      <c r="E66" s="5" t="s">
        <v>54</v>
      </c>
      <c r="F66" s="5" t="s">
        <v>2225</v>
      </c>
      <c r="G66" s="5" t="str">
        <f aca="false">INDEX(Risk_Matrix!$B$2:$D$4,MATCH(E66,Risk_Matrix!$A$2:$A$4,0),MATCH(F66,Risk_Matrix!$B$1:$D$1,0))</f>
        <v>High</v>
      </c>
      <c r="H66" s="12" t="n">
        <v>46220</v>
      </c>
      <c r="I66" s="5" t="s">
        <v>2264</v>
      </c>
      <c r="J66" s="5" t="s">
        <v>2265</v>
      </c>
      <c r="K66" s="5" t="s">
        <v>2243</v>
      </c>
      <c r="L66" s="5" t="n">
        <f aca="false">IF(G66="High",3,IF(G66="Medium",2,1))</f>
        <v>3</v>
      </c>
    </row>
    <row r="67" customFormat="false" ht="15" hidden="false" customHeight="true" outlineLevel="0" collapsed="false">
      <c r="A67" s="5" t="s">
        <v>2343</v>
      </c>
      <c r="B67" s="5" t="s">
        <v>1011</v>
      </c>
      <c r="C67" s="5" t="s">
        <v>2262</v>
      </c>
      <c r="D67" s="5" t="s">
        <v>2287</v>
      </c>
      <c r="E67" s="5" t="s">
        <v>2225</v>
      </c>
      <c r="F67" s="5" t="s">
        <v>54</v>
      </c>
      <c r="G67" s="5" t="str">
        <f aca="false">INDEX(Risk_Matrix!$B$2:$D$4,MATCH(E67,Risk_Matrix!$A$2:$A$4,0),MATCH(F67,Risk_Matrix!$B$1:$D$1,0))</f>
        <v>High</v>
      </c>
      <c r="H67" s="12" t="n">
        <v>46162</v>
      </c>
      <c r="I67" s="5" t="s">
        <v>2256</v>
      </c>
      <c r="J67" s="5" t="s">
        <v>2257</v>
      </c>
      <c r="K67" s="5" t="s">
        <v>2243</v>
      </c>
      <c r="L67" s="5" t="n">
        <f aca="false">IF(G67="High",3,IF(G67="Medium",2,1))</f>
        <v>3</v>
      </c>
    </row>
    <row r="68" customFormat="false" ht="15" hidden="false" customHeight="true" outlineLevel="0" collapsed="false">
      <c r="A68" s="5" t="s">
        <v>2344</v>
      </c>
      <c r="B68" s="5" t="s">
        <v>1013</v>
      </c>
      <c r="C68" s="5" t="s">
        <v>2239</v>
      </c>
      <c r="D68" s="5" t="s">
        <v>2240</v>
      </c>
      <c r="E68" s="5" t="s">
        <v>54</v>
      </c>
      <c r="F68" s="5" t="s">
        <v>59</v>
      </c>
      <c r="G68" s="5" t="str">
        <f aca="false">INDEX(Risk_Matrix!$B$2:$D$4,MATCH(E68,Risk_Matrix!$A$2:$A$4,0),MATCH(F68,Risk_Matrix!$B$1:$D$1,0))</f>
        <v>Medium</v>
      </c>
      <c r="H68" s="12" t="n">
        <v>46151</v>
      </c>
      <c r="I68" s="5" t="s">
        <v>2241</v>
      </c>
      <c r="J68" s="5" t="s">
        <v>2242</v>
      </c>
      <c r="K68" s="5" t="s">
        <v>2243</v>
      </c>
      <c r="L68" s="5" t="n">
        <f aca="false">IF(G68="High",3,IF(G68="Medium",2,1))</f>
        <v>2</v>
      </c>
    </row>
    <row r="69" customFormat="false" ht="15" hidden="false" customHeight="true" outlineLevel="0" collapsed="false">
      <c r="A69" s="5" t="s">
        <v>2345</v>
      </c>
      <c r="B69" s="5" t="s">
        <v>1013</v>
      </c>
      <c r="C69" s="5" t="s">
        <v>2245</v>
      </c>
      <c r="D69" s="5" t="s">
        <v>2280</v>
      </c>
      <c r="E69" s="5" t="s">
        <v>59</v>
      </c>
      <c r="F69" s="5" t="s">
        <v>54</v>
      </c>
      <c r="G69" s="5" t="str">
        <f aca="false">INDEX(Risk_Matrix!$B$2:$D$4,MATCH(E69,Risk_Matrix!$A$2:$A$4,0),MATCH(F69,Risk_Matrix!$B$1:$D$1,0))</f>
        <v>Medium</v>
      </c>
      <c r="H69" s="12" t="n">
        <v>46218</v>
      </c>
      <c r="I69" s="5" t="s">
        <v>2256</v>
      </c>
      <c r="J69" s="5" t="s">
        <v>2257</v>
      </c>
      <c r="K69" s="5" t="s">
        <v>2243</v>
      </c>
      <c r="L69" s="5" t="n">
        <f aca="false">IF(G69="High",3,IF(G69="Medium",2,1))</f>
        <v>2</v>
      </c>
    </row>
    <row r="70" customFormat="false" ht="15" hidden="false" customHeight="true" outlineLevel="0" collapsed="false">
      <c r="A70" s="5" t="s">
        <v>2346</v>
      </c>
      <c r="B70" s="5" t="s">
        <v>1013</v>
      </c>
      <c r="C70" s="5" t="s">
        <v>2248</v>
      </c>
      <c r="D70" s="5" t="s">
        <v>2249</v>
      </c>
      <c r="E70" s="5" t="s">
        <v>2225</v>
      </c>
      <c r="F70" s="5" t="s">
        <v>59</v>
      </c>
      <c r="G70" s="5" t="str">
        <f aca="false">INDEX(Risk_Matrix!$B$2:$D$4,MATCH(E70,Risk_Matrix!$A$2:$A$4,0),MATCH(F70,Risk_Matrix!$B$1:$D$1,0))</f>
        <v>Low</v>
      </c>
      <c r="H70" s="12" t="n">
        <v>46237</v>
      </c>
      <c r="I70" s="5" t="s">
        <v>2250</v>
      </c>
      <c r="J70" s="5" t="s">
        <v>2251</v>
      </c>
      <c r="K70" s="5" t="s">
        <v>2243</v>
      </c>
      <c r="L70" s="5" t="n">
        <f aca="false">IF(G70="High",3,IF(G70="Medium",2,1))</f>
        <v>1</v>
      </c>
    </row>
    <row r="71" customFormat="false" ht="15" hidden="false" customHeight="true" outlineLevel="0" collapsed="false">
      <c r="A71" s="5" t="s">
        <v>2347</v>
      </c>
      <c r="B71" s="5" t="s">
        <v>1013</v>
      </c>
      <c r="C71" s="5" t="s">
        <v>2254</v>
      </c>
      <c r="D71" s="5" t="s">
        <v>2308</v>
      </c>
      <c r="E71" s="5" t="s">
        <v>59</v>
      </c>
      <c r="F71" s="5" t="s">
        <v>2225</v>
      </c>
      <c r="G71" s="5" t="str">
        <f aca="false">INDEX(Risk_Matrix!$B$2:$D$4,MATCH(E71,Risk_Matrix!$A$2:$A$4,0),MATCH(F71,Risk_Matrix!$B$1:$D$1,0))</f>
        <v>Low</v>
      </c>
      <c r="H71" s="12" t="n">
        <v>46198</v>
      </c>
      <c r="I71" s="5" t="s">
        <v>2250</v>
      </c>
      <c r="J71" s="5" t="s">
        <v>2251</v>
      </c>
      <c r="K71" s="5" t="s">
        <v>2243</v>
      </c>
      <c r="L71" s="5" t="n">
        <f aca="false">IF(G71="High",3,IF(G71="Medium",2,1))</f>
        <v>1</v>
      </c>
    </row>
    <row r="72" customFormat="false" ht="15" hidden="false" customHeight="true" outlineLevel="0" collapsed="false">
      <c r="A72" s="5" t="s">
        <v>2348</v>
      </c>
      <c r="B72" s="5" t="s">
        <v>1013</v>
      </c>
      <c r="C72" s="5" t="s">
        <v>2259</v>
      </c>
      <c r="D72" s="5" t="s">
        <v>2260</v>
      </c>
      <c r="E72" s="5" t="s">
        <v>59</v>
      </c>
      <c r="F72" s="5" t="s">
        <v>59</v>
      </c>
      <c r="G72" s="5" t="str">
        <f aca="false">INDEX(Risk_Matrix!$B$2:$D$4,MATCH(E72,Risk_Matrix!$A$2:$A$4,0),MATCH(F72,Risk_Matrix!$B$1:$D$1,0))</f>
        <v>Low</v>
      </c>
      <c r="H72" s="12" t="n">
        <v>46129</v>
      </c>
      <c r="I72" s="5" t="s">
        <v>2250</v>
      </c>
      <c r="J72" s="5" t="s">
        <v>2251</v>
      </c>
      <c r="K72" s="5" t="s">
        <v>2243</v>
      </c>
      <c r="L72" s="5" t="n">
        <f aca="false">IF(G72="High",3,IF(G72="Medium",2,1))</f>
        <v>1</v>
      </c>
    </row>
    <row r="73" customFormat="false" ht="15" hidden="false" customHeight="true" outlineLevel="0" collapsed="false">
      <c r="A73" s="5" t="s">
        <v>2349</v>
      </c>
      <c r="B73" s="5" t="s">
        <v>1013</v>
      </c>
      <c r="C73" s="5" t="s">
        <v>2262</v>
      </c>
      <c r="D73" s="5" t="s">
        <v>2311</v>
      </c>
      <c r="E73" s="5" t="s">
        <v>59</v>
      </c>
      <c r="F73" s="5" t="s">
        <v>2225</v>
      </c>
      <c r="G73" s="5" t="str">
        <f aca="false">INDEX(Risk_Matrix!$B$2:$D$4,MATCH(E73,Risk_Matrix!$A$2:$A$4,0),MATCH(F73,Risk_Matrix!$B$1:$D$1,0))</f>
        <v>Low</v>
      </c>
      <c r="H73" s="12" t="n">
        <v>46235</v>
      </c>
      <c r="I73" s="5" t="s">
        <v>2250</v>
      </c>
      <c r="J73" s="5" t="s">
        <v>2251</v>
      </c>
      <c r="K73" s="5" t="s">
        <v>2252</v>
      </c>
      <c r="L73" s="5" t="n">
        <f aca="false">IF(G73="High",3,IF(G73="Medium",2,1))</f>
        <v>1</v>
      </c>
    </row>
    <row r="74" customFormat="false" ht="15" hidden="false" customHeight="true" outlineLevel="0" collapsed="false">
      <c r="A74" s="5" t="s">
        <v>2350</v>
      </c>
      <c r="B74" s="5" t="s">
        <v>1015</v>
      </c>
      <c r="C74" s="5" t="s">
        <v>2239</v>
      </c>
      <c r="D74" s="5" t="s">
        <v>2303</v>
      </c>
      <c r="E74" s="5" t="s">
        <v>59</v>
      </c>
      <c r="F74" s="5" t="s">
        <v>59</v>
      </c>
      <c r="G74" s="5" t="str">
        <f aca="false">INDEX(Risk_Matrix!$B$2:$D$4,MATCH(E74,Risk_Matrix!$A$2:$A$4,0),MATCH(F74,Risk_Matrix!$B$1:$D$1,0))</f>
        <v>Low</v>
      </c>
      <c r="H74" s="12" t="n">
        <v>46181</v>
      </c>
      <c r="I74" s="5" t="s">
        <v>2250</v>
      </c>
      <c r="J74" s="5" t="s">
        <v>2251</v>
      </c>
      <c r="K74" s="5" t="s">
        <v>2252</v>
      </c>
      <c r="L74" s="5" t="n">
        <f aca="false">IF(G74="High",3,IF(G74="Medium",2,1))</f>
        <v>1</v>
      </c>
    </row>
    <row r="75" customFormat="false" ht="15" hidden="false" customHeight="true" outlineLevel="0" collapsed="false">
      <c r="A75" s="5" t="s">
        <v>2351</v>
      </c>
      <c r="B75" s="5" t="s">
        <v>1015</v>
      </c>
      <c r="C75" s="5" t="s">
        <v>2245</v>
      </c>
      <c r="D75" s="5" t="s">
        <v>2269</v>
      </c>
      <c r="E75" s="5" t="s">
        <v>59</v>
      </c>
      <c r="F75" s="5" t="s">
        <v>59</v>
      </c>
      <c r="G75" s="5" t="str">
        <f aca="false">INDEX(Risk_Matrix!$B$2:$D$4,MATCH(E75,Risk_Matrix!$A$2:$A$4,0),MATCH(F75,Risk_Matrix!$B$1:$D$1,0))</f>
        <v>Low</v>
      </c>
      <c r="H75" s="12" t="n">
        <v>46196</v>
      </c>
      <c r="I75" s="5" t="s">
        <v>2250</v>
      </c>
      <c r="J75" s="5" t="s">
        <v>2251</v>
      </c>
      <c r="K75" s="5" t="s">
        <v>2276</v>
      </c>
      <c r="L75" s="5" t="n">
        <f aca="false">IF(G75="High",3,IF(G75="Medium",2,1))</f>
        <v>1</v>
      </c>
    </row>
    <row r="76" customFormat="false" ht="15" hidden="false" customHeight="true" outlineLevel="0" collapsed="false">
      <c r="A76" s="5" t="s">
        <v>2352</v>
      </c>
      <c r="B76" s="5" t="s">
        <v>1015</v>
      </c>
      <c r="C76" s="5" t="s">
        <v>2248</v>
      </c>
      <c r="D76" s="5" t="s">
        <v>2306</v>
      </c>
      <c r="E76" s="5" t="s">
        <v>59</v>
      </c>
      <c r="F76" s="5" t="s">
        <v>59</v>
      </c>
      <c r="G76" s="5" t="str">
        <f aca="false">INDEX(Risk_Matrix!$B$2:$D$4,MATCH(E76,Risk_Matrix!$A$2:$A$4,0),MATCH(F76,Risk_Matrix!$B$1:$D$1,0))</f>
        <v>Low</v>
      </c>
      <c r="H76" s="12" t="n">
        <v>46086</v>
      </c>
      <c r="I76" s="5" t="s">
        <v>2250</v>
      </c>
      <c r="J76" s="5" t="s">
        <v>2251</v>
      </c>
      <c r="K76" s="5" t="s">
        <v>2283</v>
      </c>
      <c r="L76" s="5" t="n">
        <f aca="false">IF(G76="High",3,IF(G76="Medium",2,1))</f>
        <v>1</v>
      </c>
    </row>
    <row r="77" customFormat="false" ht="15" hidden="false" customHeight="true" outlineLevel="0" collapsed="false">
      <c r="A77" s="5" t="s">
        <v>2353</v>
      </c>
      <c r="B77" s="5" t="s">
        <v>1015</v>
      </c>
      <c r="C77" s="5" t="s">
        <v>2254</v>
      </c>
      <c r="D77" s="5" t="s">
        <v>2308</v>
      </c>
      <c r="E77" s="5" t="s">
        <v>59</v>
      </c>
      <c r="F77" s="5" t="s">
        <v>2225</v>
      </c>
      <c r="G77" s="5" t="str">
        <f aca="false">INDEX(Risk_Matrix!$B$2:$D$4,MATCH(E77,Risk_Matrix!$A$2:$A$4,0),MATCH(F77,Risk_Matrix!$B$1:$D$1,0))</f>
        <v>Low</v>
      </c>
      <c r="H77" s="12" t="n">
        <v>46113</v>
      </c>
      <c r="I77" s="5" t="s">
        <v>2256</v>
      </c>
      <c r="J77" s="5" t="s">
        <v>2257</v>
      </c>
      <c r="K77" s="5" t="s">
        <v>2252</v>
      </c>
      <c r="L77" s="5" t="n">
        <f aca="false">IF(G77="High",3,IF(G77="Medium",2,1))</f>
        <v>1</v>
      </c>
    </row>
    <row r="78" customFormat="false" ht="15" hidden="false" customHeight="true" outlineLevel="0" collapsed="false">
      <c r="A78" s="5" t="s">
        <v>2354</v>
      </c>
      <c r="B78" s="5" t="s">
        <v>1015</v>
      </c>
      <c r="C78" s="5" t="s">
        <v>2259</v>
      </c>
      <c r="D78" s="5" t="s">
        <v>2260</v>
      </c>
      <c r="E78" s="5" t="s">
        <v>59</v>
      </c>
      <c r="F78" s="5" t="s">
        <v>54</v>
      </c>
      <c r="G78" s="5" t="str">
        <f aca="false">INDEX(Risk_Matrix!$B$2:$D$4,MATCH(E78,Risk_Matrix!$A$2:$A$4,0),MATCH(F78,Risk_Matrix!$B$1:$D$1,0))</f>
        <v>Medium</v>
      </c>
      <c r="H78" s="12" t="n">
        <v>46234</v>
      </c>
      <c r="I78" s="5" t="s">
        <v>2264</v>
      </c>
      <c r="J78" s="5" t="s">
        <v>2265</v>
      </c>
      <c r="K78" s="5" t="s">
        <v>2266</v>
      </c>
      <c r="L78" s="5" t="n">
        <f aca="false">IF(G78="High",3,IF(G78="Medium",2,1))</f>
        <v>2</v>
      </c>
    </row>
    <row r="79" customFormat="false" ht="15" hidden="false" customHeight="true" outlineLevel="0" collapsed="false">
      <c r="A79" s="5" t="s">
        <v>2355</v>
      </c>
      <c r="B79" s="5" t="s">
        <v>1015</v>
      </c>
      <c r="C79" s="5" t="s">
        <v>2262</v>
      </c>
      <c r="D79" s="5" t="s">
        <v>2287</v>
      </c>
      <c r="E79" s="5" t="s">
        <v>2225</v>
      </c>
      <c r="F79" s="5" t="s">
        <v>59</v>
      </c>
      <c r="G79" s="5" t="str">
        <f aca="false">INDEX(Risk_Matrix!$B$2:$D$4,MATCH(E79,Risk_Matrix!$A$2:$A$4,0),MATCH(F79,Risk_Matrix!$B$1:$D$1,0))</f>
        <v>Low</v>
      </c>
      <c r="H79" s="12" t="n">
        <v>46088</v>
      </c>
      <c r="I79" s="5" t="s">
        <v>2250</v>
      </c>
      <c r="J79" s="5" t="s">
        <v>2251</v>
      </c>
      <c r="K79" s="5" t="s">
        <v>2283</v>
      </c>
      <c r="L79" s="5" t="n">
        <f aca="false">IF(G79="High",3,IF(G79="Medium",2,1))</f>
        <v>1</v>
      </c>
    </row>
    <row r="80" customFormat="false" ht="15" hidden="false" customHeight="true" outlineLevel="0" collapsed="false">
      <c r="A80" s="5" t="s">
        <v>2356</v>
      </c>
      <c r="B80" s="5" t="s">
        <v>1016</v>
      </c>
      <c r="C80" s="5" t="s">
        <v>2239</v>
      </c>
      <c r="D80" s="5" t="s">
        <v>2303</v>
      </c>
      <c r="E80" s="5" t="s">
        <v>59</v>
      </c>
      <c r="F80" s="5" t="s">
        <v>2225</v>
      </c>
      <c r="G80" s="5" t="str">
        <f aca="false">INDEX(Risk_Matrix!$B$2:$D$4,MATCH(E80,Risk_Matrix!$A$2:$A$4,0),MATCH(F80,Risk_Matrix!$B$1:$D$1,0))</f>
        <v>Low</v>
      </c>
      <c r="H80" s="12" t="n">
        <v>46142</v>
      </c>
      <c r="I80" s="5" t="s">
        <v>2264</v>
      </c>
      <c r="J80" s="5" t="s">
        <v>2265</v>
      </c>
      <c r="K80" s="5" t="s">
        <v>2252</v>
      </c>
      <c r="L80" s="5" t="n">
        <f aca="false">IF(G80="High",3,IF(G80="Medium",2,1))</f>
        <v>1</v>
      </c>
    </row>
    <row r="81" customFormat="false" ht="15" hidden="false" customHeight="true" outlineLevel="0" collapsed="false">
      <c r="A81" s="5" t="s">
        <v>2357</v>
      </c>
      <c r="B81" s="5" t="s">
        <v>1016</v>
      </c>
      <c r="C81" s="5" t="s">
        <v>2245</v>
      </c>
      <c r="D81" s="5" t="s">
        <v>2246</v>
      </c>
      <c r="E81" s="5" t="s">
        <v>2225</v>
      </c>
      <c r="F81" s="5" t="s">
        <v>59</v>
      </c>
      <c r="G81" s="5" t="str">
        <f aca="false">INDEX(Risk_Matrix!$B$2:$D$4,MATCH(E81,Risk_Matrix!$A$2:$A$4,0),MATCH(F81,Risk_Matrix!$B$1:$D$1,0))</f>
        <v>Low</v>
      </c>
      <c r="H81" s="12" t="n">
        <v>46233</v>
      </c>
      <c r="I81" s="5" t="s">
        <v>2256</v>
      </c>
      <c r="J81" s="5" t="s">
        <v>2257</v>
      </c>
      <c r="K81" s="5" t="s">
        <v>2276</v>
      </c>
      <c r="L81" s="5" t="n">
        <f aca="false">IF(G81="High",3,IF(G81="Medium",2,1))</f>
        <v>1</v>
      </c>
    </row>
    <row r="82" customFormat="false" ht="15" hidden="false" customHeight="true" outlineLevel="0" collapsed="false">
      <c r="A82" s="5" t="s">
        <v>2358</v>
      </c>
      <c r="B82" s="5" t="s">
        <v>1016</v>
      </c>
      <c r="C82" s="5" t="s">
        <v>2248</v>
      </c>
      <c r="D82" s="5" t="s">
        <v>2306</v>
      </c>
      <c r="E82" s="5" t="s">
        <v>59</v>
      </c>
      <c r="F82" s="5" t="s">
        <v>59</v>
      </c>
      <c r="G82" s="5" t="str">
        <f aca="false">INDEX(Risk_Matrix!$B$2:$D$4,MATCH(E82,Risk_Matrix!$A$2:$A$4,0),MATCH(F82,Risk_Matrix!$B$1:$D$1,0))</f>
        <v>Low</v>
      </c>
      <c r="H82" s="12" t="n">
        <v>46117</v>
      </c>
      <c r="I82" s="5" t="s">
        <v>2250</v>
      </c>
      <c r="J82" s="5" t="s">
        <v>2251</v>
      </c>
      <c r="K82" s="5" t="s">
        <v>2266</v>
      </c>
      <c r="L82" s="5" t="n">
        <f aca="false">IF(G82="High",3,IF(G82="Medium",2,1))</f>
        <v>1</v>
      </c>
    </row>
    <row r="83" customFormat="false" ht="15" hidden="false" customHeight="true" outlineLevel="0" collapsed="false">
      <c r="A83" s="5" t="s">
        <v>2359</v>
      </c>
      <c r="B83" s="5" t="s">
        <v>1016</v>
      </c>
      <c r="C83" s="5" t="s">
        <v>2254</v>
      </c>
      <c r="D83" s="5" t="s">
        <v>2255</v>
      </c>
      <c r="E83" s="5" t="s">
        <v>2225</v>
      </c>
      <c r="F83" s="5" t="s">
        <v>2225</v>
      </c>
      <c r="G83" s="5" t="str">
        <f aca="false">INDEX(Risk_Matrix!$B$2:$D$4,MATCH(E83,Risk_Matrix!$A$2:$A$4,0),MATCH(F83,Risk_Matrix!$B$1:$D$1,0))</f>
        <v>Medium</v>
      </c>
      <c r="H83" s="12" t="n">
        <v>46069</v>
      </c>
      <c r="I83" s="5" t="s">
        <v>2256</v>
      </c>
      <c r="J83" s="5" t="s">
        <v>2257</v>
      </c>
      <c r="K83" s="5" t="s">
        <v>2276</v>
      </c>
      <c r="L83" s="5" t="n">
        <f aca="false">IF(G83="High",3,IF(G83="Medium",2,1))</f>
        <v>2</v>
      </c>
    </row>
    <row r="84" customFormat="false" ht="15" hidden="false" customHeight="true" outlineLevel="0" collapsed="false">
      <c r="A84" s="5" t="s">
        <v>2360</v>
      </c>
      <c r="B84" s="5" t="s">
        <v>1016</v>
      </c>
      <c r="C84" s="5" t="s">
        <v>2259</v>
      </c>
      <c r="D84" s="5" t="s">
        <v>2285</v>
      </c>
      <c r="E84" s="5" t="s">
        <v>2225</v>
      </c>
      <c r="F84" s="5" t="s">
        <v>2225</v>
      </c>
      <c r="G84" s="5" t="str">
        <f aca="false">INDEX(Risk_Matrix!$B$2:$D$4,MATCH(E84,Risk_Matrix!$A$2:$A$4,0),MATCH(F84,Risk_Matrix!$B$1:$D$1,0))</f>
        <v>Medium</v>
      </c>
      <c r="H84" s="12" t="n">
        <v>46131</v>
      </c>
      <c r="I84" s="5" t="s">
        <v>2250</v>
      </c>
      <c r="J84" s="5" t="s">
        <v>2251</v>
      </c>
      <c r="K84" s="5" t="s">
        <v>2276</v>
      </c>
      <c r="L84" s="5" t="n">
        <f aca="false">IF(G84="High",3,IF(G84="Medium",2,1))</f>
        <v>2</v>
      </c>
    </row>
    <row r="85" customFormat="false" ht="15" hidden="false" customHeight="true" outlineLevel="0" collapsed="false">
      <c r="A85" s="5" t="s">
        <v>2361</v>
      </c>
      <c r="B85" s="5" t="s">
        <v>1016</v>
      </c>
      <c r="C85" s="5" t="s">
        <v>2262</v>
      </c>
      <c r="D85" s="5" t="s">
        <v>2263</v>
      </c>
      <c r="E85" s="5" t="s">
        <v>2225</v>
      </c>
      <c r="F85" s="5" t="s">
        <v>59</v>
      </c>
      <c r="G85" s="5" t="str">
        <f aca="false">INDEX(Risk_Matrix!$B$2:$D$4,MATCH(E85,Risk_Matrix!$A$2:$A$4,0),MATCH(F85,Risk_Matrix!$B$1:$D$1,0))</f>
        <v>Low</v>
      </c>
      <c r="H85" s="12" t="n">
        <v>46211</v>
      </c>
      <c r="I85" s="5" t="s">
        <v>2256</v>
      </c>
      <c r="J85" s="5" t="s">
        <v>2257</v>
      </c>
      <c r="K85" s="5" t="s">
        <v>2243</v>
      </c>
      <c r="L85" s="5" t="n">
        <f aca="false">IF(G85="High",3,IF(G85="Medium",2,1))</f>
        <v>1</v>
      </c>
    </row>
    <row r="86" customFormat="false" ht="15" hidden="false" customHeight="true" outlineLevel="0" collapsed="false">
      <c r="A86" s="5" t="s">
        <v>2362</v>
      </c>
      <c r="B86" s="5" t="s">
        <v>1018</v>
      </c>
      <c r="C86" s="5" t="s">
        <v>2239</v>
      </c>
      <c r="D86" s="5" t="s">
        <v>2303</v>
      </c>
      <c r="E86" s="5" t="s">
        <v>2225</v>
      </c>
      <c r="F86" s="5" t="s">
        <v>2225</v>
      </c>
      <c r="G86" s="5" t="str">
        <f aca="false">INDEX(Risk_Matrix!$B$2:$D$4,MATCH(E86,Risk_Matrix!$A$2:$A$4,0),MATCH(F86,Risk_Matrix!$B$1:$D$1,0))</f>
        <v>Medium</v>
      </c>
      <c r="H86" s="12" t="n">
        <v>46187</v>
      </c>
      <c r="I86" s="5" t="s">
        <v>2264</v>
      </c>
      <c r="J86" s="5" t="s">
        <v>2265</v>
      </c>
      <c r="K86" s="5" t="s">
        <v>2252</v>
      </c>
      <c r="L86" s="5" t="n">
        <f aca="false">IF(G86="High",3,IF(G86="Medium",2,1))</f>
        <v>2</v>
      </c>
    </row>
    <row r="87" customFormat="false" ht="15" hidden="false" customHeight="true" outlineLevel="0" collapsed="false">
      <c r="A87" s="5" t="s">
        <v>2363</v>
      </c>
      <c r="B87" s="5" t="s">
        <v>1018</v>
      </c>
      <c r="C87" s="5" t="s">
        <v>2245</v>
      </c>
      <c r="D87" s="5" t="s">
        <v>2280</v>
      </c>
      <c r="E87" s="5" t="s">
        <v>59</v>
      </c>
      <c r="F87" s="5" t="s">
        <v>59</v>
      </c>
      <c r="G87" s="5" t="str">
        <f aca="false">INDEX(Risk_Matrix!$B$2:$D$4,MATCH(E87,Risk_Matrix!$A$2:$A$4,0),MATCH(F87,Risk_Matrix!$B$1:$D$1,0))</f>
        <v>Low</v>
      </c>
      <c r="H87" s="12" t="n">
        <v>46185</v>
      </c>
      <c r="I87" s="5" t="s">
        <v>2250</v>
      </c>
      <c r="J87" s="5" t="s">
        <v>2251</v>
      </c>
      <c r="K87" s="5" t="s">
        <v>2243</v>
      </c>
      <c r="L87" s="5" t="n">
        <f aca="false">IF(G87="High",3,IF(G87="Medium",2,1))</f>
        <v>1</v>
      </c>
    </row>
    <row r="88" customFormat="false" ht="15" hidden="false" customHeight="true" outlineLevel="0" collapsed="false">
      <c r="A88" s="5" t="s">
        <v>2364</v>
      </c>
      <c r="B88" s="5" t="s">
        <v>1018</v>
      </c>
      <c r="C88" s="5" t="s">
        <v>2248</v>
      </c>
      <c r="D88" s="5" t="s">
        <v>2249</v>
      </c>
      <c r="E88" s="5" t="s">
        <v>59</v>
      </c>
      <c r="F88" s="5" t="s">
        <v>59</v>
      </c>
      <c r="G88" s="5" t="str">
        <f aca="false">INDEX(Risk_Matrix!$B$2:$D$4,MATCH(E88,Risk_Matrix!$A$2:$A$4,0),MATCH(F88,Risk_Matrix!$B$1:$D$1,0))</f>
        <v>Low</v>
      </c>
      <c r="H88" s="12" t="n">
        <v>46210</v>
      </c>
      <c r="I88" s="5" t="s">
        <v>2256</v>
      </c>
      <c r="J88" s="5" t="s">
        <v>2257</v>
      </c>
      <c r="K88" s="5" t="s">
        <v>2283</v>
      </c>
      <c r="L88" s="5" t="n">
        <f aca="false">IF(G88="High",3,IF(G88="Medium",2,1))</f>
        <v>1</v>
      </c>
    </row>
    <row r="89" customFormat="false" ht="15" hidden="false" customHeight="true" outlineLevel="0" collapsed="false">
      <c r="A89" s="5" t="s">
        <v>2365</v>
      </c>
      <c r="B89" s="5" t="s">
        <v>1018</v>
      </c>
      <c r="C89" s="5" t="s">
        <v>2254</v>
      </c>
      <c r="D89" s="5" t="s">
        <v>2299</v>
      </c>
      <c r="E89" s="5" t="s">
        <v>59</v>
      </c>
      <c r="F89" s="5" t="s">
        <v>54</v>
      </c>
      <c r="G89" s="5" t="str">
        <f aca="false">INDEX(Risk_Matrix!$B$2:$D$4,MATCH(E89,Risk_Matrix!$A$2:$A$4,0),MATCH(F89,Risk_Matrix!$B$1:$D$1,0))</f>
        <v>Medium</v>
      </c>
      <c r="H89" s="12" t="n">
        <v>46219</v>
      </c>
      <c r="I89" s="5" t="s">
        <v>2264</v>
      </c>
      <c r="J89" s="5" t="s">
        <v>2265</v>
      </c>
      <c r="K89" s="5" t="s">
        <v>2276</v>
      </c>
      <c r="L89" s="5" t="n">
        <f aca="false">IF(G89="High",3,IF(G89="Medium",2,1))</f>
        <v>2</v>
      </c>
    </row>
    <row r="90" customFormat="false" ht="15" hidden="false" customHeight="true" outlineLevel="0" collapsed="false">
      <c r="A90" s="5" t="s">
        <v>2366</v>
      </c>
      <c r="B90" s="5" t="s">
        <v>1018</v>
      </c>
      <c r="C90" s="5" t="s">
        <v>2259</v>
      </c>
      <c r="D90" s="5" t="s">
        <v>2274</v>
      </c>
      <c r="E90" s="5" t="s">
        <v>2225</v>
      </c>
      <c r="F90" s="5" t="s">
        <v>59</v>
      </c>
      <c r="G90" s="5" t="str">
        <f aca="false">INDEX(Risk_Matrix!$B$2:$D$4,MATCH(E90,Risk_Matrix!$A$2:$A$4,0),MATCH(F90,Risk_Matrix!$B$1:$D$1,0))</f>
        <v>Low</v>
      </c>
      <c r="H90" s="12" t="n">
        <v>46171</v>
      </c>
      <c r="I90" s="5" t="s">
        <v>2241</v>
      </c>
      <c r="J90" s="5" t="s">
        <v>2242</v>
      </c>
      <c r="K90" s="5" t="s">
        <v>2243</v>
      </c>
      <c r="L90" s="5" t="n">
        <f aca="false">IF(G90="High",3,IF(G90="Medium",2,1))</f>
        <v>1</v>
      </c>
    </row>
    <row r="91" customFormat="false" ht="15" hidden="false" customHeight="true" outlineLevel="0" collapsed="false">
      <c r="A91" s="5" t="s">
        <v>2367</v>
      </c>
      <c r="B91" s="5" t="s">
        <v>1018</v>
      </c>
      <c r="C91" s="5" t="s">
        <v>2262</v>
      </c>
      <c r="D91" s="5" t="s">
        <v>2287</v>
      </c>
      <c r="E91" s="5" t="s">
        <v>59</v>
      </c>
      <c r="F91" s="5" t="s">
        <v>59</v>
      </c>
      <c r="G91" s="5" t="str">
        <f aca="false">INDEX(Risk_Matrix!$B$2:$D$4,MATCH(E91,Risk_Matrix!$A$2:$A$4,0),MATCH(F91,Risk_Matrix!$B$1:$D$1,0))</f>
        <v>Low</v>
      </c>
      <c r="H91" s="12" t="n">
        <v>46164</v>
      </c>
      <c r="I91" s="5" t="s">
        <v>2256</v>
      </c>
      <c r="J91" s="5" t="s">
        <v>2257</v>
      </c>
      <c r="K91" s="5" t="s">
        <v>2252</v>
      </c>
      <c r="L91" s="5" t="n">
        <f aca="false">IF(G91="High",3,IF(G91="Medium",2,1))</f>
        <v>1</v>
      </c>
    </row>
    <row r="92" customFormat="false" ht="15" hidden="false" customHeight="true" outlineLevel="0" collapsed="false">
      <c r="A92" s="5" t="s">
        <v>2368</v>
      </c>
      <c r="B92" s="5" t="s">
        <v>1021</v>
      </c>
      <c r="C92" s="5" t="s">
        <v>2239</v>
      </c>
      <c r="D92" s="5" t="s">
        <v>2278</v>
      </c>
      <c r="E92" s="5" t="s">
        <v>59</v>
      </c>
      <c r="F92" s="5" t="s">
        <v>59</v>
      </c>
      <c r="G92" s="5" t="str">
        <f aca="false">INDEX(Risk_Matrix!$B$2:$D$4,MATCH(E92,Risk_Matrix!$A$2:$A$4,0),MATCH(F92,Risk_Matrix!$B$1:$D$1,0))</f>
        <v>Low</v>
      </c>
      <c r="H92" s="12" t="n">
        <v>46227</v>
      </c>
      <c r="I92" s="5" t="s">
        <v>2264</v>
      </c>
      <c r="J92" s="5" t="s">
        <v>2265</v>
      </c>
      <c r="K92" s="5" t="s">
        <v>2276</v>
      </c>
      <c r="L92" s="5" t="n">
        <f aca="false">IF(G92="High",3,IF(G92="Medium",2,1))</f>
        <v>1</v>
      </c>
    </row>
    <row r="93" customFormat="false" ht="15" hidden="false" customHeight="true" outlineLevel="0" collapsed="false">
      <c r="A93" s="5" t="s">
        <v>2369</v>
      </c>
      <c r="B93" s="5" t="s">
        <v>1021</v>
      </c>
      <c r="C93" s="5" t="s">
        <v>2245</v>
      </c>
      <c r="D93" s="5" t="s">
        <v>2320</v>
      </c>
      <c r="E93" s="5" t="s">
        <v>2225</v>
      </c>
      <c r="F93" s="5" t="s">
        <v>59</v>
      </c>
      <c r="G93" s="5" t="str">
        <f aca="false">INDEX(Risk_Matrix!$B$2:$D$4,MATCH(E93,Risk_Matrix!$A$2:$A$4,0),MATCH(F93,Risk_Matrix!$B$1:$D$1,0))</f>
        <v>Low</v>
      </c>
      <c r="H93" s="12" t="n">
        <v>46126</v>
      </c>
      <c r="I93" s="5" t="s">
        <v>2256</v>
      </c>
      <c r="J93" s="5" t="s">
        <v>2257</v>
      </c>
      <c r="K93" s="5" t="s">
        <v>2283</v>
      </c>
      <c r="L93" s="5" t="n">
        <f aca="false">IF(G93="High",3,IF(G93="Medium",2,1))</f>
        <v>1</v>
      </c>
    </row>
    <row r="94" customFormat="false" ht="15" hidden="false" customHeight="true" outlineLevel="0" collapsed="false">
      <c r="A94" s="5" t="s">
        <v>2370</v>
      </c>
      <c r="B94" s="5" t="s">
        <v>1021</v>
      </c>
      <c r="C94" s="5" t="s">
        <v>2248</v>
      </c>
      <c r="D94" s="5" t="s">
        <v>2249</v>
      </c>
      <c r="E94" s="5" t="s">
        <v>54</v>
      </c>
      <c r="F94" s="5" t="s">
        <v>59</v>
      </c>
      <c r="G94" s="5" t="str">
        <f aca="false">INDEX(Risk_Matrix!$B$2:$D$4,MATCH(E94,Risk_Matrix!$A$2:$A$4,0),MATCH(F94,Risk_Matrix!$B$1:$D$1,0))</f>
        <v>Medium</v>
      </c>
      <c r="H94" s="12" t="n">
        <v>46192</v>
      </c>
      <c r="I94" s="5" t="s">
        <v>2264</v>
      </c>
      <c r="J94" s="5" t="s">
        <v>2265</v>
      </c>
      <c r="K94" s="5" t="s">
        <v>2276</v>
      </c>
      <c r="L94" s="5" t="n">
        <f aca="false">IF(G94="High",3,IF(G94="Medium",2,1))</f>
        <v>2</v>
      </c>
    </row>
    <row r="95" customFormat="false" ht="15" hidden="false" customHeight="true" outlineLevel="0" collapsed="false">
      <c r="A95" s="5" t="s">
        <v>2371</v>
      </c>
      <c r="B95" s="5" t="s">
        <v>1021</v>
      </c>
      <c r="C95" s="5" t="s">
        <v>2254</v>
      </c>
      <c r="D95" s="5" t="s">
        <v>2308</v>
      </c>
      <c r="E95" s="5" t="s">
        <v>59</v>
      </c>
      <c r="F95" s="5" t="s">
        <v>59</v>
      </c>
      <c r="G95" s="5" t="str">
        <f aca="false">INDEX(Risk_Matrix!$B$2:$D$4,MATCH(E95,Risk_Matrix!$A$2:$A$4,0),MATCH(F95,Risk_Matrix!$B$1:$D$1,0))</f>
        <v>Low</v>
      </c>
      <c r="H95" s="12" t="n">
        <v>46062</v>
      </c>
      <c r="I95" s="5" t="s">
        <v>2264</v>
      </c>
      <c r="J95" s="5" t="s">
        <v>2265</v>
      </c>
      <c r="K95" s="5" t="s">
        <v>2243</v>
      </c>
      <c r="L95" s="5" t="n">
        <f aca="false">IF(G95="High",3,IF(G95="Medium",2,1))</f>
        <v>1</v>
      </c>
    </row>
    <row r="96" customFormat="false" ht="15" hidden="false" customHeight="true" outlineLevel="0" collapsed="false">
      <c r="A96" s="5" t="s">
        <v>2372</v>
      </c>
      <c r="B96" s="5" t="s">
        <v>1021</v>
      </c>
      <c r="C96" s="5" t="s">
        <v>2259</v>
      </c>
      <c r="D96" s="5" t="s">
        <v>2274</v>
      </c>
      <c r="E96" s="5" t="s">
        <v>2225</v>
      </c>
      <c r="F96" s="5" t="s">
        <v>2225</v>
      </c>
      <c r="G96" s="5" t="str">
        <f aca="false">INDEX(Risk_Matrix!$B$2:$D$4,MATCH(E96,Risk_Matrix!$A$2:$A$4,0),MATCH(F96,Risk_Matrix!$B$1:$D$1,0))</f>
        <v>Medium</v>
      </c>
      <c r="H96" s="12" t="n">
        <v>46060</v>
      </c>
      <c r="I96" s="5" t="s">
        <v>2256</v>
      </c>
      <c r="J96" s="5" t="s">
        <v>2257</v>
      </c>
      <c r="K96" s="5" t="s">
        <v>2276</v>
      </c>
      <c r="L96" s="5" t="n">
        <f aca="false">IF(G96="High",3,IF(G96="Medium",2,1))</f>
        <v>2</v>
      </c>
    </row>
    <row r="97" customFormat="false" ht="15" hidden="false" customHeight="true" outlineLevel="0" collapsed="false">
      <c r="A97" s="5" t="s">
        <v>2373</v>
      </c>
      <c r="B97" s="5" t="s">
        <v>1021</v>
      </c>
      <c r="C97" s="5" t="s">
        <v>2262</v>
      </c>
      <c r="D97" s="5" t="s">
        <v>2287</v>
      </c>
      <c r="E97" s="5" t="s">
        <v>59</v>
      </c>
      <c r="F97" s="5" t="s">
        <v>54</v>
      </c>
      <c r="G97" s="5" t="str">
        <f aca="false">INDEX(Risk_Matrix!$B$2:$D$4,MATCH(E97,Risk_Matrix!$A$2:$A$4,0),MATCH(F97,Risk_Matrix!$B$1:$D$1,0))</f>
        <v>Medium</v>
      </c>
      <c r="H97" s="12" t="n">
        <v>46093</v>
      </c>
      <c r="I97" s="5" t="s">
        <v>2250</v>
      </c>
      <c r="J97" s="5" t="s">
        <v>2251</v>
      </c>
      <c r="K97" s="5" t="s">
        <v>2243</v>
      </c>
      <c r="L97" s="5" t="n">
        <f aca="false">IF(G97="High",3,IF(G97="Medium",2,1))</f>
        <v>2</v>
      </c>
    </row>
    <row r="98" customFormat="false" ht="15" hidden="false" customHeight="true" outlineLevel="0" collapsed="false">
      <c r="A98" s="5" t="s">
        <v>2374</v>
      </c>
      <c r="B98" s="5" t="s">
        <v>1024</v>
      </c>
      <c r="C98" s="5" t="s">
        <v>2239</v>
      </c>
      <c r="D98" s="5" t="s">
        <v>2303</v>
      </c>
      <c r="E98" s="5" t="s">
        <v>2225</v>
      </c>
      <c r="F98" s="5" t="s">
        <v>2225</v>
      </c>
      <c r="G98" s="5" t="str">
        <f aca="false">INDEX(Risk_Matrix!$B$2:$D$4,MATCH(E98,Risk_Matrix!$A$2:$A$4,0),MATCH(F98,Risk_Matrix!$B$1:$D$1,0))</f>
        <v>Medium</v>
      </c>
      <c r="H98" s="12" t="n">
        <v>46063</v>
      </c>
      <c r="I98" s="5" t="s">
        <v>2250</v>
      </c>
      <c r="J98" s="5" t="s">
        <v>2251</v>
      </c>
      <c r="K98" s="5" t="s">
        <v>2266</v>
      </c>
      <c r="L98" s="5" t="n">
        <f aca="false">IF(G98="High",3,IF(G98="Medium",2,1))</f>
        <v>2</v>
      </c>
    </row>
    <row r="99" customFormat="false" ht="15" hidden="false" customHeight="true" outlineLevel="0" collapsed="false">
      <c r="A99" s="5" t="s">
        <v>2375</v>
      </c>
      <c r="B99" s="5" t="s">
        <v>1024</v>
      </c>
      <c r="C99" s="5" t="s">
        <v>2245</v>
      </c>
      <c r="D99" s="5" t="s">
        <v>2280</v>
      </c>
      <c r="E99" s="5" t="s">
        <v>54</v>
      </c>
      <c r="F99" s="5" t="s">
        <v>59</v>
      </c>
      <c r="G99" s="5" t="str">
        <f aca="false">INDEX(Risk_Matrix!$B$2:$D$4,MATCH(E99,Risk_Matrix!$A$2:$A$4,0),MATCH(F99,Risk_Matrix!$B$1:$D$1,0))</f>
        <v>Medium</v>
      </c>
      <c r="H99" s="12" t="n">
        <v>46227</v>
      </c>
      <c r="I99" s="5" t="s">
        <v>2250</v>
      </c>
      <c r="J99" s="5" t="s">
        <v>2251</v>
      </c>
      <c r="K99" s="5" t="s">
        <v>2276</v>
      </c>
      <c r="L99" s="5" t="n">
        <f aca="false">IF(G99="High",3,IF(G99="Medium",2,1))</f>
        <v>2</v>
      </c>
    </row>
    <row r="100" customFormat="false" ht="15" hidden="false" customHeight="true" outlineLevel="0" collapsed="false">
      <c r="A100" s="5" t="s">
        <v>2376</v>
      </c>
      <c r="B100" s="5" t="s">
        <v>1024</v>
      </c>
      <c r="C100" s="5" t="s">
        <v>2248</v>
      </c>
      <c r="D100" s="5" t="s">
        <v>2249</v>
      </c>
      <c r="E100" s="5" t="s">
        <v>2225</v>
      </c>
      <c r="F100" s="5" t="s">
        <v>59</v>
      </c>
      <c r="G100" s="5" t="str">
        <f aca="false">INDEX(Risk_Matrix!$B$2:$D$4,MATCH(E100,Risk_Matrix!$A$2:$A$4,0),MATCH(F100,Risk_Matrix!$B$1:$D$1,0))</f>
        <v>Low</v>
      </c>
      <c r="H100" s="12" t="n">
        <v>46104</v>
      </c>
      <c r="I100" s="5" t="s">
        <v>2264</v>
      </c>
      <c r="J100" s="5" t="s">
        <v>2265</v>
      </c>
      <c r="K100" s="5" t="s">
        <v>2283</v>
      </c>
      <c r="L100" s="5" t="n">
        <f aca="false">IF(G100="High",3,IF(G100="Medium",2,1))</f>
        <v>1</v>
      </c>
    </row>
    <row r="101" customFormat="false" ht="15" hidden="false" customHeight="true" outlineLevel="0" collapsed="false">
      <c r="A101" s="5" t="s">
        <v>2377</v>
      </c>
      <c r="B101" s="5" t="s">
        <v>1024</v>
      </c>
      <c r="C101" s="5" t="s">
        <v>2254</v>
      </c>
      <c r="D101" s="5" t="s">
        <v>2299</v>
      </c>
      <c r="E101" s="5" t="s">
        <v>2225</v>
      </c>
      <c r="F101" s="5" t="s">
        <v>54</v>
      </c>
      <c r="G101" s="5" t="str">
        <f aca="false">INDEX(Risk_Matrix!$B$2:$D$4,MATCH(E101,Risk_Matrix!$A$2:$A$4,0),MATCH(F101,Risk_Matrix!$B$1:$D$1,0))</f>
        <v>High</v>
      </c>
      <c r="H101" s="12" t="n">
        <v>46152</v>
      </c>
      <c r="I101" s="5" t="s">
        <v>2250</v>
      </c>
      <c r="J101" s="5" t="s">
        <v>2251</v>
      </c>
      <c r="K101" s="5" t="s">
        <v>2283</v>
      </c>
      <c r="L101" s="5" t="n">
        <f aca="false">IF(G101="High",3,IF(G101="Medium",2,1))</f>
        <v>3</v>
      </c>
    </row>
    <row r="102" customFormat="false" ht="15" hidden="false" customHeight="true" outlineLevel="0" collapsed="false">
      <c r="A102" s="5" t="s">
        <v>2378</v>
      </c>
      <c r="B102" s="5" t="s">
        <v>1024</v>
      </c>
      <c r="C102" s="5" t="s">
        <v>2259</v>
      </c>
      <c r="D102" s="5" t="s">
        <v>2285</v>
      </c>
      <c r="E102" s="5" t="s">
        <v>2225</v>
      </c>
      <c r="F102" s="5" t="s">
        <v>2225</v>
      </c>
      <c r="G102" s="5" t="str">
        <f aca="false">INDEX(Risk_Matrix!$B$2:$D$4,MATCH(E102,Risk_Matrix!$A$2:$A$4,0),MATCH(F102,Risk_Matrix!$B$1:$D$1,0))</f>
        <v>Medium</v>
      </c>
      <c r="H102" s="12" t="n">
        <v>46175</v>
      </c>
      <c r="I102" s="5" t="s">
        <v>2250</v>
      </c>
      <c r="J102" s="5" t="s">
        <v>2251</v>
      </c>
      <c r="K102" s="5" t="s">
        <v>2243</v>
      </c>
      <c r="L102" s="5" t="n">
        <f aca="false">IF(G102="High",3,IF(G102="Medium",2,1))</f>
        <v>2</v>
      </c>
    </row>
    <row r="103" customFormat="false" ht="15" hidden="false" customHeight="true" outlineLevel="0" collapsed="false">
      <c r="A103" s="5" t="s">
        <v>2379</v>
      </c>
      <c r="B103" s="5" t="s">
        <v>1024</v>
      </c>
      <c r="C103" s="5" t="s">
        <v>2262</v>
      </c>
      <c r="D103" s="5" t="s">
        <v>2311</v>
      </c>
      <c r="E103" s="5" t="s">
        <v>2225</v>
      </c>
      <c r="F103" s="5" t="s">
        <v>2225</v>
      </c>
      <c r="G103" s="5" t="str">
        <f aca="false">INDEX(Risk_Matrix!$B$2:$D$4,MATCH(E103,Risk_Matrix!$A$2:$A$4,0),MATCH(F103,Risk_Matrix!$B$1:$D$1,0))</f>
        <v>Medium</v>
      </c>
      <c r="H103" s="12" t="n">
        <v>46096</v>
      </c>
      <c r="I103" s="5" t="s">
        <v>2256</v>
      </c>
      <c r="J103" s="5" t="s">
        <v>2257</v>
      </c>
      <c r="K103" s="5" t="s">
        <v>2283</v>
      </c>
      <c r="L103" s="5" t="n">
        <f aca="false">IF(G103="High",3,IF(G103="Medium",2,1))</f>
        <v>2</v>
      </c>
    </row>
    <row r="104" customFormat="false" ht="15" hidden="false" customHeight="true" outlineLevel="0" collapsed="false">
      <c r="A104" s="5" t="s">
        <v>2380</v>
      </c>
      <c r="B104" s="5" t="s">
        <v>1026</v>
      </c>
      <c r="C104" s="5" t="s">
        <v>2239</v>
      </c>
      <c r="D104" s="5" t="s">
        <v>2240</v>
      </c>
      <c r="E104" s="5" t="s">
        <v>59</v>
      </c>
      <c r="F104" s="5" t="s">
        <v>54</v>
      </c>
      <c r="G104" s="5" t="str">
        <f aca="false">INDEX(Risk_Matrix!$B$2:$D$4,MATCH(E104,Risk_Matrix!$A$2:$A$4,0),MATCH(F104,Risk_Matrix!$B$1:$D$1,0))</f>
        <v>Medium</v>
      </c>
      <c r="H104" s="12" t="n">
        <v>46118</v>
      </c>
      <c r="I104" s="5" t="s">
        <v>2250</v>
      </c>
      <c r="J104" s="5" t="s">
        <v>2251</v>
      </c>
      <c r="K104" s="5" t="s">
        <v>2243</v>
      </c>
      <c r="L104" s="5" t="n">
        <f aca="false">IF(G104="High",3,IF(G104="Medium",2,1))</f>
        <v>2</v>
      </c>
    </row>
    <row r="105" customFormat="false" ht="15" hidden="false" customHeight="true" outlineLevel="0" collapsed="false">
      <c r="A105" s="5" t="s">
        <v>2381</v>
      </c>
      <c r="B105" s="5" t="s">
        <v>1026</v>
      </c>
      <c r="C105" s="5" t="s">
        <v>2245</v>
      </c>
      <c r="D105" s="5" t="s">
        <v>2320</v>
      </c>
      <c r="E105" s="5" t="s">
        <v>59</v>
      </c>
      <c r="F105" s="5" t="s">
        <v>59</v>
      </c>
      <c r="G105" s="5" t="str">
        <f aca="false">INDEX(Risk_Matrix!$B$2:$D$4,MATCH(E105,Risk_Matrix!$A$2:$A$4,0),MATCH(F105,Risk_Matrix!$B$1:$D$1,0))</f>
        <v>Low</v>
      </c>
      <c r="H105" s="12" t="n">
        <v>46167</v>
      </c>
      <c r="I105" s="5" t="s">
        <v>2256</v>
      </c>
      <c r="J105" s="5" t="s">
        <v>2257</v>
      </c>
      <c r="K105" s="5" t="s">
        <v>2276</v>
      </c>
      <c r="L105" s="5" t="n">
        <f aca="false">IF(G105="High",3,IF(G105="Medium",2,1))</f>
        <v>1</v>
      </c>
    </row>
    <row r="106" customFormat="false" ht="15" hidden="false" customHeight="true" outlineLevel="0" collapsed="false">
      <c r="A106" s="5" t="s">
        <v>2382</v>
      </c>
      <c r="B106" s="5" t="s">
        <v>1026</v>
      </c>
      <c r="C106" s="5" t="s">
        <v>2248</v>
      </c>
      <c r="D106" s="5" t="s">
        <v>2322</v>
      </c>
      <c r="E106" s="5" t="s">
        <v>2225</v>
      </c>
      <c r="F106" s="5" t="s">
        <v>59</v>
      </c>
      <c r="G106" s="5" t="str">
        <f aca="false">INDEX(Risk_Matrix!$B$2:$D$4,MATCH(E106,Risk_Matrix!$A$2:$A$4,0),MATCH(F106,Risk_Matrix!$B$1:$D$1,0))</f>
        <v>Low</v>
      </c>
      <c r="H106" s="12" t="n">
        <v>46218</v>
      </c>
      <c r="I106" s="5" t="s">
        <v>2264</v>
      </c>
      <c r="J106" s="5" t="s">
        <v>2265</v>
      </c>
      <c r="K106" s="5" t="s">
        <v>2243</v>
      </c>
      <c r="L106" s="5" t="n">
        <f aca="false">IF(G106="High",3,IF(G106="Medium",2,1))</f>
        <v>1</v>
      </c>
    </row>
    <row r="107" customFormat="false" ht="15" hidden="false" customHeight="true" outlineLevel="0" collapsed="false">
      <c r="A107" s="5" t="s">
        <v>2383</v>
      </c>
      <c r="B107" s="5" t="s">
        <v>1026</v>
      </c>
      <c r="C107" s="5" t="s">
        <v>2254</v>
      </c>
      <c r="D107" s="5" t="s">
        <v>2308</v>
      </c>
      <c r="E107" s="5" t="s">
        <v>2225</v>
      </c>
      <c r="F107" s="5" t="s">
        <v>59</v>
      </c>
      <c r="G107" s="5" t="str">
        <f aca="false">INDEX(Risk_Matrix!$B$2:$D$4,MATCH(E107,Risk_Matrix!$A$2:$A$4,0),MATCH(F107,Risk_Matrix!$B$1:$D$1,0))</f>
        <v>Low</v>
      </c>
      <c r="H107" s="12" t="n">
        <v>46124</v>
      </c>
      <c r="I107" s="5" t="s">
        <v>2264</v>
      </c>
      <c r="J107" s="5" t="s">
        <v>2265</v>
      </c>
      <c r="K107" s="5" t="s">
        <v>2252</v>
      </c>
      <c r="L107" s="5" t="n">
        <f aca="false">IF(G107="High",3,IF(G107="Medium",2,1))</f>
        <v>1</v>
      </c>
    </row>
    <row r="108" customFormat="false" ht="15" hidden="false" customHeight="true" outlineLevel="0" collapsed="false">
      <c r="A108" s="5" t="s">
        <v>2384</v>
      </c>
      <c r="B108" s="5" t="s">
        <v>1026</v>
      </c>
      <c r="C108" s="5" t="s">
        <v>2259</v>
      </c>
      <c r="D108" s="5" t="s">
        <v>2260</v>
      </c>
      <c r="E108" s="5" t="s">
        <v>54</v>
      </c>
      <c r="F108" s="5" t="s">
        <v>2225</v>
      </c>
      <c r="G108" s="5" t="str">
        <f aca="false">INDEX(Risk_Matrix!$B$2:$D$4,MATCH(E108,Risk_Matrix!$A$2:$A$4,0),MATCH(F108,Risk_Matrix!$B$1:$D$1,0))</f>
        <v>High</v>
      </c>
      <c r="H108" s="12" t="n">
        <v>46135</v>
      </c>
      <c r="I108" s="5" t="s">
        <v>2256</v>
      </c>
      <c r="J108" s="5" t="s">
        <v>2257</v>
      </c>
      <c r="K108" s="5" t="s">
        <v>2243</v>
      </c>
      <c r="L108" s="5" t="n">
        <f aca="false">IF(G108="High",3,IF(G108="Medium",2,1))</f>
        <v>3</v>
      </c>
    </row>
    <row r="109" customFormat="false" ht="15" hidden="false" customHeight="true" outlineLevel="0" collapsed="false">
      <c r="A109" s="5" t="s">
        <v>2385</v>
      </c>
      <c r="B109" s="5" t="s">
        <v>1026</v>
      </c>
      <c r="C109" s="5" t="s">
        <v>2262</v>
      </c>
      <c r="D109" s="5" t="s">
        <v>2287</v>
      </c>
      <c r="E109" s="5" t="s">
        <v>2225</v>
      </c>
      <c r="F109" s="5" t="s">
        <v>59</v>
      </c>
      <c r="G109" s="5" t="str">
        <f aca="false">INDEX(Risk_Matrix!$B$2:$D$4,MATCH(E109,Risk_Matrix!$A$2:$A$4,0),MATCH(F109,Risk_Matrix!$B$1:$D$1,0))</f>
        <v>Low</v>
      </c>
      <c r="H109" s="12" t="n">
        <v>46084</v>
      </c>
      <c r="I109" s="5" t="s">
        <v>2256</v>
      </c>
      <c r="J109" s="5" t="s">
        <v>2257</v>
      </c>
      <c r="K109" s="5" t="s">
        <v>2283</v>
      </c>
      <c r="L109" s="5" t="n">
        <f aca="false">IF(G109="High",3,IF(G109="Medium",2,1))</f>
        <v>1</v>
      </c>
    </row>
    <row r="110" customFormat="false" ht="15" hidden="false" customHeight="true" outlineLevel="0" collapsed="false">
      <c r="A110" s="5" t="s">
        <v>2386</v>
      </c>
      <c r="B110" s="5" t="s">
        <v>1028</v>
      </c>
      <c r="C110" s="5" t="s">
        <v>2239</v>
      </c>
      <c r="D110" s="5" t="s">
        <v>2278</v>
      </c>
      <c r="E110" s="5" t="s">
        <v>54</v>
      </c>
      <c r="F110" s="5" t="s">
        <v>2225</v>
      </c>
      <c r="G110" s="5" t="str">
        <f aca="false">INDEX(Risk_Matrix!$B$2:$D$4,MATCH(E110,Risk_Matrix!$A$2:$A$4,0),MATCH(F110,Risk_Matrix!$B$1:$D$1,0))</f>
        <v>High</v>
      </c>
      <c r="H110" s="12" t="n">
        <v>46122</v>
      </c>
      <c r="I110" s="5" t="s">
        <v>2250</v>
      </c>
      <c r="J110" s="5" t="s">
        <v>2251</v>
      </c>
      <c r="K110" s="5" t="s">
        <v>2252</v>
      </c>
      <c r="L110" s="5" t="n">
        <f aca="false">IF(G110="High",3,IF(G110="Medium",2,1))</f>
        <v>3</v>
      </c>
    </row>
    <row r="111" customFormat="false" ht="15" hidden="false" customHeight="true" outlineLevel="0" collapsed="false">
      <c r="A111" s="5" t="s">
        <v>2387</v>
      </c>
      <c r="B111" s="5" t="s">
        <v>1028</v>
      </c>
      <c r="C111" s="5" t="s">
        <v>2245</v>
      </c>
      <c r="D111" s="5" t="s">
        <v>2269</v>
      </c>
      <c r="E111" s="5" t="s">
        <v>2225</v>
      </c>
      <c r="F111" s="5" t="s">
        <v>2225</v>
      </c>
      <c r="G111" s="5" t="str">
        <f aca="false">INDEX(Risk_Matrix!$B$2:$D$4,MATCH(E111,Risk_Matrix!$A$2:$A$4,0),MATCH(F111,Risk_Matrix!$B$1:$D$1,0))</f>
        <v>Medium</v>
      </c>
      <c r="H111" s="12" t="n">
        <v>46154</v>
      </c>
      <c r="I111" s="5" t="s">
        <v>2264</v>
      </c>
      <c r="J111" s="5" t="s">
        <v>2265</v>
      </c>
      <c r="K111" s="5" t="s">
        <v>2283</v>
      </c>
      <c r="L111" s="5" t="n">
        <f aca="false">IF(G111="High",3,IF(G111="Medium",2,1))</f>
        <v>2</v>
      </c>
    </row>
    <row r="112" customFormat="false" ht="15" hidden="false" customHeight="true" outlineLevel="0" collapsed="false">
      <c r="A112" s="5" t="s">
        <v>2388</v>
      </c>
      <c r="B112" s="5" t="s">
        <v>1028</v>
      </c>
      <c r="C112" s="5" t="s">
        <v>2248</v>
      </c>
      <c r="D112" s="5" t="s">
        <v>2271</v>
      </c>
      <c r="E112" s="5" t="s">
        <v>2225</v>
      </c>
      <c r="F112" s="5" t="s">
        <v>59</v>
      </c>
      <c r="G112" s="5" t="str">
        <f aca="false">INDEX(Risk_Matrix!$B$2:$D$4,MATCH(E112,Risk_Matrix!$A$2:$A$4,0),MATCH(F112,Risk_Matrix!$B$1:$D$1,0))</f>
        <v>Low</v>
      </c>
      <c r="H112" s="12" t="n">
        <v>46214</v>
      </c>
      <c r="I112" s="5" t="s">
        <v>2250</v>
      </c>
      <c r="J112" s="5" t="s">
        <v>2251</v>
      </c>
      <c r="K112" s="5" t="s">
        <v>2266</v>
      </c>
      <c r="L112" s="5" t="n">
        <f aca="false">IF(G112="High",3,IF(G112="Medium",2,1))</f>
        <v>1</v>
      </c>
    </row>
    <row r="113" customFormat="false" ht="15" hidden="false" customHeight="true" outlineLevel="0" collapsed="false">
      <c r="A113" s="5" t="s">
        <v>2389</v>
      </c>
      <c r="B113" s="5" t="s">
        <v>1028</v>
      </c>
      <c r="C113" s="5" t="s">
        <v>2254</v>
      </c>
      <c r="D113" s="5" t="s">
        <v>2255</v>
      </c>
      <c r="E113" s="5" t="s">
        <v>59</v>
      </c>
      <c r="F113" s="5" t="s">
        <v>2225</v>
      </c>
      <c r="G113" s="5" t="str">
        <f aca="false">INDEX(Risk_Matrix!$B$2:$D$4,MATCH(E113,Risk_Matrix!$A$2:$A$4,0),MATCH(F113,Risk_Matrix!$B$1:$D$1,0))</f>
        <v>Low</v>
      </c>
      <c r="H113" s="12" t="n">
        <v>46164</v>
      </c>
      <c r="I113" s="5" t="s">
        <v>2241</v>
      </c>
      <c r="J113" s="5" t="s">
        <v>2242</v>
      </c>
      <c r="K113" s="5" t="s">
        <v>2283</v>
      </c>
      <c r="L113" s="5" t="n">
        <f aca="false">IF(G113="High",3,IF(G113="Medium",2,1))</f>
        <v>1</v>
      </c>
    </row>
    <row r="114" customFormat="false" ht="15" hidden="false" customHeight="true" outlineLevel="0" collapsed="false">
      <c r="A114" s="5" t="s">
        <v>2390</v>
      </c>
      <c r="B114" s="5" t="s">
        <v>1028</v>
      </c>
      <c r="C114" s="5" t="s">
        <v>2259</v>
      </c>
      <c r="D114" s="5" t="s">
        <v>2285</v>
      </c>
      <c r="E114" s="5" t="s">
        <v>59</v>
      </c>
      <c r="F114" s="5" t="s">
        <v>59</v>
      </c>
      <c r="G114" s="5" t="str">
        <f aca="false">INDEX(Risk_Matrix!$B$2:$D$4,MATCH(E114,Risk_Matrix!$A$2:$A$4,0),MATCH(F114,Risk_Matrix!$B$1:$D$1,0))</f>
        <v>Low</v>
      </c>
      <c r="H114" s="12" t="n">
        <v>46112</v>
      </c>
      <c r="I114" s="5" t="s">
        <v>2264</v>
      </c>
      <c r="J114" s="5" t="s">
        <v>2265</v>
      </c>
      <c r="K114" s="5" t="s">
        <v>2266</v>
      </c>
      <c r="L114" s="5" t="n">
        <f aca="false">IF(G114="High",3,IF(G114="Medium",2,1))</f>
        <v>1</v>
      </c>
    </row>
    <row r="115" customFormat="false" ht="15" hidden="false" customHeight="true" outlineLevel="0" collapsed="false">
      <c r="A115" s="5" t="s">
        <v>2391</v>
      </c>
      <c r="B115" s="5" t="s">
        <v>1028</v>
      </c>
      <c r="C115" s="5" t="s">
        <v>2262</v>
      </c>
      <c r="D115" s="5" t="s">
        <v>2263</v>
      </c>
      <c r="E115" s="5" t="s">
        <v>2225</v>
      </c>
      <c r="F115" s="5" t="s">
        <v>59</v>
      </c>
      <c r="G115" s="5" t="str">
        <f aca="false">INDEX(Risk_Matrix!$B$2:$D$4,MATCH(E115,Risk_Matrix!$A$2:$A$4,0),MATCH(F115,Risk_Matrix!$B$1:$D$1,0))</f>
        <v>Low</v>
      </c>
      <c r="H115" s="12" t="n">
        <v>46188</v>
      </c>
      <c r="I115" s="5" t="s">
        <v>2256</v>
      </c>
      <c r="J115" s="5" t="s">
        <v>2257</v>
      </c>
      <c r="K115" s="5" t="s">
        <v>2266</v>
      </c>
      <c r="L115" s="5" t="n">
        <f aca="false">IF(G115="High",3,IF(G115="Medium",2,1))</f>
        <v>1</v>
      </c>
    </row>
    <row r="116" customFormat="false" ht="15" hidden="false" customHeight="true" outlineLevel="0" collapsed="false">
      <c r="A116" s="5" t="s">
        <v>2392</v>
      </c>
      <c r="B116" s="5" t="s">
        <v>1031</v>
      </c>
      <c r="C116" s="5" t="s">
        <v>2239</v>
      </c>
      <c r="D116" s="5" t="s">
        <v>2240</v>
      </c>
      <c r="E116" s="5" t="s">
        <v>54</v>
      </c>
      <c r="F116" s="5" t="s">
        <v>59</v>
      </c>
      <c r="G116" s="5" t="str">
        <f aca="false">INDEX(Risk_Matrix!$B$2:$D$4,MATCH(E116,Risk_Matrix!$A$2:$A$4,0),MATCH(F116,Risk_Matrix!$B$1:$D$1,0))</f>
        <v>Medium</v>
      </c>
      <c r="H116" s="12" t="n">
        <v>46190</v>
      </c>
      <c r="I116" s="5" t="s">
        <v>2250</v>
      </c>
      <c r="J116" s="5" t="s">
        <v>2251</v>
      </c>
      <c r="K116" s="5" t="s">
        <v>2252</v>
      </c>
      <c r="L116" s="5" t="n">
        <f aca="false">IF(G116="High",3,IF(G116="Medium",2,1))</f>
        <v>2</v>
      </c>
    </row>
    <row r="117" customFormat="false" ht="15" hidden="false" customHeight="true" outlineLevel="0" collapsed="false">
      <c r="A117" s="5" t="s">
        <v>2393</v>
      </c>
      <c r="B117" s="5" t="s">
        <v>1031</v>
      </c>
      <c r="C117" s="5" t="s">
        <v>2245</v>
      </c>
      <c r="D117" s="5" t="s">
        <v>2246</v>
      </c>
      <c r="E117" s="5" t="s">
        <v>2225</v>
      </c>
      <c r="F117" s="5" t="s">
        <v>59</v>
      </c>
      <c r="G117" s="5" t="str">
        <f aca="false">INDEX(Risk_Matrix!$B$2:$D$4,MATCH(E117,Risk_Matrix!$A$2:$A$4,0),MATCH(F117,Risk_Matrix!$B$1:$D$1,0))</f>
        <v>Low</v>
      </c>
      <c r="H117" s="12" t="n">
        <v>46066</v>
      </c>
      <c r="I117" s="5" t="s">
        <v>2250</v>
      </c>
      <c r="J117" s="5" t="s">
        <v>2251</v>
      </c>
      <c r="K117" s="5" t="s">
        <v>2283</v>
      </c>
      <c r="L117" s="5" t="n">
        <f aca="false">IF(G117="High",3,IF(G117="Medium",2,1))</f>
        <v>1</v>
      </c>
    </row>
    <row r="118" customFormat="false" ht="15" hidden="false" customHeight="true" outlineLevel="0" collapsed="false">
      <c r="A118" s="5" t="s">
        <v>2394</v>
      </c>
      <c r="B118" s="5" t="s">
        <v>1031</v>
      </c>
      <c r="C118" s="5" t="s">
        <v>2248</v>
      </c>
      <c r="D118" s="5" t="s">
        <v>2306</v>
      </c>
      <c r="E118" s="5" t="s">
        <v>2225</v>
      </c>
      <c r="F118" s="5" t="s">
        <v>59</v>
      </c>
      <c r="G118" s="5" t="str">
        <f aca="false">INDEX(Risk_Matrix!$B$2:$D$4,MATCH(E118,Risk_Matrix!$A$2:$A$4,0),MATCH(F118,Risk_Matrix!$B$1:$D$1,0))</f>
        <v>Low</v>
      </c>
      <c r="H118" s="12" t="n">
        <v>46109</v>
      </c>
      <c r="I118" s="5" t="s">
        <v>2250</v>
      </c>
      <c r="J118" s="5" t="s">
        <v>2251</v>
      </c>
      <c r="K118" s="5" t="s">
        <v>2266</v>
      </c>
      <c r="L118" s="5" t="n">
        <f aca="false">IF(G118="High",3,IF(G118="Medium",2,1))</f>
        <v>1</v>
      </c>
    </row>
    <row r="119" customFormat="false" ht="15" hidden="false" customHeight="true" outlineLevel="0" collapsed="false">
      <c r="A119" s="5" t="s">
        <v>2395</v>
      </c>
      <c r="B119" s="5" t="s">
        <v>1031</v>
      </c>
      <c r="C119" s="5" t="s">
        <v>2254</v>
      </c>
      <c r="D119" s="5" t="s">
        <v>2308</v>
      </c>
      <c r="E119" s="5" t="s">
        <v>59</v>
      </c>
      <c r="F119" s="5" t="s">
        <v>2225</v>
      </c>
      <c r="G119" s="5" t="str">
        <f aca="false">INDEX(Risk_Matrix!$B$2:$D$4,MATCH(E119,Risk_Matrix!$A$2:$A$4,0),MATCH(F119,Risk_Matrix!$B$1:$D$1,0))</f>
        <v>Low</v>
      </c>
      <c r="H119" s="12" t="n">
        <v>46128</v>
      </c>
      <c r="I119" s="5" t="s">
        <v>2250</v>
      </c>
      <c r="J119" s="5" t="s">
        <v>2251</v>
      </c>
      <c r="K119" s="5" t="s">
        <v>2283</v>
      </c>
      <c r="L119" s="5" t="n">
        <f aca="false">IF(G119="High",3,IF(G119="Medium",2,1))</f>
        <v>1</v>
      </c>
    </row>
    <row r="120" customFormat="false" ht="15" hidden="false" customHeight="true" outlineLevel="0" collapsed="false">
      <c r="A120" s="5" t="s">
        <v>2396</v>
      </c>
      <c r="B120" s="5" t="s">
        <v>1031</v>
      </c>
      <c r="C120" s="5" t="s">
        <v>2259</v>
      </c>
      <c r="D120" s="5" t="s">
        <v>2274</v>
      </c>
      <c r="E120" s="5" t="s">
        <v>54</v>
      </c>
      <c r="F120" s="5" t="s">
        <v>2225</v>
      </c>
      <c r="G120" s="5" t="str">
        <f aca="false">INDEX(Risk_Matrix!$B$2:$D$4,MATCH(E120,Risk_Matrix!$A$2:$A$4,0),MATCH(F120,Risk_Matrix!$B$1:$D$1,0))</f>
        <v>High</v>
      </c>
      <c r="H120" s="12" t="n">
        <v>46061</v>
      </c>
      <c r="I120" s="5" t="s">
        <v>2264</v>
      </c>
      <c r="J120" s="5" t="s">
        <v>2265</v>
      </c>
      <c r="K120" s="5" t="s">
        <v>2283</v>
      </c>
      <c r="L120" s="5" t="n">
        <f aca="false">IF(G120="High",3,IF(G120="Medium",2,1))</f>
        <v>3</v>
      </c>
    </row>
    <row r="121" customFormat="false" ht="15" hidden="false" customHeight="true" outlineLevel="0" collapsed="false">
      <c r="A121" s="5" t="s">
        <v>2397</v>
      </c>
      <c r="B121" s="5" t="s">
        <v>1031</v>
      </c>
      <c r="C121" s="5" t="s">
        <v>2262</v>
      </c>
      <c r="D121" s="5" t="s">
        <v>2287</v>
      </c>
      <c r="E121" s="5" t="s">
        <v>2225</v>
      </c>
      <c r="F121" s="5" t="s">
        <v>59</v>
      </c>
      <c r="G121" s="5" t="str">
        <f aca="false">INDEX(Risk_Matrix!$B$2:$D$4,MATCH(E121,Risk_Matrix!$A$2:$A$4,0),MATCH(F121,Risk_Matrix!$B$1:$D$1,0))</f>
        <v>Low</v>
      </c>
      <c r="H121" s="12" t="n">
        <v>46085</v>
      </c>
      <c r="I121" s="5" t="s">
        <v>2256</v>
      </c>
      <c r="J121" s="5" t="s">
        <v>2257</v>
      </c>
      <c r="K121" s="5" t="s">
        <v>2283</v>
      </c>
      <c r="L121" s="5" t="n">
        <f aca="false">IF(G121="High",3,IF(G121="Medium",2,1))</f>
        <v>1</v>
      </c>
    </row>
    <row r="122" customFormat="false" ht="15" hidden="false" customHeight="true" outlineLevel="0" collapsed="false">
      <c r="A122" s="5" t="s">
        <v>2398</v>
      </c>
      <c r="B122" s="5" t="s">
        <v>1033</v>
      </c>
      <c r="C122" s="5" t="s">
        <v>2239</v>
      </c>
      <c r="D122" s="5" t="s">
        <v>2278</v>
      </c>
      <c r="E122" s="5" t="s">
        <v>2225</v>
      </c>
      <c r="F122" s="5" t="s">
        <v>59</v>
      </c>
      <c r="G122" s="5" t="str">
        <f aca="false">INDEX(Risk_Matrix!$B$2:$D$4,MATCH(E122,Risk_Matrix!$A$2:$A$4,0),MATCH(F122,Risk_Matrix!$B$1:$D$1,0))</f>
        <v>Low</v>
      </c>
      <c r="H122" s="12" t="n">
        <v>46061</v>
      </c>
      <c r="I122" s="5" t="s">
        <v>2241</v>
      </c>
      <c r="J122" s="5" t="s">
        <v>2242</v>
      </c>
      <c r="K122" s="5" t="s">
        <v>2266</v>
      </c>
      <c r="L122" s="5" t="n">
        <f aca="false">IF(G122="High",3,IF(G122="Medium",2,1))</f>
        <v>1</v>
      </c>
    </row>
    <row r="123" customFormat="false" ht="15" hidden="false" customHeight="true" outlineLevel="0" collapsed="false">
      <c r="A123" s="5" t="s">
        <v>2399</v>
      </c>
      <c r="B123" s="5" t="s">
        <v>1033</v>
      </c>
      <c r="C123" s="5" t="s">
        <v>2245</v>
      </c>
      <c r="D123" s="5" t="s">
        <v>2269</v>
      </c>
      <c r="E123" s="5" t="s">
        <v>59</v>
      </c>
      <c r="F123" s="5" t="s">
        <v>59</v>
      </c>
      <c r="G123" s="5" t="str">
        <f aca="false">INDEX(Risk_Matrix!$B$2:$D$4,MATCH(E123,Risk_Matrix!$A$2:$A$4,0),MATCH(F123,Risk_Matrix!$B$1:$D$1,0))</f>
        <v>Low</v>
      </c>
      <c r="H123" s="12" t="n">
        <v>46204</v>
      </c>
      <c r="I123" s="5" t="s">
        <v>2256</v>
      </c>
      <c r="J123" s="5" t="s">
        <v>2257</v>
      </c>
      <c r="K123" s="5" t="s">
        <v>2266</v>
      </c>
      <c r="L123" s="5" t="n">
        <f aca="false">IF(G123="High",3,IF(G123="Medium",2,1))</f>
        <v>1</v>
      </c>
    </row>
    <row r="124" customFormat="false" ht="15" hidden="false" customHeight="true" outlineLevel="0" collapsed="false">
      <c r="A124" s="5" t="s">
        <v>2400</v>
      </c>
      <c r="B124" s="5" t="s">
        <v>1033</v>
      </c>
      <c r="C124" s="5" t="s">
        <v>2248</v>
      </c>
      <c r="D124" s="5" t="s">
        <v>2271</v>
      </c>
      <c r="E124" s="5" t="s">
        <v>2225</v>
      </c>
      <c r="F124" s="5" t="s">
        <v>54</v>
      </c>
      <c r="G124" s="5" t="str">
        <f aca="false">INDEX(Risk_Matrix!$B$2:$D$4,MATCH(E124,Risk_Matrix!$A$2:$A$4,0),MATCH(F124,Risk_Matrix!$B$1:$D$1,0))</f>
        <v>High</v>
      </c>
      <c r="H124" s="12" t="n">
        <v>46059</v>
      </c>
      <c r="I124" s="5" t="s">
        <v>2250</v>
      </c>
      <c r="J124" s="5" t="s">
        <v>2251</v>
      </c>
      <c r="K124" s="5" t="s">
        <v>2283</v>
      </c>
      <c r="L124" s="5" t="n">
        <f aca="false">IF(G124="High",3,IF(G124="Medium",2,1))</f>
        <v>3</v>
      </c>
    </row>
    <row r="125" customFormat="false" ht="15" hidden="false" customHeight="true" outlineLevel="0" collapsed="false">
      <c r="A125" s="5" t="s">
        <v>2401</v>
      </c>
      <c r="B125" s="5" t="s">
        <v>1033</v>
      </c>
      <c r="C125" s="5" t="s">
        <v>2254</v>
      </c>
      <c r="D125" s="5" t="s">
        <v>2308</v>
      </c>
      <c r="E125" s="5" t="s">
        <v>2225</v>
      </c>
      <c r="F125" s="5" t="s">
        <v>54</v>
      </c>
      <c r="G125" s="5" t="str">
        <f aca="false">INDEX(Risk_Matrix!$B$2:$D$4,MATCH(E125,Risk_Matrix!$A$2:$A$4,0),MATCH(F125,Risk_Matrix!$B$1:$D$1,0))</f>
        <v>High</v>
      </c>
      <c r="H125" s="12" t="n">
        <v>46187</v>
      </c>
      <c r="I125" s="5" t="s">
        <v>2250</v>
      </c>
      <c r="J125" s="5" t="s">
        <v>2251</v>
      </c>
      <c r="K125" s="5" t="s">
        <v>2266</v>
      </c>
      <c r="L125" s="5" t="n">
        <f aca="false">IF(G125="High",3,IF(G125="Medium",2,1))</f>
        <v>3</v>
      </c>
    </row>
    <row r="126" customFormat="false" ht="15" hidden="false" customHeight="true" outlineLevel="0" collapsed="false">
      <c r="A126" s="5" t="s">
        <v>2402</v>
      </c>
      <c r="B126" s="5" t="s">
        <v>1033</v>
      </c>
      <c r="C126" s="5" t="s">
        <v>2259</v>
      </c>
      <c r="D126" s="5" t="s">
        <v>2285</v>
      </c>
      <c r="E126" s="5" t="s">
        <v>2225</v>
      </c>
      <c r="F126" s="5" t="s">
        <v>2225</v>
      </c>
      <c r="G126" s="5" t="str">
        <f aca="false">INDEX(Risk_Matrix!$B$2:$D$4,MATCH(E126,Risk_Matrix!$A$2:$A$4,0),MATCH(F126,Risk_Matrix!$B$1:$D$1,0))</f>
        <v>Medium</v>
      </c>
      <c r="H126" s="12" t="n">
        <v>46205</v>
      </c>
      <c r="I126" s="5" t="s">
        <v>2264</v>
      </c>
      <c r="J126" s="5" t="s">
        <v>2265</v>
      </c>
      <c r="K126" s="5" t="s">
        <v>2266</v>
      </c>
      <c r="L126" s="5" t="n">
        <f aca="false">IF(G126="High",3,IF(G126="Medium",2,1))</f>
        <v>2</v>
      </c>
    </row>
    <row r="127" customFormat="false" ht="15" hidden="false" customHeight="true" outlineLevel="0" collapsed="false">
      <c r="A127" s="5" t="s">
        <v>2403</v>
      </c>
      <c r="B127" s="5" t="s">
        <v>1033</v>
      </c>
      <c r="C127" s="5" t="s">
        <v>2262</v>
      </c>
      <c r="D127" s="5" t="s">
        <v>2263</v>
      </c>
      <c r="E127" s="5" t="s">
        <v>2225</v>
      </c>
      <c r="F127" s="5" t="s">
        <v>2225</v>
      </c>
      <c r="G127" s="5" t="str">
        <f aca="false">INDEX(Risk_Matrix!$B$2:$D$4,MATCH(E127,Risk_Matrix!$A$2:$A$4,0),MATCH(F127,Risk_Matrix!$B$1:$D$1,0))</f>
        <v>Medium</v>
      </c>
      <c r="H127" s="12" t="n">
        <v>46148</v>
      </c>
      <c r="I127" s="5" t="s">
        <v>2250</v>
      </c>
      <c r="J127" s="5" t="s">
        <v>2251</v>
      </c>
      <c r="K127" s="5" t="s">
        <v>2283</v>
      </c>
      <c r="L127" s="5" t="n">
        <f aca="false">IF(G127="High",3,IF(G127="Medium",2,1))</f>
        <v>2</v>
      </c>
    </row>
    <row r="128" customFormat="false" ht="15" hidden="false" customHeight="true" outlineLevel="0" collapsed="false">
      <c r="A128" s="5" t="s">
        <v>2404</v>
      </c>
      <c r="B128" s="5" t="s">
        <v>1036</v>
      </c>
      <c r="C128" s="5" t="s">
        <v>2239</v>
      </c>
      <c r="D128" s="5" t="s">
        <v>2295</v>
      </c>
      <c r="E128" s="5" t="s">
        <v>2225</v>
      </c>
      <c r="F128" s="5" t="s">
        <v>54</v>
      </c>
      <c r="G128" s="5" t="str">
        <f aca="false">INDEX(Risk_Matrix!$B$2:$D$4,MATCH(E128,Risk_Matrix!$A$2:$A$4,0),MATCH(F128,Risk_Matrix!$B$1:$D$1,0))</f>
        <v>High</v>
      </c>
      <c r="H128" s="12" t="n">
        <v>46066</v>
      </c>
      <c r="I128" s="5" t="s">
        <v>2250</v>
      </c>
      <c r="J128" s="5" t="s">
        <v>2251</v>
      </c>
      <c r="K128" s="5" t="s">
        <v>2283</v>
      </c>
      <c r="L128" s="5" t="n">
        <f aca="false">IF(G128="High",3,IF(G128="Medium",2,1))</f>
        <v>3</v>
      </c>
    </row>
    <row r="129" customFormat="false" ht="15" hidden="false" customHeight="true" outlineLevel="0" collapsed="false">
      <c r="A129" s="5" t="s">
        <v>2405</v>
      </c>
      <c r="B129" s="5" t="s">
        <v>1036</v>
      </c>
      <c r="C129" s="5" t="s">
        <v>2245</v>
      </c>
      <c r="D129" s="5" t="s">
        <v>2269</v>
      </c>
      <c r="E129" s="5" t="s">
        <v>54</v>
      </c>
      <c r="F129" s="5" t="s">
        <v>59</v>
      </c>
      <c r="G129" s="5" t="str">
        <f aca="false">INDEX(Risk_Matrix!$B$2:$D$4,MATCH(E129,Risk_Matrix!$A$2:$A$4,0),MATCH(F129,Risk_Matrix!$B$1:$D$1,0))</f>
        <v>Medium</v>
      </c>
      <c r="H129" s="12" t="n">
        <v>46211</v>
      </c>
      <c r="I129" s="5" t="s">
        <v>2256</v>
      </c>
      <c r="J129" s="5" t="s">
        <v>2257</v>
      </c>
      <c r="K129" s="5" t="s">
        <v>2276</v>
      </c>
      <c r="L129" s="5" t="n">
        <f aca="false">IF(G129="High",3,IF(G129="Medium",2,1))</f>
        <v>2</v>
      </c>
    </row>
    <row r="130" customFormat="false" ht="15" hidden="false" customHeight="true" outlineLevel="0" collapsed="false">
      <c r="A130" s="5" t="s">
        <v>2406</v>
      </c>
      <c r="B130" s="5" t="s">
        <v>1036</v>
      </c>
      <c r="C130" s="5" t="s">
        <v>2248</v>
      </c>
      <c r="D130" s="5" t="s">
        <v>2271</v>
      </c>
      <c r="E130" s="5" t="s">
        <v>59</v>
      </c>
      <c r="F130" s="5" t="s">
        <v>2225</v>
      </c>
      <c r="G130" s="5" t="str">
        <f aca="false">INDEX(Risk_Matrix!$B$2:$D$4,MATCH(E130,Risk_Matrix!$A$2:$A$4,0),MATCH(F130,Risk_Matrix!$B$1:$D$1,0))</f>
        <v>Low</v>
      </c>
      <c r="H130" s="12" t="n">
        <v>46197</v>
      </c>
      <c r="I130" s="5" t="s">
        <v>2256</v>
      </c>
      <c r="J130" s="5" t="s">
        <v>2257</v>
      </c>
      <c r="K130" s="5" t="s">
        <v>2252</v>
      </c>
      <c r="L130" s="5" t="n">
        <f aca="false">IF(G130="High",3,IF(G130="Medium",2,1))</f>
        <v>1</v>
      </c>
    </row>
    <row r="131" customFormat="false" ht="15" hidden="false" customHeight="true" outlineLevel="0" collapsed="false">
      <c r="A131" s="5" t="s">
        <v>2407</v>
      </c>
      <c r="B131" s="5" t="s">
        <v>1036</v>
      </c>
      <c r="C131" s="5" t="s">
        <v>2254</v>
      </c>
      <c r="D131" s="5" t="s">
        <v>2299</v>
      </c>
      <c r="E131" s="5" t="s">
        <v>59</v>
      </c>
      <c r="F131" s="5" t="s">
        <v>2225</v>
      </c>
      <c r="G131" s="5" t="str">
        <f aca="false">INDEX(Risk_Matrix!$B$2:$D$4,MATCH(E131,Risk_Matrix!$A$2:$A$4,0),MATCH(F131,Risk_Matrix!$B$1:$D$1,0))</f>
        <v>Low</v>
      </c>
      <c r="H131" s="12" t="n">
        <v>46163</v>
      </c>
      <c r="I131" s="5" t="s">
        <v>2250</v>
      </c>
      <c r="J131" s="5" t="s">
        <v>2251</v>
      </c>
      <c r="K131" s="5" t="s">
        <v>2266</v>
      </c>
      <c r="L131" s="5" t="n">
        <f aca="false">IF(G131="High",3,IF(G131="Medium",2,1))</f>
        <v>1</v>
      </c>
    </row>
    <row r="132" customFormat="false" ht="15" hidden="false" customHeight="true" outlineLevel="0" collapsed="false">
      <c r="A132" s="5" t="s">
        <v>2408</v>
      </c>
      <c r="B132" s="5" t="s">
        <v>1036</v>
      </c>
      <c r="C132" s="5" t="s">
        <v>2259</v>
      </c>
      <c r="D132" s="5" t="s">
        <v>2285</v>
      </c>
      <c r="E132" s="5" t="s">
        <v>59</v>
      </c>
      <c r="F132" s="5" t="s">
        <v>2225</v>
      </c>
      <c r="G132" s="5" t="str">
        <f aca="false">INDEX(Risk_Matrix!$B$2:$D$4,MATCH(E132,Risk_Matrix!$A$2:$A$4,0),MATCH(F132,Risk_Matrix!$B$1:$D$1,0))</f>
        <v>Low</v>
      </c>
      <c r="H132" s="12" t="n">
        <v>46066</v>
      </c>
      <c r="I132" s="5" t="s">
        <v>2256</v>
      </c>
      <c r="J132" s="5" t="s">
        <v>2257</v>
      </c>
      <c r="K132" s="5" t="s">
        <v>2283</v>
      </c>
      <c r="L132" s="5" t="n">
        <f aca="false">IF(G132="High",3,IF(G132="Medium",2,1))</f>
        <v>1</v>
      </c>
    </row>
    <row r="133" customFormat="false" ht="15" hidden="false" customHeight="true" outlineLevel="0" collapsed="false">
      <c r="A133" s="5" t="s">
        <v>2409</v>
      </c>
      <c r="B133" s="5" t="s">
        <v>1036</v>
      </c>
      <c r="C133" s="5" t="s">
        <v>2262</v>
      </c>
      <c r="D133" s="5" t="s">
        <v>2287</v>
      </c>
      <c r="E133" s="5" t="s">
        <v>2225</v>
      </c>
      <c r="F133" s="5" t="s">
        <v>2225</v>
      </c>
      <c r="G133" s="5" t="str">
        <f aca="false">INDEX(Risk_Matrix!$B$2:$D$4,MATCH(E133,Risk_Matrix!$A$2:$A$4,0),MATCH(F133,Risk_Matrix!$B$1:$D$1,0))</f>
        <v>Medium</v>
      </c>
      <c r="H133" s="12" t="n">
        <v>46060</v>
      </c>
      <c r="I133" s="5" t="s">
        <v>2256</v>
      </c>
      <c r="J133" s="5" t="s">
        <v>2257</v>
      </c>
      <c r="K133" s="5" t="s">
        <v>2252</v>
      </c>
      <c r="L133" s="5" t="n">
        <f aca="false">IF(G133="High",3,IF(G133="Medium",2,1))</f>
        <v>2</v>
      </c>
    </row>
    <row r="134" customFormat="false" ht="15" hidden="false" customHeight="true" outlineLevel="0" collapsed="false">
      <c r="A134" s="5" t="s">
        <v>2410</v>
      </c>
      <c r="B134" s="5" t="s">
        <v>1038</v>
      </c>
      <c r="C134" s="5" t="s">
        <v>2239</v>
      </c>
      <c r="D134" s="5" t="s">
        <v>2240</v>
      </c>
      <c r="E134" s="5" t="s">
        <v>54</v>
      </c>
      <c r="F134" s="5" t="s">
        <v>59</v>
      </c>
      <c r="G134" s="5" t="str">
        <f aca="false">INDEX(Risk_Matrix!$B$2:$D$4,MATCH(E134,Risk_Matrix!$A$2:$A$4,0),MATCH(F134,Risk_Matrix!$B$1:$D$1,0))</f>
        <v>Medium</v>
      </c>
      <c r="H134" s="12" t="n">
        <v>46063</v>
      </c>
      <c r="I134" s="5" t="s">
        <v>2241</v>
      </c>
      <c r="J134" s="5" t="s">
        <v>2242</v>
      </c>
      <c r="K134" s="5" t="s">
        <v>2252</v>
      </c>
      <c r="L134" s="5" t="n">
        <f aca="false">IF(G134="High",3,IF(G134="Medium",2,1))</f>
        <v>2</v>
      </c>
    </row>
    <row r="135" customFormat="false" ht="15" hidden="false" customHeight="true" outlineLevel="0" collapsed="false">
      <c r="A135" s="5" t="s">
        <v>2411</v>
      </c>
      <c r="B135" s="5" t="s">
        <v>1038</v>
      </c>
      <c r="C135" s="5" t="s">
        <v>2245</v>
      </c>
      <c r="D135" s="5" t="s">
        <v>2246</v>
      </c>
      <c r="E135" s="5" t="s">
        <v>59</v>
      </c>
      <c r="F135" s="5" t="s">
        <v>59</v>
      </c>
      <c r="G135" s="5" t="str">
        <f aca="false">INDEX(Risk_Matrix!$B$2:$D$4,MATCH(E135,Risk_Matrix!$A$2:$A$4,0),MATCH(F135,Risk_Matrix!$B$1:$D$1,0))</f>
        <v>Low</v>
      </c>
      <c r="H135" s="12" t="n">
        <v>46125</v>
      </c>
      <c r="I135" s="5" t="s">
        <v>2250</v>
      </c>
      <c r="J135" s="5" t="s">
        <v>2251</v>
      </c>
      <c r="K135" s="5" t="s">
        <v>2266</v>
      </c>
      <c r="L135" s="5" t="n">
        <f aca="false">IF(G135="High",3,IF(G135="Medium",2,1))</f>
        <v>1</v>
      </c>
    </row>
    <row r="136" customFormat="false" ht="15" hidden="false" customHeight="true" outlineLevel="0" collapsed="false">
      <c r="A136" s="5" t="s">
        <v>2412</v>
      </c>
      <c r="B136" s="5" t="s">
        <v>1038</v>
      </c>
      <c r="C136" s="5" t="s">
        <v>2248</v>
      </c>
      <c r="D136" s="5" t="s">
        <v>2249</v>
      </c>
      <c r="E136" s="5" t="s">
        <v>2225</v>
      </c>
      <c r="F136" s="5" t="s">
        <v>2225</v>
      </c>
      <c r="G136" s="5" t="str">
        <f aca="false">INDEX(Risk_Matrix!$B$2:$D$4,MATCH(E136,Risk_Matrix!$A$2:$A$4,0),MATCH(F136,Risk_Matrix!$B$1:$D$1,0))</f>
        <v>Medium</v>
      </c>
      <c r="H136" s="12" t="n">
        <v>46189</v>
      </c>
      <c r="I136" s="5" t="s">
        <v>2250</v>
      </c>
      <c r="J136" s="5" t="s">
        <v>2251</v>
      </c>
      <c r="K136" s="5" t="s">
        <v>2252</v>
      </c>
      <c r="L136" s="5" t="n">
        <f aca="false">IF(G136="High",3,IF(G136="Medium",2,1))</f>
        <v>2</v>
      </c>
    </row>
    <row r="137" customFormat="false" ht="15" hidden="false" customHeight="true" outlineLevel="0" collapsed="false">
      <c r="A137" s="5" t="s">
        <v>2413</v>
      </c>
      <c r="B137" s="5" t="s">
        <v>1038</v>
      </c>
      <c r="C137" s="5" t="s">
        <v>2254</v>
      </c>
      <c r="D137" s="5" t="s">
        <v>2308</v>
      </c>
      <c r="E137" s="5" t="s">
        <v>59</v>
      </c>
      <c r="F137" s="5" t="s">
        <v>2225</v>
      </c>
      <c r="G137" s="5" t="str">
        <f aca="false">INDEX(Risk_Matrix!$B$2:$D$4,MATCH(E137,Risk_Matrix!$A$2:$A$4,0),MATCH(F137,Risk_Matrix!$B$1:$D$1,0))</f>
        <v>Low</v>
      </c>
      <c r="H137" s="12" t="n">
        <v>46194</v>
      </c>
      <c r="I137" s="5" t="s">
        <v>2256</v>
      </c>
      <c r="J137" s="5" t="s">
        <v>2257</v>
      </c>
      <c r="K137" s="5" t="s">
        <v>2283</v>
      </c>
      <c r="L137" s="5" t="n">
        <f aca="false">IF(G137="High",3,IF(G137="Medium",2,1))</f>
        <v>1</v>
      </c>
    </row>
    <row r="138" customFormat="false" ht="15" hidden="false" customHeight="true" outlineLevel="0" collapsed="false">
      <c r="A138" s="5" t="s">
        <v>2414</v>
      </c>
      <c r="B138" s="5" t="s">
        <v>1038</v>
      </c>
      <c r="C138" s="5" t="s">
        <v>2259</v>
      </c>
      <c r="D138" s="5" t="s">
        <v>2260</v>
      </c>
      <c r="E138" s="5" t="s">
        <v>59</v>
      </c>
      <c r="F138" s="5" t="s">
        <v>59</v>
      </c>
      <c r="G138" s="5" t="str">
        <f aca="false">INDEX(Risk_Matrix!$B$2:$D$4,MATCH(E138,Risk_Matrix!$A$2:$A$4,0),MATCH(F138,Risk_Matrix!$B$1:$D$1,0))</f>
        <v>Low</v>
      </c>
      <c r="H138" s="12" t="n">
        <v>46205</v>
      </c>
      <c r="I138" s="5" t="s">
        <v>2250</v>
      </c>
      <c r="J138" s="5" t="s">
        <v>2251</v>
      </c>
      <c r="K138" s="5" t="s">
        <v>2266</v>
      </c>
      <c r="L138" s="5" t="n">
        <f aca="false">IF(G138="High",3,IF(G138="Medium",2,1))</f>
        <v>1</v>
      </c>
    </row>
    <row r="139" customFormat="false" ht="15" hidden="false" customHeight="true" outlineLevel="0" collapsed="false">
      <c r="A139" s="5" t="s">
        <v>2415</v>
      </c>
      <c r="B139" s="5" t="s">
        <v>1038</v>
      </c>
      <c r="C139" s="5" t="s">
        <v>2262</v>
      </c>
      <c r="D139" s="5" t="s">
        <v>2263</v>
      </c>
      <c r="E139" s="5" t="s">
        <v>2225</v>
      </c>
      <c r="F139" s="5" t="s">
        <v>59</v>
      </c>
      <c r="G139" s="5" t="str">
        <f aca="false">INDEX(Risk_Matrix!$B$2:$D$4,MATCH(E139,Risk_Matrix!$A$2:$A$4,0),MATCH(F139,Risk_Matrix!$B$1:$D$1,0))</f>
        <v>Low</v>
      </c>
      <c r="H139" s="12" t="n">
        <v>46199</v>
      </c>
      <c r="I139" s="5" t="s">
        <v>2250</v>
      </c>
      <c r="J139" s="5" t="s">
        <v>2251</v>
      </c>
      <c r="K139" s="5" t="s">
        <v>2276</v>
      </c>
      <c r="L139" s="5" t="n">
        <f aca="false">IF(G139="High",3,IF(G139="Medium",2,1))</f>
        <v>1</v>
      </c>
    </row>
    <row r="140" customFormat="false" ht="15" hidden="false" customHeight="true" outlineLevel="0" collapsed="false">
      <c r="A140" s="5" t="s">
        <v>2416</v>
      </c>
      <c r="B140" s="5" t="s">
        <v>1040</v>
      </c>
      <c r="C140" s="5" t="s">
        <v>2239</v>
      </c>
      <c r="D140" s="5" t="s">
        <v>2303</v>
      </c>
      <c r="E140" s="5" t="s">
        <v>54</v>
      </c>
      <c r="F140" s="5" t="s">
        <v>2225</v>
      </c>
      <c r="G140" s="5" t="str">
        <f aca="false">INDEX(Risk_Matrix!$B$2:$D$4,MATCH(E140,Risk_Matrix!$A$2:$A$4,0),MATCH(F140,Risk_Matrix!$B$1:$D$1,0))</f>
        <v>High</v>
      </c>
      <c r="H140" s="12" t="n">
        <v>46078</v>
      </c>
      <c r="I140" s="5" t="s">
        <v>2264</v>
      </c>
      <c r="J140" s="5" t="s">
        <v>2265</v>
      </c>
      <c r="K140" s="5" t="s">
        <v>2283</v>
      </c>
      <c r="L140" s="5" t="n">
        <f aca="false">IF(G140="High",3,IF(G140="Medium",2,1))</f>
        <v>3</v>
      </c>
    </row>
    <row r="141" customFormat="false" ht="15" hidden="false" customHeight="true" outlineLevel="0" collapsed="false">
      <c r="A141" s="5" t="s">
        <v>2417</v>
      </c>
      <c r="B141" s="5" t="s">
        <v>1040</v>
      </c>
      <c r="C141" s="5" t="s">
        <v>2245</v>
      </c>
      <c r="D141" s="5" t="s">
        <v>2269</v>
      </c>
      <c r="E141" s="5" t="s">
        <v>59</v>
      </c>
      <c r="F141" s="5" t="s">
        <v>2225</v>
      </c>
      <c r="G141" s="5" t="str">
        <f aca="false">INDEX(Risk_Matrix!$B$2:$D$4,MATCH(E141,Risk_Matrix!$A$2:$A$4,0),MATCH(F141,Risk_Matrix!$B$1:$D$1,0))</f>
        <v>Low</v>
      </c>
      <c r="H141" s="12" t="n">
        <v>46157</v>
      </c>
      <c r="I141" s="5" t="s">
        <v>2256</v>
      </c>
      <c r="J141" s="5" t="s">
        <v>2257</v>
      </c>
      <c r="K141" s="5" t="s">
        <v>2283</v>
      </c>
      <c r="L141" s="5" t="n">
        <f aca="false">IF(G141="High",3,IF(G141="Medium",2,1))</f>
        <v>1</v>
      </c>
    </row>
    <row r="142" customFormat="false" ht="15" hidden="false" customHeight="true" outlineLevel="0" collapsed="false">
      <c r="A142" s="5" t="s">
        <v>2418</v>
      </c>
      <c r="B142" s="5" t="s">
        <v>1040</v>
      </c>
      <c r="C142" s="5" t="s">
        <v>2248</v>
      </c>
      <c r="D142" s="5" t="s">
        <v>2322</v>
      </c>
      <c r="E142" s="5" t="s">
        <v>54</v>
      </c>
      <c r="F142" s="5" t="s">
        <v>2225</v>
      </c>
      <c r="G142" s="5" t="str">
        <f aca="false">INDEX(Risk_Matrix!$B$2:$D$4,MATCH(E142,Risk_Matrix!$A$2:$A$4,0),MATCH(F142,Risk_Matrix!$B$1:$D$1,0))</f>
        <v>High</v>
      </c>
      <c r="H142" s="12" t="n">
        <v>46198</v>
      </c>
      <c r="I142" s="5" t="s">
        <v>2264</v>
      </c>
      <c r="J142" s="5" t="s">
        <v>2265</v>
      </c>
      <c r="K142" s="5" t="s">
        <v>2243</v>
      </c>
      <c r="L142" s="5" t="n">
        <f aca="false">IF(G142="High",3,IF(G142="Medium",2,1))</f>
        <v>3</v>
      </c>
    </row>
    <row r="143" customFormat="false" ht="15" hidden="false" customHeight="true" outlineLevel="0" collapsed="false">
      <c r="A143" s="5" t="s">
        <v>2419</v>
      </c>
      <c r="B143" s="5" t="s">
        <v>1040</v>
      </c>
      <c r="C143" s="5" t="s">
        <v>2254</v>
      </c>
      <c r="D143" s="5" t="s">
        <v>2299</v>
      </c>
      <c r="E143" s="5" t="s">
        <v>2225</v>
      </c>
      <c r="F143" s="5" t="s">
        <v>59</v>
      </c>
      <c r="G143" s="5" t="str">
        <f aca="false">INDEX(Risk_Matrix!$B$2:$D$4,MATCH(E143,Risk_Matrix!$A$2:$A$4,0),MATCH(F143,Risk_Matrix!$B$1:$D$1,0))</f>
        <v>Low</v>
      </c>
      <c r="H143" s="12" t="n">
        <v>46184</v>
      </c>
      <c r="I143" s="5" t="s">
        <v>2256</v>
      </c>
      <c r="J143" s="5" t="s">
        <v>2257</v>
      </c>
      <c r="K143" s="5" t="s">
        <v>2252</v>
      </c>
      <c r="L143" s="5" t="n">
        <f aca="false">IF(G143="High",3,IF(G143="Medium",2,1))</f>
        <v>1</v>
      </c>
    </row>
    <row r="144" customFormat="false" ht="15" hidden="false" customHeight="true" outlineLevel="0" collapsed="false">
      <c r="A144" s="5" t="s">
        <v>2420</v>
      </c>
      <c r="B144" s="5" t="s">
        <v>1040</v>
      </c>
      <c r="C144" s="5" t="s">
        <v>2259</v>
      </c>
      <c r="D144" s="5" t="s">
        <v>2274</v>
      </c>
      <c r="E144" s="5" t="s">
        <v>59</v>
      </c>
      <c r="F144" s="5" t="s">
        <v>59</v>
      </c>
      <c r="G144" s="5" t="str">
        <f aca="false">INDEX(Risk_Matrix!$B$2:$D$4,MATCH(E144,Risk_Matrix!$A$2:$A$4,0),MATCH(F144,Risk_Matrix!$B$1:$D$1,0))</f>
        <v>Low</v>
      </c>
      <c r="H144" s="12" t="n">
        <v>46103</v>
      </c>
      <c r="I144" s="5" t="s">
        <v>2264</v>
      </c>
      <c r="J144" s="5" t="s">
        <v>2265</v>
      </c>
      <c r="K144" s="5" t="s">
        <v>2243</v>
      </c>
      <c r="L144" s="5" t="n">
        <f aca="false">IF(G144="High",3,IF(G144="Medium",2,1))</f>
        <v>1</v>
      </c>
    </row>
    <row r="145" customFormat="false" ht="15" hidden="false" customHeight="true" outlineLevel="0" collapsed="false">
      <c r="A145" s="5" t="s">
        <v>2421</v>
      </c>
      <c r="B145" s="5" t="s">
        <v>1040</v>
      </c>
      <c r="C145" s="5" t="s">
        <v>2262</v>
      </c>
      <c r="D145" s="5" t="s">
        <v>2263</v>
      </c>
      <c r="E145" s="5" t="s">
        <v>2225</v>
      </c>
      <c r="F145" s="5" t="s">
        <v>54</v>
      </c>
      <c r="G145" s="5" t="str">
        <f aca="false">INDEX(Risk_Matrix!$B$2:$D$4,MATCH(E145,Risk_Matrix!$A$2:$A$4,0),MATCH(F145,Risk_Matrix!$B$1:$D$1,0))</f>
        <v>High</v>
      </c>
      <c r="H145" s="12" t="n">
        <v>46067</v>
      </c>
      <c r="I145" s="5" t="s">
        <v>2256</v>
      </c>
      <c r="J145" s="5" t="s">
        <v>2257</v>
      </c>
      <c r="K145" s="5" t="s">
        <v>2252</v>
      </c>
      <c r="L145" s="5" t="n">
        <f aca="false">IF(G145="High",3,IF(G145="Medium",2,1))</f>
        <v>3</v>
      </c>
    </row>
    <row r="146" customFormat="false" ht="15" hidden="false" customHeight="true" outlineLevel="0" collapsed="false">
      <c r="A146" s="5" t="s">
        <v>2422</v>
      </c>
      <c r="B146" s="5" t="s">
        <v>1043</v>
      </c>
      <c r="C146" s="5" t="s">
        <v>2239</v>
      </c>
      <c r="D146" s="5" t="s">
        <v>2295</v>
      </c>
      <c r="E146" s="5" t="s">
        <v>59</v>
      </c>
      <c r="F146" s="5" t="s">
        <v>2225</v>
      </c>
      <c r="G146" s="5" t="str">
        <f aca="false">INDEX(Risk_Matrix!$B$2:$D$4,MATCH(E146,Risk_Matrix!$A$2:$A$4,0),MATCH(F146,Risk_Matrix!$B$1:$D$1,0))</f>
        <v>Low</v>
      </c>
      <c r="H146" s="12" t="n">
        <v>46176</v>
      </c>
      <c r="I146" s="5" t="s">
        <v>2264</v>
      </c>
      <c r="J146" s="5" t="s">
        <v>2265</v>
      </c>
      <c r="K146" s="5" t="s">
        <v>2276</v>
      </c>
      <c r="L146" s="5" t="n">
        <f aca="false">IF(G146="High",3,IF(G146="Medium",2,1))</f>
        <v>1</v>
      </c>
    </row>
    <row r="147" customFormat="false" ht="15" hidden="false" customHeight="true" outlineLevel="0" collapsed="false">
      <c r="A147" s="5" t="s">
        <v>2423</v>
      </c>
      <c r="B147" s="5" t="s">
        <v>1043</v>
      </c>
      <c r="C147" s="5" t="s">
        <v>2245</v>
      </c>
      <c r="D147" s="5" t="s">
        <v>2269</v>
      </c>
      <c r="E147" s="5" t="s">
        <v>59</v>
      </c>
      <c r="F147" s="5" t="s">
        <v>2225</v>
      </c>
      <c r="G147" s="5" t="str">
        <f aca="false">INDEX(Risk_Matrix!$B$2:$D$4,MATCH(E147,Risk_Matrix!$A$2:$A$4,0),MATCH(F147,Risk_Matrix!$B$1:$D$1,0))</f>
        <v>Low</v>
      </c>
      <c r="H147" s="12" t="n">
        <v>46173</v>
      </c>
      <c r="I147" s="5" t="s">
        <v>2256</v>
      </c>
      <c r="J147" s="5" t="s">
        <v>2257</v>
      </c>
      <c r="K147" s="5" t="s">
        <v>2283</v>
      </c>
      <c r="L147" s="5" t="n">
        <f aca="false">IF(G147="High",3,IF(G147="Medium",2,1))</f>
        <v>1</v>
      </c>
    </row>
    <row r="148" customFormat="false" ht="15" hidden="false" customHeight="true" outlineLevel="0" collapsed="false">
      <c r="A148" s="5" t="s">
        <v>2424</v>
      </c>
      <c r="B148" s="5" t="s">
        <v>1043</v>
      </c>
      <c r="C148" s="5" t="s">
        <v>2248</v>
      </c>
      <c r="D148" s="5" t="s">
        <v>2249</v>
      </c>
      <c r="E148" s="5" t="s">
        <v>59</v>
      </c>
      <c r="F148" s="5" t="s">
        <v>2225</v>
      </c>
      <c r="G148" s="5" t="str">
        <f aca="false">INDEX(Risk_Matrix!$B$2:$D$4,MATCH(E148,Risk_Matrix!$A$2:$A$4,0),MATCH(F148,Risk_Matrix!$B$1:$D$1,0))</f>
        <v>Low</v>
      </c>
      <c r="H148" s="12" t="n">
        <v>46107</v>
      </c>
      <c r="I148" s="5" t="s">
        <v>2264</v>
      </c>
      <c r="J148" s="5" t="s">
        <v>2265</v>
      </c>
      <c r="K148" s="5" t="s">
        <v>2283</v>
      </c>
      <c r="L148" s="5" t="n">
        <f aca="false">IF(G148="High",3,IF(G148="Medium",2,1))</f>
        <v>1</v>
      </c>
    </row>
    <row r="149" customFormat="false" ht="15" hidden="false" customHeight="true" outlineLevel="0" collapsed="false">
      <c r="A149" s="5" t="s">
        <v>2425</v>
      </c>
      <c r="B149" s="5" t="s">
        <v>1043</v>
      </c>
      <c r="C149" s="5" t="s">
        <v>2254</v>
      </c>
      <c r="D149" s="5" t="s">
        <v>2308</v>
      </c>
      <c r="E149" s="5" t="s">
        <v>59</v>
      </c>
      <c r="F149" s="5" t="s">
        <v>59</v>
      </c>
      <c r="G149" s="5" t="str">
        <f aca="false">INDEX(Risk_Matrix!$B$2:$D$4,MATCH(E149,Risk_Matrix!$A$2:$A$4,0),MATCH(F149,Risk_Matrix!$B$1:$D$1,0))</f>
        <v>Low</v>
      </c>
      <c r="H149" s="12" t="n">
        <v>46156</v>
      </c>
      <c r="I149" s="5" t="s">
        <v>2250</v>
      </c>
      <c r="J149" s="5" t="s">
        <v>2251</v>
      </c>
      <c r="K149" s="5" t="s">
        <v>2283</v>
      </c>
      <c r="L149" s="5" t="n">
        <f aca="false">IF(G149="High",3,IF(G149="Medium",2,1))</f>
        <v>1</v>
      </c>
    </row>
    <row r="150" customFormat="false" ht="15" hidden="false" customHeight="true" outlineLevel="0" collapsed="false">
      <c r="A150" s="5" t="s">
        <v>2426</v>
      </c>
      <c r="B150" s="5" t="s">
        <v>1043</v>
      </c>
      <c r="C150" s="5" t="s">
        <v>2259</v>
      </c>
      <c r="D150" s="5" t="s">
        <v>2260</v>
      </c>
      <c r="E150" s="5" t="s">
        <v>54</v>
      </c>
      <c r="F150" s="5" t="s">
        <v>59</v>
      </c>
      <c r="G150" s="5" t="str">
        <f aca="false">INDEX(Risk_Matrix!$B$2:$D$4,MATCH(E150,Risk_Matrix!$A$2:$A$4,0),MATCH(F150,Risk_Matrix!$B$1:$D$1,0))</f>
        <v>Medium</v>
      </c>
      <c r="H150" s="12" t="n">
        <v>46101</v>
      </c>
      <c r="I150" s="5" t="s">
        <v>2241</v>
      </c>
      <c r="J150" s="5" t="s">
        <v>2242</v>
      </c>
      <c r="K150" s="5" t="s">
        <v>2283</v>
      </c>
      <c r="L150" s="5" t="n">
        <f aca="false">IF(G150="High",3,IF(G150="Medium",2,1))</f>
        <v>2</v>
      </c>
    </row>
    <row r="151" customFormat="false" ht="15" hidden="false" customHeight="true" outlineLevel="0" collapsed="false">
      <c r="A151" s="5" t="s">
        <v>2427</v>
      </c>
      <c r="B151" s="5" t="s">
        <v>1043</v>
      </c>
      <c r="C151" s="5" t="s">
        <v>2262</v>
      </c>
      <c r="D151" s="5" t="s">
        <v>2287</v>
      </c>
      <c r="E151" s="5" t="s">
        <v>2225</v>
      </c>
      <c r="F151" s="5" t="s">
        <v>59</v>
      </c>
      <c r="G151" s="5" t="str">
        <f aca="false">INDEX(Risk_Matrix!$B$2:$D$4,MATCH(E151,Risk_Matrix!$A$2:$A$4,0),MATCH(F151,Risk_Matrix!$B$1:$D$1,0))</f>
        <v>Low</v>
      </c>
      <c r="H151" s="12" t="n">
        <v>46184</v>
      </c>
      <c r="I151" s="5" t="s">
        <v>2250</v>
      </c>
      <c r="J151" s="5" t="s">
        <v>2251</v>
      </c>
      <c r="K151" s="5" t="s">
        <v>2243</v>
      </c>
      <c r="L151" s="5" t="n">
        <f aca="false">IF(G151="High",3,IF(G151="Medium",2,1))</f>
        <v>1</v>
      </c>
    </row>
    <row r="152" customFormat="false" ht="15" hidden="false" customHeight="true" outlineLevel="0" collapsed="false">
      <c r="A152" s="5" t="s">
        <v>2428</v>
      </c>
      <c r="B152" s="5" t="s">
        <v>1045</v>
      </c>
      <c r="C152" s="5" t="s">
        <v>2239</v>
      </c>
      <c r="D152" s="5" t="s">
        <v>2240</v>
      </c>
      <c r="E152" s="5" t="s">
        <v>59</v>
      </c>
      <c r="F152" s="5" t="s">
        <v>2225</v>
      </c>
      <c r="G152" s="5" t="str">
        <f aca="false">INDEX(Risk_Matrix!$B$2:$D$4,MATCH(E152,Risk_Matrix!$A$2:$A$4,0),MATCH(F152,Risk_Matrix!$B$1:$D$1,0))</f>
        <v>Low</v>
      </c>
      <c r="H152" s="12" t="n">
        <v>46127</v>
      </c>
      <c r="I152" s="5" t="s">
        <v>2264</v>
      </c>
      <c r="J152" s="5" t="s">
        <v>2265</v>
      </c>
      <c r="K152" s="5" t="s">
        <v>2276</v>
      </c>
      <c r="L152" s="5" t="n">
        <f aca="false">IF(G152="High",3,IF(G152="Medium",2,1))</f>
        <v>1</v>
      </c>
    </row>
    <row r="153" customFormat="false" ht="15" hidden="false" customHeight="true" outlineLevel="0" collapsed="false">
      <c r="A153" s="5" t="s">
        <v>2429</v>
      </c>
      <c r="B153" s="5" t="s">
        <v>1045</v>
      </c>
      <c r="C153" s="5" t="s">
        <v>2245</v>
      </c>
      <c r="D153" s="5" t="s">
        <v>2320</v>
      </c>
      <c r="E153" s="5" t="s">
        <v>59</v>
      </c>
      <c r="F153" s="5" t="s">
        <v>2225</v>
      </c>
      <c r="G153" s="5" t="str">
        <f aca="false">INDEX(Risk_Matrix!$B$2:$D$4,MATCH(E153,Risk_Matrix!$A$2:$A$4,0),MATCH(F153,Risk_Matrix!$B$1:$D$1,0))</f>
        <v>Low</v>
      </c>
      <c r="H153" s="12" t="n">
        <v>46220</v>
      </c>
      <c r="I153" s="5" t="s">
        <v>2256</v>
      </c>
      <c r="J153" s="5" t="s">
        <v>2257</v>
      </c>
      <c r="K153" s="5" t="s">
        <v>2276</v>
      </c>
      <c r="L153" s="5" t="n">
        <f aca="false">IF(G153="High",3,IF(G153="Medium",2,1))</f>
        <v>1</v>
      </c>
    </row>
    <row r="154" customFormat="false" ht="15" hidden="false" customHeight="true" outlineLevel="0" collapsed="false">
      <c r="A154" s="5" t="s">
        <v>2430</v>
      </c>
      <c r="B154" s="5" t="s">
        <v>1045</v>
      </c>
      <c r="C154" s="5" t="s">
        <v>2248</v>
      </c>
      <c r="D154" s="5" t="s">
        <v>2322</v>
      </c>
      <c r="E154" s="5" t="s">
        <v>2225</v>
      </c>
      <c r="F154" s="5" t="s">
        <v>2225</v>
      </c>
      <c r="G154" s="5" t="str">
        <f aca="false">INDEX(Risk_Matrix!$B$2:$D$4,MATCH(E154,Risk_Matrix!$A$2:$A$4,0),MATCH(F154,Risk_Matrix!$B$1:$D$1,0))</f>
        <v>Medium</v>
      </c>
      <c r="H154" s="12" t="n">
        <v>46180</v>
      </c>
      <c r="I154" s="5" t="s">
        <v>2250</v>
      </c>
      <c r="J154" s="5" t="s">
        <v>2251</v>
      </c>
      <c r="K154" s="5" t="s">
        <v>2252</v>
      </c>
      <c r="L154" s="5" t="n">
        <f aca="false">IF(G154="High",3,IF(G154="Medium",2,1))</f>
        <v>2</v>
      </c>
    </row>
    <row r="155" customFormat="false" ht="15" hidden="false" customHeight="true" outlineLevel="0" collapsed="false">
      <c r="A155" s="5" t="s">
        <v>2431</v>
      </c>
      <c r="B155" s="5" t="s">
        <v>1045</v>
      </c>
      <c r="C155" s="5" t="s">
        <v>2254</v>
      </c>
      <c r="D155" s="5" t="s">
        <v>2308</v>
      </c>
      <c r="E155" s="5" t="s">
        <v>59</v>
      </c>
      <c r="F155" s="5" t="s">
        <v>2225</v>
      </c>
      <c r="G155" s="5" t="str">
        <f aca="false">INDEX(Risk_Matrix!$B$2:$D$4,MATCH(E155,Risk_Matrix!$A$2:$A$4,0),MATCH(F155,Risk_Matrix!$B$1:$D$1,0))</f>
        <v>Low</v>
      </c>
      <c r="H155" s="12" t="n">
        <v>46234</v>
      </c>
      <c r="I155" s="5" t="s">
        <v>2250</v>
      </c>
      <c r="J155" s="5" t="s">
        <v>2251</v>
      </c>
      <c r="K155" s="5" t="s">
        <v>2243</v>
      </c>
      <c r="L155" s="5" t="n">
        <f aca="false">IF(G155="High",3,IF(G155="Medium",2,1))</f>
        <v>1</v>
      </c>
    </row>
    <row r="156" customFormat="false" ht="15" hidden="false" customHeight="true" outlineLevel="0" collapsed="false">
      <c r="A156" s="5" t="s">
        <v>2432</v>
      </c>
      <c r="B156" s="5" t="s">
        <v>1045</v>
      </c>
      <c r="C156" s="5" t="s">
        <v>2259</v>
      </c>
      <c r="D156" s="5" t="s">
        <v>2285</v>
      </c>
      <c r="E156" s="5" t="s">
        <v>59</v>
      </c>
      <c r="F156" s="5" t="s">
        <v>59</v>
      </c>
      <c r="G156" s="5" t="str">
        <f aca="false">INDEX(Risk_Matrix!$B$2:$D$4,MATCH(E156,Risk_Matrix!$A$2:$A$4,0),MATCH(F156,Risk_Matrix!$B$1:$D$1,0))</f>
        <v>Low</v>
      </c>
      <c r="H156" s="12" t="n">
        <v>46222</v>
      </c>
      <c r="I156" s="5" t="s">
        <v>2250</v>
      </c>
      <c r="J156" s="5" t="s">
        <v>2251</v>
      </c>
      <c r="K156" s="5" t="s">
        <v>2283</v>
      </c>
      <c r="L156" s="5" t="n">
        <f aca="false">IF(G156="High",3,IF(G156="Medium",2,1))</f>
        <v>1</v>
      </c>
    </row>
    <row r="157" customFormat="false" ht="15" hidden="false" customHeight="true" outlineLevel="0" collapsed="false">
      <c r="A157" s="5" t="s">
        <v>2433</v>
      </c>
      <c r="B157" s="5" t="s">
        <v>1045</v>
      </c>
      <c r="C157" s="5" t="s">
        <v>2262</v>
      </c>
      <c r="D157" s="5" t="s">
        <v>2287</v>
      </c>
      <c r="E157" s="5" t="s">
        <v>2225</v>
      </c>
      <c r="F157" s="5" t="s">
        <v>59</v>
      </c>
      <c r="G157" s="5" t="str">
        <f aca="false">INDEX(Risk_Matrix!$B$2:$D$4,MATCH(E157,Risk_Matrix!$A$2:$A$4,0),MATCH(F157,Risk_Matrix!$B$1:$D$1,0))</f>
        <v>Low</v>
      </c>
      <c r="H157" s="12" t="n">
        <v>46211</v>
      </c>
      <c r="I157" s="5" t="s">
        <v>2264</v>
      </c>
      <c r="J157" s="5" t="s">
        <v>2265</v>
      </c>
      <c r="K157" s="5" t="s">
        <v>2252</v>
      </c>
      <c r="L157" s="5" t="n">
        <f aca="false">IF(G157="High",3,IF(G157="Medium",2,1))</f>
        <v>1</v>
      </c>
    </row>
    <row r="158" customFormat="false" ht="15" hidden="false" customHeight="true" outlineLevel="0" collapsed="false">
      <c r="A158" s="5" t="s">
        <v>2434</v>
      </c>
      <c r="B158" s="5" t="s">
        <v>1046</v>
      </c>
      <c r="C158" s="5" t="s">
        <v>2239</v>
      </c>
      <c r="D158" s="5" t="s">
        <v>2278</v>
      </c>
      <c r="E158" s="5" t="s">
        <v>2225</v>
      </c>
      <c r="F158" s="5" t="s">
        <v>59</v>
      </c>
      <c r="G158" s="5" t="str">
        <f aca="false">INDEX(Risk_Matrix!$B$2:$D$4,MATCH(E158,Risk_Matrix!$A$2:$A$4,0),MATCH(F158,Risk_Matrix!$B$1:$D$1,0))</f>
        <v>Low</v>
      </c>
      <c r="H158" s="12" t="n">
        <v>46141</v>
      </c>
      <c r="I158" s="5" t="s">
        <v>2264</v>
      </c>
      <c r="J158" s="5" t="s">
        <v>2265</v>
      </c>
      <c r="K158" s="5" t="s">
        <v>2243</v>
      </c>
      <c r="L158" s="5" t="n">
        <f aca="false">IF(G158="High",3,IF(G158="Medium",2,1))</f>
        <v>1</v>
      </c>
    </row>
    <row r="159" customFormat="false" ht="15" hidden="false" customHeight="true" outlineLevel="0" collapsed="false">
      <c r="A159" s="5" t="s">
        <v>2435</v>
      </c>
      <c r="B159" s="5" t="s">
        <v>1046</v>
      </c>
      <c r="C159" s="5" t="s">
        <v>2245</v>
      </c>
      <c r="D159" s="5" t="s">
        <v>2246</v>
      </c>
      <c r="E159" s="5" t="s">
        <v>59</v>
      </c>
      <c r="F159" s="5" t="s">
        <v>2225</v>
      </c>
      <c r="G159" s="5" t="str">
        <f aca="false">INDEX(Risk_Matrix!$B$2:$D$4,MATCH(E159,Risk_Matrix!$A$2:$A$4,0),MATCH(F159,Risk_Matrix!$B$1:$D$1,0))</f>
        <v>Low</v>
      </c>
      <c r="H159" s="12" t="n">
        <v>46138</v>
      </c>
      <c r="I159" s="5" t="s">
        <v>2256</v>
      </c>
      <c r="J159" s="5" t="s">
        <v>2257</v>
      </c>
      <c r="K159" s="5" t="s">
        <v>2283</v>
      </c>
      <c r="L159" s="5" t="n">
        <f aca="false">IF(G159="High",3,IF(G159="Medium",2,1))</f>
        <v>1</v>
      </c>
    </row>
    <row r="160" customFormat="false" ht="15" hidden="false" customHeight="true" outlineLevel="0" collapsed="false">
      <c r="A160" s="5" t="s">
        <v>2436</v>
      </c>
      <c r="B160" s="5" t="s">
        <v>1046</v>
      </c>
      <c r="C160" s="5" t="s">
        <v>2248</v>
      </c>
      <c r="D160" s="5" t="s">
        <v>2249</v>
      </c>
      <c r="E160" s="5" t="s">
        <v>54</v>
      </c>
      <c r="F160" s="5" t="s">
        <v>59</v>
      </c>
      <c r="G160" s="5" t="str">
        <f aca="false">INDEX(Risk_Matrix!$B$2:$D$4,MATCH(E160,Risk_Matrix!$A$2:$A$4,0),MATCH(F160,Risk_Matrix!$B$1:$D$1,0))</f>
        <v>Medium</v>
      </c>
      <c r="H160" s="12" t="n">
        <v>46073</v>
      </c>
      <c r="I160" s="5" t="s">
        <v>2250</v>
      </c>
      <c r="J160" s="5" t="s">
        <v>2251</v>
      </c>
      <c r="K160" s="5" t="s">
        <v>2252</v>
      </c>
      <c r="L160" s="5" t="n">
        <f aca="false">IF(G160="High",3,IF(G160="Medium",2,1))</f>
        <v>2</v>
      </c>
    </row>
    <row r="161" customFormat="false" ht="15" hidden="false" customHeight="true" outlineLevel="0" collapsed="false">
      <c r="A161" s="5" t="s">
        <v>2437</v>
      </c>
      <c r="B161" s="5" t="s">
        <v>1046</v>
      </c>
      <c r="C161" s="5" t="s">
        <v>2254</v>
      </c>
      <c r="D161" s="5" t="s">
        <v>2255</v>
      </c>
      <c r="E161" s="5" t="s">
        <v>2225</v>
      </c>
      <c r="F161" s="5" t="s">
        <v>2225</v>
      </c>
      <c r="G161" s="5" t="str">
        <f aca="false">INDEX(Risk_Matrix!$B$2:$D$4,MATCH(E161,Risk_Matrix!$A$2:$A$4,0),MATCH(F161,Risk_Matrix!$B$1:$D$1,0))</f>
        <v>Medium</v>
      </c>
      <c r="H161" s="12" t="n">
        <v>46237</v>
      </c>
      <c r="I161" s="5" t="s">
        <v>2256</v>
      </c>
      <c r="J161" s="5" t="s">
        <v>2257</v>
      </c>
      <c r="K161" s="5" t="s">
        <v>2283</v>
      </c>
      <c r="L161" s="5" t="n">
        <f aca="false">IF(G161="High",3,IF(G161="Medium",2,1))</f>
        <v>2</v>
      </c>
    </row>
    <row r="162" customFormat="false" ht="15" hidden="false" customHeight="true" outlineLevel="0" collapsed="false">
      <c r="A162" s="5" t="s">
        <v>2438</v>
      </c>
      <c r="B162" s="5" t="s">
        <v>1046</v>
      </c>
      <c r="C162" s="5" t="s">
        <v>2259</v>
      </c>
      <c r="D162" s="5" t="s">
        <v>2285</v>
      </c>
      <c r="E162" s="5" t="s">
        <v>59</v>
      </c>
      <c r="F162" s="5" t="s">
        <v>2225</v>
      </c>
      <c r="G162" s="5" t="str">
        <f aca="false">INDEX(Risk_Matrix!$B$2:$D$4,MATCH(E162,Risk_Matrix!$A$2:$A$4,0),MATCH(F162,Risk_Matrix!$B$1:$D$1,0))</f>
        <v>Low</v>
      </c>
      <c r="H162" s="12" t="n">
        <v>46185</v>
      </c>
      <c r="I162" s="5" t="s">
        <v>2256</v>
      </c>
      <c r="J162" s="5" t="s">
        <v>2257</v>
      </c>
      <c r="K162" s="5" t="s">
        <v>2252</v>
      </c>
      <c r="L162" s="5" t="n">
        <f aca="false">IF(G162="High",3,IF(G162="Medium",2,1))</f>
        <v>1</v>
      </c>
    </row>
    <row r="163" customFormat="false" ht="15" hidden="false" customHeight="true" outlineLevel="0" collapsed="false">
      <c r="A163" s="5" t="s">
        <v>2439</v>
      </c>
      <c r="B163" s="5" t="s">
        <v>1046</v>
      </c>
      <c r="C163" s="5" t="s">
        <v>2262</v>
      </c>
      <c r="D163" s="5" t="s">
        <v>2287</v>
      </c>
      <c r="E163" s="5" t="s">
        <v>59</v>
      </c>
      <c r="F163" s="5" t="s">
        <v>2225</v>
      </c>
      <c r="G163" s="5" t="str">
        <f aca="false">INDEX(Risk_Matrix!$B$2:$D$4,MATCH(E163,Risk_Matrix!$A$2:$A$4,0),MATCH(F163,Risk_Matrix!$B$1:$D$1,0))</f>
        <v>Low</v>
      </c>
      <c r="H163" s="12" t="n">
        <v>46197</v>
      </c>
      <c r="I163" s="5" t="s">
        <v>2250</v>
      </c>
      <c r="J163" s="5" t="s">
        <v>2251</v>
      </c>
      <c r="K163" s="5" t="s">
        <v>2266</v>
      </c>
      <c r="L163" s="5" t="n">
        <f aca="false">IF(G163="High",3,IF(G163="Medium",2,1))</f>
        <v>1</v>
      </c>
    </row>
    <row r="164" customFormat="false" ht="15" hidden="false" customHeight="true" outlineLevel="0" collapsed="false">
      <c r="A164" s="5" t="s">
        <v>2440</v>
      </c>
      <c r="B164" s="5" t="s">
        <v>1049</v>
      </c>
      <c r="C164" s="5" t="s">
        <v>2239</v>
      </c>
      <c r="D164" s="5" t="s">
        <v>2303</v>
      </c>
      <c r="E164" s="5" t="s">
        <v>2225</v>
      </c>
      <c r="F164" s="5" t="s">
        <v>59</v>
      </c>
      <c r="G164" s="5" t="str">
        <f aca="false">INDEX(Risk_Matrix!$B$2:$D$4,MATCH(E164,Risk_Matrix!$A$2:$A$4,0),MATCH(F164,Risk_Matrix!$B$1:$D$1,0))</f>
        <v>Low</v>
      </c>
      <c r="H164" s="12" t="n">
        <v>46067</v>
      </c>
      <c r="I164" s="5" t="s">
        <v>2256</v>
      </c>
      <c r="J164" s="5" t="s">
        <v>2257</v>
      </c>
      <c r="K164" s="5" t="s">
        <v>2283</v>
      </c>
      <c r="L164" s="5" t="n">
        <f aca="false">IF(G164="High",3,IF(G164="Medium",2,1))</f>
        <v>1</v>
      </c>
    </row>
    <row r="165" customFormat="false" ht="15" hidden="false" customHeight="true" outlineLevel="0" collapsed="false">
      <c r="A165" s="5" t="s">
        <v>2441</v>
      </c>
      <c r="B165" s="5" t="s">
        <v>1049</v>
      </c>
      <c r="C165" s="5" t="s">
        <v>2245</v>
      </c>
      <c r="D165" s="5" t="s">
        <v>2246</v>
      </c>
      <c r="E165" s="5" t="s">
        <v>54</v>
      </c>
      <c r="F165" s="5" t="s">
        <v>54</v>
      </c>
      <c r="G165" s="5" t="str">
        <f aca="false">INDEX(Risk_Matrix!$B$2:$D$4,MATCH(E165,Risk_Matrix!$A$2:$A$4,0),MATCH(F165,Risk_Matrix!$B$1:$D$1,0))</f>
        <v>High</v>
      </c>
      <c r="H165" s="12" t="n">
        <v>46120</v>
      </c>
      <c r="I165" s="5" t="s">
        <v>2241</v>
      </c>
      <c r="J165" s="5" t="s">
        <v>2242</v>
      </c>
      <c r="K165" s="5" t="s">
        <v>2283</v>
      </c>
      <c r="L165" s="5" t="n">
        <f aca="false">IF(G165="High",3,IF(G165="Medium",2,1))</f>
        <v>3</v>
      </c>
    </row>
    <row r="166" customFormat="false" ht="15" hidden="false" customHeight="true" outlineLevel="0" collapsed="false">
      <c r="A166" s="5" t="s">
        <v>2442</v>
      </c>
      <c r="B166" s="5" t="s">
        <v>1049</v>
      </c>
      <c r="C166" s="5" t="s">
        <v>2248</v>
      </c>
      <c r="D166" s="5" t="s">
        <v>2306</v>
      </c>
      <c r="E166" s="5" t="s">
        <v>59</v>
      </c>
      <c r="F166" s="5" t="s">
        <v>59</v>
      </c>
      <c r="G166" s="5" t="str">
        <f aca="false">INDEX(Risk_Matrix!$B$2:$D$4,MATCH(E166,Risk_Matrix!$A$2:$A$4,0),MATCH(F166,Risk_Matrix!$B$1:$D$1,0))</f>
        <v>Low</v>
      </c>
      <c r="H166" s="12" t="n">
        <v>46090</v>
      </c>
      <c r="I166" s="5" t="s">
        <v>2256</v>
      </c>
      <c r="J166" s="5" t="s">
        <v>2257</v>
      </c>
      <c r="K166" s="5" t="s">
        <v>2243</v>
      </c>
      <c r="L166" s="5" t="n">
        <f aca="false">IF(G166="High",3,IF(G166="Medium",2,1))</f>
        <v>1</v>
      </c>
    </row>
    <row r="167" customFormat="false" ht="15" hidden="false" customHeight="true" outlineLevel="0" collapsed="false">
      <c r="A167" s="5" t="s">
        <v>2443</v>
      </c>
      <c r="B167" s="5" t="s">
        <v>1049</v>
      </c>
      <c r="C167" s="5" t="s">
        <v>2254</v>
      </c>
      <c r="D167" s="5" t="s">
        <v>2308</v>
      </c>
      <c r="E167" s="5" t="s">
        <v>59</v>
      </c>
      <c r="F167" s="5" t="s">
        <v>2225</v>
      </c>
      <c r="G167" s="5" t="str">
        <f aca="false">INDEX(Risk_Matrix!$B$2:$D$4,MATCH(E167,Risk_Matrix!$A$2:$A$4,0),MATCH(F167,Risk_Matrix!$B$1:$D$1,0))</f>
        <v>Low</v>
      </c>
      <c r="H167" s="12" t="n">
        <v>46166</v>
      </c>
      <c r="I167" s="5" t="s">
        <v>2256</v>
      </c>
      <c r="J167" s="5" t="s">
        <v>2257</v>
      </c>
      <c r="K167" s="5" t="s">
        <v>2283</v>
      </c>
      <c r="L167" s="5" t="n">
        <f aca="false">IF(G167="High",3,IF(G167="Medium",2,1))</f>
        <v>1</v>
      </c>
    </row>
    <row r="168" customFormat="false" ht="15" hidden="false" customHeight="true" outlineLevel="0" collapsed="false">
      <c r="A168" s="5" t="s">
        <v>2444</v>
      </c>
      <c r="B168" s="5" t="s">
        <v>1049</v>
      </c>
      <c r="C168" s="5" t="s">
        <v>2259</v>
      </c>
      <c r="D168" s="5" t="s">
        <v>2260</v>
      </c>
      <c r="E168" s="5" t="s">
        <v>54</v>
      </c>
      <c r="F168" s="5" t="s">
        <v>59</v>
      </c>
      <c r="G168" s="5" t="str">
        <f aca="false">INDEX(Risk_Matrix!$B$2:$D$4,MATCH(E168,Risk_Matrix!$A$2:$A$4,0),MATCH(F168,Risk_Matrix!$B$1:$D$1,0))</f>
        <v>Medium</v>
      </c>
      <c r="H168" s="12" t="n">
        <v>46081</v>
      </c>
      <c r="I168" s="5" t="s">
        <v>2250</v>
      </c>
      <c r="J168" s="5" t="s">
        <v>2251</v>
      </c>
      <c r="K168" s="5" t="s">
        <v>2252</v>
      </c>
      <c r="L168" s="5" t="n">
        <f aca="false">IF(G168="High",3,IF(G168="Medium",2,1))</f>
        <v>2</v>
      </c>
    </row>
    <row r="169" customFormat="false" ht="15" hidden="false" customHeight="true" outlineLevel="0" collapsed="false">
      <c r="A169" s="5" t="s">
        <v>2445</v>
      </c>
      <c r="B169" s="5" t="s">
        <v>1049</v>
      </c>
      <c r="C169" s="5" t="s">
        <v>2262</v>
      </c>
      <c r="D169" s="5" t="s">
        <v>2263</v>
      </c>
      <c r="E169" s="5" t="s">
        <v>2225</v>
      </c>
      <c r="F169" s="5" t="s">
        <v>2225</v>
      </c>
      <c r="G169" s="5" t="str">
        <f aca="false">INDEX(Risk_Matrix!$B$2:$D$4,MATCH(E169,Risk_Matrix!$A$2:$A$4,0),MATCH(F169,Risk_Matrix!$B$1:$D$1,0))</f>
        <v>Medium</v>
      </c>
      <c r="H169" s="12" t="n">
        <v>46158</v>
      </c>
      <c r="I169" s="5" t="s">
        <v>2256</v>
      </c>
      <c r="J169" s="5" t="s">
        <v>2257</v>
      </c>
      <c r="K169" s="5" t="s">
        <v>2243</v>
      </c>
      <c r="L169" s="5" t="n">
        <f aca="false">IF(G169="High",3,IF(G169="Medium",2,1))</f>
        <v>2</v>
      </c>
    </row>
    <row r="170" customFormat="false" ht="15" hidden="false" customHeight="true" outlineLevel="0" collapsed="false">
      <c r="A170" s="5" t="s">
        <v>2446</v>
      </c>
      <c r="B170" s="5" t="s">
        <v>1052</v>
      </c>
      <c r="C170" s="5" t="s">
        <v>2239</v>
      </c>
      <c r="D170" s="5" t="s">
        <v>2303</v>
      </c>
      <c r="E170" s="5" t="s">
        <v>59</v>
      </c>
      <c r="F170" s="5" t="s">
        <v>59</v>
      </c>
      <c r="G170" s="5" t="str">
        <f aca="false">INDEX(Risk_Matrix!$B$2:$D$4,MATCH(E170,Risk_Matrix!$A$2:$A$4,0),MATCH(F170,Risk_Matrix!$B$1:$D$1,0))</f>
        <v>Low</v>
      </c>
      <c r="H170" s="12" t="n">
        <v>46074</v>
      </c>
      <c r="I170" s="5" t="s">
        <v>2256</v>
      </c>
      <c r="J170" s="5" t="s">
        <v>2257</v>
      </c>
      <c r="K170" s="5" t="s">
        <v>2243</v>
      </c>
      <c r="L170" s="5" t="n">
        <f aca="false">IF(G170="High",3,IF(G170="Medium",2,1))</f>
        <v>1</v>
      </c>
    </row>
    <row r="171" customFormat="false" ht="15" hidden="false" customHeight="true" outlineLevel="0" collapsed="false">
      <c r="A171" s="5" t="s">
        <v>2447</v>
      </c>
      <c r="B171" s="5" t="s">
        <v>1052</v>
      </c>
      <c r="C171" s="5" t="s">
        <v>2245</v>
      </c>
      <c r="D171" s="5" t="s">
        <v>2269</v>
      </c>
      <c r="E171" s="5" t="s">
        <v>2225</v>
      </c>
      <c r="F171" s="5" t="s">
        <v>59</v>
      </c>
      <c r="G171" s="5" t="str">
        <f aca="false">INDEX(Risk_Matrix!$B$2:$D$4,MATCH(E171,Risk_Matrix!$A$2:$A$4,0),MATCH(F171,Risk_Matrix!$B$1:$D$1,0))</f>
        <v>Low</v>
      </c>
      <c r="H171" s="12" t="n">
        <v>46116</v>
      </c>
      <c r="I171" s="5" t="s">
        <v>2250</v>
      </c>
      <c r="J171" s="5" t="s">
        <v>2251</v>
      </c>
      <c r="K171" s="5" t="s">
        <v>2243</v>
      </c>
      <c r="L171" s="5" t="n">
        <f aca="false">IF(G171="High",3,IF(G171="Medium",2,1))</f>
        <v>1</v>
      </c>
    </row>
    <row r="172" customFormat="false" ht="15" hidden="false" customHeight="true" outlineLevel="0" collapsed="false">
      <c r="A172" s="5" t="s">
        <v>2448</v>
      </c>
      <c r="B172" s="5" t="s">
        <v>1052</v>
      </c>
      <c r="C172" s="5" t="s">
        <v>2248</v>
      </c>
      <c r="D172" s="5" t="s">
        <v>2271</v>
      </c>
      <c r="E172" s="5" t="s">
        <v>59</v>
      </c>
      <c r="F172" s="5" t="s">
        <v>59</v>
      </c>
      <c r="G172" s="5" t="str">
        <f aca="false">INDEX(Risk_Matrix!$B$2:$D$4,MATCH(E172,Risk_Matrix!$A$2:$A$4,0),MATCH(F172,Risk_Matrix!$B$1:$D$1,0))</f>
        <v>Low</v>
      </c>
      <c r="H172" s="12" t="n">
        <v>46194</v>
      </c>
      <c r="I172" s="5" t="s">
        <v>2250</v>
      </c>
      <c r="J172" s="5" t="s">
        <v>2251</v>
      </c>
      <c r="K172" s="5" t="s">
        <v>2283</v>
      </c>
      <c r="L172" s="5" t="n">
        <f aca="false">IF(G172="High",3,IF(G172="Medium",2,1))</f>
        <v>1</v>
      </c>
    </row>
    <row r="173" customFormat="false" ht="15" hidden="false" customHeight="true" outlineLevel="0" collapsed="false">
      <c r="A173" s="5" t="s">
        <v>2449</v>
      </c>
      <c r="B173" s="5" t="s">
        <v>1052</v>
      </c>
      <c r="C173" s="5" t="s">
        <v>2254</v>
      </c>
      <c r="D173" s="5" t="s">
        <v>2255</v>
      </c>
      <c r="E173" s="5" t="s">
        <v>2225</v>
      </c>
      <c r="F173" s="5" t="s">
        <v>54</v>
      </c>
      <c r="G173" s="5" t="str">
        <f aca="false">INDEX(Risk_Matrix!$B$2:$D$4,MATCH(E173,Risk_Matrix!$A$2:$A$4,0),MATCH(F173,Risk_Matrix!$B$1:$D$1,0))</f>
        <v>High</v>
      </c>
      <c r="H173" s="12" t="n">
        <v>46101</v>
      </c>
      <c r="I173" s="5" t="s">
        <v>2256</v>
      </c>
      <c r="J173" s="5" t="s">
        <v>2257</v>
      </c>
      <c r="K173" s="5" t="s">
        <v>2266</v>
      </c>
      <c r="L173" s="5" t="n">
        <f aca="false">IF(G173="High",3,IF(G173="Medium",2,1))</f>
        <v>3</v>
      </c>
    </row>
    <row r="174" customFormat="false" ht="15" hidden="false" customHeight="true" outlineLevel="0" collapsed="false">
      <c r="A174" s="5" t="s">
        <v>2450</v>
      </c>
      <c r="B174" s="5" t="s">
        <v>1052</v>
      </c>
      <c r="C174" s="5" t="s">
        <v>2259</v>
      </c>
      <c r="D174" s="5" t="s">
        <v>2274</v>
      </c>
      <c r="E174" s="5" t="s">
        <v>2225</v>
      </c>
      <c r="F174" s="5" t="s">
        <v>2225</v>
      </c>
      <c r="G174" s="5" t="str">
        <f aca="false">INDEX(Risk_Matrix!$B$2:$D$4,MATCH(E174,Risk_Matrix!$A$2:$A$4,0),MATCH(F174,Risk_Matrix!$B$1:$D$1,0))</f>
        <v>Medium</v>
      </c>
      <c r="H174" s="12" t="n">
        <v>46234</v>
      </c>
      <c r="I174" s="5" t="s">
        <v>2250</v>
      </c>
      <c r="J174" s="5" t="s">
        <v>2251</v>
      </c>
      <c r="K174" s="5" t="s">
        <v>2283</v>
      </c>
      <c r="L174" s="5" t="n">
        <f aca="false">IF(G174="High",3,IF(G174="Medium",2,1))</f>
        <v>2</v>
      </c>
    </row>
    <row r="175" customFormat="false" ht="15" hidden="false" customHeight="true" outlineLevel="0" collapsed="false">
      <c r="A175" s="5" t="s">
        <v>2451</v>
      </c>
      <c r="B175" s="5" t="s">
        <v>1052</v>
      </c>
      <c r="C175" s="5" t="s">
        <v>2262</v>
      </c>
      <c r="D175" s="5" t="s">
        <v>2263</v>
      </c>
      <c r="E175" s="5" t="s">
        <v>59</v>
      </c>
      <c r="F175" s="5" t="s">
        <v>2225</v>
      </c>
      <c r="G175" s="5" t="str">
        <f aca="false">INDEX(Risk_Matrix!$B$2:$D$4,MATCH(E175,Risk_Matrix!$A$2:$A$4,0),MATCH(F175,Risk_Matrix!$B$1:$D$1,0))</f>
        <v>Low</v>
      </c>
      <c r="H175" s="12" t="n">
        <v>46087</v>
      </c>
      <c r="I175" s="5" t="s">
        <v>2250</v>
      </c>
      <c r="J175" s="5" t="s">
        <v>2251</v>
      </c>
      <c r="K175" s="5" t="s">
        <v>2266</v>
      </c>
      <c r="L175" s="5" t="n">
        <f aca="false">IF(G175="High",3,IF(G175="Medium",2,1))</f>
        <v>1</v>
      </c>
    </row>
    <row r="176" customFormat="false" ht="15" hidden="false" customHeight="true" outlineLevel="0" collapsed="false">
      <c r="A176" s="5" t="s">
        <v>2452</v>
      </c>
      <c r="B176" s="5" t="s">
        <v>1054</v>
      </c>
      <c r="C176" s="5" t="s">
        <v>2239</v>
      </c>
      <c r="D176" s="5" t="s">
        <v>2240</v>
      </c>
      <c r="E176" s="5" t="s">
        <v>2225</v>
      </c>
      <c r="F176" s="5" t="s">
        <v>2225</v>
      </c>
      <c r="G176" s="5" t="str">
        <f aca="false">INDEX(Risk_Matrix!$B$2:$D$4,MATCH(E176,Risk_Matrix!$A$2:$A$4,0),MATCH(F176,Risk_Matrix!$B$1:$D$1,0))</f>
        <v>Medium</v>
      </c>
      <c r="H176" s="12" t="n">
        <v>46118</v>
      </c>
      <c r="I176" s="5" t="s">
        <v>2241</v>
      </c>
      <c r="J176" s="5" t="s">
        <v>2242</v>
      </c>
      <c r="K176" s="5" t="s">
        <v>2266</v>
      </c>
      <c r="L176" s="5" t="n">
        <f aca="false">IF(G176="High",3,IF(G176="Medium",2,1))</f>
        <v>2</v>
      </c>
    </row>
    <row r="177" customFormat="false" ht="15" hidden="false" customHeight="true" outlineLevel="0" collapsed="false">
      <c r="A177" s="5" t="s">
        <v>2453</v>
      </c>
      <c r="B177" s="5" t="s">
        <v>1054</v>
      </c>
      <c r="C177" s="5" t="s">
        <v>2245</v>
      </c>
      <c r="D177" s="5" t="s">
        <v>2269</v>
      </c>
      <c r="E177" s="5" t="s">
        <v>59</v>
      </c>
      <c r="F177" s="5" t="s">
        <v>54</v>
      </c>
      <c r="G177" s="5" t="str">
        <f aca="false">INDEX(Risk_Matrix!$B$2:$D$4,MATCH(E177,Risk_Matrix!$A$2:$A$4,0),MATCH(F177,Risk_Matrix!$B$1:$D$1,0))</f>
        <v>Medium</v>
      </c>
      <c r="H177" s="12" t="n">
        <v>46164</v>
      </c>
      <c r="I177" s="5" t="s">
        <v>2250</v>
      </c>
      <c r="J177" s="5" t="s">
        <v>2251</v>
      </c>
      <c r="K177" s="5" t="s">
        <v>2266</v>
      </c>
      <c r="L177" s="5" t="n">
        <f aca="false">IF(G177="High",3,IF(G177="Medium",2,1))</f>
        <v>2</v>
      </c>
    </row>
    <row r="178" customFormat="false" ht="15" hidden="false" customHeight="true" outlineLevel="0" collapsed="false">
      <c r="A178" s="5" t="s">
        <v>2454</v>
      </c>
      <c r="B178" s="5" t="s">
        <v>1054</v>
      </c>
      <c r="C178" s="5" t="s">
        <v>2248</v>
      </c>
      <c r="D178" s="5" t="s">
        <v>2271</v>
      </c>
      <c r="E178" s="5" t="s">
        <v>2225</v>
      </c>
      <c r="F178" s="5" t="s">
        <v>59</v>
      </c>
      <c r="G178" s="5" t="str">
        <f aca="false">INDEX(Risk_Matrix!$B$2:$D$4,MATCH(E178,Risk_Matrix!$A$2:$A$4,0),MATCH(F178,Risk_Matrix!$B$1:$D$1,0))</f>
        <v>Low</v>
      </c>
      <c r="H178" s="12" t="n">
        <v>46236</v>
      </c>
      <c r="I178" s="5" t="s">
        <v>2256</v>
      </c>
      <c r="J178" s="5" t="s">
        <v>2257</v>
      </c>
      <c r="K178" s="5" t="s">
        <v>2266</v>
      </c>
      <c r="L178" s="5" t="n">
        <f aca="false">IF(G178="High",3,IF(G178="Medium",2,1))</f>
        <v>1</v>
      </c>
    </row>
    <row r="179" customFormat="false" ht="15" hidden="false" customHeight="true" outlineLevel="0" collapsed="false">
      <c r="A179" s="5" t="s">
        <v>2455</v>
      </c>
      <c r="B179" s="5" t="s">
        <v>1054</v>
      </c>
      <c r="C179" s="5" t="s">
        <v>2254</v>
      </c>
      <c r="D179" s="5" t="s">
        <v>2299</v>
      </c>
      <c r="E179" s="5" t="s">
        <v>2225</v>
      </c>
      <c r="F179" s="5" t="s">
        <v>2225</v>
      </c>
      <c r="G179" s="5" t="str">
        <f aca="false">INDEX(Risk_Matrix!$B$2:$D$4,MATCH(E179,Risk_Matrix!$A$2:$A$4,0),MATCH(F179,Risk_Matrix!$B$1:$D$1,0))</f>
        <v>Medium</v>
      </c>
      <c r="H179" s="12" t="n">
        <v>46198</v>
      </c>
      <c r="I179" s="5" t="s">
        <v>2256</v>
      </c>
      <c r="J179" s="5" t="s">
        <v>2257</v>
      </c>
      <c r="K179" s="5" t="s">
        <v>2266</v>
      </c>
      <c r="L179" s="5" t="n">
        <f aca="false">IF(G179="High",3,IF(G179="Medium",2,1))</f>
        <v>2</v>
      </c>
    </row>
    <row r="180" customFormat="false" ht="15" hidden="false" customHeight="true" outlineLevel="0" collapsed="false">
      <c r="A180" s="5" t="s">
        <v>2456</v>
      </c>
      <c r="B180" s="5" t="s">
        <v>1054</v>
      </c>
      <c r="C180" s="5" t="s">
        <v>2259</v>
      </c>
      <c r="D180" s="5" t="s">
        <v>2285</v>
      </c>
      <c r="E180" s="5" t="s">
        <v>54</v>
      </c>
      <c r="F180" s="5" t="s">
        <v>2225</v>
      </c>
      <c r="G180" s="5" t="str">
        <f aca="false">INDEX(Risk_Matrix!$B$2:$D$4,MATCH(E180,Risk_Matrix!$A$2:$A$4,0),MATCH(F180,Risk_Matrix!$B$1:$D$1,0))</f>
        <v>High</v>
      </c>
      <c r="H180" s="12" t="n">
        <v>46115</v>
      </c>
      <c r="I180" s="5" t="s">
        <v>2241</v>
      </c>
      <c r="J180" s="5" t="s">
        <v>2242</v>
      </c>
      <c r="K180" s="5" t="s">
        <v>2252</v>
      </c>
      <c r="L180" s="5" t="n">
        <f aca="false">IF(G180="High",3,IF(G180="Medium",2,1))</f>
        <v>3</v>
      </c>
    </row>
    <row r="181" customFormat="false" ht="15" hidden="false" customHeight="true" outlineLevel="0" collapsed="false">
      <c r="A181" s="5" t="s">
        <v>2457</v>
      </c>
      <c r="B181" s="5" t="s">
        <v>1054</v>
      </c>
      <c r="C181" s="5" t="s">
        <v>2262</v>
      </c>
      <c r="D181" s="5" t="s">
        <v>2287</v>
      </c>
      <c r="E181" s="5" t="s">
        <v>59</v>
      </c>
      <c r="F181" s="5" t="s">
        <v>59</v>
      </c>
      <c r="G181" s="5" t="str">
        <f aca="false">INDEX(Risk_Matrix!$B$2:$D$4,MATCH(E181,Risk_Matrix!$A$2:$A$4,0),MATCH(F181,Risk_Matrix!$B$1:$D$1,0))</f>
        <v>Low</v>
      </c>
      <c r="H181" s="12" t="n">
        <v>46144</v>
      </c>
      <c r="I181" s="5" t="s">
        <v>2256</v>
      </c>
      <c r="J181" s="5" t="s">
        <v>2257</v>
      </c>
      <c r="K181" s="5" t="s">
        <v>2266</v>
      </c>
      <c r="L181" s="5" t="n">
        <f aca="false">IF(G181="High",3,IF(G181="Medium",2,1))</f>
        <v>1</v>
      </c>
    </row>
    <row r="182" customFormat="false" ht="15" hidden="false" customHeight="true" outlineLevel="0" collapsed="false">
      <c r="A182" s="5" t="s">
        <v>2458</v>
      </c>
      <c r="B182" s="5" t="s">
        <v>1057</v>
      </c>
      <c r="C182" s="5" t="s">
        <v>2239</v>
      </c>
      <c r="D182" s="5" t="s">
        <v>2240</v>
      </c>
      <c r="E182" s="5" t="s">
        <v>2225</v>
      </c>
      <c r="F182" s="5" t="s">
        <v>2225</v>
      </c>
      <c r="G182" s="5" t="str">
        <f aca="false">INDEX(Risk_Matrix!$B$2:$D$4,MATCH(E182,Risk_Matrix!$A$2:$A$4,0),MATCH(F182,Risk_Matrix!$B$1:$D$1,0))</f>
        <v>Medium</v>
      </c>
      <c r="H182" s="12" t="n">
        <v>46139</v>
      </c>
      <c r="I182" s="5" t="s">
        <v>2264</v>
      </c>
      <c r="J182" s="5" t="s">
        <v>2265</v>
      </c>
      <c r="K182" s="5" t="s">
        <v>2243</v>
      </c>
      <c r="L182" s="5" t="n">
        <f aca="false">IF(G182="High",3,IF(G182="Medium",2,1))</f>
        <v>2</v>
      </c>
    </row>
    <row r="183" customFormat="false" ht="15" hidden="false" customHeight="true" outlineLevel="0" collapsed="false">
      <c r="A183" s="5" t="s">
        <v>2459</v>
      </c>
      <c r="B183" s="5" t="s">
        <v>1057</v>
      </c>
      <c r="C183" s="5" t="s">
        <v>2245</v>
      </c>
      <c r="D183" s="5" t="s">
        <v>2280</v>
      </c>
      <c r="E183" s="5" t="s">
        <v>54</v>
      </c>
      <c r="F183" s="5" t="s">
        <v>59</v>
      </c>
      <c r="G183" s="5" t="str">
        <f aca="false">INDEX(Risk_Matrix!$B$2:$D$4,MATCH(E183,Risk_Matrix!$A$2:$A$4,0),MATCH(F183,Risk_Matrix!$B$1:$D$1,0))</f>
        <v>Medium</v>
      </c>
      <c r="H183" s="12" t="n">
        <v>46212</v>
      </c>
      <c r="I183" s="5" t="s">
        <v>2250</v>
      </c>
      <c r="J183" s="5" t="s">
        <v>2251</v>
      </c>
      <c r="K183" s="5" t="s">
        <v>2283</v>
      </c>
      <c r="L183" s="5" t="n">
        <f aca="false">IF(G183="High",3,IF(G183="Medium",2,1))</f>
        <v>2</v>
      </c>
    </row>
    <row r="184" customFormat="false" ht="15" hidden="false" customHeight="true" outlineLevel="0" collapsed="false">
      <c r="A184" s="5" t="s">
        <v>2460</v>
      </c>
      <c r="B184" s="5" t="s">
        <v>1057</v>
      </c>
      <c r="C184" s="5" t="s">
        <v>2248</v>
      </c>
      <c r="D184" s="5" t="s">
        <v>2249</v>
      </c>
      <c r="E184" s="5" t="s">
        <v>2225</v>
      </c>
      <c r="F184" s="5" t="s">
        <v>59</v>
      </c>
      <c r="G184" s="5" t="str">
        <f aca="false">INDEX(Risk_Matrix!$B$2:$D$4,MATCH(E184,Risk_Matrix!$A$2:$A$4,0),MATCH(F184,Risk_Matrix!$B$1:$D$1,0))</f>
        <v>Low</v>
      </c>
      <c r="H184" s="12" t="n">
        <v>46194</v>
      </c>
      <c r="I184" s="5" t="s">
        <v>2250</v>
      </c>
      <c r="J184" s="5" t="s">
        <v>2251</v>
      </c>
      <c r="K184" s="5" t="s">
        <v>2243</v>
      </c>
      <c r="L184" s="5" t="n">
        <f aca="false">IF(G184="High",3,IF(G184="Medium",2,1))</f>
        <v>1</v>
      </c>
    </row>
    <row r="185" customFormat="false" ht="15" hidden="false" customHeight="true" outlineLevel="0" collapsed="false">
      <c r="A185" s="5" t="s">
        <v>2461</v>
      </c>
      <c r="B185" s="5" t="s">
        <v>1057</v>
      </c>
      <c r="C185" s="5" t="s">
        <v>2254</v>
      </c>
      <c r="D185" s="5" t="s">
        <v>2299</v>
      </c>
      <c r="E185" s="5" t="s">
        <v>59</v>
      </c>
      <c r="F185" s="5" t="s">
        <v>2225</v>
      </c>
      <c r="G185" s="5" t="str">
        <f aca="false">INDEX(Risk_Matrix!$B$2:$D$4,MATCH(E185,Risk_Matrix!$A$2:$A$4,0),MATCH(F185,Risk_Matrix!$B$1:$D$1,0))</f>
        <v>Low</v>
      </c>
      <c r="H185" s="12" t="n">
        <v>46219</v>
      </c>
      <c r="I185" s="5" t="s">
        <v>2264</v>
      </c>
      <c r="J185" s="5" t="s">
        <v>2265</v>
      </c>
      <c r="K185" s="5" t="s">
        <v>2283</v>
      </c>
      <c r="L185" s="5" t="n">
        <f aca="false">IF(G185="High",3,IF(G185="Medium",2,1))</f>
        <v>1</v>
      </c>
    </row>
    <row r="186" customFormat="false" ht="15" hidden="false" customHeight="true" outlineLevel="0" collapsed="false">
      <c r="A186" s="5" t="s">
        <v>2462</v>
      </c>
      <c r="B186" s="5" t="s">
        <v>1057</v>
      </c>
      <c r="C186" s="5" t="s">
        <v>2259</v>
      </c>
      <c r="D186" s="5" t="s">
        <v>2274</v>
      </c>
      <c r="E186" s="5" t="s">
        <v>59</v>
      </c>
      <c r="F186" s="5" t="s">
        <v>54</v>
      </c>
      <c r="G186" s="5" t="str">
        <f aca="false">INDEX(Risk_Matrix!$B$2:$D$4,MATCH(E186,Risk_Matrix!$A$2:$A$4,0),MATCH(F186,Risk_Matrix!$B$1:$D$1,0))</f>
        <v>Medium</v>
      </c>
      <c r="H186" s="12" t="n">
        <v>46148</v>
      </c>
      <c r="I186" s="5" t="s">
        <v>2250</v>
      </c>
      <c r="J186" s="5" t="s">
        <v>2251</v>
      </c>
      <c r="K186" s="5" t="s">
        <v>2252</v>
      </c>
      <c r="L186" s="5" t="n">
        <f aca="false">IF(G186="High",3,IF(G186="Medium",2,1))</f>
        <v>2</v>
      </c>
    </row>
    <row r="187" customFormat="false" ht="15" hidden="false" customHeight="true" outlineLevel="0" collapsed="false">
      <c r="A187" s="5" t="s">
        <v>2463</v>
      </c>
      <c r="B187" s="5" t="s">
        <v>1057</v>
      </c>
      <c r="C187" s="5" t="s">
        <v>2262</v>
      </c>
      <c r="D187" s="5" t="s">
        <v>2311</v>
      </c>
      <c r="E187" s="5" t="s">
        <v>2225</v>
      </c>
      <c r="F187" s="5" t="s">
        <v>54</v>
      </c>
      <c r="G187" s="5" t="str">
        <f aca="false">INDEX(Risk_Matrix!$B$2:$D$4,MATCH(E187,Risk_Matrix!$A$2:$A$4,0),MATCH(F187,Risk_Matrix!$B$1:$D$1,0))</f>
        <v>High</v>
      </c>
      <c r="H187" s="12" t="n">
        <v>46203</v>
      </c>
      <c r="I187" s="5" t="s">
        <v>2256</v>
      </c>
      <c r="J187" s="5" t="s">
        <v>2257</v>
      </c>
      <c r="K187" s="5" t="s">
        <v>2243</v>
      </c>
      <c r="L187" s="5" t="n">
        <f aca="false">IF(G187="High",3,IF(G187="Medium",2,1))</f>
        <v>3</v>
      </c>
    </row>
    <row r="188" customFormat="false" ht="15" hidden="false" customHeight="true" outlineLevel="0" collapsed="false">
      <c r="A188" s="5" t="s">
        <v>2464</v>
      </c>
      <c r="B188" s="5" t="s">
        <v>1060</v>
      </c>
      <c r="C188" s="5" t="s">
        <v>2239</v>
      </c>
      <c r="D188" s="5" t="s">
        <v>2303</v>
      </c>
      <c r="E188" s="5" t="s">
        <v>59</v>
      </c>
      <c r="F188" s="5" t="s">
        <v>2225</v>
      </c>
      <c r="G188" s="5" t="str">
        <f aca="false">INDEX(Risk_Matrix!$B$2:$D$4,MATCH(E188,Risk_Matrix!$A$2:$A$4,0),MATCH(F188,Risk_Matrix!$B$1:$D$1,0))</f>
        <v>Low</v>
      </c>
      <c r="H188" s="12" t="n">
        <v>46200</v>
      </c>
      <c r="I188" s="5" t="s">
        <v>2256</v>
      </c>
      <c r="J188" s="5" t="s">
        <v>2257</v>
      </c>
      <c r="K188" s="5" t="s">
        <v>2266</v>
      </c>
      <c r="L188" s="5" t="n">
        <f aca="false">IF(G188="High",3,IF(G188="Medium",2,1))</f>
        <v>1</v>
      </c>
    </row>
    <row r="189" customFormat="false" ht="15" hidden="false" customHeight="true" outlineLevel="0" collapsed="false">
      <c r="A189" s="5" t="s">
        <v>2465</v>
      </c>
      <c r="B189" s="5" t="s">
        <v>1060</v>
      </c>
      <c r="C189" s="5" t="s">
        <v>2245</v>
      </c>
      <c r="D189" s="5" t="s">
        <v>2320</v>
      </c>
      <c r="E189" s="5" t="s">
        <v>59</v>
      </c>
      <c r="F189" s="5" t="s">
        <v>2225</v>
      </c>
      <c r="G189" s="5" t="str">
        <f aca="false">INDEX(Risk_Matrix!$B$2:$D$4,MATCH(E189,Risk_Matrix!$A$2:$A$4,0),MATCH(F189,Risk_Matrix!$B$1:$D$1,0))</f>
        <v>Low</v>
      </c>
      <c r="H189" s="12" t="n">
        <v>46180</v>
      </c>
      <c r="I189" s="5" t="s">
        <v>2256</v>
      </c>
      <c r="J189" s="5" t="s">
        <v>2257</v>
      </c>
      <c r="K189" s="5" t="s">
        <v>2243</v>
      </c>
      <c r="L189" s="5" t="n">
        <f aca="false">IF(G189="High",3,IF(G189="Medium",2,1))</f>
        <v>1</v>
      </c>
    </row>
    <row r="190" customFormat="false" ht="15" hidden="false" customHeight="true" outlineLevel="0" collapsed="false">
      <c r="A190" s="5" t="s">
        <v>2466</v>
      </c>
      <c r="B190" s="5" t="s">
        <v>1060</v>
      </c>
      <c r="C190" s="5" t="s">
        <v>2248</v>
      </c>
      <c r="D190" s="5" t="s">
        <v>2249</v>
      </c>
      <c r="E190" s="5" t="s">
        <v>2225</v>
      </c>
      <c r="F190" s="5" t="s">
        <v>59</v>
      </c>
      <c r="G190" s="5" t="str">
        <f aca="false">INDEX(Risk_Matrix!$B$2:$D$4,MATCH(E190,Risk_Matrix!$A$2:$A$4,0),MATCH(F190,Risk_Matrix!$B$1:$D$1,0))</f>
        <v>Low</v>
      </c>
      <c r="H190" s="12" t="n">
        <v>46185</v>
      </c>
      <c r="I190" s="5" t="s">
        <v>2250</v>
      </c>
      <c r="J190" s="5" t="s">
        <v>2251</v>
      </c>
      <c r="K190" s="5" t="s">
        <v>2283</v>
      </c>
      <c r="L190" s="5" t="n">
        <f aca="false">IF(G190="High",3,IF(G190="Medium",2,1))</f>
        <v>1</v>
      </c>
    </row>
    <row r="191" customFormat="false" ht="15" hidden="false" customHeight="true" outlineLevel="0" collapsed="false">
      <c r="A191" s="5" t="s">
        <v>2467</v>
      </c>
      <c r="B191" s="5" t="s">
        <v>1060</v>
      </c>
      <c r="C191" s="5" t="s">
        <v>2254</v>
      </c>
      <c r="D191" s="5" t="s">
        <v>2255</v>
      </c>
      <c r="E191" s="5" t="s">
        <v>2225</v>
      </c>
      <c r="F191" s="5" t="s">
        <v>59</v>
      </c>
      <c r="G191" s="5" t="str">
        <f aca="false">INDEX(Risk_Matrix!$B$2:$D$4,MATCH(E191,Risk_Matrix!$A$2:$A$4,0),MATCH(F191,Risk_Matrix!$B$1:$D$1,0))</f>
        <v>Low</v>
      </c>
      <c r="H191" s="12" t="n">
        <v>46206</v>
      </c>
      <c r="I191" s="5" t="s">
        <v>2256</v>
      </c>
      <c r="J191" s="5" t="s">
        <v>2257</v>
      </c>
      <c r="K191" s="5" t="s">
        <v>2283</v>
      </c>
      <c r="L191" s="5" t="n">
        <f aca="false">IF(G191="High",3,IF(G191="Medium",2,1))</f>
        <v>1</v>
      </c>
    </row>
    <row r="192" customFormat="false" ht="15" hidden="false" customHeight="true" outlineLevel="0" collapsed="false">
      <c r="A192" s="5" t="s">
        <v>2468</v>
      </c>
      <c r="B192" s="5" t="s">
        <v>1060</v>
      </c>
      <c r="C192" s="5" t="s">
        <v>2259</v>
      </c>
      <c r="D192" s="5" t="s">
        <v>2285</v>
      </c>
      <c r="E192" s="5" t="s">
        <v>59</v>
      </c>
      <c r="F192" s="5" t="s">
        <v>2225</v>
      </c>
      <c r="G192" s="5" t="str">
        <f aca="false">INDEX(Risk_Matrix!$B$2:$D$4,MATCH(E192,Risk_Matrix!$A$2:$A$4,0),MATCH(F192,Risk_Matrix!$B$1:$D$1,0))</f>
        <v>Low</v>
      </c>
      <c r="H192" s="12" t="n">
        <v>46092</v>
      </c>
      <c r="I192" s="5" t="s">
        <v>2256</v>
      </c>
      <c r="J192" s="5" t="s">
        <v>2257</v>
      </c>
      <c r="K192" s="5" t="s">
        <v>2266</v>
      </c>
      <c r="L192" s="5" t="n">
        <f aca="false">IF(G192="High",3,IF(G192="Medium",2,1))</f>
        <v>1</v>
      </c>
    </row>
    <row r="193" customFormat="false" ht="15" hidden="false" customHeight="true" outlineLevel="0" collapsed="false">
      <c r="A193" s="5" t="s">
        <v>2469</v>
      </c>
      <c r="B193" s="5" t="s">
        <v>1060</v>
      </c>
      <c r="C193" s="5" t="s">
        <v>2262</v>
      </c>
      <c r="D193" s="5" t="s">
        <v>2287</v>
      </c>
      <c r="E193" s="5" t="s">
        <v>59</v>
      </c>
      <c r="F193" s="5" t="s">
        <v>54</v>
      </c>
      <c r="G193" s="5" t="str">
        <f aca="false">INDEX(Risk_Matrix!$B$2:$D$4,MATCH(E193,Risk_Matrix!$A$2:$A$4,0),MATCH(F193,Risk_Matrix!$B$1:$D$1,0))</f>
        <v>Medium</v>
      </c>
      <c r="H193" s="12" t="n">
        <v>46135</v>
      </c>
      <c r="I193" s="5" t="s">
        <v>2250</v>
      </c>
      <c r="J193" s="5" t="s">
        <v>2251</v>
      </c>
      <c r="K193" s="5" t="s">
        <v>2283</v>
      </c>
      <c r="L193" s="5" t="n">
        <f aca="false">IF(G193="High",3,IF(G193="Medium",2,1))</f>
        <v>2</v>
      </c>
    </row>
    <row r="194" customFormat="false" ht="15" hidden="false" customHeight="true" outlineLevel="0" collapsed="false">
      <c r="A194" s="5" t="s">
        <v>2470</v>
      </c>
      <c r="B194" s="5" t="s">
        <v>1062</v>
      </c>
      <c r="C194" s="5" t="s">
        <v>2239</v>
      </c>
      <c r="D194" s="5" t="s">
        <v>2240</v>
      </c>
      <c r="E194" s="5" t="s">
        <v>54</v>
      </c>
      <c r="F194" s="5" t="s">
        <v>2225</v>
      </c>
      <c r="G194" s="5" t="str">
        <f aca="false">INDEX(Risk_Matrix!$B$2:$D$4,MATCH(E194,Risk_Matrix!$A$2:$A$4,0),MATCH(F194,Risk_Matrix!$B$1:$D$1,0))</f>
        <v>High</v>
      </c>
      <c r="H194" s="12" t="n">
        <v>46217</v>
      </c>
      <c r="I194" s="5" t="s">
        <v>2264</v>
      </c>
      <c r="J194" s="5" t="s">
        <v>2265</v>
      </c>
      <c r="K194" s="5" t="s">
        <v>2266</v>
      </c>
      <c r="L194" s="5" t="n">
        <f aca="false">IF(G194="High",3,IF(G194="Medium",2,1))</f>
        <v>3</v>
      </c>
    </row>
    <row r="195" customFormat="false" ht="15" hidden="false" customHeight="true" outlineLevel="0" collapsed="false">
      <c r="A195" s="5" t="s">
        <v>2471</v>
      </c>
      <c r="B195" s="5" t="s">
        <v>1062</v>
      </c>
      <c r="C195" s="5" t="s">
        <v>2245</v>
      </c>
      <c r="D195" s="5" t="s">
        <v>2280</v>
      </c>
      <c r="E195" s="5" t="s">
        <v>2225</v>
      </c>
      <c r="F195" s="5" t="s">
        <v>59</v>
      </c>
      <c r="G195" s="5" t="str">
        <f aca="false">INDEX(Risk_Matrix!$B$2:$D$4,MATCH(E195,Risk_Matrix!$A$2:$A$4,0),MATCH(F195,Risk_Matrix!$B$1:$D$1,0))</f>
        <v>Low</v>
      </c>
      <c r="H195" s="12" t="n">
        <v>46182</v>
      </c>
      <c r="I195" s="5" t="s">
        <v>2250</v>
      </c>
      <c r="J195" s="5" t="s">
        <v>2251</v>
      </c>
      <c r="K195" s="5" t="s">
        <v>2243</v>
      </c>
      <c r="L195" s="5" t="n">
        <f aca="false">IF(G195="High",3,IF(G195="Medium",2,1))</f>
        <v>1</v>
      </c>
    </row>
    <row r="196" customFormat="false" ht="15" hidden="false" customHeight="true" outlineLevel="0" collapsed="false">
      <c r="A196" s="5" t="s">
        <v>2472</v>
      </c>
      <c r="B196" s="5" t="s">
        <v>1062</v>
      </c>
      <c r="C196" s="5" t="s">
        <v>2248</v>
      </c>
      <c r="D196" s="5" t="s">
        <v>2322</v>
      </c>
      <c r="E196" s="5" t="s">
        <v>2225</v>
      </c>
      <c r="F196" s="5" t="s">
        <v>2225</v>
      </c>
      <c r="G196" s="5" t="str">
        <f aca="false">INDEX(Risk_Matrix!$B$2:$D$4,MATCH(E196,Risk_Matrix!$A$2:$A$4,0),MATCH(F196,Risk_Matrix!$B$1:$D$1,0))</f>
        <v>Medium</v>
      </c>
      <c r="H196" s="12" t="n">
        <v>46070</v>
      </c>
      <c r="I196" s="5" t="s">
        <v>2256</v>
      </c>
      <c r="J196" s="5" t="s">
        <v>2257</v>
      </c>
      <c r="K196" s="5" t="s">
        <v>2283</v>
      </c>
      <c r="L196" s="5" t="n">
        <f aca="false">IF(G196="High",3,IF(G196="Medium",2,1))</f>
        <v>2</v>
      </c>
    </row>
    <row r="197" customFormat="false" ht="15" hidden="false" customHeight="true" outlineLevel="0" collapsed="false">
      <c r="A197" s="5" t="s">
        <v>2473</v>
      </c>
      <c r="B197" s="5" t="s">
        <v>1062</v>
      </c>
      <c r="C197" s="5" t="s">
        <v>2254</v>
      </c>
      <c r="D197" s="5" t="s">
        <v>2308</v>
      </c>
      <c r="E197" s="5" t="s">
        <v>59</v>
      </c>
      <c r="F197" s="5" t="s">
        <v>2225</v>
      </c>
      <c r="G197" s="5" t="str">
        <f aca="false">INDEX(Risk_Matrix!$B$2:$D$4,MATCH(E197,Risk_Matrix!$A$2:$A$4,0),MATCH(F197,Risk_Matrix!$B$1:$D$1,0))</f>
        <v>Low</v>
      </c>
      <c r="H197" s="12" t="n">
        <v>46086</v>
      </c>
      <c r="I197" s="5" t="s">
        <v>2264</v>
      </c>
      <c r="J197" s="5" t="s">
        <v>2265</v>
      </c>
      <c r="K197" s="5" t="s">
        <v>2283</v>
      </c>
      <c r="L197" s="5" t="n">
        <f aca="false">IF(G197="High",3,IF(G197="Medium",2,1))</f>
        <v>1</v>
      </c>
    </row>
    <row r="198" customFormat="false" ht="15" hidden="false" customHeight="true" outlineLevel="0" collapsed="false">
      <c r="A198" s="5" t="s">
        <v>2474</v>
      </c>
      <c r="B198" s="5" t="s">
        <v>1062</v>
      </c>
      <c r="C198" s="5" t="s">
        <v>2259</v>
      </c>
      <c r="D198" s="5" t="s">
        <v>2260</v>
      </c>
      <c r="E198" s="5" t="s">
        <v>59</v>
      </c>
      <c r="F198" s="5" t="s">
        <v>59</v>
      </c>
      <c r="G198" s="5" t="str">
        <f aca="false">INDEX(Risk_Matrix!$B$2:$D$4,MATCH(E198,Risk_Matrix!$A$2:$A$4,0),MATCH(F198,Risk_Matrix!$B$1:$D$1,0))</f>
        <v>Low</v>
      </c>
      <c r="H198" s="12" t="n">
        <v>46187</v>
      </c>
      <c r="I198" s="5" t="s">
        <v>2256</v>
      </c>
      <c r="J198" s="5" t="s">
        <v>2257</v>
      </c>
      <c r="K198" s="5" t="s">
        <v>2283</v>
      </c>
      <c r="L198" s="5" t="n">
        <f aca="false">IF(G198="High",3,IF(G198="Medium",2,1))</f>
        <v>1</v>
      </c>
    </row>
    <row r="199" customFormat="false" ht="15" hidden="false" customHeight="true" outlineLevel="0" collapsed="false">
      <c r="A199" s="5" t="s">
        <v>2475</v>
      </c>
      <c r="B199" s="5" t="s">
        <v>1062</v>
      </c>
      <c r="C199" s="5" t="s">
        <v>2262</v>
      </c>
      <c r="D199" s="5" t="s">
        <v>2263</v>
      </c>
      <c r="E199" s="5" t="s">
        <v>2225</v>
      </c>
      <c r="F199" s="5" t="s">
        <v>2225</v>
      </c>
      <c r="G199" s="5" t="str">
        <f aca="false">INDEX(Risk_Matrix!$B$2:$D$4,MATCH(E199,Risk_Matrix!$A$2:$A$4,0),MATCH(F199,Risk_Matrix!$B$1:$D$1,0))</f>
        <v>Medium</v>
      </c>
      <c r="H199" s="12" t="n">
        <v>46193</v>
      </c>
      <c r="I199" s="5" t="s">
        <v>2250</v>
      </c>
      <c r="J199" s="5" t="s">
        <v>2251</v>
      </c>
      <c r="K199" s="5" t="s">
        <v>2243</v>
      </c>
      <c r="L199" s="5" t="n">
        <f aca="false">IF(G199="High",3,IF(G199="Medium",2,1))</f>
        <v>2</v>
      </c>
    </row>
    <row r="200" customFormat="false" ht="15" hidden="false" customHeight="true" outlineLevel="0" collapsed="false">
      <c r="A200" s="5" t="s">
        <v>2476</v>
      </c>
      <c r="B200" s="5" t="s">
        <v>1064</v>
      </c>
      <c r="C200" s="5" t="s">
        <v>2239</v>
      </c>
      <c r="D200" s="5" t="s">
        <v>2240</v>
      </c>
      <c r="E200" s="5" t="s">
        <v>54</v>
      </c>
      <c r="F200" s="5" t="s">
        <v>2225</v>
      </c>
      <c r="G200" s="5" t="str">
        <f aca="false">INDEX(Risk_Matrix!$B$2:$D$4,MATCH(E200,Risk_Matrix!$A$2:$A$4,0),MATCH(F200,Risk_Matrix!$B$1:$D$1,0))</f>
        <v>High</v>
      </c>
      <c r="H200" s="12" t="n">
        <v>46215</v>
      </c>
      <c r="I200" s="5" t="s">
        <v>2264</v>
      </c>
      <c r="J200" s="5" t="s">
        <v>2265</v>
      </c>
      <c r="K200" s="5" t="s">
        <v>2243</v>
      </c>
      <c r="L200" s="5" t="n">
        <f aca="false">IF(G200="High",3,IF(G200="Medium",2,1))</f>
        <v>3</v>
      </c>
    </row>
    <row r="201" customFormat="false" ht="15" hidden="false" customHeight="true" outlineLevel="0" collapsed="false">
      <c r="A201" s="5" t="s">
        <v>2477</v>
      </c>
      <c r="B201" s="5" t="s">
        <v>1064</v>
      </c>
      <c r="C201" s="5" t="s">
        <v>2245</v>
      </c>
      <c r="D201" s="5" t="s">
        <v>2320</v>
      </c>
      <c r="E201" s="5" t="s">
        <v>54</v>
      </c>
      <c r="F201" s="5" t="s">
        <v>2225</v>
      </c>
      <c r="G201" s="5" t="str">
        <f aca="false">INDEX(Risk_Matrix!$B$2:$D$4,MATCH(E201,Risk_Matrix!$A$2:$A$4,0),MATCH(F201,Risk_Matrix!$B$1:$D$1,0))</f>
        <v>High</v>
      </c>
      <c r="H201" s="12" t="n">
        <v>46065</v>
      </c>
      <c r="I201" s="5" t="s">
        <v>2256</v>
      </c>
      <c r="J201" s="5" t="s">
        <v>2257</v>
      </c>
      <c r="K201" s="5" t="s">
        <v>2243</v>
      </c>
      <c r="L201" s="5" t="n">
        <f aca="false">IF(G201="High",3,IF(G201="Medium",2,1))</f>
        <v>3</v>
      </c>
    </row>
    <row r="202" customFormat="false" ht="15" hidden="false" customHeight="true" outlineLevel="0" collapsed="false">
      <c r="A202" s="5" t="s">
        <v>2478</v>
      </c>
      <c r="B202" s="5" t="s">
        <v>1064</v>
      </c>
      <c r="C202" s="5" t="s">
        <v>2248</v>
      </c>
      <c r="D202" s="5" t="s">
        <v>2271</v>
      </c>
      <c r="E202" s="5" t="s">
        <v>59</v>
      </c>
      <c r="F202" s="5" t="s">
        <v>59</v>
      </c>
      <c r="G202" s="5" t="str">
        <f aca="false">INDEX(Risk_Matrix!$B$2:$D$4,MATCH(E202,Risk_Matrix!$A$2:$A$4,0),MATCH(F202,Risk_Matrix!$B$1:$D$1,0))</f>
        <v>Low</v>
      </c>
      <c r="H202" s="12" t="n">
        <v>46180</v>
      </c>
      <c r="I202" s="5" t="s">
        <v>2250</v>
      </c>
      <c r="J202" s="5" t="s">
        <v>2251</v>
      </c>
      <c r="K202" s="5" t="s">
        <v>2243</v>
      </c>
      <c r="L202" s="5" t="n">
        <f aca="false">IF(G202="High",3,IF(G202="Medium",2,1))</f>
        <v>1</v>
      </c>
    </row>
    <row r="203" customFormat="false" ht="15" hidden="false" customHeight="true" outlineLevel="0" collapsed="false">
      <c r="A203" s="5" t="s">
        <v>2479</v>
      </c>
      <c r="B203" s="5" t="s">
        <v>1064</v>
      </c>
      <c r="C203" s="5" t="s">
        <v>2254</v>
      </c>
      <c r="D203" s="5" t="s">
        <v>2308</v>
      </c>
      <c r="E203" s="5" t="s">
        <v>59</v>
      </c>
      <c r="F203" s="5" t="s">
        <v>2225</v>
      </c>
      <c r="G203" s="5" t="str">
        <f aca="false">INDEX(Risk_Matrix!$B$2:$D$4,MATCH(E203,Risk_Matrix!$A$2:$A$4,0),MATCH(F203,Risk_Matrix!$B$1:$D$1,0))</f>
        <v>Low</v>
      </c>
      <c r="H203" s="12" t="n">
        <v>46060</v>
      </c>
      <c r="I203" s="5" t="s">
        <v>2264</v>
      </c>
      <c r="J203" s="5" t="s">
        <v>2265</v>
      </c>
      <c r="K203" s="5" t="s">
        <v>2283</v>
      </c>
      <c r="L203" s="5" t="n">
        <f aca="false">IF(G203="High",3,IF(G203="Medium",2,1))</f>
        <v>1</v>
      </c>
    </row>
    <row r="204" customFormat="false" ht="15" hidden="false" customHeight="true" outlineLevel="0" collapsed="false">
      <c r="A204" s="5" t="s">
        <v>2480</v>
      </c>
      <c r="B204" s="5" t="s">
        <v>1064</v>
      </c>
      <c r="C204" s="5" t="s">
        <v>2259</v>
      </c>
      <c r="D204" s="5" t="s">
        <v>2260</v>
      </c>
      <c r="E204" s="5" t="s">
        <v>59</v>
      </c>
      <c r="F204" s="5" t="s">
        <v>59</v>
      </c>
      <c r="G204" s="5" t="str">
        <f aca="false">INDEX(Risk_Matrix!$B$2:$D$4,MATCH(E204,Risk_Matrix!$A$2:$A$4,0),MATCH(F204,Risk_Matrix!$B$1:$D$1,0))</f>
        <v>Low</v>
      </c>
      <c r="H204" s="12" t="n">
        <v>46217</v>
      </c>
      <c r="I204" s="5" t="s">
        <v>2264</v>
      </c>
      <c r="J204" s="5" t="s">
        <v>2265</v>
      </c>
      <c r="K204" s="5" t="s">
        <v>2252</v>
      </c>
      <c r="L204" s="5" t="n">
        <f aca="false">IF(G204="High",3,IF(G204="Medium",2,1))</f>
        <v>1</v>
      </c>
    </row>
    <row r="205" customFormat="false" ht="15" hidden="false" customHeight="true" outlineLevel="0" collapsed="false">
      <c r="A205" s="5" t="s">
        <v>2481</v>
      </c>
      <c r="B205" s="5" t="s">
        <v>1064</v>
      </c>
      <c r="C205" s="5" t="s">
        <v>2262</v>
      </c>
      <c r="D205" s="5" t="s">
        <v>2263</v>
      </c>
      <c r="E205" s="5" t="s">
        <v>54</v>
      </c>
      <c r="F205" s="5" t="s">
        <v>59</v>
      </c>
      <c r="G205" s="5" t="str">
        <f aca="false">INDEX(Risk_Matrix!$B$2:$D$4,MATCH(E205,Risk_Matrix!$A$2:$A$4,0),MATCH(F205,Risk_Matrix!$B$1:$D$1,0))</f>
        <v>Medium</v>
      </c>
      <c r="H205" s="12" t="n">
        <v>46237</v>
      </c>
      <c r="I205" s="5" t="s">
        <v>2256</v>
      </c>
      <c r="J205" s="5" t="s">
        <v>2257</v>
      </c>
      <c r="K205" s="5" t="s">
        <v>2283</v>
      </c>
      <c r="L205" s="5" t="n">
        <f aca="false">IF(G205="High",3,IF(G205="Medium",2,1))</f>
        <v>2</v>
      </c>
    </row>
    <row r="206" customFormat="false" ht="15" hidden="false" customHeight="true" outlineLevel="0" collapsed="false">
      <c r="A206" s="5" t="s">
        <v>2482</v>
      </c>
      <c r="B206" s="5" t="s">
        <v>1067</v>
      </c>
      <c r="C206" s="5" t="s">
        <v>2239</v>
      </c>
      <c r="D206" s="5" t="s">
        <v>2240</v>
      </c>
      <c r="E206" s="5" t="s">
        <v>2225</v>
      </c>
      <c r="F206" s="5" t="s">
        <v>59</v>
      </c>
      <c r="G206" s="5" t="str">
        <f aca="false">INDEX(Risk_Matrix!$B$2:$D$4,MATCH(E206,Risk_Matrix!$A$2:$A$4,0),MATCH(F206,Risk_Matrix!$B$1:$D$1,0))</f>
        <v>Low</v>
      </c>
      <c r="H206" s="12" t="n">
        <v>46158</v>
      </c>
      <c r="I206" s="5" t="s">
        <v>2256</v>
      </c>
      <c r="J206" s="5" t="s">
        <v>2257</v>
      </c>
      <c r="K206" s="5" t="s">
        <v>2243</v>
      </c>
      <c r="L206" s="5" t="n">
        <f aca="false">IF(G206="High",3,IF(G206="Medium",2,1))</f>
        <v>1</v>
      </c>
    </row>
    <row r="207" customFormat="false" ht="15" hidden="false" customHeight="true" outlineLevel="0" collapsed="false">
      <c r="A207" s="5" t="s">
        <v>2483</v>
      </c>
      <c r="B207" s="5" t="s">
        <v>1067</v>
      </c>
      <c r="C207" s="5" t="s">
        <v>2245</v>
      </c>
      <c r="D207" s="5" t="s">
        <v>2269</v>
      </c>
      <c r="E207" s="5" t="s">
        <v>59</v>
      </c>
      <c r="F207" s="5" t="s">
        <v>59</v>
      </c>
      <c r="G207" s="5" t="str">
        <f aca="false">INDEX(Risk_Matrix!$B$2:$D$4,MATCH(E207,Risk_Matrix!$A$2:$A$4,0),MATCH(F207,Risk_Matrix!$B$1:$D$1,0))</f>
        <v>Low</v>
      </c>
      <c r="H207" s="12" t="n">
        <v>46172</v>
      </c>
      <c r="I207" s="5" t="s">
        <v>2250</v>
      </c>
      <c r="J207" s="5" t="s">
        <v>2251</v>
      </c>
      <c r="K207" s="5" t="s">
        <v>2283</v>
      </c>
      <c r="L207" s="5" t="n">
        <f aca="false">IF(G207="High",3,IF(G207="Medium",2,1))</f>
        <v>1</v>
      </c>
    </row>
    <row r="208" customFormat="false" ht="15" hidden="false" customHeight="true" outlineLevel="0" collapsed="false">
      <c r="A208" s="5" t="s">
        <v>2484</v>
      </c>
      <c r="B208" s="5" t="s">
        <v>1067</v>
      </c>
      <c r="C208" s="5" t="s">
        <v>2248</v>
      </c>
      <c r="D208" s="5" t="s">
        <v>2271</v>
      </c>
      <c r="E208" s="5" t="s">
        <v>2225</v>
      </c>
      <c r="F208" s="5" t="s">
        <v>2225</v>
      </c>
      <c r="G208" s="5" t="str">
        <f aca="false">INDEX(Risk_Matrix!$B$2:$D$4,MATCH(E208,Risk_Matrix!$A$2:$A$4,0),MATCH(F208,Risk_Matrix!$B$1:$D$1,0))</f>
        <v>Medium</v>
      </c>
      <c r="H208" s="12" t="n">
        <v>46137</v>
      </c>
      <c r="I208" s="5" t="s">
        <v>2241</v>
      </c>
      <c r="J208" s="5" t="s">
        <v>2242</v>
      </c>
      <c r="K208" s="5" t="s">
        <v>2266</v>
      </c>
      <c r="L208" s="5" t="n">
        <f aca="false">IF(G208="High",3,IF(G208="Medium",2,1))</f>
        <v>2</v>
      </c>
    </row>
    <row r="209" customFormat="false" ht="15" hidden="false" customHeight="true" outlineLevel="0" collapsed="false">
      <c r="A209" s="5" t="s">
        <v>2485</v>
      </c>
      <c r="B209" s="5" t="s">
        <v>1067</v>
      </c>
      <c r="C209" s="5" t="s">
        <v>2254</v>
      </c>
      <c r="D209" s="5" t="s">
        <v>2308</v>
      </c>
      <c r="E209" s="5" t="s">
        <v>2225</v>
      </c>
      <c r="F209" s="5" t="s">
        <v>2225</v>
      </c>
      <c r="G209" s="5" t="str">
        <f aca="false">INDEX(Risk_Matrix!$B$2:$D$4,MATCH(E209,Risk_Matrix!$A$2:$A$4,0),MATCH(F209,Risk_Matrix!$B$1:$D$1,0))</f>
        <v>Medium</v>
      </c>
      <c r="H209" s="12" t="n">
        <v>46095</v>
      </c>
      <c r="I209" s="5" t="s">
        <v>2256</v>
      </c>
      <c r="J209" s="5" t="s">
        <v>2257</v>
      </c>
      <c r="K209" s="5" t="s">
        <v>2283</v>
      </c>
      <c r="L209" s="5" t="n">
        <f aca="false">IF(G209="High",3,IF(G209="Medium",2,1))</f>
        <v>2</v>
      </c>
    </row>
    <row r="210" customFormat="false" ht="15" hidden="false" customHeight="true" outlineLevel="0" collapsed="false">
      <c r="A210" s="5" t="s">
        <v>2486</v>
      </c>
      <c r="B210" s="5" t="s">
        <v>1067</v>
      </c>
      <c r="C210" s="5" t="s">
        <v>2259</v>
      </c>
      <c r="D210" s="5" t="s">
        <v>2274</v>
      </c>
      <c r="E210" s="5" t="s">
        <v>59</v>
      </c>
      <c r="F210" s="5" t="s">
        <v>59</v>
      </c>
      <c r="G210" s="5" t="str">
        <f aca="false">INDEX(Risk_Matrix!$B$2:$D$4,MATCH(E210,Risk_Matrix!$A$2:$A$4,0),MATCH(F210,Risk_Matrix!$B$1:$D$1,0))</f>
        <v>Low</v>
      </c>
      <c r="H210" s="12" t="n">
        <v>46137</v>
      </c>
      <c r="I210" s="5" t="s">
        <v>2256</v>
      </c>
      <c r="J210" s="5" t="s">
        <v>2257</v>
      </c>
      <c r="K210" s="5" t="s">
        <v>2266</v>
      </c>
      <c r="L210" s="5" t="n">
        <f aca="false">IF(G210="High",3,IF(G210="Medium",2,1))</f>
        <v>1</v>
      </c>
    </row>
    <row r="211" customFormat="false" ht="15" hidden="false" customHeight="true" outlineLevel="0" collapsed="false">
      <c r="A211" s="5" t="s">
        <v>2487</v>
      </c>
      <c r="B211" s="5" t="s">
        <v>1067</v>
      </c>
      <c r="C211" s="5" t="s">
        <v>2262</v>
      </c>
      <c r="D211" s="5" t="s">
        <v>2263</v>
      </c>
      <c r="E211" s="5" t="s">
        <v>59</v>
      </c>
      <c r="F211" s="5" t="s">
        <v>59</v>
      </c>
      <c r="G211" s="5" t="str">
        <f aca="false">INDEX(Risk_Matrix!$B$2:$D$4,MATCH(E211,Risk_Matrix!$A$2:$A$4,0),MATCH(F211,Risk_Matrix!$B$1:$D$1,0))</f>
        <v>Low</v>
      </c>
      <c r="H211" s="12" t="n">
        <v>46197</v>
      </c>
      <c r="I211" s="5" t="s">
        <v>2264</v>
      </c>
      <c r="J211" s="5" t="s">
        <v>2265</v>
      </c>
      <c r="K211" s="5" t="s">
        <v>2276</v>
      </c>
      <c r="L211" s="5" t="n">
        <f aca="false">IF(G211="High",3,IF(G211="Medium",2,1))</f>
        <v>1</v>
      </c>
    </row>
    <row r="212" customFormat="false" ht="15" hidden="false" customHeight="true" outlineLevel="0" collapsed="false">
      <c r="A212" s="5" t="s">
        <v>2488</v>
      </c>
      <c r="B212" s="5" t="s">
        <v>1070</v>
      </c>
      <c r="C212" s="5" t="s">
        <v>2239</v>
      </c>
      <c r="D212" s="5" t="s">
        <v>2303</v>
      </c>
      <c r="E212" s="5" t="s">
        <v>2225</v>
      </c>
      <c r="F212" s="5" t="s">
        <v>2225</v>
      </c>
      <c r="G212" s="5" t="str">
        <f aca="false">INDEX(Risk_Matrix!$B$2:$D$4,MATCH(E212,Risk_Matrix!$A$2:$A$4,0),MATCH(F212,Risk_Matrix!$B$1:$D$1,0))</f>
        <v>Medium</v>
      </c>
      <c r="H212" s="12" t="n">
        <v>46081</v>
      </c>
      <c r="I212" s="5" t="s">
        <v>2264</v>
      </c>
      <c r="J212" s="5" t="s">
        <v>2265</v>
      </c>
      <c r="K212" s="5" t="s">
        <v>2276</v>
      </c>
      <c r="L212" s="5" t="n">
        <f aca="false">IF(G212="High",3,IF(G212="Medium",2,1))</f>
        <v>2</v>
      </c>
    </row>
    <row r="213" customFormat="false" ht="15" hidden="false" customHeight="true" outlineLevel="0" collapsed="false">
      <c r="A213" s="5" t="s">
        <v>2489</v>
      </c>
      <c r="B213" s="5" t="s">
        <v>1070</v>
      </c>
      <c r="C213" s="5" t="s">
        <v>2245</v>
      </c>
      <c r="D213" s="5" t="s">
        <v>2320</v>
      </c>
      <c r="E213" s="5" t="s">
        <v>59</v>
      </c>
      <c r="F213" s="5" t="s">
        <v>2225</v>
      </c>
      <c r="G213" s="5" t="str">
        <f aca="false">INDEX(Risk_Matrix!$B$2:$D$4,MATCH(E213,Risk_Matrix!$A$2:$A$4,0),MATCH(F213,Risk_Matrix!$B$1:$D$1,0))</f>
        <v>Low</v>
      </c>
      <c r="H213" s="12" t="n">
        <v>46201</v>
      </c>
      <c r="I213" s="5" t="s">
        <v>2264</v>
      </c>
      <c r="J213" s="5" t="s">
        <v>2265</v>
      </c>
      <c r="K213" s="5" t="s">
        <v>2243</v>
      </c>
      <c r="L213" s="5" t="n">
        <f aca="false">IF(G213="High",3,IF(G213="Medium",2,1))</f>
        <v>1</v>
      </c>
    </row>
    <row r="214" customFormat="false" ht="15" hidden="false" customHeight="true" outlineLevel="0" collapsed="false">
      <c r="A214" s="5" t="s">
        <v>2490</v>
      </c>
      <c r="B214" s="5" t="s">
        <v>1070</v>
      </c>
      <c r="C214" s="5" t="s">
        <v>2248</v>
      </c>
      <c r="D214" s="5" t="s">
        <v>2271</v>
      </c>
      <c r="E214" s="5" t="s">
        <v>59</v>
      </c>
      <c r="F214" s="5" t="s">
        <v>59</v>
      </c>
      <c r="G214" s="5" t="str">
        <f aca="false">INDEX(Risk_Matrix!$B$2:$D$4,MATCH(E214,Risk_Matrix!$A$2:$A$4,0),MATCH(F214,Risk_Matrix!$B$1:$D$1,0))</f>
        <v>Low</v>
      </c>
      <c r="H214" s="12" t="n">
        <v>46083</v>
      </c>
      <c r="I214" s="5" t="s">
        <v>2256</v>
      </c>
      <c r="J214" s="5" t="s">
        <v>2257</v>
      </c>
      <c r="K214" s="5" t="s">
        <v>2276</v>
      </c>
      <c r="L214" s="5" t="n">
        <f aca="false">IF(G214="High",3,IF(G214="Medium",2,1))</f>
        <v>1</v>
      </c>
    </row>
    <row r="215" customFormat="false" ht="15" hidden="false" customHeight="true" outlineLevel="0" collapsed="false">
      <c r="A215" s="5" t="s">
        <v>2491</v>
      </c>
      <c r="B215" s="5" t="s">
        <v>1070</v>
      </c>
      <c r="C215" s="5" t="s">
        <v>2254</v>
      </c>
      <c r="D215" s="5" t="s">
        <v>2299</v>
      </c>
      <c r="E215" s="5" t="s">
        <v>59</v>
      </c>
      <c r="F215" s="5" t="s">
        <v>54</v>
      </c>
      <c r="G215" s="5" t="str">
        <f aca="false">INDEX(Risk_Matrix!$B$2:$D$4,MATCH(E215,Risk_Matrix!$A$2:$A$4,0),MATCH(F215,Risk_Matrix!$B$1:$D$1,0))</f>
        <v>Medium</v>
      </c>
      <c r="H215" s="12" t="n">
        <v>46105</v>
      </c>
      <c r="I215" s="5" t="s">
        <v>2250</v>
      </c>
      <c r="J215" s="5" t="s">
        <v>2251</v>
      </c>
      <c r="K215" s="5" t="s">
        <v>2252</v>
      </c>
      <c r="L215" s="5" t="n">
        <f aca="false">IF(G215="High",3,IF(G215="Medium",2,1))</f>
        <v>2</v>
      </c>
    </row>
    <row r="216" customFormat="false" ht="15" hidden="false" customHeight="true" outlineLevel="0" collapsed="false">
      <c r="A216" s="5" t="s">
        <v>2492</v>
      </c>
      <c r="B216" s="5" t="s">
        <v>1070</v>
      </c>
      <c r="C216" s="5" t="s">
        <v>2259</v>
      </c>
      <c r="D216" s="5" t="s">
        <v>2285</v>
      </c>
      <c r="E216" s="5" t="s">
        <v>54</v>
      </c>
      <c r="F216" s="5" t="s">
        <v>59</v>
      </c>
      <c r="G216" s="5" t="str">
        <f aca="false">INDEX(Risk_Matrix!$B$2:$D$4,MATCH(E216,Risk_Matrix!$A$2:$A$4,0),MATCH(F216,Risk_Matrix!$B$1:$D$1,0))</f>
        <v>Medium</v>
      </c>
      <c r="H216" s="12" t="n">
        <v>46194</v>
      </c>
      <c r="I216" s="5" t="s">
        <v>2264</v>
      </c>
      <c r="J216" s="5" t="s">
        <v>2265</v>
      </c>
      <c r="K216" s="5" t="s">
        <v>2243</v>
      </c>
      <c r="L216" s="5" t="n">
        <f aca="false">IF(G216="High",3,IF(G216="Medium",2,1))</f>
        <v>2</v>
      </c>
    </row>
    <row r="217" customFormat="false" ht="15" hidden="false" customHeight="true" outlineLevel="0" collapsed="false">
      <c r="A217" s="5" t="s">
        <v>2493</v>
      </c>
      <c r="B217" s="5" t="s">
        <v>1070</v>
      </c>
      <c r="C217" s="5" t="s">
        <v>2262</v>
      </c>
      <c r="D217" s="5" t="s">
        <v>2311</v>
      </c>
      <c r="E217" s="5" t="s">
        <v>59</v>
      </c>
      <c r="F217" s="5" t="s">
        <v>54</v>
      </c>
      <c r="G217" s="5" t="str">
        <f aca="false">INDEX(Risk_Matrix!$B$2:$D$4,MATCH(E217,Risk_Matrix!$A$2:$A$4,0),MATCH(F217,Risk_Matrix!$B$1:$D$1,0))</f>
        <v>Medium</v>
      </c>
      <c r="H217" s="12" t="n">
        <v>46106</v>
      </c>
      <c r="I217" s="5" t="s">
        <v>2264</v>
      </c>
      <c r="J217" s="5" t="s">
        <v>2265</v>
      </c>
      <c r="K217" s="5" t="s">
        <v>2252</v>
      </c>
      <c r="L217" s="5" t="n">
        <f aca="false">IF(G217="High",3,IF(G217="Medium",2,1))</f>
        <v>2</v>
      </c>
    </row>
    <row r="218" customFormat="false" ht="15" hidden="false" customHeight="true" outlineLevel="0" collapsed="false">
      <c r="A218" s="5" t="s">
        <v>2494</v>
      </c>
      <c r="B218" s="5" t="s">
        <v>1072</v>
      </c>
      <c r="C218" s="5" t="s">
        <v>2239</v>
      </c>
      <c r="D218" s="5" t="s">
        <v>2303</v>
      </c>
      <c r="E218" s="5" t="s">
        <v>59</v>
      </c>
      <c r="F218" s="5" t="s">
        <v>2225</v>
      </c>
      <c r="G218" s="5" t="str">
        <f aca="false">INDEX(Risk_Matrix!$B$2:$D$4,MATCH(E218,Risk_Matrix!$A$2:$A$4,0),MATCH(F218,Risk_Matrix!$B$1:$D$1,0))</f>
        <v>Low</v>
      </c>
      <c r="H218" s="12" t="n">
        <v>46179</v>
      </c>
      <c r="I218" s="5" t="s">
        <v>2250</v>
      </c>
      <c r="J218" s="5" t="s">
        <v>2251</v>
      </c>
      <c r="K218" s="5" t="s">
        <v>2283</v>
      </c>
      <c r="L218" s="5" t="n">
        <f aca="false">IF(G218="High",3,IF(G218="Medium",2,1))</f>
        <v>1</v>
      </c>
    </row>
    <row r="219" customFormat="false" ht="15" hidden="false" customHeight="true" outlineLevel="0" collapsed="false">
      <c r="A219" s="5" t="s">
        <v>2495</v>
      </c>
      <c r="B219" s="5" t="s">
        <v>1072</v>
      </c>
      <c r="C219" s="5" t="s">
        <v>2245</v>
      </c>
      <c r="D219" s="5" t="s">
        <v>2320</v>
      </c>
      <c r="E219" s="5" t="s">
        <v>2225</v>
      </c>
      <c r="F219" s="5" t="s">
        <v>59</v>
      </c>
      <c r="G219" s="5" t="str">
        <f aca="false">INDEX(Risk_Matrix!$B$2:$D$4,MATCH(E219,Risk_Matrix!$A$2:$A$4,0),MATCH(F219,Risk_Matrix!$B$1:$D$1,0))</f>
        <v>Low</v>
      </c>
      <c r="H219" s="12" t="n">
        <v>46198</v>
      </c>
      <c r="I219" s="5" t="s">
        <v>2250</v>
      </c>
      <c r="J219" s="5" t="s">
        <v>2251</v>
      </c>
      <c r="K219" s="5" t="s">
        <v>2276</v>
      </c>
      <c r="L219" s="5" t="n">
        <f aca="false">IF(G219="High",3,IF(G219="Medium",2,1))</f>
        <v>1</v>
      </c>
    </row>
    <row r="220" customFormat="false" ht="15" hidden="false" customHeight="true" outlineLevel="0" collapsed="false">
      <c r="A220" s="5" t="s">
        <v>2496</v>
      </c>
      <c r="B220" s="5" t="s">
        <v>1072</v>
      </c>
      <c r="C220" s="5" t="s">
        <v>2248</v>
      </c>
      <c r="D220" s="5" t="s">
        <v>2249</v>
      </c>
      <c r="E220" s="5" t="s">
        <v>2225</v>
      </c>
      <c r="F220" s="5" t="s">
        <v>59</v>
      </c>
      <c r="G220" s="5" t="str">
        <f aca="false">INDEX(Risk_Matrix!$B$2:$D$4,MATCH(E220,Risk_Matrix!$A$2:$A$4,0),MATCH(F220,Risk_Matrix!$B$1:$D$1,0))</f>
        <v>Low</v>
      </c>
      <c r="H220" s="12" t="n">
        <v>46088</v>
      </c>
      <c r="I220" s="5" t="s">
        <v>2256</v>
      </c>
      <c r="J220" s="5" t="s">
        <v>2257</v>
      </c>
      <c r="K220" s="5" t="s">
        <v>2266</v>
      </c>
      <c r="L220" s="5" t="n">
        <f aca="false">IF(G220="High",3,IF(G220="Medium",2,1))</f>
        <v>1</v>
      </c>
    </row>
    <row r="221" customFormat="false" ht="15" hidden="false" customHeight="true" outlineLevel="0" collapsed="false">
      <c r="A221" s="5" t="s">
        <v>2497</v>
      </c>
      <c r="B221" s="5" t="s">
        <v>1072</v>
      </c>
      <c r="C221" s="5" t="s">
        <v>2254</v>
      </c>
      <c r="D221" s="5" t="s">
        <v>2299</v>
      </c>
      <c r="E221" s="5" t="s">
        <v>59</v>
      </c>
      <c r="F221" s="5" t="s">
        <v>2225</v>
      </c>
      <c r="G221" s="5" t="str">
        <f aca="false">INDEX(Risk_Matrix!$B$2:$D$4,MATCH(E221,Risk_Matrix!$A$2:$A$4,0),MATCH(F221,Risk_Matrix!$B$1:$D$1,0))</f>
        <v>Low</v>
      </c>
      <c r="H221" s="12" t="n">
        <v>46098</v>
      </c>
      <c r="I221" s="5" t="s">
        <v>2264</v>
      </c>
      <c r="J221" s="5" t="s">
        <v>2265</v>
      </c>
      <c r="K221" s="5" t="s">
        <v>2252</v>
      </c>
      <c r="L221" s="5" t="n">
        <f aca="false">IF(G221="High",3,IF(G221="Medium",2,1))</f>
        <v>1</v>
      </c>
    </row>
    <row r="222" customFormat="false" ht="15" hidden="false" customHeight="true" outlineLevel="0" collapsed="false">
      <c r="A222" s="5" t="s">
        <v>2498</v>
      </c>
      <c r="B222" s="5" t="s">
        <v>1072</v>
      </c>
      <c r="C222" s="5" t="s">
        <v>2259</v>
      </c>
      <c r="D222" s="5" t="s">
        <v>2285</v>
      </c>
      <c r="E222" s="5" t="s">
        <v>2225</v>
      </c>
      <c r="F222" s="5" t="s">
        <v>54</v>
      </c>
      <c r="G222" s="5" t="str">
        <f aca="false">INDEX(Risk_Matrix!$B$2:$D$4,MATCH(E222,Risk_Matrix!$A$2:$A$4,0),MATCH(F222,Risk_Matrix!$B$1:$D$1,0))</f>
        <v>High</v>
      </c>
      <c r="H222" s="12" t="n">
        <v>46168</v>
      </c>
      <c r="I222" s="5" t="s">
        <v>2256</v>
      </c>
      <c r="J222" s="5" t="s">
        <v>2257</v>
      </c>
      <c r="K222" s="5" t="s">
        <v>2266</v>
      </c>
      <c r="L222" s="5" t="n">
        <f aca="false">IF(G222="High",3,IF(G222="Medium",2,1))</f>
        <v>3</v>
      </c>
    </row>
    <row r="223" customFormat="false" ht="15" hidden="false" customHeight="true" outlineLevel="0" collapsed="false">
      <c r="A223" s="5" t="s">
        <v>2499</v>
      </c>
      <c r="B223" s="5" t="s">
        <v>1072</v>
      </c>
      <c r="C223" s="5" t="s">
        <v>2262</v>
      </c>
      <c r="D223" s="5" t="s">
        <v>2263</v>
      </c>
      <c r="E223" s="5" t="s">
        <v>54</v>
      </c>
      <c r="F223" s="5" t="s">
        <v>59</v>
      </c>
      <c r="G223" s="5" t="str">
        <f aca="false">INDEX(Risk_Matrix!$B$2:$D$4,MATCH(E223,Risk_Matrix!$A$2:$A$4,0),MATCH(F223,Risk_Matrix!$B$1:$D$1,0))</f>
        <v>Medium</v>
      </c>
      <c r="H223" s="12" t="n">
        <v>46237</v>
      </c>
      <c r="I223" s="5" t="s">
        <v>2250</v>
      </c>
      <c r="J223" s="5" t="s">
        <v>2251</v>
      </c>
      <c r="K223" s="5" t="s">
        <v>2252</v>
      </c>
      <c r="L223" s="5" t="n">
        <f aca="false">IF(G223="High",3,IF(G223="Medium",2,1))</f>
        <v>2</v>
      </c>
    </row>
    <row r="224" customFormat="false" ht="15" hidden="false" customHeight="true" outlineLevel="0" collapsed="false">
      <c r="A224" s="5" t="s">
        <v>2500</v>
      </c>
      <c r="B224" s="5" t="s">
        <v>1074</v>
      </c>
      <c r="C224" s="5" t="s">
        <v>2239</v>
      </c>
      <c r="D224" s="5" t="s">
        <v>2303</v>
      </c>
      <c r="E224" s="5" t="s">
        <v>59</v>
      </c>
      <c r="F224" s="5" t="s">
        <v>59</v>
      </c>
      <c r="G224" s="5" t="str">
        <f aca="false">INDEX(Risk_Matrix!$B$2:$D$4,MATCH(E224,Risk_Matrix!$A$2:$A$4,0),MATCH(F224,Risk_Matrix!$B$1:$D$1,0))</f>
        <v>Low</v>
      </c>
      <c r="H224" s="12" t="n">
        <v>46163</v>
      </c>
      <c r="I224" s="5" t="s">
        <v>2256</v>
      </c>
      <c r="J224" s="5" t="s">
        <v>2257</v>
      </c>
      <c r="K224" s="5" t="s">
        <v>2252</v>
      </c>
      <c r="L224" s="5" t="n">
        <f aca="false">IF(G224="High",3,IF(G224="Medium",2,1))</f>
        <v>1</v>
      </c>
    </row>
    <row r="225" customFormat="false" ht="15" hidden="false" customHeight="true" outlineLevel="0" collapsed="false">
      <c r="A225" s="5" t="s">
        <v>2501</v>
      </c>
      <c r="B225" s="5" t="s">
        <v>1074</v>
      </c>
      <c r="C225" s="5" t="s">
        <v>2245</v>
      </c>
      <c r="D225" s="5" t="s">
        <v>2246</v>
      </c>
      <c r="E225" s="5" t="s">
        <v>2225</v>
      </c>
      <c r="F225" s="5" t="s">
        <v>54</v>
      </c>
      <c r="G225" s="5" t="str">
        <f aca="false">INDEX(Risk_Matrix!$B$2:$D$4,MATCH(E225,Risk_Matrix!$A$2:$A$4,0),MATCH(F225,Risk_Matrix!$B$1:$D$1,0))</f>
        <v>High</v>
      </c>
      <c r="H225" s="12" t="n">
        <v>46091</v>
      </c>
      <c r="I225" s="5" t="s">
        <v>2264</v>
      </c>
      <c r="J225" s="5" t="s">
        <v>2265</v>
      </c>
      <c r="K225" s="5" t="s">
        <v>2252</v>
      </c>
      <c r="L225" s="5" t="n">
        <f aca="false">IF(G225="High",3,IF(G225="Medium",2,1))</f>
        <v>3</v>
      </c>
    </row>
    <row r="226" customFormat="false" ht="15" hidden="false" customHeight="true" outlineLevel="0" collapsed="false">
      <c r="A226" s="5" t="s">
        <v>2502</v>
      </c>
      <c r="B226" s="5" t="s">
        <v>1074</v>
      </c>
      <c r="C226" s="5" t="s">
        <v>2248</v>
      </c>
      <c r="D226" s="5" t="s">
        <v>2271</v>
      </c>
      <c r="E226" s="5" t="s">
        <v>54</v>
      </c>
      <c r="F226" s="5" t="s">
        <v>2225</v>
      </c>
      <c r="G226" s="5" t="str">
        <f aca="false">INDEX(Risk_Matrix!$B$2:$D$4,MATCH(E226,Risk_Matrix!$A$2:$A$4,0),MATCH(F226,Risk_Matrix!$B$1:$D$1,0))</f>
        <v>High</v>
      </c>
      <c r="H226" s="12" t="n">
        <v>46152</v>
      </c>
      <c r="I226" s="5" t="s">
        <v>2264</v>
      </c>
      <c r="J226" s="5" t="s">
        <v>2265</v>
      </c>
      <c r="K226" s="5" t="s">
        <v>2243</v>
      </c>
      <c r="L226" s="5" t="n">
        <f aca="false">IF(G226="High",3,IF(G226="Medium",2,1))</f>
        <v>3</v>
      </c>
    </row>
    <row r="227" customFormat="false" ht="15" hidden="false" customHeight="true" outlineLevel="0" collapsed="false">
      <c r="A227" s="5" t="s">
        <v>2503</v>
      </c>
      <c r="B227" s="5" t="s">
        <v>1074</v>
      </c>
      <c r="C227" s="5" t="s">
        <v>2254</v>
      </c>
      <c r="D227" s="5" t="s">
        <v>2299</v>
      </c>
      <c r="E227" s="5" t="s">
        <v>59</v>
      </c>
      <c r="F227" s="5" t="s">
        <v>2225</v>
      </c>
      <c r="G227" s="5" t="str">
        <f aca="false">INDEX(Risk_Matrix!$B$2:$D$4,MATCH(E227,Risk_Matrix!$A$2:$A$4,0),MATCH(F227,Risk_Matrix!$B$1:$D$1,0))</f>
        <v>Low</v>
      </c>
      <c r="H227" s="12" t="n">
        <v>46209</v>
      </c>
      <c r="I227" s="5" t="s">
        <v>2256</v>
      </c>
      <c r="J227" s="5" t="s">
        <v>2257</v>
      </c>
      <c r="K227" s="5" t="s">
        <v>2252</v>
      </c>
      <c r="L227" s="5" t="n">
        <f aca="false">IF(G227="High",3,IF(G227="Medium",2,1))</f>
        <v>1</v>
      </c>
    </row>
    <row r="228" customFormat="false" ht="15" hidden="false" customHeight="true" outlineLevel="0" collapsed="false">
      <c r="A228" s="5" t="s">
        <v>2504</v>
      </c>
      <c r="B228" s="5" t="s">
        <v>1074</v>
      </c>
      <c r="C228" s="5" t="s">
        <v>2259</v>
      </c>
      <c r="D228" s="5" t="s">
        <v>2260</v>
      </c>
      <c r="E228" s="5" t="s">
        <v>59</v>
      </c>
      <c r="F228" s="5" t="s">
        <v>2225</v>
      </c>
      <c r="G228" s="5" t="str">
        <f aca="false">INDEX(Risk_Matrix!$B$2:$D$4,MATCH(E228,Risk_Matrix!$A$2:$A$4,0),MATCH(F228,Risk_Matrix!$B$1:$D$1,0))</f>
        <v>Low</v>
      </c>
      <c r="H228" s="12" t="n">
        <v>46059</v>
      </c>
      <c r="I228" s="5" t="s">
        <v>2256</v>
      </c>
      <c r="J228" s="5" t="s">
        <v>2257</v>
      </c>
      <c r="K228" s="5" t="s">
        <v>2266</v>
      </c>
      <c r="L228" s="5" t="n">
        <f aca="false">IF(G228="High",3,IF(G228="Medium",2,1))</f>
        <v>1</v>
      </c>
    </row>
    <row r="229" customFormat="false" ht="15" hidden="false" customHeight="true" outlineLevel="0" collapsed="false">
      <c r="A229" s="5" t="s">
        <v>2505</v>
      </c>
      <c r="B229" s="5" t="s">
        <v>1074</v>
      </c>
      <c r="C229" s="5" t="s">
        <v>2262</v>
      </c>
      <c r="D229" s="5" t="s">
        <v>2311</v>
      </c>
      <c r="E229" s="5" t="s">
        <v>59</v>
      </c>
      <c r="F229" s="5" t="s">
        <v>59</v>
      </c>
      <c r="G229" s="5" t="str">
        <f aca="false">INDEX(Risk_Matrix!$B$2:$D$4,MATCH(E229,Risk_Matrix!$A$2:$A$4,0),MATCH(F229,Risk_Matrix!$B$1:$D$1,0))</f>
        <v>Low</v>
      </c>
      <c r="H229" s="12" t="n">
        <v>46059</v>
      </c>
      <c r="I229" s="5" t="s">
        <v>2250</v>
      </c>
      <c r="J229" s="5" t="s">
        <v>2251</v>
      </c>
      <c r="K229" s="5" t="s">
        <v>2252</v>
      </c>
      <c r="L229" s="5" t="n">
        <f aca="false">IF(G229="High",3,IF(G229="Medium",2,1))</f>
        <v>1</v>
      </c>
    </row>
    <row r="230" customFormat="false" ht="15" hidden="false" customHeight="true" outlineLevel="0" collapsed="false">
      <c r="A230" s="5" t="s">
        <v>2506</v>
      </c>
      <c r="B230" s="5" t="s">
        <v>1076</v>
      </c>
      <c r="C230" s="5" t="s">
        <v>2239</v>
      </c>
      <c r="D230" s="5" t="s">
        <v>2303</v>
      </c>
      <c r="E230" s="5" t="s">
        <v>59</v>
      </c>
      <c r="F230" s="5" t="s">
        <v>59</v>
      </c>
      <c r="G230" s="5" t="str">
        <f aca="false">INDEX(Risk_Matrix!$B$2:$D$4,MATCH(E230,Risk_Matrix!$A$2:$A$4,0),MATCH(F230,Risk_Matrix!$B$1:$D$1,0))</f>
        <v>Low</v>
      </c>
      <c r="H230" s="12" t="n">
        <v>46151</v>
      </c>
      <c r="I230" s="5" t="s">
        <v>2250</v>
      </c>
      <c r="J230" s="5" t="s">
        <v>2251</v>
      </c>
      <c r="K230" s="5" t="s">
        <v>2276</v>
      </c>
      <c r="L230" s="5" t="n">
        <f aca="false">IF(G230="High",3,IF(G230="Medium",2,1))</f>
        <v>1</v>
      </c>
    </row>
    <row r="231" customFormat="false" ht="15" hidden="false" customHeight="true" outlineLevel="0" collapsed="false">
      <c r="A231" s="5" t="s">
        <v>2507</v>
      </c>
      <c r="B231" s="5" t="s">
        <v>1076</v>
      </c>
      <c r="C231" s="5" t="s">
        <v>2245</v>
      </c>
      <c r="D231" s="5" t="s">
        <v>2320</v>
      </c>
      <c r="E231" s="5" t="s">
        <v>59</v>
      </c>
      <c r="F231" s="5" t="s">
        <v>59</v>
      </c>
      <c r="G231" s="5" t="str">
        <f aca="false">INDEX(Risk_Matrix!$B$2:$D$4,MATCH(E231,Risk_Matrix!$A$2:$A$4,0),MATCH(F231,Risk_Matrix!$B$1:$D$1,0))</f>
        <v>Low</v>
      </c>
      <c r="H231" s="12" t="n">
        <v>46170</v>
      </c>
      <c r="I231" s="5" t="s">
        <v>2264</v>
      </c>
      <c r="J231" s="5" t="s">
        <v>2265</v>
      </c>
      <c r="K231" s="5" t="s">
        <v>2266</v>
      </c>
      <c r="L231" s="5" t="n">
        <f aca="false">IF(G231="High",3,IF(G231="Medium",2,1))</f>
        <v>1</v>
      </c>
    </row>
    <row r="232" customFormat="false" ht="15" hidden="false" customHeight="true" outlineLevel="0" collapsed="false">
      <c r="A232" s="5" t="s">
        <v>2508</v>
      </c>
      <c r="B232" s="5" t="s">
        <v>1076</v>
      </c>
      <c r="C232" s="5" t="s">
        <v>2248</v>
      </c>
      <c r="D232" s="5" t="s">
        <v>2322</v>
      </c>
      <c r="E232" s="5" t="s">
        <v>59</v>
      </c>
      <c r="F232" s="5" t="s">
        <v>59</v>
      </c>
      <c r="G232" s="5" t="str">
        <f aca="false">INDEX(Risk_Matrix!$B$2:$D$4,MATCH(E232,Risk_Matrix!$A$2:$A$4,0),MATCH(F232,Risk_Matrix!$B$1:$D$1,0))</f>
        <v>Low</v>
      </c>
      <c r="H232" s="12" t="n">
        <v>46171</v>
      </c>
      <c r="I232" s="5" t="s">
        <v>2250</v>
      </c>
      <c r="J232" s="5" t="s">
        <v>2251</v>
      </c>
      <c r="K232" s="5" t="s">
        <v>2266</v>
      </c>
      <c r="L232" s="5" t="n">
        <f aca="false">IF(G232="High",3,IF(G232="Medium",2,1))</f>
        <v>1</v>
      </c>
    </row>
    <row r="233" customFormat="false" ht="15" hidden="false" customHeight="true" outlineLevel="0" collapsed="false">
      <c r="A233" s="5" t="s">
        <v>2509</v>
      </c>
      <c r="B233" s="5" t="s">
        <v>1076</v>
      </c>
      <c r="C233" s="5" t="s">
        <v>2254</v>
      </c>
      <c r="D233" s="5" t="s">
        <v>2255</v>
      </c>
      <c r="E233" s="5" t="s">
        <v>59</v>
      </c>
      <c r="F233" s="5" t="s">
        <v>59</v>
      </c>
      <c r="G233" s="5" t="str">
        <f aca="false">INDEX(Risk_Matrix!$B$2:$D$4,MATCH(E233,Risk_Matrix!$A$2:$A$4,0),MATCH(F233,Risk_Matrix!$B$1:$D$1,0))</f>
        <v>Low</v>
      </c>
      <c r="H233" s="12" t="n">
        <v>46199</v>
      </c>
      <c r="I233" s="5" t="s">
        <v>2250</v>
      </c>
      <c r="J233" s="5" t="s">
        <v>2251</v>
      </c>
      <c r="K233" s="5" t="s">
        <v>2276</v>
      </c>
      <c r="L233" s="5" t="n">
        <f aca="false">IF(G233="High",3,IF(G233="Medium",2,1))</f>
        <v>1</v>
      </c>
    </row>
    <row r="234" customFormat="false" ht="15" hidden="false" customHeight="true" outlineLevel="0" collapsed="false">
      <c r="A234" s="5" t="s">
        <v>2510</v>
      </c>
      <c r="B234" s="5" t="s">
        <v>1076</v>
      </c>
      <c r="C234" s="5" t="s">
        <v>2259</v>
      </c>
      <c r="D234" s="5" t="s">
        <v>2260</v>
      </c>
      <c r="E234" s="5" t="s">
        <v>54</v>
      </c>
      <c r="F234" s="5" t="s">
        <v>2225</v>
      </c>
      <c r="G234" s="5" t="str">
        <f aca="false">INDEX(Risk_Matrix!$B$2:$D$4,MATCH(E234,Risk_Matrix!$A$2:$A$4,0),MATCH(F234,Risk_Matrix!$B$1:$D$1,0))</f>
        <v>High</v>
      </c>
      <c r="H234" s="12" t="n">
        <v>46081</v>
      </c>
      <c r="I234" s="5" t="s">
        <v>2250</v>
      </c>
      <c r="J234" s="5" t="s">
        <v>2251</v>
      </c>
      <c r="K234" s="5" t="s">
        <v>2276</v>
      </c>
      <c r="L234" s="5" t="n">
        <f aca="false">IF(G234="High",3,IF(G234="Medium",2,1))</f>
        <v>3</v>
      </c>
    </row>
    <row r="235" customFormat="false" ht="15" hidden="false" customHeight="true" outlineLevel="0" collapsed="false">
      <c r="A235" s="5" t="s">
        <v>2511</v>
      </c>
      <c r="B235" s="5" t="s">
        <v>1076</v>
      </c>
      <c r="C235" s="5" t="s">
        <v>2262</v>
      </c>
      <c r="D235" s="5" t="s">
        <v>2263</v>
      </c>
      <c r="E235" s="5" t="s">
        <v>54</v>
      </c>
      <c r="F235" s="5" t="s">
        <v>2225</v>
      </c>
      <c r="G235" s="5" t="str">
        <f aca="false">INDEX(Risk_Matrix!$B$2:$D$4,MATCH(E235,Risk_Matrix!$A$2:$A$4,0),MATCH(F235,Risk_Matrix!$B$1:$D$1,0))</f>
        <v>High</v>
      </c>
      <c r="H235" s="12" t="n">
        <v>46158</v>
      </c>
      <c r="I235" s="5" t="s">
        <v>2256</v>
      </c>
      <c r="J235" s="5" t="s">
        <v>2257</v>
      </c>
      <c r="K235" s="5" t="s">
        <v>2243</v>
      </c>
      <c r="L235" s="5" t="n">
        <f aca="false">IF(G235="High",3,IF(G235="Medium",2,1))</f>
        <v>3</v>
      </c>
    </row>
    <row r="236" customFormat="false" ht="15" hidden="false" customHeight="true" outlineLevel="0" collapsed="false">
      <c r="A236" s="5" t="s">
        <v>2512</v>
      </c>
      <c r="B236" s="5" t="s">
        <v>1078</v>
      </c>
      <c r="C236" s="5" t="s">
        <v>2239</v>
      </c>
      <c r="D236" s="5" t="s">
        <v>2278</v>
      </c>
      <c r="E236" s="5" t="s">
        <v>59</v>
      </c>
      <c r="F236" s="5" t="s">
        <v>54</v>
      </c>
      <c r="G236" s="5" t="str">
        <f aca="false">INDEX(Risk_Matrix!$B$2:$D$4,MATCH(E236,Risk_Matrix!$A$2:$A$4,0),MATCH(F236,Risk_Matrix!$B$1:$D$1,0))</f>
        <v>Medium</v>
      </c>
      <c r="H236" s="12" t="n">
        <v>46167</v>
      </c>
      <c r="I236" s="5" t="s">
        <v>2264</v>
      </c>
      <c r="J236" s="5" t="s">
        <v>2265</v>
      </c>
      <c r="K236" s="5" t="s">
        <v>2243</v>
      </c>
      <c r="L236" s="5" t="n">
        <f aca="false">IF(G236="High",3,IF(G236="Medium",2,1))</f>
        <v>2</v>
      </c>
    </row>
    <row r="237" customFormat="false" ht="15" hidden="false" customHeight="true" outlineLevel="0" collapsed="false">
      <c r="A237" s="5" t="s">
        <v>2513</v>
      </c>
      <c r="B237" s="5" t="s">
        <v>1078</v>
      </c>
      <c r="C237" s="5" t="s">
        <v>2245</v>
      </c>
      <c r="D237" s="5" t="s">
        <v>2320</v>
      </c>
      <c r="E237" s="5" t="s">
        <v>2225</v>
      </c>
      <c r="F237" s="5" t="s">
        <v>59</v>
      </c>
      <c r="G237" s="5" t="str">
        <f aca="false">INDEX(Risk_Matrix!$B$2:$D$4,MATCH(E237,Risk_Matrix!$A$2:$A$4,0),MATCH(F237,Risk_Matrix!$B$1:$D$1,0))</f>
        <v>Low</v>
      </c>
      <c r="H237" s="12" t="n">
        <v>46130</v>
      </c>
      <c r="I237" s="5" t="s">
        <v>2250</v>
      </c>
      <c r="J237" s="5" t="s">
        <v>2251</v>
      </c>
      <c r="K237" s="5" t="s">
        <v>2243</v>
      </c>
      <c r="L237" s="5" t="n">
        <f aca="false">IF(G237="High",3,IF(G237="Medium",2,1))</f>
        <v>1</v>
      </c>
    </row>
    <row r="238" customFormat="false" ht="15" hidden="false" customHeight="true" outlineLevel="0" collapsed="false">
      <c r="A238" s="5" t="s">
        <v>2514</v>
      </c>
      <c r="B238" s="5" t="s">
        <v>1078</v>
      </c>
      <c r="C238" s="5" t="s">
        <v>2248</v>
      </c>
      <c r="D238" s="5" t="s">
        <v>2306</v>
      </c>
      <c r="E238" s="5" t="s">
        <v>2225</v>
      </c>
      <c r="F238" s="5" t="s">
        <v>59</v>
      </c>
      <c r="G238" s="5" t="str">
        <f aca="false">INDEX(Risk_Matrix!$B$2:$D$4,MATCH(E238,Risk_Matrix!$A$2:$A$4,0),MATCH(F238,Risk_Matrix!$B$1:$D$1,0))</f>
        <v>Low</v>
      </c>
      <c r="H238" s="12" t="n">
        <v>46194</v>
      </c>
      <c r="I238" s="5" t="s">
        <v>2250</v>
      </c>
      <c r="J238" s="5" t="s">
        <v>2251</v>
      </c>
      <c r="K238" s="5" t="s">
        <v>2243</v>
      </c>
      <c r="L238" s="5" t="n">
        <f aca="false">IF(G238="High",3,IF(G238="Medium",2,1))</f>
        <v>1</v>
      </c>
    </row>
    <row r="239" customFormat="false" ht="15" hidden="false" customHeight="true" outlineLevel="0" collapsed="false">
      <c r="A239" s="5" t="s">
        <v>2515</v>
      </c>
      <c r="B239" s="5" t="s">
        <v>1078</v>
      </c>
      <c r="C239" s="5" t="s">
        <v>2254</v>
      </c>
      <c r="D239" s="5" t="s">
        <v>2255</v>
      </c>
      <c r="E239" s="5" t="s">
        <v>2225</v>
      </c>
      <c r="F239" s="5" t="s">
        <v>59</v>
      </c>
      <c r="G239" s="5" t="str">
        <f aca="false">INDEX(Risk_Matrix!$B$2:$D$4,MATCH(E239,Risk_Matrix!$A$2:$A$4,0),MATCH(F239,Risk_Matrix!$B$1:$D$1,0))</f>
        <v>Low</v>
      </c>
      <c r="H239" s="12" t="n">
        <v>46235</v>
      </c>
      <c r="I239" s="5" t="s">
        <v>2250</v>
      </c>
      <c r="J239" s="5" t="s">
        <v>2251</v>
      </c>
      <c r="K239" s="5" t="s">
        <v>2266</v>
      </c>
      <c r="L239" s="5" t="n">
        <f aca="false">IF(G239="High",3,IF(G239="Medium",2,1))</f>
        <v>1</v>
      </c>
    </row>
    <row r="240" customFormat="false" ht="15" hidden="false" customHeight="true" outlineLevel="0" collapsed="false">
      <c r="A240" s="5" t="s">
        <v>2516</v>
      </c>
      <c r="B240" s="5" t="s">
        <v>1078</v>
      </c>
      <c r="C240" s="5" t="s">
        <v>2259</v>
      </c>
      <c r="D240" s="5" t="s">
        <v>2274</v>
      </c>
      <c r="E240" s="5" t="s">
        <v>2225</v>
      </c>
      <c r="F240" s="5" t="s">
        <v>59</v>
      </c>
      <c r="G240" s="5" t="str">
        <f aca="false">INDEX(Risk_Matrix!$B$2:$D$4,MATCH(E240,Risk_Matrix!$A$2:$A$4,0),MATCH(F240,Risk_Matrix!$B$1:$D$1,0))</f>
        <v>Low</v>
      </c>
      <c r="H240" s="12" t="n">
        <v>46172</v>
      </c>
      <c r="I240" s="5" t="s">
        <v>2250</v>
      </c>
      <c r="J240" s="5" t="s">
        <v>2251</v>
      </c>
      <c r="K240" s="5" t="s">
        <v>2266</v>
      </c>
      <c r="L240" s="5" t="n">
        <f aca="false">IF(G240="High",3,IF(G240="Medium",2,1))</f>
        <v>1</v>
      </c>
    </row>
    <row r="241" customFormat="false" ht="15" hidden="false" customHeight="true" outlineLevel="0" collapsed="false">
      <c r="A241" s="5" t="s">
        <v>2517</v>
      </c>
      <c r="B241" s="5" t="s">
        <v>1078</v>
      </c>
      <c r="C241" s="5" t="s">
        <v>2262</v>
      </c>
      <c r="D241" s="5" t="s">
        <v>2263</v>
      </c>
      <c r="E241" s="5" t="s">
        <v>59</v>
      </c>
      <c r="F241" s="5" t="s">
        <v>59</v>
      </c>
      <c r="G241" s="5" t="str">
        <f aca="false">INDEX(Risk_Matrix!$B$2:$D$4,MATCH(E241,Risk_Matrix!$A$2:$A$4,0),MATCH(F241,Risk_Matrix!$B$1:$D$1,0))</f>
        <v>Low</v>
      </c>
      <c r="H241" s="12" t="n">
        <v>46151</v>
      </c>
      <c r="I241" s="5" t="s">
        <v>2241</v>
      </c>
      <c r="J241" s="5" t="s">
        <v>2242</v>
      </c>
      <c r="K241" s="5" t="s">
        <v>2252</v>
      </c>
      <c r="L241" s="5" t="n">
        <f aca="false">IF(G241="High",3,IF(G241="Medium",2,1))</f>
        <v>1</v>
      </c>
    </row>
    <row r="242" customFormat="false" ht="15" hidden="false" customHeight="true" outlineLevel="0" collapsed="false">
      <c r="A242" s="5" t="s">
        <v>2518</v>
      </c>
      <c r="B242" s="5" t="s">
        <v>1081</v>
      </c>
      <c r="C242" s="5" t="s">
        <v>2239</v>
      </c>
      <c r="D242" s="5" t="s">
        <v>2303</v>
      </c>
      <c r="E242" s="5" t="s">
        <v>59</v>
      </c>
      <c r="F242" s="5" t="s">
        <v>59</v>
      </c>
      <c r="G242" s="5" t="str">
        <f aca="false">INDEX(Risk_Matrix!$B$2:$D$4,MATCH(E242,Risk_Matrix!$A$2:$A$4,0),MATCH(F242,Risk_Matrix!$B$1:$D$1,0))</f>
        <v>Low</v>
      </c>
      <c r="H242" s="12" t="n">
        <v>46143</v>
      </c>
      <c r="I242" s="5" t="s">
        <v>2250</v>
      </c>
      <c r="J242" s="5" t="s">
        <v>2251</v>
      </c>
      <c r="K242" s="5" t="s">
        <v>2252</v>
      </c>
      <c r="L242" s="5" t="n">
        <f aca="false">IF(G242="High",3,IF(G242="Medium",2,1))</f>
        <v>1</v>
      </c>
    </row>
    <row r="243" customFormat="false" ht="15" hidden="false" customHeight="true" outlineLevel="0" collapsed="false">
      <c r="A243" s="5" t="s">
        <v>2519</v>
      </c>
      <c r="B243" s="5" t="s">
        <v>1081</v>
      </c>
      <c r="C243" s="5" t="s">
        <v>2245</v>
      </c>
      <c r="D243" s="5" t="s">
        <v>2280</v>
      </c>
      <c r="E243" s="5" t="s">
        <v>59</v>
      </c>
      <c r="F243" s="5" t="s">
        <v>59</v>
      </c>
      <c r="G243" s="5" t="str">
        <f aca="false">INDEX(Risk_Matrix!$B$2:$D$4,MATCH(E243,Risk_Matrix!$A$2:$A$4,0),MATCH(F243,Risk_Matrix!$B$1:$D$1,0))</f>
        <v>Low</v>
      </c>
      <c r="H243" s="12" t="n">
        <v>46091</v>
      </c>
      <c r="I243" s="5" t="s">
        <v>2256</v>
      </c>
      <c r="J243" s="5" t="s">
        <v>2257</v>
      </c>
      <c r="K243" s="5" t="s">
        <v>2266</v>
      </c>
      <c r="L243" s="5" t="n">
        <f aca="false">IF(G243="High",3,IF(G243="Medium",2,1))</f>
        <v>1</v>
      </c>
    </row>
    <row r="244" customFormat="false" ht="15" hidden="false" customHeight="true" outlineLevel="0" collapsed="false">
      <c r="A244" s="5" t="s">
        <v>2520</v>
      </c>
      <c r="B244" s="5" t="s">
        <v>1081</v>
      </c>
      <c r="C244" s="5" t="s">
        <v>2248</v>
      </c>
      <c r="D244" s="5" t="s">
        <v>2306</v>
      </c>
      <c r="E244" s="5" t="s">
        <v>2225</v>
      </c>
      <c r="F244" s="5" t="s">
        <v>2225</v>
      </c>
      <c r="G244" s="5" t="str">
        <f aca="false">INDEX(Risk_Matrix!$B$2:$D$4,MATCH(E244,Risk_Matrix!$A$2:$A$4,0),MATCH(F244,Risk_Matrix!$B$1:$D$1,0))</f>
        <v>Medium</v>
      </c>
      <c r="H244" s="12" t="n">
        <v>46141</v>
      </c>
      <c r="I244" s="5" t="s">
        <v>2250</v>
      </c>
      <c r="J244" s="5" t="s">
        <v>2251</v>
      </c>
      <c r="K244" s="5" t="s">
        <v>2266</v>
      </c>
      <c r="L244" s="5" t="n">
        <f aca="false">IF(G244="High",3,IF(G244="Medium",2,1))</f>
        <v>2</v>
      </c>
    </row>
    <row r="245" customFormat="false" ht="15" hidden="false" customHeight="true" outlineLevel="0" collapsed="false">
      <c r="A245" s="5" t="s">
        <v>2521</v>
      </c>
      <c r="B245" s="5" t="s">
        <v>1081</v>
      </c>
      <c r="C245" s="5" t="s">
        <v>2254</v>
      </c>
      <c r="D245" s="5" t="s">
        <v>2255</v>
      </c>
      <c r="E245" s="5" t="s">
        <v>2225</v>
      </c>
      <c r="F245" s="5" t="s">
        <v>2225</v>
      </c>
      <c r="G245" s="5" t="str">
        <f aca="false">INDEX(Risk_Matrix!$B$2:$D$4,MATCH(E245,Risk_Matrix!$A$2:$A$4,0),MATCH(F245,Risk_Matrix!$B$1:$D$1,0))</f>
        <v>Medium</v>
      </c>
      <c r="H245" s="12" t="n">
        <v>46236</v>
      </c>
      <c r="I245" s="5" t="s">
        <v>2250</v>
      </c>
      <c r="J245" s="5" t="s">
        <v>2251</v>
      </c>
      <c r="K245" s="5" t="s">
        <v>2266</v>
      </c>
      <c r="L245" s="5" t="n">
        <f aca="false">IF(G245="High",3,IF(G245="Medium",2,1))</f>
        <v>2</v>
      </c>
    </row>
    <row r="246" customFormat="false" ht="15" hidden="false" customHeight="true" outlineLevel="0" collapsed="false">
      <c r="A246" s="5" t="s">
        <v>2522</v>
      </c>
      <c r="B246" s="5" t="s">
        <v>1081</v>
      </c>
      <c r="C246" s="5" t="s">
        <v>2259</v>
      </c>
      <c r="D246" s="5" t="s">
        <v>2274</v>
      </c>
      <c r="E246" s="5" t="s">
        <v>59</v>
      </c>
      <c r="F246" s="5" t="s">
        <v>54</v>
      </c>
      <c r="G246" s="5" t="str">
        <f aca="false">INDEX(Risk_Matrix!$B$2:$D$4,MATCH(E246,Risk_Matrix!$A$2:$A$4,0),MATCH(F246,Risk_Matrix!$B$1:$D$1,0))</f>
        <v>Medium</v>
      </c>
      <c r="H246" s="12" t="n">
        <v>46106</v>
      </c>
      <c r="I246" s="5" t="s">
        <v>2264</v>
      </c>
      <c r="J246" s="5" t="s">
        <v>2265</v>
      </c>
      <c r="K246" s="5" t="s">
        <v>2283</v>
      </c>
      <c r="L246" s="5" t="n">
        <f aca="false">IF(G246="High",3,IF(G246="Medium",2,1))</f>
        <v>2</v>
      </c>
    </row>
    <row r="247" customFormat="false" ht="15" hidden="false" customHeight="true" outlineLevel="0" collapsed="false">
      <c r="A247" s="5" t="s">
        <v>2523</v>
      </c>
      <c r="B247" s="5" t="s">
        <v>1081</v>
      </c>
      <c r="C247" s="5" t="s">
        <v>2262</v>
      </c>
      <c r="D247" s="5" t="s">
        <v>2263</v>
      </c>
      <c r="E247" s="5" t="s">
        <v>59</v>
      </c>
      <c r="F247" s="5" t="s">
        <v>59</v>
      </c>
      <c r="G247" s="5" t="str">
        <f aca="false">INDEX(Risk_Matrix!$B$2:$D$4,MATCH(E247,Risk_Matrix!$A$2:$A$4,0),MATCH(F247,Risk_Matrix!$B$1:$D$1,0))</f>
        <v>Low</v>
      </c>
      <c r="H247" s="12" t="n">
        <v>46093</v>
      </c>
      <c r="I247" s="5" t="s">
        <v>2256</v>
      </c>
      <c r="J247" s="5" t="s">
        <v>2257</v>
      </c>
      <c r="K247" s="5" t="s">
        <v>2276</v>
      </c>
      <c r="L247" s="5" t="n">
        <f aca="false">IF(G247="High",3,IF(G247="Medium",2,1))</f>
        <v>1</v>
      </c>
    </row>
    <row r="248" customFormat="false" ht="15" hidden="false" customHeight="true" outlineLevel="0" collapsed="false">
      <c r="A248" s="5" t="s">
        <v>2524</v>
      </c>
      <c r="B248" s="5" t="s">
        <v>1083</v>
      </c>
      <c r="C248" s="5" t="s">
        <v>2239</v>
      </c>
      <c r="D248" s="5" t="s">
        <v>2295</v>
      </c>
      <c r="E248" s="5" t="s">
        <v>59</v>
      </c>
      <c r="F248" s="5" t="s">
        <v>59</v>
      </c>
      <c r="G248" s="5" t="str">
        <f aca="false">INDEX(Risk_Matrix!$B$2:$D$4,MATCH(E248,Risk_Matrix!$A$2:$A$4,0),MATCH(F248,Risk_Matrix!$B$1:$D$1,0))</f>
        <v>Low</v>
      </c>
      <c r="H248" s="12" t="n">
        <v>46173</v>
      </c>
      <c r="I248" s="5" t="s">
        <v>2256</v>
      </c>
      <c r="J248" s="5" t="s">
        <v>2257</v>
      </c>
      <c r="K248" s="5" t="s">
        <v>2243</v>
      </c>
      <c r="L248" s="5" t="n">
        <f aca="false">IF(G248="High",3,IF(G248="Medium",2,1))</f>
        <v>1</v>
      </c>
    </row>
    <row r="249" customFormat="false" ht="15" hidden="false" customHeight="true" outlineLevel="0" collapsed="false">
      <c r="A249" s="5" t="s">
        <v>2525</v>
      </c>
      <c r="B249" s="5" t="s">
        <v>1083</v>
      </c>
      <c r="C249" s="5" t="s">
        <v>2245</v>
      </c>
      <c r="D249" s="5" t="s">
        <v>2246</v>
      </c>
      <c r="E249" s="5" t="s">
        <v>59</v>
      </c>
      <c r="F249" s="5" t="s">
        <v>59</v>
      </c>
      <c r="G249" s="5" t="str">
        <f aca="false">INDEX(Risk_Matrix!$B$2:$D$4,MATCH(E249,Risk_Matrix!$A$2:$A$4,0),MATCH(F249,Risk_Matrix!$B$1:$D$1,0))</f>
        <v>Low</v>
      </c>
      <c r="H249" s="12" t="n">
        <v>46095</v>
      </c>
      <c r="I249" s="5" t="s">
        <v>2256</v>
      </c>
      <c r="J249" s="5" t="s">
        <v>2257</v>
      </c>
      <c r="K249" s="5" t="s">
        <v>2283</v>
      </c>
      <c r="L249" s="5" t="n">
        <f aca="false">IF(G249="High",3,IF(G249="Medium",2,1))</f>
        <v>1</v>
      </c>
    </row>
    <row r="250" customFormat="false" ht="15" hidden="false" customHeight="true" outlineLevel="0" collapsed="false">
      <c r="A250" s="5" t="s">
        <v>2526</v>
      </c>
      <c r="B250" s="5" t="s">
        <v>1083</v>
      </c>
      <c r="C250" s="5" t="s">
        <v>2248</v>
      </c>
      <c r="D250" s="5" t="s">
        <v>2249</v>
      </c>
      <c r="E250" s="5" t="s">
        <v>59</v>
      </c>
      <c r="F250" s="5" t="s">
        <v>59</v>
      </c>
      <c r="G250" s="5" t="str">
        <f aca="false">INDEX(Risk_Matrix!$B$2:$D$4,MATCH(E250,Risk_Matrix!$A$2:$A$4,0),MATCH(F250,Risk_Matrix!$B$1:$D$1,0))</f>
        <v>Low</v>
      </c>
      <c r="H250" s="12" t="n">
        <v>46065</v>
      </c>
      <c r="I250" s="5" t="s">
        <v>2256</v>
      </c>
      <c r="J250" s="5" t="s">
        <v>2257</v>
      </c>
      <c r="K250" s="5" t="s">
        <v>2283</v>
      </c>
      <c r="L250" s="5" t="n">
        <f aca="false">IF(G250="High",3,IF(G250="Medium",2,1))</f>
        <v>1</v>
      </c>
    </row>
    <row r="251" customFormat="false" ht="15" hidden="false" customHeight="true" outlineLevel="0" collapsed="false">
      <c r="A251" s="5" t="s">
        <v>2527</v>
      </c>
      <c r="B251" s="5" t="s">
        <v>1083</v>
      </c>
      <c r="C251" s="5" t="s">
        <v>2254</v>
      </c>
      <c r="D251" s="5" t="s">
        <v>2255</v>
      </c>
      <c r="E251" s="5" t="s">
        <v>2225</v>
      </c>
      <c r="F251" s="5" t="s">
        <v>2225</v>
      </c>
      <c r="G251" s="5" t="str">
        <f aca="false">INDEX(Risk_Matrix!$B$2:$D$4,MATCH(E251,Risk_Matrix!$A$2:$A$4,0),MATCH(F251,Risk_Matrix!$B$1:$D$1,0))</f>
        <v>Medium</v>
      </c>
      <c r="H251" s="12" t="n">
        <v>46166</v>
      </c>
      <c r="I251" s="5" t="s">
        <v>2250</v>
      </c>
      <c r="J251" s="5" t="s">
        <v>2251</v>
      </c>
      <c r="K251" s="5" t="s">
        <v>2252</v>
      </c>
      <c r="L251" s="5" t="n">
        <f aca="false">IF(G251="High",3,IF(G251="Medium",2,1))</f>
        <v>2</v>
      </c>
    </row>
    <row r="252" customFormat="false" ht="15" hidden="false" customHeight="true" outlineLevel="0" collapsed="false">
      <c r="A252" s="5" t="s">
        <v>2528</v>
      </c>
      <c r="B252" s="5" t="s">
        <v>1083</v>
      </c>
      <c r="C252" s="5" t="s">
        <v>2259</v>
      </c>
      <c r="D252" s="5" t="s">
        <v>2274</v>
      </c>
      <c r="E252" s="5" t="s">
        <v>2225</v>
      </c>
      <c r="F252" s="5" t="s">
        <v>59</v>
      </c>
      <c r="G252" s="5" t="str">
        <f aca="false">INDEX(Risk_Matrix!$B$2:$D$4,MATCH(E252,Risk_Matrix!$A$2:$A$4,0),MATCH(F252,Risk_Matrix!$B$1:$D$1,0))</f>
        <v>Low</v>
      </c>
      <c r="H252" s="12" t="n">
        <v>46218</v>
      </c>
      <c r="I252" s="5" t="s">
        <v>2250</v>
      </c>
      <c r="J252" s="5" t="s">
        <v>2251</v>
      </c>
      <c r="K252" s="5" t="s">
        <v>2243</v>
      </c>
      <c r="L252" s="5" t="n">
        <f aca="false">IF(G252="High",3,IF(G252="Medium",2,1))</f>
        <v>1</v>
      </c>
    </row>
    <row r="253" customFormat="false" ht="15" hidden="false" customHeight="true" outlineLevel="0" collapsed="false">
      <c r="A253" s="5" t="s">
        <v>2529</v>
      </c>
      <c r="B253" s="5" t="s">
        <v>1083</v>
      </c>
      <c r="C253" s="5" t="s">
        <v>2262</v>
      </c>
      <c r="D253" s="5" t="s">
        <v>2263</v>
      </c>
      <c r="E253" s="5" t="s">
        <v>59</v>
      </c>
      <c r="F253" s="5" t="s">
        <v>2225</v>
      </c>
      <c r="G253" s="5" t="str">
        <f aca="false">INDEX(Risk_Matrix!$B$2:$D$4,MATCH(E253,Risk_Matrix!$A$2:$A$4,0),MATCH(F253,Risk_Matrix!$B$1:$D$1,0))</f>
        <v>Low</v>
      </c>
      <c r="H253" s="12" t="n">
        <v>46196</v>
      </c>
      <c r="I253" s="5" t="s">
        <v>2256</v>
      </c>
      <c r="J253" s="5" t="s">
        <v>2257</v>
      </c>
      <c r="K253" s="5" t="s">
        <v>2252</v>
      </c>
      <c r="L253" s="5" t="n">
        <f aca="false">IF(G253="High",3,IF(G253="Medium",2,1))</f>
        <v>1</v>
      </c>
    </row>
    <row r="254" customFormat="false" ht="15" hidden="false" customHeight="true" outlineLevel="0" collapsed="false">
      <c r="A254" s="5" t="s">
        <v>2530</v>
      </c>
      <c r="B254" s="5" t="s">
        <v>1084</v>
      </c>
      <c r="C254" s="5" t="s">
        <v>2239</v>
      </c>
      <c r="D254" s="5" t="s">
        <v>2295</v>
      </c>
      <c r="E254" s="5" t="s">
        <v>2225</v>
      </c>
      <c r="F254" s="5" t="s">
        <v>2225</v>
      </c>
      <c r="G254" s="5" t="str">
        <f aca="false">INDEX(Risk_Matrix!$B$2:$D$4,MATCH(E254,Risk_Matrix!$A$2:$A$4,0),MATCH(F254,Risk_Matrix!$B$1:$D$1,0))</f>
        <v>Medium</v>
      </c>
      <c r="H254" s="12" t="n">
        <v>46220</v>
      </c>
      <c r="I254" s="5" t="s">
        <v>2264</v>
      </c>
      <c r="J254" s="5" t="s">
        <v>2265</v>
      </c>
      <c r="K254" s="5" t="s">
        <v>2276</v>
      </c>
      <c r="L254" s="5" t="n">
        <f aca="false">IF(G254="High",3,IF(G254="Medium",2,1))</f>
        <v>2</v>
      </c>
    </row>
    <row r="255" customFormat="false" ht="15" hidden="false" customHeight="true" outlineLevel="0" collapsed="false">
      <c r="A255" s="5" t="s">
        <v>2531</v>
      </c>
      <c r="B255" s="5" t="s">
        <v>1084</v>
      </c>
      <c r="C255" s="5" t="s">
        <v>2245</v>
      </c>
      <c r="D255" s="5" t="s">
        <v>2320</v>
      </c>
      <c r="E255" s="5" t="s">
        <v>59</v>
      </c>
      <c r="F255" s="5" t="s">
        <v>59</v>
      </c>
      <c r="G255" s="5" t="str">
        <f aca="false">INDEX(Risk_Matrix!$B$2:$D$4,MATCH(E255,Risk_Matrix!$A$2:$A$4,0),MATCH(F255,Risk_Matrix!$B$1:$D$1,0))</f>
        <v>Low</v>
      </c>
      <c r="H255" s="12" t="n">
        <v>46170</v>
      </c>
      <c r="I255" s="5" t="s">
        <v>2250</v>
      </c>
      <c r="J255" s="5" t="s">
        <v>2251</v>
      </c>
      <c r="K255" s="5" t="s">
        <v>2283</v>
      </c>
      <c r="L255" s="5" t="n">
        <f aca="false">IF(G255="High",3,IF(G255="Medium",2,1))</f>
        <v>1</v>
      </c>
    </row>
    <row r="256" customFormat="false" ht="15" hidden="false" customHeight="true" outlineLevel="0" collapsed="false">
      <c r="A256" s="5" t="s">
        <v>2532</v>
      </c>
      <c r="B256" s="5" t="s">
        <v>1084</v>
      </c>
      <c r="C256" s="5" t="s">
        <v>2248</v>
      </c>
      <c r="D256" s="5" t="s">
        <v>2271</v>
      </c>
      <c r="E256" s="5" t="s">
        <v>59</v>
      </c>
      <c r="F256" s="5" t="s">
        <v>59</v>
      </c>
      <c r="G256" s="5" t="str">
        <f aca="false">INDEX(Risk_Matrix!$B$2:$D$4,MATCH(E256,Risk_Matrix!$A$2:$A$4,0),MATCH(F256,Risk_Matrix!$B$1:$D$1,0))</f>
        <v>Low</v>
      </c>
      <c r="H256" s="12" t="n">
        <v>46146</v>
      </c>
      <c r="I256" s="5" t="s">
        <v>2264</v>
      </c>
      <c r="J256" s="5" t="s">
        <v>2265</v>
      </c>
      <c r="K256" s="5" t="s">
        <v>2283</v>
      </c>
      <c r="L256" s="5" t="n">
        <f aca="false">IF(G256="High",3,IF(G256="Medium",2,1))</f>
        <v>1</v>
      </c>
    </row>
    <row r="257" customFormat="false" ht="15" hidden="false" customHeight="true" outlineLevel="0" collapsed="false">
      <c r="A257" s="5" t="s">
        <v>2533</v>
      </c>
      <c r="B257" s="5" t="s">
        <v>1084</v>
      </c>
      <c r="C257" s="5" t="s">
        <v>2254</v>
      </c>
      <c r="D257" s="5" t="s">
        <v>2299</v>
      </c>
      <c r="E257" s="5" t="s">
        <v>54</v>
      </c>
      <c r="F257" s="5" t="s">
        <v>59</v>
      </c>
      <c r="G257" s="5" t="str">
        <f aca="false">INDEX(Risk_Matrix!$B$2:$D$4,MATCH(E257,Risk_Matrix!$A$2:$A$4,0),MATCH(F257,Risk_Matrix!$B$1:$D$1,0))</f>
        <v>Medium</v>
      </c>
      <c r="H257" s="12" t="n">
        <v>46233</v>
      </c>
      <c r="I257" s="5" t="s">
        <v>2256</v>
      </c>
      <c r="J257" s="5" t="s">
        <v>2257</v>
      </c>
      <c r="K257" s="5" t="s">
        <v>2266</v>
      </c>
      <c r="L257" s="5" t="n">
        <f aca="false">IF(G257="High",3,IF(G257="Medium",2,1))</f>
        <v>2</v>
      </c>
    </row>
    <row r="258" customFormat="false" ht="15" hidden="false" customHeight="true" outlineLevel="0" collapsed="false">
      <c r="A258" s="5" t="s">
        <v>2534</v>
      </c>
      <c r="B258" s="5" t="s">
        <v>1084</v>
      </c>
      <c r="C258" s="5" t="s">
        <v>2259</v>
      </c>
      <c r="D258" s="5" t="s">
        <v>2285</v>
      </c>
      <c r="E258" s="5" t="s">
        <v>59</v>
      </c>
      <c r="F258" s="5" t="s">
        <v>59</v>
      </c>
      <c r="G258" s="5" t="str">
        <f aca="false">INDEX(Risk_Matrix!$B$2:$D$4,MATCH(E258,Risk_Matrix!$A$2:$A$4,0),MATCH(F258,Risk_Matrix!$B$1:$D$1,0))</f>
        <v>Low</v>
      </c>
      <c r="H258" s="12" t="n">
        <v>46218</v>
      </c>
      <c r="I258" s="5" t="s">
        <v>2250</v>
      </c>
      <c r="J258" s="5" t="s">
        <v>2251</v>
      </c>
      <c r="K258" s="5" t="s">
        <v>2266</v>
      </c>
      <c r="L258" s="5" t="n">
        <f aca="false">IF(G258="High",3,IF(G258="Medium",2,1))</f>
        <v>1</v>
      </c>
    </row>
    <row r="259" customFormat="false" ht="15" hidden="false" customHeight="true" outlineLevel="0" collapsed="false">
      <c r="A259" s="5" t="s">
        <v>2535</v>
      </c>
      <c r="B259" s="5" t="s">
        <v>1084</v>
      </c>
      <c r="C259" s="5" t="s">
        <v>2262</v>
      </c>
      <c r="D259" s="5" t="s">
        <v>2287</v>
      </c>
      <c r="E259" s="5" t="s">
        <v>59</v>
      </c>
      <c r="F259" s="5" t="s">
        <v>59</v>
      </c>
      <c r="G259" s="5" t="str">
        <f aca="false">INDEX(Risk_Matrix!$B$2:$D$4,MATCH(E259,Risk_Matrix!$A$2:$A$4,0),MATCH(F259,Risk_Matrix!$B$1:$D$1,0))</f>
        <v>Low</v>
      </c>
      <c r="H259" s="12" t="n">
        <v>46117</v>
      </c>
      <c r="I259" s="5" t="s">
        <v>2264</v>
      </c>
      <c r="J259" s="5" t="s">
        <v>2265</v>
      </c>
      <c r="K259" s="5" t="s">
        <v>2283</v>
      </c>
      <c r="L259" s="5" t="n">
        <f aca="false">IF(G259="High",3,IF(G259="Medium",2,1))</f>
        <v>1</v>
      </c>
    </row>
    <row r="260" customFormat="false" ht="15" hidden="false" customHeight="true" outlineLevel="0" collapsed="false">
      <c r="A260" s="5" t="s">
        <v>2536</v>
      </c>
      <c r="B260" s="5" t="s">
        <v>1086</v>
      </c>
      <c r="C260" s="5" t="s">
        <v>2239</v>
      </c>
      <c r="D260" s="5" t="s">
        <v>2240</v>
      </c>
      <c r="E260" s="5" t="s">
        <v>59</v>
      </c>
      <c r="F260" s="5" t="s">
        <v>59</v>
      </c>
      <c r="G260" s="5" t="str">
        <f aca="false">INDEX(Risk_Matrix!$B$2:$D$4,MATCH(E260,Risk_Matrix!$A$2:$A$4,0),MATCH(F260,Risk_Matrix!$B$1:$D$1,0))</f>
        <v>Low</v>
      </c>
      <c r="H260" s="12" t="n">
        <v>46217</v>
      </c>
      <c r="I260" s="5" t="s">
        <v>2264</v>
      </c>
      <c r="J260" s="5" t="s">
        <v>2265</v>
      </c>
      <c r="K260" s="5" t="s">
        <v>2276</v>
      </c>
      <c r="L260" s="5" t="n">
        <f aca="false">IF(G260="High",3,IF(G260="Medium",2,1))</f>
        <v>1</v>
      </c>
    </row>
    <row r="261" customFormat="false" ht="15" hidden="false" customHeight="true" outlineLevel="0" collapsed="false">
      <c r="A261" s="5" t="s">
        <v>2537</v>
      </c>
      <c r="B261" s="5" t="s">
        <v>1086</v>
      </c>
      <c r="C261" s="5" t="s">
        <v>2245</v>
      </c>
      <c r="D261" s="5" t="s">
        <v>2269</v>
      </c>
      <c r="E261" s="5" t="s">
        <v>2225</v>
      </c>
      <c r="F261" s="5" t="s">
        <v>59</v>
      </c>
      <c r="G261" s="5" t="str">
        <f aca="false">INDEX(Risk_Matrix!$B$2:$D$4,MATCH(E261,Risk_Matrix!$A$2:$A$4,0),MATCH(F261,Risk_Matrix!$B$1:$D$1,0))</f>
        <v>Low</v>
      </c>
      <c r="H261" s="12" t="n">
        <v>46139</v>
      </c>
      <c r="I261" s="5" t="s">
        <v>2264</v>
      </c>
      <c r="J261" s="5" t="s">
        <v>2265</v>
      </c>
      <c r="K261" s="5" t="s">
        <v>2252</v>
      </c>
      <c r="L261" s="5" t="n">
        <f aca="false">IF(G261="High",3,IF(G261="Medium",2,1))</f>
        <v>1</v>
      </c>
    </row>
    <row r="262" customFormat="false" ht="15" hidden="false" customHeight="true" outlineLevel="0" collapsed="false">
      <c r="A262" s="5" t="s">
        <v>2538</v>
      </c>
      <c r="B262" s="5" t="s">
        <v>1086</v>
      </c>
      <c r="C262" s="5" t="s">
        <v>2248</v>
      </c>
      <c r="D262" s="5" t="s">
        <v>2322</v>
      </c>
      <c r="E262" s="5" t="s">
        <v>59</v>
      </c>
      <c r="F262" s="5" t="s">
        <v>59</v>
      </c>
      <c r="G262" s="5" t="str">
        <f aca="false">INDEX(Risk_Matrix!$B$2:$D$4,MATCH(E262,Risk_Matrix!$A$2:$A$4,0),MATCH(F262,Risk_Matrix!$B$1:$D$1,0))</f>
        <v>Low</v>
      </c>
      <c r="H262" s="12" t="n">
        <v>46205</v>
      </c>
      <c r="I262" s="5" t="s">
        <v>2250</v>
      </c>
      <c r="J262" s="5" t="s">
        <v>2251</v>
      </c>
      <c r="K262" s="5" t="s">
        <v>2283</v>
      </c>
      <c r="L262" s="5" t="n">
        <f aca="false">IF(G262="High",3,IF(G262="Medium",2,1))</f>
        <v>1</v>
      </c>
    </row>
    <row r="263" customFormat="false" ht="15" hidden="false" customHeight="true" outlineLevel="0" collapsed="false">
      <c r="A263" s="5" t="s">
        <v>2539</v>
      </c>
      <c r="B263" s="5" t="s">
        <v>1086</v>
      </c>
      <c r="C263" s="5" t="s">
        <v>2254</v>
      </c>
      <c r="D263" s="5" t="s">
        <v>2255</v>
      </c>
      <c r="E263" s="5" t="s">
        <v>59</v>
      </c>
      <c r="F263" s="5" t="s">
        <v>2225</v>
      </c>
      <c r="G263" s="5" t="str">
        <f aca="false">INDEX(Risk_Matrix!$B$2:$D$4,MATCH(E263,Risk_Matrix!$A$2:$A$4,0),MATCH(F263,Risk_Matrix!$B$1:$D$1,0))</f>
        <v>Low</v>
      </c>
      <c r="H263" s="12" t="n">
        <v>46155</v>
      </c>
      <c r="I263" s="5" t="s">
        <v>2264</v>
      </c>
      <c r="J263" s="5" t="s">
        <v>2265</v>
      </c>
      <c r="K263" s="5" t="s">
        <v>2243</v>
      </c>
      <c r="L263" s="5" t="n">
        <f aca="false">IF(G263="High",3,IF(G263="Medium",2,1))</f>
        <v>1</v>
      </c>
    </row>
    <row r="264" customFormat="false" ht="15" hidden="false" customHeight="true" outlineLevel="0" collapsed="false">
      <c r="A264" s="5" t="s">
        <v>2540</v>
      </c>
      <c r="B264" s="5" t="s">
        <v>1086</v>
      </c>
      <c r="C264" s="5" t="s">
        <v>2259</v>
      </c>
      <c r="D264" s="5" t="s">
        <v>2274</v>
      </c>
      <c r="E264" s="5" t="s">
        <v>54</v>
      </c>
      <c r="F264" s="5" t="s">
        <v>2225</v>
      </c>
      <c r="G264" s="5" t="str">
        <f aca="false">INDEX(Risk_Matrix!$B$2:$D$4,MATCH(E264,Risk_Matrix!$A$2:$A$4,0),MATCH(F264,Risk_Matrix!$B$1:$D$1,0))</f>
        <v>High</v>
      </c>
      <c r="H264" s="12" t="n">
        <v>46125</v>
      </c>
      <c r="I264" s="5" t="s">
        <v>2256</v>
      </c>
      <c r="J264" s="5" t="s">
        <v>2257</v>
      </c>
      <c r="K264" s="5" t="s">
        <v>2266</v>
      </c>
      <c r="L264" s="5" t="n">
        <f aca="false">IF(G264="High",3,IF(G264="Medium",2,1))</f>
        <v>3</v>
      </c>
    </row>
    <row r="265" customFormat="false" ht="15" hidden="false" customHeight="true" outlineLevel="0" collapsed="false">
      <c r="A265" s="5" t="s">
        <v>2541</v>
      </c>
      <c r="B265" s="5" t="s">
        <v>1086</v>
      </c>
      <c r="C265" s="5" t="s">
        <v>2262</v>
      </c>
      <c r="D265" s="5" t="s">
        <v>2263</v>
      </c>
      <c r="E265" s="5" t="s">
        <v>2225</v>
      </c>
      <c r="F265" s="5" t="s">
        <v>2225</v>
      </c>
      <c r="G265" s="5" t="str">
        <f aca="false">INDEX(Risk_Matrix!$B$2:$D$4,MATCH(E265,Risk_Matrix!$A$2:$A$4,0),MATCH(F265,Risk_Matrix!$B$1:$D$1,0))</f>
        <v>Medium</v>
      </c>
      <c r="H265" s="12" t="n">
        <v>46076</v>
      </c>
      <c r="I265" s="5" t="s">
        <v>2250</v>
      </c>
      <c r="J265" s="5" t="s">
        <v>2251</v>
      </c>
      <c r="K265" s="5" t="s">
        <v>2283</v>
      </c>
      <c r="L265" s="5" t="n">
        <f aca="false">IF(G265="High",3,IF(G265="Medium",2,1))</f>
        <v>2</v>
      </c>
    </row>
    <row r="266" customFormat="false" ht="15" hidden="false" customHeight="true" outlineLevel="0" collapsed="false">
      <c r="A266" s="5" t="s">
        <v>2542</v>
      </c>
      <c r="B266" s="5" t="s">
        <v>1088</v>
      </c>
      <c r="C266" s="5" t="s">
        <v>2239</v>
      </c>
      <c r="D266" s="5" t="s">
        <v>2295</v>
      </c>
      <c r="E266" s="5" t="s">
        <v>2225</v>
      </c>
      <c r="F266" s="5" t="s">
        <v>2225</v>
      </c>
      <c r="G266" s="5" t="str">
        <f aca="false">INDEX(Risk_Matrix!$B$2:$D$4,MATCH(E266,Risk_Matrix!$A$2:$A$4,0),MATCH(F266,Risk_Matrix!$B$1:$D$1,0))</f>
        <v>Medium</v>
      </c>
      <c r="H266" s="12" t="n">
        <v>46150</v>
      </c>
      <c r="I266" s="5" t="s">
        <v>2256</v>
      </c>
      <c r="J266" s="5" t="s">
        <v>2257</v>
      </c>
      <c r="K266" s="5" t="s">
        <v>2243</v>
      </c>
      <c r="L266" s="5" t="n">
        <f aca="false">IF(G266="High",3,IF(G266="Medium",2,1))</f>
        <v>2</v>
      </c>
    </row>
    <row r="267" customFormat="false" ht="15" hidden="false" customHeight="true" outlineLevel="0" collapsed="false">
      <c r="A267" s="5" t="s">
        <v>2543</v>
      </c>
      <c r="B267" s="5" t="s">
        <v>1088</v>
      </c>
      <c r="C267" s="5" t="s">
        <v>2245</v>
      </c>
      <c r="D267" s="5" t="s">
        <v>2320</v>
      </c>
      <c r="E267" s="5" t="s">
        <v>2225</v>
      </c>
      <c r="F267" s="5" t="s">
        <v>59</v>
      </c>
      <c r="G267" s="5" t="str">
        <f aca="false">INDEX(Risk_Matrix!$B$2:$D$4,MATCH(E267,Risk_Matrix!$A$2:$A$4,0),MATCH(F267,Risk_Matrix!$B$1:$D$1,0))</f>
        <v>Low</v>
      </c>
      <c r="H267" s="12" t="n">
        <v>46172</v>
      </c>
      <c r="I267" s="5" t="s">
        <v>2256</v>
      </c>
      <c r="J267" s="5" t="s">
        <v>2257</v>
      </c>
      <c r="K267" s="5" t="s">
        <v>2266</v>
      </c>
      <c r="L267" s="5" t="n">
        <f aca="false">IF(G267="High",3,IF(G267="Medium",2,1))</f>
        <v>1</v>
      </c>
    </row>
    <row r="268" customFormat="false" ht="15" hidden="false" customHeight="true" outlineLevel="0" collapsed="false">
      <c r="A268" s="5" t="s">
        <v>2544</v>
      </c>
      <c r="B268" s="5" t="s">
        <v>1088</v>
      </c>
      <c r="C268" s="5" t="s">
        <v>2248</v>
      </c>
      <c r="D268" s="5" t="s">
        <v>2249</v>
      </c>
      <c r="E268" s="5" t="s">
        <v>59</v>
      </c>
      <c r="F268" s="5" t="s">
        <v>2225</v>
      </c>
      <c r="G268" s="5" t="str">
        <f aca="false">INDEX(Risk_Matrix!$B$2:$D$4,MATCH(E268,Risk_Matrix!$A$2:$A$4,0),MATCH(F268,Risk_Matrix!$B$1:$D$1,0))</f>
        <v>Low</v>
      </c>
      <c r="H268" s="12" t="n">
        <v>46204</v>
      </c>
      <c r="I268" s="5" t="s">
        <v>2264</v>
      </c>
      <c r="J268" s="5" t="s">
        <v>2265</v>
      </c>
      <c r="K268" s="5" t="s">
        <v>2252</v>
      </c>
      <c r="L268" s="5" t="n">
        <f aca="false">IF(G268="High",3,IF(G268="Medium",2,1))</f>
        <v>1</v>
      </c>
    </row>
    <row r="269" customFormat="false" ht="15" hidden="false" customHeight="true" outlineLevel="0" collapsed="false">
      <c r="A269" s="5" t="s">
        <v>2545</v>
      </c>
      <c r="B269" s="5" t="s">
        <v>1088</v>
      </c>
      <c r="C269" s="5" t="s">
        <v>2254</v>
      </c>
      <c r="D269" s="5" t="s">
        <v>2308</v>
      </c>
      <c r="E269" s="5" t="s">
        <v>59</v>
      </c>
      <c r="F269" s="5" t="s">
        <v>59</v>
      </c>
      <c r="G269" s="5" t="str">
        <f aca="false">INDEX(Risk_Matrix!$B$2:$D$4,MATCH(E269,Risk_Matrix!$A$2:$A$4,0),MATCH(F269,Risk_Matrix!$B$1:$D$1,0))</f>
        <v>Low</v>
      </c>
      <c r="H269" s="12" t="n">
        <v>46116</v>
      </c>
      <c r="I269" s="5" t="s">
        <v>2264</v>
      </c>
      <c r="J269" s="5" t="s">
        <v>2265</v>
      </c>
      <c r="K269" s="5" t="s">
        <v>2252</v>
      </c>
      <c r="L269" s="5" t="n">
        <f aca="false">IF(G269="High",3,IF(G269="Medium",2,1))</f>
        <v>1</v>
      </c>
    </row>
    <row r="270" customFormat="false" ht="15" hidden="false" customHeight="true" outlineLevel="0" collapsed="false">
      <c r="A270" s="5" t="s">
        <v>2546</v>
      </c>
      <c r="B270" s="5" t="s">
        <v>1088</v>
      </c>
      <c r="C270" s="5" t="s">
        <v>2259</v>
      </c>
      <c r="D270" s="5" t="s">
        <v>2260</v>
      </c>
      <c r="E270" s="5" t="s">
        <v>2225</v>
      </c>
      <c r="F270" s="5" t="s">
        <v>2225</v>
      </c>
      <c r="G270" s="5" t="str">
        <f aca="false">INDEX(Risk_Matrix!$B$2:$D$4,MATCH(E270,Risk_Matrix!$A$2:$A$4,0),MATCH(F270,Risk_Matrix!$B$1:$D$1,0))</f>
        <v>Medium</v>
      </c>
      <c r="H270" s="12" t="n">
        <v>46237</v>
      </c>
      <c r="I270" s="5" t="s">
        <v>2250</v>
      </c>
      <c r="J270" s="5" t="s">
        <v>2251</v>
      </c>
      <c r="K270" s="5" t="s">
        <v>2283</v>
      </c>
      <c r="L270" s="5" t="n">
        <f aca="false">IF(G270="High",3,IF(G270="Medium",2,1))</f>
        <v>2</v>
      </c>
    </row>
    <row r="271" customFormat="false" ht="15" hidden="false" customHeight="true" outlineLevel="0" collapsed="false">
      <c r="A271" s="5" t="s">
        <v>2547</v>
      </c>
      <c r="B271" s="5" t="s">
        <v>1088</v>
      </c>
      <c r="C271" s="5" t="s">
        <v>2262</v>
      </c>
      <c r="D271" s="5" t="s">
        <v>2311</v>
      </c>
      <c r="E271" s="5" t="s">
        <v>59</v>
      </c>
      <c r="F271" s="5" t="s">
        <v>54</v>
      </c>
      <c r="G271" s="5" t="str">
        <f aca="false">INDEX(Risk_Matrix!$B$2:$D$4,MATCH(E271,Risk_Matrix!$A$2:$A$4,0),MATCH(F271,Risk_Matrix!$B$1:$D$1,0))</f>
        <v>Medium</v>
      </c>
      <c r="H271" s="12" t="n">
        <v>46175</v>
      </c>
      <c r="I271" s="5" t="s">
        <v>2250</v>
      </c>
      <c r="J271" s="5" t="s">
        <v>2251</v>
      </c>
      <c r="K271" s="5" t="s">
        <v>2266</v>
      </c>
      <c r="L271" s="5" t="n">
        <f aca="false">IF(G271="High",3,IF(G271="Medium",2,1))</f>
        <v>2</v>
      </c>
    </row>
    <row r="272" customFormat="false" ht="15" hidden="false" customHeight="true" outlineLevel="0" collapsed="false">
      <c r="A272" s="5" t="s">
        <v>2548</v>
      </c>
      <c r="B272" s="5" t="s">
        <v>1090</v>
      </c>
      <c r="C272" s="5" t="s">
        <v>2239</v>
      </c>
      <c r="D272" s="5" t="s">
        <v>2295</v>
      </c>
      <c r="E272" s="5" t="s">
        <v>2225</v>
      </c>
      <c r="F272" s="5" t="s">
        <v>59</v>
      </c>
      <c r="G272" s="5" t="str">
        <f aca="false">INDEX(Risk_Matrix!$B$2:$D$4,MATCH(E272,Risk_Matrix!$A$2:$A$4,0),MATCH(F272,Risk_Matrix!$B$1:$D$1,0))</f>
        <v>Low</v>
      </c>
      <c r="H272" s="12" t="n">
        <v>46078</v>
      </c>
      <c r="I272" s="5" t="s">
        <v>2256</v>
      </c>
      <c r="J272" s="5" t="s">
        <v>2257</v>
      </c>
      <c r="K272" s="5" t="s">
        <v>2266</v>
      </c>
      <c r="L272" s="5" t="n">
        <f aca="false">IF(G272="High",3,IF(G272="Medium",2,1))</f>
        <v>1</v>
      </c>
    </row>
    <row r="273" customFormat="false" ht="15" hidden="false" customHeight="true" outlineLevel="0" collapsed="false">
      <c r="A273" s="5" t="s">
        <v>2549</v>
      </c>
      <c r="B273" s="5" t="s">
        <v>1090</v>
      </c>
      <c r="C273" s="5" t="s">
        <v>2245</v>
      </c>
      <c r="D273" s="5" t="s">
        <v>2269</v>
      </c>
      <c r="E273" s="5" t="s">
        <v>59</v>
      </c>
      <c r="F273" s="5" t="s">
        <v>2225</v>
      </c>
      <c r="G273" s="5" t="str">
        <f aca="false">INDEX(Risk_Matrix!$B$2:$D$4,MATCH(E273,Risk_Matrix!$A$2:$A$4,0),MATCH(F273,Risk_Matrix!$B$1:$D$1,0))</f>
        <v>Low</v>
      </c>
      <c r="H273" s="12" t="n">
        <v>46133</v>
      </c>
      <c r="I273" s="5" t="s">
        <v>2264</v>
      </c>
      <c r="J273" s="5" t="s">
        <v>2265</v>
      </c>
      <c r="K273" s="5" t="s">
        <v>2266</v>
      </c>
      <c r="L273" s="5" t="n">
        <f aca="false">IF(G273="High",3,IF(G273="Medium",2,1))</f>
        <v>1</v>
      </c>
    </row>
    <row r="274" customFormat="false" ht="15" hidden="false" customHeight="true" outlineLevel="0" collapsed="false">
      <c r="A274" s="5" t="s">
        <v>2550</v>
      </c>
      <c r="B274" s="5" t="s">
        <v>1090</v>
      </c>
      <c r="C274" s="5" t="s">
        <v>2248</v>
      </c>
      <c r="D274" s="5" t="s">
        <v>2306</v>
      </c>
      <c r="E274" s="5" t="s">
        <v>59</v>
      </c>
      <c r="F274" s="5" t="s">
        <v>59</v>
      </c>
      <c r="G274" s="5" t="str">
        <f aca="false">INDEX(Risk_Matrix!$B$2:$D$4,MATCH(E274,Risk_Matrix!$A$2:$A$4,0),MATCH(F274,Risk_Matrix!$B$1:$D$1,0))</f>
        <v>Low</v>
      </c>
      <c r="H274" s="12" t="n">
        <v>46080</v>
      </c>
      <c r="I274" s="5" t="s">
        <v>2250</v>
      </c>
      <c r="J274" s="5" t="s">
        <v>2251</v>
      </c>
      <c r="K274" s="5" t="s">
        <v>2243</v>
      </c>
      <c r="L274" s="5" t="n">
        <f aca="false">IF(G274="High",3,IF(G274="Medium",2,1))</f>
        <v>1</v>
      </c>
    </row>
    <row r="275" customFormat="false" ht="15" hidden="false" customHeight="true" outlineLevel="0" collapsed="false">
      <c r="A275" s="5" t="s">
        <v>2551</v>
      </c>
      <c r="B275" s="5" t="s">
        <v>1090</v>
      </c>
      <c r="C275" s="5" t="s">
        <v>2254</v>
      </c>
      <c r="D275" s="5" t="s">
        <v>2308</v>
      </c>
      <c r="E275" s="5" t="s">
        <v>2225</v>
      </c>
      <c r="F275" s="5" t="s">
        <v>59</v>
      </c>
      <c r="G275" s="5" t="str">
        <f aca="false">INDEX(Risk_Matrix!$B$2:$D$4,MATCH(E275,Risk_Matrix!$A$2:$A$4,0),MATCH(F275,Risk_Matrix!$B$1:$D$1,0))</f>
        <v>Low</v>
      </c>
      <c r="H275" s="12" t="n">
        <v>46200</v>
      </c>
      <c r="I275" s="5" t="s">
        <v>2256</v>
      </c>
      <c r="J275" s="5" t="s">
        <v>2257</v>
      </c>
      <c r="K275" s="5" t="s">
        <v>2276</v>
      </c>
      <c r="L275" s="5" t="n">
        <f aca="false">IF(G275="High",3,IF(G275="Medium",2,1))</f>
        <v>1</v>
      </c>
    </row>
    <row r="276" customFormat="false" ht="15" hidden="false" customHeight="true" outlineLevel="0" collapsed="false">
      <c r="A276" s="5" t="s">
        <v>2552</v>
      </c>
      <c r="B276" s="5" t="s">
        <v>1090</v>
      </c>
      <c r="C276" s="5" t="s">
        <v>2259</v>
      </c>
      <c r="D276" s="5" t="s">
        <v>2285</v>
      </c>
      <c r="E276" s="5" t="s">
        <v>59</v>
      </c>
      <c r="F276" s="5" t="s">
        <v>54</v>
      </c>
      <c r="G276" s="5" t="str">
        <f aca="false">INDEX(Risk_Matrix!$B$2:$D$4,MATCH(E276,Risk_Matrix!$A$2:$A$4,0),MATCH(F276,Risk_Matrix!$B$1:$D$1,0))</f>
        <v>Medium</v>
      </c>
      <c r="H276" s="12" t="n">
        <v>46206</v>
      </c>
      <c r="I276" s="5" t="s">
        <v>2256</v>
      </c>
      <c r="J276" s="5" t="s">
        <v>2257</v>
      </c>
      <c r="K276" s="5" t="s">
        <v>2243</v>
      </c>
      <c r="L276" s="5" t="n">
        <f aca="false">IF(G276="High",3,IF(G276="Medium",2,1))</f>
        <v>2</v>
      </c>
    </row>
    <row r="277" customFormat="false" ht="15" hidden="false" customHeight="true" outlineLevel="0" collapsed="false">
      <c r="A277" s="5" t="s">
        <v>2553</v>
      </c>
      <c r="B277" s="5" t="s">
        <v>1090</v>
      </c>
      <c r="C277" s="5" t="s">
        <v>2262</v>
      </c>
      <c r="D277" s="5" t="s">
        <v>2263</v>
      </c>
      <c r="E277" s="5" t="s">
        <v>59</v>
      </c>
      <c r="F277" s="5" t="s">
        <v>59</v>
      </c>
      <c r="G277" s="5" t="str">
        <f aca="false">INDEX(Risk_Matrix!$B$2:$D$4,MATCH(E277,Risk_Matrix!$A$2:$A$4,0),MATCH(F277,Risk_Matrix!$B$1:$D$1,0))</f>
        <v>Low</v>
      </c>
      <c r="H277" s="12" t="n">
        <v>46183</v>
      </c>
      <c r="I277" s="5" t="s">
        <v>2256</v>
      </c>
      <c r="J277" s="5" t="s">
        <v>2257</v>
      </c>
      <c r="K277" s="5" t="s">
        <v>2252</v>
      </c>
      <c r="L277" s="5" t="n">
        <f aca="false">IF(G277="High",3,IF(G277="Medium",2,1))</f>
        <v>1</v>
      </c>
    </row>
    <row r="278" customFormat="false" ht="15" hidden="false" customHeight="true" outlineLevel="0" collapsed="false">
      <c r="A278" s="5" t="s">
        <v>2554</v>
      </c>
      <c r="B278" s="5" t="s">
        <v>1093</v>
      </c>
      <c r="C278" s="5" t="s">
        <v>2239</v>
      </c>
      <c r="D278" s="5" t="s">
        <v>2295</v>
      </c>
      <c r="E278" s="5" t="s">
        <v>59</v>
      </c>
      <c r="F278" s="5" t="s">
        <v>2225</v>
      </c>
      <c r="G278" s="5" t="str">
        <f aca="false">INDEX(Risk_Matrix!$B$2:$D$4,MATCH(E278,Risk_Matrix!$A$2:$A$4,0),MATCH(F278,Risk_Matrix!$B$1:$D$1,0))</f>
        <v>Low</v>
      </c>
      <c r="H278" s="12" t="n">
        <v>46120</v>
      </c>
      <c r="I278" s="5" t="s">
        <v>2241</v>
      </c>
      <c r="J278" s="5" t="s">
        <v>2242</v>
      </c>
      <c r="K278" s="5" t="s">
        <v>2276</v>
      </c>
      <c r="L278" s="5" t="n">
        <f aca="false">IF(G278="High",3,IF(G278="Medium",2,1))</f>
        <v>1</v>
      </c>
    </row>
    <row r="279" customFormat="false" ht="15" hidden="false" customHeight="true" outlineLevel="0" collapsed="false">
      <c r="A279" s="5" t="s">
        <v>2555</v>
      </c>
      <c r="B279" s="5" t="s">
        <v>1093</v>
      </c>
      <c r="C279" s="5" t="s">
        <v>2245</v>
      </c>
      <c r="D279" s="5" t="s">
        <v>2269</v>
      </c>
      <c r="E279" s="5" t="s">
        <v>59</v>
      </c>
      <c r="F279" s="5" t="s">
        <v>2225</v>
      </c>
      <c r="G279" s="5" t="str">
        <f aca="false">INDEX(Risk_Matrix!$B$2:$D$4,MATCH(E279,Risk_Matrix!$A$2:$A$4,0),MATCH(F279,Risk_Matrix!$B$1:$D$1,0))</f>
        <v>Low</v>
      </c>
      <c r="H279" s="12" t="n">
        <v>46170</v>
      </c>
      <c r="I279" s="5" t="s">
        <v>2256</v>
      </c>
      <c r="J279" s="5" t="s">
        <v>2257</v>
      </c>
      <c r="K279" s="5" t="s">
        <v>2243</v>
      </c>
      <c r="L279" s="5" t="n">
        <f aca="false">IF(G279="High",3,IF(G279="Medium",2,1))</f>
        <v>1</v>
      </c>
    </row>
    <row r="280" customFormat="false" ht="15" hidden="false" customHeight="true" outlineLevel="0" collapsed="false">
      <c r="A280" s="5" t="s">
        <v>2556</v>
      </c>
      <c r="B280" s="5" t="s">
        <v>1093</v>
      </c>
      <c r="C280" s="5" t="s">
        <v>2248</v>
      </c>
      <c r="D280" s="5" t="s">
        <v>2306</v>
      </c>
      <c r="E280" s="5" t="s">
        <v>2225</v>
      </c>
      <c r="F280" s="5" t="s">
        <v>59</v>
      </c>
      <c r="G280" s="5" t="str">
        <f aca="false">INDEX(Risk_Matrix!$B$2:$D$4,MATCH(E280,Risk_Matrix!$A$2:$A$4,0),MATCH(F280,Risk_Matrix!$B$1:$D$1,0))</f>
        <v>Low</v>
      </c>
      <c r="H280" s="12" t="n">
        <v>46174</v>
      </c>
      <c r="I280" s="5" t="s">
        <v>2264</v>
      </c>
      <c r="J280" s="5" t="s">
        <v>2265</v>
      </c>
      <c r="K280" s="5" t="s">
        <v>2243</v>
      </c>
      <c r="L280" s="5" t="n">
        <f aca="false">IF(G280="High",3,IF(G280="Medium",2,1))</f>
        <v>1</v>
      </c>
    </row>
    <row r="281" customFormat="false" ht="15" hidden="false" customHeight="true" outlineLevel="0" collapsed="false">
      <c r="A281" s="5" t="s">
        <v>2557</v>
      </c>
      <c r="B281" s="5" t="s">
        <v>1093</v>
      </c>
      <c r="C281" s="5" t="s">
        <v>2254</v>
      </c>
      <c r="D281" s="5" t="s">
        <v>2255</v>
      </c>
      <c r="E281" s="5" t="s">
        <v>59</v>
      </c>
      <c r="F281" s="5" t="s">
        <v>2225</v>
      </c>
      <c r="G281" s="5" t="str">
        <f aca="false">INDEX(Risk_Matrix!$B$2:$D$4,MATCH(E281,Risk_Matrix!$A$2:$A$4,0),MATCH(F281,Risk_Matrix!$B$1:$D$1,0))</f>
        <v>Low</v>
      </c>
      <c r="H281" s="12" t="n">
        <v>46125</v>
      </c>
      <c r="I281" s="5" t="s">
        <v>2256</v>
      </c>
      <c r="J281" s="5" t="s">
        <v>2257</v>
      </c>
      <c r="K281" s="5" t="s">
        <v>2266</v>
      </c>
      <c r="L281" s="5" t="n">
        <f aca="false">IF(G281="High",3,IF(G281="Medium",2,1))</f>
        <v>1</v>
      </c>
    </row>
    <row r="282" customFormat="false" ht="15" hidden="false" customHeight="true" outlineLevel="0" collapsed="false">
      <c r="A282" s="5" t="s">
        <v>2558</v>
      </c>
      <c r="B282" s="5" t="s">
        <v>1093</v>
      </c>
      <c r="C282" s="5" t="s">
        <v>2259</v>
      </c>
      <c r="D282" s="5" t="s">
        <v>2285</v>
      </c>
      <c r="E282" s="5" t="s">
        <v>54</v>
      </c>
      <c r="F282" s="5" t="s">
        <v>59</v>
      </c>
      <c r="G282" s="5" t="str">
        <f aca="false">INDEX(Risk_Matrix!$B$2:$D$4,MATCH(E282,Risk_Matrix!$A$2:$A$4,0),MATCH(F282,Risk_Matrix!$B$1:$D$1,0))</f>
        <v>Medium</v>
      </c>
      <c r="H282" s="12" t="n">
        <v>46214</v>
      </c>
      <c r="I282" s="5" t="s">
        <v>2250</v>
      </c>
      <c r="J282" s="5" t="s">
        <v>2251</v>
      </c>
      <c r="K282" s="5" t="s">
        <v>2283</v>
      </c>
      <c r="L282" s="5" t="n">
        <f aca="false">IF(G282="High",3,IF(G282="Medium",2,1))</f>
        <v>2</v>
      </c>
    </row>
    <row r="283" customFormat="false" ht="15" hidden="false" customHeight="true" outlineLevel="0" collapsed="false">
      <c r="A283" s="5" t="s">
        <v>2559</v>
      </c>
      <c r="B283" s="5" t="s">
        <v>1093</v>
      </c>
      <c r="C283" s="5" t="s">
        <v>2262</v>
      </c>
      <c r="D283" s="5" t="s">
        <v>2263</v>
      </c>
      <c r="E283" s="5" t="s">
        <v>54</v>
      </c>
      <c r="F283" s="5" t="s">
        <v>59</v>
      </c>
      <c r="G283" s="5" t="str">
        <f aca="false">INDEX(Risk_Matrix!$B$2:$D$4,MATCH(E283,Risk_Matrix!$A$2:$A$4,0),MATCH(F283,Risk_Matrix!$B$1:$D$1,0))</f>
        <v>Medium</v>
      </c>
      <c r="H283" s="12" t="n">
        <v>46159</v>
      </c>
      <c r="I283" s="5" t="s">
        <v>2250</v>
      </c>
      <c r="J283" s="5" t="s">
        <v>2251</v>
      </c>
      <c r="K283" s="5" t="s">
        <v>2252</v>
      </c>
      <c r="L283" s="5" t="n">
        <f aca="false">IF(G283="High",3,IF(G283="Medium",2,1))</f>
        <v>2</v>
      </c>
    </row>
    <row r="284" customFormat="false" ht="15" hidden="false" customHeight="true" outlineLevel="0" collapsed="false">
      <c r="A284" s="5" t="s">
        <v>2560</v>
      </c>
      <c r="B284" s="5" t="s">
        <v>1095</v>
      </c>
      <c r="C284" s="5" t="s">
        <v>2239</v>
      </c>
      <c r="D284" s="5" t="s">
        <v>2303</v>
      </c>
      <c r="E284" s="5" t="s">
        <v>2225</v>
      </c>
      <c r="F284" s="5" t="s">
        <v>59</v>
      </c>
      <c r="G284" s="5" t="str">
        <f aca="false">INDEX(Risk_Matrix!$B$2:$D$4,MATCH(E284,Risk_Matrix!$A$2:$A$4,0),MATCH(F284,Risk_Matrix!$B$1:$D$1,0))</f>
        <v>Low</v>
      </c>
      <c r="H284" s="12" t="n">
        <v>46105</v>
      </c>
      <c r="I284" s="5" t="s">
        <v>2264</v>
      </c>
      <c r="J284" s="5" t="s">
        <v>2265</v>
      </c>
      <c r="K284" s="5" t="s">
        <v>2276</v>
      </c>
      <c r="L284" s="5" t="n">
        <f aca="false">IF(G284="High",3,IF(G284="Medium",2,1))</f>
        <v>1</v>
      </c>
    </row>
    <row r="285" customFormat="false" ht="15" hidden="false" customHeight="true" outlineLevel="0" collapsed="false">
      <c r="A285" s="5" t="s">
        <v>2561</v>
      </c>
      <c r="B285" s="5" t="s">
        <v>1095</v>
      </c>
      <c r="C285" s="5" t="s">
        <v>2245</v>
      </c>
      <c r="D285" s="5" t="s">
        <v>2269</v>
      </c>
      <c r="E285" s="5" t="s">
        <v>59</v>
      </c>
      <c r="F285" s="5" t="s">
        <v>59</v>
      </c>
      <c r="G285" s="5" t="str">
        <f aca="false">INDEX(Risk_Matrix!$B$2:$D$4,MATCH(E285,Risk_Matrix!$A$2:$A$4,0),MATCH(F285,Risk_Matrix!$B$1:$D$1,0))</f>
        <v>Low</v>
      </c>
      <c r="H285" s="12" t="n">
        <v>46225</v>
      </c>
      <c r="I285" s="5" t="s">
        <v>2256</v>
      </c>
      <c r="J285" s="5" t="s">
        <v>2257</v>
      </c>
      <c r="K285" s="5" t="s">
        <v>2266</v>
      </c>
      <c r="L285" s="5" t="n">
        <f aca="false">IF(G285="High",3,IF(G285="Medium",2,1))</f>
        <v>1</v>
      </c>
    </row>
    <row r="286" customFormat="false" ht="15" hidden="false" customHeight="true" outlineLevel="0" collapsed="false">
      <c r="A286" s="5" t="s">
        <v>2562</v>
      </c>
      <c r="B286" s="5" t="s">
        <v>1095</v>
      </c>
      <c r="C286" s="5" t="s">
        <v>2248</v>
      </c>
      <c r="D286" s="5" t="s">
        <v>2306</v>
      </c>
      <c r="E286" s="5" t="s">
        <v>59</v>
      </c>
      <c r="F286" s="5" t="s">
        <v>59</v>
      </c>
      <c r="G286" s="5" t="str">
        <f aca="false">INDEX(Risk_Matrix!$B$2:$D$4,MATCH(E286,Risk_Matrix!$A$2:$A$4,0),MATCH(F286,Risk_Matrix!$B$1:$D$1,0))</f>
        <v>Low</v>
      </c>
      <c r="H286" s="12" t="n">
        <v>46168</v>
      </c>
      <c r="I286" s="5" t="s">
        <v>2256</v>
      </c>
      <c r="J286" s="5" t="s">
        <v>2257</v>
      </c>
      <c r="K286" s="5" t="s">
        <v>2283</v>
      </c>
      <c r="L286" s="5" t="n">
        <f aca="false">IF(G286="High",3,IF(G286="Medium",2,1))</f>
        <v>1</v>
      </c>
    </row>
    <row r="287" customFormat="false" ht="15" hidden="false" customHeight="true" outlineLevel="0" collapsed="false">
      <c r="A287" s="5" t="s">
        <v>2563</v>
      </c>
      <c r="B287" s="5" t="s">
        <v>1095</v>
      </c>
      <c r="C287" s="5" t="s">
        <v>2254</v>
      </c>
      <c r="D287" s="5" t="s">
        <v>2255</v>
      </c>
      <c r="E287" s="5" t="s">
        <v>59</v>
      </c>
      <c r="F287" s="5" t="s">
        <v>59</v>
      </c>
      <c r="G287" s="5" t="str">
        <f aca="false">INDEX(Risk_Matrix!$B$2:$D$4,MATCH(E287,Risk_Matrix!$A$2:$A$4,0),MATCH(F287,Risk_Matrix!$B$1:$D$1,0))</f>
        <v>Low</v>
      </c>
      <c r="H287" s="12" t="n">
        <v>46090</v>
      </c>
      <c r="I287" s="5" t="s">
        <v>2241</v>
      </c>
      <c r="J287" s="5" t="s">
        <v>2242</v>
      </c>
      <c r="K287" s="5" t="s">
        <v>2243</v>
      </c>
      <c r="L287" s="5" t="n">
        <f aca="false">IF(G287="High",3,IF(G287="Medium",2,1))</f>
        <v>1</v>
      </c>
    </row>
    <row r="288" customFormat="false" ht="15" hidden="false" customHeight="true" outlineLevel="0" collapsed="false">
      <c r="A288" s="5" t="s">
        <v>2564</v>
      </c>
      <c r="B288" s="5" t="s">
        <v>1095</v>
      </c>
      <c r="C288" s="5" t="s">
        <v>2259</v>
      </c>
      <c r="D288" s="5" t="s">
        <v>2285</v>
      </c>
      <c r="E288" s="5" t="s">
        <v>2225</v>
      </c>
      <c r="F288" s="5" t="s">
        <v>59</v>
      </c>
      <c r="G288" s="5" t="str">
        <f aca="false">INDEX(Risk_Matrix!$B$2:$D$4,MATCH(E288,Risk_Matrix!$A$2:$A$4,0),MATCH(F288,Risk_Matrix!$B$1:$D$1,0))</f>
        <v>Low</v>
      </c>
      <c r="H288" s="12" t="n">
        <v>46198</v>
      </c>
      <c r="I288" s="5" t="s">
        <v>2256</v>
      </c>
      <c r="J288" s="5" t="s">
        <v>2257</v>
      </c>
      <c r="K288" s="5" t="s">
        <v>2243</v>
      </c>
      <c r="L288" s="5" t="n">
        <f aca="false">IF(G288="High",3,IF(G288="Medium",2,1))</f>
        <v>1</v>
      </c>
    </row>
    <row r="289" customFormat="false" ht="15" hidden="false" customHeight="true" outlineLevel="0" collapsed="false">
      <c r="A289" s="5" t="s">
        <v>2565</v>
      </c>
      <c r="B289" s="5" t="s">
        <v>1095</v>
      </c>
      <c r="C289" s="5" t="s">
        <v>2262</v>
      </c>
      <c r="D289" s="5" t="s">
        <v>2287</v>
      </c>
      <c r="E289" s="5" t="s">
        <v>2225</v>
      </c>
      <c r="F289" s="5" t="s">
        <v>59</v>
      </c>
      <c r="G289" s="5" t="str">
        <f aca="false">INDEX(Risk_Matrix!$B$2:$D$4,MATCH(E289,Risk_Matrix!$A$2:$A$4,0),MATCH(F289,Risk_Matrix!$B$1:$D$1,0))</f>
        <v>Low</v>
      </c>
      <c r="H289" s="12" t="n">
        <v>46078</v>
      </c>
      <c r="I289" s="5" t="s">
        <v>2241</v>
      </c>
      <c r="J289" s="5" t="s">
        <v>2242</v>
      </c>
      <c r="K289" s="5" t="s">
        <v>2276</v>
      </c>
      <c r="L289" s="5" t="n">
        <f aca="false">IF(G289="High",3,IF(G289="Medium",2,1))</f>
        <v>1</v>
      </c>
    </row>
    <row r="290" customFormat="false" ht="15" hidden="false" customHeight="true" outlineLevel="0" collapsed="false">
      <c r="A290" s="5" t="s">
        <v>2566</v>
      </c>
      <c r="B290" s="5" t="s">
        <v>1098</v>
      </c>
      <c r="C290" s="5" t="s">
        <v>2239</v>
      </c>
      <c r="D290" s="5" t="s">
        <v>2240</v>
      </c>
      <c r="E290" s="5" t="s">
        <v>59</v>
      </c>
      <c r="F290" s="5" t="s">
        <v>59</v>
      </c>
      <c r="G290" s="5" t="str">
        <f aca="false">INDEX(Risk_Matrix!$B$2:$D$4,MATCH(E290,Risk_Matrix!$A$2:$A$4,0),MATCH(F290,Risk_Matrix!$B$1:$D$1,0))</f>
        <v>Low</v>
      </c>
      <c r="H290" s="12" t="n">
        <v>46211</v>
      </c>
      <c r="I290" s="5" t="s">
        <v>2250</v>
      </c>
      <c r="J290" s="5" t="s">
        <v>2251</v>
      </c>
      <c r="K290" s="5" t="s">
        <v>2266</v>
      </c>
      <c r="L290" s="5" t="n">
        <f aca="false">IF(G290="High",3,IF(G290="Medium",2,1))</f>
        <v>1</v>
      </c>
    </row>
    <row r="291" customFormat="false" ht="15" hidden="false" customHeight="true" outlineLevel="0" collapsed="false">
      <c r="A291" s="5" t="s">
        <v>2567</v>
      </c>
      <c r="B291" s="5" t="s">
        <v>1098</v>
      </c>
      <c r="C291" s="5" t="s">
        <v>2245</v>
      </c>
      <c r="D291" s="5" t="s">
        <v>2280</v>
      </c>
      <c r="E291" s="5" t="s">
        <v>59</v>
      </c>
      <c r="F291" s="5" t="s">
        <v>54</v>
      </c>
      <c r="G291" s="5" t="str">
        <f aca="false">INDEX(Risk_Matrix!$B$2:$D$4,MATCH(E291,Risk_Matrix!$A$2:$A$4,0),MATCH(F291,Risk_Matrix!$B$1:$D$1,0))</f>
        <v>Medium</v>
      </c>
      <c r="H291" s="12" t="n">
        <v>46150</v>
      </c>
      <c r="I291" s="5" t="s">
        <v>2264</v>
      </c>
      <c r="J291" s="5" t="s">
        <v>2265</v>
      </c>
      <c r="K291" s="5" t="s">
        <v>2243</v>
      </c>
      <c r="L291" s="5" t="n">
        <f aca="false">IF(G291="High",3,IF(G291="Medium",2,1))</f>
        <v>2</v>
      </c>
    </row>
    <row r="292" customFormat="false" ht="15" hidden="false" customHeight="true" outlineLevel="0" collapsed="false">
      <c r="A292" s="5" t="s">
        <v>2568</v>
      </c>
      <c r="B292" s="5" t="s">
        <v>1098</v>
      </c>
      <c r="C292" s="5" t="s">
        <v>2248</v>
      </c>
      <c r="D292" s="5" t="s">
        <v>2322</v>
      </c>
      <c r="E292" s="5" t="s">
        <v>59</v>
      </c>
      <c r="F292" s="5" t="s">
        <v>59</v>
      </c>
      <c r="G292" s="5" t="str">
        <f aca="false">INDEX(Risk_Matrix!$B$2:$D$4,MATCH(E292,Risk_Matrix!$A$2:$A$4,0),MATCH(F292,Risk_Matrix!$B$1:$D$1,0))</f>
        <v>Low</v>
      </c>
      <c r="H292" s="12" t="n">
        <v>46174</v>
      </c>
      <c r="I292" s="5" t="s">
        <v>2250</v>
      </c>
      <c r="J292" s="5" t="s">
        <v>2251</v>
      </c>
      <c r="K292" s="5" t="s">
        <v>2276</v>
      </c>
      <c r="L292" s="5" t="n">
        <f aca="false">IF(G292="High",3,IF(G292="Medium",2,1))</f>
        <v>1</v>
      </c>
    </row>
    <row r="293" customFormat="false" ht="15" hidden="false" customHeight="true" outlineLevel="0" collapsed="false">
      <c r="A293" s="5" t="s">
        <v>2569</v>
      </c>
      <c r="B293" s="5" t="s">
        <v>1098</v>
      </c>
      <c r="C293" s="5" t="s">
        <v>2254</v>
      </c>
      <c r="D293" s="5" t="s">
        <v>2308</v>
      </c>
      <c r="E293" s="5" t="s">
        <v>2225</v>
      </c>
      <c r="F293" s="5" t="s">
        <v>2225</v>
      </c>
      <c r="G293" s="5" t="str">
        <f aca="false">INDEX(Risk_Matrix!$B$2:$D$4,MATCH(E293,Risk_Matrix!$A$2:$A$4,0),MATCH(F293,Risk_Matrix!$B$1:$D$1,0))</f>
        <v>Medium</v>
      </c>
      <c r="H293" s="12" t="n">
        <v>46113</v>
      </c>
      <c r="I293" s="5" t="s">
        <v>2250</v>
      </c>
      <c r="J293" s="5" t="s">
        <v>2251</v>
      </c>
      <c r="K293" s="5" t="s">
        <v>2266</v>
      </c>
      <c r="L293" s="5" t="n">
        <f aca="false">IF(G293="High",3,IF(G293="Medium",2,1))</f>
        <v>2</v>
      </c>
    </row>
    <row r="294" customFormat="false" ht="15" hidden="false" customHeight="true" outlineLevel="0" collapsed="false">
      <c r="A294" s="5" t="s">
        <v>2570</v>
      </c>
      <c r="B294" s="5" t="s">
        <v>1098</v>
      </c>
      <c r="C294" s="5" t="s">
        <v>2259</v>
      </c>
      <c r="D294" s="5" t="s">
        <v>2285</v>
      </c>
      <c r="E294" s="5" t="s">
        <v>59</v>
      </c>
      <c r="F294" s="5" t="s">
        <v>59</v>
      </c>
      <c r="G294" s="5" t="str">
        <f aca="false">INDEX(Risk_Matrix!$B$2:$D$4,MATCH(E294,Risk_Matrix!$A$2:$A$4,0),MATCH(F294,Risk_Matrix!$B$1:$D$1,0))</f>
        <v>Low</v>
      </c>
      <c r="H294" s="12" t="n">
        <v>46168</v>
      </c>
      <c r="I294" s="5" t="s">
        <v>2250</v>
      </c>
      <c r="J294" s="5" t="s">
        <v>2251</v>
      </c>
      <c r="K294" s="5" t="s">
        <v>2283</v>
      </c>
      <c r="L294" s="5" t="n">
        <f aca="false">IF(G294="High",3,IF(G294="Medium",2,1))</f>
        <v>1</v>
      </c>
    </row>
    <row r="295" customFormat="false" ht="15" hidden="false" customHeight="true" outlineLevel="0" collapsed="false">
      <c r="A295" s="5" t="s">
        <v>2571</v>
      </c>
      <c r="B295" s="5" t="s">
        <v>1098</v>
      </c>
      <c r="C295" s="5" t="s">
        <v>2262</v>
      </c>
      <c r="D295" s="5" t="s">
        <v>2263</v>
      </c>
      <c r="E295" s="5" t="s">
        <v>59</v>
      </c>
      <c r="F295" s="5" t="s">
        <v>2225</v>
      </c>
      <c r="G295" s="5" t="str">
        <f aca="false">INDEX(Risk_Matrix!$B$2:$D$4,MATCH(E295,Risk_Matrix!$A$2:$A$4,0),MATCH(F295,Risk_Matrix!$B$1:$D$1,0))</f>
        <v>Low</v>
      </c>
      <c r="H295" s="12" t="n">
        <v>46171</v>
      </c>
      <c r="I295" s="5" t="s">
        <v>2250</v>
      </c>
      <c r="J295" s="5" t="s">
        <v>2251</v>
      </c>
      <c r="K295" s="5" t="s">
        <v>2283</v>
      </c>
      <c r="L295" s="5" t="n">
        <f aca="false">IF(G295="High",3,IF(G295="Medium",2,1))</f>
        <v>1</v>
      </c>
    </row>
    <row r="296" customFormat="false" ht="15" hidden="false" customHeight="true" outlineLevel="0" collapsed="false">
      <c r="A296" s="5" t="s">
        <v>2572</v>
      </c>
      <c r="B296" s="5" t="s">
        <v>1100</v>
      </c>
      <c r="C296" s="5" t="s">
        <v>2239</v>
      </c>
      <c r="D296" s="5" t="s">
        <v>2278</v>
      </c>
      <c r="E296" s="5" t="s">
        <v>59</v>
      </c>
      <c r="F296" s="5" t="s">
        <v>2225</v>
      </c>
      <c r="G296" s="5" t="str">
        <f aca="false">INDEX(Risk_Matrix!$B$2:$D$4,MATCH(E296,Risk_Matrix!$A$2:$A$4,0),MATCH(F296,Risk_Matrix!$B$1:$D$1,0))</f>
        <v>Low</v>
      </c>
      <c r="H296" s="12" t="n">
        <v>46191</v>
      </c>
      <c r="I296" s="5" t="s">
        <v>2250</v>
      </c>
      <c r="J296" s="5" t="s">
        <v>2251</v>
      </c>
      <c r="K296" s="5" t="s">
        <v>2276</v>
      </c>
      <c r="L296" s="5" t="n">
        <f aca="false">IF(G296="High",3,IF(G296="Medium",2,1))</f>
        <v>1</v>
      </c>
    </row>
    <row r="297" customFormat="false" ht="15" hidden="false" customHeight="true" outlineLevel="0" collapsed="false">
      <c r="A297" s="5" t="s">
        <v>2573</v>
      </c>
      <c r="B297" s="5" t="s">
        <v>1100</v>
      </c>
      <c r="C297" s="5" t="s">
        <v>2245</v>
      </c>
      <c r="D297" s="5" t="s">
        <v>2269</v>
      </c>
      <c r="E297" s="5" t="s">
        <v>2225</v>
      </c>
      <c r="F297" s="5" t="s">
        <v>59</v>
      </c>
      <c r="G297" s="5" t="str">
        <f aca="false">INDEX(Risk_Matrix!$B$2:$D$4,MATCH(E297,Risk_Matrix!$A$2:$A$4,0),MATCH(F297,Risk_Matrix!$B$1:$D$1,0))</f>
        <v>Low</v>
      </c>
      <c r="H297" s="12" t="n">
        <v>46070</v>
      </c>
      <c r="I297" s="5" t="s">
        <v>2250</v>
      </c>
      <c r="J297" s="5" t="s">
        <v>2251</v>
      </c>
      <c r="K297" s="5" t="s">
        <v>2283</v>
      </c>
      <c r="L297" s="5" t="n">
        <f aca="false">IF(G297="High",3,IF(G297="Medium",2,1))</f>
        <v>1</v>
      </c>
    </row>
    <row r="298" customFormat="false" ht="15" hidden="false" customHeight="true" outlineLevel="0" collapsed="false">
      <c r="A298" s="5" t="s">
        <v>2574</v>
      </c>
      <c r="B298" s="5" t="s">
        <v>1100</v>
      </c>
      <c r="C298" s="5" t="s">
        <v>2248</v>
      </c>
      <c r="D298" s="5" t="s">
        <v>2271</v>
      </c>
      <c r="E298" s="5" t="s">
        <v>59</v>
      </c>
      <c r="F298" s="5" t="s">
        <v>2225</v>
      </c>
      <c r="G298" s="5" t="str">
        <f aca="false">INDEX(Risk_Matrix!$B$2:$D$4,MATCH(E298,Risk_Matrix!$A$2:$A$4,0),MATCH(F298,Risk_Matrix!$B$1:$D$1,0))</f>
        <v>Low</v>
      </c>
      <c r="H298" s="12" t="n">
        <v>46199</v>
      </c>
      <c r="I298" s="5" t="s">
        <v>2264</v>
      </c>
      <c r="J298" s="5" t="s">
        <v>2265</v>
      </c>
      <c r="K298" s="5" t="s">
        <v>2283</v>
      </c>
      <c r="L298" s="5" t="n">
        <f aca="false">IF(G298="High",3,IF(G298="Medium",2,1))</f>
        <v>1</v>
      </c>
    </row>
    <row r="299" customFormat="false" ht="15" hidden="false" customHeight="true" outlineLevel="0" collapsed="false">
      <c r="A299" s="5" t="s">
        <v>2575</v>
      </c>
      <c r="B299" s="5" t="s">
        <v>1100</v>
      </c>
      <c r="C299" s="5" t="s">
        <v>2254</v>
      </c>
      <c r="D299" s="5" t="s">
        <v>2308</v>
      </c>
      <c r="E299" s="5" t="s">
        <v>59</v>
      </c>
      <c r="F299" s="5" t="s">
        <v>2225</v>
      </c>
      <c r="G299" s="5" t="str">
        <f aca="false">INDEX(Risk_Matrix!$B$2:$D$4,MATCH(E299,Risk_Matrix!$A$2:$A$4,0),MATCH(F299,Risk_Matrix!$B$1:$D$1,0))</f>
        <v>Low</v>
      </c>
      <c r="H299" s="12" t="n">
        <v>46105</v>
      </c>
      <c r="I299" s="5" t="s">
        <v>2256</v>
      </c>
      <c r="J299" s="5" t="s">
        <v>2257</v>
      </c>
      <c r="K299" s="5" t="s">
        <v>2276</v>
      </c>
      <c r="L299" s="5" t="n">
        <f aca="false">IF(G299="High",3,IF(G299="Medium",2,1))</f>
        <v>1</v>
      </c>
    </row>
    <row r="300" customFormat="false" ht="15" hidden="false" customHeight="true" outlineLevel="0" collapsed="false">
      <c r="A300" s="5" t="s">
        <v>2576</v>
      </c>
      <c r="B300" s="5" t="s">
        <v>1100</v>
      </c>
      <c r="C300" s="5" t="s">
        <v>2259</v>
      </c>
      <c r="D300" s="5" t="s">
        <v>2260</v>
      </c>
      <c r="E300" s="5" t="s">
        <v>2225</v>
      </c>
      <c r="F300" s="5" t="s">
        <v>59</v>
      </c>
      <c r="G300" s="5" t="str">
        <f aca="false">INDEX(Risk_Matrix!$B$2:$D$4,MATCH(E300,Risk_Matrix!$A$2:$A$4,0),MATCH(F300,Risk_Matrix!$B$1:$D$1,0))</f>
        <v>Low</v>
      </c>
      <c r="H300" s="12" t="n">
        <v>46187</v>
      </c>
      <c r="I300" s="5" t="s">
        <v>2264</v>
      </c>
      <c r="J300" s="5" t="s">
        <v>2265</v>
      </c>
      <c r="K300" s="5" t="s">
        <v>2276</v>
      </c>
      <c r="L300" s="5" t="n">
        <f aca="false">IF(G300="High",3,IF(G300="Medium",2,1))</f>
        <v>1</v>
      </c>
    </row>
    <row r="301" customFormat="false" ht="15" hidden="false" customHeight="true" outlineLevel="0" collapsed="false">
      <c r="A301" s="5" t="s">
        <v>2577</v>
      </c>
      <c r="B301" s="5" t="s">
        <v>1100</v>
      </c>
      <c r="C301" s="5" t="s">
        <v>2262</v>
      </c>
      <c r="D301" s="5" t="s">
        <v>2311</v>
      </c>
      <c r="E301" s="5" t="s">
        <v>59</v>
      </c>
      <c r="F301" s="5" t="s">
        <v>59</v>
      </c>
      <c r="G301" s="5" t="str">
        <f aca="false">INDEX(Risk_Matrix!$B$2:$D$4,MATCH(E301,Risk_Matrix!$A$2:$A$4,0),MATCH(F301,Risk_Matrix!$B$1:$D$1,0))</f>
        <v>Low</v>
      </c>
      <c r="H301" s="12" t="n">
        <v>46139</v>
      </c>
      <c r="I301" s="5" t="s">
        <v>2250</v>
      </c>
      <c r="J301" s="5" t="s">
        <v>2251</v>
      </c>
      <c r="K301" s="5" t="s">
        <v>2243</v>
      </c>
      <c r="L301" s="5" t="n">
        <f aca="false">IF(G301="High",3,IF(G301="Medium",2,1))</f>
        <v>1</v>
      </c>
    </row>
    <row r="302" customFormat="false" ht="15" hidden="false" customHeight="true" outlineLevel="0" collapsed="false">
      <c r="A302" s="5" t="s">
        <v>2578</v>
      </c>
      <c r="B302" s="5" t="s">
        <v>1102</v>
      </c>
      <c r="C302" s="5" t="s">
        <v>2239</v>
      </c>
      <c r="D302" s="5" t="s">
        <v>2278</v>
      </c>
      <c r="E302" s="5" t="s">
        <v>59</v>
      </c>
      <c r="F302" s="5" t="s">
        <v>59</v>
      </c>
      <c r="G302" s="5" t="str">
        <f aca="false">INDEX(Risk_Matrix!$B$2:$D$4,MATCH(E302,Risk_Matrix!$A$2:$A$4,0),MATCH(F302,Risk_Matrix!$B$1:$D$1,0))</f>
        <v>Low</v>
      </c>
      <c r="H302" s="12" t="n">
        <v>46235</v>
      </c>
      <c r="I302" s="5" t="s">
        <v>2250</v>
      </c>
      <c r="J302" s="5" t="s">
        <v>2251</v>
      </c>
      <c r="K302" s="5" t="s">
        <v>2266</v>
      </c>
      <c r="L302" s="5" t="n">
        <f aca="false">IF(G302="High",3,IF(G302="Medium",2,1))</f>
        <v>1</v>
      </c>
    </row>
    <row r="303" customFormat="false" ht="15" hidden="false" customHeight="true" outlineLevel="0" collapsed="false">
      <c r="A303" s="5" t="s">
        <v>2579</v>
      </c>
      <c r="B303" s="5" t="s">
        <v>1102</v>
      </c>
      <c r="C303" s="5" t="s">
        <v>2245</v>
      </c>
      <c r="D303" s="5" t="s">
        <v>2280</v>
      </c>
      <c r="E303" s="5" t="s">
        <v>54</v>
      </c>
      <c r="F303" s="5" t="s">
        <v>2225</v>
      </c>
      <c r="G303" s="5" t="str">
        <f aca="false">INDEX(Risk_Matrix!$B$2:$D$4,MATCH(E303,Risk_Matrix!$A$2:$A$4,0),MATCH(F303,Risk_Matrix!$B$1:$D$1,0))</f>
        <v>High</v>
      </c>
      <c r="H303" s="12" t="n">
        <v>46075</v>
      </c>
      <c r="I303" s="5" t="s">
        <v>2250</v>
      </c>
      <c r="J303" s="5" t="s">
        <v>2251</v>
      </c>
      <c r="K303" s="5" t="s">
        <v>2276</v>
      </c>
      <c r="L303" s="5" t="n">
        <f aca="false">IF(G303="High",3,IF(G303="Medium",2,1))</f>
        <v>3</v>
      </c>
    </row>
    <row r="304" customFormat="false" ht="15" hidden="false" customHeight="true" outlineLevel="0" collapsed="false">
      <c r="A304" s="5" t="s">
        <v>2580</v>
      </c>
      <c r="B304" s="5" t="s">
        <v>1102</v>
      </c>
      <c r="C304" s="5" t="s">
        <v>2248</v>
      </c>
      <c r="D304" s="5" t="s">
        <v>2249</v>
      </c>
      <c r="E304" s="5" t="s">
        <v>2225</v>
      </c>
      <c r="F304" s="5" t="s">
        <v>54</v>
      </c>
      <c r="G304" s="5" t="str">
        <f aca="false">INDEX(Risk_Matrix!$B$2:$D$4,MATCH(E304,Risk_Matrix!$A$2:$A$4,0),MATCH(F304,Risk_Matrix!$B$1:$D$1,0))</f>
        <v>High</v>
      </c>
      <c r="H304" s="12" t="n">
        <v>46144</v>
      </c>
      <c r="I304" s="5" t="s">
        <v>2250</v>
      </c>
      <c r="J304" s="5" t="s">
        <v>2251</v>
      </c>
      <c r="K304" s="5" t="s">
        <v>2276</v>
      </c>
      <c r="L304" s="5" t="n">
        <f aca="false">IF(G304="High",3,IF(G304="Medium",2,1))</f>
        <v>3</v>
      </c>
    </row>
    <row r="305" customFormat="false" ht="15" hidden="false" customHeight="true" outlineLevel="0" collapsed="false">
      <c r="A305" s="5" t="s">
        <v>2581</v>
      </c>
      <c r="B305" s="5" t="s">
        <v>1102</v>
      </c>
      <c r="C305" s="5" t="s">
        <v>2254</v>
      </c>
      <c r="D305" s="5" t="s">
        <v>2299</v>
      </c>
      <c r="E305" s="5" t="s">
        <v>59</v>
      </c>
      <c r="F305" s="5" t="s">
        <v>59</v>
      </c>
      <c r="G305" s="5" t="str">
        <f aca="false">INDEX(Risk_Matrix!$B$2:$D$4,MATCH(E305,Risk_Matrix!$A$2:$A$4,0),MATCH(F305,Risk_Matrix!$B$1:$D$1,0))</f>
        <v>Low</v>
      </c>
      <c r="H305" s="12" t="n">
        <v>46161</v>
      </c>
      <c r="I305" s="5" t="s">
        <v>2256</v>
      </c>
      <c r="J305" s="5" t="s">
        <v>2257</v>
      </c>
      <c r="K305" s="5" t="s">
        <v>2276</v>
      </c>
      <c r="L305" s="5" t="n">
        <f aca="false">IF(G305="High",3,IF(G305="Medium",2,1))</f>
        <v>1</v>
      </c>
    </row>
    <row r="306" customFormat="false" ht="15" hidden="false" customHeight="true" outlineLevel="0" collapsed="false">
      <c r="A306" s="5" t="s">
        <v>2582</v>
      </c>
      <c r="B306" s="5" t="s">
        <v>1102</v>
      </c>
      <c r="C306" s="5" t="s">
        <v>2259</v>
      </c>
      <c r="D306" s="5" t="s">
        <v>2260</v>
      </c>
      <c r="E306" s="5" t="s">
        <v>54</v>
      </c>
      <c r="F306" s="5" t="s">
        <v>59</v>
      </c>
      <c r="G306" s="5" t="str">
        <f aca="false">INDEX(Risk_Matrix!$B$2:$D$4,MATCH(E306,Risk_Matrix!$A$2:$A$4,0),MATCH(F306,Risk_Matrix!$B$1:$D$1,0))</f>
        <v>Medium</v>
      </c>
      <c r="H306" s="12" t="n">
        <v>46102</v>
      </c>
      <c r="I306" s="5" t="s">
        <v>2250</v>
      </c>
      <c r="J306" s="5" t="s">
        <v>2251</v>
      </c>
      <c r="K306" s="5" t="s">
        <v>2243</v>
      </c>
      <c r="L306" s="5" t="n">
        <f aca="false">IF(G306="High",3,IF(G306="Medium",2,1))</f>
        <v>2</v>
      </c>
    </row>
    <row r="307" customFormat="false" ht="15" hidden="false" customHeight="true" outlineLevel="0" collapsed="false">
      <c r="A307" s="5" t="s">
        <v>2583</v>
      </c>
      <c r="B307" s="5" t="s">
        <v>1102</v>
      </c>
      <c r="C307" s="5" t="s">
        <v>2262</v>
      </c>
      <c r="D307" s="5" t="s">
        <v>2287</v>
      </c>
      <c r="E307" s="5" t="s">
        <v>59</v>
      </c>
      <c r="F307" s="5" t="s">
        <v>2225</v>
      </c>
      <c r="G307" s="5" t="str">
        <f aca="false">INDEX(Risk_Matrix!$B$2:$D$4,MATCH(E307,Risk_Matrix!$A$2:$A$4,0),MATCH(F307,Risk_Matrix!$B$1:$D$1,0))</f>
        <v>Low</v>
      </c>
      <c r="H307" s="12" t="n">
        <v>46193</v>
      </c>
      <c r="I307" s="5" t="s">
        <v>2250</v>
      </c>
      <c r="J307" s="5" t="s">
        <v>2251</v>
      </c>
      <c r="K307" s="5" t="s">
        <v>2283</v>
      </c>
      <c r="L307" s="5" t="n">
        <f aca="false">IF(G307="High",3,IF(G307="Medium",2,1))</f>
        <v>1</v>
      </c>
    </row>
    <row r="308" customFormat="false" ht="15" hidden="false" customHeight="true" outlineLevel="0" collapsed="false">
      <c r="A308" s="5" t="s">
        <v>2584</v>
      </c>
      <c r="B308" s="5" t="s">
        <v>1103</v>
      </c>
      <c r="C308" s="5" t="s">
        <v>2239</v>
      </c>
      <c r="D308" s="5" t="s">
        <v>2295</v>
      </c>
      <c r="E308" s="5" t="s">
        <v>2225</v>
      </c>
      <c r="F308" s="5" t="s">
        <v>2225</v>
      </c>
      <c r="G308" s="5" t="str">
        <f aca="false">INDEX(Risk_Matrix!$B$2:$D$4,MATCH(E308,Risk_Matrix!$A$2:$A$4,0),MATCH(F308,Risk_Matrix!$B$1:$D$1,0))</f>
        <v>Medium</v>
      </c>
      <c r="H308" s="12" t="n">
        <v>46066</v>
      </c>
      <c r="I308" s="5" t="s">
        <v>2250</v>
      </c>
      <c r="J308" s="5" t="s">
        <v>2251</v>
      </c>
      <c r="K308" s="5" t="s">
        <v>2243</v>
      </c>
      <c r="L308" s="5" t="n">
        <f aca="false">IF(G308="High",3,IF(G308="Medium",2,1))</f>
        <v>2</v>
      </c>
    </row>
    <row r="309" customFormat="false" ht="15" hidden="false" customHeight="true" outlineLevel="0" collapsed="false">
      <c r="A309" s="5" t="s">
        <v>2585</v>
      </c>
      <c r="B309" s="5" t="s">
        <v>1103</v>
      </c>
      <c r="C309" s="5" t="s">
        <v>2245</v>
      </c>
      <c r="D309" s="5" t="s">
        <v>2280</v>
      </c>
      <c r="E309" s="5" t="s">
        <v>54</v>
      </c>
      <c r="F309" s="5" t="s">
        <v>59</v>
      </c>
      <c r="G309" s="5" t="str">
        <f aca="false">INDEX(Risk_Matrix!$B$2:$D$4,MATCH(E309,Risk_Matrix!$A$2:$A$4,0),MATCH(F309,Risk_Matrix!$B$1:$D$1,0))</f>
        <v>Medium</v>
      </c>
      <c r="H309" s="12" t="n">
        <v>46136</v>
      </c>
      <c r="I309" s="5" t="s">
        <v>2256</v>
      </c>
      <c r="J309" s="5" t="s">
        <v>2257</v>
      </c>
      <c r="K309" s="5" t="s">
        <v>2283</v>
      </c>
      <c r="L309" s="5" t="n">
        <f aca="false">IF(G309="High",3,IF(G309="Medium",2,1))</f>
        <v>2</v>
      </c>
    </row>
    <row r="310" customFormat="false" ht="15" hidden="false" customHeight="true" outlineLevel="0" collapsed="false">
      <c r="A310" s="5" t="s">
        <v>2586</v>
      </c>
      <c r="B310" s="5" t="s">
        <v>1103</v>
      </c>
      <c r="C310" s="5" t="s">
        <v>2248</v>
      </c>
      <c r="D310" s="5" t="s">
        <v>2249</v>
      </c>
      <c r="E310" s="5" t="s">
        <v>2225</v>
      </c>
      <c r="F310" s="5" t="s">
        <v>2225</v>
      </c>
      <c r="G310" s="5" t="str">
        <f aca="false">INDEX(Risk_Matrix!$B$2:$D$4,MATCH(E310,Risk_Matrix!$A$2:$A$4,0),MATCH(F310,Risk_Matrix!$B$1:$D$1,0))</f>
        <v>Medium</v>
      </c>
      <c r="H310" s="12" t="n">
        <v>46148</v>
      </c>
      <c r="I310" s="5" t="s">
        <v>2250</v>
      </c>
      <c r="J310" s="5" t="s">
        <v>2251</v>
      </c>
      <c r="K310" s="5" t="s">
        <v>2252</v>
      </c>
      <c r="L310" s="5" t="n">
        <f aca="false">IF(G310="High",3,IF(G310="Medium",2,1))</f>
        <v>2</v>
      </c>
    </row>
    <row r="311" customFormat="false" ht="15" hidden="false" customHeight="true" outlineLevel="0" collapsed="false">
      <c r="A311" s="5" t="s">
        <v>2587</v>
      </c>
      <c r="B311" s="5" t="s">
        <v>1103</v>
      </c>
      <c r="C311" s="5" t="s">
        <v>2254</v>
      </c>
      <c r="D311" s="5" t="s">
        <v>2299</v>
      </c>
      <c r="E311" s="5" t="s">
        <v>54</v>
      </c>
      <c r="F311" s="5" t="s">
        <v>59</v>
      </c>
      <c r="G311" s="5" t="str">
        <f aca="false">INDEX(Risk_Matrix!$B$2:$D$4,MATCH(E311,Risk_Matrix!$A$2:$A$4,0),MATCH(F311,Risk_Matrix!$B$1:$D$1,0))</f>
        <v>Medium</v>
      </c>
      <c r="H311" s="12" t="n">
        <v>46076</v>
      </c>
      <c r="I311" s="5" t="s">
        <v>2256</v>
      </c>
      <c r="J311" s="5" t="s">
        <v>2257</v>
      </c>
      <c r="K311" s="5" t="s">
        <v>2243</v>
      </c>
      <c r="L311" s="5" t="n">
        <f aca="false">IF(G311="High",3,IF(G311="Medium",2,1))</f>
        <v>2</v>
      </c>
    </row>
    <row r="312" customFormat="false" ht="15" hidden="false" customHeight="true" outlineLevel="0" collapsed="false">
      <c r="A312" s="5" t="s">
        <v>2588</v>
      </c>
      <c r="B312" s="5" t="s">
        <v>1103</v>
      </c>
      <c r="C312" s="5" t="s">
        <v>2259</v>
      </c>
      <c r="D312" s="5" t="s">
        <v>2285</v>
      </c>
      <c r="E312" s="5" t="s">
        <v>59</v>
      </c>
      <c r="F312" s="5" t="s">
        <v>59</v>
      </c>
      <c r="G312" s="5" t="str">
        <f aca="false">INDEX(Risk_Matrix!$B$2:$D$4,MATCH(E312,Risk_Matrix!$A$2:$A$4,0),MATCH(F312,Risk_Matrix!$B$1:$D$1,0))</f>
        <v>Low</v>
      </c>
      <c r="H312" s="12" t="n">
        <v>46142</v>
      </c>
      <c r="I312" s="5" t="s">
        <v>2250</v>
      </c>
      <c r="J312" s="5" t="s">
        <v>2251</v>
      </c>
      <c r="K312" s="5" t="s">
        <v>2283</v>
      </c>
      <c r="L312" s="5" t="n">
        <f aca="false">IF(G312="High",3,IF(G312="Medium",2,1))</f>
        <v>1</v>
      </c>
    </row>
    <row r="313" customFormat="false" ht="15" hidden="false" customHeight="true" outlineLevel="0" collapsed="false">
      <c r="A313" s="5" t="s">
        <v>2589</v>
      </c>
      <c r="B313" s="5" t="s">
        <v>1103</v>
      </c>
      <c r="C313" s="5" t="s">
        <v>2262</v>
      </c>
      <c r="D313" s="5" t="s">
        <v>2263</v>
      </c>
      <c r="E313" s="5" t="s">
        <v>59</v>
      </c>
      <c r="F313" s="5" t="s">
        <v>54</v>
      </c>
      <c r="G313" s="5" t="str">
        <f aca="false">INDEX(Risk_Matrix!$B$2:$D$4,MATCH(E313,Risk_Matrix!$A$2:$A$4,0),MATCH(F313,Risk_Matrix!$B$1:$D$1,0))</f>
        <v>Medium</v>
      </c>
      <c r="H313" s="12" t="n">
        <v>46137</v>
      </c>
      <c r="I313" s="5" t="s">
        <v>2250</v>
      </c>
      <c r="J313" s="5" t="s">
        <v>2251</v>
      </c>
      <c r="K313" s="5" t="s">
        <v>2276</v>
      </c>
      <c r="L313" s="5" t="n">
        <f aca="false">IF(G313="High",3,IF(G313="Medium",2,1))</f>
        <v>2</v>
      </c>
    </row>
    <row r="314" customFormat="false" ht="15" hidden="false" customHeight="true" outlineLevel="0" collapsed="false">
      <c r="A314" s="5" t="s">
        <v>2590</v>
      </c>
      <c r="B314" s="5" t="s">
        <v>1105</v>
      </c>
      <c r="C314" s="5" t="s">
        <v>2239</v>
      </c>
      <c r="D314" s="5" t="s">
        <v>2240</v>
      </c>
      <c r="E314" s="5" t="s">
        <v>54</v>
      </c>
      <c r="F314" s="5" t="s">
        <v>2225</v>
      </c>
      <c r="G314" s="5" t="str">
        <f aca="false">INDEX(Risk_Matrix!$B$2:$D$4,MATCH(E314,Risk_Matrix!$A$2:$A$4,0),MATCH(F314,Risk_Matrix!$B$1:$D$1,0))</f>
        <v>High</v>
      </c>
      <c r="H314" s="12" t="n">
        <v>46161</v>
      </c>
      <c r="I314" s="5" t="s">
        <v>2250</v>
      </c>
      <c r="J314" s="5" t="s">
        <v>2251</v>
      </c>
      <c r="K314" s="5" t="s">
        <v>2276</v>
      </c>
      <c r="L314" s="5" t="n">
        <f aca="false">IF(G314="High",3,IF(G314="Medium",2,1))</f>
        <v>3</v>
      </c>
    </row>
    <row r="315" customFormat="false" ht="15" hidden="false" customHeight="true" outlineLevel="0" collapsed="false">
      <c r="A315" s="5" t="s">
        <v>2591</v>
      </c>
      <c r="B315" s="5" t="s">
        <v>1105</v>
      </c>
      <c r="C315" s="5" t="s">
        <v>2245</v>
      </c>
      <c r="D315" s="5" t="s">
        <v>2269</v>
      </c>
      <c r="E315" s="5" t="s">
        <v>54</v>
      </c>
      <c r="F315" s="5" t="s">
        <v>59</v>
      </c>
      <c r="G315" s="5" t="str">
        <f aca="false">INDEX(Risk_Matrix!$B$2:$D$4,MATCH(E315,Risk_Matrix!$A$2:$A$4,0),MATCH(F315,Risk_Matrix!$B$1:$D$1,0))</f>
        <v>Medium</v>
      </c>
      <c r="H315" s="12" t="n">
        <v>46062</v>
      </c>
      <c r="I315" s="5" t="s">
        <v>2256</v>
      </c>
      <c r="J315" s="5" t="s">
        <v>2257</v>
      </c>
      <c r="K315" s="5" t="s">
        <v>2252</v>
      </c>
      <c r="L315" s="5" t="n">
        <f aca="false">IF(G315="High",3,IF(G315="Medium",2,1))</f>
        <v>2</v>
      </c>
    </row>
    <row r="316" customFormat="false" ht="15" hidden="false" customHeight="true" outlineLevel="0" collapsed="false">
      <c r="A316" s="5" t="s">
        <v>2592</v>
      </c>
      <c r="B316" s="5" t="s">
        <v>1105</v>
      </c>
      <c r="C316" s="5" t="s">
        <v>2248</v>
      </c>
      <c r="D316" s="5" t="s">
        <v>2322</v>
      </c>
      <c r="E316" s="5" t="s">
        <v>59</v>
      </c>
      <c r="F316" s="5" t="s">
        <v>59</v>
      </c>
      <c r="G316" s="5" t="str">
        <f aca="false">INDEX(Risk_Matrix!$B$2:$D$4,MATCH(E316,Risk_Matrix!$A$2:$A$4,0),MATCH(F316,Risk_Matrix!$B$1:$D$1,0))</f>
        <v>Low</v>
      </c>
      <c r="H316" s="12" t="n">
        <v>46171</v>
      </c>
      <c r="I316" s="5" t="s">
        <v>2256</v>
      </c>
      <c r="J316" s="5" t="s">
        <v>2257</v>
      </c>
      <c r="K316" s="5" t="s">
        <v>2252</v>
      </c>
      <c r="L316" s="5" t="n">
        <f aca="false">IF(G316="High",3,IF(G316="Medium",2,1))</f>
        <v>1</v>
      </c>
    </row>
    <row r="317" customFormat="false" ht="15" hidden="false" customHeight="true" outlineLevel="0" collapsed="false">
      <c r="A317" s="5" t="s">
        <v>2593</v>
      </c>
      <c r="B317" s="5" t="s">
        <v>1105</v>
      </c>
      <c r="C317" s="5" t="s">
        <v>2254</v>
      </c>
      <c r="D317" s="5" t="s">
        <v>2299</v>
      </c>
      <c r="E317" s="5" t="s">
        <v>59</v>
      </c>
      <c r="F317" s="5" t="s">
        <v>59</v>
      </c>
      <c r="G317" s="5" t="str">
        <f aca="false">INDEX(Risk_Matrix!$B$2:$D$4,MATCH(E317,Risk_Matrix!$A$2:$A$4,0),MATCH(F317,Risk_Matrix!$B$1:$D$1,0))</f>
        <v>Low</v>
      </c>
      <c r="H317" s="12" t="n">
        <v>46092</v>
      </c>
      <c r="I317" s="5" t="s">
        <v>2256</v>
      </c>
      <c r="J317" s="5" t="s">
        <v>2257</v>
      </c>
      <c r="K317" s="5" t="s">
        <v>2243</v>
      </c>
      <c r="L317" s="5" t="n">
        <f aca="false">IF(G317="High",3,IF(G317="Medium",2,1))</f>
        <v>1</v>
      </c>
    </row>
    <row r="318" customFormat="false" ht="15" hidden="false" customHeight="true" outlineLevel="0" collapsed="false">
      <c r="A318" s="5" t="s">
        <v>2594</v>
      </c>
      <c r="B318" s="5" t="s">
        <v>1105</v>
      </c>
      <c r="C318" s="5" t="s">
        <v>2259</v>
      </c>
      <c r="D318" s="5" t="s">
        <v>2285</v>
      </c>
      <c r="E318" s="5" t="s">
        <v>54</v>
      </c>
      <c r="F318" s="5" t="s">
        <v>2225</v>
      </c>
      <c r="G318" s="5" t="str">
        <f aca="false">INDEX(Risk_Matrix!$B$2:$D$4,MATCH(E318,Risk_Matrix!$A$2:$A$4,0),MATCH(F318,Risk_Matrix!$B$1:$D$1,0))</f>
        <v>High</v>
      </c>
      <c r="H318" s="12" t="n">
        <v>46115</v>
      </c>
      <c r="I318" s="5" t="s">
        <v>2250</v>
      </c>
      <c r="J318" s="5" t="s">
        <v>2251</v>
      </c>
      <c r="K318" s="5" t="s">
        <v>2266</v>
      </c>
      <c r="L318" s="5" t="n">
        <f aca="false">IF(G318="High",3,IF(G318="Medium",2,1))</f>
        <v>3</v>
      </c>
    </row>
    <row r="319" customFormat="false" ht="15" hidden="false" customHeight="true" outlineLevel="0" collapsed="false">
      <c r="A319" s="5" t="s">
        <v>2595</v>
      </c>
      <c r="B319" s="5" t="s">
        <v>1105</v>
      </c>
      <c r="C319" s="5" t="s">
        <v>2262</v>
      </c>
      <c r="D319" s="5" t="s">
        <v>2311</v>
      </c>
      <c r="E319" s="5" t="s">
        <v>2225</v>
      </c>
      <c r="F319" s="5" t="s">
        <v>2225</v>
      </c>
      <c r="G319" s="5" t="str">
        <f aca="false">INDEX(Risk_Matrix!$B$2:$D$4,MATCH(E319,Risk_Matrix!$A$2:$A$4,0),MATCH(F319,Risk_Matrix!$B$1:$D$1,0))</f>
        <v>Medium</v>
      </c>
      <c r="H319" s="12" t="n">
        <v>46214</v>
      </c>
      <c r="I319" s="5" t="s">
        <v>2250</v>
      </c>
      <c r="J319" s="5" t="s">
        <v>2251</v>
      </c>
      <c r="K319" s="5" t="s">
        <v>2283</v>
      </c>
      <c r="L319" s="5" t="n">
        <f aca="false">IF(G319="High",3,IF(G319="Medium",2,1))</f>
        <v>2</v>
      </c>
    </row>
    <row r="320" customFormat="false" ht="15" hidden="false" customHeight="true" outlineLevel="0" collapsed="false">
      <c r="A320" s="5" t="s">
        <v>2596</v>
      </c>
      <c r="B320" s="5" t="s">
        <v>1107</v>
      </c>
      <c r="C320" s="5" t="s">
        <v>2239</v>
      </c>
      <c r="D320" s="5" t="s">
        <v>2278</v>
      </c>
      <c r="E320" s="5" t="s">
        <v>59</v>
      </c>
      <c r="F320" s="5" t="s">
        <v>2225</v>
      </c>
      <c r="G320" s="5" t="str">
        <f aca="false">INDEX(Risk_Matrix!$B$2:$D$4,MATCH(E320,Risk_Matrix!$A$2:$A$4,0),MATCH(F320,Risk_Matrix!$B$1:$D$1,0))</f>
        <v>Low</v>
      </c>
      <c r="H320" s="12" t="n">
        <v>46224</v>
      </c>
      <c r="I320" s="5" t="s">
        <v>2256</v>
      </c>
      <c r="J320" s="5" t="s">
        <v>2257</v>
      </c>
      <c r="K320" s="5" t="s">
        <v>2252</v>
      </c>
      <c r="L320" s="5" t="n">
        <f aca="false">IF(G320="High",3,IF(G320="Medium",2,1))</f>
        <v>1</v>
      </c>
    </row>
    <row r="321" customFormat="false" ht="15" hidden="false" customHeight="true" outlineLevel="0" collapsed="false">
      <c r="A321" s="5" t="s">
        <v>2597</v>
      </c>
      <c r="B321" s="5" t="s">
        <v>1107</v>
      </c>
      <c r="C321" s="5" t="s">
        <v>2245</v>
      </c>
      <c r="D321" s="5" t="s">
        <v>2269</v>
      </c>
      <c r="E321" s="5" t="s">
        <v>54</v>
      </c>
      <c r="F321" s="5" t="s">
        <v>59</v>
      </c>
      <c r="G321" s="5" t="str">
        <f aca="false">INDEX(Risk_Matrix!$B$2:$D$4,MATCH(E321,Risk_Matrix!$A$2:$A$4,0),MATCH(F321,Risk_Matrix!$B$1:$D$1,0))</f>
        <v>Medium</v>
      </c>
      <c r="H321" s="12" t="n">
        <v>46208</v>
      </c>
      <c r="I321" s="5" t="s">
        <v>2264</v>
      </c>
      <c r="J321" s="5" t="s">
        <v>2265</v>
      </c>
      <c r="K321" s="5" t="s">
        <v>2266</v>
      </c>
      <c r="L321" s="5" t="n">
        <f aca="false">IF(G321="High",3,IF(G321="Medium",2,1))</f>
        <v>2</v>
      </c>
    </row>
    <row r="322" customFormat="false" ht="15" hidden="false" customHeight="true" outlineLevel="0" collapsed="false">
      <c r="A322" s="5" t="s">
        <v>2598</v>
      </c>
      <c r="B322" s="5" t="s">
        <v>1107</v>
      </c>
      <c r="C322" s="5" t="s">
        <v>2248</v>
      </c>
      <c r="D322" s="5" t="s">
        <v>2306</v>
      </c>
      <c r="E322" s="5" t="s">
        <v>2225</v>
      </c>
      <c r="F322" s="5" t="s">
        <v>2225</v>
      </c>
      <c r="G322" s="5" t="str">
        <f aca="false">INDEX(Risk_Matrix!$B$2:$D$4,MATCH(E322,Risk_Matrix!$A$2:$A$4,0),MATCH(F322,Risk_Matrix!$B$1:$D$1,0))</f>
        <v>Medium</v>
      </c>
      <c r="H322" s="12" t="n">
        <v>46104</v>
      </c>
      <c r="I322" s="5" t="s">
        <v>2256</v>
      </c>
      <c r="J322" s="5" t="s">
        <v>2257</v>
      </c>
      <c r="K322" s="5" t="s">
        <v>2276</v>
      </c>
      <c r="L322" s="5" t="n">
        <f aca="false">IF(G322="High",3,IF(G322="Medium",2,1))</f>
        <v>2</v>
      </c>
    </row>
    <row r="323" customFormat="false" ht="15" hidden="false" customHeight="true" outlineLevel="0" collapsed="false">
      <c r="A323" s="5" t="s">
        <v>2599</v>
      </c>
      <c r="B323" s="5" t="s">
        <v>1107</v>
      </c>
      <c r="C323" s="5" t="s">
        <v>2254</v>
      </c>
      <c r="D323" s="5" t="s">
        <v>2308</v>
      </c>
      <c r="E323" s="5" t="s">
        <v>2225</v>
      </c>
      <c r="F323" s="5" t="s">
        <v>59</v>
      </c>
      <c r="G323" s="5" t="str">
        <f aca="false">INDEX(Risk_Matrix!$B$2:$D$4,MATCH(E323,Risk_Matrix!$A$2:$A$4,0),MATCH(F323,Risk_Matrix!$B$1:$D$1,0))</f>
        <v>Low</v>
      </c>
      <c r="H323" s="12" t="n">
        <v>46182</v>
      </c>
      <c r="I323" s="5" t="s">
        <v>2250</v>
      </c>
      <c r="J323" s="5" t="s">
        <v>2251</v>
      </c>
      <c r="K323" s="5" t="s">
        <v>2266</v>
      </c>
      <c r="L323" s="5" t="n">
        <f aca="false">IF(G323="High",3,IF(G323="Medium",2,1))</f>
        <v>1</v>
      </c>
    </row>
    <row r="324" customFormat="false" ht="15" hidden="false" customHeight="true" outlineLevel="0" collapsed="false">
      <c r="A324" s="5" t="s">
        <v>2600</v>
      </c>
      <c r="B324" s="5" t="s">
        <v>1107</v>
      </c>
      <c r="C324" s="5" t="s">
        <v>2259</v>
      </c>
      <c r="D324" s="5" t="s">
        <v>2260</v>
      </c>
      <c r="E324" s="5" t="s">
        <v>2225</v>
      </c>
      <c r="F324" s="5" t="s">
        <v>54</v>
      </c>
      <c r="G324" s="5" t="str">
        <f aca="false">INDEX(Risk_Matrix!$B$2:$D$4,MATCH(E324,Risk_Matrix!$A$2:$A$4,0),MATCH(F324,Risk_Matrix!$B$1:$D$1,0))</f>
        <v>High</v>
      </c>
      <c r="H324" s="12" t="n">
        <v>46086</v>
      </c>
      <c r="I324" s="5" t="s">
        <v>2241</v>
      </c>
      <c r="J324" s="5" t="s">
        <v>2242</v>
      </c>
      <c r="K324" s="5" t="s">
        <v>2283</v>
      </c>
      <c r="L324" s="5" t="n">
        <f aca="false">IF(G324="High",3,IF(G324="Medium",2,1))</f>
        <v>3</v>
      </c>
    </row>
    <row r="325" customFormat="false" ht="15" hidden="false" customHeight="true" outlineLevel="0" collapsed="false">
      <c r="A325" s="5" t="s">
        <v>2601</v>
      </c>
      <c r="B325" s="5" t="s">
        <v>1107</v>
      </c>
      <c r="C325" s="5" t="s">
        <v>2262</v>
      </c>
      <c r="D325" s="5" t="s">
        <v>2263</v>
      </c>
      <c r="E325" s="5" t="s">
        <v>59</v>
      </c>
      <c r="F325" s="5" t="s">
        <v>59</v>
      </c>
      <c r="G325" s="5" t="str">
        <f aca="false">INDEX(Risk_Matrix!$B$2:$D$4,MATCH(E325,Risk_Matrix!$A$2:$A$4,0),MATCH(F325,Risk_Matrix!$B$1:$D$1,0))</f>
        <v>Low</v>
      </c>
      <c r="H325" s="12" t="n">
        <v>46201</v>
      </c>
      <c r="I325" s="5" t="s">
        <v>2264</v>
      </c>
      <c r="J325" s="5" t="s">
        <v>2265</v>
      </c>
      <c r="K325" s="5" t="s">
        <v>2266</v>
      </c>
      <c r="L325" s="5" t="n">
        <f aca="false">IF(G325="High",3,IF(G325="Medium",2,1))</f>
        <v>1</v>
      </c>
    </row>
    <row r="326" customFormat="false" ht="15" hidden="false" customHeight="true" outlineLevel="0" collapsed="false">
      <c r="A326" s="5" t="s">
        <v>2602</v>
      </c>
      <c r="B326" s="5" t="s">
        <v>1109</v>
      </c>
      <c r="C326" s="5" t="s">
        <v>2239</v>
      </c>
      <c r="D326" s="5" t="s">
        <v>2278</v>
      </c>
      <c r="E326" s="5" t="s">
        <v>59</v>
      </c>
      <c r="F326" s="5" t="s">
        <v>2225</v>
      </c>
      <c r="G326" s="5" t="str">
        <f aca="false">INDEX(Risk_Matrix!$B$2:$D$4,MATCH(E326,Risk_Matrix!$A$2:$A$4,0),MATCH(F326,Risk_Matrix!$B$1:$D$1,0))</f>
        <v>Low</v>
      </c>
      <c r="H326" s="12" t="n">
        <v>46136</v>
      </c>
      <c r="I326" s="5" t="s">
        <v>2256</v>
      </c>
      <c r="J326" s="5" t="s">
        <v>2257</v>
      </c>
      <c r="K326" s="5" t="s">
        <v>2252</v>
      </c>
      <c r="L326" s="5" t="n">
        <f aca="false">IF(G326="High",3,IF(G326="Medium",2,1))</f>
        <v>1</v>
      </c>
    </row>
    <row r="327" customFormat="false" ht="15" hidden="false" customHeight="true" outlineLevel="0" collapsed="false">
      <c r="A327" s="5" t="s">
        <v>2603</v>
      </c>
      <c r="B327" s="5" t="s">
        <v>1109</v>
      </c>
      <c r="C327" s="5" t="s">
        <v>2245</v>
      </c>
      <c r="D327" s="5" t="s">
        <v>2246</v>
      </c>
      <c r="E327" s="5" t="s">
        <v>59</v>
      </c>
      <c r="F327" s="5" t="s">
        <v>59</v>
      </c>
      <c r="G327" s="5" t="str">
        <f aca="false">INDEX(Risk_Matrix!$B$2:$D$4,MATCH(E327,Risk_Matrix!$A$2:$A$4,0),MATCH(F327,Risk_Matrix!$B$1:$D$1,0))</f>
        <v>Low</v>
      </c>
      <c r="H327" s="12" t="n">
        <v>46204</v>
      </c>
      <c r="I327" s="5" t="s">
        <v>2250</v>
      </c>
      <c r="J327" s="5" t="s">
        <v>2251</v>
      </c>
      <c r="K327" s="5" t="s">
        <v>2243</v>
      </c>
      <c r="L327" s="5" t="n">
        <f aca="false">IF(G327="High",3,IF(G327="Medium",2,1))</f>
        <v>1</v>
      </c>
    </row>
    <row r="328" customFormat="false" ht="15" hidden="false" customHeight="true" outlineLevel="0" collapsed="false">
      <c r="A328" s="5" t="s">
        <v>2604</v>
      </c>
      <c r="B328" s="5" t="s">
        <v>1109</v>
      </c>
      <c r="C328" s="5" t="s">
        <v>2248</v>
      </c>
      <c r="D328" s="5" t="s">
        <v>2322</v>
      </c>
      <c r="E328" s="5" t="s">
        <v>59</v>
      </c>
      <c r="F328" s="5" t="s">
        <v>2225</v>
      </c>
      <c r="G328" s="5" t="str">
        <f aca="false">INDEX(Risk_Matrix!$B$2:$D$4,MATCH(E328,Risk_Matrix!$A$2:$A$4,0),MATCH(F328,Risk_Matrix!$B$1:$D$1,0))</f>
        <v>Low</v>
      </c>
      <c r="H328" s="12" t="n">
        <v>46081</v>
      </c>
      <c r="I328" s="5" t="s">
        <v>2256</v>
      </c>
      <c r="J328" s="5" t="s">
        <v>2257</v>
      </c>
      <c r="K328" s="5" t="s">
        <v>2283</v>
      </c>
      <c r="L328" s="5" t="n">
        <f aca="false">IF(G328="High",3,IF(G328="Medium",2,1))</f>
        <v>1</v>
      </c>
    </row>
    <row r="329" customFormat="false" ht="15" hidden="false" customHeight="true" outlineLevel="0" collapsed="false">
      <c r="A329" s="5" t="s">
        <v>2605</v>
      </c>
      <c r="B329" s="5" t="s">
        <v>1109</v>
      </c>
      <c r="C329" s="5" t="s">
        <v>2254</v>
      </c>
      <c r="D329" s="5" t="s">
        <v>2255</v>
      </c>
      <c r="E329" s="5" t="s">
        <v>59</v>
      </c>
      <c r="F329" s="5" t="s">
        <v>59</v>
      </c>
      <c r="G329" s="5" t="str">
        <f aca="false">INDEX(Risk_Matrix!$B$2:$D$4,MATCH(E329,Risk_Matrix!$A$2:$A$4,0),MATCH(F329,Risk_Matrix!$B$1:$D$1,0))</f>
        <v>Low</v>
      </c>
      <c r="H329" s="12" t="n">
        <v>46063</v>
      </c>
      <c r="I329" s="5" t="s">
        <v>2250</v>
      </c>
      <c r="J329" s="5" t="s">
        <v>2251</v>
      </c>
      <c r="K329" s="5" t="s">
        <v>2283</v>
      </c>
      <c r="L329" s="5" t="n">
        <f aca="false">IF(G329="High",3,IF(G329="Medium",2,1))</f>
        <v>1</v>
      </c>
    </row>
    <row r="330" customFormat="false" ht="15" hidden="false" customHeight="true" outlineLevel="0" collapsed="false">
      <c r="A330" s="5" t="s">
        <v>2606</v>
      </c>
      <c r="B330" s="5" t="s">
        <v>1109</v>
      </c>
      <c r="C330" s="5" t="s">
        <v>2259</v>
      </c>
      <c r="D330" s="5" t="s">
        <v>2260</v>
      </c>
      <c r="E330" s="5" t="s">
        <v>59</v>
      </c>
      <c r="F330" s="5" t="s">
        <v>59</v>
      </c>
      <c r="G330" s="5" t="str">
        <f aca="false">INDEX(Risk_Matrix!$B$2:$D$4,MATCH(E330,Risk_Matrix!$A$2:$A$4,0),MATCH(F330,Risk_Matrix!$B$1:$D$1,0))</f>
        <v>Low</v>
      </c>
      <c r="H330" s="12" t="n">
        <v>46190</v>
      </c>
      <c r="I330" s="5" t="s">
        <v>2256</v>
      </c>
      <c r="J330" s="5" t="s">
        <v>2257</v>
      </c>
      <c r="K330" s="5" t="s">
        <v>2252</v>
      </c>
      <c r="L330" s="5" t="n">
        <f aca="false">IF(G330="High",3,IF(G330="Medium",2,1))</f>
        <v>1</v>
      </c>
    </row>
    <row r="331" customFormat="false" ht="15" hidden="false" customHeight="true" outlineLevel="0" collapsed="false">
      <c r="A331" s="5" t="s">
        <v>2607</v>
      </c>
      <c r="B331" s="5" t="s">
        <v>1109</v>
      </c>
      <c r="C331" s="5" t="s">
        <v>2262</v>
      </c>
      <c r="D331" s="5" t="s">
        <v>2311</v>
      </c>
      <c r="E331" s="5" t="s">
        <v>2225</v>
      </c>
      <c r="F331" s="5" t="s">
        <v>59</v>
      </c>
      <c r="G331" s="5" t="str">
        <f aca="false">INDEX(Risk_Matrix!$B$2:$D$4,MATCH(E331,Risk_Matrix!$A$2:$A$4,0),MATCH(F331,Risk_Matrix!$B$1:$D$1,0))</f>
        <v>Low</v>
      </c>
      <c r="H331" s="12" t="n">
        <v>46149</v>
      </c>
      <c r="I331" s="5" t="s">
        <v>2256</v>
      </c>
      <c r="J331" s="5" t="s">
        <v>2257</v>
      </c>
      <c r="K331" s="5" t="s">
        <v>2283</v>
      </c>
      <c r="L331" s="5" t="n">
        <f aca="false">IF(G331="High",3,IF(G331="Medium",2,1))</f>
        <v>1</v>
      </c>
    </row>
    <row r="332" customFormat="false" ht="15" hidden="false" customHeight="true" outlineLevel="0" collapsed="false">
      <c r="A332" s="5" t="s">
        <v>2608</v>
      </c>
      <c r="B332" s="5" t="s">
        <v>1111</v>
      </c>
      <c r="C332" s="5" t="s">
        <v>2239</v>
      </c>
      <c r="D332" s="5" t="s">
        <v>2295</v>
      </c>
      <c r="E332" s="5" t="s">
        <v>2225</v>
      </c>
      <c r="F332" s="5" t="s">
        <v>59</v>
      </c>
      <c r="G332" s="5" t="str">
        <f aca="false">INDEX(Risk_Matrix!$B$2:$D$4,MATCH(E332,Risk_Matrix!$A$2:$A$4,0),MATCH(F332,Risk_Matrix!$B$1:$D$1,0))</f>
        <v>Low</v>
      </c>
      <c r="H332" s="12" t="n">
        <v>46179</v>
      </c>
      <c r="I332" s="5" t="s">
        <v>2264</v>
      </c>
      <c r="J332" s="5" t="s">
        <v>2265</v>
      </c>
      <c r="K332" s="5" t="s">
        <v>2266</v>
      </c>
      <c r="L332" s="5" t="n">
        <f aca="false">IF(G332="High",3,IF(G332="Medium",2,1))</f>
        <v>1</v>
      </c>
    </row>
    <row r="333" customFormat="false" ht="15" hidden="false" customHeight="true" outlineLevel="0" collapsed="false">
      <c r="A333" s="5" t="s">
        <v>2609</v>
      </c>
      <c r="B333" s="5" t="s">
        <v>1111</v>
      </c>
      <c r="C333" s="5" t="s">
        <v>2245</v>
      </c>
      <c r="D333" s="5" t="s">
        <v>2269</v>
      </c>
      <c r="E333" s="5" t="s">
        <v>59</v>
      </c>
      <c r="F333" s="5" t="s">
        <v>2225</v>
      </c>
      <c r="G333" s="5" t="str">
        <f aca="false">INDEX(Risk_Matrix!$B$2:$D$4,MATCH(E333,Risk_Matrix!$A$2:$A$4,0),MATCH(F333,Risk_Matrix!$B$1:$D$1,0))</f>
        <v>Low</v>
      </c>
      <c r="H333" s="12" t="n">
        <v>46225</v>
      </c>
      <c r="I333" s="5" t="s">
        <v>2256</v>
      </c>
      <c r="J333" s="5" t="s">
        <v>2257</v>
      </c>
      <c r="K333" s="5" t="s">
        <v>2266</v>
      </c>
      <c r="L333" s="5" t="n">
        <f aca="false">IF(G333="High",3,IF(G333="Medium",2,1))</f>
        <v>1</v>
      </c>
    </row>
    <row r="334" customFormat="false" ht="15" hidden="false" customHeight="true" outlineLevel="0" collapsed="false">
      <c r="A334" s="5" t="s">
        <v>2610</v>
      </c>
      <c r="B334" s="5" t="s">
        <v>1111</v>
      </c>
      <c r="C334" s="5" t="s">
        <v>2248</v>
      </c>
      <c r="D334" s="5" t="s">
        <v>2322</v>
      </c>
      <c r="E334" s="5" t="s">
        <v>54</v>
      </c>
      <c r="F334" s="5" t="s">
        <v>2225</v>
      </c>
      <c r="G334" s="5" t="str">
        <f aca="false">INDEX(Risk_Matrix!$B$2:$D$4,MATCH(E334,Risk_Matrix!$A$2:$A$4,0),MATCH(F334,Risk_Matrix!$B$1:$D$1,0))</f>
        <v>High</v>
      </c>
      <c r="H334" s="12" t="n">
        <v>46061</v>
      </c>
      <c r="I334" s="5" t="s">
        <v>2256</v>
      </c>
      <c r="J334" s="5" t="s">
        <v>2257</v>
      </c>
      <c r="K334" s="5" t="s">
        <v>2276</v>
      </c>
      <c r="L334" s="5" t="n">
        <f aca="false">IF(G334="High",3,IF(G334="Medium",2,1))</f>
        <v>3</v>
      </c>
    </row>
    <row r="335" customFormat="false" ht="15" hidden="false" customHeight="true" outlineLevel="0" collapsed="false">
      <c r="A335" s="5" t="s">
        <v>2611</v>
      </c>
      <c r="B335" s="5" t="s">
        <v>1111</v>
      </c>
      <c r="C335" s="5" t="s">
        <v>2254</v>
      </c>
      <c r="D335" s="5" t="s">
        <v>2308</v>
      </c>
      <c r="E335" s="5" t="s">
        <v>59</v>
      </c>
      <c r="F335" s="5" t="s">
        <v>59</v>
      </c>
      <c r="G335" s="5" t="str">
        <f aca="false">INDEX(Risk_Matrix!$B$2:$D$4,MATCH(E335,Risk_Matrix!$A$2:$A$4,0),MATCH(F335,Risk_Matrix!$B$1:$D$1,0))</f>
        <v>Low</v>
      </c>
      <c r="H335" s="12" t="n">
        <v>46101</v>
      </c>
      <c r="I335" s="5" t="s">
        <v>2256</v>
      </c>
      <c r="J335" s="5" t="s">
        <v>2257</v>
      </c>
      <c r="K335" s="5" t="s">
        <v>2266</v>
      </c>
      <c r="L335" s="5" t="n">
        <f aca="false">IF(G335="High",3,IF(G335="Medium",2,1))</f>
        <v>1</v>
      </c>
    </row>
    <row r="336" customFormat="false" ht="15" hidden="false" customHeight="true" outlineLevel="0" collapsed="false">
      <c r="A336" s="5" t="s">
        <v>2612</v>
      </c>
      <c r="B336" s="5" t="s">
        <v>1111</v>
      </c>
      <c r="C336" s="5" t="s">
        <v>2259</v>
      </c>
      <c r="D336" s="5" t="s">
        <v>2260</v>
      </c>
      <c r="E336" s="5" t="s">
        <v>2225</v>
      </c>
      <c r="F336" s="5" t="s">
        <v>2225</v>
      </c>
      <c r="G336" s="5" t="str">
        <f aca="false">INDEX(Risk_Matrix!$B$2:$D$4,MATCH(E336,Risk_Matrix!$A$2:$A$4,0),MATCH(F336,Risk_Matrix!$B$1:$D$1,0))</f>
        <v>Medium</v>
      </c>
      <c r="H336" s="12" t="n">
        <v>46079</v>
      </c>
      <c r="I336" s="5" t="s">
        <v>2250</v>
      </c>
      <c r="J336" s="5" t="s">
        <v>2251</v>
      </c>
      <c r="K336" s="5" t="s">
        <v>2266</v>
      </c>
      <c r="L336" s="5" t="n">
        <f aca="false">IF(G336="High",3,IF(G336="Medium",2,1))</f>
        <v>2</v>
      </c>
    </row>
    <row r="337" customFormat="false" ht="15" hidden="false" customHeight="true" outlineLevel="0" collapsed="false">
      <c r="A337" s="5" t="s">
        <v>2613</v>
      </c>
      <c r="B337" s="5" t="s">
        <v>1111</v>
      </c>
      <c r="C337" s="5" t="s">
        <v>2262</v>
      </c>
      <c r="D337" s="5" t="s">
        <v>2263</v>
      </c>
      <c r="E337" s="5" t="s">
        <v>2225</v>
      </c>
      <c r="F337" s="5" t="s">
        <v>59</v>
      </c>
      <c r="G337" s="5" t="str">
        <f aca="false">INDEX(Risk_Matrix!$B$2:$D$4,MATCH(E337,Risk_Matrix!$A$2:$A$4,0),MATCH(F337,Risk_Matrix!$B$1:$D$1,0))</f>
        <v>Low</v>
      </c>
      <c r="H337" s="12" t="n">
        <v>46069</v>
      </c>
      <c r="I337" s="5" t="s">
        <v>2250</v>
      </c>
      <c r="J337" s="5" t="s">
        <v>2251</v>
      </c>
      <c r="K337" s="5" t="s">
        <v>2283</v>
      </c>
      <c r="L337" s="5" t="n">
        <f aca="false">IF(G337="High",3,IF(G337="Medium",2,1))</f>
        <v>1</v>
      </c>
    </row>
    <row r="338" customFormat="false" ht="15" hidden="false" customHeight="true" outlineLevel="0" collapsed="false">
      <c r="A338" s="5" t="s">
        <v>2614</v>
      </c>
      <c r="B338" s="5" t="s">
        <v>1113</v>
      </c>
      <c r="C338" s="5" t="s">
        <v>2239</v>
      </c>
      <c r="D338" s="5" t="s">
        <v>2240</v>
      </c>
      <c r="E338" s="5" t="s">
        <v>59</v>
      </c>
      <c r="F338" s="5" t="s">
        <v>59</v>
      </c>
      <c r="G338" s="5" t="str">
        <f aca="false">INDEX(Risk_Matrix!$B$2:$D$4,MATCH(E338,Risk_Matrix!$A$2:$A$4,0),MATCH(F338,Risk_Matrix!$B$1:$D$1,0))</f>
        <v>Low</v>
      </c>
      <c r="H338" s="12" t="n">
        <v>46060</v>
      </c>
      <c r="I338" s="5" t="s">
        <v>2256</v>
      </c>
      <c r="J338" s="5" t="s">
        <v>2257</v>
      </c>
      <c r="K338" s="5" t="s">
        <v>2283</v>
      </c>
      <c r="L338" s="5" t="n">
        <f aca="false">IF(G338="High",3,IF(G338="Medium",2,1))</f>
        <v>1</v>
      </c>
    </row>
    <row r="339" customFormat="false" ht="15" hidden="false" customHeight="true" outlineLevel="0" collapsed="false">
      <c r="A339" s="5" t="s">
        <v>2615</v>
      </c>
      <c r="B339" s="5" t="s">
        <v>1113</v>
      </c>
      <c r="C339" s="5" t="s">
        <v>2245</v>
      </c>
      <c r="D339" s="5" t="s">
        <v>2269</v>
      </c>
      <c r="E339" s="5" t="s">
        <v>59</v>
      </c>
      <c r="F339" s="5" t="s">
        <v>2225</v>
      </c>
      <c r="G339" s="5" t="str">
        <f aca="false">INDEX(Risk_Matrix!$B$2:$D$4,MATCH(E339,Risk_Matrix!$A$2:$A$4,0),MATCH(F339,Risk_Matrix!$B$1:$D$1,0))</f>
        <v>Low</v>
      </c>
      <c r="H339" s="12" t="n">
        <v>46139</v>
      </c>
      <c r="I339" s="5" t="s">
        <v>2256</v>
      </c>
      <c r="J339" s="5" t="s">
        <v>2257</v>
      </c>
      <c r="K339" s="5" t="s">
        <v>2252</v>
      </c>
      <c r="L339" s="5" t="n">
        <f aca="false">IF(G339="High",3,IF(G339="Medium",2,1))</f>
        <v>1</v>
      </c>
    </row>
    <row r="340" customFormat="false" ht="15" hidden="false" customHeight="true" outlineLevel="0" collapsed="false">
      <c r="A340" s="5" t="s">
        <v>2616</v>
      </c>
      <c r="B340" s="5" t="s">
        <v>1113</v>
      </c>
      <c r="C340" s="5" t="s">
        <v>2248</v>
      </c>
      <c r="D340" s="5" t="s">
        <v>2249</v>
      </c>
      <c r="E340" s="5" t="s">
        <v>54</v>
      </c>
      <c r="F340" s="5" t="s">
        <v>59</v>
      </c>
      <c r="G340" s="5" t="str">
        <f aca="false">INDEX(Risk_Matrix!$B$2:$D$4,MATCH(E340,Risk_Matrix!$A$2:$A$4,0),MATCH(F340,Risk_Matrix!$B$1:$D$1,0))</f>
        <v>Medium</v>
      </c>
      <c r="H340" s="12" t="n">
        <v>46072</v>
      </c>
      <c r="I340" s="5" t="s">
        <v>2264</v>
      </c>
      <c r="J340" s="5" t="s">
        <v>2265</v>
      </c>
      <c r="K340" s="5" t="s">
        <v>2243</v>
      </c>
      <c r="L340" s="5" t="n">
        <f aca="false">IF(G340="High",3,IF(G340="Medium",2,1))</f>
        <v>2</v>
      </c>
    </row>
    <row r="341" customFormat="false" ht="15" hidden="false" customHeight="true" outlineLevel="0" collapsed="false">
      <c r="A341" s="5" t="s">
        <v>2617</v>
      </c>
      <c r="B341" s="5" t="s">
        <v>1113</v>
      </c>
      <c r="C341" s="5" t="s">
        <v>2254</v>
      </c>
      <c r="D341" s="5" t="s">
        <v>2255</v>
      </c>
      <c r="E341" s="5" t="s">
        <v>54</v>
      </c>
      <c r="F341" s="5" t="s">
        <v>2225</v>
      </c>
      <c r="G341" s="5" t="str">
        <f aca="false">INDEX(Risk_Matrix!$B$2:$D$4,MATCH(E341,Risk_Matrix!$A$2:$A$4,0),MATCH(F341,Risk_Matrix!$B$1:$D$1,0))</f>
        <v>High</v>
      </c>
      <c r="H341" s="12" t="n">
        <v>46158</v>
      </c>
      <c r="I341" s="5" t="s">
        <v>2250</v>
      </c>
      <c r="J341" s="5" t="s">
        <v>2251</v>
      </c>
      <c r="K341" s="5" t="s">
        <v>2243</v>
      </c>
      <c r="L341" s="5" t="n">
        <f aca="false">IF(G341="High",3,IF(G341="Medium",2,1))</f>
        <v>3</v>
      </c>
    </row>
    <row r="342" customFormat="false" ht="15" hidden="false" customHeight="true" outlineLevel="0" collapsed="false">
      <c r="A342" s="5" t="s">
        <v>2618</v>
      </c>
      <c r="B342" s="5" t="s">
        <v>1113</v>
      </c>
      <c r="C342" s="5" t="s">
        <v>2259</v>
      </c>
      <c r="D342" s="5" t="s">
        <v>2285</v>
      </c>
      <c r="E342" s="5" t="s">
        <v>2225</v>
      </c>
      <c r="F342" s="5" t="s">
        <v>59</v>
      </c>
      <c r="G342" s="5" t="str">
        <f aca="false">INDEX(Risk_Matrix!$B$2:$D$4,MATCH(E342,Risk_Matrix!$A$2:$A$4,0),MATCH(F342,Risk_Matrix!$B$1:$D$1,0))</f>
        <v>Low</v>
      </c>
      <c r="H342" s="12" t="n">
        <v>46121</v>
      </c>
      <c r="I342" s="5" t="s">
        <v>2250</v>
      </c>
      <c r="J342" s="5" t="s">
        <v>2251</v>
      </c>
      <c r="K342" s="5" t="s">
        <v>2283</v>
      </c>
      <c r="L342" s="5" t="n">
        <f aca="false">IF(G342="High",3,IF(G342="Medium",2,1))</f>
        <v>1</v>
      </c>
    </row>
    <row r="343" customFormat="false" ht="15" hidden="false" customHeight="true" outlineLevel="0" collapsed="false">
      <c r="A343" s="5" t="s">
        <v>2619</v>
      </c>
      <c r="B343" s="5" t="s">
        <v>1113</v>
      </c>
      <c r="C343" s="5" t="s">
        <v>2262</v>
      </c>
      <c r="D343" s="5" t="s">
        <v>2263</v>
      </c>
      <c r="E343" s="5" t="s">
        <v>59</v>
      </c>
      <c r="F343" s="5" t="s">
        <v>59</v>
      </c>
      <c r="G343" s="5" t="str">
        <f aca="false">INDEX(Risk_Matrix!$B$2:$D$4,MATCH(E343,Risk_Matrix!$A$2:$A$4,0),MATCH(F343,Risk_Matrix!$B$1:$D$1,0))</f>
        <v>Low</v>
      </c>
      <c r="H343" s="12" t="n">
        <v>46153</v>
      </c>
      <c r="I343" s="5" t="s">
        <v>2250</v>
      </c>
      <c r="J343" s="5" t="s">
        <v>2251</v>
      </c>
      <c r="K343" s="5" t="s">
        <v>2243</v>
      </c>
      <c r="L343" s="5" t="n">
        <f aca="false">IF(G343="High",3,IF(G343="Medium",2,1))</f>
        <v>1</v>
      </c>
    </row>
    <row r="344" customFormat="false" ht="15" hidden="false" customHeight="true" outlineLevel="0" collapsed="false">
      <c r="A344" s="5" t="s">
        <v>2620</v>
      </c>
      <c r="B344" s="5" t="s">
        <v>1115</v>
      </c>
      <c r="C344" s="5" t="s">
        <v>2239</v>
      </c>
      <c r="D344" s="5" t="s">
        <v>2295</v>
      </c>
      <c r="E344" s="5" t="s">
        <v>2225</v>
      </c>
      <c r="F344" s="5" t="s">
        <v>59</v>
      </c>
      <c r="G344" s="5" t="str">
        <f aca="false">INDEX(Risk_Matrix!$B$2:$D$4,MATCH(E344,Risk_Matrix!$A$2:$A$4,0),MATCH(F344,Risk_Matrix!$B$1:$D$1,0))</f>
        <v>Low</v>
      </c>
      <c r="H344" s="12" t="n">
        <v>46148</v>
      </c>
      <c r="I344" s="5" t="s">
        <v>2250</v>
      </c>
      <c r="J344" s="5" t="s">
        <v>2251</v>
      </c>
      <c r="K344" s="5" t="s">
        <v>2252</v>
      </c>
      <c r="L344" s="5" t="n">
        <f aca="false">IF(G344="High",3,IF(G344="Medium",2,1))</f>
        <v>1</v>
      </c>
    </row>
    <row r="345" customFormat="false" ht="15" hidden="false" customHeight="true" outlineLevel="0" collapsed="false">
      <c r="A345" s="5" t="s">
        <v>2621</v>
      </c>
      <c r="B345" s="5" t="s">
        <v>1115</v>
      </c>
      <c r="C345" s="5" t="s">
        <v>2245</v>
      </c>
      <c r="D345" s="5" t="s">
        <v>2320</v>
      </c>
      <c r="E345" s="5" t="s">
        <v>54</v>
      </c>
      <c r="F345" s="5" t="s">
        <v>54</v>
      </c>
      <c r="G345" s="5" t="str">
        <f aca="false">INDEX(Risk_Matrix!$B$2:$D$4,MATCH(E345,Risk_Matrix!$A$2:$A$4,0),MATCH(F345,Risk_Matrix!$B$1:$D$1,0))</f>
        <v>High</v>
      </c>
      <c r="H345" s="12" t="n">
        <v>46223</v>
      </c>
      <c r="I345" s="5" t="s">
        <v>2256</v>
      </c>
      <c r="J345" s="5" t="s">
        <v>2257</v>
      </c>
      <c r="K345" s="5" t="s">
        <v>2252</v>
      </c>
      <c r="L345" s="5" t="n">
        <f aca="false">IF(G345="High",3,IF(G345="Medium",2,1))</f>
        <v>3</v>
      </c>
    </row>
    <row r="346" customFormat="false" ht="15" hidden="false" customHeight="true" outlineLevel="0" collapsed="false">
      <c r="A346" s="5" t="s">
        <v>2622</v>
      </c>
      <c r="B346" s="5" t="s">
        <v>1115</v>
      </c>
      <c r="C346" s="5" t="s">
        <v>2248</v>
      </c>
      <c r="D346" s="5" t="s">
        <v>2271</v>
      </c>
      <c r="E346" s="5" t="s">
        <v>54</v>
      </c>
      <c r="F346" s="5" t="s">
        <v>2225</v>
      </c>
      <c r="G346" s="5" t="str">
        <f aca="false">INDEX(Risk_Matrix!$B$2:$D$4,MATCH(E346,Risk_Matrix!$A$2:$A$4,0),MATCH(F346,Risk_Matrix!$B$1:$D$1,0))</f>
        <v>High</v>
      </c>
      <c r="H346" s="12" t="n">
        <v>46096</v>
      </c>
      <c r="I346" s="5" t="s">
        <v>2256</v>
      </c>
      <c r="J346" s="5" t="s">
        <v>2257</v>
      </c>
      <c r="K346" s="5" t="s">
        <v>2252</v>
      </c>
      <c r="L346" s="5" t="n">
        <f aca="false">IF(G346="High",3,IF(G346="Medium",2,1))</f>
        <v>3</v>
      </c>
    </row>
    <row r="347" customFormat="false" ht="15" hidden="false" customHeight="true" outlineLevel="0" collapsed="false">
      <c r="A347" s="5" t="s">
        <v>2623</v>
      </c>
      <c r="B347" s="5" t="s">
        <v>1115</v>
      </c>
      <c r="C347" s="5" t="s">
        <v>2254</v>
      </c>
      <c r="D347" s="5" t="s">
        <v>2255</v>
      </c>
      <c r="E347" s="5" t="s">
        <v>59</v>
      </c>
      <c r="F347" s="5" t="s">
        <v>54</v>
      </c>
      <c r="G347" s="5" t="str">
        <f aca="false">INDEX(Risk_Matrix!$B$2:$D$4,MATCH(E347,Risk_Matrix!$A$2:$A$4,0),MATCH(F347,Risk_Matrix!$B$1:$D$1,0))</f>
        <v>Medium</v>
      </c>
      <c r="H347" s="12" t="n">
        <v>46216</v>
      </c>
      <c r="I347" s="5" t="s">
        <v>2250</v>
      </c>
      <c r="J347" s="5" t="s">
        <v>2251</v>
      </c>
      <c r="K347" s="5" t="s">
        <v>2243</v>
      </c>
      <c r="L347" s="5" t="n">
        <f aca="false">IF(G347="High",3,IF(G347="Medium",2,1))</f>
        <v>2</v>
      </c>
    </row>
    <row r="348" customFormat="false" ht="15" hidden="false" customHeight="true" outlineLevel="0" collapsed="false">
      <c r="A348" s="5" t="s">
        <v>2624</v>
      </c>
      <c r="B348" s="5" t="s">
        <v>1115</v>
      </c>
      <c r="C348" s="5" t="s">
        <v>2259</v>
      </c>
      <c r="D348" s="5" t="s">
        <v>2285</v>
      </c>
      <c r="E348" s="5" t="s">
        <v>54</v>
      </c>
      <c r="F348" s="5" t="s">
        <v>2225</v>
      </c>
      <c r="G348" s="5" t="str">
        <f aca="false">INDEX(Risk_Matrix!$B$2:$D$4,MATCH(E348,Risk_Matrix!$A$2:$A$4,0),MATCH(F348,Risk_Matrix!$B$1:$D$1,0))</f>
        <v>High</v>
      </c>
      <c r="H348" s="12" t="n">
        <v>46180</v>
      </c>
      <c r="I348" s="5" t="s">
        <v>2250</v>
      </c>
      <c r="J348" s="5" t="s">
        <v>2251</v>
      </c>
      <c r="K348" s="5" t="s">
        <v>2243</v>
      </c>
      <c r="L348" s="5" t="n">
        <f aca="false">IF(G348="High",3,IF(G348="Medium",2,1))</f>
        <v>3</v>
      </c>
    </row>
    <row r="349" customFormat="false" ht="15" hidden="false" customHeight="true" outlineLevel="0" collapsed="false">
      <c r="A349" s="5" t="s">
        <v>2625</v>
      </c>
      <c r="B349" s="5" t="s">
        <v>1115</v>
      </c>
      <c r="C349" s="5" t="s">
        <v>2262</v>
      </c>
      <c r="D349" s="5" t="s">
        <v>2287</v>
      </c>
      <c r="E349" s="5" t="s">
        <v>2225</v>
      </c>
      <c r="F349" s="5" t="s">
        <v>59</v>
      </c>
      <c r="G349" s="5" t="str">
        <f aca="false">INDEX(Risk_Matrix!$B$2:$D$4,MATCH(E349,Risk_Matrix!$A$2:$A$4,0),MATCH(F349,Risk_Matrix!$B$1:$D$1,0))</f>
        <v>Low</v>
      </c>
      <c r="H349" s="12" t="n">
        <v>46084</v>
      </c>
      <c r="I349" s="5" t="s">
        <v>2256</v>
      </c>
      <c r="J349" s="5" t="s">
        <v>2257</v>
      </c>
      <c r="K349" s="5" t="s">
        <v>2252</v>
      </c>
      <c r="L349" s="5" t="n">
        <f aca="false">IF(G349="High",3,IF(G349="Medium",2,1))</f>
        <v>1</v>
      </c>
    </row>
    <row r="350" customFormat="false" ht="15" hidden="false" customHeight="true" outlineLevel="0" collapsed="false">
      <c r="A350" s="5" t="s">
        <v>2626</v>
      </c>
      <c r="B350" s="5" t="s">
        <v>1117</v>
      </c>
      <c r="C350" s="5" t="s">
        <v>2239</v>
      </c>
      <c r="D350" s="5" t="s">
        <v>2295</v>
      </c>
      <c r="E350" s="5" t="s">
        <v>2225</v>
      </c>
      <c r="F350" s="5" t="s">
        <v>59</v>
      </c>
      <c r="G350" s="5" t="str">
        <f aca="false">INDEX(Risk_Matrix!$B$2:$D$4,MATCH(E350,Risk_Matrix!$A$2:$A$4,0),MATCH(F350,Risk_Matrix!$B$1:$D$1,0))</f>
        <v>Low</v>
      </c>
      <c r="H350" s="12" t="n">
        <v>46100</v>
      </c>
      <c r="I350" s="5" t="s">
        <v>2256</v>
      </c>
      <c r="J350" s="5" t="s">
        <v>2257</v>
      </c>
      <c r="K350" s="5" t="s">
        <v>2266</v>
      </c>
      <c r="L350" s="5" t="n">
        <f aca="false">IF(G350="High",3,IF(G350="Medium",2,1))</f>
        <v>1</v>
      </c>
    </row>
    <row r="351" customFormat="false" ht="15" hidden="false" customHeight="true" outlineLevel="0" collapsed="false">
      <c r="A351" s="5" t="s">
        <v>2627</v>
      </c>
      <c r="B351" s="5" t="s">
        <v>1117</v>
      </c>
      <c r="C351" s="5" t="s">
        <v>2245</v>
      </c>
      <c r="D351" s="5" t="s">
        <v>2320</v>
      </c>
      <c r="E351" s="5" t="s">
        <v>59</v>
      </c>
      <c r="F351" s="5" t="s">
        <v>2225</v>
      </c>
      <c r="G351" s="5" t="str">
        <f aca="false">INDEX(Risk_Matrix!$B$2:$D$4,MATCH(E351,Risk_Matrix!$A$2:$A$4,0),MATCH(F351,Risk_Matrix!$B$1:$D$1,0))</f>
        <v>Low</v>
      </c>
      <c r="H351" s="12" t="n">
        <v>46204</v>
      </c>
      <c r="I351" s="5" t="s">
        <v>2250</v>
      </c>
      <c r="J351" s="5" t="s">
        <v>2251</v>
      </c>
      <c r="K351" s="5" t="s">
        <v>2243</v>
      </c>
      <c r="L351" s="5" t="n">
        <f aca="false">IF(G351="High",3,IF(G351="Medium",2,1))</f>
        <v>1</v>
      </c>
    </row>
    <row r="352" customFormat="false" ht="15" hidden="false" customHeight="true" outlineLevel="0" collapsed="false">
      <c r="A352" s="5" t="s">
        <v>2628</v>
      </c>
      <c r="B352" s="5" t="s">
        <v>1117</v>
      </c>
      <c r="C352" s="5" t="s">
        <v>2248</v>
      </c>
      <c r="D352" s="5" t="s">
        <v>2322</v>
      </c>
      <c r="E352" s="5" t="s">
        <v>2225</v>
      </c>
      <c r="F352" s="5" t="s">
        <v>2225</v>
      </c>
      <c r="G352" s="5" t="str">
        <f aca="false">INDEX(Risk_Matrix!$B$2:$D$4,MATCH(E352,Risk_Matrix!$A$2:$A$4,0),MATCH(F352,Risk_Matrix!$B$1:$D$1,0))</f>
        <v>Medium</v>
      </c>
      <c r="H352" s="12" t="n">
        <v>46221</v>
      </c>
      <c r="I352" s="5" t="s">
        <v>2256</v>
      </c>
      <c r="J352" s="5" t="s">
        <v>2257</v>
      </c>
      <c r="K352" s="5" t="s">
        <v>2283</v>
      </c>
      <c r="L352" s="5" t="n">
        <f aca="false">IF(G352="High",3,IF(G352="Medium",2,1))</f>
        <v>2</v>
      </c>
    </row>
    <row r="353" customFormat="false" ht="15" hidden="false" customHeight="true" outlineLevel="0" collapsed="false">
      <c r="A353" s="5" t="s">
        <v>2629</v>
      </c>
      <c r="B353" s="5" t="s">
        <v>1117</v>
      </c>
      <c r="C353" s="5" t="s">
        <v>2254</v>
      </c>
      <c r="D353" s="5" t="s">
        <v>2299</v>
      </c>
      <c r="E353" s="5" t="s">
        <v>54</v>
      </c>
      <c r="F353" s="5" t="s">
        <v>59</v>
      </c>
      <c r="G353" s="5" t="str">
        <f aca="false">INDEX(Risk_Matrix!$B$2:$D$4,MATCH(E353,Risk_Matrix!$A$2:$A$4,0),MATCH(F353,Risk_Matrix!$B$1:$D$1,0))</f>
        <v>Medium</v>
      </c>
      <c r="H353" s="12" t="n">
        <v>46201</v>
      </c>
      <c r="I353" s="5" t="s">
        <v>2256</v>
      </c>
      <c r="J353" s="5" t="s">
        <v>2257</v>
      </c>
      <c r="K353" s="5" t="s">
        <v>2276</v>
      </c>
      <c r="L353" s="5" t="n">
        <f aca="false">IF(G353="High",3,IF(G353="Medium",2,1))</f>
        <v>2</v>
      </c>
    </row>
    <row r="354" customFormat="false" ht="15" hidden="false" customHeight="true" outlineLevel="0" collapsed="false">
      <c r="A354" s="5" t="s">
        <v>2630</v>
      </c>
      <c r="B354" s="5" t="s">
        <v>1117</v>
      </c>
      <c r="C354" s="5" t="s">
        <v>2259</v>
      </c>
      <c r="D354" s="5" t="s">
        <v>2274</v>
      </c>
      <c r="E354" s="5" t="s">
        <v>54</v>
      </c>
      <c r="F354" s="5" t="s">
        <v>59</v>
      </c>
      <c r="G354" s="5" t="str">
        <f aca="false">INDEX(Risk_Matrix!$B$2:$D$4,MATCH(E354,Risk_Matrix!$A$2:$A$4,0),MATCH(F354,Risk_Matrix!$B$1:$D$1,0))</f>
        <v>Medium</v>
      </c>
      <c r="H354" s="12" t="n">
        <v>46125</v>
      </c>
      <c r="I354" s="5" t="s">
        <v>2250</v>
      </c>
      <c r="J354" s="5" t="s">
        <v>2251</v>
      </c>
      <c r="K354" s="5" t="s">
        <v>2252</v>
      </c>
      <c r="L354" s="5" t="n">
        <f aca="false">IF(G354="High",3,IF(G354="Medium",2,1))</f>
        <v>2</v>
      </c>
    </row>
    <row r="355" customFormat="false" ht="15" hidden="false" customHeight="true" outlineLevel="0" collapsed="false">
      <c r="A355" s="5" t="s">
        <v>2631</v>
      </c>
      <c r="B355" s="5" t="s">
        <v>1117</v>
      </c>
      <c r="C355" s="5" t="s">
        <v>2262</v>
      </c>
      <c r="D355" s="5" t="s">
        <v>2287</v>
      </c>
      <c r="E355" s="5" t="s">
        <v>2225</v>
      </c>
      <c r="F355" s="5" t="s">
        <v>59</v>
      </c>
      <c r="G355" s="5" t="str">
        <f aca="false">INDEX(Risk_Matrix!$B$2:$D$4,MATCH(E355,Risk_Matrix!$A$2:$A$4,0),MATCH(F355,Risk_Matrix!$B$1:$D$1,0))</f>
        <v>Low</v>
      </c>
      <c r="H355" s="12" t="n">
        <v>46082</v>
      </c>
      <c r="I355" s="5" t="s">
        <v>2256</v>
      </c>
      <c r="J355" s="5" t="s">
        <v>2257</v>
      </c>
      <c r="K355" s="5" t="s">
        <v>2283</v>
      </c>
      <c r="L355" s="5" t="n">
        <f aca="false">IF(G355="High",3,IF(G355="Medium",2,1))</f>
        <v>1</v>
      </c>
    </row>
    <row r="356" customFormat="false" ht="15" hidden="false" customHeight="true" outlineLevel="0" collapsed="false">
      <c r="A356" s="5" t="s">
        <v>2632</v>
      </c>
      <c r="B356" s="5" t="s">
        <v>1119</v>
      </c>
      <c r="C356" s="5" t="s">
        <v>2239</v>
      </c>
      <c r="D356" s="5" t="s">
        <v>2278</v>
      </c>
      <c r="E356" s="5" t="s">
        <v>2225</v>
      </c>
      <c r="F356" s="5" t="s">
        <v>2225</v>
      </c>
      <c r="G356" s="5" t="str">
        <f aca="false">INDEX(Risk_Matrix!$B$2:$D$4,MATCH(E356,Risk_Matrix!$A$2:$A$4,0),MATCH(F356,Risk_Matrix!$B$1:$D$1,0))</f>
        <v>Medium</v>
      </c>
      <c r="H356" s="12" t="n">
        <v>46179</v>
      </c>
      <c r="I356" s="5" t="s">
        <v>2250</v>
      </c>
      <c r="J356" s="5" t="s">
        <v>2251</v>
      </c>
      <c r="K356" s="5" t="s">
        <v>2276</v>
      </c>
      <c r="L356" s="5" t="n">
        <f aca="false">IF(G356="High",3,IF(G356="Medium",2,1))</f>
        <v>2</v>
      </c>
    </row>
    <row r="357" customFormat="false" ht="15" hidden="false" customHeight="true" outlineLevel="0" collapsed="false">
      <c r="A357" s="5" t="s">
        <v>2633</v>
      </c>
      <c r="B357" s="5" t="s">
        <v>1119</v>
      </c>
      <c r="C357" s="5" t="s">
        <v>2245</v>
      </c>
      <c r="D357" s="5" t="s">
        <v>2269</v>
      </c>
      <c r="E357" s="5" t="s">
        <v>59</v>
      </c>
      <c r="F357" s="5" t="s">
        <v>2225</v>
      </c>
      <c r="G357" s="5" t="str">
        <f aca="false">INDEX(Risk_Matrix!$B$2:$D$4,MATCH(E357,Risk_Matrix!$A$2:$A$4,0),MATCH(F357,Risk_Matrix!$B$1:$D$1,0))</f>
        <v>Low</v>
      </c>
      <c r="H357" s="12" t="n">
        <v>46084</v>
      </c>
      <c r="I357" s="5" t="s">
        <v>2256</v>
      </c>
      <c r="J357" s="5" t="s">
        <v>2257</v>
      </c>
      <c r="K357" s="5" t="s">
        <v>2243</v>
      </c>
      <c r="L357" s="5" t="n">
        <f aca="false">IF(G357="High",3,IF(G357="Medium",2,1))</f>
        <v>1</v>
      </c>
    </row>
    <row r="358" customFormat="false" ht="15" hidden="false" customHeight="true" outlineLevel="0" collapsed="false">
      <c r="A358" s="5" t="s">
        <v>2634</v>
      </c>
      <c r="B358" s="5" t="s">
        <v>1119</v>
      </c>
      <c r="C358" s="5" t="s">
        <v>2248</v>
      </c>
      <c r="D358" s="5" t="s">
        <v>2249</v>
      </c>
      <c r="E358" s="5" t="s">
        <v>59</v>
      </c>
      <c r="F358" s="5" t="s">
        <v>59</v>
      </c>
      <c r="G358" s="5" t="str">
        <f aca="false">INDEX(Risk_Matrix!$B$2:$D$4,MATCH(E358,Risk_Matrix!$A$2:$A$4,0),MATCH(F358,Risk_Matrix!$B$1:$D$1,0))</f>
        <v>Low</v>
      </c>
      <c r="H358" s="12" t="n">
        <v>46197</v>
      </c>
      <c r="I358" s="5" t="s">
        <v>2250</v>
      </c>
      <c r="J358" s="5" t="s">
        <v>2251</v>
      </c>
      <c r="K358" s="5" t="s">
        <v>2266</v>
      </c>
      <c r="L358" s="5" t="n">
        <f aca="false">IF(G358="High",3,IF(G358="Medium",2,1))</f>
        <v>1</v>
      </c>
    </row>
    <row r="359" customFormat="false" ht="15" hidden="false" customHeight="true" outlineLevel="0" collapsed="false">
      <c r="A359" s="5" t="s">
        <v>2635</v>
      </c>
      <c r="B359" s="5" t="s">
        <v>1119</v>
      </c>
      <c r="C359" s="5" t="s">
        <v>2254</v>
      </c>
      <c r="D359" s="5" t="s">
        <v>2255</v>
      </c>
      <c r="E359" s="5" t="s">
        <v>59</v>
      </c>
      <c r="F359" s="5" t="s">
        <v>2225</v>
      </c>
      <c r="G359" s="5" t="str">
        <f aca="false">INDEX(Risk_Matrix!$B$2:$D$4,MATCH(E359,Risk_Matrix!$A$2:$A$4,0),MATCH(F359,Risk_Matrix!$B$1:$D$1,0))</f>
        <v>Low</v>
      </c>
      <c r="H359" s="12" t="n">
        <v>46169</v>
      </c>
      <c r="I359" s="5" t="s">
        <v>2256</v>
      </c>
      <c r="J359" s="5" t="s">
        <v>2257</v>
      </c>
      <c r="K359" s="5" t="s">
        <v>2243</v>
      </c>
      <c r="L359" s="5" t="n">
        <f aca="false">IF(G359="High",3,IF(G359="Medium",2,1))</f>
        <v>1</v>
      </c>
    </row>
    <row r="360" customFormat="false" ht="15" hidden="false" customHeight="true" outlineLevel="0" collapsed="false">
      <c r="A360" s="5" t="s">
        <v>2636</v>
      </c>
      <c r="B360" s="5" t="s">
        <v>1119</v>
      </c>
      <c r="C360" s="5" t="s">
        <v>2259</v>
      </c>
      <c r="D360" s="5" t="s">
        <v>2260</v>
      </c>
      <c r="E360" s="5" t="s">
        <v>2225</v>
      </c>
      <c r="F360" s="5" t="s">
        <v>54</v>
      </c>
      <c r="G360" s="5" t="str">
        <f aca="false">INDEX(Risk_Matrix!$B$2:$D$4,MATCH(E360,Risk_Matrix!$A$2:$A$4,0),MATCH(F360,Risk_Matrix!$B$1:$D$1,0))</f>
        <v>High</v>
      </c>
      <c r="H360" s="12" t="n">
        <v>46222</v>
      </c>
      <c r="I360" s="5" t="s">
        <v>2264</v>
      </c>
      <c r="J360" s="5" t="s">
        <v>2265</v>
      </c>
      <c r="K360" s="5" t="s">
        <v>2266</v>
      </c>
      <c r="L360" s="5" t="n">
        <f aca="false">IF(G360="High",3,IF(G360="Medium",2,1))</f>
        <v>3</v>
      </c>
    </row>
    <row r="361" customFormat="false" ht="15" hidden="false" customHeight="true" outlineLevel="0" collapsed="false">
      <c r="A361" s="5" t="s">
        <v>2637</v>
      </c>
      <c r="B361" s="5" t="s">
        <v>1119</v>
      </c>
      <c r="C361" s="5" t="s">
        <v>2262</v>
      </c>
      <c r="D361" s="5" t="s">
        <v>2311</v>
      </c>
      <c r="E361" s="5" t="s">
        <v>54</v>
      </c>
      <c r="F361" s="5" t="s">
        <v>59</v>
      </c>
      <c r="G361" s="5" t="str">
        <f aca="false">INDEX(Risk_Matrix!$B$2:$D$4,MATCH(E361,Risk_Matrix!$A$2:$A$4,0),MATCH(F361,Risk_Matrix!$B$1:$D$1,0))</f>
        <v>Medium</v>
      </c>
      <c r="H361" s="12" t="n">
        <v>46121</v>
      </c>
      <c r="I361" s="5" t="s">
        <v>2256</v>
      </c>
      <c r="J361" s="5" t="s">
        <v>2257</v>
      </c>
      <c r="K361" s="5" t="s">
        <v>2266</v>
      </c>
      <c r="L361" s="5" t="n">
        <f aca="false">IF(G361="High",3,IF(G361="Medium",2,1))</f>
        <v>2</v>
      </c>
    </row>
    <row r="362" customFormat="false" ht="15" hidden="false" customHeight="true" outlineLevel="0" collapsed="false">
      <c r="A362" s="5" t="s">
        <v>2638</v>
      </c>
      <c r="B362" s="5" t="s">
        <v>1121</v>
      </c>
      <c r="C362" s="5" t="s">
        <v>2239</v>
      </c>
      <c r="D362" s="5" t="s">
        <v>2295</v>
      </c>
      <c r="E362" s="5" t="s">
        <v>59</v>
      </c>
      <c r="F362" s="5" t="s">
        <v>59</v>
      </c>
      <c r="G362" s="5" t="str">
        <f aca="false">INDEX(Risk_Matrix!$B$2:$D$4,MATCH(E362,Risk_Matrix!$A$2:$A$4,0),MATCH(F362,Risk_Matrix!$B$1:$D$1,0))</f>
        <v>Low</v>
      </c>
      <c r="H362" s="12" t="n">
        <v>46141</v>
      </c>
      <c r="I362" s="5" t="s">
        <v>2250</v>
      </c>
      <c r="J362" s="5" t="s">
        <v>2251</v>
      </c>
      <c r="K362" s="5" t="s">
        <v>2252</v>
      </c>
      <c r="L362" s="5" t="n">
        <f aca="false">IF(G362="High",3,IF(G362="Medium",2,1))</f>
        <v>1</v>
      </c>
    </row>
    <row r="363" customFormat="false" ht="15" hidden="false" customHeight="true" outlineLevel="0" collapsed="false">
      <c r="A363" s="5" t="s">
        <v>2639</v>
      </c>
      <c r="B363" s="5" t="s">
        <v>1121</v>
      </c>
      <c r="C363" s="5" t="s">
        <v>2245</v>
      </c>
      <c r="D363" s="5" t="s">
        <v>2280</v>
      </c>
      <c r="E363" s="5" t="s">
        <v>2225</v>
      </c>
      <c r="F363" s="5" t="s">
        <v>2225</v>
      </c>
      <c r="G363" s="5" t="str">
        <f aca="false">INDEX(Risk_Matrix!$B$2:$D$4,MATCH(E363,Risk_Matrix!$A$2:$A$4,0),MATCH(F363,Risk_Matrix!$B$1:$D$1,0))</f>
        <v>Medium</v>
      </c>
      <c r="H363" s="12" t="n">
        <v>46104</v>
      </c>
      <c r="I363" s="5" t="s">
        <v>2250</v>
      </c>
      <c r="J363" s="5" t="s">
        <v>2251</v>
      </c>
      <c r="K363" s="5" t="s">
        <v>2276</v>
      </c>
      <c r="L363" s="5" t="n">
        <f aca="false">IF(G363="High",3,IF(G363="Medium",2,1))</f>
        <v>2</v>
      </c>
    </row>
    <row r="364" customFormat="false" ht="15" hidden="false" customHeight="true" outlineLevel="0" collapsed="false">
      <c r="A364" s="5" t="s">
        <v>2640</v>
      </c>
      <c r="B364" s="5" t="s">
        <v>1121</v>
      </c>
      <c r="C364" s="5" t="s">
        <v>2248</v>
      </c>
      <c r="D364" s="5" t="s">
        <v>2306</v>
      </c>
      <c r="E364" s="5" t="s">
        <v>59</v>
      </c>
      <c r="F364" s="5" t="s">
        <v>2225</v>
      </c>
      <c r="G364" s="5" t="str">
        <f aca="false">INDEX(Risk_Matrix!$B$2:$D$4,MATCH(E364,Risk_Matrix!$A$2:$A$4,0),MATCH(F364,Risk_Matrix!$B$1:$D$1,0))</f>
        <v>Low</v>
      </c>
      <c r="H364" s="12" t="n">
        <v>46176</v>
      </c>
      <c r="I364" s="5" t="s">
        <v>2256</v>
      </c>
      <c r="J364" s="5" t="s">
        <v>2257</v>
      </c>
      <c r="K364" s="5" t="s">
        <v>2283</v>
      </c>
      <c r="L364" s="5" t="n">
        <f aca="false">IF(G364="High",3,IF(G364="Medium",2,1))</f>
        <v>1</v>
      </c>
    </row>
    <row r="365" customFormat="false" ht="15" hidden="false" customHeight="true" outlineLevel="0" collapsed="false">
      <c r="A365" s="5" t="s">
        <v>2641</v>
      </c>
      <c r="B365" s="5" t="s">
        <v>1121</v>
      </c>
      <c r="C365" s="5" t="s">
        <v>2254</v>
      </c>
      <c r="D365" s="5" t="s">
        <v>2299</v>
      </c>
      <c r="E365" s="5" t="s">
        <v>59</v>
      </c>
      <c r="F365" s="5" t="s">
        <v>2225</v>
      </c>
      <c r="G365" s="5" t="str">
        <f aca="false">INDEX(Risk_Matrix!$B$2:$D$4,MATCH(E365,Risk_Matrix!$A$2:$A$4,0),MATCH(F365,Risk_Matrix!$B$1:$D$1,0))</f>
        <v>Low</v>
      </c>
      <c r="H365" s="12" t="n">
        <v>46106</v>
      </c>
      <c r="I365" s="5" t="s">
        <v>2250</v>
      </c>
      <c r="J365" s="5" t="s">
        <v>2251</v>
      </c>
      <c r="K365" s="5" t="s">
        <v>2276</v>
      </c>
      <c r="L365" s="5" t="n">
        <f aca="false">IF(G365="High",3,IF(G365="Medium",2,1))</f>
        <v>1</v>
      </c>
    </row>
    <row r="366" customFormat="false" ht="15" hidden="false" customHeight="true" outlineLevel="0" collapsed="false">
      <c r="A366" s="5" t="s">
        <v>2642</v>
      </c>
      <c r="B366" s="5" t="s">
        <v>1121</v>
      </c>
      <c r="C366" s="5" t="s">
        <v>2259</v>
      </c>
      <c r="D366" s="5" t="s">
        <v>2260</v>
      </c>
      <c r="E366" s="5" t="s">
        <v>59</v>
      </c>
      <c r="F366" s="5" t="s">
        <v>59</v>
      </c>
      <c r="G366" s="5" t="str">
        <f aca="false">INDEX(Risk_Matrix!$B$2:$D$4,MATCH(E366,Risk_Matrix!$A$2:$A$4,0),MATCH(F366,Risk_Matrix!$B$1:$D$1,0))</f>
        <v>Low</v>
      </c>
      <c r="H366" s="12" t="n">
        <v>46165</v>
      </c>
      <c r="I366" s="5" t="s">
        <v>2256</v>
      </c>
      <c r="J366" s="5" t="s">
        <v>2257</v>
      </c>
      <c r="K366" s="5" t="s">
        <v>2243</v>
      </c>
      <c r="L366" s="5" t="n">
        <f aca="false">IF(G366="High",3,IF(G366="Medium",2,1))</f>
        <v>1</v>
      </c>
    </row>
    <row r="367" customFormat="false" ht="15" hidden="false" customHeight="true" outlineLevel="0" collapsed="false">
      <c r="A367" s="5" t="s">
        <v>2643</v>
      </c>
      <c r="B367" s="5" t="s">
        <v>1121</v>
      </c>
      <c r="C367" s="5" t="s">
        <v>2262</v>
      </c>
      <c r="D367" s="5" t="s">
        <v>2287</v>
      </c>
      <c r="E367" s="5" t="s">
        <v>59</v>
      </c>
      <c r="F367" s="5" t="s">
        <v>2225</v>
      </c>
      <c r="G367" s="5" t="str">
        <f aca="false">INDEX(Risk_Matrix!$B$2:$D$4,MATCH(E367,Risk_Matrix!$A$2:$A$4,0),MATCH(F367,Risk_Matrix!$B$1:$D$1,0))</f>
        <v>Low</v>
      </c>
      <c r="H367" s="12" t="n">
        <v>46106</v>
      </c>
      <c r="I367" s="5" t="s">
        <v>2256</v>
      </c>
      <c r="J367" s="5" t="s">
        <v>2257</v>
      </c>
      <c r="K367" s="5" t="s">
        <v>2266</v>
      </c>
      <c r="L367" s="5" t="n">
        <f aca="false">IF(G367="High",3,IF(G367="Medium",2,1))</f>
        <v>1</v>
      </c>
    </row>
    <row r="368" customFormat="false" ht="15" hidden="false" customHeight="true" outlineLevel="0" collapsed="false">
      <c r="A368" s="5" t="s">
        <v>2644</v>
      </c>
      <c r="B368" s="5" t="s">
        <v>1123</v>
      </c>
      <c r="C368" s="5" t="s">
        <v>2239</v>
      </c>
      <c r="D368" s="5" t="s">
        <v>2295</v>
      </c>
      <c r="E368" s="5" t="s">
        <v>2225</v>
      </c>
      <c r="F368" s="5" t="s">
        <v>59</v>
      </c>
      <c r="G368" s="5" t="str">
        <f aca="false">INDEX(Risk_Matrix!$B$2:$D$4,MATCH(E368,Risk_Matrix!$A$2:$A$4,0),MATCH(F368,Risk_Matrix!$B$1:$D$1,0))</f>
        <v>Low</v>
      </c>
      <c r="H368" s="12" t="n">
        <v>46210</v>
      </c>
      <c r="I368" s="5" t="s">
        <v>2250</v>
      </c>
      <c r="J368" s="5" t="s">
        <v>2251</v>
      </c>
      <c r="K368" s="5" t="s">
        <v>2266</v>
      </c>
      <c r="L368" s="5" t="n">
        <f aca="false">IF(G368="High",3,IF(G368="Medium",2,1))</f>
        <v>1</v>
      </c>
    </row>
    <row r="369" customFormat="false" ht="15" hidden="false" customHeight="true" outlineLevel="0" collapsed="false">
      <c r="A369" s="5" t="s">
        <v>2645</v>
      </c>
      <c r="B369" s="5" t="s">
        <v>1123</v>
      </c>
      <c r="C369" s="5" t="s">
        <v>2245</v>
      </c>
      <c r="D369" s="5" t="s">
        <v>2320</v>
      </c>
      <c r="E369" s="5" t="s">
        <v>59</v>
      </c>
      <c r="F369" s="5" t="s">
        <v>59</v>
      </c>
      <c r="G369" s="5" t="str">
        <f aca="false">INDEX(Risk_Matrix!$B$2:$D$4,MATCH(E369,Risk_Matrix!$A$2:$A$4,0),MATCH(F369,Risk_Matrix!$B$1:$D$1,0))</f>
        <v>Low</v>
      </c>
      <c r="H369" s="12" t="n">
        <v>46122</v>
      </c>
      <c r="I369" s="5" t="s">
        <v>2256</v>
      </c>
      <c r="J369" s="5" t="s">
        <v>2257</v>
      </c>
      <c r="K369" s="5" t="s">
        <v>2283</v>
      </c>
      <c r="L369" s="5" t="n">
        <f aca="false">IF(G369="High",3,IF(G369="Medium",2,1))</f>
        <v>1</v>
      </c>
    </row>
    <row r="370" customFormat="false" ht="15" hidden="false" customHeight="true" outlineLevel="0" collapsed="false">
      <c r="A370" s="5" t="s">
        <v>2646</v>
      </c>
      <c r="B370" s="5" t="s">
        <v>1123</v>
      </c>
      <c r="C370" s="5" t="s">
        <v>2248</v>
      </c>
      <c r="D370" s="5" t="s">
        <v>2322</v>
      </c>
      <c r="E370" s="5" t="s">
        <v>54</v>
      </c>
      <c r="F370" s="5" t="s">
        <v>59</v>
      </c>
      <c r="G370" s="5" t="str">
        <f aca="false">INDEX(Risk_Matrix!$B$2:$D$4,MATCH(E370,Risk_Matrix!$A$2:$A$4,0),MATCH(F370,Risk_Matrix!$B$1:$D$1,0))</f>
        <v>Medium</v>
      </c>
      <c r="H370" s="12" t="n">
        <v>46072</v>
      </c>
      <c r="I370" s="5" t="s">
        <v>2256</v>
      </c>
      <c r="J370" s="5" t="s">
        <v>2257</v>
      </c>
      <c r="K370" s="5" t="s">
        <v>2266</v>
      </c>
      <c r="L370" s="5" t="n">
        <f aca="false">IF(G370="High",3,IF(G370="Medium",2,1))</f>
        <v>2</v>
      </c>
    </row>
    <row r="371" customFormat="false" ht="15" hidden="false" customHeight="true" outlineLevel="0" collapsed="false">
      <c r="A371" s="5" t="s">
        <v>2647</v>
      </c>
      <c r="B371" s="5" t="s">
        <v>1123</v>
      </c>
      <c r="C371" s="5" t="s">
        <v>2254</v>
      </c>
      <c r="D371" s="5" t="s">
        <v>2299</v>
      </c>
      <c r="E371" s="5" t="s">
        <v>2225</v>
      </c>
      <c r="F371" s="5" t="s">
        <v>59</v>
      </c>
      <c r="G371" s="5" t="str">
        <f aca="false">INDEX(Risk_Matrix!$B$2:$D$4,MATCH(E371,Risk_Matrix!$A$2:$A$4,0),MATCH(F371,Risk_Matrix!$B$1:$D$1,0))</f>
        <v>Low</v>
      </c>
      <c r="H371" s="12" t="n">
        <v>46076</v>
      </c>
      <c r="I371" s="5" t="s">
        <v>2250</v>
      </c>
      <c r="J371" s="5" t="s">
        <v>2251</v>
      </c>
      <c r="K371" s="5" t="s">
        <v>2252</v>
      </c>
      <c r="L371" s="5" t="n">
        <f aca="false">IF(G371="High",3,IF(G371="Medium",2,1))</f>
        <v>1</v>
      </c>
    </row>
    <row r="372" customFormat="false" ht="15" hidden="false" customHeight="true" outlineLevel="0" collapsed="false">
      <c r="A372" s="5" t="s">
        <v>2648</v>
      </c>
      <c r="B372" s="5" t="s">
        <v>1123</v>
      </c>
      <c r="C372" s="5" t="s">
        <v>2259</v>
      </c>
      <c r="D372" s="5" t="s">
        <v>2260</v>
      </c>
      <c r="E372" s="5" t="s">
        <v>2225</v>
      </c>
      <c r="F372" s="5" t="s">
        <v>59</v>
      </c>
      <c r="G372" s="5" t="str">
        <f aca="false">INDEX(Risk_Matrix!$B$2:$D$4,MATCH(E372,Risk_Matrix!$A$2:$A$4,0),MATCH(F372,Risk_Matrix!$B$1:$D$1,0))</f>
        <v>Low</v>
      </c>
      <c r="H372" s="12" t="n">
        <v>46108</v>
      </c>
      <c r="I372" s="5" t="s">
        <v>2264</v>
      </c>
      <c r="J372" s="5" t="s">
        <v>2265</v>
      </c>
      <c r="K372" s="5" t="s">
        <v>2283</v>
      </c>
      <c r="L372" s="5" t="n">
        <f aca="false">IF(G372="High",3,IF(G372="Medium",2,1))</f>
        <v>1</v>
      </c>
    </row>
    <row r="373" customFormat="false" ht="15" hidden="false" customHeight="true" outlineLevel="0" collapsed="false">
      <c r="A373" s="5" t="s">
        <v>2649</v>
      </c>
      <c r="B373" s="5" t="s">
        <v>1123</v>
      </c>
      <c r="C373" s="5" t="s">
        <v>2262</v>
      </c>
      <c r="D373" s="5" t="s">
        <v>2287</v>
      </c>
      <c r="E373" s="5" t="s">
        <v>59</v>
      </c>
      <c r="F373" s="5" t="s">
        <v>59</v>
      </c>
      <c r="G373" s="5" t="str">
        <f aca="false">INDEX(Risk_Matrix!$B$2:$D$4,MATCH(E373,Risk_Matrix!$A$2:$A$4,0),MATCH(F373,Risk_Matrix!$B$1:$D$1,0))</f>
        <v>Low</v>
      </c>
      <c r="H373" s="12" t="n">
        <v>46153</v>
      </c>
      <c r="I373" s="5" t="s">
        <v>2264</v>
      </c>
      <c r="J373" s="5" t="s">
        <v>2265</v>
      </c>
      <c r="K373" s="5" t="s">
        <v>2283</v>
      </c>
      <c r="L373" s="5" t="n">
        <f aca="false">IF(G373="High",3,IF(G373="Medium",2,1))</f>
        <v>1</v>
      </c>
    </row>
    <row r="374" customFormat="false" ht="15" hidden="false" customHeight="true" outlineLevel="0" collapsed="false">
      <c r="A374" s="5" t="s">
        <v>2650</v>
      </c>
      <c r="B374" s="5" t="s">
        <v>1125</v>
      </c>
      <c r="C374" s="5" t="s">
        <v>2239</v>
      </c>
      <c r="D374" s="5" t="s">
        <v>2303</v>
      </c>
      <c r="E374" s="5" t="s">
        <v>59</v>
      </c>
      <c r="F374" s="5" t="s">
        <v>59</v>
      </c>
      <c r="G374" s="5" t="str">
        <f aca="false">INDEX(Risk_Matrix!$B$2:$D$4,MATCH(E374,Risk_Matrix!$A$2:$A$4,0),MATCH(F374,Risk_Matrix!$B$1:$D$1,0))</f>
        <v>Low</v>
      </c>
      <c r="H374" s="12" t="n">
        <v>46225</v>
      </c>
      <c r="I374" s="5" t="s">
        <v>2264</v>
      </c>
      <c r="J374" s="5" t="s">
        <v>2265</v>
      </c>
      <c r="K374" s="5" t="s">
        <v>2243</v>
      </c>
      <c r="L374" s="5" t="n">
        <f aca="false">IF(G374="High",3,IF(G374="Medium",2,1))</f>
        <v>1</v>
      </c>
    </row>
    <row r="375" customFormat="false" ht="15" hidden="false" customHeight="true" outlineLevel="0" collapsed="false">
      <c r="A375" s="5" t="s">
        <v>2651</v>
      </c>
      <c r="B375" s="5" t="s">
        <v>1125</v>
      </c>
      <c r="C375" s="5" t="s">
        <v>2245</v>
      </c>
      <c r="D375" s="5" t="s">
        <v>2269</v>
      </c>
      <c r="E375" s="5" t="s">
        <v>59</v>
      </c>
      <c r="F375" s="5" t="s">
        <v>2225</v>
      </c>
      <c r="G375" s="5" t="str">
        <f aca="false">INDEX(Risk_Matrix!$B$2:$D$4,MATCH(E375,Risk_Matrix!$A$2:$A$4,0),MATCH(F375,Risk_Matrix!$B$1:$D$1,0))</f>
        <v>Low</v>
      </c>
      <c r="H375" s="12" t="n">
        <v>46078</v>
      </c>
      <c r="I375" s="5" t="s">
        <v>2250</v>
      </c>
      <c r="J375" s="5" t="s">
        <v>2251</v>
      </c>
      <c r="K375" s="5" t="s">
        <v>2266</v>
      </c>
      <c r="L375" s="5" t="n">
        <f aca="false">IF(G375="High",3,IF(G375="Medium",2,1))</f>
        <v>1</v>
      </c>
    </row>
    <row r="376" customFormat="false" ht="15" hidden="false" customHeight="true" outlineLevel="0" collapsed="false">
      <c r="A376" s="5" t="s">
        <v>2652</v>
      </c>
      <c r="B376" s="5" t="s">
        <v>1125</v>
      </c>
      <c r="C376" s="5" t="s">
        <v>2248</v>
      </c>
      <c r="D376" s="5" t="s">
        <v>2306</v>
      </c>
      <c r="E376" s="5" t="s">
        <v>54</v>
      </c>
      <c r="F376" s="5" t="s">
        <v>54</v>
      </c>
      <c r="G376" s="5" t="str">
        <f aca="false">INDEX(Risk_Matrix!$B$2:$D$4,MATCH(E376,Risk_Matrix!$A$2:$A$4,0),MATCH(F376,Risk_Matrix!$B$1:$D$1,0))</f>
        <v>High</v>
      </c>
      <c r="H376" s="12" t="n">
        <v>46174</v>
      </c>
      <c r="I376" s="5" t="s">
        <v>2256</v>
      </c>
      <c r="J376" s="5" t="s">
        <v>2257</v>
      </c>
      <c r="K376" s="5" t="s">
        <v>2276</v>
      </c>
      <c r="L376" s="5" t="n">
        <f aca="false">IF(G376="High",3,IF(G376="Medium",2,1))</f>
        <v>3</v>
      </c>
    </row>
    <row r="377" customFormat="false" ht="15" hidden="false" customHeight="true" outlineLevel="0" collapsed="false">
      <c r="A377" s="5" t="s">
        <v>2653</v>
      </c>
      <c r="B377" s="5" t="s">
        <v>1125</v>
      </c>
      <c r="C377" s="5" t="s">
        <v>2254</v>
      </c>
      <c r="D377" s="5" t="s">
        <v>2308</v>
      </c>
      <c r="E377" s="5" t="s">
        <v>59</v>
      </c>
      <c r="F377" s="5" t="s">
        <v>59</v>
      </c>
      <c r="G377" s="5" t="str">
        <f aca="false">INDEX(Risk_Matrix!$B$2:$D$4,MATCH(E377,Risk_Matrix!$A$2:$A$4,0),MATCH(F377,Risk_Matrix!$B$1:$D$1,0))</f>
        <v>Low</v>
      </c>
      <c r="H377" s="12" t="n">
        <v>46083</v>
      </c>
      <c r="I377" s="5" t="s">
        <v>2264</v>
      </c>
      <c r="J377" s="5" t="s">
        <v>2265</v>
      </c>
      <c r="K377" s="5" t="s">
        <v>2243</v>
      </c>
      <c r="L377" s="5" t="n">
        <f aca="false">IF(G377="High",3,IF(G377="Medium",2,1))</f>
        <v>1</v>
      </c>
    </row>
    <row r="378" customFormat="false" ht="15" hidden="false" customHeight="true" outlineLevel="0" collapsed="false">
      <c r="A378" s="5" t="s">
        <v>2654</v>
      </c>
      <c r="B378" s="5" t="s">
        <v>1125</v>
      </c>
      <c r="C378" s="5" t="s">
        <v>2259</v>
      </c>
      <c r="D378" s="5" t="s">
        <v>2260</v>
      </c>
      <c r="E378" s="5" t="s">
        <v>59</v>
      </c>
      <c r="F378" s="5" t="s">
        <v>2225</v>
      </c>
      <c r="G378" s="5" t="str">
        <f aca="false">INDEX(Risk_Matrix!$B$2:$D$4,MATCH(E378,Risk_Matrix!$A$2:$A$4,0),MATCH(F378,Risk_Matrix!$B$1:$D$1,0))</f>
        <v>Low</v>
      </c>
      <c r="H378" s="12" t="n">
        <v>46125</v>
      </c>
      <c r="I378" s="5" t="s">
        <v>2250</v>
      </c>
      <c r="J378" s="5" t="s">
        <v>2251</v>
      </c>
      <c r="K378" s="5" t="s">
        <v>2276</v>
      </c>
      <c r="L378" s="5" t="n">
        <f aca="false">IF(G378="High",3,IF(G378="Medium",2,1))</f>
        <v>1</v>
      </c>
    </row>
    <row r="379" customFormat="false" ht="15" hidden="false" customHeight="true" outlineLevel="0" collapsed="false">
      <c r="A379" s="5" t="s">
        <v>2655</v>
      </c>
      <c r="B379" s="5" t="s">
        <v>1125</v>
      </c>
      <c r="C379" s="5" t="s">
        <v>2262</v>
      </c>
      <c r="D379" s="5" t="s">
        <v>2263</v>
      </c>
      <c r="E379" s="5" t="s">
        <v>2225</v>
      </c>
      <c r="F379" s="5" t="s">
        <v>59</v>
      </c>
      <c r="G379" s="5" t="str">
        <f aca="false">INDEX(Risk_Matrix!$B$2:$D$4,MATCH(E379,Risk_Matrix!$A$2:$A$4,0),MATCH(F379,Risk_Matrix!$B$1:$D$1,0))</f>
        <v>Low</v>
      </c>
      <c r="H379" s="12" t="n">
        <v>46080</v>
      </c>
      <c r="I379" s="5" t="s">
        <v>2250</v>
      </c>
      <c r="J379" s="5" t="s">
        <v>2251</v>
      </c>
      <c r="K379" s="5" t="s">
        <v>2283</v>
      </c>
      <c r="L379" s="5" t="n">
        <f aca="false">IF(G379="High",3,IF(G379="Medium",2,1))</f>
        <v>1</v>
      </c>
    </row>
    <row r="380" customFormat="false" ht="15" hidden="false" customHeight="true" outlineLevel="0" collapsed="false">
      <c r="A380" s="5" t="s">
        <v>2656</v>
      </c>
      <c r="B380" s="5" t="s">
        <v>1127</v>
      </c>
      <c r="C380" s="5" t="s">
        <v>2239</v>
      </c>
      <c r="D380" s="5" t="s">
        <v>2303</v>
      </c>
      <c r="E380" s="5" t="s">
        <v>59</v>
      </c>
      <c r="F380" s="5" t="s">
        <v>59</v>
      </c>
      <c r="G380" s="5" t="str">
        <f aca="false">INDEX(Risk_Matrix!$B$2:$D$4,MATCH(E380,Risk_Matrix!$A$2:$A$4,0),MATCH(F380,Risk_Matrix!$B$1:$D$1,0))</f>
        <v>Low</v>
      </c>
      <c r="H380" s="12" t="n">
        <v>46229</v>
      </c>
      <c r="I380" s="5" t="s">
        <v>2250</v>
      </c>
      <c r="J380" s="5" t="s">
        <v>2251</v>
      </c>
      <c r="K380" s="5" t="s">
        <v>2266</v>
      </c>
      <c r="L380" s="5" t="n">
        <f aca="false">IF(G380="High",3,IF(G380="Medium",2,1))</f>
        <v>1</v>
      </c>
    </row>
    <row r="381" customFormat="false" ht="15" hidden="false" customHeight="true" outlineLevel="0" collapsed="false">
      <c r="A381" s="5" t="s">
        <v>2657</v>
      </c>
      <c r="B381" s="5" t="s">
        <v>1127</v>
      </c>
      <c r="C381" s="5" t="s">
        <v>2245</v>
      </c>
      <c r="D381" s="5" t="s">
        <v>2246</v>
      </c>
      <c r="E381" s="5" t="s">
        <v>2225</v>
      </c>
      <c r="F381" s="5" t="s">
        <v>2225</v>
      </c>
      <c r="G381" s="5" t="str">
        <f aca="false">INDEX(Risk_Matrix!$B$2:$D$4,MATCH(E381,Risk_Matrix!$A$2:$A$4,0),MATCH(F381,Risk_Matrix!$B$1:$D$1,0))</f>
        <v>Medium</v>
      </c>
      <c r="H381" s="12" t="n">
        <v>46216</v>
      </c>
      <c r="I381" s="5" t="s">
        <v>2256</v>
      </c>
      <c r="J381" s="5" t="s">
        <v>2257</v>
      </c>
      <c r="K381" s="5" t="s">
        <v>2276</v>
      </c>
      <c r="L381" s="5" t="n">
        <f aca="false">IF(G381="High",3,IF(G381="Medium",2,1))</f>
        <v>2</v>
      </c>
    </row>
    <row r="382" customFormat="false" ht="15" hidden="false" customHeight="true" outlineLevel="0" collapsed="false">
      <c r="A382" s="5" t="s">
        <v>2658</v>
      </c>
      <c r="B382" s="5" t="s">
        <v>1127</v>
      </c>
      <c r="C382" s="5" t="s">
        <v>2248</v>
      </c>
      <c r="D382" s="5" t="s">
        <v>2306</v>
      </c>
      <c r="E382" s="5" t="s">
        <v>59</v>
      </c>
      <c r="F382" s="5" t="s">
        <v>59</v>
      </c>
      <c r="G382" s="5" t="str">
        <f aca="false">INDEX(Risk_Matrix!$B$2:$D$4,MATCH(E382,Risk_Matrix!$A$2:$A$4,0),MATCH(F382,Risk_Matrix!$B$1:$D$1,0))</f>
        <v>Low</v>
      </c>
      <c r="H382" s="12" t="n">
        <v>46082</v>
      </c>
      <c r="I382" s="5" t="s">
        <v>2250</v>
      </c>
      <c r="J382" s="5" t="s">
        <v>2251</v>
      </c>
      <c r="K382" s="5" t="s">
        <v>2283</v>
      </c>
      <c r="L382" s="5" t="n">
        <f aca="false">IF(G382="High",3,IF(G382="Medium",2,1))</f>
        <v>1</v>
      </c>
    </row>
    <row r="383" customFormat="false" ht="15" hidden="false" customHeight="true" outlineLevel="0" collapsed="false">
      <c r="A383" s="5" t="s">
        <v>2659</v>
      </c>
      <c r="B383" s="5" t="s">
        <v>1127</v>
      </c>
      <c r="C383" s="5" t="s">
        <v>2254</v>
      </c>
      <c r="D383" s="5" t="s">
        <v>2299</v>
      </c>
      <c r="E383" s="5" t="s">
        <v>2225</v>
      </c>
      <c r="F383" s="5" t="s">
        <v>59</v>
      </c>
      <c r="G383" s="5" t="str">
        <f aca="false">INDEX(Risk_Matrix!$B$2:$D$4,MATCH(E383,Risk_Matrix!$A$2:$A$4,0),MATCH(F383,Risk_Matrix!$B$1:$D$1,0))</f>
        <v>Low</v>
      </c>
      <c r="H383" s="12" t="n">
        <v>46090</v>
      </c>
      <c r="I383" s="5" t="s">
        <v>2250</v>
      </c>
      <c r="J383" s="5" t="s">
        <v>2251</v>
      </c>
      <c r="K383" s="5" t="s">
        <v>2252</v>
      </c>
      <c r="L383" s="5" t="n">
        <f aca="false">IF(G383="High",3,IF(G383="Medium",2,1))</f>
        <v>1</v>
      </c>
    </row>
    <row r="384" customFormat="false" ht="15" hidden="false" customHeight="true" outlineLevel="0" collapsed="false">
      <c r="A384" s="5" t="s">
        <v>2660</v>
      </c>
      <c r="B384" s="5" t="s">
        <v>1127</v>
      </c>
      <c r="C384" s="5" t="s">
        <v>2259</v>
      </c>
      <c r="D384" s="5" t="s">
        <v>2260</v>
      </c>
      <c r="E384" s="5" t="s">
        <v>59</v>
      </c>
      <c r="F384" s="5" t="s">
        <v>59</v>
      </c>
      <c r="G384" s="5" t="str">
        <f aca="false">INDEX(Risk_Matrix!$B$2:$D$4,MATCH(E384,Risk_Matrix!$A$2:$A$4,0),MATCH(F384,Risk_Matrix!$B$1:$D$1,0))</f>
        <v>Low</v>
      </c>
      <c r="H384" s="12" t="n">
        <v>46141</v>
      </c>
      <c r="I384" s="5" t="s">
        <v>2256</v>
      </c>
      <c r="J384" s="5" t="s">
        <v>2257</v>
      </c>
      <c r="K384" s="5" t="s">
        <v>2276</v>
      </c>
      <c r="L384" s="5" t="n">
        <f aca="false">IF(G384="High",3,IF(G384="Medium",2,1))</f>
        <v>1</v>
      </c>
    </row>
    <row r="385" customFormat="false" ht="15" hidden="false" customHeight="true" outlineLevel="0" collapsed="false">
      <c r="A385" s="5" t="s">
        <v>2661</v>
      </c>
      <c r="B385" s="5" t="s">
        <v>1127</v>
      </c>
      <c r="C385" s="5" t="s">
        <v>2262</v>
      </c>
      <c r="D385" s="5" t="s">
        <v>2311</v>
      </c>
      <c r="E385" s="5" t="s">
        <v>2225</v>
      </c>
      <c r="F385" s="5" t="s">
        <v>59</v>
      </c>
      <c r="G385" s="5" t="str">
        <f aca="false">INDEX(Risk_Matrix!$B$2:$D$4,MATCH(E385,Risk_Matrix!$A$2:$A$4,0),MATCH(F385,Risk_Matrix!$B$1:$D$1,0))</f>
        <v>Low</v>
      </c>
      <c r="H385" s="12" t="n">
        <v>46207</v>
      </c>
      <c r="I385" s="5" t="s">
        <v>2250</v>
      </c>
      <c r="J385" s="5" t="s">
        <v>2251</v>
      </c>
      <c r="K385" s="5" t="s">
        <v>2252</v>
      </c>
      <c r="L385" s="5" t="n">
        <f aca="false">IF(G385="High",3,IF(G385="Medium",2,1))</f>
        <v>1</v>
      </c>
    </row>
    <row r="386" customFormat="false" ht="15" hidden="false" customHeight="true" outlineLevel="0" collapsed="false">
      <c r="A386" s="5" t="s">
        <v>2662</v>
      </c>
      <c r="B386" s="5" t="s">
        <v>1129</v>
      </c>
      <c r="C386" s="5" t="s">
        <v>2239</v>
      </c>
      <c r="D386" s="5" t="s">
        <v>2278</v>
      </c>
      <c r="E386" s="5" t="s">
        <v>2225</v>
      </c>
      <c r="F386" s="5" t="s">
        <v>2225</v>
      </c>
      <c r="G386" s="5" t="str">
        <f aca="false">INDEX(Risk_Matrix!$B$2:$D$4,MATCH(E386,Risk_Matrix!$A$2:$A$4,0),MATCH(F386,Risk_Matrix!$B$1:$D$1,0))</f>
        <v>Medium</v>
      </c>
      <c r="H386" s="12" t="n">
        <v>46082</v>
      </c>
      <c r="I386" s="5" t="s">
        <v>2250</v>
      </c>
      <c r="J386" s="5" t="s">
        <v>2251</v>
      </c>
      <c r="K386" s="5" t="s">
        <v>2276</v>
      </c>
      <c r="L386" s="5" t="n">
        <f aca="false">IF(G386="High",3,IF(G386="Medium",2,1))</f>
        <v>2</v>
      </c>
    </row>
    <row r="387" customFormat="false" ht="15" hidden="false" customHeight="true" outlineLevel="0" collapsed="false">
      <c r="A387" s="5" t="s">
        <v>2663</v>
      </c>
      <c r="B387" s="5" t="s">
        <v>1129</v>
      </c>
      <c r="C387" s="5" t="s">
        <v>2245</v>
      </c>
      <c r="D387" s="5" t="s">
        <v>2246</v>
      </c>
      <c r="E387" s="5" t="s">
        <v>2225</v>
      </c>
      <c r="F387" s="5" t="s">
        <v>54</v>
      </c>
      <c r="G387" s="5" t="str">
        <f aca="false">INDEX(Risk_Matrix!$B$2:$D$4,MATCH(E387,Risk_Matrix!$A$2:$A$4,0),MATCH(F387,Risk_Matrix!$B$1:$D$1,0))</f>
        <v>High</v>
      </c>
      <c r="H387" s="12" t="n">
        <v>46216</v>
      </c>
      <c r="I387" s="5" t="s">
        <v>2250</v>
      </c>
      <c r="J387" s="5" t="s">
        <v>2251</v>
      </c>
      <c r="K387" s="5" t="s">
        <v>2243</v>
      </c>
      <c r="L387" s="5" t="n">
        <f aca="false">IF(G387="High",3,IF(G387="Medium",2,1))</f>
        <v>3</v>
      </c>
    </row>
    <row r="388" customFormat="false" ht="15" hidden="false" customHeight="true" outlineLevel="0" collapsed="false">
      <c r="A388" s="5" t="s">
        <v>2664</v>
      </c>
      <c r="B388" s="5" t="s">
        <v>1129</v>
      </c>
      <c r="C388" s="5" t="s">
        <v>2248</v>
      </c>
      <c r="D388" s="5" t="s">
        <v>2249</v>
      </c>
      <c r="E388" s="5" t="s">
        <v>59</v>
      </c>
      <c r="F388" s="5" t="s">
        <v>2225</v>
      </c>
      <c r="G388" s="5" t="str">
        <f aca="false">INDEX(Risk_Matrix!$B$2:$D$4,MATCH(E388,Risk_Matrix!$A$2:$A$4,0),MATCH(F388,Risk_Matrix!$B$1:$D$1,0))</f>
        <v>Low</v>
      </c>
      <c r="H388" s="12" t="n">
        <v>46091</v>
      </c>
      <c r="I388" s="5" t="s">
        <v>2256</v>
      </c>
      <c r="J388" s="5" t="s">
        <v>2257</v>
      </c>
      <c r="K388" s="5" t="s">
        <v>2283</v>
      </c>
      <c r="L388" s="5" t="n">
        <f aca="false">IF(G388="High",3,IF(G388="Medium",2,1))</f>
        <v>1</v>
      </c>
    </row>
    <row r="389" customFormat="false" ht="15" hidden="false" customHeight="true" outlineLevel="0" collapsed="false">
      <c r="A389" s="5" t="s">
        <v>2665</v>
      </c>
      <c r="B389" s="5" t="s">
        <v>1129</v>
      </c>
      <c r="C389" s="5" t="s">
        <v>2254</v>
      </c>
      <c r="D389" s="5" t="s">
        <v>2308</v>
      </c>
      <c r="E389" s="5" t="s">
        <v>54</v>
      </c>
      <c r="F389" s="5" t="s">
        <v>2225</v>
      </c>
      <c r="G389" s="5" t="str">
        <f aca="false">INDEX(Risk_Matrix!$B$2:$D$4,MATCH(E389,Risk_Matrix!$A$2:$A$4,0),MATCH(F389,Risk_Matrix!$B$1:$D$1,0))</f>
        <v>High</v>
      </c>
      <c r="H389" s="12" t="n">
        <v>46077</v>
      </c>
      <c r="I389" s="5" t="s">
        <v>2250</v>
      </c>
      <c r="J389" s="5" t="s">
        <v>2251</v>
      </c>
      <c r="K389" s="5" t="s">
        <v>2243</v>
      </c>
      <c r="L389" s="5" t="n">
        <f aca="false">IF(G389="High",3,IF(G389="Medium",2,1))</f>
        <v>3</v>
      </c>
    </row>
    <row r="390" customFormat="false" ht="15" hidden="false" customHeight="true" outlineLevel="0" collapsed="false">
      <c r="A390" s="5" t="s">
        <v>2666</v>
      </c>
      <c r="B390" s="5" t="s">
        <v>1129</v>
      </c>
      <c r="C390" s="5" t="s">
        <v>2259</v>
      </c>
      <c r="D390" s="5" t="s">
        <v>2274</v>
      </c>
      <c r="E390" s="5" t="s">
        <v>2225</v>
      </c>
      <c r="F390" s="5" t="s">
        <v>54</v>
      </c>
      <c r="G390" s="5" t="str">
        <f aca="false">INDEX(Risk_Matrix!$B$2:$D$4,MATCH(E390,Risk_Matrix!$A$2:$A$4,0),MATCH(F390,Risk_Matrix!$B$1:$D$1,0))</f>
        <v>High</v>
      </c>
      <c r="H390" s="12" t="n">
        <v>46164</v>
      </c>
      <c r="I390" s="5" t="s">
        <v>2256</v>
      </c>
      <c r="J390" s="5" t="s">
        <v>2257</v>
      </c>
      <c r="K390" s="5" t="s">
        <v>2266</v>
      </c>
      <c r="L390" s="5" t="n">
        <f aca="false">IF(G390="High",3,IF(G390="Medium",2,1))</f>
        <v>3</v>
      </c>
    </row>
    <row r="391" customFormat="false" ht="15" hidden="false" customHeight="true" outlineLevel="0" collapsed="false">
      <c r="A391" s="5" t="s">
        <v>2667</v>
      </c>
      <c r="B391" s="5" t="s">
        <v>1129</v>
      </c>
      <c r="C391" s="5" t="s">
        <v>2262</v>
      </c>
      <c r="D391" s="5" t="s">
        <v>2287</v>
      </c>
      <c r="E391" s="5" t="s">
        <v>59</v>
      </c>
      <c r="F391" s="5" t="s">
        <v>59</v>
      </c>
      <c r="G391" s="5" t="str">
        <f aca="false">INDEX(Risk_Matrix!$B$2:$D$4,MATCH(E391,Risk_Matrix!$A$2:$A$4,0),MATCH(F391,Risk_Matrix!$B$1:$D$1,0))</f>
        <v>Low</v>
      </c>
      <c r="H391" s="12" t="n">
        <v>46185</v>
      </c>
      <c r="I391" s="5" t="s">
        <v>2264</v>
      </c>
      <c r="J391" s="5" t="s">
        <v>2265</v>
      </c>
      <c r="K391" s="5" t="s">
        <v>2283</v>
      </c>
      <c r="L391" s="5" t="n">
        <f aca="false">IF(G391="High",3,IF(G391="Medium",2,1))</f>
        <v>1</v>
      </c>
    </row>
    <row r="392" customFormat="false" ht="15" hidden="false" customHeight="true" outlineLevel="0" collapsed="false">
      <c r="A392" s="5" t="s">
        <v>2668</v>
      </c>
      <c r="B392" s="5" t="s">
        <v>1131</v>
      </c>
      <c r="C392" s="5" t="s">
        <v>2239</v>
      </c>
      <c r="D392" s="5" t="s">
        <v>2295</v>
      </c>
      <c r="E392" s="5" t="s">
        <v>59</v>
      </c>
      <c r="F392" s="5" t="s">
        <v>59</v>
      </c>
      <c r="G392" s="5" t="str">
        <f aca="false">INDEX(Risk_Matrix!$B$2:$D$4,MATCH(E392,Risk_Matrix!$A$2:$A$4,0),MATCH(F392,Risk_Matrix!$B$1:$D$1,0))</f>
        <v>Low</v>
      </c>
      <c r="H392" s="12" t="n">
        <v>46075</v>
      </c>
      <c r="I392" s="5" t="s">
        <v>2250</v>
      </c>
      <c r="J392" s="5" t="s">
        <v>2251</v>
      </c>
      <c r="K392" s="5" t="s">
        <v>2266</v>
      </c>
      <c r="L392" s="5" t="n">
        <f aca="false">IF(G392="High",3,IF(G392="Medium",2,1))</f>
        <v>1</v>
      </c>
    </row>
    <row r="393" customFormat="false" ht="15" hidden="false" customHeight="true" outlineLevel="0" collapsed="false">
      <c r="A393" s="5" t="s">
        <v>2669</v>
      </c>
      <c r="B393" s="5" t="s">
        <v>1131</v>
      </c>
      <c r="C393" s="5" t="s">
        <v>2245</v>
      </c>
      <c r="D393" s="5" t="s">
        <v>2246</v>
      </c>
      <c r="E393" s="5" t="s">
        <v>2225</v>
      </c>
      <c r="F393" s="5" t="s">
        <v>2225</v>
      </c>
      <c r="G393" s="5" t="str">
        <f aca="false">INDEX(Risk_Matrix!$B$2:$D$4,MATCH(E393,Risk_Matrix!$A$2:$A$4,0),MATCH(F393,Risk_Matrix!$B$1:$D$1,0))</f>
        <v>Medium</v>
      </c>
      <c r="H393" s="12" t="n">
        <v>46221</v>
      </c>
      <c r="I393" s="5" t="s">
        <v>2256</v>
      </c>
      <c r="J393" s="5" t="s">
        <v>2257</v>
      </c>
      <c r="K393" s="5" t="s">
        <v>2252</v>
      </c>
      <c r="L393" s="5" t="n">
        <f aca="false">IF(G393="High",3,IF(G393="Medium",2,1))</f>
        <v>2</v>
      </c>
    </row>
    <row r="394" customFormat="false" ht="15" hidden="false" customHeight="true" outlineLevel="0" collapsed="false">
      <c r="A394" s="5" t="s">
        <v>2670</v>
      </c>
      <c r="B394" s="5" t="s">
        <v>1131</v>
      </c>
      <c r="C394" s="5" t="s">
        <v>2248</v>
      </c>
      <c r="D394" s="5" t="s">
        <v>2249</v>
      </c>
      <c r="E394" s="5" t="s">
        <v>2225</v>
      </c>
      <c r="F394" s="5" t="s">
        <v>59</v>
      </c>
      <c r="G394" s="5" t="str">
        <f aca="false">INDEX(Risk_Matrix!$B$2:$D$4,MATCH(E394,Risk_Matrix!$A$2:$A$4,0),MATCH(F394,Risk_Matrix!$B$1:$D$1,0))</f>
        <v>Low</v>
      </c>
      <c r="H394" s="12" t="n">
        <v>46063</v>
      </c>
      <c r="I394" s="5" t="s">
        <v>2256</v>
      </c>
      <c r="J394" s="5" t="s">
        <v>2257</v>
      </c>
      <c r="K394" s="5" t="s">
        <v>2252</v>
      </c>
      <c r="L394" s="5" t="n">
        <f aca="false">IF(G394="High",3,IF(G394="Medium",2,1))</f>
        <v>1</v>
      </c>
    </row>
    <row r="395" customFormat="false" ht="15" hidden="false" customHeight="true" outlineLevel="0" collapsed="false">
      <c r="A395" s="5" t="s">
        <v>2671</v>
      </c>
      <c r="B395" s="5" t="s">
        <v>1131</v>
      </c>
      <c r="C395" s="5" t="s">
        <v>2254</v>
      </c>
      <c r="D395" s="5" t="s">
        <v>2308</v>
      </c>
      <c r="E395" s="5" t="s">
        <v>59</v>
      </c>
      <c r="F395" s="5" t="s">
        <v>2225</v>
      </c>
      <c r="G395" s="5" t="str">
        <f aca="false">INDEX(Risk_Matrix!$B$2:$D$4,MATCH(E395,Risk_Matrix!$A$2:$A$4,0),MATCH(F395,Risk_Matrix!$B$1:$D$1,0))</f>
        <v>Low</v>
      </c>
      <c r="H395" s="12" t="n">
        <v>46194</v>
      </c>
      <c r="I395" s="5" t="s">
        <v>2241</v>
      </c>
      <c r="J395" s="5" t="s">
        <v>2242</v>
      </c>
      <c r="K395" s="5" t="s">
        <v>2266</v>
      </c>
      <c r="L395" s="5" t="n">
        <f aca="false">IF(G395="High",3,IF(G395="Medium",2,1))</f>
        <v>1</v>
      </c>
    </row>
    <row r="396" customFormat="false" ht="15" hidden="false" customHeight="true" outlineLevel="0" collapsed="false">
      <c r="A396" s="5" t="s">
        <v>2672</v>
      </c>
      <c r="B396" s="5" t="s">
        <v>1131</v>
      </c>
      <c r="C396" s="5" t="s">
        <v>2259</v>
      </c>
      <c r="D396" s="5" t="s">
        <v>2274</v>
      </c>
      <c r="E396" s="5" t="s">
        <v>2225</v>
      </c>
      <c r="F396" s="5" t="s">
        <v>54</v>
      </c>
      <c r="G396" s="5" t="str">
        <f aca="false">INDEX(Risk_Matrix!$B$2:$D$4,MATCH(E396,Risk_Matrix!$A$2:$A$4,0),MATCH(F396,Risk_Matrix!$B$1:$D$1,0))</f>
        <v>High</v>
      </c>
      <c r="H396" s="12" t="n">
        <v>46117</v>
      </c>
      <c r="I396" s="5" t="s">
        <v>2250</v>
      </c>
      <c r="J396" s="5" t="s">
        <v>2251</v>
      </c>
      <c r="K396" s="5" t="s">
        <v>2276</v>
      </c>
      <c r="L396" s="5" t="n">
        <f aca="false">IF(G396="High",3,IF(G396="Medium",2,1))</f>
        <v>3</v>
      </c>
    </row>
    <row r="397" customFormat="false" ht="15" hidden="false" customHeight="true" outlineLevel="0" collapsed="false">
      <c r="A397" s="5" t="s">
        <v>2673</v>
      </c>
      <c r="B397" s="5" t="s">
        <v>1131</v>
      </c>
      <c r="C397" s="5" t="s">
        <v>2262</v>
      </c>
      <c r="D397" s="5" t="s">
        <v>2263</v>
      </c>
      <c r="E397" s="5" t="s">
        <v>59</v>
      </c>
      <c r="F397" s="5" t="s">
        <v>59</v>
      </c>
      <c r="G397" s="5" t="str">
        <f aca="false">INDEX(Risk_Matrix!$B$2:$D$4,MATCH(E397,Risk_Matrix!$A$2:$A$4,0),MATCH(F397,Risk_Matrix!$B$1:$D$1,0))</f>
        <v>Low</v>
      </c>
      <c r="H397" s="12" t="n">
        <v>46101</v>
      </c>
      <c r="I397" s="5" t="s">
        <v>2250</v>
      </c>
      <c r="J397" s="5" t="s">
        <v>2251</v>
      </c>
      <c r="K397" s="5" t="s">
        <v>2252</v>
      </c>
      <c r="L397" s="5" t="n">
        <f aca="false">IF(G397="High",3,IF(G397="Medium",2,1))</f>
        <v>1</v>
      </c>
    </row>
    <row r="398" customFormat="false" ht="15" hidden="false" customHeight="true" outlineLevel="0" collapsed="false">
      <c r="A398" s="5" t="s">
        <v>2674</v>
      </c>
      <c r="B398" s="5" t="s">
        <v>1133</v>
      </c>
      <c r="C398" s="5" t="s">
        <v>2239</v>
      </c>
      <c r="D398" s="5" t="s">
        <v>2295</v>
      </c>
      <c r="E398" s="5" t="s">
        <v>2225</v>
      </c>
      <c r="F398" s="5" t="s">
        <v>59</v>
      </c>
      <c r="G398" s="5" t="str">
        <f aca="false">INDEX(Risk_Matrix!$B$2:$D$4,MATCH(E398,Risk_Matrix!$A$2:$A$4,0),MATCH(F398,Risk_Matrix!$B$1:$D$1,0))</f>
        <v>Low</v>
      </c>
      <c r="H398" s="12" t="n">
        <v>46105</v>
      </c>
      <c r="I398" s="5" t="s">
        <v>2250</v>
      </c>
      <c r="J398" s="5" t="s">
        <v>2251</v>
      </c>
      <c r="K398" s="5" t="s">
        <v>2252</v>
      </c>
      <c r="L398" s="5" t="n">
        <f aca="false">IF(G398="High",3,IF(G398="Medium",2,1))</f>
        <v>1</v>
      </c>
    </row>
    <row r="399" customFormat="false" ht="15" hidden="false" customHeight="true" outlineLevel="0" collapsed="false">
      <c r="A399" s="5" t="s">
        <v>2675</v>
      </c>
      <c r="B399" s="5" t="s">
        <v>1133</v>
      </c>
      <c r="C399" s="5" t="s">
        <v>2245</v>
      </c>
      <c r="D399" s="5" t="s">
        <v>2269</v>
      </c>
      <c r="E399" s="5" t="s">
        <v>2225</v>
      </c>
      <c r="F399" s="5" t="s">
        <v>59</v>
      </c>
      <c r="G399" s="5" t="str">
        <f aca="false">INDEX(Risk_Matrix!$B$2:$D$4,MATCH(E399,Risk_Matrix!$A$2:$A$4,0),MATCH(F399,Risk_Matrix!$B$1:$D$1,0))</f>
        <v>Low</v>
      </c>
      <c r="H399" s="12" t="n">
        <v>46154</v>
      </c>
      <c r="I399" s="5" t="s">
        <v>2250</v>
      </c>
      <c r="J399" s="5" t="s">
        <v>2251</v>
      </c>
      <c r="K399" s="5" t="s">
        <v>2252</v>
      </c>
      <c r="L399" s="5" t="n">
        <f aca="false">IF(G399="High",3,IF(G399="Medium",2,1))</f>
        <v>1</v>
      </c>
    </row>
    <row r="400" customFormat="false" ht="15" hidden="false" customHeight="true" outlineLevel="0" collapsed="false">
      <c r="A400" s="5" t="s">
        <v>2676</v>
      </c>
      <c r="B400" s="5" t="s">
        <v>1133</v>
      </c>
      <c r="C400" s="5" t="s">
        <v>2248</v>
      </c>
      <c r="D400" s="5" t="s">
        <v>2306</v>
      </c>
      <c r="E400" s="5" t="s">
        <v>54</v>
      </c>
      <c r="F400" s="5" t="s">
        <v>59</v>
      </c>
      <c r="G400" s="5" t="str">
        <f aca="false">INDEX(Risk_Matrix!$B$2:$D$4,MATCH(E400,Risk_Matrix!$A$2:$A$4,0),MATCH(F400,Risk_Matrix!$B$1:$D$1,0))</f>
        <v>Medium</v>
      </c>
      <c r="H400" s="12" t="n">
        <v>46142</v>
      </c>
      <c r="I400" s="5" t="s">
        <v>2256</v>
      </c>
      <c r="J400" s="5" t="s">
        <v>2257</v>
      </c>
      <c r="K400" s="5" t="s">
        <v>2283</v>
      </c>
      <c r="L400" s="5" t="n">
        <f aca="false">IF(G400="High",3,IF(G400="Medium",2,1))</f>
        <v>2</v>
      </c>
    </row>
    <row r="401" customFormat="false" ht="15" hidden="false" customHeight="true" outlineLevel="0" collapsed="false">
      <c r="A401" s="5" t="s">
        <v>2677</v>
      </c>
      <c r="B401" s="5" t="s">
        <v>1133</v>
      </c>
      <c r="C401" s="5" t="s">
        <v>2254</v>
      </c>
      <c r="D401" s="5" t="s">
        <v>2255</v>
      </c>
      <c r="E401" s="5" t="s">
        <v>2225</v>
      </c>
      <c r="F401" s="5" t="s">
        <v>59</v>
      </c>
      <c r="G401" s="5" t="str">
        <f aca="false">INDEX(Risk_Matrix!$B$2:$D$4,MATCH(E401,Risk_Matrix!$A$2:$A$4,0),MATCH(F401,Risk_Matrix!$B$1:$D$1,0))</f>
        <v>Low</v>
      </c>
      <c r="H401" s="12" t="n">
        <v>46160</v>
      </c>
      <c r="I401" s="5" t="s">
        <v>2250</v>
      </c>
      <c r="J401" s="5" t="s">
        <v>2251</v>
      </c>
      <c r="K401" s="5" t="s">
        <v>2252</v>
      </c>
      <c r="L401" s="5" t="n">
        <f aca="false">IF(G401="High",3,IF(G401="Medium",2,1))</f>
        <v>1</v>
      </c>
    </row>
    <row r="402" customFormat="false" ht="15" hidden="false" customHeight="true" outlineLevel="0" collapsed="false">
      <c r="A402" s="5" t="s">
        <v>2678</v>
      </c>
      <c r="B402" s="5" t="s">
        <v>1133</v>
      </c>
      <c r="C402" s="5" t="s">
        <v>2259</v>
      </c>
      <c r="D402" s="5" t="s">
        <v>2285</v>
      </c>
      <c r="E402" s="5" t="s">
        <v>59</v>
      </c>
      <c r="F402" s="5" t="s">
        <v>59</v>
      </c>
      <c r="G402" s="5" t="str">
        <f aca="false">INDEX(Risk_Matrix!$B$2:$D$4,MATCH(E402,Risk_Matrix!$A$2:$A$4,0),MATCH(F402,Risk_Matrix!$B$1:$D$1,0))</f>
        <v>Low</v>
      </c>
      <c r="H402" s="12" t="n">
        <v>46178</v>
      </c>
      <c r="I402" s="5" t="s">
        <v>2250</v>
      </c>
      <c r="J402" s="5" t="s">
        <v>2251</v>
      </c>
      <c r="K402" s="5" t="s">
        <v>2252</v>
      </c>
      <c r="L402" s="5" t="n">
        <f aca="false">IF(G402="High",3,IF(G402="Medium",2,1))</f>
        <v>1</v>
      </c>
    </row>
    <row r="403" customFormat="false" ht="15" hidden="false" customHeight="true" outlineLevel="0" collapsed="false">
      <c r="A403" s="5" t="s">
        <v>2679</v>
      </c>
      <c r="B403" s="5" t="s">
        <v>1133</v>
      </c>
      <c r="C403" s="5" t="s">
        <v>2262</v>
      </c>
      <c r="D403" s="5" t="s">
        <v>2311</v>
      </c>
      <c r="E403" s="5" t="s">
        <v>2225</v>
      </c>
      <c r="F403" s="5" t="s">
        <v>59</v>
      </c>
      <c r="G403" s="5" t="str">
        <f aca="false">INDEX(Risk_Matrix!$B$2:$D$4,MATCH(E403,Risk_Matrix!$A$2:$A$4,0),MATCH(F403,Risk_Matrix!$B$1:$D$1,0))</f>
        <v>Low</v>
      </c>
      <c r="H403" s="12" t="n">
        <v>46194</v>
      </c>
      <c r="I403" s="5" t="s">
        <v>2250</v>
      </c>
      <c r="J403" s="5" t="s">
        <v>2251</v>
      </c>
      <c r="K403" s="5" t="s">
        <v>2276</v>
      </c>
      <c r="L403" s="5" t="n">
        <f aca="false">IF(G403="High",3,IF(G403="Medium",2,1))</f>
        <v>1</v>
      </c>
    </row>
    <row r="404" customFormat="false" ht="15" hidden="false" customHeight="true" outlineLevel="0" collapsed="false">
      <c r="A404" s="5" t="s">
        <v>2680</v>
      </c>
      <c r="B404" s="5" t="s">
        <v>1135</v>
      </c>
      <c r="C404" s="5" t="s">
        <v>2239</v>
      </c>
      <c r="D404" s="5" t="s">
        <v>2278</v>
      </c>
      <c r="E404" s="5" t="s">
        <v>2225</v>
      </c>
      <c r="F404" s="5" t="s">
        <v>2225</v>
      </c>
      <c r="G404" s="5" t="str">
        <f aca="false">INDEX(Risk_Matrix!$B$2:$D$4,MATCH(E404,Risk_Matrix!$A$2:$A$4,0),MATCH(F404,Risk_Matrix!$B$1:$D$1,0))</f>
        <v>Medium</v>
      </c>
      <c r="H404" s="12" t="n">
        <v>46125</v>
      </c>
      <c r="I404" s="5" t="s">
        <v>2264</v>
      </c>
      <c r="J404" s="5" t="s">
        <v>2265</v>
      </c>
      <c r="K404" s="5" t="s">
        <v>2283</v>
      </c>
      <c r="L404" s="5" t="n">
        <f aca="false">IF(G404="High",3,IF(G404="Medium",2,1))</f>
        <v>2</v>
      </c>
    </row>
    <row r="405" customFormat="false" ht="15" hidden="false" customHeight="true" outlineLevel="0" collapsed="false">
      <c r="A405" s="5" t="s">
        <v>2681</v>
      </c>
      <c r="B405" s="5" t="s">
        <v>1135</v>
      </c>
      <c r="C405" s="5" t="s">
        <v>2245</v>
      </c>
      <c r="D405" s="5" t="s">
        <v>2246</v>
      </c>
      <c r="E405" s="5" t="s">
        <v>2225</v>
      </c>
      <c r="F405" s="5" t="s">
        <v>54</v>
      </c>
      <c r="G405" s="5" t="str">
        <f aca="false">INDEX(Risk_Matrix!$B$2:$D$4,MATCH(E405,Risk_Matrix!$A$2:$A$4,0),MATCH(F405,Risk_Matrix!$B$1:$D$1,0))</f>
        <v>High</v>
      </c>
      <c r="H405" s="12" t="n">
        <v>46151</v>
      </c>
      <c r="I405" s="5" t="s">
        <v>2256</v>
      </c>
      <c r="J405" s="5" t="s">
        <v>2257</v>
      </c>
      <c r="K405" s="5" t="s">
        <v>2243</v>
      </c>
      <c r="L405" s="5" t="n">
        <f aca="false">IF(G405="High",3,IF(G405="Medium",2,1))</f>
        <v>3</v>
      </c>
    </row>
    <row r="406" customFormat="false" ht="15" hidden="false" customHeight="true" outlineLevel="0" collapsed="false">
      <c r="A406" s="5" t="s">
        <v>2682</v>
      </c>
      <c r="B406" s="5" t="s">
        <v>1135</v>
      </c>
      <c r="C406" s="5" t="s">
        <v>2248</v>
      </c>
      <c r="D406" s="5" t="s">
        <v>2249</v>
      </c>
      <c r="E406" s="5" t="s">
        <v>2225</v>
      </c>
      <c r="F406" s="5" t="s">
        <v>59</v>
      </c>
      <c r="G406" s="5" t="str">
        <f aca="false">INDEX(Risk_Matrix!$B$2:$D$4,MATCH(E406,Risk_Matrix!$A$2:$A$4,0),MATCH(F406,Risk_Matrix!$B$1:$D$1,0))</f>
        <v>Low</v>
      </c>
      <c r="H406" s="12" t="n">
        <v>46106</v>
      </c>
      <c r="I406" s="5" t="s">
        <v>2264</v>
      </c>
      <c r="J406" s="5" t="s">
        <v>2265</v>
      </c>
      <c r="K406" s="5" t="s">
        <v>2266</v>
      </c>
      <c r="L406" s="5" t="n">
        <f aca="false">IF(G406="High",3,IF(G406="Medium",2,1))</f>
        <v>1</v>
      </c>
    </row>
    <row r="407" customFormat="false" ht="15" hidden="false" customHeight="true" outlineLevel="0" collapsed="false">
      <c r="A407" s="5" t="s">
        <v>2683</v>
      </c>
      <c r="B407" s="5" t="s">
        <v>1135</v>
      </c>
      <c r="C407" s="5" t="s">
        <v>2254</v>
      </c>
      <c r="D407" s="5" t="s">
        <v>2255</v>
      </c>
      <c r="E407" s="5" t="s">
        <v>2225</v>
      </c>
      <c r="F407" s="5" t="s">
        <v>59</v>
      </c>
      <c r="G407" s="5" t="str">
        <f aca="false">INDEX(Risk_Matrix!$B$2:$D$4,MATCH(E407,Risk_Matrix!$A$2:$A$4,0),MATCH(F407,Risk_Matrix!$B$1:$D$1,0))</f>
        <v>Low</v>
      </c>
      <c r="H407" s="12" t="n">
        <v>46105</v>
      </c>
      <c r="I407" s="5" t="s">
        <v>2250</v>
      </c>
      <c r="J407" s="5" t="s">
        <v>2251</v>
      </c>
      <c r="K407" s="5" t="s">
        <v>2276</v>
      </c>
      <c r="L407" s="5" t="n">
        <f aca="false">IF(G407="High",3,IF(G407="Medium",2,1))</f>
        <v>1</v>
      </c>
    </row>
    <row r="408" customFormat="false" ht="15" hidden="false" customHeight="true" outlineLevel="0" collapsed="false">
      <c r="A408" s="5" t="s">
        <v>2684</v>
      </c>
      <c r="B408" s="5" t="s">
        <v>1135</v>
      </c>
      <c r="C408" s="5" t="s">
        <v>2259</v>
      </c>
      <c r="D408" s="5" t="s">
        <v>2260</v>
      </c>
      <c r="E408" s="5" t="s">
        <v>59</v>
      </c>
      <c r="F408" s="5" t="s">
        <v>59</v>
      </c>
      <c r="G408" s="5" t="str">
        <f aca="false">INDEX(Risk_Matrix!$B$2:$D$4,MATCH(E408,Risk_Matrix!$A$2:$A$4,0),MATCH(F408,Risk_Matrix!$B$1:$D$1,0))</f>
        <v>Low</v>
      </c>
      <c r="H408" s="12" t="n">
        <v>46216</v>
      </c>
      <c r="I408" s="5" t="s">
        <v>2264</v>
      </c>
      <c r="J408" s="5" t="s">
        <v>2265</v>
      </c>
      <c r="K408" s="5" t="s">
        <v>2252</v>
      </c>
      <c r="L408" s="5" t="n">
        <f aca="false">IF(G408="High",3,IF(G408="Medium",2,1))</f>
        <v>1</v>
      </c>
    </row>
    <row r="409" customFormat="false" ht="15" hidden="false" customHeight="true" outlineLevel="0" collapsed="false">
      <c r="A409" s="5" t="s">
        <v>2685</v>
      </c>
      <c r="B409" s="5" t="s">
        <v>1135</v>
      </c>
      <c r="C409" s="5" t="s">
        <v>2262</v>
      </c>
      <c r="D409" s="5" t="s">
        <v>2311</v>
      </c>
      <c r="E409" s="5" t="s">
        <v>54</v>
      </c>
      <c r="F409" s="5" t="s">
        <v>59</v>
      </c>
      <c r="G409" s="5" t="str">
        <f aca="false">INDEX(Risk_Matrix!$B$2:$D$4,MATCH(E409,Risk_Matrix!$A$2:$A$4,0),MATCH(F409,Risk_Matrix!$B$1:$D$1,0))</f>
        <v>Medium</v>
      </c>
      <c r="H409" s="12" t="n">
        <v>46159</v>
      </c>
      <c r="I409" s="5" t="s">
        <v>2264</v>
      </c>
      <c r="J409" s="5" t="s">
        <v>2265</v>
      </c>
      <c r="K409" s="5" t="s">
        <v>2276</v>
      </c>
      <c r="L409" s="5" t="n">
        <f aca="false">IF(G409="High",3,IF(G409="Medium",2,1))</f>
        <v>2</v>
      </c>
    </row>
    <row r="410" customFormat="false" ht="15" hidden="false" customHeight="true" outlineLevel="0" collapsed="false">
      <c r="A410" s="5" t="s">
        <v>2686</v>
      </c>
      <c r="B410" s="5" t="s">
        <v>1137</v>
      </c>
      <c r="C410" s="5" t="s">
        <v>2239</v>
      </c>
      <c r="D410" s="5" t="s">
        <v>2278</v>
      </c>
      <c r="E410" s="5" t="s">
        <v>2225</v>
      </c>
      <c r="F410" s="5" t="s">
        <v>59</v>
      </c>
      <c r="G410" s="5" t="str">
        <f aca="false">INDEX(Risk_Matrix!$B$2:$D$4,MATCH(E410,Risk_Matrix!$A$2:$A$4,0),MATCH(F410,Risk_Matrix!$B$1:$D$1,0))</f>
        <v>Low</v>
      </c>
      <c r="H410" s="12" t="n">
        <v>46165</v>
      </c>
      <c r="I410" s="5" t="s">
        <v>2256</v>
      </c>
      <c r="J410" s="5" t="s">
        <v>2257</v>
      </c>
      <c r="K410" s="5" t="s">
        <v>2252</v>
      </c>
      <c r="L410" s="5" t="n">
        <f aca="false">IF(G410="High",3,IF(G410="Medium",2,1))</f>
        <v>1</v>
      </c>
    </row>
    <row r="411" customFormat="false" ht="15" hidden="false" customHeight="true" outlineLevel="0" collapsed="false">
      <c r="A411" s="5" t="s">
        <v>2687</v>
      </c>
      <c r="B411" s="5" t="s">
        <v>1137</v>
      </c>
      <c r="C411" s="5" t="s">
        <v>2245</v>
      </c>
      <c r="D411" s="5" t="s">
        <v>2269</v>
      </c>
      <c r="E411" s="5" t="s">
        <v>2225</v>
      </c>
      <c r="F411" s="5" t="s">
        <v>2225</v>
      </c>
      <c r="G411" s="5" t="str">
        <f aca="false">INDEX(Risk_Matrix!$B$2:$D$4,MATCH(E411,Risk_Matrix!$A$2:$A$4,0),MATCH(F411,Risk_Matrix!$B$1:$D$1,0))</f>
        <v>Medium</v>
      </c>
      <c r="H411" s="12" t="n">
        <v>46198</v>
      </c>
      <c r="I411" s="5" t="s">
        <v>2256</v>
      </c>
      <c r="J411" s="5" t="s">
        <v>2257</v>
      </c>
      <c r="K411" s="5" t="s">
        <v>2252</v>
      </c>
      <c r="L411" s="5" t="n">
        <f aca="false">IF(G411="High",3,IF(G411="Medium",2,1))</f>
        <v>2</v>
      </c>
    </row>
    <row r="412" customFormat="false" ht="15" hidden="false" customHeight="true" outlineLevel="0" collapsed="false">
      <c r="A412" s="5" t="s">
        <v>2688</v>
      </c>
      <c r="B412" s="5" t="s">
        <v>1137</v>
      </c>
      <c r="C412" s="5" t="s">
        <v>2248</v>
      </c>
      <c r="D412" s="5" t="s">
        <v>2306</v>
      </c>
      <c r="E412" s="5" t="s">
        <v>59</v>
      </c>
      <c r="F412" s="5" t="s">
        <v>2225</v>
      </c>
      <c r="G412" s="5" t="str">
        <f aca="false">INDEX(Risk_Matrix!$B$2:$D$4,MATCH(E412,Risk_Matrix!$A$2:$A$4,0),MATCH(F412,Risk_Matrix!$B$1:$D$1,0))</f>
        <v>Low</v>
      </c>
      <c r="H412" s="12" t="n">
        <v>46186</v>
      </c>
      <c r="I412" s="5" t="s">
        <v>2250</v>
      </c>
      <c r="J412" s="5" t="s">
        <v>2251</v>
      </c>
      <c r="K412" s="5" t="s">
        <v>2283</v>
      </c>
      <c r="L412" s="5" t="n">
        <f aca="false">IF(G412="High",3,IF(G412="Medium",2,1))</f>
        <v>1</v>
      </c>
    </row>
    <row r="413" customFormat="false" ht="15" hidden="false" customHeight="true" outlineLevel="0" collapsed="false">
      <c r="A413" s="5" t="s">
        <v>2689</v>
      </c>
      <c r="B413" s="5" t="s">
        <v>1137</v>
      </c>
      <c r="C413" s="5" t="s">
        <v>2254</v>
      </c>
      <c r="D413" s="5" t="s">
        <v>2308</v>
      </c>
      <c r="E413" s="5" t="s">
        <v>2225</v>
      </c>
      <c r="F413" s="5" t="s">
        <v>59</v>
      </c>
      <c r="G413" s="5" t="str">
        <f aca="false">INDEX(Risk_Matrix!$B$2:$D$4,MATCH(E413,Risk_Matrix!$A$2:$A$4,0),MATCH(F413,Risk_Matrix!$B$1:$D$1,0))</f>
        <v>Low</v>
      </c>
      <c r="H413" s="12" t="n">
        <v>46166</v>
      </c>
      <c r="I413" s="5" t="s">
        <v>2264</v>
      </c>
      <c r="J413" s="5" t="s">
        <v>2265</v>
      </c>
      <c r="K413" s="5" t="s">
        <v>2283</v>
      </c>
      <c r="L413" s="5" t="n">
        <f aca="false">IF(G413="High",3,IF(G413="Medium",2,1))</f>
        <v>1</v>
      </c>
    </row>
    <row r="414" customFormat="false" ht="15" hidden="false" customHeight="true" outlineLevel="0" collapsed="false">
      <c r="A414" s="5" t="s">
        <v>2690</v>
      </c>
      <c r="B414" s="5" t="s">
        <v>1137</v>
      </c>
      <c r="C414" s="5" t="s">
        <v>2259</v>
      </c>
      <c r="D414" s="5" t="s">
        <v>2260</v>
      </c>
      <c r="E414" s="5" t="s">
        <v>59</v>
      </c>
      <c r="F414" s="5" t="s">
        <v>59</v>
      </c>
      <c r="G414" s="5" t="str">
        <f aca="false">INDEX(Risk_Matrix!$B$2:$D$4,MATCH(E414,Risk_Matrix!$A$2:$A$4,0),MATCH(F414,Risk_Matrix!$B$1:$D$1,0))</f>
        <v>Low</v>
      </c>
      <c r="H414" s="12" t="n">
        <v>46100</v>
      </c>
      <c r="I414" s="5" t="s">
        <v>2264</v>
      </c>
      <c r="J414" s="5" t="s">
        <v>2265</v>
      </c>
      <c r="K414" s="5" t="s">
        <v>2243</v>
      </c>
      <c r="L414" s="5" t="n">
        <f aca="false">IF(G414="High",3,IF(G414="Medium",2,1))</f>
        <v>1</v>
      </c>
    </row>
    <row r="415" customFormat="false" ht="15" hidden="false" customHeight="true" outlineLevel="0" collapsed="false">
      <c r="A415" s="5" t="s">
        <v>2691</v>
      </c>
      <c r="B415" s="5" t="s">
        <v>1137</v>
      </c>
      <c r="C415" s="5" t="s">
        <v>2262</v>
      </c>
      <c r="D415" s="5" t="s">
        <v>2287</v>
      </c>
      <c r="E415" s="5" t="s">
        <v>59</v>
      </c>
      <c r="F415" s="5" t="s">
        <v>59</v>
      </c>
      <c r="G415" s="5" t="str">
        <f aca="false">INDEX(Risk_Matrix!$B$2:$D$4,MATCH(E415,Risk_Matrix!$A$2:$A$4,0),MATCH(F415,Risk_Matrix!$B$1:$D$1,0))</f>
        <v>Low</v>
      </c>
      <c r="H415" s="12" t="n">
        <v>46211</v>
      </c>
      <c r="I415" s="5" t="s">
        <v>2250</v>
      </c>
      <c r="J415" s="5" t="s">
        <v>2251</v>
      </c>
      <c r="K415" s="5" t="s">
        <v>2243</v>
      </c>
      <c r="L415" s="5" t="n">
        <f aca="false">IF(G415="High",3,IF(G415="Medium",2,1))</f>
        <v>1</v>
      </c>
    </row>
    <row r="416" customFormat="false" ht="15" hidden="false" customHeight="true" outlineLevel="0" collapsed="false">
      <c r="A416" s="5" t="s">
        <v>2692</v>
      </c>
      <c r="B416" s="5" t="s">
        <v>1139</v>
      </c>
      <c r="C416" s="5" t="s">
        <v>2239</v>
      </c>
      <c r="D416" s="5" t="s">
        <v>2240</v>
      </c>
      <c r="E416" s="5" t="s">
        <v>59</v>
      </c>
      <c r="F416" s="5" t="s">
        <v>59</v>
      </c>
      <c r="G416" s="5" t="str">
        <f aca="false">INDEX(Risk_Matrix!$B$2:$D$4,MATCH(E416,Risk_Matrix!$A$2:$A$4,0),MATCH(F416,Risk_Matrix!$B$1:$D$1,0))</f>
        <v>Low</v>
      </c>
      <c r="H416" s="12" t="n">
        <v>46087</v>
      </c>
      <c r="I416" s="5" t="s">
        <v>2250</v>
      </c>
      <c r="J416" s="5" t="s">
        <v>2251</v>
      </c>
      <c r="K416" s="5" t="s">
        <v>2243</v>
      </c>
      <c r="L416" s="5" t="n">
        <f aca="false">IF(G416="High",3,IF(G416="Medium",2,1))</f>
        <v>1</v>
      </c>
    </row>
    <row r="417" customFormat="false" ht="15" hidden="false" customHeight="true" outlineLevel="0" collapsed="false">
      <c r="A417" s="5" t="s">
        <v>2693</v>
      </c>
      <c r="B417" s="5" t="s">
        <v>1139</v>
      </c>
      <c r="C417" s="5" t="s">
        <v>2245</v>
      </c>
      <c r="D417" s="5" t="s">
        <v>2269</v>
      </c>
      <c r="E417" s="5" t="s">
        <v>59</v>
      </c>
      <c r="F417" s="5" t="s">
        <v>2225</v>
      </c>
      <c r="G417" s="5" t="str">
        <f aca="false">INDEX(Risk_Matrix!$B$2:$D$4,MATCH(E417,Risk_Matrix!$A$2:$A$4,0),MATCH(F417,Risk_Matrix!$B$1:$D$1,0))</f>
        <v>Low</v>
      </c>
      <c r="H417" s="12" t="n">
        <v>46067</v>
      </c>
      <c r="I417" s="5" t="s">
        <v>2250</v>
      </c>
      <c r="J417" s="5" t="s">
        <v>2251</v>
      </c>
      <c r="K417" s="5" t="s">
        <v>2283</v>
      </c>
      <c r="L417" s="5" t="n">
        <f aca="false">IF(G417="High",3,IF(G417="Medium",2,1))</f>
        <v>1</v>
      </c>
    </row>
    <row r="418" customFormat="false" ht="15" hidden="false" customHeight="true" outlineLevel="0" collapsed="false">
      <c r="A418" s="5" t="s">
        <v>2694</v>
      </c>
      <c r="B418" s="5" t="s">
        <v>1139</v>
      </c>
      <c r="C418" s="5" t="s">
        <v>2248</v>
      </c>
      <c r="D418" s="5" t="s">
        <v>2306</v>
      </c>
      <c r="E418" s="5" t="s">
        <v>54</v>
      </c>
      <c r="F418" s="5" t="s">
        <v>2225</v>
      </c>
      <c r="G418" s="5" t="str">
        <f aca="false">INDEX(Risk_Matrix!$B$2:$D$4,MATCH(E418,Risk_Matrix!$A$2:$A$4,0),MATCH(F418,Risk_Matrix!$B$1:$D$1,0))</f>
        <v>High</v>
      </c>
      <c r="H418" s="12" t="n">
        <v>46205</v>
      </c>
      <c r="I418" s="5" t="s">
        <v>2250</v>
      </c>
      <c r="J418" s="5" t="s">
        <v>2251</v>
      </c>
      <c r="K418" s="5" t="s">
        <v>2276</v>
      </c>
      <c r="L418" s="5" t="n">
        <f aca="false">IF(G418="High",3,IF(G418="Medium",2,1))</f>
        <v>3</v>
      </c>
    </row>
    <row r="419" customFormat="false" ht="15" hidden="false" customHeight="true" outlineLevel="0" collapsed="false">
      <c r="A419" s="5" t="s">
        <v>2695</v>
      </c>
      <c r="B419" s="5" t="s">
        <v>1139</v>
      </c>
      <c r="C419" s="5" t="s">
        <v>2254</v>
      </c>
      <c r="D419" s="5" t="s">
        <v>2299</v>
      </c>
      <c r="E419" s="5" t="s">
        <v>59</v>
      </c>
      <c r="F419" s="5" t="s">
        <v>59</v>
      </c>
      <c r="G419" s="5" t="str">
        <f aca="false">INDEX(Risk_Matrix!$B$2:$D$4,MATCH(E419,Risk_Matrix!$A$2:$A$4,0),MATCH(F419,Risk_Matrix!$B$1:$D$1,0))</f>
        <v>Low</v>
      </c>
      <c r="H419" s="12" t="n">
        <v>46119</v>
      </c>
      <c r="I419" s="5" t="s">
        <v>2250</v>
      </c>
      <c r="J419" s="5" t="s">
        <v>2251</v>
      </c>
      <c r="K419" s="5" t="s">
        <v>2243</v>
      </c>
      <c r="L419" s="5" t="n">
        <f aca="false">IF(G419="High",3,IF(G419="Medium",2,1))</f>
        <v>1</v>
      </c>
    </row>
    <row r="420" customFormat="false" ht="15" hidden="false" customHeight="true" outlineLevel="0" collapsed="false">
      <c r="A420" s="5" t="s">
        <v>2696</v>
      </c>
      <c r="B420" s="5" t="s">
        <v>1139</v>
      </c>
      <c r="C420" s="5" t="s">
        <v>2259</v>
      </c>
      <c r="D420" s="5" t="s">
        <v>2260</v>
      </c>
      <c r="E420" s="5" t="s">
        <v>54</v>
      </c>
      <c r="F420" s="5" t="s">
        <v>59</v>
      </c>
      <c r="G420" s="5" t="str">
        <f aca="false">INDEX(Risk_Matrix!$B$2:$D$4,MATCH(E420,Risk_Matrix!$A$2:$A$4,0),MATCH(F420,Risk_Matrix!$B$1:$D$1,0))</f>
        <v>Medium</v>
      </c>
      <c r="H420" s="12" t="n">
        <v>46172</v>
      </c>
      <c r="I420" s="5" t="s">
        <v>2264</v>
      </c>
      <c r="J420" s="5" t="s">
        <v>2265</v>
      </c>
      <c r="K420" s="5" t="s">
        <v>2252</v>
      </c>
      <c r="L420" s="5" t="n">
        <f aca="false">IF(G420="High",3,IF(G420="Medium",2,1))</f>
        <v>2</v>
      </c>
    </row>
    <row r="421" customFormat="false" ht="15" hidden="false" customHeight="true" outlineLevel="0" collapsed="false">
      <c r="A421" s="5" t="s">
        <v>2697</v>
      </c>
      <c r="B421" s="5" t="s">
        <v>1139</v>
      </c>
      <c r="C421" s="5" t="s">
        <v>2262</v>
      </c>
      <c r="D421" s="5" t="s">
        <v>2311</v>
      </c>
      <c r="E421" s="5" t="s">
        <v>59</v>
      </c>
      <c r="F421" s="5" t="s">
        <v>54</v>
      </c>
      <c r="G421" s="5" t="str">
        <f aca="false">INDEX(Risk_Matrix!$B$2:$D$4,MATCH(E421,Risk_Matrix!$A$2:$A$4,0),MATCH(F421,Risk_Matrix!$B$1:$D$1,0))</f>
        <v>Medium</v>
      </c>
      <c r="H421" s="12" t="n">
        <v>46155</v>
      </c>
      <c r="I421" s="5" t="s">
        <v>2256</v>
      </c>
      <c r="J421" s="5" t="s">
        <v>2257</v>
      </c>
      <c r="K421" s="5" t="s">
        <v>2243</v>
      </c>
      <c r="L421" s="5" t="n">
        <f aca="false">IF(G421="High",3,IF(G421="Medium",2,1))</f>
        <v>2</v>
      </c>
    </row>
    <row r="422" customFormat="false" ht="15" hidden="false" customHeight="true" outlineLevel="0" collapsed="false">
      <c r="A422" s="5" t="s">
        <v>2698</v>
      </c>
      <c r="B422" s="5" t="s">
        <v>1141</v>
      </c>
      <c r="C422" s="5" t="s">
        <v>2239</v>
      </c>
      <c r="D422" s="5" t="s">
        <v>2295</v>
      </c>
      <c r="E422" s="5" t="s">
        <v>59</v>
      </c>
      <c r="F422" s="5" t="s">
        <v>59</v>
      </c>
      <c r="G422" s="5" t="str">
        <f aca="false">INDEX(Risk_Matrix!$B$2:$D$4,MATCH(E422,Risk_Matrix!$A$2:$A$4,0),MATCH(F422,Risk_Matrix!$B$1:$D$1,0))</f>
        <v>Low</v>
      </c>
      <c r="H422" s="12" t="n">
        <v>46120</v>
      </c>
      <c r="I422" s="5" t="s">
        <v>2256</v>
      </c>
      <c r="J422" s="5" t="s">
        <v>2257</v>
      </c>
      <c r="K422" s="5" t="s">
        <v>2266</v>
      </c>
      <c r="L422" s="5" t="n">
        <f aca="false">IF(G422="High",3,IF(G422="Medium",2,1))</f>
        <v>1</v>
      </c>
    </row>
    <row r="423" customFormat="false" ht="15" hidden="false" customHeight="true" outlineLevel="0" collapsed="false">
      <c r="A423" s="5" t="s">
        <v>2699</v>
      </c>
      <c r="B423" s="5" t="s">
        <v>1141</v>
      </c>
      <c r="C423" s="5" t="s">
        <v>2245</v>
      </c>
      <c r="D423" s="5" t="s">
        <v>2269</v>
      </c>
      <c r="E423" s="5" t="s">
        <v>2225</v>
      </c>
      <c r="F423" s="5" t="s">
        <v>2225</v>
      </c>
      <c r="G423" s="5" t="str">
        <f aca="false">INDEX(Risk_Matrix!$B$2:$D$4,MATCH(E423,Risk_Matrix!$A$2:$A$4,0),MATCH(F423,Risk_Matrix!$B$1:$D$1,0))</f>
        <v>Medium</v>
      </c>
      <c r="H423" s="12" t="n">
        <v>46212</v>
      </c>
      <c r="I423" s="5" t="s">
        <v>2256</v>
      </c>
      <c r="J423" s="5" t="s">
        <v>2257</v>
      </c>
      <c r="K423" s="5" t="s">
        <v>2243</v>
      </c>
      <c r="L423" s="5" t="n">
        <f aca="false">IF(G423="High",3,IF(G423="Medium",2,1))</f>
        <v>2</v>
      </c>
    </row>
    <row r="424" customFormat="false" ht="15" hidden="false" customHeight="true" outlineLevel="0" collapsed="false">
      <c r="A424" s="5" t="s">
        <v>2700</v>
      </c>
      <c r="B424" s="5" t="s">
        <v>1141</v>
      </c>
      <c r="C424" s="5" t="s">
        <v>2248</v>
      </c>
      <c r="D424" s="5" t="s">
        <v>2306</v>
      </c>
      <c r="E424" s="5" t="s">
        <v>59</v>
      </c>
      <c r="F424" s="5" t="s">
        <v>2225</v>
      </c>
      <c r="G424" s="5" t="str">
        <f aca="false">INDEX(Risk_Matrix!$B$2:$D$4,MATCH(E424,Risk_Matrix!$A$2:$A$4,0),MATCH(F424,Risk_Matrix!$B$1:$D$1,0))</f>
        <v>Low</v>
      </c>
      <c r="H424" s="12" t="n">
        <v>46102</v>
      </c>
      <c r="I424" s="5" t="s">
        <v>2264</v>
      </c>
      <c r="J424" s="5" t="s">
        <v>2265</v>
      </c>
      <c r="K424" s="5" t="s">
        <v>2243</v>
      </c>
      <c r="L424" s="5" t="n">
        <f aca="false">IF(G424="High",3,IF(G424="Medium",2,1))</f>
        <v>1</v>
      </c>
    </row>
    <row r="425" customFormat="false" ht="15" hidden="false" customHeight="true" outlineLevel="0" collapsed="false">
      <c r="A425" s="5" t="s">
        <v>2701</v>
      </c>
      <c r="B425" s="5" t="s">
        <v>1141</v>
      </c>
      <c r="C425" s="5" t="s">
        <v>2254</v>
      </c>
      <c r="D425" s="5" t="s">
        <v>2308</v>
      </c>
      <c r="E425" s="5" t="s">
        <v>2225</v>
      </c>
      <c r="F425" s="5" t="s">
        <v>59</v>
      </c>
      <c r="G425" s="5" t="str">
        <f aca="false">INDEX(Risk_Matrix!$B$2:$D$4,MATCH(E425,Risk_Matrix!$A$2:$A$4,0),MATCH(F425,Risk_Matrix!$B$1:$D$1,0))</f>
        <v>Low</v>
      </c>
      <c r="H425" s="12" t="n">
        <v>46198</v>
      </c>
      <c r="I425" s="5" t="s">
        <v>2256</v>
      </c>
      <c r="J425" s="5" t="s">
        <v>2257</v>
      </c>
      <c r="K425" s="5" t="s">
        <v>2243</v>
      </c>
      <c r="L425" s="5" t="n">
        <f aca="false">IF(G425="High",3,IF(G425="Medium",2,1))</f>
        <v>1</v>
      </c>
    </row>
    <row r="426" customFormat="false" ht="15" hidden="false" customHeight="true" outlineLevel="0" collapsed="false">
      <c r="A426" s="5" t="s">
        <v>2702</v>
      </c>
      <c r="B426" s="5" t="s">
        <v>1141</v>
      </c>
      <c r="C426" s="5" t="s">
        <v>2259</v>
      </c>
      <c r="D426" s="5" t="s">
        <v>2274</v>
      </c>
      <c r="E426" s="5" t="s">
        <v>59</v>
      </c>
      <c r="F426" s="5" t="s">
        <v>59</v>
      </c>
      <c r="G426" s="5" t="str">
        <f aca="false">INDEX(Risk_Matrix!$B$2:$D$4,MATCH(E426,Risk_Matrix!$A$2:$A$4,0),MATCH(F426,Risk_Matrix!$B$1:$D$1,0))</f>
        <v>Low</v>
      </c>
      <c r="H426" s="12" t="n">
        <v>46128</v>
      </c>
      <c r="I426" s="5" t="s">
        <v>2250</v>
      </c>
      <c r="J426" s="5" t="s">
        <v>2251</v>
      </c>
      <c r="K426" s="5" t="s">
        <v>2243</v>
      </c>
      <c r="L426" s="5" t="n">
        <f aca="false">IF(G426="High",3,IF(G426="Medium",2,1))</f>
        <v>1</v>
      </c>
    </row>
    <row r="427" customFormat="false" ht="15" hidden="false" customHeight="true" outlineLevel="0" collapsed="false">
      <c r="A427" s="5" t="s">
        <v>2703</v>
      </c>
      <c r="B427" s="5" t="s">
        <v>1141</v>
      </c>
      <c r="C427" s="5" t="s">
        <v>2262</v>
      </c>
      <c r="D427" s="5" t="s">
        <v>2263</v>
      </c>
      <c r="E427" s="5" t="s">
        <v>2225</v>
      </c>
      <c r="F427" s="5" t="s">
        <v>2225</v>
      </c>
      <c r="G427" s="5" t="str">
        <f aca="false">INDEX(Risk_Matrix!$B$2:$D$4,MATCH(E427,Risk_Matrix!$A$2:$A$4,0),MATCH(F427,Risk_Matrix!$B$1:$D$1,0))</f>
        <v>Medium</v>
      </c>
      <c r="H427" s="12" t="n">
        <v>46069</v>
      </c>
      <c r="I427" s="5" t="s">
        <v>2256</v>
      </c>
      <c r="J427" s="5" t="s">
        <v>2257</v>
      </c>
      <c r="K427" s="5" t="s">
        <v>2276</v>
      </c>
      <c r="L427" s="5" t="n">
        <f aca="false">IF(G427="High",3,IF(G427="Medium",2,1))</f>
        <v>2</v>
      </c>
    </row>
    <row r="428" customFormat="false" ht="15" hidden="false" customHeight="true" outlineLevel="0" collapsed="false">
      <c r="A428" s="5" t="s">
        <v>2704</v>
      </c>
      <c r="B428" s="5" t="s">
        <v>1143</v>
      </c>
      <c r="C428" s="5" t="s">
        <v>2239</v>
      </c>
      <c r="D428" s="5" t="s">
        <v>2295</v>
      </c>
      <c r="E428" s="5" t="s">
        <v>59</v>
      </c>
      <c r="F428" s="5" t="s">
        <v>2225</v>
      </c>
      <c r="G428" s="5" t="str">
        <f aca="false">INDEX(Risk_Matrix!$B$2:$D$4,MATCH(E428,Risk_Matrix!$A$2:$A$4,0),MATCH(F428,Risk_Matrix!$B$1:$D$1,0))</f>
        <v>Low</v>
      </c>
      <c r="H428" s="12" t="n">
        <v>46214</v>
      </c>
      <c r="I428" s="5" t="s">
        <v>2256</v>
      </c>
      <c r="J428" s="5" t="s">
        <v>2257</v>
      </c>
      <c r="K428" s="5" t="s">
        <v>2243</v>
      </c>
      <c r="L428" s="5" t="n">
        <f aca="false">IF(G428="High",3,IF(G428="Medium",2,1))</f>
        <v>1</v>
      </c>
    </row>
    <row r="429" customFormat="false" ht="15" hidden="false" customHeight="true" outlineLevel="0" collapsed="false">
      <c r="A429" s="5" t="s">
        <v>2705</v>
      </c>
      <c r="B429" s="5" t="s">
        <v>1143</v>
      </c>
      <c r="C429" s="5" t="s">
        <v>2245</v>
      </c>
      <c r="D429" s="5" t="s">
        <v>2320</v>
      </c>
      <c r="E429" s="5" t="s">
        <v>59</v>
      </c>
      <c r="F429" s="5" t="s">
        <v>59</v>
      </c>
      <c r="G429" s="5" t="str">
        <f aca="false">INDEX(Risk_Matrix!$B$2:$D$4,MATCH(E429,Risk_Matrix!$A$2:$A$4,0),MATCH(F429,Risk_Matrix!$B$1:$D$1,0))</f>
        <v>Low</v>
      </c>
      <c r="H429" s="12" t="n">
        <v>46063</v>
      </c>
      <c r="I429" s="5" t="s">
        <v>2250</v>
      </c>
      <c r="J429" s="5" t="s">
        <v>2251</v>
      </c>
      <c r="K429" s="5" t="s">
        <v>2283</v>
      </c>
      <c r="L429" s="5" t="n">
        <f aca="false">IF(G429="High",3,IF(G429="Medium",2,1))</f>
        <v>1</v>
      </c>
    </row>
    <row r="430" customFormat="false" ht="15" hidden="false" customHeight="true" outlineLevel="0" collapsed="false">
      <c r="A430" s="5" t="s">
        <v>2706</v>
      </c>
      <c r="B430" s="5" t="s">
        <v>1143</v>
      </c>
      <c r="C430" s="5" t="s">
        <v>2248</v>
      </c>
      <c r="D430" s="5" t="s">
        <v>2271</v>
      </c>
      <c r="E430" s="5" t="s">
        <v>59</v>
      </c>
      <c r="F430" s="5" t="s">
        <v>2225</v>
      </c>
      <c r="G430" s="5" t="str">
        <f aca="false">INDEX(Risk_Matrix!$B$2:$D$4,MATCH(E430,Risk_Matrix!$A$2:$A$4,0),MATCH(F430,Risk_Matrix!$B$1:$D$1,0))</f>
        <v>Low</v>
      </c>
      <c r="H430" s="12" t="n">
        <v>46183</v>
      </c>
      <c r="I430" s="5" t="s">
        <v>2256</v>
      </c>
      <c r="J430" s="5" t="s">
        <v>2257</v>
      </c>
      <c r="K430" s="5" t="s">
        <v>2266</v>
      </c>
      <c r="L430" s="5" t="n">
        <f aca="false">IF(G430="High",3,IF(G430="Medium",2,1))</f>
        <v>1</v>
      </c>
    </row>
    <row r="431" customFormat="false" ht="15" hidden="false" customHeight="true" outlineLevel="0" collapsed="false">
      <c r="A431" s="5" t="s">
        <v>2707</v>
      </c>
      <c r="B431" s="5" t="s">
        <v>1143</v>
      </c>
      <c r="C431" s="5" t="s">
        <v>2254</v>
      </c>
      <c r="D431" s="5" t="s">
        <v>2299</v>
      </c>
      <c r="E431" s="5" t="s">
        <v>54</v>
      </c>
      <c r="F431" s="5" t="s">
        <v>2225</v>
      </c>
      <c r="G431" s="5" t="str">
        <f aca="false">INDEX(Risk_Matrix!$B$2:$D$4,MATCH(E431,Risk_Matrix!$A$2:$A$4,0),MATCH(F431,Risk_Matrix!$B$1:$D$1,0))</f>
        <v>High</v>
      </c>
      <c r="H431" s="12" t="n">
        <v>46201</v>
      </c>
      <c r="I431" s="5" t="s">
        <v>2256</v>
      </c>
      <c r="J431" s="5" t="s">
        <v>2257</v>
      </c>
      <c r="K431" s="5" t="s">
        <v>2266</v>
      </c>
      <c r="L431" s="5" t="n">
        <f aca="false">IF(G431="High",3,IF(G431="Medium",2,1))</f>
        <v>3</v>
      </c>
    </row>
    <row r="432" customFormat="false" ht="15" hidden="false" customHeight="true" outlineLevel="0" collapsed="false">
      <c r="A432" s="5" t="s">
        <v>2708</v>
      </c>
      <c r="B432" s="5" t="s">
        <v>1143</v>
      </c>
      <c r="C432" s="5" t="s">
        <v>2259</v>
      </c>
      <c r="D432" s="5" t="s">
        <v>2274</v>
      </c>
      <c r="E432" s="5" t="s">
        <v>2225</v>
      </c>
      <c r="F432" s="5" t="s">
        <v>59</v>
      </c>
      <c r="G432" s="5" t="str">
        <f aca="false">INDEX(Risk_Matrix!$B$2:$D$4,MATCH(E432,Risk_Matrix!$A$2:$A$4,0),MATCH(F432,Risk_Matrix!$B$1:$D$1,0))</f>
        <v>Low</v>
      </c>
      <c r="H432" s="12" t="n">
        <v>46188</v>
      </c>
      <c r="I432" s="5" t="s">
        <v>2250</v>
      </c>
      <c r="J432" s="5" t="s">
        <v>2251</v>
      </c>
      <c r="K432" s="5" t="s">
        <v>2266</v>
      </c>
      <c r="L432" s="5" t="n">
        <f aca="false">IF(G432="High",3,IF(G432="Medium",2,1))</f>
        <v>1</v>
      </c>
    </row>
    <row r="433" customFormat="false" ht="15" hidden="false" customHeight="true" outlineLevel="0" collapsed="false">
      <c r="A433" s="5" t="s">
        <v>2709</v>
      </c>
      <c r="B433" s="5" t="s">
        <v>1143</v>
      </c>
      <c r="C433" s="5" t="s">
        <v>2262</v>
      </c>
      <c r="D433" s="5" t="s">
        <v>2263</v>
      </c>
      <c r="E433" s="5" t="s">
        <v>54</v>
      </c>
      <c r="F433" s="5" t="s">
        <v>59</v>
      </c>
      <c r="G433" s="5" t="str">
        <f aca="false">INDEX(Risk_Matrix!$B$2:$D$4,MATCH(E433,Risk_Matrix!$A$2:$A$4,0),MATCH(F433,Risk_Matrix!$B$1:$D$1,0))</f>
        <v>Medium</v>
      </c>
      <c r="H433" s="12" t="n">
        <v>46065</v>
      </c>
      <c r="I433" s="5" t="s">
        <v>2264</v>
      </c>
      <c r="J433" s="5" t="s">
        <v>2265</v>
      </c>
      <c r="K433" s="5" t="s">
        <v>2252</v>
      </c>
      <c r="L433" s="5" t="n">
        <f aca="false">IF(G433="High",3,IF(G433="Medium",2,1))</f>
        <v>2</v>
      </c>
    </row>
    <row r="434" customFormat="false" ht="15" hidden="false" customHeight="true" outlineLevel="0" collapsed="false">
      <c r="A434" s="5" t="s">
        <v>2710</v>
      </c>
      <c r="B434" s="5" t="s">
        <v>1145</v>
      </c>
      <c r="C434" s="5" t="s">
        <v>2239</v>
      </c>
      <c r="D434" s="5" t="s">
        <v>2295</v>
      </c>
      <c r="E434" s="5" t="s">
        <v>2225</v>
      </c>
      <c r="F434" s="5" t="s">
        <v>54</v>
      </c>
      <c r="G434" s="5" t="str">
        <f aca="false">INDEX(Risk_Matrix!$B$2:$D$4,MATCH(E434,Risk_Matrix!$A$2:$A$4,0),MATCH(F434,Risk_Matrix!$B$1:$D$1,0))</f>
        <v>High</v>
      </c>
      <c r="H434" s="12" t="n">
        <v>46089</v>
      </c>
      <c r="I434" s="5" t="s">
        <v>2241</v>
      </c>
      <c r="J434" s="5" t="s">
        <v>2242</v>
      </c>
      <c r="K434" s="5" t="s">
        <v>2276</v>
      </c>
      <c r="L434" s="5" t="n">
        <f aca="false">IF(G434="High",3,IF(G434="Medium",2,1))</f>
        <v>3</v>
      </c>
    </row>
    <row r="435" customFormat="false" ht="15" hidden="false" customHeight="true" outlineLevel="0" collapsed="false">
      <c r="A435" s="5" t="s">
        <v>2711</v>
      </c>
      <c r="B435" s="5" t="s">
        <v>1145</v>
      </c>
      <c r="C435" s="5" t="s">
        <v>2245</v>
      </c>
      <c r="D435" s="5" t="s">
        <v>2280</v>
      </c>
      <c r="E435" s="5" t="s">
        <v>2225</v>
      </c>
      <c r="F435" s="5" t="s">
        <v>54</v>
      </c>
      <c r="G435" s="5" t="str">
        <f aca="false">INDEX(Risk_Matrix!$B$2:$D$4,MATCH(E435,Risk_Matrix!$A$2:$A$4,0),MATCH(F435,Risk_Matrix!$B$1:$D$1,0))</f>
        <v>High</v>
      </c>
      <c r="H435" s="12" t="n">
        <v>46098</v>
      </c>
      <c r="I435" s="5" t="s">
        <v>2256</v>
      </c>
      <c r="J435" s="5" t="s">
        <v>2257</v>
      </c>
      <c r="K435" s="5" t="s">
        <v>2276</v>
      </c>
      <c r="L435" s="5" t="n">
        <f aca="false">IF(G435="High",3,IF(G435="Medium",2,1))</f>
        <v>3</v>
      </c>
    </row>
    <row r="436" customFormat="false" ht="15" hidden="false" customHeight="true" outlineLevel="0" collapsed="false">
      <c r="A436" s="5" t="s">
        <v>2712</v>
      </c>
      <c r="B436" s="5" t="s">
        <v>1145</v>
      </c>
      <c r="C436" s="5" t="s">
        <v>2248</v>
      </c>
      <c r="D436" s="5" t="s">
        <v>2306</v>
      </c>
      <c r="E436" s="5" t="s">
        <v>2225</v>
      </c>
      <c r="F436" s="5" t="s">
        <v>2225</v>
      </c>
      <c r="G436" s="5" t="str">
        <f aca="false">INDEX(Risk_Matrix!$B$2:$D$4,MATCH(E436,Risk_Matrix!$A$2:$A$4,0),MATCH(F436,Risk_Matrix!$B$1:$D$1,0))</f>
        <v>Medium</v>
      </c>
      <c r="H436" s="12" t="n">
        <v>46166</v>
      </c>
      <c r="I436" s="5" t="s">
        <v>2256</v>
      </c>
      <c r="J436" s="5" t="s">
        <v>2257</v>
      </c>
      <c r="K436" s="5" t="s">
        <v>2276</v>
      </c>
      <c r="L436" s="5" t="n">
        <f aca="false">IF(G436="High",3,IF(G436="Medium",2,1))</f>
        <v>2</v>
      </c>
    </row>
    <row r="437" customFormat="false" ht="15" hidden="false" customHeight="true" outlineLevel="0" collapsed="false">
      <c r="A437" s="5" t="s">
        <v>2713</v>
      </c>
      <c r="B437" s="5" t="s">
        <v>1145</v>
      </c>
      <c r="C437" s="5" t="s">
        <v>2254</v>
      </c>
      <c r="D437" s="5" t="s">
        <v>2255</v>
      </c>
      <c r="E437" s="5" t="s">
        <v>59</v>
      </c>
      <c r="F437" s="5" t="s">
        <v>2225</v>
      </c>
      <c r="G437" s="5" t="str">
        <f aca="false">INDEX(Risk_Matrix!$B$2:$D$4,MATCH(E437,Risk_Matrix!$A$2:$A$4,0),MATCH(F437,Risk_Matrix!$B$1:$D$1,0))</f>
        <v>Low</v>
      </c>
      <c r="H437" s="12" t="n">
        <v>46141</v>
      </c>
      <c r="I437" s="5" t="s">
        <v>2250</v>
      </c>
      <c r="J437" s="5" t="s">
        <v>2251</v>
      </c>
      <c r="K437" s="5" t="s">
        <v>2243</v>
      </c>
      <c r="L437" s="5" t="n">
        <f aca="false">IF(G437="High",3,IF(G437="Medium",2,1))</f>
        <v>1</v>
      </c>
    </row>
    <row r="438" customFormat="false" ht="15" hidden="false" customHeight="true" outlineLevel="0" collapsed="false">
      <c r="A438" s="5" t="s">
        <v>2714</v>
      </c>
      <c r="B438" s="5" t="s">
        <v>1145</v>
      </c>
      <c r="C438" s="5" t="s">
        <v>2259</v>
      </c>
      <c r="D438" s="5" t="s">
        <v>2274</v>
      </c>
      <c r="E438" s="5" t="s">
        <v>59</v>
      </c>
      <c r="F438" s="5" t="s">
        <v>59</v>
      </c>
      <c r="G438" s="5" t="str">
        <f aca="false">INDEX(Risk_Matrix!$B$2:$D$4,MATCH(E438,Risk_Matrix!$A$2:$A$4,0),MATCH(F438,Risk_Matrix!$B$1:$D$1,0))</f>
        <v>Low</v>
      </c>
      <c r="H438" s="12" t="n">
        <v>46203</v>
      </c>
      <c r="I438" s="5" t="s">
        <v>2256</v>
      </c>
      <c r="J438" s="5" t="s">
        <v>2257</v>
      </c>
      <c r="K438" s="5" t="s">
        <v>2266</v>
      </c>
      <c r="L438" s="5" t="n">
        <f aca="false">IF(G438="High",3,IF(G438="Medium",2,1))</f>
        <v>1</v>
      </c>
    </row>
    <row r="439" customFormat="false" ht="15" hidden="false" customHeight="true" outlineLevel="0" collapsed="false">
      <c r="A439" s="5" t="s">
        <v>2715</v>
      </c>
      <c r="B439" s="5" t="s">
        <v>1145</v>
      </c>
      <c r="C439" s="5" t="s">
        <v>2262</v>
      </c>
      <c r="D439" s="5" t="s">
        <v>2263</v>
      </c>
      <c r="E439" s="5" t="s">
        <v>59</v>
      </c>
      <c r="F439" s="5" t="s">
        <v>54</v>
      </c>
      <c r="G439" s="5" t="str">
        <f aca="false">INDEX(Risk_Matrix!$B$2:$D$4,MATCH(E439,Risk_Matrix!$A$2:$A$4,0),MATCH(F439,Risk_Matrix!$B$1:$D$1,0))</f>
        <v>Medium</v>
      </c>
      <c r="H439" s="12" t="n">
        <v>46199</v>
      </c>
      <c r="I439" s="5" t="s">
        <v>2264</v>
      </c>
      <c r="J439" s="5" t="s">
        <v>2265</v>
      </c>
      <c r="K439" s="5" t="s">
        <v>2252</v>
      </c>
      <c r="L439" s="5" t="n">
        <f aca="false">IF(G439="High",3,IF(G439="Medium",2,1))</f>
        <v>2</v>
      </c>
    </row>
    <row r="440" customFormat="false" ht="15" hidden="false" customHeight="true" outlineLevel="0" collapsed="false">
      <c r="A440" s="5" t="s">
        <v>2716</v>
      </c>
      <c r="B440" s="5" t="s">
        <v>1146</v>
      </c>
      <c r="C440" s="5" t="s">
        <v>2239</v>
      </c>
      <c r="D440" s="5" t="s">
        <v>2303</v>
      </c>
      <c r="E440" s="5" t="s">
        <v>59</v>
      </c>
      <c r="F440" s="5" t="s">
        <v>59</v>
      </c>
      <c r="G440" s="5" t="str">
        <f aca="false">INDEX(Risk_Matrix!$B$2:$D$4,MATCH(E440,Risk_Matrix!$A$2:$A$4,0),MATCH(F440,Risk_Matrix!$B$1:$D$1,0))</f>
        <v>Low</v>
      </c>
      <c r="H440" s="12" t="n">
        <v>46114</v>
      </c>
      <c r="I440" s="5" t="s">
        <v>2256</v>
      </c>
      <c r="J440" s="5" t="s">
        <v>2257</v>
      </c>
      <c r="K440" s="5" t="s">
        <v>2243</v>
      </c>
      <c r="L440" s="5" t="n">
        <f aca="false">IF(G440="High",3,IF(G440="Medium",2,1))</f>
        <v>1</v>
      </c>
    </row>
    <row r="441" customFormat="false" ht="15" hidden="false" customHeight="true" outlineLevel="0" collapsed="false">
      <c r="A441" s="5" t="s">
        <v>2717</v>
      </c>
      <c r="B441" s="5" t="s">
        <v>1146</v>
      </c>
      <c r="C441" s="5" t="s">
        <v>2245</v>
      </c>
      <c r="D441" s="5" t="s">
        <v>2320</v>
      </c>
      <c r="E441" s="5" t="s">
        <v>59</v>
      </c>
      <c r="F441" s="5" t="s">
        <v>2225</v>
      </c>
      <c r="G441" s="5" t="str">
        <f aca="false">INDEX(Risk_Matrix!$B$2:$D$4,MATCH(E441,Risk_Matrix!$A$2:$A$4,0),MATCH(F441,Risk_Matrix!$B$1:$D$1,0))</f>
        <v>Low</v>
      </c>
      <c r="H441" s="12" t="n">
        <v>46122</v>
      </c>
      <c r="I441" s="5" t="s">
        <v>2250</v>
      </c>
      <c r="J441" s="5" t="s">
        <v>2251</v>
      </c>
      <c r="K441" s="5" t="s">
        <v>2283</v>
      </c>
      <c r="L441" s="5" t="n">
        <f aca="false">IF(G441="High",3,IF(G441="Medium",2,1))</f>
        <v>1</v>
      </c>
    </row>
    <row r="442" customFormat="false" ht="15" hidden="false" customHeight="true" outlineLevel="0" collapsed="false">
      <c r="A442" s="5" t="s">
        <v>2718</v>
      </c>
      <c r="B442" s="5" t="s">
        <v>1146</v>
      </c>
      <c r="C442" s="5" t="s">
        <v>2248</v>
      </c>
      <c r="D442" s="5" t="s">
        <v>2271</v>
      </c>
      <c r="E442" s="5" t="s">
        <v>2225</v>
      </c>
      <c r="F442" s="5" t="s">
        <v>59</v>
      </c>
      <c r="G442" s="5" t="str">
        <f aca="false">INDEX(Risk_Matrix!$B$2:$D$4,MATCH(E442,Risk_Matrix!$A$2:$A$4,0),MATCH(F442,Risk_Matrix!$B$1:$D$1,0))</f>
        <v>Low</v>
      </c>
      <c r="H442" s="12" t="n">
        <v>46123</v>
      </c>
      <c r="I442" s="5" t="s">
        <v>2250</v>
      </c>
      <c r="J442" s="5" t="s">
        <v>2251</v>
      </c>
      <c r="K442" s="5" t="s">
        <v>2243</v>
      </c>
      <c r="L442" s="5" t="n">
        <f aca="false">IF(G442="High",3,IF(G442="Medium",2,1))</f>
        <v>1</v>
      </c>
    </row>
    <row r="443" customFormat="false" ht="15" hidden="false" customHeight="true" outlineLevel="0" collapsed="false">
      <c r="A443" s="5" t="s">
        <v>2719</v>
      </c>
      <c r="B443" s="5" t="s">
        <v>1146</v>
      </c>
      <c r="C443" s="5" t="s">
        <v>2254</v>
      </c>
      <c r="D443" s="5" t="s">
        <v>2308</v>
      </c>
      <c r="E443" s="5" t="s">
        <v>59</v>
      </c>
      <c r="F443" s="5" t="s">
        <v>59</v>
      </c>
      <c r="G443" s="5" t="str">
        <f aca="false">INDEX(Risk_Matrix!$B$2:$D$4,MATCH(E443,Risk_Matrix!$A$2:$A$4,0),MATCH(F443,Risk_Matrix!$B$1:$D$1,0))</f>
        <v>Low</v>
      </c>
      <c r="H443" s="12" t="n">
        <v>46111</v>
      </c>
      <c r="I443" s="5" t="s">
        <v>2256</v>
      </c>
      <c r="J443" s="5" t="s">
        <v>2257</v>
      </c>
      <c r="K443" s="5" t="s">
        <v>2266</v>
      </c>
      <c r="L443" s="5" t="n">
        <f aca="false">IF(G443="High",3,IF(G443="Medium",2,1))</f>
        <v>1</v>
      </c>
    </row>
    <row r="444" customFormat="false" ht="15" hidden="false" customHeight="true" outlineLevel="0" collapsed="false">
      <c r="A444" s="5" t="s">
        <v>2720</v>
      </c>
      <c r="B444" s="5" t="s">
        <v>1146</v>
      </c>
      <c r="C444" s="5" t="s">
        <v>2259</v>
      </c>
      <c r="D444" s="5" t="s">
        <v>2285</v>
      </c>
      <c r="E444" s="5" t="s">
        <v>2225</v>
      </c>
      <c r="F444" s="5" t="s">
        <v>59</v>
      </c>
      <c r="G444" s="5" t="str">
        <f aca="false">INDEX(Risk_Matrix!$B$2:$D$4,MATCH(E444,Risk_Matrix!$A$2:$A$4,0),MATCH(F444,Risk_Matrix!$B$1:$D$1,0))</f>
        <v>Low</v>
      </c>
      <c r="H444" s="12" t="n">
        <v>46145</v>
      </c>
      <c r="I444" s="5" t="s">
        <v>2250</v>
      </c>
      <c r="J444" s="5" t="s">
        <v>2251</v>
      </c>
      <c r="K444" s="5" t="s">
        <v>2276</v>
      </c>
      <c r="L444" s="5" t="n">
        <f aca="false">IF(G444="High",3,IF(G444="Medium",2,1))</f>
        <v>1</v>
      </c>
    </row>
    <row r="445" customFormat="false" ht="15" hidden="false" customHeight="true" outlineLevel="0" collapsed="false">
      <c r="A445" s="5" t="s">
        <v>2721</v>
      </c>
      <c r="B445" s="5" t="s">
        <v>1146</v>
      </c>
      <c r="C445" s="5" t="s">
        <v>2262</v>
      </c>
      <c r="D445" s="5" t="s">
        <v>2287</v>
      </c>
      <c r="E445" s="5" t="s">
        <v>2225</v>
      </c>
      <c r="F445" s="5" t="s">
        <v>2225</v>
      </c>
      <c r="G445" s="5" t="str">
        <f aca="false">INDEX(Risk_Matrix!$B$2:$D$4,MATCH(E445,Risk_Matrix!$A$2:$A$4,0),MATCH(F445,Risk_Matrix!$B$1:$D$1,0))</f>
        <v>Medium</v>
      </c>
      <c r="H445" s="12" t="n">
        <v>46115</v>
      </c>
      <c r="I445" s="5" t="s">
        <v>2256</v>
      </c>
      <c r="J445" s="5" t="s">
        <v>2257</v>
      </c>
      <c r="K445" s="5" t="s">
        <v>2276</v>
      </c>
      <c r="L445" s="5" t="n">
        <f aca="false">IF(G445="High",3,IF(G445="Medium",2,1))</f>
        <v>2</v>
      </c>
    </row>
    <row r="446" customFormat="false" ht="15" hidden="false" customHeight="true" outlineLevel="0" collapsed="false">
      <c r="A446" s="5" t="s">
        <v>2722</v>
      </c>
      <c r="B446" s="5" t="s">
        <v>1148</v>
      </c>
      <c r="C446" s="5" t="s">
        <v>2239</v>
      </c>
      <c r="D446" s="5" t="s">
        <v>2303</v>
      </c>
      <c r="E446" s="5" t="s">
        <v>2225</v>
      </c>
      <c r="F446" s="5" t="s">
        <v>2225</v>
      </c>
      <c r="G446" s="5" t="str">
        <f aca="false">INDEX(Risk_Matrix!$B$2:$D$4,MATCH(E446,Risk_Matrix!$A$2:$A$4,0),MATCH(F446,Risk_Matrix!$B$1:$D$1,0))</f>
        <v>Medium</v>
      </c>
      <c r="H446" s="12" t="n">
        <v>46167</v>
      </c>
      <c r="I446" s="5" t="s">
        <v>2264</v>
      </c>
      <c r="J446" s="5" t="s">
        <v>2265</v>
      </c>
      <c r="K446" s="5" t="s">
        <v>2243</v>
      </c>
      <c r="L446" s="5" t="n">
        <f aca="false">IF(G446="High",3,IF(G446="Medium",2,1))</f>
        <v>2</v>
      </c>
    </row>
    <row r="447" customFormat="false" ht="15" hidden="false" customHeight="true" outlineLevel="0" collapsed="false">
      <c r="A447" s="5" t="s">
        <v>2723</v>
      </c>
      <c r="B447" s="5" t="s">
        <v>1148</v>
      </c>
      <c r="C447" s="5" t="s">
        <v>2245</v>
      </c>
      <c r="D447" s="5" t="s">
        <v>2246</v>
      </c>
      <c r="E447" s="5" t="s">
        <v>2225</v>
      </c>
      <c r="F447" s="5" t="s">
        <v>2225</v>
      </c>
      <c r="G447" s="5" t="str">
        <f aca="false">INDEX(Risk_Matrix!$B$2:$D$4,MATCH(E447,Risk_Matrix!$A$2:$A$4,0),MATCH(F447,Risk_Matrix!$B$1:$D$1,0))</f>
        <v>Medium</v>
      </c>
      <c r="H447" s="12" t="n">
        <v>46077</v>
      </c>
      <c r="I447" s="5" t="s">
        <v>2256</v>
      </c>
      <c r="J447" s="5" t="s">
        <v>2257</v>
      </c>
      <c r="K447" s="5" t="s">
        <v>2276</v>
      </c>
      <c r="L447" s="5" t="n">
        <f aca="false">IF(G447="High",3,IF(G447="Medium",2,1))</f>
        <v>2</v>
      </c>
    </row>
    <row r="448" customFormat="false" ht="15" hidden="false" customHeight="true" outlineLevel="0" collapsed="false">
      <c r="A448" s="5" t="s">
        <v>2724</v>
      </c>
      <c r="B448" s="5" t="s">
        <v>1148</v>
      </c>
      <c r="C448" s="5" t="s">
        <v>2248</v>
      </c>
      <c r="D448" s="5" t="s">
        <v>2249</v>
      </c>
      <c r="E448" s="5" t="s">
        <v>2225</v>
      </c>
      <c r="F448" s="5" t="s">
        <v>54</v>
      </c>
      <c r="G448" s="5" t="str">
        <f aca="false">INDEX(Risk_Matrix!$B$2:$D$4,MATCH(E448,Risk_Matrix!$A$2:$A$4,0),MATCH(F448,Risk_Matrix!$B$1:$D$1,0))</f>
        <v>High</v>
      </c>
      <c r="H448" s="12" t="n">
        <v>46236</v>
      </c>
      <c r="I448" s="5" t="s">
        <v>2250</v>
      </c>
      <c r="J448" s="5" t="s">
        <v>2251</v>
      </c>
      <c r="K448" s="5" t="s">
        <v>2243</v>
      </c>
      <c r="L448" s="5" t="n">
        <f aca="false">IF(G448="High",3,IF(G448="Medium",2,1))</f>
        <v>3</v>
      </c>
    </row>
    <row r="449" customFormat="false" ht="15" hidden="false" customHeight="true" outlineLevel="0" collapsed="false">
      <c r="A449" s="5" t="s">
        <v>2725</v>
      </c>
      <c r="B449" s="5" t="s">
        <v>1148</v>
      </c>
      <c r="C449" s="5" t="s">
        <v>2254</v>
      </c>
      <c r="D449" s="5" t="s">
        <v>2308</v>
      </c>
      <c r="E449" s="5" t="s">
        <v>2225</v>
      </c>
      <c r="F449" s="5" t="s">
        <v>59</v>
      </c>
      <c r="G449" s="5" t="str">
        <f aca="false">INDEX(Risk_Matrix!$B$2:$D$4,MATCH(E449,Risk_Matrix!$A$2:$A$4,0),MATCH(F449,Risk_Matrix!$B$1:$D$1,0))</f>
        <v>Low</v>
      </c>
      <c r="H449" s="12" t="n">
        <v>46131</v>
      </c>
      <c r="I449" s="5" t="s">
        <v>2250</v>
      </c>
      <c r="J449" s="5" t="s">
        <v>2251</v>
      </c>
      <c r="K449" s="5" t="s">
        <v>2252</v>
      </c>
      <c r="L449" s="5" t="n">
        <f aca="false">IF(G449="High",3,IF(G449="Medium",2,1))</f>
        <v>1</v>
      </c>
    </row>
    <row r="450" customFormat="false" ht="15" hidden="false" customHeight="true" outlineLevel="0" collapsed="false">
      <c r="A450" s="5" t="s">
        <v>2726</v>
      </c>
      <c r="B450" s="5" t="s">
        <v>1148</v>
      </c>
      <c r="C450" s="5" t="s">
        <v>2259</v>
      </c>
      <c r="D450" s="5" t="s">
        <v>2274</v>
      </c>
      <c r="E450" s="5" t="s">
        <v>59</v>
      </c>
      <c r="F450" s="5" t="s">
        <v>59</v>
      </c>
      <c r="G450" s="5" t="str">
        <f aca="false">INDEX(Risk_Matrix!$B$2:$D$4,MATCH(E450,Risk_Matrix!$A$2:$A$4,0),MATCH(F450,Risk_Matrix!$B$1:$D$1,0))</f>
        <v>Low</v>
      </c>
      <c r="H450" s="12" t="n">
        <v>46161</v>
      </c>
      <c r="I450" s="5" t="s">
        <v>2264</v>
      </c>
      <c r="J450" s="5" t="s">
        <v>2265</v>
      </c>
      <c r="K450" s="5" t="s">
        <v>2283</v>
      </c>
      <c r="L450" s="5" t="n">
        <f aca="false">IF(G450="High",3,IF(G450="Medium",2,1))</f>
        <v>1</v>
      </c>
    </row>
    <row r="451" customFormat="false" ht="15" hidden="false" customHeight="true" outlineLevel="0" collapsed="false">
      <c r="A451" s="5" t="s">
        <v>2727</v>
      </c>
      <c r="B451" s="5" t="s">
        <v>1148</v>
      </c>
      <c r="C451" s="5" t="s">
        <v>2262</v>
      </c>
      <c r="D451" s="5" t="s">
        <v>2311</v>
      </c>
      <c r="E451" s="5" t="s">
        <v>59</v>
      </c>
      <c r="F451" s="5" t="s">
        <v>59</v>
      </c>
      <c r="G451" s="5" t="str">
        <f aca="false">INDEX(Risk_Matrix!$B$2:$D$4,MATCH(E451,Risk_Matrix!$A$2:$A$4,0),MATCH(F451,Risk_Matrix!$B$1:$D$1,0))</f>
        <v>Low</v>
      </c>
      <c r="H451" s="12" t="n">
        <v>46225</v>
      </c>
      <c r="I451" s="5" t="s">
        <v>2256</v>
      </c>
      <c r="J451" s="5" t="s">
        <v>2257</v>
      </c>
      <c r="K451" s="5" t="s">
        <v>2252</v>
      </c>
      <c r="L451" s="5" t="n">
        <f aca="false">IF(G451="High",3,IF(G451="Medium",2,1))</f>
        <v>1</v>
      </c>
    </row>
    <row r="452" customFormat="false" ht="15" hidden="false" customHeight="true" outlineLevel="0" collapsed="false">
      <c r="A452" s="5" t="s">
        <v>2728</v>
      </c>
      <c r="B452" s="5" t="s">
        <v>1150</v>
      </c>
      <c r="C452" s="5" t="s">
        <v>2239</v>
      </c>
      <c r="D452" s="5" t="s">
        <v>2240</v>
      </c>
      <c r="E452" s="5" t="s">
        <v>59</v>
      </c>
      <c r="F452" s="5" t="s">
        <v>59</v>
      </c>
      <c r="G452" s="5" t="str">
        <f aca="false">INDEX(Risk_Matrix!$B$2:$D$4,MATCH(E452,Risk_Matrix!$A$2:$A$4,0),MATCH(F452,Risk_Matrix!$B$1:$D$1,0))</f>
        <v>Low</v>
      </c>
      <c r="H452" s="12" t="n">
        <v>46167</v>
      </c>
      <c r="I452" s="5" t="s">
        <v>2250</v>
      </c>
      <c r="J452" s="5" t="s">
        <v>2251</v>
      </c>
      <c r="K452" s="5" t="s">
        <v>2252</v>
      </c>
      <c r="L452" s="5" t="n">
        <f aca="false">IF(G452="High",3,IF(G452="Medium",2,1))</f>
        <v>1</v>
      </c>
    </row>
    <row r="453" customFormat="false" ht="15" hidden="false" customHeight="true" outlineLevel="0" collapsed="false">
      <c r="A453" s="5" t="s">
        <v>2729</v>
      </c>
      <c r="B453" s="5" t="s">
        <v>1150</v>
      </c>
      <c r="C453" s="5" t="s">
        <v>2245</v>
      </c>
      <c r="D453" s="5" t="s">
        <v>2320</v>
      </c>
      <c r="E453" s="5" t="s">
        <v>2225</v>
      </c>
      <c r="F453" s="5" t="s">
        <v>59</v>
      </c>
      <c r="G453" s="5" t="str">
        <f aca="false">INDEX(Risk_Matrix!$B$2:$D$4,MATCH(E453,Risk_Matrix!$A$2:$A$4,0),MATCH(F453,Risk_Matrix!$B$1:$D$1,0))</f>
        <v>Low</v>
      </c>
      <c r="H453" s="12" t="n">
        <v>46210</v>
      </c>
      <c r="I453" s="5" t="s">
        <v>2256</v>
      </c>
      <c r="J453" s="5" t="s">
        <v>2257</v>
      </c>
      <c r="K453" s="5" t="s">
        <v>2283</v>
      </c>
      <c r="L453" s="5" t="n">
        <f aca="false">IF(G453="High",3,IF(G453="Medium",2,1))</f>
        <v>1</v>
      </c>
    </row>
    <row r="454" customFormat="false" ht="15" hidden="false" customHeight="true" outlineLevel="0" collapsed="false">
      <c r="A454" s="5" t="s">
        <v>2730</v>
      </c>
      <c r="B454" s="5" t="s">
        <v>1150</v>
      </c>
      <c r="C454" s="5" t="s">
        <v>2248</v>
      </c>
      <c r="D454" s="5" t="s">
        <v>2322</v>
      </c>
      <c r="E454" s="5" t="s">
        <v>54</v>
      </c>
      <c r="F454" s="5" t="s">
        <v>2225</v>
      </c>
      <c r="G454" s="5" t="str">
        <f aca="false">INDEX(Risk_Matrix!$B$2:$D$4,MATCH(E454,Risk_Matrix!$A$2:$A$4,0),MATCH(F454,Risk_Matrix!$B$1:$D$1,0))</f>
        <v>High</v>
      </c>
      <c r="H454" s="12" t="n">
        <v>46144</v>
      </c>
      <c r="I454" s="5" t="s">
        <v>2250</v>
      </c>
      <c r="J454" s="5" t="s">
        <v>2251</v>
      </c>
      <c r="K454" s="5" t="s">
        <v>2266</v>
      </c>
      <c r="L454" s="5" t="n">
        <f aca="false">IF(G454="High",3,IF(G454="Medium",2,1))</f>
        <v>3</v>
      </c>
    </row>
    <row r="455" customFormat="false" ht="15" hidden="false" customHeight="true" outlineLevel="0" collapsed="false">
      <c r="A455" s="5" t="s">
        <v>2731</v>
      </c>
      <c r="B455" s="5" t="s">
        <v>1150</v>
      </c>
      <c r="C455" s="5" t="s">
        <v>2254</v>
      </c>
      <c r="D455" s="5" t="s">
        <v>2308</v>
      </c>
      <c r="E455" s="5" t="s">
        <v>2225</v>
      </c>
      <c r="F455" s="5" t="s">
        <v>59</v>
      </c>
      <c r="G455" s="5" t="str">
        <f aca="false">INDEX(Risk_Matrix!$B$2:$D$4,MATCH(E455,Risk_Matrix!$A$2:$A$4,0),MATCH(F455,Risk_Matrix!$B$1:$D$1,0))</f>
        <v>Low</v>
      </c>
      <c r="H455" s="12" t="n">
        <v>46103</v>
      </c>
      <c r="I455" s="5" t="s">
        <v>2256</v>
      </c>
      <c r="J455" s="5" t="s">
        <v>2257</v>
      </c>
      <c r="K455" s="5" t="s">
        <v>2276</v>
      </c>
      <c r="L455" s="5" t="n">
        <f aca="false">IF(G455="High",3,IF(G455="Medium",2,1))</f>
        <v>1</v>
      </c>
    </row>
    <row r="456" customFormat="false" ht="15" hidden="false" customHeight="true" outlineLevel="0" collapsed="false">
      <c r="A456" s="5" t="s">
        <v>2732</v>
      </c>
      <c r="B456" s="5" t="s">
        <v>1150</v>
      </c>
      <c r="C456" s="5" t="s">
        <v>2259</v>
      </c>
      <c r="D456" s="5" t="s">
        <v>2274</v>
      </c>
      <c r="E456" s="5" t="s">
        <v>54</v>
      </c>
      <c r="F456" s="5" t="s">
        <v>54</v>
      </c>
      <c r="G456" s="5" t="str">
        <f aca="false">INDEX(Risk_Matrix!$B$2:$D$4,MATCH(E456,Risk_Matrix!$A$2:$A$4,0),MATCH(F456,Risk_Matrix!$B$1:$D$1,0))</f>
        <v>High</v>
      </c>
      <c r="H456" s="12" t="n">
        <v>46199</v>
      </c>
      <c r="I456" s="5" t="s">
        <v>2250</v>
      </c>
      <c r="J456" s="5" t="s">
        <v>2251</v>
      </c>
      <c r="K456" s="5" t="s">
        <v>2243</v>
      </c>
      <c r="L456" s="5" t="n">
        <f aca="false">IF(G456="High",3,IF(G456="Medium",2,1))</f>
        <v>3</v>
      </c>
    </row>
    <row r="457" customFormat="false" ht="15" hidden="false" customHeight="true" outlineLevel="0" collapsed="false">
      <c r="A457" s="5" t="s">
        <v>2733</v>
      </c>
      <c r="B457" s="5" t="s">
        <v>1150</v>
      </c>
      <c r="C457" s="5" t="s">
        <v>2262</v>
      </c>
      <c r="D457" s="5" t="s">
        <v>2311</v>
      </c>
      <c r="E457" s="5" t="s">
        <v>2225</v>
      </c>
      <c r="F457" s="5" t="s">
        <v>59</v>
      </c>
      <c r="G457" s="5" t="str">
        <f aca="false">INDEX(Risk_Matrix!$B$2:$D$4,MATCH(E457,Risk_Matrix!$A$2:$A$4,0),MATCH(F457,Risk_Matrix!$B$1:$D$1,0))</f>
        <v>Low</v>
      </c>
      <c r="H457" s="12" t="n">
        <v>46075</v>
      </c>
      <c r="I457" s="5" t="s">
        <v>2250</v>
      </c>
      <c r="J457" s="5" t="s">
        <v>2251</v>
      </c>
      <c r="K457" s="5" t="s">
        <v>2266</v>
      </c>
      <c r="L457" s="5" t="n">
        <f aca="false">IF(G457="High",3,IF(G457="Medium",2,1))</f>
        <v>1</v>
      </c>
    </row>
    <row r="458" customFormat="false" ht="15" hidden="false" customHeight="true" outlineLevel="0" collapsed="false">
      <c r="A458" s="5" t="s">
        <v>2734</v>
      </c>
      <c r="B458" s="5" t="s">
        <v>1152</v>
      </c>
      <c r="C458" s="5" t="s">
        <v>2239</v>
      </c>
      <c r="D458" s="5" t="s">
        <v>2303</v>
      </c>
      <c r="E458" s="5" t="s">
        <v>2225</v>
      </c>
      <c r="F458" s="5" t="s">
        <v>2225</v>
      </c>
      <c r="G458" s="5" t="str">
        <f aca="false">INDEX(Risk_Matrix!$B$2:$D$4,MATCH(E458,Risk_Matrix!$A$2:$A$4,0),MATCH(F458,Risk_Matrix!$B$1:$D$1,0))</f>
        <v>Medium</v>
      </c>
      <c r="H458" s="12" t="n">
        <v>46171</v>
      </c>
      <c r="I458" s="5" t="s">
        <v>2256</v>
      </c>
      <c r="J458" s="5" t="s">
        <v>2257</v>
      </c>
      <c r="K458" s="5" t="s">
        <v>2276</v>
      </c>
      <c r="L458" s="5" t="n">
        <f aca="false">IF(G458="High",3,IF(G458="Medium",2,1))</f>
        <v>2</v>
      </c>
    </row>
    <row r="459" customFormat="false" ht="15" hidden="false" customHeight="true" outlineLevel="0" collapsed="false">
      <c r="A459" s="5" t="s">
        <v>2735</v>
      </c>
      <c r="B459" s="5" t="s">
        <v>1152</v>
      </c>
      <c r="C459" s="5" t="s">
        <v>2245</v>
      </c>
      <c r="D459" s="5" t="s">
        <v>2246</v>
      </c>
      <c r="E459" s="5" t="s">
        <v>59</v>
      </c>
      <c r="F459" s="5" t="s">
        <v>59</v>
      </c>
      <c r="G459" s="5" t="str">
        <f aca="false">INDEX(Risk_Matrix!$B$2:$D$4,MATCH(E459,Risk_Matrix!$A$2:$A$4,0),MATCH(F459,Risk_Matrix!$B$1:$D$1,0))</f>
        <v>Low</v>
      </c>
      <c r="H459" s="12" t="n">
        <v>46102</v>
      </c>
      <c r="I459" s="5" t="s">
        <v>2256</v>
      </c>
      <c r="J459" s="5" t="s">
        <v>2257</v>
      </c>
      <c r="K459" s="5" t="s">
        <v>2266</v>
      </c>
      <c r="L459" s="5" t="n">
        <f aca="false">IF(G459="High",3,IF(G459="Medium",2,1))</f>
        <v>1</v>
      </c>
    </row>
    <row r="460" customFormat="false" ht="15" hidden="false" customHeight="true" outlineLevel="0" collapsed="false">
      <c r="A460" s="5" t="s">
        <v>2736</v>
      </c>
      <c r="B460" s="5" t="s">
        <v>1152</v>
      </c>
      <c r="C460" s="5" t="s">
        <v>2248</v>
      </c>
      <c r="D460" s="5" t="s">
        <v>2271</v>
      </c>
      <c r="E460" s="5" t="s">
        <v>2225</v>
      </c>
      <c r="F460" s="5" t="s">
        <v>59</v>
      </c>
      <c r="G460" s="5" t="str">
        <f aca="false">INDEX(Risk_Matrix!$B$2:$D$4,MATCH(E460,Risk_Matrix!$A$2:$A$4,0),MATCH(F460,Risk_Matrix!$B$1:$D$1,0))</f>
        <v>Low</v>
      </c>
      <c r="H460" s="12" t="n">
        <v>46103</v>
      </c>
      <c r="I460" s="5" t="s">
        <v>2256</v>
      </c>
      <c r="J460" s="5" t="s">
        <v>2257</v>
      </c>
      <c r="K460" s="5" t="s">
        <v>2243</v>
      </c>
      <c r="L460" s="5" t="n">
        <f aca="false">IF(G460="High",3,IF(G460="Medium",2,1))</f>
        <v>1</v>
      </c>
    </row>
    <row r="461" customFormat="false" ht="15" hidden="false" customHeight="true" outlineLevel="0" collapsed="false">
      <c r="A461" s="5" t="s">
        <v>2737</v>
      </c>
      <c r="B461" s="5" t="s">
        <v>1152</v>
      </c>
      <c r="C461" s="5" t="s">
        <v>2254</v>
      </c>
      <c r="D461" s="5" t="s">
        <v>2255</v>
      </c>
      <c r="E461" s="5" t="s">
        <v>59</v>
      </c>
      <c r="F461" s="5" t="s">
        <v>2225</v>
      </c>
      <c r="G461" s="5" t="str">
        <f aca="false">INDEX(Risk_Matrix!$B$2:$D$4,MATCH(E461,Risk_Matrix!$A$2:$A$4,0),MATCH(F461,Risk_Matrix!$B$1:$D$1,0))</f>
        <v>Low</v>
      </c>
      <c r="H461" s="12" t="n">
        <v>46158</v>
      </c>
      <c r="I461" s="5" t="s">
        <v>2256</v>
      </c>
      <c r="J461" s="5" t="s">
        <v>2257</v>
      </c>
      <c r="K461" s="5" t="s">
        <v>2283</v>
      </c>
      <c r="L461" s="5" t="n">
        <f aca="false">IF(G461="High",3,IF(G461="Medium",2,1))</f>
        <v>1</v>
      </c>
    </row>
    <row r="462" customFormat="false" ht="15" hidden="false" customHeight="true" outlineLevel="0" collapsed="false">
      <c r="A462" s="5" t="s">
        <v>2738</v>
      </c>
      <c r="B462" s="5" t="s">
        <v>1152</v>
      </c>
      <c r="C462" s="5" t="s">
        <v>2259</v>
      </c>
      <c r="D462" s="5" t="s">
        <v>2285</v>
      </c>
      <c r="E462" s="5" t="s">
        <v>54</v>
      </c>
      <c r="F462" s="5" t="s">
        <v>59</v>
      </c>
      <c r="G462" s="5" t="str">
        <f aca="false">INDEX(Risk_Matrix!$B$2:$D$4,MATCH(E462,Risk_Matrix!$A$2:$A$4,0),MATCH(F462,Risk_Matrix!$B$1:$D$1,0))</f>
        <v>Medium</v>
      </c>
      <c r="H462" s="12" t="n">
        <v>46148</v>
      </c>
      <c r="I462" s="5" t="s">
        <v>2250</v>
      </c>
      <c r="J462" s="5" t="s">
        <v>2251</v>
      </c>
      <c r="K462" s="5" t="s">
        <v>2243</v>
      </c>
      <c r="L462" s="5" t="n">
        <f aca="false">IF(G462="High",3,IF(G462="Medium",2,1))</f>
        <v>2</v>
      </c>
    </row>
    <row r="463" customFormat="false" ht="15" hidden="false" customHeight="true" outlineLevel="0" collapsed="false">
      <c r="A463" s="5" t="s">
        <v>2739</v>
      </c>
      <c r="B463" s="5" t="s">
        <v>1152</v>
      </c>
      <c r="C463" s="5" t="s">
        <v>2262</v>
      </c>
      <c r="D463" s="5" t="s">
        <v>2263</v>
      </c>
      <c r="E463" s="5" t="s">
        <v>54</v>
      </c>
      <c r="F463" s="5" t="s">
        <v>54</v>
      </c>
      <c r="G463" s="5" t="str">
        <f aca="false">INDEX(Risk_Matrix!$B$2:$D$4,MATCH(E463,Risk_Matrix!$A$2:$A$4,0),MATCH(F463,Risk_Matrix!$B$1:$D$1,0))</f>
        <v>High</v>
      </c>
      <c r="H463" s="12" t="n">
        <v>46170</v>
      </c>
      <c r="I463" s="5" t="s">
        <v>2256</v>
      </c>
      <c r="J463" s="5" t="s">
        <v>2257</v>
      </c>
      <c r="K463" s="5" t="s">
        <v>2276</v>
      </c>
      <c r="L463" s="5" t="n">
        <f aca="false">IF(G463="High",3,IF(G463="Medium",2,1))</f>
        <v>3</v>
      </c>
    </row>
    <row r="464" customFormat="false" ht="15" hidden="false" customHeight="true" outlineLevel="0" collapsed="false">
      <c r="A464" s="5" t="s">
        <v>2740</v>
      </c>
      <c r="B464" s="5" t="s">
        <v>1153</v>
      </c>
      <c r="C464" s="5" t="s">
        <v>2239</v>
      </c>
      <c r="D464" s="5" t="s">
        <v>2278</v>
      </c>
      <c r="E464" s="5" t="s">
        <v>2225</v>
      </c>
      <c r="F464" s="5" t="s">
        <v>59</v>
      </c>
      <c r="G464" s="5" t="str">
        <f aca="false">INDEX(Risk_Matrix!$B$2:$D$4,MATCH(E464,Risk_Matrix!$A$2:$A$4,0),MATCH(F464,Risk_Matrix!$B$1:$D$1,0))</f>
        <v>Low</v>
      </c>
      <c r="H464" s="12" t="n">
        <v>46177</v>
      </c>
      <c r="I464" s="5" t="s">
        <v>2264</v>
      </c>
      <c r="J464" s="5" t="s">
        <v>2265</v>
      </c>
      <c r="K464" s="5" t="s">
        <v>2283</v>
      </c>
      <c r="L464" s="5" t="n">
        <f aca="false">IF(G464="High",3,IF(G464="Medium",2,1))</f>
        <v>1</v>
      </c>
    </row>
    <row r="465" customFormat="false" ht="15" hidden="false" customHeight="true" outlineLevel="0" collapsed="false">
      <c r="A465" s="5" t="s">
        <v>2741</v>
      </c>
      <c r="B465" s="5" t="s">
        <v>1153</v>
      </c>
      <c r="C465" s="5" t="s">
        <v>2245</v>
      </c>
      <c r="D465" s="5" t="s">
        <v>2320</v>
      </c>
      <c r="E465" s="5" t="s">
        <v>2225</v>
      </c>
      <c r="F465" s="5" t="s">
        <v>2225</v>
      </c>
      <c r="G465" s="5" t="str">
        <f aca="false">INDEX(Risk_Matrix!$B$2:$D$4,MATCH(E465,Risk_Matrix!$A$2:$A$4,0),MATCH(F465,Risk_Matrix!$B$1:$D$1,0))</f>
        <v>Medium</v>
      </c>
      <c r="H465" s="12" t="n">
        <v>46158</v>
      </c>
      <c r="I465" s="5" t="s">
        <v>2241</v>
      </c>
      <c r="J465" s="5" t="s">
        <v>2242</v>
      </c>
      <c r="K465" s="5" t="s">
        <v>2283</v>
      </c>
      <c r="L465" s="5" t="n">
        <f aca="false">IF(G465="High",3,IF(G465="Medium",2,1))</f>
        <v>2</v>
      </c>
    </row>
    <row r="466" customFormat="false" ht="15" hidden="false" customHeight="true" outlineLevel="0" collapsed="false">
      <c r="A466" s="5" t="s">
        <v>2742</v>
      </c>
      <c r="B466" s="5" t="s">
        <v>1153</v>
      </c>
      <c r="C466" s="5" t="s">
        <v>2248</v>
      </c>
      <c r="D466" s="5" t="s">
        <v>2306</v>
      </c>
      <c r="E466" s="5" t="s">
        <v>2225</v>
      </c>
      <c r="F466" s="5" t="s">
        <v>2225</v>
      </c>
      <c r="G466" s="5" t="str">
        <f aca="false">INDEX(Risk_Matrix!$B$2:$D$4,MATCH(E466,Risk_Matrix!$A$2:$A$4,0),MATCH(F466,Risk_Matrix!$B$1:$D$1,0))</f>
        <v>Medium</v>
      </c>
      <c r="H466" s="12" t="n">
        <v>46213</v>
      </c>
      <c r="I466" s="5" t="s">
        <v>2256</v>
      </c>
      <c r="J466" s="5" t="s">
        <v>2257</v>
      </c>
      <c r="K466" s="5" t="s">
        <v>2283</v>
      </c>
      <c r="L466" s="5" t="n">
        <f aca="false">IF(G466="High",3,IF(G466="Medium",2,1))</f>
        <v>2</v>
      </c>
    </row>
    <row r="467" customFormat="false" ht="15" hidden="false" customHeight="true" outlineLevel="0" collapsed="false">
      <c r="A467" s="5" t="s">
        <v>2743</v>
      </c>
      <c r="B467" s="5" t="s">
        <v>1153</v>
      </c>
      <c r="C467" s="5" t="s">
        <v>2254</v>
      </c>
      <c r="D467" s="5" t="s">
        <v>2255</v>
      </c>
      <c r="E467" s="5" t="s">
        <v>2225</v>
      </c>
      <c r="F467" s="5" t="s">
        <v>59</v>
      </c>
      <c r="G467" s="5" t="str">
        <f aca="false">INDEX(Risk_Matrix!$B$2:$D$4,MATCH(E467,Risk_Matrix!$A$2:$A$4,0),MATCH(F467,Risk_Matrix!$B$1:$D$1,0))</f>
        <v>Low</v>
      </c>
      <c r="H467" s="12" t="n">
        <v>46174</v>
      </c>
      <c r="I467" s="5" t="s">
        <v>2250</v>
      </c>
      <c r="J467" s="5" t="s">
        <v>2251</v>
      </c>
      <c r="K467" s="5" t="s">
        <v>2266</v>
      </c>
      <c r="L467" s="5" t="n">
        <f aca="false">IF(G467="High",3,IF(G467="Medium",2,1))</f>
        <v>1</v>
      </c>
    </row>
    <row r="468" customFormat="false" ht="15" hidden="false" customHeight="true" outlineLevel="0" collapsed="false">
      <c r="A468" s="5" t="s">
        <v>2744</v>
      </c>
      <c r="B468" s="5" t="s">
        <v>1153</v>
      </c>
      <c r="C468" s="5" t="s">
        <v>2259</v>
      </c>
      <c r="D468" s="5" t="s">
        <v>2260</v>
      </c>
      <c r="E468" s="5" t="s">
        <v>59</v>
      </c>
      <c r="F468" s="5" t="s">
        <v>59</v>
      </c>
      <c r="G468" s="5" t="str">
        <f aca="false">INDEX(Risk_Matrix!$B$2:$D$4,MATCH(E468,Risk_Matrix!$A$2:$A$4,0),MATCH(F468,Risk_Matrix!$B$1:$D$1,0))</f>
        <v>Low</v>
      </c>
      <c r="H468" s="12" t="n">
        <v>46070</v>
      </c>
      <c r="I468" s="5" t="s">
        <v>2264</v>
      </c>
      <c r="J468" s="5" t="s">
        <v>2265</v>
      </c>
      <c r="K468" s="5" t="s">
        <v>2266</v>
      </c>
      <c r="L468" s="5" t="n">
        <f aca="false">IF(G468="High",3,IF(G468="Medium",2,1))</f>
        <v>1</v>
      </c>
    </row>
    <row r="469" customFormat="false" ht="15" hidden="false" customHeight="true" outlineLevel="0" collapsed="false">
      <c r="A469" s="5" t="s">
        <v>2745</v>
      </c>
      <c r="B469" s="5" t="s">
        <v>1153</v>
      </c>
      <c r="C469" s="5" t="s">
        <v>2262</v>
      </c>
      <c r="D469" s="5" t="s">
        <v>2263</v>
      </c>
      <c r="E469" s="5" t="s">
        <v>2225</v>
      </c>
      <c r="F469" s="5" t="s">
        <v>2225</v>
      </c>
      <c r="G469" s="5" t="str">
        <f aca="false">INDEX(Risk_Matrix!$B$2:$D$4,MATCH(E469,Risk_Matrix!$A$2:$A$4,0),MATCH(F469,Risk_Matrix!$B$1:$D$1,0))</f>
        <v>Medium</v>
      </c>
      <c r="H469" s="12" t="n">
        <v>46084</v>
      </c>
      <c r="I469" s="5" t="s">
        <v>2256</v>
      </c>
      <c r="J469" s="5" t="s">
        <v>2257</v>
      </c>
      <c r="K469" s="5" t="s">
        <v>2266</v>
      </c>
      <c r="L469" s="5" t="n">
        <f aca="false">IF(G469="High",3,IF(G469="Medium",2,1))</f>
        <v>2</v>
      </c>
    </row>
    <row r="470" customFormat="false" ht="15" hidden="false" customHeight="true" outlineLevel="0" collapsed="false">
      <c r="A470" s="5" t="s">
        <v>2746</v>
      </c>
      <c r="B470" s="5" t="s">
        <v>1155</v>
      </c>
      <c r="C470" s="5" t="s">
        <v>2239</v>
      </c>
      <c r="D470" s="5" t="s">
        <v>2295</v>
      </c>
      <c r="E470" s="5" t="s">
        <v>2225</v>
      </c>
      <c r="F470" s="5" t="s">
        <v>54</v>
      </c>
      <c r="G470" s="5" t="str">
        <f aca="false">INDEX(Risk_Matrix!$B$2:$D$4,MATCH(E470,Risk_Matrix!$A$2:$A$4,0),MATCH(F470,Risk_Matrix!$B$1:$D$1,0))</f>
        <v>High</v>
      </c>
      <c r="H470" s="12" t="n">
        <v>46191</v>
      </c>
      <c r="I470" s="5" t="s">
        <v>2250</v>
      </c>
      <c r="J470" s="5" t="s">
        <v>2251</v>
      </c>
      <c r="K470" s="5" t="s">
        <v>2276</v>
      </c>
      <c r="L470" s="5" t="n">
        <f aca="false">IF(G470="High",3,IF(G470="Medium",2,1))</f>
        <v>3</v>
      </c>
    </row>
    <row r="471" customFormat="false" ht="15" hidden="false" customHeight="true" outlineLevel="0" collapsed="false">
      <c r="A471" s="5" t="s">
        <v>2747</v>
      </c>
      <c r="B471" s="5" t="s">
        <v>1155</v>
      </c>
      <c r="C471" s="5" t="s">
        <v>2245</v>
      </c>
      <c r="D471" s="5" t="s">
        <v>2320</v>
      </c>
      <c r="E471" s="5" t="s">
        <v>59</v>
      </c>
      <c r="F471" s="5" t="s">
        <v>59</v>
      </c>
      <c r="G471" s="5" t="str">
        <f aca="false">INDEX(Risk_Matrix!$B$2:$D$4,MATCH(E471,Risk_Matrix!$A$2:$A$4,0),MATCH(F471,Risk_Matrix!$B$1:$D$1,0))</f>
        <v>Low</v>
      </c>
      <c r="H471" s="12" t="n">
        <v>46075</v>
      </c>
      <c r="I471" s="5" t="s">
        <v>2264</v>
      </c>
      <c r="J471" s="5" t="s">
        <v>2265</v>
      </c>
      <c r="K471" s="5" t="s">
        <v>2243</v>
      </c>
      <c r="L471" s="5" t="n">
        <f aca="false">IF(G471="High",3,IF(G471="Medium",2,1))</f>
        <v>1</v>
      </c>
    </row>
    <row r="472" customFormat="false" ht="15" hidden="false" customHeight="true" outlineLevel="0" collapsed="false">
      <c r="A472" s="5" t="s">
        <v>2748</v>
      </c>
      <c r="B472" s="5" t="s">
        <v>1155</v>
      </c>
      <c r="C472" s="5" t="s">
        <v>2248</v>
      </c>
      <c r="D472" s="5" t="s">
        <v>2249</v>
      </c>
      <c r="E472" s="5" t="s">
        <v>2225</v>
      </c>
      <c r="F472" s="5" t="s">
        <v>2225</v>
      </c>
      <c r="G472" s="5" t="str">
        <f aca="false">INDEX(Risk_Matrix!$B$2:$D$4,MATCH(E472,Risk_Matrix!$A$2:$A$4,0),MATCH(F472,Risk_Matrix!$B$1:$D$1,0))</f>
        <v>Medium</v>
      </c>
      <c r="H472" s="12" t="n">
        <v>46156</v>
      </c>
      <c r="I472" s="5" t="s">
        <v>2250</v>
      </c>
      <c r="J472" s="5" t="s">
        <v>2251</v>
      </c>
      <c r="K472" s="5" t="s">
        <v>2252</v>
      </c>
      <c r="L472" s="5" t="n">
        <f aca="false">IF(G472="High",3,IF(G472="Medium",2,1))</f>
        <v>2</v>
      </c>
    </row>
    <row r="473" customFormat="false" ht="15" hidden="false" customHeight="true" outlineLevel="0" collapsed="false">
      <c r="A473" s="5" t="s">
        <v>2749</v>
      </c>
      <c r="B473" s="5" t="s">
        <v>1155</v>
      </c>
      <c r="C473" s="5" t="s">
        <v>2254</v>
      </c>
      <c r="D473" s="5" t="s">
        <v>2255</v>
      </c>
      <c r="E473" s="5" t="s">
        <v>2225</v>
      </c>
      <c r="F473" s="5" t="s">
        <v>59</v>
      </c>
      <c r="G473" s="5" t="str">
        <f aca="false">INDEX(Risk_Matrix!$B$2:$D$4,MATCH(E473,Risk_Matrix!$A$2:$A$4,0),MATCH(F473,Risk_Matrix!$B$1:$D$1,0))</f>
        <v>Low</v>
      </c>
      <c r="H473" s="12" t="n">
        <v>46139</v>
      </c>
      <c r="I473" s="5" t="s">
        <v>2256</v>
      </c>
      <c r="J473" s="5" t="s">
        <v>2257</v>
      </c>
      <c r="K473" s="5" t="s">
        <v>2252</v>
      </c>
      <c r="L473" s="5" t="n">
        <f aca="false">IF(G473="High",3,IF(G473="Medium",2,1))</f>
        <v>1</v>
      </c>
    </row>
    <row r="474" customFormat="false" ht="15" hidden="false" customHeight="true" outlineLevel="0" collapsed="false">
      <c r="A474" s="5" t="s">
        <v>2750</v>
      </c>
      <c r="B474" s="5" t="s">
        <v>1155</v>
      </c>
      <c r="C474" s="5" t="s">
        <v>2259</v>
      </c>
      <c r="D474" s="5" t="s">
        <v>2260</v>
      </c>
      <c r="E474" s="5" t="s">
        <v>59</v>
      </c>
      <c r="F474" s="5" t="s">
        <v>2225</v>
      </c>
      <c r="G474" s="5" t="str">
        <f aca="false">INDEX(Risk_Matrix!$B$2:$D$4,MATCH(E474,Risk_Matrix!$A$2:$A$4,0),MATCH(F474,Risk_Matrix!$B$1:$D$1,0))</f>
        <v>Low</v>
      </c>
      <c r="H474" s="12" t="n">
        <v>46221</v>
      </c>
      <c r="I474" s="5" t="s">
        <v>2256</v>
      </c>
      <c r="J474" s="5" t="s">
        <v>2257</v>
      </c>
      <c r="K474" s="5" t="s">
        <v>2243</v>
      </c>
      <c r="L474" s="5" t="n">
        <f aca="false">IF(G474="High",3,IF(G474="Medium",2,1))</f>
        <v>1</v>
      </c>
    </row>
    <row r="475" customFormat="false" ht="15" hidden="false" customHeight="true" outlineLevel="0" collapsed="false">
      <c r="A475" s="5" t="s">
        <v>2751</v>
      </c>
      <c r="B475" s="5" t="s">
        <v>1155</v>
      </c>
      <c r="C475" s="5" t="s">
        <v>2262</v>
      </c>
      <c r="D475" s="5" t="s">
        <v>2287</v>
      </c>
      <c r="E475" s="5" t="s">
        <v>2225</v>
      </c>
      <c r="F475" s="5" t="s">
        <v>59</v>
      </c>
      <c r="G475" s="5" t="str">
        <f aca="false">INDEX(Risk_Matrix!$B$2:$D$4,MATCH(E475,Risk_Matrix!$A$2:$A$4,0),MATCH(F475,Risk_Matrix!$B$1:$D$1,0))</f>
        <v>Low</v>
      </c>
      <c r="H475" s="12" t="n">
        <v>46202</v>
      </c>
      <c r="I475" s="5" t="s">
        <v>2250</v>
      </c>
      <c r="J475" s="5" t="s">
        <v>2251</v>
      </c>
      <c r="K475" s="5" t="s">
        <v>2283</v>
      </c>
      <c r="L475" s="5" t="n">
        <f aca="false">IF(G475="High",3,IF(G475="Medium",2,1))</f>
        <v>1</v>
      </c>
    </row>
    <row r="476" customFormat="false" ht="15" hidden="false" customHeight="true" outlineLevel="0" collapsed="false">
      <c r="A476" s="5" t="s">
        <v>2752</v>
      </c>
      <c r="B476" s="5" t="s">
        <v>1158</v>
      </c>
      <c r="C476" s="5" t="s">
        <v>2239</v>
      </c>
      <c r="D476" s="5" t="s">
        <v>2295</v>
      </c>
      <c r="E476" s="5" t="s">
        <v>59</v>
      </c>
      <c r="F476" s="5" t="s">
        <v>2225</v>
      </c>
      <c r="G476" s="5" t="str">
        <f aca="false">INDEX(Risk_Matrix!$B$2:$D$4,MATCH(E476,Risk_Matrix!$A$2:$A$4,0),MATCH(F476,Risk_Matrix!$B$1:$D$1,0))</f>
        <v>Low</v>
      </c>
      <c r="H476" s="12" t="n">
        <v>46172</v>
      </c>
      <c r="I476" s="5" t="s">
        <v>2264</v>
      </c>
      <c r="J476" s="5" t="s">
        <v>2265</v>
      </c>
      <c r="K476" s="5" t="s">
        <v>2276</v>
      </c>
      <c r="L476" s="5" t="n">
        <f aca="false">IF(G476="High",3,IF(G476="Medium",2,1))</f>
        <v>1</v>
      </c>
    </row>
    <row r="477" customFormat="false" ht="15" hidden="false" customHeight="true" outlineLevel="0" collapsed="false">
      <c r="A477" s="5" t="s">
        <v>2753</v>
      </c>
      <c r="B477" s="5" t="s">
        <v>1158</v>
      </c>
      <c r="C477" s="5" t="s">
        <v>2245</v>
      </c>
      <c r="D477" s="5" t="s">
        <v>2246</v>
      </c>
      <c r="E477" s="5" t="s">
        <v>59</v>
      </c>
      <c r="F477" s="5" t="s">
        <v>2225</v>
      </c>
      <c r="G477" s="5" t="str">
        <f aca="false">INDEX(Risk_Matrix!$B$2:$D$4,MATCH(E477,Risk_Matrix!$A$2:$A$4,0),MATCH(F477,Risk_Matrix!$B$1:$D$1,0))</f>
        <v>Low</v>
      </c>
      <c r="H477" s="12" t="n">
        <v>46124</v>
      </c>
      <c r="I477" s="5" t="s">
        <v>2256</v>
      </c>
      <c r="J477" s="5" t="s">
        <v>2257</v>
      </c>
      <c r="K477" s="5" t="s">
        <v>2276</v>
      </c>
      <c r="L477" s="5" t="n">
        <f aca="false">IF(G477="High",3,IF(G477="Medium",2,1))</f>
        <v>1</v>
      </c>
    </row>
    <row r="478" customFormat="false" ht="15" hidden="false" customHeight="true" outlineLevel="0" collapsed="false">
      <c r="A478" s="5" t="s">
        <v>2754</v>
      </c>
      <c r="B478" s="5" t="s">
        <v>1158</v>
      </c>
      <c r="C478" s="5" t="s">
        <v>2248</v>
      </c>
      <c r="D478" s="5" t="s">
        <v>2271</v>
      </c>
      <c r="E478" s="5" t="s">
        <v>59</v>
      </c>
      <c r="F478" s="5" t="s">
        <v>2225</v>
      </c>
      <c r="G478" s="5" t="str">
        <f aca="false">INDEX(Risk_Matrix!$B$2:$D$4,MATCH(E478,Risk_Matrix!$A$2:$A$4,0),MATCH(F478,Risk_Matrix!$B$1:$D$1,0))</f>
        <v>Low</v>
      </c>
      <c r="H478" s="12" t="n">
        <v>46068</v>
      </c>
      <c r="I478" s="5" t="s">
        <v>2264</v>
      </c>
      <c r="J478" s="5" t="s">
        <v>2265</v>
      </c>
      <c r="K478" s="5" t="s">
        <v>2243</v>
      </c>
      <c r="L478" s="5" t="n">
        <f aca="false">IF(G478="High",3,IF(G478="Medium",2,1))</f>
        <v>1</v>
      </c>
    </row>
    <row r="479" customFormat="false" ht="15" hidden="false" customHeight="true" outlineLevel="0" collapsed="false">
      <c r="A479" s="5" t="s">
        <v>2755</v>
      </c>
      <c r="B479" s="5" t="s">
        <v>1158</v>
      </c>
      <c r="C479" s="5" t="s">
        <v>2254</v>
      </c>
      <c r="D479" s="5" t="s">
        <v>2308</v>
      </c>
      <c r="E479" s="5" t="s">
        <v>59</v>
      </c>
      <c r="F479" s="5" t="s">
        <v>59</v>
      </c>
      <c r="G479" s="5" t="str">
        <f aca="false">INDEX(Risk_Matrix!$B$2:$D$4,MATCH(E479,Risk_Matrix!$A$2:$A$4,0),MATCH(F479,Risk_Matrix!$B$1:$D$1,0))</f>
        <v>Low</v>
      </c>
      <c r="H479" s="12" t="n">
        <v>46238</v>
      </c>
      <c r="I479" s="5" t="s">
        <v>2256</v>
      </c>
      <c r="J479" s="5" t="s">
        <v>2257</v>
      </c>
      <c r="K479" s="5" t="s">
        <v>2283</v>
      </c>
      <c r="L479" s="5" t="n">
        <f aca="false">IF(G479="High",3,IF(G479="Medium",2,1))</f>
        <v>1</v>
      </c>
    </row>
    <row r="480" customFormat="false" ht="15" hidden="false" customHeight="true" outlineLevel="0" collapsed="false">
      <c r="A480" s="5" t="s">
        <v>2756</v>
      </c>
      <c r="B480" s="5" t="s">
        <v>1158</v>
      </c>
      <c r="C480" s="5" t="s">
        <v>2259</v>
      </c>
      <c r="D480" s="5" t="s">
        <v>2285</v>
      </c>
      <c r="E480" s="5" t="s">
        <v>54</v>
      </c>
      <c r="F480" s="5" t="s">
        <v>59</v>
      </c>
      <c r="G480" s="5" t="str">
        <f aca="false">INDEX(Risk_Matrix!$B$2:$D$4,MATCH(E480,Risk_Matrix!$A$2:$A$4,0),MATCH(F480,Risk_Matrix!$B$1:$D$1,0))</f>
        <v>Medium</v>
      </c>
      <c r="H480" s="12" t="n">
        <v>46221</v>
      </c>
      <c r="I480" s="5" t="s">
        <v>2250</v>
      </c>
      <c r="J480" s="5" t="s">
        <v>2251</v>
      </c>
      <c r="K480" s="5" t="s">
        <v>2283</v>
      </c>
      <c r="L480" s="5" t="n">
        <f aca="false">IF(G480="High",3,IF(G480="Medium",2,1))</f>
        <v>2</v>
      </c>
    </row>
    <row r="481" customFormat="false" ht="15" hidden="false" customHeight="true" outlineLevel="0" collapsed="false">
      <c r="A481" s="5" t="s">
        <v>2757</v>
      </c>
      <c r="B481" s="5" t="s">
        <v>1158</v>
      </c>
      <c r="C481" s="5" t="s">
        <v>2262</v>
      </c>
      <c r="D481" s="5" t="s">
        <v>2287</v>
      </c>
      <c r="E481" s="5" t="s">
        <v>59</v>
      </c>
      <c r="F481" s="5" t="s">
        <v>54</v>
      </c>
      <c r="G481" s="5" t="str">
        <f aca="false">INDEX(Risk_Matrix!$B$2:$D$4,MATCH(E481,Risk_Matrix!$A$2:$A$4,0),MATCH(F481,Risk_Matrix!$B$1:$D$1,0))</f>
        <v>Medium</v>
      </c>
      <c r="H481" s="12" t="n">
        <v>46115</v>
      </c>
      <c r="I481" s="5" t="s">
        <v>2264</v>
      </c>
      <c r="J481" s="5" t="s">
        <v>2265</v>
      </c>
      <c r="K481" s="5" t="s">
        <v>2276</v>
      </c>
      <c r="L481" s="5" t="n">
        <f aca="false">IF(G481="High",3,IF(G481="Medium",2,1))</f>
        <v>2</v>
      </c>
    </row>
    <row r="482" customFormat="false" ht="15" hidden="false" customHeight="true" outlineLevel="0" collapsed="false">
      <c r="A482" s="5" t="s">
        <v>2758</v>
      </c>
      <c r="B482" s="5" t="s">
        <v>1160</v>
      </c>
      <c r="C482" s="5" t="s">
        <v>2239</v>
      </c>
      <c r="D482" s="5" t="s">
        <v>2278</v>
      </c>
      <c r="E482" s="5" t="s">
        <v>59</v>
      </c>
      <c r="F482" s="5" t="s">
        <v>59</v>
      </c>
      <c r="G482" s="5" t="str">
        <f aca="false">INDEX(Risk_Matrix!$B$2:$D$4,MATCH(E482,Risk_Matrix!$A$2:$A$4,0),MATCH(F482,Risk_Matrix!$B$1:$D$1,0))</f>
        <v>Low</v>
      </c>
      <c r="H482" s="12" t="n">
        <v>46073</v>
      </c>
      <c r="I482" s="5" t="s">
        <v>2256</v>
      </c>
      <c r="J482" s="5" t="s">
        <v>2257</v>
      </c>
      <c r="K482" s="5" t="s">
        <v>2276</v>
      </c>
      <c r="L482" s="5" t="n">
        <f aca="false">IF(G482="High",3,IF(G482="Medium",2,1))</f>
        <v>1</v>
      </c>
    </row>
    <row r="483" customFormat="false" ht="15" hidden="false" customHeight="true" outlineLevel="0" collapsed="false">
      <c r="A483" s="5" t="s">
        <v>2759</v>
      </c>
      <c r="B483" s="5" t="s">
        <v>1160</v>
      </c>
      <c r="C483" s="5" t="s">
        <v>2245</v>
      </c>
      <c r="D483" s="5" t="s">
        <v>2269</v>
      </c>
      <c r="E483" s="5" t="s">
        <v>2225</v>
      </c>
      <c r="F483" s="5" t="s">
        <v>54</v>
      </c>
      <c r="G483" s="5" t="str">
        <f aca="false">INDEX(Risk_Matrix!$B$2:$D$4,MATCH(E483,Risk_Matrix!$A$2:$A$4,0),MATCH(F483,Risk_Matrix!$B$1:$D$1,0))</f>
        <v>High</v>
      </c>
      <c r="H483" s="12" t="n">
        <v>46121</v>
      </c>
      <c r="I483" s="5" t="s">
        <v>2256</v>
      </c>
      <c r="J483" s="5" t="s">
        <v>2257</v>
      </c>
      <c r="K483" s="5" t="s">
        <v>2252</v>
      </c>
      <c r="L483" s="5" t="n">
        <f aca="false">IF(G483="High",3,IF(G483="Medium",2,1))</f>
        <v>3</v>
      </c>
    </row>
    <row r="484" customFormat="false" ht="15" hidden="false" customHeight="true" outlineLevel="0" collapsed="false">
      <c r="A484" s="5" t="s">
        <v>2760</v>
      </c>
      <c r="B484" s="5" t="s">
        <v>1160</v>
      </c>
      <c r="C484" s="5" t="s">
        <v>2248</v>
      </c>
      <c r="D484" s="5" t="s">
        <v>2322</v>
      </c>
      <c r="E484" s="5" t="s">
        <v>59</v>
      </c>
      <c r="F484" s="5" t="s">
        <v>59</v>
      </c>
      <c r="G484" s="5" t="str">
        <f aca="false">INDEX(Risk_Matrix!$B$2:$D$4,MATCH(E484,Risk_Matrix!$A$2:$A$4,0),MATCH(F484,Risk_Matrix!$B$1:$D$1,0))</f>
        <v>Low</v>
      </c>
      <c r="H484" s="12" t="n">
        <v>46190</v>
      </c>
      <c r="I484" s="5" t="s">
        <v>2256</v>
      </c>
      <c r="J484" s="5" t="s">
        <v>2257</v>
      </c>
      <c r="K484" s="5" t="s">
        <v>2252</v>
      </c>
      <c r="L484" s="5" t="n">
        <f aca="false">IF(G484="High",3,IF(G484="Medium",2,1))</f>
        <v>1</v>
      </c>
    </row>
    <row r="485" customFormat="false" ht="15" hidden="false" customHeight="true" outlineLevel="0" collapsed="false">
      <c r="A485" s="5" t="s">
        <v>2761</v>
      </c>
      <c r="B485" s="5" t="s">
        <v>1160</v>
      </c>
      <c r="C485" s="5" t="s">
        <v>2254</v>
      </c>
      <c r="D485" s="5" t="s">
        <v>2299</v>
      </c>
      <c r="E485" s="5" t="s">
        <v>59</v>
      </c>
      <c r="F485" s="5" t="s">
        <v>59</v>
      </c>
      <c r="G485" s="5" t="str">
        <f aca="false">INDEX(Risk_Matrix!$B$2:$D$4,MATCH(E485,Risk_Matrix!$A$2:$A$4,0),MATCH(F485,Risk_Matrix!$B$1:$D$1,0))</f>
        <v>Low</v>
      </c>
      <c r="H485" s="12" t="n">
        <v>46114</v>
      </c>
      <c r="I485" s="5" t="s">
        <v>2250</v>
      </c>
      <c r="J485" s="5" t="s">
        <v>2251</v>
      </c>
      <c r="K485" s="5" t="s">
        <v>2276</v>
      </c>
      <c r="L485" s="5" t="n">
        <f aca="false">IF(G485="High",3,IF(G485="Medium",2,1))</f>
        <v>1</v>
      </c>
    </row>
    <row r="486" customFormat="false" ht="15" hidden="false" customHeight="true" outlineLevel="0" collapsed="false">
      <c r="A486" s="5" t="s">
        <v>2762</v>
      </c>
      <c r="B486" s="5" t="s">
        <v>1160</v>
      </c>
      <c r="C486" s="5" t="s">
        <v>2259</v>
      </c>
      <c r="D486" s="5" t="s">
        <v>2285</v>
      </c>
      <c r="E486" s="5" t="s">
        <v>59</v>
      </c>
      <c r="F486" s="5" t="s">
        <v>59</v>
      </c>
      <c r="G486" s="5" t="str">
        <f aca="false">INDEX(Risk_Matrix!$B$2:$D$4,MATCH(E486,Risk_Matrix!$A$2:$A$4,0),MATCH(F486,Risk_Matrix!$B$1:$D$1,0))</f>
        <v>Low</v>
      </c>
      <c r="H486" s="12" t="n">
        <v>46232</v>
      </c>
      <c r="I486" s="5" t="s">
        <v>2256</v>
      </c>
      <c r="J486" s="5" t="s">
        <v>2257</v>
      </c>
      <c r="K486" s="5" t="s">
        <v>2283</v>
      </c>
      <c r="L486" s="5" t="n">
        <f aca="false">IF(G486="High",3,IF(G486="Medium",2,1))</f>
        <v>1</v>
      </c>
    </row>
    <row r="487" customFormat="false" ht="15" hidden="false" customHeight="true" outlineLevel="0" collapsed="false">
      <c r="A487" s="5" t="s">
        <v>2763</v>
      </c>
      <c r="B487" s="5" t="s">
        <v>1160</v>
      </c>
      <c r="C487" s="5" t="s">
        <v>2262</v>
      </c>
      <c r="D487" s="5" t="s">
        <v>2287</v>
      </c>
      <c r="E487" s="5" t="s">
        <v>59</v>
      </c>
      <c r="F487" s="5" t="s">
        <v>59</v>
      </c>
      <c r="G487" s="5" t="str">
        <f aca="false">INDEX(Risk_Matrix!$B$2:$D$4,MATCH(E487,Risk_Matrix!$A$2:$A$4,0),MATCH(F487,Risk_Matrix!$B$1:$D$1,0))</f>
        <v>Low</v>
      </c>
      <c r="H487" s="12" t="n">
        <v>46160</v>
      </c>
      <c r="I487" s="5" t="s">
        <v>2250</v>
      </c>
      <c r="J487" s="5" t="s">
        <v>2251</v>
      </c>
      <c r="K487" s="5" t="s">
        <v>2243</v>
      </c>
      <c r="L487" s="5" t="n">
        <f aca="false">IF(G487="High",3,IF(G487="Medium",2,1))</f>
        <v>1</v>
      </c>
    </row>
    <row r="488" customFormat="false" ht="15" hidden="false" customHeight="true" outlineLevel="0" collapsed="false">
      <c r="A488" s="5" t="s">
        <v>2764</v>
      </c>
      <c r="B488" s="5" t="s">
        <v>1162</v>
      </c>
      <c r="C488" s="5" t="s">
        <v>2239</v>
      </c>
      <c r="D488" s="5" t="s">
        <v>2295</v>
      </c>
      <c r="E488" s="5" t="s">
        <v>54</v>
      </c>
      <c r="F488" s="5" t="s">
        <v>59</v>
      </c>
      <c r="G488" s="5" t="str">
        <f aca="false">INDEX(Risk_Matrix!$B$2:$D$4,MATCH(E488,Risk_Matrix!$A$2:$A$4,0),MATCH(F488,Risk_Matrix!$B$1:$D$1,0))</f>
        <v>Medium</v>
      </c>
      <c r="H488" s="12" t="n">
        <v>46152</v>
      </c>
      <c r="I488" s="5" t="s">
        <v>2256</v>
      </c>
      <c r="J488" s="5" t="s">
        <v>2257</v>
      </c>
      <c r="K488" s="5" t="s">
        <v>2276</v>
      </c>
      <c r="L488" s="5" t="n">
        <f aca="false">IF(G488="High",3,IF(G488="Medium",2,1))</f>
        <v>2</v>
      </c>
    </row>
    <row r="489" customFormat="false" ht="15" hidden="false" customHeight="true" outlineLevel="0" collapsed="false">
      <c r="A489" s="5" t="s">
        <v>2765</v>
      </c>
      <c r="B489" s="5" t="s">
        <v>1162</v>
      </c>
      <c r="C489" s="5" t="s">
        <v>2245</v>
      </c>
      <c r="D489" s="5" t="s">
        <v>2280</v>
      </c>
      <c r="E489" s="5" t="s">
        <v>59</v>
      </c>
      <c r="F489" s="5" t="s">
        <v>2225</v>
      </c>
      <c r="G489" s="5" t="str">
        <f aca="false">INDEX(Risk_Matrix!$B$2:$D$4,MATCH(E489,Risk_Matrix!$A$2:$A$4,0),MATCH(F489,Risk_Matrix!$B$1:$D$1,0))</f>
        <v>Low</v>
      </c>
      <c r="H489" s="12" t="n">
        <v>46121</v>
      </c>
      <c r="I489" s="5" t="s">
        <v>2250</v>
      </c>
      <c r="J489" s="5" t="s">
        <v>2251</v>
      </c>
      <c r="K489" s="5" t="s">
        <v>2283</v>
      </c>
      <c r="L489" s="5" t="n">
        <f aca="false">IF(G489="High",3,IF(G489="Medium",2,1))</f>
        <v>1</v>
      </c>
    </row>
    <row r="490" customFormat="false" ht="15" hidden="false" customHeight="true" outlineLevel="0" collapsed="false">
      <c r="A490" s="5" t="s">
        <v>2766</v>
      </c>
      <c r="B490" s="5" t="s">
        <v>1162</v>
      </c>
      <c r="C490" s="5" t="s">
        <v>2248</v>
      </c>
      <c r="D490" s="5" t="s">
        <v>2322</v>
      </c>
      <c r="E490" s="5" t="s">
        <v>2225</v>
      </c>
      <c r="F490" s="5" t="s">
        <v>59</v>
      </c>
      <c r="G490" s="5" t="str">
        <f aca="false">INDEX(Risk_Matrix!$B$2:$D$4,MATCH(E490,Risk_Matrix!$A$2:$A$4,0),MATCH(F490,Risk_Matrix!$B$1:$D$1,0))</f>
        <v>Low</v>
      </c>
      <c r="H490" s="12" t="n">
        <v>46202</v>
      </c>
      <c r="I490" s="5" t="s">
        <v>2256</v>
      </c>
      <c r="J490" s="5" t="s">
        <v>2257</v>
      </c>
      <c r="K490" s="5" t="s">
        <v>2243</v>
      </c>
      <c r="L490" s="5" t="n">
        <f aca="false">IF(G490="High",3,IF(G490="Medium",2,1))</f>
        <v>1</v>
      </c>
    </row>
    <row r="491" customFormat="false" ht="15" hidden="false" customHeight="true" outlineLevel="0" collapsed="false">
      <c r="A491" s="5" t="s">
        <v>2767</v>
      </c>
      <c r="B491" s="5" t="s">
        <v>1162</v>
      </c>
      <c r="C491" s="5" t="s">
        <v>2254</v>
      </c>
      <c r="D491" s="5" t="s">
        <v>2299</v>
      </c>
      <c r="E491" s="5" t="s">
        <v>59</v>
      </c>
      <c r="F491" s="5" t="s">
        <v>54</v>
      </c>
      <c r="G491" s="5" t="str">
        <f aca="false">INDEX(Risk_Matrix!$B$2:$D$4,MATCH(E491,Risk_Matrix!$A$2:$A$4,0),MATCH(F491,Risk_Matrix!$B$1:$D$1,0))</f>
        <v>Medium</v>
      </c>
      <c r="H491" s="12" t="n">
        <v>46176</v>
      </c>
      <c r="I491" s="5" t="s">
        <v>2250</v>
      </c>
      <c r="J491" s="5" t="s">
        <v>2251</v>
      </c>
      <c r="K491" s="5" t="s">
        <v>2266</v>
      </c>
      <c r="L491" s="5" t="n">
        <f aca="false">IF(G491="High",3,IF(G491="Medium",2,1))</f>
        <v>2</v>
      </c>
    </row>
    <row r="492" customFormat="false" ht="15" hidden="false" customHeight="true" outlineLevel="0" collapsed="false">
      <c r="A492" s="5" t="s">
        <v>2768</v>
      </c>
      <c r="B492" s="5" t="s">
        <v>1162</v>
      </c>
      <c r="C492" s="5" t="s">
        <v>2259</v>
      </c>
      <c r="D492" s="5" t="s">
        <v>2260</v>
      </c>
      <c r="E492" s="5" t="s">
        <v>59</v>
      </c>
      <c r="F492" s="5" t="s">
        <v>59</v>
      </c>
      <c r="G492" s="5" t="str">
        <f aca="false">INDEX(Risk_Matrix!$B$2:$D$4,MATCH(E492,Risk_Matrix!$A$2:$A$4,0),MATCH(F492,Risk_Matrix!$B$1:$D$1,0))</f>
        <v>Low</v>
      </c>
      <c r="H492" s="12" t="n">
        <v>46214</v>
      </c>
      <c r="I492" s="5" t="s">
        <v>2256</v>
      </c>
      <c r="J492" s="5" t="s">
        <v>2257</v>
      </c>
      <c r="K492" s="5" t="s">
        <v>2243</v>
      </c>
      <c r="L492" s="5" t="n">
        <f aca="false">IF(G492="High",3,IF(G492="Medium",2,1))</f>
        <v>1</v>
      </c>
    </row>
    <row r="493" customFormat="false" ht="15" hidden="false" customHeight="true" outlineLevel="0" collapsed="false">
      <c r="A493" s="5" t="s">
        <v>2769</v>
      </c>
      <c r="B493" s="5" t="s">
        <v>1162</v>
      </c>
      <c r="C493" s="5" t="s">
        <v>2262</v>
      </c>
      <c r="D493" s="5" t="s">
        <v>2263</v>
      </c>
      <c r="E493" s="5" t="s">
        <v>59</v>
      </c>
      <c r="F493" s="5" t="s">
        <v>2225</v>
      </c>
      <c r="G493" s="5" t="str">
        <f aca="false">INDEX(Risk_Matrix!$B$2:$D$4,MATCH(E493,Risk_Matrix!$A$2:$A$4,0),MATCH(F493,Risk_Matrix!$B$1:$D$1,0))</f>
        <v>Low</v>
      </c>
      <c r="H493" s="12" t="n">
        <v>46211</v>
      </c>
      <c r="I493" s="5" t="s">
        <v>2264</v>
      </c>
      <c r="J493" s="5" t="s">
        <v>2265</v>
      </c>
      <c r="K493" s="5" t="s">
        <v>2276</v>
      </c>
      <c r="L493" s="5" t="n">
        <f aca="false">IF(G493="High",3,IF(G493="Medium",2,1))</f>
        <v>1</v>
      </c>
    </row>
    <row r="494" customFormat="false" ht="15" hidden="false" customHeight="true" outlineLevel="0" collapsed="false">
      <c r="A494" s="5" t="s">
        <v>2770</v>
      </c>
      <c r="B494" s="5" t="s">
        <v>1164</v>
      </c>
      <c r="C494" s="5" t="s">
        <v>2239</v>
      </c>
      <c r="D494" s="5" t="s">
        <v>2295</v>
      </c>
      <c r="E494" s="5" t="s">
        <v>2225</v>
      </c>
      <c r="F494" s="5" t="s">
        <v>2225</v>
      </c>
      <c r="G494" s="5" t="str">
        <f aca="false">INDEX(Risk_Matrix!$B$2:$D$4,MATCH(E494,Risk_Matrix!$A$2:$A$4,0),MATCH(F494,Risk_Matrix!$B$1:$D$1,0))</f>
        <v>Medium</v>
      </c>
      <c r="H494" s="12" t="n">
        <v>46187</v>
      </c>
      <c r="I494" s="5" t="s">
        <v>2256</v>
      </c>
      <c r="J494" s="5" t="s">
        <v>2257</v>
      </c>
      <c r="K494" s="5" t="s">
        <v>2243</v>
      </c>
      <c r="L494" s="5" t="n">
        <f aca="false">IF(G494="High",3,IF(G494="Medium",2,1))</f>
        <v>2</v>
      </c>
    </row>
    <row r="495" customFormat="false" ht="15" hidden="false" customHeight="true" outlineLevel="0" collapsed="false">
      <c r="A495" s="5" t="s">
        <v>2771</v>
      </c>
      <c r="B495" s="5" t="s">
        <v>1164</v>
      </c>
      <c r="C495" s="5" t="s">
        <v>2245</v>
      </c>
      <c r="D495" s="5" t="s">
        <v>2269</v>
      </c>
      <c r="E495" s="5" t="s">
        <v>2225</v>
      </c>
      <c r="F495" s="5" t="s">
        <v>54</v>
      </c>
      <c r="G495" s="5" t="str">
        <f aca="false">INDEX(Risk_Matrix!$B$2:$D$4,MATCH(E495,Risk_Matrix!$A$2:$A$4,0),MATCH(F495,Risk_Matrix!$B$1:$D$1,0))</f>
        <v>High</v>
      </c>
      <c r="H495" s="12" t="n">
        <v>46155</v>
      </c>
      <c r="I495" s="5" t="s">
        <v>2250</v>
      </c>
      <c r="J495" s="5" t="s">
        <v>2251</v>
      </c>
      <c r="K495" s="5" t="s">
        <v>2276</v>
      </c>
      <c r="L495" s="5" t="n">
        <f aca="false">IF(G495="High",3,IF(G495="Medium",2,1))</f>
        <v>3</v>
      </c>
    </row>
    <row r="496" customFormat="false" ht="15" hidden="false" customHeight="true" outlineLevel="0" collapsed="false">
      <c r="A496" s="5" t="s">
        <v>2772</v>
      </c>
      <c r="B496" s="5" t="s">
        <v>1164</v>
      </c>
      <c r="C496" s="5" t="s">
        <v>2248</v>
      </c>
      <c r="D496" s="5" t="s">
        <v>2322</v>
      </c>
      <c r="E496" s="5" t="s">
        <v>59</v>
      </c>
      <c r="F496" s="5" t="s">
        <v>54</v>
      </c>
      <c r="G496" s="5" t="str">
        <f aca="false">INDEX(Risk_Matrix!$B$2:$D$4,MATCH(E496,Risk_Matrix!$A$2:$A$4,0),MATCH(F496,Risk_Matrix!$B$1:$D$1,0))</f>
        <v>Medium</v>
      </c>
      <c r="H496" s="12" t="n">
        <v>46227</v>
      </c>
      <c r="I496" s="5" t="s">
        <v>2256</v>
      </c>
      <c r="J496" s="5" t="s">
        <v>2257</v>
      </c>
      <c r="K496" s="5" t="s">
        <v>2283</v>
      </c>
      <c r="L496" s="5" t="n">
        <f aca="false">IF(G496="High",3,IF(G496="Medium",2,1))</f>
        <v>2</v>
      </c>
    </row>
    <row r="497" customFormat="false" ht="15" hidden="false" customHeight="true" outlineLevel="0" collapsed="false">
      <c r="A497" s="5" t="s">
        <v>2773</v>
      </c>
      <c r="B497" s="5" t="s">
        <v>1164</v>
      </c>
      <c r="C497" s="5" t="s">
        <v>2254</v>
      </c>
      <c r="D497" s="5" t="s">
        <v>2255</v>
      </c>
      <c r="E497" s="5" t="s">
        <v>59</v>
      </c>
      <c r="F497" s="5" t="s">
        <v>59</v>
      </c>
      <c r="G497" s="5" t="str">
        <f aca="false">INDEX(Risk_Matrix!$B$2:$D$4,MATCH(E497,Risk_Matrix!$A$2:$A$4,0),MATCH(F497,Risk_Matrix!$B$1:$D$1,0))</f>
        <v>Low</v>
      </c>
      <c r="H497" s="12" t="n">
        <v>46132</v>
      </c>
      <c r="I497" s="5" t="s">
        <v>2256</v>
      </c>
      <c r="J497" s="5" t="s">
        <v>2257</v>
      </c>
      <c r="K497" s="5" t="s">
        <v>2266</v>
      </c>
      <c r="L497" s="5" t="n">
        <f aca="false">IF(G497="High",3,IF(G497="Medium",2,1))</f>
        <v>1</v>
      </c>
    </row>
    <row r="498" customFormat="false" ht="15" hidden="false" customHeight="true" outlineLevel="0" collapsed="false">
      <c r="A498" s="5" t="s">
        <v>2774</v>
      </c>
      <c r="B498" s="5" t="s">
        <v>1164</v>
      </c>
      <c r="C498" s="5" t="s">
        <v>2259</v>
      </c>
      <c r="D498" s="5" t="s">
        <v>2285</v>
      </c>
      <c r="E498" s="5" t="s">
        <v>59</v>
      </c>
      <c r="F498" s="5" t="s">
        <v>59</v>
      </c>
      <c r="G498" s="5" t="str">
        <f aca="false">INDEX(Risk_Matrix!$B$2:$D$4,MATCH(E498,Risk_Matrix!$A$2:$A$4,0),MATCH(F498,Risk_Matrix!$B$1:$D$1,0))</f>
        <v>Low</v>
      </c>
      <c r="H498" s="12" t="n">
        <v>46090</v>
      </c>
      <c r="I498" s="5" t="s">
        <v>2256</v>
      </c>
      <c r="J498" s="5" t="s">
        <v>2257</v>
      </c>
      <c r="K498" s="5" t="s">
        <v>2276</v>
      </c>
      <c r="L498" s="5" t="n">
        <f aca="false">IF(G498="High",3,IF(G498="Medium",2,1))</f>
        <v>1</v>
      </c>
    </row>
    <row r="499" customFormat="false" ht="15" hidden="false" customHeight="true" outlineLevel="0" collapsed="false">
      <c r="A499" s="5" t="s">
        <v>2775</v>
      </c>
      <c r="B499" s="5" t="s">
        <v>1164</v>
      </c>
      <c r="C499" s="5" t="s">
        <v>2262</v>
      </c>
      <c r="D499" s="5" t="s">
        <v>2287</v>
      </c>
      <c r="E499" s="5" t="s">
        <v>59</v>
      </c>
      <c r="F499" s="5" t="s">
        <v>2225</v>
      </c>
      <c r="G499" s="5" t="str">
        <f aca="false">INDEX(Risk_Matrix!$B$2:$D$4,MATCH(E499,Risk_Matrix!$A$2:$A$4,0),MATCH(F499,Risk_Matrix!$B$1:$D$1,0))</f>
        <v>Low</v>
      </c>
      <c r="H499" s="12" t="n">
        <v>46198</v>
      </c>
      <c r="I499" s="5" t="s">
        <v>2250</v>
      </c>
      <c r="J499" s="5" t="s">
        <v>2251</v>
      </c>
      <c r="K499" s="5" t="s">
        <v>2276</v>
      </c>
      <c r="L499" s="5" t="n">
        <f aca="false">IF(G499="High",3,IF(G499="Medium",2,1))</f>
        <v>1</v>
      </c>
    </row>
    <row r="500" customFormat="false" ht="15" hidden="false" customHeight="true" outlineLevel="0" collapsed="false">
      <c r="A500" s="5" t="s">
        <v>2776</v>
      </c>
      <c r="B500" s="5" t="s">
        <v>1166</v>
      </c>
      <c r="C500" s="5" t="s">
        <v>2239</v>
      </c>
      <c r="D500" s="5" t="s">
        <v>2295</v>
      </c>
      <c r="E500" s="5" t="s">
        <v>59</v>
      </c>
      <c r="F500" s="5" t="s">
        <v>59</v>
      </c>
      <c r="G500" s="5" t="str">
        <f aca="false">INDEX(Risk_Matrix!$B$2:$D$4,MATCH(E500,Risk_Matrix!$A$2:$A$4,0),MATCH(F500,Risk_Matrix!$B$1:$D$1,0))</f>
        <v>Low</v>
      </c>
      <c r="H500" s="12" t="n">
        <v>46072</v>
      </c>
      <c r="I500" s="5" t="s">
        <v>2264</v>
      </c>
      <c r="J500" s="5" t="s">
        <v>2265</v>
      </c>
      <c r="K500" s="5" t="s">
        <v>2283</v>
      </c>
      <c r="L500" s="5" t="n">
        <f aca="false">IF(G500="High",3,IF(G500="Medium",2,1))</f>
        <v>1</v>
      </c>
    </row>
    <row r="501" customFormat="false" ht="15" hidden="false" customHeight="true" outlineLevel="0" collapsed="false">
      <c r="A501" s="5" t="s">
        <v>2777</v>
      </c>
      <c r="B501" s="5" t="s">
        <v>1166</v>
      </c>
      <c r="C501" s="5" t="s">
        <v>2245</v>
      </c>
      <c r="D501" s="5" t="s">
        <v>2269</v>
      </c>
      <c r="E501" s="5" t="s">
        <v>59</v>
      </c>
      <c r="F501" s="5" t="s">
        <v>2225</v>
      </c>
      <c r="G501" s="5" t="str">
        <f aca="false">INDEX(Risk_Matrix!$B$2:$D$4,MATCH(E501,Risk_Matrix!$A$2:$A$4,0),MATCH(F501,Risk_Matrix!$B$1:$D$1,0))</f>
        <v>Low</v>
      </c>
      <c r="H501" s="12" t="n">
        <v>46061</v>
      </c>
      <c r="I501" s="5" t="s">
        <v>2264</v>
      </c>
      <c r="J501" s="5" t="s">
        <v>2265</v>
      </c>
      <c r="K501" s="5" t="s">
        <v>2266</v>
      </c>
      <c r="L501" s="5" t="n">
        <f aca="false">IF(G501="High",3,IF(G501="Medium",2,1))</f>
        <v>1</v>
      </c>
    </row>
    <row r="502" customFormat="false" ht="15" hidden="false" customHeight="true" outlineLevel="0" collapsed="false">
      <c r="A502" s="5" t="s">
        <v>2778</v>
      </c>
      <c r="B502" s="5" t="s">
        <v>1166</v>
      </c>
      <c r="C502" s="5" t="s">
        <v>2248</v>
      </c>
      <c r="D502" s="5" t="s">
        <v>2322</v>
      </c>
      <c r="E502" s="5" t="s">
        <v>59</v>
      </c>
      <c r="F502" s="5" t="s">
        <v>59</v>
      </c>
      <c r="G502" s="5" t="str">
        <f aca="false">INDEX(Risk_Matrix!$B$2:$D$4,MATCH(E502,Risk_Matrix!$A$2:$A$4,0),MATCH(F502,Risk_Matrix!$B$1:$D$1,0))</f>
        <v>Low</v>
      </c>
      <c r="H502" s="12" t="n">
        <v>46177</v>
      </c>
      <c r="I502" s="5" t="s">
        <v>2250</v>
      </c>
      <c r="J502" s="5" t="s">
        <v>2251</v>
      </c>
      <c r="K502" s="5" t="s">
        <v>2266</v>
      </c>
      <c r="L502" s="5" t="n">
        <f aca="false">IF(G502="High",3,IF(G502="Medium",2,1))</f>
        <v>1</v>
      </c>
    </row>
    <row r="503" customFormat="false" ht="15" hidden="false" customHeight="true" outlineLevel="0" collapsed="false">
      <c r="A503" s="5" t="s">
        <v>2779</v>
      </c>
      <c r="B503" s="5" t="s">
        <v>1166</v>
      </c>
      <c r="C503" s="5" t="s">
        <v>2254</v>
      </c>
      <c r="D503" s="5" t="s">
        <v>2299</v>
      </c>
      <c r="E503" s="5" t="s">
        <v>2225</v>
      </c>
      <c r="F503" s="5" t="s">
        <v>2225</v>
      </c>
      <c r="G503" s="5" t="str">
        <f aca="false">INDEX(Risk_Matrix!$B$2:$D$4,MATCH(E503,Risk_Matrix!$A$2:$A$4,0),MATCH(F503,Risk_Matrix!$B$1:$D$1,0))</f>
        <v>Medium</v>
      </c>
      <c r="H503" s="12" t="n">
        <v>46082</v>
      </c>
      <c r="I503" s="5" t="s">
        <v>2250</v>
      </c>
      <c r="J503" s="5" t="s">
        <v>2251</v>
      </c>
      <c r="K503" s="5" t="s">
        <v>2276</v>
      </c>
      <c r="L503" s="5" t="n">
        <f aca="false">IF(G503="High",3,IF(G503="Medium",2,1))</f>
        <v>2</v>
      </c>
    </row>
    <row r="504" customFormat="false" ht="15" hidden="false" customHeight="true" outlineLevel="0" collapsed="false">
      <c r="A504" s="5" t="s">
        <v>2780</v>
      </c>
      <c r="B504" s="5" t="s">
        <v>1166</v>
      </c>
      <c r="C504" s="5" t="s">
        <v>2259</v>
      </c>
      <c r="D504" s="5" t="s">
        <v>2285</v>
      </c>
      <c r="E504" s="5" t="s">
        <v>2225</v>
      </c>
      <c r="F504" s="5" t="s">
        <v>59</v>
      </c>
      <c r="G504" s="5" t="str">
        <f aca="false">INDEX(Risk_Matrix!$B$2:$D$4,MATCH(E504,Risk_Matrix!$A$2:$A$4,0),MATCH(F504,Risk_Matrix!$B$1:$D$1,0))</f>
        <v>Low</v>
      </c>
      <c r="H504" s="12" t="n">
        <v>46096</v>
      </c>
      <c r="I504" s="5" t="s">
        <v>2250</v>
      </c>
      <c r="J504" s="5" t="s">
        <v>2251</v>
      </c>
      <c r="K504" s="5" t="s">
        <v>2266</v>
      </c>
      <c r="L504" s="5" t="n">
        <f aca="false">IF(G504="High",3,IF(G504="Medium",2,1))</f>
        <v>1</v>
      </c>
    </row>
    <row r="505" customFormat="false" ht="15" hidden="false" customHeight="true" outlineLevel="0" collapsed="false">
      <c r="A505" s="5" t="s">
        <v>2781</v>
      </c>
      <c r="B505" s="5" t="s">
        <v>1166</v>
      </c>
      <c r="C505" s="5" t="s">
        <v>2262</v>
      </c>
      <c r="D505" s="5" t="s">
        <v>2287</v>
      </c>
      <c r="E505" s="5" t="s">
        <v>59</v>
      </c>
      <c r="F505" s="5" t="s">
        <v>2225</v>
      </c>
      <c r="G505" s="5" t="str">
        <f aca="false">INDEX(Risk_Matrix!$B$2:$D$4,MATCH(E505,Risk_Matrix!$A$2:$A$4,0),MATCH(F505,Risk_Matrix!$B$1:$D$1,0))</f>
        <v>Low</v>
      </c>
      <c r="H505" s="12" t="n">
        <v>46146</v>
      </c>
      <c r="I505" s="5" t="s">
        <v>2256</v>
      </c>
      <c r="J505" s="5" t="s">
        <v>2257</v>
      </c>
      <c r="K505" s="5" t="s">
        <v>2283</v>
      </c>
      <c r="L505" s="5" t="n">
        <f aca="false">IF(G505="High",3,IF(G505="Medium",2,1))</f>
        <v>1</v>
      </c>
    </row>
    <row r="506" customFormat="false" ht="15" hidden="false" customHeight="true" outlineLevel="0" collapsed="false">
      <c r="A506" s="5" t="s">
        <v>2782</v>
      </c>
      <c r="B506" s="5" t="s">
        <v>1167</v>
      </c>
      <c r="C506" s="5" t="s">
        <v>2239</v>
      </c>
      <c r="D506" s="5" t="s">
        <v>2303</v>
      </c>
      <c r="E506" s="5" t="s">
        <v>59</v>
      </c>
      <c r="F506" s="5" t="s">
        <v>2225</v>
      </c>
      <c r="G506" s="5" t="str">
        <f aca="false">INDEX(Risk_Matrix!$B$2:$D$4,MATCH(E506,Risk_Matrix!$A$2:$A$4,0),MATCH(F506,Risk_Matrix!$B$1:$D$1,0))</f>
        <v>Low</v>
      </c>
      <c r="H506" s="12" t="n">
        <v>46225</v>
      </c>
      <c r="I506" s="5" t="s">
        <v>2256</v>
      </c>
      <c r="J506" s="5" t="s">
        <v>2257</v>
      </c>
      <c r="K506" s="5" t="s">
        <v>2266</v>
      </c>
      <c r="L506" s="5" t="n">
        <f aca="false">IF(G506="High",3,IF(G506="Medium",2,1))</f>
        <v>1</v>
      </c>
    </row>
    <row r="507" customFormat="false" ht="15" hidden="false" customHeight="true" outlineLevel="0" collapsed="false">
      <c r="A507" s="5" t="s">
        <v>2783</v>
      </c>
      <c r="B507" s="5" t="s">
        <v>1167</v>
      </c>
      <c r="C507" s="5" t="s">
        <v>2245</v>
      </c>
      <c r="D507" s="5" t="s">
        <v>2246</v>
      </c>
      <c r="E507" s="5" t="s">
        <v>2225</v>
      </c>
      <c r="F507" s="5" t="s">
        <v>2225</v>
      </c>
      <c r="G507" s="5" t="str">
        <f aca="false">INDEX(Risk_Matrix!$B$2:$D$4,MATCH(E507,Risk_Matrix!$A$2:$A$4,0),MATCH(F507,Risk_Matrix!$B$1:$D$1,0))</f>
        <v>Medium</v>
      </c>
      <c r="H507" s="12" t="n">
        <v>46117</v>
      </c>
      <c r="I507" s="5" t="s">
        <v>2241</v>
      </c>
      <c r="J507" s="5" t="s">
        <v>2242</v>
      </c>
      <c r="K507" s="5" t="s">
        <v>2243</v>
      </c>
      <c r="L507" s="5" t="n">
        <f aca="false">IF(G507="High",3,IF(G507="Medium",2,1))</f>
        <v>2</v>
      </c>
    </row>
    <row r="508" customFormat="false" ht="15" hidden="false" customHeight="true" outlineLevel="0" collapsed="false">
      <c r="A508" s="5" t="s">
        <v>2784</v>
      </c>
      <c r="B508" s="5" t="s">
        <v>1167</v>
      </c>
      <c r="C508" s="5" t="s">
        <v>2248</v>
      </c>
      <c r="D508" s="5" t="s">
        <v>2322</v>
      </c>
      <c r="E508" s="5" t="s">
        <v>59</v>
      </c>
      <c r="F508" s="5" t="s">
        <v>54</v>
      </c>
      <c r="G508" s="5" t="str">
        <f aca="false">INDEX(Risk_Matrix!$B$2:$D$4,MATCH(E508,Risk_Matrix!$A$2:$A$4,0),MATCH(F508,Risk_Matrix!$B$1:$D$1,0))</f>
        <v>Medium</v>
      </c>
      <c r="H508" s="12" t="n">
        <v>46145</v>
      </c>
      <c r="I508" s="5" t="s">
        <v>2256</v>
      </c>
      <c r="J508" s="5" t="s">
        <v>2257</v>
      </c>
      <c r="K508" s="5" t="s">
        <v>2252</v>
      </c>
      <c r="L508" s="5" t="n">
        <f aca="false">IF(G508="High",3,IF(G508="Medium",2,1))</f>
        <v>2</v>
      </c>
    </row>
    <row r="509" customFormat="false" ht="15" hidden="false" customHeight="true" outlineLevel="0" collapsed="false">
      <c r="A509" s="5" t="s">
        <v>2785</v>
      </c>
      <c r="B509" s="5" t="s">
        <v>1167</v>
      </c>
      <c r="C509" s="5" t="s">
        <v>2254</v>
      </c>
      <c r="D509" s="5" t="s">
        <v>2255</v>
      </c>
      <c r="E509" s="5" t="s">
        <v>59</v>
      </c>
      <c r="F509" s="5" t="s">
        <v>59</v>
      </c>
      <c r="G509" s="5" t="str">
        <f aca="false">INDEX(Risk_Matrix!$B$2:$D$4,MATCH(E509,Risk_Matrix!$A$2:$A$4,0),MATCH(F509,Risk_Matrix!$B$1:$D$1,0))</f>
        <v>Low</v>
      </c>
      <c r="H509" s="12" t="n">
        <v>46122</v>
      </c>
      <c r="I509" s="5" t="s">
        <v>2264</v>
      </c>
      <c r="J509" s="5" t="s">
        <v>2265</v>
      </c>
      <c r="K509" s="5" t="s">
        <v>2276</v>
      </c>
      <c r="L509" s="5" t="n">
        <f aca="false">IF(G509="High",3,IF(G509="Medium",2,1))</f>
        <v>1</v>
      </c>
    </row>
    <row r="510" customFormat="false" ht="15" hidden="false" customHeight="true" outlineLevel="0" collapsed="false">
      <c r="A510" s="5" t="s">
        <v>2786</v>
      </c>
      <c r="B510" s="5" t="s">
        <v>1167</v>
      </c>
      <c r="C510" s="5" t="s">
        <v>2259</v>
      </c>
      <c r="D510" s="5" t="s">
        <v>2260</v>
      </c>
      <c r="E510" s="5" t="s">
        <v>2225</v>
      </c>
      <c r="F510" s="5" t="s">
        <v>54</v>
      </c>
      <c r="G510" s="5" t="str">
        <f aca="false">INDEX(Risk_Matrix!$B$2:$D$4,MATCH(E510,Risk_Matrix!$A$2:$A$4,0),MATCH(F510,Risk_Matrix!$B$1:$D$1,0))</f>
        <v>High</v>
      </c>
      <c r="H510" s="12" t="n">
        <v>46231</v>
      </c>
      <c r="I510" s="5" t="s">
        <v>2256</v>
      </c>
      <c r="J510" s="5" t="s">
        <v>2257</v>
      </c>
      <c r="K510" s="5" t="s">
        <v>2243</v>
      </c>
      <c r="L510" s="5" t="n">
        <f aca="false">IF(G510="High",3,IF(G510="Medium",2,1))</f>
        <v>3</v>
      </c>
    </row>
    <row r="511" customFormat="false" ht="15" hidden="false" customHeight="true" outlineLevel="0" collapsed="false">
      <c r="A511" s="5" t="s">
        <v>2787</v>
      </c>
      <c r="B511" s="5" t="s">
        <v>1167</v>
      </c>
      <c r="C511" s="5" t="s">
        <v>2262</v>
      </c>
      <c r="D511" s="5" t="s">
        <v>2263</v>
      </c>
      <c r="E511" s="5" t="s">
        <v>59</v>
      </c>
      <c r="F511" s="5" t="s">
        <v>54</v>
      </c>
      <c r="G511" s="5" t="str">
        <f aca="false">INDEX(Risk_Matrix!$B$2:$D$4,MATCH(E511,Risk_Matrix!$A$2:$A$4,0),MATCH(F511,Risk_Matrix!$B$1:$D$1,0))</f>
        <v>Medium</v>
      </c>
      <c r="H511" s="12" t="n">
        <v>46087</v>
      </c>
      <c r="I511" s="5" t="s">
        <v>2250</v>
      </c>
      <c r="J511" s="5" t="s">
        <v>2251</v>
      </c>
      <c r="K511" s="5" t="s">
        <v>2283</v>
      </c>
      <c r="L511" s="5" t="n">
        <f aca="false">IF(G511="High",3,IF(G511="Medium",2,1))</f>
        <v>2</v>
      </c>
    </row>
    <row r="512" customFormat="false" ht="15" hidden="false" customHeight="true" outlineLevel="0" collapsed="false">
      <c r="A512" s="5" t="s">
        <v>2788</v>
      </c>
      <c r="B512" s="5" t="s">
        <v>1169</v>
      </c>
      <c r="C512" s="5" t="s">
        <v>2239</v>
      </c>
      <c r="D512" s="5" t="s">
        <v>2278</v>
      </c>
      <c r="E512" s="5" t="s">
        <v>59</v>
      </c>
      <c r="F512" s="5" t="s">
        <v>2225</v>
      </c>
      <c r="G512" s="5" t="str">
        <f aca="false">INDEX(Risk_Matrix!$B$2:$D$4,MATCH(E512,Risk_Matrix!$A$2:$A$4,0),MATCH(F512,Risk_Matrix!$B$1:$D$1,0))</f>
        <v>Low</v>
      </c>
      <c r="H512" s="12" t="n">
        <v>46180</v>
      </c>
      <c r="I512" s="5" t="s">
        <v>2264</v>
      </c>
      <c r="J512" s="5" t="s">
        <v>2265</v>
      </c>
      <c r="K512" s="5" t="s">
        <v>2276</v>
      </c>
      <c r="L512" s="5" t="n">
        <f aca="false">IF(G512="High",3,IF(G512="Medium",2,1))</f>
        <v>1</v>
      </c>
    </row>
    <row r="513" customFormat="false" ht="15" hidden="false" customHeight="true" outlineLevel="0" collapsed="false">
      <c r="A513" s="5" t="s">
        <v>2789</v>
      </c>
      <c r="B513" s="5" t="s">
        <v>1169</v>
      </c>
      <c r="C513" s="5" t="s">
        <v>2245</v>
      </c>
      <c r="D513" s="5" t="s">
        <v>2269</v>
      </c>
      <c r="E513" s="5" t="s">
        <v>59</v>
      </c>
      <c r="F513" s="5" t="s">
        <v>59</v>
      </c>
      <c r="G513" s="5" t="str">
        <f aca="false">INDEX(Risk_Matrix!$B$2:$D$4,MATCH(E513,Risk_Matrix!$A$2:$A$4,0),MATCH(F513,Risk_Matrix!$B$1:$D$1,0))</f>
        <v>Low</v>
      </c>
      <c r="H513" s="12" t="n">
        <v>46187</v>
      </c>
      <c r="I513" s="5" t="s">
        <v>2250</v>
      </c>
      <c r="J513" s="5" t="s">
        <v>2251</v>
      </c>
      <c r="K513" s="5" t="s">
        <v>2243</v>
      </c>
      <c r="L513" s="5" t="n">
        <f aca="false">IF(G513="High",3,IF(G513="Medium",2,1))</f>
        <v>1</v>
      </c>
    </row>
    <row r="514" customFormat="false" ht="15" hidden="false" customHeight="true" outlineLevel="0" collapsed="false">
      <c r="A514" s="5" t="s">
        <v>2790</v>
      </c>
      <c r="B514" s="5" t="s">
        <v>1169</v>
      </c>
      <c r="C514" s="5" t="s">
        <v>2248</v>
      </c>
      <c r="D514" s="5" t="s">
        <v>2322</v>
      </c>
      <c r="E514" s="5" t="s">
        <v>59</v>
      </c>
      <c r="F514" s="5" t="s">
        <v>2225</v>
      </c>
      <c r="G514" s="5" t="str">
        <f aca="false">INDEX(Risk_Matrix!$B$2:$D$4,MATCH(E514,Risk_Matrix!$A$2:$A$4,0),MATCH(F514,Risk_Matrix!$B$1:$D$1,0))</f>
        <v>Low</v>
      </c>
      <c r="H514" s="12" t="n">
        <v>46127</v>
      </c>
      <c r="I514" s="5" t="s">
        <v>2256</v>
      </c>
      <c r="J514" s="5" t="s">
        <v>2257</v>
      </c>
      <c r="K514" s="5" t="s">
        <v>2266</v>
      </c>
      <c r="L514" s="5" t="n">
        <f aca="false">IF(G514="High",3,IF(G514="Medium",2,1))</f>
        <v>1</v>
      </c>
    </row>
    <row r="515" customFormat="false" ht="15" hidden="false" customHeight="true" outlineLevel="0" collapsed="false">
      <c r="A515" s="5" t="s">
        <v>2791</v>
      </c>
      <c r="B515" s="5" t="s">
        <v>1169</v>
      </c>
      <c r="C515" s="5" t="s">
        <v>2254</v>
      </c>
      <c r="D515" s="5" t="s">
        <v>2255</v>
      </c>
      <c r="E515" s="5" t="s">
        <v>54</v>
      </c>
      <c r="F515" s="5" t="s">
        <v>59</v>
      </c>
      <c r="G515" s="5" t="str">
        <f aca="false">INDEX(Risk_Matrix!$B$2:$D$4,MATCH(E515,Risk_Matrix!$A$2:$A$4,0),MATCH(F515,Risk_Matrix!$B$1:$D$1,0))</f>
        <v>Medium</v>
      </c>
      <c r="H515" s="12" t="n">
        <v>46204</v>
      </c>
      <c r="I515" s="5" t="s">
        <v>2256</v>
      </c>
      <c r="J515" s="5" t="s">
        <v>2257</v>
      </c>
      <c r="K515" s="5" t="s">
        <v>2243</v>
      </c>
      <c r="L515" s="5" t="n">
        <f aca="false">IF(G515="High",3,IF(G515="Medium",2,1))</f>
        <v>2</v>
      </c>
    </row>
    <row r="516" customFormat="false" ht="15" hidden="false" customHeight="true" outlineLevel="0" collapsed="false">
      <c r="A516" s="5" t="s">
        <v>2792</v>
      </c>
      <c r="B516" s="5" t="s">
        <v>1169</v>
      </c>
      <c r="C516" s="5" t="s">
        <v>2259</v>
      </c>
      <c r="D516" s="5" t="s">
        <v>2285</v>
      </c>
      <c r="E516" s="5" t="s">
        <v>59</v>
      </c>
      <c r="F516" s="5" t="s">
        <v>59</v>
      </c>
      <c r="G516" s="5" t="str">
        <f aca="false">INDEX(Risk_Matrix!$B$2:$D$4,MATCH(E516,Risk_Matrix!$A$2:$A$4,0),MATCH(F516,Risk_Matrix!$B$1:$D$1,0))</f>
        <v>Low</v>
      </c>
      <c r="H516" s="12" t="n">
        <v>46153</v>
      </c>
      <c r="I516" s="5" t="s">
        <v>2256</v>
      </c>
      <c r="J516" s="5" t="s">
        <v>2257</v>
      </c>
      <c r="K516" s="5" t="s">
        <v>2266</v>
      </c>
      <c r="L516" s="5" t="n">
        <f aca="false">IF(G516="High",3,IF(G516="Medium",2,1))</f>
        <v>1</v>
      </c>
    </row>
    <row r="517" customFormat="false" ht="15" hidden="false" customHeight="true" outlineLevel="0" collapsed="false">
      <c r="A517" s="5" t="s">
        <v>2793</v>
      </c>
      <c r="B517" s="5" t="s">
        <v>1169</v>
      </c>
      <c r="C517" s="5" t="s">
        <v>2262</v>
      </c>
      <c r="D517" s="5" t="s">
        <v>2287</v>
      </c>
      <c r="E517" s="5" t="s">
        <v>2225</v>
      </c>
      <c r="F517" s="5" t="s">
        <v>59</v>
      </c>
      <c r="G517" s="5" t="str">
        <f aca="false">INDEX(Risk_Matrix!$B$2:$D$4,MATCH(E517,Risk_Matrix!$A$2:$A$4,0),MATCH(F517,Risk_Matrix!$B$1:$D$1,0))</f>
        <v>Low</v>
      </c>
      <c r="H517" s="12" t="n">
        <v>46119</v>
      </c>
      <c r="I517" s="5" t="s">
        <v>2256</v>
      </c>
      <c r="J517" s="5" t="s">
        <v>2257</v>
      </c>
      <c r="K517" s="5" t="s">
        <v>2243</v>
      </c>
      <c r="L517" s="5" t="n">
        <f aca="false">IF(G517="High",3,IF(G517="Medium",2,1))</f>
        <v>1</v>
      </c>
    </row>
    <row r="518" customFormat="false" ht="15" hidden="false" customHeight="true" outlineLevel="0" collapsed="false">
      <c r="A518" s="5" t="s">
        <v>2794</v>
      </c>
      <c r="B518" s="5" t="s">
        <v>1171</v>
      </c>
      <c r="C518" s="5" t="s">
        <v>2239</v>
      </c>
      <c r="D518" s="5" t="s">
        <v>2295</v>
      </c>
      <c r="E518" s="5" t="s">
        <v>59</v>
      </c>
      <c r="F518" s="5" t="s">
        <v>59</v>
      </c>
      <c r="G518" s="5" t="str">
        <f aca="false">INDEX(Risk_Matrix!$B$2:$D$4,MATCH(E518,Risk_Matrix!$A$2:$A$4,0),MATCH(F518,Risk_Matrix!$B$1:$D$1,0))</f>
        <v>Low</v>
      </c>
      <c r="H518" s="12" t="n">
        <v>46084</v>
      </c>
      <c r="I518" s="5" t="s">
        <v>2264</v>
      </c>
      <c r="J518" s="5" t="s">
        <v>2265</v>
      </c>
      <c r="K518" s="5" t="s">
        <v>2266</v>
      </c>
      <c r="L518" s="5" t="n">
        <f aca="false">IF(G518="High",3,IF(G518="Medium",2,1))</f>
        <v>1</v>
      </c>
    </row>
    <row r="519" customFormat="false" ht="15" hidden="false" customHeight="true" outlineLevel="0" collapsed="false">
      <c r="A519" s="5" t="s">
        <v>2795</v>
      </c>
      <c r="B519" s="5" t="s">
        <v>1171</v>
      </c>
      <c r="C519" s="5" t="s">
        <v>2245</v>
      </c>
      <c r="D519" s="5" t="s">
        <v>2320</v>
      </c>
      <c r="E519" s="5" t="s">
        <v>2225</v>
      </c>
      <c r="F519" s="5" t="s">
        <v>2225</v>
      </c>
      <c r="G519" s="5" t="str">
        <f aca="false">INDEX(Risk_Matrix!$B$2:$D$4,MATCH(E519,Risk_Matrix!$A$2:$A$4,0),MATCH(F519,Risk_Matrix!$B$1:$D$1,0))</f>
        <v>Medium</v>
      </c>
      <c r="H519" s="12" t="n">
        <v>46133</v>
      </c>
      <c r="I519" s="5" t="s">
        <v>2256</v>
      </c>
      <c r="J519" s="5" t="s">
        <v>2257</v>
      </c>
      <c r="K519" s="5" t="s">
        <v>2283</v>
      </c>
      <c r="L519" s="5" t="n">
        <f aca="false">IF(G519="High",3,IF(G519="Medium",2,1))</f>
        <v>2</v>
      </c>
    </row>
    <row r="520" customFormat="false" ht="15" hidden="false" customHeight="true" outlineLevel="0" collapsed="false">
      <c r="A520" s="5" t="s">
        <v>2796</v>
      </c>
      <c r="B520" s="5" t="s">
        <v>1171</v>
      </c>
      <c r="C520" s="5" t="s">
        <v>2248</v>
      </c>
      <c r="D520" s="5" t="s">
        <v>2271</v>
      </c>
      <c r="E520" s="5" t="s">
        <v>54</v>
      </c>
      <c r="F520" s="5" t="s">
        <v>59</v>
      </c>
      <c r="G520" s="5" t="str">
        <f aca="false">INDEX(Risk_Matrix!$B$2:$D$4,MATCH(E520,Risk_Matrix!$A$2:$A$4,0),MATCH(F520,Risk_Matrix!$B$1:$D$1,0))</f>
        <v>Medium</v>
      </c>
      <c r="H520" s="12" t="n">
        <v>46120</v>
      </c>
      <c r="I520" s="5" t="s">
        <v>2250</v>
      </c>
      <c r="J520" s="5" t="s">
        <v>2251</v>
      </c>
      <c r="K520" s="5" t="s">
        <v>2252</v>
      </c>
      <c r="L520" s="5" t="n">
        <f aca="false">IF(G520="High",3,IF(G520="Medium",2,1))</f>
        <v>2</v>
      </c>
    </row>
    <row r="521" customFormat="false" ht="15" hidden="false" customHeight="true" outlineLevel="0" collapsed="false">
      <c r="A521" s="5" t="s">
        <v>2797</v>
      </c>
      <c r="B521" s="5" t="s">
        <v>1171</v>
      </c>
      <c r="C521" s="5" t="s">
        <v>2254</v>
      </c>
      <c r="D521" s="5" t="s">
        <v>2255</v>
      </c>
      <c r="E521" s="5" t="s">
        <v>2225</v>
      </c>
      <c r="F521" s="5" t="s">
        <v>2225</v>
      </c>
      <c r="G521" s="5" t="str">
        <f aca="false">INDEX(Risk_Matrix!$B$2:$D$4,MATCH(E521,Risk_Matrix!$A$2:$A$4,0),MATCH(F521,Risk_Matrix!$B$1:$D$1,0))</f>
        <v>Medium</v>
      </c>
      <c r="H521" s="12" t="n">
        <v>46155</v>
      </c>
      <c r="I521" s="5" t="s">
        <v>2256</v>
      </c>
      <c r="J521" s="5" t="s">
        <v>2257</v>
      </c>
      <c r="K521" s="5" t="s">
        <v>2243</v>
      </c>
      <c r="L521" s="5" t="n">
        <f aca="false">IF(G521="High",3,IF(G521="Medium",2,1))</f>
        <v>2</v>
      </c>
    </row>
    <row r="522" customFormat="false" ht="15" hidden="false" customHeight="true" outlineLevel="0" collapsed="false">
      <c r="A522" s="5" t="s">
        <v>2798</v>
      </c>
      <c r="B522" s="5" t="s">
        <v>1171</v>
      </c>
      <c r="C522" s="5" t="s">
        <v>2259</v>
      </c>
      <c r="D522" s="5" t="s">
        <v>2285</v>
      </c>
      <c r="E522" s="5" t="s">
        <v>59</v>
      </c>
      <c r="F522" s="5" t="s">
        <v>54</v>
      </c>
      <c r="G522" s="5" t="str">
        <f aca="false">INDEX(Risk_Matrix!$B$2:$D$4,MATCH(E522,Risk_Matrix!$A$2:$A$4,0),MATCH(F522,Risk_Matrix!$B$1:$D$1,0))</f>
        <v>Medium</v>
      </c>
      <c r="H522" s="12" t="n">
        <v>46092</v>
      </c>
      <c r="I522" s="5" t="s">
        <v>2264</v>
      </c>
      <c r="J522" s="5" t="s">
        <v>2265</v>
      </c>
      <c r="K522" s="5" t="s">
        <v>2276</v>
      </c>
      <c r="L522" s="5" t="n">
        <f aca="false">IF(G522="High",3,IF(G522="Medium",2,1))</f>
        <v>2</v>
      </c>
    </row>
    <row r="523" customFormat="false" ht="15" hidden="false" customHeight="true" outlineLevel="0" collapsed="false">
      <c r="A523" s="5" t="s">
        <v>2799</v>
      </c>
      <c r="B523" s="5" t="s">
        <v>1171</v>
      </c>
      <c r="C523" s="5" t="s">
        <v>2262</v>
      </c>
      <c r="D523" s="5" t="s">
        <v>2311</v>
      </c>
      <c r="E523" s="5" t="s">
        <v>54</v>
      </c>
      <c r="F523" s="5" t="s">
        <v>59</v>
      </c>
      <c r="G523" s="5" t="str">
        <f aca="false">INDEX(Risk_Matrix!$B$2:$D$4,MATCH(E523,Risk_Matrix!$A$2:$A$4,0),MATCH(F523,Risk_Matrix!$B$1:$D$1,0))</f>
        <v>Medium</v>
      </c>
      <c r="H523" s="12" t="n">
        <v>46109</v>
      </c>
      <c r="I523" s="5" t="s">
        <v>2250</v>
      </c>
      <c r="J523" s="5" t="s">
        <v>2251</v>
      </c>
      <c r="K523" s="5" t="s">
        <v>2276</v>
      </c>
      <c r="L523" s="5" t="n">
        <f aca="false">IF(G523="High",3,IF(G523="Medium",2,1))</f>
        <v>2</v>
      </c>
    </row>
    <row r="524" customFormat="false" ht="15" hidden="false" customHeight="true" outlineLevel="0" collapsed="false">
      <c r="A524" s="5" t="s">
        <v>2800</v>
      </c>
      <c r="B524" s="5" t="s">
        <v>1173</v>
      </c>
      <c r="C524" s="5" t="s">
        <v>2239</v>
      </c>
      <c r="D524" s="5" t="s">
        <v>2295</v>
      </c>
      <c r="E524" s="5" t="s">
        <v>2225</v>
      </c>
      <c r="F524" s="5" t="s">
        <v>59</v>
      </c>
      <c r="G524" s="5" t="str">
        <f aca="false">INDEX(Risk_Matrix!$B$2:$D$4,MATCH(E524,Risk_Matrix!$A$2:$A$4,0),MATCH(F524,Risk_Matrix!$B$1:$D$1,0))</f>
        <v>Low</v>
      </c>
      <c r="H524" s="12" t="n">
        <v>46213</v>
      </c>
      <c r="I524" s="5" t="s">
        <v>2264</v>
      </c>
      <c r="J524" s="5" t="s">
        <v>2265</v>
      </c>
      <c r="K524" s="5" t="s">
        <v>2243</v>
      </c>
      <c r="L524" s="5" t="n">
        <f aca="false">IF(G524="High",3,IF(G524="Medium",2,1))</f>
        <v>1</v>
      </c>
    </row>
    <row r="525" customFormat="false" ht="15" hidden="false" customHeight="true" outlineLevel="0" collapsed="false">
      <c r="A525" s="5" t="s">
        <v>2801</v>
      </c>
      <c r="B525" s="5" t="s">
        <v>1173</v>
      </c>
      <c r="C525" s="5" t="s">
        <v>2245</v>
      </c>
      <c r="D525" s="5" t="s">
        <v>2280</v>
      </c>
      <c r="E525" s="5" t="s">
        <v>59</v>
      </c>
      <c r="F525" s="5" t="s">
        <v>2225</v>
      </c>
      <c r="G525" s="5" t="str">
        <f aca="false">INDEX(Risk_Matrix!$B$2:$D$4,MATCH(E525,Risk_Matrix!$A$2:$A$4,0),MATCH(F525,Risk_Matrix!$B$1:$D$1,0))</f>
        <v>Low</v>
      </c>
      <c r="H525" s="12" t="n">
        <v>46134</v>
      </c>
      <c r="I525" s="5" t="s">
        <v>2256</v>
      </c>
      <c r="J525" s="5" t="s">
        <v>2257</v>
      </c>
      <c r="K525" s="5" t="s">
        <v>2266</v>
      </c>
      <c r="L525" s="5" t="n">
        <f aca="false">IF(G525="High",3,IF(G525="Medium",2,1))</f>
        <v>1</v>
      </c>
    </row>
    <row r="526" customFormat="false" ht="15" hidden="false" customHeight="true" outlineLevel="0" collapsed="false">
      <c r="A526" s="5" t="s">
        <v>2802</v>
      </c>
      <c r="B526" s="5" t="s">
        <v>1173</v>
      </c>
      <c r="C526" s="5" t="s">
        <v>2248</v>
      </c>
      <c r="D526" s="5" t="s">
        <v>2322</v>
      </c>
      <c r="E526" s="5" t="s">
        <v>59</v>
      </c>
      <c r="F526" s="5" t="s">
        <v>59</v>
      </c>
      <c r="G526" s="5" t="str">
        <f aca="false">INDEX(Risk_Matrix!$B$2:$D$4,MATCH(E526,Risk_Matrix!$A$2:$A$4,0),MATCH(F526,Risk_Matrix!$B$1:$D$1,0))</f>
        <v>Low</v>
      </c>
      <c r="H526" s="12" t="n">
        <v>46234</v>
      </c>
      <c r="I526" s="5" t="s">
        <v>2241</v>
      </c>
      <c r="J526" s="5" t="s">
        <v>2242</v>
      </c>
      <c r="K526" s="5" t="s">
        <v>2243</v>
      </c>
      <c r="L526" s="5" t="n">
        <f aca="false">IF(G526="High",3,IF(G526="Medium",2,1))</f>
        <v>1</v>
      </c>
    </row>
    <row r="527" customFormat="false" ht="15" hidden="false" customHeight="true" outlineLevel="0" collapsed="false">
      <c r="A527" s="5" t="s">
        <v>2803</v>
      </c>
      <c r="B527" s="5" t="s">
        <v>1173</v>
      </c>
      <c r="C527" s="5" t="s">
        <v>2254</v>
      </c>
      <c r="D527" s="5" t="s">
        <v>2299</v>
      </c>
      <c r="E527" s="5" t="s">
        <v>59</v>
      </c>
      <c r="F527" s="5" t="s">
        <v>2225</v>
      </c>
      <c r="G527" s="5" t="str">
        <f aca="false">INDEX(Risk_Matrix!$B$2:$D$4,MATCH(E527,Risk_Matrix!$A$2:$A$4,0),MATCH(F527,Risk_Matrix!$B$1:$D$1,0))</f>
        <v>Low</v>
      </c>
      <c r="H527" s="12" t="n">
        <v>46089</v>
      </c>
      <c r="I527" s="5" t="s">
        <v>2264</v>
      </c>
      <c r="J527" s="5" t="s">
        <v>2265</v>
      </c>
      <c r="K527" s="5" t="s">
        <v>2276</v>
      </c>
      <c r="L527" s="5" t="n">
        <f aca="false">IF(G527="High",3,IF(G527="Medium",2,1))</f>
        <v>1</v>
      </c>
    </row>
    <row r="528" customFormat="false" ht="15" hidden="false" customHeight="true" outlineLevel="0" collapsed="false">
      <c r="A528" s="5" t="s">
        <v>2804</v>
      </c>
      <c r="B528" s="5" t="s">
        <v>1173</v>
      </c>
      <c r="C528" s="5" t="s">
        <v>2259</v>
      </c>
      <c r="D528" s="5" t="s">
        <v>2274</v>
      </c>
      <c r="E528" s="5" t="s">
        <v>59</v>
      </c>
      <c r="F528" s="5" t="s">
        <v>59</v>
      </c>
      <c r="G528" s="5" t="str">
        <f aca="false">INDEX(Risk_Matrix!$B$2:$D$4,MATCH(E528,Risk_Matrix!$A$2:$A$4,0),MATCH(F528,Risk_Matrix!$B$1:$D$1,0))</f>
        <v>Low</v>
      </c>
      <c r="H528" s="12" t="n">
        <v>46191</v>
      </c>
      <c r="I528" s="5" t="s">
        <v>2250</v>
      </c>
      <c r="J528" s="5" t="s">
        <v>2251</v>
      </c>
      <c r="K528" s="5" t="s">
        <v>2252</v>
      </c>
      <c r="L528" s="5" t="n">
        <f aca="false">IF(G528="High",3,IF(G528="Medium",2,1))</f>
        <v>1</v>
      </c>
    </row>
    <row r="529" customFormat="false" ht="15" hidden="false" customHeight="true" outlineLevel="0" collapsed="false">
      <c r="A529" s="5" t="s">
        <v>2805</v>
      </c>
      <c r="B529" s="5" t="s">
        <v>1173</v>
      </c>
      <c r="C529" s="5" t="s">
        <v>2262</v>
      </c>
      <c r="D529" s="5" t="s">
        <v>2263</v>
      </c>
      <c r="E529" s="5" t="s">
        <v>59</v>
      </c>
      <c r="F529" s="5" t="s">
        <v>2225</v>
      </c>
      <c r="G529" s="5" t="str">
        <f aca="false">INDEX(Risk_Matrix!$B$2:$D$4,MATCH(E529,Risk_Matrix!$A$2:$A$4,0),MATCH(F529,Risk_Matrix!$B$1:$D$1,0))</f>
        <v>Low</v>
      </c>
      <c r="H529" s="12" t="n">
        <v>46220</v>
      </c>
      <c r="I529" s="5" t="s">
        <v>2264</v>
      </c>
      <c r="J529" s="5" t="s">
        <v>2265</v>
      </c>
      <c r="K529" s="5" t="s">
        <v>2243</v>
      </c>
      <c r="L529" s="5" t="n">
        <f aca="false">IF(G529="High",3,IF(G529="Medium",2,1))</f>
        <v>1</v>
      </c>
    </row>
    <row r="530" customFormat="false" ht="15" hidden="false" customHeight="true" outlineLevel="0" collapsed="false">
      <c r="A530" s="5" t="s">
        <v>2806</v>
      </c>
      <c r="B530" s="5" t="s">
        <v>1175</v>
      </c>
      <c r="C530" s="5" t="s">
        <v>2239</v>
      </c>
      <c r="D530" s="5" t="s">
        <v>2278</v>
      </c>
      <c r="E530" s="5" t="s">
        <v>2225</v>
      </c>
      <c r="F530" s="5" t="s">
        <v>59</v>
      </c>
      <c r="G530" s="5" t="str">
        <f aca="false">INDEX(Risk_Matrix!$B$2:$D$4,MATCH(E530,Risk_Matrix!$A$2:$A$4,0),MATCH(F530,Risk_Matrix!$B$1:$D$1,0))</f>
        <v>Low</v>
      </c>
      <c r="H530" s="12" t="n">
        <v>46060</v>
      </c>
      <c r="I530" s="5" t="s">
        <v>2264</v>
      </c>
      <c r="J530" s="5" t="s">
        <v>2265</v>
      </c>
      <c r="K530" s="5" t="s">
        <v>2283</v>
      </c>
      <c r="L530" s="5" t="n">
        <f aca="false">IF(G530="High",3,IF(G530="Medium",2,1))</f>
        <v>1</v>
      </c>
    </row>
    <row r="531" customFormat="false" ht="15" hidden="false" customHeight="true" outlineLevel="0" collapsed="false">
      <c r="A531" s="5" t="s">
        <v>2807</v>
      </c>
      <c r="B531" s="5" t="s">
        <v>1175</v>
      </c>
      <c r="C531" s="5" t="s">
        <v>2245</v>
      </c>
      <c r="D531" s="5" t="s">
        <v>2320</v>
      </c>
      <c r="E531" s="5" t="s">
        <v>2225</v>
      </c>
      <c r="F531" s="5" t="s">
        <v>59</v>
      </c>
      <c r="G531" s="5" t="str">
        <f aca="false">INDEX(Risk_Matrix!$B$2:$D$4,MATCH(E531,Risk_Matrix!$A$2:$A$4,0),MATCH(F531,Risk_Matrix!$B$1:$D$1,0))</f>
        <v>Low</v>
      </c>
      <c r="H531" s="12" t="n">
        <v>46224</v>
      </c>
      <c r="I531" s="5" t="s">
        <v>2264</v>
      </c>
      <c r="J531" s="5" t="s">
        <v>2265</v>
      </c>
      <c r="K531" s="5" t="s">
        <v>2283</v>
      </c>
      <c r="L531" s="5" t="n">
        <f aca="false">IF(G531="High",3,IF(G531="Medium",2,1))</f>
        <v>1</v>
      </c>
    </row>
    <row r="532" customFormat="false" ht="15" hidden="false" customHeight="true" outlineLevel="0" collapsed="false">
      <c r="A532" s="5" t="s">
        <v>2808</v>
      </c>
      <c r="B532" s="5" t="s">
        <v>1175</v>
      </c>
      <c r="C532" s="5" t="s">
        <v>2248</v>
      </c>
      <c r="D532" s="5" t="s">
        <v>2249</v>
      </c>
      <c r="E532" s="5" t="s">
        <v>54</v>
      </c>
      <c r="F532" s="5" t="s">
        <v>59</v>
      </c>
      <c r="G532" s="5" t="str">
        <f aca="false">INDEX(Risk_Matrix!$B$2:$D$4,MATCH(E532,Risk_Matrix!$A$2:$A$4,0),MATCH(F532,Risk_Matrix!$B$1:$D$1,0))</f>
        <v>Medium</v>
      </c>
      <c r="H532" s="12" t="n">
        <v>46080</v>
      </c>
      <c r="I532" s="5" t="s">
        <v>2256</v>
      </c>
      <c r="J532" s="5" t="s">
        <v>2257</v>
      </c>
      <c r="K532" s="5" t="s">
        <v>2276</v>
      </c>
      <c r="L532" s="5" t="n">
        <f aca="false">IF(G532="High",3,IF(G532="Medium",2,1))</f>
        <v>2</v>
      </c>
    </row>
    <row r="533" customFormat="false" ht="15" hidden="false" customHeight="true" outlineLevel="0" collapsed="false">
      <c r="A533" s="5" t="s">
        <v>2809</v>
      </c>
      <c r="B533" s="5" t="s">
        <v>1175</v>
      </c>
      <c r="C533" s="5" t="s">
        <v>2254</v>
      </c>
      <c r="D533" s="5" t="s">
        <v>2308</v>
      </c>
      <c r="E533" s="5" t="s">
        <v>59</v>
      </c>
      <c r="F533" s="5" t="s">
        <v>2225</v>
      </c>
      <c r="G533" s="5" t="str">
        <f aca="false">INDEX(Risk_Matrix!$B$2:$D$4,MATCH(E533,Risk_Matrix!$A$2:$A$4,0),MATCH(F533,Risk_Matrix!$B$1:$D$1,0))</f>
        <v>Low</v>
      </c>
      <c r="H533" s="12" t="n">
        <v>46095</v>
      </c>
      <c r="I533" s="5" t="s">
        <v>2250</v>
      </c>
      <c r="J533" s="5" t="s">
        <v>2251</v>
      </c>
      <c r="K533" s="5" t="s">
        <v>2266</v>
      </c>
      <c r="L533" s="5" t="n">
        <f aca="false">IF(G533="High",3,IF(G533="Medium",2,1))</f>
        <v>1</v>
      </c>
    </row>
    <row r="534" customFormat="false" ht="15" hidden="false" customHeight="true" outlineLevel="0" collapsed="false">
      <c r="A534" s="5" t="s">
        <v>2810</v>
      </c>
      <c r="B534" s="5" t="s">
        <v>1175</v>
      </c>
      <c r="C534" s="5" t="s">
        <v>2259</v>
      </c>
      <c r="D534" s="5" t="s">
        <v>2260</v>
      </c>
      <c r="E534" s="5" t="s">
        <v>54</v>
      </c>
      <c r="F534" s="5" t="s">
        <v>59</v>
      </c>
      <c r="G534" s="5" t="str">
        <f aca="false">INDEX(Risk_Matrix!$B$2:$D$4,MATCH(E534,Risk_Matrix!$A$2:$A$4,0),MATCH(F534,Risk_Matrix!$B$1:$D$1,0))</f>
        <v>Medium</v>
      </c>
      <c r="H534" s="12" t="n">
        <v>46116</v>
      </c>
      <c r="I534" s="5" t="s">
        <v>2256</v>
      </c>
      <c r="J534" s="5" t="s">
        <v>2257</v>
      </c>
      <c r="K534" s="5" t="s">
        <v>2283</v>
      </c>
      <c r="L534" s="5" t="n">
        <f aca="false">IF(G534="High",3,IF(G534="Medium",2,1))</f>
        <v>2</v>
      </c>
    </row>
    <row r="535" customFormat="false" ht="15" hidden="false" customHeight="true" outlineLevel="0" collapsed="false">
      <c r="A535" s="5" t="s">
        <v>2811</v>
      </c>
      <c r="B535" s="5" t="s">
        <v>1175</v>
      </c>
      <c r="C535" s="5" t="s">
        <v>2262</v>
      </c>
      <c r="D535" s="5" t="s">
        <v>2263</v>
      </c>
      <c r="E535" s="5" t="s">
        <v>59</v>
      </c>
      <c r="F535" s="5" t="s">
        <v>2225</v>
      </c>
      <c r="G535" s="5" t="str">
        <f aca="false">INDEX(Risk_Matrix!$B$2:$D$4,MATCH(E535,Risk_Matrix!$A$2:$A$4,0),MATCH(F535,Risk_Matrix!$B$1:$D$1,0))</f>
        <v>Low</v>
      </c>
      <c r="H535" s="12" t="n">
        <v>46148</v>
      </c>
      <c r="I535" s="5" t="s">
        <v>2256</v>
      </c>
      <c r="J535" s="5" t="s">
        <v>2257</v>
      </c>
      <c r="K535" s="5" t="s">
        <v>2252</v>
      </c>
      <c r="L535" s="5" t="n">
        <f aca="false">IF(G535="High",3,IF(G535="Medium",2,1))</f>
        <v>1</v>
      </c>
    </row>
    <row r="536" customFormat="false" ht="15" hidden="false" customHeight="true" outlineLevel="0" collapsed="false">
      <c r="A536" s="5" t="s">
        <v>2812</v>
      </c>
      <c r="B536" s="5" t="s">
        <v>1177</v>
      </c>
      <c r="C536" s="5" t="s">
        <v>2239</v>
      </c>
      <c r="D536" s="5" t="s">
        <v>2295</v>
      </c>
      <c r="E536" s="5" t="s">
        <v>59</v>
      </c>
      <c r="F536" s="5" t="s">
        <v>59</v>
      </c>
      <c r="G536" s="5" t="str">
        <f aca="false">INDEX(Risk_Matrix!$B$2:$D$4,MATCH(E536,Risk_Matrix!$A$2:$A$4,0),MATCH(F536,Risk_Matrix!$B$1:$D$1,0))</f>
        <v>Low</v>
      </c>
      <c r="H536" s="12" t="n">
        <v>46114</v>
      </c>
      <c r="I536" s="5" t="s">
        <v>2256</v>
      </c>
      <c r="J536" s="5" t="s">
        <v>2257</v>
      </c>
      <c r="K536" s="5" t="s">
        <v>2283</v>
      </c>
      <c r="L536" s="5" t="n">
        <f aca="false">IF(G536="High",3,IF(G536="Medium",2,1))</f>
        <v>1</v>
      </c>
    </row>
    <row r="537" customFormat="false" ht="15" hidden="false" customHeight="true" outlineLevel="0" collapsed="false">
      <c r="A537" s="5" t="s">
        <v>2813</v>
      </c>
      <c r="B537" s="5" t="s">
        <v>1177</v>
      </c>
      <c r="C537" s="5" t="s">
        <v>2245</v>
      </c>
      <c r="D537" s="5" t="s">
        <v>2246</v>
      </c>
      <c r="E537" s="5" t="s">
        <v>59</v>
      </c>
      <c r="F537" s="5" t="s">
        <v>2225</v>
      </c>
      <c r="G537" s="5" t="str">
        <f aca="false">INDEX(Risk_Matrix!$B$2:$D$4,MATCH(E537,Risk_Matrix!$A$2:$A$4,0),MATCH(F537,Risk_Matrix!$B$1:$D$1,0))</f>
        <v>Low</v>
      </c>
      <c r="H537" s="12" t="n">
        <v>46164</v>
      </c>
      <c r="I537" s="5" t="s">
        <v>2264</v>
      </c>
      <c r="J537" s="5" t="s">
        <v>2265</v>
      </c>
      <c r="K537" s="5" t="s">
        <v>2243</v>
      </c>
      <c r="L537" s="5" t="n">
        <f aca="false">IF(G537="High",3,IF(G537="Medium",2,1))</f>
        <v>1</v>
      </c>
    </row>
    <row r="538" customFormat="false" ht="15" hidden="false" customHeight="true" outlineLevel="0" collapsed="false">
      <c r="A538" s="5" t="s">
        <v>2814</v>
      </c>
      <c r="B538" s="5" t="s">
        <v>1177</v>
      </c>
      <c r="C538" s="5" t="s">
        <v>2248</v>
      </c>
      <c r="D538" s="5" t="s">
        <v>2249</v>
      </c>
      <c r="E538" s="5" t="s">
        <v>2225</v>
      </c>
      <c r="F538" s="5" t="s">
        <v>54</v>
      </c>
      <c r="G538" s="5" t="str">
        <f aca="false">INDEX(Risk_Matrix!$B$2:$D$4,MATCH(E538,Risk_Matrix!$A$2:$A$4,0),MATCH(F538,Risk_Matrix!$B$1:$D$1,0))</f>
        <v>High</v>
      </c>
      <c r="H538" s="12" t="n">
        <v>46222</v>
      </c>
      <c r="I538" s="5" t="s">
        <v>2264</v>
      </c>
      <c r="J538" s="5" t="s">
        <v>2265</v>
      </c>
      <c r="K538" s="5" t="s">
        <v>2266</v>
      </c>
      <c r="L538" s="5" t="n">
        <f aca="false">IF(G538="High",3,IF(G538="Medium",2,1))</f>
        <v>3</v>
      </c>
    </row>
    <row r="539" customFormat="false" ht="15" hidden="false" customHeight="true" outlineLevel="0" collapsed="false">
      <c r="A539" s="5" t="s">
        <v>2815</v>
      </c>
      <c r="B539" s="5" t="s">
        <v>1177</v>
      </c>
      <c r="C539" s="5" t="s">
        <v>2254</v>
      </c>
      <c r="D539" s="5" t="s">
        <v>2308</v>
      </c>
      <c r="E539" s="5" t="s">
        <v>59</v>
      </c>
      <c r="F539" s="5" t="s">
        <v>59</v>
      </c>
      <c r="G539" s="5" t="str">
        <f aca="false">INDEX(Risk_Matrix!$B$2:$D$4,MATCH(E539,Risk_Matrix!$A$2:$A$4,0),MATCH(F539,Risk_Matrix!$B$1:$D$1,0))</f>
        <v>Low</v>
      </c>
      <c r="H539" s="12" t="n">
        <v>46219</v>
      </c>
      <c r="I539" s="5" t="s">
        <v>2256</v>
      </c>
      <c r="J539" s="5" t="s">
        <v>2257</v>
      </c>
      <c r="K539" s="5" t="s">
        <v>2276</v>
      </c>
      <c r="L539" s="5" t="n">
        <f aca="false">IF(G539="High",3,IF(G539="Medium",2,1))</f>
        <v>1</v>
      </c>
    </row>
    <row r="540" customFormat="false" ht="15" hidden="false" customHeight="true" outlineLevel="0" collapsed="false">
      <c r="A540" s="5" t="s">
        <v>2816</v>
      </c>
      <c r="B540" s="5" t="s">
        <v>1177</v>
      </c>
      <c r="C540" s="5" t="s">
        <v>2259</v>
      </c>
      <c r="D540" s="5" t="s">
        <v>2260</v>
      </c>
      <c r="E540" s="5" t="s">
        <v>59</v>
      </c>
      <c r="F540" s="5" t="s">
        <v>2225</v>
      </c>
      <c r="G540" s="5" t="str">
        <f aca="false">INDEX(Risk_Matrix!$B$2:$D$4,MATCH(E540,Risk_Matrix!$A$2:$A$4,0),MATCH(F540,Risk_Matrix!$B$1:$D$1,0))</f>
        <v>Low</v>
      </c>
      <c r="H540" s="12" t="n">
        <v>46186</v>
      </c>
      <c r="I540" s="5" t="s">
        <v>2250</v>
      </c>
      <c r="J540" s="5" t="s">
        <v>2251</v>
      </c>
      <c r="K540" s="5" t="s">
        <v>2283</v>
      </c>
      <c r="L540" s="5" t="n">
        <f aca="false">IF(G540="High",3,IF(G540="Medium",2,1))</f>
        <v>1</v>
      </c>
    </row>
    <row r="541" customFormat="false" ht="15" hidden="false" customHeight="true" outlineLevel="0" collapsed="false">
      <c r="A541" s="5" t="s">
        <v>2817</v>
      </c>
      <c r="B541" s="5" t="s">
        <v>1177</v>
      </c>
      <c r="C541" s="5" t="s">
        <v>2262</v>
      </c>
      <c r="D541" s="5" t="s">
        <v>2263</v>
      </c>
      <c r="E541" s="5" t="s">
        <v>59</v>
      </c>
      <c r="F541" s="5" t="s">
        <v>59</v>
      </c>
      <c r="G541" s="5" t="str">
        <f aca="false">INDEX(Risk_Matrix!$B$2:$D$4,MATCH(E541,Risk_Matrix!$A$2:$A$4,0),MATCH(F541,Risk_Matrix!$B$1:$D$1,0))</f>
        <v>Low</v>
      </c>
      <c r="H541" s="12" t="n">
        <v>46205</v>
      </c>
      <c r="I541" s="5" t="s">
        <v>2250</v>
      </c>
      <c r="J541" s="5" t="s">
        <v>2251</v>
      </c>
      <c r="K541" s="5" t="s">
        <v>2243</v>
      </c>
      <c r="L541" s="5" t="n">
        <f aca="false">IF(G541="High",3,IF(G541="Medium",2,1))</f>
        <v>1</v>
      </c>
    </row>
    <row r="542" customFormat="false" ht="15" hidden="false" customHeight="true" outlineLevel="0" collapsed="false">
      <c r="A542" s="5" t="s">
        <v>2818</v>
      </c>
      <c r="B542" s="5" t="s">
        <v>1179</v>
      </c>
      <c r="C542" s="5" t="s">
        <v>2239</v>
      </c>
      <c r="D542" s="5" t="s">
        <v>2278</v>
      </c>
      <c r="E542" s="5" t="s">
        <v>59</v>
      </c>
      <c r="F542" s="5" t="s">
        <v>2225</v>
      </c>
      <c r="G542" s="5" t="str">
        <f aca="false">INDEX(Risk_Matrix!$B$2:$D$4,MATCH(E542,Risk_Matrix!$A$2:$A$4,0),MATCH(F542,Risk_Matrix!$B$1:$D$1,0))</f>
        <v>Low</v>
      </c>
      <c r="H542" s="12" t="n">
        <v>46190</v>
      </c>
      <c r="I542" s="5" t="s">
        <v>2256</v>
      </c>
      <c r="J542" s="5" t="s">
        <v>2257</v>
      </c>
      <c r="K542" s="5" t="s">
        <v>2276</v>
      </c>
      <c r="L542" s="5" t="n">
        <f aca="false">IF(G542="High",3,IF(G542="Medium",2,1))</f>
        <v>1</v>
      </c>
    </row>
    <row r="543" customFormat="false" ht="15" hidden="false" customHeight="true" outlineLevel="0" collapsed="false">
      <c r="A543" s="5" t="s">
        <v>2819</v>
      </c>
      <c r="B543" s="5" t="s">
        <v>1179</v>
      </c>
      <c r="C543" s="5" t="s">
        <v>2245</v>
      </c>
      <c r="D543" s="5" t="s">
        <v>2246</v>
      </c>
      <c r="E543" s="5" t="s">
        <v>54</v>
      </c>
      <c r="F543" s="5" t="s">
        <v>59</v>
      </c>
      <c r="G543" s="5" t="str">
        <f aca="false">INDEX(Risk_Matrix!$B$2:$D$4,MATCH(E543,Risk_Matrix!$A$2:$A$4,0),MATCH(F543,Risk_Matrix!$B$1:$D$1,0))</f>
        <v>Medium</v>
      </c>
      <c r="H543" s="12" t="n">
        <v>46073</v>
      </c>
      <c r="I543" s="5" t="s">
        <v>2264</v>
      </c>
      <c r="J543" s="5" t="s">
        <v>2265</v>
      </c>
      <c r="K543" s="5" t="s">
        <v>2252</v>
      </c>
      <c r="L543" s="5" t="n">
        <f aca="false">IF(G543="High",3,IF(G543="Medium",2,1))</f>
        <v>2</v>
      </c>
    </row>
    <row r="544" customFormat="false" ht="15" hidden="false" customHeight="true" outlineLevel="0" collapsed="false">
      <c r="A544" s="5" t="s">
        <v>2820</v>
      </c>
      <c r="B544" s="5" t="s">
        <v>1179</v>
      </c>
      <c r="C544" s="5" t="s">
        <v>2248</v>
      </c>
      <c r="D544" s="5" t="s">
        <v>2271</v>
      </c>
      <c r="E544" s="5" t="s">
        <v>2225</v>
      </c>
      <c r="F544" s="5" t="s">
        <v>2225</v>
      </c>
      <c r="G544" s="5" t="str">
        <f aca="false">INDEX(Risk_Matrix!$B$2:$D$4,MATCH(E544,Risk_Matrix!$A$2:$A$4,0),MATCH(F544,Risk_Matrix!$B$1:$D$1,0))</f>
        <v>Medium</v>
      </c>
      <c r="H544" s="12" t="n">
        <v>46114</v>
      </c>
      <c r="I544" s="5" t="s">
        <v>2264</v>
      </c>
      <c r="J544" s="5" t="s">
        <v>2265</v>
      </c>
      <c r="K544" s="5" t="s">
        <v>2283</v>
      </c>
      <c r="L544" s="5" t="n">
        <f aca="false">IF(G544="High",3,IF(G544="Medium",2,1))</f>
        <v>2</v>
      </c>
    </row>
    <row r="545" customFormat="false" ht="15" hidden="false" customHeight="true" outlineLevel="0" collapsed="false">
      <c r="A545" s="5" t="s">
        <v>2821</v>
      </c>
      <c r="B545" s="5" t="s">
        <v>1179</v>
      </c>
      <c r="C545" s="5" t="s">
        <v>2254</v>
      </c>
      <c r="D545" s="5" t="s">
        <v>2299</v>
      </c>
      <c r="E545" s="5" t="s">
        <v>2225</v>
      </c>
      <c r="F545" s="5" t="s">
        <v>2225</v>
      </c>
      <c r="G545" s="5" t="str">
        <f aca="false">INDEX(Risk_Matrix!$B$2:$D$4,MATCH(E545,Risk_Matrix!$A$2:$A$4,0),MATCH(F545,Risk_Matrix!$B$1:$D$1,0))</f>
        <v>Medium</v>
      </c>
      <c r="H545" s="12" t="n">
        <v>46161</v>
      </c>
      <c r="I545" s="5" t="s">
        <v>2250</v>
      </c>
      <c r="J545" s="5" t="s">
        <v>2251</v>
      </c>
      <c r="K545" s="5" t="s">
        <v>2283</v>
      </c>
      <c r="L545" s="5" t="n">
        <f aca="false">IF(G545="High",3,IF(G545="Medium",2,1))</f>
        <v>2</v>
      </c>
    </row>
    <row r="546" customFormat="false" ht="15" hidden="false" customHeight="true" outlineLevel="0" collapsed="false">
      <c r="A546" s="5" t="s">
        <v>2822</v>
      </c>
      <c r="B546" s="5" t="s">
        <v>1179</v>
      </c>
      <c r="C546" s="5" t="s">
        <v>2259</v>
      </c>
      <c r="D546" s="5" t="s">
        <v>2260</v>
      </c>
      <c r="E546" s="5" t="s">
        <v>54</v>
      </c>
      <c r="F546" s="5" t="s">
        <v>59</v>
      </c>
      <c r="G546" s="5" t="str">
        <f aca="false">INDEX(Risk_Matrix!$B$2:$D$4,MATCH(E546,Risk_Matrix!$A$2:$A$4,0),MATCH(F546,Risk_Matrix!$B$1:$D$1,0))</f>
        <v>Medium</v>
      </c>
      <c r="H546" s="12" t="n">
        <v>46180</v>
      </c>
      <c r="I546" s="5" t="s">
        <v>2264</v>
      </c>
      <c r="J546" s="5" t="s">
        <v>2265</v>
      </c>
      <c r="K546" s="5" t="s">
        <v>2243</v>
      </c>
      <c r="L546" s="5" t="n">
        <f aca="false">IF(G546="High",3,IF(G546="Medium",2,1))</f>
        <v>2</v>
      </c>
    </row>
    <row r="547" customFormat="false" ht="15" hidden="false" customHeight="true" outlineLevel="0" collapsed="false">
      <c r="A547" s="5" t="s">
        <v>2823</v>
      </c>
      <c r="B547" s="5" t="s">
        <v>1179</v>
      </c>
      <c r="C547" s="5" t="s">
        <v>2262</v>
      </c>
      <c r="D547" s="5" t="s">
        <v>2311</v>
      </c>
      <c r="E547" s="5" t="s">
        <v>54</v>
      </c>
      <c r="F547" s="5" t="s">
        <v>2225</v>
      </c>
      <c r="G547" s="5" t="str">
        <f aca="false">INDEX(Risk_Matrix!$B$2:$D$4,MATCH(E547,Risk_Matrix!$A$2:$A$4,0),MATCH(F547,Risk_Matrix!$B$1:$D$1,0))</f>
        <v>High</v>
      </c>
      <c r="H547" s="12" t="n">
        <v>46148</v>
      </c>
      <c r="I547" s="5" t="s">
        <v>2256</v>
      </c>
      <c r="J547" s="5" t="s">
        <v>2257</v>
      </c>
      <c r="K547" s="5" t="s">
        <v>2252</v>
      </c>
      <c r="L547" s="5" t="n">
        <f aca="false">IF(G547="High",3,IF(G547="Medium",2,1))</f>
        <v>3</v>
      </c>
    </row>
    <row r="548" customFormat="false" ht="15" hidden="false" customHeight="true" outlineLevel="0" collapsed="false">
      <c r="A548" s="5" t="s">
        <v>2824</v>
      </c>
      <c r="B548" s="5" t="s">
        <v>1181</v>
      </c>
      <c r="C548" s="5" t="s">
        <v>2239</v>
      </c>
      <c r="D548" s="5" t="s">
        <v>2295</v>
      </c>
      <c r="E548" s="5" t="s">
        <v>54</v>
      </c>
      <c r="F548" s="5" t="s">
        <v>2225</v>
      </c>
      <c r="G548" s="5" t="str">
        <f aca="false">INDEX(Risk_Matrix!$B$2:$D$4,MATCH(E548,Risk_Matrix!$A$2:$A$4,0),MATCH(F548,Risk_Matrix!$B$1:$D$1,0))</f>
        <v>High</v>
      </c>
      <c r="H548" s="12" t="n">
        <v>46101</v>
      </c>
      <c r="I548" s="5" t="s">
        <v>2256</v>
      </c>
      <c r="J548" s="5" t="s">
        <v>2257</v>
      </c>
      <c r="K548" s="5" t="s">
        <v>2252</v>
      </c>
      <c r="L548" s="5" t="n">
        <f aca="false">IF(G548="High",3,IF(G548="Medium",2,1))</f>
        <v>3</v>
      </c>
    </row>
    <row r="549" customFormat="false" ht="15" hidden="false" customHeight="true" outlineLevel="0" collapsed="false">
      <c r="A549" s="5" t="s">
        <v>2825</v>
      </c>
      <c r="B549" s="5" t="s">
        <v>1181</v>
      </c>
      <c r="C549" s="5" t="s">
        <v>2245</v>
      </c>
      <c r="D549" s="5" t="s">
        <v>2320</v>
      </c>
      <c r="E549" s="5" t="s">
        <v>54</v>
      </c>
      <c r="F549" s="5" t="s">
        <v>2225</v>
      </c>
      <c r="G549" s="5" t="str">
        <f aca="false">INDEX(Risk_Matrix!$B$2:$D$4,MATCH(E549,Risk_Matrix!$A$2:$A$4,0),MATCH(F549,Risk_Matrix!$B$1:$D$1,0))</f>
        <v>High</v>
      </c>
      <c r="H549" s="12" t="n">
        <v>46068</v>
      </c>
      <c r="I549" s="5" t="s">
        <v>2250</v>
      </c>
      <c r="J549" s="5" t="s">
        <v>2251</v>
      </c>
      <c r="K549" s="5" t="s">
        <v>2266</v>
      </c>
      <c r="L549" s="5" t="n">
        <f aca="false">IF(G549="High",3,IF(G549="Medium",2,1))</f>
        <v>3</v>
      </c>
    </row>
    <row r="550" customFormat="false" ht="15" hidden="false" customHeight="true" outlineLevel="0" collapsed="false">
      <c r="A550" s="5" t="s">
        <v>2826</v>
      </c>
      <c r="B550" s="5" t="s">
        <v>1181</v>
      </c>
      <c r="C550" s="5" t="s">
        <v>2248</v>
      </c>
      <c r="D550" s="5" t="s">
        <v>2322</v>
      </c>
      <c r="E550" s="5" t="s">
        <v>59</v>
      </c>
      <c r="F550" s="5" t="s">
        <v>59</v>
      </c>
      <c r="G550" s="5" t="str">
        <f aca="false">INDEX(Risk_Matrix!$B$2:$D$4,MATCH(E550,Risk_Matrix!$A$2:$A$4,0),MATCH(F550,Risk_Matrix!$B$1:$D$1,0))</f>
        <v>Low</v>
      </c>
      <c r="H550" s="12" t="n">
        <v>46206</v>
      </c>
      <c r="I550" s="5" t="s">
        <v>2256</v>
      </c>
      <c r="J550" s="5" t="s">
        <v>2257</v>
      </c>
      <c r="K550" s="5" t="s">
        <v>2243</v>
      </c>
      <c r="L550" s="5" t="n">
        <f aca="false">IF(G550="High",3,IF(G550="Medium",2,1))</f>
        <v>1</v>
      </c>
    </row>
    <row r="551" customFormat="false" ht="15" hidden="false" customHeight="true" outlineLevel="0" collapsed="false">
      <c r="A551" s="5" t="s">
        <v>2827</v>
      </c>
      <c r="B551" s="5" t="s">
        <v>1181</v>
      </c>
      <c r="C551" s="5" t="s">
        <v>2254</v>
      </c>
      <c r="D551" s="5" t="s">
        <v>2308</v>
      </c>
      <c r="E551" s="5" t="s">
        <v>59</v>
      </c>
      <c r="F551" s="5" t="s">
        <v>59</v>
      </c>
      <c r="G551" s="5" t="str">
        <f aca="false">INDEX(Risk_Matrix!$B$2:$D$4,MATCH(E551,Risk_Matrix!$A$2:$A$4,0),MATCH(F551,Risk_Matrix!$B$1:$D$1,0))</f>
        <v>Low</v>
      </c>
      <c r="H551" s="12" t="n">
        <v>46068</v>
      </c>
      <c r="I551" s="5" t="s">
        <v>2250</v>
      </c>
      <c r="J551" s="5" t="s">
        <v>2251</v>
      </c>
      <c r="K551" s="5" t="s">
        <v>2252</v>
      </c>
      <c r="L551" s="5" t="n">
        <f aca="false">IF(G551="High",3,IF(G551="Medium",2,1))</f>
        <v>1</v>
      </c>
    </row>
    <row r="552" customFormat="false" ht="15" hidden="false" customHeight="true" outlineLevel="0" collapsed="false">
      <c r="A552" s="5" t="s">
        <v>2828</v>
      </c>
      <c r="B552" s="5" t="s">
        <v>1181</v>
      </c>
      <c r="C552" s="5" t="s">
        <v>2259</v>
      </c>
      <c r="D552" s="5" t="s">
        <v>2274</v>
      </c>
      <c r="E552" s="5" t="s">
        <v>59</v>
      </c>
      <c r="F552" s="5" t="s">
        <v>59</v>
      </c>
      <c r="G552" s="5" t="str">
        <f aca="false">INDEX(Risk_Matrix!$B$2:$D$4,MATCH(E552,Risk_Matrix!$A$2:$A$4,0),MATCH(F552,Risk_Matrix!$B$1:$D$1,0))</f>
        <v>Low</v>
      </c>
      <c r="H552" s="12" t="n">
        <v>46102</v>
      </c>
      <c r="I552" s="5" t="s">
        <v>2241</v>
      </c>
      <c r="J552" s="5" t="s">
        <v>2242</v>
      </c>
      <c r="K552" s="5" t="s">
        <v>2252</v>
      </c>
      <c r="L552" s="5" t="n">
        <f aca="false">IF(G552="High",3,IF(G552="Medium",2,1))</f>
        <v>1</v>
      </c>
    </row>
    <row r="553" customFormat="false" ht="15" hidden="false" customHeight="true" outlineLevel="0" collapsed="false">
      <c r="A553" s="5" t="s">
        <v>2829</v>
      </c>
      <c r="B553" s="5" t="s">
        <v>1181</v>
      </c>
      <c r="C553" s="5" t="s">
        <v>2262</v>
      </c>
      <c r="D553" s="5" t="s">
        <v>2287</v>
      </c>
      <c r="E553" s="5" t="s">
        <v>54</v>
      </c>
      <c r="F553" s="5" t="s">
        <v>59</v>
      </c>
      <c r="G553" s="5" t="str">
        <f aca="false">INDEX(Risk_Matrix!$B$2:$D$4,MATCH(E553,Risk_Matrix!$A$2:$A$4,0),MATCH(F553,Risk_Matrix!$B$1:$D$1,0))</f>
        <v>Medium</v>
      </c>
      <c r="H553" s="12" t="n">
        <v>46201</v>
      </c>
      <c r="I553" s="5" t="s">
        <v>2250</v>
      </c>
      <c r="J553" s="5" t="s">
        <v>2251</v>
      </c>
      <c r="K553" s="5" t="s">
        <v>2243</v>
      </c>
      <c r="L553" s="5" t="n">
        <f aca="false">IF(G553="High",3,IF(G553="Medium",2,1))</f>
        <v>2</v>
      </c>
    </row>
    <row r="554" customFormat="false" ht="15" hidden="false" customHeight="true" outlineLevel="0" collapsed="false">
      <c r="A554" s="5" t="s">
        <v>2830</v>
      </c>
      <c r="B554" s="5" t="s">
        <v>1182</v>
      </c>
      <c r="C554" s="5" t="s">
        <v>2239</v>
      </c>
      <c r="D554" s="5" t="s">
        <v>2278</v>
      </c>
      <c r="E554" s="5" t="s">
        <v>59</v>
      </c>
      <c r="F554" s="5" t="s">
        <v>54</v>
      </c>
      <c r="G554" s="5" t="str">
        <f aca="false">INDEX(Risk_Matrix!$B$2:$D$4,MATCH(E554,Risk_Matrix!$A$2:$A$4,0),MATCH(F554,Risk_Matrix!$B$1:$D$1,0))</f>
        <v>Medium</v>
      </c>
      <c r="H554" s="12" t="n">
        <v>46109</v>
      </c>
      <c r="I554" s="5" t="s">
        <v>2250</v>
      </c>
      <c r="J554" s="5" t="s">
        <v>2251</v>
      </c>
      <c r="K554" s="5" t="s">
        <v>2252</v>
      </c>
      <c r="L554" s="5" t="n">
        <f aca="false">IF(G554="High",3,IF(G554="Medium",2,1))</f>
        <v>2</v>
      </c>
    </row>
    <row r="555" customFormat="false" ht="15" hidden="false" customHeight="true" outlineLevel="0" collapsed="false">
      <c r="A555" s="5" t="s">
        <v>2831</v>
      </c>
      <c r="B555" s="5" t="s">
        <v>1182</v>
      </c>
      <c r="C555" s="5" t="s">
        <v>2245</v>
      </c>
      <c r="D555" s="5" t="s">
        <v>2269</v>
      </c>
      <c r="E555" s="5" t="s">
        <v>59</v>
      </c>
      <c r="F555" s="5" t="s">
        <v>59</v>
      </c>
      <c r="G555" s="5" t="str">
        <f aca="false">INDEX(Risk_Matrix!$B$2:$D$4,MATCH(E555,Risk_Matrix!$A$2:$A$4,0),MATCH(F555,Risk_Matrix!$B$1:$D$1,0))</f>
        <v>Low</v>
      </c>
      <c r="H555" s="12" t="n">
        <v>46092</v>
      </c>
      <c r="I555" s="5" t="s">
        <v>2264</v>
      </c>
      <c r="J555" s="5" t="s">
        <v>2265</v>
      </c>
      <c r="K555" s="5" t="s">
        <v>2266</v>
      </c>
      <c r="L555" s="5" t="n">
        <f aca="false">IF(G555="High",3,IF(G555="Medium",2,1))</f>
        <v>1</v>
      </c>
    </row>
    <row r="556" customFormat="false" ht="15" hidden="false" customHeight="true" outlineLevel="0" collapsed="false">
      <c r="A556" s="5" t="s">
        <v>2832</v>
      </c>
      <c r="B556" s="5" t="s">
        <v>1182</v>
      </c>
      <c r="C556" s="5" t="s">
        <v>2248</v>
      </c>
      <c r="D556" s="5" t="s">
        <v>2271</v>
      </c>
      <c r="E556" s="5" t="s">
        <v>59</v>
      </c>
      <c r="F556" s="5" t="s">
        <v>59</v>
      </c>
      <c r="G556" s="5" t="str">
        <f aca="false">INDEX(Risk_Matrix!$B$2:$D$4,MATCH(E556,Risk_Matrix!$A$2:$A$4,0),MATCH(F556,Risk_Matrix!$B$1:$D$1,0))</f>
        <v>Low</v>
      </c>
      <c r="H556" s="12" t="n">
        <v>46228</v>
      </c>
      <c r="I556" s="5" t="s">
        <v>2250</v>
      </c>
      <c r="J556" s="5" t="s">
        <v>2251</v>
      </c>
      <c r="K556" s="5" t="s">
        <v>2266</v>
      </c>
      <c r="L556" s="5" t="n">
        <f aca="false">IF(G556="High",3,IF(G556="Medium",2,1))</f>
        <v>1</v>
      </c>
    </row>
    <row r="557" customFormat="false" ht="15" hidden="false" customHeight="true" outlineLevel="0" collapsed="false">
      <c r="A557" s="5" t="s">
        <v>2833</v>
      </c>
      <c r="B557" s="5" t="s">
        <v>1182</v>
      </c>
      <c r="C557" s="5" t="s">
        <v>2254</v>
      </c>
      <c r="D557" s="5" t="s">
        <v>2299</v>
      </c>
      <c r="E557" s="5" t="s">
        <v>2225</v>
      </c>
      <c r="F557" s="5" t="s">
        <v>59</v>
      </c>
      <c r="G557" s="5" t="str">
        <f aca="false">INDEX(Risk_Matrix!$B$2:$D$4,MATCH(E557,Risk_Matrix!$A$2:$A$4,0),MATCH(F557,Risk_Matrix!$B$1:$D$1,0))</f>
        <v>Low</v>
      </c>
      <c r="H557" s="12" t="n">
        <v>46182</v>
      </c>
      <c r="I557" s="5" t="s">
        <v>2250</v>
      </c>
      <c r="J557" s="5" t="s">
        <v>2251</v>
      </c>
      <c r="K557" s="5" t="s">
        <v>2243</v>
      </c>
      <c r="L557" s="5" t="n">
        <f aca="false">IF(G557="High",3,IF(G557="Medium",2,1))</f>
        <v>1</v>
      </c>
    </row>
    <row r="558" customFormat="false" ht="15" hidden="false" customHeight="true" outlineLevel="0" collapsed="false">
      <c r="A558" s="5" t="s">
        <v>2834</v>
      </c>
      <c r="B558" s="5" t="s">
        <v>1182</v>
      </c>
      <c r="C558" s="5" t="s">
        <v>2259</v>
      </c>
      <c r="D558" s="5" t="s">
        <v>2274</v>
      </c>
      <c r="E558" s="5" t="s">
        <v>59</v>
      </c>
      <c r="F558" s="5" t="s">
        <v>59</v>
      </c>
      <c r="G558" s="5" t="str">
        <f aca="false">INDEX(Risk_Matrix!$B$2:$D$4,MATCH(E558,Risk_Matrix!$A$2:$A$4,0),MATCH(F558,Risk_Matrix!$B$1:$D$1,0))</f>
        <v>Low</v>
      </c>
      <c r="H558" s="12" t="n">
        <v>46089</v>
      </c>
      <c r="I558" s="5" t="s">
        <v>2250</v>
      </c>
      <c r="J558" s="5" t="s">
        <v>2251</v>
      </c>
      <c r="K558" s="5" t="s">
        <v>2283</v>
      </c>
      <c r="L558" s="5" t="n">
        <f aca="false">IF(G558="High",3,IF(G558="Medium",2,1))</f>
        <v>1</v>
      </c>
    </row>
    <row r="559" customFormat="false" ht="15" hidden="false" customHeight="true" outlineLevel="0" collapsed="false">
      <c r="A559" s="5" t="s">
        <v>2835</v>
      </c>
      <c r="B559" s="5" t="s">
        <v>1182</v>
      </c>
      <c r="C559" s="5" t="s">
        <v>2262</v>
      </c>
      <c r="D559" s="5" t="s">
        <v>2287</v>
      </c>
      <c r="E559" s="5" t="s">
        <v>2225</v>
      </c>
      <c r="F559" s="5" t="s">
        <v>2225</v>
      </c>
      <c r="G559" s="5" t="str">
        <f aca="false">INDEX(Risk_Matrix!$B$2:$D$4,MATCH(E559,Risk_Matrix!$A$2:$A$4,0),MATCH(F559,Risk_Matrix!$B$1:$D$1,0))</f>
        <v>Medium</v>
      </c>
      <c r="H559" s="12" t="n">
        <v>46217</v>
      </c>
      <c r="I559" s="5" t="s">
        <v>2256</v>
      </c>
      <c r="J559" s="5" t="s">
        <v>2257</v>
      </c>
      <c r="K559" s="5" t="s">
        <v>2283</v>
      </c>
      <c r="L559" s="5" t="n">
        <f aca="false">IF(G559="High",3,IF(G559="Medium",2,1))</f>
        <v>2</v>
      </c>
    </row>
    <row r="560" customFormat="false" ht="15" hidden="false" customHeight="true" outlineLevel="0" collapsed="false">
      <c r="A560" s="5" t="s">
        <v>2836</v>
      </c>
      <c r="B560" s="5" t="s">
        <v>1183</v>
      </c>
      <c r="C560" s="5" t="s">
        <v>2239</v>
      </c>
      <c r="D560" s="5" t="s">
        <v>2295</v>
      </c>
      <c r="E560" s="5" t="s">
        <v>2225</v>
      </c>
      <c r="F560" s="5" t="s">
        <v>54</v>
      </c>
      <c r="G560" s="5" t="str">
        <f aca="false">INDEX(Risk_Matrix!$B$2:$D$4,MATCH(E560,Risk_Matrix!$A$2:$A$4,0),MATCH(F560,Risk_Matrix!$B$1:$D$1,0))</f>
        <v>High</v>
      </c>
      <c r="H560" s="12" t="n">
        <v>46138</v>
      </c>
      <c r="I560" s="5" t="s">
        <v>2241</v>
      </c>
      <c r="J560" s="5" t="s">
        <v>2242</v>
      </c>
      <c r="K560" s="5" t="s">
        <v>2266</v>
      </c>
      <c r="L560" s="5" t="n">
        <f aca="false">IF(G560="High",3,IF(G560="Medium",2,1))</f>
        <v>3</v>
      </c>
    </row>
    <row r="561" customFormat="false" ht="15" hidden="false" customHeight="true" outlineLevel="0" collapsed="false">
      <c r="A561" s="5" t="s">
        <v>2837</v>
      </c>
      <c r="B561" s="5" t="s">
        <v>1183</v>
      </c>
      <c r="C561" s="5" t="s">
        <v>2245</v>
      </c>
      <c r="D561" s="5" t="s">
        <v>2280</v>
      </c>
      <c r="E561" s="5" t="s">
        <v>59</v>
      </c>
      <c r="F561" s="5" t="s">
        <v>2225</v>
      </c>
      <c r="G561" s="5" t="str">
        <f aca="false">INDEX(Risk_Matrix!$B$2:$D$4,MATCH(E561,Risk_Matrix!$A$2:$A$4,0),MATCH(F561,Risk_Matrix!$B$1:$D$1,0))</f>
        <v>Low</v>
      </c>
      <c r="H561" s="12" t="n">
        <v>46068</v>
      </c>
      <c r="I561" s="5" t="s">
        <v>2264</v>
      </c>
      <c r="J561" s="5" t="s">
        <v>2265</v>
      </c>
      <c r="K561" s="5" t="s">
        <v>2252</v>
      </c>
      <c r="L561" s="5" t="n">
        <f aca="false">IF(G561="High",3,IF(G561="Medium",2,1))</f>
        <v>1</v>
      </c>
    </row>
    <row r="562" customFormat="false" ht="15" hidden="false" customHeight="true" outlineLevel="0" collapsed="false">
      <c r="A562" s="5" t="s">
        <v>2838</v>
      </c>
      <c r="B562" s="5" t="s">
        <v>1183</v>
      </c>
      <c r="C562" s="5" t="s">
        <v>2248</v>
      </c>
      <c r="D562" s="5" t="s">
        <v>2271</v>
      </c>
      <c r="E562" s="5" t="s">
        <v>59</v>
      </c>
      <c r="F562" s="5" t="s">
        <v>54</v>
      </c>
      <c r="G562" s="5" t="str">
        <f aca="false">INDEX(Risk_Matrix!$B$2:$D$4,MATCH(E562,Risk_Matrix!$A$2:$A$4,0),MATCH(F562,Risk_Matrix!$B$1:$D$1,0))</f>
        <v>Medium</v>
      </c>
      <c r="H562" s="12" t="n">
        <v>46143</v>
      </c>
      <c r="I562" s="5" t="s">
        <v>2256</v>
      </c>
      <c r="J562" s="5" t="s">
        <v>2257</v>
      </c>
      <c r="K562" s="5" t="s">
        <v>2276</v>
      </c>
      <c r="L562" s="5" t="n">
        <f aca="false">IF(G562="High",3,IF(G562="Medium",2,1))</f>
        <v>2</v>
      </c>
    </row>
    <row r="563" customFormat="false" ht="15" hidden="false" customHeight="true" outlineLevel="0" collapsed="false">
      <c r="A563" s="5" t="s">
        <v>2839</v>
      </c>
      <c r="B563" s="5" t="s">
        <v>1183</v>
      </c>
      <c r="C563" s="5" t="s">
        <v>2254</v>
      </c>
      <c r="D563" s="5" t="s">
        <v>2308</v>
      </c>
      <c r="E563" s="5" t="s">
        <v>59</v>
      </c>
      <c r="F563" s="5" t="s">
        <v>59</v>
      </c>
      <c r="G563" s="5" t="str">
        <f aca="false">INDEX(Risk_Matrix!$B$2:$D$4,MATCH(E563,Risk_Matrix!$A$2:$A$4,0),MATCH(F563,Risk_Matrix!$B$1:$D$1,0))</f>
        <v>Low</v>
      </c>
      <c r="H563" s="12" t="n">
        <v>46095</v>
      </c>
      <c r="I563" s="5" t="s">
        <v>2250</v>
      </c>
      <c r="J563" s="5" t="s">
        <v>2251</v>
      </c>
      <c r="K563" s="5" t="s">
        <v>2276</v>
      </c>
      <c r="L563" s="5" t="n">
        <f aca="false">IF(G563="High",3,IF(G563="Medium",2,1))</f>
        <v>1</v>
      </c>
    </row>
    <row r="564" customFormat="false" ht="15" hidden="false" customHeight="true" outlineLevel="0" collapsed="false">
      <c r="A564" s="5" t="s">
        <v>2840</v>
      </c>
      <c r="B564" s="5" t="s">
        <v>1183</v>
      </c>
      <c r="C564" s="5" t="s">
        <v>2259</v>
      </c>
      <c r="D564" s="5" t="s">
        <v>2260</v>
      </c>
      <c r="E564" s="5" t="s">
        <v>2225</v>
      </c>
      <c r="F564" s="5" t="s">
        <v>59</v>
      </c>
      <c r="G564" s="5" t="str">
        <f aca="false">INDEX(Risk_Matrix!$B$2:$D$4,MATCH(E564,Risk_Matrix!$A$2:$A$4,0),MATCH(F564,Risk_Matrix!$B$1:$D$1,0))</f>
        <v>Low</v>
      </c>
      <c r="H564" s="12" t="n">
        <v>46125</v>
      </c>
      <c r="I564" s="5" t="s">
        <v>2241</v>
      </c>
      <c r="J564" s="5" t="s">
        <v>2242</v>
      </c>
      <c r="K564" s="5" t="s">
        <v>2252</v>
      </c>
      <c r="L564" s="5" t="n">
        <f aca="false">IF(G564="High",3,IF(G564="Medium",2,1))</f>
        <v>1</v>
      </c>
    </row>
    <row r="565" customFormat="false" ht="15" hidden="false" customHeight="true" outlineLevel="0" collapsed="false">
      <c r="A565" s="5" t="s">
        <v>2841</v>
      </c>
      <c r="B565" s="5" t="s">
        <v>1183</v>
      </c>
      <c r="C565" s="5" t="s">
        <v>2262</v>
      </c>
      <c r="D565" s="5" t="s">
        <v>2287</v>
      </c>
      <c r="E565" s="5" t="s">
        <v>2225</v>
      </c>
      <c r="F565" s="5" t="s">
        <v>54</v>
      </c>
      <c r="G565" s="5" t="str">
        <f aca="false">INDEX(Risk_Matrix!$B$2:$D$4,MATCH(E565,Risk_Matrix!$A$2:$A$4,0),MATCH(F565,Risk_Matrix!$B$1:$D$1,0))</f>
        <v>High</v>
      </c>
      <c r="H565" s="12" t="n">
        <v>46132</v>
      </c>
      <c r="I565" s="5" t="s">
        <v>2250</v>
      </c>
      <c r="J565" s="5" t="s">
        <v>2251</v>
      </c>
      <c r="K565" s="5" t="s">
        <v>2266</v>
      </c>
      <c r="L565" s="5" t="n">
        <f aca="false">IF(G565="High",3,IF(G565="Medium",2,1))</f>
        <v>3</v>
      </c>
    </row>
    <row r="566" customFormat="false" ht="15" hidden="false" customHeight="true" outlineLevel="0" collapsed="false">
      <c r="A566" s="5" t="s">
        <v>2842</v>
      </c>
      <c r="B566" s="5" t="s">
        <v>1184</v>
      </c>
      <c r="C566" s="5" t="s">
        <v>2239</v>
      </c>
      <c r="D566" s="5" t="s">
        <v>2240</v>
      </c>
      <c r="E566" s="5" t="s">
        <v>59</v>
      </c>
      <c r="F566" s="5" t="s">
        <v>59</v>
      </c>
      <c r="G566" s="5" t="str">
        <f aca="false">INDEX(Risk_Matrix!$B$2:$D$4,MATCH(E566,Risk_Matrix!$A$2:$A$4,0),MATCH(F566,Risk_Matrix!$B$1:$D$1,0))</f>
        <v>Low</v>
      </c>
      <c r="H566" s="12" t="n">
        <v>46104</v>
      </c>
      <c r="I566" s="5" t="s">
        <v>2241</v>
      </c>
      <c r="J566" s="5" t="s">
        <v>2242</v>
      </c>
      <c r="K566" s="5" t="s">
        <v>2252</v>
      </c>
      <c r="L566" s="5" t="n">
        <f aca="false">IF(G566="High",3,IF(G566="Medium",2,1))</f>
        <v>1</v>
      </c>
    </row>
    <row r="567" customFormat="false" ht="15" hidden="false" customHeight="true" outlineLevel="0" collapsed="false">
      <c r="A567" s="5" t="s">
        <v>2843</v>
      </c>
      <c r="B567" s="5" t="s">
        <v>1184</v>
      </c>
      <c r="C567" s="5" t="s">
        <v>2245</v>
      </c>
      <c r="D567" s="5" t="s">
        <v>2246</v>
      </c>
      <c r="E567" s="5" t="s">
        <v>54</v>
      </c>
      <c r="F567" s="5" t="s">
        <v>2225</v>
      </c>
      <c r="G567" s="5" t="str">
        <f aca="false">INDEX(Risk_Matrix!$B$2:$D$4,MATCH(E567,Risk_Matrix!$A$2:$A$4,0),MATCH(F567,Risk_Matrix!$B$1:$D$1,0))</f>
        <v>High</v>
      </c>
      <c r="H567" s="12" t="n">
        <v>46237</v>
      </c>
      <c r="I567" s="5" t="s">
        <v>2256</v>
      </c>
      <c r="J567" s="5" t="s">
        <v>2257</v>
      </c>
      <c r="K567" s="5" t="s">
        <v>2243</v>
      </c>
      <c r="L567" s="5" t="n">
        <f aca="false">IF(G567="High",3,IF(G567="Medium",2,1))</f>
        <v>3</v>
      </c>
    </row>
    <row r="568" customFormat="false" ht="15" hidden="false" customHeight="true" outlineLevel="0" collapsed="false">
      <c r="A568" s="5" t="s">
        <v>2844</v>
      </c>
      <c r="B568" s="5" t="s">
        <v>1184</v>
      </c>
      <c r="C568" s="5" t="s">
        <v>2248</v>
      </c>
      <c r="D568" s="5" t="s">
        <v>2249</v>
      </c>
      <c r="E568" s="5" t="s">
        <v>59</v>
      </c>
      <c r="F568" s="5" t="s">
        <v>2225</v>
      </c>
      <c r="G568" s="5" t="str">
        <f aca="false">INDEX(Risk_Matrix!$B$2:$D$4,MATCH(E568,Risk_Matrix!$A$2:$A$4,0),MATCH(F568,Risk_Matrix!$B$1:$D$1,0))</f>
        <v>Low</v>
      </c>
      <c r="H568" s="12" t="n">
        <v>46203</v>
      </c>
      <c r="I568" s="5" t="s">
        <v>2250</v>
      </c>
      <c r="J568" s="5" t="s">
        <v>2251</v>
      </c>
      <c r="K568" s="5" t="s">
        <v>2266</v>
      </c>
      <c r="L568" s="5" t="n">
        <f aca="false">IF(G568="High",3,IF(G568="Medium",2,1))</f>
        <v>1</v>
      </c>
    </row>
    <row r="569" customFormat="false" ht="15" hidden="false" customHeight="true" outlineLevel="0" collapsed="false">
      <c r="A569" s="5" t="s">
        <v>2845</v>
      </c>
      <c r="B569" s="5" t="s">
        <v>1184</v>
      </c>
      <c r="C569" s="5" t="s">
        <v>2254</v>
      </c>
      <c r="D569" s="5" t="s">
        <v>2255</v>
      </c>
      <c r="E569" s="5" t="s">
        <v>2225</v>
      </c>
      <c r="F569" s="5" t="s">
        <v>59</v>
      </c>
      <c r="G569" s="5" t="str">
        <f aca="false">INDEX(Risk_Matrix!$B$2:$D$4,MATCH(E569,Risk_Matrix!$A$2:$A$4,0),MATCH(F569,Risk_Matrix!$B$1:$D$1,0))</f>
        <v>Low</v>
      </c>
      <c r="H569" s="12" t="n">
        <v>46161</v>
      </c>
      <c r="I569" s="5" t="s">
        <v>2250</v>
      </c>
      <c r="J569" s="5" t="s">
        <v>2251</v>
      </c>
      <c r="K569" s="5" t="s">
        <v>2283</v>
      </c>
      <c r="L569" s="5" t="n">
        <f aca="false">IF(G569="High",3,IF(G569="Medium",2,1))</f>
        <v>1</v>
      </c>
    </row>
    <row r="570" customFormat="false" ht="15" hidden="false" customHeight="true" outlineLevel="0" collapsed="false">
      <c r="A570" s="5" t="s">
        <v>2846</v>
      </c>
      <c r="B570" s="5" t="s">
        <v>1184</v>
      </c>
      <c r="C570" s="5" t="s">
        <v>2259</v>
      </c>
      <c r="D570" s="5" t="s">
        <v>2274</v>
      </c>
      <c r="E570" s="5" t="s">
        <v>59</v>
      </c>
      <c r="F570" s="5" t="s">
        <v>2225</v>
      </c>
      <c r="G570" s="5" t="str">
        <f aca="false">INDEX(Risk_Matrix!$B$2:$D$4,MATCH(E570,Risk_Matrix!$A$2:$A$4,0),MATCH(F570,Risk_Matrix!$B$1:$D$1,0))</f>
        <v>Low</v>
      </c>
      <c r="H570" s="12" t="n">
        <v>46238</v>
      </c>
      <c r="I570" s="5" t="s">
        <v>2256</v>
      </c>
      <c r="J570" s="5" t="s">
        <v>2257</v>
      </c>
      <c r="K570" s="5" t="s">
        <v>2266</v>
      </c>
      <c r="L570" s="5" t="n">
        <f aca="false">IF(G570="High",3,IF(G570="Medium",2,1))</f>
        <v>1</v>
      </c>
    </row>
    <row r="571" customFormat="false" ht="15" hidden="false" customHeight="true" outlineLevel="0" collapsed="false">
      <c r="A571" s="5" t="s">
        <v>2847</v>
      </c>
      <c r="B571" s="5" t="s">
        <v>1184</v>
      </c>
      <c r="C571" s="5" t="s">
        <v>2262</v>
      </c>
      <c r="D571" s="5" t="s">
        <v>2311</v>
      </c>
      <c r="E571" s="5" t="s">
        <v>59</v>
      </c>
      <c r="F571" s="5" t="s">
        <v>2225</v>
      </c>
      <c r="G571" s="5" t="str">
        <f aca="false">INDEX(Risk_Matrix!$B$2:$D$4,MATCH(E571,Risk_Matrix!$A$2:$A$4,0),MATCH(F571,Risk_Matrix!$B$1:$D$1,0))</f>
        <v>Low</v>
      </c>
      <c r="H571" s="12" t="n">
        <v>46207</v>
      </c>
      <c r="I571" s="5" t="s">
        <v>2250</v>
      </c>
      <c r="J571" s="5" t="s">
        <v>2251</v>
      </c>
      <c r="K571" s="5" t="s">
        <v>2252</v>
      </c>
      <c r="L571" s="5" t="n">
        <f aca="false">IF(G571="High",3,IF(G571="Medium",2,1))</f>
        <v>1</v>
      </c>
    </row>
    <row r="572" customFormat="false" ht="15" hidden="false" customHeight="true" outlineLevel="0" collapsed="false">
      <c r="A572" s="5" t="s">
        <v>2848</v>
      </c>
      <c r="B572" s="5" t="s">
        <v>1186</v>
      </c>
      <c r="C572" s="5" t="s">
        <v>2239</v>
      </c>
      <c r="D572" s="5" t="s">
        <v>2295</v>
      </c>
      <c r="E572" s="5" t="s">
        <v>59</v>
      </c>
      <c r="F572" s="5" t="s">
        <v>54</v>
      </c>
      <c r="G572" s="5" t="str">
        <f aca="false">INDEX(Risk_Matrix!$B$2:$D$4,MATCH(E572,Risk_Matrix!$A$2:$A$4,0),MATCH(F572,Risk_Matrix!$B$1:$D$1,0))</f>
        <v>Medium</v>
      </c>
      <c r="H572" s="12" t="n">
        <v>46231</v>
      </c>
      <c r="I572" s="5" t="s">
        <v>2250</v>
      </c>
      <c r="J572" s="5" t="s">
        <v>2251</v>
      </c>
      <c r="K572" s="5" t="s">
        <v>2276</v>
      </c>
      <c r="L572" s="5" t="n">
        <f aca="false">IF(G572="High",3,IF(G572="Medium",2,1))</f>
        <v>2</v>
      </c>
    </row>
    <row r="573" customFormat="false" ht="15" hidden="false" customHeight="true" outlineLevel="0" collapsed="false">
      <c r="A573" s="5" t="s">
        <v>2849</v>
      </c>
      <c r="B573" s="5" t="s">
        <v>1186</v>
      </c>
      <c r="C573" s="5" t="s">
        <v>2245</v>
      </c>
      <c r="D573" s="5" t="s">
        <v>2269</v>
      </c>
      <c r="E573" s="5" t="s">
        <v>59</v>
      </c>
      <c r="F573" s="5" t="s">
        <v>54</v>
      </c>
      <c r="G573" s="5" t="str">
        <f aca="false">INDEX(Risk_Matrix!$B$2:$D$4,MATCH(E573,Risk_Matrix!$A$2:$A$4,0),MATCH(F573,Risk_Matrix!$B$1:$D$1,0))</f>
        <v>Medium</v>
      </c>
      <c r="H573" s="12" t="n">
        <v>46146</v>
      </c>
      <c r="I573" s="5" t="s">
        <v>2250</v>
      </c>
      <c r="J573" s="5" t="s">
        <v>2251</v>
      </c>
      <c r="K573" s="5" t="s">
        <v>2283</v>
      </c>
      <c r="L573" s="5" t="n">
        <f aca="false">IF(G573="High",3,IF(G573="Medium",2,1))</f>
        <v>2</v>
      </c>
    </row>
    <row r="574" customFormat="false" ht="15" hidden="false" customHeight="true" outlineLevel="0" collapsed="false">
      <c r="A574" s="5" t="s">
        <v>2850</v>
      </c>
      <c r="B574" s="5" t="s">
        <v>1186</v>
      </c>
      <c r="C574" s="5" t="s">
        <v>2248</v>
      </c>
      <c r="D574" s="5" t="s">
        <v>2271</v>
      </c>
      <c r="E574" s="5" t="s">
        <v>2225</v>
      </c>
      <c r="F574" s="5" t="s">
        <v>54</v>
      </c>
      <c r="G574" s="5" t="str">
        <f aca="false">INDEX(Risk_Matrix!$B$2:$D$4,MATCH(E574,Risk_Matrix!$A$2:$A$4,0),MATCH(F574,Risk_Matrix!$B$1:$D$1,0))</f>
        <v>High</v>
      </c>
      <c r="H574" s="12" t="n">
        <v>46117</v>
      </c>
      <c r="I574" s="5" t="s">
        <v>2250</v>
      </c>
      <c r="J574" s="5" t="s">
        <v>2251</v>
      </c>
      <c r="K574" s="5" t="s">
        <v>2276</v>
      </c>
      <c r="L574" s="5" t="n">
        <f aca="false">IF(G574="High",3,IF(G574="Medium",2,1))</f>
        <v>3</v>
      </c>
    </row>
    <row r="575" customFormat="false" ht="15" hidden="false" customHeight="true" outlineLevel="0" collapsed="false">
      <c r="A575" s="5" t="s">
        <v>2851</v>
      </c>
      <c r="B575" s="5" t="s">
        <v>1186</v>
      </c>
      <c r="C575" s="5" t="s">
        <v>2254</v>
      </c>
      <c r="D575" s="5" t="s">
        <v>2308</v>
      </c>
      <c r="E575" s="5" t="s">
        <v>2225</v>
      </c>
      <c r="F575" s="5" t="s">
        <v>2225</v>
      </c>
      <c r="G575" s="5" t="str">
        <f aca="false">INDEX(Risk_Matrix!$B$2:$D$4,MATCH(E575,Risk_Matrix!$A$2:$A$4,0),MATCH(F575,Risk_Matrix!$B$1:$D$1,0))</f>
        <v>Medium</v>
      </c>
      <c r="H575" s="12" t="n">
        <v>46197</v>
      </c>
      <c r="I575" s="5" t="s">
        <v>2264</v>
      </c>
      <c r="J575" s="5" t="s">
        <v>2265</v>
      </c>
      <c r="K575" s="5" t="s">
        <v>2283</v>
      </c>
      <c r="L575" s="5" t="n">
        <f aca="false">IF(G575="High",3,IF(G575="Medium",2,1))</f>
        <v>2</v>
      </c>
    </row>
    <row r="576" customFormat="false" ht="15" hidden="false" customHeight="true" outlineLevel="0" collapsed="false">
      <c r="A576" s="5" t="s">
        <v>2852</v>
      </c>
      <c r="B576" s="5" t="s">
        <v>1186</v>
      </c>
      <c r="C576" s="5" t="s">
        <v>2259</v>
      </c>
      <c r="D576" s="5" t="s">
        <v>2260</v>
      </c>
      <c r="E576" s="5" t="s">
        <v>59</v>
      </c>
      <c r="F576" s="5" t="s">
        <v>59</v>
      </c>
      <c r="G576" s="5" t="str">
        <f aca="false">INDEX(Risk_Matrix!$B$2:$D$4,MATCH(E576,Risk_Matrix!$A$2:$A$4,0),MATCH(F576,Risk_Matrix!$B$1:$D$1,0))</f>
        <v>Low</v>
      </c>
      <c r="H576" s="12" t="n">
        <v>46147</v>
      </c>
      <c r="I576" s="5" t="s">
        <v>2250</v>
      </c>
      <c r="J576" s="5" t="s">
        <v>2251</v>
      </c>
      <c r="K576" s="5" t="s">
        <v>2266</v>
      </c>
      <c r="L576" s="5" t="n">
        <f aca="false">IF(G576="High",3,IF(G576="Medium",2,1))</f>
        <v>1</v>
      </c>
    </row>
    <row r="577" customFormat="false" ht="15" hidden="false" customHeight="true" outlineLevel="0" collapsed="false">
      <c r="A577" s="5" t="s">
        <v>2853</v>
      </c>
      <c r="B577" s="5" t="s">
        <v>1186</v>
      </c>
      <c r="C577" s="5" t="s">
        <v>2262</v>
      </c>
      <c r="D577" s="5" t="s">
        <v>2287</v>
      </c>
      <c r="E577" s="5" t="s">
        <v>59</v>
      </c>
      <c r="F577" s="5" t="s">
        <v>59</v>
      </c>
      <c r="G577" s="5" t="str">
        <f aca="false">INDEX(Risk_Matrix!$B$2:$D$4,MATCH(E577,Risk_Matrix!$A$2:$A$4,0),MATCH(F577,Risk_Matrix!$B$1:$D$1,0))</f>
        <v>Low</v>
      </c>
      <c r="H577" s="12" t="n">
        <v>46147</v>
      </c>
      <c r="I577" s="5" t="s">
        <v>2264</v>
      </c>
      <c r="J577" s="5" t="s">
        <v>2265</v>
      </c>
      <c r="K577" s="5" t="s">
        <v>2276</v>
      </c>
      <c r="L577" s="5" t="n">
        <f aca="false">IF(G577="High",3,IF(G577="Medium",2,1))</f>
        <v>1</v>
      </c>
    </row>
    <row r="578" customFormat="false" ht="15" hidden="false" customHeight="true" outlineLevel="0" collapsed="false">
      <c r="A578" s="5" t="s">
        <v>2854</v>
      </c>
      <c r="B578" s="5" t="s">
        <v>1187</v>
      </c>
      <c r="C578" s="5" t="s">
        <v>2239</v>
      </c>
      <c r="D578" s="5" t="s">
        <v>2278</v>
      </c>
      <c r="E578" s="5" t="s">
        <v>59</v>
      </c>
      <c r="F578" s="5" t="s">
        <v>2225</v>
      </c>
      <c r="G578" s="5" t="str">
        <f aca="false">INDEX(Risk_Matrix!$B$2:$D$4,MATCH(E578,Risk_Matrix!$A$2:$A$4,0),MATCH(F578,Risk_Matrix!$B$1:$D$1,0))</f>
        <v>Low</v>
      </c>
      <c r="H578" s="12" t="n">
        <v>46189</v>
      </c>
      <c r="I578" s="5" t="s">
        <v>2256</v>
      </c>
      <c r="J578" s="5" t="s">
        <v>2257</v>
      </c>
      <c r="K578" s="5" t="s">
        <v>2266</v>
      </c>
      <c r="L578" s="5" t="n">
        <f aca="false">IF(G578="High",3,IF(G578="Medium",2,1))</f>
        <v>1</v>
      </c>
    </row>
    <row r="579" customFormat="false" ht="15" hidden="false" customHeight="true" outlineLevel="0" collapsed="false">
      <c r="A579" s="5" t="s">
        <v>2855</v>
      </c>
      <c r="B579" s="5" t="s">
        <v>1187</v>
      </c>
      <c r="C579" s="5" t="s">
        <v>2245</v>
      </c>
      <c r="D579" s="5" t="s">
        <v>2246</v>
      </c>
      <c r="E579" s="5" t="s">
        <v>2225</v>
      </c>
      <c r="F579" s="5" t="s">
        <v>59</v>
      </c>
      <c r="G579" s="5" t="str">
        <f aca="false">INDEX(Risk_Matrix!$B$2:$D$4,MATCH(E579,Risk_Matrix!$A$2:$A$4,0),MATCH(F579,Risk_Matrix!$B$1:$D$1,0))</f>
        <v>Low</v>
      </c>
      <c r="H579" s="12" t="n">
        <v>46158</v>
      </c>
      <c r="I579" s="5" t="s">
        <v>2256</v>
      </c>
      <c r="J579" s="5" t="s">
        <v>2257</v>
      </c>
      <c r="K579" s="5" t="s">
        <v>2252</v>
      </c>
      <c r="L579" s="5" t="n">
        <f aca="false">IF(G579="High",3,IF(G579="Medium",2,1))</f>
        <v>1</v>
      </c>
    </row>
    <row r="580" customFormat="false" ht="15" hidden="false" customHeight="true" outlineLevel="0" collapsed="false">
      <c r="A580" s="5" t="s">
        <v>2856</v>
      </c>
      <c r="B580" s="5" t="s">
        <v>1187</v>
      </c>
      <c r="C580" s="5" t="s">
        <v>2248</v>
      </c>
      <c r="D580" s="5" t="s">
        <v>2249</v>
      </c>
      <c r="E580" s="5" t="s">
        <v>2225</v>
      </c>
      <c r="F580" s="5" t="s">
        <v>2225</v>
      </c>
      <c r="G580" s="5" t="str">
        <f aca="false">INDEX(Risk_Matrix!$B$2:$D$4,MATCH(E580,Risk_Matrix!$A$2:$A$4,0),MATCH(F580,Risk_Matrix!$B$1:$D$1,0))</f>
        <v>Medium</v>
      </c>
      <c r="H580" s="12" t="n">
        <v>46090</v>
      </c>
      <c r="I580" s="5" t="s">
        <v>2256</v>
      </c>
      <c r="J580" s="5" t="s">
        <v>2257</v>
      </c>
      <c r="K580" s="5" t="s">
        <v>2252</v>
      </c>
      <c r="L580" s="5" t="n">
        <f aca="false">IF(G580="High",3,IF(G580="Medium",2,1))</f>
        <v>2</v>
      </c>
    </row>
    <row r="581" customFormat="false" ht="15" hidden="false" customHeight="true" outlineLevel="0" collapsed="false">
      <c r="A581" s="5" t="s">
        <v>2857</v>
      </c>
      <c r="B581" s="5" t="s">
        <v>1187</v>
      </c>
      <c r="C581" s="5" t="s">
        <v>2254</v>
      </c>
      <c r="D581" s="5" t="s">
        <v>2255</v>
      </c>
      <c r="E581" s="5" t="s">
        <v>59</v>
      </c>
      <c r="F581" s="5" t="s">
        <v>2225</v>
      </c>
      <c r="G581" s="5" t="str">
        <f aca="false">INDEX(Risk_Matrix!$B$2:$D$4,MATCH(E581,Risk_Matrix!$A$2:$A$4,0),MATCH(F581,Risk_Matrix!$B$1:$D$1,0))</f>
        <v>Low</v>
      </c>
      <c r="H581" s="12" t="n">
        <v>46114</v>
      </c>
      <c r="I581" s="5" t="s">
        <v>2256</v>
      </c>
      <c r="J581" s="5" t="s">
        <v>2257</v>
      </c>
      <c r="K581" s="5" t="s">
        <v>2243</v>
      </c>
      <c r="L581" s="5" t="n">
        <f aca="false">IF(G581="High",3,IF(G581="Medium",2,1))</f>
        <v>1</v>
      </c>
    </row>
    <row r="582" customFormat="false" ht="15" hidden="false" customHeight="true" outlineLevel="0" collapsed="false">
      <c r="A582" s="5" t="s">
        <v>2858</v>
      </c>
      <c r="B582" s="5" t="s">
        <v>1187</v>
      </c>
      <c r="C582" s="5" t="s">
        <v>2259</v>
      </c>
      <c r="D582" s="5" t="s">
        <v>2274</v>
      </c>
      <c r="E582" s="5" t="s">
        <v>54</v>
      </c>
      <c r="F582" s="5" t="s">
        <v>59</v>
      </c>
      <c r="G582" s="5" t="str">
        <f aca="false">INDEX(Risk_Matrix!$B$2:$D$4,MATCH(E582,Risk_Matrix!$A$2:$A$4,0),MATCH(F582,Risk_Matrix!$B$1:$D$1,0))</f>
        <v>Medium</v>
      </c>
      <c r="H582" s="12" t="n">
        <v>46110</v>
      </c>
      <c r="I582" s="5" t="s">
        <v>2256</v>
      </c>
      <c r="J582" s="5" t="s">
        <v>2257</v>
      </c>
      <c r="K582" s="5" t="s">
        <v>2266</v>
      </c>
      <c r="L582" s="5" t="n">
        <f aca="false">IF(G582="High",3,IF(G582="Medium",2,1))</f>
        <v>2</v>
      </c>
    </row>
    <row r="583" customFormat="false" ht="15" hidden="false" customHeight="true" outlineLevel="0" collapsed="false">
      <c r="A583" s="5" t="s">
        <v>2859</v>
      </c>
      <c r="B583" s="5" t="s">
        <v>1187</v>
      </c>
      <c r="C583" s="5" t="s">
        <v>2262</v>
      </c>
      <c r="D583" s="5" t="s">
        <v>2287</v>
      </c>
      <c r="E583" s="5" t="s">
        <v>2225</v>
      </c>
      <c r="F583" s="5" t="s">
        <v>2225</v>
      </c>
      <c r="G583" s="5" t="str">
        <f aca="false">INDEX(Risk_Matrix!$B$2:$D$4,MATCH(E583,Risk_Matrix!$A$2:$A$4,0),MATCH(F583,Risk_Matrix!$B$1:$D$1,0))</f>
        <v>Medium</v>
      </c>
      <c r="H583" s="12" t="n">
        <v>46104</v>
      </c>
      <c r="I583" s="5" t="s">
        <v>2250</v>
      </c>
      <c r="J583" s="5" t="s">
        <v>2251</v>
      </c>
      <c r="K583" s="5" t="s">
        <v>2283</v>
      </c>
      <c r="L583" s="5" t="n">
        <f aca="false">IF(G583="High",3,IF(G583="Medium",2,1))</f>
        <v>2</v>
      </c>
    </row>
    <row r="584" customFormat="false" ht="15" hidden="false" customHeight="true" outlineLevel="0" collapsed="false">
      <c r="A584" s="5" t="s">
        <v>2860</v>
      </c>
      <c r="B584" s="5" t="s">
        <v>1189</v>
      </c>
      <c r="C584" s="5" t="s">
        <v>2239</v>
      </c>
      <c r="D584" s="5" t="s">
        <v>2240</v>
      </c>
      <c r="E584" s="5" t="s">
        <v>59</v>
      </c>
      <c r="F584" s="5" t="s">
        <v>54</v>
      </c>
      <c r="G584" s="5" t="str">
        <f aca="false">INDEX(Risk_Matrix!$B$2:$D$4,MATCH(E584,Risk_Matrix!$A$2:$A$4,0),MATCH(F584,Risk_Matrix!$B$1:$D$1,0))</f>
        <v>Medium</v>
      </c>
      <c r="H584" s="12" t="n">
        <v>46205</v>
      </c>
      <c r="I584" s="5" t="s">
        <v>2256</v>
      </c>
      <c r="J584" s="5" t="s">
        <v>2257</v>
      </c>
      <c r="K584" s="5" t="s">
        <v>2276</v>
      </c>
      <c r="L584" s="5" t="n">
        <f aca="false">IF(G584="High",3,IF(G584="Medium",2,1))</f>
        <v>2</v>
      </c>
    </row>
    <row r="585" customFormat="false" ht="15" hidden="false" customHeight="true" outlineLevel="0" collapsed="false">
      <c r="A585" s="5" t="s">
        <v>2861</v>
      </c>
      <c r="B585" s="5" t="s">
        <v>1189</v>
      </c>
      <c r="C585" s="5" t="s">
        <v>2245</v>
      </c>
      <c r="D585" s="5" t="s">
        <v>2280</v>
      </c>
      <c r="E585" s="5" t="s">
        <v>59</v>
      </c>
      <c r="F585" s="5" t="s">
        <v>2225</v>
      </c>
      <c r="G585" s="5" t="str">
        <f aca="false">INDEX(Risk_Matrix!$B$2:$D$4,MATCH(E585,Risk_Matrix!$A$2:$A$4,0),MATCH(F585,Risk_Matrix!$B$1:$D$1,0))</f>
        <v>Low</v>
      </c>
      <c r="H585" s="12" t="n">
        <v>46125</v>
      </c>
      <c r="I585" s="5" t="s">
        <v>2256</v>
      </c>
      <c r="J585" s="5" t="s">
        <v>2257</v>
      </c>
      <c r="K585" s="5" t="s">
        <v>2283</v>
      </c>
      <c r="L585" s="5" t="n">
        <f aca="false">IF(G585="High",3,IF(G585="Medium",2,1))</f>
        <v>1</v>
      </c>
    </row>
    <row r="586" customFormat="false" ht="15" hidden="false" customHeight="true" outlineLevel="0" collapsed="false">
      <c r="A586" s="5" t="s">
        <v>2862</v>
      </c>
      <c r="B586" s="5" t="s">
        <v>1189</v>
      </c>
      <c r="C586" s="5" t="s">
        <v>2248</v>
      </c>
      <c r="D586" s="5" t="s">
        <v>2249</v>
      </c>
      <c r="E586" s="5" t="s">
        <v>59</v>
      </c>
      <c r="F586" s="5" t="s">
        <v>59</v>
      </c>
      <c r="G586" s="5" t="str">
        <f aca="false">INDEX(Risk_Matrix!$B$2:$D$4,MATCH(E586,Risk_Matrix!$A$2:$A$4,0),MATCH(F586,Risk_Matrix!$B$1:$D$1,0))</f>
        <v>Low</v>
      </c>
      <c r="H586" s="12" t="n">
        <v>46208</v>
      </c>
      <c r="I586" s="5" t="s">
        <v>2250</v>
      </c>
      <c r="J586" s="5" t="s">
        <v>2251</v>
      </c>
      <c r="K586" s="5" t="s">
        <v>2266</v>
      </c>
      <c r="L586" s="5" t="n">
        <f aca="false">IF(G586="High",3,IF(G586="Medium",2,1))</f>
        <v>1</v>
      </c>
    </row>
    <row r="587" customFormat="false" ht="15" hidden="false" customHeight="true" outlineLevel="0" collapsed="false">
      <c r="A587" s="5" t="s">
        <v>2863</v>
      </c>
      <c r="B587" s="5" t="s">
        <v>1189</v>
      </c>
      <c r="C587" s="5" t="s">
        <v>2254</v>
      </c>
      <c r="D587" s="5" t="s">
        <v>2255</v>
      </c>
      <c r="E587" s="5" t="s">
        <v>54</v>
      </c>
      <c r="F587" s="5" t="s">
        <v>59</v>
      </c>
      <c r="G587" s="5" t="str">
        <f aca="false">INDEX(Risk_Matrix!$B$2:$D$4,MATCH(E587,Risk_Matrix!$A$2:$A$4,0),MATCH(F587,Risk_Matrix!$B$1:$D$1,0))</f>
        <v>Medium</v>
      </c>
      <c r="H587" s="12" t="n">
        <v>46206</v>
      </c>
      <c r="I587" s="5" t="s">
        <v>2256</v>
      </c>
      <c r="J587" s="5" t="s">
        <v>2257</v>
      </c>
      <c r="K587" s="5" t="s">
        <v>2266</v>
      </c>
      <c r="L587" s="5" t="n">
        <f aca="false">IF(G587="High",3,IF(G587="Medium",2,1))</f>
        <v>2</v>
      </c>
    </row>
    <row r="588" customFormat="false" ht="15" hidden="false" customHeight="true" outlineLevel="0" collapsed="false">
      <c r="A588" s="5" t="s">
        <v>2864</v>
      </c>
      <c r="B588" s="5" t="s">
        <v>1189</v>
      </c>
      <c r="C588" s="5" t="s">
        <v>2259</v>
      </c>
      <c r="D588" s="5" t="s">
        <v>2260</v>
      </c>
      <c r="E588" s="5" t="s">
        <v>54</v>
      </c>
      <c r="F588" s="5" t="s">
        <v>59</v>
      </c>
      <c r="G588" s="5" t="str">
        <f aca="false">INDEX(Risk_Matrix!$B$2:$D$4,MATCH(E588,Risk_Matrix!$A$2:$A$4,0),MATCH(F588,Risk_Matrix!$B$1:$D$1,0))</f>
        <v>Medium</v>
      </c>
      <c r="H588" s="12" t="n">
        <v>46210</v>
      </c>
      <c r="I588" s="5" t="s">
        <v>2264</v>
      </c>
      <c r="J588" s="5" t="s">
        <v>2265</v>
      </c>
      <c r="K588" s="5" t="s">
        <v>2276</v>
      </c>
      <c r="L588" s="5" t="n">
        <f aca="false">IF(G588="High",3,IF(G588="Medium",2,1))</f>
        <v>2</v>
      </c>
    </row>
    <row r="589" customFormat="false" ht="15" hidden="false" customHeight="true" outlineLevel="0" collapsed="false">
      <c r="A589" s="5" t="s">
        <v>2865</v>
      </c>
      <c r="B589" s="5" t="s">
        <v>1189</v>
      </c>
      <c r="C589" s="5" t="s">
        <v>2262</v>
      </c>
      <c r="D589" s="5" t="s">
        <v>2287</v>
      </c>
      <c r="E589" s="5" t="s">
        <v>2225</v>
      </c>
      <c r="F589" s="5" t="s">
        <v>2225</v>
      </c>
      <c r="G589" s="5" t="str">
        <f aca="false">INDEX(Risk_Matrix!$B$2:$D$4,MATCH(E589,Risk_Matrix!$A$2:$A$4,0),MATCH(F589,Risk_Matrix!$B$1:$D$1,0))</f>
        <v>Medium</v>
      </c>
      <c r="H589" s="12" t="n">
        <v>46211</v>
      </c>
      <c r="I589" s="5" t="s">
        <v>2256</v>
      </c>
      <c r="J589" s="5" t="s">
        <v>2257</v>
      </c>
      <c r="K589" s="5" t="s">
        <v>2276</v>
      </c>
      <c r="L589" s="5" t="n">
        <f aca="false">IF(G589="High",3,IF(G589="Medium",2,1))</f>
        <v>2</v>
      </c>
    </row>
    <row r="590" customFormat="false" ht="15" hidden="false" customHeight="true" outlineLevel="0" collapsed="false">
      <c r="A590" s="5" t="s">
        <v>2866</v>
      </c>
      <c r="B590" s="5" t="s">
        <v>1191</v>
      </c>
      <c r="C590" s="5" t="s">
        <v>2239</v>
      </c>
      <c r="D590" s="5" t="s">
        <v>2240</v>
      </c>
      <c r="E590" s="5" t="s">
        <v>59</v>
      </c>
      <c r="F590" s="5" t="s">
        <v>54</v>
      </c>
      <c r="G590" s="5" t="str">
        <f aca="false">INDEX(Risk_Matrix!$B$2:$D$4,MATCH(E590,Risk_Matrix!$A$2:$A$4,0),MATCH(F590,Risk_Matrix!$B$1:$D$1,0))</f>
        <v>Medium</v>
      </c>
      <c r="H590" s="12" t="n">
        <v>46161</v>
      </c>
      <c r="I590" s="5" t="s">
        <v>2256</v>
      </c>
      <c r="J590" s="5" t="s">
        <v>2257</v>
      </c>
      <c r="K590" s="5" t="s">
        <v>2276</v>
      </c>
      <c r="L590" s="5" t="n">
        <f aca="false">IF(G590="High",3,IF(G590="Medium",2,1))</f>
        <v>2</v>
      </c>
    </row>
    <row r="591" customFormat="false" ht="15" hidden="false" customHeight="true" outlineLevel="0" collapsed="false">
      <c r="A591" s="5" t="s">
        <v>2867</v>
      </c>
      <c r="B591" s="5" t="s">
        <v>1191</v>
      </c>
      <c r="C591" s="5" t="s">
        <v>2245</v>
      </c>
      <c r="D591" s="5" t="s">
        <v>2246</v>
      </c>
      <c r="E591" s="5" t="s">
        <v>2225</v>
      </c>
      <c r="F591" s="5" t="s">
        <v>54</v>
      </c>
      <c r="G591" s="5" t="str">
        <f aca="false">INDEX(Risk_Matrix!$B$2:$D$4,MATCH(E591,Risk_Matrix!$A$2:$A$4,0),MATCH(F591,Risk_Matrix!$B$1:$D$1,0))</f>
        <v>High</v>
      </c>
      <c r="H591" s="12" t="n">
        <v>46187</v>
      </c>
      <c r="I591" s="5" t="s">
        <v>2256</v>
      </c>
      <c r="J591" s="5" t="s">
        <v>2257</v>
      </c>
      <c r="K591" s="5" t="s">
        <v>2266</v>
      </c>
      <c r="L591" s="5" t="n">
        <f aca="false">IF(G591="High",3,IF(G591="Medium",2,1))</f>
        <v>3</v>
      </c>
    </row>
    <row r="592" customFormat="false" ht="15" hidden="false" customHeight="true" outlineLevel="0" collapsed="false">
      <c r="A592" s="5" t="s">
        <v>2868</v>
      </c>
      <c r="B592" s="5" t="s">
        <v>1191</v>
      </c>
      <c r="C592" s="5" t="s">
        <v>2248</v>
      </c>
      <c r="D592" s="5" t="s">
        <v>2249</v>
      </c>
      <c r="E592" s="5" t="s">
        <v>59</v>
      </c>
      <c r="F592" s="5" t="s">
        <v>59</v>
      </c>
      <c r="G592" s="5" t="str">
        <f aca="false">INDEX(Risk_Matrix!$B$2:$D$4,MATCH(E592,Risk_Matrix!$A$2:$A$4,0),MATCH(F592,Risk_Matrix!$B$1:$D$1,0))</f>
        <v>Low</v>
      </c>
      <c r="H592" s="12" t="n">
        <v>46167</v>
      </c>
      <c r="I592" s="5" t="s">
        <v>2250</v>
      </c>
      <c r="J592" s="5" t="s">
        <v>2251</v>
      </c>
      <c r="K592" s="5" t="s">
        <v>2283</v>
      </c>
      <c r="L592" s="5" t="n">
        <f aca="false">IF(G592="High",3,IF(G592="Medium",2,1))</f>
        <v>1</v>
      </c>
    </row>
    <row r="593" customFormat="false" ht="15" hidden="false" customHeight="true" outlineLevel="0" collapsed="false">
      <c r="A593" s="5" t="s">
        <v>2869</v>
      </c>
      <c r="B593" s="5" t="s">
        <v>1191</v>
      </c>
      <c r="C593" s="5" t="s">
        <v>2254</v>
      </c>
      <c r="D593" s="5" t="s">
        <v>2308</v>
      </c>
      <c r="E593" s="5" t="s">
        <v>59</v>
      </c>
      <c r="F593" s="5" t="s">
        <v>54</v>
      </c>
      <c r="G593" s="5" t="str">
        <f aca="false">INDEX(Risk_Matrix!$B$2:$D$4,MATCH(E593,Risk_Matrix!$A$2:$A$4,0),MATCH(F593,Risk_Matrix!$B$1:$D$1,0))</f>
        <v>Medium</v>
      </c>
      <c r="H593" s="12" t="n">
        <v>46082</v>
      </c>
      <c r="I593" s="5" t="s">
        <v>2264</v>
      </c>
      <c r="J593" s="5" t="s">
        <v>2265</v>
      </c>
      <c r="K593" s="5" t="s">
        <v>2266</v>
      </c>
      <c r="L593" s="5" t="n">
        <f aca="false">IF(G593="High",3,IF(G593="Medium",2,1))</f>
        <v>2</v>
      </c>
    </row>
    <row r="594" customFormat="false" ht="15" hidden="false" customHeight="true" outlineLevel="0" collapsed="false">
      <c r="A594" s="5" t="s">
        <v>2870</v>
      </c>
      <c r="B594" s="5" t="s">
        <v>1191</v>
      </c>
      <c r="C594" s="5" t="s">
        <v>2259</v>
      </c>
      <c r="D594" s="5" t="s">
        <v>2285</v>
      </c>
      <c r="E594" s="5" t="s">
        <v>2225</v>
      </c>
      <c r="F594" s="5" t="s">
        <v>59</v>
      </c>
      <c r="G594" s="5" t="str">
        <f aca="false">INDEX(Risk_Matrix!$B$2:$D$4,MATCH(E594,Risk_Matrix!$A$2:$A$4,0),MATCH(F594,Risk_Matrix!$B$1:$D$1,0))</f>
        <v>Low</v>
      </c>
      <c r="H594" s="12" t="n">
        <v>46235</v>
      </c>
      <c r="I594" s="5" t="s">
        <v>2250</v>
      </c>
      <c r="J594" s="5" t="s">
        <v>2251</v>
      </c>
      <c r="K594" s="5" t="s">
        <v>2283</v>
      </c>
      <c r="L594" s="5" t="n">
        <f aca="false">IF(G594="High",3,IF(G594="Medium",2,1))</f>
        <v>1</v>
      </c>
    </row>
    <row r="595" customFormat="false" ht="15" hidden="false" customHeight="true" outlineLevel="0" collapsed="false">
      <c r="A595" s="5" t="s">
        <v>2871</v>
      </c>
      <c r="B595" s="5" t="s">
        <v>1191</v>
      </c>
      <c r="C595" s="5" t="s">
        <v>2262</v>
      </c>
      <c r="D595" s="5" t="s">
        <v>2287</v>
      </c>
      <c r="E595" s="5" t="s">
        <v>2225</v>
      </c>
      <c r="F595" s="5" t="s">
        <v>54</v>
      </c>
      <c r="G595" s="5" t="str">
        <f aca="false">INDEX(Risk_Matrix!$B$2:$D$4,MATCH(E595,Risk_Matrix!$A$2:$A$4,0),MATCH(F595,Risk_Matrix!$B$1:$D$1,0))</f>
        <v>High</v>
      </c>
      <c r="H595" s="12" t="n">
        <v>46101</v>
      </c>
      <c r="I595" s="5" t="s">
        <v>2256</v>
      </c>
      <c r="J595" s="5" t="s">
        <v>2257</v>
      </c>
      <c r="K595" s="5" t="s">
        <v>2276</v>
      </c>
      <c r="L595" s="5" t="n">
        <f aca="false">IF(G595="High",3,IF(G595="Medium",2,1))</f>
        <v>3</v>
      </c>
    </row>
    <row r="596" customFormat="false" ht="15" hidden="false" customHeight="true" outlineLevel="0" collapsed="false">
      <c r="A596" s="5" t="s">
        <v>2872</v>
      </c>
      <c r="B596" s="5" t="s">
        <v>1193</v>
      </c>
      <c r="C596" s="5" t="s">
        <v>2239</v>
      </c>
      <c r="D596" s="5" t="s">
        <v>2240</v>
      </c>
      <c r="E596" s="5" t="s">
        <v>54</v>
      </c>
      <c r="F596" s="5" t="s">
        <v>54</v>
      </c>
      <c r="G596" s="5" t="str">
        <f aca="false">INDEX(Risk_Matrix!$B$2:$D$4,MATCH(E596,Risk_Matrix!$A$2:$A$4,0),MATCH(F596,Risk_Matrix!$B$1:$D$1,0))</f>
        <v>High</v>
      </c>
      <c r="H596" s="12" t="n">
        <v>46117</v>
      </c>
      <c r="I596" s="5" t="s">
        <v>2264</v>
      </c>
      <c r="J596" s="5" t="s">
        <v>2265</v>
      </c>
      <c r="K596" s="5" t="s">
        <v>2252</v>
      </c>
      <c r="L596" s="5" t="n">
        <f aca="false">IF(G596="High",3,IF(G596="Medium",2,1))</f>
        <v>3</v>
      </c>
    </row>
    <row r="597" customFormat="false" ht="15" hidden="false" customHeight="true" outlineLevel="0" collapsed="false">
      <c r="A597" s="5" t="s">
        <v>2873</v>
      </c>
      <c r="B597" s="5" t="s">
        <v>1193</v>
      </c>
      <c r="C597" s="5" t="s">
        <v>2245</v>
      </c>
      <c r="D597" s="5" t="s">
        <v>2320</v>
      </c>
      <c r="E597" s="5" t="s">
        <v>59</v>
      </c>
      <c r="F597" s="5" t="s">
        <v>54</v>
      </c>
      <c r="G597" s="5" t="str">
        <f aca="false">INDEX(Risk_Matrix!$B$2:$D$4,MATCH(E597,Risk_Matrix!$A$2:$A$4,0),MATCH(F597,Risk_Matrix!$B$1:$D$1,0))</f>
        <v>Medium</v>
      </c>
      <c r="H597" s="12" t="n">
        <v>46148</v>
      </c>
      <c r="I597" s="5" t="s">
        <v>2256</v>
      </c>
      <c r="J597" s="5" t="s">
        <v>2257</v>
      </c>
      <c r="K597" s="5" t="s">
        <v>2243</v>
      </c>
      <c r="L597" s="5" t="n">
        <f aca="false">IF(G597="High",3,IF(G597="Medium",2,1))</f>
        <v>2</v>
      </c>
    </row>
    <row r="598" customFormat="false" ht="15" hidden="false" customHeight="true" outlineLevel="0" collapsed="false">
      <c r="A598" s="5" t="s">
        <v>2874</v>
      </c>
      <c r="B598" s="5" t="s">
        <v>1193</v>
      </c>
      <c r="C598" s="5" t="s">
        <v>2248</v>
      </c>
      <c r="D598" s="5" t="s">
        <v>2271</v>
      </c>
      <c r="E598" s="5" t="s">
        <v>59</v>
      </c>
      <c r="F598" s="5" t="s">
        <v>59</v>
      </c>
      <c r="G598" s="5" t="str">
        <f aca="false">INDEX(Risk_Matrix!$B$2:$D$4,MATCH(E598,Risk_Matrix!$A$2:$A$4,0),MATCH(F598,Risk_Matrix!$B$1:$D$1,0))</f>
        <v>Low</v>
      </c>
      <c r="H598" s="12" t="n">
        <v>46158</v>
      </c>
      <c r="I598" s="5" t="s">
        <v>2256</v>
      </c>
      <c r="J598" s="5" t="s">
        <v>2257</v>
      </c>
      <c r="K598" s="5" t="s">
        <v>2276</v>
      </c>
      <c r="L598" s="5" t="n">
        <f aca="false">IF(G598="High",3,IF(G598="Medium",2,1))</f>
        <v>1</v>
      </c>
    </row>
    <row r="599" customFormat="false" ht="15" hidden="false" customHeight="true" outlineLevel="0" collapsed="false">
      <c r="A599" s="5" t="s">
        <v>2875</v>
      </c>
      <c r="B599" s="5" t="s">
        <v>1193</v>
      </c>
      <c r="C599" s="5" t="s">
        <v>2254</v>
      </c>
      <c r="D599" s="5" t="s">
        <v>2308</v>
      </c>
      <c r="E599" s="5" t="s">
        <v>59</v>
      </c>
      <c r="F599" s="5" t="s">
        <v>59</v>
      </c>
      <c r="G599" s="5" t="str">
        <f aca="false">INDEX(Risk_Matrix!$B$2:$D$4,MATCH(E599,Risk_Matrix!$A$2:$A$4,0),MATCH(F599,Risk_Matrix!$B$1:$D$1,0))</f>
        <v>Low</v>
      </c>
      <c r="H599" s="12" t="n">
        <v>46165</v>
      </c>
      <c r="I599" s="5" t="s">
        <v>2264</v>
      </c>
      <c r="J599" s="5" t="s">
        <v>2265</v>
      </c>
      <c r="K599" s="5" t="s">
        <v>2283</v>
      </c>
      <c r="L599" s="5" t="n">
        <f aca="false">IF(G599="High",3,IF(G599="Medium",2,1))</f>
        <v>1</v>
      </c>
    </row>
    <row r="600" customFormat="false" ht="15" hidden="false" customHeight="true" outlineLevel="0" collapsed="false">
      <c r="A600" s="5" t="s">
        <v>2876</v>
      </c>
      <c r="B600" s="5" t="s">
        <v>1193</v>
      </c>
      <c r="C600" s="5" t="s">
        <v>2259</v>
      </c>
      <c r="D600" s="5" t="s">
        <v>2285</v>
      </c>
      <c r="E600" s="5" t="s">
        <v>59</v>
      </c>
      <c r="F600" s="5" t="s">
        <v>59</v>
      </c>
      <c r="G600" s="5" t="str">
        <f aca="false">INDEX(Risk_Matrix!$B$2:$D$4,MATCH(E600,Risk_Matrix!$A$2:$A$4,0),MATCH(F600,Risk_Matrix!$B$1:$D$1,0))</f>
        <v>Low</v>
      </c>
      <c r="H600" s="12" t="n">
        <v>46166</v>
      </c>
      <c r="I600" s="5" t="s">
        <v>2256</v>
      </c>
      <c r="J600" s="5" t="s">
        <v>2257</v>
      </c>
      <c r="K600" s="5" t="s">
        <v>2243</v>
      </c>
      <c r="L600" s="5" t="n">
        <f aca="false">IF(G600="High",3,IF(G600="Medium",2,1))</f>
        <v>1</v>
      </c>
    </row>
    <row r="601" customFormat="false" ht="15" hidden="false" customHeight="true" outlineLevel="0" collapsed="false">
      <c r="A601" s="5" t="s">
        <v>2877</v>
      </c>
      <c r="B601" s="5" t="s">
        <v>1193</v>
      </c>
      <c r="C601" s="5" t="s">
        <v>2262</v>
      </c>
      <c r="D601" s="5" t="s">
        <v>2263</v>
      </c>
      <c r="E601" s="5" t="s">
        <v>2225</v>
      </c>
      <c r="F601" s="5" t="s">
        <v>2225</v>
      </c>
      <c r="G601" s="5" t="str">
        <f aca="false">INDEX(Risk_Matrix!$B$2:$D$4,MATCH(E601,Risk_Matrix!$A$2:$A$4,0),MATCH(F601,Risk_Matrix!$B$1:$D$1,0))</f>
        <v>Medium</v>
      </c>
      <c r="H601" s="12" t="n">
        <v>46181</v>
      </c>
      <c r="I601" s="5" t="s">
        <v>2264</v>
      </c>
      <c r="J601" s="5" t="s">
        <v>2265</v>
      </c>
      <c r="K601" s="5" t="s">
        <v>2283</v>
      </c>
      <c r="L601" s="5" t="n">
        <f aca="false">IF(G601="High",3,IF(G601="Medium",2,1))</f>
        <v>2</v>
      </c>
    </row>
    <row r="602" customFormat="false" ht="15" hidden="false" customHeight="true" outlineLevel="0" collapsed="false">
      <c r="A602" s="5" t="s">
        <v>2878</v>
      </c>
      <c r="B602" s="5" t="s">
        <v>1195</v>
      </c>
      <c r="C602" s="5" t="s">
        <v>2239</v>
      </c>
      <c r="D602" s="5" t="s">
        <v>2295</v>
      </c>
      <c r="E602" s="5" t="s">
        <v>59</v>
      </c>
      <c r="F602" s="5" t="s">
        <v>54</v>
      </c>
      <c r="G602" s="5" t="str">
        <f aca="false">INDEX(Risk_Matrix!$B$2:$D$4,MATCH(E602,Risk_Matrix!$A$2:$A$4,0),MATCH(F602,Risk_Matrix!$B$1:$D$1,0))</f>
        <v>Medium</v>
      </c>
      <c r="H602" s="12" t="n">
        <v>46221</v>
      </c>
      <c r="I602" s="5" t="s">
        <v>2256</v>
      </c>
      <c r="J602" s="5" t="s">
        <v>2257</v>
      </c>
      <c r="K602" s="5" t="s">
        <v>2243</v>
      </c>
      <c r="L602" s="5" t="n">
        <f aca="false">IF(G602="High",3,IF(G602="Medium",2,1))</f>
        <v>2</v>
      </c>
    </row>
    <row r="603" customFormat="false" ht="15" hidden="false" customHeight="true" outlineLevel="0" collapsed="false">
      <c r="A603" s="5" t="s">
        <v>2879</v>
      </c>
      <c r="B603" s="5" t="s">
        <v>1195</v>
      </c>
      <c r="C603" s="5" t="s">
        <v>2245</v>
      </c>
      <c r="D603" s="5" t="s">
        <v>2269</v>
      </c>
      <c r="E603" s="5" t="s">
        <v>59</v>
      </c>
      <c r="F603" s="5" t="s">
        <v>54</v>
      </c>
      <c r="G603" s="5" t="str">
        <f aca="false">INDEX(Risk_Matrix!$B$2:$D$4,MATCH(E603,Risk_Matrix!$A$2:$A$4,0),MATCH(F603,Risk_Matrix!$B$1:$D$1,0))</f>
        <v>Medium</v>
      </c>
      <c r="H603" s="12" t="n">
        <v>46212</v>
      </c>
      <c r="I603" s="5" t="s">
        <v>2250</v>
      </c>
      <c r="J603" s="5" t="s">
        <v>2251</v>
      </c>
      <c r="K603" s="5" t="s">
        <v>2243</v>
      </c>
      <c r="L603" s="5" t="n">
        <f aca="false">IF(G603="High",3,IF(G603="Medium",2,1))</f>
        <v>2</v>
      </c>
    </row>
    <row r="604" customFormat="false" ht="15" hidden="false" customHeight="true" outlineLevel="0" collapsed="false">
      <c r="A604" s="5" t="s">
        <v>2880</v>
      </c>
      <c r="B604" s="5" t="s">
        <v>1195</v>
      </c>
      <c r="C604" s="5" t="s">
        <v>2248</v>
      </c>
      <c r="D604" s="5" t="s">
        <v>2271</v>
      </c>
      <c r="E604" s="5" t="s">
        <v>2225</v>
      </c>
      <c r="F604" s="5" t="s">
        <v>2225</v>
      </c>
      <c r="G604" s="5" t="str">
        <f aca="false">INDEX(Risk_Matrix!$B$2:$D$4,MATCH(E604,Risk_Matrix!$A$2:$A$4,0),MATCH(F604,Risk_Matrix!$B$1:$D$1,0))</f>
        <v>Medium</v>
      </c>
      <c r="H604" s="12" t="n">
        <v>46137</v>
      </c>
      <c r="I604" s="5" t="s">
        <v>2256</v>
      </c>
      <c r="J604" s="5" t="s">
        <v>2257</v>
      </c>
      <c r="K604" s="5" t="s">
        <v>2243</v>
      </c>
      <c r="L604" s="5" t="n">
        <f aca="false">IF(G604="High",3,IF(G604="Medium",2,1))</f>
        <v>2</v>
      </c>
    </row>
    <row r="605" customFormat="false" ht="15" hidden="false" customHeight="true" outlineLevel="0" collapsed="false">
      <c r="A605" s="5" t="s">
        <v>2881</v>
      </c>
      <c r="B605" s="5" t="s">
        <v>1195</v>
      </c>
      <c r="C605" s="5" t="s">
        <v>2254</v>
      </c>
      <c r="D605" s="5" t="s">
        <v>2299</v>
      </c>
      <c r="E605" s="5" t="s">
        <v>2225</v>
      </c>
      <c r="F605" s="5" t="s">
        <v>59</v>
      </c>
      <c r="G605" s="5" t="str">
        <f aca="false">INDEX(Risk_Matrix!$B$2:$D$4,MATCH(E605,Risk_Matrix!$A$2:$A$4,0),MATCH(F605,Risk_Matrix!$B$1:$D$1,0))</f>
        <v>Low</v>
      </c>
      <c r="H605" s="12" t="n">
        <v>46195</v>
      </c>
      <c r="I605" s="5" t="s">
        <v>2264</v>
      </c>
      <c r="J605" s="5" t="s">
        <v>2265</v>
      </c>
      <c r="K605" s="5" t="s">
        <v>2276</v>
      </c>
      <c r="L605" s="5" t="n">
        <f aca="false">IF(G605="High",3,IF(G605="Medium",2,1))</f>
        <v>1</v>
      </c>
    </row>
    <row r="606" customFormat="false" ht="15" hidden="false" customHeight="true" outlineLevel="0" collapsed="false">
      <c r="A606" s="5" t="s">
        <v>2882</v>
      </c>
      <c r="B606" s="5" t="s">
        <v>1195</v>
      </c>
      <c r="C606" s="5" t="s">
        <v>2259</v>
      </c>
      <c r="D606" s="5" t="s">
        <v>2274</v>
      </c>
      <c r="E606" s="5" t="s">
        <v>54</v>
      </c>
      <c r="F606" s="5" t="s">
        <v>59</v>
      </c>
      <c r="G606" s="5" t="str">
        <f aca="false">INDEX(Risk_Matrix!$B$2:$D$4,MATCH(E606,Risk_Matrix!$A$2:$A$4,0),MATCH(F606,Risk_Matrix!$B$1:$D$1,0))</f>
        <v>Medium</v>
      </c>
      <c r="H606" s="12" t="n">
        <v>46135</v>
      </c>
      <c r="I606" s="5" t="s">
        <v>2250</v>
      </c>
      <c r="J606" s="5" t="s">
        <v>2251</v>
      </c>
      <c r="K606" s="5" t="s">
        <v>2276</v>
      </c>
      <c r="L606" s="5" t="n">
        <f aca="false">IF(G606="High",3,IF(G606="Medium",2,1))</f>
        <v>2</v>
      </c>
    </row>
    <row r="607" customFormat="false" ht="15" hidden="false" customHeight="true" outlineLevel="0" collapsed="false">
      <c r="A607" s="5" t="s">
        <v>2883</v>
      </c>
      <c r="B607" s="5" t="s">
        <v>1195</v>
      </c>
      <c r="C607" s="5" t="s">
        <v>2262</v>
      </c>
      <c r="D607" s="5" t="s">
        <v>2287</v>
      </c>
      <c r="E607" s="5" t="s">
        <v>2225</v>
      </c>
      <c r="F607" s="5" t="s">
        <v>2225</v>
      </c>
      <c r="G607" s="5" t="str">
        <f aca="false">INDEX(Risk_Matrix!$B$2:$D$4,MATCH(E607,Risk_Matrix!$A$2:$A$4,0),MATCH(F607,Risk_Matrix!$B$1:$D$1,0))</f>
        <v>Medium</v>
      </c>
      <c r="H607" s="12" t="n">
        <v>46090</v>
      </c>
      <c r="I607" s="5" t="s">
        <v>2256</v>
      </c>
      <c r="J607" s="5" t="s">
        <v>2257</v>
      </c>
      <c r="K607" s="5" t="s">
        <v>2283</v>
      </c>
      <c r="L607" s="5" t="n">
        <f aca="false">IF(G607="High",3,IF(G607="Medium",2,1))</f>
        <v>2</v>
      </c>
    </row>
    <row r="608" customFormat="false" ht="15" hidden="false" customHeight="true" outlineLevel="0" collapsed="false">
      <c r="A608" s="5" t="s">
        <v>2884</v>
      </c>
      <c r="B608" s="5" t="s">
        <v>1197</v>
      </c>
      <c r="C608" s="5" t="s">
        <v>2239</v>
      </c>
      <c r="D608" s="5" t="s">
        <v>2278</v>
      </c>
      <c r="E608" s="5" t="s">
        <v>2225</v>
      </c>
      <c r="F608" s="5" t="s">
        <v>2225</v>
      </c>
      <c r="G608" s="5" t="str">
        <f aca="false">INDEX(Risk_Matrix!$B$2:$D$4,MATCH(E608,Risk_Matrix!$A$2:$A$4,0),MATCH(F608,Risk_Matrix!$B$1:$D$1,0))</f>
        <v>Medium</v>
      </c>
      <c r="H608" s="12" t="n">
        <v>46147</v>
      </c>
      <c r="I608" s="5" t="s">
        <v>2264</v>
      </c>
      <c r="J608" s="5" t="s">
        <v>2265</v>
      </c>
      <c r="K608" s="5" t="s">
        <v>2243</v>
      </c>
      <c r="L608" s="5" t="n">
        <f aca="false">IF(G608="High",3,IF(G608="Medium",2,1))</f>
        <v>2</v>
      </c>
    </row>
    <row r="609" customFormat="false" ht="15" hidden="false" customHeight="true" outlineLevel="0" collapsed="false">
      <c r="A609" s="5" t="s">
        <v>2885</v>
      </c>
      <c r="B609" s="5" t="s">
        <v>1197</v>
      </c>
      <c r="C609" s="5" t="s">
        <v>2245</v>
      </c>
      <c r="D609" s="5" t="s">
        <v>2280</v>
      </c>
      <c r="E609" s="5" t="s">
        <v>54</v>
      </c>
      <c r="F609" s="5" t="s">
        <v>2225</v>
      </c>
      <c r="G609" s="5" t="str">
        <f aca="false">INDEX(Risk_Matrix!$B$2:$D$4,MATCH(E609,Risk_Matrix!$A$2:$A$4,0),MATCH(F609,Risk_Matrix!$B$1:$D$1,0))</f>
        <v>High</v>
      </c>
      <c r="H609" s="12" t="n">
        <v>46122</v>
      </c>
      <c r="I609" s="5" t="s">
        <v>2256</v>
      </c>
      <c r="J609" s="5" t="s">
        <v>2257</v>
      </c>
      <c r="K609" s="5" t="s">
        <v>2276</v>
      </c>
      <c r="L609" s="5" t="n">
        <f aca="false">IF(G609="High",3,IF(G609="Medium",2,1))</f>
        <v>3</v>
      </c>
    </row>
    <row r="610" customFormat="false" ht="15" hidden="false" customHeight="true" outlineLevel="0" collapsed="false">
      <c r="A610" s="5" t="s">
        <v>2886</v>
      </c>
      <c r="B610" s="5" t="s">
        <v>1197</v>
      </c>
      <c r="C610" s="5" t="s">
        <v>2248</v>
      </c>
      <c r="D610" s="5" t="s">
        <v>2306</v>
      </c>
      <c r="E610" s="5" t="s">
        <v>59</v>
      </c>
      <c r="F610" s="5" t="s">
        <v>59</v>
      </c>
      <c r="G610" s="5" t="str">
        <f aca="false">INDEX(Risk_Matrix!$B$2:$D$4,MATCH(E610,Risk_Matrix!$A$2:$A$4,0),MATCH(F610,Risk_Matrix!$B$1:$D$1,0))</f>
        <v>Low</v>
      </c>
      <c r="H610" s="12" t="n">
        <v>46204</v>
      </c>
      <c r="I610" s="5" t="s">
        <v>2250</v>
      </c>
      <c r="J610" s="5" t="s">
        <v>2251</v>
      </c>
      <c r="K610" s="5" t="s">
        <v>2276</v>
      </c>
      <c r="L610" s="5" t="n">
        <f aca="false">IF(G610="High",3,IF(G610="Medium",2,1))</f>
        <v>1</v>
      </c>
    </row>
    <row r="611" customFormat="false" ht="15" hidden="false" customHeight="true" outlineLevel="0" collapsed="false">
      <c r="A611" s="5" t="s">
        <v>2887</v>
      </c>
      <c r="B611" s="5" t="s">
        <v>1197</v>
      </c>
      <c r="C611" s="5" t="s">
        <v>2254</v>
      </c>
      <c r="D611" s="5" t="s">
        <v>2255</v>
      </c>
      <c r="E611" s="5" t="s">
        <v>2225</v>
      </c>
      <c r="F611" s="5" t="s">
        <v>2225</v>
      </c>
      <c r="G611" s="5" t="str">
        <f aca="false">INDEX(Risk_Matrix!$B$2:$D$4,MATCH(E611,Risk_Matrix!$A$2:$A$4,0),MATCH(F611,Risk_Matrix!$B$1:$D$1,0))</f>
        <v>Medium</v>
      </c>
      <c r="H611" s="12" t="n">
        <v>46232</v>
      </c>
      <c r="I611" s="5" t="s">
        <v>2250</v>
      </c>
      <c r="J611" s="5" t="s">
        <v>2251</v>
      </c>
      <c r="K611" s="5" t="s">
        <v>2266</v>
      </c>
      <c r="L611" s="5" t="n">
        <f aca="false">IF(G611="High",3,IF(G611="Medium",2,1))</f>
        <v>2</v>
      </c>
    </row>
    <row r="612" customFormat="false" ht="15" hidden="false" customHeight="true" outlineLevel="0" collapsed="false">
      <c r="A612" s="5" t="s">
        <v>2888</v>
      </c>
      <c r="B612" s="5" t="s">
        <v>1197</v>
      </c>
      <c r="C612" s="5" t="s">
        <v>2259</v>
      </c>
      <c r="D612" s="5" t="s">
        <v>2274</v>
      </c>
      <c r="E612" s="5" t="s">
        <v>2225</v>
      </c>
      <c r="F612" s="5" t="s">
        <v>59</v>
      </c>
      <c r="G612" s="5" t="str">
        <f aca="false">INDEX(Risk_Matrix!$B$2:$D$4,MATCH(E612,Risk_Matrix!$A$2:$A$4,0),MATCH(F612,Risk_Matrix!$B$1:$D$1,0))</f>
        <v>Low</v>
      </c>
      <c r="H612" s="12" t="n">
        <v>46079</v>
      </c>
      <c r="I612" s="5" t="s">
        <v>2256</v>
      </c>
      <c r="J612" s="5" t="s">
        <v>2257</v>
      </c>
      <c r="K612" s="5" t="s">
        <v>2276</v>
      </c>
      <c r="L612" s="5" t="n">
        <f aca="false">IF(G612="High",3,IF(G612="Medium",2,1))</f>
        <v>1</v>
      </c>
    </row>
    <row r="613" customFormat="false" ht="15" hidden="false" customHeight="true" outlineLevel="0" collapsed="false">
      <c r="A613" s="5" t="s">
        <v>2889</v>
      </c>
      <c r="B613" s="5" t="s">
        <v>1197</v>
      </c>
      <c r="C613" s="5" t="s">
        <v>2262</v>
      </c>
      <c r="D613" s="5" t="s">
        <v>2287</v>
      </c>
      <c r="E613" s="5" t="s">
        <v>2225</v>
      </c>
      <c r="F613" s="5" t="s">
        <v>2225</v>
      </c>
      <c r="G613" s="5" t="str">
        <f aca="false">INDEX(Risk_Matrix!$B$2:$D$4,MATCH(E613,Risk_Matrix!$A$2:$A$4,0),MATCH(F613,Risk_Matrix!$B$1:$D$1,0))</f>
        <v>Medium</v>
      </c>
      <c r="H613" s="12" t="n">
        <v>46119</v>
      </c>
      <c r="I613" s="5" t="s">
        <v>2250</v>
      </c>
      <c r="J613" s="5" t="s">
        <v>2251</v>
      </c>
      <c r="K613" s="5" t="s">
        <v>2266</v>
      </c>
      <c r="L613" s="5" t="n">
        <f aca="false">IF(G613="High",3,IF(G613="Medium",2,1))</f>
        <v>2</v>
      </c>
    </row>
    <row r="614" customFormat="false" ht="15" hidden="false" customHeight="true" outlineLevel="0" collapsed="false">
      <c r="A614" s="5" t="s">
        <v>2890</v>
      </c>
      <c r="B614" s="5" t="s">
        <v>1199</v>
      </c>
      <c r="C614" s="5" t="s">
        <v>2239</v>
      </c>
      <c r="D614" s="5" t="s">
        <v>2278</v>
      </c>
      <c r="E614" s="5" t="s">
        <v>2225</v>
      </c>
      <c r="F614" s="5" t="s">
        <v>59</v>
      </c>
      <c r="G614" s="5" t="str">
        <f aca="false">INDEX(Risk_Matrix!$B$2:$D$4,MATCH(E614,Risk_Matrix!$A$2:$A$4,0),MATCH(F614,Risk_Matrix!$B$1:$D$1,0))</f>
        <v>Low</v>
      </c>
      <c r="H614" s="12" t="n">
        <v>46151</v>
      </c>
      <c r="I614" s="5" t="s">
        <v>2256</v>
      </c>
      <c r="J614" s="5" t="s">
        <v>2257</v>
      </c>
      <c r="K614" s="5" t="s">
        <v>2283</v>
      </c>
      <c r="L614" s="5" t="n">
        <f aca="false">IF(G614="High",3,IF(G614="Medium",2,1))</f>
        <v>1</v>
      </c>
    </row>
    <row r="615" customFormat="false" ht="15" hidden="false" customHeight="true" outlineLevel="0" collapsed="false">
      <c r="A615" s="5" t="s">
        <v>2891</v>
      </c>
      <c r="B615" s="5" t="s">
        <v>1199</v>
      </c>
      <c r="C615" s="5" t="s">
        <v>2245</v>
      </c>
      <c r="D615" s="5" t="s">
        <v>2246</v>
      </c>
      <c r="E615" s="5" t="s">
        <v>54</v>
      </c>
      <c r="F615" s="5" t="s">
        <v>59</v>
      </c>
      <c r="G615" s="5" t="str">
        <f aca="false">INDEX(Risk_Matrix!$B$2:$D$4,MATCH(E615,Risk_Matrix!$A$2:$A$4,0),MATCH(F615,Risk_Matrix!$B$1:$D$1,0))</f>
        <v>Medium</v>
      </c>
      <c r="H615" s="12" t="n">
        <v>46208</v>
      </c>
      <c r="I615" s="5" t="s">
        <v>2250</v>
      </c>
      <c r="J615" s="5" t="s">
        <v>2251</v>
      </c>
      <c r="K615" s="5" t="s">
        <v>2243</v>
      </c>
      <c r="L615" s="5" t="n">
        <f aca="false">IF(G615="High",3,IF(G615="Medium",2,1))</f>
        <v>2</v>
      </c>
    </row>
    <row r="616" customFormat="false" ht="15" hidden="false" customHeight="true" outlineLevel="0" collapsed="false">
      <c r="A616" s="5" t="s">
        <v>2892</v>
      </c>
      <c r="B616" s="5" t="s">
        <v>1199</v>
      </c>
      <c r="C616" s="5" t="s">
        <v>2248</v>
      </c>
      <c r="D616" s="5" t="s">
        <v>2271</v>
      </c>
      <c r="E616" s="5" t="s">
        <v>59</v>
      </c>
      <c r="F616" s="5" t="s">
        <v>59</v>
      </c>
      <c r="G616" s="5" t="str">
        <f aca="false">INDEX(Risk_Matrix!$B$2:$D$4,MATCH(E616,Risk_Matrix!$A$2:$A$4,0),MATCH(F616,Risk_Matrix!$B$1:$D$1,0))</f>
        <v>Low</v>
      </c>
      <c r="H616" s="12" t="n">
        <v>46230</v>
      </c>
      <c r="I616" s="5" t="s">
        <v>2250</v>
      </c>
      <c r="J616" s="5" t="s">
        <v>2251</v>
      </c>
      <c r="K616" s="5" t="s">
        <v>2266</v>
      </c>
      <c r="L616" s="5" t="n">
        <f aca="false">IF(G616="High",3,IF(G616="Medium",2,1))</f>
        <v>1</v>
      </c>
    </row>
    <row r="617" customFormat="false" ht="15" hidden="false" customHeight="true" outlineLevel="0" collapsed="false">
      <c r="A617" s="5" t="s">
        <v>2893</v>
      </c>
      <c r="B617" s="5" t="s">
        <v>1199</v>
      </c>
      <c r="C617" s="5" t="s">
        <v>2254</v>
      </c>
      <c r="D617" s="5" t="s">
        <v>2299</v>
      </c>
      <c r="E617" s="5" t="s">
        <v>2225</v>
      </c>
      <c r="F617" s="5" t="s">
        <v>2225</v>
      </c>
      <c r="G617" s="5" t="str">
        <f aca="false">INDEX(Risk_Matrix!$B$2:$D$4,MATCH(E617,Risk_Matrix!$A$2:$A$4,0),MATCH(F617,Risk_Matrix!$B$1:$D$1,0))</f>
        <v>Medium</v>
      </c>
      <c r="H617" s="12" t="n">
        <v>46196</v>
      </c>
      <c r="I617" s="5" t="s">
        <v>2264</v>
      </c>
      <c r="J617" s="5" t="s">
        <v>2265</v>
      </c>
      <c r="K617" s="5" t="s">
        <v>2243</v>
      </c>
      <c r="L617" s="5" t="n">
        <f aca="false">IF(G617="High",3,IF(G617="Medium",2,1))</f>
        <v>2</v>
      </c>
    </row>
    <row r="618" customFormat="false" ht="15" hidden="false" customHeight="true" outlineLevel="0" collapsed="false">
      <c r="A618" s="5" t="s">
        <v>2894</v>
      </c>
      <c r="B618" s="5" t="s">
        <v>1199</v>
      </c>
      <c r="C618" s="5" t="s">
        <v>2259</v>
      </c>
      <c r="D618" s="5" t="s">
        <v>2274</v>
      </c>
      <c r="E618" s="5" t="s">
        <v>59</v>
      </c>
      <c r="F618" s="5" t="s">
        <v>2225</v>
      </c>
      <c r="G618" s="5" t="str">
        <f aca="false">INDEX(Risk_Matrix!$B$2:$D$4,MATCH(E618,Risk_Matrix!$A$2:$A$4,0),MATCH(F618,Risk_Matrix!$B$1:$D$1,0))</f>
        <v>Low</v>
      </c>
      <c r="H618" s="12" t="n">
        <v>46210</v>
      </c>
      <c r="I618" s="5" t="s">
        <v>2250</v>
      </c>
      <c r="J618" s="5" t="s">
        <v>2251</v>
      </c>
      <c r="K618" s="5" t="s">
        <v>2283</v>
      </c>
      <c r="L618" s="5" t="n">
        <f aca="false">IF(G618="High",3,IF(G618="Medium",2,1))</f>
        <v>1</v>
      </c>
    </row>
    <row r="619" customFormat="false" ht="15" hidden="false" customHeight="true" outlineLevel="0" collapsed="false">
      <c r="A619" s="5" t="s">
        <v>2895</v>
      </c>
      <c r="B619" s="5" t="s">
        <v>1199</v>
      </c>
      <c r="C619" s="5" t="s">
        <v>2262</v>
      </c>
      <c r="D619" s="5" t="s">
        <v>2263</v>
      </c>
      <c r="E619" s="5" t="s">
        <v>59</v>
      </c>
      <c r="F619" s="5" t="s">
        <v>2225</v>
      </c>
      <c r="G619" s="5" t="str">
        <f aca="false">INDEX(Risk_Matrix!$B$2:$D$4,MATCH(E619,Risk_Matrix!$A$2:$A$4,0),MATCH(F619,Risk_Matrix!$B$1:$D$1,0))</f>
        <v>Low</v>
      </c>
      <c r="H619" s="12" t="n">
        <v>46118</v>
      </c>
      <c r="I619" s="5" t="s">
        <v>2250</v>
      </c>
      <c r="J619" s="5" t="s">
        <v>2251</v>
      </c>
      <c r="K619" s="5" t="s">
        <v>2243</v>
      </c>
      <c r="L619" s="5" t="n">
        <f aca="false">IF(G619="High",3,IF(G619="Medium",2,1))</f>
        <v>1</v>
      </c>
    </row>
    <row r="620" customFormat="false" ht="15" hidden="false" customHeight="true" outlineLevel="0" collapsed="false">
      <c r="A620" s="5" t="s">
        <v>2896</v>
      </c>
      <c r="B620" s="5" t="s">
        <v>1201</v>
      </c>
      <c r="C620" s="5" t="s">
        <v>2239</v>
      </c>
      <c r="D620" s="5" t="s">
        <v>2303</v>
      </c>
      <c r="E620" s="5" t="s">
        <v>2225</v>
      </c>
      <c r="F620" s="5" t="s">
        <v>59</v>
      </c>
      <c r="G620" s="5" t="str">
        <f aca="false">INDEX(Risk_Matrix!$B$2:$D$4,MATCH(E620,Risk_Matrix!$A$2:$A$4,0),MATCH(F620,Risk_Matrix!$B$1:$D$1,0))</f>
        <v>Low</v>
      </c>
      <c r="H620" s="12" t="n">
        <v>46142</v>
      </c>
      <c r="I620" s="5" t="s">
        <v>2250</v>
      </c>
      <c r="J620" s="5" t="s">
        <v>2251</v>
      </c>
      <c r="K620" s="5" t="s">
        <v>2283</v>
      </c>
      <c r="L620" s="5" t="n">
        <f aca="false">IF(G620="High",3,IF(G620="Medium",2,1))</f>
        <v>1</v>
      </c>
    </row>
    <row r="621" customFormat="false" ht="15" hidden="false" customHeight="true" outlineLevel="0" collapsed="false">
      <c r="A621" s="5" t="s">
        <v>2897</v>
      </c>
      <c r="B621" s="5" t="s">
        <v>1201</v>
      </c>
      <c r="C621" s="5" t="s">
        <v>2245</v>
      </c>
      <c r="D621" s="5" t="s">
        <v>2269</v>
      </c>
      <c r="E621" s="5" t="s">
        <v>2225</v>
      </c>
      <c r="F621" s="5" t="s">
        <v>59</v>
      </c>
      <c r="G621" s="5" t="str">
        <f aca="false">INDEX(Risk_Matrix!$B$2:$D$4,MATCH(E621,Risk_Matrix!$A$2:$A$4,0),MATCH(F621,Risk_Matrix!$B$1:$D$1,0))</f>
        <v>Low</v>
      </c>
      <c r="H621" s="12" t="n">
        <v>46087</v>
      </c>
      <c r="I621" s="5" t="s">
        <v>2256</v>
      </c>
      <c r="J621" s="5" t="s">
        <v>2257</v>
      </c>
      <c r="K621" s="5" t="s">
        <v>2276</v>
      </c>
      <c r="L621" s="5" t="n">
        <f aca="false">IF(G621="High",3,IF(G621="Medium",2,1))</f>
        <v>1</v>
      </c>
    </row>
    <row r="622" customFormat="false" ht="15" hidden="false" customHeight="true" outlineLevel="0" collapsed="false">
      <c r="A622" s="5" t="s">
        <v>2898</v>
      </c>
      <c r="B622" s="5" t="s">
        <v>1201</v>
      </c>
      <c r="C622" s="5" t="s">
        <v>2248</v>
      </c>
      <c r="D622" s="5" t="s">
        <v>2322</v>
      </c>
      <c r="E622" s="5" t="s">
        <v>2225</v>
      </c>
      <c r="F622" s="5" t="s">
        <v>59</v>
      </c>
      <c r="G622" s="5" t="str">
        <f aca="false">INDEX(Risk_Matrix!$B$2:$D$4,MATCH(E622,Risk_Matrix!$A$2:$A$4,0),MATCH(F622,Risk_Matrix!$B$1:$D$1,0))</f>
        <v>Low</v>
      </c>
      <c r="H622" s="12" t="n">
        <v>46232</v>
      </c>
      <c r="I622" s="5" t="s">
        <v>2250</v>
      </c>
      <c r="J622" s="5" t="s">
        <v>2251</v>
      </c>
      <c r="K622" s="5" t="s">
        <v>2252</v>
      </c>
      <c r="L622" s="5" t="n">
        <f aca="false">IF(G622="High",3,IF(G622="Medium",2,1))</f>
        <v>1</v>
      </c>
    </row>
    <row r="623" customFormat="false" ht="15" hidden="false" customHeight="true" outlineLevel="0" collapsed="false">
      <c r="A623" s="5" t="s">
        <v>2899</v>
      </c>
      <c r="B623" s="5" t="s">
        <v>1201</v>
      </c>
      <c r="C623" s="5" t="s">
        <v>2254</v>
      </c>
      <c r="D623" s="5" t="s">
        <v>2308</v>
      </c>
      <c r="E623" s="5" t="s">
        <v>59</v>
      </c>
      <c r="F623" s="5" t="s">
        <v>59</v>
      </c>
      <c r="G623" s="5" t="str">
        <f aca="false">INDEX(Risk_Matrix!$B$2:$D$4,MATCH(E623,Risk_Matrix!$A$2:$A$4,0),MATCH(F623,Risk_Matrix!$B$1:$D$1,0))</f>
        <v>Low</v>
      </c>
      <c r="H623" s="12" t="n">
        <v>46149</v>
      </c>
      <c r="I623" s="5" t="s">
        <v>2256</v>
      </c>
      <c r="J623" s="5" t="s">
        <v>2257</v>
      </c>
      <c r="K623" s="5" t="s">
        <v>2276</v>
      </c>
      <c r="L623" s="5" t="n">
        <f aca="false">IF(G623="High",3,IF(G623="Medium",2,1))</f>
        <v>1</v>
      </c>
    </row>
    <row r="624" customFormat="false" ht="15" hidden="false" customHeight="true" outlineLevel="0" collapsed="false">
      <c r="A624" s="5" t="s">
        <v>2900</v>
      </c>
      <c r="B624" s="5" t="s">
        <v>1201</v>
      </c>
      <c r="C624" s="5" t="s">
        <v>2259</v>
      </c>
      <c r="D624" s="5" t="s">
        <v>2285</v>
      </c>
      <c r="E624" s="5" t="s">
        <v>59</v>
      </c>
      <c r="F624" s="5" t="s">
        <v>59</v>
      </c>
      <c r="G624" s="5" t="str">
        <f aca="false">INDEX(Risk_Matrix!$B$2:$D$4,MATCH(E624,Risk_Matrix!$A$2:$A$4,0),MATCH(F624,Risk_Matrix!$B$1:$D$1,0))</f>
        <v>Low</v>
      </c>
      <c r="H624" s="12" t="n">
        <v>46217</v>
      </c>
      <c r="I624" s="5" t="s">
        <v>2256</v>
      </c>
      <c r="J624" s="5" t="s">
        <v>2257</v>
      </c>
      <c r="K624" s="5" t="s">
        <v>2276</v>
      </c>
      <c r="L624" s="5" t="n">
        <f aca="false">IF(G624="High",3,IF(G624="Medium",2,1))</f>
        <v>1</v>
      </c>
    </row>
    <row r="625" customFormat="false" ht="15" hidden="false" customHeight="true" outlineLevel="0" collapsed="false">
      <c r="A625" s="5" t="s">
        <v>2901</v>
      </c>
      <c r="B625" s="5" t="s">
        <v>1201</v>
      </c>
      <c r="C625" s="5" t="s">
        <v>2262</v>
      </c>
      <c r="D625" s="5" t="s">
        <v>2311</v>
      </c>
      <c r="E625" s="5" t="s">
        <v>59</v>
      </c>
      <c r="F625" s="5" t="s">
        <v>59</v>
      </c>
      <c r="G625" s="5" t="str">
        <f aca="false">INDEX(Risk_Matrix!$B$2:$D$4,MATCH(E625,Risk_Matrix!$A$2:$A$4,0),MATCH(F625,Risk_Matrix!$B$1:$D$1,0))</f>
        <v>Low</v>
      </c>
      <c r="H625" s="12" t="n">
        <v>46229</v>
      </c>
      <c r="I625" s="5" t="s">
        <v>2250</v>
      </c>
      <c r="J625" s="5" t="s">
        <v>2251</v>
      </c>
      <c r="K625" s="5" t="s">
        <v>2243</v>
      </c>
      <c r="L625" s="5" t="n">
        <f aca="false">IF(G625="High",3,IF(G625="Medium",2,1))</f>
        <v>1</v>
      </c>
    </row>
    <row r="626" customFormat="false" ht="15" hidden="false" customHeight="true" outlineLevel="0" collapsed="false">
      <c r="A626" s="5" t="s">
        <v>2902</v>
      </c>
      <c r="B626" s="5" t="s">
        <v>1203</v>
      </c>
      <c r="C626" s="5" t="s">
        <v>2239</v>
      </c>
      <c r="D626" s="5" t="s">
        <v>2295</v>
      </c>
      <c r="E626" s="5" t="s">
        <v>2225</v>
      </c>
      <c r="F626" s="5" t="s">
        <v>54</v>
      </c>
      <c r="G626" s="5" t="str">
        <f aca="false">INDEX(Risk_Matrix!$B$2:$D$4,MATCH(E626,Risk_Matrix!$A$2:$A$4,0),MATCH(F626,Risk_Matrix!$B$1:$D$1,0))</f>
        <v>High</v>
      </c>
      <c r="H626" s="12" t="n">
        <v>46060</v>
      </c>
      <c r="I626" s="5" t="s">
        <v>2256</v>
      </c>
      <c r="J626" s="5" t="s">
        <v>2257</v>
      </c>
      <c r="K626" s="5" t="s">
        <v>2243</v>
      </c>
      <c r="L626" s="5" t="n">
        <f aca="false">IF(G626="High",3,IF(G626="Medium",2,1))</f>
        <v>3</v>
      </c>
    </row>
    <row r="627" customFormat="false" ht="15" hidden="false" customHeight="true" outlineLevel="0" collapsed="false">
      <c r="A627" s="5" t="s">
        <v>2903</v>
      </c>
      <c r="B627" s="5" t="s">
        <v>1203</v>
      </c>
      <c r="C627" s="5" t="s">
        <v>2245</v>
      </c>
      <c r="D627" s="5" t="s">
        <v>2246</v>
      </c>
      <c r="E627" s="5" t="s">
        <v>54</v>
      </c>
      <c r="F627" s="5" t="s">
        <v>59</v>
      </c>
      <c r="G627" s="5" t="str">
        <f aca="false">INDEX(Risk_Matrix!$B$2:$D$4,MATCH(E627,Risk_Matrix!$A$2:$A$4,0),MATCH(F627,Risk_Matrix!$B$1:$D$1,0))</f>
        <v>Medium</v>
      </c>
      <c r="H627" s="12" t="n">
        <v>46092</v>
      </c>
      <c r="I627" s="5" t="s">
        <v>2256</v>
      </c>
      <c r="J627" s="5" t="s">
        <v>2257</v>
      </c>
      <c r="K627" s="5" t="s">
        <v>2276</v>
      </c>
      <c r="L627" s="5" t="n">
        <f aca="false">IF(G627="High",3,IF(G627="Medium",2,1))</f>
        <v>2</v>
      </c>
    </row>
    <row r="628" customFormat="false" ht="15" hidden="false" customHeight="true" outlineLevel="0" collapsed="false">
      <c r="A628" s="5" t="s">
        <v>2904</v>
      </c>
      <c r="B628" s="5" t="s">
        <v>1203</v>
      </c>
      <c r="C628" s="5" t="s">
        <v>2248</v>
      </c>
      <c r="D628" s="5" t="s">
        <v>2271</v>
      </c>
      <c r="E628" s="5" t="s">
        <v>59</v>
      </c>
      <c r="F628" s="5" t="s">
        <v>2225</v>
      </c>
      <c r="G628" s="5" t="str">
        <f aca="false">INDEX(Risk_Matrix!$B$2:$D$4,MATCH(E628,Risk_Matrix!$A$2:$A$4,0),MATCH(F628,Risk_Matrix!$B$1:$D$1,0))</f>
        <v>Low</v>
      </c>
      <c r="H628" s="12" t="n">
        <v>46110</v>
      </c>
      <c r="I628" s="5" t="s">
        <v>2256</v>
      </c>
      <c r="J628" s="5" t="s">
        <v>2257</v>
      </c>
      <c r="K628" s="5" t="s">
        <v>2252</v>
      </c>
      <c r="L628" s="5" t="n">
        <f aca="false">IF(G628="High",3,IF(G628="Medium",2,1))</f>
        <v>1</v>
      </c>
    </row>
    <row r="629" customFormat="false" ht="15" hidden="false" customHeight="true" outlineLevel="0" collapsed="false">
      <c r="A629" s="5" t="s">
        <v>2905</v>
      </c>
      <c r="B629" s="5" t="s">
        <v>1203</v>
      </c>
      <c r="C629" s="5" t="s">
        <v>2254</v>
      </c>
      <c r="D629" s="5" t="s">
        <v>2255</v>
      </c>
      <c r="E629" s="5" t="s">
        <v>2225</v>
      </c>
      <c r="F629" s="5" t="s">
        <v>59</v>
      </c>
      <c r="G629" s="5" t="str">
        <f aca="false">INDEX(Risk_Matrix!$B$2:$D$4,MATCH(E629,Risk_Matrix!$A$2:$A$4,0),MATCH(F629,Risk_Matrix!$B$1:$D$1,0))</f>
        <v>Low</v>
      </c>
      <c r="H629" s="12" t="n">
        <v>46111</v>
      </c>
      <c r="I629" s="5" t="s">
        <v>2250</v>
      </c>
      <c r="J629" s="5" t="s">
        <v>2251</v>
      </c>
      <c r="K629" s="5" t="s">
        <v>2276</v>
      </c>
      <c r="L629" s="5" t="n">
        <f aca="false">IF(G629="High",3,IF(G629="Medium",2,1))</f>
        <v>1</v>
      </c>
    </row>
    <row r="630" customFormat="false" ht="15" hidden="false" customHeight="true" outlineLevel="0" collapsed="false">
      <c r="A630" s="5" t="s">
        <v>2906</v>
      </c>
      <c r="B630" s="5" t="s">
        <v>1203</v>
      </c>
      <c r="C630" s="5" t="s">
        <v>2259</v>
      </c>
      <c r="D630" s="5" t="s">
        <v>2285</v>
      </c>
      <c r="E630" s="5" t="s">
        <v>59</v>
      </c>
      <c r="F630" s="5" t="s">
        <v>59</v>
      </c>
      <c r="G630" s="5" t="str">
        <f aca="false">INDEX(Risk_Matrix!$B$2:$D$4,MATCH(E630,Risk_Matrix!$A$2:$A$4,0),MATCH(F630,Risk_Matrix!$B$1:$D$1,0))</f>
        <v>Low</v>
      </c>
      <c r="H630" s="12" t="n">
        <v>46092</v>
      </c>
      <c r="I630" s="5" t="s">
        <v>2256</v>
      </c>
      <c r="J630" s="5" t="s">
        <v>2257</v>
      </c>
      <c r="K630" s="5" t="s">
        <v>2243</v>
      </c>
      <c r="L630" s="5" t="n">
        <f aca="false">IF(G630="High",3,IF(G630="Medium",2,1))</f>
        <v>1</v>
      </c>
    </row>
    <row r="631" customFormat="false" ht="15" hidden="false" customHeight="true" outlineLevel="0" collapsed="false">
      <c r="A631" s="5" t="s">
        <v>2907</v>
      </c>
      <c r="B631" s="5" t="s">
        <v>1203</v>
      </c>
      <c r="C631" s="5" t="s">
        <v>2262</v>
      </c>
      <c r="D631" s="5" t="s">
        <v>2287</v>
      </c>
      <c r="E631" s="5" t="s">
        <v>2225</v>
      </c>
      <c r="F631" s="5" t="s">
        <v>54</v>
      </c>
      <c r="G631" s="5" t="str">
        <f aca="false">INDEX(Risk_Matrix!$B$2:$D$4,MATCH(E631,Risk_Matrix!$A$2:$A$4,0),MATCH(F631,Risk_Matrix!$B$1:$D$1,0))</f>
        <v>High</v>
      </c>
      <c r="H631" s="12" t="n">
        <v>46090</v>
      </c>
      <c r="I631" s="5" t="s">
        <v>2250</v>
      </c>
      <c r="J631" s="5" t="s">
        <v>2251</v>
      </c>
      <c r="K631" s="5" t="s">
        <v>2276</v>
      </c>
      <c r="L631" s="5" t="n">
        <f aca="false">IF(G631="High",3,IF(G631="Medium",2,1))</f>
        <v>3</v>
      </c>
    </row>
    <row r="632" customFormat="false" ht="15" hidden="false" customHeight="true" outlineLevel="0" collapsed="false">
      <c r="A632" s="5" t="s">
        <v>2908</v>
      </c>
      <c r="B632" s="5" t="s">
        <v>1205</v>
      </c>
      <c r="C632" s="5" t="s">
        <v>2239</v>
      </c>
      <c r="D632" s="5" t="s">
        <v>2278</v>
      </c>
      <c r="E632" s="5" t="s">
        <v>59</v>
      </c>
      <c r="F632" s="5" t="s">
        <v>2225</v>
      </c>
      <c r="G632" s="5" t="str">
        <f aca="false">INDEX(Risk_Matrix!$B$2:$D$4,MATCH(E632,Risk_Matrix!$A$2:$A$4,0),MATCH(F632,Risk_Matrix!$B$1:$D$1,0))</f>
        <v>Low</v>
      </c>
      <c r="H632" s="12" t="n">
        <v>46129</v>
      </c>
      <c r="I632" s="5" t="s">
        <v>2250</v>
      </c>
      <c r="J632" s="5" t="s">
        <v>2251</v>
      </c>
      <c r="K632" s="5" t="s">
        <v>2266</v>
      </c>
      <c r="L632" s="5" t="n">
        <f aca="false">IF(G632="High",3,IF(G632="Medium",2,1))</f>
        <v>1</v>
      </c>
    </row>
    <row r="633" customFormat="false" ht="15" hidden="false" customHeight="true" outlineLevel="0" collapsed="false">
      <c r="A633" s="5" t="s">
        <v>2909</v>
      </c>
      <c r="B633" s="5" t="s">
        <v>1205</v>
      </c>
      <c r="C633" s="5" t="s">
        <v>2245</v>
      </c>
      <c r="D633" s="5" t="s">
        <v>2269</v>
      </c>
      <c r="E633" s="5" t="s">
        <v>2225</v>
      </c>
      <c r="F633" s="5" t="s">
        <v>2225</v>
      </c>
      <c r="G633" s="5" t="str">
        <f aca="false">INDEX(Risk_Matrix!$B$2:$D$4,MATCH(E633,Risk_Matrix!$A$2:$A$4,0),MATCH(F633,Risk_Matrix!$B$1:$D$1,0))</f>
        <v>Medium</v>
      </c>
      <c r="H633" s="12" t="n">
        <v>46162</v>
      </c>
      <c r="I633" s="5" t="s">
        <v>2256</v>
      </c>
      <c r="J633" s="5" t="s">
        <v>2257</v>
      </c>
      <c r="K633" s="5" t="s">
        <v>2243</v>
      </c>
      <c r="L633" s="5" t="n">
        <f aca="false">IF(G633="High",3,IF(G633="Medium",2,1))</f>
        <v>2</v>
      </c>
    </row>
    <row r="634" customFormat="false" ht="15" hidden="false" customHeight="true" outlineLevel="0" collapsed="false">
      <c r="A634" s="5" t="s">
        <v>2910</v>
      </c>
      <c r="B634" s="5" t="s">
        <v>1205</v>
      </c>
      <c r="C634" s="5" t="s">
        <v>2248</v>
      </c>
      <c r="D634" s="5" t="s">
        <v>2249</v>
      </c>
      <c r="E634" s="5" t="s">
        <v>59</v>
      </c>
      <c r="F634" s="5" t="s">
        <v>59</v>
      </c>
      <c r="G634" s="5" t="str">
        <f aca="false">INDEX(Risk_Matrix!$B$2:$D$4,MATCH(E634,Risk_Matrix!$A$2:$A$4,0),MATCH(F634,Risk_Matrix!$B$1:$D$1,0))</f>
        <v>Low</v>
      </c>
      <c r="H634" s="12" t="n">
        <v>46122</v>
      </c>
      <c r="I634" s="5" t="s">
        <v>2250</v>
      </c>
      <c r="J634" s="5" t="s">
        <v>2251</v>
      </c>
      <c r="K634" s="5" t="s">
        <v>2283</v>
      </c>
      <c r="L634" s="5" t="n">
        <f aca="false">IF(G634="High",3,IF(G634="Medium",2,1))</f>
        <v>1</v>
      </c>
    </row>
    <row r="635" customFormat="false" ht="15" hidden="false" customHeight="true" outlineLevel="0" collapsed="false">
      <c r="A635" s="5" t="s">
        <v>2911</v>
      </c>
      <c r="B635" s="5" t="s">
        <v>1205</v>
      </c>
      <c r="C635" s="5" t="s">
        <v>2254</v>
      </c>
      <c r="D635" s="5" t="s">
        <v>2255</v>
      </c>
      <c r="E635" s="5" t="s">
        <v>54</v>
      </c>
      <c r="F635" s="5" t="s">
        <v>2225</v>
      </c>
      <c r="G635" s="5" t="str">
        <f aca="false">INDEX(Risk_Matrix!$B$2:$D$4,MATCH(E635,Risk_Matrix!$A$2:$A$4,0),MATCH(F635,Risk_Matrix!$B$1:$D$1,0))</f>
        <v>High</v>
      </c>
      <c r="H635" s="12" t="n">
        <v>46191</v>
      </c>
      <c r="I635" s="5" t="s">
        <v>2250</v>
      </c>
      <c r="J635" s="5" t="s">
        <v>2251</v>
      </c>
      <c r="K635" s="5" t="s">
        <v>2283</v>
      </c>
      <c r="L635" s="5" t="n">
        <f aca="false">IF(G635="High",3,IF(G635="Medium",2,1))</f>
        <v>3</v>
      </c>
    </row>
    <row r="636" customFormat="false" ht="15" hidden="false" customHeight="true" outlineLevel="0" collapsed="false">
      <c r="A636" s="5" t="s">
        <v>2912</v>
      </c>
      <c r="B636" s="5" t="s">
        <v>1205</v>
      </c>
      <c r="C636" s="5" t="s">
        <v>2259</v>
      </c>
      <c r="D636" s="5" t="s">
        <v>2274</v>
      </c>
      <c r="E636" s="5" t="s">
        <v>59</v>
      </c>
      <c r="F636" s="5" t="s">
        <v>54</v>
      </c>
      <c r="G636" s="5" t="str">
        <f aca="false">INDEX(Risk_Matrix!$B$2:$D$4,MATCH(E636,Risk_Matrix!$A$2:$A$4,0),MATCH(F636,Risk_Matrix!$B$1:$D$1,0))</f>
        <v>Medium</v>
      </c>
      <c r="H636" s="12" t="n">
        <v>46119</v>
      </c>
      <c r="I636" s="5" t="s">
        <v>2250</v>
      </c>
      <c r="J636" s="5" t="s">
        <v>2251</v>
      </c>
      <c r="K636" s="5" t="s">
        <v>2252</v>
      </c>
      <c r="L636" s="5" t="n">
        <f aca="false">IF(G636="High",3,IF(G636="Medium",2,1))</f>
        <v>2</v>
      </c>
    </row>
    <row r="637" customFormat="false" ht="15" hidden="false" customHeight="true" outlineLevel="0" collapsed="false">
      <c r="A637" s="5" t="s">
        <v>2913</v>
      </c>
      <c r="B637" s="5" t="s">
        <v>1205</v>
      </c>
      <c r="C637" s="5" t="s">
        <v>2262</v>
      </c>
      <c r="D637" s="5" t="s">
        <v>2263</v>
      </c>
      <c r="E637" s="5" t="s">
        <v>2225</v>
      </c>
      <c r="F637" s="5" t="s">
        <v>2225</v>
      </c>
      <c r="G637" s="5" t="str">
        <f aca="false">INDEX(Risk_Matrix!$B$2:$D$4,MATCH(E637,Risk_Matrix!$A$2:$A$4,0),MATCH(F637,Risk_Matrix!$B$1:$D$1,0))</f>
        <v>Medium</v>
      </c>
      <c r="H637" s="12" t="n">
        <v>46127</v>
      </c>
      <c r="I637" s="5" t="s">
        <v>2264</v>
      </c>
      <c r="J637" s="5" t="s">
        <v>2265</v>
      </c>
      <c r="K637" s="5" t="s">
        <v>2283</v>
      </c>
      <c r="L637" s="5" t="n">
        <f aca="false">IF(G637="High",3,IF(G637="Medium",2,1))</f>
        <v>2</v>
      </c>
    </row>
    <row r="638" customFormat="false" ht="15" hidden="false" customHeight="true" outlineLevel="0" collapsed="false">
      <c r="A638" s="5" t="s">
        <v>2914</v>
      </c>
      <c r="B638" s="5" t="s">
        <v>1206</v>
      </c>
      <c r="C638" s="5" t="s">
        <v>2239</v>
      </c>
      <c r="D638" s="5" t="s">
        <v>2240</v>
      </c>
      <c r="E638" s="5" t="s">
        <v>2225</v>
      </c>
      <c r="F638" s="5" t="s">
        <v>59</v>
      </c>
      <c r="G638" s="5" t="str">
        <f aca="false">INDEX(Risk_Matrix!$B$2:$D$4,MATCH(E638,Risk_Matrix!$A$2:$A$4,0),MATCH(F638,Risk_Matrix!$B$1:$D$1,0))</f>
        <v>Low</v>
      </c>
      <c r="H638" s="12" t="n">
        <v>46200</v>
      </c>
      <c r="I638" s="5" t="s">
        <v>2256</v>
      </c>
      <c r="J638" s="5" t="s">
        <v>2257</v>
      </c>
      <c r="K638" s="5" t="s">
        <v>2252</v>
      </c>
      <c r="L638" s="5" t="n">
        <f aca="false">IF(G638="High",3,IF(G638="Medium",2,1))</f>
        <v>1</v>
      </c>
    </row>
    <row r="639" customFormat="false" ht="15" hidden="false" customHeight="true" outlineLevel="0" collapsed="false">
      <c r="A639" s="5" t="s">
        <v>2915</v>
      </c>
      <c r="B639" s="5" t="s">
        <v>1206</v>
      </c>
      <c r="C639" s="5" t="s">
        <v>2245</v>
      </c>
      <c r="D639" s="5" t="s">
        <v>2280</v>
      </c>
      <c r="E639" s="5" t="s">
        <v>59</v>
      </c>
      <c r="F639" s="5" t="s">
        <v>54</v>
      </c>
      <c r="G639" s="5" t="str">
        <f aca="false">INDEX(Risk_Matrix!$B$2:$D$4,MATCH(E639,Risk_Matrix!$A$2:$A$4,0),MATCH(F639,Risk_Matrix!$B$1:$D$1,0))</f>
        <v>Medium</v>
      </c>
      <c r="H639" s="12" t="n">
        <v>46076</v>
      </c>
      <c r="I639" s="5" t="s">
        <v>2264</v>
      </c>
      <c r="J639" s="5" t="s">
        <v>2265</v>
      </c>
      <c r="K639" s="5" t="s">
        <v>2266</v>
      </c>
      <c r="L639" s="5" t="n">
        <f aca="false">IF(G639="High",3,IF(G639="Medium",2,1))</f>
        <v>2</v>
      </c>
    </row>
    <row r="640" customFormat="false" ht="15" hidden="false" customHeight="true" outlineLevel="0" collapsed="false">
      <c r="A640" s="5" t="s">
        <v>2916</v>
      </c>
      <c r="B640" s="5" t="s">
        <v>1206</v>
      </c>
      <c r="C640" s="5" t="s">
        <v>2248</v>
      </c>
      <c r="D640" s="5" t="s">
        <v>2271</v>
      </c>
      <c r="E640" s="5" t="s">
        <v>59</v>
      </c>
      <c r="F640" s="5" t="s">
        <v>59</v>
      </c>
      <c r="G640" s="5" t="str">
        <f aca="false">INDEX(Risk_Matrix!$B$2:$D$4,MATCH(E640,Risk_Matrix!$A$2:$A$4,0),MATCH(F640,Risk_Matrix!$B$1:$D$1,0))</f>
        <v>Low</v>
      </c>
      <c r="H640" s="12" t="n">
        <v>46063</v>
      </c>
      <c r="I640" s="5" t="s">
        <v>2256</v>
      </c>
      <c r="J640" s="5" t="s">
        <v>2257</v>
      </c>
      <c r="K640" s="5" t="s">
        <v>2283</v>
      </c>
      <c r="L640" s="5" t="n">
        <f aca="false">IF(G640="High",3,IF(G640="Medium",2,1))</f>
        <v>1</v>
      </c>
    </row>
    <row r="641" customFormat="false" ht="15" hidden="false" customHeight="true" outlineLevel="0" collapsed="false">
      <c r="A641" s="5" t="s">
        <v>2917</v>
      </c>
      <c r="B641" s="5" t="s">
        <v>1206</v>
      </c>
      <c r="C641" s="5" t="s">
        <v>2254</v>
      </c>
      <c r="D641" s="5" t="s">
        <v>2255</v>
      </c>
      <c r="E641" s="5" t="s">
        <v>59</v>
      </c>
      <c r="F641" s="5" t="s">
        <v>59</v>
      </c>
      <c r="G641" s="5" t="str">
        <f aca="false">INDEX(Risk_Matrix!$B$2:$D$4,MATCH(E641,Risk_Matrix!$A$2:$A$4,0),MATCH(F641,Risk_Matrix!$B$1:$D$1,0))</f>
        <v>Low</v>
      </c>
      <c r="H641" s="12" t="n">
        <v>46176</v>
      </c>
      <c r="I641" s="5" t="s">
        <v>2256</v>
      </c>
      <c r="J641" s="5" t="s">
        <v>2257</v>
      </c>
      <c r="K641" s="5" t="s">
        <v>2252</v>
      </c>
      <c r="L641" s="5" t="n">
        <f aca="false">IF(G641="High",3,IF(G641="Medium",2,1))</f>
        <v>1</v>
      </c>
    </row>
    <row r="642" customFormat="false" ht="15" hidden="false" customHeight="true" outlineLevel="0" collapsed="false">
      <c r="A642" s="5" t="s">
        <v>2918</v>
      </c>
      <c r="B642" s="5" t="s">
        <v>1206</v>
      </c>
      <c r="C642" s="5" t="s">
        <v>2259</v>
      </c>
      <c r="D642" s="5" t="s">
        <v>2274</v>
      </c>
      <c r="E642" s="5" t="s">
        <v>59</v>
      </c>
      <c r="F642" s="5" t="s">
        <v>54</v>
      </c>
      <c r="G642" s="5" t="str">
        <f aca="false">INDEX(Risk_Matrix!$B$2:$D$4,MATCH(E642,Risk_Matrix!$A$2:$A$4,0),MATCH(F642,Risk_Matrix!$B$1:$D$1,0))</f>
        <v>Medium</v>
      </c>
      <c r="H642" s="12" t="n">
        <v>46229</v>
      </c>
      <c r="I642" s="5" t="s">
        <v>2250</v>
      </c>
      <c r="J642" s="5" t="s">
        <v>2251</v>
      </c>
      <c r="K642" s="5" t="s">
        <v>2266</v>
      </c>
      <c r="L642" s="5" t="n">
        <f aca="false">IF(G642="High",3,IF(G642="Medium",2,1))</f>
        <v>2</v>
      </c>
    </row>
    <row r="643" customFormat="false" ht="15" hidden="false" customHeight="true" outlineLevel="0" collapsed="false">
      <c r="A643" s="5" t="s">
        <v>2919</v>
      </c>
      <c r="B643" s="5" t="s">
        <v>1206</v>
      </c>
      <c r="C643" s="5" t="s">
        <v>2262</v>
      </c>
      <c r="D643" s="5" t="s">
        <v>2287</v>
      </c>
      <c r="E643" s="5" t="s">
        <v>59</v>
      </c>
      <c r="F643" s="5" t="s">
        <v>59</v>
      </c>
      <c r="G643" s="5" t="str">
        <f aca="false">INDEX(Risk_Matrix!$B$2:$D$4,MATCH(E643,Risk_Matrix!$A$2:$A$4,0),MATCH(F643,Risk_Matrix!$B$1:$D$1,0))</f>
        <v>Low</v>
      </c>
      <c r="H643" s="12" t="n">
        <v>46167</v>
      </c>
      <c r="I643" s="5" t="s">
        <v>2264</v>
      </c>
      <c r="J643" s="5" t="s">
        <v>2265</v>
      </c>
      <c r="K643" s="5" t="s">
        <v>2283</v>
      </c>
      <c r="L643" s="5" t="n">
        <f aca="false">IF(G643="High",3,IF(G643="Medium",2,1))</f>
        <v>1</v>
      </c>
    </row>
    <row r="644" customFormat="false" ht="15" hidden="false" customHeight="true" outlineLevel="0" collapsed="false">
      <c r="A644" s="5" t="s">
        <v>2920</v>
      </c>
      <c r="B644" s="5" t="s">
        <v>1208</v>
      </c>
      <c r="C644" s="5" t="s">
        <v>2239</v>
      </c>
      <c r="D644" s="5" t="s">
        <v>2303</v>
      </c>
      <c r="E644" s="5" t="s">
        <v>2225</v>
      </c>
      <c r="F644" s="5" t="s">
        <v>59</v>
      </c>
      <c r="G644" s="5" t="str">
        <f aca="false">INDEX(Risk_Matrix!$B$2:$D$4,MATCH(E644,Risk_Matrix!$A$2:$A$4,0),MATCH(F644,Risk_Matrix!$B$1:$D$1,0))</f>
        <v>Low</v>
      </c>
      <c r="H644" s="12" t="n">
        <v>46233</v>
      </c>
      <c r="I644" s="5" t="s">
        <v>2250</v>
      </c>
      <c r="J644" s="5" t="s">
        <v>2251</v>
      </c>
      <c r="K644" s="5" t="s">
        <v>2276</v>
      </c>
      <c r="L644" s="5" t="n">
        <f aca="false">IF(G644="High",3,IF(G644="Medium",2,1))</f>
        <v>1</v>
      </c>
    </row>
    <row r="645" customFormat="false" ht="15" hidden="false" customHeight="true" outlineLevel="0" collapsed="false">
      <c r="A645" s="5" t="s">
        <v>2921</v>
      </c>
      <c r="B645" s="5" t="s">
        <v>1208</v>
      </c>
      <c r="C645" s="5" t="s">
        <v>2245</v>
      </c>
      <c r="D645" s="5" t="s">
        <v>2246</v>
      </c>
      <c r="E645" s="5" t="s">
        <v>59</v>
      </c>
      <c r="F645" s="5" t="s">
        <v>59</v>
      </c>
      <c r="G645" s="5" t="str">
        <f aca="false">INDEX(Risk_Matrix!$B$2:$D$4,MATCH(E645,Risk_Matrix!$A$2:$A$4,0),MATCH(F645,Risk_Matrix!$B$1:$D$1,0))</f>
        <v>Low</v>
      </c>
      <c r="H645" s="12" t="n">
        <v>46134</v>
      </c>
      <c r="I645" s="5" t="s">
        <v>2256</v>
      </c>
      <c r="J645" s="5" t="s">
        <v>2257</v>
      </c>
      <c r="K645" s="5" t="s">
        <v>2252</v>
      </c>
      <c r="L645" s="5" t="n">
        <f aca="false">IF(G645="High",3,IF(G645="Medium",2,1))</f>
        <v>1</v>
      </c>
    </row>
    <row r="646" customFormat="false" ht="15" hidden="false" customHeight="true" outlineLevel="0" collapsed="false">
      <c r="A646" s="5" t="s">
        <v>2922</v>
      </c>
      <c r="B646" s="5" t="s">
        <v>1208</v>
      </c>
      <c r="C646" s="5" t="s">
        <v>2248</v>
      </c>
      <c r="D646" s="5" t="s">
        <v>2306</v>
      </c>
      <c r="E646" s="5" t="s">
        <v>59</v>
      </c>
      <c r="F646" s="5" t="s">
        <v>2225</v>
      </c>
      <c r="G646" s="5" t="str">
        <f aca="false">INDEX(Risk_Matrix!$B$2:$D$4,MATCH(E646,Risk_Matrix!$A$2:$A$4,0),MATCH(F646,Risk_Matrix!$B$1:$D$1,0))</f>
        <v>Low</v>
      </c>
      <c r="H646" s="12" t="n">
        <v>46178</v>
      </c>
      <c r="I646" s="5" t="s">
        <v>2264</v>
      </c>
      <c r="J646" s="5" t="s">
        <v>2265</v>
      </c>
      <c r="K646" s="5" t="s">
        <v>2276</v>
      </c>
      <c r="L646" s="5" t="n">
        <f aca="false">IF(G646="High",3,IF(G646="Medium",2,1))</f>
        <v>1</v>
      </c>
    </row>
    <row r="647" customFormat="false" ht="15" hidden="false" customHeight="true" outlineLevel="0" collapsed="false">
      <c r="A647" s="5" t="s">
        <v>2923</v>
      </c>
      <c r="B647" s="5" t="s">
        <v>1208</v>
      </c>
      <c r="C647" s="5" t="s">
        <v>2254</v>
      </c>
      <c r="D647" s="5" t="s">
        <v>2299</v>
      </c>
      <c r="E647" s="5" t="s">
        <v>2225</v>
      </c>
      <c r="F647" s="5" t="s">
        <v>54</v>
      </c>
      <c r="G647" s="5" t="str">
        <f aca="false">INDEX(Risk_Matrix!$B$2:$D$4,MATCH(E647,Risk_Matrix!$A$2:$A$4,0),MATCH(F647,Risk_Matrix!$B$1:$D$1,0))</f>
        <v>High</v>
      </c>
      <c r="H647" s="12" t="n">
        <v>46090</v>
      </c>
      <c r="I647" s="5" t="s">
        <v>2250</v>
      </c>
      <c r="J647" s="5" t="s">
        <v>2251</v>
      </c>
      <c r="K647" s="5" t="s">
        <v>2283</v>
      </c>
      <c r="L647" s="5" t="n">
        <f aca="false">IF(G647="High",3,IF(G647="Medium",2,1))</f>
        <v>3</v>
      </c>
    </row>
    <row r="648" customFormat="false" ht="15" hidden="false" customHeight="true" outlineLevel="0" collapsed="false">
      <c r="A648" s="5" t="s">
        <v>2924</v>
      </c>
      <c r="B648" s="5" t="s">
        <v>1208</v>
      </c>
      <c r="C648" s="5" t="s">
        <v>2259</v>
      </c>
      <c r="D648" s="5" t="s">
        <v>2274</v>
      </c>
      <c r="E648" s="5" t="s">
        <v>59</v>
      </c>
      <c r="F648" s="5" t="s">
        <v>59</v>
      </c>
      <c r="G648" s="5" t="str">
        <f aca="false">INDEX(Risk_Matrix!$B$2:$D$4,MATCH(E648,Risk_Matrix!$A$2:$A$4,0),MATCH(F648,Risk_Matrix!$B$1:$D$1,0))</f>
        <v>Low</v>
      </c>
      <c r="H648" s="12" t="n">
        <v>46158</v>
      </c>
      <c r="I648" s="5" t="s">
        <v>2250</v>
      </c>
      <c r="J648" s="5" t="s">
        <v>2251</v>
      </c>
      <c r="K648" s="5" t="s">
        <v>2252</v>
      </c>
      <c r="L648" s="5" t="n">
        <f aca="false">IF(G648="High",3,IF(G648="Medium",2,1))</f>
        <v>1</v>
      </c>
    </row>
    <row r="649" customFormat="false" ht="15" hidden="false" customHeight="true" outlineLevel="0" collapsed="false">
      <c r="A649" s="5" t="s">
        <v>2925</v>
      </c>
      <c r="B649" s="5" t="s">
        <v>1208</v>
      </c>
      <c r="C649" s="5" t="s">
        <v>2262</v>
      </c>
      <c r="D649" s="5" t="s">
        <v>2263</v>
      </c>
      <c r="E649" s="5" t="s">
        <v>2225</v>
      </c>
      <c r="F649" s="5" t="s">
        <v>2225</v>
      </c>
      <c r="G649" s="5" t="str">
        <f aca="false">INDEX(Risk_Matrix!$B$2:$D$4,MATCH(E649,Risk_Matrix!$A$2:$A$4,0),MATCH(F649,Risk_Matrix!$B$1:$D$1,0))</f>
        <v>Medium</v>
      </c>
      <c r="H649" s="12" t="n">
        <v>46130</v>
      </c>
      <c r="I649" s="5" t="s">
        <v>2250</v>
      </c>
      <c r="J649" s="5" t="s">
        <v>2251</v>
      </c>
      <c r="K649" s="5" t="s">
        <v>2266</v>
      </c>
      <c r="L649" s="5" t="n">
        <f aca="false">IF(G649="High",3,IF(G649="Medium",2,1))</f>
        <v>2</v>
      </c>
    </row>
    <row r="650" customFormat="false" ht="15" hidden="false" customHeight="true" outlineLevel="0" collapsed="false">
      <c r="A650" s="5" t="s">
        <v>2926</v>
      </c>
      <c r="B650" s="5" t="s">
        <v>1209</v>
      </c>
      <c r="C650" s="5" t="s">
        <v>2239</v>
      </c>
      <c r="D650" s="5" t="s">
        <v>2303</v>
      </c>
      <c r="E650" s="5" t="s">
        <v>59</v>
      </c>
      <c r="F650" s="5" t="s">
        <v>59</v>
      </c>
      <c r="G650" s="5" t="str">
        <f aca="false">INDEX(Risk_Matrix!$B$2:$D$4,MATCH(E650,Risk_Matrix!$A$2:$A$4,0),MATCH(F650,Risk_Matrix!$B$1:$D$1,0))</f>
        <v>Low</v>
      </c>
      <c r="H650" s="12" t="n">
        <v>46134</v>
      </c>
      <c r="I650" s="5" t="s">
        <v>2256</v>
      </c>
      <c r="J650" s="5" t="s">
        <v>2257</v>
      </c>
      <c r="K650" s="5" t="s">
        <v>2252</v>
      </c>
      <c r="L650" s="5" t="n">
        <f aca="false">IF(G650="High",3,IF(G650="Medium",2,1))</f>
        <v>1</v>
      </c>
    </row>
    <row r="651" customFormat="false" ht="15" hidden="false" customHeight="true" outlineLevel="0" collapsed="false">
      <c r="A651" s="5" t="s">
        <v>2927</v>
      </c>
      <c r="B651" s="5" t="s">
        <v>1209</v>
      </c>
      <c r="C651" s="5" t="s">
        <v>2245</v>
      </c>
      <c r="D651" s="5" t="s">
        <v>2246</v>
      </c>
      <c r="E651" s="5" t="s">
        <v>59</v>
      </c>
      <c r="F651" s="5" t="s">
        <v>59</v>
      </c>
      <c r="G651" s="5" t="str">
        <f aca="false">INDEX(Risk_Matrix!$B$2:$D$4,MATCH(E651,Risk_Matrix!$A$2:$A$4,0),MATCH(F651,Risk_Matrix!$B$1:$D$1,0))</f>
        <v>Low</v>
      </c>
      <c r="H651" s="12" t="n">
        <v>46157</v>
      </c>
      <c r="I651" s="5" t="s">
        <v>2264</v>
      </c>
      <c r="J651" s="5" t="s">
        <v>2265</v>
      </c>
      <c r="K651" s="5" t="s">
        <v>2283</v>
      </c>
      <c r="L651" s="5" t="n">
        <f aca="false">IF(G651="High",3,IF(G651="Medium",2,1))</f>
        <v>1</v>
      </c>
    </row>
    <row r="652" customFormat="false" ht="15" hidden="false" customHeight="true" outlineLevel="0" collapsed="false">
      <c r="A652" s="5" t="s">
        <v>2928</v>
      </c>
      <c r="B652" s="5" t="s">
        <v>1209</v>
      </c>
      <c r="C652" s="5" t="s">
        <v>2248</v>
      </c>
      <c r="D652" s="5" t="s">
        <v>2271</v>
      </c>
      <c r="E652" s="5" t="s">
        <v>59</v>
      </c>
      <c r="F652" s="5" t="s">
        <v>59</v>
      </c>
      <c r="G652" s="5" t="str">
        <f aca="false">INDEX(Risk_Matrix!$B$2:$D$4,MATCH(E652,Risk_Matrix!$A$2:$A$4,0),MATCH(F652,Risk_Matrix!$B$1:$D$1,0))</f>
        <v>Low</v>
      </c>
      <c r="H652" s="12" t="n">
        <v>46201</v>
      </c>
      <c r="I652" s="5" t="s">
        <v>2256</v>
      </c>
      <c r="J652" s="5" t="s">
        <v>2257</v>
      </c>
      <c r="K652" s="5" t="s">
        <v>2252</v>
      </c>
      <c r="L652" s="5" t="n">
        <f aca="false">IF(G652="High",3,IF(G652="Medium",2,1))</f>
        <v>1</v>
      </c>
    </row>
    <row r="653" customFormat="false" ht="15" hidden="false" customHeight="true" outlineLevel="0" collapsed="false">
      <c r="A653" s="5" t="s">
        <v>2929</v>
      </c>
      <c r="B653" s="5" t="s">
        <v>1209</v>
      </c>
      <c r="C653" s="5" t="s">
        <v>2254</v>
      </c>
      <c r="D653" s="5" t="s">
        <v>2308</v>
      </c>
      <c r="E653" s="5" t="s">
        <v>2225</v>
      </c>
      <c r="F653" s="5" t="s">
        <v>2225</v>
      </c>
      <c r="G653" s="5" t="str">
        <f aca="false">INDEX(Risk_Matrix!$B$2:$D$4,MATCH(E653,Risk_Matrix!$A$2:$A$4,0),MATCH(F653,Risk_Matrix!$B$1:$D$1,0))</f>
        <v>Medium</v>
      </c>
      <c r="H653" s="12" t="n">
        <v>46083</v>
      </c>
      <c r="I653" s="5" t="s">
        <v>2256</v>
      </c>
      <c r="J653" s="5" t="s">
        <v>2257</v>
      </c>
      <c r="K653" s="5" t="s">
        <v>2276</v>
      </c>
      <c r="L653" s="5" t="n">
        <f aca="false">IF(G653="High",3,IF(G653="Medium",2,1))</f>
        <v>2</v>
      </c>
    </row>
    <row r="654" customFormat="false" ht="15" hidden="false" customHeight="true" outlineLevel="0" collapsed="false">
      <c r="A654" s="5" t="s">
        <v>2930</v>
      </c>
      <c r="B654" s="5" t="s">
        <v>1209</v>
      </c>
      <c r="C654" s="5" t="s">
        <v>2259</v>
      </c>
      <c r="D654" s="5" t="s">
        <v>2285</v>
      </c>
      <c r="E654" s="5" t="s">
        <v>2225</v>
      </c>
      <c r="F654" s="5" t="s">
        <v>54</v>
      </c>
      <c r="G654" s="5" t="str">
        <f aca="false">INDEX(Risk_Matrix!$B$2:$D$4,MATCH(E654,Risk_Matrix!$A$2:$A$4,0),MATCH(F654,Risk_Matrix!$B$1:$D$1,0))</f>
        <v>High</v>
      </c>
      <c r="H654" s="12" t="n">
        <v>46067</v>
      </c>
      <c r="I654" s="5" t="s">
        <v>2250</v>
      </c>
      <c r="J654" s="5" t="s">
        <v>2251</v>
      </c>
      <c r="K654" s="5" t="s">
        <v>2266</v>
      </c>
      <c r="L654" s="5" t="n">
        <f aca="false">IF(G654="High",3,IF(G654="Medium",2,1))</f>
        <v>3</v>
      </c>
    </row>
    <row r="655" customFormat="false" ht="15" hidden="false" customHeight="true" outlineLevel="0" collapsed="false">
      <c r="A655" s="5" t="s">
        <v>2931</v>
      </c>
      <c r="B655" s="5" t="s">
        <v>1209</v>
      </c>
      <c r="C655" s="5" t="s">
        <v>2262</v>
      </c>
      <c r="D655" s="5" t="s">
        <v>2311</v>
      </c>
      <c r="E655" s="5" t="s">
        <v>2225</v>
      </c>
      <c r="F655" s="5" t="s">
        <v>59</v>
      </c>
      <c r="G655" s="5" t="str">
        <f aca="false">INDEX(Risk_Matrix!$B$2:$D$4,MATCH(E655,Risk_Matrix!$A$2:$A$4,0),MATCH(F655,Risk_Matrix!$B$1:$D$1,0))</f>
        <v>Low</v>
      </c>
      <c r="H655" s="12" t="n">
        <v>46146</v>
      </c>
      <c r="I655" s="5" t="s">
        <v>2241</v>
      </c>
      <c r="J655" s="5" t="s">
        <v>2242</v>
      </c>
      <c r="K655" s="5" t="s">
        <v>2276</v>
      </c>
      <c r="L655" s="5" t="n">
        <f aca="false">IF(G655="High",3,IF(G655="Medium",2,1))</f>
        <v>1</v>
      </c>
    </row>
    <row r="656" customFormat="false" ht="15" hidden="false" customHeight="true" outlineLevel="0" collapsed="false">
      <c r="A656" s="5" t="s">
        <v>2932</v>
      </c>
      <c r="B656" s="5" t="s">
        <v>1210</v>
      </c>
      <c r="C656" s="5" t="s">
        <v>2239</v>
      </c>
      <c r="D656" s="5" t="s">
        <v>2303</v>
      </c>
      <c r="E656" s="5" t="s">
        <v>54</v>
      </c>
      <c r="F656" s="5" t="s">
        <v>59</v>
      </c>
      <c r="G656" s="5" t="str">
        <f aca="false">INDEX(Risk_Matrix!$B$2:$D$4,MATCH(E656,Risk_Matrix!$A$2:$A$4,0),MATCH(F656,Risk_Matrix!$B$1:$D$1,0))</f>
        <v>Medium</v>
      </c>
      <c r="H656" s="12" t="n">
        <v>46138</v>
      </c>
      <c r="I656" s="5" t="s">
        <v>2264</v>
      </c>
      <c r="J656" s="5" t="s">
        <v>2265</v>
      </c>
      <c r="K656" s="5" t="s">
        <v>2252</v>
      </c>
      <c r="L656" s="5" t="n">
        <f aca="false">IF(G656="High",3,IF(G656="Medium",2,1))</f>
        <v>2</v>
      </c>
    </row>
    <row r="657" customFormat="false" ht="15" hidden="false" customHeight="true" outlineLevel="0" collapsed="false">
      <c r="A657" s="5" t="s">
        <v>2933</v>
      </c>
      <c r="B657" s="5" t="s">
        <v>1210</v>
      </c>
      <c r="C657" s="5" t="s">
        <v>2245</v>
      </c>
      <c r="D657" s="5" t="s">
        <v>2269</v>
      </c>
      <c r="E657" s="5" t="s">
        <v>59</v>
      </c>
      <c r="F657" s="5" t="s">
        <v>2225</v>
      </c>
      <c r="G657" s="5" t="str">
        <f aca="false">INDEX(Risk_Matrix!$B$2:$D$4,MATCH(E657,Risk_Matrix!$A$2:$A$4,0),MATCH(F657,Risk_Matrix!$B$1:$D$1,0))</f>
        <v>Low</v>
      </c>
      <c r="H657" s="12" t="n">
        <v>46185</v>
      </c>
      <c r="I657" s="5" t="s">
        <v>2256</v>
      </c>
      <c r="J657" s="5" t="s">
        <v>2257</v>
      </c>
      <c r="K657" s="5" t="s">
        <v>2266</v>
      </c>
      <c r="L657" s="5" t="n">
        <f aca="false">IF(G657="High",3,IF(G657="Medium",2,1))</f>
        <v>1</v>
      </c>
    </row>
    <row r="658" customFormat="false" ht="15" hidden="false" customHeight="true" outlineLevel="0" collapsed="false">
      <c r="A658" s="5" t="s">
        <v>2934</v>
      </c>
      <c r="B658" s="5" t="s">
        <v>1210</v>
      </c>
      <c r="C658" s="5" t="s">
        <v>2248</v>
      </c>
      <c r="D658" s="5" t="s">
        <v>2271</v>
      </c>
      <c r="E658" s="5" t="s">
        <v>2225</v>
      </c>
      <c r="F658" s="5" t="s">
        <v>54</v>
      </c>
      <c r="G658" s="5" t="str">
        <f aca="false">INDEX(Risk_Matrix!$B$2:$D$4,MATCH(E658,Risk_Matrix!$A$2:$A$4,0),MATCH(F658,Risk_Matrix!$B$1:$D$1,0))</f>
        <v>High</v>
      </c>
      <c r="H658" s="12" t="n">
        <v>46134</v>
      </c>
      <c r="I658" s="5" t="s">
        <v>2264</v>
      </c>
      <c r="J658" s="5" t="s">
        <v>2265</v>
      </c>
      <c r="K658" s="5" t="s">
        <v>2276</v>
      </c>
      <c r="L658" s="5" t="n">
        <f aca="false">IF(G658="High",3,IF(G658="Medium",2,1))</f>
        <v>3</v>
      </c>
    </row>
    <row r="659" customFormat="false" ht="15" hidden="false" customHeight="true" outlineLevel="0" collapsed="false">
      <c r="A659" s="5" t="s">
        <v>2935</v>
      </c>
      <c r="B659" s="5" t="s">
        <v>1210</v>
      </c>
      <c r="C659" s="5" t="s">
        <v>2254</v>
      </c>
      <c r="D659" s="5" t="s">
        <v>2308</v>
      </c>
      <c r="E659" s="5" t="s">
        <v>54</v>
      </c>
      <c r="F659" s="5" t="s">
        <v>2225</v>
      </c>
      <c r="G659" s="5" t="str">
        <f aca="false">INDEX(Risk_Matrix!$B$2:$D$4,MATCH(E659,Risk_Matrix!$A$2:$A$4,0),MATCH(F659,Risk_Matrix!$B$1:$D$1,0))</f>
        <v>High</v>
      </c>
      <c r="H659" s="12" t="n">
        <v>46118</v>
      </c>
      <c r="I659" s="5" t="s">
        <v>2264</v>
      </c>
      <c r="J659" s="5" t="s">
        <v>2265</v>
      </c>
      <c r="K659" s="5" t="s">
        <v>2243</v>
      </c>
      <c r="L659" s="5" t="n">
        <f aca="false">IF(G659="High",3,IF(G659="Medium",2,1))</f>
        <v>3</v>
      </c>
    </row>
    <row r="660" customFormat="false" ht="15" hidden="false" customHeight="true" outlineLevel="0" collapsed="false">
      <c r="A660" s="5" t="s">
        <v>2936</v>
      </c>
      <c r="B660" s="5" t="s">
        <v>1210</v>
      </c>
      <c r="C660" s="5" t="s">
        <v>2259</v>
      </c>
      <c r="D660" s="5" t="s">
        <v>2274</v>
      </c>
      <c r="E660" s="5" t="s">
        <v>2225</v>
      </c>
      <c r="F660" s="5" t="s">
        <v>54</v>
      </c>
      <c r="G660" s="5" t="str">
        <f aca="false">INDEX(Risk_Matrix!$B$2:$D$4,MATCH(E660,Risk_Matrix!$A$2:$A$4,0),MATCH(F660,Risk_Matrix!$B$1:$D$1,0))</f>
        <v>High</v>
      </c>
      <c r="H660" s="12" t="n">
        <v>46197</v>
      </c>
      <c r="I660" s="5" t="s">
        <v>2264</v>
      </c>
      <c r="J660" s="5" t="s">
        <v>2265</v>
      </c>
      <c r="K660" s="5" t="s">
        <v>2252</v>
      </c>
      <c r="L660" s="5" t="n">
        <f aca="false">IF(G660="High",3,IF(G660="Medium",2,1))</f>
        <v>3</v>
      </c>
    </row>
    <row r="661" customFormat="false" ht="15" hidden="false" customHeight="true" outlineLevel="0" collapsed="false">
      <c r="A661" s="5" t="s">
        <v>2937</v>
      </c>
      <c r="B661" s="5" t="s">
        <v>1210</v>
      </c>
      <c r="C661" s="5" t="s">
        <v>2262</v>
      </c>
      <c r="D661" s="5" t="s">
        <v>2263</v>
      </c>
      <c r="E661" s="5" t="s">
        <v>59</v>
      </c>
      <c r="F661" s="5" t="s">
        <v>59</v>
      </c>
      <c r="G661" s="5" t="str">
        <f aca="false">INDEX(Risk_Matrix!$B$2:$D$4,MATCH(E661,Risk_Matrix!$A$2:$A$4,0),MATCH(F661,Risk_Matrix!$B$1:$D$1,0))</f>
        <v>Low</v>
      </c>
      <c r="H661" s="12" t="n">
        <v>46098</v>
      </c>
      <c r="I661" s="5" t="s">
        <v>2250</v>
      </c>
      <c r="J661" s="5" t="s">
        <v>2251</v>
      </c>
      <c r="K661" s="5" t="s">
        <v>2252</v>
      </c>
      <c r="L661" s="5" t="n">
        <f aca="false">IF(G661="High",3,IF(G661="Medium",2,1))</f>
        <v>1</v>
      </c>
    </row>
    <row r="662" customFormat="false" ht="15" hidden="false" customHeight="true" outlineLevel="0" collapsed="false">
      <c r="A662" s="5" t="s">
        <v>2938</v>
      </c>
      <c r="B662" s="5" t="s">
        <v>1211</v>
      </c>
      <c r="C662" s="5" t="s">
        <v>2239</v>
      </c>
      <c r="D662" s="5" t="s">
        <v>2295</v>
      </c>
      <c r="E662" s="5" t="s">
        <v>2225</v>
      </c>
      <c r="F662" s="5" t="s">
        <v>2225</v>
      </c>
      <c r="G662" s="5" t="str">
        <f aca="false">INDEX(Risk_Matrix!$B$2:$D$4,MATCH(E662,Risk_Matrix!$A$2:$A$4,0),MATCH(F662,Risk_Matrix!$B$1:$D$1,0))</f>
        <v>Medium</v>
      </c>
      <c r="H662" s="12" t="n">
        <v>46191</v>
      </c>
      <c r="I662" s="5" t="s">
        <v>2250</v>
      </c>
      <c r="J662" s="5" t="s">
        <v>2251</v>
      </c>
      <c r="K662" s="5" t="s">
        <v>2243</v>
      </c>
      <c r="L662" s="5" t="n">
        <f aca="false">IF(G662="High",3,IF(G662="Medium",2,1))</f>
        <v>2</v>
      </c>
    </row>
    <row r="663" customFormat="false" ht="15" hidden="false" customHeight="true" outlineLevel="0" collapsed="false">
      <c r="A663" s="5" t="s">
        <v>2939</v>
      </c>
      <c r="B663" s="5" t="s">
        <v>1211</v>
      </c>
      <c r="C663" s="5" t="s">
        <v>2245</v>
      </c>
      <c r="D663" s="5" t="s">
        <v>2320</v>
      </c>
      <c r="E663" s="5" t="s">
        <v>59</v>
      </c>
      <c r="F663" s="5" t="s">
        <v>59</v>
      </c>
      <c r="G663" s="5" t="str">
        <f aca="false">INDEX(Risk_Matrix!$B$2:$D$4,MATCH(E663,Risk_Matrix!$A$2:$A$4,0),MATCH(F663,Risk_Matrix!$B$1:$D$1,0))</f>
        <v>Low</v>
      </c>
      <c r="H663" s="12" t="n">
        <v>46091</v>
      </c>
      <c r="I663" s="5" t="s">
        <v>2256</v>
      </c>
      <c r="J663" s="5" t="s">
        <v>2257</v>
      </c>
      <c r="K663" s="5" t="s">
        <v>2276</v>
      </c>
      <c r="L663" s="5" t="n">
        <f aca="false">IF(G663="High",3,IF(G663="Medium",2,1))</f>
        <v>1</v>
      </c>
    </row>
    <row r="664" customFormat="false" ht="15" hidden="false" customHeight="true" outlineLevel="0" collapsed="false">
      <c r="A664" s="5" t="s">
        <v>2940</v>
      </c>
      <c r="B664" s="5" t="s">
        <v>1211</v>
      </c>
      <c r="C664" s="5" t="s">
        <v>2248</v>
      </c>
      <c r="D664" s="5" t="s">
        <v>2306</v>
      </c>
      <c r="E664" s="5" t="s">
        <v>59</v>
      </c>
      <c r="F664" s="5" t="s">
        <v>2225</v>
      </c>
      <c r="G664" s="5" t="str">
        <f aca="false">INDEX(Risk_Matrix!$B$2:$D$4,MATCH(E664,Risk_Matrix!$A$2:$A$4,0),MATCH(F664,Risk_Matrix!$B$1:$D$1,0))</f>
        <v>Low</v>
      </c>
      <c r="H664" s="12" t="n">
        <v>46072</v>
      </c>
      <c r="I664" s="5" t="s">
        <v>2241</v>
      </c>
      <c r="J664" s="5" t="s">
        <v>2242</v>
      </c>
      <c r="K664" s="5" t="s">
        <v>2266</v>
      </c>
      <c r="L664" s="5" t="n">
        <f aca="false">IF(G664="High",3,IF(G664="Medium",2,1))</f>
        <v>1</v>
      </c>
    </row>
    <row r="665" customFormat="false" ht="15" hidden="false" customHeight="true" outlineLevel="0" collapsed="false">
      <c r="A665" s="5" t="s">
        <v>2941</v>
      </c>
      <c r="B665" s="5" t="s">
        <v>1211</v>
      </c>
      <c r="C665" s="5" t="s">
        <v>2254</v>
      </c>
      <c r="D665" s="5" t="s">
        <v>2299</v>
      </c>
      <c r="E665" s="5" t="s">
        <v>2225</v>
      </c>
      <c r="F665" s="5" t="s">
        <v>2225</v>
      </c>
      <c r="G665" s="5" t="str">
        <f aca="false">INDEX(Risk_Matrix!$B$2:$D$4,MATCH(E665,Risk_Matrix!$A$2:$A$4,0),MATCH(F665,Risk_Matrix!$B$1:$D$1,0))</f>
        <v>Medium</v>
      </c>
      <c r="H665" s="12" t="n">
        <v>46116</v>
      </c>
      <c r="I665" s="5" t="s">
        <v>2256</v>
      </c>
      <c r="J665" s="5" t="s">
        <v>2257</v>
      </c>
      <c r="K665" s="5" t="s">
        <v>2266</v>
      </c>
      <c r="L665" s="5" t="n">
        <f aca="false">IF(G665="High",3,IF(G665="Medium",2,1))</f>
        <v>2</v>
      </c>
    </row>
    <row r="666" customFormat="false" ht="15" hidden="false" customHeight="true" outlineLevel="0" collapsed="false">
      <c r="A666" s="5" t="s">
        <v>2942</v>
      </c>
      <c r="B666" s="5" t="s">
        <v>1211</v>
      </c>
      <c r="C666" s="5" t="s">
        <v>2259</v>
      </c>
      <c r="D666" s="5" t="s">
        <v>2274</v>
      </c>
      <c r="E666" s="5" t="s">
        <v>59</v>
      </c>
      <c r="F666" s="5" t="s">
        <v>2225</v>
      </c>
      <c r="G666" s="5" t="str">
        <f aca="false">INDEX(Risk_Matrix!$B$2:$D$4,MATCH(E666,Risk_Matrix!$A$2:$A$4,0),MATCH(F666,Risk_Matrix!$B$1:$D$1,0))</f>
        <v>Low</v>
      </c>
      <c r="H666" s="12" t="n">
        <v>46166</v>
      </c>
      <c r="I666" s="5" t="s">
        <v>2256</v>
      </c>
      <c r="J666" s="5" t="s">
        <v>2257</v>
      </c>
      <c r="K666" s="5" t="s">
        <v>2266</v>
      </c>
      <c r="L666" s="5" t="n">
        <f aca="false">IF(G666="High",3,IF(G666="Medium",2,1))</f>
        <v>1</v>
      </c>
    </row>
    <row r="667" customFormat="false" ht="15" hidden="false" customHeight="true" outlineLevel="0" collapsed="false">
      <c r="A667" s="5" t="s">
        <v>2943</v>
      </c>
      <c r="B667" s="5" t="s">
        <v>1211</v>
      </c>
      <c r="C667" s="5" t="s">
        <v>2262</v>
      </c>
      <c r="D667" s="5" t="s">
        <v>2287</v>
      </c>
      <c r="E667" s="5" t="s">
        <v>59</v>
      </c>
      <c r="F667" s="5" t="s">
        <v>59</v>
      </c>
      <c r="G667" s="5" t="str">
        <f aca="false">INDEX(Risk_Matrix!$B$2:$D$4,MATCH(E667,Risk_Matrix!$A$2:$A$4,0),MATCH(F667,Risk_Matrix!$B$1:$D$1,0))</f>
        <v>Low</v>
      </c>
      <c r="H667" s="12" t="n">
        <v>46092</v>
      </c>
      <c r="I667" s="5" t="s">
        <v>2264</v>
      </c>
      <c r="J667" s="5" t="s">
        <v>2265</v>
      </c>
      <c r="K667" s="5" t="s">
        <v>2266</v>
      </c>
      <c r="L667" s="5" t="n">
        <f aca="false">IF(G667="High",3,IF(G667="Medium",2,1))</f>
        <v>1</v>
      </c>
    </row>
    <row r="668" customFormat="false" ht="15" hidden="false" customHeight="true" outlineLevel="0" collapsed="false">
      <c r="A668" s="5" t="s">
        <v>2944</v>
      </c>
      <c r="B668" s="5" t="s">
        <v>1213</v>
      </c>
      <c r="C668" s="5" t="s">
        <v>2239</v>
      </c>
      <c r="D668" s="5" t="s">
        <v>2240</v>
      </c>
      <c r="E668" s="5" t="s">
        <v>54</v>
      </c>
      <c r="F668" s="5" t="s">
        <v>54</v>
      </c>
      <c r="G668" s="5" t="str">
        <f aca="false">INDEX(Risk_Matrix!$B$2:$D$4,MATCH(E668,Risk_Matrix!$A$2:$A$4,0),MATCH(F668,Risk_Matrix!$B$1:$D$1,0))</f>
        <v>High</v>
      </c>
      <c r="H668" s="12" t="n">
        <v>46078</v>
      </c>
      <c r="I668" s="5" t="s">
        <v>2250</v>
      </c>
      <c r="J668" s="5" t="s">
        <v>2251</v>
      </c>
      <c r="K668" s="5" t="s">
        <v>2266</v>
      </c>
      <c r="L668" s="5" t="n">
        <f aca="false">IF(G668="High",3,IF(G668="Medium",2,1))</f>
        <v>3</v>
      </c>
    </row>
    <row r="669" customFormat="false" ht="15" hidden="false" customHeight="true" outlineLevel="0" collapsed="false">
      <c r="A669" s="5" t="s">
        <v>2945</v>
      </c>
      <c r="B669" s="5" t="s">
        <v>1213</v>
      </c>
      <c r="C669" s="5" t="s">
        <v>2245</v>
      </c>
      <c r="D669" s="5" t="s">
        <v>2246</v>
      </c>
      <c r="E669" s="5" t="s">
        <v>54</v>
      </c>
      <c r="F669" s="5" t="s">
        <v>59</v>
      </c>
      <c r="G669" s="5" t="str">
        <f aca="false">INDEX(Risk_Matrix!$B$2:$D$4,MATCH(E669,Risk_Matrix!$A$2:$A$4,0),MATCH(F669,Risk_Matrix!$B$1:$D$1,0))</f>
        <v>Medium</v>
      </c>
      <c r="H669" s="12" t="n">
        <v>46195</v>
      </c>
      <c r="I669" s="5" t="s">
        <v>2250</v>
      </c>
      <c r="J669" s="5" t="s">
        <v>2251</v>
      </c>
      <c r="K669" s="5" t="s">
        <v>2276</v>
      </c>
      <c r="L669" s="5" t="n">
        <f aca="false">IF(G669="High",3,IF(G669="Medium",2,1))</f>
        <v>2</v>
      </c>
    </row>
    <row r="670" customFormat="false" ht="15" hidden="false" customHeight="true" outlineLevel="0" collapsed="false">
      <c r="A670" s="5" t="s">
        <v>2946</v>
      </c>
      <c r="B670" s="5" t="s">
        <v>1213</v>
      </c>
      <c r="C670" s="5" t="s">
        <v>2248</v>
      </c>
      <c r="D670" s="5" t="s">
        <v>2271</v>
      </c>
      <c r="E670" s="5" t="s">
        <v>2225</v>
      </c>
      <c r="F670" s="5" t="s">
        <v>2225</v>
      </c>
      <c r="G670" s="5" t="str">
        <f aca="false">INDEX(Risk_Matrix!$B$2:$D$4,MATCH(E670,Risk_Matrix!$A$2:$A$4,0),MATCH(F670,Risk_Matrix!$B$1:$D$1,0))</f>
        <v>Medium</v>
      </c>
      <c r="H670" s="12" t="n">
        <v>46144</v>
      </c>
      <c r="I670" s="5" t="s">
        <v>2256</v>
      </c>
      <c r="J670" s="5" t="s">
        <v>2257</v>
      </c>
      <c r="K670" s="5" t="s">
        <v>2266</v>
      </c>
      <c r="L670" s="5" t="n">
        <f aca="false">IF(G670="High",3,IF(G670="Medium",2,1))</f>
        <v>2</v>
      </c>
    </row>
    <row r="671" customFormat="false" ht="15" hidden="false" customHeight="true" outlineLevel="0" collapsed="false">
      <c r="A671" s="5" t="s">
        <v>2947</v>
      </c>
      <c r="B671" s="5" t="s">
        <v>1213</v>
      </c>
      <c r="C671" s="5" t="s">
        <v>2254</v>
      </c>
      <c r="D671" s="5" t="s">
        <v>2299</v>
      </c>
      <c r="E671" s="5" t="s">
        <v>59</v>
      </c>
      <c r="F671" s="5" t="s">
        <v>2225</v>
      </c>
      <c r="G671" s="5" t="str">
        <f aca="false">INDEX(Risk_Matrix!$B$2:$D$4,MATCH(E671,Risk_Matrix!$A$2:$A$4,0),MATCH(F671,Risk_Matrix!$B$1:$D$1,0))</f>
        <v>Low</v>
      </c>
      <c r="H671" s="12" t="n">
        <v>46122</v>
      </c>
      <c r="I671" s="5" t="s">
        <v>2250</v>
      </c>
      <c r="J671" s="5" t="s">
        <v>2251</v>
      </c>
      <c r="K671" s="5" t="s">
        <v>2243</v>
      </c>
      <c r="L671" s="5" t="n">
        <f aca="false">IF(G671="High",3,IF(G671="Medium",2,1))</f>
        <v>1</v>
      </c>
    </row>
    <row r="672" customFormat="false" ht="15" hidden="false" customHeight="true" outlineLevel="0" collapsed="false">
      <c r="A672" s="5" t="s">
        <v>2948</v>
      </c>
      <c r="B672" s="5" t="s">
        <v>1213</v>
      </c>
      <c r="C672" s="5" t="s">
        <v>2259</v>
      </c>
      <c r="D672" s="5" t="s">
        <v>2260</v>
      </c>
      <c r="E672" s="5" t="s">
        <v>59</v>
      </c>
      <c r="F672" s="5" t="s">
        <v>59</v>
      </c>
      <c r="G672" s="5" t="str">
        <f aca="false">INDEX(Risk_Matrix!$B$2:$D$4,MATCH(E672,Risk_Matrix!$A$2:$A$4,0),MATCH(F672,Risk_Matrix!$B$1:$D$1,0))</f>
        <v>Low</v>
      </c>
      <c r="H672" s="12" t="n">
        <v>46170</v>
      </c>
      <c r="I672" s="5" t="s">
        <v>2264</v>
      </c>
      <c r="J672" s="5" t="s">
        <v>2265</v>
      </c>
      <c r="K672" s="5" t="s">
        <v>2252</v>
      </c>
      <c r="L672" s="5" t="n">
        <f aca="false">IF(G672="High",3,IF(G672="Medium",2,1))</f>
        <v>1</v>
      </c>
    </row>
    <row r="673" customFormat="false" ht="15" hidden="false" customHeight="true" outlineLevel="0" collapsed="false">
      <c r="A673" s="5" t="s">
        <v>2949</v>
      </c>
      <c r="B673" s="5" t="s">
        <v>1213</v>
      </c>
      <c r="C673" s="5" t="s">
        <v>2262</v>
      </c>
      <c r="D673" s="5" t="s">
        <v>2263</v>
      </c>
      <c r="E673" s="5" t="s">
        <v>59</v>
      </c>
      <c r="F673" s="5" t="s">
        <v>59</v>
      </c>
      <c r="G673" s="5" t="str">
        <f aca="false">INDEX(Risk_Matrix!$B$2:$D$4,MATCH(E673,Risk_Matrix!$A$2:$A$4,0),MATCH(F673,Risk_Matrix!$B$1:$D$1,0))</f>
        <v>Low</v>
      </c>
      <c r="H673" s="12" t="n">
        <v>46085</v>
      </c>
      <c r="I673" s="5" t="s">
        <v>2264</v>
      </c>
      <c r="J673" s="5" t="s">
        <v>2265</v>
      </c>
      <c r="K673" s="5" t="s">
        <v>2266</v>
      </c>
      <c r="L673" s="5" t="n">
        <f aca="false">IF(G673="High",3,IF(G673="Medium",2,1))</f>
        <v>1</v>
      </c>
    </row>
    <row r="674" customFormat="false" ht="15" hidden="false" customHeight="true" outlineLevel="0" collapsed="false">
      <c r="A674" s="5" t="s">
        <v>2950</v>
      </c>
      <c r="B674" s="5" t="s">
        <v>1215</v>
      </c>
      <c r="C674" s="5" t="s">
        <v>2239</v>
      </c>
      <c r="D674" s="5" t="s">
        <v>2278</v>
      </c>
      <c r="E674" s="5" t="s">
        <v>2225</v>
      </c>
      <c r="F674" s="5" t="s">
        <v>59</v>
      </c>
      <c r="G674" s="5" t="str">
        <f aca="false">INDEX(Risk_Matrix!$B$2:$D$4,MATCH(E674,Risk_Matrix!$A$2:$A$4,0),MATCH(F674,Risk_Matrix!$B$1:$D$1,0))</f>
        <v>Low</v>
      </c>
      <c r="H674" s="12" t="n">
        <v>46201</v>
      </c>
      <c r="I674" s="5" t="s">
        <v>2256</v>
      </c>
      <c r="J674" s="5" t="s">
        <v>2257</v>
      </c>
      <c r="K674" s="5" t="s">
        <v>2276</v>
      </c>
      <c r="L674" s="5" t="n">
        <f aca="false">IF(G674="High",3,IF(G674="Medium",2,1))</f>
        <v>1</v>
      </c>
    </row>
    <row r="675" customFormat="false" ht="15" hidden="false" customHeight="true" outlineLevel="0" collapsed="false">
      <c r="A675" s="5" t="s">
        <v>2951</v>
      </c>
      <c r="B675" s="5" t="s">
        <v>1215</v>
      </c>
      <c r="C675" s="5" t="s">
        <v>2245</v>
      </c>
      <c r="D675" s="5" t="s">
        <v>2269</v>
      </c>
      <c r="E675" s="5" t="s">
        <v>54</v>
      </c>
      <c r="F675" s="5" t="s">
        <v>59</v>
      </c>
      <c r="G675" s="5" t="str">
        <f aca="false">INDEX(Risk_Matrix!$B$2:$D$4,MATCH(E675,Risk_Matrix!$A$2:$A$4,0),MATCH(F675,Risk_Matrix!$B$1:$D$1,0))</f>
        <v>Medium</v>
      </c>
      <c r="H675" s="12" t="n">
        <v>46175</v>
      </c>
      <c r="I675" s="5" t="s">
        <v>2250</v>
      </c>
      <c r="J675" s="5" t="s">
        <v>2251</v>
      </c>
      <c r="K675" s="5" t="s">
        <v>2252</v>
      </c>
      <c r="L675" s="5" t="n">
        <f aca="false">IF(G675="High",3,IF(G675="Medium",2,1))</f>
        <v>2</v>
      </c>
    </row>
    <row r="676" customFormat="false" ht="15" hidden="false" customHeight="true" outlineLevel="0" collapsed="false">
      <c r="A676" s="5" t="s">
        <v>2952</v>
      </c>
      <c r="B676" s="5" t="s">
        <v>1215</v>
      </c>
      <c r="C676" s="5" t="s">
        <v>2248</v>
      </c>
      <c r="D676" s="5" t="s">
        <v>2271</v>
      </c>
      <c r="E676" s="5" t="s">
        <v>59</v>
      </c>
      <c r="F676" s="5" t="s">
        <v>59</v>
      </c>
      <c r="G676" s="5" t="str">
        <f aca="false">INDEX(Risk_Matrix!$B$2:$D$4,MATCH(E676,Risk_Matrix!$A$2:$A$4,0),MATCH(F676,Risk_Matrix!$B$1:$D$1,0))</f>
        <v>Low</v>
      </c>
      <c r="H676" s="12" t="n">
        <v>46061</v>
      </c>
      <c r="I676" s="5" t="s">
        <v>2264</v>
      </c>
      <c r="J676" s="5" t="s">
        <v>2265</v>
      </c>
      <c r="K676" s="5" t="s">
        <v>2243</v>
      </c>
      <c r="L676" s="5" t="n">
        <f aca="false">IF(G676="High",3,IF(G676="Medium",2,1))</f>
        <v>1</v>
      </c>
    </row>
    <row r="677" customFormat="false" ht="15" hidden="false" customHeight="true" outlineLevel="0" collapsed="false">
      <c r="A677" s="5" t="s">
        <v>2953</v>
      </c>
      <c r="B677" s="5" t="s">
        <v>1215</v>
      </c>
      <c r="C677" s="5" t="s">
        <v>2254</v>
      </c>
      <c r="D677" s="5" t="s">
        <v>2299</v>
      </c>
      <c r="E677" s="5" t="s">
        <v>59</v>
      </c>
      <c r="F677" s="5" t="s">
        <v>59</v>
      </c>
      <c r="G677" s="5" t="str">
        <f aca="false">INDEX(Risk_Matrix!$B$2:$D$4,MATCH(E677,Risk_Matrix!$A$2:$A$4,0),MATCH(F677,Risk_Matrix!$B$1:$D$1,0))</f>
        <v>Low</v>
      </c>
      <c r="H677" s="12" t="n">
        <v>46086</v>
      </c>
      <c r="I677" s="5" t="s">
        <v>2250</v>
      </c>
      <c r="J677" s="5" t="s">
        <v>2251</v>
      </c>
      <c r="K677" s="5" t="s">
        <v>2252</v>
      </c>
      <c r="L677" s="5" t="n">
        <f aca="false">IF(G677="High",3,IF(G677="Medium",2,1))</f>
        <v>1</v>
      </c>
    </row>
    <row r="678" customFormat="false" ht="15" hidden="false" customHeight="true" outlineLevel="0" collapsed="false">
      <c r="A678" s="5" t="s">
        <v>2954</v>
      </c>
      <c r="B678" s="5" t="s">
        <v>1215</v>
      </c>
      <c r="C678" s="5" t="s">
        <v>2259</v>
      </c>
      <c r="D678" s="5" t="s">
        <v>2260</v>
      </c>
      <c r="E678" s="5" t="s">
        <v>59</v>
      </c>
      <c r="F678" s="5" t="s">
        <v>59</v>
      </c>
      <c r="G678" s="5" t="str">
        <f aca="false">INDEX(Risk_Matrix!$B$2:$D$4,MATCH(E678,Risk_Matrix!$A$2:$A$4,0),MATCH(F678,Risk_Matrix!$B$1:$D$1,0))</f>
        <v>Low</v>
      </c>
      <c r="H678" s="12" t="n">
        <v>46178</v>
      </c>
      <c r="I678" s="5" t="s">
        <v>2256</v>
      </c>
      <c r="J678" s="5" t="s">
        <v>2257</v>
      </c>
      <c r="K678" s="5" t="s">
        <v>2243</v>
      </c>
      <c r="L678" s="5" t="n">
        <f aca="false">IF(G678="High",3,IF(G678="Medium",2,1))</f>
        <v>1</v>
      </c>
    </row>
    <row r="679" customFormat="false" ht="15" hidden="false" customHeight="true" outlineLevel="0" collapsed="false">
      <c r="A679" s="5" t="s">
        <v>2955</v>
      </c>
      <c r="B679" s="5" t="s">
        <v>1215</v>
      </c>
      <c r="C679" s="5" t="s">
        <v>2262</v>
      </c>
      <c r="D679" s="5" t="s">
        <v>2311</v>
      </c>
      <c r="E679" s="5" t="s">
        <v>54</v>
      </c>
      <c r="F679" s="5" t="s">
        <v>54</v>
      </c>
      <c r="G679" s="5" t="str">
        <f aca="false">INDEX(Risk_Matrix!$B$2:$D$4,MATCH(E679,Risk_Matrix!$A$2:$A$4,0),MATCH(F679,Risk_Matrix!$B$1:$D$1,0))</f>
        <v>High</v>
      </c>
      <c r="H679" s="12" t="n">
        <v>46085</v>
      </c>
      <c r="I679" s="5" t="s">
        <v>2241</v>
      </c>
      <c r="J679" s="5" t="s">
        <v>2242</v>
      </c>
      <c r="K679" s="5" t="s">
        <v>2276</v>
      </c>
      <c r="L679" s="5" t="n">
        <f aca="false">IF(G679="High",3,IF(G679="Medium",2,1))</f>
        <v>3</v>
      </c>
    </row>
    <row r="680" customFormat="false" ht="15" hidden="false" customHeight="true" outlineLevel="0" collapsed="false">
      <c r="A680" s="5" t="s">
        <v>2956</v>
      </c>
      <c r="B680" s="5" t="s">
        <v>1217</v>
      </c>
      <c r="C680" s="5" t="s">
        <v>2239</v>
      </c>
      <c r="D680" s="5" t="s">
        <v>2240</v>
      </c>
      <c r="E680" s="5" t="s">
        <v>59</v>
      </c>
      <c r="F680" s="5" t="s">
        <v>2225</v>
      </c>
      <c r="G680" s="5" t="str">
        <f aca="false">INDEX(Risk_Matrix!$B$2:$D$4,MATCH(E680,Risk_Matrix!$A$2:$A$4,0),MATCH(F680,Risk_Matrix!$B$1:$D$1,0))</f>
        <v>Low</v>
      </c>
      <c r="H680" s="12" t="n">
        <v>46137</v>
      </c>
      <c r="I680" s="5" t="s">
        <v>2256</v>
      </c>
      <c r="J680" s="5" t="s">
        <v>2257</v>
      </c>
      <c r="K680" s="5" t="s">
        <v>2252</v>
      </c>
      <c r="L680" s="5" t="n">
        <f aca="false">IF(G680="High",3,IF(G680="Medium",2,1))</f>
        <v>1</v>
      </c>
    </row>
    <row r="681" customFormat="false" ht="15" hidden="false" customHeight="true" outlineLevel="0" collapsed="false">
      <c r="A681" s="5" t="s">
        <v>2957</v>
      </c>
      <c r="B681" s="5" t="s">
        <v>1217</v>
      </c>
      <c r="C681" s="5" t="s">
        <v>2245</v>
      </c>
      <c r="D681" s="5" t="s">
        <v>2320</v>
      </c>
      <c r="E681" s="5" t="s">
        <v>54</v>
      </c>
      <c r="F681" s="5" t="s">
        <v>2225</v>
      </c>
      <c r="G681" s="5" t="str">
        <f aca="false">INDEX(Risk_Matrix!$B$2:$D$4,MATCH(E681,Risk_Matrix!$A$2:$A$4,0),MATCH(F681,Risk_Matrix!$B$1:$D$1,0))</f>
        <v>High</v>
      </c>
      <c r="H681" s="12" t="n">
        <v>46172</v>
      </c>
      <c r="I681" s="5" t="s">
        <v>2250</v>
      </c>
      <c r="J681" s="5" t="s">
        <v>2251</v>
      </c>
      <c r="K681" s="5" t="s">
        <v>2266</v>
      </c>
      <c r="L681" s="5" t="n">
        <f aca="false">IF(G681="High",3,IF(G681="Medium",2,1))</f>
        <v>3</v>
      </c>
    </row>
    <row r="682" customFormat="false" ht="15" hidden="false" customHeight="true" outlineLevel="0" collapsed="false">
      <c r="A682" s="5" t="s">
        <v>2958</v>
      </c>
      <c r="B682" s="5" t="s">
        <v>1217</v>
      </c>
      <c r="C682" s="5" t="s">
        <v>2248</v>
      </c>
      <c r="D682" s="5" t="s">
        <v>2271</v>
      </c>
      <c r="E682" s="5" t="s">
        <v>54</v>
      </c>
      <c r="F682" s="5" t="s">
        <v>54</v>
      </c>
      <c r="G682" s="5" t="str">
        <f aca="false">INDEX(Risk_Matrix!$B$2:$D$4,MATCH(E682,Risk_Matrix!$A$2:$A$4,0),MATCH(F682,Risk_Matrix!$B$1:$D$1,0))</f>
        <v>High</v>
      </c>
      <c r="H682" s="12" t="n">
        <v>46157</v>
      </c>
      <c r="I682" s="5" t="s">
        <v>2256</v>
      </c>
      <c r="J682" s="5" t="s">
        <v>2257</v>
      </c>
      <c r="K682" s="5" t="s">
        <v>2283</v>
      </c>
      <c r="L682" s="5" t="n">
        <f aca="false">IF(G682="High",3,IF(G682="Medium",2,1))</f>
        <v>3</v>
      </c>
    </row>
    <row r="683" customFormat="false" ht="15" hidden="false" customHeight="true" outlineLevel="0" collapsed="false">
      <c r="A683" s="5" t="s">
        <v>2959</v>
      </c>
      <c r="B683" s="5" t="s">
        <v>1217</v>
      </c>
      <c r="C683" s="5" t="s">
        <v>2254</v>
      </c>
      <c r="D683" s="5" t="s">
        <v>2308</v>
      </c>
      <c r="E683" s="5" t="s">
        <v>59</v>
      </c>
      <c r="F683" s="5" t="s">
        <v>59</v>
      </c>
      <c r="G683" s="5" t="str">
        <f aca="false">INDEX(Risk_Matrix!$B$2:$D$4,MATCH(E683,Risk_Matrix!$A$2:$A$4,0),MATCH(F683,Risk_Matrix!$B$1:$D$1,0))</f>
        <v>Low</v>
      </c>
      <c r="H683" s="12" t="n">
        <v>46206</v>
      </c>
      <c r="I683" s="5" t="s">
        <v>2256</v>
      </c>
      <c r="J683" s="5" t="s">
        <v>2257</v>
      </c>
      <c r="K683" s="5" t="s">
        <v>2243</v>
      </c>
      <c r="L683" s="5" t="n">
        <f aca="false">IF(G683="High",3,IF(G683="Medium",2,1))</f>
        <v>1</v>
      </c>
    </row>
    <row r="684" customFormat="false" ht="15" hidden="false" customHeight="true" outlineLevel="0" collapsed="false">
      <c r="A684" s="5" t="s">
        <v>2960</v>
      </c>
      <c r="B684" s="5" t="s">
        <v>1217</v>
      </c>
      <c r="C684" s="5" t="s">
        <v>2259</v>
      </c>
      <c r="D684" s="5" t="s">
        <v>2274</v>
      </c>
      <c r="E684" s="5" t="s">
        <v>2225</v>
      </c>
      <c r="F684" s="5" t="s">
        <v>54</v>
      </c>
      <c r="G684" s="5" t="str">
        <f aca="false">INDEX(Risk_Matrix!$B$2:$D$4,MATCH(E684,Risk_Matrix!$A$2:$A$4,0),MATCH(F684,Risk_Matrix!$B$1:$D$1,0))</f>
        <v>High</v>
      </c>
      <c r="H684" s="12" t="n">
        <v>46171</v>
      </c>
      <c r="I684" s="5" t="s">
        <v>2256</v>
      </c>
      <c r="J684" s="5" t="s">
        <v>2257</v>
      </c>
      <c r="K684" s="5" t="s">
        <v>2283</v>
      </c>
      <c r="L684" s="5" t="n">
        <f aca="false">IF(G684="High",3,IF(G684="Medium",2,1))</f>
        <v>3</v>
      </c>
    </row>
    <row r="685" customFormat="false" ht="15" hidden="false" customHeight="true" outlineLevel="0" collapsed="false">
      <c r="A685" s="5" t="s">
        <v>2961</v>
      </c>
      <c r="B685" s="5" t="s">
        <v>1217</v>
      </c>
      <c r="C685" s="5" t="s">
        <v>2262</v>
      </c>
      <c r="D685" s="5" t="s">
        <v>2311</v>
      </c>
      <c r="E685" s="5" t="s">
        <v>2225</v>
      </c>
      <c r="F685" s="5" t="s">
        <v>59</v>
      </c>
      <c r="G685" s="5" t="str">
        <f aca="false">INDEX(Risk_Matrix!$B$2:$D$4,MATCH(E685,Risk_Matrix!$A$2:$A$4,0),MATCH(F685,Risk_Matrix!$B$1:$D$1,0))</f>
        <v>Low</v>
      </c>
      <c r="H685" s="12" t="n">
        <v>46113</v>
      </c>
      <c r="I685" s="5" t="s">
        <v>2256</v>
      </c>
      <c r="J685" s="5" t="s">
        <v>2257</v>
      </c>
      <c r="K685" s="5" t="s">
        <v>2266</v>
      </c>
      <c r="L685" s="5" t="n">
        <f aca="false">IF(G685="High",3,IF(G685="Medium",2,1))</f>
        <v>1</v>
      </c>
    </row>
    <row r="686" customFormat="false" ht="15" hidden="false" customHeight="true" outlineLevel="0" collapsed="false">
      <c r="A686" s="5" t="s">
        <v>2962</v>
      </c>
      <c r="B686" s="5" t="s">
        <v>1219</v>
      </c>
      <c r="C686" s="5" t="s">
        <v>2239</v>
      </c>
      <c r="D686" s="5" t="s">
        <v>2295</v>
      </c>
      <c r="E686" s="5" t="s">
        <v>59</v>
      </c>
      <c r="F686" s="5" t="s">
        <v>59</v>
      </c>
      <c r="G686" s="5" t="str">
        <f aca="false">INDEX(Risk_Matrix!$B$2:$D$4,MATCH(E686,Risk_Matrix!$A$2:$A$4,0),MATCH(F686,Risk_Matrix!$B$1:$D$1,0))</f>
        <v>Low</v>
      </c>
      <c r="H686" s="12" t="n">
        <v>46229</v>
      </c>
      <c r="I686" s="5" t="s">
        <v>2256</v>
      </c>
      <c r="J686" s="5" t="s">
        <v>2257</v>
      </c>
      <c r="K686" s="5" t="s">
        <v>2243</v>
      </c>
      <c r="L686" s="5" t="n">
        <f aca="false">IF(G686="High",3,IF(G686="Medium",2,1))</f>
        <v>1</v>
      </c>
    </row>
    <row r="687" customFormat="false" ht="15" hidden="false" customHeight="true" outlineLevel="0" collapsed="false">
      <c r="A687" s="5" t="s">
        <v>2963</v>
      </c>
      <c r="B687" s="5" t="s">
        <v>1219</v>
      </c>
      <c r="C687" s="5" t="s">
        <v>2245</v>
      </c>
      <c r="D687" s="5" t="s">
        <v>2269</v>
      </c>
      <c r="E687" s="5" t="s">
        <v>59</v>
      </c>
      <c r="F687" s="5" t="s">
        <v>59</v>
      </c>
      <c r="G687" s="5" t="str">
        <f aca="false">INDEX(Risk_Matrix!$B$2:$D$4,MATCH(E687,Risk_Matrix!$A$2:$A$4,0),MATCH(F687,Risk_Matrix!$B$1:$D$1,0))</f>
        <v>Low</v>
      </c>
      <c r="H687" s="12" t="n">
        <v>46112</v>
      </c>
      <c r="I687" s="5" t="s">
        <v>2256</v>
      </c>
      <c r="J687" s="5" t="s">
        <v>2257</v>
      </c>
      <c r="K687" s="5" t="s">
        <v>2276</v>
      </c>
      <c r="L687" s="5" t="n">
        <f aca="false">IF(G687="High",3,IF(G687="Medium",2,1))</f>
        <v>1</v>
      </c>
    </row>
    <row r="688" customFormat="false" ht="15" hidden="false" customHeight="true" outlineLevel="0" collapsed="false">
      <c r="A688" s="5" t="s">
        <v>2964</v>
      </c>
      <c r="B688" s="5" t="s">
        <v>1219</v>
      </c>
      <c r="C688" s="5" t="s">
        <v>2248</v>
      </c>
      <c r="D688" s="5" t="s">
        <v>2271</v>
      </c>
      <c r="E688" s="5" t="s">
        <v>59</v>
      </c>
      <c r="F688" s="5" t="s">
        <v>2225</v>
      </c>
      <c r="G688" s="5" t="str">
        <f aca="false">INDEX(Risk_Matrix!$B$2:$D$4,MATCH(E688,Risk_Matrix!$A$2:$A$4,0),MATCH(F688,Risk_Matrix!$B$1:$D$1,0))</f>
        <v>Low</v>
      </c>
      <c r="H688" s="12" t="n">
        <v>46112</v>
      </c>
      <c r="I688" s="5" t="s">
        <v>2250</v>
      </c>
      <c r="J688" s="5" t="s">
        <v>2251</v>
      </c>
      <c r="K688" s="5" t="s">
        <v>2276</v>
      </c>
      <c r="L688" s="5" t="n">
        <f aca="false">IF(G688="High",3,IF(G688="Medium",2,1))</f>
        <v>1</v>
      </c>
    </row>
    <row r="689" customFormat="false" ht="15" hidden="false" customHeight="true" outlineLevel="0" collapsed="false">
      <c r="A689" s="5" t="s">
        <v>2965</v>
      </c>
      <c r="B689" s="5" t="s">
        <v>1219</v>
      </c>
      <c r="C689" s="5" t="s">
        <v>2254</v>
      </c>
      <c r="D689" s="5" t="s">
        <v>2299</v>
      </c>
      <c r="E689" s="5" t="s">
        <v>54</v>
      </c>
      <c r="F689" s="5" t="s">
        <v>59</v>
      </c>
      <c r="G689" s="5" t="str">
        <f aca="false">INDEX(Risk_Matrix!$B$2:$D$4,MATCH(E689,Risk_Matrix!$A$2:$A$4,0),MATCH(F689,Risk_Matrix!$B$1:$D$1,0))</f>
        <v>Medium</v>
      </c>
      <c r="H689" s="12" t="n">
        <v>46166</v>
      </c>
      <c r="I689" s="5" t="s">
        <v>2256</v>
      </c>
      <c r="J689" s="5" t="s">
        <v>2257</v>
      </c>
      <c r="K689" s="5" t="s">
        <v>2266</v>
      </c>
      <c r="L689" s="5" t="n">
        <f aca="false">IF(G689="High",3,IF(G689="Medium",2,1))</f>
        <v>2</v>
      </c>
    </row>
    <row r="690" customFormat="false" ht="15" hidden="false" customHeight="true" outlineLevel="0" collapsed="false">
      <c r="A690" s="5" t="s">
        <v>2966</v>
      </c>
      <c r="B690" s="5" t="s">
        <v>1219</v>
      </c>
      <c r="C690" s="5" t="s">
        <v>2259</v>
      </c>
      <c r="D690" s="5" t="s">
        <v>2260</v>
      </c>
      <c r="E690" s="5" t="s">
        <v>2225</v>
      </c>
      <c r="F690" s="5" t="s">
        <v>2225</v>
      </c>
      <c r="G690" s="5" t="str">
        <f aca="false">INDEX(Risk_Matrix!$B$2:$D$4,MATCH(E690,Risk_Matrix!$A$2:$A$4,0),MATCH(F690,Risk_Matrix!$B$1:$D$1,0))</f>
        <v>Medium</v>
      </c>
      <c r="H690" s="12" t="n">
        <v>46069</v>
      </c>
      <c r="I690" s="5" t="s">
        <v>2250</v>
      </c>
      <c r="J690" s="5" t="s">
        <v>2251</v>
      </c>
      <c r="K690" s="5" t="s">
        <v>2283</v>
      </c>
      <c r="L690" s="5" t="n">
        <f aca="false">IF(G690="High",3,IF(G690="Medium",2,1))</f>
        <v>2</v>
      </c>
    </row>
    <row r="691" customFormat="false" ht="15" hidden="false" customHeight="true" outlineLevel="0" collapsed="false">
      <c r="A691" s="5" t="s">
        <v>2967</v>
      </c>
      <c r="B691" s="5" t="s">
        <v>1219</v>
      </c>
      <c r="C691" s="5" t="s">
        <v>2262</v>
      </c>
      <c r="D691" s="5" t="s">
        <v>2287</v>
      </c>
      <c r="E691" s="5" t="s">
        <v>2225</v>
      </c>
      <c r="F691" s="5" t="s">
        <v>54</v>
      </c>
      <c r="G691" s="5" t="str">
        <f aca="false">INDEX(Risk_Matrix!$B$2:$D$4,MATCH(E691,Risk_Matrix!$A$2:$A$4,0),MATCH(F691,Risk_Matrix!$B$1:$D$1,0))</f>
        <v>High</v>
      </c>
      <c r="H691" s="12" t="n">
        <v>46092</v>
      </c>
      <c r="I691" s="5" t="s">
        <v>2250</v>
      </c>
      <c r="J691" s="5" t="s">
        <v>2251</v>
      </c>
      <c r="K691" s="5" t="s">
        <v>2266</v>
      </c>
      <c r="L691" s="5" t="n">
        <f aca="false">IF(G691="High",3,IF(G691="Medium",2,1))</f>
        <v>3</v>
      </c>
    </row>
    <row r="692" customFormat="false" ht="15" hidden="false" customHeight="true" outlineLevel="0" collapsed="false">
      <c r="A692" s="5" t="s">
        <v>2968</v>
      </c>
      <c r="B692" s="5" t="s">
        <v>1220</v>
      </c>
      <c r="C692" s="5" t="s">
        <v>2239</v>
      </c>
      <c r="D692" s="5" t="s">
        <v>2295</v>
      </c>
      <c r="E692" s="5" t="s">
        <v>54</v>
      </c>
      <c r="F692" s="5" t="s">
        <v>59</v>
      </c>
      <c r="G692" s="5" t="str">
        <f aca="false">INDEX(Risk_Matrix!$B$2:$D$4,MATCH(E692,Risk_Matrix!$A$2:$A$4,0),MATCH(F692,Risk_Matrix!$B$1:$D$1,0))</f>
        <v>Medium</v>
      </c>
      <c r="H692" s="12" t="n">
        <v>46214</v>
      </c>
      <c r="I692" s="5" t="s">
        <v>2250</v>
      </c>
      <c r="J692" s="5" t="s">
        <v>2251</v>
      </c>
      <c r="K692" s="5" t="s">
        <v>2252</v>
      </c>
      <c r="L692" s="5" t="n">
        <f aca="false">IF(G692="High",3,IF(G692="Medium",2,1))</f>
        <v>2</v>
      </c>
    </row>
    <row r="693" customFormat="false" ht="15" hidden="false" customHeight="true" outlineLevel="0" collapsed="false">
      <c r="A693" s="5" t="s">
        <v>2969</v>
      </c>
      <c r="B693" s="5" t="s">
        <v>1220</v>
      </c>
      <c r="C693" s="5" t="s">
        <v>2245</v>
      </c>
      <c r="D693" s="5" t="s">
        <v>2246</v>
      </c>
      <c r="E693" s="5" t="s">
        <v>59</v>
      </c>
      <c r="F693" s="5" t="s">
        <v>54</v>
      </c>
      <c r="G693" s="5" t="str">
        <f aca="false">INDEX(Risk_Matrix!$B$2:$D$4,MATCH(E693,Risk_Matrix!$A$2:$A$4,0),MATCH(F693,Risk_Matrix!$B$1:$D$1,0))</f>
        <v>Medium</v>
      </c>
      <c r="H693" s="12" t="n">
        <v>46143</v>
      </c>
      <c r="I693" s="5" t="s">
        <v>2256</v>
      </c>
      <c r="J693" s="5" t="s">
        <v>2257</v>
      </c>
      <c r="K693" s="5" t="s">
        <v>2283</v>
      </c>
      <c r="L693" s="5" t="n">
        <f aca="false">IF(G693="High",3,IF(G693="Medium",2,1))</f>
        <v>2</v>
      </c>
    </row>
    <row r="694" customFormat="false" ht="15" hidden="false" customHeight="true" outlineLevel="0" collapsed="false">
      <c r="A694" s="5" t="s">
        <v>2970</v>
      </c>
      <c r="B694" s="5" t="s">
        <v>1220</v>
      </c>
      <c r="C694" s="5" t="s">
        <v>2248</v>
      </c>
      <c r="D694" s="5" t="s">
        <v>2306</v>
      </c>
      <c r="E694" s="5" t="s">
        <v>2225</v>
      </c>
      <c r="F694" s="5" t="s">
        <v>59</v>
      </c>
      <c r="G694" s="5" t="str">
        <f aca="false">INDEX(Risk_Matrix!$B$2:$D$4,MATCH(E694,Risk_Matrix!$A$2:$A$4,0),MATCH(F694,Risk_Matrix!$B$1:$D$1,0))</f>
        <v>Low</v>
      </c>
      <c r="H694" s="12" t="n">
        <v>46070</v>
      </c>
      <c r="I694" s="5" t="s">
        <v>2256</v>
      </c>
      <c r="J694" s="5" t="s">
        <v>2257</v>
      </c>
      <c r="K694" s="5" t="s">
        <v>2243</v>
      </c>
      <c r="L694" s="5" t="n">
        <f aca="false">IF(G694="High",3,IF(G694="Medium",2,1))</f>
        <v>1</v>
      </c>
    </row>
    <row r="695" customFormat="false" ht="15" hidden="false" customHeight="true" outlineLevel="0" collapsed="false">
      <c r="A695" s="5" t="s">
        <v>2971</v>
      </c>
      <c r="B695" s="5" t="s">
        <v>1220</v>
      </c>
      <c r="C695" s="5" t="s">
        <v>2254</v>
      </c>
      <c r="D695" s="5" t="s">
        <v>2308</v>
      </c>
      <c r="E695" s="5" t="s">
        <v>2225</v>
      </c>
      <c r="F695" s="5" t="s">
        <v>59</v>
      </c>
      <c r="G695" s="5" t="str">
        <f aca="false">INDEX(Risk_Matrix!$B$2:$D$4,MATCH(E695,Risk_Matrix!$A$2:$A$4,0),MATCH(F695,Risk_Matrix!$B$1:$D$1,0))</f>
        <v>Low</v>
      </c>
      <c r="H695" s="12" t="n">
        <v>46154</v>
      </c>
      <c r="I695" s="5" t="s">
        <v>2250</v>
      </c>
      <c r="J695" s="5" t="s">
        <v>2251</v>
      </c>
      <c r="K695" s="5" t="s">
        <v>2276</v>
      </c>
      <c r="L695" s="5" t="n">
        <f aca="false">IF(G695="High",3,IF(G695="Medium",2,1))</f>
        <v>1</v>
      </c>
    </row>
    <row r="696" customFormat="false" ht="15" hidden="false" customHeight="true" outlineLevel="0" collapsed="false">
      <c r="A696" s="5" t="s">
        <v>2972</v>
      </c>
      <c r="B696" s="5" t="s">
        <v>1220</v>
      </c>
      <c r="C696" s="5" t="s">
        <v>2259</v>
      </c>
      <c r="D696" s="5" t="s">
        <v>2285</v>
      </c>
      <c r="E696" s="5" t="s">
        <v>2225</v>
      </c>
      <c r="F696" s="5" t="s">
        <v>59</v>
      </c>
      <c r="G696" s="5" t="str">
        <f aca="false">INDEX(Risk_Matrix!$B$2:$D$4,MATCH(E696,Risk_Matrix!$A$2:$A$4,0),MATCH(F696,Risk_Matrix!$B$1:$D$1,0))</f>
        <v>Low</v>
      </c>
      <c r="H696" s="12" t="n">
        <v>46093</v>
      </c>
      <c r="I696" s="5" t="s">
        <v>2264</v>
      </c>
      <c r="J696" s="5" t="s">
        <v>2265</v>
      </c>
      <c r="K696" s="5" t="s">
        <v>2266</v>
      </c>
      <c r="L696" s="5" t="n">
        <f aca="false">IF(G696="High",3,IF(G696="Medium",2,1))</f>
        <v>1</v>
      </c>
    </row>
    <row r="697" customFormat="false" ht="15" hidden="false" customHeight="true" outlineLevel="0" collapsed="false">
      <c r="A697" s="5" t="s">
        <v>2973</v>
      </c>
      <c r="B697" s="5" t="s">
        <v>1220</v>
      </c>
      <c r="C697" s="5" t="s">
        <v>2262</v>
      </c>
      <c r="D697" s="5" t="s">
        <v>2287</v>
      </c>
      <c r="E697" s="5" t="s">
        <v>54</v>
      </c>
      <c r="F697" s="5" t="s">
        <v>2225</v>
      </c>
      <c r="G697" s="5" t="str">
        <f aca="false">INDEX(Risk_Matrix!$B$2:$D$4,MATCH(E697,Risk_Matrix!$A$2:$A$4,0),MATCH(F697,Risk_Matrix!$B$1:$D$1,0))</f>
        <v>High</v>
      </c>
      <c r="H697" s="12" t="n">
        <v>46224</v>
      </c>
      <c r="I697" s="5" t="s">
        <v>2256</v>
      </c>
      <c r="J697" s="5" t="s">
        <v>2257</v>
      </c>
      <c r="K697" s="5" t="s">
        <v>2276</v>
      </c>
      <c r="L697" s="5" t="n">
        <f aca="false">IF(G697="High",3,IF(G697="Medium",2,1))</f>
        <v>3</v>
      </c>
    </row>
    <row r="698" customFormat="false" ht="15" hidden="false" customHeight="true" outlineLevel="0" collapsed="false">
      <c r="A698" s="5" t="s">
        <v>2974</v>
      </c>
      <c r="B698" s="5" t="s">
        <v>1223</v>
      </c>
      <c r="C698" s="5" t="s">
        <v>2239</v>
      </c>
      <c r="D698" s="5" t="s">
        <v>2295</v>
      </c>
      <c r="E698" s="5" t="s">
        <v>59</v>
      </c>
      <c r="F698" s="5" t="s">
        <v>59</v>
      </c>
      <c r="G698" s="5" t="str">
        <f aca="false">INDEX(Risk_Matrix!$B$2:$D$4,MATCH(E698,Risk_Matrix!$A$2:$A$4,0),MATCH(F698,Risk_Matrix!$B$1:$D$1,0))</f>
        <v>Low</v>
      </c>
      <c r="H698" s="12" t="n">
        <v>46136</v>
      </c>
      <c r="I698" s="5" t="s">
        <v>2256</v>
      </c>
      <c r="J698" s="5" t="s">
        <v>2257</v>
      </c>
      <c r="K698" s="5" t="s">
        <v>2276</v>
      </c>
      <c r="L698" s="5" t="n">
        <f aca="false">IF(G698="High",3,IF(G698="Medium",2,1))</f>
        <v>1</v>
      </c>
    </row>
    <row r="699" customFormat="false" ht="15" hidden="false" customHeight="true" outlineLevel="0" collapsed="false">
      <c r="A699" s="5" t="s">
        <v>2975</v>
      </c>
      <c r="B699" s="5" t="s">
        <v>1223</v>
      </c>
      <c r="C699" s="5" t="s">
        <v>2245</v>
      </c>
      <c r="D699" s="5" t="s">
        <v>2246</v>
      </c>
      <c r="E699" s="5" t="s">
        <v>54</v>
      </c>
      <c r="F699" s="5" t="s">
        <v>59</v>
      </c>
      <c r="G699" s="5" t="str">
        <f aca="false">INDEX(Risk_Matrix!$B$2:$D$4,MATCH(E699,Risk_Matrix!$A$2:$A$4,0),MATCH(F699,Risk_Matrix!$B$1:$D$1,0))</f>
        <v>Medium</v>
      </c>
      <c r="H699" s="12" t="n">
        <v>46166</v>
      </c>
      <c r="I699" s="5" t="s">
        <v>2264</v>
      </c>
      <c r="J699" s="5" t="s">
        <v>2265</v>
      </c>
      <c r="K699" s="5" t="s">
        <v>2266</v>
      </c>
      <c r="L699" s="5" t="n">
        <f aca="false">IF(G699="High",3,IF(G699="Medium",2,1))</f>
        <v>2</v>
      </c>
    </row>
    <row r="700" customFormat="false" ht="15" hidden="false" customHeight="true" outlineLevel="0" collapsed="false">
      <c r="A700" s="5" t="s">
        <v>2976</v>
      </c>
      <c r="B700" s="5" t="s">
        <v>1223</v>
      </c>
      <c r="C700" s="5" t="s">
        <v>2248</v>
      </c>
      <c r="D700" s="5" t="s">
        <v>2306</v>
      </c>
      <c r="E700" s="5" t="s">
        <v>59</v>
      </c>
      <c r="F700" s="5" t="s">
        <v>2225</v>
      </c>
      <c r="G700" s="5" t="str">
        <f aca="false">INDEX(Risk_Matrix!$B$2:$D$4,MATCH(E700,Risk_Matrix!$A$2:$A$4,0),MATCH(F700,Risk_Matrix!$B$1:$D$1,0))</f>
        <v>Low</v>
      </c>
      <c r="H700" s="12" t="n">
        <v>46159</v>
      </c>
      <c r="I700" s="5" t="s">
        <v>2250</v>
      </c>
      <c r="J700" s="5" t="s">
        <v>2251</v>
      </c>
      <c r="K700" s="5" t="s">
        <v>2283</v>
      </c>
      <c r="L700" s="5" t="n">
        <f aca="false">IF(G700="High",3,IF(G700="Medium",2,1))</f>
        <v>1</v>
      </c>
    </row>
    <row r="701" customFormat="false" ht="15" hidden="false" customHeight="true" outlineLevel="0" collapsed="false">
      <c r="A701" s="5" t="s">
        <v>2977</v>
      </c>
      <c r="B701" s="5" t="s">
        <v>1223</v>
      </c>
      <c r="C701" s="5" t="s">
        <v>2254</v>
      </c>
      <c r="D701" s="5" t="s">
        <v>2255</v>
      </c>
      <c r="E701" s="5" t="s">
        <v>59</v>
      </c>
      <c r="F701" s="5" t="s">
        <v>59</v>
      </c>
      <c r="G701" s="5" t="str">
        <f aca="false">INDEX(Risk_Matrix!$B$2:$D$4,MATCH(E701,Risk_Matrix!$A$2:$A$4,0),MATCH(F701,Risk_Matrix!$B$1:$D$1,0))</f>
        <v>Low</v>
      </c>
      <c r="H701" s="12" t="n">
        <v>46187</v>
      </c>
      <c r="I701" s="5" t="s">
        <v>2256</v>
      </c>
      <c r="J701" s="5" t="s">
        <v>2257</v>
      </c>
      <c r="K701" s="5" t="s">
        <v>2243</v>
      </c>
      <c r="L701" s="5" t="n">
        <f aca="false">IF(G701="High",3,IF(G701="Medium",2,1))</f>
        <v>1</v>
      </c>
    </row>
    <row r="702" customFormat="false" ht="15" hidden="false" customHeight="true" outlineLevel="0" collapsed="false">
      <c r="A702" s="5" t="s">
        <v>2978</v>
      </c>
      <c r="B702" s="5" t="s">
        <v>1223</v>
      </c>
      <c r="C702" s="5" t="s">
        <v>2259</v>
      </c>
      <c r="D702" s="5" t="s">
        <v>2274</v>
      </c>
      <c r="E702" s="5" t="s">
        <v>54</v>
      </c>
      <c r="F702" s="5" t="s">
        <v>59</v>
      </c>
      <c r="G702" s="5" t="str">
        <f aca="false">INDEX(Risk_Matrix!$B$2:$D$4,MATCH(E702,Risk_Matrix!$A$2:$A$4,0),MATCH(F702,Risk_Matrix!$B$1:$D$1,0))</f>
        <v>Medium</v>
      </c>
      <c r="H702" s="12" t="n">
        <v>46130</v>
      </c>
      <c r="I702" s="5" t="s">
        <v>2250</v>
      </c>
      <c r="J702" s="5" t="s">
        <v>2251</v>
      </c>
      <c r="K702" s="5" t="s">
        <v>2276</v>
      </c>
      <c r="L702" s="5" t="n">
        <f aca="false">IF(G702="High",3,IF(G702="Medium",2,1))</f>
        <v>2</v>
      </c>
    </row>
    <row r="703" customFormat="false" ht="15" hidden="false" customHeight="true" outlineLevel="0" collapsed="false">
      <c r="A703" s="5" t="s">
        <v>2979</v>
      </c>
      <c r="B703" s="5" t="s">
        <v>1223</v>
      </c>
      <c r="C703" s="5" t="s">
        <v>2262</v>
      </c>
      <c r="D703" s="5" t="s">
        <v>2311</v>
      </c>
      <c r="E703" s="5" t="s">
        <v>2225</v>
      </c>
      <c r="F703" s="5" t="s">
        <v>2225</v>
      </c>
      <c r="G703" s="5" t="str">
        <f aca="false">INDEX(Risk_Matrix!$B$2:$D$4,MATCH(E703,Risk_Matrix!$A$2:$A$4,0),MATCH(F703,Risk_Matrix!$B$1:$D$1,0))</f>
        <v>Medium</v>
      </c>
      <c r="H703" s="12" t="n">
        <v>46129</v>
      </c>
      <c r="I703" s="5" t="s">
        <v>2250</v>
      </c>
      <c r="J703" s="5" t="s">
        <v>2251</v>
      </c>
      <c r="K703" s="5" t="s">
        <v>2276</v>
      </c>
      <c r="L703" s="5" t="n">
        <f aca="false">IF(G703="High",3,IF(G703="Medium",2,1))</f>
        <v>2</v>
      </c>
    </row>
    <row r="704" customFormat="false" ht="15" hidden="false" customHeight="true" outlineLevel="0" collapsed="false">
      <c r="A704" s="5" t="s">
        <v>2980</v>
      </c>
      <c r="B704" s="5" t="s">
        <v>1225</v>
      </c>
      <c r="C704" s="5" t="s">
        <v>2239</v>
      </c>
      <c r="D704" s="5" t="s">
        <v>2240</v>
      </c>
      <c r="E704" s="5" t="s">
        <v>2225</v>
      </c>
      <c r="F704" s="5" t="s">
        <v>54</v>
      </c>
      <c r="G704" s="5" t="str">
        <f aca="false">INDEX(Risk_Matrix!$B$2:$D$4,MATCH(E704,Risk_Matrix!$A$2:$A$4,0),MATCH(F704,Risk_Matrix!$B$1:$D$1,0))</f>
        <v>High</v>
      </c>
      <c r="H704" s="12" t="n">
        <v>46073</v>
      </c>
      <c r="I704" s="5" t="s">
        <v>2250</v>
      </c>
      <c r="J704" s="5" t="s">
        <v>2251</v>
      </c>
      <c r="K704" s="5" t="s">
        <v>2266</v>
      </c>
      <c r="L704" s="5" t="n">
        <f aca="false">IF(G704="High",3,IF(G704="Medium",2,1))</f>
        <v>3</v>
      </c>
    </row>
    <row r="705" customFormat="false" ht="15" hidden="false" customHeight="true" outlineLevel="0" collapsed="false">
      <c r="A705" s="5" t="s">
        <v>2981</v>
      </c>
      <c r="B705" s="5" t="s">
        <v>1225</v>
      </c>
      <c r="C705" s="5" t="s">
        <v>2245</v>
      </c>
      <c r="D705" s="5" t="s">
        <v>2280</v>
      </c>
      <c r="E705" s="5" t="s">
        <v>2225</v>
      </c>
      <c r="F705" s="5" t="s">
        <v>2225</v>
      </c>
      <c r="G705" s="5" t="str">
        <f aca="false">INDEX(Risk_Matrix!$B$2:$D$4,MATCH(E705,Risk_Matrix!$A$2:$A$4,0),MATCH(F705,Risk_Matrix!$B$1:$D$1,0))</f>
        <v>Medium</v>
      </c>
      <c r="H705" s="12" t="n">
        <v>46119</v>
      </c>
      <c r="I705" s="5" t="s">
        <v>2256</v>
      </c>
      <c r="J705" s="5" t="s">
        <v>2257</v>
      </c>
      <c r="K705" s="5" t="s">
        <v>2243</v>
      </c>
      <c r="L705" s="5" t="n">
        <f aca="false">IF(G705="High",3,IF(G705="Medium",2,1))</f>
        <v>2</v>
      </c>
    </row>
    <row r="706" customFormat="false" ht="15" hidden="false" customHeight="true" outlineLevel="0" collapsed="false">
      <c r="A706" s="5" t="s">
        <v>2982</v>
      </c>
      <c r="B706" s="5" t="s">
        <v>1225</v>
      </c>
      <c r="C706" s="5" t="s">
        <v>2248</v>
      </c>
      <c r="D706" s="5" t="s">
        <v>2306</v>
      </c>
      <c r="E706" s="5" t="s">
        <v>54</v>
      </c>
      <c r="F706" s="5" t="s">
        <v>59</v>
      </c>
      <c r="G706" s="5" t="str">
        <f aca="false">INDEX(Risk_Matrix!$B$2:$D$4,MATCH(E706,Risk_Matrix!$A$2:$A$4,0),MATCH(F706,Risk_Matrix!$B$1:$D$1,0))</f>
        <v>Medium</v>
      </c>
      <c r="H706" s="12" t="n">
        <v>46206</v>
      </c>
      <c r="I706" s="5" t="s">
        <v>2256</v>
      </c>
      <c r="J706" s="5" t="s">
        <v>2257</v>
      </c>
      <c r="K706" s="5" t="s">
        <v>2252</v>
      </c>
      <c r="L706" s="5" t="n">
        <f aca="false">IF(G706="High",3,IF(G706="Medium",2,1))</f>
        <v>2</v>
      </c>
    </row>
    <row r="707" customFormat="false" ht="15" hidden="false" customHeight="true" outlineLevel="0" collapsed="false">
      <c r="A707" s="5" t="s">
        <v>2983</v>
      </c>
      <c r="B707" s="5" t="s">
        <v>1225</v>
      </c>
      <c r="C707" s="5" t="s">
        <v>2254</v>
      </c>
      <c r="D707" s="5" t="s">
        <v>2255</v>
      </c>
      <c r="E707" s="5" t="s">
        <v>2225</v>
      </c>
      <c r="F707" s="5" t="s">
        <v>59</v>
      </c>
      <c r="G707" s="5" t="str">
        <f aca="false">INDEX(Risk_Matrix!$B$2:$D$4,MATCH(E707,Risk_Matrix!$A$2:$A$4,0),MATCH(F707,Risk_Matrix!$B$1:$D$1,0))</f>
        <v>Low</v>
      </c>
      <c r="H707" s="12" t="n">
        <v>46219</v>
      </c>
      <c r="I707" s="5" t="s">
        <v>2256</v>
      </c>
      <c r="J707" s="5" t="s">
        <v>2257</v>
      </c>
      <c r="K707" s="5" t="s">
        <v>2276</v>
      </c>
      <c r="L707" s="5" t="n">
        <f aca="false">IF(G707="High",3,IF(G707="Medium",2,1))</f>
        <v>1</v>
      </c>
    </row>
    <row r="708" customFormat="false" ht="15" hidden="false" customHeight="true" outlineLevel="0" collapsed="false">
      <c r="A708" s="5" t="s">
        <v>2984</v>
      </c>
      <c r="B708" s="5" t="s">
        <v>1225</v>
      </c>
      <c r="C708" s="5" t="s">
        <v>2259</v>
      </c>
      <c r="D708" s="5" t="s">
        <v>2285</v>
      </c>
      <c r="E708" s="5" t="s">
        <v>59</v>
      </c>
      <c r="F708" s="5" t="s">
        <v>59</v>
      </c>
      <c r="G708" s="5" t="str">
        <f aca="false">INDEX(Risk_Matrix!$B$2:$D$4,MATCH(E708,Risk_Matrix!$A$2:$A$4,0),MATCH(F708,Risk_Matrix!$B$1:$D$1,0))</f>
        <v>Low</v>
      </c>
      <c r="H708" s="12" t="n">
        <v>46069</v>
      </c>
      <c r="I708" s="5" t="s">
        <v>2256</v>
      </c>
      <c r="J708" s="5" t="s">
        <v>2257</v>
      </c>
      <c r="K708" s="5" t="s">
        <v>2283</v>
      </c>
      <c r="L708" s="5" t="n">
        <f aca="false">IF(G708="High",3,IF(G708="Medium",2,1))</f>
        <v>1</v>
      </c>
    </row>
    <row r="709" customFormat="false" ht="15" hidden="false" customHeight="true" outlineLevel="0" collapsed="false">
      <c r="A709" s="5" t="s">
        <v>2985</v>
      </c>
      <c r="B709" s="5" t="s">
        <v>1225</v>
      </c>
      <c r="C709" s="5" t="s">
        <v>2262</v>
      </c>
      <c r="D709" s="5" t="s">
        <v>2311</v>
      </c>
      <c r="E709" s="5" t="s">
        <v>59</v>
      </c>
      <c r="F709" s="5" t="s">
        <v>2225</v>
      </c>
      <c r="G709" s="5" t="str">
        <f aca="false">INDEX(Risk_Matrix!$B$2:$D$4,MATCH(E709,Risk_Matrix!$A$2:$A$4,0),MATCH(F709,Risk_Matrix!$B$1:$D$1,0))</f>
        <v>Low</v>
      </c>
      <c r="H709" s="12" t="n">
        <v>46234</v>
      </c>
      <c r="I709" s="5" t="s">
        <v>2264</v>
      </c>
      <c r="J709" s="5" t="s">
        <v>2265</v>
      </c>
      <c r="K709" s="5" t="s">
        <v>2276</v>
      </c>
      <c r="L709" s="5" t="n">
        <f aca="false">IF(G709="High",3,IF(G709="Medium",2,1))</f>
        <v>1</v>
      </c>
    </row>
    <row r="710" customFormat="false" ht="15" hidden="false" customHeight="true" outlineLevel="0" collapsed="false">
      <c r="A710" s="5" t="s">
        <v>2986</v>
      </c>
      <c r="B710" s="5" t="s">
        <v>1226</v>
      </c>
      <c r="C710" s="5" t="s">
        <v>2239</v>
      </c>
      <c r="D710" s="5" t="s">
        <v>2295</v>
      </c>
      <c r="E710" s="5" t="s">
        <v>59</v>
      </c>
      <c r="F710" s="5" t="s">
        <v>59</v>
      </c>
      <c r="G710" s="5" t="str">
        <f aca="false">INDEX(Risk_Matrix!$B$2:$D$4,MATCH(E710,Risk_Matrix!$A$2:$A$4,0),MATCH(F710,Risk_Matrix!$B$1:$D$1,0))</f>
        <v>Low</v>
      </c>
      <c r="H710" s="12" t="n">
        <v>46217</v>
      </c>
      <c r="I710" s="5" t="s">
        <v>2256</v>
      </c>
      <c r="J710" s="5" t="s">
        <v>2257</v>
      </c>
      <c r="K710" s="5" t="s">
        <v>2243</v>
      </c>
      <c r="L710" s="5" t="n">
        <f aca="false">IF(G710="High",3,IF(G710="Medium",2,1))</f>
        <v>1</v>
      </c>
    </row>
    <row r="711" customFormat="false" ht="15" hidden="false" customHeight="true" outlineLevel="0" collapsed="false">
      <c r="A711" s="5" t="s">
        <v>2987</v>
      </c>
      <c r="B711" s="5" t="s">
        <v>1226</v>
      </c>
      <c r="C711" s="5" t="s">
        <v>2245</v>
      </c>
      <c r="D711" s="5" t="s">
        <v>2269</v>
      </c>
      <c r="E711" s="5" t="s">
        <v>59</v>
      </c>
      <c r="F711" s="5" t="s">
        <v>2225</v>
      </c>
      <c r="G711" s="5" t="str">
        <f aca="false">INDEX(Risk_Matrix!$B$2:$D$4,MATCH(E711,Risk_Matrix!$A$2:$A$4,0),MATCH(F711,Risk_Matrix!$B$1:$D$1,0))</f>
        <v>Low</v>
      </c>
      <c r="H711" s="12" t="n">
        <v>46123</v>
      </c>
      <c r="I711" s="5" t="s">
        <v>2264</v>
      </c>
      <c r="J711" s="5" t="s">
        <v>2265</v>
      </c>
      <c r="K711" s="5" t="s">
        <v>2283</v>
      </c>
      <c r="L711" s="5" t="n">
        <f aca="false">IF(G711="High",3,IF(G711="Medium",2,1))</f>
        <v>1</v>
      </c>
    </row>
    <row r="712" customFormat="false" ht="15" hidden="false" customHeight="true" outlineLevel="0" collapsed="false">
      <c r="A712" s="5" t="s">
        <v>2988</v>
      </c>
      <c r="B712" s="5" t="s">
        <v>1226</v>
      </c>
      <c r="C712" s="5" t="s">
        <v>2248</v>
      </c>
      <c r="D712" s="5" t="s">
        <v>2249</v>
      </c>
      <c r="E712" s="5" t="s">
        <v>59</v>
      </c>
      <c r="F712" s="5" t="s">
        <v>54</v>
      </c>
      <c r="G712" s="5" t="str">
        <f aca="false">INDEX(Risk_Matrix!$B$2:$D$4,MATCH(E712,Risk_Matrix!$A$2:$A$4,0),MATCH(F712,Risk_Matrix!$B$1:$D$1,0))</f>
        <v>Medium</v>
      </c>
      <c r="H712" s="12" t="n">
        <v>46184</v>
      </c>
      <c r="I712" s="5" t="s">
        <v>2264</v>
      </c>
      <c r="J712" s="5" t="s">
        <v>2265</v>
      </c>
      <c r="K712" s="5" t="s">
        <v>2266</v>
      </c>
      <c r="L712" s="5" t="n">
        <f aca="false">IF(G712="High",3,IF(G712="Medium",2,1))</f>
        <v>2</v>
      </c>
    </row>
    <row r="713" customFormat="false" ht="15" hidden="false" customHeight="true" outlineLevel="0" collapsed="false">
      <c r="A713" s="5" t="s">
        <v>2989</v>
      </c>
      <c r="B713" s="5" t="s">
        <v>1226</v>
      </c>
      <c r="C713" s="5" t="s">
        <v>2254</v>
      </c>
      <c r="D713" s="5" t="s">
        <v>2255</v>
      </c>
      <c r="E713" s="5" t="s">
        <v>2225</v>
      </c>
      <c r="F713" s="5" t="s">
        <v>2225</v>
      </c>
      <c r="G713" s="5" t="str">
        <f aca="false">INDEX(Risk_Matrix!$B$2:$D$4,MATCH(E713,Risk_Matrix!$A$2:$A$4,0),MATCH(F713,Risk_Matrix!$B$1:$D$1,0))</f>
        <v>Medium</v>
      </c>
      <c r="H713" s="12" t="n">
        <v>46211</v>
      </c>
      <c r="I713" s="5" t="s">
        <v>2264</v>
      </c>
      <c r="J713" s="5" t="s">
        <v>2265</v>
      </c>
      <c r="K713" s="5" t="s">
        <v>2243</v>
      </c>
      <c r="L713" s="5" t="n">
        <f aca="false">IF(G713="High",3,IF(G713="Medium",2,1))</f>
        <v>2</v>
      </c>
    </row>
    <row r="714" customFormat="false" ht="15" hidden="false" customHeight="true" outlineLevel="0" collapsed="false">
      <c r="A714" s="5" t="s">
        <v>2990</v>
      </c>
      <c r="B714" s="5" t="s">
        <v>1226</v>
      </c>
      <c r="C714" s="5" t="s">
        <v>2259</v>
      </c>
      <c r="D714" s="5" t="s">
        <v>2285</v>
      </c>
      <c r="E714" s="5" t="s">
        <v>59</v>
      </c>
      <c r="F714" s="5" t="s">
        <v>59</v>
      </c>
      <c r="G714" s="5" t="str">
        <f aca="false">INDEX(Risk_Matrix!$B$2:$D$4,MATCH(E714,Risk_Matrix!$A$2:$A$4,0),MATCH(F714,Risk_Matrix!$B$1:$D$1,0))</f>
        <v>Low</v>
      </c>
      <c r="H714" s="12" t="n">
        <v>46071</v>
      </c>
      <c r="I714" s="5" t="s">
        <v>2256</v>
      </c>
      <c r="J714" s="5" t="s">
        <v>2257</v>
      </c>
      <c r="K714" s="5" t="s">
        <v>2243</v>
      </c>
      <c r="L714" s="5" t="n">
        <f aca="false">IF(G714="High",3,IF(G714="Medium",2,1))</f>
        <v>1</v>
      </c>
    </row>
    <row r="715" customFormat="false" ht="15" hidden="false" customHeight="true" outlineLevel="0" collapsed="false">
      <c r="A715" s="5" t="s">
        <v>2991</v>
      </c>
      <c r="B715" s="5" t="s">
        <v>1226</v>
      </c>
      <c r="C715" s="5" t="s">
        <v>2262</v>
      </c>
      <c r="D715" s="5" t="s">
        <v>2311</v>
      </c>
      <c r="E715" s="5" t="s">
        <v>2225</v>
      </c>
      <c r="F715" s="5" t="s">
        <v>54</v>
      </c>
      <c r="G715" s="5" t="str">
        <f aca="false">INDEX(Risk_Matrix!$B$2:$D$4,MATCH(E715,Risk_Matrix!$A$2:$A$4,0),MATCH(F715,Risk_Matrix!$B$1:$D$1,0))</f>
        <v>High</v>
      </c>
      <c r="H715" s="12" t="n">
        <v>46084</v>
      </c>
      <c r="I715" s="5" t="s">
        <v>2241</v>
      </c>
      <c r="J715" s="5" t="s">
        <v>2242</v>
      </c>
      <c r="K715" s="5" t="s">
        <v>2243</v>
      </c>
      <c r="L715" s="5" t="n">
        <f aca="false">IF(G715="High",3,IF(G715="Medium",2,1))</f>
        <v>3</v>
      </c>
    </row>
    <row r="716" customFormat="false" ht="15" hidden="false" customHeight="true" outlineLevel="0" collapsed="false">
      <c r="A716" s="5" t="s">
        <v>2992</v>
      </c>
      <c r="B716" s="5" t="s">
        <v>1228</v>
      </c>
      <c r="C716" s="5" t="s">
        <v>2239</v>
      </c>
      <c r="D716" s="5" t="s">
        <v>2278</v>
      </c>
      <c r="E716" s="5" t="s">
        <v>2225</v>
      </c>
      <c r="F716" s="5" t="s">
        <v>54</v>
      </c>
      <c r="G716" s="5" t="str">
        <f aca="false">INDEX(Risk_Matrix!$B$2:$D$4,MATCH(E716,Risk_Matrix!$A$2:$A$4,0),MATCH(F716,Risk_Matrix!$B$1:$D$1,0))</f>
        <v>High</v>
      </c>
      <c r="H716" s="12" t="n">
        <v>46066</v>
      </c>
      <c r="I716" s="5" t="s">
        <v>2256</v>
      </c>
      <c r="J716" s="5" t="s">
        <v>2257</v>
      </c>
      <c r="K716" s="5" t="s">
        <v>2243</v>
      </c>
      <c r="L716" s="5" t="n">
        <f aca="false">IF(G716="High",3,IF(G716="Medium",2,1))</f>
        <v>3</v>
      </c>
    </row>
    <row r="717" customFormat="false" ht="15" hidden="false" customHeight="true" outlineLevel="0" collapsed="false">
      <c r="A717" s="5" t="s">
        <v>2993</v>
      </c>
      <c r="B717" s="5" t="s">
        <v>1228</v>
      </c>
      <c r="C717" s="5" t="s">
        <v>2245</v>
      </c>
      <c r="D717" s="5" t="s">
        <v>2269</v>
      </c>
      <c r="E717" s="5" t="s">
        <v>59</v>
      </c>
      <c r="F717" s="5" t="s">
        <v>59</v>
      </c>
      <c r="G717" s="5" t="str">
        <f aca="false">INDEX(Risk_Matrix!$B$2:$D$4,MATCH(E717,Risk_Matrix!$A$2:$A$4,0),MATCH(F717,Risk_Matrix!$B$1:$D$1,0))</f>
        <v>Low</v>
      </c>
      <c r="H717" s="12" t="n">
        <v>46234</v>
      </c>
      <c r="I717" s="5" t="s">
        <v>2256</v>
      </c>
      <c r="J717" s="5" t="s">
        <v>2257</v>
      </c>
      <c r="K717" s="5" t="s">
        <v>2266</v>
      </c>
      <c r="L717" s="5" t="n">
        <f aca="false">IF(G717="High",3,IF(G717="Medium",2,1))</f>
        <v>1</v>
      </c>
    </row>
    <row r="718" customFormat="false" ht="15" hidden="false" customHeight="true" outlineLevel="0" collapsed="false">
      <c r="A718" s="5" t="s">
        <v>2994</v>
      </c>
      <c r="B718" s="5" t="s">
        <v>1228</v>
      </c>
      <c r="C718" s="5" t="s">
        <v>2248</v>
      </c>
      <c r="D718" s="5" t="s">
        <v>2306</v>
      </c>
      <c r="E718" s="5" t="s">
        <v>59</v>
      </c>
      <c r="F718" s="5" t="s">
        <v>2225</v>
      </c>
      <c r="G718" s="5" t="str">
        <f aca="false">INDEX(Risk_Matrix!$B$2:$D$4,MATCH(E718,Risk_Matrix!$A$2:$A$4,0),MATCH(F718,Risk_Matrix!$B$1:$D$1,0))</f>
        <v>Low</v>
      </c>
      <c r="H718" s="12" t="n">
        <v>46127</v>
      </c>
      <c r="I718" s="5" t="s">
        <v>2250</v>
      </c>
      <c r="J718" s="5" t="s">
        <v>2251</v>
      </c>
      <c r="K718" s="5" t="s">
        <v>2283</v>
      </c>
      <c r="L718" s="5" t="n">
        <f aca="false">IF(G718="High",3,IF(G718="Medium",2,1))</f>
        <v>1</v>
      </c>
    </row>
    <row r="719" customFormat="false" ht="15" hidden="false" customHeight="true" outlineLevel="0" collapsed="false">
      <c r="A719" s="5" t="s">
        <v>2995</v>
      </c>
      <c r="B719" s="5" t="s">
        <v>1228</v>
      </c>
      <c r="C719" s="5" t="s">
        <v>2254</v>
      </c>
      <c r="D719" s="5" t="s">
        <v>2255</v>
      </c>
      <c r="E719" s="5" t="s">
        <v>59</v>
      </c>
      <c r="F719" s="5" t="s">
        <v>2225</v>
      </c>
      <c r="G719" s="5" t="str">
        <f aca="false">INDEX(Risk_Matrix!$B$2:$D$4,MATCH(E719,Risk_Matrix!$A$2:$A$4,0),MATCH(F719,Risk_Matrix!$B$1:$D$1,0))</f>
        <v>Low</v>
      </c>
      <c r="H719" s="12" t="n">
        <v>46130</v>
      </c>
      <c r="I719" s="5" t="s">
        <v>2256</v>
      </c>
      <c r="J719" s="5" t="s">
        <v>2257</v>
      </c>
      <c r="K719" s="5" t="s">
        <v>2276</v>
      </c>
      <c r="L719" s="5" t="n">
        <f aca="false">IF(G719="High",3,IF(G719="Medium",2,1))</f>
        <v>1</v>
      </c>
    </row>
    <row r="720" customFormat="false" ht="15" hidden="false" customHeight="true" outlineLevel="0" collapsed="false">
      <c r="A720" s="5" t="s">
        <v>2996</v>
      </c>
      <c r="B720" s="5" t="s">
        <v>1228</v>
      </c>
      <c r="C720" s="5" t="s">
        <v>2259</v>
      </c>
      <c r="D720" s="5" t="s">
        <v>2260</v>
      </c>
      <c r="E720" s="5" t="s">
        <v>59</v>
      </c>
      <c r="F720" s="5" t="s">
        <v>59</v>
      </c>
      <c r="G720" s="5" t="str">
        <f aca="false">INDEX(Risk_Matrix!$B$2:$D$4,MATCH(E720,Risk_Matrix!$A$2:$A$4,0),MATCH(F720,Risk_Matrix!$B$1:$D$1,0))</f>
        <v>Low</v>
      </c>
      <c r="H720" s="12" t="n">
        <v>46114</v>
      </c>
      <c r="I720" s="5" t="s">
        <v>2250</v>
      </c>
      <c r="J720" s="5" t="s">
        <v>2251</v>
      </c>
      <c r="K720" s="5" t="s">
        <v>2243</v>
      </c>
      <c r="L720" s="5" t="n">
        <f aca="false">IF(G720="High",3,IF(G720="Medium",2,1))</f>
        <v>1</v>
      </c>
    </row>
    <row r="721" customFormat="false" ht="15" hidden="false" customHeight="true" outlineLevel="0" collapsed="false">
      <c r="A721" s="5" t="s">
        <v>2997</v>
      </c>
      <c r="B721" s="5" t="s">
        <v>1228</v>
      </c>
      <c r="C721" s="5" t="s">
        <v>2262</v>
      </c>
      <c r="D721" s="5" t="s">
        <v>2287</v>
      </c>
      <c r="E721" s="5" t="s">
        <v>54</v>
      </c>
      <c r="F721" s="5" t="s">
        <v>2225</v>
      </c>
      <c r="G721" s="5" t="str">
        <f aca="false">INDEX(Risk_Matrix!$B$2:$D$4,MATCH(E721,Risk_Matrix!$A$2:$A$4,0),MATCH(F721,Risk_Matrix!$B$1:$D$1,0))</f>
        <v>High</v>
      </c>
      <c r="H721" s="12" t="n">
        <v>46093</v>
      </c>
      <c r="I721" s="5" t="s">
        <v>2256</v>
      </c>
      <c r="J721" s="5" t="s">
        <v>2257</v>
      </c>
      <c r="K721" s="5" t="s">
        <v>2243</v>
      </c>
      <c r="L721" s="5" t="n">
        <f aca="false">IF(G721="High",3,IF(G721="Medium",2,1))</f>
        <v>3</v>
      </c>
    </row>
    <row r="722" customFormat="false" ht="15" hidden="false" customHeight="true" outlineLevel="0" collapsed="false">
      <c r="A722" s="5" t="s">
        <v>2998</v>
      </c>
      <c r="B722" s="5" t="s">
        <v>1229</v>
      </c>
      <c r="C722" s="5" t="s">
        <v>2239</v>
      </c>
      <c r="D722" s="5" t="s">
        <v>2240</v>
      </c>
      <c r="E722" s="5" t="s">
        <v>59</v>
      </c>
      <c r="F722" s="5" t="s">
        <v>59</v>
      </c>
      <c r="G722" s="5" t="str">
        <f aca="false">INDEX(Risk_Matrix!$B$2:$D$4,MATCH(E722,Risk_Matrix!$A$2:$A$4,0),MATCH(F722,Risk_Matrix!$B$1:$D$1,0))</f>
        <v>Low</v>
      </c>
      <c r="H722" s="12" t="n">
        <v>46128</v>
      </c>
      <c r="I722" s="5" t="s">
        <v>2264</v>
      </c>
      <c r="J722" s="5" t="s">
        <v>2265</v>
      </c>
      <c r="K722" s="5" t="s">
        <v>2243</v>
      </c>
      <c r="L722" s="5" t="n">
        <f aca="false">IF(G722="High",3,IF(G722="Medium",2,1))</f>
        <v>1</v>
      </c>
    </row>
    <row r="723" customFormat="false" ht="15" hidden="false" customHeight="true" outlineLevel="0" collapsed="false">
      <c r="A723" s="5" t="s">
        <v>2999</v>
      </c>
      <c r="B723" s="5" t="s">
        <v>1229</v>
      </c>
      <c r="C723" s="5" t="s">
        <v>2245</v>
      </c>
      <c r="D723" s="5" t="s">
        <v>2280</v>
      </c>
      <c r="E723" s="5" t="s">
        <v>2225</v>
      </c>
      <c r="F723" s="5" t="s">
        <v>2225</v>
      </c>
      <c r="G723" s="5" t="str">
        <f aca="false">INDEX(Risk_Matrix!$B$2:$D$4,MATCH(E723,Risk_Matrix!$A$2:$A$4,0),MATCH(F723,Risk_Matrix!$B$1:$D$1,0))</f>
        <v>Medium</v>
      </c>
      <c r="H723" s="12" t="n">
        <v>46164</v>
      </c>
      <c r="I723" s="5" t="s">
        <v>2250</v>
      </c>
      <c r="J723" s="5" t="s">
        <v>2251</v>
      </c>
      <c r="K723" s="5" t="s">
        <v>2276</v>
      </c>
      <c r="L723" s="5" t="n">
        <f aca="false">IF(G723="High",3,IF(G723="Medium",2,1))</f>
        <v>2</v>
      </c>
    </row>
    <row r="724" customFormat="false" ht="15" hidden="false" customHeight="true" outlineLevel="0" collapsed="false">
      <c r="A724" s="5" t="s">
        <v>3000</v>
      </c>
      <c r="B724" s="5" t="s">
        <v>1229</v>
      </c>
      <c r="C724" s="5" t="s">
        <v>2248</v>
      </c>
      <c r="D724" s="5" t="s">
        <v>2271</v>
      </c>
      <c r="E724" s="5" t="s">
        <v>59</v>
      </c>
      <c r="F724" s="5" t="s">
        <v>2225</v>
      </c>
      <c r="G724" s="5" t="str">
        <f aca="false">INDEX(Risk_Matrix!$B$2:$D$4,MATCH(E724,Risk_Matrix!$A$2:$A$4,0),MATCH(F724,Risk_Matrix!$B$1:$D$1,0))</f>
        <v>Low</v>
      </c>
      <c r="H724" s="12" t="n">
        <v>46065</v>
      </c>
      <c r="I724" s="5" t="s">
        <v>2250</v>
      </c>
      <c r="J724" s="5" t="s">
        <v>2251</v>
      </c>
      <c r="K724" s="5" t="s">
        <v>2243</v>
      </c>
      <c r="L724" s="5" t="n">
        <f aca="false">IF(G724="High",3,IF(G724="Medium",2,1))</f>
        <v>1</v>
      </c>
    </row>
    <row r="725" customFormat="false" ht="15" hidden="false" customHeight="true" outlineLevel="0" collapsed="false">
      <c r="A725" s="5" t="s">
        <v>3001</v>
      </c>
      <c r="B725" s="5" t="s">
        <v>1229</v>
      </c>
      <c r="C725" s="5" t="s">
        <v>2254</v>
      </c>
      <c r="D725" s="5" t="s">
        <v>2255</v>
      </c>
      <c r="E725" s="5" t="s">
        <v>2225</v>
      </c>
      <c r="F725" s="5" t="s">
        <v>2225</v>
      </c>
      <c r="G725" s="5" t="str">
        <f aca="false">INDEX(Risk_Matrix!$B$2:$D$4,MATCH(E725,Risk_Matrix!$A$2:$A$4,0),MATCH(F725,Risk_Matrix!$B$1:$D$1,0))</f>
        <v>Medium</v>
      </c>
      <c r="H725" s="12" t="n">
        <v>46158</v>
      </c>
      <c r="I725" s="5" t="s">
        <v>2250</v>
      </c>
      <c r="J725" s="5" t="s">
        <v>2251</v>
      </c>
      <c r="K725" s="5" t="s">
        <v>2283</v>
      </c>
      <c r="L725" s="5" t="n">
        <f aca="false">IF(G725="High",3,IF(G725="Medium",2,1))</f>
        <v>2</v>
      </c>
    </row>
    <row r="726" customFormat="false" ht="15" hidden="false" customHeight="true" outlineLevel="0" collapsed="false">
      <c r="A726" s="5" t="s">
        <v>3002</v>
      </c>
      <c r="B726" s="5" t="s">
        <v>1229</v>
      </c>
      <c r="C726" s="5" t="s">
        <v>2259</v>
      </c>
      <c r="D726" s="5" t="s">
        <v>2260</v>
      </c>
      <c r="E726" s="5" t="s">
        <v>59</v>
      </c>
      <c r="F726" s="5" t="s">
        <v>2225</v>
      </c>
      <c r="G726" s="5" t="str">
        <f aca="false">INDEX(Risk_Matrix!$B$2:$D$4,MATCH(E726,Risk_Matrix!$A$2:$A$4,0),MATCH(F726,Risk_Matrix!$B$1:$D$1,0))</f>
        <v>Low</v>
      </c>
      <c r="H726" s="12" t="n">
        <v>46209</v>
      </c>
      <c r="I726" s="5" t="s">
        <v>2264</v>
      </c>
      <c r="J726" s="5" t="s">
        <v>2265</v>
      </c>
      <c r="K726" s="5" t="s">
        <v>2243</v>
      </c>
      <c r="L726" s="5" t="n">
        <f aca="false">IF(G726="High",3,IF(G726="Medium",2,1))</f>
        <v>1</v>
      </c>
    </row>
    <row r="727" customFormat="false" ht="15" hidden="false" customHeight="true" outlineLevel="0" collapsed="false">
      <c r="A727" s="5" t="s">
        <v>3003</v>
      </c>
      <c r="B727" s="5" t="s">
        <v>1229</v>
      </c>
      <c r="C727" s="5" t="s">
        <v>2262</v>
      </c>
      <c r="D727" s="5" t="s">
        <v>2263</v>
      </c>
      <c r="E727" s="5" t="s">
        <v>54</v>
      </c>
      <c r="F727" s="5" t="s">
        <v>59</v>
      </c>
      <c r="G727" s="5" t="str">
        <f aca="false">INDEX(Risk_Matrix!$B$2:$D$4,MATCH(E727,Risk_Matrix!$A$2:$A$4,0),MATCH(F727,Risk_Matrix!$B$1:$D$1,0))</f>
        <v>Medium</v>
      </c>
      <c r="H727" s="12" t="n">
        <v>46233</v>
      </c>
      <c r="I727" s="5" t="s">
        <v>2250</v>
      </c>
      <c r="J727" s="5" t="s">
        <v>2251</v>
      </c>
      <c r="K727" s="5" t="s">
        <v>2266</v>
      </c>
      <c r="L727" s="5" t="n">
        <f aca="false">IF(G727="High",3,IF(G727="Medium",2,1))</f>
        <v>2</v>
      </c>
    </row>
    <row r="728" customFormat="false" ht="15" hidden="false" customHeight="true" outlineLevel="0" collapsed="false">
      <c r="A728" s="5" t="s">
        <v>3004</v>
      </c>
      <c r="B728" s="5" t="s">
        <v>1230</v>
      </c>
      <c r="C728" s="5" t="s">
        <v>2239</v>
      </c>
      <c r="D728" s="5" t="s">
        <v>2278</v>
      </c>
      <c r="E728" s="5" t="s">
        <v>2225</v>
      </c>
      <c r="F728" s="5" t="s">
        <v>59</v>
      </c>
      <c r="G728" s="5" t="str">
        <f aca="false">INDEX(Risk_Matrix!$B$2:$D$4,MATCH(E728,Risk_Matrix!$A$2:$A$4,0),MATCH(F728,Risk_Matrix!$B$1:$D$1,0))</f>
        <v>Low</v>
      </c>
      <c r="H728" s="12" t="n">
        <v>46109</v>
      </c>
      <c r="I728" s="5" t="s">
        <v>2250</v>
      </c>
      <c r="J728" s="5" t="s">
        <v>2251</v>
      </c>
      <c r="K728" s="5" t="s">
        <v>2266</v>
      </c>
      <c r="L728" s="5" t="n">
        <f aca="false">IF(G728="High",3,IF(G728="Medium",2,1))</f>
        <v>1</v>
      </c>
    </row>
    <row r="729" customFormat="false" ht="15" hidden="false" customHeight="true" outlineLevel="0" collapsed="false">
      <c r="A729" s="5" t="s">
        <v>3005</v>
      </c>
      <c r="B729" s="5" t="s">
        <v>1230</v>
      </c>
      <c r="C729" s="5" t="s">
        <v>2245</v>
      </c>
      <c r="D729" s="5" t="s">
        <v>2269</v>
      </c>
      <c r="E729" s="5" t="s">
        <v>54</v>
      </c>
      <c r="F729" s="5" t="s">
        <v>54</v>
      </c>
      <c r="G729" s="5" t="str">
        <f aca="false">INDEX(Risk_Matrix!$B$2:$D$4,MATCH(E729,Risk_Matrix!$A$2:$A$4,0),MATCH(F729,Risk_Matrix!$B$1:$D$1,0))</f>
        <v>High</v>
      </c>
      <c r="H729" s="12" t="n">
        <v>46119</v>
      </c>
      <c r="I729" s="5" t="s">
        <v>2250</v>
      </c>
      <c r="J729" s="5" t="s">
        <v>2251</v>
      </c>
      <c r="K729" s="5" t="s">
        <v>2266</v>
      </c>
      <c r="L729" s="5" t="n">
        <f aca="false">IF(G729="High",3,IF(G729="Medium",2,1))</f>
        <v>3</v>
      </c>
    </row>
    <row r="730" customFormat="false" ht="15" hidden="false" customHeight="true" outlineLevel="0" collapsed="false">
      <c r="A730" s="5" t="s">
        <v>3006</v>
      </c>
      <c r="B730" s="5" t="s">
        <v>1230</v>
      </c>
      <c r="C730" s="5" t="s">
        <v>2248</v>
      </c>
      <c r="D730" s="5" t="s">
        <v>2249</v>
      </c>
      <c r="E730" s="5" t="s">
        <v>2225</v>
      </c>
      <c r="F730" s="5" t="s">
        <v>59</v>
      </c>
      <c r="G730" s="5" t="str">
        <f aca="false">INDEX(Risk_Matrix!$B$2:$D$4,MATCH(E730,Risk_Matrix!$A$2:$A$4,0),MATCH(F730,Risk_Matrix!$B$1:$D$1,0))</f>
        <v>Low</v>
      </c>
      <c r="H730" s="12" t="n">
        <v>46066</v>
      </c>
      <c r="I730" s="5" t="s">
        <v>2250</v>
      </c>
      <c r="J730" s="5" t="s">
        <v>2251</v>
      </c>
      <c r="K730" s="5" t="s">
        <v>2252</v>
      </c>
      <c r="L730" s="5" t="n">
        <f aca="false">IF(G730="High",3,IF(G730="Medium",2,1))</f>
        <v>1</v>
      </c>
    </row>
    <row r="731" customFormat="false" ht="15" hidden="false" customHeight="true" outlineLevel="0" collapsed="false">
      <c r="A731" s="5" t="s">
        <v>3007</v>
      </c>
      <c r="B731" s="5" t="s">
        <v>1230</v>
      </c>
      <c r="C731" s="5" t="s">
        <v>2254</v>
      </c>
      <c r="D731" s="5" t="s">
        <v>2308</v>
      </c>
      <c r="E731" s="5" t="s">
        <v>2225</v>
      </c>
      <c r="F731" s="5" t="s">
        <v>2225</v>
      </c>
      <c r="G731" s="5" t="str">
        <f aca="false">INDEX(Risk_Matrix!$B$2:$D$4,MATCH(E731,Risk_Matrix!$A$2:$A$4,0),MATCH(F731,Risk_Matrix!$B$1:$D$1,0))</f>
        <v>Medium</v>
      </c>
      <c r="H731" s="12" t="n">
        <v>46166</v>
      </c>
      <c r="I731" s="5" t="s">
        <v>2250</v>
      </c>
      <c r="J731" s="5" t="s">
        <v>2251</v>
      </c>
      <c r="K731" s="5" t="s">
        <v>2276</v>
      </c>
      <c r="L731" s="5" t="n">
        <f aca="false">IF(G731="High",3,IF(G731="Medium",2,1))</f>
        <v>2</v>
      </c>
    </row>
    <row r="732" customFormat="false" ht="15" hidden="false" customHeight="true" outlineLevel="0" collapsed="false">
      <c r="A732" s="5" t="s">
        <v>3008</v>
      </c>
      <c r="B732" s="5" t="s">
        <v>1230</v>
      </c>
      <c r="C732" s="5" t="s">
        <v>2259</v>
      </c>
      <c r="D732" s="5" t="s">
        <v>2285</v>
      </c>
      <c r="E732" s="5" t="s">
        <v>59</v>
      </c>
      <c r="F732" s="5" t="s">
        <v>59</v>
      </c>
      <c r="G732" s="5" t="str">
        <f aca="false">INDEX(Risk_Matrix!$B$2:$D$4,MATCH(E732,Risk_Matrix!$A$2:$A$4,0),MATCH(F732,Risk_Matrix!$B$1:$D$1,0))</f>
        <v>Low</v>
      </c>
      <c r="H732" s="12" t="n">
        <v>46113</v>
      </c>
      <c r="I732" s="5" t="s">
        <v>2256</v>
      </c>
      <c r="J732" s="5" t="s">
        <v>2257</v>
      </c>
      <c r="K732" s="5" t="s">
        <v>2276</v>
      </c>
      <c r="L732" s="5" t="n">
        <f aca="false">IF(G732="High",3,IF(G732="Medium",2,1))</f>
        <v>1</v>
      </c>
    </row>
    <row r="733" customFormat="false" ht="15" hidden="false" customHeight="true" outlineLevel="0" collapsed="false">
      <c r="A733" s="5" t="s">
        <v>3009</v>
      </c>
      <c r="B733" s="5" t="s">
        <v>1230</v>
      </c>
      <c r="C733" s="5" t="s">
        <v>2262</v>
      </c>
      <c r="D733" s="5" t="s">
        <v>2311</v>
      </c>
      <c r="E733" s="5" t="s">
        <v>54</v>
      </c>
      <c r="F733" s="5" t="s">
        <v>59</v>
      </c>
      <c r="G733" s="5" t="str">
        <f aca="false">INDEX(Risk_Matrix!$B$2:$D$4,MATCH(E733,Risk_Matrix!$A$2:$A$4,0),MATCH(F733,Risk_Matrix!$B$1:$D$1,0))</f>
        <v>Medium</v>
      </c>
      <c r="H733" s="12" t="n">
        <v>46096</v>
      </c>
      <c r="I733" s="5" t="s">
        <v>2256</v>
      </c>
      <c r="J733" s="5" t="s">
        <v>2257</v>
      </c>
      <c r="K733" s="5" t="s">
        <v>2276</v>
      </c>
      <c r="L733" s="5" t="n">
        <f aca="false">IF(G733="High",3,IF(G733="Medium",2,1))</f>
        <v>2</v>
      </c>
    </row>
    <row r="734" customFormat="false" ht="15" hidden="false" customHeight="true" outlineLevel="0" collapsed="false">
      <c r="A734" s="5" t="s">
        <v>3010</v>
      </c>
      <c r="B734" s="5" t="s">
        <v>1231</v>
      </c>
      <c r="C734" s="5" t="s">
        <v>2239</v>
      </c>
      <c r="D734" s="5" t="s">
        <v>2240</v>
      </c>
      <c r="E734" s="5" t="s">
        <v>59</v>
      </c>
      <c r="F734" s="5" t="s">
        <v>59</v>
      </c>
      <c r="G734" s="5" t="str">
        <f aca="false">INDEX(Risk_Matrix!$B$2:$D$4,MATCH(E734,Risk_Matrix!$A$2:$A$4,0),MATCH(F734,Risk_Matrix!$B$1:$D$1,0))</f>
        <v>Low</v>
      </c>
      <c r="H734" s="12" t="n">
        <v>46194</v>
      </c>
      <c r="I734" s="5" t="s">
        <v>2250</v>
      </c>
      <c r="J734" s="5" t="s">
        <v>2251</v>
      </c>
      <c r="K734" s="5" t="s">
        <v>2283</v>
      </c>
      <c r="L734" s="5" t="n">
        <f aca="false">IF(G734="High",3,IF(G734="Medium",2,1))</f>
        <v>1</v>
      </c>
    </row>
    <row r="735" customFormat="false" ht="15" hidden="false" customHeight="true" outlineLevel="0" collapsed="false">
      <c r="A735" s="5" t="s">
        <v>3011</v>
      </c>
      <c r="B735" s="5" t="s">
        <v>1231</v>
      </c>
      <c r="C735" s="5" t="s">
        <v>2245</v>
      </c>
      <c r="D735" s="5" t="s">
        <v>2246</v>
      </c>
      <c r="E735" s="5" t="s">
        <v>2225</v>
      </c>
      <c r="F735" s="5" t="s">
        <v>59</v>
      </c>
      <c r="G735" s="5" t="str">
        <f aca="false">INDEX(Risk_Matrix!$B$2:$D$4,MATCH(E735,Risk_Matrix!$A$2:$A$4,0),MATCH(F735,Risk_Matrix!$B$1:$D$1,0))</f>
        <v>Low</v>
      </c>
      <c r="H735" s="12" t="n">
        <v>46180</v>
      </c>
      <c r="I735" s="5" t="s">
        <v>2256</v>
      </c>
      <c r="J735" s="5" t="s">
        <v>2257</v>
      </c>
      <c r="K735" s="5" t="s">
        <v>2276</v>
      </c>
      <c r="L735" s="5" t="n">
        <f aca="false">IF(G735="High",3,IF(G735="Medium",2,1))</f>
        <v>1</v>
      </c>
    </row>
    <row r="736" customFormat="false" ht="15" hidden="false" customHeight="true" outlineLevel="0" collapsed="false">
      <c r="A736" s="5" t="s">
        <v>3012</v>
      </c>
      <c r="B736" s="5" t="s">
        <v>1231</v>
      </c>
      <c r="C736" s="5" t="s">
        <v>2248</v>
      </c>
      <c r="D736" s="5" t="s">
        <v>2322</v>
      </c>
      <c r="E736" s="5" t="s">
        <v>59</v>
      </c>
      <c r="F736" s="5" t="s">
        <v>54</v>
      </c>
      <c r="G736" s="5" t="str">
        <f aca="false">INDEX(Risk_Matrix!$B$2:$D$4,MATCH(E736,Risk_Matrix!$A$2:$A$4,0),MATCH(F736,Risk_Matrix!$B$1:$D$1,0))</f>
        <v>Medium</v>
      </c>
      <c r="H736" s="12" t="n">
        <v>46227</v>
      </c>
      <c r="I736" s="5" t="s">
        <v>2264</v>
      </c>
      <c r="J736" s="5" t="s">
        <v>2265</v>
      </c>
      <c r="K736" s="5" t="s">
        <v>2283</v>
      </c>
      <c r="L736" s="5" t="n">
        <f aca="false">IF(G736="High",3,IF(G736="Medium",2,1))</f>
        <v>2</v>
      </c>
    </row>
    <row r="737" customFormat="false" ht="15" hidden="false" customHeight="true" outlineLevel="0" collapsed="false">
      <c r="A737" s="5" t="s">
        <v>3013</v>
      </c>
      <c r="B737" s="5" t="s">
        <v>1231</v>
      </c>
      <c r="C737" s="5" t="s">
        <v>2254</v>
      </c>
      <c r="D737" s="5" t="s">
        <v>2308</v>
      </c>
      <c r="E737" s="5" t="s">
        <v>54</v>
      </c>
      <c r="F737" s="5" t="s">
        <v>54</v>
      </c>
      <c r="G737" s="5" t="str">
        <f aca="false">INDEX(Risk_Matrix!$B$2:$D$4,MATCH(E737,Risk_Matrix!$A$2:$A$4,0),MATCH(F737,Risk_Matrix!$B$1:$D$1,0))</f>
        <v>High</v>
      </c>
      <c r="H737" s="12" t="n">
        <v>46084</v>
      </c>
      <c r="I737" s="5" t="s">
        <v>2264</v>
      </c>
      <c r="J737" s="5" t="s">
        <v>2265</v>
      </c>
      <c r="K737" s="5" t="s">
        <v>2276</v>
      </c>
      <c r="L737" s="5" t="n">
        <f aca="false">IF(G737="High",3,IF(G737="Medium",2,1))</f>
        <v>3</v>
      </c>
    </row>
    <row r="738" customFormat="false" ht="15" hidden="false" customHeight="true" outlineLevel="0" collapsed="false">
      <c r="A738" s="5" t="s">
        <v>3014</v>
      </c>
      <c r="B738" s="5" t="s">
        <v>1231</v>
      </c>
      <c r="C738" s="5" t="s">
        <v>2259</v>
      </c>
      <c r="D738" s="5" t="s">
        <v>2285</v>
      </c>
      <c r="E738" s="5" t="s">
        <v>59</v>
      </c>
      <c r="F738" s="5" t="s">
        <v>54</v>
      </c>
      <c r="G738" s="5" t="str">
        <f aca="false">INDEX(Risk_Matrix!$B$2:$D$4,MATCH(E738,Risk_Matrix!$A$2:$A$4,0),MATCH(F738,Risk_Matrix!$B$1:$D$1,0))</f>
        <v>Medium</v>
      </c>
      <c r="H738" s="12" t="n">
        <v>46210</v>
      </c>
      <c r="I738" s="5" t="s">
        <v>2264</v>
      </c>
      <c r="J738" s="5" t="s">
        <v>2265</v>
      </c>
      <c r="K738" s="5" t="s">
        <v>2276</v>
      </c>
      <c r="L738" s="5" t="n">
        <f aca="false">IF(G738="High",3,IF(G738="Medium",2,1))</f>
        <v>2</v>
      </c>
    </row>
    <row r="739" customFormat="false" ht="15" hidden="false" customHeight="true" outlineLevel="0" collapsed="false">
      <c r="A739" s="5" t="s">
        <v>3015</v>
      </c>
      <c r="B739" s="5" t="s">
        <v>1231</v>
      </c>
      <c r="C739" s="5" t="s">
        <v>2262</v>
      </c>
      <c r="D739" s="5" t="s">
        <v>2263</v>
      </c>
      <c r="E739" s="5" t="s">
        <v>2225</v>
      </c>
      <c r="F739" s="5" t="s">
        <v>54</v>
      </c>
      <c r="G739" s="5" t="str">
        <f aca="false">INDEX(Risk_Matrix!$B$2:$D$4,MATCH(E739,Risk_Matrix!$A$2:$A$4,0),MATCH(F739,Risk_Matrix!$B$1:$D$1,0))</f>
        <v>High</v>
      </c>
      <c r="H739" s="12" t="n">
        <v>46095</v>
      </c>
      <c r="I739" s="5" t="s">
        <v>2256</v>
      </c>
      <c r="J739" s="5" t="s">
        <v>2257</v>
      </c>
      <c r="K739" s="5" t="s">
        <v>2276</v>
      </c>
      <c r="L739" s="5" t="n">
        <f aca="false">IF(G739="High",3,IF(G739="Medium",2,1))</f>
        <v>3</v>
      </c>
    </row>
    <row r="740" customFormat="false" ht="15" hidden="false" customHeight="true" outlineLevel="0" collapsed="false">
      <c r="A740" s="5" t="s">
        <v>3016</v>
      </c>
      <c r="B740" s="5" t="s">
        <v>1233</v>
      </c>
      <c r="C740" s="5" t="s">
        <v>2239</v>
      </c>
      <c r="D740" s="5" t="s">
        <v>2240</v>
      </c>
      <c r="E740" s="5" t="s">
        <v>59</v>
      </c>
      <c r="F740" s="5" t="s">
        <v>59</v>
      </c>
      <c r="G740" s="5" t="str">
        <f aca="false">INDEX(Risk_Matrix!$B$2:$D$4,MATCH(E740,Risk_Matrix!$A$2:$A$4,0),MATCH(F740,Risk_Matrix!$B$1:$D$1,0))</f>
        <v>Low</v>
      </c>
      <c r="H740" s="12" t="n">
        <v>46146</v>
      </c>
      <c r="I740" s="5" t="s">
        <v>2256</v>
      </c>
      <c r="J740" s="5" t="s">
        <v>2257</v>
      </c>
      <c r="K740" s="5" t="s">
        <v>2266</v>
      </c>
      <c r="L740" s="5" t="n">
        <f aca="false">IF(G740="High",3,IF(G740="Medium",2,1))</f>
        <v>1</v>
      </c>
    </row>
    <row r="741" customFormat="false" ht="15" hidden="false" customHeight="true" outlineLevel="0" collapsed="false">
      <c r="A741" s="5" t="s">
        <v>3017</v>
      </c>
      <c r="B741" s="5" t="s">
        <v>1233</v>
      </c>
      <c r="C741" s="5" t="s">
        <v>2245</v>
      </c>
      <c r="D741" s="5" t="s">
        <v>2269</v>
      </c>
      <c r="E741" s="5" t="s">
        <v>2225</v>
      </c>
      <c r="F741" s="5" t="s">
        <v>2225</v>
      </c>
      <c r="G741" s="5" t="str">
        <f aca="false">INDEX(Risk_Matrix!$B$2:$D$4,MATCH(E741,Risk_Matrix!$A$2:$A$4,0),MATCH(F741,Risk_Matrix!$B$1:$D$1,0))</f>
        <v>Medium</v>
      </c>
      <c r="H741" s="12" t="n">
        <v>46213</v>
      </c>
      <c r="I741" s="5" t="s">
        <v>2250</v>
      </c>
      <c r="J741" s="5" t="s">
        <v>2251</v>
      </c>
      <c r="K741" s="5" t="s">
        <v>2266</v>
      </c>
      <c r="L741" s="5" t="n">
        <f aca="false">IF(G741="High",3,IF(G741="Medium",2,1))</f>
        <v>2</v>
      </c>
    </row>
    <row r="742" customFormat="false" ht="15" hidden="false" customHeight="true" outlineLevel="0" collapsed="false">
      <c r="A742" s="5" t="s">
        <v>3018</v>
      </c>
      <c r="B742" s="5" t="s">
        <v>1233</v>
      </c>
      <c r="C742" s="5" t="s">
        <v>2248</v>
      </c>
      <c r="D742" s="5" t="s">
        <v>2249</v>
      </c>
      <c r="E742" s="5" t="s">
        <v>59</v>
      </c>
      <c r="F742" s="5" t="s">
        <v>59</v>
      </c>
      <c r="G742" s="5" t="str">
        <f aca="false">INDEX(Risk_Matrix!$B$2:$D$4,MATCH(E742,Risk_Matrix!$A$2:$A$4,0),MATCH(F742,Risk_Matrix!$B$1:$D$1,0))</f>
        <v>Low</v>
      </c>
      <c r="H742" s="12" t="n">
        <v>46126</v>
      </c>
      <c r="I742" s="5" t="s">
        <v>2264</v>
      </c>
      <c r="J742" s="5" t="s">
        <v>2265</v>
      </c>
      <c r="K742" s="5" t="s">
        <v>2243</v>
      </c>
      <c r="L742" s="5" t="n">
        <f aca="false">IF(G742="High",3,IF(G742="Medium",2,1))</f>
        <v>1</v>
      </c>
    </row>
    <row r="743" customFormat="false" ht="15" hidden="false" customHeight="true" outlineLevel="0" collapsed="false">
      <c r="A743" s="5" t="s">
        <v>3019</v>
      </c>
      <c r="B743" s="5" t="s">
        <v>1233</v>
      </c>
      <c r="C743" s="5" t="s">
        <v>2254</v>
      </c>
      <c r="D743" s="5" t="s">
        <v>2255</v>
      </c>
      <c r="E743" s="5" t="s">
        <v>59</v>
      </c>
      <c r="F743" s="5" t="s">
        <v>2225</v>
      </c>
      <c r="G743" s="5" t="str">
        <f aca="false">INDEX(Risk_Matrix!$B$2:$D$4,MATCH(E743,Risk_Matrix!$A$2:$A$4,0),MATCH(F743,Risk_Matrix!$B$1:$D$1,0))</f>
        <v>Low</v>
      </c>
      <c r="H743" s="12" t="n">
        <v>46109</v>
      </c>
      <c r="I743" s="5" t="s">
        <v>2256</v>
      </c>
      <c r="J743" s="5" t="s">
        <v>2257</v>
      </c>
      <c r="K743" s="5" t="s">
        <v>2266</v>
      </c>
      <c r="L743" s="5" t="n">
        <f aca="false">IF(G743="High",3,IF(G743="Medium",2,1))</f>
        <v>1</v>
      </c>
    </row>
    <row r="744" customFormat="false" ht="15" hidden="false" customHeight="true" outlineLevel="0" collapsed="false">
      <c r="A744" s="5" t="s">
        <v>3020</v>
      </c>
      <c r="B744" s="5" t="s">
        <v>1233</v>
      </c>
      <c r="C744" s="5" t="s">
        <v>2259</v>
      </c>
      <c r="D744" s="5" t="s">
        <v>2260</v>
      </c>
      <c r="E744" s="5" t="s">
        <v>59</v>
      </c>
      <c r="F744" s="5" t="s">
        <v>2225</v>
      </c>
      <c r="G744" s="5" t="str">
        <f aca="false">INDEX(Risk_Matrix!$B$2:$D$4,MATCH(E744,Risk_Matrix!$A$2:$A$4,0),MATCH(F744,Risk_Matrix!$B$1:$D$1,0))</f>
        <v>Low</v>
      </c>
      <c r="H744" s="12" t="n">
        <v>46077</v>
      </c>
      <c r="I744" s="5" t="s">
        <v>2250</v>
      </c>
      <c r="J744" s="5" t="s">
        <v>2251</v>
      </c>
      <c r="K744" s="5" t="s">
        <v>2266</v>
      </c>
      <c r="L744" s="5" t="n">
        <f aca="false">IF(G744="High",3,IF(G744="Medium",2,1))</f>
        <v>1</v>
      </c>
    </row>
    <row r="745" customFormat="false" ht="15" hidden="false" customHeight="true" outlineLevel="0" collapsed="false">
      <c r="A745" s="5" t="s">
        <v>3021</v>
      </c>
      <c r="B745" s="5" t="s">
        <v>1233</v>
      </c>
      <c r="C745" s="5" t="s">
        <v>2262</v>
      </c>
      <c r="D745" s="5" t="s">
        <v>2287</v>
      </c>
      <c r="E745" s="5" t="s">
        <v>2225</v>
      </c>
      <c r="F745" s="5" t="s">
        <v>2225</v>
      </c>
      <c r="G745" s="5" t="str">
        <f aca="false">INDEX(Risk_Matrix!$B$2:$D$4,MATCH(E745,Risk_Matrix!$A$2:$A$4,0),MATCH(F745,Risk_Matrix!$B$1:$D$1,0))</f>
        <v>Medium</v>
      </c>
      <c r="H745" s="12" t="n">
        <v>46203</v>
      </c>
      <c r="I745" s="5" t="s">
        <v>2264</v>
      </c>
      <c r="J745" s="5" t="s">
        <v>2265</v>
      </c>
      <c r="K745" s="5" t="s">
        <v>2243</v>
      </c>
      <c r="L745" s="5" t="n">
        <f aca="false">IF(G745="High",3,IF(G745="Medium",2,1))</f>
        <v>2</v>
      </c>
    </row>
    <row r="746" customFormat="false" ht="15" hidden="false" customHeight="true" outlineLevel="0" collapsed="false">
      <c r="A746" s="5" t="s">
        <v>3022</v>
      </c>
      <c r="B746" s="5" t="s">
        <v>1235</v>
      </c>
      <c r="C746" s="5" t="s">
        <v>2239</v>
      </c>
      <c r="D746" s="5" t="s">
        <v>2295</v>
      </c>
      <c r="E746" s="5" t="s">
        <v>54</v>
      </c>
      <c r="F746" s="5" t="s">
        <v>54</v>
      </c>
      <c r="G746" s="5" t="str">
        <f aca="false">INDEX(Risk_Matrix!$B$2:$D$4,MATCH(E746,Risk_Matrix!$A$2:$A$4,0),MATCH(F746,Risk_Matrix!$B$1:$D$1,0))</f>
        <v>High</v>
      </c>
      <c r="H746" s="12" t="n">
        <v>46106</v>
      </c>
      <c r="I746" s="5" t="s">
        <v>2241</v>
      </c>
      <c r="J746" s="5" t="s">
        <v>2242</v>
      </c>
      <c r="K746" s="5" t="s">
        <v>2252</v>
      </c>
      <c r="L746" s="5" t="n">
        <f aca="false">IF(G746="High",3,IF(G746="Medium",2,1))</f>
        <v>3</v>
      </c>
    </row>
    <row r="747" customFormat="false" ht="15" hidden="false" customHeight="true" outlineLevel="0" collapsed="false">
      <c r="A747" s="5" t="s">
        <v>3023</v>
      </c>
      <c r="B747" s="5" t="s">
        <v>1235</v>
      </c>
      <c r="C747" s="5" t="s">
        <v>2245</v>
      </c>
      <c r="D747" s="5" t="s">
        <v>2246</v>
      </c>
      <c r="E747" s="5" t="s">
        <v>59</v>
      </c>
      <c r="F747" s="5" t="s">
        <v>2225</v>
      </c>
      <c r="G747" s="5" t="str">
        <f aca="false">INDEX(Risk_Matrix!$B$2:$D$4,MATCH(E747,Risk_Matrix!$A$2:$A$4,0),MATCH(F747,Risk_Matrix!$B$1:$D$1,0))</f>
        <v>Low</v>
      </c>
      <c r="H747" s="12" t="n">
        <v>46106</v>
      </c>
      <c r="I747" s="5" t="s">
        <v>2250</v>
      </c>
      <c r="J747" s="5" t="s">
        <v>2251</v>
      </c>
      <c r="K747" s="5" t="s">
        <v>2276</v>
      </c>
      <c r="L747" s="5" t="n">
        <f aca="false">IF(G747="High",3,IF(G747="Medium",2,1))</f>
        <v>1</v>
      </c>
    </row>
    <row r="748" customFormat="false" ht="15" hidden="false" customHeight="true" outlineLevel="0" collapsed="false">
      <c r="A748" s="5" t="s">
        <v>3024</v>
      </c>
      <c r="B748" s="5" t="s">
        <v>1235</v>
      </c>
      <c r="C748" s="5" t="s">
        <v>2248</v>
      </c>
      <c r="D748" s="5" t="s">
        <v>2306</v>
      </c>
      <c r="E748" s="5" t="s">
        <v>59</v>
      </c>
      <c r="F748" s="5" t="s">
        <v>59</v>
      </c>
      <c r="G748" s="5" t="str">
        <f aca="false">INDEX(Risk_Matrix!$B$2:$D$4,MATCH(E748,Risk_Matrix!$A$2:$A$4,0),MATCH(F748,Risk_Matrix!$B$1:$D$1,0))</f>
        <v>Low</v>
      </c>
      <c r="H748" s="12" t="n">
        <v>46127</v>
      </c>
      <c r="I748" s="5" t="s">
        <v>2264</v>
      </c>
      <c r="J748" s="5" t="s">
        <v>2265</v>
      </c>
      <c r="K748" s="5" t="s">
        <v>2276</v>
      </c>
      <c r="L748" s="5" t="n">
        <f aca="false">IF(G748="High",3,IF(G748="Medium",2,1))</f>
        <v>1</v>
      </c>
    </row>
    <row r="749" customFormat="false" ht="15" hidden="false" customHeight="true" outlineLevel="0" collapsed="false">
      <c r="A749" s="5" t="s">
        <v>3025</v>
      </c>
      <c r="B749" s="5" t="s">
        <v>1235</v>
      </c>
      <c r="C749" s="5" t="s">
        <v>2254</v>
      </c>
      <c r="D749" s="5" t="s">
        <v>2308</v>
      </c>
      <c r="E749" s="5" t="s">
        <v>2225</v>
      </c>
      <c r="F749" s="5" t="s">
        <v>2225</v>
      </c>
      <c r="G749" s="5" t="str">
        <f aca="false">INDEX(Risk_Matrix!$B$2:$D$4,MATCH(E749,Risk_Matrix!$A$2:$A$4,0),MATCH(F749,Risk_Matrix!$B$1:$D$1,0))</f>
        <v>Medium</v>
      </c>
      <c r="H749" s="12" t="n">
        <v>46091</v>
      </c>
      <c r="I749" s="5" t="s">
        <v>2250</v>
      </c>
      <c r="J749" s="5" t="s">
        <v>2251</v>
      </c>
      <c r="K749" s="5" t="s">
        <v>2276</v>
      </c>
      <c r="L749" s="5" t="n">
        <f aca="false">IF(G749="High",3,IF(G749="Medium",2,1))</f>
        <v>2</v>
      </c>
    </row>
    <row r="750" customFormat="false" ht="15" hidden="false" customHeight="true" outlineLevel="0" collapsed="false">
      <c r="A750" s="5" t="s">
        <v>3026</v>
      </c>
      <c r="B750" s="5" t="s">
        <v>1235</v>
      </c>
      <c r="C750" s="5" t="s">
        <v>2259</v>
      </c>
      <c r="D750" s="5" t="s">
        <v>2285</v>
      </c>
      <c r="E750" s="5" t="s">
        <v>54</v>
      </c>
      <c r="F750" s="5" t="s">
        <v>2225</v>
      </c>
      <c r="G750" s="5" t="str">
        <f aca="false">INDEX(Risk_Matrix!$B$2:$D$4,MATCH(E750,Risk_Matrix!$A$2:$A$4,0),MATCH(F750,Risk_Matrix!$B$1:$D$1,0))</f>
        <v>High</v>
      </c>
      <c r="H750" s="12" t="n">
        <v>46163</v>
      </c>
      <c r="I750" s="5" t="s">
        <v>2264</v>
      </c>
      <c r="J750" s="5" t="s">
        <v>2265</v>
      </c>
      <c r="K750" s="5" t="s">
        <v>2243</v>
      </c>
      <c r="L750" s="5" t="n">
        <f aca="false">IF(G750="High",3,IF(G750="Medium",2,1))</f>
        <v>3</v>
      </c>
    </row>
    <row r="751" customFormat="false" ht="15" hidden="false" customHeight="true" outlineLevel="0" collapsed="false">
      <c r="A751" s="5" t="s">
        <v>3027</v>
      </c>
      <c r="B751" s="5" t="s">
        <v>1235</v>
      </c>
      <c r="C751" s="5" t="s">
        <v>2262</v>
      </c>
      <c r="D751" s="5" t="s">
        <v>2311</v>
      </c>
      <c r="E751" s="5" t="s">
        <v>54</v>
      </c>
      <c r="F751" s="5" t="s">
        <v>2225</v>
      </c>
      <c r="G751" s="5" t="str">
        <f aca="false">INDEX(Risk_Matrix!$B$2:$D$4,MATCH(E751,Risk_Matrix!$A$2:$A$4,0),MATCH(F751,Risk_Matrix!$B$1:$D$1,0))</f>
        <v>High</v>
      </c>
      <c r="H751" s="12" t="n">
        <v>46158</v>
      </c>
      <c r="I751" s="5" t="s">
        <v>2264</v>
      </c>
      <c r="J751" s="5" t="s">
        <v>2265</v>
      </c>
      <c r="K751" s="5" t="s">
        <v>2252</v>
      </c>
      <c r="L751" s="5" t="n">
        <f aca="false">IF(G751="High",3,IF(G751="Medium",2,1))</f>
        <v>3</v>
      </c>
    </row>
    <row r="752" customFormat="false" ht="15" hidden="false" customHeight="true" outlineLevel="0" collapsed="false">
      <c r="A752" s="5" t="s">
        <v>3028</v>
      </c>
      <c r="B752" s="5" t="s">
        <v>1236</v>
      </c>
      <c r="C752" s="5" t="s">
        <v>2239</v>
      </c>
      <c r="D752" s="5" t="s">
        <v>2240</v>
      </c>
      <c r="E752" s="5" t="s">
        <v>2225</v>
      </c>
      <c r="F752" s="5" t="s">
        <v>54</v>
      </c>
      <c r="G752" s="5" t="str">
        <f aca="false">INDEX(Risk_Matrix!$B$2:$D$4,MATCH(E752,Risk_Matrix!$A$2:$A$4,0),MATCH(F752,Risk_Matrix!$B$1:$D$1,0))</f>
        <v>High</v>
      </c>
      <c r="H752" s="12" t="n">
        <v>46201</v>
      </c>
      <c r="I752" s="5" t="s">
        <v>2250</v>
      </c>
      <c r="J752" s="5" t="s">
        <v>2251</v>
      </c>
      <c r="K752" s="5" t="s">
        <v>2243</v>
      </c>
      <c r="L752" s="5" t="n">
        <f aca="false">IF(G752="High",3,IF(G752="Medium",2,1))</f>
        <v>3</v>
      </c>
    </row>
    <row r="753" customFormat="false" ht="15" hidden="false" customHeight="true" outlineLevel="0" collapsed="false">
      <c r="A753" s="5" t="s">
        <v>3029</v>
      </c>
      <c r="B753" s="5" t="s">
        <v>1236</v>
      </c>
      <c r="C753" s="5" t="s">
        <v>2245</v>
      </c>
      <c r="D753" s="5" t="s">
        <v>2280</v>
      </c>
      <c r="E753" s="5" t="s">
        <v>2225</v>
      </c>
      <c r="F753" s="5" t="s">
        <v>54</v>
      </c>
      <c r="G753" s="5" t="str">
        <f aca="false">INDEX(Risk_Matrix!$B$2:$D$4,MATCH(E753,Risk_Matrix!$A$2:$A$4,0),MATCH(F753,Risk_Matrix!$B$1:$D$1,0))</f>
        <v>High</v>
      </c>
      <c r="H753" s="12" t="n">
        <v>46080</v>
      </c>
      <c r="I753" s="5" t="s">
        <v>2250</v>
      </c>
      <c r="J753" s="5" t="s">
        <v>2251</v>
      </c>
      <c r="K753" s="5" t="s">
        <v>2243</v>
      </c>
      <c r="L753" s="5" t="n">
        <f aca="false">IF(G753="High",3,IF(G753="Medium",2,1))</f>
        <v>3</v>
      </c>
    </row>
    <row r="754" customFormat="false" ht="15" hidden="false" customHeight="true" outlineLevel="0" collapsed="false">
      <c r="A754" s="5" t="s">
        <v>3030</v>
      </c>
      <c r="B754" s="5" t="s">
        <v>1236</v>
      </c>
      <c r="C754" s="5" t="s">
        <v>2248</v>
      </c>
      <c r="D754" s="5" t="s">
        <v>2249</v>
      </c>
      <c r="E754" s="5" t="s">
        <v>54</v>
      </c>
      <c r="F754" s="5" t="s">
        <v>2225</v>
      </c>
      <c r="G754" s="5" t="str">
        <f aca="false">INDEX(Risk_Matrix!$B$2:$D$4,MATCH(E754,Risk_Matrix!$A$2:$A$4,0),MATCH(F754,Risk_Matrix!$B$1:$D$1,0))</f>
        <v>High</v>
      </c>
      <c r="H754" s="12" t="n">
        <v>46188</v>
      </c>
      <c r="I754" s="5" t="s">
        <v>2250</v>
      </c>
      <c r="J754" s="5" t="s">
        <v>2251</v>
      </c>
      <c r="K754" s="5" t="s">
        <v>2252</v>
      </c>
      <c r="L754" s="5" t="n">
        <f aca="false">IF(G754="High",3,IF(G754="Medium",2,1))</f>
        <v>3</v>
      </c>
    </row>
    <row r="755" customFormat="false" ht="15" hidden="false" customHeight="true" outlineLevel="0" collapsed="false">
      <c r="A755" s="5" t="s">
        <v>3031</v>
      </c>
      <c r="B755" s="5" t="s">
        <v>1236</v>
      </c>
      <c r="C755" s="5" t="s">
        <v>2254</v>
      </c>
      <c r="D755" s="5" t="s">
        <v>2255</v>
      </c>
      <c r="E755" s="5" t="s">
        <v>59</v>
      </c>
      <c r="F755" s="5" t="s">
        <v>59</v>
      </c>
      <c r="G755" s="5" t="str">
        <f aca="false">INDEX(Risk_Matrix!$B$2:$D$4,MATCH(E755,Risk_Matrix!$A$2:$A$4,0),MATCH(F755,Risk_Matrix!$B$1:$D$1,0))</f>
        <v>Low</v>
      </c>
      <c r="H755" s="12" t="n">
        <v>46206</v>
      </c>
      <c r="I755" s="5" t="s">
        <v>2250</v>
      </c>
      <c r="J755" s="5" t="s">
        <v>2251</v>
      </c>
      <c r="K755" s="5" t="s">
        <v>2283</v>
      </c>
      <c r="L755" s="5" t="n">
        <f aca="false">IF(G755="High",3,IF(G755="Medium",2,1))</f>
        <v>1</v>
      </c>
    </row>
    <row r="756" customFormat="false" ht="15" hidden="false" customHeight="true" outlineLevel="0" collapsed="false">
      <c r="A756" s="5" t="s">
        <v>3032</v>
      </c>
      <c r="B756" s="5" t="s">
        <v>1236</v>
      </c>
      <c r="C756" s="5" t="s">
        <v>2259</v>
      </c>
      <c r="D756" s="5" t="s">
        <v>2285</v>
      </c>
      <c r="E756" s="5" t="s">
        <v>59</v>
      </c>
      <c r="F756" s="5" t="s">
        <v>59</v>
      </c>
      <c r="G756" s="5" t="str">
        <f aca="false">INDEX(Risk_Matrix!$B$2:$D$4,MATCH(E756,Risk_Matrix!$A$2:$A$4,0),MATCH(F756,Risk_Matrix!$B$1:$D$1,0))</f>
        <v>Low</v>
      </c>
      <c r="H756" s="12" t="n">
        <v>46105</v>
      </c>
      <c r="I756" s="5" t="s">
        <v>2250</v>
      </c>
      <c r="J756" s="5" t="s">
        <v>2251</v>
      </c>
      <c r="K756" s="5" t="s">
        <v>2252</v>
      </c>
      <c r="L756" s="5" t="n">
        <f aca="false">IF(G756="High",3,IF(G756="Medium",2,1))</f>
        <v>1</v>
      </c>
    </row>
    <row r="757" customFormat="false" ht="15" hidden="false" customHeight="true" outlineLevel="0" collapsed="false">
      <c r="A757" s="5" t="s">
        <v>3033</v>
      </c>
      <c r="B757" s="5" t="s">
        <v>1236</v>
      </c>
      <c r="C757" s="5" t="s">
        <v>2262</v>
      </c>
      <c r="D757" s="5" t="s">
        <v>2263</v>
      </c>
      <c r="E757" s="5" t="s">
        <v>59</v>
      </c>
      <c r="F757" s="5" t="s">
        <v>59</v>
      </c>
      <c r="G757" s="5" t="str">
        <f aca="false">INDEX(Risk_Matrix!$B$2:$D$4,MATCH(E757,Risk_Matrix!$A$2:$A$4,0),MATCH(F757,Risk_Matrix!$B$1:$D$1,0))</f>
        <v>Low</v>
      </c>
      <c r="H757" s="12" t="n">
        <v>46087</v>
      </c>
      <c r="I757" s="5" t="s">
        <v>2264</v>
      </c>
      <c r="J757" s="5" t="s">
        <v>2265</v>
      </c>
      <c r="K757" s="5" t="s">
        <v>2252</v>
      </c>
      <c r="L757" s="5" t="n">
        <f aca="false">IF(G757="High",3,IF(G757="Medium",2,1))</f>
        <v>1</v>
      </c>
    </row>
    <row r="758" customFormat="false" ht="15" hidden="false" customHeight="true" outlineLevel="0" collapsed="false">
      <c r="A758" s="5" t="s">
        <v>3034</v>
      </c>
      <c r="B758" s="5" t="s">
        <v>1238</v>
      </c>
      <c r="C758" s="5" t="s">
        <v>2239</v>
      </c>
      <c r="D758" s="5" t="s">
        <v>2303</v>
      </c>
      <c r="E758" s="5" t="s">
        <v>2225</v>
      </c>
      <c r="F758" s="5" t="s">
        <v>59</v>
      </c>
      <c r="G758" s="5" t="str">
        <f aca="false">INDEX(Risk_Matrix!$B$2:$D$4,MATCH(E758,Risk_Matrix!$A$2:$A$4,0),MATCH(F758,Risk_Matrix!$B$1:$D$1,0))</f>
        <v>Low</v>
      </c>
      <c r="H758" s="12" t="n">
        <v>46109</v>
      </c>
      <c r="I758" s="5" t="s">
        <v>2250</v>
      </c>
      <c r="J758" s="5" t="s">
        <v>2251</v>
      </c>
      <c r="K758" s="5" t="s">
        <v>2276</v>
      </c>
      <c r="L758" s="5" t="n">
        <f aca="false">IF(G758="High",3,IF(G758="Medium",2,1))</f>
        <v>1</v>
      </c>
    </row>
    <row r="759" customFormat="false" ht="15" hidden="false" customHeight="true" outlineLevel="0" collapsed="false">
      <c r="A759" s="5" t="s">
        <v>3035</v>
      </c>
      <c r="B759" s="5" t="s">
        <v>1238</v>
      </c>
      <c r="C759" s="5" t="s">
        <v>2245</v>
      </c>
      <c r="D759" s="5" t="s">
        <v>2246</v>
      </c>
      <c r="E759" s="5" t="s">
        <v>2225</v>
      </c>
      <c r="F759" s="5" t="s">
        <v>59</v>
      </c>
      <c r="G759" s="5" t="str">
        <f aca="false">INDEX(Risk_Matrix!$B$2:$D$4,MATCH(E759,Risk_Matrix!$A$2:$A$4,0),MATCH(F759,Risk_Matrix!$B$1:$D$1,0))</f>
        <v>Low</v>
      </c>
      <c r="H759" s="12" t="n">
        <v>46207</v>
      </c>
      <c r="I759" s="5" t="s">
        <v>2250</v>
      </c>
      <c r="J759" s="5" t="s">
        <v>2251</v>
      </c>
      <c r="K759" s="5" t="s">
        <v>2276</v>
      </c>
      <c r="L759" s="5" t="n">
        <f aca="false">IF(G759="High",3,IF(G759="Medium",2,1))</f>
        <v>1</v>
      </c>
    </row>
    <row r="760" customFormat="false" ht="15" hidden="false" customHeight="true" outlineLevel="0" collapsed="false">
      <c r="A760" s="5" t="s">
        <v>3036</v>
      </c>
      <c r="B760" s="5" t="s">
        <v>1238</v>
      </c>
      <c r="C760" s="5" t="s">
        <v>2248</v>
      </c>
      <c r="D760" s="5" t="s">
        <v>2306</v>
      </c>
      <c r="E760" s="5" t="s">
        <v>59</v>
      </c>
      <c r="F760" s="5" t="s">
        <v>2225</v>
      </c>
      <c r="G760" s="5" t="str">
        <f aca="false">INDEX(Risk_Matrix!$B$2:$D$4,MATCH(E760,Risk_Matrix!$A$2:$A$4,0),MATCH(F760,Risk_Matrix!$B$1:$D$1,0))</f>
        <v>Low</v>
      </c>
      <c r="H760" s="12" t="n">
        <v>46152</v>
      </c>
      <c r="I760" s="5" t="s">
        <v>2256</v>
      </c>
      <c r="J760" s="5" t="s">
        <v>2257</v>
      </c>
      <c r="K760" s="5" t="s">
        <v>2266</v>
      </c>
      <c r="L760" s="5" t="n">
        <f aca="false">IF(G760="High",3,IF(G760="Medium",2,1))</f>
        <v>1</v>
      </c>
    </row>
    <row r="761" customFormat="false" ht="15" hidden="false" customHeight="true" outlineLevel="0" collapsed="false">
      <c r="A761" s="5" t="s">
        <v>3037</v>
      </c>
      <c r="B761" s="5" t="s">
        <v>1238</v>
      </c>
      <c r="C761" s="5" t="s">
        <v>2254</v>
      </c>
      <c r="D761" s="5" t="s">
        <v>2299</v>
      </c>
      <c r="E761" s="5" t="s">
        <v>54</v>
      </c>
      <c r="F761" s="5" t="s">
        <v>2225</v>
      </c>
      <c r="G761" s="5" t="str">
        <f aca="false">INDEX(Risk_Matrix!$B$2:$D$4,MATCH(E761,Risk_Matrix!$A$2:$A$4,0),MATCH(F761,Risk_Matrix!$B$1:$D$1,0))</f>
        <v>High</v>
      </c>
      <c r="H761" s="12" t="n">
        <v>46078</v>
      </c>
      <c r="I761" s="5" t="s">
        <v>2264</v>
      </c>
      <c r="J761" s="5" t="s">
        <v>2265</v>
      </c>
      <c r="K761" s="5" t="s">
        <v>2283</v>
      </c>
      <c r="L761" s="5" t="n">
        <f aca="false">IF(G761="High",3,IF(G761="Medium",2,1))</f>
        <v>3</v>
      </c>
    </row>
    <row r="762" customFormat="false" ht="15" hidden="false" customHeight="true" outlineLevel="0" collapsed="false">
      <c r="A762" s="5" t="s">
        <v>3038</v>
      </c>
      <c r="B762" s="5" t="s">
        <v>1238</v>
      </c>
      <c r="C762" s="5" t="s">
        <v>2259</v>
      </c>
      <c r="D762" s="5" t="s">
        <v>2285</v>
      </c>
      <c r="E762" s="5" t="s">
        <v>59</v>
      </c>
      <c r="F762" s="5" t="s">
        <v>59</v>
      </c>
      <c r="G762" s="5" t="str">
        <f aca="false">INDEX(Risk_Matrix!$B$2:$D$4,MATCH(E762,Risk_Matrix!$A$2:$A$4,0),MATCH(F762,Risk_Matrix!$B$1:$D$1,0))</f>
        <v>Low</v>
      </c>
      <c r="H762" s="12" t="n">
        <v>46092</v>
      </c>
      <c r="I762" s="5" t="s">
        <v>2250</v>
      </c>
      <c r="J762" s="5" t="s">
        <v>2251</v>
      </c>
      <c r="K762" s="5" t="s">
        <v>2266</v>
      </c>
      <c r="L762" s="5" t="n">
        <f aca="false">IF(G762="High",3,IF(G762="Medium",2,1))</f>
        <v>1</v>
      </c>
    </row>
    <row r="763" customFormat="false" ht="15" hidden="false" customHeight="true" outlineLevel="0" collapsed="false">
      <c r="A763" s="5" t="s">
        <v>3039</v>
      </c>
      <c r="B763" s="5" t="s">
        <v>1238</v>
      </c>
      <c r="C763" s="5" t="s">
        <v>2262</v>
      </c>
      <c r="D763" s="5" t="s">
        <v>2263</v>
      </c>
      <c r="E763" s="5" t="s">
        <v>59</v>
      </c>
      <c r="F763" s="5" t="s">
        <v>2225</v>
      </c>
      <c r="G763" s="5" t="str">
        <f aca="false">INDEX(Risk_Matrix!$B$2:$D$4,MATCH(E763,Risk_Matrix!$A$2:$A$4,0),MATCH(F763,Risk_Matrix!$B$1:$D$1,0))</f>
        <v>Low</v>
      </c>
      <c r="H763" s="12" t="n">
        <v>46106</v>
      </c>
      <c r="I763" s="5" t="s">
        <v>2256</v>
      </c>
      <c r="J763" s="5" t="s">
        <v>2257</v>
      </c>
      <c r="K763" s="5" t="s">
        <v>2283</v>
      </c>
      <c r="L763" s="5" t="n">
        <f aca="false">IF(G763="High",3,IF(G763="Medium",2,1))</f>
        <v>1</v>
      </c>
    </row>
    <row r="764" customFormat="false" ht="15" hidden="false" customHeight="true" outlineLevel="0" collapsed="false">
      <c r="A764" s="5" t="s">
        <v>3040</v>
      </c>
      <c r="B764" s="5" t="s">
        <v>1239</v>
      </c>
      <c r="C764" s="5" t="s">
        <v>2239</v>
      </c>
      <c r="D764" s="5" t="s">
        <v>2303</v>
      </c>
      <c r="E764" s="5" t="s">
        <v>2225</v>
      </c>
      <c r="F764" s="5" t="s">
        <v>59</v>
      </c>
      <c r="G764" s="5" t="str">
        <f aca="false">INDEX(Risk_Matrix!$B$2:$D$4,MATCH(E764,Risk_Matrix!$A$2:$A$4,0),MATCH(F764,Risk_Matrix!$B$1:$D$1,0))</f>
        <v>Low</v>
      </c>
      <c r="H764" s="12" t="n">
        <v>46130</v>
      </c>
      <c r="I764" s="5" t="s">
        <v>2256</v>
      </c>
      <c r="J764" s="5" t="s">
        <v>2257</v>
      </c>
      <c r="K764" s="5" t="s">
        <v>2243</v>
      </c>
      <c r="L764" s="5" t="n">
        <f aca="false">IF(G764="High",3,IF(G764="Medium",2,1))</f>
        <v>1</v>
      </c>
    </row>
    <row r="765" customFormat="false" ht="15" hidden="false" customHeight="true" outlineLevel="0" collapsed="false">
      <c r="A765" s="5" t="s">
        <v>3041</v>
      </c>
      <c r="B765" s="5" t="s">
        <v>1239</v>
      </c>
      <c r="C765" s="5" t="s">
        <v>2245</v>
      </c>
      <c r="D765" s="5" t="s">
        <v>2246</v>
      </c>
      <c r="E765" s="5" t="s">
        <v>59</v>
      </c>
      <c r="F765" s="5" t="s">
        <v>59</v>
      </c>
      <c r="G765" s="5" t="str">
        <f aca="false">INDEX(Risk_Matrix!$B$2:$D$4,MATCH(E765,Risk_Matrix!$A$2:$A$4,0),MATCH(F765,Risk_Matrix!$B$1:$D$1,0))</f>
        <v>Low</v>
      </c>
      <c r="H765" s="12" t="n">
        <v>46184</v>
      </c>
      <c r="I765" s="5" t="s">
        <v>2256</v>
      </c>
      <c r="J765" s="5" t="s">
        <v>2257</v>
      </c>
      <c r="K765" s="5" t="s">
        <v>2243</v>
      </c>
      <c r="L765" s="5" t="n">
        <f aca="false">IF(G765="High",3,IF(G765="Medium",2,1))</f>
        <v>1</v>
      </c>
    </row>
    <row r="766" customFormat="false" ht="15" hidden="false" customHeight="true" outlineLevel="0" collapsed="false">
      <c r="A766" s="5" t="s">
        <v>3042</v>
      </c>
      <c r="B766" s="5" t="s">
        <v>1239</v>
      </c>
      <c r="C766" s="5" t="s">
        <v>2248</v>
      </c>
      <c r="D766" s="5" t="s">
        <v>2306</v>
      </c>
      <c r="E766" s="5" t="s">
        <v>59</v>
      </c>
      <c r="F766" s="5" t="s">
        <v>2225</v>
      </c>
      <c r="G766" s="5" t="str">
        <f aca="false">INDEX(Risk_Matrix!$B$2:$D$4,MATCH(E766,Risk_Matrix!$A$2:$A$4,0),MATCH(F766,Risk_Matrix!$B$1:$D$1,0))</f>
        <v>Low</v>
      </c>
      <c r="H766" s="12" t="n">
        <v>46106</v>
      </c>
      <c r="I766" s="5" t="s">
        <v>2250</v>
      </c>
      <c r="J766" s="5" t="s">
        <v>2251</v>
      </c>
      <c r="K766" s="5" t="s">
        <v>2243</v>
      </c>
      <c r="L766" s="5" t="n">
        <f aca="false">IF(G766="High",3,IF(G766="Medium",2,1))</f>
        <v>1</v>
      </c>
    </row>
    <row r="767" customFormat="false" ht="15" hidden="false" customHeight="true" outlineLevel="0" collapsed="false">
      <c r="A767" s="5" t="s">
        <v>3043</v>
      </c>
      <c r="B767" s="5" t="s">
        <v>1239</v>
      </c>
      <c r="C767" s="5" t="s">
        <v>2254</v>
      </c>
      <c r="D767" s="5" t="s">
        <v>2308</v>
      </c>
      <c r="E767" s="5" t="s">
        <v>2225</v>
      </c>
      <c r="F767" s="5" t="s">
        <v>2225</v>
      </c>
      <c r="G767" s="5" t="str">
        <f aca="false">INDEX(Risk_Matrix!$B$2:$D$4,MATCH(E767,Risk_Matrix!$A$2:$A$4,0),MATCH(F767,Risk_Matrix!$B$1:$D$1,0))</f>
        <v>Medium</v>
      </c>
      <c r="H767" s="12" t="n">
        <v>46062</v>
      </c>
      <c r="I767" s="5" t="s">
        <v>2241</v>
      </c>
      <c r="J767" s="5" t="s">
        <v>2242</v>
      </c>
      <c r="K767" s="5" t="s">
        <v>2243</v>
      </c>
      <c r="L767" s="5" t="n">
        <f aca="false">IF(G767="High",3,IF(G767="Medium",2,1))</f>
        <v>2</v>
      </c>
    </row>
    <row r="768" customFormat="false" ht="15" hidden="false" customHeight="true" outlineLevel="0" collapsed="false">
      <c r="A768" s="5" t="s">
        <v>3044</v>
      </c>
      <c r="B768" s="5" t="s">
        <v>1239</v>
      </c>
      <c r="C768" s="5" t="s">
        <v>2259</v>
      </c>
      <c r="D768" s="5" t="s">
        <v>2285</v>
      </c>
      <c r="E768" s="5" t="s">
        <v>54</v>
      </c>
      <c r="F768" s="5" t="s">
        <v>2225</v>
      </c>
      <c r="G768" s="5" t="str">
        <f aca="false">INDEX(Risk_Matrix!$B$2:$D$4,MATCH(E768,Risk_Matrix!$A$2:$A$4,0),MATCH(F768,Risk_Matrix!$B$1:$D$1,0))</f>
        <v>High</v>
      </c>
      <c r="H768" s="12" t="n">
        <v>46206</v>
      </c>
      <c r="I768" s="5" t="s">
        <v>2256</v>
      </c>
      <c r="J768" s="5" t="s">
        <v>2257</v>
      </c>
      <c r="K768" s="5" t="s">
        <v>2243</v>
      </c>
      <c r="L768" s="5" t="n">
        <f aca="false">IF(G768="High",3,IF(G768="Medium",2,1))</f>
        <v>3</v>
      </c>
    </row>
    <row r="769" customFormat="false" ht="15" hidden="false" customHeight="true" outlineLevel="0" collapsed="false">
      <c r="A769" s="5" t="s">
        <v>3045</v>
      </c>
      <c r="B769" s="5" t="s">
        <v>1239</v>
      </c>
      <c r="C769" s="5" t="s">
        <v>2262</v>
      </c>
      <c r="D769" s="5" t="s">
        <v>2263</v>
      </c>
      <c r="E769" s="5" t="s">
        <v>59</v>
      </c>
      <c r="F769" s="5" t="s">
        <v>54</v>
      </c>
      <c r="G769" s="5" t="str">
        <f aca="false">INDEX(Risk_Matrix!$B$2:$D$4,MATCH(E769,Risk_Matrix!$A$2:$A$4,0),MATCH(F769,Risk_Matrix!$B$1:$D$1,0))</f>
        <v>Medium</v>
      </c>
      <c r="H769" s="12" t="n">
        <v>46103</v>
      </c>
      <c r="I769" s="5" t="s">
        <v>2250</v>
      </c>
      <c r="J769" s="5" t="s">
        <v>2251</v>
      </c>
      <c r="K769" s="5" t="s">
        <v>2276</v>
      </c>
      <c r="L769" s="5" t="n">
        <f aca="false">IF(G769="High",3,IF(G769="Medium",2,1))</f>
        <v>2</v>
      </c>
    </row>
    <row r="770" customFormat="false" ht="15" hidden="false" customHeight="true" outlineLevel="0" collapsed="false">
      <c r="A770" s="5" t="s">
        <v>3046</v>
      </c>
      <c r="B770" s="5" t="s">
        <v>1241</v>
      </c>
      <c r="C770" s="5" t="s">
        <v>2239</v>
      </c>
      <c r="D770" s="5" t="s">
        <v>2303</v>
      </c>
      <c r="E770" s="5" t="s">
        <v>59</v>
      </c>
      <c r="F770" s="5" t="s">
        <v>59</v>
      </c>
      <c r="G770" s="5" t="str">
        <f aca="false">INDEX(Risk_Matrix!$B$2:$D$4,MATCH(E770,Risk_Matrix!$A$2:$A$4,0),MATCH(F770,Risk_Matrix!$B$1:$D$1,0))</f>
        <v>Low</v>
      </c>
      <c r="H770" s="12" t="n">
        <v>46095</v>
      </c>
      <c r="I770" s="5" t="s">
        <v>2256</v>
      </c>
      <c r="J770" s="5" t="s">
        <v>2257</v>
      </c>
      <c r="K770" s="5" t="s">
        <v>2252</v>
      </c>
      <c r="L770" s="5" t="n">
        <f aca="false">IF(G770="High",3,IF(G770="Medium",2,1))</f>
        <v>1</v>
      </c>
    </row>
    <row r="771" customFormat="false" ht="15" hidden="false" customHeight="true" outlineLevel="0" collapsed="false">
      <c r="A771" s="5" t="s">
        <v>3047</v>
      </c>
      <c r="B771" s="5" t="s">
        <v>1241</v>
      </c>
      <c r="C771" s="5" t="s">
        <v>2245</v>
      </c>
      <c r="D771" s="5" t="s">
        <v>2246</v>
      </c>
      <c r="E771" s="5" t="s">
        <v>2225</v>
      </c>
      <c r="F771" s="5" t="s">
        <v>59</v>
      </c>
      <c r="G771" s="5" t="str">
        <f aca="false">INDEX(Risk_Matrix!$B$2:$D$4,MATCH(E771,Risk_Matrix!$A$2:$A$4,0),MATCH(F771,Risk_Matrix!$B$1:$D$1,0))</f>
        <v>Low</v>
      </c>
      <c r="H771" s="12" t="n">
        <v>46092</v>
      </c>
      <c r="I771" s="5" t="s">
        <v>2256</v>
      </c>
      <c r="J771" s="5" t="s">
        <v>2257</v>
      </c>
      <c r="K771" s="5" t="s">
        <v>2252</v>
      </c>
      <c r="L771" s="5" t="n">
        <f aca="false">IF(G771="High",3,IF(G771="Medium",2,1))</f>
        <v>1</v>
      </c>
    </row>
    <row r="772" customFormat="false" ht="15" hidden="false" customHeight="true" outlineLevel="0" collapsed="false">
      <c r="A772" s="5" t="s">
        <v>3048</v>
      </c>
      <c r="B772" s="5" t="s">
        <v>1241</v>
      </c>
      <c r="C772" s="5" t="s">
        <v>2248</v>
      </c>
      <c r="D772" s="5" t="s">
        <v>2306</v>
      </c>
      <c r="E772" s="5" t="s">
        <v>2225</v>
      </c>
      <c r="F772" s="5" t="s">
        <v>59</v>
      </c>
      <c r="G772" s="5" t="str">
        <f aca="false">INDEX(Risk_Matrix!$B$2:$D$4,MATCH(E772,Risk_Matrix!$A$2:$A$4,0),MATCH(F772,Risk_Matrix!$B$1:$D$1,0))</f>
        <v>Low</v>
      </c>
      <c r="H772" s="12" t="n">
        <v>46143</v>
      </c>
      <c r="I772" s="5" t="s">
        <v>2256</v>
      </c>
      <c r="J772" s="5" t="s">
        <v>2257</v>
      </c>
      <c r="K772" s="5" t="s">
        <v>2252</v>
      </c>
      <c r="L772" s="5" t="n">
        <f aca="false">IF(G772="High",3,IF(G772="Medium",2,1))</f>
        <v>1</v>
      </c>
    </row>
    <row r="773" customFormat="false" ht="15" hidden="false" customHeight="true" outlineLevel="0" collapsed="false">
      <c r="A773" s="5" t="s">
        <v>3049</v>
      </c>
      <c r="B773" s="5" t="s">
        <v>1241</v>
      </c>
      <c r="C773" s="5" t="s">
        <v>2254</v>
      </c>
      <c r="D773" s="5" t="s">
        <v>2308</v>
      </c>
      <c r="E773" s="5" t="s">
        <v>59</v>
      </c>
      <c r="F773" s="5" t="s">
        <v>2225</v>
      </c>
      <c r="G773" s="5" t="str">
        <f aca="false">INDEX(Risk_Matrix!$B$2:$D$4,MATCH(E773,Risk_Matrix!$A$2:$A$4,0),MATCH(F773,Risk_Matrix!$B$1:$D$1,0))</f>
        <v>Low</v>
      </c>
      <c r="H773" s="12" t="n">
        <v>46088</v>
      </c>
      <c r="I773" s="5" t="s">
        <v>2256</v>
      </c>
      <c r="J773" s="5" t="s">
        <v>2257</v>
      </c>
      <c r="K773" s="5" t="s">
        <v>2243</v>
      </c>
      <c r="L773" s="5" t="n">
        <f aca="false">IF(G773="High",3,IF(G773="Medium",2,1))</f>
        <v>1</v>
      </c>
    </row>
    <row r="774" customFormat="false" ht="15" hidden="false" customHeight="true" outlineLevel="0" collapsed="false">
      <c r="A774" s="5" t="s">
        <v>3050</v>
      </c>
      <c r="B774" s="5" t="s">
        <v>1241</v>
      </c>
      <c r="C774" s="5" t="s">
        <v>2259</v>
      </c>
      <c r="D774" s="5" t="s">
        <v>2260</v>
      </c>
      <c r="E774" s="5" t="s">
        <v>54</v>
      </c>
      <c r="F774" s="5" t="s">
        <v>59</v>
      </c>
      <c r="G774" s="5" t="str">
        <f aca="false">INDEX(Risk_Matrix!$B$2:$D$4,MATCH(E774,Risk_Matrix!$A$2:$A$4,0),MATCH(F774,Risk_Matrix!$B$1:$D$1,0))</f>
        <v>Medium</v>
      </c>
      <c r="H774" s="12" t="n">
        <v>46192</v>
      </c>
      <c r="I774" s="5" t="s">
        <v>2256</v>
      </c>
      <c r="J774" s="5" t="s">
        <v>2257</v>
      </c>
      <c r="K774" s="5" t="s">
        <v>2243</v>
      </c>
      <c r="L774" s="5" t="n">
        <f aca="false">IF(G774="High",3,IF(G774="Medium",2,1))</f>
        <v>2</v>
      </c>
    </row>
    <row r="775" customFormat="false" ht="15" hidden="false" customHeight="true" outlineLevel="0" collapsed="false">
      <c r="A775" s="5" t="s">
        <v>3051</v>
      </c>
      <c r="B775" s="5" t="s">
        <v>1241</v>
      </c>
      <c r="C775" s="5" t="s">
        <v>2262</v>
      </c>
      <c r="D775" s="5" t="s">
        <v>2287</v>
      </c>
      <c r="E775" s="5" t="s">
        <v>59</v>
      </c>
      <c r="F775" s="5" t="s">
        <v>59</v>
      </c>
      <c r="G775" s="5" t="str">
        <f aca="false">INDEX(Risk_Matrix!$B$2:$D$4,MATCH(E775,Risk_Matrix!$A$2:$A$4,0),MATCH(F775,Risk_Matrix!$B$1:$D$1,0))</f>
        <v>Low</v>
      </c>
      <c r="H775" s="12" t="n">
        <v>46132</v>
      </c>
      <c r="I775" s="5" t="s">
        <v>2264</v>
      </c>
      <c r="J775" s="5" t="s">
        <v>2265</v>
      </c>
      <c r="K775" s="5" t="s">
        <v>2243</v>
      </c>
      <c r="L775" s="5" t="n">
        <f aca="false">IF(G775="High",3,IF(G775="Medium",2,1))</f>
        <v>1</v>
      </c>
    </row>
    <row r="776" customFormat="false" ht="15" hidden="false" customHeight="true" outlineLevel="0" collapsed="false">
      <c r="A776" s="5" t="s">
        <v>3052</v>
      </c>
      <c r="B776" s="5" t="s">
        <v>1243</v>
      </c>
      <c r="C776" s="5" t="s">
        <v>2239</v>
      </c>
      <c r="D776" s="5" t="s">
        <v>2278</v>
      </c>
      <c r="E776" s="5" t="s">
        <v>2225</v>
      </c>
      <c r="F776" s="5" t="s">
        <v>54</v>
      </c>
      <c r="G776" s="5" t="str">
        <f aca="false">INDEX(Risk_Matrix!$B$2:$D$4,MATCH(E776,Risk_Matrix!$A$2:$A$4,0),MATCH(F776,Risk_Matrix!$B$1:$D$1,0))</f>
        <v>High</v>
      </c>
      <c r="H776" s="12" t="n">
        <v>46117</v>
      </c>
      <c r="I776" s="5" t="s">
        <v>2264</v>
      </c>
      <c r="J776" s="5" t="s">
        <v>2265</v>
      </c>
      <c r="K776" s="5" t="s">
        <v>2283</v>
      </c>
      <c r="L776" s="5" t="n">
        <f aca="false">IF(G776="High",3,IF(G776="Medium",2,1))</f>
        <v>3</v>
      </c>
    </row>
    <row r="777" customFormat="false" ht="15" hidden="false" customHeight="true" outlineLevel="0" collapsed="false">
      <c r="A777" s="5" t="s">
        <v>3053</v>
      </c>
      <c r="B777" s="5" t="s">
        <v>1243</v>
      </c>
      <c r="C777" s="5" t="s">
        <v>2245</v>
      </c>
      <c r="D777" s="5" t="s">
        <v>2320</v>
      </c>
      <c r="E777" s="5" t="s">
        <v>2225</v>
      </c>
      <c r="F777" s="5" t="s">
        <v>2225</v>
      </c>
      <c r="G777" s="5" t="str">
        <f aca="false">INDEX(Risk_Matrix!$B$2:$D$4,MATCH(E777,Risk_Matrix!$A$2:$A$4,0),MATCH(F777,Risk_Matrix!$B$1:$D$1,0))</f>
        <v>Medium</v>
      </c>
      <c r="H777" s="12" t="n">
        <v>46123</v>
      </c>
      <c r="I777" s="5" t="s">
        <v>2250</v>
      </c>
      <c r="J777" s="5" t="s">
        <v>2251</v>
      </c>
      <c r="K777" s="5" t="s">
        <v>2243</v>
      </c>
      <c r="L777" s="5" t="n">
        <f aca="false">IF(G777="High",3,IF(G777="Medium",2,1))</f>
        <v>2</v>
      </c>
    </row>
    <row r="778" customFormat="false" ht="15" hidden="false" customHeight="true" outlineLevel="0" collapsed="false">
      <c r="A778" s="5" t="s">
        <v>3054</v>
      </c>
      <c r="B778" s="5" t="s">
        <v>1243</v>
      </c>
      <c r="C778" s="5" t="s">
        <v>2248</v>
      </c>
      <c r="D778" s="5" t="s">
        <v>2322</v>
      </c>
      <c r="E778" s="5" t="s">
        <v>54</v>
      </c>
      <c r="F778" s="5" t="s">
        <v>59</v>
      </c>
      <c r="G778" s="5" t="str">
        <f aca="false">INDEX(Risk_Matrix!$B$2:$D$4,MATCH(E778,Risk_Matrix!$A$2:$A$4,0),MATCH(F778,Risk_Matrix!$B$1:$D$1,0))</f>
        <v>Medium</v>
      </c>
      <c r="H778" s="12" t="n">
        <v>46068</v>
      </c>
      <c r="I778" s="5" t="s">
        <v>2264</v>
      </c>
      <c r="J778" s="5" t="s">
        <v>2265</v>
      </c>
      <c r="K778" s="5" t="s">
        <v>2283</v>
      </c>
      <c r="L778" s="5" t="n">
        <f aca="false">IF(G778="High",3,IF(G778="Medium",2,1))</f>
        <v>2</v>
      </c>
    </row>
    <row r="779" customFormat="false" ht="15" hidden="false" customHeight="true" outlineLevel="0" collapsed="false">
      <c r="A779" s="5" t="s">
        <v>3055</v>
      </c>
      <c r="B779" s="5" t="s">
        <v>1243</v>
      </c>
      <c r="C779" s="5" t="s">
        <v>2254</v>
      </c>
      <c r="D779" s="5" t="s">
        <v>2308</v>
      </c>
      <c r="E779" s="5" t="s">
        <v>59</v>
      </c>
      <c r="F779" s="5" t="s">
        <v>54</v>
      </c>
      <c r="G779" s="5" t="str">
        <f aca="false">INDEX(Risk_Matrix!$B$2:$D$4,MATCH(E779,Risk_Matrix!$A$2:$A$4,0),MATCH(F779,Risk_Matrix!$B$1:$D$1,0))</f>
        <v>Medium</v>
      </c>
      <c r="H779" s="12" t="n">
        <v>46227</v>
      </c>
      <c r="I779" s="5" t="s">
        <v>2256</v>
      </c>
      <c r="J779" s="5" t="s">
        <v>2257</v>
      </c>
      <c r="K779" s="5" t="s">
        <v>2243</v>
      </c>
      <c r="L779" s="5" t="n">
        <f aca="false">IF(G779="High",3,IF(G779="Medium",2,1))</f>
        <v>2</v>
      </c>
    </row>
    <row r="780" customFormat="false" ht="15" hidden="false" customHeight="true" outlineLevel="0" collapsed="false">
      <c r="A780" s="5" t="s">
        <v>3056</v>
      </c>
      <c r="B780" s="5" t="s">
        <v>1243</v>
      </c>
      <c r="C780" s="5" t="s">
        <v>2259</v>
      </c>
      <c r="D780" s="5" t="s">
        <v>2285</v>
      </c>
      <c r="E780" s="5" t="s">
        <v>59</v>
      </c>
      <c r="F780" s="5" t="s">
        <v>59</v>
      </c>
      <c r="G780" s="5" t="str">
        <f aca="false">INDEX(Risk_Matrix!$B$2:$D$4,MATCH(E780,Risk_Matrix!$A$2:$A$4,0),MATCH(F780,Risk_Matrix!$B$1:$D$1,0))</f>
        <v>Low</v>
      </c>
      <c r="H780" s="12" t="n">
        <v>46232</v>
      </c>
      <c r="I780" s="5" t="s">
        <v>2256</v>
      </c>
      <c r="J780" s="5" t="s">
        <v>2257</v>
      </c>
      <c r="K780" s="5" t="s">
        <v>2283</v>
      </c>
      <c r="L780" s="5" t="n">
        <f aca="false">IF(G780="High",3,IF(G780="Medium",2,1))</f>
        <v>1</v>
      </c>
    </row>
    <row r="781" customFormat="false" ht="15" hidden="false" customHeight="true" outlineLevel="0" collapsed="false">
      <c r="A781" s="5" t="s">
        <v>3057</v>
      </c>
      <c r="B781" s="5" t="s">
        <v>1243</v>
      </c>
      <c r="C781" s="5" t="s">
        <v>2262</v>
      </c>
      <c r="D781" s="5" t="s">
        <v>2263</v>
      </c>
      <c r="E781" s="5" t="s">
        <v>2225</v>
      </c>
      <c r="F781" s="5" t="s">
        <v>2225</v>
      </c>
      <c r="G781" s="5" t="str">
        <f aca="false">INDEX(Risk_Matrix!$B$2:$D$4,MATCH(E781,Risk_Matrix!$A$2:$A$4,0),MATCH(F781,Risk_Matrix!$B$1:$D$1,0))</f>
        <v>Medium</v>
      </c>
      <c r="H781" s="12" t="n">
        <v>46207</v>
      </c>
      <c r="I781" s="5" t="s">
        <v>2250</v>
      </c>
      <c r="J781" s="5" t="s">
        <v>2251</v>
      </c>
      <c r="K781" s="5" t="s">
        <v>2283</v>
      </c>
      <c r="L781" s="5" t="n">
        <f aca="false">IF(G781="High",3,IF(G781="Medium",2,1))</f>
        <v>2</v>
      </c>
    </row>
    <row r="782" customFormat="false" ht="15" hidden="false" customHeight="true" outlineLevel="0" collapsed="false">
      <c r="A782" s="5" t="s">
        <v>3058</v>
      </c>
      <c r="B782" s="5" t="s">
        <v>1244</v>
      </c>
      <c r="C782" s="5" t="s">
        <v>2239</v>
      </c>
      <c r="D782" s="5" t="s">
        <v>2240</v>
      </c>
      <c r="E782" s="5" t="s">
        <v>59</v>
      </c>
      <c r="F782" s="5" t="s">
        <v>2225</v>
      </c>
      <c r="G782" s="5" t="str">
        <f aca="false">INDEX(Risk_Matrix!$B$2:$D$4,MATCH(E782,Risk_Matrix!$A$2:$A$4,0),MATCH(F782,Risk_Matrix!$B$1:$D$1,0))</f>
        <v>Low</v>
      </c>
      <c r="H782" s="12" t="n">
        <v>46225</v>
      </c>
      <c r="I782" s="5" t="s">
        <v>2250</v>
      </c>
      <c r="J782" s="5" t="s">
        <v>2251</v>
      </c>
      <c r="K782" s="5" t="s">
        <v>2283</v>
      </c>
      <c r="L782" s="5" t="n">
        <f aca="false">IF(G782="High",3,IF(G782="Medium",2,1))</f>
        <v>1</v>
      </c>
    </row>
    <row r="783" customFormat="false" ht="15" hidden="false" customHeight="true" outlineLevel="0" collapsed="false">
      <c r="A783" s="5" t="s">
        <v>3059</v>
      </c>
      <c r="B783" s="5" t="s">
        <v>1244</v>
      </c>
      <c r="C783" s="5" t="s">
        <v>2245</v>
      </c>
      <c r="D783" s="5" t="s">
        <v>2320</v>
      </c>
      <c r="E783" s="5" t="s">
        <v>2225</v>
      </c>
      <c r="F783" s="5" t="s">
        <v>2225</v>
      </c>
      <c r="G783" s="5" t="str">
        <f aca="false">INDEX(Risk_Matrix!$B$2:$D$4,MATCH(E783,Risk_Matrix!$A$2:$A$4,0),MATCH(F783,Risk_Matrix!$B$1:$D$1,0))</f>
        <v>Medium</v>
      </c>
      <c r="H783" s="12" t="n">
        <v>46070</v>
      </c>
      <c r="I783" s="5" t="s">
        <v>2256</v>
      </c>
      <c r="J783" s="5" t="s">
        <v>2257</v>
      </c>
      <c r="K783" s="5" t="s">
        <v>2283</v>
      </c>
      <c r="L783" s="5" t="n">
        <f aca="false">IF(G783="High",3,IF(G783="Medium",2,1))</f>
        <v>2</v>
      </c>
    </row>
    <row r="784" customFormat="false" ht="15" hidden="false" customHeight="true" outlineLevel="0" collapsed="false">
      <c r="A784" s="5" t="s">
        <v>3060</v>
      </c>
      <c r="B784" s="5" t="s">
        <v>1244</v>
      </c>
      <c r="C784" s="5" t="s">
        <v>2248</v>
      </c>
      <c r="D784" s="5" t="s">
        <v>2322</v>
      </c>
      <c r="E784" s="5" t="s">
        <v>54</v>
      </c>
      <c r="F784" s="5" t="s">
        <v>59</v>
      </c>
      <c r="G784" s="5" t="str">
        <f aca="false">INDEX(Risk_Matrix!$B$2:$D$4,MATCH(E784,Risk_Matrix!$A$2:$A$4,0),MATCH(F784,Risk_Matrix!$B$1:$D$1,0))</f>
        <v>Medium</v>
      </c>
      <c r="H784" s="12" t="n">
        <v>46090</v>
      </c>
      <c r="I784" s="5" t="s">
        <v>2256</v>
      </c>
      <c r="J784" s="5" t="s">
        <v>2257</v>
      </c>
      <c r="K784" s="5" t="s">
        <v>2243</v>
      </c>
      <c r="L784" s="5" t="n">
        <f aca="false">IF(G784="High",3,IF(G784="Medium",2,1))</f>
        <v>2</v>
      </c>
    </row>
    <row r="785" customFormat="false" ht="15" hidden="false" customHeight="true" outlineLevel="0" collapsed="false">
      <c r="A785" s="5" t="s">
        <v>3061</v>
      </c>
      <c r="B785" s="5" t="s">
        <v>1244</v>
      </c>
      <c r="C785" s="5" t="s">
        <v>2254</v>
      </c>
      <c r="D785" s="5" t="s">
        <v>2255</v>
      </c>
      <c r="E785" s="5" t="s">
        <v>2225</v>
      </c>
      <c r="F785" s="5" t="s">
        <v>2225</v>
      </c>
      <c r="G785" s="5" t="str">
        <f aca="false">INDEX(Risk_Matrix!$B$2:$D$4,MATCH(E785,Risk_Matrix!$A$2:$A$4,0),MATCH(F785,Risk_Matrix!$B$1:$D$1,0))</f>
        <v>Medium</v>
      </c>
      <c r="H785" s="12" t="n">
        <v>46227</v>
      </c>
      <c r="I785" s="5" t="s">
        <v>2250</v>
      </c>
      <c r="J785" s="5" t="s">
        <v>2251</v>
      </c>
      <c r="K785" s="5" t="s">
        <v>2243</v>
      </c>
      <c r="L785" s="5" t="n">
        <f aca="false">IF(G785="High",3,IF(G785="Medium",2,1))</f>
        <v>2</v>
      </c>
    </row>
    <row r="786" customFormat="false" ht="15" hidden="false" customHeight="true" outlineLevel="0" collapsed="false">
      <c r="A786" s="5" t="s">
        <v>3062</v>
      </c>
      <c r="B786" s="5" t="s">
        <v>1244</v>
      </c>
      <c r="C786" s="5" t="s">
        <v>2259</v>
      </c>
      <c r="D786" s="5" t="s">
        <v>2260</v>
      </c>
      <c r="E786" s="5" t="s">
        <v>59</v>
      </c>
      <c r="F786" s="5" t="s">
        <v>59</v>
      </c>
      <c r="G786" s="5" t="str">
        <f aca="false">INDEX(Risk_Matrix!$B$2:$D$4,MATCH(E786,Risk_Matrix!$A$2:$A$4,0),MATCH(F786,Risk_Matrix!$B$1:$D$1,0))</f>
        <v>Low</v>
      </c>
      <c r="H786" s="12" t="n">
        <v>46103</v>
      </c>
      <c r="I786" s="5" t="s">
        <v>2256</v>
      </c>
      <c r="J786" s="5" t="s">
        <v>2257</v>
      </c>
      <c r="K786" s="5" t="s">
        <v>2252</v>
      </c>
      <c r="L786" s="5" t="n">
        <f aca="false">IF(G786="High",3,IF(G786="Medium",2,1))</f>
        <v>1</v>
      </c>
    </row>
    <row r="787" customFormat="false" ht="15" hidden="false" customHeight="true" outlineLevel="0" collapsed="false">
      <c r="A787" s="5" t="s">
        <v>3063</v>
      </c>
      <c r="B787" s="5" t="s">
        <v>1244</v>
      </c>
      <c r="C787" s="5" t="s">
        <v>2262</v>
      </c>
      <c r="D787" s="5" t="s">
        <v>2311</v>
      </c>
      <c r="E787" s="5" t="s">
        <v>59</v>
      </c>
      <c r="F787" s="5" t="s">
        <v>59</v>
      </c>
      <c r="G787" s="5" t="str">
        <f aca="false">INDEX(Risk_Matrix!$B$2:$D$4,MATCH(E787,Risk_Matrix!$A$2:$A$4,0),MATCH(F787,Risk_Matrix!$B$1:$D$1,0))</f>
        <v>Low</v>
      </c>
      <c r="H787" s="12" t="n">
        <v>46195</v>
      </c>
      <c r="I787" s="5" t="s">
        <v>2256</v>
      </c>
      <c r="J787" s="5" t="s">
        <v>2257</v>
      </c>
      <c r="K787" s="5" t="s">
        <v>2252</v>
      </c>
      <c r="L787" s="5" t="n">
        <f aca="false">IF(G787="High",3,IF(G787="Medium",2,1))</f>
        <v>1</v>
      </c>
    </row>
    <row r="788" customFormat="false" ht="15" hidden="false" customHeight="true" outlineLevel="0" collapsed="false">
      <c r="A788" s="5" t="s">
        <v>3064</v>
      </c>
      <c r="B788" s="5" t="s">
        <v>1246</v>
      </c>
      <c r="C788" s="5" t="s">
        <v>2239</v>
      </c>
      <c r="D788" s="5" t="s">
        <v>2303</v>
      </c>
      <c r="E788" s="5" t="s">
        <v>59</v>
      </c>
      <c r="F788" s="5" t="s">
        <v>2225</v>
      </c>
      <c r="G788" s="5" t="str">
        <f aca="false">INDEX(Risk_Matrix!$B$2:$D$4,MATCH(E788,Risk_Matrix!$A$2:$A$4,0),MATCH(F788,Risk_Matrix!$B$1:$D$1,0))</f>
        <v>Low</v>
      </c>
      <c r="H788" s="12" t="n">
        <v>46134</v>
      </c>
      <c r="I788" s="5" t="s">
        <v>2256</v>
      </c>
      <c r="J788" s="5" t="s">
        <v>2257</v>
      </c>
      <c r="K788" s="5" t="s">
        <v>2266</v>
      </c>
      <c r="L788" s="5" t="n">
        <f aca="false">IF(G788="High",3,IF(G788="Medium",2,1))</f>
        <v>1</v>
      </c>
    </row>
    <row r="789" customFormat="false" ht="15" hidden="false" customHeight="true" outlineLevel="0" collapsed="false">
      <c r="A789" s="5" t="s">
        <v>3065</v>
      </c>
      <c r="B789" s="5" t="s">
        <v>1246</v>
      </c>
      <c r="C789" s="5" t="s">
        <v>2245</v>
      </c>
      <c r="D789" s="5" t="s">
        <v>2246</v>
      </c>
      <c r="E789" s="5" t="s">
        <v>2225</v>
      </c>
      <c r="F789" s="5" t="s">
        <v>59</v>
      </c>
      <c r="G789" s="5" t="str">
        <f aca="false">INDEX(Risk_Matrix!$B$2:$D$4,MATCH(E789,Risk_Matrix!$A$2:$A$4,0),MATCH(F789,Risk_Matrix!$B$1:$D$1,0))</f>
        <v>Low</v>
      </c>
      <c r="H789" s="12" t="n">
        <v>46224</v>
      </c>
      <c r="I789" s="5" t="s">
        <v>2256</v>
      </c>
      <c r="J789" s="5" t="s">
        <v>2257</v>
      </c>
      <c r="K789" s="5" t="s">
        <v>2252</v>
      </c>
      <c r="L789" s="5" t="n">
        <f aca="false">IF(G789="High",3,IF(G789="Medium",2,1))</f>
        <v>1</v>
      </c>
    </row>
    <row r="790" customFormat="false" ht="15" hidden="false" customHeight="true" outlineLevel="0" collapsed="false">
      <c r="A790" s="5" t="s">
        <v>3066</v>
      </c>
      <c r="B790" s="5" t="s">
        <v>1246</v>
      </c>
      <c r="C790" s="5" t="s">
        <v>2248</v>
      </c>
      <c r="D790" s="5" t="s">
        <v>2271</v>
      </c>
      <c r="E790" s="5" t="s">
        <v>59</v>
      </c>
      <c r="F790" s="5" t="s">
        <v>59</v>
      </c>
      <c r="G790" s="5" t="str">
        <f aca="false">INDEX(Risk_Matrix!$B$2:$D$4,MATCH(E790,Risk_Matrix!$A$2:$A$4,0),MATCH(F790,Risk_Matrix!$B$1:$D$1,0))</f>
        <v>Low</v>
      </c>
      <c r="H790" s="12" t="n">
        <v>46172</v>
      </c>
      <c r="I790" s="5" t="s">
        <v>2264</v>
      </c>
      <c r="J790" s="5" t="s">
        <v>2265</v>
      </c>
      <c r="K790" s="5" t="s">
        <v>2243</v>
      </c>
      <c r="L790" s="5" t="n">
        <f aca="false">IF(G790="High",3,IF(G790="Medium",2,1))</f>
        <v>1</v>
      </c>
    </row>
    <row r="791" customFormat="false" ht="15" hidden="false" customHeight="true" outlineLevel="0" collapsed="false">
      <c r="A791" s="5" t="s">
        <v>3067</v>
      </c>
      <c r="B791" s="5" t="s">
        <v>1246</v>
      </c>
      <c r="C791" s="5" t="s">
        <v>2254</v>
      </c>
      <c r="D791" s="5" t="s">
        <v>2255</v>
      </c>
      <c r="E791" s="5" t="s">
        <v>59</v>
      </c>
      <c r="F791" s="5" t="s">
        <v>59</v>
      </c>
      <c r="G791" s="5" t="str">
        <f aca="false">INDEX(Risk_Matrix!$B$2:$D$4,MATCH(E791,Risk_Matrix!$A$2:$A$4,0),MATCH(F791,Risk_Matrix!$B$1:$D$1,0))</f>
        <v>Low</v>
      </c>
      <c r="H791" s="12" t="n">
        <v>46178</v>
      </c>
      <c r="I791" s="5" t="s">
        <v>2250</v>
      </c>
      <c r="J791" s="5" t="s">
        <v>2251</v>
      </c>
      <c r="K791" s="5" t="s">
        <v>2243</v>
      </c>
      <c r="L791" s="5" t="n">
        <f aca="false">IF(G791="High",3,IF(G791="Medium",2,1))</f>
        <v>1</v>
      </c>
    </row>
    <row r="792" customFormat="false" ht="15" hidden="false" customHeight="true" outlineLevel="0" collapsed="false">
      <c r="A792" s="5" t="s">
        <v>3068</v>
      </c>
      <c r="B792" s="5" t="s">
        <v>1246</v>
      </c>
      <c r="C792" s="5" t="s">
        <v>2259</v>
      </c>
      <c r="D792" s="5" t="s">
        <v>2285</v>
      </c>
      <c r="E792" s="5" t="s">
        <v>2225</v>
      </c>
      <c r="F792" s="5" t="s">
        <v>59</v>
      </c>
      <c r="G792" s="5" t="str">
        <f aca="false">INDEX(Risk_Matrix!$B$2:$D$4,MATCH(E792,Risk_Matrix!$A$2:$A$4,0),MATCH(F792,Risk_Matrix!$B$1:$D$1,0))</f>
        <v>Low</v>
      </c>
      <c r="H792" s="12" t="n">
        <v>46223</v>
      </c>
      <c r="I792" s="5" t="s">
        <v>2256</v>
      </c>
      <c r="J792" s="5" t="s">
        <v>2257</v>
      </c>
      <c r="K792" s="5" t="s">
        <v>2252</v>
      </c>
      <c r="L792" s="5" t="n">
        <f aca="false">IF(G792="High",3,IF(G792="Medium",2,1))</f>
        <v>1</v>
      </c>
    </row>
    <row r="793" customFormat="false" ht="15" hidden="false" customHeight="true" outlineLevel="0" collapsed="false">
      <c r="A793" s="5" t="s">
        <v>3069</v>
      </c>
      <c r="B793" s="5" t="s">
        <v>1246</v>
      </c>
      <c r="C793" s="5" t="s">
        <v>2262</v>
      </c>
      <c r="D793" s="5" t="s">
        <v>2311</v>
      </c>
      <c r="E793" s="5" t="s">
        <v>2225</v>
      </c>
      <c r="F793" s="5" t="s">
        <v>59</v>
      </c>
      <c r="G793" s="5" t="str">
        <f aca="false">INDEX(Risk_Matrix!$B$2:$D$4,MATCH(E793,Risk_Matrix!$A$2:$A$4,0),MATCH(F793,Risk_Matrix!$B$1:$D$1,0))</f>
        <v>Low</v>
      </c>
      <c r="H793" s="12" t="n">
        <v>46076</v>
      </c>
      <c r="I793" s="5" t="s">
        <v>2256</v>
      </c>
      <c r="J793" s="5" t="s">
        <v>2257</v>
      </c>
      <c r="K793" s="5" t="s">
        <v>2266</v>
      </c>
      <c r="L793" s="5" t="n">
        <f aca="false">IF(G793="High",3,IF(G793="Medium",2,1))</f>
        <v>1</v>
      </c>
    </row>
    <row r="794" customFormat="false" ht="15" hidden="false" customHeight="true" outlineLevel="0" collapsed="false">
      <c r="A794" s="5" t="s">
        <v>3070</v>
      </c>
      <c r="B794" s="5" t="s">
        <v>1247</v>
      </c>
      <c r="C794" s="5" t="s">
        <v>2239</v>
      </c>
      <c r="D794" s="5" t="s">
        <v>2240</v>
      </c>
      <c r="E794" s="5" t="s">
        <v>59</v>
      </c>
      <c r="F794" s="5" t="s">
        <v>54</v>
      </c>
      <c r="G794" s="5" t="str">
        <f aca="false">INDEX(Risk_Matrix!$B$2:$D$4,MATCH(E794,Risk_Matrix!$A$2:$A$4,0),MATCH(F794,Risk_Matrix!$B$1:$D$1,0))</f>
        <v>Medium</v>
      </c>
      <c r="H794" s="12" t="n">
        <v>46175</v>
      </c>
      <c r="I794" s="5" t="s">
        <v>2250</v>
      </c>
      <c r="J794" s="5" t="s">
        <v>2251</v>
      </c>
      <c r="K794" s="5" t="s">
        <v>2283</v>
      </c>
      <c r="L794" s="5" t="n">
        <f aca="false">IF(G794="High",3,IF(G794="Medium",2,1))</f>
        <v>2</v>
      </c>
    </row>
    <row r="795" customFormat="false" ht="15" hidden="false" customHeight="true" outlineLevel="0" collapsed="false">
      <c r="A795" s="5" t="s">
        <v>3071</v>
      </c>
      <c r="B795" s="5" t="s">
        <v>1247</v>
      </c>
      <c r="C795" s="5" t="s">
        <v>2245</v>
      </c>
      <c r="D795" s="5" t="s">
        <v>2320</v>
      </c>
      <c r="E795" s="5" t="s">
        <v>59</v>
      </c>
      <c r="F795" s="5" t="s">
        <v>59</v>
      </c>
      <c r="G795" s="5" t="str">
        <f aca="false">INDEX(Risk_Matrix!$B$2:$D$4,MATCH(E795,Risk_Matrix!$A$2:$A$4,0),MATCH(F795,Risk_Matrix!$B$1:$D$1,0))</f>
        <v>Low</v>
      </c>
      <c r="H795" s="12" t="n">
        <v>46076</v>
      </c>
      <c r="I795" s="5" t="s">
        <v>2256</v>
      </c>
      <c r="J795" s="5" t="s">
        <v>2257</v>
      </c>
      <c r="K795" s="5" t="s">
        <v>2283</v>
      </c>
      <c r="L795" s="5" t="n">
        <f aca="false">IF(G795="High",3,IF(G795="Medium",2,1))</f>
        <v>1</v>
      </c>
    </row>
    <row r="796" customFormat="false" ht="15" hidden="false" customHeight="true" outlineLevel="0" collapsed="false">
      <c r="A796" s="5" t="s">
        <v>3072</v>
      </c>
      <c r="B796" s="5" t="s">
        <v>1247</v>
      </c>
      <c r="C796" s="5" t="s">
        <v>2248</v>
      </c>
      <c r="D796" s="5" t="s">
        <v>2322</v>
      </c>
      <c r="E796" s="5" t="s">
        <v>2225</v>
      </c>
      <c r="F796" s="5" t="s">
        <v>59</v>
      </c>
      <c r="G796" s="5" t="str">
        <f aca="false">INDEX(Risk_Matrix!$B$2:$D$4,MATCH(E796,Risk_Matrix!$A$2:$A$4,0),MATCH(F796,Risk_Matrix!$B$1:$D$1,0))</f>
        <v>Low</v>
      </c>
      <c r="H796" s="12" t="n">
        <v>46195</v>
      </c>
      <c r="I796" s="5" t="s">
        <v>2250</v>
      </c>
      <c r="J796" s="5" t="s">
        <v>2251</v>
      </c>
      <c r="K796" s="5" t="s">
        <v>2266</v>
      </c>
      <c r="L796" s="5" t="n">
        <f aca="false">IF(G796="High",3,IF(G796="Medium",2,1))</f>
        <v>1</v>
      </c>
    </row>
    <row r="797" customFormat="false" ht="15" hidden="false" customHeight="true" outlineLevel="0" collapsed="false">
      <c r="A797" s="5" t="s">
        <v>3073</v>
      </c>
      <c r="B797" s="5" t="s">
        <v>1247</v>
      </c>
      <c r="C797" s="5" t="s">
        <v>2254</v>
      </c>
      <c r="D797" s="5" t="s">
        <v>2299</v>
      </c>
      <c r="E797" s="5" t="s">
        <v>54</v>
      </c>
      <c r="F797" s="5" t="s">
        <v>54</v>
      </c>
      <c r="G797" s="5" t="str">
        <f aca="false">INDEX(Risk_Matrix!$B$2:$D$4,MATCH(E797,Risk_Matrix!$A$2:$A$4,0),MATCH(F797,Risk_Matrix!$B$1:$D$1,0))</f>
        <v>High</v>
      </c>
      <c r="H797" s="12" t="n">
        <v>46228</v>
      </c>
      <c r="I797" s="5" t="s">
        <v>2250</v>
      </c>
      <c r="J797" s="5" t="s">
        <v>2251</v>
      </c>
      <c r="K797" s="5" t="s">
        <v>2276</v>
      </c>
      <c r="L797" s="5" t="n">
        <f aca="false">IF(G797="High",3,IF(G797="Medium",2,1))</f>
        <v>3</v>
      </c>
    </row>
    <row r="798" customFormat="false" ht="15" hidden="false" customHeight="true" outlineLevel="0" collapsed="false">
      <c r="A798" s="5" t="s">
        <v>3074</v>
      </c>
      <c r="B798" s="5" t="s">
        <v>1247</v>
      </c>
      <c r="C798" s="5" t="s">
        <v>2259</v>
      </c>
      <c r="D798" s="5" t="s">
        <v>2274</v>
      </c>
      <c r="E798" s="5" t="s">
        <v>54</v>
      </c>
      <c r="F798" s="5" t="s">
        <v>2225</v>
      </c>
      <c r="G798" s="5" t="str">
        <f aca="false">INDEX(Risk_Matrix!$B$2:$D$4,MATCH(E798,Risk_Matrix!$A$2:$A$4,0),MATCH(F798,Risk_Matrix!$B$1:$D$1,0))</f>
        <v>High</v>
      </c>
      <c r="H798" s="12" t="n">
        <v>46196</v>
      </c>
      <c r="I798" s="5" t="s">
        <v>2250</v>
      </c>
      <c r="J798" s="5" t="s">
        <v>2251</v>
      </c>
      <c r="K798" s="5" t="s">
        <v>2276</v>
      </c>
      <c r="L798" s="5" t="n">
        <f aca="false">IF(G798="High",3,IF(G798="Medium",2,1))</f>
        <v>3</v>
      </c>
    </row>
    <row r="799" customFormat="false" ht="15" hidden="false" customHeight="true" outlineLevel="0" collapsed="false">
      <c r="A799" s="5" t="s">
        <v>3075</v>
      </c>
      <c r="B799" s="5" t="s">
        <v>1247</v>
      </c>
      <c r="C799" s="5" t="s">
        <v>2262</v>
      </c>
      <c r="D799" s="5" t="s">
        <v>2287</v>
      </c>
      <c r="E799" s="5" t="s">
        <v>54</v>
      </c>
      <c r="F799" s="5" t="s">
        <v>59</v>
      </c>
      <c r="G799" s="5" t="str">
        <f aca="false">INDEX(Risk_Matrix!$B$2:$D$4,MATCH(E799,Risk_Matrix!$A$2:$A$4,0),MATCH(F799,Risk_Matrix!$B$1:$D$1,0))</f>
        <v>Medium</v>
      </c>
      <c r="H799" s="12" t="n">
        <v>46064</v>
      </c>
      <c r="I799" s="5" t="s">
        <v>2250</v>
      </c>
      <c r="J799" s="5" t="s">
        <v>2251</v>
      </c>
      <c r="K799" s="5" t="s">
        <v>2243</v>
      </c>
      <c r="L799" s="5" t="n">
        <f aca="false">IF(G799="High",3,IF(G799="Medium",2,1))</f>
        <v>2</v>
      </c>
    </row>
    <row r="800" customFormat="false" ht="15" hidden="false" customHeight="true" outlineLevel="0" collapsed="false">
      <c r="A800" s="5" t="s">
        <v>3076</v>
      </c>
      <c r="B800" s="5" t="s">
        <v>1249</v>
      </c>
      <c r="C800" s="5" t="s">
        <v>2239</v>
      </c>
      <c r="D800" s="5" t="s">
        <v>2278</v>
      </c>
      <c r="E800" s="5" t="s">
        <v>2225</v>
      </c>
      <c r="F800" s="5" t="s">
        <v>59</v>
      </c>
      <c r="G800" s="5" t="str">
        <f aca="false">INDEX(Risk_Matrix!$B$2:$D$4,MATCH(E800,Risk_Matrix!$A$2:$A$4,0),MATCH(F800,Risk_Matrix!$B$1:$D$1,0))</f>
        <v>Low</v>
      </c>
      <c r="H800" s="12" t="n">
        <v>46166</v>
      </c>
      <c r="I800" s="5" t="s">
        <v>2264</v>
      </c>
      <c r="J800" s="5" t="s">
        <v>2265</v>
      </c>
      <c r="K800" s="5" t="s">
        <v>2276</v>
      </c>
      <c r="L800" s="5" t="n">
        <f aca="false">IF(G800="High",3,IF(G800="Medium",2,1))</f>
        <v>1</v>
      </c>
    </row>
    <row r="801" customFormat="false" ht="15" hidden="false" customHeight="true" outlineLevel="0" collapsed="false">
      <c r="A801" s="5" t="s">
        <v>3077</v>
      </c>
      <c r="B801" s="5" t="s">
        <v>1249</v>
      </c>
      <c r="C801" s="5" t="s">
        <v>2245</v>
      </c>
      <c r="D801" s="5" t="s">
        <v>2320</v>
      </c>
      <c r="E801" s="5" t="s">
        <v>2225</v>
      </c>
      <c r="F801" s="5" t="s">
        <v>2225</v>
      </c>
      <c r="G801" s="5" t="str">
        <f aca="false">INDEX(Risk_Matrix!$B$2:$D$4,MATCH(E801,Risk_Matrix!$A$2:$A$4,0),MATCH(F801,Risk_Matrix!$B$1:$D$1,0))</f>
        <v>Medium</v>
      </c>
      <c r="H801" s="12" t="n">
        <v>46137</v>
      </c>
      <c r="I801" s="5" t="s">
        <v>2256</v>
      </c>
      <c r="J801" s="5" t="s">
        <v>2257</v>
      </c>
      <c r="K801" s="5" t="s">
        <v>2276</v>
      </c>
      <c r="L801" s="5" t="n">
        <f aca="false">IF(G801="High",3,IF(G801="Medium",2,1))</f>
        <v>2</v>
      </c>
    </row>
    <row r="802" customFormat="false" ht="15" hidden="false" customHeight="true" outlineLevel="0" collapsed="false">
      <c r="A802" s="5" t="s">
        <v>3078</v>
      </c>
      <c r="B802" s="5" t="s">
        <v>1249</v>
      </c>
      <c r="C802" s="5" t="s">
        <v>2248</v>
      </c>
      <c r="D802" s="5" t="s">
        <v>2322</v>
      </c>
      <c r="E802" s="5" t="s">
        <v>2225</v>
      </c>
      <c r="F802" s="5" t="s">
        <v>54</v>
      </c>
      <c r="G802" s="5" t="str">
        <f aca="false">INDEX(Risk_Matrix!$B$2:$D$4,MATCH(E802,Risk_Matrix!$A$2:$A$4,0),MATCH(F802,Risk_Matrix!$B$1:$D$1,0))</f>
        <v>High</v>
      </c>
      <c r="H802" s="12" t="n">
        <v>46185</v>
      </c>
      <c r="I802" s="5" t="s">
        <v>2264</v>
      </c>
      <c r="J802" s="5" t="s">
        <v>2265</v>
      </c>
      <c r="K802" s="5" t="s">
        <v>2283</v>
      </c>
      <c r="L802" s="5" t="n">
        <f aca="false">IF(G802="High",3,IF(G802="Medium",2,1))</f>
        <v>3</v>
      </c>
    </row>
    <row r="803" customFormat="false" ht="15" hidden="false" customHeight="true" outlineLevel="0" collapsed="false">
      <c r="A803" s="5" t="s">
        <v>3079</v>
      </c>
      <c r="B803" s="5" t="s">
        <v>1249</v>
      </c>
      <c r="C803" s="5" t="s">
        <v>2254</v>
      </c>
      <c r="D803" s="5" t="s">
        <v>2299</v>
      </c>
      <c r="E803" s="5" t="s">
        <v>54</v>
      </c>
      <c r="F803" s="5" t="s">
        <v>59</v>
      </c>
      <c r="G803" s="5" t="str">
        <f aca="false">INDEX(Risk_Matrix!$B$2:$D$4,MATCH(E803,Risk_Matrix!$A$2:$A$4,0),MATCH(F803,Risk_Matrix!$B$1:$D$1,0))</f>
        <v>Medium</v>
      </c>
      <c r="H803" s="12" t="n">
        <v>46151</v>
      </c>
      <c r="I803" s="5" t="s">
        <v>2250</v>
      </c>
      <c r="J803" s="5" t="s">
        <v>2251</v>
      </c>
      <c r="K803" s="5" t="s">
        <v>2252</v>
      </c>
      <c r="L803" s="5" t="n">
        <f aca="false">IF(G803="High",3,IF(G803="Medium",2,1))</f>
        <v>2</v>
      </c>
    </row>
    <row r="804" customFormat="false" ht="15" hidden="false" customHeight="true" outlineLevel="0" collapsed="false">
      <c r="A804" s="5" t="s">
        <v>3080</v>
      </c>
      <c r="B804" s="5" t="s">
        <v>1249</v>
      </c>
      <c r="C804" s="5" t="s">
        <v>2259</v>
      </c>
      <c r="D804" s="5" t="s">
        <v>2285</v>
      </c>
      <c r="E804" s="5" t="s">
        <v>59</v>
      </c>
      <c r="F804" s="5" t="s">
        <v>59</v>
      </c>
      <c r="G804" s="5" t="str">
        <f aca="false">INDEX(Risk_Matrix!$B$2:$D$4,MATCH(E804,Risk_Matrix!$A$2:$A$4,0),MATCH(F804,Risk_Matrix!$B$1:$D$1,0))</f>
        <v>Low</v>
      </c>
      <c r="H804" s="12" t="n">
        <v>46151</v>
      </c>
      <c r="I804" s="5" t="s">
        <v>2241</v>
      </c>
      <c r="J804" s="5" t="s">
        <v>2242</v>
      </c>
      <c r="K804" s="5" t="s">
        <v>2266</v>
      </c>
      <c r="L804" s="5" t="n">
        <f aca="false">IF(G804="High",3,IF(G804="Medium",2,1))</f>
        <v>1</v>
      </c>
    </row>
    <row r="805" customFormat="false" ht="15" hidden="false" customHeight="true" outlineLevel="0" collapsed="false">
      <c r="A805" s="5" t="s">
        <v>3081</v>
      </c>
      <c r="B805" s="5" t="s">
        <v>1249</v>
      </c>
      <c r="C805" s="5" t="s">
        <v>2262</v>
      </c>
      <c r="D805" s="5" t="s">
        <v>2311</v>
      </c>
      <c r="E805" s="5" t="s">
        <v>54</v>
      </c>
      <c r="F805" s="5" t="s">
        <v>59</v>
      </c>
      <c r="G805" s="5" t="str">
        <f aca="false">INDEX(Risk_Matrix!$B$2:$D$4,MATCH(E805,Risk_Matrix!$A$2:$A$4,0),MATCH(F805,Risk_Matrix!$B$1:$D$1,0))</f>
        <v>Medium</v>
      </c>
      <c r="H805" s="12" t="n">
        <v>46204</v>
      </c>
      <c r="I805" s="5" t="s">
        <v>2264</v>
      </c>
      <c r="J805" s="5" t="s">
        <v>2265</v>
      </c>
      <c r="K805" s="5" t="s">
        <v>2276</v>
      </c>
      <c r="L805" s="5" t="n">
        <f aca="false">IF(G805="High",3,IF(G805="Medium",2,1))</f>
        <v>2</v>
      </c>
    </row>
    <row r="806" customFormat="false" ht="15" hidden="false" customHeight="true" outlineLevel="0" collapsed="false">
      <c r="A806" s="5" t="s">
        <v>3082</v>
      </c>
      <c r="B806" s="5" t="s">
        <v>1250</v>
      </c>
      <c r="C806" s="5" t="s">
        <v>2239</v>
      </c>
      <c r="D806" s="5" t="s">
        <v>2295</v>
      </c>
      <c r="E806" s="5" t="s">
        <v>59</v>
      </c>
      <c r="F806" s="5" t="s">
        <v>59</v>
      </c>
      <c r="G806" s="5" t="str">
        <f aca="false">INDEX(Risk_Matrix!$B$2:$D$4,MATCH(E806,Risk_Matrix!$A$2:$A$4,0),MATCH(F806,Risk_Matrix!$B$1:$D$1,0))</f>
        <v>Low</v>
      </c>
      <c r="H806" s="12" t="n">
        <v>46096</v>
      </c>
      <c r="I806" s="5" t="s">
        <v>2256</v>
      </c>
      <c r="J806" s="5" t="s">
        <v>2257</v>
      </c>
      <c r="K806" s="5" t="s">
        <v>2243</v>
      </c>
      <c r="L806" s="5" t="n">
        <f aca="false">IF(G806="High",3,IF(G806="Medium",2,1))</f>
        <v>1</v>
      </c>
    </row>
    <row r="807" customFormat="false" ht="15" hidden="false" customHeight="true" outlineLevel="0" collapsed="false">
      <c r="A807" s="5" t="s">
        <v>3083</v>
      </c>
      <c r="B807" s="5" t="s">
        <v>1250</v>
      </c>
      <c r="C807" s="5" t="s">
        <v>2245</v>
      </c>
      <c r="D807" s="5" t="s">
        <v>2280</v>
      </c>
      <c r="E807" s="5" t="s">
        <v>2225</v>
      </c>
      <c r="F807" s="5" t="s">
        <v>2225</v>
      </c>
      <c r="G807" s="5" t="str">
        <f aca="false">INDEX(Risk_Matrix!$B$2:$D$4,MATCH(E807,Risk_Matrix!$A$2:$A$4,0),MATCH(F807,Risk_Matrix!$B$1:$D$1,0))</f>
        <v>Medium</v>
      </c>
      <c r="H807" s="12" t="n">
        <v>46219</v>
      </c>
      <c r="I807" s="5" t="s">
        <v>2250</v>
      </c>
      <c r="J807" s="5" t="s">
        <v>2251</v>
      </c>
      <c r="K807" s="5" t="s">
        <v>2283</v>
      </c>
      <c r="L807" s="5" t="n">
        <f aca="false">IF(G807="High",3,IF(G807="Medium",2,1))</f>
        <v>2</v>
      </c>
    </row>
    <row r="808" customFormat="false" ht="15" hidden="false" customHeight="true" outlineLevel="0" collapsed="false">
      <c r="A808" s="5" t="s">
        <v>3084</v>
      </c>
      <c r="B808" s="5" t="s">
        <v>1250</v>
      </c>
      <c r="C808" s="5" t="s">
        <v>2248</v>
      </c>
      <c r="D808" s="5" t="s">
        <v>2306</v>
      </c>
      <c r="E808" s="5" t="s">
        <v>54</v>
      </c>
      <c r="F808" s="5" t="s">
        <v>2225</v>
      </c>
      <c r="G808" s="5" t="str">
        <f aca="false">INDEX(Risk_Matrix!$B$2:$D$4,MATCH(E808,Risk_Matrix!$A$2:$A$4,0),MATCH(F808,Risk_Matrix!$B$1:$D$1,0))</f>
        <v>High</v>
      </c>
      <c r="H808" s="12" t="n">
        <v>46207</v>
      </c>
      <c r="I808" s="5" t="s">
        <v>2250</v>
      </c>
      <c r="J808" s="5" t="s">
        <v>2251</v>
      </c>
      <c r="K808" s="5" t="s">
        <v>2252</v>
      </c>
      <c r="L808" s="5" t="n">
        <f aca="false">IF(G808="High",3,IF(G808="Medium",2,1))</f>
        <v>3</v>
      </c>
    </row>
    <row r="809" customFormat="false" ht="15" hidden="false" customHeight="true" outlineLevel="0" collapsed="false">
      <c r="A809" s="5" t="s">
        <v>3085</v>
      </c>
      <c r="B809" s="5" t="s">
        <v>1250</v>
      </c>
      <c r="C809" s="5" t="s">
        <v>2254</v>
      </c>
      <c r="D809" s="5" t="s">
        <v>2308</v>
      </c>
      <c r="E809" s="5" t="s">
        <v>2225</v>
      </c>
      <c r="F809" s="5" t="s">
        <v>59</v>
      </c>
      <c r="G809" s="5" t="str">
        <f aca="false">INDEX(Risk_Matrix!$B$2:$D$4,MATCH(E809,Risk_Matrix!$A$2:$A$4,0),MATCH(F809,Risk_Matrix!$B$1:$D$1,0))</f>
        <v>Low</v>
      </c>
      <c r="H809" s="12" t="n">
        <v>46060</v>
      </c>
      <c r="I809" s="5" t="s">
        <v>2256</v>
      </c>
      <c r="J809" s="5" t="s">
        <v>2257</v>
      </c>
      <c r="K809" s="5" t="s">
        <v>2276</v>
      </c>
      <c r="L809" s="5" t="n">
        <f aca="false">IF(G809="High",3,IF(G809="Medium",2,1))</f>
        <v>1</v>
      </c>
    </row>
    <row r="810" customFormat="false" ht="15" hidden="false" customHeight="true" outlineLevel="0" collapsed="false">
      <c r="A810" s="5" t="s">
        <v>3086</v>
      </c>
      <c r="B810" s="5" t="s">
        <v>1250</v>
      </c>
      <c r="C810" s="5" t="s">
        <v>2259</v>
      </c>
      <c r="D810" s="5" t="s">
        <v>2260</v>
      </c>
      <c r="E810" s="5" t="s">
        <v>59</v>
      </c>
      <c r="F810" s="5" t="s">
        <v>54</v>
      </c>
      <c r="G810" s="5" t="str">
        <f aca="false">INDEX(Risk_Matrix!$B$2:$D$4,MATCH(E810,Risk_Matrix!$A$2:$A$4,0),MATCH(F810,Risk_Matrix!$B$1:$D$1,0))</f>
        <v>Medium</v>
      </c>
      <c r="H810" s="12" t="n">
        <v>46182</v>
      </c>
      <c r="I810" s="5" t="s">
        <v>2250</v>
      </c>
      <c r="J810" s="5" t="s">
        <v>2251</v>
      </c>
      <c r="K810" s="5" t="s">
        <v>2276</v>
      </c>
      <c r="L810" s="5" t="n">
        <f aca="false">IF(G810="High",3,IF(G810="Medium",2,1))</f>
        <v>2</v>
      </c>
    </row>
    <row r="811" customFormat="false" ht="15" hidden="false" customHeight="true" outlineLevel="0" collapsed="false">
      <c r="A811" s="5" t="s">
        <v>3087</v>
      </c>
      <c r="B811" s="5" t="s">
        <v>1250</v>
      </c>
      <c r="C811" s="5" t="s">
        <v>2262</v>
      </c>
      <c r="D811" s="5" t="s">
        <v>2311</v>
      </c>
      <c r="E811" s="5" t="s">
        <v>2225</v>
      </c>
      <c r="F811" s="5" t="s">
        <v>2225</v>
      </c>
      <c r="G811" s="5" t="str">
        <f aca="false">INDEX(Risk_Matrix!$B$2:$D$4,MATCH(E811,Risk_Matrix!$A$2:$A$4,0),MATCH(F811,Risk_Matrix!$B$1:$D$1,0))</f>
        <v>Medium</v>
      </c>
      <c r="H811" s="12" t="n">
        <v>46081</v>
      </c>
      <c r="I811" s="5" t="s">
        <v>2256</v>
      </c>
      <c r="J811" s="5" t="s">
        <v>2257</v>
      </c>
      <c r="K811" s="5" t="s">
        <v>2252</v>
      </c>
      <c r="L811" s="5" t="n">
        <f aca="false">IF(G811="High",3,IF(G811="Medium",2,1))</f>
        <v>2</v>
      </c>
    </row>
    <row r="812" customFormat="false" ht="15" hidden="false" customHeight="true" outlineLevel="0" collapsed="false">
      <c r="A812" s="5" t="s">
        <v>3088</v>
      </c>
      <c r="B812" s="5" t="s">
        <v>1252</v>
      </c>
      <c r="C812" s="5" t="s">
        <v>2239</v>
      </c>
      <c r="D812" s="5" t="s">
        <v>2303</v>
      </c>
      <c r="E812" s="5" t="s">
        <v>59</v>
      </c>
      <c r="F812" s="5" t="s">
        <v>59</v>
      </c>
      <c r="G812" s="5" t="str">
        <f aca="false">INDEX(Risk_Matrix!$B$2:$D$4,MATCH(E812,Risk_Matrix!$A$2:$A$4,0),MATCH(F812,Risk_Matrix!$B$1:$D$1,0))</f>
        <v>Low</v>
      </c>
      <c r="H812" s="12" t="n">
        <v>46167</v>
      </c>
      <c r="I812" s="5" t="s">
        <v>2256</v>
      </c>
      <c r="J812" s="5" t="s">
        <v>2257</v>
      </c>
      <c r="K812" s="5" t="s">
        <v>2243</v>
      </c>
      <c r="L812" s="5" t="n">
        <f aca="false">IF(G812="High",3,IF(G812="Medium",2,1))</f>
        <v>1</v>
      </c>
    </row>
    <row r="813" customFormat="false" ht="15" hidden="false" customHeight="true" outlineLevel="0" collapsed="false">
      <c r="A813" s="5" t="s">
        <v>3089</v>
      </c>
      <c r="B813" s="5" t="s">
        <v>1252</v>
      </c>
      <c r="C813" s="5" t="s">
        <v>2245</v>
      </c>
      <c r="D813" s="5" t="s">
        <v>2320</v>
      </c>
      <c r="E813" s="5" t="s">
        <v>59</v>
      </c>
      <c r="F813" s="5" t="s">
        <v>54</v>
      </c>
      <c r="G813" s="5" t="str">
        <f aca="false">INDEX(Risk_Matrix!$B$2:$D$4,MATCH(E813,Risk_Matrix!$A$2:$A$4,0),MATCH(F813,Risk_Matrix!$B$1:$D$1,0))</f>
        <v>Medium</v>
      </c>
      <c r="H813" s="12" t="n">
        <v>46210</v>
      </c>
      <c r="I813" s="5" t="s">
        <v>2250</v>
      </c>
      <c r="J813" s="5" t="s">
        <v>2251</v>
      </c>
      <c r="K813" s="5" t="s">
        <v>2252</v>
      </c>
      <c r="L813" s="5" t="n">
        <f aca="false">IF(G813="High",3,IF(G813="Medium",2,1))</f>
        <v>2</v>
      </c>
    </row>
    <row r="814" customFormat="false" ht="15" hidden="false" customHeight="true" outlineLevel="0" collapsed="false">
      <c r="A814" s="5" t="s">
        <v>3090</v>
      </c>
      <c r="B814" s="5" t="s">
        <v>1252</v>
      </c>
      <c r="C814" s="5" t="s">
        <v>2248</v>
      </c>
      <c r="D814" s="5" t="s">
        <v>2271</v>
      </c>
      <c r="E814" s="5" t="s">
        <v>59</v>
      </c>
      <c r="F814" s="5" t="s">
        <v>59</v>
      </c>
      <c r="G814" s="5" t="str">
        <f aca="false">INDEX(Risk_Matrix!$B$2:$D$4,MATCH(E814,Risk_Matrix!$A$2:$A$4,0),MATCH(F814,Risk_Matrix!$B$1:$D$1,0))</f>
        <v>Low</v>
      </c>
      <c r="H814" s="12" t="n">
        <v>46066</v>
      </c>
      <c r="I814" s="5" t="s">
        <v>2250</v>
      </c>
      <c r="J814" s="5" t="s">
        <v>2251</v>
      </c>
      <c r="K814" s="5" t="s">
        <v>2283</v>
      </c>
      <c r="L814" s="5" t="n">
        <f aca="false">IF(G814="High",3,IF(G814="Medium",2,1))</f>
        <v>1</v>
      </c>
    </row>
    <row r="815" customFormat="false" ht="15" hidden="false" customHeight="true" outlineLevel="0" collapsed="false">
      <c r="A815" s="5" t="s">
        <v>3091</v>
      </c>
      <c r="B815" s="5" t="s">
        <v>1252</v>
      </c>
      <c r="C815" s="5" t="s">
        <v>2254</v>
      </c>
      <c r="D815" s="5" t="s">
        <v>2299</v>
      </c>
      <c r="E815" s="5" t="s">
        <v>59</v>
      </c>
      <c r="F815" s="5" t="s">
        <v>2225</v>
      </c>
      <c r="G815" s="5" t="str">
        <f aca="false">INDEX(Risk_Matrix!$B$2:$D$4,MATCH(E815,Risk_Matrix!$A$2:$A$4,0),MATCH(F815,Risk_Matrix!$B$1:$D$1,0))</f>
        <v>Low</v>
      </c>
      <c r="H815" s="12" t="n">
        <v>46206</v>
      </c>
      <c r="I815" s="5" t="s">
        <v>2250</v>
      </c>
      <c r="J815" s="5" t="s">
        <v>2251</v>
      </c>
      <c r="K815" s="5" t="s">
        <v>2252</v>
      </c>
      <c r="L815" s="5" t="n">
        <f aca="false">IF(G815="High",3,IF(G815="Medium",2,1))</f>
        <v>1</v>
      </c>
    </row>
    <row r="816" customFormat="false" ht="15" hidden="false" customHeight="true" outlineLevel="0" collapsed="false">
      <c r="A816" s="5" t="s">
        <v>3092</v>
      </c>
      <c r="B816" s="5" t="s">
        <v>1252</v>
      </c>
      <c r="C816" s="5" t="s">
        <v>2259</v>
      </c>
      <c r="D816" s="5" t="s">
        <v>2285</v>
      </c>
      <c r="E816" s="5" t="s">
        <v>54</v>
      </c>
      <c r="F816" s="5" t="s">
        <v>54</v>
      </c>
      <c r="G816" s="5" t="str">
        <f aca="false">INDEX(Risk_Matrix!$B$2:$D$4,MATCH(E816,Risk_Matrix!$A$2:$A$4,0),MATCH(F816,Risk_Matrix!$B$1:$D$1,0))</f>
        <v>High</v>
      </c>
      <c r="H816" s="12" t="n">
        <v>46168</v>
      </c>
      <c r="I816" s="5" t="s">
        <v>2250</v>
      </c>
      <c r="J816" s="5" t="s">
        <v>2251</v>
      </c>
      <c r="K816" s="5" t="s">
        <v>2266</v>
      </c>
      <c r="L816" s="5" t="n">
        <f aca="false">IF(G816="High",3,IF(G816="Medium",2,1))</f>
        <v>3</v>
      </c>
    </row>
    <row r="817" customFormat="false" ht="15" hidden="false" customHeight="true" outlineLevel="0" collapsed="false">
      <c r="A817" s="5" t="s">
        <v>3093</v>
      </c>
      <c r="B817" s="5" t="s">
        <v>1252</v>
      </c>
      <c r="C817" s="5" t="s">
        <v>2262</v>
      </c>
      <c r="D817" s="5" t="s">
        <v>2263</v>
      </c>
      <c r="E817" s="5" t="s">
        <v>59</v>
      </c>
      <c r="F817" s="5" t="s">
        <v>54</v>
      </c>
      <c r="G817" s="5" t="str">
        <f aca="false">INDEX(Risk_Matrix!$B$2:$D$4,MATCH(E817,Risk_Matrix!$A$2:$A$4,0),MATCH(F817,Risk_Matrix!$B$1:$D$1,0))</f>
        <v>Medium</v>
      </c>
      <c r="H817" s="12" t="n">
        <v>46081</v>
      </c>
      <c r="I817" s="5" t="s">
        <v>2250</v>
      </c>
      <c r="J817" s="5" t="s">
        <v>2251</v>
      </c>
      <c r="K817" s="5" t="s">
        <v>2252</v>
      </c>
      <c r="L817" s="5" t="n">
        <f aca="false">IF(G817="High",3,IF(G817="Medium",2,1))</f>
        <v>2</v>
      </c>
    </row>
    <row r="818" customFormat="false" ht="15" hidden="false" customHeight="true" outlineLevel="0" collapsed="false">
      <c r="A818" s="5" t="s">
        <v>3094</v>
      </c>
      <c r="B818" s="5" t="s">
        <v>1254</v>
      </c>
      <c r="C818" s="5" t="s">
        <v>2239</v>
      </c>
      <c r="D818" s="5" t="s">
        <v>2295</v>
      </c>
      <c r="E818" s="5" t="s">
        <v>59</v>
      </c>
      <c r="F818" s="5" t="s">
        <v>59</v>
      </c>
      <c r="G818" s="5" t="str">
        <f aca="false">INDEX(Risk_Matrix!$B$2:$D$4,MATCH(E818,Risk_Matrix!$A$2:$A$4,0),MATCH(F818,Risk_Matrix!$B$1:$D$1,0))</f>
        <v>Low</v>
      </c>
      <c r="H818" s="12" t="n">
        <v>46072</v>
      </c>
      <c r="I818" s="5" t="s">
        <v>2250</v>
      </c>
      <c r="J818" s="5" t="s">
        <v>2251</v>
      </c>
      <c r="K818" s="5" t="s">
        <v>2276</v>
      </c>
      <c r="L818" s="5" t="n">
        <f aca="false">IF(G818="High",3,IF(G818="Medium",2,1))</f>
        <v>1</v>
      </c>
    </row>
    <row r="819" customFormat="false" ht="15" hidden="false" customHeight="true" outlineLevel="0" collapsed="false">
      <c r="A819" s="5" t="s">
        <v>3095</v>
      </c>
      <c r="B819" s="5" t="s">
        <v>1254</v>
      </c>
      <c r="C819" s="5" t="s">
        <v>2245</v>
      </c>
      <c r="D819" s="5" t="s">
        <v>2269</v>
      </c>
      <c r="E819" s="5" t="s">
        <v>59</v>
      </c>
      <c r="F819" s="5" t="s">
        <v>54</v>
      </c>
      <c r="G819" s="5" t="str">
        <f aca="false">INDEX(Risk_Matrix!$B$2:$D$4,MATCH(E819,Risk_Matrix!$A$2:$A$4,0),MATCH(F819,Risk_Matrix!$B$1:$D$1,0))</f>
        <v>Medium</v>
      </c>
      <c r="H819" s="12" t="n">
        <v>46064</v>
      </c>
      <c r="I819" s="5" t="s">
        <v>2256</v>
      </c>
      <c r="J819" s="5" t="s">
        <v>2257</v>
      </c>
      <c r="K819" s="5" t="s">
        <v>2283</v>
      </c>
      <c r="L819" s="5" t="n">
        <f aca="false">IF(G819="High",3,IF(G819="Medium",2,1))</f>
        <v>2</v>
      </c>
    </row>
    <row r="820" customFormat="false" ht="15" hidden="false" customHeight="true" outlineLevel="0" collapsed="false">
      <c r="A820" s="5" t="s">
        <v>3096</v>
      </c>
      <c r="B820" s="5" t="s">
        <v>1254</v>
      </c>
      <c r="C820" s="5" t="s">
        <v>2248</v>
      </c>
      <c r="D820" s="5" t="s">
        <v>2271</v>
      </c>
      <c r="E820" s="5" t="s">
        <v>59</v>
      </c>
      <c r="F820" s="5" t="s">
        <v>2225</v>
      </c>
      <c r="G820" s="5" t="str">
        <f aca="false">INDEX(Risk_Matrix!$B$2:$D$4,MATCH(E820,Risk_Matrix!$A$2:$A$4,0),MATCH(F820,Risk_Matrix!$B$1:$D$1,0))</f>
        <v>Low</v>
      </c>
      <c r="H820" s="12" t="n">
        <v>46181</v>
      </c>
      <c r="I820" s="5" t="s">
        <v>2256</v>
      </c>
      <c r="J820" s="5" t="s">
        <v>2257</v>
      </c>
      <c r="K820" s="5" t="s">
        <v>2276</v>
      </c>
      <c r="L820" s="5" t="n">
        <f aca="false">IF(G820="High",3,IF(G820="Medium",2,1))</f>
        <v>1</v>
      </c>
    </row>
    <row r="821" customFormat="false" ht="15" hidden="false" customHeight="true" outlineLevel="0" collapsed="false">
      <c r="A821" s="5" t="s">
        <v>3097</v>
      </c>
      <c r="B821" s="5" t="s">
        <v>1254</v>
      </c>
      <c r="C821" s="5" t="s">
        <v>2254</v>
      </c>
      <c r="D821" s="5" t="s">
        <v>2308</v>
      </c>
      <c r="E821" s="5" t="s">
        <v>54</v>
      </c>
      <c r="F821" s="5" t="s">
        <v>2225</v>
      </c>
      <c r="G821" s="5" t="str">
        <f aca="false">INDEX(Risk_Matrix!$B$2:$D$4,MATCH(E821,Risk_Matrix!$A$2:$A$4,0),MATCH(F821,Risk_Matrix!$B$1:$D$1,0))</f>
        <v>High</v>
      </c>
      <c r="H821" s="12" t="n">
        <v>46138</v>
      </c>
      <c r="I821" s="5" t="s">
        <v>2256</v>
      </c>
      <c r="J821" s="5" t="s">
        <v>2257</v>
      </c>
      <c r="K821" s="5" t="s">
        <v>2266</v>
      </c>
      <c r="L821" s="5" t="n">
        <f aca="false">IF(G821="High",3,IF(G821="Medium",2,1))</f>
        <v>3</v>
      </c>
    </row>
    <row r="822" customFormat="false" ht="15" hidden="false" customHeight="true" outlineLevel="0" collapsed="false">
      <c r="A822" s="5" t="s">
        <v>3098</v>
      </c>
      <c r="B822" s="5" t="s">
        <v>1254</v>
      </c>
      <c r="C822" s="5" t="s">
        <v>2259</v>
      </c>
      <c r="D822" s="5" t="s">
        <v>2274</v>
      </c>
      <c r="E822" s="5" t="s">
        <v>59</v>
      </c>
      <c r="F822" s="5" t="s">
        <v>2225</v>
      </c>
      <c r="G822" s="5" t="str">
        <f aca="false">INDEX(Risk_Matrix!$B$2:$D$4,MATCH(E822,Risk_Matrix!$A$2:$A$4,0),MATCH(F822,Risk_Matrix!$B$1:$D$1,0))</f>
        <v>Low</v>
      </c>
      <c r="H822" s="12" t="n">
        <v>46181</v>
      </c>
      <c r="I822" s="5" t="s">
        <v>2256</v>
      </c>
      <c r="J822" s="5" t="s">
        <v>2257</v>
      </c>
      <c r="K822" s="5" t="s">
        <v>2243</v>
      </c>
      <c r="L822" s="5" t="n">
        <f aca="false">IF(G822="High",3,IF(G822="Medium",2,1))</f>
        <v>1</v>
      </c>
    </row>
    <row r="823" customFormat="false" ht="15" hidden="false" customHeight="true" outlineLevel="0" collapsed="false">
      <c r="A823" s="5" t="s">
        <v>3099</v>
      </c>
      <c r="B823" s="5" t="s">
        <v>1254</v>
      </c>
      <c r="C823" s="5" t="s">
        <v>2262</v>
      </c>
      <c r="D823" s="5" t="s">
        <v>2287</v>
      </c>
      <c r="E823" s="5" t="s">
        <v>54</v>
      </c>
      <c r="F823" s="5" t="s">
        <v>59</v>
      </c>
      <c r="G823" s="5" t="str">
        <f aca="false">INDEX(Risk_Matrix!$B$2:$D$4,MATCH(E823,Risk_Matrix!$A$2:$A$4,0),MATCH(F823,Risk_Matrix!$B$1:$D$1,0))</f>
        <v>Medium</v>
      </c>
      <c r="H823" s="12" t="n">
        <v>46222</v>
      </c>
      <c r="I823" s="5" t="s">
        <v>2256</v>
      </c>
      <c r="J823" s="5" t="s">
        <v>2257</v>
      </c>
      <c r="K823" s="5" t="s">
        <v>2276</v>
      </c>
      <c r="L823" s="5" t="n">
        <f aca="false">IF(G823="High",3,IF(G823="Medium",2,1))</f>
        <v>2</v>
      </c>
    </row>
    <row r="824" customFormat="false" ht="15" hidden="false" customHeight="true" outlineLevel="0" collapsed="false">
      <c r="A824" s="5" t="s">
        <v>3100</v>
      </c>
      <c r="B824" s="5" t="s">
        <v>1255</v>
      </c>
      <c r="C824" s="5" t="s">
        <v>2239</v>
      </c>
      <c r="D824" s="5" t="s">
        <v>2240</v>
      </c>
      <c r="E824" s="5" t="s">
        <v>59</v>
      </c>
      <c r="F824" s="5" t="s">
        <v>2225</v>
      </c>
      <c r="G824" s="5" t="str">
        <f aca="false">INDEX(Risk_Matrix!$B$2:$D$4,MATCH(E824,Risk_Matrix!$A$2:$A$4,0),MATCH(F824,Risk_Matrix!$B$1:$D$1,0))</f>
        <v>Low</v>
      </c>
      <c r="H824" s="12" t="n">
        <v>46078</v>
      </c>
      <c r="I824" s="5" t="s">
        <v>2250</v>
      </c>
      <c r="J824" s="5" t="s">
        <v>2251</v>
      </c>
      <c r="K824" s="5" t="s">
        <v>2252</v>
      </c>
      <c r="L824" s="5" t="n">
        <f aca="false">IF(G824="High",3,IF(G824="Medium",2,1))</f>
        <v>1</v>
      </c>
    </row>
    <row r="825" customFormat="false" ht="15" hidden="false" customHeight="true" outlineLevel="0" collapsed="false">
      <c r="A825" s="5" t="s">
        <v>3101</v>
      </c>
      <c r="B825" s="5" t="s">
        <v>1255</v>
      </c>
      <c r="C825" s="5" t="s">
        <v>2245</v>
      </c>
      <c r="D825" s="5" t="s">
        <v>2269</v>
      </c>
      <c r="E825" s="5" t="s">
        <v>59</v>
      </c>
      <c r="F825" s="5" t="s">
        <v>59</v>
      </c>
      <c r="G825" s="5" t="str">
        <f aca="false">INDEX(Risk_Matrix!$B$2:$D$4,MATCH(E825,Risk_Matrix!$A$2:$A$4,0),MATCH(F825,Risk_Matrix!$B$1:$D$1,0))</f>
        <v>Low</v>
      </c>
      <c r="H825" s="12" t="n">
        <v>46225</v>
      </c>
      <c r="I825" s="5" t="s">
        <v>2241</v>
      </c>
      <c r="J825" s="5" t="s">
        <v>2242</v>
      </c>
      <c r="K825" s="5" t="s">
        <v>2252</v>
      </c>
      <c r="L825" s="5" t="n">
        <f aca="false">IF(G825="High",3,IF(G825="Medium",2,1))</f>
        <v>1</v>
      </c>
    </row>
    <row r="826" customFormat="false" ht="15" hidden="false" customHeight="true" outlineLevel="0" collapsed="false">
      <c r="A826" s="5" t="s">
        <v>3102</v>
      </c>
      <c r="B826" s="5" t="s">
        <v>1255</v>
      </c>
      <c r="C826" s="5" t="s">
        <v>2248</v>
      </c>
      <c r="D826" s="5" t="s">
        <v>2322</v>
      </c>
      <c r="E826" s="5" t="s">
        <v>54</v>
      </c>
      <c r="F826" s="5" t="s">
        <v>2225</v>
      </c>
      <c r="G826" s="5" t="str">
        <f aca="false">INDEX(Risk_Matrix!$B$2:$D$4,MATCH(E826,Risk_Matrix!$A$2:$A$4,0),MATCH(F826,Risk_Matrix!$B$1:$D$1,0))</f>
        <v>High</v>
      </c>
      <c r="H826" s="12" t="n">
        <v>46214</v>
      </c>
      <c r="I826" s="5" t="s">
        <v>2250</v>
      </c>
      <c r="J826" s="5" t="s">
        <v>2251</v>
      </c>
      <c r="K826" s="5" t="s">
        <v>2243</v>
      </c>
      <c r="L826" s="5" t="n">
        <f aca="false">IF(G826="High",3,IF(G826="Medium",2,1))</f>
        <v>3</v>
      </c>
    </row>
    <row r="827" customFormat="false" ht="15" hidden="false" customHeight="true" outlineLevel="0" collapsed="false">
      <c r="A827" s="5" t="s">
        <v>3103</v>
      </c>
      <c r="B827" s="5" t="s">
        <v>1255</v>
      </c>
      <c r="C827" s="5" t="s">
        <v>2254</v>
      </c>
      <c r="D827" s="5" t="s">
        <v>2299</v>
      </c>
      <c r="E827" s="5" t="s">
        <v>59</v>
      </c>
      <c r="F827" s="5" t="s">
        <v>54</v>
      </c>
      <c r="G827" s="5" t="str">
        <f aca="false">INDEX(Risk_Matrix!$B$2:$D$4,MATCH(E827,Risk_Matrix!$A$2:$A$4,0),MATCH(F827,Risk_Matrix!$B$1:$D$1,0))</f>
        <v>Medium</v>
      </c>
      <c r="H827" s="12" t="n">
        <v>46142</v>
      </c>
      <c r="I827" s="5" t="s">
        <v>2264</v>
      </c>
      <c r="J827" s="5" t="s">
        <v>2265</v>
      </c>
      <c r="K827" s="5" t="s">
        <v>2252</v>
      </c>
      <c r="L827" s="5" t="n">
        <f aca="false">IF(G827="High",3,IF(G827="Medium",2,1))</f>
        <v>2</v>
      </c>
    </row>
    <row r="828" customFormat="false" ht="15" hidden="false" customHeight="true" outlineLevel="0" collapsed="false">
      <c r="A828" s="5" t="s">
        <v>3104</v>
      </c>
      <c r="B828" s="5" t="s">
        <v>1255</v>
      </c>
      <c r="C828" s="5" t="s">
        <v>2259</v>
      </c>
      <c r="D828" s="5" t="s">
        <v>2285</v>
      </c>
      <c r="E828" s="5" t="s">
        <v>59</v>
      </c>
      <c r="F828" s="5" t="s">
        <v>59</v>
      </c>
      <c r="G828" s="5" t="str">
        <f aca="false">INDEX(Risk_Matrix!$B$2:$D$4,MATCH(E828,Risk_Matrix!$A$2:$A$4,0),MATCH(F828,Risk_Matrix!$B$1:$D$1,0))</f>
        <v>Low</v>
      </c>
      <c r="H828" s="12" t="n">
        <v>46125</v>
      </c>
      <c r="I828" s="5" t="s">
        <v>2264</v>
      </c>
      <c r="J828" s="5" t="s">
        <v>2265</v>
      </c>
      <c r="K828" s="5" t="s">
        <v>2276</v>
      </c>
      <c r="L828" s="5" t="n">
        <f aca="false">IF(G828="High",3,IF(G828="Medium",2,1))</f>
        <v>1</v>
      </c>
    </row>
    <row r="829" customFormat="false" ht="15" hidden="false" customHeight="true" outlineLevel="0" collapsed="false">
      <c r="A829" s="5" t="s">
        <v>3105</v>
      </c>
      <c r="B829" s="5" t="s">
        <v>1255</v>
      </c>
      <c r="C829" s="5" t="s">
        <v>2262</v>
      </c>
      <c r="D829" s="5" t="s">
        <v>2311</v>
      </c>
      <c r="E829" s="5" t="s">
        <v>2225</v>
      </c>
      <c r="F829" s="5" t="s">
        <v>59</v>
      </c>
      <c r="G829" s="5" t="str">
        <f aca="false">INDEX(Risk_Matrix!$B$2:$D$4,MATCH(E829,Risk_Matrix!$A$2:$A$4,0),MATCH(F829,Risk_Matrix!$B$1:$D$1,0))</f>
        <v>Low</v>
      </c>
      <c r="H829" s="12" t="n">
        <v>46224</v>
      </c>
      <c r="I829" s="5" t="s">
        <v>2256</v>
      </c>
      <c r="J829" s="5" t="s">
        <v>2257</v>
      </c>
      <c r="K829" s="5" t="s">
        <v>2283</v>
      </c>
      <c r="L829" s="5" t="n">
        <f aca="false">IF(G829="High",3,IF(G829="Medium",2,1))</f>
        <v>1</v>
      </c>
    </row>
    <row r="830" customFormat="false" ht="15" hidden="false" customHeight="true" outlineLevel="0" collapsed="false">
      <c r="A830" s="5" t="s">
        <v>3106</v>
      </c>
      <c r="B830" s="5" t="s">
        <v>1257</v>
      </c>
      <c r="C830" s="5" t="s">
        <v>2239</v>
      </c>
      <c r="D830" s="5" t="s">
        <v>2240</v>
      </c>
      <c r="E830" s="5" t="s">
        <v>59</v>
      </c>
      <c r="F830" s="5" t="s">
        <v>59</v>
      </c>
      <c r="G830" s="5" t="str">
        <f aca="false">INDEX(Risk_Matrix!$B$2:$D$4,MATCH(E830,Risk_Matrix!$A$2:$A$4,0),MATCH(F830,Risk_Matrix!$B$1:$D$1,0))</f>
        <v>Low</v>
      </c>
      <c r="H830" s="12" t="n">
        <v>46133</v>
      </c>
      <c r="I830" s="5" t="s">
        <v>2256</v>
      </c>
      <c r="J830" s="5" t="s">
        <v>2257</v>
      </c>
      <c r="K830" s="5" t="s">
        <v>2266</v>
      </c>
      <c r="L830" s="5" t="n">
        <f aca="false">IF(G830="High",3,IF(G830="Medium",2,1))</f>
        <v>1</v>
      </c>
    </row>
    <row r="831" customFormat="false" ht="15" hidden="false" customHeight="true" outlineLevel="0" collapsed="false">
      <c r="A831" s="5" t="s">
        <v>3107</v>
      </c>
      <c r="B831" s="5" t="s">
        <v>1257</v>
      </c>
      <c r="C831" s="5" t="s">
        <v>2245</v>
      </c>
      <c r="D831" s="5" t="s">
        <v>2246</v>
      </c>
      <c r="E831" s="5" t="s">
        <v>59</v>
      </c>
      <c r="F831" s="5" t="s">
        <v>59</v>
      </c>
      <c r="G831" s="5" t="str">
        <f aca="false">INDEX(Risk_Matrix!$B$2:$D$4,MATCH(E831,Risk_Matrix!$A$2:$A$4,0),MATCH(F831,Risk_Matrix!$B$1:$D$1,0))</f>
        <v>Low</v>
      </c>
      <c r="H831" s="12" t="n">
        <v>46080</v>
      </c>
      <c r="I831" s="5" t="s">
        <v>2250</v>
      </c>
      <c r="J831" s="5" t="s">
        <v>2251</v>
      </c>
      <c r="K831" s="5" t="s">
        <v>2283</v>
      </c>
      <c r="L831" s="5" t="n">
        <f aca="false">IF(G831="High",3,IF(G831="Medium",2,1))</f>
        <v>1</v>
      </c>
    </row>
    <row r="832" customFormat="false" ht="15" hidden="false" customHeight="true" outlineLevel="0" collapsed="false">
      <c r="A832" s="5" t="s">
        <v>3108</v>
      </c>
      <c r="B832" s="5" t="s">
        <v>1257</v>
      </c>
      <c r="C832" s="5" t="s">
        <v>2248</v>
      </c>
      <c r="D832" s="5" t="s">
        <v>2306</v>
      </c>
      <c r="E832" s="5" t="s">
        <v>59</v>
      </c>
      <c r="F832" s="5" t="s">
        <v>54</v>
      </c>
      <c r="G832" s="5" t="str">
        <f aca="false">INDEX(Risk_Matrix!$B$2:$D$4,MATCH(E832,Risk_Matrix!$A$2:$A$4,0),MATCH(F832,Risk_Matrix!$B$1:$D$1,0))</f>
        <v>Medium</v>
      </c>
      <c r="H832" s="12" t="n">
        <v>46122</v>
      </c>
      <c r="I832" s="5" t="s">
        <v>2264</v>
      </c>
      <c r="J832" s="5" t="s">
        <v>2265</v>
      </c>
      <c r="K832" s="5" t="s">
        <v>2283</v>
      </c>
      <c r="L832" s="5" t="n">
        <f aca="false">IF(G832="High",3,IF(G832="Medium",2,1))</f>
        <v>2</v>
      </c>
    </row>
    <row r="833" customFormat="false" ht="15" hidden="false" customHeight="true" outlineLevel="0" collapsed="false">
      <c r="A833" s="5" t="s">
        <v>3109</v>
      </c>
      <c r="B833" s="5" t="s">
        <v>1257</v>
      </c>
      <c r="C833" s="5" t="s">
        <v>2254</v>
      </c>
      <c r="D833" s="5" t="s">
        <v>2308</v>
      </c>
      <c r="E833" s="5" t="s">
        <v>2225</v>
      </c>
      <c r="F833" s="5" t="s">
        <v>59</v>
      </c>
      <c r="G833" s="5" t="str">
        <f aca="false">INDEX(Risk_Matrix!$B$2:$D$4,MATCH(E833,Risk_Matrix!$A$2:$A$4,0),MATCH(F833,Risk_Matrix!$B$1:$D$1,0))</f>
        <v>Low</v>
      </c>
      <c r="H833" s="12" t="n">
        <v>46221</v>
      </c>
      <c r="I833" s="5" t="s">
        <v>2256</v>
      </c>
      <c r="J833" s="5" t="s">
        <v>2257</v>
      </c>
      <c r="K833" s="5" t="s">
        <v>2283</v>
      </c>
      <c r="L833" s="5" t="n">
        <f aca="false">IF(G833="High",3,IF(G833="Medium",2,1))</f>
        <v>1</v>
      </c>
    </row>
    <row r="834" customFormat="false" ht="15" hidden="false" customHeight="true" outlineLevel="0" collapsed="false">
      <c r="A834" s="5" t="s">
        <v>3110</v>
      </c>
      <c r="B834" s="5" t="s">
        <v>1257</v>
      </c>
      <c r="C834" s="5" t="s">
        <v>2259</v>
      </c>
      <c r="D834" s="5" t="s">
        <v>2260</v>
      </c>
      <c r="E834" s="5" t="s">
        <v>54</v>
      </c>
      <c r="F834" s="5" t="s">
        <v>59</v>
      </c>
      <c r="G834" s="5" t="str">
        <f aca="false">INDEX(Risk_Matrix!$B$2:$D$4,MATCH(E834,Risk_Matrix!$A$2:$A$4,0),MATCH(F834,Risk_Matrix!$B$1:$D$1,0))</f>
        <v>Medium</v>
      </c>
      <c r="H834" s="12" t="n">
        <v>46148</v>
      </c>
      <c r="I834" s="5" t="s">
        <v>2250</v>
      </c>
      <c r="J834" s="5" t="s">
        <v>2251</v>
      </c>
      <c r="K834" s="5" t="s">
        <v>2243</v>
      </c>
      <c r="L834" s="5" t="n">
        <f aca="false">IF(G834="High",3,IF(G834="Medium",2,1))</f>
        <v>2</v>
      </c>
    </row>
    <row r="835" customFormat="false" ht="15" hidden="false" customHeight="true" outlineLevel="0" collapsed="false">
      <c r="A835" s="5" t="s">
        <v>3111</v>
      </c>
      <c r="B835" s="5" t="s">
        <v>1257</v>
      </c>
      <c r="C835" s="5" t="s">
        <v>2262</v>
      </c>
      <c r="D835" s="5" t="s">
        <v>2311</v>
      </c>
      <c r="E835" s="5" t="s">
        <v>2225</v>
      </c>
      <c r="F835" s="5" t="s">
        <v>59</v>
      </c>
      <c r="G835" s="5" t="str">
        <f aca="false">INDEX(Risk_Matrix!$B$2:$D$4,MATCH(E835,Risk_Matrix!$A$2:$A$4,0),MATCH(F835,Risk_Matrix!$B$1:$D$1,0))</f>
        <v>Low</v>
      </c>
      <c r="H835" s="12" t="n">
        <v>46227</v>
      </c>
      <c r="I835" s="5" t="s">
        <v>2256</v>
      </c>
      <c r="J835" s="5" t="s">
        <v>2257</v>
      </c>
      <c r="K835" s="5" t="s">
        <v>2276</v>
      </c>
      <c r="L835" s="5" t="n">
        <f aca="false">IF(G835="High",3,IF(G835="Medium",2,1))</f>
        <v>1</v>
      </c>
    </row>
    <row r="836" customFormat="false" ht="15" hidden="false" customHeight="true" outlineLevel="0" collapsed="false">
      <c r="A836" s="5" t="s">
        <v>3112</v>
      </c>
      <c r="B836" s="5" t="s">
        <v>1259</v>
      </c>
      <c r="C836" s="5" t="s">
        <v>2239</v>
      </c>
      <c r="D836" s="5" t="s">
        <v>2303</v>
      </c>
      <c r="E836" s="5" t="s">
        <v>59</v>
      </c>
      <c r="F836" s="5" t="s">
        <v>59</v>
      </c>
      <c r="G836" s="5" t="str">
        <f aca="false">INDEX(Risk_Matrix!$B$2:$D$4,MATCH(E836,Risk_Matrix!$A$2:$A$4,0),MATCH(F836,Risk_Matrix!$B$1:$D$1,0))</f>
        <v>Low</v>
      </c>
      <c r="H836" s="12" t="n">
        <v>46147</v>
      </c>
      <c r="I836" s="5" t="s">
        <v>2241</v>
      </c>
      <c r="J836" s="5" t="s">
        <v>2242</v>
      </c>
      <c r="K836" s="5" t="s">
        <v>2252</v>
      </c>
      <c r="L836" s="5" t="n">
        <f aca="false">IF(G836="High",3,IF(G836="Medium",2,1))</f>
        <v>1</v>
      </c>
    </row>
    <row r="837" customFormat="false" ht="15" hidden="false" customHeight="true" outlineLevel="0" collapsed="false">
      <c r="A837" s="5" t="s">
        <v>3113</v>
      </c>
      <c r="B837" s="5" t="s">
        <v>1259</v>
      </c>
      <c r="C837" s="5" t="s">
        <v>2245</v>
      </c>
      <c r="D837" s="5" t="s">
        <v>2320</v>
      </c>
      <c r="E837" s="5" t="s">
        <v>59</v>
      </c>
      <c r="F837" s="5" t="s">
        <v>59</v>
      </c>
      <c r="G837" s="5" t="str">
        <f aca="false">INDEX(Risk_Matrix!$B$2:$D$4,MATCH(E837,Risk_Matrix!$A$2:$A$4,0),MATCH(F837,Risk_Matrix!$B$1:$D$1,0))</f>
        <v>Low</v>
      </c>
      <c r="H837" s="12" t="n">
        <v>46144</v>
      </c>
      <c r="I837" s="5" t="s">
        <v>2256</v>
      </c>
      <c r="J837" s="5" t="s">
        <v>2257</v>
      </c>
      <c r="K837" s="5" t="s">
        <v>2276</v>
      </c>
      <c r="L837" s="5" t="n">
        <f aca="false">IF(G837="High",3,IF(G837="Medium",2,1))</f>
        <v>1</v>
      </c>
    </row>
    <row r="838" customFormat="false" ht="15" hidden="false" customHeight="true" outlineLevel="0" collapsed="false">
      <c r="A838" s="5" t="s">
        <v>3114</v>
      </c>
      <c r="B838" s="5" t="s">
        <v>1259</v>
      </c>
      <c r="C838" s="5" t="s">
        <v>2248</v>
      </c>
      <c r="D838" s="5" t="s">
        <v>2322</v>
      </c>
      <c r="E838" s="5" t="s">
        <v>59</v>
      </c>
      <c r="F838" s="5" t="s">
        <v>2225</v>
      </c>
      <c r="G838" s="5" t="str">
        <f aca="false">INDEX(Risk_Matrix!$B$2:$D$4,MATCH(E838,Risk_Matrix!$A$2:$A$4,0),MATCH(F838,Risk_Matrix!$B$1:$D$1,0))</f>
        <v>Low</v>
      </c>
      <c r="H838" s="12" t="n">
        <v>46225</v>
      </c>
      <c r="I838" s="5" t="s">
        <v>2264</v>
      </c>
      <c r="J838" s="5" t="s">
        <v>2265</v>
      </c>
      <c r="K838" s="5" t="s">
        <v>2243</v>
      </c>
      <c r="L838" s="5" t="n">
        <f aca="false">IF(G838="High",3,IF(G838="Medium",2,1))</f>
        <v>1</v>
      </c>
    </row>
    <row r="839" customFormat="false" ht="15" hidden="false" customHeight="true" outlineLevel="0" collapsed="false">
      <c r="A839" s="5" t="s">
        <v>3115</v>
      </c>
      <c r="B839" s="5" t="s">
        <v>1259</v>
      </c>
      <c r="C839" s="5" t="s">
        <v>2254</v>
      </c>
      <c r="D839" s="5" t="s">
        <v>2308</v>
      </c>
      <c r="E839" s="5" t="s">
        <v>59</v>
      </c>
      <c r="F839" s="5" t="s">
        <v>59</v>
      </c>
      <c r="G839" s="5" t="str">
        <f aca="false">INDEX(Risk_Matrix!$B$2:$D$4,MATCH(E839,Risk_Matrix!$A$2:$A$4,0),MATCH(F839,Risk_Matrix!$B$1:$D$1,0))</f>
        <v>Low</v>
      </c>
      <c r="H839" s="12" t="n">
        <v>46221</v>
      </c>
      <c r="I839" s="5" t="s">
        <v>2264</v>
      </c>
      <c r="J839" s="5" t="s">
        <v>2265</v>
      </c>
      <c r="K839" s="5" t="s">
        <v>2252</v>
      </c>
      <c r="L839" s="5" t="n">
        <f aca="false">IF(G839="High",3,IF(G839="Medium",2,1))</f>
        <v>1</v>
      </c>
    </row>
    <row r="840" customFormat="false" ht="15" hidden="false" customHeight="true" outlineLevel="0" collapsed="false">
      <c r="A840" s="5" t="s">
        <v>3116</v>
      </c>
      <c r="B840" s="5" t="s">
        <v>1259</v>
      </c>
      <c r="C840" s="5" t="s">
        <v>2259</v>
      </c>
      <c r="D840" s="5" t="s">
        <v>2260</v>
      </c>
      <c r="E840" s="5" t="s">
        <v>2225</v>
      </c>
      <c r="F840" s="5" t="s">
        <v>2225</v>
      </c>
      <c r="G840" s="5" t="str">
        <f aca="false">INDEX(Risk_Matrix!$B$2:$D$4,MATCH(E840,Risk_Matrix!$A$2:$A$4,0),MATCH(F840,Risk_Matrix!$B$1:$D$1,0))</f>
        <v>Medium</v>
      </c>
      <c r="H840" s="12" t="n">
        <v>46085</v>
      </c>
      <c r="I840" s="5" t="s">
        <v>2241</v>
      </c>
      <c r="J840" s="5" t="s">
        <v>2242</v>
      </c>
      <c r="K840" s="5" t="s">
        <v>2252</v>
      </c>
      <c r="L840" s="5" t="n">
        <f aca="false">IF(G840="High",3,IF(G840="Medium",2,1))</f>
        <v>2</v>
      </c>
    </row>
    <row r="841" customFormat="false" ht="15" hidden="false" customHeight="true" outlineLevel="0" collapsed="false">
      <c r="A841" s="5" t="s">
        <v>3117</v>
      </c>
      <c r="B841" s="5" t="s">
        <v>1259</v>
      </c>
      <c r="C841" s="5" t="s">
        <v>2262</v>
      </c>
      <c r="D841" s="5" t="s">
        <v>2263</v>
      </c>
      <c r="E841" s="5" t="s">
        <v>2225</v>
      </c>
      <c r="F841" s="5" t="s">
        <v>59</v>
      </c>
      <c r="G841" s="5" t="str">
        <f aca="false">INDEX(Risk_Matrix!$B$2:$D$4,MATCH(E841,Risk_Matrix!$A$2:$A$4,0),MATCH(F841,Risk_Matrix!$B$1:$D$1,0))</f>
        <v>Low</v>
      </c>
      <c r="H841" s="12" t="n">
        <v>46154</v>
      </c>
      <c r="I841" s="5" t="s">
        <v>2256</v>
      </c>
      <c r="J841" s="5" t="s">
        <v>2257</v>
      </c>
      <c r="K841" s="5" t="s">
        <v>2266</v>
      </c>
      <c r="L841" s="5" t="n">
        <f aca="false">IF(G841="High",3,IF(G841="Medium",2,1))</f>
        <v>1</v>
      </c>
    </row>
    <row r="842" customFormat="false" ht="15" hidden="false" customHeight="true" outlineLevel="0" collapsed="false">
      <c r="A842" s="5" t="s">
        <v>3118</v>
      </c>
      <c r="B842" s="5" t="s">
        <v>1261</v>
      </c>
      <c r="C842" s="5" t="s">
        <v>2239</v>
      </c>
      <c r="D842" s="5" t="s">
        <v>2240</v>
      </c>
      <c r="E842" s="5" t="s">
        <v>59</v>
      </c>
      <c r="F842" s="5" t="s">
        <v>2225</v>
      </c>
      <c r="G842" s="5" t="str">
        <f aca="false">INDEX(Risk_Matrix!$B$2:$D$4,MATCH(E842,Risk_Matrix!$A$2:$A$4,0),MATCH(F842,Risk_Matrix!$B$1:$D$1,0))</f>
        <v>Low</v>
      </c>
      <c r="H842" s="12" t="n">
        <v>46182</v>
      </c>
      <c r="I842" s="5" t="s">
        <v>2256</v>
      </c>
      <c r="J842" s="5" t="s">
        <v>2257</v>
      </c>
      <c r="K842" s="5" t="s">
        <v>2276</v>
      </c>
      <c r="L842" s="5" t="n">
        <f aca="false">IF(G842="High",3,IF(G842="Medium",2,1))</f>
        <v>1</v>
      </c>
    </row>
    <row r="843" customFormat="false" ht="15" hidden="false" customHeight="true" outlineLevel="0" collapsed="false">
      <c r="A843" s="5" t="s">
        <v>3119</v>
      </c>
      <c r="B843" s="5" t="s">
        <v>1261</v>
      </c>
      <c r="C843" s="5" t="s">
        <v>2245</v>
      </c>
      <c r="D843" s="5" t="s">
        <v>2320</v>
      </c>
      <c r="E843" s="5" t="s">
        <v>2225</v>
      </c>
      <c r="F843" s="5" t="s">
        <v>59</v>
      </c>
      <c r="G843" s="5" t="str">
        <f aca="false">INDEX(Risk_Matrix!$B$2:$D$4,MATCH(E843,Risk_Matrix!$A$2:$A$4,0),MATCH(F843,Risk_Matrix!$B$1:$D$1,0))</f>
        <v>Low</v>
      </c>
      <c r="H843" s="12" t="n">
        <v>46115</v>
      </c>
      <c r="I843" s="5" t="s">
        <v>2256</v>
      </c>
      <c r="J843" s="5" t="s">
        <v>2257</v>
      </c>
      <c r="K843" s="5" t="s">
        <v>2252</v>
      </c>
      <c r="L843" s="5" t="n">
        <f aca="false">IF(G843="High",3,IF(G843="Medium",2,1))</f>
        <v>1</v>
      </c>
    </row>
    <row r="844" customFormat="false" ht="15" hidden="false" customHeight="true" outlineLevel="0" collapsed="false">
      <c r="A844" s="5" t="s">
        <v>3120</v>
      </c>
      <c r="B844" s="5" t="s">
        <v>1261</v>
      </c>
      <c r="C844" s="5" t="s">
        <v>2248</v>
      </c>
      <c r="D844" s="5" t="s">
        <v>2271</v>
      </c>
      <c r="E844" s="5" t="s">
        <v>59</v>
      </c>
      <c r="F844" s="5" t="s">
        <v>59</v>
      </c>
      <c r="G844" s="5" t="str">
        <f aca="false">INDEX(Risk_Matrix!$B$2:$D$4,MATCH(E844,Risk_Matrix!$A$2:$A$4,0),MATCH(F844,Risk_Matrix!$B$1:$D$1,0))</f>
        <v>Low</v>
      </c>
      <c r="H844" s="12" t="n">
        <v>46146</v>
      </c>
      <c r="I844" s="5" t="s">
        <v>2241</v>
      </c>
      <c r="J844" s="5" t="s">
        <v>2242</v>
      </c>
      <c r="K844" s="5" t="s">
        <v>2276</v>
      </c>
      <c r="L844" s="5" t="n">
        <f aca="false">IF(G844="High",3,IF(G844="Medium",2,1))</f>
        <v>1</v>
      </c>
    </row>
    <row r="845" customFormat="false" ht="15" hidden="false" customHeight="true" outlineLevel="0" collapsed="false">
      <c r="A845" s="5" t="s">
        <v>3121</v>
      </c>
      <c r="B845" s="5" t="s">
        <v>1261</v>
      </c>
      <c r="C845" s="5" t="s">
        <v>2254</v>
      </c>
      <c r="D845" s="5" t="s">
        <v>2255</v>
      </c>
      <c r="E845" s="5" t="s">
        <v>59</v>
      </c>
      <c r="F845" s="5" t="s">
        <v>2225</v>
      </c>
      <c r="G845" s="5" t="str">
        <f aca="false">INDEX(Risk_Matrix!$B$2:$D$4,MATCH(E845,Risk_Matrix!$A$2:$A$4,0),MATCH(F845,Risk_Matrix!$B$1:$D$1,0))</f>
        <v>Low</v>
      </c>
      <c r="H845" s="12" t="n">
        <v>46126</v>
      </c>
      <c r="I845" s="5" t="s">
        <v>2256</v>
      </c>
      <c r="J845" s="5" t="s">
        <v>2257</v>
      </c>
      <c r="K845" s="5" t="s">
        <v>2266</v>
      </c>
      <c r="L845" s="5" t="n">
        <f aca="false">IF(G845="High",3,IF(G845="Medium",2,1))</f>
        <v>1</v>
      </c>
    </row>
    <row r="846" customFormat="false" ht="15" hidden="false" customHeight="true" outlineLevel="0" collapsed="false">
      <c r="A846" s="5" t="s">
        <v>3122</v>
      </c>
      <c r="B846" s="5" t="s">
        <v>1261</v>
      </c>
      <c r="C846" s="5" t="s">
        <v>2259</v>
      </c>
      <c r="D846" s="5" t="s">
        <v>2285</v>
      </c>
      <c r="E846" s="5" t="s">
        <v>2225</v>
      </c>
      <c r="F846" s="5" t="s">
        <v>2225</v>
      </c>
      <c r="G846" s="5" t="str">
        <f aca="false">INDEX(Risk_Matrix!$B$2:$D$4,MATCH(E846,Risk_Matrix!$A$2:$A$4,0),MATCH(F846,Risk_Matrix!$B$1:$D$1,0))</f>
        <v>Medium</v>
      </c>
      <c r="H846" s="12" t="n">
        <v>46231</v>
      </c>
      <c r="I846" s="5" t="s">
        <v>2256</v>
      </c>
      <c r="J846" s="5" t="s">
        <v>2257</v>
      </c>
      <c r="K846" s="5" t="s">
        <v>2266</v>
      </c>
      <c r="L846" s="5" t="n">
        <f aca="false">IF(G846="High",3,IF(G846="Medium",2,1))</f>
        <v>2</v>
      </c>
    </row>
    <row r="847" customFormat="false" ht="15" hidden="false" customHeight="true" outlineLevel="0" collapsed="false">
      <c r="A847" s="5" t="s">
        <v>3123</v>
      </c>
      <c r="B847" s="5" t="s">
        <v>1261</v>
      </c>
      <c r="C847" s="5" t="s">
        <v>2262</v>
      </c>
      <c r="D847" s="5" t="s">
        <v>2287</v>
      </c>
      <c r="E847" s="5" t="s">
        <v>59</v>
      </c>
      <c r="F847" s="5" t="s">
        <v>59</v>
      </c>
      <c r="G847" s="5" t="str">
        <f aca="false">INDEX(Risk_Matrix!$B$2:$D$4,MATCH(E847,Risk_Matrix!$A$2:$A$4,0),MATCH(F847,Risk_Matrix!$B$1:$D$1,0))</f>
        <v>Low</v>
      </c>
      <c r="H847" s="12" t="n">
        <v>46194</v>
      </c>
      <c r="I847" s="5" t="s">
        <v>2256</v>
      </c>
      <c r="J847" s="5" t="s">
        <v>2257</v>
      </c>
      <c r="K847" s="5" t="s">
        <v>2252</v>
      </c>
      <c r="L847" s="5" t="n">
        <f aca="false">IF(G847="High",3,IF(G847="Medium",2,1))</f>
        <v>1</v>
      </c>
    </row>
    <row r="848" customFormat="false" ht="15" hidden="false" customHeight="true" outlineLevel="0" collapsed="false">
      <c r="A848" s="5" t="s">
        <v>3124</v>
      </c>
      <c r="B848" s="5" t="s">
        <v>1263</v>
      </c>
      <c r="C848" s="5" t="s">
        <v>2239</v>
      </c>
      <c r="D848" s="5" t="s">
        <v>2303</v>
      </c>
      <c r="E848" s="5" t="s">
        <v>59</v>
      </c>
      <c r="F848" s="5" t="s">
        <v>59</v>
      </c>
      <c r="G848" s="5" t="str">
        <f aca="false">INDEX(Risk_Matrix!$B$2:$D$4,MATCH(E848,Risk_Matrix!$A$2:$A$4,0),MATCH(F848,Risk_Matrix!$B$1:$D$1,0))</f>
        <v>Low</v>
      </c>
      <c r="H848" s="12" t="n">
        <v>46213</v>
      </c>
      <c r="I848" s="5" t="s">
        <v>2264</v>
      </c>
      <c r="J848" s="5" t="s">
        <v>2265</v>
      </c>
      <c r="K848" s="5" t="s">
        <v>2276</v>
      </c>
      <c r="L848" s="5" t="n">
        <f aca="false">IF(G848="High",3,IF(G848="Medium",2,1))</f>
        <v>1</v>
      </c>
    </row>
    <row r="849" customFormat="false" ht="15" hidden="false" customHeight="true" outlineLevel="0" collapsed="false">
      <c r="A849" s="5" t="s">
        <v>3125</v>
      </c>
      <c r="B849" s="5" t="s">
        <v>1263</v>
      </c>
      <c r="C849" s="5" t="s">
        <v>2245</v>
      </c>
      <c r="D849" s="5" t="s">
        <v>2320</v>
      </c>
      <c r="E849" s="5" t="s">
        <v>59</v>
      </c>
      <c r="F849" s="5" t="s">
        <v>2225</v>
      </c>
      <c r="G849" s="5" t="str">
        <f aca="false">INDEX(Risk_Matrix!$B$2:$D$4,MATCH(E849,Risk_Matrix!$A$2:$A$4,0),MATCH(F849,Risk_Matrix!$B$1:$D$1,0))</f>
        <v>Low</v>
      </c>
      <c r="H849" s="12" t="n">
        <v>46185</v>
      </c>
      <c r="I849" s="5" t="s">
        <v>2256</v>
      </c>
      <c r="J849" s="5" t="s">
        <v>2257</v>
      </c>
      <c r="K849" s="5" t="s">
        <v>2252</v>
      </c>
      <c r="L849" s="5" t="n">
        <f aca="false">IF(G849="High",3,IF(G849="Medium",2,1))</f>
        <v>1</v>
      </c>
    </row>
    <row r="850" customFormat="false" ht="15" hidden="false" customHeight="true" outlineLevel="0" collapsed="false">
      <c r="A850" s="5" t="s">
        <v>3126</v>
      </c>
      <c r="B850" s="5" t="s">
        <v>1263</v>
      </c>
      <c r="C850" s="5" t="s">
        <v>2248</v>
      </c>
      <c r="D850" s="5" t="s">
        <v>2271</v>
      </c>
      <c r="E850" s="5" t="s">
        <v>59</v>
      </c>
      <c r="F850" s="5" t="s">
        <v>2225</v>
      </c>
      <c r="G850" s="5" t="str">
        <f aca="false">INDEX(Risk_Matrix!$B$2:$D$4,MATCH(E850,Risk_Matrix!$A$2:$A$4,0),MATCH(F850,Risk_Matrix!$B$1:$D$1,0))</f>
        <v>Low</v>
      </c>
      <c r="H850" s="12" t="n">
        <v>46104</v>
      </c>
      <c r="I850" s="5" t="s">
        <v>2250</v>
      </c>
      <c r="J850" s="5" t="s">
        <v>2251</v>
      </c>
      <c r="K850" s="5" t="s">
        <v>2283</v>
      </c>
      <c r="L850" s="5" t="n">
        <f aca="false">IF(G850="High",3,IF(G850="Medium",2,1))</f>
        <v>1</v>
      </c>
    </row>
    <row r="851" customFormat="false" ht="15" hidden="false" customHeight="true" outlineLevel="0" collapsed="false">
      <c r="A851" s="5" t="s">
        <v>3127</v>
      </c>
      <c r="B851" s="5" t="s">
        <v>1263</v>
      </c>
      <c r="C851" s="5" t="s">
        <v>2254</v>
      </c>
      <c r="D851" s="5" t="s">
        <v>2308</v>
      </c>
      <c r="E851" s="5" t="s">
        <v>54</v>
      </c>
      <c r="F851" s="5" t="s">
        <v>59</v>
      </c>
      <c r="G851" s="5" t="str">
        <f aca="false">INDEX(Risk_Matrix!$B$2:$D$4,MATCH(E851,Risk_Matrix!$A$2:$A$4,0),MATCH(F851,Risk_Matrix!$B$1:$D$1,0))</f>
        <v>Medium</v>
      </c>
      <c r="H851" s="12" t="n">
        <v>46205</v>
      </c>
      <c r="I851" s="5" t="s">
        <v>2256</v>
      </c>
      <c r="J851" s="5" t="s">
        <v>2257</v>
      </c>
      <c r="K851" s="5" t="s">
        <v>2266</v>
      </c>
      <c r="L851" s="5" t="n">
        <f aca="false">IF(G851="High",3,IF(G851="Medium",2,1))</f>
        <v>2</v>
      </c>
    </row>
    <row r="852" customFormat="false" ht="15" hidden="false" customHeight="true" outlineLevel="0" collapsed="false">
      <c r="A852" s="5" t="s">
        <v>3128</v>
      </c>
      <c r="B852" s="5" t="s">
        <v>1263</v>
      </c>
      <c r="C852" s="5" t="s">
        <v>2259</v>
      </c>
      <c r="D852" s="5" t="s">
        <v>2260</v>
      </c>
      <c r="E852" s="5" t="s">
        <v>2225</v>
      </c>
      <c r="F852" s="5" t="s">
        <v>2225</v>
      </c>
      <c r="G852" s="5" t="str">
        <f aca="false">INDEX(Risk_Matrix!$B$2:$D$4,MATCH(E852,Risk_Matrix!$A$2:$A$4,0),MATCH(F852,Risk_Matrix!$B$1:$D$1,0))</f>
        <v>Medium</v>
      </c>
      <c r="H852" s="12" t="n">
        <v>46129</v>
      </c>
      <c r="I852" s="5" t="s">
        <v>2256</v>
      </c>
      <c r="J852" s="5" t="s">
        <v>2257</v>
      </c>
      <c r="K852" s="5" t="s">
        <v>2266</v>
      </c>
      <c r="L852" s="5" t="n">
        <f aca="false">IF(G852="High",3,IF(G852="Medium",2,1))</f>
        <v>2</v>
      </c>
    </row>
    <row r="853" customFormat="false" ht="15" hidden="false" customHeight="true" outlineLevel="0" collapsed="false">
      <c r="A853" s="5" t="s">
        <v>3129</v>
      </c>
      <c r="B853" s="5" t="s">
        <v>1263</v>
      </c>
      <c r="C853" s="5" t="s">
        <v>2262</v>
      </c>
      <c r="D853" s="5" t="s">
        <v>2287</v>
      </c>
      <c r="E853" s="5" t="s">
        <v>2225</v>
      </c>
      <c r="F853" s="5" t="s">
        <v>2225</v>
      </c>
      <c r="G853" s="5" t="str">
        <f aca="false">INDEX(Risk_Matrix!$B$2:$D$4,MATCH(E853,Risk_Matrix!$A$2:$A$4,0),MATCH(F853,Risk_Matrix!$B$1:$D$1,0))</f>
        <v>Medium</v>
      </c>
      <c r="H853" s="12" t="n">
        <v>46163</v>
      </c>
      <c r="I853" s="5" t="s">
        <v>2264</v>
      </c>
      <c r="J853" s="5" t="s">
        <v>2265</v>
      </c>
      <c r="K853" s="5" t="s">
        <v>2266</v>
      </c>
      <c r="L853" s="5" t="n">
        <f aca="false">IF(G853="High",3,IF(G853="Medium",2,1))</f>
        <v>2</v>
      </c>
    </row>
    <row r="854" customFormat="false" ht="15" hidden="false" customHeight="true" outlineLevel="0" collapsed="false">
      <c r="A854" s="5" t="s">
        <v>3130</v>
      </c>
      <c r="B854" s="5" t="s">
        <v>1265</v>
      </c>
      <c r="C854" s="5" t="s">
        <v>2239</v>
      </c>
      <c r="D854" s="5" t="s">
        <v>2278</v>
      </c>
      <c r="E854" s="5" t="s">
        <v>59</v>
      </c>
      <c r="F854" s="5" t="s">
        <v>2225</v>
      </c>
      <c r="G854" s="5" t="str">
        <f aca="false">INDEX(Risk_Matrix!$B$2:$D$4,MATCH(E854,Risk_Matrix!$A$2:$A$4,0),MATCH(F854,Risk_Matrix!$B$1:$D$1,0))</f>
        <v>Low</v>
      </c>
      <c r="H854" s="12" t="n">
        <v>46206</v>
      </c>
      <c r="I854" s="5" t="s">
        <v>2256</v>
      </c>
      <c r="J854" s="5" t="s">
        <v>2257</v>
      </c>
      <c r="K854" s="5" t="s">
        <v>2283</v>
      </c>
      <c r="L854" s="5" t="n">
        <f aca="false">IF(G854="High",3,IF(G854="Medium",2,1))</f>
        <v>1</v>
      </c>
    </row>
    <row r="855" customFormat="false" ht="15" hidden="false" customHeight="true" outlineLevel="0" collapsed="false">
      <c r="A855" s="5" t="s">
        <v>3131</v>
      </c>
      <c r="B855" s="5" t="s">
        <v>1265</v>
      </c>
      <c r="C855" s="5" t="s">
        <v>2245</v>
      </c>
      <c r="D855" s="5" t="s">
        <v>2280</v>
      </c>
      <c r="E855" s="5" t="s">
        <v>59</v>
      </c>
      <c r="F855" s="5" t="s">
        <v>59</v>
      </c>
      <c r="G855" s="5" t="str">
        <f aca="false">INDEX(Risk_Matrix!$B$2:$D$4,MATCH(E855,Risk_Matrix!$A$2:$A$4,0),MATCH(F855,Risk_Matrix!$B$1:$D$1,0))</f>
        <v>Low</v>
      </c>
      <c r="H855" s="12" t="n">
        <v>46069</v>
      </c>
      <c r="I855" s="5" t="s">
        <v>2250</v>
      </c>
      <c r="J855" s="5" t="s">
        <v>2251</v>
      </c>
      <c r="K855" s="5" t="s">
        <v>2283</v>
      </c>
      <c r="L855" s="5" t="n">
        <f aca="false">IF(G855="High",3,IF(G855="Medium",2,1))</f>
        <v>1</v>
      </c>
    </row>
    <row r="856" customFormat="false" ht="15" hidden="false" customHeight="true" outlineLevel="0" collapsed="false">
      <c r="A856" s="5" t="s">
        <v>3132</v>
      </c>
      <c r="B856" s="5" t="s">
        <v>1265</v>
      </c>
      <c r="C856" s="5" t="s">
        <v>2248</v>
      </c>
      <c r="D856" s="5" t="s">
        <v>2306</v>
      </c>
      <c r="E856" s="5" t="s">
        <v>59</v>
      </c>
      <c r="F856" s="5" t="s">
        <v>59</v>
      </c>
      <c r="G856" s="5" t="str">
        <f aca="false">INDEX(Risk_Matrix!$B$2:$D$4,MATCH(E856,Risk_Matrix!$A$2:$A$4,0),MATCH(F856,Risk_Matrix!$B$1:$D$1,0))</f>
        <v>Low</v>
      </c>
      <c r="H856" s="12" t="n">
        <v>46108</v>
      </c>
      <c r="I856" s="5" t="s">
        <v>2264</v>
      </c>
      <c r="J856" s="5" t="s">
        <v>2265</v>
      </c>
      <c r="K856" s="5" t="s">
        <v>2252</v>
      </c>
      <c r="L856" s="5" t="n">
        <f aca="false">IF(G856="High",3,IF(G856="Medium",2,1))</f>
        <v>1</v>
      </c>
    </row>
    <row r="857" customFormat="false" ht="15" hidden="false" customHeight="true" outlineLevel="0" collapsed="false">
      <c r="A857" s="5" t="s">
        <v>3133</v>
      </c>
      <c r="B857" s="5" t="s">
        <v>1265</v>
      </c>
      <c r="C857" s="5" t="s">
        <v>2254</v>
      </c>
      <c r="D857" s="5" t="s">
        <v>2308</v>
      </c>
      <c r="E857" s="5" t="s">
        <v>2225</v>
      </c>
      <c r="F857" s="5" t="s">
        <v>59</v>
      </c>
      <c r="G857" s="5" t="str">
        <f aca="false">INDEX(Risk_Matrix!$B$2:$D$4,MATCH(E857,Risk_Matrix!$A$2:$A$4,0),MATCH(F857,Risk_Matrix!$B$1:$D$1,0))</f>
        <v>Low</v>
      </c>
      <c r="H857" s="12" t="n">
        <v>46104</v>
      </c>
      <c r="I857" s="5" t="s">
        <v>2250</v>
      </c>
      <c r="J857" s="5" t="s">
        <v>2251</v>
      </c>
      <c r="K857" s="5" t="s">
        <v>2243</v>
      </c>
      <c r="L857" s="5" t="n">
        <f aca="false">IF(G857="High",3,IF(G857="Medium",2,1))</f>
        <v>1</v>
      </c>
    </row>
    <row r="858" customFormat="false" ht="15" hidden="false" customHeight="true" outlineLevel="0" collapsed="false">
      <c r="A858" s="5" t="s">
        <v>3134</v>
      </c>
      <c r="B858" s="5" t="s">
        <v>1265</v>
      </c>
      <c r="C858" s="5" t="s">
        <v>2259</v>
      </c>
      <c r="D858" s="5" t="s">
        <v>2285</v>
      </c>
      <c r="E858" s="5" t="s">
        <v>54</v>
      </c>
      <c r="F858" s="5" t="s">
        <v>59</v>
      </c>
      <c r="G858" s="5" t="str">
        <f aca="false">INDEX(Risk_Matrix!$B$2:$D$4,MATCH(E858,Risk_Matrix!$A$2:$A$4,0),MATCH(F858,Risk_Matrix!$B$1:$D$1,0))</f>
        <v>Medium</v>
      </c>
      <c r="H858" s="12" t="n">
        <v>46075</v>
      </c>
      <c r="I858" s="5" t="s">
        <v>2250</v>
      </c>
      <c r="J858" s="5" t="s">
        <v>2251</v>
      </c>
      <c r="K858" s="5" t="s">
        <v>2283</v>
      </c>
      <c r="L858" s="5" t="n">
        <f aca="false">IF(G858="High",3,IF(G858="Medium",2,1))</f>
        <v>2</v>
      </c>
    </row>
    <row r="859" customFormat="false" ht="15" hidden="false" customHeight="true" outlineLevel="0" collapsed="false">
      <c r="A859" s="5" t="s">
        <v>3135</v>
      </c>
      <c r="B859" s="5" t="s">
        <v>1265</v>
      </c>
      <c r="C859" s="5" t="s">
        <v>2262</v>
      </c>
      <c r="D859" s="5" t="s">
        <v>2263</v>
      </c>
      <c r="E859" s="5" t="s">
        <v>59</v>
      </c>
      <c r="F859" s="5" t="s">
        <v>59</v>
      </c>
      <c r="G859" s="5" t="str">
        <f aca="false">INDEX(Risk_Matrix!$B$2:$D$4,MATCH(E859,Risk_Matrix!$A$2:$A$4,0),MATCH(F859,Risk_Matrix!$B$1:$D$1,0))</f>
        <v>Low</v>
      </c>
      <c r="H859" s="12" t="n">
        <v>46178</v>
      </c>
      <c r="I859" s="5" t="s">
        <v>2256</v>
      </c>
      <c r="J859" s="5" t="s">
        <v>2257</v>
      </c>
      <c r="K859" s="5" t="s">
        <v>2243</v>
      </c>
      <c r="L859" s="5" t="n">
        <f aca="false">IF(G859="High",3,IF(G859="Medium",2,1))</f>
        <v>1</v>
      </c>
    </row>
    <row r="860" customFormat="false" ht="15" hidden="false" customHeight="true" outlineLevel="0" collapsed="false">
      <c r="A860" s="5" t="s">
        <v>3136</v>
      </c>
      <c r="B860" s="5" t="s">
        <v>1266</v>
      </c>
      <c r="C860" s="5" t="s">
        <v>2239</v>
      </c>
      <c r="D860" s="5" t="s">
        <v>2303</v>
      </c>
      <c r="E860" s="5" t="s">
        <v>59</v>
      </c>
      <c r="F860" s="5" t="s">
        <v>54</v>
      </c>
      <c r="G860" s="5" t="str">
        <f aca="false">INDEX(Risk_Matrix!$B$2:$D$4,MATCH(E860,Risk_Matrix!$A$2:$A$4,0),MATCH(F860,Risk_Matrix!$B$1:$D$1,0))</f>
        <v>Medium</v>
      </c>
      <c r="H860" s="12" t="n">
        <v>46143</v>
      </c>
      <c r="I860" s="5" t="s">
        <v>2250</v>
      </c>
      <c r="J860" s="5" t="s">
        <v>2251</v>
      </c>
      <c r="K860" s="5" t="s">
        <v>2252</v>
      </c>
      <c r="L860" s="5" t="n">
        <f aca="false">IF(G860="High",3,IF(G860="Medium",2,1))</f>
        <v>2</v>
      </c>
    </row>
    <row r="861" customFormat="false" ht="15" hidden="false" customHeight="true" outlineLevel="0" collapsed="false">
      <c r="A861" s="5" t="s">
        <v>3137</v>
      </c>
      <c r="B861" s="5" t="s">
        <v>1266</v>
      </c>
      <c r="C861" s="5" t="s">
        <v>2245</v>
      </c>
      <c r="D861" s="5" t="s">
        <v>2246</v>
      </c>
      <c r="E861" s="5" t="s">
        <v>59</v>
      </c>
      <c r="F861" s="5" t="s">
        <v>59</v>
      </c>
      <c r="G861" s="5" t="str">
        <f aca="false">INDEX(Risk_Matrix!$B$2:$D$4,MATCH(E861,Risk_Matrix!$A$2:$A$4,0),MATCH(F861,Risk_Matrix!$B$1:$D$1,0))</f>
        <v>Low</v>
      </c>
      <c r="H861" s="12" t="n">
        <v>46148</v>
      </c>
      <c r="I861" s="5" t="s">
        <v>2250</v>
      </c>
      <c r="J861" s="5" t="s">
        <v>2251</v>
      </c>
      <c r="K861" s="5" t="s">
        <v>2266</v>
      </c>
      <c r="L861" s="5" t="n">
        <f aca="false">IF(G861="High",3,IF(G861="Medium",2,1))</f>
        <v>1</v>
      </c>
    </row>
    <row r="862" customFormat="false" ht="15" hidden="false" customHeight="true" outlineLevel="0" collapsed="false">
      <c r="A862" s="5" t="s">
        <v>3138</v>
      </c>
      <c r="B862" s="5" t="s">
        <v>1266</v>
      </c>
      <c r="C862" s="5" t="s">
        <v>2248</v>
      </c>
      <c r="D862" s="5" t="s">
        <v>2306</v>
      </c>
      <c r="E862" s="5" t="s">
        <v>59</v>
      </c>
      <c r="F862" s="5" t="s">
        <v>2225</v>
      </c>
      <c r="G862" s="5" t="str">
        <f aca="false">INDEX(Risk_Matrix!$B$2:$D$4,MATCH(E862,Risk_Matrix!$A$2:$A$4,0),MATCH(F862,Risk_Matrix!$B$1:$D$1,0))</f>
        <v>Low</v>
      </c>
      <c r="H862" s="12" t="n">
        <v>46119</v>
      </c>
      <c r="I862" s="5" t="s">
        <v>2250</v>
      </c>
      <c r="J862" s="5" t="s">
        <v>2251</v>
      </c>
      <c r="K862" s="5" t="s">
        <v>2243</v>
      </c>
      <c r="L862" s="5" t="n">
        <f aca="false">IF(G862="High",3,IF(G862="Medium",2,1))</f>
        <v>1</v>
      </c>
    </row>
    <row r="863" customFormat="false" ht="15" hidden="false" customHeight="true" outlineLevel="0" collapsed="false">
      <c r="A863" s="5" t="s">
        <v>3139</v>
      </c>
      <c r="B863" s="5" t="s">
        <v>1266</v>
      </c>
      <c r="C863" s="5" t="s">
        <v>2254</v>
      </c>
      <c r="D863" s="5" t="s">
        <v>2308</v>
      </c>
      <c r="E863" s="5" t="s">
        <v>59</v>
      </c>
      <c r="F863" s="5" t="s">
        <v>59</v>
      </c>
      <c r="G863" s="5" t="str">
        <f aca="false">INDEX(Risk_Matrix!$B$2:$D$4,MATCH(E863,Risk_Matrix!$A$2:$A$4,0),MATCH(F863,Risk_Matrix!$B$1:$D$1,0))</f>
        <v>Low</v>
      </c>
      <c r="H863" s="12" t="n">
        <v>46232</v>
      </c>
      <c r="I863" s="5" t="s">
        <v>2256</v>
      </c>
      <c r="J863" s="5" t="s">
        <v>2257</v>
      </c>
      <c r="K863" s="5" t="s">
        <v>2266</v>
      </c>
      <c r="L863" s="5" t="n">
        <f aca="false">IF(G863="High",3,IF(G863="Medium",2,1))</f>
        <v>1</v>
      </c>
    </row>
    <row r="864" customFormat="false" ht="15" hidden="false" customHeight="true" outlineLevel="0" collapsed="false">
      <c r="A864" s="5" t="s">
        <v>3140</v>
      </c>
      <c r="B864" s="5" t="s">
        <v>1266</v>
      </c>
      <c r="C864" s="5" t="s">
        <v>2259</v>
      </c>
      <c r="D864" s="5" t="s">
        <v>2274</v>
      </c>
      <c r="E864" s="5" t="s">
        <v>59</v>
      </c>
      <c r="F864" s="5" t="s">
        <v>2225</v>
      </c>
      <c r="G864" s="5" t="str">
        <f aca="false">INDEX(Risk_Matrix!$B$2:$D$4,MATCH(E864,Risk_Matrix!$A$2:$A$4,0),MATCH(F864,Risk_Matrix!$B$1:$D$1,0))</f>
        <v>Low</v>
      </c>
      <c r="H864" s="12" t="n">
        <v>46217</v>
      </c>
      <c r="I864" s="5" t="s">
        <v>2256</v>
      </c>
      <c r="J864" s="5" t="s">
        <v>2257</v>
      </c>
      <c r="K864" s="5" t="s">
        <v>2252</v>
      </c>
      <c r="L864" s="5" t="n">
        <f aca="false">IF(G864="High",3,IF(G864="Medium",2,1))</f>
        <v>1</v>
      </c>
    </row>
    <row r="865" customFormat="false" ht="15" hidden="false" customHeight="true" outlineLevel="0" collapsed="false">
      <c r="A865" s="5" t="s">
        <v>3141</v>
      </c>
      <c r="B865" s="5" t="s">
        <v>1266</v>
      </c>
      <c r="C865" s="5" t="s">
        <v>2262</v>
      </c>
      <c r="D865" s="5" t="s">
        <v>2263</v>
      </c>
      <c r="E865" s="5" t="s">
        <v>2225</v>
      </c>
      <c r="F865" s="5" t="s">
        <v>2225</v>
      </c>
      <c r="G865" s="5" t="str">
        <f aca="false">INDEX(Risk_Matrix!$B$2:$D$4,MATCH(E865,Risk_Matrix!$A$2:$A$4,0),MATCH(F865,Risk_Matrix!$B$1:$D$1,0))</f>
        <v>Medium</v>
      </c>
      <c r="H865" s="12" t="n">
        <v>46180</v>
      </c>
      <c r="I865" s="5" t="s">
        <v>2264</v>
      </c>
      <c r="J865" s="5" t="s">
        <v>2265</v>
      </c>
      <c r="K865" s="5" t="s">
        <v>2276</v>
      </c>
      <c r="L865" s="5" t="n">
        <f aca="false">IF(G865="High",3,IF(G865="Medium",2,1))</f>
        <v>2</v>
      </c>
    </row>
    <row r="866" customFormat="false" ht="15" hidden="false" customHeight="true" outlineLevel="0" collapsed="false">
      <c r="A866" s="5" t="s">
        <v>3142</v>
      </c>
      <c r="B866" s="5" t="s">
        <v>1268</v>
      </c>
      <c r="C866" s="5" t="s">
        <v>2239</v>
      </c>
      <c r="D866" s="5" t="s">
        <v>2240</v>
      </c>
      <c r="E866" s="5" t="s">
        <v>59</v>
      </c>
      <c r="F866" s="5" t="s">
        <v>59</v>
      </c>
      <c r="G866" s="5" t="str">
        <f aca="false">INDEX(Risk_Matrix!$B$2:$D$4,MATCH(E866,Risk_Matrix!$A$2:$A$4,0),MATCH(F866,Risk_Matrix!$B$1:$D$1,0))</f>
        <v>Low</v>
      </c>
      <c r="H866" s="12" t="n">
        <v>46188</v>
      </c>
      <c r="I866" s="5" t="s">
        <v>2256</v>
      </c>
      <c r="J866" s="5" t="s">
        <v>2257</v>
      </c>
      <c r="K866" s="5" t="s">
        <v>2252</v>
      </c>
      <c r="L866" s="5" t="n">
        <f aca="false">IF(G866="High",3,IF(G866="Medium",2,1))</f>
        <v>1</v>
      </c>
    </row>
    <row r="867" customFormat="false" ht="15" hidden="false" customHeight="true" outlineLevel="0" collapsed="false">
      <c r="A867" s="5" t="s">
        <v>3143</v>
      </c>
      <c r="B867" s="5" t="s">
        <v>1268</v>
      </c>
      <c r="C867" s="5" t="s">
        <v>2245</v>
      </c>
      <c r="D867" s="5" t="s">
        <v>2269</v>
      </c>
      <c r="E867" s="5" t="s">
        <v>59</v>
      </c>
      <c r="F867" s="5" t="s">
        <v>2225</v>
      </c>
      <c r="G867" s="5" t="str">
        <f aca="false">INDEX(Risk_Matrix!$B$2:$D$4,MATCH(E867,Risk_Matrix!$A$2:$A$4,0),MATCH(F867,Risk_Matrix!$B$1:$D$1,0))</f>
        <v>Low</v>
      </c>
      <c r="H867" s="12" t="n">
        <v>46168</v>
      </c>
      <c r="I867" s="5" t="s">
        <v>2250</v>
      </c>
      <c r="J867" s="5" t="s">
        <v>2251</v>
      </c>
      <c r="K867" s="5" t="s">
        <v>2266</v>
      </c>
      <c r="L867" s="5" t="n">
        <f aca="false">IF(G867="High",3,IF(G867="Medium",2,1))</f>
        <v>1</v>
      </c>
    </row>
    <row r="868" customFormat="false" ht="15" hidden="false" customHeight="true" outlineLevel="0" collapsed="false">
      <c r="A868" s="5" t="s">
        <v>3144</v>
      </c>
      <c r="B868" s="5" t="s">
        <v>1268</v>
      </c>
      <c r="C868" s="5" t="s">
        <v>2248</v>
      </c>
      <c r="D868" s="5" t="s">
        <v>2322</v>
      </c>
      <c r="E868" s="5" t="s">
        <v>54</v>
      </c>
      <c r="F868" s="5" t="s">
        <v>2225</v>
      </c>
      <c r="G868" s="5" t="str">
        <f aca="false">INDEX(Risk_Matrix!$B$2:$D$4,MATCH(E868,Risk_Matrix!$A$2:$A$4,0),MATCH(F868,Risk_Matrix!$B$1:$D$1,0))</f>
        <v>High</v>
      </c>
      <c r="H868" s="12" t="n">
        <v>46172</v>
      </c>
      <c r="I868" s="5" t="s">
        <v>2250</v>
      </c>
      <c r="J868" s="5" t="s">
        <v>2251</v>
      </c>
      <c r="K868" s="5" t="s">
        <v>2276</v>
      </c>
      <c r="L868" s="5" t="n">
        <f aca="false">IF(G868="High",3,IF(G868="Medium",2,1))</f>
        <v>3</v>
      </c>
    </row>
    <row r="869" customFormat="false" ht="15" hidden="false" customHeight="true" outlineLevel="0" collapsed="false">
      <c r="A869" s="5" t="s">
        <v>3145</v>
      </c>
      <c r="B869" s="5" t="s">
        <v>1268</v>
      </c>
      <c r="C869" s="5" t="s">
        <v>2254</v>
      </c>
      <c r="D869" s="5" t="s">
        <v>2308</v>
      </c>
      <c r="E869" s="5" t="s">
        <v>59</v>
      </c>
      <c r="F869" s="5" t="s">
        <v>59</v>
      </c>
      <c r="G869" s="5" t="str">
        <f aca="false">INDEX(Risk_Matrix!$B$2:$D$4,MATCH(E869,Risk_Matrix!$A$2:$A$4,0),MATCH(F869,Risk_Matrix!$B$1:$D$1,0))</f>
        <v>Low</v>
      </c>
      <c r="H869" s="12" t="n">
        <v>46135</v>
      </c>
      <c r="I869" s="5" t="s">
        <v>2241</v>
      </c>
      <c r="J869" s="5" t="s">
        <v>2242</v>
      </c>
      <c r="K869" s="5" t="s">
        <v>2283</v>
      </c>
      <c r="L869" s="5" t="n">
        <f aca="false">IF(G869="High",3,IF(G869="Medium",2,1))</f>
        <v>1</v>
      </c>
    </row>
    <row r="870" customFormat="false" ht="15" hidden="false" customHeight="true" outlineLevel="0" collapsed="false">
      <c r="A870" s="5" t="s">
        <v>3146</v>
      </c>
      <c r="B870" s="5" t="s">
        <v>1268</v>
      </c>
      <c r="C870" s="5" t="s">
        <v>2259</v>
      </c>
      <c r="D870" s="5" t="s">
        <v>2285</v>
      </c>
      <c r="E870" s="5" t="s">
        <v>59</v>
      </c>
      <c r="F870" s="5" t="s">
        <v>2225</v>
      </c>
      <c r="G870" s="5" t="str">
        <f aca="false">INDEX(Risk_Matrix!$B$2:$D$4,MATCH(E870,Risk_Matrix!$A$2:$A$4,0),MATCH(F870,Risk_Matrix!$B$1:$D$1,0))</f>
        <v>Low</v>
      </c>
      <c r="H870" s="12" t="n">
        <v>46200</v>
      </c>
      <c r="I870" s="5" t="s">
        <v>2241</v>
      </c>
      <c r="J870" s="5" t="s">
        <v>2242</v>
      </c>
      <c r="K870" s="5" t="s">
        <v>2243</v>
      </c>
      <c r="L870" s="5" t="n">
        <f aca="false">IF(G870="High",3,IF(G870="Medium",2,1))</f>
        <v>1</v>
      </c>
    </row>
    <row r="871" customFormat="false" ht="15" hidden="false" customHeight="true" outlineLevel="0" collapsed="false">
      <c r="A871" s="5" t="s">
        <v>3147</v>
      </c>
      <c r="B871" s="5" t="s">
        <v>1268</v>
      </c>
      <c r="C871" s="5" t="s">
        <v>2262</v>
      </c>
      <c r="D871" s="5" t="s">
        <v>2287</v>
      </c>
      <c r="E871" s="5" t="s">
        <v>59</v>
      </c>
      <c r="F871" s="5" t="s">
        <v>2225</v>
      </c>
      <c r="G871" s="5" t="str">
        <f aca="false">INDEX(Risk_Matrix!$B$2:$D$4,MATCH(E871,Risk_Matrix!$A$2:$A$4,0),MATCH(F871,Risk_Matrix!$B$1:$D$1,0))</f>
        <v>Low</v>
      </c>
      <c r="H871" s="12" t="n">
        <v>46106</v>
      </c>
      <c r="I871" s="5" t="s">
        <v>2250</v>
      </c>
      <c r="J871" s="5" t="s">
        <v>2251</v>
      </c>
      <c r="K871" s="5" t="s">
        <v>2283</v>
      </c>
      <c r="L871" s="5" t="n">
        <f aca="false">IF(G871="High",3,IF(G871="Medium",2,1))</f>
        <v>1</v>
      </c>
    </row>
    <row r="872" customFormat="false" ht="15" hidden="false" customHeight="true" outlineLevel="0" collapsed="false">
      <c r="A872" s="5" t="s">
        <v>3148</v>
      </c>
      <c r="B872" s="5" t="s">
        <v>1270</v>
      </c>
      <c r="C872" s="5" t="s">
        <v>2239</v>
      </c>
      <c r="D872" s="5" t="s">
        <v>2295</v>
      </c>
      <c r="E872" s="5" t="s">
        <v>2225</v>
      </c>
      <c r="F872" s="5" t="s">
        <v>59</v>
      </c>
      <c r="G872" s="5" t="str">
        <f aca="false">INDEX(Risk_Matrix!$B$2:$D$4,MATCH(E872,Risk_Matrix!$A$2:$A$4,0),MATCH(F872,Risk_Matrix!$B$1:$D$1,0))</f>
        <v>Low</v>
      </c>
      <c r="H872" s="12" t="n">
        <v>46158</v>
      </c>
      <c r="I872" s="5" t="s">
        <v>2264</v>
      </c>
      <c r="J872" s="5" t="s">
        <v>2265</v>
      </c>
      <c r="K872" s="5" t="s">
        <v>2266</v>
      </c>
      <c r="L872" s="5" t="n">
        <f aca="false">IF(G872="High",3,IF(G872="Medium",2,1))</f>
        <v>1</v>
      </c>
    </row>
    <row r="873" customFormat="false" ht="15" hidden="false" customHeight="true" outlineLevel="0" collapsed="false">
      <c r="A873" s="5" t="s">
        <v>3149</v>
      </c>
      <c r="B873" s="5" t="s">
        <v>1270</v>
      </c>
      <c r="C873" s="5" t="s">
        <v>2245</v>
      </c>
      <c r="D873" s="5" t="s">
        <v>2280</v>
      </c>
      <c r="E873" s="5" t="s">
        <v>2225</v>
      </c>
      <c r="F873" s="5" t="s">
        <v>2225</v>
      </c>
      <c r="G873" s="5" t="str">
        <f aca="false">INDEX(Risk_Matrix!$B$2:$D$4,MATCH(E873,Risk_Matrix!$A$2:$A$4,0),MATCH(F873,Risk_Matrix!$B$1:$D$1,0))</f>
        <v>Medium</v>
      </c>
      <c r="H873" s="12" t="n">
        <v>46123</v>
      </c>
      <c r="I873" s="5" t="s">
        <v>2256</v>
      </c>
      <c r="J873" s="5" t="s">
        <v>2257</v>
      </c>
      <c r="K873" s="5" t="s">
        <v>2283</v>
      </c>
      <c r="L873" s="5" t="n">
        <f aca="false">IF(G873="High",3,IF(G873="Medium",2,1))</f>
        <v>2</v>
      </c>
    </row>
    <row r="874" customFormat="false" ht="15" hidden="false" customHeight="true" outlineLevel="0" collapsed="false">
      <c r="A874" s="5" t="s">
        <v>3150</v>
      </c>
      <c r="B874" s="5" t="s">
        <v>1270</v>
      </c>
      <c r="C874" s="5" t="s">
        <v>2248</v>
      </c>
      <c r="D874" s="5" t="s">
        <v>2306</v>
      </c>
      <c r="E874" s="5" t="s">
        <v>59</v>
      </c>
      <c r="F874" s="5" t="s">
        <v>2225</v>
      </c>
      <c r="G874" s="5" t="str">
        <f aca="false">INDEX(Risk_Matrix!$B$2:$D$4,MATCH(E874,Risk_Matrix!$A$2:$A$4,0),MATCH(F874,Risk_Matrix!$B$1:$D$1,0))</f>
        <v>Low</v>
      </c>
      <c r="H874" s="12" t="n">
        <v>46236</v>
      </c>
      <c r="I874" s="5" t="s">
        <v>2256</v>
      </c>
      <c r="J874" s="5" t="s">
        <v>2257</v>
      </c>
      <c r="K874" s="5" t="s">
        <v>2243</v>
      </c>
      <c r="L874" s="5" t="n">
        <f aca="false">IF(G874="High",3,IF(G874="Medium",2,1))</f>
        <v>1</v>
      </c>
    </row>
    <row r="875" customFormat="false" ht="15" hidden="false" customHeight="true" outlineLevel="0" collapsed="false">
      <c r="A875" s="5" t="s">
        <v>3151</v>
      </c>
      <c r="B875" s="5" t="s">
        <v>1270</v>
      </c>
      <c r="C875" s="5" t="s">
        <v>2254</v>
      </c>
      <c r="D875" s="5" t="s">
        <v>2299</v>
      </c>
      <c r="E875" s="5" t="s">
        <v>2225</v>
      </c>
      <c r="F875" s="5" t="s">
        <v>59</v>
      </c>
      <c r="G875" s="5" t="str">
        <f aca="false">INDEX(Risk_Matrix!$B$2:$D$4,MATCH(E875,Risk_Matrix!$A$2:$A$4,0),MATCH(F875,Risk_Matrix!$B$1:$D$1,0))</f>
        <v>Low</v>
      </c>
      <c r="H875" s="12" t="n">
        <v>46063</v>
      </c>
      <c r="I875" s="5" t="s">
        <v>2250</v>
      </c>
      <c r="J875" s="5" t="s">
        <v>2251</v>
      </c>
      <c r="K875" s="5" t="s">
        <v>2243</v>
      </c>
      <c r="L875" s="5" t="n">
        <f aca="false">IF(G875="High",3,IF(G875="Medium",2,1))</f>
        <v>1</v>
      </c>
    </row>
    <row r="876" customFormat="false" ht="15" hidden="false" customHeight="true" outlineLevel="0" collapsed="false">
      <c r="A876" s="5" t="s">
        <v>3152</v>
      </c>
      <c r="B876" s="5" t="s">
        <v>1270</v>
      </c>
      <c r="C876" s="5" t="s">
        <v>2259</v>
      </c>
      <c r="D876" s="5" t="s">
        <v>2285</v>
      </c>
      <c r="E876" s="5" t="s">
        <v>2225</v>
      </c>
      <c r="F876" s="5" t="s">
        <v>59</v>
      </c>
      <c r="G876" s="5" t="str">
        <f aca="false">INDEX(Risk_Matrix!$B$2:$D$4,MATCH(E876,Risk_Matrix!$A$2:$A$4,0),MATCH(F876,Risk_Matrix!$B$1:$D$1,0))</f>
        <v>Low</v>
      </c>
      <c r="H876" s="12" t="n">
        <v>46230</v>
      </c>
      <c r="I876" s="5" t="s">
        <v>2256</v>
      </c>
      <c r="J876" s="5" t="s">
        <v>2257</v>
      </c>
      <c r="K876" s="5" t="s">
        <v>2266</v>
      </c>
      <c r="L876" s="5" t="n">
        <f aca="false">IF(G876="High",3,IF(G876="Medium",2,1))</f>
        <v>1</v>
      </c>
    </row>
    <row r="877" customFormat="false" ht="15" hidden="false" customHeight="true" outlineLevel="0" collapsed="false">
      <c r="A877" s="5" t="s">
        <v>3153</v>
      </c>
      <c r="B877" s="5" t="s">
        <v>1270</v>
      </c>
      <c r="C877" s="5" t="s">
        <v>2262</v>
      </c>
      <c r="D877" s="5" t="s">
        <v>2287</v>
      </c>
      <c r="E877" s="5" t="s">
        <v>54</v>
      </c>
      <c r="F877" s="5" t="s">
        <v>54</v>
      </c>
      <c r="G877" s="5" t="str">
        <f aca="false">INDEX(Risk_Matrix!$B$2:$D$4,MATCH(E877,Risk_Matrix!$A$2:$A$4,0),MATCH(F877,Risk_Matrix!$B$1:$D$1,0))</f>
        <v>High</v>
      </c>
      <c r="H877" s="12" t="n">
        <v>46084</v>
      </c>
      <c r="I877" s="5" t="s">
        <v>2250</v>
      </c>
      <c r="J877" s="5" t="s">
        <v>2251</v>
      </c>
      <c r="K877" s="5" t="s">
        <v>2283</v>
      </c>
      <c r="L877" s="5" t="n">
        <f aca="false">IF(G877="High",3,IF(G877="Medium",2,1))</f>
        <v>3</v>
      </c>
    </row>
    <row r="878" customFormat="false" ht="15" hidden="false" customHeight="true" outlineLevel="0" collapsed="false">
      <c r="A878" s="5" t="s">
        <v>3154</v>
      </c>
      <c r="B878" s="5" t="s">
        <v>1272</v>
      </c>
      <c r="C878" s="5" t="s">
        <v>2239</v>
      </c>
      <c r="D878" s="5" t="s">
        <v>2295</v>
      </c>
      <c r="E878" s="5" t="s">
        <v>54</v>
      </c>
      <c r="F878" s="5" t="s">
        <v>59</v>
      </c>
      <c r="G878" s="5" t="str">
        <f aca="false">INDEX(Risk_Matrix!$B$2:$D$4,MATCH(E878,Risk_Matrix!$A$2:$A$4,0),MATCH(F878,Risk_Matrix!$B$1:$D$1,0))</f>
        <v>Medium</v>
      </c>
      <c r="H878" s="12" t="n">
        <v>46102</v>
      </c>
      <c r="I878" s="5" t="s">
        <v>2256</v>
      </c>
      <c r="J878" s="5" t="s">
        <v>2257</v>
      </c>
      <c r="K878" s="5" t="s">
        <v>2243</v>
      </c>
      <c r="L878" s="5" t="n">
        <f aca="false">IF(G878="High",3,IF(G878="Medium",2,1))</f>
        <v>2</v>
      </c>
    </row>
    <row r="879" customFormat="false" ht="15" hidden="false" customHeight="true" outlineLevel="0" collapsed="false">
      <c r="A879" s="5" t="s">
        <v>3155</v>
      </c>
      <c r="B879" s="5" t="s">
        <v>1272</v>
      </c>
      <c r="C879" s="5" t="s">
        <v>2245</v>
      </c>
      <c r="D879" s="5" t="s">
        <v>2320</v>
      </c>
      <c r="E879" s="5" t="s">
        <v>59</v>
      </c>
      <c r="F879" s="5" t="s">
        <v>59</v>
      </c>
      <c r="G879" s="5" t="str">
        <f aca="false">INDEX(Risk_Matrix!$B$2:$D$4,MATCH(E879,Risk_Matrix!$A$2:$A$4,0),MATCH(F879,Risk_Matrix!$B$1:$D$1,0))</f>
        <v>Low</v>
      </c>
      <c r="H879" s="12" t="n">
        <v>46075</v>
      </c>
      <c r="I879" s="5" t="s">
        <v>2241</v>
      </c>
      <c r="J879" s="5" t="s">
        <v>2242</v>
      </c>
      <c r="K879" s="5" t="s">
        <v>2252</v>
      </c>
      <c r="L879" s="5" t="n">
        <f aca="false">IF(G879="High",3,IF(G879="Medium",2,1))</f>
        <v>1</v>
      </c>
    </row>
    <row r="880" customFormat="false" ht="15" hidden="false" customHeight="true" outlineLevel="0" collapsed="false">
      <c r="A880" s="5" t="s">
        <v>3156</v>
      </c>
      <c r="B880" s="5" t="s">
        <v>1272</v>
      </c>
      <c r="C880" s="5" t="s">
        <v>2248</v>
      </c>
      <c r="D880" s="5" t="s">
        <v>2306</v>
      </c>
      <c r="E880" s="5" t="s">
        <v>59</v>
      </c>
      <c r="F880" s="5" t="s">
        <v>2225</v>
      </c>
      <c r="G880" s="5" t="str">
        <f aca="false">INDEX(Risk_Matrix!$B$2:$D$4,MATCH(E880,Risk_Matrix!$A$2:$A$4,0),MATCH(F880,Risk_Matrix!$B$1:$D$1,0))</f>
        <v>Low</v>
      </c>
      <c r="H880" s="12" t="n">
        <v>46062</v>
      </c>
      <c r="I880" s="5" t="s">
        <v>2256</v>
      </c>
      <c r="J880" s="5" t="s">
        <v>2257</v>
      </c>
      <c r="K880" s="5" t="s">
        <v>2283</v>
      </c>
      <c r="L880" s="5" t="n">
        <f aca="false">IF(G880="High",3,IF(G880="Medium",2,1))</f>
        <v>1</v>
      </c>
    </row>
    <row r="881" customFormat="false" ht="15" hidden="false" customHeight="true" outlineLevel="0" collapsed="false">
      <c r="A881" s="5" t="s">
        <v>3157</v>
      </c>
      <c r="B881" s="5" t="s">
        <v>1272</v>
      </c>
      <c r="C881" s="5" t="s">
        <v>2254</v>
      </c>
      <c r="D881" s="5" t="s">
        <v>2308</v>
      </c>
      <c r="E881" s="5" t="s">
        <v>59</v>
      </c>
      <c r="F881" s="5" t="s">
        <v>59</v>
      </c>
      <c r="G881" s="5" t="str">
        <f aca="false">INDEX(Risk_Matrix!$B$2:$D$4,MATCH(E881,Risk_Matrix!$A$2:$A$4,0),MATCH(F881,Risk_Matrix!$B$1:$D$1,0))</f>
        <v>Low</v>
      </c>
      <c r="H881" s="12" t="n">
        <v>46140</v>
      </c>
      <c r="I881" s="5" t="s">
        <v>2264</v>
      </c>
      <c r="J881" s="5" t="s">
        <v>2265</v>
      </c>
      <c r="K881" s="5" t="s">
        <v>2252</v>
      </c>
      <c r="L881" s="5" t="n">
        <f aca="false">IF(G881="High",3,IF(G881="Medium",2,1))</f>
        <v>1</v>
      </c>
    </row>
    <row r="882" customFormat="false" ht="15" hidden="false" customHeight="true" outlineLevel="0" collapsed="false">
      <c r="A882" s="5" t="s">
        <v>3158</v>
      </c>
      <c r="B882" s="5" t="s">
        <v>1272</v>
      </c>
      <c r="C882" s="5" t="s">
        <v>2259</v>
      </c>
      <c r="D882" s="5" t="s">
        <v>2260</v>
      </c>
      <c r="E882" s="5" t="s">
        <v>59</v>
      </c>
      <c r="F882" s="5" t="s">
        <v>2225</v>
      </c>
      <c r="G882" s="5" t="str">
        <f aca="false">INDEX(Risk_Matrix!$B$2:$D$4,MATCH(E882,Risk_Matrix!$A$2:$A$4,0),MATCH(F882,Risk_Matrix!$B$1:$D$1,0))</f>
        <v>Low</v>
      </c>
      <c r="H882" s="12" t="n">
        <v>46224</v>
      </c>
      <c r="I882" s="5" t="s">
        <v>2256</v>
      </c>
      <c r="J882" s="5" t="s">
        <v>2257</v>
      </c>
      <c r="K882" s="5" t="s">
        <v>2252</v>
      </c>
      <c r="L882" s="5" t="n">
        <f aca="false">IF(G882="High",3,IF(G882="Medium",2,1))</f>
        <v>1</v>
      </c>
    </row>
    <row r="883" customFormat="false" ht="15" hidden="false" customHeight="true" outlineLevel="0" collapsed="false">
      <c r="A883" s="5" t="s">
        <v>3159</v>
      </c>
      <c r="B883" s="5" t="s">
        <v>1272</v>
      </c>
      <c r="C883" s="5" t="s">
        <v>2262</v>
      </c>
      <c r="D883" s="5" t="s">
        <v>2263</v>
      </c>
      <c r="E883" s="5" t="s">
        <v>59</v>
      </c>
      <c r="F883" s="5" t="s">
        <v>59</v>
      </c>
      <c r="G883" s="5" t="str">
        <f aca="false">INDEX(Risk_Matrix!$B$2:$D$4,MATCH(E883,Risk_Matrix!$A$2:$A$4,0),MATCH(F883,Risk_Matrix!$B$1:$D$1,0))</f>
        <v>Low</v>
      </c>
      <c r="H883" s="12" t="n">
        <v>46138</v>
      </c>
      <c r="I883" s="5" t="s">
        <v>2264</v>
      </c>
      <c r="J883" s="5" t="s">
        <v>2265</v>
      </c>
      <c r="K883" s="5" t="s">
        <v>2266</v>
      </c>
      <c r="L883" s="5" t="n">
        <f aca="false">IF(G883="High",3,IF(G883="Medium",2,1))</f>
        <v>1</v>
      </c>
    </row>
    <row r="884" customFormat="false" ht="15" hidden="false" customHeight="true" outlineLevel="0" collapsed="false">
      <c r="A884" s="5" t="s">
        <v>3160</v>
      </c>
      <c r="B884" s="5" t="s">
        <v>1274</v>
      </c>
      <c r="C884" s="5" t="s">
        <v>2239</v>
      </c>
      <c r="D884" s="5" t="s">
        <v>2240</v>
      </c>
      <c r="E884" s="5" t="s">
        <v>59</v>
      </c>
      <c r="F884" s="5" t="s">
        <v>59</v>
      </c>
      <c r="G884" s="5" t="str">
        <f aca="false">INDEX(Risk_Matrix!$B$2:$D$4,MATCH(E884,Risk_Matrix!$A$2:$A$4,0),MATCH(F884,Risk_Matrix!$B$1:$D$1,0))</f>
        <v>Low</v>
      </c>
      <c r="H884" s="12" t="n">
        <v>46139</v>
      </c>
      <c r="I884" s="5" t="s">
        <v>2250</v>
      </c>
      <c r="J884" s="5" t="s">
        <v>2251</v>
      </c>
      <c r="K884" s="5" t="s">
        <v>2266</v>
      </c>
      <c r="L884" s="5" t="n">
        <f aca="false">IF(G884="High",3,IF(G884="Medium",2,1))</f>
        <v>1</v>
      </c>
    </row>
    <row r="885" customFormat="false" ht="15" hidden="false" customHeight="true" outlineLevel="0" collapsed="false">
      <c r="A885" s="5" t="s">
        <v>3161</v>
      </c>
      <c r="B885" s="5" t="s">
        <v>1274</v>
      </c>
      <c r="C885" s="5" t="s">
        <v>2245</v>
      </c>
      <c r="D885" s="5" t="s">
        <v>2320</v>
      </c>
      <c r="E885" s="5" t="s">
        <v>54</v>
      </c>
      <c r="F885" s="5" t="s">
        <v>59</v>
      </c>
      <c r="G885" s="5" t="str">
        <f aca="false">INDEX(Risk_Matrix!$B$2:$D$4,MATCH(E885,Risk_Matrix!$A$2:$A$4,0),MATCH(F885,Risk_Matrix!$B$1:$D$1,0))</f>
        <v>Medium</v>
      </c>
      <c r="H885" s="12" t="n">
        <v>46068</v>
      </c>
      <c r="I885" s="5" t="s">
        <v>2264</v>
      </c>
      <c r="J885" s="5" t="s">
        <v>2265</v>
      </c>
      <c r="K885" s="5" t="s">
        <v>2243</v>
      </c>
      <c r="L885" s="5" t="n">
        <f aca="false">IF(G885="High",3,IF(G885="Medium",2,1))</f>
        <v>2</v>
      </c>
    </row>
    <row r="886" customFormat="false" ht="15" hidden="false" customHeight="true" outlineLevel="0" collapsed="false">
      <c r="A886" s="5" t="s">
        <v>3162</v>
      </c>
      <c r="B886" s="5" t="s">
        <v>1274</v>
      </c>
      <c r="C886" s="5" t="s">
        <v>2248</v>
      </c>
      <c r="D886" s="5" t="s">
        <v>2322</v>
      </c>
      <c r="E886" s="5" t="s">
        <v>2225</v>
      </c>
      <c r="F886" s="5" t="s">
        <v>54</v>
      </c>
      <c r="G886" s="5" t="str">
        <f aca="false">INDEX(Risk_Matrix!$B$2:$D$4,MATCH(E886,Risk_Matrix!$A$2:$A$4,0),MATCH(F886,Risk_Matrix!$B$1:$D$1,0))</f>
        <v>High</v>
      </c>
      <c r="H886" s="12" t="n">
        <v>46110</v>
      </c>
      <c r="I886" s="5" t="s">
        <v>2250</v>
      </c>
      <c r="J886" s="5" t="s">
        <v>2251</v>
      </c>
      <c r="K886" s="5" t="s">
        <v>2243</v>
      </c>
      <c r="L886" s="5" t="n">
        <f aca="false">IF(G886="High",3,IF(G886="Medium",2,1))</f>
        <v>3</v>
      </c>
    </row>
    <row r="887" customFormat="false" ht="15" hidden="false" customHeight="true" outlineLevel="0" collapsed="false">
      <c r="A887" s="5" t="s">
        <v>3163</v>
      </c>
      <c r="B887" s="5" t="s">
        <v>1274</v>
      </c>
      <c r="C887" s="5" t="s">
        <v>2254</v>
      </c>
      <c r="D887" s="5" t="s">
        <v>2308</v>
      </c>
      <c r="E887" s="5" t="s">
        <v>59</v>
      </c>
      <c r="F887" s="5" t="s">
        <v>54</v>
      </c>
      <c r="G887" s="5" t="str">
        <f aca="false">INDEX(Risk_Matrix!$B$2:$D$4,MATCH(E887,Risk_Matrix!$A$2:$A$4,0),MATCH(F887,Risk_Matrix!$B$1:$D$1,0))</f>
        <v>Medium</v>
      </c>
      <c r="H887" s="12" t="n">
        <v>46136</v>
      </c>
      <c r="I887" s="5" t="s">
        <v>2250</v>
      </c>
      <c r="J887" s="5" t="s">
        <v>2251</v>
      </c>
      <c r="K887" s="5" t="s">
        <v>2283</v>
      </c>
      <c r="L887" s="5" t="n">
        <f aca="false">IF(G887="High",3,IF(G887="Medium",2,1))</f>
        <v>2</v>
      </c>
    </row>
    <row r="888" customFormat="false" ht="15" hidden="false" customHeight="true" outlineLevel="0" collapsed="false">
      <c r="A888" s="5" t="s">
        <v>3164</v>
      </c>
      <c r="B888" s="5" t="s">
        <v>1274</v>
      </c>
      <c r="C888" s="5" t="s">
        <v>2259</v>
      </c>
      <c r="D888" s="5" t="s">
        <v>2260</v>
      </c>
      <c r="E888" s="5" t="s">
        <v>2225</v>
      </c>
      <c r="F888" s="5" t="s">
        <v>54</v>
      </c>
      <c r="G888" s="5" t="str">
        <f aca="false">INDEX(Risk_Matrix!$B$2:$D$4,MATCH(E888,Risk_Matrix!$A$2:$A$4,0),MATCH(F888,Risk_Matrix!$B$1:$D$1,0))</f>
        <v>High</v>
      </c>
      <c r="H888" s="12" t="n">
        <v>46121</v>
      </c>
      <c r="I888" s="5" t="s">
        <v>2264</v>
      </c>
      <c r="J888" s="5" t="s">
        <v>2265</v>
      </c>
      <c r="K888" s="5" t="s">
        <v>2243</v>
      </c>
      <c r="L888" s="5" t="n">
        <f aca="false">IF(G888="High",3,IF(G888="Medium",2,1))</f>
        <v>3</v>
      </c>
    </row>
    <row r="889" customFormat="false" ht="15" hidden="false" customHeight="true" outlineLevel="0" collapsed="false">
      <c r="A889" s="5" t="s">
        <v>3165</v>
      </c>
      <c r="B889" s="5" t="s">
        <v>1274</v>
      </c>
      <c r="C889" s="5" t="s">
        <v>2262</v>
      </c>
      <c r="D889" s="5" t="s">
        <v>2263</v>
      </c>
      <c r="E889" s="5" t="s">
        <v>59</v>
      </c>
      <c r="F889" s="5" t="s">
        <v>59</v>
      </c>
      <c r="G889" s="5" t="str">
        <f aca="false">INDEX(Risk_Matrix!$B$2:$D$4,MATCH(E889,Risk_Matrix!$A$2:$A$4,0),MATCH(F889,Risk_Matrix!$B$1:$D$1,0))</f>
        <v>Low</v>
      </c>
      <c r="H889" s="12" t="n">
        <v>46122</v>
      </c>
      <c r="I889" s="5" t="s">
        <v>2250</v>
      </c>
      <c r="J889" s="5" t="s">
        <v>2251</v>
      </c>
      <c r="K889" s="5" t="s">
        <v>2252</v>
      </c>
      <c r="L889" s="5" t="n">
        <f aca="false">IF(G889="High",3,IF(G889="Medium",2,1))</f>
        <v>1</v>
      </c>
    </row>
    <row r="890" customFormat="false" ht="15" hidden="false" customHeight="true" outlineLevel="0" collapsed="false">
      <c r="A890" s="5" t="s">
        <v>3166</v>
      </c>
      <c r="B890" s="5" t="s">
        <v>1276</v>
      </c>
      <c r="C890" s="5" t="s">
        <v>2239</v>
      </c>
      <c r="D890" s="5" t="s">
        <v>2278</v>
      </c>
      <c r="E890" s="5" t="s">
        <v>59</v>
      </c>
      <c r="F890" s="5" t="s">
        <v>2225</v>
      </c>
      <c r="G890" s="5" t="str">
        <f aca="false">INDEX(Risk_Matrix!$B$2:$D$4,MATCH(E890,Risk_Matrix!$A$2:$A$4,0),MATCH(F890,Risk_Matrix!$B$1:$D$1,0))</f>
        <v>Low</v>
      </c>
      <c r="H890" s="12" t="n">
        <v>46132</v>
      </c>
      <c r="I890" s="5" t="s">
        <v>2264</v>
      </c>
      <c r="J890" s="5" t="s">
        <v>2265</v>
      </c>
      <c r="K890" s="5" t="s">
        <v>2266</v>
      </c>
      <c r="L890" s="5" t="n">
        <f aca="false">IF(G890="High",3,IF(G890="Medium",2,1))</f>
        <v>1</v>
      </c>
    </row>
    <row r="891" customFormat="false" ht="15" hidden="false" customHeight="true" outlineLevel="0" collapsed="false">
      <c r="A891" s="5" t="s">
        <v>3167</v>
      </c>
      <c r="B891" s="5" t="s">
        <v>1276</v>
      </c>
      <c r="C891" s="5" t="s">
        <v>2245</v>
      </c>
      <c r="D891" s="5" t="s">
        <v>2320</v>
      </c>
      <c r="E891" s="5" t="s">
        <v>54</v>
      </c>
      <c r="F891" s="5" t="s">
        <v>2225</v>
      </c>
      <c r="G891" s="5" t="str">
        <f aca="false">INDEX(Risk_Matrix!$B$2:$D$4,MATCH(E891,Risk_Matrix!$A$2:$A$4,0),MATCH(F891,Risk_Matrix!$B$1:$D$1,0))</f>
        <v>High</v>
      </c>
      <c r="H891" s="12" t="n">
        <v>46070</v>
      </c>
      <c r="I891" s="5" t="s">
        <v>2250</v>
      </c>
      <c r="J891" s="5" t="s">
        <v>2251</v>
      </c>
      <c r="K891" s="5" t="s">
        <v>2266</v>
      </c>
      <c r="L891" s="5" t="n">
        <f aca="false">IF(G891="High",3,IF(G891="Medium",2,1))</f>
        <v>3</v>
      </c>
    </row>
    <row r="892" customFormat="false" ht="15" hidden="false" customHeight="true" outlineLevel="0" collapsed="false">
      <c r="A892" s="5" t="s">
        <v>3168</v>
      </c>
      <c r="B892" s="5" t="s">
        <v>1276</v>
      </c>
      <c r="C892" s="5" t="s">
        <v>2248</v>
      </c>
      <c r="D892" s="5" t="s">
        <v>2306</v>
      </c>
      <c r="E892" s="5" t="s">
        <v>59</v>
      </c>
      <c r="F892" s="5" t="s">
        <v>54</v>
      </c>
      <c r="G892" s="5" t="str">
        <f aca="false">INDEX(Risk_Matrix!$B$2:$D$4,MATCH(E892,Risk_Matrix!$A$2:$A$4,0),MATCH(F892,Risk_Matrix!$B$1:$D$1,0))</f>
        <v>Medium</v>
      </c>
      <c r="H892" s="12" t="n">
        <v>46198</v>
      </c>
      <c r="I892" s="5" t="s">
        <v>2256</v>
      </c>
      <c r="J892" s="5" t="s">
        <v>2257</v>
      </c>
      <c r="K892" s="5" t="s">
        <v>2252</v>
      </c>
      <c r="L892" s="5" t="n">
        <f aca="false">IF(G892="High",3,IF(G892="Medium",2,1))</f>
        <v>2</v>
      </c>
    </row>
    <row r="893" customFormat="false" ht="15" hidden="false" customHeight="true" outlineLevel="0" collapsed="false">
      <c r="A893" s="5" t="s">
        <v>3169</v>
      </c>
      <c r="B893" s="5" t="s">
        <v>1276</v>
      </c>
      <c r="C893" s="5" t="s">
        <v>2254</v>
      </c>
      <c r="D893" s="5" t="s">
        <v>2299</v>
      </c>
      <c r="E893" s="5" t="s">
        <v>2225</v>
      </c>
      <c r="F893" s="5" t="s">
        <v>2225</v>
      </c>
      <c r="G893" s="5" t="str">
        <f aca="false">INDEX(Risk_Matrix!$B$2:$D$4,MATCH(E893,Risk_Matrix!$A$2:$A$4,0),MATCH(F893,Risk_Matrix!$B$1:$D$1,0))</f>
        <v>Medium</v>
      </c>
      <c r="H893" s="12" t="n">
        <v>46183</v>
      </c>
      <c r="I893" s="5" t="s">
        <v>2256</v>
      </c>
      <c r="J893" s="5" t="s">
        <v>2257</v>
      </c>
      <c r="K893" s="5" t="s">
        <v>2243</v>
      </c>
      <c r="L893" s="5" t="n">
        <f aca="false">IF(G893="High",3,IF(G893="Medium",2,1))</f>
        <v>2</v>
      </c>
    </row>
    <row r="894" customFormat="false" ht="15" hidden="false" customHeight="true" outlineLevel="0" collapsed="false">
      <c r="A894" s="5" t="s">
        <v>3170</v>
      </c>
      <c r="B894" s="5" t="s">
        <v>1276</v>
      </c>
      <c r="C894" s="5" t="s">
        <v>2259</v>
      </c>
      <c r="D894" s="5" t="s">
        <v>2274</v>
      </c>
      <c r="E894" s="5" t="s">
        <v>54</v>
      </c>
      <c r="F894" s="5" t="s">
        <v>2225</v>
      </c>
      <c r="G894" s="5" t="str">
        <f aca="false">INDEX(Risk_Matrix!$B$2:$D$4,MATCH(E894,Risk_Matrix!$A$2:$A$4,0),MATCH(F894,Risk_Matrix!$B$1:$D$1,0))</f>
        <v>High</v>
      </c>
      <c r="H894" s="12" t="n">
        <v>46219</v>
      </c>
      <c r="I894" s="5" t="s">
        <v>2241</v>
      </c>
      <c r="J894" s="5" t="s">
        <v>2242</v>
      </c>
      <c r="K894" s="5" t="s">
        <v>2276</v>
      </c>
      <c r="L894" s="5" t="n">
        <f aca="false">IF(G894="High",3,IF(G894="Medium",2,1))</f>
        <v>3</v>
      </c>
    </row>
    <row r="895" customFormat="false" ht="15" hidden="false" customHeight="true" outlineLevel="0" collapsed="false">
      <c r="A895" s="5" t="s">
        <v>3171</v>
      </c>
      <c r="B895" s="5" t="s">
        <v>1276</v>
      </c>
      <c r="C895" s="5" t="s">
        <v>2262</v>
      </c>
      <c r="D895" s="5" t="s">
        <v>2263</v>
      </c>
      <c r="E895" s="5" t="s">
        <v>2225</v>
      </c>
      <c r="F895" s="5" t="s">
        <v>59</v>
      </c>
      <c r="G895" s="5" t="str">
        <f aca="false">INDEX(Risk_Matrix!$B$2:$D$4,MATCH(E895,Risk_Matrix!$A$2:$A$4,0),MATCH(F895,Risk_Matrix!$B$1:$D$1,0))</f>
        <v>Low</v>
      </c>
      <c r="H895" s="12" t="n">
        <v>46174</v>
      </c>
      <c r="I895" s="5" t="s">
        <v>2250</v>
      </c>
      <c r="J895" s="5" t="s">
        <v>2251</v>
      </c>
      <c r="K895" s="5" t="s">
        <v>2266</v>
      </c>
      <c r="L895" s="5" t="n">
        <f aca="false">IF(G895="High",3,IF(G895="Medium",2,1))</f>
        <v>1</v>
      </c>
    </row>
    <row r="896" customFormat="false" ht="15" hidden="false" customHeight="true" outlineLevel="0" collapsed="false">
      <c r="A896" s="5" t="s">
        <v>3172</v>
      </c>
      <c r="B896" s="5" t="s">
        <v>1278</v>
      </c>
      <c r="C896" s="5" t="s">
        <v>2239</v>
      </c>
      <c r="D896" s="5" t="s">
        <v>2240</v>
      </c>
      <c r="E896" s="5" t="s">
        <v>59</v>
      </c>
      <c r="F896" s="5" t="s">
        <v>59</v>
      </c>
      <c r="G896" s="5" t="str">
        <f aca="false">INDEX(Risk_Matrix!$B$2:$D$4,MATCH(E896,Risk_Matrix!$A$2:$A$4,0),MATCH(F896,Risk_Matrix!$B$1:$D$1,0))</f>
        <v>Low</v>
      </c>
      <c r="H896" s="12" t="n">
        <v>46120</v>
      </c>
      <c r="I896" s="5" t="s">
        <v>2250</v>
      </c>
      <c r="J896" s="5" t="s">
        <v>2251</v>
      </c>
      <c r="K896" s="5" t="s">
        <v>2243</v>
      </c>
      <c r="L896" s="5" t="n">
        <f aca="false">IF(G896="High",3,IF(G896="Medium",2,1))</f>
        <v>1</v>
      </c>
    </row>
    <row r="897" customFormat="false" ht="15" hidden="false" customHeight="true" outlineLevel="0" collapsed="false">
      <c r="A897" s="5" t="s">
        <v>3173</v>
      </c>
      <c r="B897" s="5" t="s">
        <v>1278</v>
      </c>
      <c r="C897" s="5" t="s">
        <v>2245</v>
      </c>
      <c r="D897" s="5" t="s">
        <v>2269</v>
      </c>
      <c r="E897" s="5" t="s">
        <v>2225</v>
      </c>
      <c r="F897" s="5" t="s">
        <v>54</v>
      </c>
      <c r="G897" s="5" t="str">
        <f aca="false">INDEX(Risk_Matrix!$B$2:$D$4,MATCH(E897,Risk_Matrix!$A$2:$A$4,0),MATCH(F897,Risk_Matrix!$B$1:$D$1,0))</f>
        <v>High</v>
      </c>
      <c r="H897" s="12" t="n">
        <v>46236</v>
      </c>
      <c r="I897" s="5" t="s">
        <v>2256</v>
      </c>
      <c r="J897" s="5" t="s">
        <v>2257</v>
      </c>
      <c r="K897" s="5" t="s">
        <v>2252</v>
      </c>
      <c r="L897" s="5" t="n">
        <f aca="false">IF(G897="High",3,IF(G897="Medium",2,1))</f>
        <v>3</v>
      </c>
    </row>
    <row r="898" customFormat="false" ht="15" hidden="false" customHeight="true" outlineLevel="0" collapsed="false">
      <c r="A898" s="5" t="s">
        <v>3174</v>
      </c>
      <c r="B898" s="5" t="s">
        <v>1278</v>
      </c>
      <c r="C898" s="5" t="s">
        <v>2248</v>
      </c>
      <c r="D898" s="5" t="s">
        <v>2306</v>
      </c>
      <c r="E898" s="5" t="s">
        <v>2225</v>
      </c>
      <c r="F898" s="5" t="s">
        <v>59</v>
      </c>
      <c r="G898" s="5" t="str">
        <f aca="false">INDEX(Risk_Matrix!$B$2:$D$4,MATCH(E898,Risk_Matrix!$A$2:$A$4,0),MATCH(F898,Risk_Matrix!$B$1:$D$1,0))</f>
        <v>Low</v>
      </c>
      <c r="H898" s="12" t="n">
        <v>46120</v>
      </c>
      <c r="I898" s="5" t="s">
        <v>2250</v>
      </c>
      <c r="J898" s="5" t="s">
        <v>2251</v>
      </c>
      <c r="K898" s="5" t="s">
        <v>2243</v>
      </c>
      <c r="L898" s="5" t="n">
        <f aca="false">IF(G898="High",3,IF(G898="Medium",2,1))</f>
        <v>1</v>
      </c>
    </row>
    <row r="899" customFormat="false" ht="15" hidden="false" customHeight="true" outlineLevel="0" collapsed="false">
      <c r="A899" s="5" t="s">
        <v>3175</v>
      </c>
      <c r="B899" s="5" t="s">
        <v>1278</v>
      </c>
      <c r="C899" s="5" t="s">
        <v>2254</v>
      </c>
      <c r="D899" s="5" t="s">
        <v>2308</v>
      </c>
      <c r="E899" s="5" t="s">
        <v>59</v>
      </c>
      <c r="F899" s="5" t="s">
        <v>2225</v>
      </c>
      <c r="G899" s="5" t="str">
        <f aca="false">INDEX(Risk_Matrix!$B$2:$D$4,MATCH(E899,Risk_Matrix!$A$2:$A$4,0),MATCH(F899,Risk_Matrix!$B$1:$D$1,0))</f>
        <v>Low</v>
      </c>
      <c r="H899" s="12" t="n">
        <v>46126</v>
      </c>
      <c r="I899" s="5" t="s">
        <v>2256</v>
      </c>
      <c r="J899" s="5" t="s">
        <v>2257</v>
      </c>
      <c r="K899" s="5" t="s">
        <v>2266</v>
      </c>
      <c r="L899" s="5" t="n">
        <f aca="false">IF(G899="High",3,IF(G899="Medium",2,1))</f>
        <v>1</v>
      </c>
    </row>
    <row r="900" customFormat="false" ht="15" hidden="false" customHeight="true" outlineLevel="0" collapsed="false">
      <c r="A900" s="5" t="s">
        <v>3176</v>
      </c>
      <c r="B900" s="5" t="s">
        <v>1278</v>
      </c>
      <c r="C900" s="5" t="s">
        <v>2259</v>
      </c>
      <c r="D900" s="5" t="s">
        <v>2274</v>
      </c>
      <c r="E900" s="5" t="s">
        <v>2225</v>
      </c>
      <c r="F900" s="5" t="s">
        <v>2225</v>
      </c>
      <c r="G900" s="5" t="str">
        <f aca="false">INDEX(Risk_Matrix!$B$2:$D$4,MATCH(E900,Risk_Matrix!$A$2:$A$4,0),MATCH(F900,Risk_Matrix!$B$1:$D$1,0))</f>
        <v>Medium</v>
      </c>
      <c r="H900" s="12" t="n">
        <v>46234</v>
      </c>
      <c r="I900" s="5" t="s">
        <v>2256</v>
      </c>
      <c r="J900" s="5" t="s">
        <v>2257</v>
      </c>
      <c r="K900" s="5" t="s">
        <v>2283</v>
      </c>
      <c r="L900" s="5" t="n">
        <f aca="false">IF(G900="High",3,IF(G900="Medium",2,1))</f>
        <v>2</v>
      </c>
    </row>
    <row r="901" customFormat="false" ht="15" hidden="false" customHeight="true" outlineLevel="0" collapsed="false">
      <c r="A901" s="5" t="s">
        <v>3177</v>
      </c>
      <c r="B901" s="5" t="s">
        <v>1278</v>
      </c>
      <c r="C901" s="5" t="s">
        <v>2262</v>
      </c>
      <c r="D901" s="5" t="s">
        <v>2287</v>
      </c>
      <c r="E901" s="5" t="s">
        <v>59</v>
      </c>
      <c r="F901" s="5" t="s">
        <v>59</v>
      </c>
      <c r="G901" s="5" t="str">
        <f aca="false">INDEX(Risk_Matrix!$B$2:$D$4,MATCH(E901,Risk_Matrix!$A$2:$A$4,0),MATCH(F901,Risk_Matrix!$B$1:$D$1,0))</f>
        <v>Low</v>
      </c>
      <c r="H901" s="12" t="n">
        <v>46195</v>
      </c>
      <c r="I901" s="5" t="s">
        <v>2250</v>
      </c>
      <c r="J901" s="5" t="s">
        <v>2251</v>
      </c>
      <c r="K901" s="5" t="s">
        <v>2276</v>
      </c>
      <c r="L901" s="5" t="n">
        <f aca="false">IF(G901="High",3,IF(G901="Medium",2,1))</f>
        <v>1</v>
      </c>
    </row>
    <row r="902" customFormat="false" ht="15" hidden="false" customHeight="true" outlineLevel="0" collapsed="false">
      <c r="A902" s="5" t="s">
        <v>3178</v>
      </c>
      <c r="B902" s="5" t="s">
        <v>1279</v>
      </c>
      <c r="C902" s="5" t="s">
        <v>2239</v>
      </c>
      <c r="D902" s="5" t="s">
        <v>2240</v>
      </c>
      <c r="E902" s="5" t="s">
        <v>2225</v>
      </c>
      <c r="F902" s="5" t="s">
        <v>59</v>
      </c>
      <c r="G902" s="5" t="str">
        <f aca="false">INDEX(Risk_Matrix!$B$2:$D$4,MATCH(E902,Risk_Matrix!$A$2:$A$4,0),MATCH(F902,Risk_Matrix!$B$1:$D$1,0))</f>
        <v>Low</v>
      </c>
      <c r="H902" s="12" t="n">
        <v>46183</v>
      </c>
      <c r="I902" s="5" t="s">
        <v>2256</v>
      </c>
      <c r="J902" s="5" t="s">
        <v>2257</v>
      </c>
      <c r="K902" s="5" t="s">
        <v>2276</v>
      </c>
      <c r="L902" s="5" t="n">
        <f aca="false">IF(G902="High",3,IF(G902="Medium",2,1))</f>
        <v>1</v>
      </c>
    </row>
    <row r="903" customFormat="false" ht="15" hidden="false" customHeight="true" outlineLevel="0" collapsed="false">
      <c r="A903" s="5" t="s">
        <v>3179</v>
      </c>
      <c r="B903" s="5" t="s">
        <v>1279</v>
      </c>
      <c r="C903" s="5" t="s">
        <v>2245</v>
      </c>
      <c r="D903" s="5" t="s">
        <v>2320</v>
      </c>
      <c r="E903" s="5" t="s">
        <v>59</v>
      </c>
      <c r="F903" s="5" t="s">
        <v>59</v>
      </c>
      <c r="G903" s="5" t="str">
        <f aca="false">INDEX(Risk_Matrix!$B$2:$D$4,MATCH(E903,Risk_Matrix!$A$2:$A$4,0),MATCH(F903,Risk_Matrix!$B$1:$D$1,0))</f>
        <v>Low</v>
      </c>
      <c r="H903" s="12" t="n">
        <v>46105</v>
      </c>
      <c r="I903" s="5" t="s">
        <v>2250</v>
      </c>
      <c r="J903" s="5" t="s">
        <v>2251</v>
      </c>
      <c r="K903" s="5" t="s">
        <v>2276</v>
      </c>
      <c r="L903" s="5" t="n">
        <f aca="false">IF(G903="High",3,IF(G903="Medium",2,1))</f>
        <v>1</v>
      </c>
    </row>
    <row r="904" customFormat="false" ht="15" hidden="false" customHeight="true" outlineLevel="0" collapsed="false">
      <c r="A904" s="5" t="s">
        <v>3180</v>
      </c>
      <c r="B904" s="5" t="s">
        <v>1279</v>
      </c>
      <c r="C904" s="5" t="s">
        <v>2248</v>
      </c>
      <c r="D904" s="5" t="s">
        <v>2271</v>
      </c>
      <c r="E904" s="5" t="s">
        <v>2225</v>
      </c>
      <c r="F904" s="5" t="s">
        <v>59</v>
      </c>
      <c r="G904" s="5" t="str">
        <f aca="false">INDEX(Risk_Matrix!$B$2:$D$4,MATCH(E904,Risk_Matrix!$A$2:$A$4,0),MATCH(F904,Risk_Matrix!$B$1:$D$1,0))</f>
        <v>Low</v>
      </c>
      <c r="H904" s="12" t="n">
        <v>46226</v>
      </c>
      <c r="I904" s="5" t="s">
        <v>2250</v>
      </c>
      <c r="J904" s="5" t="s">
        <v>2251</v>
      </c>
      <c r="K904" s="5" t="s">
        <v>2243</v>
      </c>
      <c r="L904" s="5" t="n">
        <f aca="false">IF(G904="High",3,IF(G904="Medium",2,1))</f>
        <v>1</v>
      </c>
    </row>
    <row r="905" customFormat="false" ht="15" hidden="false" customHeight="true" outlineLevel="0" collapsed="false">
      <c r="A905" s="5" t="s">
        <v>3181</v>
      </c>
      <c r="B905" s="5" t="s">
        <v>1279</v>
      </c>
      <c r="C905" s="5" t="s">
        <v>2254</v>
      </c>
      <c r="D905" s="5" t="s">
        <v>2255</v>
      </c>
      <c r="E905" s="5" t="s">
        <v>54</v>
      </c>
      <c r="F905" s="5" t="s">
        <v>59</v>
      </c>
      <c r="G905" s="5" t="str">
        <f aca="false">INDEX(Risk_Matrix!$B$2:$D$4,MATCH(E905,Risk_Matrix!$A$2:$A$4,0),MATCH(F905,Risk_Matrix!$B$1:$D$1,0))</f>
        <v>Medium</v>
      </c>
      <c r="H905" s="12" t="n">
        <v>46215</v>
      </c>
      <c r="I905" s="5" t="s">
        <v>2256</v>
      </c>
      <c r="J905" s="5" t="s">
        <v>2257</v>
      </c>
      <c r="K905" s="5" t="s">
        <v>2276</v>
      </c>
      <c r="L905" s="5" t="n">
        <f aca="false">IF(G905="High",3,IF(G905="Medium",2,1))</f>
        <v>2</v>
      </c>
    </row>
    <row r="906" customFormat="false" ht="15" hidden="false" customHeight="true" outlineLevel="0" collapsed="false">
      <c r="A906" s="5" t="s">
        <v>3182</v>
      </c>
      <c r="B906" s="5" t="s">
        <v>1279</v>
      </c>
      <c r="C906" s="5" t="s">
        <v>2259</v>
      </c>
      <c r="D906" s="5" t="s">
        <v>2274</v>
      </c>
      <c r="E906" s="5" t="s">
        <v>59</v>
      </c>
      <c r="F906" s="5" t="s">
        <v>59</v>
      </c>
      <c r="G906" s="5" t="str">
        <f aca="false">INDEX(Risk_Matrix!$B$2:$D$4,MATCH(E906,Risk_Matrix!$A$2:$A$4,0),MATCH(F906,Risk_Matrix!$B$1:$D$1,0))</f>
        <v>Low</v>
      </c>
      <c r="H906" s="12" t="n">
        <v>46064</v>
      </c>
      <c r="I906" s="5" t="s">
        <v>2264</v>
      </c>
      <c r="J906" s="5" t="s">
        <v>2265</v>
      </c>
      <c r="K906" s="5" t="s">
        <v>2276</v>
      </c>
      <c r="L906" s="5" t="n">
        <f aca="false">IF(G906="High",3,IF(G906="Medium",2,1))</f>
        <v>1</v>
      </c>
    </row>
    <row r="907" customFormat="false" ht="15" hidden="false" customHeight="true" outlineLevel="0" collapsed="false">
      <c r="A907" s="5" t="s">
        <v>3183</v>
      </c>
      <c r="B907" s="5" t="s">
        <v>1279</v>
      </c>
      <c r="C907" s="5" t="s">
        <v>2262</v>
      </c>
      <c r="D907" s="5" t="s">
        <v>2287</v>
      </c>
      <c r="E907" s="5" t="s">
        <v>54</v>
      </c>
      <c r="F907" s="5" t="s">
        <v>59</v>
      </c>
      <c r="G907" s="5" t="str">
        <f aca="false">INDEX(Risk_Matrix!$B$2:$D$4,MATCH(E907,Risk_Matrix!$A$2:$A$4,0),MATCH(F907,Risk_Matrix!$B$1:$D$1,0))</f>
        <v>Medium</v>
      </c>
      <c r="H907" s="12" t="n">
        <v>46068</v>
      </c>
      <c r="I907" s="5" t="s">
        <v>2264</v>
      </c>
      <c r="J907" s="5" t="s">
        <v>2265</v>
      </c>
      <c r="K907" s="5" t="s">
        <v>2266</v>
      </c>
      <c r="L907" s="5" t="n">
        <f aca="false">IF(G907="High",3,IF(G907="Medium",2,1))</f>
        <v>2</v>
      </c>
    </row>
    <row r="908" customFormat="false" ht="15" hidden="false" customHeight="true" outlineLevel="0" collapsed="false">
      <c r="A908" s="5" t="s">
        <v>3184</v>
      </c>
      <c r="B908" s="5" t="s">
        <v>1281</v>
      </c>
      <c r="C908" s="5" t="s">
        <v>2239</v>
      </c>
      <c r="D908" s="5" t="s">
        <v>2303</v>
      </c>
      <c r="E908" s="5" t="s">
        <v>59</v>
      </c>
      <c r="F908" s="5" t="s">
        <v>2225</v>
      </c>
      <c r="G908" s="5" t="str">
        <f aca="false">INDEX(Risk_Matrix!$B$2:$D$4,MATCH(E908,Risk_Matrix!$A$2:$A$4,0),MATCH(F908,Risk_Matrix!$B$1:$D$1,0))</f>
        <v>Low</v>
      </c>
      <c r="H908" s="12" t="n">
        <v>46156</v>
      </c>
      <c r="I908" s="5" t="s">
        <v>2264</v>
      </c>
      <c r="J908" s="5" t="s">
        <v>2265</v>
      </c>
      <c r="K908" s="5" t="s">
        <v>2283</v>
      </c>
      <c r="L908" s="5" t="n">
        <f aca="false">IF(G908="High",3,IF(G908="Medium",2,1))</f>
        <v>1</v>
      </c>
    </row>
    <row r="909" customFormat="false" ht="15" hidden="false" customHeight="true" outlineLevel="0" collapsed="false">
      <c r="A909" s="5" t="s">
        <v>3185</v>
      </c>
      <c r="B909" s="5" t="s">
        <v>1281</v>
      </c>
      <c r="C909" s="5" t="s">
        <v>2245</v>
      </c>
      <c r="D909" s="5" t="s">
        <v>2320</v>
      </c>
      <c r="E909" s="5" t="s">
        <v>2225</v>
      </c>
      <c r="F909" s="5" t="s">
        <v>54</v>
      </c>
      <c r="G909" s="5" t="str">
        <f aca="false">INDEX(Risk_Matrix!$B$2:$D$4,MATCH(E909,Risk_Matrix!$A$2:$A$4,0),MATCH(F909,Risk_Matrix!$B$1:$D$1,0))</f>
        <v>High</v>
      </c>
      <c r="H909" s="12" t="n">
        <v>46129</v>
      </c>
      <c r="I909" s="5" t="s">
        <v>2256</v>
      </c>
      <c r="J909" s="5" t="s">
        <v>2257</v>
      </c>
      <c r="K909" s="5" t="s">
        <v>2276</v>
      </c>
      <c r="L909" s="5" t="n">
        <f aca="false">IF(G909="High",3,IF(G909="Medium",2,1))</f>
        <v>3</v>
      </c>
    </row>
    <row r="910" customFormat="false" ht="15" hidden="false" customHeight="true" outlineLevel="0" collapsed="false">
      <c r="A910" s="5" t="s">
        <v>3186</v>
      </c>
      <c r="B910" s="5" t="s">
        <v>1281</v>
      </c>
      <c r="C910" s="5" t="s">
        <v>2248</v>
      </c>
      <c r="D910" s="5" t="s">
        <v>2322</v>
      </c>
      <c r="E910" s="5" t="s">
        <v>59</v>
      </c>
      <c r="F910" s="5" t="s">
        <v>59</v>
      </c>
      <c r="G910" s="5" t="str">
        <f aca="false">INDEX(Risk_Matrix!$B$2:$D$4,MATCH(E910,Risk_Matrix!$A$2:$A$4,0),MATCH(F910,Risk_Matrix!$B$1:$D$1,0))</f>
        <v>Low</v>
      </c>
      <c r="H910" s="12" t="n">
        <v>46136</v>
      </c>
      <c r="I910" s="5" t="s">
        <v>2256</v>
      </c>
      <c r="J910" s="5" t="s">
        <v>2257</v>
      </c>
      <c r="K910" s="5" t="s">
        <v>2252</v>
      </c>
      <c r="L910" s="5" t="n">
        <f aca="false">IF(G910="High",3,IF(G910="Medium",2,1))</f>
        <v>1</v>
      </c>
    </row>
    <row r="911" customFormat="false" ht="15" hidden="false" customHeight="true" outlineLevel="0" collapsed="false">
      <c r="A911" s="5" t="s">
        <v>3187</v>
      </c>
      <c r="B911" s="5" t="s">
        <v>1281</v>
      </c>
      <c r="C911" s="5" t="s">
        <v>2254</v>
      </c>
      <c r="D911" s="5" t="s">
        <v>2255</v>
      </c>
      <c r="E911" s="5" t="s">
        <v>59</v>
      </c>
      <c r="F911" s="5" t="s">
        <v>59</v>
      </c>
      <c r="G911" s="5" t="str">
        <f aca="false">INDEX(Risk_Matrix!$B$2:$D$4,MATCH(E911,Risk_Matrix!$A$2:$A$4,0),MATCH(F911,Risk_Matrix!$B$1:$D$1,0))</f>
        <v>Low</v>
      </c>
      <c r="H911" s="12" t="n">
        <v>46167</v>
      </c>
      <c r="I911" s="5" t="s">
        <v>2256</v>
      </c>
      <c r="J911" s="5" t="s">
        <v>2257</v>
      </c>
      <c r="K911" s="5" t="s">
        <v>2283</v>
      </c>
      <c r="L911" s="5" t="n">
        <f aca="false">IF(G911="High",3,IF(G911="Medium",2,1))</f>
        <v>1</v>
      </c>
    </row>
    <row r="912" customFormat="false" ht="15" hidden="false" customHeight="true" outlineLevel="0" collapsed="false">
      <c r="A912" s="5" t="s">
        <v>3188</v>
      </c>
      <c r="B912" s="5" t="s">
        <v>1281</v>
      </c>
      <c r="C912" s="5" t="s">
        <v>2259</v>
      </c>
      <c r="D912" s="5" t="s">
        <v>2274</v>
      </c>
      <c r="E912" s="5" t="s">
        <v>59</v>
      </c>
      <c r="F912" s="5" t="s">
        <v>54</v>
      </c>
      <c r="G912" s="5" t="str">
        <f aca="false">INDEX(Risk_Matrix!$B$2:$D$4,MATCH(E912,Risk_Matrix!$A$2:$A$4,0),MATCH(F912,Risk_Matrix!$B$1:$D$1,0))</f>
        <v>Medium</v>
      </c>
      <c r="H912" s="12" t="n">
        <v>46085</v>
      </c>
      <c r="I912" s="5" t="s">
        <v>2250</v>
      </c>
      <c r="J912" s="5" t="s">
        <v>2251</v>
      </c>
      <c r="K912" s="5" t="s">
        <v>2243</v>
      </c>
      <c r="L912" s="5" t="n">
        <f aca="false">IF(G912="High",3,IF(G912="Medium",2,1))</f>
        <v>2</v>
      </c>
    </row>
    <row r="913" customFormat="false" ht="15" hidden="false" customHeight="true" outlineLevel="0" collapsed="false">
      <c r="A913" s="5" t="s">
        <v>3189</v>
      </c>
      <c r="B913" s="5" t="s">
        <v>1281</v>
      </c>
      <c r="C913" s="5" t="s">
        <v>2262</v>
      </c>
      <c r="D913" s="5" t="s">
        <v>2287</v>
      </c>
      <c r="E913" s="5" t="s">
        <v>2225</v>
      </c>
      <c r="F913" s="5" t="s">
        <v>2225</v>
      </c>
      <c r="G913" s="5" t="str">
        <f aca="false">INDEX(Risk_Matrix!$B$2:$D$4,MATCH(E913,Risk_Matrix!$A$2:$A$4,0),MATCH(F913,Risk_Matrix!$B$1:$D$1,0))</f>
        <v>Medium</v>
      </c>
      <c r="H913" s="12" t="n">
        <v>46093</v>
      </c>
      <c r="I913" s="5" t="s">
        <v>2264</v>
      </c>
      <c r="J913" s="5" t="s">
        <v>2265</v>
      </c>
      <c r="K913" s="5" t="s">
        <v>2266</v>
      </c>
      <c r="L913" s="5" t="n">
        <f aca="false">IF(G913="High",3,IF(G913="Medium",2,1))</f>
        <v>2</v>
      </c>
    </row>
    <row r="914" customFormat="false" ht="15" hidden="false" customHeight="true" outlineLevel="0" collapsed="false">
      <c r="A914" s="5" t="s">
        <v>3190</v>
      </c>
      <c r="B914" s="5" t="s">
        <v>1283</v>
      </c>
      <c r="C914" s="5" t="s">
        <v>2239</v>
      </c>
      <c r="D914" s="5" t="s">
        <v>2278</v>
      </c>
      <c r="E914" s="5" t="s">
        <v>54</v>
      </c>
      <c r="F914" s="5" t="s">
        <v>2225</v>
      </c>
      <c r="G914" s="5" t="str">
        <f aca="false">INDEX(Risk_Matrix!$B$2:$D$4,MATCH(E914,Risk_Matrix!$A$2:$A$4,0),MATCH(F914,Risk_Matrix!$B$1:$D$1,0))</f>
        <v>High</v>
      </c>
      <c r="H914" s="12" t="n">
        <v>46060</v>
      </c>
      <c r="I914" s="5" t="s">
        <v>2241</v>
      </c>
      <c r="J914" s="5" t="s">
        <v>2242</v>
      </c>
      <c r="K914" s="5" t="s">
        <v>2243</v>
      </c>
      <c r="L914" s="5" t="n">
        <f aca="false">IF(G914="High",3,IF(G914="Medium",2,1))</f>
        <v>3</v>
      </c>
    </row>
    <row r="915" customFormat="false" ht="15" hidden="false" customHeight="true" outlineLevel="0" collapsed="false">
      <c r="A915" s="5" t="s">
        <v>3191</v>
      </c>
      <c r="B915" s="5" t="s">
        <v>1283</v>
      </c>
      <c r="C915" s="5" t="s">
        <v>2245</v>
      </c>
      <c r="D915" s="5" t="s">
        <v>2320</v>
      </c>
      <c r="E915" s="5" t="s">
        <v>59</v>
      </c>
      <c r="F915" s="5" t="s">
        <v>2225</v>
      </c>
      <c r="G915" s="5" t="str">
        <f aca="false">INDEX(Risk_Matrix!$B$2:$D$4,MATCH(E915,Risk_Matrix!$A$2:$A$4,0),MATCH(F915,Risk_Matrix!$B$1:$D$1,0))</f>
        <v>Low</v>
      </c>
      <c r="H915" s="12" t="n">
        <v>46157</v>
      </c>
      <c r="I915" s="5" t="s">
        <v>2264</v>
      </c>
      <c r="J915" s="5" t="s">
        <v>2265</v>
      </c>
      <c r="K915" s="5" t="s">
        <v>2243</v>
      </c>
      <c r="L915" s="5" t="n">
        <f aca="false">IF(G915="High",3,IF(G915="Medium",2,1))</f>
        <v>1</v>
      </c>
    </row>
    <row r="916" customFormat="false" ht="15" hidden="false" customHeight="true" outlineLevel="0" collapsed="false">
      <c r="A916" s="5" t="s">
        <v>3192</v>
      </c>
      <c r="B916" s="5" t="s">
        <v>1283</v>
      </c>
      <c r="C916" s="5" t="s">
        <v>2248</v>
      </c>
      <c r="D916" s="5" t="s">
        <v>2306</v>
      </c>
      <c r="E916" s="5" t="s">
        <v>59</v>
      </c>
      <c r="F916" s="5" t="s">
        <v>2225</v>
      </c>
      <c r="G916" s="5" t="str">
        <f aca="false">INDEX(Risk_Matrix!$B$2:$D$4,MATCH(E916,Risk_Matrix!$A$2:$A$4,0),MATCH(F916,Risk_Matrix!$B$1:$D$1,0))</f>
        <v>Low</v>
      </c>
      <c r="H916" s="12" t="n">
        <v>46141</v>
      </c>
      <c r="I916" s="5" t="s">
        <v>2250</v>
      </c>
      <c r="J916" s="5" t="s">
        <v>2251</v>
      </c>
      <c r="K916" s="5" t="s">
        <v>2283</v>
      </c>
      <c r="L916" s="5" t="n">
        <f aca="false">IF(G916="High",3,IF(G916="Medium",2,1))</f>
        <v>1</v>
      </c>
    </row>
    <row r="917" customFormat="false" ht="15" hidden="false" customHeight="true" outlineLevel="0" collapsed="false">
      <c r="A917" s="5" t="s">
        <v>3193</v>
      </c>
      <c r="B917" s="5" t="s">
        <v>1283</v>
      </c>
      <c r="C917" s="5" t="s">
        <v>2254</v>
      </c>
      <c r="D917" s="5" t="s">
        <v>2299</v>
      </c>
      <c r="E917" s="5" t="s">
        <v>2225</v>
      </c>
      <c r="F917" s="5" t="s">
        <v>2225</v>
      </c>
      <c r="G917" s="5" t="str">
        <f aca="false">INDEX(Risk_Matrix!$B$2:$D$4,MATCH(E917,Risk_Matrix!$A$2:$A$4,0),MATCH(F917,Risk_Matrix!$B$1:$D$1,0))</f>
        <v>Medium</v>
      </c>
      <c r="H917" s="12" t="n">
        <v>46235</v>
      </c>
      <c r="I917" s="5" t="s">
        <v>2250</v>
      </c>
      <c r="J917" s="5" t="s">
        <v>2251</v>
      </c>
      <c r="K917" s="5" t="s">
        <v>2266</v>
      </c>
      <c r="L917" s="5" t="n">
        <f aca="false">IF(G917="High",3,IF(G917="Medium",2,1))</f>
        <v>2</v>
      </c>
    </row>
    <row r="918" customFormat="false" ht="15" hidden="false" customHeight="true" outlineLevel="0" collapsed="false">
      <c r="A918" s="5" t="s">
        <v>3194</v>
      </c>
      <c r="B918" s="5" t="s">
        <v>1283</v>
      </c>
      <c r="C918" s="5" t="s">
        <v>2259</v>
      </c>
      <c r="D918" s="5" t="s">
        <v>2260</v>
      </c>
      <c r="E918" s="5" t="s">
        <v>2225</v>
      </c>
      <c r="F918" s="5" t="s">
        <v>54</v>
      </c>
      <c r="G918" s="5" t="str">
        <f aca="false">INDEX(Risk_Matrix!$B$2:$D$4,MATCH(E918,Risk_Matrix!$A$2:$A$4,0),MATCH(F918,Risk_Matrix!$B$1:$D$1,0))</f>
        <v>High</v>
      </c>
      <c r="H918" s="12" t="n">
        <v>46129</v>
      </c>
      <c r="I918" s="5" t="s">
        <v>2256</v>
      </c>
      <c r="J918" s="5" t="s">
        <v>2257</v>
      </c>
      <c r="K918" s="5" t="s">
        <v>2266</v>
      </c>
      <c r="L918" s="5" t="n">
        <f aca="false">IF(G918="High",3,IF(G918="Medium",2,1))</f>
        <v>3</v>
      </c>
    </row>
    <row r="919" customFormat="false" ht="15" hidden="false" customHeight="true" outlineLevel="0" collapsed="false">
      <c r="A919" s="5" t="s">
        <v>3195</v>
      </c>
      <c r="B919" s="5" t="s">
        <v>1283</v>
      </c>
      <c r="C919" s="5" t="s">
        <v>2262</v>
      </c>
      <c r="D919" s="5" t="s">
        <v>2263</v>
      </c>
      <c r="E919" s="5" t="s">
        <v>59</v>
      </c>
      <c r="F919" s="5" t="s">
        <v>59</v>
      </c>
      <c r="G919" s="5" t="str">
        <f aca="false">INDEX(Risk_Matrix!$B$2:$D$4,MATCH(E919,Risk_Matrix!$A$2:$A$4,0),MATCH(F919,Risk_Matrix!$B$1:$D$1,0))</f>
        <v>Low</v>
      </c>
      <c r="H919" s="12" t="n">
        <v>46187</v>
      </c>
      <c r="I919" s="5" t="s">
        <v>2250</v>
      </c>
      <c r="J919" s="5" t="s">
        <v>2251</v>
      </c>
      <c r="K919" s="5" t="s">
        <v>2266</v>
      </c>
      <c r="L919" s="5" t="n">
        <f aca="false">IF(G919="High",3,IF(G919="Medium",2,1))</f>
        <v>1</v>
      </c>
    </row>
    <row r="920" customFormat="false" ht="15" hidden="false" customHeight="true" outlineLevel="0" collapsed="false">
      <c r="A920" s="5" t="s">
        <v>3196</v>
      </c>
      <c r="B920" s="5" t="s">
        <v>1284</v>
      </c>
      <c r="C920" s="5" t="s">
        <v>2239</v>
      </c>
      <c r="D920" s="5" t="s">
        <v>2295</v>
      </c>
      <c r="E920" s="5" t="s">
        <v>59</v>
      </c>
      <c r="F920" s="5" t="s">
        <v>59</v>
      </c>
      <c r="G920" s="5" t="str">
        <f aca="false">INDEX(Risk_Matrix!$B$2:$D$4,MATCH(E920,Risk_Matrix!$A$2:$A$4,0),MATCH(F920,Risk_Matrix!$B$1:$D$1,0))</f>
        <v>Low</v>
      </c>
      <c r="H920" s="12" t="n">
        <v>46085</v>
      </c>
      <c r="I920" s="5" t="s">
        <v>2264</v>
      </c>
      <c r="J920" s="5" t="s">
        <v>2265</v>
      </c>
      <c r="K920" s="5" t="s">
        <v>2243</v>
      </c>
      <c r="L920" s="5" t="n">
        <f aca="false">IF(G920="High",3,IF(G920="Medium",2,1))</f>
        <v>1</v>
      </c>
    </row>
    <row r="921" customFormat="false" ht="15" hidden="false" customHeight="true" outlineLevel="0" collapsed="false">
      <c r="A921" s="5" t="s">
        <v>3197</v>
      </c>
      <c r="B921" s="5" t="s">
        <v>1284</v>
      </c>
      <c r="C921" s="5" t="s">
        <v>2245</v>
      </c>
      <c r="D921" s="5" t="s">
        <v>2269</v>
      </c>
      <c r="E921" s="5" t="s">
        <v>59</v>
      </c>
      <c r="F921" s="5" t="s">
        <v>59</v>
      </c>
      <c r="G921" s="5" t="str">
        <f aca="false">INDEX(Risk_Matrix!$B$2:$D$4,MATCH(E921,Risk_Matrix!$A$2:$A$4,0),MATCH(F921,Risk_Matrix!$B$1:$D$1,0))</f>
        <v>Low</v>
      </c>
      <c r="H921" s="12" t="n">
        <v>46228</v>
      </c>
      <c r="I921" s="5" t="s">
        <v>2264</v>
      </c>
      <c r="J921" s="5" t="s">
        <v>2265</v>
      </c>
      <c r="K921" s="5" t="s">
        <v>2283</v>
      </c>
      <c r="L921" s="5" t="n">
        <f aca="false">IF(G921="High",3,IF(G921="Medium",2,1))</f>
        <v>1</v>
      </c>
    </row>
    <row r="922" customFormat="false" ht="15" hidden="false" customHeight="true" outlineLevel="0" collapsed="false">
      <c r="A922" s="5" t="s">
        <v>3198</v>
      </c>
      <c r="B922" s="5" t="s">
        <v>1284</v>
      </c>
      <c r="C922" s="5" t="s">
        <v>2248</v>
      </c>
      <c r="D922" s="5" t="s">
        <v>2271</v>
      </c>
      <c r="E922" s="5" t="s">
        <v>2225</v>
      </c>
      <c r="F922" s="5" t="s">
        <v>59</v>
      </c>
      <c r="G922" s="5" t="str">
        <f aca="false">INDEX(Risk_Matrix!$B$2:$D$4,MATCH(E922,Risk_Matrix!$A$2:$A$4,0),MATCH(F922,Risk_Matrix!$B$1:$D$1,0))</f>
        <v>Low</v>
      </c>
      <c r="H922" s="12" t="n">
        <v>46154</v>
      </c>
      <c r="I922" s="5" t="s">
        <v>2256</v>
      </c>
      <c r="J922" s="5" t="s">
        <v>2257</v>
      </c>
      <c r="K922" s="5" t="s">
        <v>2252</v>
      </c>
      <c r="L922" s="5" t="n">
        <f aca="false">IF(G922="High",3,IF(G922="Medium",2,1))</f>
        <v>1</v>
      </c>
    </row>
    <row r="923" customFormat="false" ht="15" hidden="false" customHeight="true" outlineLevel="0" collapsed="false">
      <c r="A923" s="5" t="s">
        <v>3199</v>
      </c>
      <c r="B923" s="5" t="s">
        <v>1284</v>
      </c>
      <c r="C923" s="5" t="s">
        <v>2254</v>
      </c>
      <c r="D923" s="5" t="s">
        <v>2255</v>
      </c>
      <c r="E923" s="5" t="s">
        <v>59</v>
      </c>
      <c r="F923" s="5" t="s">
        <v>59</v>
      </c>
      <c r="G923" s="5" t="str">
        <f aca="false">INDEX(Risk_Matrix!$B$2:$D$4,MATCH(E923,Risk_Matrix!$A$2:$A$4,0),MATCH(F923,Risk_Matrix!$B$1:$D$1,0))</f>
        <v>Low</v>
      </c>
      <c r="H923" s="12" t="n">
        <v>46175</v>
      </c>
      <c r="I923" s="5" t="s">
        <v>2264</v>
      </c>
      <c r="J923" s="5" t="s">
        <v>2265</v>
      </c>
      <c r="K923" s="5" t="s">
        <v>2266</v>
      </c>
      <c r="L923" s="5" t="n">
        <f aca="false">IF(G923="High",3,IF(G923="Medium",2,1))</f>
        <v>1</v>
      </c>
    </row>
    <row r="924" customFormat="false" ht="15" hidden="false" customHeight="true" outlineLevel="0" collapsed="false">
      <c r="A924" s="5" t="s">
        <v>3200</v>
      </c>
      <c r="B924" s="5" t="s">
        <v>1284</v>
      </c>
      <c r="C924" s="5" t="s">
        <v>2259</v>
      </c>
      <c r="D924" s="5" t="s">
        <v>2285</v>
      </c>
      <c r="E924" s="5" t="s">
        <v>54</v>
      </c>
      <c r="F924" s="5" t="s">
        <v>2225</v>
      </c>
      <c r="G924" s="5" t="str">
        <f aca="false">INDEX(Risk_Matrix!$B$2:$D$4,MATCH(E924,Risk_Matrix!$A$2:$A$4,0),MATCH(F924,Risk_Matrix!$B$1:$D$1,0))</f>
        <v>High</v>
      </c>
      <c r="H924" s="12" t="n">
        <v>46077</v>
      </c>
      <c r="I924" s="5" t="s">
        <v>2256</v>
      </c>
      <c r="J924" s="5" t="s">
        <v>2257</v>
      </c>
      <c r="K924" s="5" t="s">
        <v>2276</v>
      </c>
      <c r="L924" s="5" t="n">
        <f aca="false">IF(G924="High",3,IF(G924="Medium",2,1))</f>
        <v>3</v>
      </c>
    </row>
    <row r="925" customFormat="false" ht="15" hidden="false" customHeight="true" outlineLevel="0" collapsed="false">
      <c r="A925" s="5" t="s">
        <v>3201</v>
      </c>
      <c r="B925" s="5" t="s">
        <v>1284</v>
      </c>
      <c r="C925" s="5" t="s">
        <v>2262</v>
      </c>
      <c r="D925" s="5" t="s">
        <v>2287</v>
      </c>
      <c r="E925" s="5" t="s">
        <v>54</v>
      </c>
      <c r="F925" s="5" t="s">
        <v>59</v>
      </c>
      <c r="G925" s="5" t="str">
        <f aca="false">INDEX(Risk_Matrix!$B$2:$D$4,MATCH(E925,Risk_Matrix!$A$2:$A$4,0),MATCH(F925,Risk_Matrix!$B$1:$D$1,0))</f>
        <v>Medium</v>
      </c>
      <c r="H925" s="12" t="n">
        <v>46076</v>
      </c>
      <c r="I925" s="5" t="s">
        <v>2256</v>
      </c>
      <c r="J925" s="5" t="s">
        <v>2257</v>
      </c>
      <c r="K925" s="5" t="s">
        <v>2266</v>
      </c>
      <c r="L925" s="5" t="n">
        <f aca="false">IF(G925="High",3,IF(G925="Medium",2,1))</f>
        <v>2</v>
      </c>
    </row>
    <row r="926" customFormat="false" ht="15" hidden="false" customHeight="true" outlineLevel="0" collapsed="false">
      <c r="A926" s="5" t="s">
        <v>3202</v>
      </c>
      <c r="B926" s="5" t="s">
        <v>1286</v>
      </c>
      <c r="C926" s="5" t="s">
        <v>2239</v>
      </c>
      <c r="D926" s="5" t="s">
        <v>2303</v>
      </c>
      <c r="E926" s="5" t="s">
        <v>59</v>
      </c>
      <c r="F926" s="5" t="s">
        <v>59</v>
      </c>
      <c r="G926" s="5" t="str">
        <f aca="false">INDEX(Risk_Matrix!$B$2:$D$4,MATCH(E926,Risk_Matrix!$A$2:$A$4,0),MATCH(F926,Risk_Matrix!$B$1:$D$1,0))</f>
        <v>Low</v>
      </c>
      <c r="H926" s="12" t="n">
        <v>46186</v>
      </c>
      <c r="I926" s="5" t="s">
        <v>2250</v>
      </c>
      <c r="J926" s="5" t="s">
        <v>2251</v>
      </c>
      <c r="K926" s="5" t="s">
        <v>2266</v>
      </c>
      <c r="L926" s="5" t="n">
        <f aca="false">IF(G926="High",3,IF(G926="Medium",2,1))</f>
        <v>1</v>
      </c>
    </row>
    <row r="927" customFormat="false" ht="15" hidden="false" customHeight="true" outlineLevel="0" collapsed="false">
      <c r="A927" s="5" t="s">
        <v>3203</v>
      </c>
      <c r="B927" s="5" t="s">
        <v>1286</v>
      </c>
      <c r="C927" s="5" t="s">
        <v>2245</v>
      </c>
      <c r="D927" s="5" t="s">
        <v>2246</v>
      </c>
      <c r="E927" s="5" t="s">
        <v>59</v>
      </c>
      <c r="F927" s="5" t="s">
        <v>59</v>
      </c>
      <c r="G927" s="5" t="str">
        <f aca="false">INDEX(Risk_Matrix!$B$2:$D$4,MATCH(E927,Risk_Matrix!$A$2:$A$4,0),MATCH(F927,Risk_Matrix!$B$1:$D$1,0))</f>
        <v>Low</v>
      </c>
      <c r="H927" s="12" t="n">
        <v>46188</v>
      </c>
      <c r="I927" s="5" t="s">
        <v>2256</v>
      </c>
      <c r="J927" s="5" t="s">
        <v>2257</v>
      </c>
      <c r="K927" s="5" t="s">
        <v>2266</v>
      </c>
      <c r="L927" s="5" t="n">
        <f aca="false">IF(G927="High",3,IF(G927="Medium",2,1))</f>
        <v>1</v>
      </c>
    </row>
    <row r="928" customFormat="false" ht="15" hidden="false" customHeight="true" outlineLevel="0" collapsed="false">
      <c r="A928" s="5" t="s">
        <v>3204</v>
      </c>
      <c r="B928" s="5" t="s">
        <v>1286</v>
      </c>
      <c r="C928" s="5" t="s">
        <v>2248</v>
      </c>
      <c r="D928" s="5" t="s">
        <v>2271</v>
      </c>
      <c r="E928" s="5" t="s">
        <v>59</v>
      </c>
      <c r="F928" s="5" t="s">
        <v>59</v>
      </c>
      <c r="G928" s="5" t="str">
        <f aca="false">INDEX(Risk_Matrix!$B$2:$D$4,MATCH(E928,Risk_Matrix!$A$2:$A$4,0),MATCH(F928,Risk_Matrix!$B$1:$D$1,0))</f>
        <v>Low</v>
      </c>
      <c r="H928" s="12" t="n">
        <v>46124</v>
      </c>
      <c r="I928" s="5" t="s">
        <v>2256</v>
      </c>
      <c r="J928" s="5" t="s">
        <v>2257</v>
      </c>
      <c r="K928" s="5" t="s">
        <v>2266</v>
      </c>
      <c r="L928" s="5" t="n">
        <f aca="false">IF(G928="High",3,IF(G928="Medium",2,1))</f>
        <v>1</v>
      </c>
    </row>
    <row r="929" customFormat="false" ht="15" hidden="false" customHeight="true" outlineLevel="0" collapsed="false">
      <c r="A929" s="5" t="s">
        <v>3205</v>
      </c>
      <c r="B929" s="5" t="s">
        <v>1286</v>
      </c>
      <c r="C929" s="5" t="s">
        <v>2254</v>
      </c>
      <c r="D929" s="5" t="s">
        <v>2308</v>
      </c>
      <c r="E929" s="5" t="s">
        <v>54</v>
      </c>
      <c r="F929" s="5" t="s">
        <v>59</v>
      </c>
      <c r="G929" s="5" t="str">
        <f aca="false">INDEX(Risk_Matrix!$B$2:$D$4,MATCH(E929,Risk_Matrix!$A$2:$A$4,0),MATCH(F929,Risk_Matrix!$B$1:$D$1,0))</f>
        <v>Medium</v>
      </c>
      <c r="H929" s="12" t="n">
        <v>46146</v>
      </c>
      <c r="I929" s="5" t="s">
        <v>2241</v>
      </c>
      <c r="J929" s="5" t="s">
        <v>2242</v>
      </c>
      <c r="K929" s="5" t="s">
        <v>2243</v>
      </c>
      <c r="L929" s="5" t="n">
        <f aca="false">IF(G929="High",3,IF(G929="Medium",2,1))</f>
        <v>2</v>
      </c>
    </row>
    <row r="930" customFormat="false" ht="15" hidden="false" customHeight="true" outlineLevel="0" collapsed="false">
      <c r="A930" s="5" t="s">
        <v>3206</v>
      </c>
      <c r="B930" s="5" t="s">
        <v>1286</v>
      </c>
      <c r="C930" s="5" t="s">
        <v>2259</v>
      </c>
      <c r="D930" s="5" t="s">
        <v>2274</v>
      </c>
      <c r="E930" s="5" t="s">
        <v>59</v>
      </c>
      <c r="F930" s="5" t="s">
        <v>59</v>
      </c>
      <c r="G930" s="5" t="str">
        <f aca="false">INDEX(Risk_Matrix!$B$2:$D$4,MATCH(E930,Risk_Matrix!$A$2:$A$4,0),MATCH(F930,Risk_Matrix!$B$1:$D$1,0))</f>
        <v>Low</v>
      </c>
      <c r="H930" s="12" t="n">
        <v>46128</v>
      </c>
      <c r="I930" s="5" t="s">
        <v>2250</v>
      </c>
      <c r="J930" s="5" t="s">
        <v>2251</v>
      </c>
      <c r="K930" s="5" t="s">
        <v>2266</v>
      </c>
      <c r="L930" s="5" t="n">
        <f aca="false">IF(G930="High",3,IF(G930="Medium",2,1))</f>
        <v>1</v>
      </c>
    </row>
    <row r="931" customFormat="false" ht="15" hidden="false" customHeight="true" outlineLevel="0" collapsed="false">
      <c r="A931" s="5" t="s">
        <v>3207</v>
      </c>
      <c r="B931" s="5" t="s">
        <v>1286</v>
      </c>
      <c r="C931" s="5" t="s">
        <v>2262</v>
      </c>
      <c r="D931" s="5" t="s">
        <v>2311</v>
      </c>
      <c r="E931" s="5" t="s">
        <v>59</v>
      </c>
      <c r="F931" s="5" t="s">
        <v>59</v>
      </c>
      <c r="G931" s="5" t="str">
        <f aca="false">INDEX(Risk_Matrix!$B$2:$D$4,MATCH(E931,Risk_Matrix!$A$2:$A$4,0),MATCH(F931,Risk_Matrix!$B$1:$D$1,0))</f>
        <v>Low</v>
      </c>
      <c r="H931" s="12" t="n">
        <v>46162</v>
      </c>
      <c r="I931" s="5" t="s">
        <v>2264</v>
      </c>
      <c r="J931" s="5" t="s">
        <v>2265</v>
      </c>
      <c r="K931" s="5" t="s">
        <v>2283</v>
      </c>
      <c r="L931" s="5" t="n">
        <f aca="false">IF(G931="High",3,IF(G931="Medium",2,1))</f>
        <v>1</v>
      </c>
    </row>
    <row r="932" customFormat="false" ht="15" hidden="false" customHeight="true" outlineLevel="0" collapsed="false">
      <c r="A932" s="5" t="s">
        <v>3208</v>
      </c>
      <c r="B932" s="5" t="s">
        <v>1288</v>
      </c>
      <c r="C932" s="5" t="s">
        <v>2239</v>
      </c>
      <c r="D932" s="5" t="s">
        <v>2303</v>
      </c>
      <c r="E932" s="5" t="s">
        <v>2225</v>
      </c>
      <c r="F932" s="5" t="s">
        <v>59</v>
      </c>
      <c r="G932" s="5" t="str">
        <f aca="false">INDEX(Risk_Matrix!$B$2:$D$4,MATCH(E932,Risk_Matrix!$A$2:$A$4,0),MATCH(F932,Risk_Matrix!$B$1:$D$1,0))</f>
        <v>Low</v>
      </c>
      <c r="H932" s="12" t="n">
        <v>46160</v>
      </c>
      <c r="I932" s="5" t="s">
        <v>2256</v>
      </c>
      <c r="J932" s="5" t="s">
        <v>2257</v>
      </c>
      <c r="K932" s="5" t="s">
        <v>2243</v>
      </c>
      <c r="L932" s="5" t="n">
        <f aca="false">IF(G932="High",3,IF(G932="Medium",2,1))</f>
        <v>1</v>
      </c>
    </row>
    <row r="933" customFormat="false" ht="15" hidden="false" customHeight="true" outlineLevel="0" collapsed="false">
      <c r="A933" s="5" t="s">
        <v>3209</v>
      </c>
      <c r="B933" s="5" t="s">
        <v>1288</v>
      </c>
      <c r="C933" s="5" t="s">
        <v>2245</v>
      </c>
      <c r="D933" s="5" t="s">
        <v>2269</v>
      </c>
      <c r="E933" s="5" t="s">
        <v>59</v>
      </c>
      <c r="F933" s="5" t="s">
        <v>2225</v>
      </c>
      <c r="G933" s="5" t="str">
        <f aca="false">INDEX(Risk_Matrix!$B$2:$D$4,MATCH(E933,Risk_Matrix!$A$2:$A$4,0),MATCH(F933,Risk_Matrix!$B$1:$D$1,0))</f>
        <v>Low</v>
      </c>
      <c r="H933" s="12" t="n">
        <v>46204</v>
      </c>
      <c r="I933" s="5" t="s">
        <v>2256</v>
      </c>
      <c r="J933" s="5" t="s">
        <v>2257</v>
      </c>
      <c r="K933" s="5" t="s">
        <v>2243</v>
      </c>
      <c r="L933" s="5" t="n">
        <f aca="false">IF(G933="High",3,IF(G933="Medium",2,1))</f>
        <v>1</v>
      </c>
    </row>
    <row r="934" customFormat="false" ht="15" hidden="false" customHeight="true" outlineLevel="0" collapsed="false">
      <c r="A934" s="5" t="s">
        <v>3210</v>
      </c>
      <c r="B934" s="5" t="s">
        <v>1288</v>
      </c>
      <c r="C934" s="5" t="s">
        <v>2248</v>
      </c>
      <c r="D934" s="5" t="s">
        <v>2322</v>
      </c>
      <c r="E934" s="5" t="s">
        <v>59</v>
      </c>
      <c r="F934" s="5" t="s">
        <v>59</v>
      </c>
      <c r="G934" s="5" t="str">
        <f aca="false">INDEX(Risk_Matrix!$B$2:$D$4,MATCH(E934,Risk_Matrix!$A$2:$A$4,0),MATCH(F934,Risk_Matrix!$B$1:$D$1,0))</f>
        <v>Low</v>
      </c>
      <c r="H934" s="12" t="n">
        <v>46110</v>
      </c>
      <c r="I934" s="5" t="s">
        <v>2256</v>
      </c>
      <c r="J934" s="5" t="s">
        <v>2257</v>
      </c>
      <c r="K934" s="5" t="s">
        <v>2252</v>
      </c>
      <c r="L934" s="5" t="n">
        <f aca="false">IF(G934="High",3,IF(G934="Medium",2,1))</f>
        <v>1</v>
      </c>
    </row>
    <row r="935" customFormat="false" ht="15" hidden="false" customHeight="true" outlineLevel="0" collapsed="false">
      <c r="A935" s="5" t="s">
        <v>3211</v>
      </c>
      <c r="B935" s="5" t="s">
        <v>1288</v>
      </c>
      <c r="C935" s="5" t="s">
        <v>2254</v>
      </c>
      <c r="D935" s="5" t="s">
        <v>2308</v>
      </c>
      <c r="E935" s="5" t="s">
        <v>59</v>
      </c>
      <c r="F935" s="5" t="s">
        <v>59</v>
      </c>
      <c r="G935" s="5" t="str">
        <f aca="false">INDEX(Risk_Matrix!$B$2:$D$4,MATCH(E935,Risk_Matrix!$A$2:$A$4,0),MATCH(F935,Risk_Matrix!$B$1:$D$1,0))</f>
        <v>Low</v>
      </c>
      <c r="H935" s="12" t="n">
        <v>46143</v>
      </c>
      <c r="I935" s="5" t="s">
        <v>2256</v>
      </c>
      <c r="J935" s="5" t="s">
        <v>2257</v>
      </c>
      <c r="K935" s="5" t="s">
        <v>2243</v>
      </c>
      <c r="L935" s="5" t="n">
        <f aca="false">IF(G935="High",3,IF(G935="Medium",2,1))</f>
        <v>1</v>
      </c>
    </row>
    <row r="936" customFormat="false" ht="15" hidden="false" customHeight="true" outlineLevel="0" collapsed="false">
      <c r="A936" s="5" t="s">
        <v>3212</v>
      </c>
      <c r="B936" s="5" t="s">
        <v>1288</v>
      </c>
      <c r="C936" s="5" t="s">
        <v>2259</v>
      </c>
      <c r="D936" s="5" t="s">
        <v>2274</v>
      </c>
      <c r="E936" s="5" t="s">
        <v>59</v>
      </c>
      <c r="F936" s="5" t="s">
        <v>54</v>
      </c>
      <c r="G936" s="5" t="str">
        <f aca="false">INDEX(Risk_Matrix!$B$2:$D$4,MATCH(E936,Risk_Matrix!$A$2:$A$4,0),MATCH(F936,Risk_Matrix!$B$1:$D$1,0))</f>
        <v>Medium</v>
      </c>
      <c r="H936" s="12" t="n">
        <v>46229</v>
      </c>
      <c r="I936" s="5" t="s">
        <v>2256</v>
      </c>
      <c r="J936" s="5" t="s">
        <v>2257</v>
      </c>
      <c r="K936" s="5" t="s">
        <v>2276</v>
      </c>
      <c r="L936" s="5" t="n">
        <f aca="false">IF(G936="High",3,IF(G936="Medium",2,1))</f>
        <v>2</v>
      </c>
    </row>
    <row r="937" customFormat="false" ht="15" hidden="false" customHeight="true" outlineLevel="0" collapsed="false">
      <c r="A937" s="5" t="s">
        <v>3213</v>
      </c>
      <c r="B937" s="5" t="s">
        <v>1288</v>
      </c>
      <c r="C937" s="5" t="s">
        <v>2262</v>
      </c>
      <c r="D937" s="5" t="s">
        <v>2311</v>
      </c>
      <c r="E937" s="5" t="s">
        <v>54</v>
      </c>
      <c r="F937" s="5" t="s">
        <v>59</v>
      </c>
      <c r="G937" s="5" t="str">
        <f aca="false">INDEX(Risk_Matrix!$B$2:$D$4,MATCH(E937,Risk_Matrix!$A$2:$A$4,0),MATCH(F937,Risk_Matrix!$B$1:$D$1,0))</f>
        <v>Medium</v>
      </c>
      <c r="H937" s="12" t="n">
        <v>46173</v>
      </c>
      <c r="I937" s="5" t="s">
        <v>2264</v>
      </c>
      <c r="J937" s="5" t="s">
        <v>2265</v>
      </c>
      <c r="K937" s="5" t="s">
        <v>2252</v>
      </c>
      <c r="L937" s="5" t="n">
        <f aca="false">IF(G937="High",3,IF(G937="Medium",2,1))</f>
        <v>2</v>
      </c>
    </row>
    <row r="938" customFormat="false" ht="15" hidden="false" customHeight="true" outlineLevel="0" collapsed="false">
      <c r="A938" s="5" t="s">
        <v>3214</v>
      </c>
      <c r="B938" s="5" t="s">
        <v>1290</v>
      </c>
      <c r="C938" s="5" t="s">
        <v>2239</v>
      </c>
      <c r="D938" s="5" t="s">
        <v>2295</v>
      </c>
      <c r="E938" s="5" t="s">
        <v>2225</v>
      </c>
      <c r="F938" s="5" t="s">
        <v>59</v>
      </c>
      <c r="G938" s="5" t="str">
        <f aca="false">INDEX(Risk_Matrix!$B$2:$D$4,MATCH(E938,Risk_Matrix!$A$2:$A$4,0),MATCH(F938,Risk_Matrix!$B$1:$D$1,0))</f>
        <v>Low</v>
      </c>
      <c r="H938" s="12" t="n">
        <v>46140</v>
      </c>
      <c r="I938" s="5" t="s">
        <v>2256</v>
      </c>
      <c r="J938" s="5" t="s">
        <v>2257</v>
      </c>
      <c r="K938" s="5" t="s">
        <v>2243</v>
      </c>
      <c r="L938" s="5" t="n">
        <f aca="false">IF(G938="High",3,IF(G938="Medium",2,1))</f>
        <v>1</v>
      </c>
    </row>
    <row r="939" customFormat="false" ht="15" hidden="false" customHeight="true" outlineLevel="0" collapsed="false">
      <c r="A939" s="5" t="s">
        <v>3215</v>
      </c>
      <c r="B939" s="5" t="s">
        <v>1290</v>
      </c>
      <c r="C939" s="5" t="s">
        <v>2245</v>
      </c>
      <c r="D939" s="5" t="s">
        <v>2320</v>
      </c>
      <c r="E939" s="5" t="s">
        <v>59</v>
      </c>
      <c r="F939" s="5" t="s">
        <v>59</v>
      </c>
      <c r="G939" s="5" t="str">
        <f aca="false">INDEX(Risk_Matrix!$B$2:$D$4,MATCH(E939,Risk_Matrix!$A$2:$A$4,0),MATCH(F939,Risk_Matrix!$B$1:$D$1,0))</f>
        <v>Low</v>
      </c>
      <c r="H939" s="12" t="n">
        <v>46077</v>
      </c>
      <c r="I939" s="5" t="s">
        <v>2264</v>
      </c>
      <c r="J939" s="5" t="s">
        <v>2265</v>
      </c>
      <c r="K939" s="5" t="s">
        <v>2276</v>
      </c>
      <c r="L939" s="5" t="n">
        <f aca="false">IF(G939="High",3,IF(G939="Medium",2,1))</f>
        <v>1</v>
      </c>
    </row>
    <row r="940" customFormat="false" ht="15" hidden="false" customHeight="true" outlineLevel="0" collapsed="false">
      <c r="A940" s="5" t="s">
        <v>3216</v>
      </c>
      <c r="B940" s="5" t="s">
        <v>1290</v>
      </c>
      <c r="C940" s="5" t="s">
        <v>2248</v>
      </c>
      <c r="D940" s="5" t="s">
        <v>2322</v>
      </c>
      <c r="E940" s="5" t="s">
        <v>59</v>
      </c>
      <c r="F940" s="5" t="s">
        <v>59</v>
      </c>
      <c r="G940" s="5" t="str">
        <f aca="false">INDEX(Risk_Matrix!$B$2:$D$4,MATCH(E940,Risk_Matrix!$A$2:$A$4,0),MATCH(F940,Risk_Matrix!$B$1:$D$1,0))</f>
        <v>Low</v>
      </c>
      <c r="H940" s="12" t="n">
        <v>46173</v>
      </c>
      <c r="I940" s="5" t="s">
        <v>2250</v>
      </c>
      <c r="J940" s="5" t="s">
        <v>2251</v>
      </c>
      <c r="K940" s="5" t="s">
        <v>2266</v>
      </c>
      <c r="L940" s="5" t="n">
        <f aca="false">IF(G940="High",3,IF(G940="Medium",2,1))</f>
        <v>1</v>
      </c>
    </row>
    <row r="941" customFormat="false" ht="15" hidden="false" customHeight="true" outlineLevel="0" collapsed="false">
      <c r="A941" s="5" t="s">
        <v>3217</v>
      </c>
      <c r="B941" s="5" t="s">
        <v>1290</v>
      </c>
      <c r="C941" s="5" t="s">
        <v>2254</v>
      </c>
      <c r="D941" s="5" t="s">
        <v>2299</v>
      </c>
      <c r="E941" s="5" t="s">
        <v>2225</v>
      </c>
      <c r="F941" s="5" t="s">
        <v>2225</v>
      </c>
      <c r="G941" s="5" t="str">
        <f aca="false">INDEX(Risk_Matrix!$B$2:$D$4,MATCH(E941,Risk_Matrix!$A$2:$A$4,0),MATCH(F941,Risk_Matrix!$B$1:$D$1,0))</f>
        <v>Medium</v>
      </c>
      <c r="H941" s="12" t="n">
        <v>46209</v>
      </c>
      <c r="I941" s="5" t="s">
        <v>2256</v>
      </c>
      <c r="J941" s="5" t="s">
        <v>2257</v>
      </c>
      <c r="K941" s="5" t="s">
        <v>2276</v>
      </c>
      <c r="L941" s="5" t="n">
        <f aca="false">IF(G941="High",3,IF(G941="Medium",2,1))</f>
        <v>2</v>
      </c>
    </row>
    <row r="942" customFormat="false" ht="15" hidden="false" customHeight="true" outlineLevel="0" collapsed="false">
      <c r="A942" s="5" t="s">
        <v>3218</v>
      </c>
      <c r="B942" s="5" t="s">
        <v>1290</v>
      </c>
      <c r="C942" s="5" t="s">
        <v>2259</v>
      </c>
      <c r="D942" s="5" t="s">
        <v>2285</v>
      </c>
      <c r="E942" s="5" t="s">
        <v>2225</v>
      </c>
      <c r="F942" s="5" t="s">
        <v>59</v>
      </c>
      <c r="G942" s="5" t="str">
        <f aca="false">INDEX(Risk_Matrix!$B$2:$D$4,MATCH(E942,Risk_Matrix!$A$2:$A$4,0),MATCH(F942,Risk_Matrix!$B$1:$D$1,0))</f>
        <v>Low</v>
      </c>
      <c r="H942" s="12" t="n">
        <v>46218</v>
      </c>
      <c r="I942" s="5" t="s">
        <v>2250</v>
      </c>
      <c r="J942" s="5" t="s">
        <v>2251</v>
      </c>
      <c r="K942" s="5" t="s">
        <v>2283</v>
      </c>
      <c r="L942" s="5" t="n">
        <f aca="false">IF(G942="High",3,IF(G942="Medium",2,1))</f>
        <v>1</v>
      </c>
    </row>
    <row r="943" customFormat="false" ht="15" hidden="false" customHeight="true" outlineLevel="0" collapsed="false">
      <c r="A943" s="5" t="s">
        <v>3219</v>
      </c>
      <c r="B943" s="5" t="s">
        <v>1290</v>
      </c>
      <c r="C943" s="5" t="s">
        <v>2262</v>
      </c>
      <c r="D943" s="5" t="s">
        <v>2287</v>
      </c>
      <c r="E943" s="5" t="s">
        <v>54</v>
      </c>
      <c r="F943" s="5" t="s">
        <v>59</v>
      </c>
      <c r="G943" s="5" t="str">
        <f aca="false">INDEX(Risk_Matrix!$B$2:$D$4,MATCH(E943,Risk_Matrix!$A$2:$A$4,0),MATCH(F943,Risk_Matrix!$B$1:$D$1,0))</f>
        <v>Medium</v>
      </c>
      <c r="H943" s="12" t="n">
        <v>46061</v>
      </c>
      <c r="I943" s="5" t="s">
        <v>2250</v>
      </c>
      <c r="J943" s="5" t="s">
        <v>2251</v>
      </c>
      <c r="K943" s="5" t="s">
        <v>2252</v>
      </c>
      <c r="L943" s="5" t="n">
        <f aca="false">IF(G943="High",3,IF(G943="Medium",2,1))</f>
        <v>2</v>
      </c>
    </row>
    <row r="944" customFormat="false" ht="15" hidden="false" customHeight="true" outlineLevel="0" collapsed="false">
      <c r="A944" s="5" t="s">
        <v>3220</v>
      </c>
      <c r="B944" s="5" t="s">
        <v>1292</v>
      </c>
      <c r="C944" s="5" t="s">
        <v>2239</v>
      </c>
      <c r="D944" s="5" t="s">
        <v>2295</v>
      </c>
      <c r="E944" s="5" t="s">
        <v>2225</v>
      </c>
      <c r="F944" s="5" t="s">
        <v>2225</v>
      </c>
      <c r="G944" s="5" t="str">
        <f aca="false">INDEX(Risk_Matrix!$B$2:$D$4,MATCH(E944,Risk_Matrix!$A$2:$A$4,0),MATCH(F944,Risk_Matrix!$B$1:$D$1,0))</f>
        <v>Medium</v>
      </c>
      <c r="H944" s="12" t="n">
        <v>46216</v>
      </c>
      <c r="I944" s="5" t="s">
        <v>2264</v>
      </c>
      <c r="J944" s="5" t="s">
        <v>2265</v>
      </c>
      <c r="K944" s="5" t="s">
        <v>2276</v>
      </c>
      <c r="L944" s="5" t="n">
        <f aca="false">IF(G944="High",3,IF(G944="Medium",2,1))</f>
        <v>2</v>
      </c>
    </row>
    <row r="945" customFormat="false" ht="15" hidden="false" customHeight="true" outlineLevel="0" collapsed="false">
      <c r="A945" s="5" t="s">
        <v>3221</v>
      </c>
      <c r="B945" s="5" t="s">
        <v>1292</v>
      </c>
      <c r="C945" s="5" t="s">
        <v>2245</v>
      </c>
      <c r="D945" s="5" t="s">
        <v>2269</v>
      </c>
      <c r="E945" s="5" t="s">
        <v>2225</v>
      </c>
      <c r="F945" s="5" t="s">
        <v>59</v>
      </c>
      <c r="G945" s="5" t="str">
        <f aca="false">INDEX(Risk_Matrix!$B$2:$D$4,MATCH(E945,Risk_Matrix!$A$2:$A$4,0),MATCH(F945,Risk_Matrix!$B$1:$D$1,0))</f>
        <v>Low</v>
      </c>
      <c r="H945" s="12" t="n">
        <v>46137</v>
      </c>
      <c r="I945" s="5" t="s">
        <v>2256</v>
      </c>
      <c r="J945" s="5" t="s">
        <v>2257</v>
      </c>
      <c r="K945" s="5" t="s">
        <v>2252</v>
      </c>
      <c r="L945" s="5" t="n">
        <f aca="false">IF(G945="High",3,IF(G945="Medium",2,1))</f>
        <v>1</v>
      </c>
    </row>
    <row r="946" customFormat="false" ht="15" hidden="false" customHeight="true" outlineLevel="0" collapsed="false">
      <c r="A946" s="5" t="s">
        <v>3222</v>
      </c>
      <c r="B946" s="5" t="s">
        <v>1292</v>
      </c>
      <c r="C946" s="5" t="s">
        <v>2248</v>
      </c>
      <c r="D946" s="5" t="s">
        <v>2306</v>
      </c>
      <c r="E946" s="5" t="s">
        <v>54</v>
      </c>
      <c r="F946" s="5" t="s">
        <v>2225</v>
      </c>
      <c r="G946" s="5" t="str">
        <f aca="false">INDEX(Risk_Matrix!$B$2:$D$4,MATCH(E946,Risk_Matrix!$A$2:$A$4,0),MATCH(F946,Risk_Matrix!$B$1:$D$1,0))</f>
        <v>High</v>
      </c>
      <c r="H946" s="12" t="n">
        <v>46221</v>
      </c>
      <c r="I946" s="5" t="s">
        <v>2256</v>
      </c>
      <c r="J946" s="5" t="s">
        <v>2257</v>
      </c>
      <c r="K946" s="5" t="s">
        <v>2243</v>
      </c>
      <c r="L946" s="5" t="n">
        <f aca="false">IF(G946="High",3,IF(G946="Medium",2,1))</f>
        <v>3</v>
      </c>
    </row>
    <row r="947" customFormat="false" ht="15" hidden="false" customHeight="true" outlineLevel="0" collapsed="false">
      <c r="A947" s="5" t="s">
        <v>3223</v>
      </c>
      <c r="B947" s="5" t="s">
        <v>1292</v>
      </c>
      <c r="C947" s="5" t="s">
        <v>2254</v>
      </c>
      <c r="D947" s="5" t="s">
        <v>2299</v>
      </c>
      <c r="E947" s="5" t="s">
        <v>59</v>
      </c>
      <c r="F947" s="5" t="s">
        <v>59</v>
      </c>
      <c r="G947" s="5" t="str">
        <f aca="false">INDEX(Risk_Matrix!$B$2:$D$4,MATCH(E947,Risk_Matrix!$A$2:$A$4,0),MATCH(F947,Risk_Matrix!$B$1:$D$1,0))</f>
        <v>Low</v>
      </c>
      <c r="H947" s="12" t="n">
        <v>46193</v>
      </c>
      <c r="I947" s="5" t="s">
        <v>2250</v>
      </c>
      <c r="J947" s="5" t="s">
        <v>2251</v>
      </c>
      <c r="K947" s="5" t="s">
        <v>2252</v>
      </c>
      <c r="L947" s="5" t="n">
        <f aca="false">IF(G947="High",3,IF(G947="Medium",2,1))</f>
        <v>1</v>
      </c>
    </row>
    <row r="948" customFormat="false" ht="15" hidden="false" customHeight="true" outlineLevel="0" collapsed="false">
      <c r="A948" s="5" t="s">
        <v>3224</v>
      </c>
      <c r="B948" s="5" t="s">
        <v>1292</v>
      </c>
      <c r="C948" s="5" t="s">
        <v>2259</v>
      </c>
      <c r="D948" s="5" t="s">
        <v>2260</v>
      </c>
      <c r="E948" s="5" t="s">
        <v>2225</v>
      </c>
      <c r="F948" s="5" t="s">
        <v>59</v>
      </c>
      <c r="G948" s="5" t="str">
        <f aca="false">INDEX(Risk_Matrix!$B$2:$D$4,MATCH(E948,Risk_Matrix!$A$2:$A$4,0),MATCH(F948,Risk_Matrix!$B$1:$D$1,0))</f>
        <v>Low</v>
      </c>
      <c r="H948" s="12" t="n">
        <v>46210</v>
      </c>
      <c r="I948" s="5" t="s">
        <v>2256</v>
      </c>
      <c r="J948" s="5" t="s">
        <v>2257</v>
      </c>
      <c r="K948" s="5" t="s">
        <v>2243</v>
      </c>
      <c r="L948" s="5" t="n">
        <f aca="false">IF(G948="High",3,IF(G948="Medium",2,1))</f>
        <v>1</v>
      </c>
    </row>
    <row r="949" customFormat="false" ht="15" hidden="false" customHeight="true" outlineLevel="0" collapsed="false">
      <c r="A949" s="5" t="s">
        <v>3225</v>
      </c>
      <c r="B949" s="5" t="s">
        <v>1292</v>
      </c>
      <c r="C949" s="5" t="s">
        <v>2262</v>
      </c>
      <c r="D949" s="5" t="s">
        <v>2263</v>
      </c>
      <c r="E949" s="5" t="s">
        <v>2225</v>
      </c>
      <c r="F949" s="5" t="s">
        <v>59</v>
      </c>
      <c r="G949" s="5" t="str">
        <f aca="false">INDEX(Risk_Matrix!$B$2:$D$4,MATCH(E949,Risk_Matrix!$A$2:$A$4,0),MATCH(F949,Risk_Matrix!$B$1:$D$1,0))</f>
        <v>Low</v>
      </c>
      <c r="H949" s="12" t="n">
        <v>46192</v>
      </c>
      <c r="I949" s="5" t="s">
        <v>2256</v>
      </c>
      <c r="J949" s="5" t="s">
        <v>2257</v>
      </c>
      <c r="K949" s="5" t="s">
        <v>2266</v>
      </c>
      <c r="L949" s="5" t="n">
        <f aca="false">IF(G949="High",3,IF(G949="Medium",2,1))</f>
        <v>1</v>
      </c>
    </row>
    <row r="950" customFormat="false" ht="15" hidden="false" customHeight="true" outlineLevel="0" collapsed="false">
      <c r="A950" s="5" t="s">
        <v>3226</v>
      </c>
      <c r="B950" s="5" t="s">
        <v>1294</v>
      </c>
      <c r="C950" s="5" t="s">
        <v>2239</v>
      </c>
      <c r="D950" s="5" t="s">
        <v>2278</v>
      </c>
      <c r="E950" s="5" t="s">
        <v>54</v>
      </c>
      <c r="F950" s="5" t="s">
        <v>54</v>
      </c>
      <c r="G950" s="5" t="str">
        <f aca="false">INDEX(Risk_Matrix!$B$2:$D$4,MATCH(E950,Risk_Matrix!$A$2:$A$4,0),MATCH(F950,Risk_Matrix!$B$1:$D$1,0))</f>
        <v>High</v>
      </c>
      <c r="H950" s="12" t="n">
        <v>46079</v>
      </c>
      <c r="I950" s="5" t="s">
        <v>2250</v>
      </c>
      <c r="J950" s="5" t="s">
        <v>2251</v>
      </c>
      <c r="K950" s="5" t="s">
        <v>2276</v>
      </c>
      <c r="L950" s="5" t="n">
        <f aca="false">IF(G950="High",3,IF(G950="Medium",2,1))</f>
        <v>3</v>
      </c>
    </row>
    <row r="951" customFormat="false" ht="15" hidden="false" customHeight="true" outlineLevel="0" collapsed="false">
      <c r="A951" s="5" t="s">
        <v>3227</v>
      </c>
      <c r="B951" s="5" t="s">
        <v>1294</v>
      </c>
      <c r="C951" s="5" t="s">
        <v>2245</v>
      </c>
      <c r="D951" s="5" t="s">
        <v>2320</v>
      </c>
      <c r="E951" s="5" t="s">
        <v>59</v>
      </c>
      <c r="F951" s="5" t="s">
        <v>59</v>
      </c>
      <c r="G951" s="5" t="str">
        <f aca="false">INDEX(Risk_Matrix!$B$2:$D$4,MATCH(E951,Risk_Matrix!$A$2:$A$4,0),MATCH(F951,Risk_Matrix!$B$1:$D$1,0))</f>
        <v>Low</v>
      </c>
      <c r="H951" s="12" t="n">
        <v>46222</v>
      </c>
      <c r="I951" s="5" t="s">
        <v>2256</v>
      </c>
      <c r="J951" s="5" t="s">
        <v>2257</v>
      </c>
      <c r="K951" s="5" t="s">
        <v>2252</v>
      </c>
      <c r="L951" s="5" t="n">
        <f aca="false">IF(G951="High",3,IF(G951="Medium",2,1))</f>
        <v>1</v>
      </c>
    </row>
    <row r="952" customFormat="false" ht="15" hidden="false" customHeight="true" outlineLevel="0" collapsed="false">
      <c r="A952" s="5" t="s">
        <v>3228</v>
      </c>
      <c r="B952" s="5" t="s">
        <v>1294</v>
      </c>
      <c r="C952" s="5" t="s">
        <v>2248</v>
      </c>
      <c r="D952" s="5" t="s">
        <v>2306</v>
      </c>
      <c r="E952" s="5" t="s">
        <v>2225</v>
      </c>
      <c r="F952" s="5" t="s">
        <v>59</v>
      </c>
      <c r="G952" s="5" t="str">
        <f aca="false">INDEX(Risk_Matrix!$B$2:$D$4,MATCH(E952,Risk_Matrix!$A$2:$A$4,0),MATCH(F952,Risk_Matrix!$B$1:$D$1,0))</f>
        <v>Low</v>
      </c>
      <c r="H952" s="12" t="n">
        <v>46213</v>
      </c>
      <c r="I952" s="5" t="s">
        <v>2250</v>
      </c>
      <c r="J952" s="5" t="s">
        <v>2251</v>
      </c>
      <c r="K952" s="5" t="s">
        <v>2276</v>
      </c>
      <c r="L952" s="5" t="n">
        <f aca="false">IF(G952="High",3,IF(G952="Medium",2,1))</f>
        <v>1</v>
      </c>
    </row>
    <row r="953" customFormat="false" ht="15" hidden="false" customHeight="true" outlineLevel="0" collapsed="false">
      <c r="A953" s="5" t="s">
        <v>3229</v>
      </c>
      <c r="B953" s="5" t="s">
        <v>1294</v>
      </c>
      <c r="C953" s="5" t="s">
        <v>2254</v>
      </c>
      <c r="D953" s="5" t="s">
        <v>2255</v>
      </c>
      <c r="E953" s="5" t="s">
        <v>59</v>
      </c>
      <c r="F953" s="5" t="s">
        <v>54</v>
      </c>
      <c r="G953" s="5" t="str">
        <f aca="false">INDEX(Risk_Matrix!$B$2:$D$4,MATCH(E953,Risk_Matrix!$A$2:$A$4,0),MATCH(F953,Risk_Matrix!$B$1:$D$1,0))</f>
        <v>Medium</v>
      </c>
      <c r="H953" s="12" t="n">
        <v>46228</v>
      </c>
      <c r="I953" s="5" t="s">
        <v>2250</v>
      </c>
      <c r="J953" s="5" t="s">
        <v>2251</v>
      </c>
      <c r="K953" s="5" t="s">
        <v>2276</v>
      </c>
      <c r="L953" s="5" t="n">
        <f aca="false">IF(G953="High",3,IF(G953="Medium",2,1))</f>
        <v>2</v>
      </c>
    </row>
    <row r="954" customFormat="false" ht="15" hidden="false" customHeight="true" outlineLevel="0" collapsed="false">
      <c r="A954" s="5" t="s">
        <v>3230</v>
      </c>
      <c r="B954" s="5" t="s">
        <v>1294</v>
      </c>
      <c r="C954" s="5" t="s">
        <v>2259</v>
      </c>
      <c r="D954" s="5" t="s">
        <v>2260</v>
      </c>
      <c r="E954" s="5" t="s">
        <v>2225</v>
      </c>
      <c r="F954" s="5" t="s">
        <v>59</v>
      </c>
      <c r="G954" s="5" t="str">
        <f aca="false">INDEX(Risk_Matrix!$B$2:$D$4,MATCH(E954,Risk_Matrix!$A$2:$A$4,0),MATCH(F954,Risk_Matrix!$B$1:$D$1,0))</f>
        <v>Low</v>
      </c>
      <c r="H954" s="12" t="n">
        <v>46170</v>
      </c>
      <c r="I954" s="5" t="s">
        <v>2250</v>
      </c>
      <c r="J954" s="5" t="s">
        <v>2251</v>
      </c>
      <c r="K954" s="5" t="s">
        <v>2243</v>
      </c>
      <c r="L954" s="5" t="n">
        <f aca="false">IF(G954="High",3,IF(G954="Medium",2,1))</f>
        <v>1</v>
      </c>
    </row>
    <row r="955" customFormat="false" ht="15" hidden="false" customHeight="true" outlineLevel="0" collapsed="false">
      <c r="A955" s="5" t="s">
        <v>3231</v>
      </c>
      <c r="B955" s="5" t="s">
        <v>1294</v>
      </c>
      <c r="C955" s="5" t="s">
        <v>2262</v>
      </c>
      <c r="D955" s="5" t="s">
        <v>2311</v>
      </c>
      <c r="E955" s="5" t="s">
        <v>2225</v>
      </c>
      <c r="F955" s="5" t="s">
        <v>2225</v>
      </c>
      <c r="G955" s="5" t="str">
        <f aca="false">INDEX(Risk_Matrix!$B$2:$D$4,MATCH(E955,Risk_Matrix!$A$2:$A$4,0),MATCH(F955,Risk_Matrix!$B$1:$D$1,0))</f>
        <v>Medium</v>
      </c>
      <c r="H955" s="12" t="n">
        <v>46064</v>
      </c>
      <c r="I955" s="5" t="s">
        <v>2256</v>
      </c>
      <c r="J955" s="5" t="s">
        <v>2257</v>
      </c>
      <c r="K955" s="5" t="s">
        <v>2252</v>
      </c>
      <c r="L955" s="5" t="n">
        <f aca="false">IF(G955="High",3,IF(G955="Medium",2,1))</f>
        <v>2</v>
      </c>
    </row>
    <row r="956" customFormat="false" ht="15" hidden="false" customHeight="true" outlineLevel="0" collapsed="false">
      <c r="A956" s="5" t="s">
        <v>3232</v>
      </c>
      <c r="B956" s="5" t="s">
        <v>1295</v>
      </c>
      <c r="C956" s="5" t="s">
        <v>2239</v>
      </c>
      <c r="D956" s="5" t="s">
        <v>2278</v>
      </c>
      <c r="E956" s="5" t="s">
        <v>2225</v>
      </c>
      <c r="F956" s="5" t="s">
        <v>54</v>
      </c>
      <c r="G956" s="5" t="str">
        <f aca="false">INDEX(Risk_Matrix!$B$2:$D$4,MATCH(E956,Risk_Matrix!$A$2:$A$4,0),MATCH(F956,Risk_Matrix!$B$1:$D$1,0))</f>
        <v>High</v>
      </c>
      <c r="H956" s="12" t="n">
        <v>46142</v>
      </c>
      <c r="I956" s="5" t="s">
        <v>2250</v>
      </c>
      <c r="J956" s="5" t="s">
        <v>2251</v>
      </c>
      <c r="K956" s="5" t="s">
        <v>2283</v>
      </c>
      <c r="L956" s="5" t="n">
        <f aca="false">IF(G956="High",3,IF(G956="Medium",2,1))</f>
        <v>3</v>
      </c>
    </row>
    <row r="957" customFormat="false" ht="15" hidden="false" customHeight="true" outlineLevel="0" collapsed="false">
      <c r="A957" s="5" t="s">
        <v>3233</v>
      </c>
      <c r="B957" s="5" t="s">
        <v>1295</v>
      </c>
      <c r="C957" s="5" t="s">
        <v>2245</v>
      </c>
      <c r="D957" s="5" t="s">
        <v>2246</v>
      </c>
      <c r="E957" s="5" t="s">
        <v>54</v>
      </c>
      <c r="F957" s="5" t="s">
        <v>54</v>
      </c>
      <c r="G957" s="5" t="str">
        <f aca="false">INDEX(Risk_Matrix!$B$2:$D$4,MATCH(E957,Risk_Matrix!$A$2:$A$4,0),MATCH(F957,Risk_Matrix!$B$1:$D$1,0))</f>
        <v>High</v>
      </c>
      <c r="H957" s="12" t="n">
        <v>46238</v>
      </c>
      <c r="I957" s="5" t="s">
        <v>2264</v>
      </c>
      <c r="J957" s="5" t="s">
        <v>2265</v>
      </c>
      <c r="K957" s="5" t="s">
        <v>2243</v>
      </c>
      <c r="L957" s="5" t="n">
        <f aca="false">IF(G957="High",3,IF(G957="Medium",2,1))</f>
        <v>3</v>
      </c>
    </row>
    <row r="958" customFormat="false" ht="15" hidden="false" customHeight="true" outlineLevel="0" collapsed="false">
      <c r="A958" s="5" t="s">
        <v>3234</v>
      </c>
      <c r="B958" s="5" t="s">
        <v>1295</v>
      </c>
      <c r="C958" s="5" t="s">
        <v>2248</v>
      </c>
      <c r="D958" s="5" t="s">
        <v>2271</v>
      </c>
      <c r="E958" s="5" t="s">
        <v>2225</v>
      </c>
      <c r="F958" s="5" t="s">
        <v>54</v>
      </c>
      <c r="G958" s="5" t="str">
        <f aca="false">INDEX(Risk_Matrix!$B$2:$D$4,MATCH(E958,Risk_Matrix!$A$2:$A$4,0),MATCH(F958,Risk_Matrix!$B$1:$D$1,0))</f>
        <v>High</v>
      </c>
      <c r="H958" s="12" t="n">
        <v>46084</v>
      </c>
      <c r="I958" s="5" t="s">
        <v>2256</v>
      </c>
      <c r="J958" s="5" t="s">
        <v>2257</v>
      </c>
      <c r="K958" s="5" t="s">
        <v>2276</v>
      </c>
      <c r="L958" s="5" t="n">
        <f aca="false">IF(G958="High",3,IF(G958="Medium",2,1))</f>
        <v>3</v>
      </c>
    </row>
    <row r="959" customFormat="false" ht="15" hidden="false" customHeight="true" outlineLevel="0" collapsed="false">
      <c r="A959" s="5" t="s">
        <v>3235</v>
      </c>
      <c r="B959" s="5" t="s">
        <v>1295</v>
      </c>
      <c r="C959" s="5" t="s">
        <v>2254</v>
      </c>
      <c r="D959" s="5" t="s">
        <v>2299</v>
      </c>
      <c r="E959" s="5" t="s">
        <v>59</v>
      </c>
      <c r="F959" s="5" t="s">
        <v>2225</v>
      </c>
      <c r="G959" s="5" t="str">
        <f aca="false">INDEX(Risk_Matrix!$B$2:$D$4,MATCH(E959,Risk_Matrix!$A$2:$A$4,0),MATCH(F959,Risk_Matrix!$B$1:$D$1,0))</f>
        <v>Low</v>
      </c>
      <c r="H959" s="12" t="n">
        <v>46144</v>
      </c>
      <c r="I959" s="5" t="s">
        <v>2264</v>
      </c>
      <c r="J959" s="5" t="s">
        <v>2265</v>
      </c>
      <c r="K959" s="5" t="s">
        <v>2243</v>
      </c>
      <c r="L959" s="5" t="n">
        <f aca="false">IF(G959="High",3,IF(G959="Medium",2,1))</f>
        <v>1</v>
      </c>
    </row>
    <row r="960" customFormat="false" ht="15" hidden="false" customHeight="true" outlineLevel="0" collapsed="false">
      <c r="A960" s="5" t="s">
        <v>3236</v>
      </c>
      <c r="B960" s="5" t="s">
        <v>1295</v>
      </c>
      <c r="C960" s="5" t="s">
        <v>2259</v>
      </c>
      <c r="D960" s="5" t="s">
        <v>2285</v>
      </c>
      <c r="E960" s="5" t="s">
        <v>2225</v>
      </c>
      <c r="F960" s="5" t="s">
        <v>54</v>
      </c>
      <c r="G960" s="5" t="str">
        <f aca="false">INDEX(Risk_Matrix!$B$2:$D$4,MATCH(E960,Risk_Matrix!$A$2:$A$4,0),MATCH(F960,Risk_Matrix!$B$1:$D$1,0))</f>
        <v>High</v>
      </c>
      <c r="H960" s="12" t="n">
        <v>46069</v>
      </c>
      <c r="I960" s="5" t="s">
        <v>2250</v>
      </c>
      <c r="J960" s="5" t="s">
        <v>2251</v>
      </c>
      <c r="K960" s="5" t="s">
        <v>2266</v>
      </c>
      <c r="L960" s="5" t="n">
        <f aca="false">IF(G960="High",3,IF(G960="Medium",2,1))</f>
        <v>3</v>
      </c>
    </row>
    <row r="961" customFormat="false" ht="15" hidden="false" customHeight="true" outlineLevel="0" collapsed="false">
      <c r="A961" s="5" t="s">
        <v>3237</v>
      </c>
      <c r="B961" s="5" t="s">
        <v>1295</v>
      </c>
      <c r="C961" s="5" t="s">
        <v>2262</v>
      </c>
      <c r="D961" s="5" t="s">
        <v>2287</v>
      </c>
      <c r="E961" s="5" t="s">
        <v>54</v>
      </c>
      <c r="F961" s="5" t="s">
        <v>54</v>
      </c>
      <c r="G961" s="5" t="str">
        <f aca="false">INDEX(Risk_Matrix!$B$2:$D$4,MATCH(E961,Risk_Matrix!$A$2:$A$4,0),MATCH(F961,Risk_Matrix!$B$1:$D$1,0))</f>
        <v>High</v>
      </c>
      <c r="H961" s="12" t="n">
        <v>46234</v>
      </c>
      <c r="I961" s="5" t="s">
        <v>2264</v>
      </c>
      <c r="J961" s="5" t="s">
        <v>2265</v>
      </c>
      <c r="K961" s="5" t="s">
        <v>2252</v>
      </c>
      <c r="L961" s="5" t="n">
        <f aca="false">IF(G961="High",3,IF(G961="Medium",2,1))</f>
        <v>3</v>
      </c>
    </row>
    <row r="962" customFormat="false" ht="15" hidden="false" customHeight="true" outlineLevel="0" collapsed="false">
      <c r="A962" s="5" t="s">
        <v>3238</v>
      </c>
      <c r="B962" s="5" t="s">
        <v>1296</v>
      </c>
      <c r="C962" s="5" t="s">
        <v>2239</v>
      </c>
      <c r="D962" s="5" t="s">
        <v>2240</v>
      </c>
      <c r="E962" s="5" t="s">
        <v>54</v>
      </c>
      <c r="F962" s="5" t="s">
        <v>2225</v>
      </c>
      <c r="G962" s="5" t="str">
        <f aca="false">INDEX(Risk_Matrix!$B$2:$D$4,MATCH(E962,Risk_Matrix!$A$2:$A$4,0),MATCH(F962,Risk_Matrix!$B$1:$D$1,0))</f>
        <v>High</v>
      </c>
      <c r="H962" s="12" t="n">
        <v>46179</v>
      </c>
      <c r="I962" s="5" t="s">
        <v>2250</v>
      </c>
      <c r="J962" s="5" t="s">
        <v>2251</v>
      </c>
      <c r="K962" s="5" t="s">
        <v>2283</v>
      </c>
      <c r="L962" s="5" t="n">
        <f aca="false">IF(G962="High",3,IF(G962="Medium",2,1))</f>
        <v>3</v>
      </c>
    </row>
    <row r="963" customFormat="false" ht="15" hidden="false" customHeight="true" outlineLevel="0" collapsed="false">
      <c r="A963" s="5" t="s">
        <v>3239</v>
      </c>
      <c r="B963" s="5" t="s">
        <v>1296</v>
      </c>
      <c r="C963" s="5" t="s">
        <v>2245</v>
      </c>
      <c r="D963" s="5" t="s">
        <v>2280</v>
      </c>
      <c r="E963" s="5" t="s">
        <v>59</v>
      </c>
      <c r="F963" s="5" t="s">
        <v>2225</v>
      </c>
      <c r="G963" s="5" t="str">
        <f aca="false">INDEX(Risk_Matrix!$B$2:$D$4,MATCH(E963,Risk_Matrix!$A$2:$A$4,0),MATCH(F963,Risk_Matrix!$B$1:$D$1,0))</f>
        <v>Low</v>
      </c>
      <c r="H963" s="12" t="n">
        <v>46129</v>
      </c>
      <c r="I963" s="5" t="s">
        <v>2256</v>
      </c>
      <c r="J963" s="5" t="s">
        <v>2257</v>
      </c>
      <c r="K963" s="5" t="s">
        <v>2243</v>
      </c>
      <c r="L963" s="5" t="n">
        <f aca="false">IF(G963="High",3,IF(G963="Medium",2,1))</f>
        <v>1</v>
      </c>
    </row>
    <row r="964" customFormat="false" ht="15" hidden="false" customHeight="true" outlineLevel="0" collapsed="false">
      <c r="A964" s="5" t="s">
        <v>3240</v>
      </c>
      <c r="B964" s="5" t="s">
        <v>1296</v>
      </c>
      <c r="C964" s="5" t="s">
        <v>2248</v>
      </c>
      <c r="D964" s="5" t="s">
        <v>2306</v>
      </c>
      <c r="E964" s="5" t="s">
        <v>2225</v>
      </c>
      <c r="F964" s="5" t="s">
        <v>59</v>
      </c>
      <c r="G964" s="5" t="str">
        <f aca="false">INDEX(Risk_Matrix!$B$2:$D$4,MATCH(E964,Risk_Matrix!$A$2:$A$4,0),MATCH(F964,Risk_Matrix!$B$1:$D$1,0))</f>
        <v>Low</v>
      </c>
      <c r="H964" s="12" t="n">
        <v>46202</v>
      </c>
      <c r="I964" s="5" t="s">
        <v>2256</v>
      </c>
      <c r="J964" s="5" t="s">
        <v>2257</v>
      </c>
      <c r="K964" s="5" t="s">
        <v>2283</v>
      </c>
      <c r="L964" s="5" t="n">
        <f aca="false">IF(G964="High",3,IF(G964="Medium",2,1))</f>
        <v>1</v>
      </c>
    </row>
    <row r="965" customFormat="false" ht="15" hidden="false" customHeight="true" outlineLevel="0" collapsed="false">
      <c r="A965" s="5" t="s">
        <v>3241</v>
      </c>
      <c r="B965" s="5" t="s">
        <v>1296</v>
      </c>
      <c r="C965" s="5" t="s">
        <v>2254</v>
      </c>
      <c r="D965" s="5" t="s">
        <v>2299</v>
      </c>
      <c r="E965" s="5" t="s">
        <v>2225</v>
      </c>
      <c r="F965" s="5" t="s">
        <v>2225</v>
      </c>
      <c r="G965" s="5" t="str">
        <f aca="false">INDEX(Risk_Matrix!$B$2:$D$4,MATCH(E965,Risk_Matrix!$A$2:$A$4,0),MATCH(F965,Risk_Matrix!$B$1:$D$1,0))</f>
        <v>Medium</v>
      </c>
      <c r="H965" s="12" t="n">
        <v>46111</v>
      </c>
      <c r="I965" s="5" t="s">
        <v>2256</v>
      </c>
      <c r="J965" s="5" t="s">
        <v>2257</v>
      </c>
      <c r="K965" s="5" t="s">
        <v>2276</v>
      </c>
      <c r="L965" s="5" t="n">
        <f aca="false">IF(G965="High",3,IF(G965="Medium",2,1))</f>
        <v>2</v>
      </c>
    </row>
    <row r="966" customFormat="false" ht="15" hidden="false" customHeight="true" outlineLevel="0" collapsed="false">
      <c r="A966" s="5" t="s">
        <v>3242</v>
      </c>
      <c r="B966" s="5" t="s">
        <v>1296</v>
      </c>
      <c r="C966" s="5" t="s">
        <v>2259</v>
      </c>
      <c r="D966" s="5" t="s">
        <v>2274</v>
      </c>
      <c r="E966" s="5" t="s">
        <v>2225</v>
      </c>
      <c r="F966" s="5" t="s">
        <v>54</v>
      </c>
      <c r="G966" s="5" t="str">
        <f aca="false">INDEX(Risk_Matrix!$B$2:$D$4,MATCH(E966,Risk_Matrix!$A$2:$A$4,0),MATCH(F966,Risk_Matrix!$B$1:$D$1,0))</f>
        <v>High</v>
      </c>
      <c r="H966" s="12" t="n">
        <v>46119</v>
      </c>
      <c r="I966" s="5" t="s">
        <v>2241</v>
      </c>
      <c r="J966" s="5" t="s">
        <v>2242</v>
      </c>
      <c r="K966" s="5" t="s">
        <v>2266</v>
      </c>
      <c r="L966" s="5" t="n">
        <f aca="false">IF(G966="High",3,IF(G966="Medium",2,1))</f>
        <v>3</v>
      </c>
    </row>
    <row r="967" customFormat="false" ht="15" hidden="false" customHeight="true" outlineLevel="0" collapsed="false">
      <c r="A967" s="5" t="s">
        <v>3243</v>
      </c>
      <c r="B967" s="5" t="s">
        <v>1296</v>
      </c>
      <c r="C967" s="5" t="s">
        <v>2262</v>
      </c>
      <c r="D967" s="5" t="s">
        <v>2311</v>
      </c>
      <c r="E967" s="5" t="s">
        <v>54</v>
      </c>
      <c r="F967" s="5" t="s">
        <v>59</v>
      </c>
      <c r="G967" s="5" t="str">
        <f aca="false">INDEX(Risk_Matrix!$B$2:$D$4,MATCH(E967,Risk_Matrix!$A$2:$A$4,0),MATCH(F967,Risk_Matrix!$B$1:$D$1,0))</f>
        <v>Medium</v>
      </c>
      <c r="H967" s="12" t="n">
        <v>46176</v>
      </c>
      <c r="I967" s="5" t="s">
        <v>2250</v>
      </c>
      <c r="J967" s="5" t="s">
        <v>2251</v>
      </c>
      <c r="K967" s="5" t="s">
        <v>2266</v>
      </c>
      <c r="L967" s="5" t="n">
        <f aca="false">IF(G967="High",3,IF(G967="Medium",2,1))</f>
        <v>2</v>
      </c>
    </row>
    <row r="968" customFormat="false" ht="15" hidden="false" customHeight="true" outlineLevel="0" collapsed="false">
      <c r="A968" s="5" t="s">
        <v>3244</v>
      </c>
      <c r="B968" s="5" t="s">
        <v>1297</v>
      </c>
      <c r="C968" s="5" t="s">
        <v>2239</v>
      </c>
      <c r="D968" s="5" t="s">
        <v>2303</v>
      </c>
      <c r="E968" s="5" t="s">
        <v>2225</v>
      </c>
      <c r="F968" s="5" t="s">
        <v>2225</v>
      </c>
      <c r="G968" s="5" t="str">
        <f aca="false">INDEX(Risk_Matrix!$B$2:$D$4,MATCH(E968,Risk_Matrix!$A$2:$A$4,0),MATCH(F968,Risk_Matrix!$B$1:$D$1,0))</f>
        <v>Medium</v>
      </c>
      <c r="H968" s="12" t="n">
        <v>46127</v>
      </c>
      <c r="I968" s="5" t="s">
        <v>2256</v>
      </c>
      <c r="J968" s="5" t="s">
        <v>2257</v>
      </c>
      <c r="K968" s="5" t="s">
        <v>2276</v>
      </c>
      <c r="L968" s="5" t="n">
        <f aca="false">IF(G968="High",3,IF(G968="Medium",2,1))</f>
        <v>2</v>
      </c>
    </row>
    <row r="969" customFormat="false" ht="15" hidden="false" customHeight="true" outlineLevel="0" collapsed="false">
      <c r="A969" s="5" t="s">
        <v>3245</v>
      </c>
      <c r="B969" s="5" t="s">
        <v>1297</v>
      </c>
      <c r="C969" s="5" t="s">
        <v>2245</v>
      </c>
      <c r="D969" s="5" t="s">
        <v>2320</v>
      </c>
      <c r="E969" s="5" t="s">
        <v>54</v>
      </c>
      <c r="F969" s="5" t="s">
        <v>59</v>
      </c>
      <c r="G969" s="5" t="str">
        <f aca="false">INDEX(Risk_Matrix!$B$2:$D$4,MATCH(E969,Risk_Matrix!$A$2:$A$4,0),MATCH(F969,Risk_Matrix!$B$1:$D$1,0))</f>
        <v>Medium</v>
      </c>
      <c r="H969" s="12" t="n">
        <v>46167</v>
      </c>
      <c r="I969" s="5" t="s">
        <v>2256</v>
      </c>
      <c r="J969" s="5" t="s">
        <v>2257</v>
      </c>
      <c r="K969" s="5" t="s">
        <v>2266</v>
      </c>
      <c r="L969" s="5" t="n">
        <f aca="false">IF(G969="High",3,IF(G969="Medium",2,1))</f>
        <v>2</v>
      </c>
    </row>
    <row r="970" customFormat="false" ht="15" hidden="false" customHeight="true" outlineLevel="0" collapsed="false">
      <c r="A970" s="5" t="s">
        <v>3246</v>
      </c>
      <c r="B970" s="5" t="s">
        <v>1297</v>
      </c>
      <c r="C970" s="5" t="s">
        <v>2248</v>
      </c>
      <c r="D970" s="5" t="s">
        <v>2249</v>
      </c>
      <c r="E970" s="5" t="s">
        <v>2225</v>
      </c>
      <c r="F970" s="5" t="s">
        <v>54</v>
      </c>
      <c r="G970" s="5" t="str">
        <f aca="false">INDEX(Risk_Matrix!$B$2:$D$4,MATCH(E970,Risk_Matrix!$A$2:$A$4,0),MATCH(F970,Risk_Matrix!$B$1:$D$1,0))</f>
        <v>High</v>
      </c>
      <c r="H970" s="12" t="n">
        <v>46068</v>
      </c>
      <c r="I970" s="5" t="s">
        <v>2250</v>
      </c>
      <c r="J970" s="5" t="s">
        <v>2251</v>
      </c>
      <c r="K970" s="5" t="s">
        <v>2266</v>
      </c>
      <c r="L970" s="5" t="n">
        <f aca="false">IF(G970="High",3,IF(G970="Medium",2,1))</f>
        <v>3</v>
      </c>
    </row>
    <row r="971" customFormat="false" ht="15" hidden="false" customHeight="true" outlineLevel="0" collapsed="false">
      <c r="A971" s="5" t="s">
        <v>3247</v>
      </c>
      <c r="B971" s="5" t="s">
        <v>1297</v>
      </c>
      <c r="C971" s="5" t="s">
        <v>2254</v>
      </c>
      <c r="D971" s="5" t="s">
        <v>2299</v>
      </c>
      <c r="E971" s="5" t="s">
        <v>2225</v>
      </c>
      <c r="F971" s="5" t="s">
        <v>59</v>
      </c>
      <c r="G971" s="5" t="str">
        <f aca="false">INDEX(Risk_Matrix!$B$2:$D$4,MATCH(E971,Risk_Matrix!$A$2:$A$4,0),MATCH(F971,Risk_Matrix!$B$1:$D$1,0))</f>
        <v>Low</v>
      </c>
      <c r="H971" s="12" t="n">
        <v>46153</v>
      </c>
      <c r="I971" s="5" t="s">
        <v>2264</v>
      </c>
      <c r="J971" s="5" t="s">
        <v>2265</v>
      </c>
      <c r="K971" s="5" t="s">
        <v>2266</v>
      </c>
      <c r="L971" s="5" t="n">
        <f aca="false">IF(G971="High",3,IF(G971="Medium",2,1))</f>
        <v>1</v>
      </c>
    </row>
    <row r="972" customFormat="false" ht="15" hidden="false" customHeight="true" outlineLevel="0" collapsed="false">
      <c r="A972" s="5" t="s">
        <v>3248</v>
      </c>
      <c r="B972" s="5" t="s">
        <v>1297</v>
      </c>
      <c r="C972" s="5" t="s">
        <v>2259</v>
      </c>
      <c r="D972" s="5" t="s">
        <v>2285</v>
      </c>
      <c r="E972" s="5" t="s">
        <v>2225</v>
      </c>
      <c r="F972" s="5" t="s">
        <v>2225</v>
      </c>
      <c r="G972" s="5" t="str">
        <f aca="false">INDEX(Risk_Matrix!$B$2:$D$4,MATCH(E972,Risk_Matrix!$A$2:$A$4,0),MATCH(F972,Risk_Matrix!$B$1:$D$1,0))</f>
        <v>Medium</v>
      </c>
      <c r="H972" s="12" t="n">
        <v>46142</v>
      </c>
      <c r="I972" s="5" t="s">
        <v>2250</v>
      </c>
      <c r="J972" s="5" t="s">
        <v>2251</v>
      </c>
      <c r="K972" s="5" t="s">
        <v>2243</v>
      </c>
      <c r="L972" s="5" t="n">
        <f aca="false">IF(G972="High",3,IF(G972="Medium",2,1))</f>
        <v>2</v>
      </c>
    </row>
    <row r="973" customFormat="false" ht="15" hidden="false" customHeight="true" outlineLevel="0" collapsed="false">
      <c r="A973" s="5" t="s">
        <v>3249</v>
      </c>
      <c r="B973" s="5" t="s">
        <v>1297</v>
      </c>
      <c r="C973" s="5" t="s">
        <v>2262</v>
      </c>
      <c r="D973" s="5" t="s">
        <v>2263</v>
      </c>
      <c r="E973" s="5" t="s">
        <v>2225</v>
      </c>
      <c r="F973" s="5" t="s">
        <v>2225</v>
      </c>
      <c r="G973" s="5" t="str">
        <f aca="false">INDEX(Risk_Matrix!$B$2:$D$4,MATCH(E973,Risk_Matrix!$A$2:$A$4,0),MATCH(F973,Risk_Matrix!$B$1:$D$1,0))</f>
        <v>Medium</v>
      </c>
      <c r="H973" s="12" t="n">
        <v>46179</v>
      </c>
      <c r="I973" s="5" t="s">
        <v>2264</v>
      </c>
      <c r="J973" s="5" t="s">
        <v>2265</v>
      </c>
      <c r="K973" s="5" t="s">
        <v>2266</v>
      </c>
      <c r="L973" s="5" t="n">
        <f aca="false">IF(G973="High",3,IF(G973="Medium",2,1))</f>
        <v>2</v>
      </c>
    </row>
    <row r="974" customFormat="false" ht="15" hidden="false" customHeight="true" outlineLevel="0" collapsed="false">
      <c r="A974" s="5" t="s">
        <v>3250</v>
      </c>
      <c r="B974" s="5" t="s">
        <v>1299</v>
      </c>
      <c r="C974" s="5" t="s">
        <v>2239</v>
      </c>
      <c r="D974" s="5" t="s">
        <v>2278</v>
      </c>
      <c r="E974" s="5" t="s">
        <v>59</v>
      </c>
      <c r="F974" s="5" t="s">
        <v>59</v>
      </c>
      <c r="G974" s="5" t="str">
        <f aca="false">INDEX(Risk_Matrix!$B$2:$D$4,MATCH(E974,Risk_Matrix!$A$2:$A$4,0),MATCH(F974,Risk_Matrix!$B$1:$D$1,0))</f>
        <v>Low</v>
      </c>
      <c r="H974" s="12" t="n">
        <v>46087</v>
      </c>
      <c r="I974" s="5" t="s">
        <v>2256</v>
      </c>
      <c r="J974" s="5" t="s">
        <v>2257</v>
      </c>
      <c r="K974" s="5" t="s">
        <v>2266</v>
      </c>
      <c r="L974" s="5" t="n">
        <f aca="false">IF(G974="High",3,IF(G974="Medium",2,1))</f>
        <v>1</v>
      </c>
    </row>
    <row r="975" customFormat="false" ht="15" hidden="false" customHeight="true" outlineLevel="0" collapsed="false">
      <c r="A975" s="5" t="s">
        <v>3251</v>
      </c>
      <c r="B975" s="5" t="s">
        <v>1299</v>
      </c>
      <c r="C975" s="5" t="s">
        <v>2245</v>
      </c>
      <c r="D975" s="5" t="s">
        <v>2246</v>
      </c>
      <c r="E975" s="5" t="s">
        <v>2225</v>
      </c>
      <c r="F975" s="5" t="s">
        <v>59</v>
      </c>
      <c r="G975" s="5" t="str">
        <f aca="false">INDEX(Risk_Matrix!$B$2:$D$4,MATCH(E975,Risk_Matrix!$A$2:$A$4,0),MATCH(F975,Risk_Matrix!$B$1:$D$1,0))</f>
        <v>Low</v>
      </c>
      <c r="H975" s="12" t="n">
        <v>46141</v>
      </c>
      <c r="I975" s="5" t="s">
        <v>2256</v>
      </c>
      <c r="J975" s="5" t="s">
        <v>2257</v>
      </c>
      <c r="K975" s="5" t="s">
        <v>2283</v>
      </c>
      <c r="L975" s="5" t="n">
        <f aca="false">IF(G975="High",3,IF(G975="Medium",2,1))</f>
        <v>1</v>
      </c>
    </row>
    <row r="976" customFormat="false" ht="15" hidden="false" customHeight="true" outlineLevel="0" collapsed="false">
      <c r="A976" s="5" t="s">
        <v>3252</v>
      </c>
      <c r="B976" s="5" t="s">
        <v>1299</v>
      </c>
      <c r="C976" s="5" t="s">
        <v>2248</v>
      </c>
      <c r="D976" s="5" t="s">
        <v>2306</v>
      </c>
      <c r="E976" s="5" t="s">
        <v>59</v>
      </c>
      <c r="F976" s="5" t="s">
        <v>2225</v>
      </c>
      <c r="G976" s="5" t="str">
        <f aca="false">INDEX(Risk_Matrix!$B$2:$D$4,MATCH(E976,Risk_Matrix!$A$2:$A$4,0),MATCH(F976,Risk_Matrix!$B$1:$D$1,0))</f>
        <v>Low</v>
      </c>
      <c r="H976" s="12" t="n">
        <v>46139</v>
      </c>
      <c r="I976" s="5" t="s">
        <v>2256</v>
      </c>
      <c r="J976" s="5" t="s">
        <v>2257</v>
      </c>
      <c r="K976" s="5" t="s">
        <v>2243</v>
      </c>
      <c r="L976" s="5" t="n">
        <f aca="false">IF(G976="High",3,IF(G976="Medium",2,1))</f>
        <v>1</v>
      </c>
    </row>
    <row r="977" customFormat="false" ht="15" hidden="false" customHeight="true" outlineLevel="0" collapsed="false">
      <c r="A977" s="5" t="s">
        <v>3253</v>
      </c>
      <c r="B977" s="5" t="s">
        <v>1299</v>
      </c>
      <c r="C977" s="5" t="s">
        <v>2254</v>
      </c>
      <c r="D977" s="5" t="s">
        <v>2308</v>
      </c>
      <c r="E977" s="5" t="s">
        <v>2225</v>
      </c>
      <c r="F977" s="5" t="s">
        <v>2225</v>
      </c>
      <c r="G977" s="5" t="str">
        <f aca="false">INDEX(Risk_Matrix!$B$2:$D$4,MATCH(E977,Risk_Matrix!$A$2:$A$4,0),MATCH(F977,Risk_Matrix!$B$1:$D$1,0))</f>
        <v>Medium</v>
      </c>
      <c r="H977" s="12" t="n">
        <v>46206</v>
      </c>
      <c r="I977" s="5" t="s">
        <v>2264</v>
      </c>
      <c r="J977" s="5" t="s">
        <v>2265</v>
      </c>
      <c r="K977" s="5" t="s">
        <v>2283</v>
      </c>
      <c r="L977" s="5" t="n">
        <f aca="false">IF(G977="High",3,IF(G977="Medium",2,1))</f>
        <v>2</v>
      </c>
    </row>
    <row r="978" customFormat="false" ht="15" hidden="false" customHeight="true" outlineLevel="0" collapsed="false">
      <c r="A978" s="5" t="s">
        <v>3254</v>
      </c>
      <c r="B978" s="5" t="s">
        <v>1299</v>
      </c>
      <c r="C978" s="5" t="s">
        <v>2259</v>
      </c>
      <c r="D978" s="5" t="s">
        <v>2285</v>
      </c>
      <c r="E978" s="5" t="s">
        <v>2225</v>
      </c>
      <c r="F978" s="5" t="s">
        <v>59</v>
      </c>
      <c r="G978" s="5" t="str">
        <f aca="false">INDEX(Risk_Matrix!$B$2:$D$4,MATCH(E978,Risk_Matrix!$A$2:$A$4,0),MATCH(F978,Risk_Matrix!$B$1:$D$1,0))</f>
        <v>Low</v>
      </c>
      <c r="H978" s="12" t="n">
        <v>46101</v>
      </c>
      <c r="I978" s="5" t="s">
        <v>2256</v>
      </c>
      <c r="J978" s="5" t="s">
        <v>2257</v>
      </c>
      <c r="K978" s="5" t="s">
        <v>2243</v>
      </c>
      <c r="L978" s="5" t="n">
        <f aca="false">IF(G978="High",3,IF(G978="Medium",2,1))</f>
        <v>1</v>
      </c>
    </row>
    <row r="979" customFormat="false" ht="15" hidden="false" customHeight="true" outlineLevel="0" collapsed="false">
      <c r="A979" s="5" t="s">
        <v>3255</v>
      </c>
      <c r="B979" s="5" t="s">
        <v>1299</v>
      </c>
      <c r="C979" s="5" t="s">
        <v>2262</v>
      </c>
      <c r="D979" s="5" t="s">
        <v>2311</v>
      </c>
      <c r="E979" s="5" t="s">
        <v>59</v>
      </c>
      <c r="F979" s="5" t="s">
        <v>54</v>
      </c>
      <c r="G979" s="5" t="str">
        <f aca="false">INDEX(Risk_Matrix!$B$2:$D$4,MATCH(E979,Risk_Matrix!$A$2:$A$4,0),MATCH(F979,Risk_Matrix!$B$1:$D$1,0))</f>
        <v>Medium</v>
      </c>
      <c r="H979" s="12" t="n">
        <v>46111</v>
      </c>
      <c r="I979" s="5" t="s">
        <v>2264</v>
      </c>
      <c r="J979" s="5" t="s">
        <v>2265</v>
      </c>
      <c r="K979" s="5" t="s">
        <v>2243</v>
      </c>
      <c r="L979" s="5" t="n">
        <f aca="false">IF(G979="High",3,IF(G979="Medium",2,1))</f>
        <v>2</v>
      </c>
    </row>
    <row r="980" customFormat="false" ht="15" hidden="false" customHeight="true" outlineLevel="0" collapsed="false">
      <c r="A980" s="5" t="s">
        <v>3256</v>
      </c>
      <c r="B980" s="5" t="s">
        <v>1301</v>
      </c>
      <c r="C980" s="5" t="s">
        <v>2239</v>
      </c>
      <c r="D980" s="5" t="s">
        <v>2303</v>
      </c>
      <c r="E980" s="5" t="s">
        <v>2225</v>
      </c>
      <c r="F980" s="5" t="s">
        <v>59</v>
      </c>
      <c r="G980" s="5" t="str">
        <f aca="false">INDEX(Risk_Matrix!$B$2:$D$4,MATCH(E980,Risk_Matrix!$A$2:$A$4,0),MATCH(F980,Risk_Matrix!$B$1:$D$1,0))</f>
        <v>Low</v>
      </c>
      <c r="H980" s="12" t="n">
        <v>46059</v>
      </c>
      <c r="I980" s="5" t="s">
        <v>2250</v>
      </c>
      <c r="J980" s="5" t="s">
        <v>2251</v>
      </c>
      <c r="K980" s="5" t="s">
        <v>2276</v>
      </c>
      <c r="L980" s="5" t="n">
        <f aca="false">IF(G980="High",3,IF(G980="Medium",2,1))</f>
        <v>1</v>
      </c>
    </row>
    <row r="981" customFormat="false" ht="15" hidden="false" customHeight="true" outlineLevel="0" collapsed="false">
      <c r="A981" s="5" t="s">
        <v>3257</v>
      </c>
      <c r="B981" s="5" t="s">
        <v>1301</v>
      </c>
      <c r="C981" s="5" t="s">
        <v>2245</v>
      </c>
      <c r="D981" s="5" t="s">
        <v>2269</v>
      </c>
      <c r="E981" s="5" t="s">
        <v>59</v>
      </c>
      <c r="F981" s="5" t="s">
        <v>54</v>
      </c>
      <c r="G981" s="5" t="str">
        <f aca="false">INDEX(Risk_Matrix!$B$2:$D$4,MATCH(E981,Risk_Matrix!$A$2:$A$4,0),MATCH(F981,Risk_Matrix!$B$1:$D$1,0))</f>
        <v>Medium</v>
      </c>
      <c r="H981" s="12" t="n">
        <v>46092</v>
      </c>
      <c r="I981" s="5" t="s">
        <v>2256</v>
      </c>
      <c r="J981" s="5" t="s">
        <v>2257</v>
      </c>
      <c r="K981" s="5" t="s">
        <v>2243</v>
      </c>
      <c r="L981" s="5" t="n">
        <f aca="false">IF(G981="High",3,IF(G981="Medium",2,1))</f>
        <v>2</v>
      </c>
    </row>
    <row r="982" customFormat="false" ht="15" hidden="false" customHeight="true" outlineLevel="0" collapsed="false">
      <c r="A982" s="5" t="s">
        <v>3258</v>
      </c>
      <c r="B982" s="5" t="s">
        <v>1301</v>
      </c>
      <c r="C982" s="5" t="s">
        <v>2248</v>
      </c>
      <c r="D982" s="5" t="s">
        <v>2322</v>
      </c>
      <c r="E982" s="5" t="s">
        <v>59</v>
      </c>
      <c r="F982" s="5" t="s">
        <v>2225</v>
      </c>
      <c r="G982" s="5" t="str">
        <f aca="false">INDEX(Risk_Matrix!$B$2:$D$4,MATCH(E982,Risk_Matrix!$A$2:$A$4,0),MATCH(F982,Risk_Matrix!$B$1:$D$1,0))</f>
        <v>Low</v>
      </c>
      <c r="H982" s="12" t="n">
        <v>46153</v>
      </c>
      <c r="I982" s="5" t="s">
        <v>2256</v>
      </c>
      <c r="J982" s="5" t="s">
        <v>2257</v>
      </c>
      <c r="K982" s="5" t="s">
        <v>2266</v>
      </c>
      <c r="L982" s="5" t="n">
        <f aca="false">IF(G982="High",3,IF(G982="Medium",2,1))</f>
        <v>1</v>
      </c>
    </row>
    <row r="983" customFormat="false" ht="15" hidden="false" customHeight="true" outlineLevel="0" collapsed="false">
      <c r="A983" s="5" t="s">
        <v>3259</v>
      </c>
      <c r="B983" s="5" t="s">
        <v>1301</v>
      </c>
      <c r="C983" s="5" t="s">
        <v>2254</v>
      </c>
      <c r="D983" s="5" t="s">
        <v>2299</v>
      </c>
      <c r="E983" s="5" t="s">
        <v>59</v>
      </c>
      <c r="F983" s="5" t="s">
        <v>2225</v>
      </c>
      <c r="G983" s="5" t="str">
        <f aca="false">INDEX(Risk_Matrix!$B$2:$D$4,MATCH(E983,Risk_Matrix!$A$2:$A$4,0),MATCH(F983,Risk_Matrix!$B$1:$D$1,0))</f>
        <v>Low</v>
      </c>
      <c r="H983" s="12" t="n">
        <v>46059</v>
      </c>
      <c r="I983" s="5" t="s">
        <v>2264</v>
      </c>
      <c r="J983" s="5" t="s">
        <v>2265</v>
      </c>
      <c r="K983" s="5" t="s">
        <v>2276</v>
      </c>
      <c r="L983" s="5" t="n">
        <f aca="false">IF(G983="High",3,IF(G983="Medium",2,1))</f>
        <v>1</v>
      </c>
    </row>
    <row r="984" customFormat="false" ht="15" hidden="false" customHeight="true" outlineLevel="0" collapsed="false">
      <c r="A984" s="5" t="s">
        <v>3260</v>
      </c>
      <c r="B984" s="5" t="s">
        <v>1301</v>
      </c>
      <c r="C984" s="5" t="s">
        <v>2259</v>
      </c>
      <c r="D984" s="5" t="s">
        <v>2260</v>
      </c>
      <c r="E984" s="5" t="s">
        <v>54</v>
      </c>
      <c r="F984" s="5" t="s">
        <v>2225</v>
      </c>
      <c r="G984" s="5" t="str">
        <f aca="false">INDEX(Risk_Matrix!$B$2:$D$4,MATCH(E984,Risk_Matrix!$A$2:$A$4,0),MATCH(F984,Risk_Matrix!$B$1:$D$1,0))</f>
        <v>High</v>
      </c>
      <c r="H984" s="12" t="n">
        <v>46070</v>
      </c>
      <c r="I984" s="5" t="s">
        <v>2256</v>
      </c>
      <c r="J984" s="5" t="s">
        <v>2257</v>
      </c>
      <c r="K984" s="5" t="s">
        <v>2266</v>
      </c>
      <c r="L984" s="5" t="n">
        <f aca="false">IF(G984="High",3,IF(G984="Medium",2,1))</f>
        <v>3</v>
      </c>
    </row>
    <row r="985" customFormat="false" ht="15" hidden="false" customHeight="true" outlineLevel="0" collapsed="false">
      <c r="A985" s="5" t="s">
        <v>3261</v>
      </c>
      <c r="B985" s="5" t="s">
        <v>1301</v>
      </c>
      <c r="C985" s="5" t="s">
        <v>2262</v>
      </c>
      <c r="D985" s="5" t="s">
        <v>2287</v>
      </c>
      <c r="E985" s="5" t="s">
        <v>2225</v>
      </c>
      <c r="F985" s="5" t="s">
        <v>59</v>
      </c>
      <c r="G985" s="5" t="str">
        <f aca="false">INDEX(Risk_Matrix!$B$2:$D$4,MATCH(E985,Risk_Matrix!$A$2:$A$4,0),MATCH(F985,Risk_Matrix!$B$1:$D$1,0))</f>
        <v>Low</v>
      </c>
      <c r="H985" s="12" t="n">
        <v>46149</v>
      </c>
      <c r="I985" s="5" t="s">
        <v>2250</v>
      </c>
      <c r="J985" s="5" t="s">
        <v>2251</v>
      </c>
      <c r="K985" s="5" t="s">
        <v>2243</v>
      </c>
      <c r="L985" s="5" t="n">
        <f aca="false">IF(G985="High",3,IF(G985="Medium",2,1))</f>
        <v>1</v>
      </c>
    </row>
    <row r="986" customFormat="false" ht="15" hidden="false" customHeight="true" outlineLevel="0" collapsed="false">
      <c r="A986" s="5" t="s">
        <v>3262</v>
      </c>
      <c r="B986" s="5" t="s">
        <v>1303</v>
      </c>
      <c r="C986" s="5" t="s">
        <v>2239</v>
      </c>
      <c r="D986" s="5" t="s">
        <v>2295</v>
      </c>
      <c r="E986" s="5" t="s">
        <v>59</v>
      </c>
      <c r="F986" s="5" t="s">
        <v>2225</v>
      </c>
      <c r="G986" s="5" t="str">
        <f aca="false">INDEX(Risk_Matrix!$B$2:$D$4,MATCH(E986,Risk_Matrix!$A$2:$A$4,0),MATCH(F986,Risk_Matrix!$B$1:$D$1,0))</f>
        <v>Low</v>
      </c>
      <c r="H986" s="12" t="n">
        <v>46189</v>
      </c>
      <c r="I986" s="5" t="s">
        <v>2256</v>
      </c>
      <c r="J986" s="5" t="s">
        <v>2257</v>
      </c>
      <c r="K986" s="5" t="s">
        <v>2283</v>
      </c>
      <c r="L986" s="5" t="n">
        <f aca="false">IF(G986="High",3,IF(G986="Medium",2,1))</f>
        <v>1</v>
      </c>
    </row>
    <row r="987" customFormat="false" ht="15" hidden="false" customHeight="true" outlineLevel="0" collapsed="false">
      <c r="A987" s="5" t="s">
        <v>3263</v>
      </c>
      <c r="B987" s="5" t="s">
        <v>1303</v>
      </c>
      <c r="C987" s="5" t="s">
        <v>2245</v>
      </c>
      <c r="D987" s="5" t="s">
        <v>2280</v>
      </c>
      <c r="E987" s="5" t="s">
        <v>59</v>
      </c>
      <c r="F987" s="5" t="s">
        <v>59</v>
      </c>
      <c r="G987" s="5" t="str">
        <f aca="false">INDEX(Risk_Matrix!$B$2:$D$4,MATCH(E987,Risk_Matrix!$A$2:$A$4,0),MATCH(F987,Risk_Matrix!$B$1:$D$1,0))</f>
        <v>Low</v>
      </c>
      <c r="H987" s="12" t="n">
        <v>46225</v>
      </c>
      <c r="I987" s="5" t="s">
        <v>2264</v>
      </c>
      <c r="J987" s="5" t="s">
        <v>2265</v>
      </c>
      <c r="K987" s="5" t="s">
        <v>2252</v>
      </c>
      <c r="L987" s="5" t="n">
        <f aca="false">IF(G987="High",3,IF(G987="Medium",2,1))</f>
        <v>1</v>
      </c>
    </row>
    <row r="988" customFormat="false" ht="15" hidden="false" customHeight="true" outlineLevel="0" collapsed="false">
      <c r="A988" s="5" t="s">
        <v>3264</v>
      </c>
      <c r="B988" s="5" t="s">
        <v>1303</v>
      </c>
      <c r="C988" s="5" t="s">
        <v>2248</v>
      </c>
      <c r="D988" s="5" t="s">
        <v>2271</v>
      </c>
      <c r="E988" s="5" t="s">
        <v>2225</v>
      </c>
      <c r="F988" s="5" t="s">
        <v>2225</v>
      </c>
      <c r="G988" s="5" t="str">
        <f aca="false">INDEX(Risk_Matrix!$B$2:$D$4,MATCH(E988,Risk_Matrix!$A$2:$A$4,0),MATCH(F988,Risk_Matrix!$B$1:$D$1,0))</f>
        <v>Medium</v>
      </c>
      <c r="H988" s="12" t="n">
        <v>46115</v>
      </c>
      <c r="I988" s="5" t="s">
        <v>2250</v>
      </c>
      <c r="J988" s="5" t="s">
        <v>2251</v>
      </c>
      <c r="K988" s="5" t="s">
        <v>2252</v>
      </c>
      <c r="L988" s="5" t="n">
        <f aca="false">IF(G988="High",3,IF(G988="Medium",2,1))</f>
        <v>2</v>
      </c>
    </row>
    <row r="989" customFormat="false" ht="15" hidden="false" customHeight="true" outlineLevel="0" collapsed="false">
      <c r="A989" s="5" t="s">
        <v>3265</v>
      </c>
      <c r="B989" s="5" t="s">
        <v>1303</v>
      </c>
      <c r="C989" s="5" t="s">
        <v>2254</v>
      </c>
      <c r="D989" s="5" t="s">
        <v>2255</v>
      </c>
      <c r="E989" s="5" t="s">
        <v>59</v>
      </c>
      <c r="F989" s="5" t="s">
        <v>2225</v>
      </c>
      <c r="G989" s="5" t="str">
        <f aca="false">INDEX(Risk_Matrix!$B$2:$D$4,MATCH(E989,Risk_Matrix!$A$2:$A$4,0),MATCH(F989,Risk_Matrix!$B$1:$D$1,0))</f>
        <v>Low</v>
      </c>
      <c r="H989" s="12" t="n">
        <v>46072</v>
      </c>
      <c r="I989" s="5" t="s">
        <v>2256</v>
      </c>
      <c r="J989" s="5" t="s">
        <v>2257</v>
      </c>
      <c r="K989" s="5" t="s">
        <v>2276</v>
      </c>
      <c r="L989" s="5" t="n">
        <f aca="false">IF(G989="High",3,IF(G989="Medium",2,1))</f>
        <v>1</v>
      </c>
    </row>
    <row r="990" customFormat="false" ht="15" hidden="false" customHeight="true" outlineLevel="0" collapsed="false">
      <c r="A990" s="5" t="s">
        <v>3266</v>
      </c>
      <c r="B990" s="5" t="s">
        <v>1303</v>
      </c>
      <c r="C990" s="5" t="s">
        <v>2259</v>
      </c>
      <c r="D990" s="5" t="s">
        <v>2274</v>
      </c>
      <c r="E990" s="5" t="s">
        <v>2225</v>
      </c>
      <c r="F990" s="5" t="s">
        <v>2225</v>
      </c>
      <c r="G990" s="5" t="str">
        <f aca="false">INDEX(Risk_Matrix!$B$2:$D$4,MATCH(E990,Risk_Matrix!$A$2:$A$4,0),MATCH(F990,Risk_Matrix!$B$1:$D$1,0))</f>
        <v>Medium</v>
      </c>
      <c r="H990" s="12" t="n">
        <v>46201</v>
      </c>
      <c r="I990" s="5" t="s">
        <v>2250</v>
      </c>
      <c r="J990" s="5" t="s">
        <v>2251</v>
      </c>
      <c r="K990" s="5" t="s">
        <v>2243</v>
      </c>
      <c r="L990" s="5" t="n">
        <f aca="false">IF(G990="High",3,IF(G990="Medium",2,1))</f>
        <v>2</v>
      </c>
    </row>
    <row r="991" customFormat="false" ht="15" hidden="false" customHeight="true" outlineLevel="0" collapsed="false">
      <c r="A991" s="5" t="s">
        <v>3267</v>
      </c>
      <c r="B991" s="5" t="s">
        <v>1303</v>
      </c>
      <c r="C991" s="5" t="s">
        <v>2262</v>
      </c>
      <c r="D991" s="5" t="s">
        <v>2311</v>
      </c>
      <c r="E991" s="5" t="s">
        <v>2225</v>
      </c>
      <c r="F991" s="5" t="s">
        <v>59</v>
      </c>
      <c r="G991" s="5" t="str">
        <f aca="false">INDEX(Risk_Matrix!$B$2:$D$4,MATCH(E991,Risk_Matrix!$A$2:$A$4,0),MATCH(F991,Risk_Matrix!$B$1:$D$1,0))</f>
        <v>Low</v>
      </c>
      <c r="H991" s="12" t="n">
        <v>46147</v>
      </c>
      <c r="I991" s="5" t="s">
        <v>2256</v>
      </c>
      <c r="J991" s="5" t="s">
        <v>2257</v>
      </c>
      <c r="K991" s="5" t="s">
        <v>2243</v>
      </c>
      <c r="L991" s="5" t="n">
        <f aca="false">IF(G991="High",3,IF(G991="Medium",2,1))</f>
        <v>1</v>
      </c>
    </row>
    <row r="992" customFormat="false" ht="15" hidden="false" customHeight="true" outlineLevel="0" collapsed="false">
      <c r="A992" s="5" t="s">
        <v>3268</v>
      </c>
      <c r="B992" s="5" t="s">
        <v>1304</v>
      </c>
      <c r="C992" s="5" t="s">
        <v>2239</v>
      </c>
      <c r="D992" s="5" t="s">
        <v>2303</v>
      </c>
      <c r="E992" s="5" t="s">
        <v>54</v>
      </c>
      <c r="F992" s="5" t="s">
        <v>59</v>
      </c>
      <c r="G992" s="5" t="str">
        <f aca="false">INDEX(Risk_Matrix!$B$2:$D$4,MATCH(E992,Risk_Matrix!$A$2:$A$4,0),MATCH(F992,Risk_Matrix!$B$1:$D$1,0))</f>
        <v>Medium</v>
      </c>
      <c r="H992" s="12" t="n">
        <v>46152</v>
      </c>
      <c r="I992" s="5" t="s">
        <v>2250</v>
      </c>
      <c r="J992" s="5" t="s">
        <v>2251</v>
      </c>
      <c r="K992" s="5" t="s">
        <v>2283</v>
      </c>
      <c r="L992" s="5" t="n">
        <f aca="false">IF(G992="High",3,IF(G992="Medium",2,1))</f>
        <v>2</v>
      </c>
    </row>
    <row r="993" customFormat="false" ht="15" hidden="false" customHeight="true" outlineLevel="0" collapsed="false">
      <c r="A993" s="5" t="s">
        <v>3269</v>
      </c>
      <c r="B993" s="5" t="s">
        <v>1304</v>
      </c>
      <c r="C993" s="5" t="s">
        <v>2245</v>
      </c>
      <c r="D993" s="5" t="s">
        <v>2280</v>
      </c>
      <c r="E993" s="5" t="s">
        <v>54</v>
      </c>
      <c r="F993" s="5" t="s">
        <v>2225</v>
      </c>
      <c r="G993" s="5" t="str">
        <f aca="false">INDEX(Risk_Matrix!$B$2:$D$4,MATCH(E993,Risk_Matrix!$A$2:$A$4,0),MATCH(F993,Risk_Matrix!$B$1:$D$1,0))</f>
        <v>High</v>
      </c>
      <c r="H993" s="12" t="n">
        <v>46230</v>
      </c>
      <c r="I993" s="5" t="s">
        <v>2250</v>
      </c>
      <c r="J993" s="5" t="s">
        <v>2251</v>
      </c>
      <c r="K993" s="5" t="s">
        <v>2276</v>
      </c>
      <c r="L993" s="5" t="n">
        <f aca="false">IF(G993="High",3,IF(G993="Medium",2,1))</f>
        <v>3</v>
      </c>
    </row>
    <row r="994" customFormat="false" ht="15" hidden="false" customHeight="true" outlineLevel="0" collapsed="false">
      <c r="A994" s="5" t="s">
        <v>3270</v>
      </c>
      <c r="B994" s="5" t="s">
        <v>1304</v>
      </c>
      <c r="C994" s="5" t="s">
        <v>2248</v>
      </c>
      <c r="D994" s="5" t="s">
        <v>2322</v>
      </c>
      <c r="E994" s="5" t="s">
        <v>59</v>
      </c>
      <c r="F994" s="5" t="s">
        <v>59</v>
      </c>
      <c r="G994" s="5" t="str">
        <f aca="false">INDEX(Risk_Matrix!$B$2:$D$4,MATCH(E994,Risk_Matrix!$A$2:$A$4,0),MATCH(F994,Risk_Matrix!$B$1:$D$1,0))</f>
        <v>Low</v>
      </c>
      <c r="H994" s="12" t="n">
        <v>46194</v>
      </c>
      <c r="I994" s="5" t="s">
        <v>2250</v>
      </c>
      <c r="J994" s="5" t="s">
        <v>2251</v>
      </c>
      <c r="K994" s="5" t="s">
        <v>2243</v>
      </c>
      <c r="L994" s="5" t="n">
        <f aca="false">IF(G994="High",3,IF(G994="Medium",2,1))</f>
        <v>1</v>
      </c>
    </row>
    <row r="995" customFormat="false" ht="15" hidden="false" customHeight="true" outlineLevel="0" collapsed="false">
      <c r="A995" s="5" t="s">
        <v>3271</v>
      </c>
      <c r="B995" s="5" t="s">
        <v>1304</v>
      </c>
      <c r="C995" s="5" t="s">
        <v>2254</v>
      </c>
      <c r="D995" s="5" t="s">
        <v>2299</v>
      </c>
      <c r="E995" s="5" t="s">
        <v>54</v>
      </c>
      <c r="F995" s="5" t="s">
        <v>2225</v>
      </c>
      <c r="G995" s="5" t="str">
        <f aca="false">INDEX(Risk_Matrix!$B$2:$D$4,MATCH(E995,Risk_Matrix!$A$2:$A$4,0),MATCH(F995,Risk_Matrix!$B$1:$D$1,0))</f>
        <v>High</v>
      </c>
      <c r="H995" s="12" t="n">
        <v>46120</v>
      </c>
      <c r="I995" s="5" t="s">
        <v>2256</v>
      </c>
      <c r="J995" s="5" t="s">
        <v>2257</v>
      </c>
      <c r="K995" s="5" t="s">
        <v>2243</v>
      </c>
      <c r="L995" s="5" t="n">
        <f aca="false">IF(G995="High",3,IF(G995="Medium",2,1))</f>
        <v>3</v>
      </c>
    </row>
    <row r="996" customFormat="false" ht="15" hidden="false" customHeight="true" outlineLevel="0" collapsed="false">
      <c r="A996" s="5" t="s">
        <v>3272</v>
      </c>
      <c r="B996" s="5" t="s">
        <v>1304</v>
      </c>
      <c r="C996" s="5" t="s">
        <v>2259</v>
      </c>
      <c r="D996" s="5" t="s">
        <v>2274</v>
      </c>
      <c r="E996" s="5" t="s">
        <v>2225</v>
      </c>
      <c r="F996" s="5" t="s">
        <v>59</v>
      </c>
      <c r="G996" s="5" t="str">
        <f aca="false">INDEX(Risk_Matrix!$B$2:$D$4,MATCH(E996,Risk_Matrix!$A$2:$A$4,0),MATCH(F996,Risk_Matrix!$B$1:$D$1,0))</f>
        <v>Low</v>
      </c>
      <c r="H996" s="12" t="n">
        <v>46209</v>
      </c>
      <c r="I996" s="5" t="s">
        <v>2256</v>
      </c>
      <c r="J996" s="5" t="s">
        <v>2257</v>
      </c>
      <c r="K996" s="5" t="s">
        <v>2276</v>
      </c>
      <c r="L996" s="5" t="n">
        <f aca="false">IF(G996="High",3,IF(G996="Medium",2,1))</f>
        <v>1</v>
      </c>
    </row>
    <row r="997" customFormat="false" ht="15" hidden="false" customHeight="true" outlineLevel="0" collapsed="false">
      <c r="A997" s="5" t="s">
        <v>3273</v>
      </c>
      <c r="B997" s="5" t="s">
        <v>1304</v>
      </c>
      <c r="C997" s="5" t="s">
        <v>2262</v>
      </c>
      <c r="D997" s="5" t="s">
        <v>2287</v>
      </c>
      <c r="E997" s="5" t="s">
        <v>59</v>
      </c>
      <c r="F997" s="5" t="s">
        <v>2225</v>
      </c>
      <c r="G997" s="5" t="str">
        <f aca="false">INDEX(Risk_Matrix!$B$2:$D$4,MATCH(E997,Risk_Matrix!$A$2:$A$4,0),MATCH(F997,Risk_Matrix!$B$1:$D$1,0))</f>
        <v>Low</v>
      </c>
      <c r="H997" s="12" t="n">
        <v>46233</v>
      </c>
      <c r="I997" s="5" t="s">
        <v>2250</v>
      </c>
      <c r="J997" s="5" t="s">
        <v>2251</v>
      </c>
      <c r="K997" s="5" t="s">
        <v>2283</v>
      </c>
      <c r="L997" s="5" t="n">
        <f aca="false">IF(G997="High",3,IF(G997="Medium",2,1))</f>
        <v>1</v>
      </c>
    </row>
    <row r="998" customFormat="false" ht="15" hidden="false" customHeight="true" outlineLevel="0" collapsed="false">
      <c r="A998" s="5" t="s">
        <v>3274</v>
      </c>
      <c r="B998" s="5" t="s">
        <v>1305</v>
      </c>
      <c r="C998" s="5" t="s">
        <v>2239</v>
      </c>
      <c r="D998" s="5" t="s">
        <v>2295</v>
      </c>
      <c r="E998" s="5" t="s">
        <v>59</v>
      </c>
      <c r="F998" s="5" t="s">
        <v>2225</v>
      </c>
      <c r="G998" s="5" t="str">
        <f aca="false">INDEX(Risk_Matrix!$B$2:$D$4,MATCH(E998,Risk_Matrix!$A$2:$A$4,0),MATCH(F998,Risk_Matrix!$B$1:$D$1,0))</f>
        <v>Low</v>
      </c>
      <c r="H998" s="12" t="n">
        <v>46192</v>
      </c>
      <c r="I998" s="5" t="s">
        <v>2264</v>
      </c>
      <c r="J998" s="5" t="s">
        <v>2265</v>
      </c>
      <c r="K998" s="5" t="s">
        <v>2243</v>
      </c>
      <c r="L998" s="5" t="n">
        <f aca="false">IF(G998="High",3,IF(G998="Medium",2,1))</f>
        <v>1</v>
      </c>
    </row>
    <row r="999" customFormat="false" ht="15" hidden="false" customHeight="true" outlineLevel="0" collapsed="false">
      <c r="A999" s="5" t="s">
        <v>3275</v>
      </c>
      <c r="B999" s="5" t="s">
        <v>1305</v>
      </c>
      <c r="C999" s="5" t="s">
        <v>2245</v>
      </c>
      <c r="D999" s="5" t="s">
        <v>2280</v>
      </c>
      <c r="E999" s="5" t="s">
        <v>54</v>
      </c>
      <c r="F999" s="5" t="s">
        <v>2225</v>
      </c>
      <c r="G999" s="5" t="str">
        <f aca="false">INDEX(Risk_Matrix!$B$2:$D$4,MATCH(E999,Risk_Matrix!$A$2:$A$4,0),MATCH(F999,Risk_Matrix!$B$1:$D$1,0))</f>
        <v>High</v>
      </c>
      <c r="H999" s="12" t="n">
        <v>46206</v>
      </c>
      <c r="I999" s="5" t="s">
        <v>2256</v>
      </c>
      <c r="J999" s="5" t="s">
        <v>2257</v>
      </c>
      <c r="K999" s="5" t="s">
        <v>2276</v>
      </c>
      <c r="L999" s="5" t="n">
        <f aca="false">IF(G999="High",3,IF(G999="Medium",2,1))</f>
        <v>3</v>
      </c>
    </row>
    <row r="1000" customFormat="false" ht="15" hidden="false" customHeight="true" outlineLevel="0" collapsed="false">
      <c r="A1000" s="5" t="s">
        <v>3276</v>
      </c>
      <c r="B1000" s="5" t="s">
        <v>1305</v>
      </c>
      <c r="C1000" s="5" t="s">
        <v>2248</v>
      </c>
      <c r="D1000" s="5" t="s">
        <v>2249</v>
      </c>
      <c r="E1000" s="5" t="s">
        <v>59</v>
      </c>
      <c r="F1000" s="5" t="s">
        <v>54</v>
      </c>
      <c r="G1000" s="5" t="str">
        <f aca="false">INDEX(Risk_Matrix!$B$2:$D$4,MATCH(E1000,Risk_Matrix!$A$2:$A$4,0),MATCH(F1000,Risk_Matrix!$B$1:$D$1,0))</f>
        <v>Medium</v>
      </c>
      <c r="H1000" s="12" t="n">
        <v>46191</v>
      </c>
      <c r="I1000" s="5" t="s">
        <v>2264</v>
      </c>
      <c r="J1000" s="5" t="s">
        <v>2265</v>
      </c>
      <c r="K1000" s="5" t="s">
        <v>2243</v>
      </c>
      <c r="L1000" s="5" t="n">
        <f aca="false">IF(G1000="High",3,IF(G1000="Medium",2,1))</f>
        <v>2</v>
      </c>
    </row>
    <row r="1001" customFormat="false" ht="15" hidden="false" customHeight="true" outlineLevel="0" collapsed="false">
      <c r="A1001" s="5" t="s">
        <v>3277</v>
      </c>
      <c r="B1001" s="5" t="s">
        <v>1305</v>
      </c>
      <c r="C1001" s="5" t="s">
        <v>2254</v>
      </c>
      <c r="D1001" s="5" t="s">
        <v>2299</v>
      </c>
      <c r="E1001" s="5" t="s">
        <v>59</v>
      </c>
      <c r="F1001" s="5" t="s">
        <v>2225</v>
      </c>
      <c r="G1001" s="5" t="str">
        <f aca="false">INDEX(Risk_Matrix!$B$2:$D$4,MATCH(E1001,Risk_Matrix!$A$2:$A$4,0),MATCH(F1001,Risk_Matrix!$B$1:$D$1,0))</f>
        <v>Low</v>
      </c>
      <c r="H1001" s="12" t="n">
        <v>46103</v>
      </c>
      <c r="I1001" s="5" t="s">
        <v>2250</v>
      </c>
      <c r="J1001" s="5" t="s">
        <v>2251</v>
      </c>
      <c r="K1001" s="5" t="s">
        <v>2243</v>
      </c>
      <c r="L1001" s="5" t="n">
        <f aca="false">IF(G1001="High",3,IF(G1001="Medium",2,1))</f>
        <v>1</v>
      </c>
    </row>
    <row r="1002" customFormat="false" ht="15" hidden="false" customHeight="true" outlineLevel="0" collapsed="false">
      <c r="A1002" s="5" t="s">
        <v>3278</v>
      </c>
      <c r="B1002" s="5" t="s">
        <v>1305</v>
      </c>
      <c r="C1002" s="5" t="s">
        <v>2259</v>
      </c>
      <c r="D1002" s="5" t="s">
        <v>2260</v>
      </c>
      <c r="E1002" s="5" t="s">
        <v>2225</v>
      </c>
      <c r="F1002" s="5" t="s">
        <v>2225</v>
      </c>
      <c r="G1002" s="5" t="str">
        <f aca="false">INDEX(Risk_Matrix!$B$2:$D$4,MATCH(E1002,Risk_Matrix!$A$2:$A$4,0),MATCH(F1002,Risk_Matrix!$B$1:$D$1,0))</f>
        <v>Medium</v>
      </c>
      <c r="H1002" s="12" t="n">
        <v>46072</v>
      </c>
      <c r="I1002" s="5" t="s">
        <v>2250</v>
      </c>
      <c r="J1002" s="5" t="s">
        <v>2251</v>
      </c>
      <c r="K1002" s="5" t="s">
        <v>2276</v>
      </c>
      <c r="L1002" s="5" t="n">
        <f aca="false">IF(G1002="High",3,IF(G1002="Medium",2,1))</f>
        <v>2</v>
      </c>
    </row>
    <row r="1003" customFormat="false" ht="15" hidden="false" customHeight="true" outlineLevel="0" collapsed="false">
      <c r="A1003" s="5" t="s">
        <v>3279</v>
      </c>
      <c r="B1003" s="5" t="s">
        <v>1305</v>
      </c>
      <c r="C1003" s="5" t="s">
        <v>2262</v>
      </c>
      <c r="D1003" s="5" t="s">
        <v>2287</v>
      </c>
      <c r="E1003" s="5" t="s">
        <v>54</v>
      </c>
      <c r="F1003" s="5" t="s">
        <v>54</v>
      </c>
      <c r="G1003" s="5" t="str">
        <f aca="false">INDEX(Risk_Matrix!$B$2:$D$4,MATCH(E1003,Risk_Matrix!$A$2:$A$4,0),MATCH(F1003,Risk_Matrix!$B$1:$D$1,0))</f>
        <v>High</v>
      </c>
      <c r="H1003" s="12" t="n">
        <v>46085</v>
      </c>
      <c r="I1003" s="5" t="s">
        <v>2256</v>
      </c>
      <c r="J1003" s="5" t="s">
        <v>2257</v>
      </c>
      <c r="K1003" s="5" t="s">
        <v>2266</v>
      </c>
      <c r="L1003" s="5" t="n">
        <f aca="false">IF(G1003="High",3,IF(G1003="Medium",2,1))</f>
        <v>3</v>
      </c>
    </row>
    <row r="1004" customFormat="false" ht="15" hidden="false" customHeight="true" outlineLevel="0" collapsed="false">
      <c r="A1004" s="5" t="s">
        <v>3280</v>
      </c>
      <c r="B1004" s="5" t="s">
        <v>1307</v>
      </c>
      <c r="C1004" s="5" t="s">
        <v>2239</v>
      </c>
      <c r="D1004" s="5" t="s">
        <v>2240</v>
      </c>
      <c r="E1004" s="5" t="s">
        <v>2225</v>
      </c>
      <c r="F1004" s="5" t="s">
        <v>2225</v>
      </c>
      <c r="G1004" s="5" t="str">
        <f aca="false">INDEX(Risk_Matrix!$B$2:$D$4,MATCH(E1004,Risk_Matrix!$A$2:$A$4,0),MATCH(F1004,Risk_Matrix!$B$1:$D$1,0))</f>
        <v>Medium</v>
      </c>
      <c r="H1004" s="12" t="n">
        <v>46206</v>
      </c>
      <c r="I1004" s="5" t="s">
        <v>2256</v>
      </c>
      <c r="J1004" s="5" t="s">
        <v>2257</v>
      </c>
      <c r="K1004" s="5" t="s">
        <v>2283</v>
      </c>
      <c r="L1004" s="5" t="n">
        <f aca="false">IF(G1004="High",3,IF(G1004="Medium",2,1))</f>
        <v>2</v>
      </c>
    </row>
    <row r="1005" customFormat="false" ht="15" hidden="false" customHeight="true" outlineLevel="0" collapsed="false">
      <c r="A1005" s="5" t="s">
        <v>3281</v>
      </c>
      <c r="B1005" s="5" t="s">
        <v>1307</v>
      </c>
      <c r="C1005" s="5" t="s">
        <v>2245</v>
      </c>
      <c r="D1005" s="5" t="s">
        <v>2320</v>
      </c>
      <c r="E1005" s="5" t="s">
        <v>2225</v>
      </c>
      <c r="F1005" s="5" t="s">
        <v>59</v>
      </c>
      <c r="G1005" s="5" t="str">
        <f aca="false">INDEX(Risk_Matrix!$B$2:$D$4,MATCH(E1005,Risk_Matrix!$A$2:$A$4,0),MATCH(F1005,Risk_Matrix!$B$1:$D$1,0))</f>
        <v>Low</v>
      </c>
      <c r="H1005" s="12" t="n">
        <v>46230</v>
      </c>
      <c r="I1005" s="5" t="s">
        <v>2256</v>
      </c>
      <c r="J1005" s="5" t="s">
        <v>2257</v>
      </c>
      <c r="K1005" s="5" t="s">
        <v>2276</v>
      </c>
      <c r="L1005" s="5" t="n">
        <f aca="false">IF(G1005="High",3,IF(G1005="Medium",2,1))</f>
        <v>1</v>
      </c>
    </row>
    <row r="1006" customFormat="false" ht="15" hidden="false" customHeight="true" outlineLevel="0" collapsed="false">
      <c r="A1006" s="5" t="s">
        <v>3282</v>
      </c>
      <c r="B1006" s="5" t="s">
        <v>1307</v>
      </c>
      <c r="C1006" s="5" t="s">
        <v>2248</v>
      </c>
      <c r="D1006" s="5" t="s">
        <v>2306</v>
      </c>
      <c r="E1006" s="5" t="s">
        <v>2225</v>
      </c>
      <c r="F1006" s="5" t="s">
        <v>59</v>
      </c>
      <c r="G1006" s="5" t="str">
        <f aca="false">INDEX(Risk_Matrix!$B$2:$D$4,MATCH(E1006,Risk_Matrix!$A$2:$A$4,0),MATCH(F1006,Risk_Matrix!$B$1:$D$1,0))</f>
        <v>Low</v>
      </c>
      <c r="H1006" s="12" t="n">
        <v>46130</v>
      </c>
      <c r="I1006" s="5" t="s">
        <v>2250</v>
      </c>
      <c r="J1006" s="5" t="s">
        <v>2251</v>
      </c>
      <c r="K1006" s="5" t="s">
        <v>2276</v>
      </c>
      <c r="L1006" s="5" t="n">
        <f aca="false">IF(G1006="High",3,IF(G1006="Medium",2,1))</f>
        <v>1</v>
      </c>
    </row>
    <row r="1007" customFormat="false" ht="15" hidden="false" customHeight="true" outlineLevel="0" collapsed="false">
      <c r="A1007" s="5" t="s">
        <v>3283</v>
      </c>
      <c r="B1007" s="5" t="s">
        <v>1307</v>
      </c>
      <c r="C1007" s="5" t="s">
        <v>2254</v>
      </c>
      <c r="D1007" s="5" t="s">
        <v>2255</v>
      </c>
      <c r="E1007" s="5" t="s">
        <v>59</v>
      </c>
      <c r="F1007" s="5" t="s">
        <v>54</v>
      </c>
      <c r="G1007" s="5" t="str">
        <f aca="false">INDEX(Risk_Matrix!$B$2:$D$4,MATCH(E1007,Risk_Matrix!$A$2:$A$4,0),MATCH(F1007,Risk_Matrix!$B$1:$D$1,0))</f>
        <v>Medium</v>
      </c>
      <c r="H1007" s="12" t="n">
        <v>46163</v>
      </c>
      <c r="I1007" s="5" t="s">
        <v>2250</v>
      </c>
      <c r="J1007" s="5" t="s">
        <v>2251</v>
      </c>
      <c r="K1007" s="5" t="s">
        <v>2283</v>
      </c>
      <c r="L1007" s="5" t="n">
        <f aca="false">IF(G1007="High",3,IF(G1007="Medium",2,1))</f>
        <v>2</v>
      </c>
    </row>
    <row r="1008" customFormat="false" ht="15" hidden="false" customHeight="true" outlineLevel="0" collapsed="false">
      <c r="A1008" s="5" t="s">
        <v>3284</v>
      </c>
      <c r="B1008" s="5" t="s">
        <v>1307</v>
      </c>
      <c r="C1008" s="5" t="s">
        <v>2259</v>
      </c>
      <c r="D1008" s="5" t="s">
        <v>2274</v>
      </c>
      <c r="E1008" s="5" t="s">
        <v>59</v>
      </c>
      <c r="F1008" s="5" t="s">
        <v>59</v>
      </c>
      <c r="G1008" s="5" t="str">
        <f aca="false">INDEX(Risk_Matrix!$B$2:$D$4,MATCH(E1008,Risk_Matrix!$A$2:$A$4,0),MATCH(F1008,Risk_Matrix!$B$1:$D$1,0))</f>
        <v>Low</v>
      </c>
      <c r="H1008" s="12" t="n">
        <v>46148</v>
      </c>
      <c r="I1008" s="5" t="s">
        <v>2256</v>
      </c>
      <c r="J1008" s="5" t="s">
        <v>2257</v>
      </c>
      <c r="K1008" s="5" t="s">
        <v>2283</v>
      </c>
      <c r="L1008" s="5" t="n">
        <f aca="false">IF(G1008="High",3,IF(G1008="Medium",2,1))</f>
        <v>1</v>
      </c>
    </row>
    <row r="1009" customFormat="false" ht="15" hidden="false" customHeight="true" outlineLevel="0" collapsed="false">
      <c r="A1009" s="5" t="s">
        <v>3285</v>
      </c>
      <c r="B1009" s="5" t="s">
        <v>1307</v>
      </c>
      <c r="C1009" s="5" t="s">
        <v>2262</v>
      </c>
      <c r="D1009" s="5" t="s">
        <v>2263</v>
      </c>
      <c r="E1009" s="5" t="s">
        <v>2225</v>
      </c>
      <c r="F1009" s="5" t="s">
        <v>2225</v>
      </c>
      <c r="G1009" s="5" t="str">
        <f aca="false">INDEX(Risk_Matrix!$B$2:$D$4,MATCH(E1009,Risk_Matrix!$A$2:$A$4,0),MATCH(F1009,Risk_Matrix!$B$1:$D$1,0))</f>
        <v>Medium</v>
      </c>
      <c r="H1009" s="12" t="n">
        <v>46227</v>
      </c>
      <c r="I1009" s="5" t="s">
        <v>2250</v>
      </c>
      <c r="J1009" s="5" t="s">
        <v>2251</v>
      </c>
      <c r="K1009" s="5" t="s">
        <v>2266</v>
      </c>
      <c r="L1009" s="5" t="n">
        <f aca="false">IF(G1009="High",3,IF(G1009="Medium",2,1))</f>
        <v>2</v>
      </c>
    </row>
    <row r="1010" customFormat="false" ht="15" hidden="false" customHeight="true" outlineLevel="0" collapsed="false">
      <c r="A1010" s="5" t="s">
        <v>3286</v>
      </c>
      <c r="B1010" s="5" t="s">
        <v>1308</v>
      </c>
      <c r="C1010" s="5" t="s">
        <v>2239</v>
      </c>
      <c r="D1010" s="5" t="s">
        <v>2240</v>
      </c>
      <c r="E1010" s="5" t="s">
        <v>59</v>
      </c>
      <c r="F1010" s="5" t="s">
        <v>59</v>
      </c>
      <c r="G1010" s="5" t="str">
        <f aca="false">INDEX(Risk_Matrix!$B$2:$D$4,MATCH(E1010,Risk_Matrix!$A$2:$A$4,0),MATCH(F1010,Risk_Matrix!$B$1:$D$1,0))</f>
        <v>Low</v>
      </c>
      <c r="H1010" s="12" t="n">
        <v>46204</v>
      </c>
      <c r="I1010" s="5" t="s">
        <v>2264</v>
      </c>
      <c r="J1010" s="5" t="s">
        <v>2265</v>
      </c>
      <c r="K1010" s="5" t="s">
        <v>2283</v>
      </c>
      <c r="L1010" s="5" t="n">
        <f aca="false">IF(G1010="High",3,IF(G1010="Medium",2,1))</f>
        <v>1</v>
      </c>
    </row>
    <row r="1011" customFormat="false" ht="15" hidden="false" customHeight="true" outlineLevel="0" collapsed="false">
      <c r="A1011" s="5" t="s">
        <v>3287</v>
      </c>
      <c r="B1011" s="5" t="s">
        <v>1308</v>
      </c>
      <c r="C1011" s="5" t="s">
        <v>2245</v>
      </c>
      <c r="D1011" s="5" t="s">
        <v>2320</v>
      </c>
      <c r="E1011" s="5" t="s">
        <v>2225</v>
      </c>
      <c r="F1011" s="5" t="s">
        <v>59</v>
      </c>
      <c r="G1011" s="5" t="str">
        <f aca="false">INDEX(Risk_Matrix!$B$2:$D$4,MATCH(E1011,Risk_Matrix!$A$2:$A$4,0),MATCH(F1011,Risk_Matrix!$B$1:$D$1,0))</f>
        <v>Low</v>
      </c>
      <c r="H1011" s="12" t="n">
        <v>46130</v>
      </c>
      <c r="I1011" s="5" t="s">
        <v>2250</v>
      </c>
      <c r="J1011" s="5" t="s">
        <v>2251</v>
      </c>
      <c r="K1011" s="5" t="s">
        <v>2276</v>
      </c>
      <c r="L1011" s="5" t="n">
        <f aca="false">IF(G1011="High",3,IF(G1011="Medium",2,1))</f>
        <v>1</v>
      </c>
    </row>
    <row r="1012" customFormat="false" ht="15" hidden="false" customHeight="true" outlineLevel="0" collapsed="false">
      <c r="A1012" s="5" t="s">
        <v>3288</v>
      </c>
      <c r="B1012" s="5" t="s">
        <v>1308</v>
      </c>
      <c r="C1012" s="5" t="s">
        <v>2248</v>
      </c>
      <c r="D1012" s="5" t="s">
        <v>2249</v>
      </c>
      <c r="E1012" s="5" t="s">
        <v>59</v>
      </c>
      <c r="F1012" s="5" t="s">
        <v>2225</v>
      </c>
      <c r="G1012" s="5" t="str">
        <f aca="false">INDEX(Risk_Matrix!$B$2:$D$4,MATCH(E1012,Risk_Matrix!$A$2:$A$4,0),MATCH(F1012,Risk_Matrix!$B$1:$D$1,0))</f>
        <v>Low</v>
      </c>
      <c r="H1012" s="12" t="n">
        <v>46122</v>
      </c>
      <c r="I1012" s="5" t="s">
        <v>2256</v>
      </c>
      <c r="J1012" s="5" t="s">
        <v>2257</v>
      </c>
      <c r="K1012" s="5" t="s">
        <v>2276</v>
      </c>
      <c r="L1012" s="5" t="n">
        <f aca="false">IF(G1012="High",3,IF(G1012="Medium",2,1))</f>
        <v>1</v>
      </c>
    </row>
    <row r="1013" customFormat="false" ht="15" hidden="false" customHeight="true" outlineLevel="0" collapsed="false">
      <c r="A1013" s="5" t="s">
        <v>3289</v>
      </c>
      <c r="B1013" s="5" t="s">
        <v>1308</v>
      </c>
      <c r="C1013" s="5" t="s">
        <v>2254</v>
      </c>
      <c r="D1013" s="5" t="s">
        <v>2308</v>
      </c>
      <c r="E1013" s="5" t="s">
        <v>2225</v>
      </c>
      <c r="F1013" s="5" t="s">
        <v>54</v>
      </c>
      <c r="G1013" s="5" t="str">
        <f aca="false">INDEX(Risk_Matrix!$B$2:$D$4,MATCH(E1013,Risk_Matrix!$A$2:$A$4,0),MATCH(F1013,Risk_Matrix!$B$1:$D$1,0))</f>
        <v>High</v>
      </c>
      <c r="H1013" s="12" t="n">
        <v>46186</v>
      </c>
      <c r="I1013" s="5" t="s">
        <v>2256</v>
      </c>
      <c r="J1013" s="5" t="s">
        <v>2257</v>
      </c>
      <c r="K1013" s="5" t="s">
        <v>2276</v>
      </c>
      <c r="L1013" s="5" t="n">
        <f aca="false">IF(G1013="High",3,IF(G1013="Medium",2,1))</f>
        <v>3</v>
      </c>
    </row>
    <row r="1014" customFormat="false" ht="15" hidden="false" customHeight="true" outlineLevel="0" collapsed="false">
      <c r="A1014" s="5" t="s">
        <v>3290</v>
      </c>
      <c r="B1014" s="5" t="s">
        <v>1308</v>
      </c>
      <c r="C1014" s="5" t="s">
        <v>2259</v>
      </c>
      <c r="D1014" s="5" t="s">
        <v>2285</v>
      </c>
      <c r="E1014" s="5" t="s">
        <v>2225</v>
      </c>
      <c r="F1014" s="5" t="s">
        <v>54</v>
      </c>
      <c r="G1014" s="5" t="str">
        <f aca="false">INDEX(Risk_Matrix!$B$2:$D$4,MATCH(E1014,Risk_Matrix!$A$2:$A$4,0),MATCH(F1014,Risk_Matrix!$B$1:$D$1,0))</f>
        <v>High</v>
      </c>
      <c r="H1014" s="12" t="n">
        <v>46189</v>
      </c>
      <c r="I1014" s="5" t="s">
        <v>2250</v>
      </c>
      <c r="J1014" s="5" t="s">
        <v>2251</v>
      </c>
      <c r="K1014" s="5" t="s">
        <v>2252</v>
      </c>
      <c r="L1014" s="5" t="n">
        <f aca="false">IF(G1014="High",3,IF(G1014="Medium",2,1))</f>
        <v>3</v>
      </c>
    </row>
    <row r="1015" customFormat="false" ht="15" hidden="false" customHeight="true" outlineLevel="0" collapsed="false">
      <c r="A1015" s="5" t="s">
        <v>3291</v>
      </c>
      <c r="B1015" s="5" t="s">
        <v>1308</v>
      </c>
      <c r="C1015" s="5" t="s">
        <v>2262</v>
      </c>
      <c r="D1015" s="5" t="s">
        <v>2263</v>
      </c>
      <c r="E1015" s="5" t="s">
        <v>2225</v>
      </c>
      <c r="F1015" s="5" t="s">
        <v>2225</v>
      </c>
      <c r="G1015" s="5" t="str">
        <f aca="false">INDEX(Risk_Matrix!$B$2:$D$4,MATCH(E1015,Risk_Matrix!$A$2:$A$4,0),MATCH(F1015,Risk_Matrix!$B$1:$D$1,0))</f>
        <v>Medium</v>
      </c>
      <c r="H1015" s="12" t="n">
        <v>46131</v>
      </c>
      <c r="I1015" s="5" t="s">
        <v>2250</v>
      </c>
      <c r="J1015" s="5" t="s">
        <v>2251</v>
      </c>
      <c r="K1015" s="5" t="s">
        <v>2266</v>
      </c>
      <c r="L1015" s="5" t="n">
        <f aca="false">IF(G1015="High",3,IF(G1015="Medium",2,1))</f>
        <v>2</v>
      </c>
    </row>
    <row r="1016" customFormat="false" ht="15" hidden="false" customHeight="true" outlineLevel="0" collapsed="false">
      <c r="A1016" s="5" t="s">
        <v>3292</v>
      </c>
      <c r="B1016" s="5" t="s">
        <v>1309</v>
      </c>
      <c r="C1016" s="5" t="s">
        <v>2239</v>
      </c>
      <c r="D1016" s="5" t="s">
        <v>2278</v>
      </c>
      <c r="E1016" s="5" t="s">
        <v>54</v>
      </c>
      <c r="F1016" s="5" t="s">
        <v>59</v>
      </c>
      <c r="G1016" s="5" t="str">
        <f aca="false">INDEX(Risk_Matrix!$B$2:$D$4,MATCH(E1016,Risk_Matrix!$A$2:$A$4,0),MATCH(F1016,Risk_Matrix!$B$1:$D$1,0))</f>
        <v>Medium</v>
      </c>
      <c r="H1016" s="12" t="n">
        <v>46084</v>
      </c>
      <c r="I1016" s="5" t="s">
        <v>2256</v>
      </c>
      <c r="J1016" s="5" t="s">
        <v>2257</v>
      </c>
      <c r="K1016" s="5" t="s">
        <v>2266</v>
      </c>
      <c r="L1016" s="5" t="n">
        <f aca="false">IF(G1016="High",3,IF(G1016="Medium",2,1))</f>
        <v>2</v>
      </c>
    </row>
    <row r="1017" customFormat="false" ht="15" hidden="false" customHeight="true" outlineLevel="0" collapsed="false">
      <c r="A1017" s="5" t="s">
        <v>3293</v>
      </c>
      <c r="B1017" s="5" t="s">
        <v>1309</v>
      </c>
      <c r="C1017" s="5" t="s">
        <v>2245</v>
      </c>
      <c r="D1017" s="5" t="s">
        <v>2246</v>
      </c>
      <c r="E1017" s="5" t="s">
        <v>59</v>
      </c>
      <c r="F1017" s="5" t="s">
        <v>2225</v>
      </c>
      <c r="G1017" s="5" t="str">
        <f aca="false">INDEX(Risk_Matrix!$B$2:$D$4,MATCH(E1017,Risk_Matrix!$A$2:$A$4,0),MATCH(F1017,Risk_Matrix!$B$1:$D$1,0))</f>
        <v>Low</v>
      </c>
      <c r="H1017" s="12" t="n">
        <v>46134</v>
      </c>
      <c r="I1017" s="5" t="s">
        <v>2250</v>
      </c>
      <c r="J1017" s="5" t="s">
        <v>2251</v>
      </c>
      <c r="K1017" s="5" t="s">
        <v>2276</v>
      </c>
      <c r="L1017" s="5" t="n">
        <f aca="false">IF(G1017="High",3,IF(G1017="Medium",2,1))</f>
        <v>1</v>
      </c>
    </row>
    <row r="1018" customFormat="false" ht="15" hidden="false" customHeight="true" outlineLevel="0" collapsed="false">
      <c r="A1018" s="5" t="s">
        <v>3294</v>
      </c>
      <c r="B1018" s="5" t="s">
        <v>1309</v>
      </c>
      <c r="C1018" s="5" t="s">
        <v>2248</v>
      </c>
      <c r="D1018" s="5" t="s">
        <v>2249</v>
      </c>
      <c r="E1018" s="5" t="s">
        <v>2225</v>
      </c>
      <c r="F1018" s="5" t="s">
        <v>59</v>
      </c>
      <c r="G1018" s="5" t="str">
        <f aca="false">INDEX(Risk_Matrix!$B$2:$D$4,MATCH(E1018,Risk_Matrix!$A$2:$A$4,0),MATCH(F1018,Risk_Matrix!$B$1:$D$1,0))</f>
        <v>Low</v>
      </c>
      <c r="H1018" s="12" t="n">
        <v>46169</v>
      </c>
      <c r="I1018" s="5" t="s">
        <v>2256</v>
      </c>
      <c r="J1018" s="5" t="s">
        <v>2257</v>
      </c>
      <c r="K1018" s="5" t="s">
        <v>2266</v>
      </c>
      <c r="L1018" s="5" t="n">
        <f aca="false">IF(G1018="High",3,IF(G1018="Medium",2,1))</f>
        <v>1</v>
      </c>
    </row>
    <row r="1019" customFormat="false" ht="15" hidden="false" customHeight="true" outlineLevel="0" collapsed="false">
      <c r="A1019" s="5" t="s">
        <v>3295</v>
      </c>
      <c r="B1019" s="5" t="s">
        <v>1309</v>
      </c>
      <c r="C1019" s="5" t="s">
        <v>2254</v>
      </c>
      <c r="D1019" s="5" t="s">
        <v>2255</v>
      </c>
      <c r="E1019" s="5" t="s">
        <v>59</v>
      </c>
      <c r="F1019" s="5" t="s">
        <v>59</v>
      </c>
      <c r="G1019" s="5" t="str">
        <f aca="false">INDEX(Risk_Matrix!$B$2:$D$4,MATCH(E1019,Risk_Matrix!$A$2:$A$4,0),MATCH(F1019,Risk_Matrix!$B$1:$D$1,0))</f>
        <v>Low</v>
      </c>
      <c r="H1019" s="12" t="n">
        <v>46182</v>
      </c>
      <c r="I1019" s="5" t="s">
        <v>2241</v>
      </c>
      <c r="J1019" s="5" t="s">
        <v>2242</v>
      </c>
      <c r="K1019" s="5" t="s">
        <v>2243</v>
      </c>
      <c r="L1019" s="5" t="n">
        <f aca="false">IF(G1019="High",3,IF(G1019="Medium",2,1))</f>
        <v>1</v>
      </c>
    </row>
    <row r="1020" customFormat="false" ht="15" hidden="false" customHeight="true" outlineLevel="0" collapsed="false">
      <c r="A1020" s="5" t="s">
        <v>3296</v>
      </c>
      <c r="B1020" s="5" t="s">
        <v>1309</v>
      </c>
      <c r="C1020" s="5" t="s">
        <v>2259</v>
      </c>
      <c r="D1020" s="5" t="s">
        <v>2260</v>
      </c>
      <c r="E1020" s="5" t="s">
        <v>2225</v>
      </c>
      <c r="F1020" s="5" t="s">
        <v>59</v>
      </c>
      <c r="G1020" s="5" t="str">
        <f aca="false">INDEX(Risk_Matrix!$B$2:$D$4,MATCH(E1020,Risk_Matrix!$A$2:$A$4,0),MATCH(F1020,Risk_Matrix!$B$1:$D$1,0))</f>
        <v>Low</v>
      </c>
      <c r="H1020" s="12" t="n">
        <v>46160</v>
      </c>
      <c r="I1020" s="5" t="s">
        <v>2250</v>
      </c>
      <c r="J1020" s="5" t="s">
        <v>2251</v>
      </c>
      <c r="K1020" s="5" t="s">
        <v>2283</v>
      </c>
      <c r="L1020" s="5" t="n">
        <f aca="false">IF(G1020="High",3,IF(G1020="Medium",2,1))</f>
        <v>1</v>
      </c>
    </row>
    <row r="1021" customFormat="false" ht="15" hidden="false" customHeight="true" outlineLevel="0" collapsed="false">
      <c r="A1021" s="5" t="s">
        <v>3297</v>
      </c>
      <c r="B1021" s="5" t="s">
        <v>1309</v>
      </c>
      <c r="C1021" s="5" t="s">
        <v>2262</v>
      </c>
      <c r="D1021" s="5" t="s">
        <v>2311</v>
      </c>
      <c r="E1021" s="5" t="s">
        <v>59</v>
      </c>
      <c r="F1021" s="5" t="s">
        <v>59</v>
      </c>
      <c r="G1021" s="5" t="str">
        <f aca="false">INDEX(Risk_Matrix!$B$2:$D$4,MATCH(E1021,Risk_Matrix!$A$2:$A$4,0),MATCH(F1021,Risk_Matrix!$B$1:$D$1,0))</f>
        <v>Low</v>
      </c>
      <c r="H1021" s="12" t="n">
        <v>46166</v>
      </c>
      <c r="I1021" s="5" t="s">
        <v>2250</v>
      </c>
      <c r="J1021" s="5" t="s">
        <v>2251</v>
      </c>
      <c r="K1021" s="5" t="s">
        <v>2283</v>
      </c>
      <c r="L1021" s="5" t="n">
        <f aca="false">IF(G1021="High",3,IF(G1021="Medium",2,1))</f>
        <v>1</v>
      </c>
    </row>
    <row r="1022" customFormat="false" ht="15" hidden="false" customHeight="true" outlineLevel="0" collapsed="false">
      <c r="A1022" s="5" t="s">
        <v>3298</v>
      </c>
      <c r="B1022" s="5" t="s">
        <v>1311</v>
      </c>
      <c r="C1022" s="5" t="s">
        <v>2239</v>
      </c>
      <c r="D1022" s="5" t="s">
        <v>2278</v>
      </c>
      <c r="E1022" s="5" t="s">
        <v>2225</v>
      </c>
      <c r="F1022" s="5" t="s">
        <v>54</v>
      </c>
      <c r="G1022" s="5" t="str">
        <f aca="false">INDEX(Risk_Matrix!$B$2:$D$4,MATCH(E1022,Risk_Matrix!$A$2:$A$4,0),MATCH(F1022,Risk_Matrix!$B$1:$D$1,0))</f>
        <v>High</v>
      </c>
      <c r="H1022" s="12" t="n">
        <v>46139</v>
      </c>
      <c r="I1022" s="5" t="s">
        <v>2256</v>
      </c>
      <c r="J1022" s="5" t="s">
        <v>2257</v>
      </c>
      <c r="K1022" s="5" t="s">
        <v>2266</v>
      </c>
      <c r="L1022" s="5" t="n">
        <f aca="false">IF(G1022="High",3,IF(G1022="Medium",2,1))</f>
        <v>3</v>
      </c>
    </row>
    <row r="1023" customFormat="false" ht="15" hidden="false" customHeight="true" outlineLevel="0" collapsed="false">
      <c r="A1023" s="5" t="s">
        <v>3299</v>
      </c>
      <c r="B1023" s="5" t="s">
        <v>1311</v>
      </c>
      <c r="C1023" s="5" t="s">
        <v>2245</v>
      </c>
      <c r="D1023" s="5" t="s">
        <v>2269</v>
      </c>
      <c r="E1023" s="5" t="s">
        <v>2225</v>
      </c>
      <c r="F1023" s="5" t="s">
        <v>2225</v>
      </c>
      <c r="G1023" s="5" t="str">
        <f aca="false">INDEX(Risk_Matrix!$B$2:$D$4,MATCH(E1023,Risk_Matrix!$A$2:$A$4,0),MATCH(F1023,Risk_Matrix!$B$1:$D$1,0))</f>
        <v>Medium</v>
      </c>
      <c r="H1023" s="12" t="n">
        <v>46097</v>
      </c>
      <c r="I1023" s="5" t="s">
        <v>2264</v>
      </c>
      <c r="J1023" s="5" t="s">
        <v>2265</v>
      </c>
      <c r="K1023" s="5" t="s">
        <v>2283</v>
      </c>
      <c r="L1023" s="5" t="n">
        <f aca="false">IF(G1023="High",3,IF(G1023="Medium",2,1))</f>
        <v>2</v>
      </c>
    </row>
    <row r="1024" customFormat="false" ht="15" hidden="false" customHeight="true" outlineLevel="0" collapsed="false">
      <c r="A1024" s="5" t="s">
        <v>3300</v>
      </c>
      <c r="B1024" s="5" t="s">
        <v>1311</v>
      </c>
      <c r="C1024" s="5" t="s">
        <v>2248</v>
      </c>
      <c r="D1024" s="5" t="s">
        <v>2271</v>
      </c>
      <c r="E1024" s="5" t="s">
        <v>59</v>
      </c>
      <c r="F1024" s="5" t="s">
        <v>59</v>
      </c>
      <c r="G1024" s="5" t="str">
        <f aca="false">INDEX(Risk_Matrix!$B$2:$D$4,MATCH(E1024,Risk_Matrix!$A$2:$A$4,0),MATCH(F1024,Risk_Matrix!$B$1:$D$1,0))</f>
        <v>Low</v>
      </c>
      <c r="H1024" s="12" t="n">
        <v>46107</v>
      </c>
      <c r="I1024" s="5" t="s">
        <v>2256</v>
      </c>
      <c r="J1024" s="5" t="s">
        <v>2257</v>
      </c>
      <c r="K1024" s="5" t="s">
        <v>2266</v>
      </c>
      <c r="L1024" s="5" t="n">
        <f aca="false">IF(G1024="High",3,IF(G1024="Medium",2,1))</f>
        <v>1</v>
      </c>
    </row>
    <row r="1025" customFormat="false" ht="15" hidden="false" customHeight="true" outlineLevel="0" collapsed="false">
      <c r="A1025" s="5" t="s">
        <v>3301</v>
      </c>
      <c r="B1025" s="5" t="s">
        <v>1311</v>
      </c>
      <c r="C1025" s="5" t="s">
        <v>2254</v>
      </c>
      <c r="D1025" s="5" t="s">
        <v>2299</v>
      </c>
      <c r="E1025" s="5" t="s">
        <v>59</v>
      </c>
      <c r="F1025" s="5" t="s">
        <v>59</v>
      </c>
      <c r="G1025" s="5" t="str">
        <f aca="false">INDEX(Risk_Matrix!$B$2:$D$4,MATCH(E1025,Risk_Matrix!$A$2:$A$4,0),MATCH(F1025,Risk_Matrix!$B$1:$D$1,0))</f>
        <v>Low</v>
      </c>
      <c r="H1025" s="12" t="n">
        <v>46225</v>
      </c>
      <c r="I1025" s="5" t="s">
        <v>2250</v>
      </c>
      <c r="J1025" s="5" t="s">
        <v>2251</v>
      </c>
      <c r="K1025" s="5" t="s">
        <v>2252</v>
      </c>
      <c r="L1025" s="5" t="n">
        <f aca="false">IF(G1025="High",3,IF(G1025="Medium",2,1))</f>
        <v>1</v>
      </c>
    </row>
    <row r="1026" customFormat="false" ht="15" hidden="false" customHeight="true" outlineLevel="0" collapsed="false">
      <c r="A1026" s="5" t="s">
        <v>3302</v>
      </c>
      <c r="B1026" s="5" t="s">
        <v>1311</v>
      </c>
      <c r="C1026" s="5" t="s">
        <v>2259</v>
      </c>
      <c r="D1026" s="5" t="s">
        <v>2285</v>
      </c>
      <c r="E1026" s="5" t="s">
        <v>2225</v>
      </c>
      <c r="F1026" s="5" t="s">
        <v>2225</v>
      </c>
      <c r="G1026" s="5" t="str">
        <f aca="false">INDEX(Risk_Matrix!$B$2:$D$4,MATCH(E1026,Risk_Matrix!$A$2:$A$4,0),MATCH(F1026,Risk_Matrix!$B$1:$D$1,0))</f>
        <v>Medium</v>
      </c>
      <c r="H1026" s="12" t="n">
        <v>46121</v>
      </c>
      <c r="I1026" s="5" t="s">
        <v>2250</v>
      </c>
      <c r="J1026" s="5" t="s">
        <v>2251</v>
      </c>
      <c r="K1026" s="5" t="s">
        <v>2266</v>
      </c>
      <c r="L1026" s="5" t="n">
        <f aca="false">IF(G1026="High",3,IF(G1026="Medium",2,1))</f>
        <v>2</v>
      </c>
    </row>
    <row r="1027" customFormat="false" ht="15" hidden="false" customHeight="true" outlineLevel="0" collapsed="false">
      <c r="A1027" s="5" t="s">
        <v>3303</v>
      </c>
      <c r="B1027" s="5" t="s">
        <v>1311</v>
      </c>
      <c r="C1027" s="5" t="s">
        <v>2262</v>
      </c>
      <c r="D1027" s="5" t="s">
        <v>2311</v>
      </c>
      <c r="E1027" s="5" t="s">
        <v>54</v>
      </c>
      <c r="F1027" s="5" t="s">
        <v>2225</v>
      </c>
      <c r="G1027" s="5" t="str">
        <f aca="false">INDEX(Risk_Matrix!$B$2:$D$4,MATCH(E1027,Risk_Matrix!$A$2:$A$4,0),MATCH(F1027,Risk_Matrix!$B$1:$D$1,0))</f>
        <v>High</v>
      </c>
      <c r="H1027" s="12" t="n">
        <v>46168</v>
      </c>
      <c r="I1027" s="5" t="s">
        <v>2250</v>
      </c>
      <c r="J1027" s="5" t="s">
        <v>2251</v>
      </c>
      <c r="K1027" s="5" t="s">
        <v>2243</v>
      </c>
      <c r="L1027" s="5" t="n">
        <f aca="false">IF(G1027="High",3,IF(G1027="Medium",2,1))</f>
        <v>3</v>
      </c>
    </row>
    <row r="1028" customFormat="false" ht="15" hidden="false" customHeight="true" outlineLevel="0" collapsed="false">
      <c r="A1028" s="5" t="s">
        <v>3304</v>
      </c>
      <c r="B1028" s="5" t="s">
        <v>1313</v>
      </c>
      <c r="C1028" s="5" t="s">
        <v>2239</v>
      </c>
      <c r="D1028" s="5" t="s">
        <v>2303</v>
      </c>
      <c r="E1028" s="5" t="s">
        <v>59</v>
      </c>
      <c r="F1028" s="5" t="s">
        <v>54</v>
      </c>
      <c r="G1028" s="5" t="str">
        <f aca="false">INDEX(Risk_Matrix!$B$2:$D$4,MATCH(E1028,Risk_Matrix!$A$2:$A$4,0),MATCH(F1028,Risk_Matrix!$B$1:$D$1,0))</f>
        <v>Medium</v>
      </c>
      <c r="H1028" s="12" t="n">
        <v>46134</v>
      </c>
      <c r="I1028" s="5" t="s">
        <v>2264</v>
      </c>
      <c r="J1028" s="5" t="s">
        <v>2265</v>
      </c>
      <c r="K1028" s="5" t="s">
        <v>2252</v>
      </c>
      <c r="L1028" s="5" t="n">
        <f aca="false">IF(G1028="High",3,IF(G1028="Medium",2,1))</f>
        <v>2</v>
      </c>
    </row>
    <row r="1029" customFormat="false" ht="15" hidden="false" customHeight="true" outlineLevel="0" collapsed="false">
      <c r="A1029" s="5" t="s">
        <v>3305</v>
      </c>
      <c r="B1029" s="5" t="s">
        <v>1313</v>
      </c>
      <c r="C1029" s="5" t="s">
        <v>2245</v>
      </c>
      <c r="D1029" s="5" t="s">
        <v>2246</v>
      </c>
      <c r="E1029" s="5" t="s">
        <v>2225</v>
      </c>
      <c r="F1029" s="5" t="s">
        <v>59</v>
      </c>
      <c r="G1029" s="5" t="str">
        <f aca="false">INDEX(Risk_Matrix!$B$2:$D$4,MATCH(E1029,Risk_Matrix!$A$2:$A$4,0),MATCH(F1029,Risk_Matrix!$B$1:$D$1,0))</f>
        <v>Low</v>
      </c>
      <c r="H1029" s="12" t="n">
        <v>46215</v>
      </c>
      <c r="I1029" s="5" t="s">
        <v>2256</v>
      </c>
      <c r="J1029" s="5" t="s">
        <v>2257</v>
      </c>
      <c r="K1029" s="5" t="s">
        <v>2266</v>
      </c>
      <c r="L1029" s="5" t="n">
        <f aca="false">IF(G1029="High",3,IF(G1029="Medium",2,1))</f>
        <v>1</v>
      </c>
    </row>
    <row r="1030" customFormat="false" ht="15" hidden="false" customHeight="true" outlineLevel="0" collapsed="false">
      <c r="A1030" s="5" t="s">
        <v>3306</v>
      </c>
      <c r="B1030" s="5" t="s">
        <v>1313</v>
      </c>
      <c r="C1030" s="5" t="s">
        <v>2248</v>
      </c>
      <c r="D1030" s="5" t="s">
        <v>2306</v>
      </c>
      <c r="E1030" s="5" t="s">
        <v>59</v>
      </c>
      <c r="F1030" s="5" t="s">
        <v>59</v>
      </c>
      <c r="G1030" s="5" t="str">
        <f aca="false">INDEX(Risk_Matrix!$B$2:$D$4,MATCH(E1030,Risk_Matrix!$A$2:$A$4,0),MATCH(F1030,Risk_Matrix!$B$1:$D$1,0))</f>
        <v>Low</v>
      </c>
      <c r="H1030" s="12" t="n">
        <v>46236</v>
      </c>
      <c r="I1030" s="5" t="s">
        <v>2264</v>
      </c>
      <c r="J1030" s="5" t="s">
        <v>2265</v>
      </c>
      <c r="K1030" s="5" t="s">
        <v>2243</v>
      </c>
      <c r="L1030" s="5" t="n">
        <f aca="false">IF(G1030="High",3,IF(G1030="Medium",2,1))</f>
        <v>1</v>
      </c>
    </row>
    <row r="1031" customFormat="false" ht="15" hidden="false" customHeight="true" outlineLevel="0" collapsed="false">
      <c r="A1031" s="5" t="s">
        <v>3307</v>
      </c>
      <c r="B1031" s="5" t="s">
        <v>1313</v>
      </c>
      <c r="C1031" s="5" t="s">
        <v>2254</v>
      </c>
      <c r="D1031" s="5" t="s">
        <v>2299</v>
      </c>
      <c r="E1031" s="5" t="s">
        <v>2225</v>
      </c>
      <c r="F1031" s="5" t="s">
        <v>2225</v>
      </c>
      <c r="G1031" s="5" t="str">
        <f aca="false">INDEX(Risk_Matrix!$B$2:$D$4,MATCH(E1031,Risk_Matrix!$A$2:$A$4,0),MATCH(F1031,Risk_Matrix!$B$1:$D$1,0))</f>
        <v>Medium</v>
      </c>
      <c r="H1031" s="12" t="n">
        <v>46107</v>
      </c>
      <c r="I1031" s="5" t="s">
        <v>2250</v>
      </c>
      <c r="J1031" s="5" t="s">
        <v>2251</v>
      </c>
      <c r="K1031" s="5" t="s">
        <v>2283</v>
      </c>
      <c r="L1031" s="5" t="n">
        <f aca="false">IF(G1031="High",3,IF(G1031="Medium",2,1))</f>
        <v>2</v>
      </c>
    </row>
    <row r="1032" customFormat="false" ht="15" hidden="false" customHeight="true" outlineLevel="0" collapsed="false">
      <c r="A1032" s="5" t="s">
        <v>3308</v>
      </c>
      <c r="B1032" s="5" t="s">
        <v>1313</v>
      </c>
      <c r="C1032" s="5" t="s">
        <v>2259</v>
      </c>
      <c r="D1032" s="5" t="s">
        <v>2285</v>
      </c>
      <c r="E1032" s="5" t="s">
        <v>59</v>
      </c>
      <c r="F1032" s="5" t="s">
        <v>59</v>
      </c>
      <c r="G1032" s="5" t="str">
        <f aca="false">INDEX(Risk_Matrix!$B$2:$D$4,MATCH(E1032,Risk_Matrix!$A$2:$A$4,0),MATCH(F1032,Risk_Matrix!$B$1:$D$1,0))</f>
        <v>Low</v>
      </c>
      <c r="H1032" s="12" t="n">
        <v>46237</v>
      </c>
      <c r="I1032" s="5" t="s">
        <v>2256</v>
      </c>
      <c r="J1032" s="5" t="s">
        <v>2257</v>
      </c>
      <c r="K1032" s="5" t="s">
        <v>2243</v>
      </c>
      <c r="L1032" s="5" t="n">
        <f aca="false">IF(G1032="High",3,IF(G1032="Medium",2,1))</f>
        <v>1</v>
      </c>
    </row>
    <row r="1033" customFormat="false" ht="15" hidden="false" customHeight="true" outlineLevel="0" collapsed="false">
      <c r="A1033" s="5" t="s">
        <v>3309</v>
      </c>
      <c r="B1033" s="5" t="s">
        <v>1313</v>
      </c>
      <c r="C1033" s="5" t="s">
        <v>2262</v>
      </c>
      <c r="D1033" s="5" t="s">
        <v>2263</v>
      </c>
      <c r="E1033" s="5" t="s">
        <v>2225</v>
      </c>
      <c r="F1033" s="5" t="s">
        <v>59</v>
      </c>
      <c r="G1033" s="5" t="str">
        <f aca="false">INDEX(Risk_Matrix!$B$2:$D$4,MATCH(E1033,Risk_Matrix!$A$2:$A$4,0),MATCH(F1033,Risk_Matrix!$B$1:$D$1,0))</f>
        <v>Low</v>
      </c>
      <c r="H1033" s="12" t="n">
        <v>46069</v>
      </c>
      <c r="I1033" s="5" t="s">
        <v>2241</v>
      </c>
      <c r="J1033" s="5" t="s">
        <v>2242</v>
      </c>
      <c r="K1033" s="5" t="s">
        <v>2283</v>
      </c>
      <c r="L1033" s="5" t="n">
        <f aca="false">IF(G1033="High",3,IF(G1033="Medium",2,1))</f>
        <v>1</v>
      </c>
    </row>
    <row r="1034" customFormat="false" ht="15" hidden="false" customHeight="true" outlineLevel="0" collapsed="false">
      <c r="A1034" s="5" t="s">
        <v>3310</v>
      </c>
      <c r="B1034" s="5" t="s">
        <v>1314</v>
      </c>
      <c r="C1034" s="5" t="s">
        <v>2239</v>
      </c>
      <c r="D1034" s="5" t="s">
        <v>2240</v>
      </c>
      <c r="E1034" s="5" t="s">
        <v>2225</v>
      </c>
      <c r="F1034" s="5" t="s">
        <v>54</v>
      </c>
      <c r="G1034" s="5" t="str">
        <f aca="false">INDEX(Risk_Matrix!$B$2:$D$4,MATCH(E1034,Risk_Matrix!$A$2:$A$4,0),MATCH(F1034,Risk_Matrix!$B$1:$D$1,0))</f>
        <v>High</v>
      </c>
      <c r="H1034" s="12" t="n">
        <v>46104</v>
      </c>
      <c r="I1034" s="5" t="s">
        <v>2250</v>
      </c>
      <c r="J1034" s="5" t="s">
        <v>2251</v>
      </c>
      <c r="K1034" s="5" t="s">
        <v>2266</v>
      </c>
      <c r="L1034" s="5" t="n">
        <f aca="false">IF(G1034="High",3,IF(G1034="Medium",2,1))</f>
        <v>3</v>
      </c>
    </row>
    <row r="1035" customFormat="false" ht="15" hidden="false" customHeight="true" outlineLevel="0" collapsed="false">
      <c r="A1035" s="5" t="s">
        <v>3311</v>
      </c>
      <c r="B1035" s="5" t="s">
        <v>1314</v>
      </c>
      <c r="C1035" s="5" t="s">
        <v>2245</v>
      </c>
      <c r="D1035" s="5" t="s">
        <v>2320</v>
      </c>
      <c r="E1035" s="5" t="s">
        <v>59</v>
      </c>
      <c r="F1035" s="5" t="s">
        <v>2225</v>
      </c>
      <c r="G1035" s="5" t="str">
        <f aca="false">INDEX(Risk_Matrix!$B$2:$D$4,MATCH(E1035,Risk_Matrix!$A$2:$A$4,0),MATCH(F1035,Risk_Matrix!$B$1:$D$1,0))</f>
        <v>Low</v>
      </c>
      <c r="H1035" s="12" t="n">
        <v>46225</v>
      </c>
      <c r="I1035" s="5" t="s">
        <v>2250</v>
      </c>
      <c r="J1035" s="5" t="s">
        <v>2251</v>
      </c>
      <c r="K1035" s="5" t="s">
        <v>2243</v>
      </c>
      <c r="L1035" s="5" t="n">
        <f aca="false">IF(G1035="High",3,IF(G1035="Medium",2,1))</f>
        <v>1</v>
      </c>
    </row>
    <row r="1036" customFormat="false" ht="15" hidden="false" customHeight="true" outlineLevel="0" collapsed="false">
      <c r="A1036" s="5" t="s">
        <v>3312</v>
      </c>
      <c r="B1036" s="5" t="s">
        <v>1314</v>
      </c>
      <c r="C1036" s="5" t="s">
        <v>2248</v>
      </c>
      <c r="D1036" s="5" t="s">
        <v>2271</v>
      </c>
      <c r="E1036" s="5" t="s">
        <v>59</v>
      </c>
      <c r="F1036" s="5" t="s">
        <v>59</v>
      </c>
      <c r="G1036" s="5" t="str">
        <f aca="false">INDEX(Risk_Matrix!$B$2:$D$4,MATCH(E1036,Risk_Matrix!$A$2:$A$4,0),MATCH(F1036,Risk_Matrix!$B$1:$D$1,0))</f>
        <v>Low</v>
      </c>
      <c r="H1036" s="12" t="n">
        <v>46065</v>
      </c>
      <c r="I1036" s="5" t="s">
        <v>2256</v>
      </c>
      <c r="J1036" s="5" t="s">
        <v>2257</v>
      </c>
      <c r="K1036" s="5" t="s">
        <v>2266</v>
      </c>
      <c r="L1036" s="5" t="n">
        <f aca="false">IF(G1036="High",3,IF(G1036="Medium",2,1))</f>
        <v>1</v>
      </c>
    </row>
    <row r="1037" customFormat="false" ht="15" hidden="false" customHeight="true" outlineLevel="0" collapsed="false">
      <c r="A1037" s="5" t="s">
        <v>3313</v>
      </c>
      <c r="B1037" s="5" t="s">
        <v>1314</v>
      </c>
      <c r="C1037" s="5" t="s">
        <v>2254</v>
      </c>
      <c r="D1037" s="5" t="s">
        <v>2299</v>
      </c>
      <c r="E1037" s="5" t="s">
        <v>54</v>
      </c>
      <c r="F1037" s="5" t="s">
        <v>54</v>
      </c>
      <c r="G1037" s="5" t="str">
        <f aca="false">INDEX(Risk_Matrix!$B$2:$D$4,MATCH(E1037,Risk_Matrix!$A$2:$A$4,0),MATCH(F1037,Risk_Matrix!$B$1:$D$1,0))</f>
        <v>High</v>
      </c>
      <c r="H1037" s="12" t="n">
        <v>46115</v>
      </c>
      <c r="I1037" s="5" t="s">
        <v>2256</v>
      </c>
      <c r="J1037" s="5" t="s">
        <v>2257</v>
      </c>
      <c r="K1037" s="5" t="s">
        <v>2252</v>
      </c>
      <c r="L1037" s="5" t="n">
        <f aca="false">IF(G1037="High",3,IF(G1037="Medium",2,1))</f>
        <v>3</v>
      </c>
    </row>
    <row r="1038" customFormat="false" ht="15" hidden="false" customHeight="true" outlineLevel="0" collapsed="false">
      <c r="A1038" s="5" t="s">
        <v>3314</v>
      </c>
      <c r="B1038" s="5" t="s">
        <v>1314</v>
      </c>
      <c r="C1038" s="5" t="s">
        <v>2259</v>
      </c>
      <c r="D1038" s="5" t="s">
        <v>2274</v>
      </c>
      <c r="E1038" s="5" t="s">
        <v>59</v>
      </c>
      <c r="F1038" s="5" t="s">
        <v>2225</v>
      </c>
      <c r="G1038" s="5" t="str">
        <f aca="false">INDEX(Risk_Matrix!$B$2:$D$4,MATCH(E1038,Risk_Matrix!$A$2:$A$4,0),MATCH(F1038,Risk_Matrix!$B$1:$D$1,0))</f>
        <v>Low</v>
      </c>
      <c r="H1038" s="12" t="n">
        <v>46183</v>
      </c>
      <c r="I1038" s="5" t="s">
        <v>2250</v>
      </c>
      <c r="J1038" s="5" t="s">
        <v>2251</v>
      </c>
      <c r="K1038" s="5" t="s">
        <v>2252</v>
      </c>
      <c r="L1038" s="5" t="n">
        <f aca="false">IF(G1038="High",3,IF(G1038="Medium",2,1))</f>
        <v>1</v>
      </c>
    </row>
    <row r="1039" customFormat="false" ht="15" hidden="false" customHeight="true" outlineLevel="0" collapsed="false">
      <c r="A1039" s="5" t="s">
        <v>3315</v>
      </c>
      <c r="B1039" s="5" t="s">
        <v>1314</v>
      </c>
      <c r="C1039" s="5" t="s">
        <v>2262</v>
      </c>
      <c r="D1039" s="5" t="s">
        <v>2263</v>
      </c>
      <c r="E1039" s="5" t="s">
        <v>2225</v>
      </c>
      <c r="F1039" s="5" t="s">
        <v>54</v>
      </c>
      <c r="G1039" s="5" t="str">
        <f aca="false">INDEX(Risk_Matrix!$B$2:$D$4,MATCH(E1039,Risk_Matrix!$A$2:$A$4,0),MATCH(F1039,Risk_Matrix!$B$1:$D$1,0))</f>
        <v>High</v>
      </c>
      <c r="H1039" s="12" t="n">
        <v>46080</v>
      </c>
      <c r="I1039" s="5" t="s">
        <v>2264</v>
      </c>
      <c r="J1039" s="5" t="s">
        <v>2265</v>
      </c>
      <c r="K1039" s="5" t="s">
        <v>2243</v>
      </c>
      <c r="L1039" s="5" t="n">
        <f aca="false">IF(G1039="High",3,IF(G1039="Medium",2,1))</f>
        <v>3</v>
      </c>
    </row>
    <row r="1040" customFormat="false" ht="15" hidden="false" customHeight="true" outlineLevel="0" collapsed="false">
      <c r="A1040" s="5" t="s">
        <v>3316</v>
      </c>
      <c r="B1040" s="5" t="s">
        <v>1315</v>
      </c>
      <c r="C1040" s="5" t="s">
        <v>2239</v>
      </c>
      <c r="D1040" s="5" t="s">
        <v>2240</v>
      </c>
      <c r="E1040" s="5" t="s">
        <v>59</v>
      </c>
      <c r="F1040" s="5" t="s">
        <v>2225</v>
      </c>
      <c r="G1040" s="5" t="str">
        <f aca="false">INDEX(Risk_Matrix!$B$2:$D$4,MATCH(E1040,Risk_Matrix!$A$2:$A$4,0),MATCH(F1040,Risk_Matrix!$B$1:$D$1,0))</f>
        <v>Low</v>
      </c>
      <c r="H1040" s="12" t="n">
        <v>46148</v>
      </c>
      <c r="I1040" s="5" t="s">
        <v>2256</v>
      </c>
      <c r="J1040" s="5" t="s">
        <v>2257</v>
      </c>
      <c r="K1040" s="5" t="s">
        <v>2276</v>
      </c>
      <c r="L1040" s="5" t="n">
        <f aca="false">IF(G1040="High",3,IF(G1040="Medium",2,1))</f>
        <v>1</v>
      </c>
    </row>
    <row r="1041" customFormat="false" ht="15" hidden="false" customHeight="true" outlineLevel="0" collapsed="false">
      <c r="A1041" s="5" t="s">
        <v>3317</v>
      </c>
      <c r="B1041" s="5" t="s">
        <v>1315</v>
      </c>
      <c r="C1041" s="5" t="s">
        <v>2245</v>
      </c>
      <c r="D1041" s="5" t="s">
        <v>2246</v>
      </c>
      <c r="E1041" s="5" t="s">
        <v>59</v>
      </c>
      <c r="F1041" s="5" t="s">
        <v>2225</v>
      </c>
      <c r="G1041" s="5" t="str">
        <f aca="false">INDEX(Risk_Matrix!$B$2:$D$4,MATCH(E1041,Risk_Matrix!$A$2:$A$4,0),MATCH(F1041,Risk_Matrix!$B$1:$D$1,0))</f>
        <v>Low</v>
      </c>
      <c r="H1041" s="12" t="n">
        <v>46236</v>
      </c>
      <c r="I1041" s="5" t="s">
        <v>2250</v>
      </c>
      <c r="J1041" s="5" t="s">
        <v>2251</v>
      </c>
      <c r="K1041" s="5" t="s">
        <v>2276</v>
      </c>
      <c r="L1041" s="5" t="n">
        <f aca="false">IF(G1041="High",3,IF(G1041="Medium",2,1))</f>
        <v>1</v>
      </c>
    </row>
    <row r="1042" customFormat="false" ht="15" hidden="false" customHeight="true" outlineLevel="0" collapsed="false">
      <c r="A1042" s="5" t="s">
        <v>3318</v>
      </c>
      <c r="B1042" s="5" t="s">
        <v>1315</v>
      </c>
      <c r="C1042" s="5" t="s">
        <v>2248</v>
      </c>
      <c r="D1042" s="5" t="s">
        <v>2271</v>
      </c>
      <c r="E1042" s="5" t="s">
        <v>59</v>
      </c>
      <c r="F1042" s="5" t="s">
        <v>59</v>
      </c>
      <c r="G1042" s="5" t="str">
        <f aca="false">INDEX(Risk_Matrix!$B$2:$D$4,MATCH(E1042,Risk_Matrix!$A$2:$A$4,0),MATCH(F1042,Risk_Matrix!$B$1:$D$1,0))</f>
        <v>Low</v>
      </c>
      <c r="H1042" s="12" t="n">
        <v>46199</v>
      </c>
      <c r="I1042" s="5" t="s">
        <v>2250</v>
      </c>
      <c r="J1042" s="5" t="s">
        <v>2251</v>
      </c>
      <c r="K1042" s="5" t="s">
        <v>2243</v>
      </c>
      <c r="L1042" s="5" t="n">
        <f aca="false">IF(G1042="High",3,IF(G1042="Medium",2,1))</f>
        <v>1</v>
      </c>
    </row>
    <row r="1043" customFormat="false" ht="15" hidden="false" customHeight="true" outlineLevel="0" collapsed="false">
      <c r="A1043" s="5" t="s">
        <v>3319</v>
      </c>
      <c r="B1043" s="5" t="s">
        <v>1315</v>
      </c>
      <c r="C1043" s="5" t="s">
        <v>2254</v>
      </c>
      <c r="D1043" s="5" t="s">
        <v>2255</v>
      </c>
      <c r="E1043" s="5" t="s">
        <v>54</v>
      </c>
      <c r="F1043" s="5" t="s">
        <v>59</v>
      </c>
      <c r="G1043" s="5" t="str">
        <f aca="false">INDEX(Risk_Matrix!$B$2:$D$4,MATCH(E1043,Risk_Matrix!$A$2:$A$4,0),MATCH(F1043,Risk_Matrix!$B$1:$D$1,0))</f>
        <v>Medium</v>
      </c>
      <c r="H1043" s="12" t="n">
        <v>46174</v>
      </c>
      <c r="I1043" s="5" t="s">
        <v>2264</v>
      </c>
      <c r="J1043" s="5" t="s">
        <v>2265</v>
      </c>
      <c r="K1043" s="5" t="s">
        <v>2266</v>
      </c>
      <c r="L1043" s="5" t="n">
        <f aca="false">IF(G1043="High",3,IF(G1043="Medium",2,1))</f>
        <v>2</v>
      </c>
    </row>
    <row r="1044" customFormat="false" ht="15" hidden="false" customHeight="true" outlineLevel="0" collapsed="false">
      <c r="A1044" s="5" t="s">
        <v>3320</v>
      </c>
      <c r="B1044" s="5" t="s">
        <v>1315</v>
      </c>
      <c r="C1044" s="5" t="s">
        <v>2259</v>
      </c>
      <c r="D1044" s="5" t="s">
        <v>2274</v>
      </c>
      <c r="E1044" s="5" t="s">
        <v>59</v>
      </c>
      <c r="F1044" s="5" t="s">
        <v>59</v>
      </c>
      <c r="G1044" s="5" t="str">
        <f aca="false">INDEX(Risk_Matrix!$B$2:$D$4,MATCH(E1044,Risk_Matrix!$A$2:$A$4,0),MATCH(F1044,Risk_Matrix!$B$1:$D$1,0))</f>
        <v>Low</v>
      </c>
      <c r="H1044" s="12" t="n">
        <v>46192</v>
      </c>
      <c r="I1044" s="5" t="s">
        <v>2250</v>
      </c>
      <c r="J1044" s="5" t="s">
        <v>2251</v>
      </c>
      <c r="K1044" s="5" t="s">
        <v>2283</v>
      </c>
      <c r="L1044" s="5" t="n">
        <f aca="false">IF(G1044="High",3,IF(G1044="Medium",2,1))</f>
        <v>1</v>
      </c>
    </row>
    <row r="1045" customFormat="false" ht="15" hidden="false" customHeight="true" outlineLevel="0" collapsed="false">
      <c r="A1045" s="5" t="s">
        <v>3321</v>
      </c>
      <c r="B1045" s="5" t="s">
        <v>1315</v>
      </c>
      <c r="C1045" s="5" t="s">
        <v>2262</v>
      </c>
      <c r="D1045" s="5" t="s">
        <v>2311</v>
      </c>
      <c r="E1045" s="5" t="s">
        <v>59</v>
      </c>
      <c r="F1045" s="5" t="s">
        <v>59</v>
      </c>
      <c r="G1045" s="5" t="str">
        <f aca="false">INDEX(Risk_Matrix!$B$2:$D$4,MATCH(E1045,Risk_Matrix!$A$2:$A$4,0),MATCH(F1045,Risk_Matrix!$B$1:$D$1,0))</f>
        <v>Low</v>
      </c>
      <c r="H1045" s="12" t="n">
        <v>46197</v>
      </c>
      <c r="I1045" s="5" t="s">
        <v>2264</v>
      </c>
      <c r="J1045" s="5" t="s">
        <v>2265</v>
      </c>
      <c r="K1045" s="5" t="s">
        <v>2266</v>
      </c>
      <c r="L1045" s="5" t="n">
        <f aca="false">IF(G1045="High",3,IF(G1045="Medium",2,1))</f>
        <v>1</v>
      </c>
    </row>
    <row r="1046" customFormat="false" ht="15" hidden="false" customHeight="true" outlineLevel="0" collapsed="false">
      <c r="A1046" s="5" t="s">
        <v>3322</v>
      </c>
      <c r="B1046" s="5" t="s">
        <v>1316</v>
      </c>
      <c r="C1046" s="5" t="s">
        <v>2239</v>
      </c>
      <c r="D1046" s="5" t="s">
        <v>2278</v>
      </c>
      <c r="E1046" s="5" t="s">
        <v>2225</v>
      </c>
      <c r="F1046" s="5" t="s">
        <v>59</v>
      </c>
      <c r="G1046" s="5" t="str">
        <f aca="false">INDEX(Risk_Matrix!$B$2:$D$4,MATCH(E1046,Risk_Matrix!$A$2:$A$4,0),MATCH(F1046,Risk_Matrix!$B$1:$D$1,0))</f>
        <v>Low</v>
      </c>
      <c r="H1046" s="12" t="n">
        <v>46188</v>
      </c>
      <c r="I1046" s="5" t="s">
        <v>2264</v>
      </c>
      <c r="J1046" s="5" t="s">
        <v>2265</v>
      </c>
      <c r="K1046" s="5" t="s">
        <v>2276</v>
      </c>
      <c r="L1046" s="5" t="n">
        <f aca="false">IF(G1046="High",3,IF(G1046="Medium",2,1))</f>
        <v>1</v>
      </c>
    </row>
    <row r="1047" customFormat="false" ht="15" hidden="false" customHeight="true" outlineLevel="0" collapsed="false">
      <c r="A1047" s="5" t="s">
        <v>3323</v>
      </c>
      <c r="B1047" s="5" t="s">
        <v>1316</v>
      </c>
      <c r="C1047" s="5" t="s">
        <v>2245</v>
      </c>
      <c r="D1047" s="5" t="s">
        <v>2320</v>
      </c>
      <c r="E1047" s="5" t="s">
        <v>59</v>
      </c>
      <c r="F1047" s="5" t="s">
        <v>59</v>
      </c>
      <c r="G1047" s="5" t="str">
        <f aca="false">INDEX(Risk_Matrix!$B$2:$D$4,MATCH(E1047,Risk_Matrix!$A$2:$A$4,0),MATCH(F1047,Risk_Matrix!$B$1:$D$1,0))</f>
        <v>Low</v>
      </c>
      <c r="H1047" s="12" t="n">
        <v>46154</v>
      </c>
      <c r="I1047" s="5" t="s">
        <v>2250</v>
      </c>
      <c r="J1047" s="5" t="s">
        <v>2251</v>
      </c>
      <c r="K1047" s="5" t="s">
        <v>2276</v>
      </c>
      <c r="L1047" s="5" t="n">
        <f aca="false">IF(G1047="High",3,IF(G1047="Medium",2,1))</f>
        <v>1</v>
      </c>
    </row>
    <row r="1048" customFormat="false" ht="15" hidden="false" customHeight="true" outlineLevel="0" collapsed="false">
      <c r="A1048" s="5" t="s">
        <v>3324</v>
      </c>
      <c r="B1048" s="5" t="s">
        <v>1316</v>
      </c>
      <c r="C1048" s="5" t="s">
        <v>2248</v>
      </c>
      <c r="D1048" s="5" t="s">
        <v>2322</v>
      </c>
      <c r="E1048" s="5" t="s">
        <v>2225</v>
      </c>
      <c r="F1048" s="5" t="s">
        <v>54</v>
      </c>
      <c r="G1048" s="5" t="str">
        <f aca="false">INDEX(Risk_Matrix!$B$2:$D$4,MATCH(E1048,Risk_Matrix!$A$2:$A$4,0),MATCH(F1048,Risk_Matrix!$B$1:$D$1,0))</f>
        <v>High</v>
      </c>
      <c r="H1048" s="12" t="n">
        <v>46170</v>
      </c>
      <c r="I1048" s="5" t="s">
        <v>2241</v>
      </c>
      <c r="J1048" s="5" t="s">
        <v>2242</v>
      </c>
      <c r="K1048" s="5" t="s">
        <v>2276</v>
      </c>
      <c r="L1048" s="5" t="n">
        <f aca="false">IF(G1048="High",3,IF(G1048="Medium",2,1))</f>
        <v>3</v>
      </c>
    </row>
    <row r="1049" customFormat="false" ht="15" hidden="false" customHeight="true" outlineLevel="0" collapsed="false">
      <c r="A1049" s="5" t="s">
        <v>3325</v>
      </c>
      <c r="B1049" s="5" t="s">
        <v>1316</v>
      </c>
      <c r="C1049" s="5" t="s">
        <v>2254</v>
      </c>
      <c r="D1049" s="5" t="s">
        <v>2308</v>
      </c>
      <c r="E1049" s="5" t="s">
        <v>59</v>
      </c>
      <c r="F1049" s="5" t="s">
        <v>59</v>
      </c>
      <c r="G1049" s="5" t="str">
        <f aca="false">INDEX(Risk_Matrix!$B$2:$D$4,MATCH(E1049,Risk_Matrix!$A$2:$A$4,0),MATCH(F1049,Risk_Matrix!$B$1:$D$1,0))</f>
        <v>Low</v>
      </c>
      <c r="H1049" s="12" t="n">
        <v>46206</v>
      </c>
      <c r="I1049" s="5" t="s">
        <v>2250</v>
      </c>
      <c r="J1049" s="5" t="s">
        <v>2251</v>
      </c>
      <c r="K1049" s="5" t="s">
        <v>2252</v>
      </c>
      <c r="L1049" s="5" t="n">
        <f aca="false">IF(G1049="High",3,IF(G1049="Medium",2,1))</f>
        <v>1</v>
      </c>
    </row>
    <row r="1050" customFormat="false" ht="15" hidden="false" customHeight="true" outlineLevel="0" collapsed="false">
      <c r="A1050" s="5" t="s">
        <v>3326</v>
      </c>
      <c r="B1050" s="5" t="s">
        <v>1316</v>
      </c>
      <c r="C1050" s="5" t="s">
        <v>2259</v>
      </c>
      <c r="D1050" s="5" t="s">
        <v>2274</v>
      </c>
      <c r="E1050" s="5" t="s">
        <v>2225</v>
      </c>
      <c r="F1050" s="5" t="s">
        <v>54</v>
      </c>
      <c r="G1050" s="5" t="str">
        <f aca="false">INDEX(Risk_Matrix!$B$2:$D$4,MATCH(E1050,Risk_Matrix!$A$2:$A$4,0),MATCH(F1050,Risk_Matrix!$B$1:$D$1,0))</f>
        <v>High</v>
      </c>
      <c r="H1050" s="12" t="n">
        <v>46139</v>
      </c>
      <c r="I1050" s="5" t="s">
        <v>2264</v>
      </c>
      <c r="J1050" s="5" t="s">
        <v>2265</v>
      </c>
      <c r="K1050" s="5" t="s">
        <v>2266</v>
      </c>
      <c r="L1050" s="5" t="n">
        <f aca="false">IF(G1050="High",3,IF(G1050="Medium",2,1))</f>
        <v>3</v>
      </c>
    </row>
    <row r="1051" customFormat="false" ht="15" hidden="false" customHeight="true" outlineLevel="0" collapsed="false">
      <c r="A1051" s="5" t="s">
        <v>3327</v>
      </c>
      <c r="B1051" s="5" t="s">
        <v>1316</v>
      </c>
      <c r="C1051" s="5" t="s">
        <v>2262</v>
      </c>
      <c r="D1051" s="5" t="s">
        <v>2287</v>
      </c>
      <c r="E1051" s="5" t="s">
        <v>54</v>
      </c>
      <c r="F1051" s="5" t="s">
        <v>2225</v>
      </c>
      <c r="G1051" s="5" t="str">
        <f aca="false">INDEX(Risk_Matrix!$B$2:$D$4,MATCH(E1051,Risk_Matrix!$A$2:$A$4,0),MATCH(F1051,Risk_Matrix!$B$1:$D$1,0))</f>
        <v>High</v>
      </c>
      <c r="H1051" s="12" t="n">
        <v>46150</v>
      </c>
      <c r="I1051" s="5" t="s">
        <v>2256</v>
      </c>
      <c r="J1051" s="5" t="s">
        <v>2257</v>
      </c>
      <c r="K1051" s="5" t="s">
        <v>2283</v>
      </c>
      <c r="L1051" s="5" t="n">
        <f aca="false">IF(G1051="High",3,IF(G1051="Medium",2,1))</f>
        <v>3</v>
      </c>
    </row>
    <row r="1052" customFormat="false" ht="15" hidden="false" customHeight="true" outlineLevel="0" collapsed="false">
      <c r="A1052" s="5" t="s">
        <v>3328</v>
      </c>
      <c r="B1052" s="5" t="s">
        <v>1318</v>
      </c>
      <c r="C1052" s="5" t="s">
        <v>2239</v>
      </c>
      <c r="D1052" s="5" t="s">
        <v>2240</v>
      </c>
      <c r="E1052" s="5" t="s">
        <v>2225</v>
      </c>
      <c r="F1052" s="5" t="s">
        <v>59</v>
      </c>
      <c r="G1052" s="5" t="str">
        <f aca="false">INDEX(Risk_Matrix!$B$2:$D$4,MATCH(E1052,Risk_Matrix!$A$2:$A$4,0),MATCH(F1052,Risk_Matrix!$B$1:$D$1,0))</f>
        <v>Low</v>
      </c>
      <c r="H1052" s="12" t="n">
        <v>46151</v>
      </c>
      <c r="I1052" s="5" t="s">
        <v>2250</v>
      </c>
      <c r="J1052" s="5" t="s">
        <v>2251</v>
      </c>
      <c r="K1052" s="5" t="s">
        <v>2243</v>
      </c>
      <c r="L1052" s="5" t="n">
        <f aca="false">IF(G1052="High",3,IF(G1052="Medium",2,1))</f>
        <v>1</v>
      </c>
    </row>
    <row r="1053" customFormat="false" ht="15" hidden="false" customHeight="true" outlineLevel="0" collapsed="false">
      <c r="A1053" s="5" t="s">
        <v>3329</v>
      </c>
      <c r="B1053" s="5" t="s">
        <v>1318</v>
      </c>
      <c r="C1053" s="5" t="s">
        <v>2245</v>
      </c>
      <c r="D1053" s="5" t="s">
        <v>2246</v>
      </c>
      <c r="E1053" s="5" t="s">
        <v>59</v>
      </c>
      <c r="F1053" s="5" t="s">
        <v>59</v>
      </c>
      <c r="G1053" s="5" t="str">
        <f aca="false">INDEX(Risk_Matrix!$B$2:$D$4,MATCH(E1053,Risk_Matrix!$A$2:$A$4,0),MATCH(F1053,Risk_Matrix!$B$1:$D$1,0))</f>
        <v>Low</v>
      </c>
      <c r="H1053" s="12" t="n">
        <v>46129</v>
      </c>
      <c r="I1053" s="5" t="s">
        <v>2250</v>
      </c>
      <c r="J1053" s="5" t="s">
        <v>2251</v>
      </c>
      <c r="K1053" s="5" t="s">
        <v>2266</v>
      </c>
      <c r="L1053" s="5" t="n">
        <f aca="false">IF(G1053="High",3,IF(G1053="Medium",2,1))</f>
        <v>1</v>
      </c>
    </row>
    <row r="1054" customFormat="false" ht="15" hidden="false" customHeight="true" outlineLevel="0" collapsed="false">
      <c r="A1054" s="5" t="s">
        <v>3330</v>
      </c>
      <c r="B1054" s="5" t="s">
        <v>1318</v>
      </c>
      <c r="C1054" s="5" t="s">
        <v>2248</v>
      </c>
      <c r="D1054" s="5" t="s">
        <v>2322</v>
      </c>
      <c r="E1054" s="5" t="s">
        <v>2225</v>
      </c>
      <c r="F1054" s="5" t="s">
        <v>59</v>
      </c>
      <c r="G1054" s="5" t="str">
        <f aca="false">INDEX(Risk_Matrix!$B$2:$D$4,MATCH(E1054,Risk_Matrix!$A$2:$A$4,0),MATCH(F1054,Risk_Matrix!$B$1:$D$1,0))</f>
        <v>Low</v>
      </c>
      <c r="H1054" s="12" t="n">
        <v>46209</v>
      </c>
      <c r="I1054" s="5" t="s">
        <v>2256</v>
      </c>
      <c r="J1054" s="5" t="s">
        <v>2257</v>
      </c>
      <c r="K1054" s="5" t="s">
        <v>2252</v>
      </c>
      <c r="L1054" s="5" t="n">
        <f aca="false">IF(G1054="High",3,IF(G1054="Medium",2,1))</f>
        <v>1</v>
      </c>
    </row>
    <row r="1055" customFormat="false" ht="15" hidden="false" customHeight="true" outlineLevel="0" collapsed="false">
      <c r="A1055" s="5" t="s">
        <v>3331</v>
      </c>
      <c r="B1055" s="5" t="s">
        <v>1318</v>
      </c>
      <c r="C1055" s="5" t="s">
        <v>2254</v>
      </c>
      <c r="D1055" s="5" t="s">
        <v>2299</v>
      </c>
      <c r="E1055" s="5" t="s">
        <v>59</v>
      </c>
      <c r="F1055" s="5" t="s">
        <v>2225</v>
      </c>
      <c r="G1055" s="5" t="str">
        <f aca="false">INDEX(Risk_Matrix!$B$2:$D$4,MATCH(E1055,Risk_Matrix!$A$2:$A$4,0),MATCH(F1055,Risk_Matrix!$B$1:$D$1,0))</f>
        <v>Low</v>
      </c>
      <c r="H1055" s="12" t="n">
        <v>46212</v>
      </c>
      <c r="I1055" s="5" t="s">
        <v>2256</v>
      </c>
      <c r="J1055" s="5" t="s">
        <v>2257</v>
      </c>
      <c r="K1055" s="5" t="s">
        <v>2283</v>
      </c>
      <c r="L1055" s="5" t="n">
        <f aca="false">IF(G1055="High",3,IF(G1055="Medium",2,1))</f>
        <v>1</v>
      </c>
    </row>
    <row r="1056" customFormat="false" ht="15" hidden="false" customHeight="true" outlineLevel="0" collapsed="false">
      <c r="A1056" s="5" t="s">
        <v>3332</v>
      </c>
      <c r="B1056" s="5" t="s">
        <v>1318</v>
      </c>
      <c r="C1056" s="5" t="s">
        <v>2259</v>
      </c>
      <c r="D1056" s="5" t="s">
        <v>2285</v>
      </c>
      <c r="E1056" s="5" t="s">
        <v>59</v>
      </c>
      <c r="F1056" s="5" t="s">
        <v>54</v>
      </c>
      <c r="G1056" s="5" t="str">
        <f aca="false">INDEX(Risk_Matrix!$B$2:$D$4,MATCH(E1056,Risk_Matrix!$A$2:$A$4,0),MATCH(F1056,Risk_Matrix!$B$1:$D$1,0))</f>
        <v>Medium</v>
      </c>
      <c r="H1056" s="12" t="n">
        <v>46076</v>
      </c>
      <c r="I1056" s="5" t="s">
        <v>2250</v>
      </c>
      <c r="J1056" s="5" t="s">
        <v>2251</v>
      </c>
      <c r="K1056" s="5" t="s">
        <v>2266</v>
      </c>
      <c r="L1056" s="5" t="n">
        <f aca="false">IF(G1056="High",3,IF(G1056="Medium",2,1))</f>
        <v>2</v>
      </c>
    </row>
    <row r="1057" customFormat="false" ht="15" hidden="false" customHeight="true" outlineLevel="0" collapsed="false">
      <c r="A1057" s="5" t="s">
        <v>3333</v>
      </c>
      <c r="B1057" s="5" t="s">
        <v>1318</v>
      </c>
      <c r="C1057" s="5" t="s">
        <v>2262</v>
      </c>
      <c r="D1057" s="5" t="s">
        <v>2287</v>
      </c>
      <c r="E1057" s="5" t="s">
        <v>59</v>
      </c>
      <c r="F1057" s="5" t="s">
        <v>59</v>
      </c>
      <c r="G1057" s="5" t="str">
        <f aca="false">INDEX(Risk_Matrix!$B$2:$D$4,MATCH(E1057,Risk_Matrix!$A$2:$A$4,0),MATCH(F1057,Risk_Matrix!$B$1:$D$1,0))</f>
        <v>Low</v>
      </c>
      <c r="H1057" s="12" t="n">
        <v>46189</v>
      </c>
      <c r="I1057" s="5" t="s">
        <v>2256</v>
      </c>
      <c r="J1057" s="5" t="s">
        <v>2257</v>
      </c>
      <c r="K1057" s="5" t="s">
        <v>2266</v>
      </c>
      <c r="L1057" s="5" t="n">
        <f aca="false">IF(G1057="High",3,IF(G1057="Medium",2,1))</f>
        <v>1</v>
      </c>
    </row>
    <row r="1058" customFormat="false" ht="15" hidden="false" customHeight="true" outlineLevel="0" collapsed="false">
      <c r="A1058" s="5" t="s">
        <v>3334</v>
      </c>
      <c r="B1058" s="5" t="s">
        <v>1320</v>
      </c>
      <c r="C1058" s="5" t="s">
        <v>2239</v>
      </c>
      <c r="D1058" s="5" t="s">
        <v>2295</v>
      </c>
      <c r="E1058" s="5" t="s">
        <v>59</v>
      </c>
      <c r="F1058" s="5" t="s">
        <v>59</v>
      </c>
      <c r="G1058" s="5" t="str">
        <f aca="false">INDEX(Risk_Matrix!$B$2:$D$4,MATCH(E1058,Risk_Matrix!$A$2:$A$4,0),MATCH(F1058,Risk_Matrix!$B$1:$D$1,0))</f>
        <v>Low</v>
      </c>
      <c r="H1058" s="12" t="n">
        <v>46141</v>
      </c>
      <c r="I1058" s="5" t="s">
        <v>2264</v>
      </c>
      <c r="J1058" s="5" t="s">
        <v>2265</v>
      </c>
      <c r="K1058" s="5" t="s">
        <v>2243</v>
      </c>
      <c r="L1058" s="5" t="n">
        <f aca="false">IF(G1058="High",3,IF(G1058="Medium",2,1))</f>
        <v>1</v>
      </c>
    </row>
    <row r="1059" customFormat="false" ht="15" hidden="false" customHeight="true" outlineLevel="0" collapsed="false">
      <c r="A1059" s="5" t="s">
        <v>3335</v>
      </c>
      <c r="B1059" s="5" t="s">
        <v>1320</v>
      </c>
      <c r="C1059" s="5" t="s">
        <v>2245</v>
      </c>
      <c r="D1059" s="5" t="s">
        <v>2269</v>
      </c>
      <c r="E1059" s="5" t="s">
        <v>2225</v>
      </c>
      <c r="F1059" s="5" t="s">
        <v>54</v>
      </c>
      <c r="G1059" s="5" t="str">
        <f aca="false">INDEX(Risk_Matrix!$B$2:$D$4,MATCH(E1059,Risk_Matrix!$A$2:$A$4,0),MATCH(F1059,Risk_Matrix!$B$1:$D$1,0))</f>
        <v>High</v>
      </c>
      <c r="H1059" s="12" t="n">
        <v>46129</v>
      </c>
      <c r="I1059" s="5" t="s">
        <v>2256</v>
      </c>
      <c r="J1059" s="5" t="s">
        <v>2257</v>
      </c>
      <c r="K1059" s="5" t="s">
        <v>2243</v>
      </c>
      <c r="L1059" s="5" t="n">
        <f aca="false">IF(G1059="High",3,IF(G1059="Medium",2,1))</f>
        <v>3</v>
      </c>
    </row>
    <row r="1060" customFormat="false" ht="15" hidden="false" customHeight="true" outlineLevel="0" collapsed="false">
      <c r="A1060" s="5" t="s">
        <v>3336</v>
      </c>
      <c r="B1060" s="5" t="s">
        <v>1320</v>
      </c>
      <c r="C1060" s="5" t="s">
        <v>2248</v>
      </c>
      <c r="D1060" s="5" t="s">
        <v>2306</v>
      </c>
      <c r="E1060" s="5" t="s">
        <v>2225</v>
      </c>
      <c r="F1060" s="5" t="s">
        <v>2225</v>
      </c>
      <c r="G1060" s="5" t="str">
        <f aca="false">INDEX(Risk_Matrix!$B$2:$D$4,MATCH(E1060,Risk_Matrix!$A$2:$A$4,0),MATCH(F1060,Risk_Matrix!$B$1:$D$1,0))</f>
        <v>Medium</v>
      </c>
      <c r="H1060" s="12" t="n">
        <v>46170</v>
      </c>
      <c r="I1060" s="5" t="s">
        <v>2256</v>
      </c>
      <c r="J1060" s="5" t="s">
        <v>2257</v>
      </c>
      <c r="K1060" s="5" t="s">
        <v>2252</v>
      </c>
      <c r="L1060" s="5" t="n">
        <f aca="false">IF(G1060="High",3,IF(G1060="Medium",2,1))</f>
        <v>2</v>
      </c>
    </row>
    <row r="1061" customFormat="false" ht="15" hidden="false" customHeight="true" outlineLevel="0" collapsed="false">
      <c r="A1061" s="5" t="s">
        <v>3337</v>
      </c>
      <c r="B1061" s="5" t="s">
        <v>1320</v>
      </c>
      <c r="C1061" s="5" t="s">
        <v>2254</v>
      </c>
      <c r="D1061" s="5" t="s">
        <v>2308</v>
      </c>
      <c r="E1061" s="5" t="s">
        <v>54</v>
      </c>
      <c r="F1061" s="5" t="s">
        <v>2225</v>
      </c>
      <c r="G1061" s="5" t="str">
        <f aca="false">INDEX(Risk_Matrix!$B$2:$D$4,MATCH(E1061,Risk_Matrix!$A$2:$A$4,0),MATCH(F1061,Risk_Matrix!$B$1:$D$1,0))</f>
        <v>High</v>
      </c>
      <c r="H1061" s="12" t="n">
        <v>46226</v>
      </c>
      <c r="I1061" s="5" t="s">
        <v>2256</v>
      </c>
      <c r="J1061" s="5" t="s">
        <v>2257</v>
      </c>
      <c r="K1061" s="5" t="s">
        <v>2266</v>
      </c>
      <c r="L1061" s="5" t="n">
        <f aca="false">IF(G1061="High",3,IF(G1061="Medium",2,1))</f>
        <v>3</v>
      </c>
    </row>
    <row r="1062" customFormat="false" ht="15" hidden="false" customHeight="true" outlineLevel="0" collapsed="false">
      <c r="A1062" s="5" t="s">
        <v>3338</v>
      </c>
      <c r="B1062" s="5" t="s">
        <v>1320</v>
      </c>
      <c r="C1062" s="5" t="s">
        <v>2259</v>
      </c>
      <c r="D1062" s="5" t="s">
        <v>2260</v>
      </c>
      <c r="E1062" s="5" t="s">
        <v>59</v>
      </c>
      <c r="F1062" s="5" t="s">
        <v>2225</v>
      </c>
      <c r="G1062" s="5" t="str">
        <f aca="false">INDEX(Risk_Matrix!$B$2:$D$4,MATCH(E1062,Risk_Matrix!$A$2:$A$4,0),MATCH(F1062,Risk_Matrix!$B$1:$D$1,0))</f>
        <v>Low</v>
      </c>
      <c r="H1062" s="12" t="n">
        <v>46165</v>
      </c>
      <c r="I1062" s="5" t="s">
        <v>2256</v>
      </c>
      <c r="J1062" s="5" t="s">
        <v>2257</v>
      </c>
      <c r="K1062" s="5" t="s">
        <v>2243</v>
      </c>
      <c r="L1062" s="5" t="n">
        <f aca="false">IF(G1062="High",3,IF(G1062="Medium",2,1))</f>
        <v>1</v>
      </c>
    </row>
    <row r="1063" customFormat="false" ht="15" hidden="false" customHeight="true" outlineLevel="0" collapsed="false">
      <c r="A1063" s="5" t="s">
        <v>3339</v>
      </c>
      <c r="B1063" s="5" t="s">
        <v>1320</v>
      </c>
      <c r="C1063" s="5" t="s">
        <v>2262</v>
      </c>
      <c r="D1063" s="5" t="s">
        <v>2311</v>
      </c>
      <c r="E1063" s="5" t="s">
        <v>54</v>
      </c>
      <c r="F1063" s="5" t="s">
        <v>59</v>
      </c>
      <c r="G1063" s="5" t="str">
        <f aca="false">INDEX(Risk_Matrix!$B$2:$D$4,MATCH(E1063,Risk_Matrix!$A$2:$A$4,0),MATCH(F1063,Risk_Matrix!$B$1:$D$1,0))</f>
        <v>Medium</v>
      </c>
      <c r="H1063" s="12" t="n">
        <v>46113</v>
      </c>
      <c r="I1063" s="5" t="s">
        <v>2256</v>
      </c>
      <c r="J1063" s="5" t="s">
        <v>2257</v>
      </c>
      <c r="K1063" s="5" t="s">
        <v>2252</v>
      </c>
      <c r="L1063" s="5" t="n">
        <f aca="false">IF(G1063="High",3,IF(G1063="Medium",2,1))</f>
        <v>2</v>
      </c>
    </row>
    <row r="1064" customFormat="false" ht="15" hidden="false" customHeight="true" outlineLevel="0" collapsed="false">
      <c r="A1064" s="5" t="s">
        <v>3340</v>
      </c>
      <c r="B1064" s="5" t="s">
        <v>1321</v>
      </c>
      <c r="C1064" s="5" t="s">
        <v>2239</v>
      </c>
      <c r="D1064" s="5" t="s">
        <v>2278</v>
      </c>
      <c r="E1064" s="5" t="s">
        <v>59</v>
      </c>
      <c r="F1064" s="5" t="s">
        <v>59</v>
      </c>
      <c r="G1064" s="5" t="str">
        <f aca="false">INDEX(Risk_Matrix!$B$2:$D$4,MATCH(E1064,Risk_Matrix!$A$2:$A$4,0),MATCH(F1064,Risk_Matrix!$B$1:$D$1,0))</f>
        <v>Low</v>
      </c>
      <c r="H1064" s="12" t="n">
        <v>46097</v>
      </c>
      <c r="I1064" s="5" t="s">
        <v>2256</v>
      </c>
      <c r="J1064" s="5" t="s">
        <v>2257</v>
      </c>
      <c r="K1064" s="5" t="s">
        <v>2266</v>
      </c>
      <c r="L1064" s="5" t="n">
        <f aca="false">IF(G1064="High",3,IF(G1064="Medium",2,1))</f>
        <v>1</v>
      </c>
    </row>
    <row r="1065" customFormat="false" ht="15" hidden="false" customHeight="true" outlineLevel="0" collapsed="false">
      <c r="A1065" s="5" t="s">
        <v>3341</v>
      </c>
      <c r="B1065" s="5" t="s">
        <v>1321</v>
      </c>
      <c r="C1065" s="5" t="s">
        <v>2245</v>
      </c>
      <c r="D1065" s="5" t="s">
        <v>2269</v>
      </c>
      <c r="E1065" s="5" t="s">
        <v>59</v>
      </c>
      <c r="F1065" s="5" t="s">
        <v>2225</v>
      </c>
      <c r="G1065" s="5" t="str">
        <f aca="false">INDEX(Risk_Matrix!$B$2:$D$4,MATCH(E1065,Risk_Matrix!$A$2:$A$4,0),MATCH(F1065,Risk_Matrix!$B$1:$D$1,0))</f>
        <v>Low</v>
      </c>
      <c r="H1065" s="12" t="n">
        <v>46088</v>
      </c>
      <c r="I1065" s="5" t="s">
        <v>2250</v>
      </c>
      <c r="J1065" s="5" t="s">
        <v>2251</v>
      </c>
      <c r="K1065" s="5" t="s">
        <v>2283</v>
      </c>
      <c r="L1065" s="5" t="n">
        <f aca="false">IF(G1065="High",3,IF(G1065="Medium",2,1))</f>
        <v>1</v>
      </c>
    </row>
    <row r="1066" customFormat="false" ht="15" hidden="false" customHeight="true" outlineLevel="0" collapsed="false">
      <c r="A1066" s="5" t="s">
        <v>3342</v>
      </c>
      <c r="B1066" s="5" t="s">
        <v>1321</v>
      </c>
      <c r="C1066" s="5" t="s">
        <v>2248</v>
      </c>
      <c r="D1066" s="5" t="s">
        <v>2249</v>
      </c>
      <c r="E1066" s="5" t="s">
        <v>59</v>
      </c>
      <c r="F1066" s="5" t="s">
        <v>59</v>
      </c>
      <c r="G1066" s="5" t="str">
        <f aca="false">INDEX(Risk_Matrix!$B$2:$D$4,MATCH(E1066,Risk_Matrix!$A$2:$A$4,0),MATCH(F1066,Risk_Matrix!$B$1:$D$1,0))</f>
        <v>Low</v>
      </c>
      <c r="H1066" s="12" t="n">
        <v>46216</v>
      </c>
      <c r="I1066" s="5" t="s">
        <v>2250</v>
      </c>
      <c r="J1066" s="5" t="s">
        <v>2251</v>
      </c>
      <c r="K1066" s="5" t="s">
        <v>2276</v>
      </c>
      <c r="L1066" s="5" t="n">
        <f aca="false">IF(G1066="High",3,IF(G1066="Medium",2,1))</f>
        <v>1</v>
      </c>
    </row>
    <row r="1067" customFormat="false" ht="15" hidden="false" customHeight="true" outlineLevel="0" collapsed="false">
      <c r="A1067" s="5" t="s">
        <v>3343</v>
      </c>
      <c r="B1067" s="5" t="s">
        <v>1321</v>
      </c>
      <c r="C1067" s="5" t="s">
        <v>2254</v>
      </c>
      <c r="D1067" s="5" t="s">
        <v>2255</v>
      </c>
      <c r="E1067" s="5" t="s">
        <v>2225</v>
      </c>
      <c r="F1067" s="5" t="s">
        <v>2225</v>
      </c>
      <c r="G1067" s="5" t="str">
        <f aca="false">INDEX(Risk_Matrix!$B$2:$D$4,MATCH(E1067,Risk_Matrix!$A$2:$A$4,0),MATCH(F1067,Risk_Matrix!$B$1:$D$1,0))</f>
        <v>Medium</v>
      </c>
      <c r="H1067" s="12" t="n">
        <v>46071</v>
      </c>
      <c r="I1067" s="5" t="s">
        <v>2256</v>
      </c>
      <c r="J1067" s="5" t="s">
        <v>2257</v>
      </c>
      <c r="K1067" s="5" t="s">
        <v>2266</v>
      </c>
      <c r="L1067" s="5" t="n">
        <f aca="false">IF(G1067="High",3,IF(G1067="Medium",2,1))</f>
        <v>2</v>
      </c>
    </row>
    <row r="1068" customFormat="false" ht="15" hidden="false" customHeight="true" outlineLevel="0" collapsed="false">
      <c r="A1068" s="5" t="s">
        <v>3344</v>
      </c>
      <c r="B1068" s="5" t="s">
        <v>1321</v>
      </c>
      <c r="C1068" s="5" t="s">
        <v>2259</v>
      </c>
      <c r="D1068" s="5" t="s">
        <v>2260</v>
      </c>
      <c r="E1068" s="5" t="s">
        <v>2225</v>
      </c>
      <c r="F1068" s="5" t="s">
        <v>54</v>
      </c>
      <c r="G1068" s="5" t="str">
        <f aca="false">INDEX(Risk_Matrix!$B$2:$D$4,MATCH(E1068,Risk_Matrix!$A$2:$A$4,0),MATCH(F1068,Risk_Matrix!$B$1:$D$1,0))</f>
        <v>High</v>
      </c>
      <c r="H1068" s="12" t="n">
        <v>46099</v>
      </c>
      <c r="I1068" s="5" t="s">
        <v>2256</v>
      </c>
      <c r="J1068" s="5" t="s">
        <v>2257</v>
      </c>
      <c r="K1068" s="5" t="s">
        <v>2283</v>
      </c>
      <c r="L1068" s="5" t="n">
        <f aca="false">IF(G1068="High",3,IF(G1068="Medium",2,1))</f>
        <v>3</v>
      </c>
    </row>
    <row r="1069" customFormat="false" ht="15" hidden="false" customHeight="true" outlineLevel="0" collapsed="false">
      <c r="A1069" s="5" t="s">
        <v>3345</v>
      </c>
      <c r="B1069" s="5" t="s">
        <v>1321</v>
      </c>
      <c r="C1069" s="5" t="s">
        <v>2262</v>
      </c>
      <c r="D1069" s="5" t="s">
        <v>2311</v>
      </c>
      <c r="E1069" s="5" t="s">
        <v>59</v>
      </c>
      <c r="F1069" s="5" t="s">
        <v>59</v>
      </c>
      <c r="G1069" s="5" t="str">
        <f aca="false">INDEX(Risk_Matrix!$B$2:$D$4,MATCH(E1069,Risk_Matrix!$A$2:$A$4,0),MATCH(F1069,Risk_Matrix!$B$1:$D$1,0))</f>
        <v>Low</v>
      </c>
      <c r="H1069" s="12" t="n">
        <v>46102</v>
      </c>
      <c r="I1069" s="5" t="s">
        <v>2264</v>
      </c>
      <c r="J1069" s="5" t="s">
        <v>2265</v>
      </c>
      <c r="K1069" s="5" t="s">
        <v>2266</v>
      </c>
      <c r="L1069" s="5" t="n">
        <f aca="false">IF(G1069="High",3,IF(G1069="Medium",2,1))</f>
        <v>1</v>
      </c>
    </row>
    <row r="1070" customFormat="false" ht="15" hidden="false" customHeight="true" outlineLevel="0" collapsed="false">
      <c r="A1070" s="5" t="s">
        <v>3346</v>
      </c>
      <c r="B1070" s="5" t="s">
        <v>1322</v>
      </c>
      <c r="C1070" s="5" t="s">
        <v>2239</v>
      </c>
      <c r="D1070" s="5" t="s">
        <v>2240</v>
      </c>
      <c r="E1070" s="5" t="s">
        <v>59</v>
      </c>
      <c r="F1070" s="5" t="s">
        <v>59</v>
      </c>
      <c r="G1070" s="5" t="str">
        <f aca="false">INDEX(Risk_Matrix!$B$2:$D$4,MATCH(E1070,Risk_Matrix!$A$2:$A$4,0),MATCH(F1070,Risk_Matrix!$B$1:$D$1,0))</f>
        <v>Low</v>
      </c>
      <c r="H1070" s="12" t="n">
        <v>46095</v>
      </c>
      <c r="I1070" s="5" t="s">
        <v>2250</v>
      </c>
      <c r="J1070" s="5" t="s">
        <v>2251</v>
      </c>
      <c r="K1070" s="5" t="s">
        <v>2252</v>
      </c>
      <c r="L1070" s="5" t="n">
        <f aca="false">IF(G1070="High",3,IF(G1070="Medium",2,1))</f>
        <v>1</v>
      </c>
    </row>
    <row r="1071" customFormat="false" ht="15" hidden="false" customHeight="true" outlineLevel="0" collapsed="false">
      <c r="A1071" s="5" t="s">
        <v>3347</v>
      </c>
      <c r="B1071" s="5" t="s">
        <v>1322</v>
      </c>
      <c r="C1071" s="5" t="s">
        <v>2245</v>
      </c>
      <c r="D1071" s="5" t="s">
        <v>2269</v>
      </c>
      <c r="E1071" s="5" t="s">
        <v>59</v>
      </c>
      <c r="F1071" s="5" t="s">
        <v>2225</v>
      </c>
      <c r="G1071" s="5" t="str">
        <f aca="false">INDEX(Risk_Matrix!$B$2:$D$4,MATCH(E1071,Risk_Matrix!$A$2:$A$4,0),MATCH(F1071,Risk_Matrix!$B$1:$D$1,0))</f>
        <v>Low</v>
      </c>
      <c r="H1071" s="12" t="n">
        <v>46221</v>
      </c>
      <c r="I1071" s="5" t="s">
        <v>2264</v>
      </c>
      <c r="J1071" s="5" t="s">
        <v>2265</v>
      </c>
      <c r="K1071" s="5" t="s">
        <v>2243</v>
      </c>
      <c r="L1071" s="5" t="n">
        <f aca="false">IF(G1071="High",3,IF(G1071="Medium",2,1))</f>
        <v>1</v>
      </c>
    </row>
    <row r="1072" customFormat="false" ht="15" hidden="false" customHeight="true" outlineLevel="0" collapsed="false">
      <c r="A1072" s="5" t="s">
        <v>3348</v>
      </c>
      <c r="B1072" s="5" t="s">
        <v>1322</v>
      </c>
      <c r="C1072" s="5" t="s">
        <v>2248</v>
      </c>
      <c r="D1072" s="5" t="s">
        <v>2271</v>
      </c>
      <c r="E1072" s="5" t="s">
        <v>2225</v>
      </c>
      <c r="F1072" s="5" t="s">
        <v>54</v>
      </c>
      <c r="G1072" s="5" t="str">
        <f aca="false">INDEX(Risk_Matrix!$B$2:$D$4,MATCH(E1072,Risk_Matrix!$A$2:$A$4,0),MATCH(F1072,Risk_Matrix!$B$1:$D$1,0))</f>
        <v>High</v>
      </c>
      <c r="H1072" s="12" t="n">
        <v>46196</v>
      </c>
      <c r="I1072" s="5" t="s">
        <v>2264</v>
      </c>
      <c r="J1072" s="5" t="s">
        <v>2265</v>
      </c>
      <c r="K1072" s="5" t="s">
        <v>2283</v>
      </c>
      <c r="L1072" s="5" t="n">
        <f aca="false">IF(G1072="High",3,IF(G1072="Medium",2,1))</f>
        <v>3</v>
      </c>
    </row>
    <row r="1073" customFormat="false" ht="15" hidden="false" customHeight="true" outlineLevel="0" collapsed="false">
      <c r="A1073" s="5" t="s">
        <v>3349</v>
      </c>
      <c r="B1073" s="5" t="s">
        <v>1322</v>
      </c>
      <c r="C1073" s="5" t="s">
        <v>2254</v>
      </c>
      <c r="D1073" s="5" t="s">
        <v>2308</v>
      </c>
      <c r="E1073" s="5" t="s">
        <v>2225</v>
      </c>
      <c r="F1073" s="5" t="s">
        <v>59</v>
      </c>
      <c r="G1073" s="5" t="str">
        <f aca="false">INDEX(Risk_Matrix!$B$2:$D$4,MATCH(E1073,Risk_Matrix!$A$2:$A$4,0),MATCH(F1073,Risk_Matrix!$B$1:$D$1,0))</f>
        <v>Low</v>
      </c>
      <c r="H1073" s="12" t="n">
        <v>46094</v>
      </c>
      <c r="I1073" s="5" t="s">
        <v>2256</v>
      </c>
      <c r="J1073" s="5" t="s">
        <v>2257</v>
      </c>
      <c r="K1073" s="5" t="s">
        <v>2276</v>
      </c>
      <c r="L1073" s="5" t="n">
        <f aca="false">IF(G1073="High",3,IF(G1073="Medium",2,1))</f>
        <v>1</v>
      </c>
    </row>
    <row r="1074" customFormat="false" ht="15" hidden="false" customHeight="true" outlineLevel="0" collapsed="false">
      <c r="A1074" s="5" t="s">
        <v>3350</v>
      </c>
      <c r="B1074" s="5" t="s">
        <v>1322</v>
      </c>
      <c r="C1074" s="5" t="s">
        <v>2259</v>
      </c>
      <c r="D1074" s="5" t="s">
        <v>2285</v>
      </c>
      <c r="E1074" s="5" t="s">
        <v>59</v>
      </c>
      <c r="F1074" s="5" t="s">
        <v>2225</v>
      </c>
      <c r="G1074" s="5" t="str">
        <f aca="false">INDEX(Risk_Matrix!$B$2:$D$4,MATCH(E1074,Risk_Matrix!$A$2:$A$4,0),MATCH(F1074,Risk_Matrix!$B$1:$D$1,0))</f>
        <v>Low</v>
      </c>
      <c r="H1074" s="12" t="n">
        <v>46102</v>
      </c>
      <c r="I1074" s="5" t="s">
        <v>2250</v>
      </c>
      <c r="J1074" s="5" t="s">
        <v>2251</v>
      </c>
      <c r="K1074" s="5" t="s">
        <v>2283</v>
      </c>
      <c r="L1074" s="5" t="n">
        <f aca="false">IF(G1074="High",3,IF(G1074="Medium",2,1))</f>
        <v>1</v>
      </c>
    </row>
    <row r="1075" customFormat="false" ht="15" hidden="false" customHeight="true" outlineLevel="0" collapsed="false">
      <c r="A1075" s="5" t="s">
        <v>3351</v>
      </c>
      <c r="B1075" s="5" t="s">
        <v>1322</v>
      </c>
      <c r="C1075" s="5" t="s">
        <v>2262</v>
      </c>
      <c r="D1075" s="5" t="s">
        <v>2287</v>
      </c>
      <c r="E1075" s="5" t="s">
        <v>59</v>
      </c>
      <c r="F1075" s="5" t="s">
        <v>2225</v>
      </c>
      <c r="G1075" s="5" t="str">
        <f aca="false">INDEX(Risk_Matrix!$B$2:$D$4,MATCH(E1075,Risk_Matrix!$A$2:$A$4,0),MATCH(F1075,Risk_Matrix!$B$1:$D$1,0))</f>
        <v>Low</v>
      </c>
      <c r="H1075" s="12" t="n">
        <v>46139</v>
      </c>
      <c r="I1075" s="5" t="s">
        <v>2256</v>
      </c>
      <c r="J1075" s="5" t="s">
        <v>2257</v>
      </c>
      <c r="K1075" s="5" t="s">
        <v>2243</v>
      </c>
      <c r="L1075" s="5" t="n">
        <f aca="false">IF(G1075="High",3,IF(G1075="Medium",2,1))</f>
        <v>1</v>
      </c>
    </row>
    <row r="1076" customFormat="false" ht="15" hidden="false" customHeight="true" outlineLevel="0" collapsed="false">
      <c r="A1076" s="5" t="s">
        <v>3352</v>
      </c>
      <c r="B1076" s="5" t="s">
        <v>1324</v>
      </c>
      <c r="C1076" s="5" t="s">
        <v>2239</v>
      </c>
      <c r="D1076" s="5" t="s">
        <v>2278</v>
      </c>
      <c r="E1076" s="5" t="s">
        <v>59</v>
      </c>
      <c r="F1076" s="5" t="s">
        <v>59</v>
      </c>
      <c r="G1076" s="5" t="str">
        <f aca="false">INDEX(Risk_Matrix!$B$2:$D$4,MATCH(E1076,Risk_Matrix!$A$2:$A$4,0),MATCH(F1076,Risk_Matrix!$B$1:$D$1,0))</f>
        <v>Low</v>
      </c>
      <c r="H1076" s="12" t="n">
        <v>46087</v>
      </c>
      <c r="I1076" s="5" t="s">
        <v>2250</v>
      </c>
      <c r="J1076" s="5" t="s">
        <v>2251</v>
      </c>
      <c r="K1076" s="5" t="s">
        <v>2276</v>
      </c>
      <c r="L1076" s="5" t="n">
        <f aca="false">IF(G1076="High",3,IF(G1076="Medium",2,1))</f>
        <v>1</v>
      </c>
    </row>
    <row r="1077" customFormat="false" ht="15" hidden="false" customHeight="true" outlineLevel="0" collapsed="false">
      <c r="A1077" s="5" t="s">
        <v>3353</v>
      </c>
      <c r="B1077" s="5" t="s">
        <v>1324</v>
      </c>
      <c r="C1077" s="5" t="s">
        <v>2245</v>
      </c>
      <c r="D1077" s="5" t="s">
        <v>2280</v>
      </c>
      <c r="E1077" s="5" t="s">
        <v>2225</v>
      </c>
      <c r="F1077" s="5" t="s">
        <v>2225</v>
      </c>
      <c r="G1077" s="5" t="str">
        <f aca="false">INDEX(Risk_Matrix!$B$2:$D$4,MATCH(E1077,Risk_Matrix!$A$2:$A$4,0),MATCH(F1077,Risk_Matrix!$B$1:$D$1,0))</f>
        <v>Medium</v>
      </c>
      <c r="H1077" s="12" t="n">
        <v>46182</v>
      </c>
      <c r="I1077" s="5" t="s">
        <v>2256</v>
      </c>
      <c r="J1077" s="5" t="s">
        <v>2257</v>
      </c>
      <c r="K1077" s="5" t="s">
        <v>2252</v>
      </c>
      <c r="L1077" s="5" t="n">
        <f aca="false">IF(G1077="High",3,IF(G1077="Medium",2,1))</f>
        <v>2</v>
      </c>
    </row>
    <row r="1078" customFormat="false" ht="15" hidden="false" customHeight="true" outlineLevel="0" collapsed="false">
      <c r="A1078" s="5" t="s">
        <v>3354</v>
      </c>
      <c r="B1078" s="5" t="s">
        <v>1324</v>
      </c>
      <c r="C1078" s="5" t="s">
        <v>2248</v>
      </c>
      <c r="D1078" s="5" t="s">
        <v>2249</v>
      </c>
      <c r="E1078" s="5" t="s">
        <v>2225</v>
      </c>
      <c r="F1078" s="5" t="s">
        <v>59</v>
      </c>
      <c r="G1078" s="5" t="str">
        <f aca="false">INDEX(Risk_Matrix!$B$2:$D$4,MATCH(E1078,Risk_Matrix!$A$2:$A$4,0),MATCH(F1078,Risk_Matrix!$B$1:$D$1,0))</f>
        <v>Low</v>
      </c>
      <c r="H1078" s="12" t="n">
        <v>46178</v>
      </c>
      <c r="I1078" s="5" t="s">
        <v>2256</v>
      </c>
      <c r="J1078" s="5" t="s">
        <v>2257</v>
      </c>
      <c r="K1078" s="5" t="s">
        <v>2252</v>
      </c>
      <c r="L1078" s="5" t="n">
        <f aca="false">IF(G1078="High",3,IF(G1078="Medium",2,1))</f>
        <v>1</v>
      </c>
    </row>
    <row r="1079" customFormat="false" ht="15" hidden="false" customHeight="true" outlineLevel="0" collapsed="false">
      <c r="A1079" s="5" t="s">
        <v>3355</v>
      </c>
      <c r="B1079" s="5" t="s">
        <v>1324</v>
      </c>
      <c r="C1079" s="5" t="s">
        <v>2254</v>
      </c>
      <c r="D1079" s="5" t="s">
        <v>2255</v>
      </c>
      <c r="E1079" s="5" t="s">
        <v>2225</v>
      </c>
      <c r="F1079" s="5" t="s">
        <v>54</v>
      </c>
      <c r="G1079" s="5" t="str">
        <f aca="false">INDEX(Risk_Matrix!$B$2:$D$4,MATCH(E1079,Risk_Matrix!$A$2:$A$4,0),MATCH(F1079,Risk_Matrix!$B$1:$D$1,0))</f>
        <v>High</v>
      </c>
      <c r="H1079" s="12" t="n">
        <v>46204</v>
      </c>
      <c r="I1079" s="5" t="s">
        <v>2256</v>
      </c>
      <c r="J1079" s="5" t="s">
        <v>2257</v>
      </c>
      <c r="K1079" s="5" t="s">
        <v>2252</v>
      </c>
      <c r="L1079" s="5" t="n">
        <f aca="false">IF(G1079="High",3,IF(G1079="Medium",2,1))</f>
        <v>3</v>
      </c>
    </row>
    <row r="1080" customFormat="false" ht="15" hidden="false" customHeight="true" outlineLevel="0" collapsed="false">
      <c r="A1080" s="5" t="s">
        <v>3356</v>
      </c>
      <c r="B1080" s="5" t="s">
        <v>1324</v>
      </c>
      <c r="C1080" s="5" t="s">
        <v>2259</v>
      </c>
      <c r="D1080" s="5" t="s">
        <v>2260</v>
      </c>
      <c r="E1080" s="5" t="s">
        <v>2225</v>
      </c>
      <c r="F1080" s="5" t="s">
        <v>59</v>
      </c>
      <c r="G1080" s="5" t="str">
        <f aca="false">INDEX(Risk_Matrix!$B$2:$D$4,MATCH(E1080,Risk_Matrix!$A$2:$A$4,0),MATCH(F1080,Risk_Matrix!$B$1:$D$1,0))</f>
        <v>Low</v>
      </c>
      <c r="H1080" s="12" t="n">
        <v>46102</v>
      </c>
      <c r="I1080" s="5" t="s">
        <v>2264</v>
      </c>
      <c r="J1080" s="5" t="s">
        <v>2265</v>
      </c>
      <c r="K1080" s="5" t="s">
        <v>2276</v>
      </c>
      <c r="L1080" s="5" t="n">
        <f aca="false">IF(G1080="High",3,IF(G1080="Medium",2,1))</f>
        <v>1</v>
      </c>
    </row>
    <row r="1081" customFormat="false" ht="15" hidden="false" customHeight="true" outlineLevel="0" collapsed="false">
      <c r="A1081" s="5" t="s">
        <v>3357</v>
      </c>
      <c r="B1081" s="5" t="s">
        <v>1324</v>
      </c>
      <c r="C1081" s="5" t="s">
        <v>2262</v>
      </c>
      <c r="D1081" s="5" t="s">
        <v>2287</v>
      </c>
      <c r="E1081" s="5" t="s">
        <v>2225</v>
      </c>
      <c r="F1081" s="5" t="s">
        <v>2225</v>
      </c>
      <c r="G1081" s="5" t="str">
        <f aca="false">INDEX(Risk_Matrix!$B$2:$D$4,MATCH(E1081,Risk_Matrix!$A$2:$A$4,0),MATCH(F1081,Risk_Matrix!$B$1:$D$1,0))</f>
        <v>Medium</v>
      </c>
      <c r="H1081" s="12" t="n">
        <v>46155</v>
      </c>
      <c r="I1081" s="5" t="s">
        <v>2241</v>
      </c>
      <c r="J1081" s="5" t="s">
        <v>2242</v>
      </c>
      <c r="K1081" s="5" t="s">
        <v>2276</v>
      </c>
      <c r="L1081" s="5" t="n">
        <f aca="false">IF(G1081="High",3,IF(G1081="Medium",2,1))</f>
        <v>2</v>
      </c>
    </row>
    <row r="1082" customFormat="false" ht="15" hidden="false" customHeight="true" outlineLevel="0" collapsed="false">
      <c r="A1082" s="5" t="s">
        <v>3358</v>
      </c>
      <c r="B1082" s="5" t="s">
        <v>1326</v>
      </c>
      <c r="C1082" s="5" t="s">
        <v>2239</v>
      </c>
      <c r="D1082" s="5" t="s">
        <v>2278</v>
      </c>
      <c r="E1082" s="5" t="s">
        <v>2225</v>
      </c>
      <c r="F1082" s="5" t="s">
        <v>59</v>
      </c>
      <c r="G1082" s="5" t="str">
        <f aca="false">INDEX(Risk_Matrix!$B$2:$D$4,MATCH(E1082,Risk_Matrix!$A$2:$A$4,0),MATCH(F1082,Risk_Matrix!$B$1:$D$1,0))</f>
        <v>Low</v>
      </c>
      <c r="H1082" s="12" t="n">
        <v>46155</v>
      </c>
      <c r="I1082" s="5" t="s">
        <v>2250</v>
      </c>
      <c r="J1082" s="5" t="s">
        <v>2251</v>
      </c>
      <c r="K1082" s="5" t="s">
        <v>2276</v>
      </c>
      <c r="L1082" s="5" t="n">
        <f aca="false">IF(G1082="High",3,IF(G1082="Medium",2,1))</f>
        <v>1</v>
      </c>
    </row>
    <row r="1083" customFormat="false" ht="15" hidden="false" customHeight="true" outlineLevel="0" collapsed="false">
      <c r="A1083" s="5" t="s">
        <v>3359</v>
      </c>
      <c r="B1083" s="5" t="s">
        <v>1326</v>
      </c>
      <c r="C1083" s="5" t="s">
        <v>2245</v>
      </c>
      <c r="D1083" s="5" t="s">
        <v>2246</v>
      </c>
      <c r="E1083" s="5" t="s">
        <v>2225</v>
      </c>
      <c r="F1083" s="5" t="s">
        <v>59</v>
      </c>
      <c r="G1083" s="5" t="str">
        <f aca="false">INDEX(Risk_Matrix!$B$2:$D$4,MATCH(E1083,Risk_Matrix!$A$2:$A$4,0),MATCH(F1083,Risk_Matrix!$B$1:$D$1,0))</f>
        <v>Low</v>
      </c>
      <c r="H1083" s="12" t="n">
        <v>46193</v>
      </c>
      <c r="I1083" s="5" t="s">
        <v>2241</v>
      </c>
      <c r="J1083" s="5" t="s">
        <v>2242</v>
      </c>
      <c r="K1083" s="5" t="s">
        <v>2252</v>
      </c>
      <c r="L1083" s="5" t="n">
        <f aca="false">IF(G1083="High",3,IF(G1083="Medium",2,1))</f>
        <v>1</v>
      </c>
    </row>
    <row r="1084" customFormat="false" ht="15" hidden="false" customHeight="true" outlineLevel="0" collapsed="false">
      <c r="A1084" s="5" t="s">
        <v>3360</v>
      </c>
      <c r="B1084" s="5" t="s">
        <v>1326</v>
      </c>
      <c r="C1084" s="5" t="s">
        <v>2248</v>
      </c>
      <c r="D1084" s="5" t="s">
        <v>2306</v>
      </c>
      <c r="E1084" s="5" t="s">
        <v>2225</v>
      </c>
      <c r="F1084" s="5" t="s">
        <v>54</v>
      </c>
      <c r="G1084" s="5" t="str">
        <f aca="false">INDEX(Risk_Matrix!$B$2:$D$4,MATCH(E1084,Risk_Matrix!$A$2:$A$4,0),MATCH(F1084,Risk_Matrix!$B$1:$D$1,0))</f>
        <v>High</v>
      </c>
      <c r="H1084" s="12" t="n">
        <v>46089</v>
      </c>
      <c r="I1084" s="5" t="s">
        <v>2264</v>
      </c>
      <c r="J1084" s="5" t="s">
        <v>2265</v>
      </c>
      <c r="K1084" s="5" t="s">
        <v>2276</v>
      </c>
      <c r="L1084" s="5" t="n">
        <f aca="false">IF(G1084="High",3,IF(G1084="Medium",2,1))</f>
        <v>3</v>
      </c>
    </row>
    <row r="1085" customFormat="false" ht="15" hidden="false" customHeight="true" outlineLevel="0" collapsed="false">
      <c r="A1085" s="5" t="s">
        <v>3361</v>
      </c>
      <c r="B1085" s="5" t="s">
        <v>1326</v>
      </c>
      <c r="C1085" s="5" t="s">
        <v>2254</v>
      </c>
      <c r="D1085" s="5" t="s">
        <v>2299</v>
      </c>
      <c r="E1085" s="5" t="s">
        <v>2225</v>
      </c>
      <c r="F1085" s="5" t="s">
        <v>59</v>
      </c>
      <c r="G1085" s="5" t="str">
        <f aca="false">INDEX(Risk_Matrix!$B$2:$D$4,MATCH(E1085,Risk_Matrix!$A$2:$A$4,0),MATCH(F1085,Risk_Matrix!$B$1:$D$1,0))</f>
        <v>Low</v>
      </c>
      <c r="H1085" s="12" t="n">
        <v>46078</v>
      </c>
      <c r="I1085" s="5" t="s">
        <v>2250</v>
      </c>
      <c r="J1085" s="5" t="s">
        <v>2251</v>
      </c>
      <c r="K1085" s="5" t="s">
        <v>2283</v>
      </c>
      <c r="L1085" s="5" t="n">
        <f aca="false">IF(G1085="High",3,IF(G1085="Medium",2,1))</f>
        <v>1</v>
      </c>
    </row>
    <row r="1086" customFormat="false" ht="15" hidden="false" customHeight="true" outlineLevel="0" collapsed="false">
      <c r="A1086" s="5" t="s">
        <v>3362</v>
      </c>
      <c r="B1086" s="5" t="s">
        <v>1326</v>
      </c>
      <c r="C1086" s="5" t="s">
        <v>2259</v>
      </c>
      <c r="D1086" s="5" t="s">
        <v>2285</v>
      </c>
      <c r="E1086" s="5" t="s">
        <v>59</v>
      </c>
      <c r="F1086" s="5" t="s">
        <v>59</v>
      </c>
      <c r="G1086" s="5" t="str">
        <f aca="false">INDEX(Risk_Matrix!$B$2:$D$4,MATCH(E1086,Risk_Matrix!$A$2:$A$4,0),MATCH(F1086,Risk_Matrix!$B$1:$D$1,0))</f>
        <v>Low</v>
      </c>
      <c r="H1086" s="12" t="n">
        <v>46186</v>
      </c>
      <c r="I1086" s="5" t="s">
        <v>2256</v>
      </c>
      <c r="J1086" s="5" t="s">
        <v>2257</v>
      </c>
      <c r="K1086" s="5" t="s">
        <v>2283</v>
      </c>
      <c r="L1086" s="5" t="n">
        <f aca="false">IF(G1086="High",3,IF(G1086="Medium",2,1))</f>
        <v>1</v>
      </c>
    </row>
    <row r="1087" customFormat="false" ht="15" hidden="false" customHeight="true" outlineLevel="0" collapsed="false">
      <c r="A1087" s="5" t="s">
        <v>3363</v>
      </c>
      <c r="B1087" s="5" t="s">
        <v>1326</v>
      </c>
      <c r="C1087" s="5" t="s">
        <v>2262</v>
      </c>
      <c r="D1087" s="5" t="s">
        <v>2263</v>
      </c>
      <c r="E1087" s="5" t="s">
        <v>2225</v>
      </c>
      <c r="F1087" s="5" t="s">
        <v>2225</v>
      </c>
      <c r="G1087" s="5" t="str">
        <f aca="false">INDEX(Risk_Matrix!$B$2:$D$4,MATCH(E1087,Risk_Matrix!$A$2:$A$4,0),MATCH(F1087,Risk_Matrix!$B$1:$D$1,0))</f>
        <v>Medium</v>
      </c>
      <c r="H1087" s="12" t="n">
        <v>46179</v>
      </c>
      <c r="I1087" s="5" t="s">
        <v>2256</v>
      </c>
      <c r="J1087" s="5" t="s">
        <v>2257</v>
      </c>
      <c r="K1087" s="5" t="s">
        <v>2243</v>
      </c>
      <c r="L1087" s="5" t="n">
        <f aca="false">IF(G1087="High",3,IF(G1087="Medium",2,1))</f>
        <v>2</v>
      </c>
    </row>
    <row r="1088" customFormat="false" ht="15" hidden="false" customHeight="true" outlineLevel="0" collapsed="false">
      <c r="A1088" s="5" t="s">
        <v>3364</v>
      </c>
      <c r="B1088" s="5" t="s">
        <v>1328</v>
      </c>
      <c r="C1088" s="5" t="s">
        <v>2239</v>
      </c>
      <c r="D1088" s="5" t="s">
        <v>2278</v>
      </c>
      <c r="E1088" s="5" t="s">
        <v>59</v>
      </c>
      <c r="F1088" s="5" t="s">
        <v>59</v>
      </c>
      <c r="G1088" s="5" t="str">
        <f aca="false">INDEX(Risk_Matrix!$B$2:$D$4,MATCH(E1088,Risk_Matrix!$A$2:$A$4,0),MATCH(F1088,Risk_Matrix!$B$1:$D$1,0))</f>
        <v>Low</v>
      </c>
      <c r="H1088" s="12" t="n">
        <v>46121</v>
      </c>
      <c r="I1088" s="5" t="s">
        <v>2250</v>
      </c>
      <c r="J1088" s="5" t="s">
        <v>2251</v>
      </c>
      <c r="K1088" s="5" t="s">
        <v>2266</v>
      </c>
      <c r="L1088" s="5" t="n">
        <f aca="false">IF(G1088="High",3,IF(G1088="Medium",2,1))</f>
        <v>1</v>
      </c>
    </row>
    <row r="1089" customFormat="false" ht="15" hidden="false" customHeight="true" outlineLevel="0" collapsed="false">
      <c r="A1089" s="5" t="s">
        <v>3365</v>
      </c>
      <c r="B1089" s="5" t="s">
        <v>1328</v>
      </c>
      <c r="C1089" s="5" t="s">
        <v>2245</v>
      </c>
      <c r="D1089" s="5" t="s">
        <v>2320</v>
      </c>
      <c r="E1089" s="5" t="s">
        <v>59</v>
      </c>
      <c r="F1089" s="5" t="s">
        <v>59</v>
      </c>
      <c r="G1089" s="5" t="str">
        <f aca="false">INDEX(Risk_Matrix!$B$2:$D$4,MATCH(E1089,Risk_Matrix!$A$2:$A$4,0),MATCH(F1089,Risk_Matrix!$B$1:$D$1,0))</f>
        <v>Low</v>
      </c>
      <c r="H1089" s="12" t="n">
        <v>46073</v>
      </c>
      <c r="I1089" s="5" t="s">
        <v>2250</v>
      </c>
      <c r="J1089" s="5" t="s">
        <v>2251</v>
      </c>
      <c r="K1089" s="5" t="s">
        <v>2252</v>
      </c>
      <c r="L1089" s="5" t="n">
        <f aca="false">IF(G1089="High",3,IF(G1089="Medium",2,1))</f>
        <v>1</v>
      </c>
    </row>
    <row r="1090" customFormat="false" ht="15" hidden="false" customHeight="true" outlineLevel="0" collapsed="false">
      <c r="A1090" s="5" t="s">
        <v>3366</v>
      </c>
      <c r="B1090" s="5" t="s">
        <v>1328</v>
      </c>
      <c r="C1090" s="5" t="s">
        <v>2248</v>
      </c>
      <c r="D1090" s="5" t="s">
        <v>2306</v>
      </c>
      <c r="E1090" s="5" t="s">
        <v>59</v>
      </c>
      <c r="F1090" s="5" t="s">
        <v>54</v>
      </c>
      <c r="G1090" s="5" t="str">
        <f aca="false">INDEX(Risk_Matrix!$B$2:$D$4,MATCH(E1090,Risk_Matrix!$A$2:$A$4,0),MATCH(F1090,Risk_Matrix!$B$1:$D$1,0))</f>
        <v>Medium</v>
      </c>
      <c r="H1090" s="12" t="n">
        <v>46063</v>
      </c>
      <c r="I1090" s="5" t="s">
        <v>2264</v>
      </c>
      <c r="J1090" s="5" t="s">
        <v>2265</v>
      </c>
      <c r="K1090" s="5" t="s">
        <v>2283</v>
      </c>
      <c r="L1090" s="5" t="n">
        <f aca="false">IF(G1090="High",3,IF(G1090="Medium",2,1))</f>
        <v>2</v>
      </c>
    </row>
    <row r="1091" customFormat="false" ht="15" hidden="false" customHeight="true" outlineLevel="0" collapsed="false">
      <c r="A1091" s="5" t="s">
        <v>3367</v>
      </c>
      <c r="B1091" s="5" t="s">
        <v>1328</v>
      </c>
      <c r="C1091" s="5" t="s">
        <v>2254</v>
      </c>
      <c r="D1091" s="5" t="s">
        <v>2255</v>
      </c>
      <c r="E1091" s="5" t="s">
        <v>59</v>
      </c>
      <c r="F1091" s="5" t="s">
        <v>59</v>
      </c>
      <c r="G1091" s="5" t="str">
        <f aca="false">INDEX(Risk_Matrix!$B$2:$D$4,MATCH(E1091,Risk_Matrix!$A$2:$A$4,0),MATCH(F1091,Risk_Matrix!$B$1:$D$1,0))</f>
        <v>Low</v>
      </c>
      <c r="H1091" s="12" t="n">
        <v>46073</v>
      </c>
      <c r="I1091" s="5" t="s">
        <v>2256</v>
      </c>
      <c r="J1091" s="5" t="s">
        <v>2257</v>
      </c>
      <c r="K1091" s="5" t="s">
        <v>2243</v>
      </c>
      <c r="L1091" s="5" t="n">
        <f aca="false">IF(G1091="High",3,IF(G1091="Medium",2,1))</f>
        <v>1</v>
      </c>
    </row>
    <row r="1092" customFormat="false" ht="15" hidden="false" customHeight="true" outlineLevel="0" collapsed="false">
      <c r="A1092" s="5" t="s">
        <v>3368</v>
      </c>
      <c r="B1092" s="5" t="s">
        <v>1328</v>
      </c>
      <c r="C1092" s="5" t="s">
        <v>2259</v>
      </c>
      <c r="D1092" s="5" t="s">
        <v>2260</v>
      </c>
      <c r="E1092" s="5" t="s">
        <v>2225</v>
      </c>
      <c r="F1092" s="5" t="s">
        <v>59</v>
      </c>
      <c r="G1092" s="5" t="str">
        <f aca="false">INDEX(Risk_Matrix!$B$2:$D$4,MATCH(E1092,Risk_Matrix!$A$2:$A$4,0),MATCH(F1092,Risk_Matrix!$B$1:$D$1,0))</f>
        <v>Low</v>
      </c>
      <c r="H1092" s="12" t="n">
        <v>46235</v>
      </c>
      <c r="I1092" s="5" t="s">
        <v>2264</v>
      </c>
      <c r="J1092" s="5" t="s">
        <v>2265</v>
      </c>
      <c r="K1092" s="5" t="s">
        <v>2283</v>
      </c>
      <c r="L1092" s="5" t="n">
        <f aca="false">IF(G1092="High",3,IF(G1092="Medium",2,1))</f>
        <v>1</v>
      </c>
    </row>
    <row r="1093" customFormat="false" ht="15" hidden="false" customHeight="true" outlineLevel="0" collapsed="false">
      <c r="A1093" s="5" t="s">
        <v>3369</v>
      </c>
      <c r="B1093" s="5" t="s">
        <v>1328</v>
      </c>
      <c r="C1093" s="5" t="s">
        <v>2262</v>
      </c>
      <c r="D1093" s="5" t="s">
        <v>2287</v>
      </c>
      <c r="E1093" s="5" t="s">
        <v>59</v>
      </c>
      <c r="F1093" s="5" t="s">
        <v>59</v>
      </c>
      <c r="G1093" s="5" t="str">
        <f aca="false">INDEX(Risk_Matrix!$B$2:$D$4,MATCH(E1093,Risk_Matrix!$A$2:$A$4,0),MATCH(F1093,Risk_Matrix!$B$1:$D$1,0))</f>
        <v>Low</v>
      </c>
      <c r="H1093" s="12" t="n">
        <v>46074</v>
      </c>
      <c r="I1093" s="5" t="s">
        <v>2264</v>
      </c>
      <c r="J1093" s="5" t="s">
        <v>2265</v>
      </c>
      <c r="K1093" s="5" t="s">
        <v>2276</v>
      </c>
      <c r="L1093" s="5" t="n">
        <f aca="false">IF(G1093="High",3,IF(G1093="Medium",2,1))</f>
        <v>1</v>
      </c>
    </row>
    <row r="1094" customFormat="false" ht="15" hidden="false" customHeight="true" outlineLevel="0" collapsed="false">
      <c r="A1094" s="5" t="s">
        <v>3370</v>
      </c>
      <c r="B1094" s="5" t="s">
        <v>1330</v>
      </c>
      <c r="C1094" s="5" t="s">
        <v>2239</v>
      </c>
      <c r="D1094" s="5" t="s">
        <v>2303</v>
      </c>
      <c r="E1094" s="5" t="s">
        <v>59</v>
      </c>
      <c r="F1094" s="5" t="s">
        <v>59</v>
      </c>
      <c r="G1094" s="5" t="str">
        <f aca="false">INDEX(Risk_Matrix!$B$2:$D$4,MATCH(E1094,Risk_Matrix!$A$2:$A$4,0),MATCH(F1094,Risk_Matrix!$B$1:$D$1,0))</f>
        <v>Low</v>
      </c>
      <c r="H1094" s="12" t="n">
        <v>46078</v>
      </c>
      <c r="I1094" s="5" t="s">
        <v>2256</v>
      </c>
      <c r="J1094" s="5" t="s">
        <v>2257</v>
      </c>
      <c r="K1094" s="5" t="s">
        <v>2283</v>
      </c>
      <c r="L1094" s="5" t="n">
        <f aca="false">IF(G1094="High",3,IF(G1094="Medium",2,1))</f>
        <v>1</v>
      </c>
    </row>
    <row r="1095" customFormat="false" ht="15" hidden="false" customHeight="true" outlineLevel="0" collapsed="false">
      <c r="A1095" s="5" t="s">
        <v>3371</v>
      </c>
      <c r="B1095" s="5" t="s">
        <v>1330</v>
      </c>
      <c r="C1095" s="5" t="s">
        <v>2245</v>
      </c>
      <c r="D1095" s="5" t="s">
        <v>2246</v>
      </c>
      <c r="E1095" s="5" t="s">
        <v>2225</v>
      </c>
      <c r="F1095" s="5" t="s">
        <v>59</v>
      </c>
      <c r="G1095" s="5" t="str">
        <f aca="false">INDEX(Risk_Matrix!$B$2:$D$4,MATCH(E1095,Risk_Matrix!$A$2:$A$4,0),MATCH(F1095,Risk_Matrix!$B$1:$D$1,0))</f>
        <v>Low</v>
      </c>
      <c r="H1095" s="12" t="n">
        <v>46100</v>
      </c>
      <c r="I1095" s="5" t="s">
        <v>2264</v>
      </c>
      <c r="J1095" s="5" t="s">
        <v>2265</v>
      </c>
      <c r="K1095" s="5" t="s">
        <v>2252</v>
      </c>
      <c r="L1095" s="5" t="n">
        <f aca="false">IF(G1095="High",3,IF(G1095="Medium",2,1))</f>
        <v>1</v>
      </c>
    </row>
    <row r="1096" customFormat="false" ht="15" hidden="false" customHeight="true" outlineLevel="0" collapsed="false">
      <c r="A1096" s="5" t="s">
        <v>3372</v>
      </c>
      <c r="B1096" s="5" t="s">
        <v>1330</v>
      </c>
      <c r="C1096" s="5" t="s">
        <v>2248</v>
      </c>
      <c r="D1096" s="5" t="s">
        <v>2306</v>
      </c>
      <c r="E1096" s="5" t="s">
        <v>59</v>
      </c>
      <c r="F1096" s="5" t="s">
        <v>59</v>
      </c>
      <c r="G1096" s="5" t="str">
        <f aca="false">INDEX(Risk_Matrix!$B$2:$D$4,MATCH(E1096,Risk_Matrix!$A$2:$A$4,0),MATCH(F1096,Risk_Matrix!$B$1:$D$1,0))</f>
        <v>Low</v>
      </c>
      <c r="H1096" s="12" t="n">
        <v>46125</v>
      </c>
      <c r="I1096" s="5" t="s">
        <v>2250</v>
      </c>
      <c r="J1096" s="5" t="s">
        <v>2251</v>
      </c>
      <c r="K1096" s="5" t="s">
        <v>2266</v>
      </c>
      <c r="L1096" s="5" t="n">
        <f aca="false">IF(G1096="High",3,IF(G1096="Medium",2,1))</f>
        <v>1</v>
      </c>
    </row>
    <row r="1097" customFormat="false" ht="15" hidden="false" customHeight="true" outlineLevel="0" collapsed="false">
      <c r="A1097" s="5" t="s">
        <v>3373</v>
      </c>
      <c r="B1097" s="5" t="s">
        <v>1330</v>
      </c>
      <c r="C1097" s="5" t="s">
        <v>2254</v>
      </c>
      <c r="D1097" s="5" t="s">
        <v>2308</v>
      </c>
      <c r="E1097" s="5" t="s">
        <v>59</v>
      </c>
      <c r="F1097" s="5" t="s">
        <v>59</v>
      </c>
      <c r="G1097" s="5" t="str">
        <f aca="false">INDEX(Risk_Matrix!$B$2:$D$4,MATCH(E1097,Risk_Matrix!$A$2:$A$4,0),MATCH(F1097,Risk_Matrix!$B$1:$D$1,0))</f>
        <v>Low</v>
      </c>
      <c r="H1097" s="12" t="n">
        <v>46061</v>
      </c>
      <c r="I1097" s="5" t="s">
        <v>2256</v>
      </c>
      <c r="J1097" s="5" t="s">
        <v>2257</v>
      </c>
      <c r="K1097" s="5" t="s">
        <v>2252</v>
      </c>
      <c r="L1097" s="5" t="n">
        <f aca="false">IF(G1097="High",3,IF(G1097="Medium",2,1))</f>
        <v>1</v>
      </c>
    </row>
    <row r="1098" customFormat="false" ht="15" hidden="false" customHeight="true" outlineLevel="0" collapsed="false">
      <c r="A1098" s="5" t="s">
        <v>3374</v>
      </c>
      <c r="B1098" s="5" t="s">
        <v>1330</v>
      </c>
      <c r="C1098" s="5" t="s">
        <v>2259</v>
      </c>
      <c r="D1098" s="5" t="s">
        <v>2285</v>
      </c>
      <c r="E1098" s="5" t="s">
        <v>2225</v>
      </c>
      <c r="F1098" s="5" t="s">
        <v>59</v>
      </c>
      <c r="G1098" s="5" t="str">
        <f aca="false">INDEX(Risk_Matrix!$B$2:$D$4,MATCH(E1098,Risk_Matrix!$A$2:$A$4,0),MATCH(F1098,Risk_Matrix!$B$1:$D$1,0))</f>
        <v>Low</v>
      </c>
      <c r="H1098" s="12" t="n">
        <v>46099</v>
      </c>
      <c r="I1098" s="5" t="s">
        <v>2256</v>
      </c>
      <c r="J1098" s="5" t="s">
        <v>2257</v>
      </c>
      <c r="K1098" s="5" t="s">
        <v>2252</v>
      </c>
      <c r="L1098" s="5" t="n">
        <f aca="false">IF(G1098="High",3,IF(G1098="Medium",2,1))</f>
        <v>1</v>
      </c>
    </row>
    <row r="1099" customFormat="false" ht="15" hidden="false" customHeight="true" outlineLevel="0" collapsed="false">
      <c r="A1099" s="5" t="s">
        <v>3375</v>
      </c>
      <c r="B1099" s="5" t="s">
        <v>1330</v>
      </c>
      <c r="C1099" s="5" t="s">
        <v>2262</v>
      </c>
      <c r="D1099" s="5" t="s">
        <v>2287</v>
      </c>
      <c r="E1099" s="5" t="s">
        <v>2225</v>
      </c>
      <c r="F1099" s="5" t="s">
        <v>2225</v>
      </c>
      <c r="G1099" s="5" t="str">
        <f aca="false">INDEX(Risk_Matrix!$B$2:$D$4,MATCH(E1099,Risk_Matrix!$A$2:$A$4,0),MATCH(F1099,Risk_Matrix!$B$1:$D$1,0))</f>
        <v>Medium</v>
      </c>
      <c r="H1099" s="12" t="n">
        <v>46181</v>
      </c>
      <c r="I1099" s="5" t="s">
        <v>2256</v>
      </c>
      <c r="J1099" s="5" t="s">
        <v>2257</v>
      </c>
      <c r="K1099" s="5" t="s">
        <v>2276</v>
      </c>
      <c r="L1099" s="5" t="n">
        <f aca="false">IF(G1099="High",3,IF(G1099="Medium",2,1))</f>
        <v>2</v>
      </c>
    </row>
    <row r="1100" customFormat="false" ht="15" hidden="false" customHeight="true" outlineLevel="0" collapsed="false">
      <c r="A1100" s="5" t="s">
        <v>3376</v>
      </c>
      <c r="B1100" s="5" t="s">
        <v>1332</v>
      </c>
      <c r="C1100" s="5" t="s">
        <v>2239</v>
      </c>
      <c r="D1100" s="5" t="s">
        <v>2303</v>
      </c>
      <c r="E1100" s="5" t="s">
        <v>59</v>
      </c>
      <c r="F1100" s="5" t="s">
        <v>59</v>
      </c>
      <c r="G1100" s="5" t="str">
        <f aca="false">INDEX(Risk_Matrix!$B$2:$D$4,MATCH(E1100,Risk_Matrix!$A$2:$A$4,0),MATCH(F1100,Risk_Matrix!$B$1:$D$1,0))</f>
        <v>Low</v>
      </c>
      <c r="H1100" s="12" t="n">
        <v>46181</v>
      </c>
      <c r="I1100" s="5" t="s">
        <v>2250</v>
      </c>
      <c r="J1100" s="5" t="s">
        <v>2251</v>
      </c>
      <c r="K1100" s="5" t="s">
        <v>2243</v>
      </c>
      <c r="L1100" s="5" t="n">
        <f aca="false">IF(G1100="High",3,IF(G1100="Medium",2,1))</f>
        <v>1</v>
      </c>
    </row>
    <row r="1101" customFormat="false" ht="15" hidden="false" customHeight="true" outlineLevel="0" collapsed="false">
      <c r="A1101" s="5" t="s">
        <v>3377</v>
      </c>
      <c r="B1101" s="5" t="s">
        <v>1332</v>
      </c>
      <c r="C1101" s="5" t="s">
        <v>2245</v>
      </c>
      <c r="D1101" s="5" t="s">
        <v>2246</v>
      </c>
      <c r="E1101" s="5" t="s">
        <v>59</v>
      </c>
      <c r="F1101" s="5" t="s">
        <v>54</v>
      </c>
      <c r="G1101" s="5" t="str">
        <f aca="false">INDEX(Risk_Matrix!$B$2:$D$4,MATCH(E1101,Risk_Matrix!$A$2:$A$4,0),MATCH(F1101,Risk_Matrix!$B$1:$D$1,0))</f>
        <v>Medium</v>
      </c>
      <c r="H1101" s="12" t="n">
        <v>46166</v>
      </c>
      <c r="I1101" s="5" t="s">
        <v>2256</v>
      </c>
      <c r="J1101" s="5" t="s">
        <v>2257</v>
      </c>
      <c r="K1101" s="5" t="s">
        <v>2252</v>
      </c>
      <c r="L1101" s="5" t="n">
        <f aca="false">IF(G1101="High",3,IF(G1101="Medium",2,1))</f>
        <v>2</v>
      </c>
    </row>
    <row r="1102" customFormat="false" ht="15" hidden="false" customHeight="true" outlineLevel="0" collapsed="false">
      <c r="A1102" s="5" t="s">
        <v>3378</v>
      </c>
      <c r="B1102" s="5" t="s">
        <v>1332</v>
      </c>
      <c r="C1102" s="5" t="s">
        <v>2248</v>
      </c>
      <c r="D1102" s="5" t="s">
        <v>2306</v>
      </c>
      <c r="E1102" s="5" t="s">
        <v>2225</v>
      </c>
      <c r="F1102" s="5" t="s">
        <v>59</v>
      </c>
      <c r="G1102" s="5" t="str">
        <f aca="false">INDEX(Risk_Matrix!$B$2:$D$4,MATCH(E1102,Risk_Matrix!$A$2:$A$4,0),MATCH(F1102,Risk_Matrix!$B$1:$D$1,0))</f>
        <v>Low</v>
      </c>
      <c r="H1102" s="12" t="n">
        <v>46217</v>
      </c>
      <c r="I1102" s="5" t="s">
        <v>2264</v>
      </c>
      <c r="J1102" s="5" t="s">
        <v>2265</v>
      </c>
      <c r="K1102" s="5" t="s">
        <v>2276</v>
      </c>
      <c r="L1102" s="5" t="n">
        <f aca="false">IF(G1102="High",3,IF(G1102="Medium",2,1))</f>
        <v>1</v>
      </c>
    </row>
    <row r="1103" customFormat="false" ht="15" hidden="false" customHeight="true" outlineLevel="0" collapsed="false">
      <c r="A1103" s="5" t="s">
        <v>3379</v>
      </c>
      <c r="B1103" s="5" t="s">
        <v>1332</v>
      </c>
      <c r="C1103" s="5" t="s">
        <v>2254</v>
      </c>
      <c r="D1103" s="5" t="s">
        <v>2299</v>
      </c>
      <c r="E1103" s="5" t="s">
        <v>59</v>
      </c>
      <c r="F1103" s="5" t="s">
        <v>59</v>
      </c>
      <c r="G1103" s="5" t="str">
        <f aca="false">INDEX(Risk_Matrix!$B$2:$D$4,MATCH(E1103,Risk_Matrix!$A$2:$A$4,0),MATCH(F1103,Risk_Matrix!$B$1:$D$1,0))</f>
        <v>Low</v>
      </c>
      <c r="H1103" s="12" t="n">
        <v>46192</v>
      </c>
      <c r="I1103" s="5" t="s">
        <v>2256</v>
      </c>
      <c r="J1103" s="5" t="s">
        <v>2257</v>
      </c>
      <c r="K1103" s="5" t="s">
        <v>2243</v>
      </c>
      <c r="L1103" s="5" t="n">
        <f aca="false">IF(G1103="High",3,IF(G1103="Medium",2,1))</f>
        <v>1</v>
      </c>
    </row>
    <row r="1104" customFormat="false" ht="15" hidden="false" customHeight="true" outlineLevel="0" collapsed="false">
      <c r="A1104" s="5" t="s">
        <v>3380</v>
      </c>
      <c r="B1104" s="5" t="s">
        <v>1332</v>
      </c>
      <c r="C1104" s="5" t="s">
        <v>2259</v>
      </c>
      <c r="D1104" s="5" t="s">
        <v>2260</v>
      </c>
      <c r="E1104" s="5" t="s">
        <v>54</v>
      </c>
      <c r="F1104" s="5" t="s">
        <v>2225</v>
      </c>
      <c r="G1104" s="5" t="str">
        <f aca="false">INDEX(Risk_Matrix!$B$2:$D$4,MATCH(E1104,Risk_Matrix!$A$2:$A$4,0),MATCH(F1104,Risk_Matrix!$B$1:$D$1,0))</f>
        <v>High</v>
      </c>
      <c r="H1104" s="12" t="n">
        <v>46165</v>
      </c>
      <c r="I1104" s="5" t="s">
        <v>2250</v>
      </c>
      <c r="J1104" s="5" t="s">
        <v>2251</v>
      </c>
      <c r="K1104" s="5" t="s">
        <v>2252</v>
      </c>
      <c r="L1104" s="5" t="n">
        <f aca="false">IF(G1104="High",3,IF(G1104="Medium",2,1))</f>
        <v>3</v>
      </c>
    </row>
    <row r="1105" customFormat="false" ht="15" hidden="false" customHeight="true" outlineLevel="0" collapsed="false">
      <c r="A1105" s="5" t="s">
        <v>3381</v>
      </c>
      <c r="B1105" s="5" t="s">
        <v>1332</v>
      </c>
      <c r="C1105" s="5" t="s">
        <v>2262</v>
      </c>
      <c r="D1105" s="5" t="s">
        <v>2287</v>
      </c>
      <c r="E1105" s="5" t="s">
        <v>59</v>
      </c>
      <c r="F1105" s="5" t="s">
        <v>59</v>
      </c>
      <c r="G1105" s="5" t="str">
        <f aca="false">INDEX(Risk_Matrix!$B$2:$D$4,MATCH(E1105,Risk_Matrix!$A$2:$A$4,0),MATCH(F1105,Risk_Matrix!$B$1:$D$1,0))</f>
        <v>Low</v>
      </c>
      <c r="H1105" s="12" t="n">
        <v>46171</v>
      </c>
      <c r="I1105" s="5" t="s">
        <v>2256</v>
      </c>
      <c r="J1105" s="5" t="s">
        <v>2257</v>
      </c>
      <c r="K1105" s="5" t="s">
        <v>2276</v>
      </c>
      <c r="L1105" s="5" t="n">
        <f aca="false">IF(G1105="High",3,IF(G1105="Medium",2,1))</f>
        <v>1</v>
      </c>
    </row>
    <row r="1106" customFormat="false" ht="15" hidden="false" customHeight="true" outlineLevel="0" collapsed="false">
      <c r="A1106" s="5" t="s">
        <v>3382</v>
      </c>
      <c r="B1106" s="5" t="s">
        <v>1334</v>
      </c>
      <c r="C1106" s="5" t="s">
        <v>2239</v>
      </c>
      <c r="D1106" s="5" t="s">
        <v>2240</v>
      </c>
      <c r="E1106" s="5" t="s">
        <v>54</v>
      </c>
      <c r="F1106" s="5" t="s">
        <v>54</v>
      </c>
      <c r="G1106" s="5" t="str">
        <f aca="false">INDEX(Risk_Matrix!$B$2:$D$4,MATCH(E1106,Risk_Matrix!$A$2:$A$4,0),MATCH(F1106,Risk_Matrix!$B$1:$D$1,0))</f>
        <v>High</v>
      </c>
      <c r="H1106" s="12" t="n">
        <v>46201</v>
      </c>
      <c r="I1106" s="5" t="s">
        <v>2264</v>
      </c>
      <c r="J1106" s="5" t="s">
        <v>2265</v>
      </c>
      <c r="K1106" s="5" t="s">
        <v>2252</v>
      </c>
      <c r="L1106" s="5" t="n">
        <f aca="false">IF(G1106="High",3,IF(G1106="Medium",2,1))</f>
        <v>3</v>
      </c>
    </row>
    <row r="1107" customFormat="false" ht="15" hidden="false" customHeight="true" outlineLevel="0" collapsed="false">
      <c r="A1107" s="5" t="s">
        <v>3383</v>
      </c>
      <c r="B1107" s="5" t="s">
        <v>1334</v>
      </c>
      <c r="C1107" s="5" t="s">
        <v>2245</v>
      </c>
      <c r="D1107" s="5" t="s">
        <v>2320</v>
      </c>
      <c r="E1107" s="5" t="s">
        <v>59</v>
      </c>
      <c r="F1107" s="5" t="s">
        <v>2225</v>
      </c>
      <c r="G1107" s="5" t="str">
        <f aca="false">INDEX(Risk_Matrix!$B$2:$D$4,MATCH(E1107,Risk_Matrix!$A$2:$A$4,0),MATCH(F1107,Risk_Matrix!$B$1:$D$1,0))</f>
        <v>Low</v>
      </c>
      <c r="H1107" s="12" t="n">
        <v>46116</v>
      </c>
      <c r="I1107" s="5" t="s">
        <v>2264</v>
      </c>
      <c r="J1107" s="5" t="s">
        <v>2265</v>
      </c>
      <c r="K1107" s="5" t="s">
        <v>2276</v>
      </c>
      <c r="L1107" s="5" t="n">
        <f aca="false">IF(G1107="High",3,IF(G1107="Medium",2,1))</f>
        <v>1</v>
      </c>
    </row>
    <row r="1108" customFormat="false" ht="15" hidden="false" customHeight="true" outlineLevel="0" collapsed="false">
      <c r="A1108" s="5" t="s">
        <v>3384</v>
      </c>
      <c r="B1108" s="5" t="s">
        <v>1334</v>
      </c>
      <c r="C1108" s="5" t="s">
        <v>2248</v>
      </c>
      <c r="D1108" s="5" t="s">
        <v>2306</v>
      </c>
      <c r="E1108" s="5" t="s">
        <v>2225</v>
      </c>
      <c r="F1108" s="5" t="s">
        <v>54</v>
      </c>
      <c r="G1108" s="5" t="str">
        <f aca="false">INDEX(Risk_Matrix!$B$2:$D$4,MATCH(E1108,Risk_Matrix!$A$2:$A$4,0),MATCH(F1108,Risk_Matrix!$B$1:$D$1,0))</f>
        <v>High</v>
      </c>
      <c r="H1108" s="12" t="n">
        <v>46215</v>
      </c>
      <c r="I1108" s="5" t="s">
        <v>2256</v>
      </c>
      <c r="J1108" s="5" t="s">
        <v>2257</v>
      </c>
      <c r="K1108" s="5" t="s">
        <v>2252</v>
      </c>
      <c r="L1108" s="5" t="n">
        <f aca="false">IF(G1108="High",3,IF(G1108="Medium",2,1))</f>
        <v>3</v>
      </c>
    </row>
    <row r="1109" customFormat="false" ht="15" hidden="false" customHeight="true" outlineLevel="0" collapsed="false">
      <c r="A1109" s="5" t="s">
        <v>3385</v>
      </c>
      <c r="B1109" s="5" t="s">
        <v>1334</v>
      </c>
      <c r="C1109" s="5" t="s">
        <v>2254</v>
      </c>
      <c r="D1109" s="5" t="s">
        <v>2255</v>
      </c>
      <c r="E1109" s="5" t="s">
        <v>59</v>
      </c>
      <c r="F1109" s="5" t="s">
        <v>59</v>
      </c>
      <c r="G1109" s="5" t="str">
        <f aca="false">INDEX(Risk_Matrix!$B$2:$D$4,MATCH(E1109,Risk_Matrix!$A$2:$A$4,0),MATCH(F1109,Risk_Matrix!$B$1:$D$1,0))</f>
        <v>Low</v>
      </c>
      <c r="H1109" s="12" t="n">
        <v>46130</v>
      </c>
      <c r="I1109" s="5" t="s">
        <v>2256</v>
      </c>
      <c r="J1109" s="5" t="s">
        <v>2257</v>
      </c>
      <c r="K1109" s="5" t="s">
        <v>2243</v>
      </c>
      <c r="L1109" s="5" t="n">
        <f aca="false">IF(G1109="High",3,IF(G1109="Medium",2,1))</f>
        <v>1</v>
      </c>
    </row>
    <row r="1110" customFormat="false" ht="15" hidden="false" customHeight="true" outlineLevel="0" collapsed="false">
      <c r="A1110" s="5" t="s">
        <v>3386</v>
      </c>
      <c r="B1110" s="5" t="s">
        <v>1334</v>
      </c>
      <c r="C1110" s="5" t="s">
        <v>2259</v>
      </c>
      <c r="D1110" s="5" t="s">
        <v>2285</v>
      </c>
      <c r="E1110" s="5" t="s">
        <v>54</v>
      </c>
      <c r="F1110" s="5" t="s">
        <v>2225</v>
      </c>
      <c r="G1110" s="5" t="str">
        <f aca="false">INDEX(Risk_Matrix!$B$2:$D$4,MATCH(E1110,Risk_Matrix!$A$2:$A$4,0),MATCH(F1110,Risk_Matrix!$B$1:$D$1,0))</f>
        <v>High</v>
      </c>
      <c r="H1110" s="12" t="n">
        <v>46203</v>
      </c>
      <c r="I1110" s="5" t="s">
        <v>2250</v>
      </c>
      <c r="J1110" s="5" t="s">
        <v>2251</v>
      </c>
      <c r="K1110" s="5" t="s">
        <v>2266</v>
      </c>
      <c r="L1110" s="5" t="n">
        <f aca="false">IF(G1110="High",3,IF(G1110="Medium",2,1))</f>
        <v>3</v>
      </c>
    </row>
    <row r="1111" customFormat="false" ht="15" hidden="false" customHeight="true" outlineLevel="0" collapsed="false">
      <c r="A1111" s="5" t="s">
        <v>3387</v>
      </c>
      <c r="B1111" s="5" t="s">
        <v>1334</v>
      </c>
      <c r="C1111" s="5" t="s">
        <v>2262</v>
      </c>
      <c r="D1111" s="5" t="s">
        <v>2311</v>
      </c>
      <c r="E1111" s="5" t="s">
        <v>59</v>
      </c>
      <c r="F1111" s="5" t="s">
        <v>59</v>
      </c>
      <c r="G1111" s="5" t="str">
        <f aca="false">INDEX(Risk_Matrix!$B$2:$D$4,MATCH(E1111,Risk_Matrix!$A$2:$A$4,0),MATCH(F1111,Risk_Matrix!$B$1:$D$1,0))</f>
        <v>Low</v>
      </c>
      <c r="H1111" s="12" t="n">
        <v>46102</v>
      </c>
      <c r="I1111" s="5" t="s">
        <v>2250</v>
      </c>
      <c r="J1111" s="5" t="s">
        <v>2251</v>
      </c>
      <c r="K1111" s="5" t="s">
        <v>2283</v>
      </c>
      <c r="L1111" s="5" t="n">
        <f aca="false">IF(G1111="High",3,IF(G1111="Medium",2,1))</f>
        <v>1</v>
      </c>
    </row>
    <row r="1112" customFormat="false" ht="15" hidden="false" customHeight="true" outlineLevel="0" collapsed="false">
      <c r="A1112" s="5" t="s">
        <v>3388</v>
      </c>
      <c r="B1112" s="5" t="s">
        <v>1335</v>
      </c>
      <c r="C1112" s="5" t="s">
        <v>2239</v>
      </c>
      <c r="D1112" s="5" t="s">
        <v>2303</v>
      </c>
      <c r="E1112" s="5" t="s">
        <v>59</v>
      </c>
      <c r="F1112" s="5" t="s">
        <v>2225</v>
      </c>
      <c r="G1112" s="5" t="str">
        <f aca="false">INDEX(Risk_Matrix!$B$2:$D$4,MATCH(E1112,Risk_Matrix!$A$2:$A$4,0),MATCH(F1112,Risk_Matrix!$B$1:$D$1,0))</f>
        <v>Low</v>
      </c>
      <c r="H1112" s="12" t="n">
        <v>46091</v>
      </c>
      <c r="I1112" s="5" t="s">
        <v>2250</v>
      </c>
      <c r="J1112" s="5" t="s">
        <v>2251</v>
      </c>
      <c r="K1112" s="5" t="s">
        <v>2266</v>
      </c>
      <c r="L1112" s="5" t="n">
        <f aca="false">IF(G1112="High",3,IF(G1112="Medium",2,1))</f>
        <v>1</v>
      </c>
    </row>
    <row r="1113" customFormat="false" ht="15" hidden="false" customHeight="true" outlineLevel="0" collapsed="false">
      <c r="A1113" s="5" t="s">
        <v>3389</v>
      </c>
      <c r="B1113" s="5" t="s">
        <v>1335</v>
      </c>
      <c r="C1113" s="5" t="s">
        <v>2245</v>
      </c>
      <c r="D1113" s="5" t="s">
        <v>2246</v>
      </c>
      <c r="E1113" s="5" t="s">
        <v>59</v>
      </c>
      <c r="F1113" s="5" t="s">
        <v>59</v>
      </c>
      <c r="G1113" s="5" t="str">
        <f aca="false">INDEX(Risk_Matrix!$B$2:$D$4,MATCH(E1113,Risk_Matrix!$A$2:$A$4,0),MATCH(F1113,Risk_Matrix!$B$1:$D$1,0))</f>
        <v>Low</v>
      </c>
      <c r="H1113" s="12" t="n">
        <v>46234</v>
      </c>
      <c r="I1113" s="5" t="s">
        <v>2241</v>
      </c>
      <c r="J1113" s="5" t="s">
        <v>2242</v>
      </c>
      <c r="K1113" s="5" t="s">
        <v>2252</v>
      </c>
      <c r="L1113" s="5" t="n">
        <f aca="false">IF(G1113="High",3,IF(G1113="Medium",2,1))</f>
        <v>1</v>
      </c>
    </row>
    <row r="1114" customFormat="false" ht="15" hidden="false" customHeight="true" outlineLevel="0" collapsed="false">
      <c r="A1114" s="5" t="s">
        <v>3390</v>
      </c>
      <c r="B1114" s="5" t="s">
        <v>1335</v>
      </c>
      <c r="C1114" s="5" t="s">
        <v>2248</v>
      </c>
      <c r="D1114" s="5" t="s">
        <v>2271</v>
      </c>
      <c r="E1114" s="5" t="s">
        <v>54</v>
      </c>
      <c r="F1114" s="5" t="s">
        <v>54</v>
      </c>
      <c r="G1114" s="5" t="str">
        <f aca="false">INDEX(Risk_Matrix!$B$2:$D$4,MATCH(E1114,Risk_Matrix!$A$2:$A$4,0),MATCH(F1114,Risk_Matrix!$B$1:$D$1,0))</f>
        <v>High</v>
      </c>
      <c r="H1114" s="12" t="n">
        <v>46149</v>
      </c>
      <c r="I1114" s="5" t="s">
        <v>2256</v>
      </c>
      <c r="J1114" s="5" t="s">
        <v>2257</v>
      </c>
      <c r="K1114" s="5" t="s">
        <v>2252</v>
      </c>
      <c r="L1114" s="5" t="n">
        <f aca="false">IF(G1114="High",3,IF(G1114="Medium",2,1))</f>
        <v>3</v>
      </c>
    </row>
    <row r="1115" customFormat="false" ht="15" hidden="false" customHeight="true" outlineLevel="0" collapsed="false">
      <c r="A1115" s="5" t="s">
        <v>3391</v>
      </c>
      <c r="B1115" s="5" t="s">
        <v>1335</v>
      </c>
      <c r="C1115" s="5" t="s">
        <v>2254</v>
      </c>
      <c r="D1115" s="5" t="s">
        <v>2255</v>
      </c>
      <c r="E1115" s="5" t="s">
        <v>59</v>
      </c>
      <c r="F1115" s="5" t="s">
        <v>59</v>
      </c>
      <c r="G1115" s="5" t="str">
        <f aca="false">INDEX(Risk_Matrix!$B$2:$D$4,MATCH(E1115,Risk_Matrix!$A$2:$A$4,0),MATCH(F1115,Risk_Matrix!$B$1:$D$1,0))</f>
        <v>Low</v>
      </c>
      <c r="H1115" s="12" t="n">
        <v>46131</v>
      </c>
      <c r="I1115" s="5" t="s">
        <v>2264</v>
      </c>
      <c r="J1115" s="5" t="s">
        <v>2265</v>
      </c>
      <c r="K1115" s="5" t="s">
        <v>2266</v>
      </c>
      <c r="L1115" s="5" t="n">
        <f aca="false">IF(G1115="High",3,IF(G1115="Medium",2,1))</f>
        <v>1</v>
      </c>
    </row>
    <row r="1116" customFormat="false" ht="15" hidden="false" customHeight="true" outlineLevel="0" collapsed="false">
      <c r="A1116" s="5" t="s">
        <v>3392</v>
      </c>
      <c r="B1116" s="5" t="s">
        <v>1335</v>
      </c>
      <c r="C1116" s="5" t="s">
        <v>2259</v>
      </c>
      <c r="D1116" s="5" t="s">
        <v>2260</v>
      </c>
      <c r="E1116" s="5" t="s">
        <v>2225</v>
      </c>
      <c r="F1116" s="5" t="s">
        <v>59</v>
      </c>
      <c r="G1116" s="5" t="str">
        <f aca="false">INDEX(Risk_Matrix!$B$2:$D$4,MATCH(E1116,Risk_Matrix!$A$2:$A$4,0),MATCH(F1116,Risk_Matrix!$B$1:$D$1,0))</f>
        <v>Low</v>
      </c>
      <c r="H1116" s="12" t="n">
        <v>46060</v>
      </c>
      <c r="I1116" s="5" t="s">
        <v>2256</v>
      </c>
      <c r="J1116" s="5" t="s">
        <v>2257</v>
      </c>
      <c r="K1116" s="5" t="s">
        <v>2266</v>
      </c>
      <c r="L1116" s="5" t="n">
        <f aca="false">IF(G1116="High",3,IF(G1116="Medium",2,1))</f>
        <v>1</v>
      </c>
    </row>
    <row r="1117" customFormat="false" ht="15" hidden="false" customHeight="true" outlineLevel="0" collapsed="false">
      <c r="A1117" s="5" t="s">
        <v>3393</v>
      </c>
      <c r="B1117" s="5" t="s">
        <v>1335</v>
      </c>
      <c r="C1117" s="5" t="s">
        <v>2262</v>
      </c>
      <c r="D1117" s="5" t="s">
        <v>2311</v>
      </c>
      <c r="E1117" s="5" t="s">
        <v>2225</v>
      </c>
      <c r="F1117" s="5" t="s">
        <v>2225</v>
      </c>
      <c r="G1117" s="5" t="str">
        <f aca="false">INDEX(Risk_Matrix!$B$2:$D$4,MATCH(E1117,Risk_Matrix!$A$2:$A$4,0),MATCH(F1117,Risk_Matrix!$B$1:$D$1,0))</f>
        <v>Medium</v>
      </c>
      <c r="H1117" s="12" t="n">
        <v>46225</v>
      </c>
      <c r="I1117" s="5" t="s">
        <v>2250</v>
      </c>
      <c r="J1117" s="5" t="s">
        <v>2251</v>
      </c>
      <c r="K1117" s="5" t="s">
        <v>2276</v>
      </c>
      <c r="L1117" s="5" t="n">
        <f aca="false">IF(G1117="High",3,IF(G1117="Medium",2,1))</f>
        <v>2</v>
      </c>
    </row>
    <row r="1118" customFormat="false" ht="15" hidden="false" customHeight="true" outlineLevel="0" collapsed="false">
      <c r="A1118" s="5" t="s">
        <v>3394</v>
      </c>
      <c r="B1118" s="5" t="s">
        <v>1337</v>
      </c>
      <c r="C1118" s="5" t="s">
        <v>2239</v>
      </c>
      <c r="D1118" s="5" t="s">
        <v>2240</v>
      </c>
      <c r="E1118" s="5" t="s">
        <v>59</v>
      </c>
      <c r="F1118" s="5" t="s">
        <v>2225</v>
      </c>
      <c r="G1118" s="5" t="str">
        <f aca="false">INDEX(Risk_Matrix!$B$2:$D$4,MATCH(E1118,Risk_Matrix!$A$2:$A$4,0),MATCH(F1118,Risk_Matrix!$B$1:$D$1,0))</f>
        <v>Low</v>
      </c>
      <c r="H1118" s="12" t="n">
        <v>46201</v>
      </c>
      <c r="I1118" s="5" t="s">
        <v>2256</v>
      </c>
      <c r="J1118" s="5" t="s">
        <v>2257</v>
      </c>
      <c r="K1118" s="5" t="s">
        <v>2252</v>
      </c>
      <c r="L1118" s="5" t="n">
        <f aca="false">IF(G1118="High",3,IF(G1118="Medium",2,1))</f>
        <v>1</v>
      </c>
    </row>
    <row r="1119" customFormat="false" ht="15" hidden="false" customHeight="true" outlineLevel="0" collapsed="false">
      <c r="A1119" s="5" t="s">
        <v>3395</v>
      </c>
      <c r="B1119" s="5" t="s">
        <v>1337</v>
      </c>
      <c r="C1119" s="5" t="s">
        <v>2245</v>
      </c>
      <c r="D1119" s="5" t="s">
        <v>2320</v>
      </c>
      <c r="E1119" s="5" t="s">
        <v>59</v>
      </c>
      <c r="F1119" s="5" t="s">
        <v>59</v>
      </c>
      <c r="G1119" s="5" t="str">
        <f aca="false">INDEX(Risk_Matrix!$B$2:$D$4,MATCH(E1119,Risk_Matrix!$A$2:$A$4,0),MATCH(F1119,Risk_Matrix!$B$1:$D$1,0))</f>
        <v>Low</v>
      </c>
      <c r="H1119" s="12" t="n">
        <v>46132</v>
      </c>
      <c r="I1119" s="5" t="s">
        <v>2250</v>
      </c>
      <c r="J1119" s="5" t="s">
        <v>2251</v>
      </c>
      <c r="K1119" s="5" t="s">
        <v>2266</v>
      </c>
      <c r="L1119" s="5" t="n">
        <f aca="false">IF(G1119="High",3,IF(G1119="Medium",2,1))</f>
        <v>1</v>
      </c>
    </row>
    <row r="1120" customFormat="false" ht="15" hidden="false" customHeight="true" outlineLevel="0" collapsed="false">
      <c r="A1120" s="5" t="s">
        <v>3396</v>
      </c>
      <c r="B1120" s="5" t="s">
        <v>1337</v>
      </c>
      <c r="C1120" s="5" t="s">
        <v>2248</v>
      </c>
      <c r="D1120" s="5" t="s">
        <v>2322</v>
      </c>
      <c r="E1120" s="5" t="s">
        <v>59</v>
      </c>
      <c r="F1120" s="5" t="s">
        <v>59</v>
      </c>
      <c r="G1120" s="5" t="str">
        <f aca="false">INDEX(Risk_Matrix!$B$2:$D$4,MATCH(E1120,Risk_Matrix!$A$2:$A$4,0),MATCH(F1120,Risk_Matrix!$B$1:$D$1,0))</f>
        <v>Low</v>
      </c>
      <c r="H1120" s="12" t="n">
        <v>46162</v>
      </c>
      <c r="I1120" s="5" t="s">
        <v>2250</v>
      </c>
      <c r="J1120" s="5" t="s">
        <v>2251</v>
      </c>
      <c r="K1120" s="5" t="s">
        <v>2243</v>
      </c>
      <c r="L1120" s="5" t="n">
        <f aca="false">IF(G1120="High",3,IF(G1120="Medium",2,1))</f>
        <v>1</v>
      </c>
    </row>
    <row r="1121" customFormat="false" ht="15" hidden="false" customHeight="true" outlineLevel="0" collapsed="false">
      <c r="A1121" s="5" t="s">
        <v>3397</v>
      </c>
      <c r="B1121" s="5" t="s">
        <v>1337</v>
      </c>
      <c r="C1121" s="5" t="s">
        <v>2254</v>
      </c>
      <c r="D1121" s="5" t="s">
        <v>2308</v>
      </c>
      <c r="E1121" s="5" t="s">
        <v>2225</v>
      </c>
      <c r="F1121" s="5" t="s">
        <v>59</v>
      </c>
      <c r="G1121" s="5" t="str">
        <f aca="false">INDEX(Risk_Matrix!$B$2:$D$4,MATCH(E1121,Risk_Matrix!$A$2:$A$4,0),MATCH(F1121,Risk_Matrix!$B$1:$D$1,0))</f>
        <v>Low</v>
      </c>
      <c r="H1121" s="12" t="n">
        <v>46235</v>
      </c>
      <c r="I1121" s="5" t="s">
        <v>2250</v>
      </c>
      <c r="J1121" s="5" t="s">
        <v>2251</v>
      </c>
      <c r="K1121" s="5" t="s">
        <v>2252</v>
      </c>
      <c r="L1121" s="5" t="n">
        <f aca="false">IF(G1121="High",3,IF(G1121="Medium",2,1))</f>
        <v>1</v>
      </c>
    </row>
    <row r="1122" customFormat="false" ht="15" hidden="false" customHeight="true" outlineLevel="0" collapsed="false">
      <c r="A1122" s="5" t="s">
        <v>3398</v>
      </c>
      <c r="B1122" s="5" t="s">
        <v>1337</v>
      </c>
      <c r="C1122" s="5" t="s">
        <v>2259</v>
      </c>
      <c r="D1122" s="5" t="s">
        <v>2260</v>
      </c>
      <c r="E1122" s="5" t="s">
        <v>59</v>
      </c>
      <c r="F1122" s="5" t="s">
        <v>54</v>
      </c>
      <c r="G1122" s="5" t="str">
        <f aca="false">INDEX(Risk_Matrix!$B$2:$D$4,MATCH(E1122,Risk_Matrix!$A$2:$A$4,0),MATCH(F1122,Risk_Matrix!$B$1:$D$1,0))</f>
        <v>Medium</v>
      </c>
      <c r="H1122" s="12" t="n">
        <v>46194</v>
      </c>
      <c r="I1122" s="5" t="s">
        <v>2256</v>
      </c>
      <c r="J1122" s="5" t="s">
        <v>2257</v>
      </c>
      <c r="K1122" s="5" t="s">
        <v>2283</v>
      </c>
      <c r="L1122" s="5" t="n">
        <f aca="false">IF(G1122="High",3,IF(G1122="Medium",2,1))</f>
        <v>2</v>
      </c>
    </row>
    <row r="1123" customFormat="false" ht="15" hidden="false" customHeight="true" outlineLevel="0" collapsed="false">
      <c r="A1123" s="5" t="s">
        <v>3399</v>
      </c>
      <c r="B1123" s="5" t="s">
        <v>1337</v>
      </c>
      <c r="C1123" s="5" t="s">
        <v>2262</v>
      </c>
      <c r="D1123" s="5" t="s">
        <v>2287</v>
      </c>
      <c r="E1123" s="5" t="s">
        <v>59</v>
      </c>
      <c r="F1123" s="5" t="s">
        <v>2225</v>
      </c>
      <c r="G1123" s="5" t="str">
        <f aca="false">INDEX(Risk_Matrix!$B$2:$D$4,MATCH(E1123,Risk_Matrix!$A$2:$A$4,0),MATCH(F1123,Risk_Matrix!$B$1:$D$1,0))</f>
        <v>Low</v>
      </c>
      <c r="H1123" s="12" t="n">
        <v>46122</v>
      </c>
      <c r="I1123" s="5" t="s">
        <v>2250</v>
      </c>
      <c r="J1123" s="5" t="s">
        <v>2251</v>
      </c>
      <c r="K1123" s="5" t="s">
        <v>2283</v>
      </c>
      <c r="L1123" s="5" t="n">
        <f aca="false">IF(G1123="High",3,IF(G1123="Medium",2,1))</f>
        <v>1</v>
      </c>
    </row>
    <row r="1124" customFormat="false" ht="15" hidden="false" customHeight="true" outlineLevel="0" collapsed="false">
      <c r="A1124" s="5" t="s">
        <v>3400</v>
      </c>
      <c r="B1124" s="5" t="s">
        <v>1338</v>
      </c>
      <c r="C1124" s="5" t="s">
        <v>2239</v>
      </c>
      <c r="D1124" s="5" t="s">
        <v>2278</v>
      </c>
      <c r="E1124" s="5" t="s">
        <v>54</v>
      </c>
      <c r="F1124" s="5" t="s">
        <v>2225</v>
      </c>
      <c r="G1124" s="5" t="str">
        <f aca="false">INDEX(Risk_Matrix!$B$2:$D$4,MATCH(E1124,Risk_Matrix!$A$2:$A$4,0),MATCH(F1124,Risk_Matrix!$B$1:$D$1,0))</f>
        <v>High</v>
      </c>
      <c r="H1124" s="12" t="n">
        <v>46130</v>
      </c>
      <c r="I1124" s="5" t="s">
        <v>2250</v>
      </c>
      <c r="J1124" s="5" t="s">
        <v>2251</v>
      </c>
      <c r="K1124" s="5" t="s">
        <v>2266</v>
      </c>
      <c r="L1124" s="5" t="n">
        <f aca="false">IF(G1124="High",3,IF(G1124="Medium",2,1))</f>
        <v>3</v>
      </c>
    </row>
    <row r="1125" customFormat="false" ht="15" hidden="false" customHeight="true" outlineLevel="0" collapsed="false">
      <c r="A1125" s="5" t="s">
        <v>3401</v>
      </c>
      <c r="B1125" s="5" t="s">
        <v>1338</v>
      </c>
      <c r="C1125" s="5" t="s">
        <v>2245</v>
      </c>
      <c r="D1125" s="5" t="s">
        <v>2269</v>
      </c>
      <c r="E1125" s="5" t="s">
        <v>54</v>
      </c>
      <c r="F1125" s="5" t="s">
        <v>2225</v>
      </c>
      <c r="G1125" s="5" t="str">
        <f aca="false">INDEX(Risk_Matrix!$B$2:$D$4,MATCH(E1125,Risk_Matrix!$A$2:$A$4,0),MATCH(F1125,Risk_Matrix!$B$1:$D$1,0))</f>
        <v>High</v>
      </c>
      <c r="H1125" s="12" t="n">
        <v>46206</v>
      </c>
      <c r="I1125" s="5" t="s">
        <v>2241</v>
      </c>
      <c r="J1125" s="5" t="s">
        <v>2242</v>
      </c>
      <c r="K1125" s="5" t="s">
        <v>2266</v>
      </c>
      <c r="L1125" s="5" t="n">
        <f aca="false">IF(G1125="High",3,IF(G1125="Medium",2,1))</f>
        <v>3</v>
      </c>
    </row>
    <row r="1126" customFormat="false" ht="15" hidden="false" customHeight="true" outlineLevel="0" collapsed="false">
      <c r="A1126" s="5" t="s">
        <v>3402</v>
      </c>
      <c r="B1126" s="5" t="s">
        <v>1338</v>
      </c>
      <c r="C1126" s="5" t="s">
        <v>2248</v>
      </c>
      <c r="D1126" s="5" t="s">
        <v>2271</v>
      </c>
      <c r="E1126" s="5" t="s">
        <v>2225</v>
      </c>
      <c r="F1126" s="5" t="s">
        <v>59</v>
      </c>
      <c r="G1126" s="5" t="str">
        <f aca="false">INDEX(Risk_Matrix!$B$2:$D$4,MATCH(E1126,Risk_Matrix!$A$2:$A$4,0),MATCH(F1126,Risk_Matrix!$B$1:$D$1,0))</f>
        <v>Low</v>
      </c>
      <c r="H1126" s="12" t="n">
        <v>46095</v>
      </c>
      <c r="I1126" s="5" t="s">
        <v>2256</v>
      </c>
      <c r="J1126" s="5" t="s">
        <v>2257</v>
      </c>
      <c r="K1126" s="5" t="s">
        <v>2283</v>
      </c>
      <c r="L1126" s="5" t="n">
        <f aca="false">IF(G1126="High",3,IF(G1126="Medium",2,1))</f>
        <v>1</v>
      </c>
    </row>
    <row r="1127" customFormat="false" ht="15" hidden="false" customHeight="true" outlineLevel="0" collapsed="false">
      <c r="A1127" s="5" t="s">
        <v>3403</v>
      </c>
      <c r="B1127" s="5" t="s">
        <v>1338</v>
      </c>
      <c r="C1127" s="5" t="s">
        <v>2254</v>
      </c>
      <c r="D1127" s="5" t="s">
        <v>2255</v>
      </c>
      <c r="E1127" s="5" t="s">
        <v>2225</v>
      </c>
      <c r="F1127" s="5" t="s">
        <v>59</v>
      </c>
      <c r="G1127" s="5" t="str">
        <f aca="false">INDEX(Risk_Matrix!$B$2:$D$4,MATCH(E1127,Risk_Matrix!$A$2:$A$4,0),MATCH(F1127,Risk_Matrix!$B$1:$D$1,0))</f>
        <v>Low</v>
      </c>
      <c r="H1127" s="12" t="n">
        <v>46074</v>
      </c>
      <c r="I1127" s="5" t="s">
        <v>2256</v>
      </c>
      <c r="J1127" s="5" t="s">
        <v>2257</v>
      </c>
      <c r="K1127" s="5" t="s">
        <v>2243</v>
      </c>
      <c r="L1127" s="5" t="n">
        <f aca="false">IF(G1127="High",3,IF(G1127="Medium",2,1))</f>
        <v>1</v>
      </c>
    </row>
    <row r="1128" customFormat="false" ht="15" hidden="false" customHeight="true" outlineLevel="0" collapsed="false">
      <c r="A1128" s="5" t="s">
        <v>3404</v>
      </c>
      <c r="B1128" s="5" t="s">
        <v>1338</v>
      </c>
      <c r="C1128" s="5" t="s">
        <v>2259</v>
      </c>
      <c r="D1128" s="5" t="s">
        <v>2274</v>
      </c>
      <c r="E1128" s="5" t="s">
        <v>59</v>
      </c>
      <c r="F1128" s="5" t="s">
        <v>2225</v>
      </c>
      <c r="G1128" s="5" t="str">
        <f aca="false">INDEX(Risk_Matrix!$B$2:$D$4,MATCH(E1128,Risk_Matrix!$A$2:$A$4,0),MATCH(F1128,Risk_Matrix!$B$1:$D$1,0))</f>
        <v>Low</v>
      </c>
      <c r="H1128" s="12" t="n">
        <v>46189</v>
      </c>
      <c r="I1128" s="5" t="s">
        <v>2250</v>
      </c>
      <c r="J1128" s="5" t="s">
        <v>2251</v>
      </c>
      <c r="K1128" s="5" t="s">
        <v>2252</v>
      </c>
      <c r="L1128" s="5" t="n">
        <f aca="false">IF(G1128="High",3,IF(G1128="Medium",2,1))</f>
        <v>1</v>
      </c>
    </row>
    <row r="1129" customFormat="false" ht="15" hidden="false" customHeight="true" outlineLevel="0" collapsed="false">
      <c r="A1129" s="5" t="s">
        <v>3405</v>
      </c>
      <c r="B1129" s="5" t="s">
        <v>1338</v>
      </c>
      <c r="C1129" s="5" t="s">
        <v>2262</v>
      </c>
      <c r="D1129" s="5" t="s">
        <v>2287</v>
      </c>
      <c r="E1129" s="5" t="s">
        <v>59</v>
      </c>
      <c r="F1129" s="5" t="s">
        <v>59</v>
      </c>
      <c r="G1129" s="5" t="str">
        <f aca="false">INDEX(Risk_Matrix!$B$2:$D$4,MATCH(E1129,Risk_Matrix!$A$2:$A$4,0),MATCH(F1129,Risk_Matrix!$B$1:$D$1,0))</f>
        <v>Low</v>
      </c>
      <c r="H1129" s="12" t="n">
        <v>46153</v>
      </c>
      <c r="I1129" s="5" t="s">
        <v>2264</v>
      </c>
      <c r="J1129" s="5" t="s">
        <v>2265</v>
      </c>
      <c r="K1129" s="5" t="s">
        <v>2276</v>
      </c>
      <c r="L1129" s="5" t="n">
        <f aca="false">IF(G1129="High",3,IF(G1129="Medium",2,1))</f>
        <v>1</v>
      </c>
    </row>
    <row r="1130" customFormat="false" ht="15" hidden="false" customHeight="true" outlineLevel="0" collapsed="false">
      <c r="A1130" s="5" t="s">
        <v>3406</v>
      </c>
      <c r="B1130" s="5" t="s">
        <v>1340</v>
      </c>
      <c r="C1130" s="5" t="s">
        <v>2239</v>
      </c>
      <c r="D1130" s="5" t="s">
        <v>2303</v>
      </c>
      <c r="E1130" s="5" t="s">
        <v>59</v>
      </c>
      <c r="F1130" s="5" t="s">
        <v>2225</v>
      </c>
      <c r="G1130" s="5" t="str">
        <f aca="false">INDEX(Risk_Matrix!$B$2:$D$4,MATCH(E1130,Risk_Matrix!$A$2:$A$4,0),MATCH(F1130,Risk_Matrix!$B$1:$D$1,0))</f>
        <v>Low</v>
      </c>
      <c r="H1130" s="12" t="n">
        <v>46086</v>
      </c>
      <c r="I1130" s="5" t="s">
        <v>2256</v>
      </c>
      <c r="J1130" s="5" t="s">
        <v>2257</v>
      </c>
      <c r="K1130" s="5" t="s">
        <v>2276</v>
      </c>
      <c r="L1130" s="5" t="n">
        <f aca="false">IF(G1130="High",3,IF(G1130="Medium",2,1))</f>
        <v>1</v>
      </c>
    </row>
    <row r="1131" customFormat="false" ht="15" hidden="false" customHeight="true" outlineLevel="0" collapsed="false">
      <c r="A1131" s="5" t="s">
        <v>3407</v>
      </c>
      <c r="B1131" s="5" t="s">
        <v>1340</v>
      </c>
      <c r="C1131" s="5" t="s">
        <v>2245</v>
      </c>
      <c r="D1131" s="5" t="s">
        <v>2269</v>
      </c>
      <c r="E1131" s="5" t="s">
        <v>59</v>
      </c>
      <c r="F1131" s="5" t="s">
        <v>59</v>
      </c>
      <c r="G1131" s="5" t="str">
        <f aca="false">INDEX(Risk_Matrix!$B$2:$D$4,MATCH(E1131,Risk_Matrix!$A$2:$A$4,0),MATCH(F1131,Risk_Matrix!$B$1:$D$1,0))</f>
        <v>Low</v>
      </c>
      <c r="H1131" s="12" t="n">
        <v>46177</v>
      </c>
      <c r="I1131" s="5" t="s">
        <v>2264</v>
      </c>
      <c r="J1131" s="5" t="s">
        <v>2265</v>
      </c>
      <c r="K1131" s="5" t="s">
        <v>2252</v>
      </c>
      <c r="L1131" s="5" t="n">
        <f aca="false">IF(G1131="High",3,IF(G1131="Medium",2,1))</f>
        <v>1</v>
      </c>
    </row>
    <row r="1132" customFormat="false" ht="15" hidden="false" customHeight="true" outlineLevel="0" collapsed="false">
      <c r="A1132" s="5" t="s">
        <v>3408</v>
      </c>
      <c r="B1132" s="5" t="s">
        <v>1340</v>
      </c>
      <c r="C1132" s="5" t="s">
        <v>2248</v>
      </c>
      <c r="D1132" s="5" t="s">
        <v>2306</v>
      </c>
      <c r="E1132" s="5" t="s">
        <v>54</v>
      </c>
      <c r="F1132" s="5" t="s">
        <v>2225</v>
      </c>
      <c r="G1132" s="5" t="str">
        <f aca="false">INDEX(Risk_Matrix!$B$2:$D$4,MATCH(E1132,Risk_Matrix!$A$2:$A$4,0),MATCH(F1132,Risk_Matrix!$B$1:$D$1,0))</f>
        <v>High</v>
      </c>
      <c r="H1132" s="12" t="n">
        <v>46115</v>
      </c>
      <c r="I1132" s="5" t="s">
        <v>2250</v>
      </c>
      <c r="J1132" s="5" t="s">
        <v>2251</v>
      </c>
      <c r="K1132" s="5" t="s">
        <v>2276</v>
      </c>
      <c r="L1132" s="5" t="n">
        <f aca="false">IF(G1132="High",3,IF(G1132="Medium",2,1))</f>
        <v>3</v>
      </c>
    </row>
    <row r="1133" customFormat="false" ht="15" hidden="false" customHeight="true" outlineLevel="0" collapsed="false">
      <c r="A1133" s="5" t="s">
        <v>3409</v>
      </c>
      <c r="B1133" s="5" t="s">
        <v>1340</v>
      </c>
      <c r="C1133" s="5" t="s">
        <v>2254</v>
      </c>
      <c r="D1133" s="5" t="s">
        <v>2255</v>
      </c>
      <c r="E1133" s="5" t="s">
        <v>59</v>
      </c>
      <c r="F1133" s="5" t="s">
        <v>54</v>
      </c>
      <c r="G1133" s="5" t="str">
        <f aca="false">INDEX(Risk_Matrix!$B$2:$D$4,MATCH(E1133,Risk_Matrix!$A$2:$A$4,0),MATCH(F1133,Risk_Matrix!$B$1:$D$1,0))</f>
        <v>Medium</v>
      </c>
      <c r="H1133" s="12" t="n">
        <v>46147</v>
      </c>
      <c r="I1133" s="5" t="s">
        <v>2256</v>
      </c>
      <c r="J1133" s="5" t="s">
        <v>2257</v>
      </c>
      <c r="K1133" s="5" t="s">
        <v>2252</v>
      </c>
      <c r="L1133" s="5" t="n">
        <f aca="false">IF(G1133="High",3,IF(G1133="Medium",2,1))</f>
        <v>2</v>
      </c>
    </row>
    <row r="1134" customFormat="false" ht="15" hidden="false" customHeight="true" outlineLevel="0" collapsed="false">
      <c r="A1134" s="5" t="s">
        <v>3410</v>
      </c>
      <c r="B1134" s="5" t="s">
        <v>1340</v>
      </c>
      <c r="C1134" s="5" t="s">
        <v>2259</v>
      </c>
      <c r="D1134" s="5" t="s">
        <v>2274</v>
      </c>
      <c r="E1134" s="5" t="s">
        <v>2225</v>
      </c>
      <c r="F1134" s="5" t="s">
        <v>59</v>
      </c>
      <c r="G1134" s="5" t="str">
        <f aca="false">INDEX(Risk_Matrix!$B$2:$D$4,MATCH(E1134,Risk_Matrix!$A$2:$A$4,0),MATCH(F1134,Risk_Matrix!$B$1:$D$1,0))</f>
        <v>Low</v>
      </c>
      <c r="H1134" s="12" t="n">
        <v>46147</v>
      </c>
      <c r="I1134" s="5" t="s">
        <v>2256</v>
      </c>
      <c r="J1134" s="5" t="s">
        <v>2257</v>
      </c>
      <c r="K1134" s="5" t="s">
        <v>2266</v>
      </c>
      <c r="L1134" s="5" t="n">
        <f aca="false">IF(G1134="High",3,IF(G1134="Medium",2,1))</f>
        <v>1</v>
      </c>
    </row>
    <row r="1135" customFormat="false" ht="15" hidden="false" customHeight="true" outlineLevel="0" collapsed="false">
      <c r="A1135" s="5" t="s">
        <v>3411</v>
      </c>
      <c r="B1135" s="5" t="s">
        <v>1340</v>
      </c>
      <c r="C1135" s="5" t="s">
        <v>2262</v>
      </c>
      <c r="D1135" s="5" t="s">
        <v>2263</v>
      </c>
      <c r="E1135" s="5" t="s">
        <v>2225</v>
      </c>
      <c r="F1135" s="5" t="s">
        <v>59</v>
      </c>
      <c r="G1135" s="5" t="str">
        <f aca="false">INDEX(Risk_Matrix!$B$2:$D$4,MATCH(E1135,Risk_Matrix!$A$2:$A$4,0),MATCH(F1135,Risk_Matrix!$B$1:$D$1,0))</f>
        <v>Low</v>
      </c>
      <c r="H1135" s="12" t="n">
        <v>46110</v>
      </c>
      <c r="I1135" s="5" t="s">
        <v>2264</v>
      </c>
      <c r="J1135" s="5" t="s">
        <v>2265</v>
      </c>
      <c r="K1135" s="5" t="s">
        <v>2276</v>
      </c>
      <c r="L1135" s="5" t="n">
        <f aca="false">IF(G1135="High",3,IF(G1135="Medium",2,1))</f>
        <v>1</v>
      </c>
    </row>
    <row r="1136" customFormat="false" ht="15" hidden="false" customHeight="true" outlineLevel="0" collapsed="false">
      <c r="A1136" s="5" t="s">
        <v>3412</v>
      </c>
      <c r="B1136" s="5" t="s">
        <v>1341</v>
      </c>
      <c r="C1136" s="5" t="s">
        <v>2239</v>
      </c>
      <c r="D1136" s="5" t="s">
        <v>2303</v>
      </c>
      <c r="E1136" s="5" t="s">
        <v>59</v>
      </c>
      <c r="F1136" s="5" t="s">
        <v>2225</v>
      </c>
      <c r="G1136" s="5" t="str">
        <f aca="false">INDEX(Risk_Matrix!$B$2:$D$4,MATCH(E1136,Risk_Matrix!$A$2:$A$4,0),MATCH(F1136,Risk_Matrix!$B$1:$D$1,0))</f>
        <v>Low</v>
      </c>
      <c r="H1136" s="12" t="n">
        <v>46229</v>
      </c>
      <c r="I1136" s="5" t="s">
        <v>2250</v>
      </c>
      <c r="J1136" s="5" t="s">
        <v>2251</v>
      </c>
      <c r="K1136" s="5" t="s">
        <v>2252</v>
      </c>
      <c r="L1136" s="5" t="n">
        <f aca="false">IF(G1136="High",3,IF(G1136="Medium",2,1))</f>
        <v>1</v>
      </c>
    </row>
    <row r="1137" customFormat="false" ht="15" hidden="false" customHeight="true" outlineLevel="0" collapsed="false">
      <c r="A1137" s="5" t="s">
        <v>3413</v>
      </c>
      <c r="B1137" s="5" t="s">
        <v>1341</v>
      </c>
      <c r="C1137" s="5" t="s">
        <v>2245</v>
      </c>
      <c r="D1137" s="5" t="s">
        <v>2320</v>
      </c>
      <c r="E1137" s="5" t="s">
        <v>59</v>
      </c>
      <c r="F1137" s="5" t="s">
        <v>59</v>
      </c>
      <c r="G1137" s="5" t="str">
        <f aca="false">INDEX(Risk_Matrix!$B$2:$D$4,MATCH(E1137,Risk_Matrix!$A$2:$A$4,0),MATCH(F1137,Risk_Matrix!$B$1:$D$1,0))</f>
        <v>Low</v>
      </c>
      <c r="H1137" s="12" t="n">
        <v>46215</v>
      </c>
      <c r="I1137" s="5" t="s">
        <v>2264</v>
      </c>
      <c r="J1137" s="5" t="s">
        <v>2265</v>
      </c>
      <c r="K1137" s="5" t="s">
        <v>2266</v>
      </c>
      <c r="L1137" s="5" t="n">
        <f aca="false">IF(G1137="High",3,IF(G1137="Medium",2,1))</f>
        <v>1</v>
      </c>
    </row>
    <row r="1138" customFormat="false" ht="15" hidden="false" customHeight="true" outlineLevel="0" collapsed="false">
      <c r="A1138" s="5" t="s">
        <v>3414</v>
      </c>
      <c r="B1138" s="5" t="s">
        <v>1341</v>
      </c>
      <c r="C1138" s="5" t="s">
        <v>2248</v>
      </c>
      <c r="D1138" s="5" t="s">
        <v>2322</v>
      </c>
      <c r="E1138" s="5" t="s">
        <v>2225</v>
      </c>
      <c r="F1138" s="5" t="s">
        <v>2225</v>
      </c>
      <c r="G1138" s="5" t="str">
        <f aca="false">INDEX(Risk_Matrix!$B$2:$D$4,MATCH(E1138,Risk_Matrix!$A$2:$A$4,0),MATCH(F1138,Risk_Matrix!$B$1:$D$1,0))</f>
        <v>Medium</v>
      </c>
      <c r="H1138" s="12" t="n">
        <v>46197</v>
      </c>
      <c r="I1138" s="5" t="s">
        <v>2264</v>
      </c>
      <c r="J1138" s="5" t="s">
        <v>2265</v>
      </c>
      <c r="K1138" s="5" t="s">
        <v>2283</v>
      </c>
      <c r="L1138" s="5" t="n">
        <f aca="false">IF(G1138="High",3,IF(G1138="Medium",2,1))</f>
        <v>2</v>
      </c>
    </row>
    <row r="1139" customFormat="false" ht="15" hidden="false" customHeight="true" outlineLevel="0" collapsed="false">
      <c r="A1139" s="5" t="s">
        <v>3415</v>
      </c>
      <c r="B1139" s="5" t="s">
        <v>1341</v>
      </c>
      <c r="C1139" s="5" t="s">
        <v>2254</v>
      </c>
      <c r="D1139" s="5" t="s">
        <v>2299</v>
      </c>
      <c r="E1139" s="5" t="s">
        <v>54</v>
      </c>
      <c r="F1139" s="5" t="s">
        <v>2225</v>
      </c>
      <c r="G1139" s="5" t="str">
        <f aca="false">INDEX(Risk_Matrix!$B$2:$D$4,MATCH(E1139,Risk_Matrix!$A$2:$A$4,0),MATCH(F1139,Risk_Matrix!$B$1:$D$1,0))</f>
        <v>High</v>
      </c>
      <c r="H1139" s="12" t="n">
        <v>46151</v>
      </c>
      <c r="I1139" s="5" t="s">
        <v>2250</v>
      </c>
      <c r="J1139" s="5" t="s">
        <v>2251</v>
      </c>
      <c r="K1139" s="5" t="s">
        <v>2243</v>
      </c>
      <c r="L1139" s="5" t="n">
        <f aca="false">IF(G1139="High",3,IF(G1139="Medium",2,1))</f>
        <v>3</v>
      </c>
    </row>
    <row r="1140" customFormat="false" ht="15" hidden="false" customHeight="true" outlineLevel="0" collapsed="false">
      <c r="A1140" s="5" t="s">
        <v>3416</v>
      </c>
      <c r="B1140" s="5" t="s">
        <v>1341</v>
      </c>
      <c r="C1140" s="5" t="s">
        <v>2259</v>
      </c>
      <c r="D1140" s="5" t="s">
        <v>2260</v>
      </c>
      <c r="E1140" s="5" t="s">
        <v>59</v>
      </c>
      <c r="F1140" s="5" t="s">
        <v>59</v>
      </c>
      <c r="G1140" s="5" t="str">
        <f aca="false">INDEX(Risk_Matrix!$B$2:$D$4,MATCH(E1140,Risk_Matrix!$A$2:$A$4,0),MATCH(F1140,Risk_Matrix!$B$1:$D$1,0))</f>
        <v>Low</v>
      </c>
      <c r="H1140" s="12" t="n">
        <v>46128</v>
      </c>
      <c r="I1140" s="5" t="s">
        <v>2264</v>
      </c>
      <c r="J1140" s="5" t="s">
        <v>2265</v>
      </c>
      <c r="K1140" s="5" t="s">
        <v>2276</v>
      </c>
      <c r="L1140" s="5" t="n">
        <f aca="false">IF(G1140="High",3,IF(G1140="Medium",2,1))</f>
        <v>1</v>
      </c>
    </row>
    <row r="1141" customFormat="false" ht="15" hidden="false" customHeight="true" outlineLevel="0" collapsed="false">
      <c r="A1141" s="5" t="s">
        <v>3417</v>
      </c>
      <c r="B1141" s="5" t="s">
        <v>1341</v>
      </c>
      <c r="C1141" s="5" t="s">
        <v>2262</v>
      </c>
      <c r="D1141" s="5" t="s">
        <v>2263</v>
      </c>
      <c r="E1141" s="5" t="s">
        <v>2225</v>
      </c>
      <c r="F1141" s="5" t="s">
        <v>59</v>
      </c>
      <c r="G1141" s="5" t="str">
        <f aca="false">INDEX(Risk_Matrix!$B$2:$D$4,MATCH(E1141,Risk_Matrix!$A$2:$A$4,0),MATCH(F1141,Risk_Matrix!$B$1:$D$1,0))</f>
        <v>Low</v>
      </c>
      <c r="H1141" s="12" t="n">
        <v>46082</v>
      </c>
      <c r="I1141" s="5" t="s">
        <v>2256</v>
      </c>
      <c r="J1141" s="5" t="s">
        <v>2257</v>
      </c>
      <c r="K1141" s="5" t="s">
        <v>2283</v>
      </c>
      <c r="L1141" s="5" t="n">
        <f aca="false">IF(G1141="High",3,IF(G1141="Medium",2,1))</f>
        <v>1</v>
      </c>
    </row>
    <row r="1142" customFormat="false" ht="15" hidden="false" customHeight="true" outlineLevel="0" collapsed="false">
      <c r="A1142" s="5" t="s">
        <v>3418</v>
      </c>
      <c r="B1142" s="5" t="s">
        <v>1342</v>
      </c>
      <c r="C1142" s="5" t="s">
        <v>2239</v>
      </c>
      <c r="D1142" s="5" t="s">
        <v>2240</v>
      </c>
      <c r="E1142" s="5" t="s">
        <v>54</v>
      </c>
      <c r="F1142" s="5" t="s">
        <v>2225</v>
      </c>
      <c r="G1142" s="5" t="str">
        <f aca="false">INDEX(Risk_Matrix!$B$2:$D$4,MATCH(E1142,Risk_Matrix!$A$2:$A$4,0),MATCH(F1142,Risk_Matrix!$B$1:$D$1,0))</f>
        <v>High</v>
      </c>
      <c r="H1142" s="12" t="n">
        <v>46214</v>
      </c>
      <c r="I1142" s="5" t="s">
        <v>2241</v>
      </c>
      <c r="J1142" s="5" t="s">
        <v>2242</v>
      </c>
      <c r="K1142" s="5" t="s">
        <v>2276</v>
      </c>
      <c r="L1142" s="5" t="n">
        <f aca="false">IF(G1142="High",3,IF(G1142="Medium",2,1))</f>
        <v>3</v>
      </c>
    </row>
    <row r="1143" customFormat="false" ht="15" hidden="false" customHeight="true" outlineLevel="0" collapsed="false">
      <c r="A1143" s="5" t="s">
        <v>3419</v>
      </c>
      <c r="B1143" s="5" t="s">
        <v>1342</v>
      </c>
      <c r="C1143" s="5" t="s">
        <v>2245</v>
      </c>
      <c r="D1143" s="5" t="s">
        <v>2320</v>
      </c>
      <c r="E1143" s="5" t="s">
        <v>2225</v>
      </c>
      <c r="F1143" s="5" t="s">
        <v>59</v>
      </c>
      <c r="G1143" s="5" t="str">
        <f aca="false">INDEX(Risk_Matrix!$B$2:$D$4,MATCH(E1143,Risk_Matrix!$A$2:$A$4,0),MATCH(F1143,Risk_Matrix!$B$1:$D$1,0))</f>
        <v>Low</v>
      </c>
      <c r="H1143" s="12" t="n">
        <v>46216</v>
      </c>
      <c r="I1143" s="5" t="s">
        <v>2264</v>
      </c>
      <c r="J1143" s="5" t="s">
        <v>2265</v>
      </c>
      <c r="K1143" s="5" t="s">
        <v>2243</v>
      </c>
      <c r="L1143" s="5" t="n">
        <f aca="false">IF(G1143="High",3,IF(G1143="Medium",2,1))</f>
        <v>1</v>
      </c>
    </row>
    <row r="1144" customFormat="false" ht="15" hidden="false" customHeight="true" outlineLevel="0" collapsed="false">
      <c r="A1144" s="5" t="s">
        <v>3420</v>
      </c>
      <c r="B1144" s="5" t="s">
        <v>1342</v>
      </c>
      <c r="C1144" s="5" t="s">
        <v>2248</v>
      </c>
      <c r="D1144" s="5" t="s">
        <v>2306</v>
      </c>
      <c r="E1144" s="5" t="s">
        <v>59</v>
      </c>
      <c r="F1144" s="5" t="s">
        <v>59</v>
      </c>
      <c r="G1144" s="5" t="str">
        <f aca="false">INDEX(Risk_Matrix!$B$2:$D$4,MATCH(E1144,Risk_Matrix!$A$2:$A$4,0),MATCH(F1144,Risk_Matrix!$B$1:$D$1,0))</f>
        <v>Low</v>
      </c>
      <c r="H1144" s="12" t="n">
        <v>46221</v>
      </c>
      <c r="I1144" s="5" t="s">
        <v>2256</v>
      </c>
      <c r="J1144" s="5" t="s">
        <v>2257</v>
      </c>
      <c r="K1144" s="5" t="s">
        <v>2252</v>
      </c>
      <c r="L1144" s="5" t="n">
        <f aca="false">IF(G1144="High",3,IF(G1144="Medium",2,1))</f>
        <v>1</v>
      </c>
    </row>
    <row r="1145" customFormat="false" ht="15" hidden="false" customHeight="true" outlineLevel="0" collapsed="false">
      <c r="A1145" s="5" t="s">
        <v>3421</v>
      </c>
      <c r="B1145" s="5" t="s">
        <v>1342</v>
      </c>
      <c r="C1145" s="5" t="s">
        <v>2254</v>
      </c>
      <c r="D1145" s="5" t="s">
        <v>2299</v>
      </c>
      <c r="E1145" s="5" t="s">
        <v>59</v>
      </c>
      <c r="F1145" s="5" t="s">
        <v>59</v>
      </c>
      <c r="G1145" s="5" t="str">
        <f aca="false">INDEX(Risk_Matrix!$B$2:$D$4,MATCH(E1145,Risk_Matrix!$A$2:$A$4,0),MATCH(F1145,Risk_Matrix!$B$1:$D$1,0))</f>
        <v>Low</v>
      </c>
      <c r="H1145" s="12" t="n">
        <v>46121</v>
      </c>
      <c r="I1145" s="5" t="s">
        <v>2256</v>
      </c>
      <c r="J1145" s="5" t="s">
        <v>2257</v>
      </c>
      <c r="K1145" s="5" t="s">
        <v>2252</v>
      </c>
      <c r="L1145" s="5" t="n">
        <f aca="false">IF(G1145="High",3,IF(G1145="Medium",2,1))</f>
        <v>1</v>
      </c>
    </row>
    <row r="1146" customFormat="false" ht="15" hidden="false" customHeight="true" outlineLevel="0" collapsed="false">
      <c r="A1146" s="5" t="s">
        <v>3422</v>
      </c>
      <c r="B1146" s="5" t="s">
        <v>1342</v>
      </c>
      <c r="C1146" s="5" t="s">
        <v>2259</v>
      </c>
      <c r="D1146" s="5" t="s">
        <v>2274</v>
      </c>
      <c r="E1146" s="5" t="s">
        <v>54</v>
      </c>
      <c r="F1146" s="5" t="s">
        <v>2225</v>
      </c>
      <c r="G1146" s="5" t="str">
        <f aca="false">INDEX(Risk_Matrix!$B$2:$D$4,MATCH(E1146,Risk_Matrix!$A$2:$A$4,0),MATCH(F1146,Risk_Matrix!$B$1:$D$1,0))</f>
        <v>High</v>
      </c>
      <c r="H1146" s="12" t="n">
        <v>46203</v>
      </c>
      <c r="I1146" s="5" t="s">
        <v>2250</v>
      </c>
      <c r="J1146" s="5" t="s">
        <v>2251</v>
      </c>
      <c r="K1146" s="5" t="s">
        <v>2276</v>
      </c>
      <c r="L1146" s="5" t="n">
        <f aca="false">IF(G1146="High",3,IF(G1146="Medium",2,1))</f>
        <v>3</v>
      </c>
    </row>
    <row r="1147" customFormat="false" ht="15" hidden="false" customHeight="true" outlineLevel="0" collapsed="false">
      <c r="A1147" s="5" t="s">
        <v>3423</v>
      </c>
      <c r="B1147" s="5" t="s">
        <v>1342</v>
      </c>
      <c r="C1147" s="5" t="s">
        <v>2262</v>
      </c>
      <c r="D1147" s="5" t="s">
        <v>2263</v>
      </c>
      <c r="E1147" s="5" t="s">
        <v>59</v>
      </c>
      <c r="F1147" s="5" t="s">
        <v>59</v>
      </c>
      <c r="G1147" s="5" t="str">
        <f aca="false">INDEX(Risk_Matrix!$B$2:$D$4,MATCH(E1147,Risk_Matrix!$A$2:$A$4,0),MATCH(F1147,Risk_Matrix!$B$1:$D$1,0))</f>
        <v>Low</v>
      </c>
      <c r="H1147" s="12" t="n">
        <v>46134</v>
      </c>
      <c r="I1147" s="5" t="s">
        <v>2256</v>
      </c>
      <c r="J1147" s="5" t="s">
        <v>2257</v>
      </c>
      <c r="K1147" s="5" t="s">
        <v>2283</v>
      </c>
      <c r="L1147" s="5" t="n">
        <f aca="false">IF(G1147="High",3,IF(G1147="Medium",2,1))</f>
        <v>1</v>
      </c>
    </row>
    <row r="1148" customFormat="false" ht="15" hidden="false" customHeight="true" outlineLevel="0" collapsed="false">
      <c r="A1148" s="5" t="s">
        <v>3424</v>
      </c>
      <c r="B1148" s="5" t="s">
        <v>1344</v>
      </c>
      <c r="C1148" s="5" t="s">
        <v>2239</v>
      </c>
      <c r="D1148" s="5" t="s">
        <v>2303</v>
      </c>
      <c r="E1148" s="5" t="s">
        <v>59</v>
      </c>
      <c r="F1148" s="5" t="s">
        <v>2225</v>
      </c>
      <c r="G1148" s="5" t="str">
        <f aca="false">INDEX(Risk_Matrix!$B$2:$D$4,MATCH(E1148,Risk_Matrix!$A$2:$A$4,0),MATCH(F1148,Risk_Matrix!$B$1:$D$1,0))</f>
        <v>Low</v>
      </c>
      <c r="H1148" s="12" t="n">
        <v>46158</v>
      </c>
      <c r="I1148" s="5" t="s">
        <v>2250</v>
      </c>
      <c r="J1148" s="5" t="s">
        <v>2251</v>
      </c>
      <c r="K1148" s="5" t="s">
        <v>2252</v>
      </c>
      <c r="L1148" s="5" t="n">
        <f aca="false">IF(G1148="High",3,IF(G1148="Medium",2,1))</f>
        <v>1</v>
      </c>
    </row>
    <row r="1149" customFormat="false" ht="15" hidden="false" customHeight="true" outlineLevel="0" collapsed="false">
      <c r="A1149" s="5" t="s">
        <v>3425</v>
      </c>
      <c r="B1149" s="5" t="s">
        <v>1344</v>
      </c>
      <c r="C1149" s="5" t="s">
        <v>2245</v>
      </c>
      <c r="D1149" s="5" t="s">
        <v>2246</v>
      </c>
      <c r="E1149" s="5" t="s">
        <v>2225</v>
      </c>
      <c r="F1149" s="5" t="s">
        <v>2225</v>
      </c>
      <c r="G1149" s="5" t="str">
        <f aca="false">INDEX(Risk_Matrix!$B$2:$D$4,MATCH(E1149,Risk_Matrix!$A$2:$A$4,0),MATCH(F1149,Risk_Matrix!$B$1:$D$1,0))</f>
        <v>Medium</v>
      </c>
      <c r="H1149" s="12" t="n">
        <v>46064</v>
      </c>
      <c r="I1149" s="5" t="s">
        <v>2256</v>
      </c>
      <c r="J1149" s="5" t="s">
        <v>2257</v>
      </c>
      <c r="K1149" s="5" t="s">
        <v>2276</v>
      </c>
      <c r="L1149" s="5" t="n">
        <f aca="false">IF(G1149="High",3,IF(G1149="Medium",2,1))</f>
        <v>2</v>
      </c>
    </row>
    <row r="1150" customFormat="false" ht="15" hidden="false" customHeight="true" outlineLevel="0" collapsed="false">
      <c r="A1150" s="5" t="s">
        <v>3426</v>
      </c>
      <c r="B1150" s="5" t="s">
        <v>1344</v>
      </c>
      <c r="C1150" s="5" t="s">
        <v>2248</v>
      </c>
      <c r="D1150" s="5" t="s">
        <v>2306</v>
      </c>
      <c r="E1150" s="5" t="s">
        <v>2225</v>
      </c>
      <c r="F1150" s="5" t="s">
        <v>59</v>
      </c>
      <c r="G1150" s="5" t="str">
        <f aca="false">INDEX(Risk_Matrix!$B$2:$D$4,MATCH(E1150,Risk_Matrix!$A$2:$A$4,0),MATCH(F1150,Risk_Matrix!$B$1:$D$1,0))</f>
        <v>Low</v>
      </c>
      <c r="H1150" s="12" t="n">
        <v>46236</v>
      </c>
      <c r="I1150" s="5" t="s">
        <v>2264</v>
      </c>
      <c r="J1150" s="5" t="s">
        <v>2265</v>
      </c>
      <c r="K1150" s="5" t="s">
        <v>2266</v>
      </c>
      <c r="L1150" s="5" t="n">
        <f aca="false">IF(G1150="High",3,IF(G1150="Medium",2,1))</f>
        <v>1</v>
      </c>
    </row>
    <row r="1151" customFormat="false" ht="15" hidden="false" customHeight="true" outlineLevel="0" collapsed="false">
      <c r="A1151" s="5" t="s">
        <v>3427</v>
      </c>
      <c r="B1151" s="5" t="s">
        <v>1344</v>
      </c>
      <c r="C1151" s="5" t="s">
        <v>2254</v>
      </c>
      <c r="D1151" s="5" t="s">
        <v>2255</v>
      </c>
      <c r="E1151" s="5" t="s">
        <v>59</v>
      </c>
      <c r="F1151" s="5" t="s">
        <v>59</v>
      </c>
      <c r="G1151" s="5" t="str">
        <f aca="false">INDEX(Risk_Matrix!$B$2:$D$4,MATCH(E1151,Risk_Matrix!$A$2:$A$4,0),MATCH(F1151,Risk_Matrix!$B$1:$D$1,0))</f>
        <v>Low</v>
      </c>
      <c r="H1151" s="12" t="n">
        <v>46220</v>
      </c>
      <c r="I1151" s="5" t="s">
        <v>2256</v>
      </c>
      <c r="J1151" s="5" t="s">
        <v>2257</v>
      </c>
      <c r="K1151" s="5" t="s">
        <v>2266</v>
      </c>
      <c r="L1151" s="5" t="n">
        <f aca="false">IF(G1151="High",3,IF(G1151="Medium",2,1))</f>
        <v>1</v>
      </c>
    </row>
    <row r="1152" customFormat="false" ht="15" hidden="false" customHeight="true" outlineLevel="0" collapsed="false">
      <c r="A1152" s="5" t="s">
        <v>3428</v>
      </c>
      <c r="B1152" s="5" t="s">
        <v>1344</v>
      </c>
      <c r="C1152" s="5" t="s">
        <v>2259</v>
      </c>
      <c r="D1152" s="5" t="s">
        <v>2274</v>
      </c>
      <c r="E1152" s="5" t="s">
        <v>54</v>
      </c>
      <c r="F1152" s="5" t="s">
        <v>2225</v>
      </c>
      <c r="G1152" s="5" t="str">
        <f aca="false">INDEX(Risk_Matrix!$B$2:$D$4,MATCH(E1152,Risk_Matrix!$A$2:$A$4,0),MATCH(F1152,Risk_Matrix!$B$1:$D$1,0))</f>
        <v>High</v>
      </c>
      <c r="H1152" s="12" t="n">
        <v>46119</v>
      </c>
      <c r="I1152" s="5" t="s">
        <v>2256</v>
      </c>
      <c r="J1152" s="5" t="s">
        <v>2257</v>
      </c>
      <c r="K1152" s="5" t="s">
        <v>2283</v>
      </c>
      <c r="L1152" s="5" t="n">
        <f aca="false">IF(G1152="High",3,IF(G1152="Medium",2,1))</f>
        <v>3</v>
      </c>
    </row>
    <row r="1153" customFormat="false" ht="15" hidden="false" customHeight="true" outlineLevel="0" collapsed="false">
      <c r="A1153" s="5" t="s">
        <v>3429</v>
      </c>
      <c r="B1153" s="5" t="s">
        <v>1344</v>
      </c>
      <c r="C1153" s="5" t="s">
        <v>2262</v>
      </c>
      <c r="D1153" s="5" t="s">
        <v>2311</v>
      </c>
      <c r="E1153" s="5" t="s">
        <v>59</v>
      </c>
      <c r="F1153" s="5" t="s">
        <v>59</v>
      </c>
      <c r="G1153" s="5" t="str">
        <f aca="false">INDEX(Risk_Matrix!$B$2:$D$4,MATCH(E1153,Risk_Matrix!$A$2:$A$4,0),MATCH(F1153,Risk_Matrix!$B$1:$D$1,0))</f>
        <v>Low</v>
      </c>
      <c r="H1153" s="12" t="n">
        <v>46137</v>
      </c>
      <c r="I1153" s="5" t="s">
        <v>2256</v>
      </c>
      <c r="J1153" s="5" t="s">
        <v>2257</v>
      </c>
      <c r="K1153" s="5" t="s">
        <v>2243</v>
      </c>
      <c r="L1153" s="5" t="n">
        <f aca="false">IF(G1153="High",3,IF(G1153="Medium",2,1))</f>
        <v>1</v>
      </c>
    </row>
    <row r="1154" customFormat="false" ht="15" hidden="false" customHeight="true" outlineLevel="0" collapsed="false">
      <c r="A1154" s="5" t="s">
        <v>3430</v>
      </c>
      <c r="B1154" s="5" t="s">
        <v>1346</v>
      </c>
      <c r="C1154" s="5" t="s">
        <v>2239</v>
      </c>
      <c r="D1154" s="5" t="s">
        <v>2303</v>
      </c>
      <c r="E1154" s="5" t="s">
        <v>59</v>
      </c>
      <c r="F1154" s="5" t="s">
        <v>59</v>
      </c>
      <c r="G1154" s="5" t="str">
        <f aca="false">INDEX(Risk_Matrix!$B$2:$D$4,MATCH(E1154,Risk_Matrix!$A$2:$A$4,0),MATCH(F1154,Risk_Matrix!$B$1:$D$1,0))</f>
        <v>Low</v>
      </c>
      <c r="H1154" s="12" t="n">
        <v>46084</v>
      </c>
      <c r="I1154" s="5" t="s">
        <v>2256</v>
      </c>
      <c r="J1154" s="5" t="s">
        <v>2257</v>
      </c>
      <c r="K1154" s="5" t="s">
        <v>2243</v>
      </c>
      <c r="L1154" s="5" t="n">
        <f aca="false">IF(G1154="High",3,IF(G1154="Medium",2,1))</f>
        <v>1</v>
      </c>
    </row>
    <row r="1155" customFormat="false" ht="15" hidden="false" customHeight="true" outlineLevel="0" collapsed="false">
      <c r="A1155" s="5" t="s">
        <v>3431</v>
      </c>
      <c r="B1155" s="5" t="s">
        <v>1346</v>
      </c>
      <c r="C1155" s="5" t="s">
        <v>2245</v>
      </c>
      <c r="D1155" s="5" t="s">
        <v>2320</v>
      </c>
      <c r="E1155" s="5" t="s">
        <v>2225</v>
      </c>
      <c r="F1155" s="5" t="s">
        <v>59</v>
      </c>
      <c r="G1155" s="5" t="str">
        <f aca="false">INDEX(Risk_Matrix!$B$2:$D$4,MATCH(E1155,Risk_Matrix!$A$2:$A$4,0),MATCH(F1155,Risk_Matrix!$B$1:$D$1,0))</f>
        <v>Low</v>
      </c>
      <c r="H1155" s="12" t="n">
        <v>46229</v>
      </c>
      <c r="I1155" s="5" t="s">
        <v>2256</v>
      </c>
      <c r="J1155" s="5" t="s">
        <v>2257</v>
      </c>
      <c r="K1155" s="5" t="s">
        <v>2283</v>
      </c>
      <c r="L1155" s="5" t="n">
        <f aca="false">IF(G1155="High",3,IF(G1155="Medium",2,1))</f>
        <v>1</v>
      </c>
    </row>
    <row r="1156" customFormat="false" ht="15" hidden="false" customHeight="true" outlineLevel="0" collapsed="false">
      <c r="A1156" s="5" t="s">
        <v>3432</v>
      </c>
      <c r="B1156" s="5" t="s">
        <v>1346</v>
      </c>
      <c r="C1156" s="5" t="s">
        <v>2248</v>
      </c>
      <c r="D1156" s="5" t="s">
        <v>2322</v>
      </c>
      <c r="E1156" s="5" t="s">
        <v>54</v>
      </c>
      <c r="F1156" s="5" t="s">
        <v>59</v>
      </c>
      <c r="G1156" s="5" t="str">
        <f aca="false">INDEX(Risk_Matrix!$B$2:$D$4,MATCH(E1156,Risk_Matrix!$A$2:$A$4,0),MATCH(F1156,Risk_Matrix!$B$1:$D$1,0))</f>
        <v>Medium</v>
      </c>
      <c r="H1156" s="12" t="n">
        <v>46093</v>
      </c>
      <c r="I1156" s="5" t="s">
        <v>2256</v>
      </c>
      <c r="J1156" s="5" t="s">
        <v>2257</v>
      </c>
      <c r="K1156" s="5" t="s">
        <v>2276</v>
      </c>
      <c r="L1156" s="5" t="n">
        <f aca="false">IF(G1156="High",3,IF(G1156="Medium",2,1))</f>
        <v>2</v>
      </c>
    </row>
    <row r="1157" customFormat="false" ht="15" hidden="false" customHeight="true" outlineLevel="0" collapsed="false">
      <c r="A1157" s="5" t="s">
        <v>3433</v>
      </c>
      <c r="B1157" s="5" t="s">
        <v>1346</v>
      </c>
      <c r="C1157" s="5" t="s">
        <v>2254</v>
      </c>
      <c r="D1157" s="5" t="s">
        <v>2299</v>
      </c>
      <c r="E1157" s="5" t="s">
        <v>2225</v>
      </c>
      <c r="F1157" s="5" t="s">
        <v>59</v>
      </c>
      <c r="G1157" s="5" t="str">
        <f aca="false">INDEX(Risk_Matrix!$B$2:$D$4,MATCH(E1157,Risk_Matrix!$A$2:$A$4,0),MATCH(F1157,Risk_Matrix!$B$1:$D$1,0))</f>
        <v>Low</v>
      </c>
      <c r="H1157" s="12" t="n">
        <v>46128</v>
      </c>
      <c r="I1157" s="5" t="s">
        <v>2264</v>
      </c>
      <c r="J1157" s="5" t="s">
        <v>2265</v>
      </c>
      <c r="K1157" s="5" t="s">
        <v>2243</v>
      </c>
      <c r="L1157" s="5" t="n">
        <f aca="false">IF(G1157="High",3,IF(G1157="Medium",2,1))</f>
        <v>1</v>
      </c>
    </row>
    <row r="1158" customFormat="false" ht="15" hidden="false" customHeight="true" outlineLevel="0" collapsed="false">
      <c r="A1158" s="5" t="s">
        <v>3434</v>
      </c>
      <c r="B1158" s="5" t="s">
        <v>1346</v>
      </c>
      <c r="C1158" s="5" t="s">
        <v>2259</v>
      </c>
      <c r="D1158" s="5" t="s">
        <v>2260</v>
      </c>
      <c r="E1158" s="5" t="s">
        <v>59</v>
      </c>
      <c r="F1158" s="5" t="s">
        <v>54</v>
      </c>
      <c r="G1158" s="5" t="str">
        <f aca="false">INDEX(Risk_Matrix!$B$2:$D$4,MATCH(E1158,Risk_Matrix!$A$2:$A$4,0),MATCH(F1158,Risk_Matrix!$B$1:$D$1,0))</f>
        <v>Medium</v>
      </c>
      <c r="H1158" s="12" t="n">
        <v>46063</v>
      </c>
      <c r="I1158" s="5" t="s">
        <v>2241</v>
      </c>
      <c r="J1158" s="5" t="s">
        <v>2242</v>
      </c>
      <c r="K1158" s="5" t="s">
        <v>2243</v>
      </c>
      <c r="L1158" s="5" t="n">
        <f aca="false">IF(G1158="High",3,IF(G1158="Medium",2,1))</f>
        <v>2</v>
      </c>
    </row>
    <row r="1159" customFormat="false" ht="15" hidden="false" customHeight="true" outlineLevel="0" collapsed="false">
      <c r="A1159" s="5" t="s">
        <v>3435</v>
      </c>
      <c r="B1159" s="5" t="s">
        <v>1346</v>
      </c>
      <c r="C1159" s="5" t="s">
        <v>2262</v>
      </c>
      <c r="D1159" s="5" t="s">
        <v>2311</v>
      </c>
      <c r="E1159" s="5" t="s">
        <v>59</v>
      </c>
      <c r="F1159" s="5" t="s">
        <v>59</v>
      </c>
      <c r="G1159" s="5" t="str">
        <f aca="false">INDEX(Risk_Matrix!$B$2:$D$4,MATCH(E1159,Risk_Matrix!$A$2:$A$4,0),MATCH(F1159,Risk_Matrix!$B$1:$D$1,0))</f>
        <v>Low</v>
      </c>
      <c r="H1159" s="12" t="n">
        <v>46168</v>
      </c>
      <c r="I1159" s="5" t="s">
        <v>2256</v>
      </c>
      <c r="J1159" s="5" t="s">
        <v>2257</v>
      </c>
      <c r="K1159" s="5" t="s">
        <v>2243</v>
      </c>
      <c r="L1159" s="5" t="n">
        <f aca="false">IF(G1159="High",3,IF(G1159="Medium",2,1))</f>
        <v>1</v>
      </c>
    </row>
    <row r="1160" customFormat="false" ht="15" hidden="false" customHeight="true" outlineLevel="0" collapsed="false">
      <c r="A1160" s="5" t="s">
        <v>3436</v>
      </c>
      <c r="B1160" s="5" t="s">
        <v>1348</v>
      </c>
      <c r="C1160" s="5" t="s">
        <v>2239</v>
      </c>
      <c r="D1160" s="5" t="s">
        <v>2240</v>
      </c>
      <c r="E1160" s="5" t="s">
        <v>59</v>
      </c>
      <c r="F1160" s="5" t="s">
        <v>2225</v>
      </c>
      <c r="G1160" s="5" t="str">
        <f aca="false">INDEX(Risk_Matrix!$B$2:$D$4,MATCH(E1160,Risk_Matrix!$A$2:$A$4,0),MATCH(F1160,Risk_Matrix!$B$1:$D$1,0))</f>
        <v>Low</v>
      </c>
      <c r="H1160" s="12" t="n">
        <v>46104</v>
      </c>
      <c r="I1160" s="5" t="s">
        <v>2264</v>
      </c>
      <c r="J1160" s="5" t="s">
        <v>2265</v>
      </c>
      <c r="K1160" s="5" t="s">
        <v>2266</v>
      </c>
      <c r="L1160" s="5" t="n">
        <f aca="false">IF(G1160="High",3,IF(G1160="Medium",2,1))</f>
        <v>1</v>
      </c>
    </row>
    <row r="1161" customFormat="false" ht="15" hidden="false" customHeight="true" outlineLevel="0" collapsed="false">
      <c r="A1161" s="5" t="s">
        <v>3437</v>
      </c>
      <c r="B1161" s="5" t="s">
        <v>1348</v>
      </c>
      <c r="C1161" s="5" t="s">
        <v>2245</v>
      </c>
      <c r="D1161" s="5" t="s">
        <v>2269</v>
      </c>
      <c r="E1161" s="5" t="s">
        <v>59</v>
      </c>
      <c r="F1161" s="5" t="s">
        <v>59</v>
      </c>
      <c r="G1161" s="5" t="str">
        <f aca="false">INDEX(Risk_Matrix!$B$2:$D$4,MATCH(E1161,Risk_Matrix!$A$2:$A$4,0),MATCH(F1161,Risk_Matrix!$B$1:$D$1,0))</f>
        <v>Low</v>
      </c>
      <c r="H1161" s="12" t="n">
        <v>46129</v>
      </c>
      <c r="I1161" s="5" t="s">
        <v>2264</v>
      </c>
      <c r="J1161" s="5" t="s">
        <v>2265</v>
      </c>
      <c r="K1161" s="5" t="s">
        <v>2252</v>
      </c>
      <c r="L1161" s="5" t="n">
        <f aca="false">IF(G1161="High",3,IF(G1161="Medium",2,1))</f>
        <v>1</v>
      </c>
    </row>
    <row r="1162" customFormat="false" ht="15" hidden="false" customHeight="true" outlineLevel="0" collapsed="false">
      <c r="A1162" s="5" t="s">
        <v>3438</v>
      </c>
      <c r="B1162" s="5" t="s">
        <v>1348</v>
      </c>
      <c r="C1162" s="5" t="s">
        <v>2248</v>
      </c>
      <c r="D1162" s="5" t="s">
        <v>2249</v>
      </c>
      <c r="E1162" s="5" t="s">
        <v>59</v>
      </c>
      <c r="F1162" s="5" t="s">
        <v>59</v>
      </c>
      <c r="G1162" s="5" t="str">
        <f aca="false">INDEX(Risk_Matrix!$B$2:$D$4,MATCH(E1162,Risk_Matrix!$A$2:$A$4,0),MATCH(F1162,Risk_Matrix!$B$1:$D$1,0))</f>
        <v>Low</v>
      </c>
      <c r="H1162" s="12" t="n">
        <v>46117</v>
      </c>
      <c r="I1162" s="5" t="s">
        <v>2250</v>
      </c>
      <c r="J1162" s="5" t="s">
        <v>2251</v>
      </c>
      <c r="K1162" s="5" t="s">
        <v>2283</v>
      </c>
      <c r="L1162" s="5" t="n">
        <f aca="false">IF(G1162="High",3,IF(G1162="Medium",2,1))</f>
        <v>1</v>
      </c>
    </row>
    <row r="1163" customFormat="false" ht="15" hidden="false" customHeight="true" outlineLevel="0" collapsed="false">
      <c r="A1163" s="5" t="s">
        <v>3439</v>
      </c>
      <c r="B1163" s="5" t="s">
        <v>1348</v>
      </c>
      <c r="C1163" s="5" t="s">
        <v>2254</v>
      </c>
      <c r="D1163" s="5" t="s">
        <v>2299</v>
      </c>
      <c r="E1163" s="5" t="s">
        <v>2225</v>
      </c>
      <c r="F1163" s="5" t="s">
        <v>54</v>
      </c>
      <c r="G1163" s="5" t="str">
        <f aca="false">INDEX(Risk_Matrix!$B$2:$D$4,MATCH(E1163,Risk_Matrix!$A$2:$A$4,0),MATCH(F1163,Risk_Matrix!$B$1:$D$1,0))</f>
        <v>High</v>
      </c>
      <c r="H1163" s="12" t="n">
        <v>46061</v>
      </c>
      <c r="I1163" s="5" t="s">
        <v>2250</v>
      </c>
      <c r="J1163" s="5" t="s">
        <v>2251</v>
      </c>
      <c r="K1163" s="5" t="s">
        <v>2283</v>
      </c>
      <c r="L1163" s="5" t="n">
        <f aca="false">IF(G1163="High",3,IF(G1163="Medium",2,1))</f>
        <v>3</v>
      </c>
    </row>
    <row r="1164" customFormat="false" ht="15" hidden="false" customHeight="true" outlineLevel="0" collapsed="false">
      <c r="A1164" s="5" t="s">
        <v>3440</v>
      </c>
      <c r="B1164" s="5" t="s">
        <v>1348</v>
      </c>
      <c r="C1164" s="5" t="s">
        <v>2259</v>
      </c>
      <c r="D1164" s="5" t="s">
        <v>2274</v>
      </c>
      <c r="E1164" s="5" t="s">
        <v>2225</v>
      </c>
      <c r="F1164" s="5" t="s">
        <v>2225</v>
      </c>
      <c r="G1164" s="5" t="str">
        <f aca="false">INDEX(Risk_Matrix!$B$2:$D$4,MATCH(E1164,Risk_Matrix!$A$2:$A$4,0),MATCH(F1164,Risk_Matrix!$B$1:$D$1,0))</f>
        <v>Medium</v>
      </c>
      <c r="H1164" s="12" t="n">
        <v>46188</v>
      </c>
      <c r="I1164" s="5" t="s">
        <v>2264</v>
      </c>
      <c r="J1164" s="5" t="s">
        <v>2265</v>
      </c>
      <c r="K1164" s="5" t="s">
        <v>2276</v>
      </c>
      <c r="L1164" s="5" t="n">
        <f aca="false">IF(G1164="High",3,IF(G1164="Medium",2,1))</f>
        <v>2</v>
      </c>
    </row>
    <row r="1165" customFormat="false" ht="15" hidden="false" customHeight="true" outlineLevel="0" collapsed="false">
      <c r="A1165" s="5" t="s">
        <v>3441</v>
      </c>
      <c r="B1165" s="5" t="s">
        <v>1348</v>
      </c>
      <c r="C1165" s="5" t="s">
        <v>2262</v>
      </c>
      <c r="D1165" s="5" t="s">
        <v>2263</v>
      </c>
      <c r="E1165" s="5" t="s">
        <v>2225</v>
      </c>
      <c r="F1165" s="5" t="s">
        <v>2225</v>
      </c>
      <c r="G1165" s="5" t="str">
        <f aca="false">INDEX(Risk_Matrix!$B$2:$D$4,MATCH(E1165,Risk_Matrix!$A$2:$A$4,0),MATCH(F1165,Risk_Matrix!$B$1:$D$1,0))</f>
        <v>Medium</v>
      </c>
      <c r="H1165" s="12" t="n">
        <v>46157</v>
      </c>
      <c r="I1165" s="5" t="s">
        <v>2256</v>
      </c>
      <c r="J1165" s="5" t="s">
        <v>2257</v>
      </c>
      <c r="K1165" s="5" t="s">
        <v>2276</v>
      </c>
      <c r="L1165" s="5" t="n">
        <f aca="false">IF(G1165="High",3,IF(G1165="Medium",2,1))</f>
        <v>2</v>
      </c>
    </row>
    <row r="1166" customFormat="false" ht="15" hidden="false" customHeight="true" outlineLevel="0" collapsed="false">
      <c r="A1166" s="5" t="s">
        <v>3442</v>
      </c>
      <c r="B1166" s="5" t="s">
        <v>1350</v>
      </c>
      <c r="C1166" s="5" t="s">
        <v>2239</v>
      </c>
      <c r="D1166" s="5" t="s">
        <v>2303</v>
      </c>
      <c r="E1166" s="5" t="s">
        <v>54</v>
      </c>
      <c r="F1166" s="5" t="s">
        <v>54</v>
      </c>
      <c r="G1166" s="5" t="str">
        <f aca="false">INDEX(Risk_Matrix!$B$2:$D$4,MATCH(E1166,Risk_Matrix!$A$2:$A$4,0),MATCH(F1166,Risk_Matrix!$B$1:$D$1,0))</f>
        <v>High</v>
      </c>
      <c r="H1166" s="12" t="n">
        <v>46157</v>
      </c>
      <c r="I1166" s="5" t="s">
        <v>2250</v>
      </c>
      <c r="J1166" s="5" t="s">
        <v>2251</v>
      </c>
      <c r="K1166" s="5" t="s">
        <v>2276</v>
      </c>
      <c r="L1166" s="5" t="n">
        <f aca="false">IF(G1166="High",3,IF(G1166="Medium",2,1))</f>
        <v>3</v>
      </c>
    </row>
    <row r="1167" customFormat="false" ht="15" hidden="false" customHeight="true" outlineLevel="0" collapsed="false">
      <c r="A1167" s="5" t="s">
        <v>3443</v>
      </c>
      <c r="B1167" s="5" t="s">
        <v>1350</v>
      </c>
      <c r="C1167" s="5" t="s">
        <v>2245</v>
      </c>
      <c r="D1167" s="5" t="s">
        <v>2280</v>
      </c>
      <c r="E1167" s="5" t="s">
        <v>59</v>
      </c>
      <c r="F1167" s="5" t="s">
        <v>2225</v>
      </c>
      <c r="G1167" s="5" t="str">
        <f aca="false">INDEX(Risk_Matrix!$B$2:$D$4,MATCH(E1167,Risk_Matrix!$A$2:$A$4,0),MATCH(F1167,Risk_Matrix!$B$1:$D$1,0))</f>
        <v>Low</v>
      </c>
      <c r="H1167" s="12" t="n">
        <v>46206</v>
      </c>
      <c r="I1167" s="5" t="s">
        <v>2241</v>
      </c>
      <c r="J1167" s="5" t="s">
        <v>2242</v>
      </c>
      <c r="K1167" s="5" t="s">
        <v>2243</v>
      </c>
      <c r="L1167" s="5" t="n">
        <f aca="false">IF(G1167="High",3,IF(G1167="Medium",2,1))</f>
        <v>1</v>
      </c>
    </row>
    <row r="1168" customFormat="false" ht="15" hidden="false" customHeight="true" outlineLevel="0" collapsed="false">
      <c r="A1168" s="5" t="s">
        <v>3444</v>
      </c>
      <c r="B1168" s="5" t="s">
        <v>1350</v>
      </c>
      <c r="C1168" s="5" t="s">
        <v>2248</v>
      </c>
      <c r="D1168" s="5" t="s">
        <v>2306</v>
      </c>
      <c r="E1168" s="5" t="s">
        <v>59</v>
      </c>
      <c r="F1168" s="5" t="s">
        <v>2225</v>
      </c>
      <c r="G1168" s="5" t="str">
        <f aca="false">INDEX(Risk_Matrix!$B$2:$D$4,MATCH(E1168,Risk_Matrix!$A$2:$A$4,0),MATCH(F1168,Risk_Matrix!$B$1:$D$1,0))</f>
        <v>Low</v>
      </c>
      <c r="H1168" s="12" t="n">
        <v>46060</v>
      </c>
      <c r="I1168" s="5" t="s">
        <v>2256</v>
      </c>
      <c r="J1168" s="5" t="s">
        <v>2257</v>
      </c>
      <c r="K1168" s="5" t="s">
        <v>2283</v>
      </c>
      <c r="L1168" s="5" t="n">
        <f aca="false">IF(G1168="High",3,IF(G1168="Medium",2,1))</f>
        <v>1</v>
      </c>
    </row>
    <row r="1169" customFormat="false" ht="15" hidden="false" customHeight="true" outlineLevel="0" collapsed="false">
      <c r="A1169" s="5" t="s">
        <v>3445</v>
      </c>
      <c r="B1169" s="5" t="s">
        <v>1350</v>
      </c>
      <c r="C1169" s="5" t="s">
        <v>2254</v>
      </c>
      <c r="D1169" s="5" t="s">
        <v>2255</v>
      </c>
      <c r="E1169" s="5" t="s">
        <v>2225</v>
      </c>
      <c r="F1169" s="5" t="s">
        <v>59</v>
      </c>
      <c r="G1169" s="5" t="str">
        <f aca="false">INDEX(Risk_Matrix!$B$2:$D$4,MATCH(E1169,Risk_Matrix!$A$2:$A$4,0),MATCH(F1169,Risk_Matrix!$B$1:$D$1,0))</f>
        <v>Low</v>
      </c>
      <c r="H1169" s="12" t="n">
        <v>46190</v>
      </c>
      <c r="I1169" s="5" t="s">
        <v>2256</v>
      </c>
      <c r="J1169" s="5" t="s">
        <v>2257</v>
      </c>
      <c r="K1169" s="5" t="s">
        <v>2283</v>
      </c>
      <c r="L1169" s="5" t="n">
        <f aca="false">IF(G1169="High",3,IF(G1169="Medium",2,1))</f>
        <v>1</v>
      </c>
    </row>
    <row r="1170" customFormat="false" ht="15" hidden="false" customHeight="true" outlineLevel="0" collapsed="false">
      <c r="A1170" s="5" t="s">
        <v>3446</v>
      </c>
      <c r="B1170" s="5" t="s">
        <v>1350</v>
      </c>
      <c r="C1170" s="5" t="s">
        <v>2259</v>
      </c>
      <c r="D1170" s="5" t="s">
        <v>2260</v>
      </c>
      <c r="E1170" s="5" t="s">
        <v>59</v>
      </c>
      <c r="F1170" s="5" t="s">
        <v>59</v>
      </c>
      <c r="G1170" s="5" t="str">
        <f aca="false">INDEX(Risk_Matrix!$B$2:$D$4,MATCH(E1170,Risk_Matrix!$A$2:$A$4,0),MATCH(F1170,Risk_Matrix!$B$1:$D$1,0))</f>
        <v>Low</v>
      </c>
      <c r="H1170" s="12" t="n">
        <v>46160</v>
      </c>
      <c r="I1170" s="5" t="s">
        <v>2256</v>
      </c>
      <c r="J1170" s="5" t="s">
        <v>2257</v>
      </c>
      <c r="K1170" s="5" t="s">
        <v>2283</v>
      </c>
      <c r="L1170" s="5" t="n">
        <f aca="false">IF(G1170="High",3,IF(G1170="Medium",2,1))</f>
        <v>1</v>
      </c>
    </row>
    <row r="1171" customFormat="false" ht="15" hidden="false" customHeight="true" outlineLevel="0" collapsed="false">
      <c r="A1171" s="5" t="s">
        <v>3447</v>
      </c>
      <c r="B1171" s="5" t="s">
        <v>1350</v>
      </c>
      <c r="C1171" s="5" t="s">
        <v>2262</v>
      </c>
      <c r="D1171" s="5" t="s">
        <v>2287</v>
      </c>
      <c r="E1171" s="5" t="s">
        <v>2225</v>
      </c>
      <c r="F1171" s="5" t="s">
        <v>2225</v>
      </c>
      <c r="G1171" s="5" t="str">
        <f aca="false">INDEX(Risk_Matrix!$B$2:$D$4,MATCH(E1171,Risk_Matrix!$A$2:$A$4,0),MATCH(F1171,Risk_Matrix!$B$1:$D$1,0))</f>
        <v>Medium</v>
      </c>
      <c r="H1171" s="12" t="n">
        <v>46133</v>
      </c>
      <c r="I1171" s="5" t="s">
        <v>2250</v>
      </c>
      <c r="J1171" s="5" t="s">
        <v>2251</v>
      </c>
      <c r="K1171" s="5" t="s">
        <v>2252</v>
      </c>
      <c r="L1171" s="5" t="n">
        <f aca="false">IF(G1171="High",3,IF(G1171="Medium",2,1))</f>
        <v>2</v>
      </c>
    </row>
    <row r="1172" customFormat="false" ht="15" hidden="false" customHeight="true" outlineLevel="0" collapsed="false">
      <c r="A1172" s="5" t="s">
        <v>3448</v>
      </c>
      <c r="B1172" s="5" t="s">
        <v>1351</v>
      </c>
      <c r="C1172" s="5" t="s">
        <v>2239</v>
      </c>
      <c r="D1172" s="5" t="s">
        <v>2278</v>
      </c>
      <c r="E1172" s="5" t="s">
        <v>2225</v>
      </c>
      <c r="F1172" s="5" t="s">
        <v>59</v>
      </c>
      <c r="G1172" s="5" t="str">
        <f aca="false">INDEX(Risk_Matrix!$B$2:$D$4,MATCH(E1172,Risk_Matrix!$A$2:$A$4,0),MATCH(F1172,Risk_Matrix!$B$1:$D$1,0))</f>
        <v>Low</v>
      </c>
      <c r="H1172" s="12" t="n">
        <v>46153</v>
      </c>
      <c r="I1172" s="5" t="s">
        <v>2241</v>
      </c>
      <c r="J1172" s="5" t="s">
        <v>2242</v>
      </c>
      <c r="K1172" s="5" t="s">
        <v>2276</v>
      </c>
      <c r="L1172" s="5" t="n">
        <f aca="false">IF(G1172="High",3,IF(G1172="Medium",2,1))</f>
        <v>1</v>
      </c>
    </row>
    <row r="1173" customFormat="false" ht="15" hidden="false" customHeight="true" outlineLevel="0" collapsed="false">
      <c r="A1173" s="5" t="s">
        <v>3449</v>
      </c>
      <c r="B1173" s="5" t="s">
        <v>1351</v>
      </c>
      <c r="C1173" s="5" t="s">
        <v>2245</v>
      </c>
      <c r="D1173" s="5" t="s">
        <v>2320</v>
      </c>
      <c r="E1173" s="5" t="s">
        <v>59</v>
      </c>
      <c r="F1173" s="5" t="s">
        <v>59</v>
      </c>
      <c r="G1173" s="5" t="str">
        <f aca="false">INDEX(Risk_Matrix!$B$2:$D$4,MATCH(E1173,Risk_Matrix!$A$2:$A$4,0),MATCH(F1173,Risk_Matrix!$B$1:$D$1,0))</f>
        <v>Low</v>
      </c>
      <c r="H1173" s="12" t="n">
        <v>46197</v>
      </c>
      <c r="I1173" s="5" t="s">
        <v>2250</v>
      </c>
      <c r="J1173" s="5" t="s">
        <v>2251</v>
      </c>
      <c r="K1173" s="5" t="s">
        <v>2283</v>
      </c>
      <c r="L1173" s="5" t="n">
        <f aca="false">IF(G1173="High",3,IF(G1173="Medium",2,1))</f>
        <v>1</v>
      </c>
    </row>
    <row r="1174" customFormat="false" ht="15" hidden="false" customHeight="true" outlineLevel="0" collapsed="false">
      <c r="A1174" s="5" t="s">
        <v>3450</v>
      </c>
      <c r="B1174" s="5" t="s">
        <v>1351</v>
      </c>
      <c r="C1174" s="5" t="s">
        <v>2248</v>
      </c>
      <c r="D1174" s="5" t="s">
        <v>2271</v>
      </c>
      <c r="E1174" s="5" t="s">
        <v>59</v>
      </c>
      <c r="F1174" s="5" t="s">
        <v>2225</v>
      </c>
      <c r="G1174" s="5" t="str">
        <f aca="false">INDEX(Risk_Matrix!$B$2:$D$4,MATCH(E1174,Risk_Matrix!$A$2:$A$4,0),MATCH(F1174,Risk_Matrix!$B$1:$D$1,0))</f>
        <v>Low</v>
      </c>
      <c r="H1174" s="12" t="n">
        <v>46127</v>
      </c>
      <c r="I1174" s="5" t="s">
        <v>2250</v>
      </c>
      <c r="J1174" s="5" t="s">
        <v>2251</v>
      </c>
      <c r="K1174" s="5" t="s">
        <v>2252</v>
      </c>
      <c r="L1174" s="5" t="n">
        <f aca="false">IF(G1174="High",3,IF(G1174="Medium",2,1))</f>
        <v>1</v>
      </c>
    </row>
    <row r="1175" customFormat="false" ht="15" hidden="false" customHeight="true" outlineLevel="0" collapsed="false">
      <c r="A1175" s="5" t="s">
        <v>3451</v>
      </c>
      <c r="B1175" s="5" t="s">
        <v>1351</v>
      </c>
      <c r="C1175" s="5" t="s">
        <v>2254</v>
      </c>
      <c r="D1175" s="5" t="s">
        <v>2299</v>
      </c>
      <c r="E1175" s="5" t="s">
        <v>2225</v>
      </c>
      <c r="F1175" s="5" t="s">
        <v>54</v>
      </c>
      <c r="G1175" s="5" t="str">
        <f aca="false">INDEX(Risk_Matrix!$B$2:$D$4,MATCH(E1175,Risk_Matrix!$A$2:$A$4,0),MATCH(F1175,Risk_Matrix!$B$1:$D$1,0))</f>
        <v>High</v>
      </c>
      <c r="H1175" s="12" t="n">
        <v>46216</v>
      </c>
      <c r="I1175" s="5" t="s">
        <v>2264</v>
      </c>
      <c r="J1175" s="5" t="s">
        <v>2265</v>
      </c>
      <c r="K1175" s="5" t="s">
        <v>2276</v>
      </c>
      <c r="L1175" s="5" t="n">
        <f aca="false">IF(G1175="High",3,IF(G1175="Medium",2,1))</f>
        <v>3</v>
      </c>
    </row>
    <row r="1176" customFormat="false" ht="15" hidden="false" customHeight="true" outlineLevel="0" collapsed="false">
      <c r="A1176" s="5" t="s">
        <v>3452</v>
      </c>
      <c r="B1176" s="5" t="s">
        <v>1351</v>
      </c>
      <c r="C1176" s="5" t="s">
        <v>2259</v>
      </c>
      <c r="D1176" s="5" t="s">
        <v>2260</v>
      </c>
      <c r="E1176" s="5" t="s">
        <v>2225</v>
      </c>
      <c r="F1176" s="5" t="s">
        <v>2225</v>
      </c>
      <c r="G1176" s="5" t="str">
        <f aca="false">INDEX(Risk_Matrix!$B$2:$D$4,MATCH(E1176,Risk_Matrix!$A$2:$A$4,0),MATCH(F1176,Risk_Matrix!$B$1:$D$1,0))</f>
        <v>Medium</v>
      </c>
      <c r="H1176" s="12" t="n">
        <v>46111</v>
      </c>
      <c r="I1176" s="5" t="s">
        <v>2250</v>
      </c>
      <c r="J1176" s="5" t="s">
        <v>2251</v>
      </c>
      <c r="K1176" s="5" t="s">
        <v>2283</v>
      </c>
      <c r="L1176" s="5" t="n">
        <f aca="false">IF(G1176="High",3,IF(G1176="Medium",2,1))</f>
        <v>2</v>
      </c>
    </row>
    <row r="1177" customFormat="false" ht="15" hidden="false" customHeight="true" outlineLevel="0" collapsed="false">
      <c r="A1177" s="5" t="s">
        <v>3453</v>
      </c>
      <c r="B1177" s="5" t="s">
        <v>1351</v>
      </c>
      <c r="C1177" s="5" t="s">
        <v>2262</v>
      </c>
      <c r="D1177" s="5" t="s">
        <v>2263</v>
      </c>
      <c r="E1177" s="5" t="s">
        <v>59</v>
      </c>
      <c r="F1177" s="5" t="s">
        <v>59</v>
      </c>
      <c r="G1177" s="5" t="str">
        <f aca="false">INDEX(Risk_Matrix!$B$2:$D$4,MATCH(E1177,Risk_Matrix!$A$2:$A$4,0),MATCH(F1177,Risk_Matrix!$B$1:$D$1,0))</f>
        <v>Low</v>
      </c>
      <c r="H1177" s="12" t="n">
        <v>46230</v>
      </c>
      <c r="I1177" s="5" t="s">
        <v>2250</v>
      </c>
      <c r="J1177" s="5" t="s">
        <v>2251</v>
      </c>
      <c r="K1177" s="5" t="s">
        <v>2252</v>
      </c>
      <c r="L1177" s="5" t="n">
        <f aca="false">IF(G1177="High",3,IF(G1177="Medium",2,1))</f>
        <v>1</v>
      </c>
    </row>
    <row r="1178" customFormat="false" ht="15" hidden="false" customHeight="true" outlineLevel="0" collapsed="false">
      <c r="A1178" s="5" t="s">
        <v>3454</v>
      </c>
      <c r="B1178" s="5" t="s">
        <v>1352</v>
      </c>
      <c r="C1178" s="5" t="s">
        <v>2239</v>
      </c>
      <c r="D1178" s="5" t="s">
        <v>2295</v>
      </c>
      <c r="E1178" s="5" t="s">
        <v>59</v>
      </c>
      <c r="F1178" s="5" t="s">
        <v>2225</v>
      </c>
      <c r="G1178" s="5" t="str">
        <f aca="false">INDEX(Risk_Matrix!$B$2:$D$4,MATCH(E1178,Risk_Matrix!$A$2:$A$4,0),MATCH(F1178,Risk_Matrix!$B$1:$D$1,0))</f>
        <v>Low</v>
      </c>
      <c r="H1178" s="12" t="n">
        <v>46209</v>
      </c>
      <c r="I1178" s="5" t="s">
        <v>2250</v>
      </c>
      <c r="J1178" s="5" t="s">
        <v>2251</v>
      </c>
      <c r="K1178" s="5" t="s">
        <v>2266</v>
      </c>
      <c r="L1178" s="5" t="n">
        <f aca="false">IF(G1178="High",3,IF(G1178="Medium",2,1))</f>
        <v>1</v>
      </c>
    </row>
    <row r="1179" customFormat="false" ht="15" hidden="false" customHeight="true" outlineLevel="0" collapsed="false">
      <c r="A1179" s="5" t="s">
        <v>3455</v>
      </c>
      <c r="B1179" s="5" t="s">
        <v>1352</v>
      </c>
      <c r="C1179" s="5" t="s">
        <v>2245</v>
      </c>
      <c r="D1179" s="5" t="s">
        <v>2280</v>
      </c>
      <c r="E1179" s="5" t="s">
        <v>54</v>
      </c>
      <c r="F1179" s="5" t="s">
        <v>59</v>
      </c>
      <c r="G1179" s="5" t="str">
        <f aca="false">INDEX(Risk_Matrix!$B$2:$D$4,MATCH(E1179,Risk_Matrix!$A$2:$A$4,0),MATCH(F1179,Risk_Matrix!$B$1:$D$1,0))</f>
        <v>Medium</v>
      </c>
      <c r="H1179" s="12" t="n">
        <v>46120</v>
      </c>
      <c r="I1179" s="5" t="s">
        <v>2264</v>
      </c>
      <c r="J1179" s="5" t="s">
        <v>2265</v>
      </c>
      <c r="K1179" s="5" t="s">
        <v>2243</v>
      </c>
      <c r="L1179" s="5" t="n">
        <f aca="false">IF(G1179="High",3,IF(G1179="Medium",2,1))</f>
        <v>2</v>
      </c>
    </row>
    <row r="1180" customFormat="false" ht="15" hidden="false" customHeight="true" outlineLevel="0" collapsed="false">
      <c r="A1180" s="5" t="s">
        <v>3456</v>
      </c>
      <c r="B1180" s="5" t="s">
        <v>1352</v>
      </c>
      <c r="C1180" s="5" t="s">
        <v>2248</v>
      </c>
      <c r="D1180" s="5" t="s">
        <v>2271</v>
      </c>
      <c r="E1180" s="5" t="s">
        <v>59</v>
      </c>
      <c r="F1180" s="5" t="s">
        <v>59</v>
      </c>
      <c r="G1180" s="5" t="str">
        <f aca="false">INDEX(Risk_Matrix!$B$2:$D$4,MATCH(E1180,Risk_Matrix!$A$2:$A$4,0),MATCH(F1180,Risk_Matrix!$B$1:$D$1,0))</f>
        <v>Low</v>
      </c>
      <c r="H1180" s="12" t="n">
        <v>46166</v>
      </c>
      <c r="I1180" s="5" t="s">
        <v>2256</v>
      </c>
      <c r="J1180" s="5" t="s">
        <v>2257</v>
      </c>
      <c r="K1180" s="5" t="s">
        <v>2252</v>
      </c>
      <c r="L1180" s="5" t="n">
        <f aca="false">IF(G1180="High",3,IF(G1180="Medium",2,1))</f>
        <v>1</v>
      </c>
    </row>
    <row r="1181" customFormat="false" ht="15" hidden="false" customHeight="true" outlineLevel="0" collapsed="false">
      <c r="A1181" s="5" t="s">
        <v>3457</v>
      </c>
      <c r="B1181" s="5" t="s">
        <v>1352</v>
      </c>
      <c r="C1181" s="5" t="s">
        <v>2254</v>
      </c>
      <c r="D1181" s="5" t="s">
        <v>2299</v>
      </c>
      <c r="E1181" s="5" t="s">
        <v>59</v>
      </c>
      <c r="F1181" s="5" t="s">
        <v>2225</v>
      </c>
      <c r="G1181" s="5" t="str">
        <f aca="false">INDEX(Risk_Matrix!$B$2:$D$4,MATCH(E1181,Risk_Matrix!$A$2:$A$4,0),MATCH(F1181,Risk_Matrix!$B$1:$D$1,0))</f>
        <v>Low</v>
      </c>
      <c r="H1181" s="12" t="n">
        <v>46132</v>
      </c>
      <c r="I1181" s="5" t="s">
        <v>2264</v>
      </c>
      <c r="J1181" s="5" t="s">
        <v>2265</v>
      </c>
      <c r="K1181" s="5" t="s">
        <v>2266</v>
      </c>
      <c r="L1181" s="5" t="n">
        <f aca="false">IF(G1181="High",3,IF(G1181="Medium",2,1))</f>
        <v>1</v>
      </c>
    </row>
    <row r="1182" customFormat="false" ht="15" hidden="false" customHeight="true" outlineLevel="0" collapsed="false">
      <c r="A1182" s="5" t="s">
        <v>3458</v>
      </c>
      <c r="B1182" s="5" t="s">
        <v>1352</v>
      </c>
      <c r="C1182" s="5" t="s">
        <v>2259</v>
      </c>
      <c r="D1182" s="5" t="s">
        <v>2260</v>
      </c>
      <c r="E1182" s="5" t="s">
        <v>54</v>
      </c>
      <c r="F1182" s="5" t="s">
        <v>59</v>
      </c>
      <c r="G1182" s="5" t="str">
        <f aca="false">INDEX(Risk_Matrix!$B$2:$D$4,MATCH(E1182,Risk_Matrix!$A$2:$A$4,0),MATCH(F1182,Risk_Matrix!$B$1:$D$1,0))</f>
        <v>Medium</v>
      </c>
      <c r="H1182" s="12" t="n">
        <v>46199</v>
      </c>
      <c r="I1182" s="5" t="s">
        <v>2256</v>
      </c>
      <c r="J1182" s="5" t="s">
        <v>2257</v>
      </c>
      <c r="K1182" s="5" t="s">
        <v>2252</v>
      </c>
      <c r="L1182" s="5" t="n">
        <f aca="false">IF(G1182="High",3,IF(G1182="Medium",2,1))</f>
        <v>2</v>
      </c>
    </row>
    <row r="1183" customFormat="false" ht="15" hidden="false" customHeight="true" outlineLevel="0" collapsed="false">
      <c r="A1183" s="5" t="s">
        <v>3459</v>
      </c>
      <c r="B1183" s="5" t="s">
        <v>1352</v>
      </c>
      <c r="C1183" s="5" t="s">
        <v>2262</v>
      </c>
      <c r="D1183" s="5" t="s">
        <v>2263</v>
      </c>
      <c r="E1183" s="5" t="s">
        <v>2225</v>
      </c>
      <c r="F1183" s="5" t="s">
        <v>2225</v>
      </c>
      <c r="G1183" s="5" t="str">
        <f aca="false">INDEX(Risk_Matrix!$B$2:$D$4,MATCH(E1183,Risk_Matrix!$A$2:$A$4,0),MATCH(F1183,Risk_Matrix!$B$1:$D$1,0))</f>
        <v>Medium</v>
      </c>
      <c r="H1183" s="12" t="n">
        <v>46092</v>
      </c>
      <c r="I1183" s="5" t="s">
        <v>2256</v>
      </c>
      <c r="J1183" s="5" t="s">
        <v>2257</v>
      </c>
      <c r="K1183" s="5" t="s">
        <v>2243</v>
      </c>
      <c r="L1183" s="5" t="n">
        <f aca="false">IF(G1183="High",3,IF(G1183="Medium",2,1))</f>
        <v>2</v>
      </c>
    </row>
    <row r="1184" customFormat="false" ht="15" hidden="false" customHeight="true" outlineLevel="0" collapsed="false">
      <c r="A1184" s="5" t="s">
        <v>3460</v>
      </c>
      <c r="B1184" s="5" t="s">
        <v>1353</v>
      </c>
      <c r="C1184" s="5" t="s">
        <v>2239</v>
      </c>
      <c r="D1184" s="5" t="s">
        <v>2303</v>
      </c>
      <c r="E1184" s="5" t="s">
        <v>2225</v>
      </c>
      <c r="F1184" s="5" t="s">
        <v>59</v>
      </c>
      <c r="G1184" s="5" t="str">
        <f aca="false">INDEX(Risk_Matrix!$B$2:$D$4,MATCH(E1184,Risk_Matrix!$A$2:$A$4,0),MATCH(F1184,Risk_Matrix!$B$1:$D$1,0))</f>
        <v>Low</v>
      </c>
      <c r="H1184" s="12" t="n">
        <v>46138</v>
      </c>
      <c r="I1184" s="5" t="s">
        <v>2250</v>
      </c>
      <c r="J1184" s="5" t="s">
        <v>2251</v>
      </c>
      <c r="K1184" s="5" t="s">
        <v>2276</v>
      </c>
      <c r="L1184" s="5" t="n">
        <f aca="false">IF(G1184="High",3,IF(G1184="Medium",2,1))</f>
        <v>1</v>
      </c>
    </row>
    <row r="1185" customFormat="false" ht="15" hidden="false" customHeight="true" outlineLevel="0" collapsed="false">
      <c r="A1185" s="5" t="s">
        <v>3461</v>
      </c>
      <c r="B1185" s="5" t="s">
        <v>1353</v>
      </c>
      <c r="C1185" s="5" t="s">
        <v>2245</v>
      </c>
      <c r="D1185" s="5" t="s">
        <v>2280</v>
      </c>
      <c r="E1185" s="5" t="s">
        <v>59</v>
      </c>
      <c r="F1185" s="5" t="s">
        <v>2225</v>
      </c>
      <c r="G1185" s="5" t="str">
        <f aca="false">INDEX(Risk_Matrix!$B$2:$D$4,MATCH(E1185,Risk_Matrix!$A$2:$A$4,0),MATCH(F1185,Risk_Matrix!$B$1:$D$1,0))</f>
        <v>Low</v>
      </c>
      <c r="H1185" s="12" t="n">
        <v>46194</v>
      </c>
      <c r="I1185" s="5" t="s">
        <v>2241</v>
      </c>
      <c r="J1185" s="5" t="s">
        <v>2242</v>
      </c>
      <c r="K1185" s="5" t="s">
        <v>2243</v>
      </c>
      <c r="L1185" s="5" t="n">
        <f aca="false">IF(G1185="High",3,IF(G1185="Medium",2,1))</f>
        <v>1</v>
      </c>
    </row>
    <row r="1186" customFormat="false" ht="15" hidden="false" customHeight="true" outlineLevel="0" collapsed="false">
      <c r="A1186" s="5" t="s">
        <v>3462</v>
      </c>
      <c r="B1186" s="5" t="s">
        <v>1353</v>
      </c>
      <c r="C1186" s="5" t="s">
        <v>2248</v>
      </c>
      <c r="D1186" s="5" t="s">
        <v>2249</v>
      </c>
      <c r="E1186" s="5" t="s">
        <v>2225</v>
      </c>
      <c r="F1186" s="5" t="s">
        <v>59</v>
      </c>
      <c r="G1186" s="5" t="str">
        <f aca="false">INDEX(Risk_Matrix!$B$2:$D$4,MATCH(E1186,Risk_Matrix!$A$2:$A$4,0),MATCH(F1186,Risk_Matrix!$B$1:$D$1,0))</f>
        <v>Low</v>
      </c>
      <c r="H1186" s="12" t="n">
        <v>46206</v>
      </c>
      <c r="I1186" s="5" t="s">
        <v>2256</v>
      </c>
      <c r="J1186" s="5" t="s">
        <v>2257</v>
      </c>
      <c r="K1186" s="5" t="s">
        <v>2283</v>
      </c>
      <c r="L1186" s="5" t="n">
        <f aca="false">IF(G1186="High",3,IF(G1186="Medium",2,1))</f>
        <v>1</v>
      </c>
    </row>
    <row r="1187" customFormat="false" ht="15" hidden="false" customHeight="true" outlineLevel="0" collapsed="false">
      <c r="A1187" s="5" t="s">
        <v>3463</v>
      </c>
      <c r="B1187" s="5" t="s">
        <v>1353</v>
      </c>
      <c r="C1187" s="5" t="s">
        <v>2254</v>
      </c>
      <c r="D1187" s="5" t="s">
        <v>2255</v>
      </c>
      <c r="E1187" s="5" t="s">
        <v>2225</v>
      </c>
      <c r="F1187" s="5" t="s">
        <v>2225</v>
      </c>
      <c r="G1187" s="5" t="str">
        <f aca="false">INDEX(Risk_Matrix!$B$2:$D$4,MATCH(E1187,Risk_Matrix!$A$2:$A$4,0),MATCH(F1187,Risk_Matrix!$B$1:$D$1,0))</f>
        <v>Medium</v>
      </c>
      <c r="H1187" s="12" t="n">
        <v>46078</v>
      </c>
      <c r="I1187" s="5" t="s">
        <v>2264</v>
      </c>
      <c r="J1187" s="5" t="s">
        <v>2265</v>
      </c>
      <c r="K1187" s="5" t="s">
        <v>2252</v>
      </c>
      <c r="L1187" s="5" t="n">
        <f aca="false">IF(G1187="High",3,IF(G1187="Medium",2,1))</f>
        <v>2</v>
      </c>
    </row>
    <row r="1188" customFormat="false" ht="15" hidden="false" customHeight="true" outlineLevel="0" collapsed="false">
      <c r="A1188" s="5" t="s">
        <v>3464</v>
      </c>
      <c r="B1188" s="5" t="s">
        <v>1353</v>
      </c>
      <c r="C1188" s="5" t="s">
        <v>2259</v>
      </c>
      <c r="D1188" s="5" t="s">
        <v>2285</v>
      </c>
      <c r="E1188" s="5" t="s">
        <v>59</v>
      </c>
      <c r="F1188" s="5" t="s">
        <v>59</v>
      </c>
      <c r="G1188" s="5" t="str">
        <f aca="false">INDEX(Risk_Matrix!$B$2:$D$4,MATCH(E1188,Risk_Matrix!$A$2:$A$4,0),MATCH(F1188,Risk_Matrix!$B$1:$D$1,0))</f>
        <v>Low</v>
      </c>
      <c r="H1188" s="12" t="n">
        <v>46232</v>
      </c>
      <c r="I1188" s="5" t="s">
        <v>2256</v>
      </c>
      <c r="J1188" s="5" t="s">
        <v>2257</v>
      </c>
      <c r="K1188" s="5" t="s">
        <v>2243</v>
      </c>
      <c r="L1188" s="5" t="n">
        <f aca="false">IF(G1188="High",3,IF(G1188="Medium",2,1))</f>
        <v>1</v>
      </c>
    </row>
    <row r="1189" customFormat="false" ht="15" hidden="false" customHeight="true" outlineLevel="0" collapsed="false">
      <c r="A1189" s="5" t="s">
        <v>3465</v>
      </c>
      <c r="B1189" s="5" t="s">
        <v>1353</v>
      </c>
      <c r="C1189" s="5" t="s">
        <v>2262</v>
      </c>
      <c r="D1189" s="5" t="s">
        <v>2287</v>
      </c>
      <c r="E1189" s="5" t="s">
        <v>2225</v>
      </c>
      <c r="F1189" s="5" t="s">
        <v>2225</v>
      </c>
      <c r="G1189" s="5" t="str">
        <f aca="false">INDEX(Risk_Matrix!$B$2:$D$4,MATCH(E1189,Risk_Matrix!$A$2:$A$4,0),MATCH(F1189,Risk_Matrix!$B$1:$D$1,0))</f>
        <v>Medium</v>
      </c>
      <c r="H1189" s="12" t="n">
        <v>46099</v>
      </c>
      <c r="I1189" s="5" t="s">
        <v>2256</v>
      </c>
      <c r="J1189" s="5" t="s">
        <v>2257</v>
      </c>
      <c r="K1189" s="5" t="s">
        <v>2276</v>
      </c>
      <c r="L1189" s="5" t="n">
        <f aca="false">IF(G1189="High",3,IF(G1189="Medium",2,1))</f>
        <v>2</v>
      </c>
    </row>
    <row r="1190" customFormat="false" ht="15" hidden="false" customHeight="true" outlineLevel="0" collapsed="false">
      <c r="A1190" s="5" t="s">
        <v>3466</v>
      </c>
      <c r="B1190" s="5" t="s">
        <v>1354</v>
      </c>
      <c r="C1190" s="5" t="s">
        <v>2239</v>
      </c>
      <c r="D1190" s="5" t="s">
        <v>2295</v>
      </c>
      <c r="E1190" s="5" t="s">
        <v>59</v>
      </c>
      <c r="F1190" s="5" t="s">
        <v>2225</v>
      </c>
      <c r="G1190" s="5" t="str">
        <f aca="false">INDEX(Risk_Matrix!$B$2:$D$4,MATCH(E1190,Risk_Matrix!$A$2:$A$4,0),MATCH(F1190,Risk_Matrix!$B$1:$D$1,0))</f>
        <v>Low</v>
      </c>
      <c r="H1190" s="12" t="n">
        <v>46076</v>
      </c>
      <c r="I1190" s="5" t="s">
        <v>2241</v>
      </c>
      <c r="J1190" s="5" t="s">
        <v>2242</v>
      </c>
      <c r="K1190" s="5" t="s">
        <v>2252</v>
      </c>
      <c r="L1190" s="5" t="n">
        <f aca="false">IF(G1190="High",3,IF(G1190="Medium",2,1))</f>
        <v>1</v>
      </c>
    </row>
    <row r="1191" customFormat="false" ht="15" hidden="false" customHeight="true" outlineLevel="0" collapsed="false">
      <c r="A1191" s="5" t="s">
        <v>3467</v>
      </c>
      <c r="B1191" s="5" t="s">
        <v>1354</v>
      </c>
      <c r="C1191" s="5" t="s">
        <v>2245</v>
      </c>
      <c r="D1191" s="5" t="s">
        <v>2320</v>
      </c>
      <c r="E1191" s="5" t="s">
        <v>59</v>
      </c>
      <c r="F1191" s="5" t="s">
        <v>54</v>
      </c>
      <c r="G1191" s="5" t="str">
        <f aca="false">INDEX(Risk_Matrix!$B$2:$D$4,MATCH(E1191,Risk_Matrix!$A$2:$A$4,0),MATCH(F1191,Risk_Matrix!$B$1:$D$1,0))</f>
        <v>Medium</v>
      </c>
      <c r="H1191" s="12" t="n">
        <v>46101</v>
      </c>
      <c r="I1191" s="5" t="s">
        <v>2256</v>
      </c>
      <c r="J1191" s="5" t="s">
        <v>2257</v>
      </c>
      <c r="K1191" s="5" t="s">
        <v>2266</v>
      </c>
      <c r="L1191" s="5" t="n">
        <f aca="false">IF(G1191="High",3,IF(G1191="Medium",2,1))</f>
        <v>2</v>
      </c>
    </row>
    <row r="1192" customFormat="false" ht="15" hidden="false" customHeight="true" outlineLevel="0" collapsed="false">
      <c r="A1192" s="5" t="s">
        <v>3468</v>
      </c>
      <c r="B1192" s="5" t="s">
        <v>1354</v>
      </c>
      <c r="C1192" s="5" t="s">
        <v>2248</v>
      </c>
      <c r="D1192" s="5" t="s">
        <v>2271</v>
      </c>
      <c r="E1192" s="5" t="s">
        <v>2225</v>
      </c>
      <c r="F1192" s="5" t="s">
        <v>2225</v>
      </c>
      <c r="G1192" s="5" t="str">
        <f aca="false">INDEX(Risk_Matrix!$B$2:$D$4,MATCH(E1192,Risk_Matrix!$A$2:$A$4,0),MATCH(F1192,Risk_Matrix!$B$1:$D$1,0))</f>
        <v>Medium</v>
      </c>
      <c r="H1192" s="12" t="n">
        <v>46202</v>
      </c>
      <c r="I1192" s="5" t="s">
        <v>2256</v>
      </c>
      <c r="J1192" s="5" t="s">
        <v>2257</v>
      </c>
      <c r="K1192" s="5" t="s">
        <v>2276</v>
      </c>
      <c r="L1192" s="5" t="n">
        <f aca="false">IF(G1192="High",3,IF(G1192="Medium",2,1))</f>
        <v>2</v>
      </c>
    </row>
    <row r="1193" customFormat="false" ht="15" hidden="false" customHeight="true" outlineLevel="0" collapsed="false">
      <c r="A1193" s="5" t="s">
        <v>3469</v>
      </c>
      <c r="B1193" s="5" t="s">
        <v>1354</v>
      </c>
      <c r="C1193" s="5" t="s">
        <v>2254</v>
      </c>
      <c r="D1193" s="5" t="s">
        <v>2299</v>
      </c>
      <c r="E1193" s="5" t="s">
        <v>54</v>
      </c>
      <c r="F1193" s="5" t="s">
        <v>54</v>
      </c>
      <c r="G1193" s="5" t="str">
        <f aca="false">INDEX(Risk_Matrix!$B$2:$D$4,MATCH(E1193,Risk_Matrix!$A$2:$A$4,0),MATCH(F1193,Risk_Matrix!$B$1:$D$1,0))</f>
        <v>High</v>
      </c>
      <c r="H1193" s="12" t="n">
        <v>46086</v>
      </c>
      <c r="I1193" s="5" t="s">
        <v>2256</v>
      </c>
      <c r="J1193" s="5" t="s">
        <v>2257</v>
      </c>
      <c r="K1193" s="5" t="s">
        <v>2276</v>
      </c>
      <c r="L1193" s="5" t="n">
        <f aca="false">IF(G1193="High",3,IF(G1193="Medium",2,1))</f>
        <v>3</v>
      </c>
    </row>
    <row r="1194" customFormat="false" ht="15" hidden="false" customHeight="true" outlineLevel="0" collapsed="false">
      <c r="A1194" s="5" t="s">
        <v>3470</v>
      </c>
      <c r="B1194" s="5" t="s">
        <v>1354</v>
      </c>
      <c r="C1194" s="5" t="s">
        <v>2259</v>
      </c>
      <c r="D1194" s="5" t="s">
        <v>2260</v>
      </c>
      <c r="E1194" s="5" t="s">
        <v>59</v>
      </c>
      <c r="F1194" s="5" t="s">
        <v>59</v>
      </c>
      <c r="G1194" s="5" t="str">
        <f aca="false">INDEX(Risk_Matrix!$B$2:$D$4,MATCH(E1194,Risk_Matrix!$A$2:$A$4,0),MATCH(F1194,Risk_Matrix!$B$1:$D$1,0))</f>
        <v>Low</v>
      </c>
      <c r="H1194" s="12" t="n">
        <v>46219</v>
      </c>
      <c r="I1194" s="5" t="s">
        <v>2256</v>
      </c>
      <c r="J1194" s="5" t="s">
        <v>2257</v>
      </c>
      <c r="K1194" s="5" t="s">
        <v>2243</v>
      </c>
      <c r="L1194" s="5" t="n">
        <f aca="false">IF(G1194="High",3,IF(G1194="Medium",2,1))</f>
        <v>1</v>
      </c>
    </row>
    <row r="1195" customFormat="false" ht="15" hidden="false" customHeight="true" outlineLevel="0" collapsed="false">
      <c r="A1195" s="5" t="s">
        <v>3471</v>
      </c>
      <c r="B1195" s="5" t="s">
        <v>1354</v>
      </c>
      <c r="C1195" s="5" t="s">
        <v>2262</v>
      </c>
      <c r="D1195" s="5" t="s">
        <v>2311</v>
      </c>
      <c r="E1195" s="5" t="s">
        <v>54</v>
      </c>
      <c r="F1195" s="5" t="s">
        <v>59</v>
      </c>
      <c r="G1195" s="5" t="str">
        <f aca="false">INDEX(Risk_Matrix!$B$2:$D$4,MATCH(E1195,Risk_Matrix!$A$2:$A$4,0),MATCH(F1195,Risk_Matrix!$B$1:$D$1,0))</f>
        <v>Medium</v>
      </c>
      <c r="H1195" s="12" t="n">
        <v>46233</v>
      </c>
      <c r="I1195" s="5" t="s">
        <v>2256</v>
      </c>
      <c r="J1195" s="5" t="s">
        <v>2257</v>
      </c>
      <c r="K1195" s="5" t="s">
        <v>2243</v>
      </c>
      <c r="L1195" s="5" t="n">
        <f aca="false">IF(G1195="High",3,IF(G1195="Medium",2,1))</f>
        <v>2</v>
      </c>
    </row>
    <row r="1196" customFormat="false" ht="15" hidden="false" customHeight="true" outlineLevel="0" collapsed="false">
      <c r="A1196" s="5" t="s">
        <v>3472</v>
      </c>
      <c r="B1196" s="5" t="s">
        <v>1355</v>
      </c>
      <c r="C1196" s="5" t="s">
        <v>2239</v>
      </c>
      <c r="D1196" s="5" t="s">
        <v>2240</v>
      </c>
      <c r="E1196" s="5" t="s">
        <v>59</v>
      </c>
      <c r="F1196" s="5" t="s">
        <v>2225</v>
      </c>
      <c r="G1196" s="5" t="str">
        <f aca="false">INDEX(Risk_Matrix!$B$2:$D$4,MATCH(E1196,Risk_Matrix!$A$2:$A$4,0),MATCH(F1196,Risk_Matrix!$B$1:$D$1,0))</f>
        <v>Low</v>
      </c>
      <c r="H1196" s="12" t="n">
        <v>46131</v>
      </c>
      <c r="I1196" s="5" t="s">
        <v>2256</v>
      </c>
      <c r="J1196" s="5" t="s">
        <v>2257</v>
      </c>
      <c r="K1196" s="5" t="s">
        <v>2243</v>
      </c>
      <c r="L1196" s="5" t="n">
        <f aca="false">IF(G1196="High",3,IF(G1196="Medium",2,1))</f>
        <v>1</v>
      </c>
    </row>
    <row r="1197" customFormat="false" ht="15" hidden="false" customHeight="true" outlineLevel="0" collapsed="false">
      <c r="A1197" s="5" t="s">
        <v>3473</v>
      </c>
      <c r="B1197" s="5" t="s">
        <v>1355</v>
      </c>
      <c r="C1197" s="5" t="s">
        <v>2245</v>
      </c>
      <c r="D1197" s="5" t="s">
        <v>2269</v>
      </c>
      <c r="E1197" s="5" t="s">
        <v>2225</v>
      </c>
      <c r="F1197" s="5" t="s">
        <v>59</v>
      </c>
      <c r="G1197" s="5" t="str">
        <f aca="false">INDEX(Risk_Matrix!$B$2:$D$4,MATCH(E1197,Risk_Matrix!$A$2:$A$4,0),MATCH(F1197,Risk_Matrix!$B$1:$D$1,0))</f>
        <v>Low</v>
      </c>
      <c r="H1197" s="12" t="n">
        <v>46162</v>
      </c>
      <c r="I1197" s="5" t="s">
        <v>2256</v>
      </c>
      <c r="J1197" s="5" t="s">
        <v>2257</v>
      </c>
      <c r="K1197" s="5" t="s">
        <v>2276</v>
      </c>
      <c r="L1197" s="5" t="n">
        <f aca="false">IF(G1197="High",3,IF(G1197="Medium",2,1))</f>
        <v>1</v>
      </c>
    </row>
    <row r="1198" customFormat="false" ht="15" hidden="false" customHeight="true" outlineLevel="0" collapsed="false">
      <c r="A1198" s="5" t="s">
        <v>3474</v>
      </c>
      <c r="B1198" s="5" t="s">
        <v>1355</v>
      </c>
      <c r="C1198" s="5" t="s">
        <v>2248</v>
      </c>
      <c r="D1198" s="5" t="s">
        <v>2322</v>
      </c>
      <c r="E1198" s="5" t="s">
        <v>2225</v>
      </c>
      <c r="F1198" s="5" t="s">
        <v>2225</v>
      </c>
      <c r="G1198" s="5" t="str">
        <f aca="false">INDEX(Risk_Matrix!$B$2:$D$4,MATCH(E1198,Risk_Matrix!$A$2:$A$4,0),MATCH(F1198,Risk_Matrix!$B$1:$D$1,0))</f>
        <v>Medium</v>
      </c>
      <c r="H1198" s="12" t="n">
        <v>46208</v>
      </c>
      <c r="I1198" s="5" t="s">
        <v>2264</v>
      </c>
      <c r="J1198" s="5" t="s">
        <v>2265</v>
      </c>
      <c r="K1198" s="5" t="s">
        <v>2252</v>
      </c>
      <c r="L1198" s="5" t="n">
        <f aca="false">IF(G1198="High",3,IF(G1198="Medium",2,1))</f>
        <v>2</v>
      </c>
    </row>
    <row r="1199" customFormat="false" ht="15" hidden="false" customHeight="true" outlineLevel="0" collapsed="false">
      <c r="A1199" s="5" t="s">
        <v>3475</v>
      </c>
      <c r="B1199" s="5" t="s">
        <v>1355</v>
      </c>
      <c r="C1199" s="5" t="s">
        <v>2254</v>
      </c>
      <c r="D1199" s="5" t="s">
        <v>2308</v>
      </c>
      <c r="E1199" s="5" t="s">
        <v>59</v>
      </c>
      <c r="F1199" s="5" t="s">
        <v>2225</v>
      </c>
      <c r="G1199" s="5" t="str">
        <f aca="false">INDEX(Risk_Matrix!$B$2:$D$4,MATCH(E1199,Risk_Matrix!$A$2:$A$4,0),MATCH(F1199,Risk_Matrix!$B$1:$D$1,0))</f>
        <v>Low</v>
      </c>
      <c r="H1199" s="12" t="n">
        <v>46198</v>
      </c>
      <c r="I1199" s="5" t="s">
        <v>2250</v>
      </c>
      <c r="J1199" s="5" t="s">
        <v>2251</v>
      </c>
      <c r="K1199" s="5" t="s">
        <v>2283</v>
      </c>
      <c r="L1199" s="5" t="n">
        <f aca="false">IF(G1199="High",3,IF(G1199="Medium",2,1))</f>
        <v>1</v>
      </c>
    </row>
    <row r="1200" customFormat="false" ht="15" hidden="false" customHeight="true" outlineLevel="0" collapsed="false">
      <c r="A1200" s="5" t="s">
        <v>3476</v>
      </c>
      <c r="B1200" s="5" t="s">
        <v>1355</v>
      </c>
      <c r="C1200" s="5" t="s">
        <v>2259</v>
      </c>
      <c r="D1200" s="5" t="s">
        <v>2285</v>
      </c>
      <c r="E1200" s="5" t="s">
        <v>59</v>
      </c>
      <c r="F1200" s="5" t="s">
        <v>59</v>
      </c>
      <c r="G1200" s="5" t="str">
        <f aca="false">INDEX(Risk_Matrix!$B$2:$D$4,MATCH(E1200,Risk_Matrix!$A$2:$A$4,0),MATCH(F1200,Risk_Matrix!$B$1:$D$1,0))</f>
        <v>Low</v>
      </c>
      <c r="H1200" s="12" t="n">
        <v>46101</v>
      </c>
      <c r="I1200" s="5" t="s">
        <v>2250</v>
      </c>
      <c r="J1200" s="5" t="s">
        <v>2251</v>
      </c>
      <c r="K1200" s="5" t="s">
        <v>2276</v>
      </c>
      <c r="L1200" s="5" t="n">
        <f aca="false">IF(G1200="High",3,IF(G1200="Medium",2,1))</f>
        <v>1</v>
      </c>
    </row>
    <row r="1201" customFormat="false" ht="15" hidden="false" customHeight="true" outlineLevel="0" collapsed="false">
      <c r="A1201" s="5" t="s">
        <v>3477</v>
      </c>
      <c r="B1201" s="5" t="s">
        <v>1355</v>
      </c>
      <c r="C1201" s="5" t="s">
        <v>2262</v>
      </c>
      <c r="D1201" s="5" t="s">
        <v>2263</v>
      </c>
      <c r="E1201" s="5" t="s">
        <v>2225</v>
      </c>
      <c r="F1201" s="5" t="s">
        <v>59</v>
      </c>
      <c r="G1201" s="5" t="str">
        <f aca="false">INDEX(Risk_Matrix!$B$2:$D$4,MATCH(E1201,Risk_Matrix!$A$2:$A$4,0),MATCH(F1201,Risk_Matrix!$B$1:$D$1,0))</f>
        <v>Low</v>
      </c>
      <c r="H1201" s="12" t="n">
        <v>46209</v>
      </c>
      <c r="I1201" s="5" t="s">
        <v>2264</v>
      </c>
      <c r="J1201" s="5" t="s">
        <v>2265</v>
      </c>
      <c r="K1201" s="5" t="s">
        <v>2266</v>
      </c>
      <c r="L1201" s="5" t="n">
        <f aca="false">IF(G1201="High",3,IF(G1201="Medium",2,1))</f>
        <v>1</v>
      </c>
    </row>
    <row r="1202" customFormat="false" ht="15" hidden="false" customHeight="true" outlineLevel="0" collapsed="false">
      <c r="A1202" s="5" t="s">
        <v>3478</v>
      </c>
      <c r="B1202" s="5" t="s">
        <v>1357</v>
      </c>
      <c r="C1202" s="5" t="s">
        <v>2239</v>
      </c>
      <c r="D1202" s="5" t="s">
        <v>2303</v>
      </c>
      <c r="E1202" s="5" t="s">
        <v>59</v>
      </c>
      <c r="F1202" s="5" t="s">
        <v>59</v>
      </c>
      <c r="G1202" s="5" t="str">
        <f aca="false">INDEX(Risk_Matrix!$B$2:$D$4,MATCH(E1202,Risk_Matrix!$A$2:$A$4,0),MATCH(F1202,Risk_Matrix!$B$1:$D$1,0))</f>
        <v>Low</v>
      </c>
      <c r="H1202" s="12" t="n">
        <v>46121</v>
      </c>
      <c r="I1202" s="5" t="s">
        <v>2250</v>
      </c>
      <c r="J1202" s="5" t="s">
        <v>2251</v>
      </c>
      <c r="K1202" s="5" t="s">
        <v>2243</v>
      </c>
      <c r="L1202" s="5" t="n">
        <f aca="false">IF(G1202="High",3,IF(G1202="Medium",2,1))</f>
        <v>1</v>
      </c>
    </row>
    <row r="1203" customFormat="false" ht="15" hidden="false" customHeight="true" outlineLevel="0" collapsed="false">
      <c r="A1203" s="5" t="s">
        <v>3479</v>
      </c>
      <c r="B1203" s="5" t="s">
        <v>1357</v>
      </c>
      <c r="C1203" s="5" t="s">
        <v>2245</v>
      </c>
      <c r="D1203" s="5" t="s">
        <v>2320</v>
      </c>
      <c r="E1203" s="5" t="s">
        <v>2225</v>
      </c>
      <c r="F1203" s="5" t="s">
        <v>59</v>
      </c>
      <c r="G1203" s="5" t="str">
        <f aca="false">INDEX(Risk_Matrix!$B$2:$D$4,MATCH(E1203,Risk_Matrix!$A$2:$A$4,0),MATCH(F1203,Risk_Matrix!$B$1:$D$1,0))</f>
        <v>Low</v>
      </c>
      <c r="H1203" s="12" t="n">
        <v>46154</v>
      </c>
      <c r="I1203" s="5" t="s">
        <v>2250</v>
      </c>
      <c r="J1203" s="5" t="s">
        <v>2251</v>
      </c>
      <c r="K1203" s="5" t="s">
        <v>2243</v>
      </c>
      <c r="L1203" s="5" t="n">
        <f aca="false">IF(G1203="High",3,IF(G1203="Medium",2,1))</f>
        <v>1</v>
      </c>
    </row>
    <row r="1204" customFormat="false" ht="15" hidden="false" customHeight="true" outlineLevel="0" collapsed="false">
      <c r="A1204" s="5" t="s">
        <v>3480</v>
      </c>
      <c r="B1204" s="5" t="s">
        <v>1357</v>
      </c>
      <c r="C1204" s="5" t="s">
        <v>2248</v>
      </c>
      <c r="D1204" s="5" t="s">
        <v>2249</v>
      </c>
      <c r="E1204" s="5" t="s">
        <v>2225</v>
      </c>
      <c r="F1204" s="5" t="s">
        <v>2225</v>
      </c>
      <c r="G1204" s="5" t="str">
        <f aca="false">INDEX(Risk_Matrix!$B$2:$D$4,MATCH(E1204,Risk_Matrix!$A$2:$A$4,0),MATCH(F1204,Risk_Matrix!$B$1:$D$1,0))</f>
        <v>Medium</v>
      </c>
      <c r="H1204" s="12" t="n">
        <v>46201</v>
      </c>
      <c r="I1204" s="5" t="s">
        <v>2264</v>
      </c>
      <c r="J1204" s="5" t="s">
        <v>2265</v>
      </c>
      <c r="K1204" s="5" t="s">
        <v>2283</v>
      </c>
      <c r="L1204" s="5" t="n">
        <f aca="false">IF(G1204="High",3,IF(G1204="Medium",2,1))</f>
        <v>2</v>
      </c>
    </row>
    <row r="1205" customFormat="false" ht="15" hidden="false" customHeight="true" outlineLevel="0" collapsed="false">
      <c r="A1205" s="5" t="s">
        <v>3481</v>
      </c>
      <c r="B1205" s="5" t="s">
        <v>1357</v>
      </c>
      <c r="C1205" s="5" t="s">
        <v>2254</v>
      </c>
      <c r="D1205" s="5" t="s">
        <v>2308</v>
      </c>
      <c r="E1205" s="5" t="s">
        <v>59</v>
      </c>
      <c r="F1205" s="5" t="s">
        <v>54</v>
      </c>
      <c r="G1205" s="5" t="str">
        <f aca="false">INDEX(Risk_Matrix!$B$2:$D$4,MATCH(E1205,Risk_Matrix!$A$2:$A$4,0),MATCH(F1205,Risk_Matrix!$B$1:$D$1,0))</f>
        <v>Medium</v>
      </c>
      <c r="H1205" s="12" t="n">
        <v>46164</v>
      </c>
      <c r="I1205" s="5" t="s">
        <v>2250</v>
      </c>
      <c r="J1205" s="5" t="s">
        <v>2251</v>
      </c>
      <c r="K1205" s="5" t="s">
        <v>2252</v>
      </c>
      <c r="L1205" s="5" t="n">
        <f aca="false">IF(G1205="High",3,IF(G1205="Medium",2,1))</f>
        <v>2</v>
      </c>
    </row>
    <row r="1206" customFormat="false" ht="15" hidden="false" customHeight="true" outlineLevel="0" collapsed="false">
      <c r="A1206" s="5" t="s">
        <v>3482</v>
      </c>
      <c r="B1206" s="5" t="s">
        <v>1357</v>
      </c>
      <c r="C1206" s="5" t="s">
        <v>2259</v>
      </c>
      <c r="D1206" s="5" t="s">
        <v>2285</v>
      </c>
      <c r="E1206" s="5" t="s">
        <v>59</v>
      </c>
      <c r="F1206" s="5" t="s">
        <v>2225</v>
      </c>
      <c r="G1206" s="5" t="str">
        <f aca="false">INDEX(Risk_Matrix!$B$2:$D$4,MATCH(E1206,Risk_Matrix!$A$2:$A$4,0),MATCH(F1206,Risk_Matrix!$B$1:$D$1,0))</f>
        <v>Low</v>
      </c>
      <c r="H1206" s="12" t="n">
        <v>46126</v>
      </c>
      <c r="I1206" s="5" t="s">
        <v>2250</v>
      </c>
      <c r="J1206" s="5" t="s">
        <v>2251</v>
      </c>
      <c r="K1206" s="5" t="s">
        <v>2252</v>
      </c>
      <c r="L1206" s="5" t="n">
        <f aca="false">IF(G1206="High",3,IF(G1206="Medium",2,1))</f>
        <v>1</v>
      </c>
    </row>
    <row r="1207" customFormat="false" ht="15" hidden="false" customHeight="true" outlineLevel="0" collapsed="false">
      <c r="A1207" s="5" t="s">
        <v>3483</v>
      </c>
      <c r="B1207" s="5" t="s">
        <v>1357</v>
      </c>
      <c r="C1207" s="5" t="s">
        <v>2262</v>
      </c>
      <c r="D1207" s="5" t="s">
        <v>2287</v>
      </c>
      <c r="E1207" s="5" t="s">
        <v>2225</v>
      </c>
      <c r="F1207" s="5" t="s">
        <v>2225</v>
      </c>
      <c r="G1207" s="5" t="str">
        <f aca="false">INDEX(Risk_Matrix!$B$2:$D$4,MATCH(E1207,Risk_Matrix!$A$2:$A$4,0),MATCH(F1207,Risk_Matrix!$B$1:$D$1,0))</f>
        <v>Medium</v>
      </c>
      <c r="H1207" s="12" t="n">
        <v>46164</v>
      </c>
      <c r="I1207" s="5" t="s">
        <v>2256</v>
      </c>
      <c r="J1207" s="5" t="s">
        <v>2257</v>
      </c>
      <c r="K1207" s="5" t="s">
        <v>2243</v>
      </c>
      <c r="L1207" s="5" t="n">
        <f aca="false">IF(G1207="High",3,IF(G1207="Medium",2,1))</f>
        <v>2</v>
      </c>
    </row>
    <row r="1208" customFormat="false" ht="15" hidden="false" customHeight="true" outlineLevel="0" collapsed="false">
      <c r="A1208" s="5" t="s">
        <v>3484</v>
      </c>
      <c r="B1208" s="5" t="s">
        <v>1360</v>
      </c>
      <c r="C1208" s="5" t="s">
        <v>2239</v>
      </c>
      <c r="D1208" s="5" t="s">
        <v>2278</v>
      </c>
      <c r="E1208" s="5" t="s">
        <v>2225</v>
      </c>
      <c r="F1208" s="5" t="s">
        <v>59</v>
      </c>
      <c r="G1208" s="5" t="str">
        <f aca="false">INDEX(Risk_Matrix!$B$2:$D$4,MATCH(E1208,Risk_Matrix!$A$2:$A$4,0),MATCH(F1208,Risk_Matrix!$B$1:$D$1,0))</f>
        <v>Low</v>
      </c>
      <c r="H1208" s="12" t="n">
        <v>46161</v>
      </c>
      <c r="I1208" s="5" t="s">
        <v>2256</v>
      </c>
      <c r="J1208" s="5" t="s">
        <v>2257</v>
      </c>
      <c r="K1208" s="5" t="s">
        <v>2266</v>
      </c>
      <c r="L1208" s="5" t="n">
        <f aca="false">IF(G1208="High",3,IF(G1208="Medium",2,1))</f>
        <v>1</v>
      </c>
    </row>
    <row r="1209" customFormat="false" ht="15" hidden="false" customHeight="true" outlineLevel="0" collapsed="false">
      <c r="A1209" s="5" t="s">
        <v>3485</v>
      </c>
      <c r="B1209" s="5" t="s">
        <v>1360</v>
      </c>
      <c r="C1209" s="5" t="s">
        <v>2245</v>
      </c>
      <c r="D1209" s="5" t="s">
        <v>2246</v>
      </c>
      <c r="E1209" s="5" t="s">
        <v>59</v>
      </c>
      <c r="F1209" s="5" t="s">
        <v>2225</v>
      </c>
      <c r="G1209" s="5" t="str">
        <f aca="false">INDEX(Risk_Matrix!$B$2:$D$4,MATCH(E1209,Risk_Matrix!$A$2:$A$4,0),MATCH(F1209,Risk_Matrix!$B$1:$D$1,0))</f>
        <v>Low</v>
      </c>
      <c r="H1209" s="12" t="n">
        <v>46106</v>
      </c>
      <c r="I1209" s="5" t="s">
        <v>2250</v>
      </c>
      <c r="J1209" s="5" t="s">
        <v>2251</v>
      </c>
      <c r="K1209" s="5" t="s">
        <v>2243</v>
      </c>
      <c r="L1209" s="5" t="n">
        <f aca="false">IF(G1209="High",3,IF(G1209="Medium",2,1))</f>
        <v>1</v>
      </c>
    </row>
    <row r="1210" customFormat="false" ht="15" hidden="false" customHeight="true" outlineLevel="0" collapsed="false">
      <c r="A1210" s="5" t="s">
        <v>3486</v>
      </c>
      <c r="B1210" s="5" t="s">
        <v>1360</v>
      </c>
      <c r="C1210" s="5" t="s">
        <v>2248</v>
      </c>
      <c r="D1210" s="5" t="s">
        <v>2271</v>
      </c>
      <c r="E1210" s="5" t="s">
        <v>2225</v>
      </c>
      <c r="F1210" s="5" t="s">
        <v>59</v>
      </c>
      <c r="G1210" s="5" t="str">
        <f aca="false">INDEX(Risk_Matrix!$B$2:$D$4,MATCH(E1210,Risk_Matrix!$A$2:$A$4,0),MATCH(F1210,Risk_Matrix!$B$1:$D$1,0))</f>
        <v>Low</v>
      </c>
      <c r="H1210" s="12" t="n">
        <v>46199</v>
      </c>
      <c r="I1210" s="5" t="s">
        <v>2256</v>
      </c>
      <c r="J1210" s="5" t="s">
        <v>2257</v>
      </c>
      <c r="K1210" s="5" t="s">
        <v>2283</v>
      </c>
      <c r="L1210" s="5" t="n">
        <f aca="false">IF(G1210="High",3,IF(G1210="Medium",2,1))</f>
        <v>1</v>
      </c>
    </row>
    <row r="1211" customFormat="false" ht="15" hidden="false" customHeight="true" outlineLevel="0" collapsed="false">
      <c r="A1211" s="5" t="s">
        <v>3487</v>
      </c>
      <c r="B1211" s="5" t="s">
        <v>1360</v>
      </c>
      <c r="C1211" s="5" t="s">
        <v>2254</v>
      </c>
      <c r="D1211" s="5" t="s">
        <v>2299</v>
      </c>
      <c r="E1211" s="5" t="s">
        <v>59</v>
      </c>
      <c r="F1211" s="5" t="s">
        <v>59</v>
      </c>
      <c r="G1211" s="5" t="str">
        <f aca="false">INDEX(Risk_Matrix!$B$2:$D$4,MATCH(E1211,Risk_Matrix!$A$2:$A$4,0),MATCH(F1211,Risk_Matrix!$B$1:$D$1,0))</f>
        <v>Low</v>
      </c>
      <c r="H1211" s="12" t="n">
        <v>46114</v>
      </c>
      <c r="I1211" s="5" t="s">
        <v>2264</v>
      </c>
      <c r="J1211" s="5" t="s">
        <v>2265</v>
      </c>
      <c r="K1211" s="5" t="s">
        <v>2266</v>
      </c>
      <c r="L1211" s="5" t="n">
        <f aca="false">IF(G1211="High",3,IF(G1211="Medium",2,1))</f>
        <v>1</v>
      </c>
    </row>
    <row r="1212" customFormat="false" ht="15" hidden="false" customHeight="true" outlineLevel="0" collapsed="false">
      <c r="A1212" s="5" t="s">
        <v>3488</v>
      </c>
      <c r="B1212" s="5" t="s">
        <v>1360</v>
      </c>
      <c r="C1212" s="5" t="s">
        <v>2259</v>
      </c>
      <c r="D1212" s="5" t="s">
        <v>2285</v>
      </c>
      <c r="E1212" s="5" t="s">
        <v>59</v>
      </c>
      <c r="F1212" s="5" t="s">
        <v>59</v>
      </c>
      <c r="G1212" s="5" t="str">
        <f aca="false">INDEX(Risk_Matrix!$B$2:$D$4,MATCH(E1212,Risk_Matrix!$A$2:$A$4,0),MATCH(F1212,Risk_Matrix!$B$1:$D$1,0))</f>
        <v>Low</v>
      </c>
      <c r="H1212" s="12" t="n">
        <v>46067</v>
      </c>
      <c r="I1212" s="5" t="s">
        <v>2256</v>
      </c>
      <c r="J1212" s="5" t="s">
        <v>2257</v>
      </c>
      <c r="K1212" s="5" t="s">
        <v>2276</v>
      </c>
      <c r="L1212" s="5" t="n">
        <f aca="false">IF(G1212="High",3,IF(G1212="Medium",2,1))</f>
        <v>1</v>
      </c>
    </row>
    <row r="1213" customFormat="false" ht="15" hidden="false" customHeight="true" outlineLevel="0" collapsed="false">
      <c r="A1213" s="5" t="s">
        <v>3489</v>
      </c>
      <c r="B1213" s="5" t="s">
        <v>1360</v>
      </c>
      <c r="C1213" s="5" t="s">
        <v>2262</v>
      </c>
      <c r="D1213" s="5" t="s">
        <v>2311</v>
      </c>
      <c r="E1213" s="5" t="s">
        <v>59</v>
      </c>
      <c r="F1213" s="5" t="s">
        <v>59</v>
      </c>
      <c r="G1213" s="5" t="str">
        <f aca="false">INDEX(Risk_Matrix!$B$2:$D$4,MATCH(E1213,Risk_Matrix!$A$2:$A$4,0),MATCH(F1213,Risk_Matrix!$B$1:$D$1,0))</f>
        <v>Low</v>
      </c>
      <c r="H1213" s="12" t="n">
        <v>46083</v>
      </c>
      <c r="I1213" s="5" t="s">
        <v>2256</v>
      </c>
      <c r="J1213" s="5" t="s">
        <v>2257</v>
      </c>
      <c r="K1213" s="5" t="s">
        <v>2276</v>
      </c>
      <c r="L1213" s="5" t="n">
        <f aca="false">IF(G1213="High",3,IF(G1213="Medium",2,1))</f>
        <v>1</v>
      </c>
    </row>
    <row r="1214" customFormat="false" ht="15" hidden="false" customHeight="true" outlineLevel="0" collapsed="false">
      <c r="A1214" s="5" t="s">
        <v>3490</v>
      </c>
      <c r="B1214" s="5" t="s">
        <v>1363</v>
      </c>
      <c r="C1214" s="5" t="s">
        <v>2239</v>
      </c>
      <c r="D1214" s="5" t="s">
        <v>2303</v>
      </c>
      <c r="E1214" s="5" t="s">
        <v>59</v>
      </c>
      <c r="F1214" s="5" t="s">
        <v>59</v>
      </c>
      <c r="G1214" s="5" t="str">
        <f aca="false">INDEX(Risk_Matrix!$B$2:$D$4,MATCH(E1214,Risk_Matrix!$A$2:$A$4,0),MATCH(F1214,Risk_Matrix!$B$1:$D$1,0))</f>
        <v>Low</v>
      </c>
      <c r="H1214" s="12" t="n">
        <v>46235</v>
      </c>
      <c r="I1214" s="5" t="s">
        <v>2264</v>
      </c>
      <c r="J1214" s="5" t="s">
        <v>2265</v>
      </c>
      <c r="K1214" s="5" t="s">
        <v>2283</v>
      </c>
      <c r="L1214" s="5" t="n">
        <f aca="false">IF(G1214="High",3,IF(G1214="Medium",2,1))</f>
        <v>1</v>
      </c>
    </row>
    <row r="1215" customFormat="false" ht="15" hidden="false" customHeight="true" outlineLevel="0" collapsed="false">
      <c r="A1215" s="5" t="s">
        <v>3491</v>
      </c>
      <c r="B1215" s="5" t="s">
        <v>1363</v>
      </c>
      <c r="C1215" s="5" t="s">
        <v>2245</v>
      </c>
      <c r="D1215" s="5" t="s">
        <v>2320</v>
      </c>
      <c r="E1215" s="5" t="s">
        <v>2225</v>
      </c>
      <c r="F1215" s="5" t="s">
        <v>59</v>
      </c>
      <c r="G1215" s="5" t="str">
        <f aca="false">INDEX(Risk_Matrix!$B$2:$D$4,MATCH(E1215,Risk_Matrix!$A$2:$A$4,0),MATCH(F1215,Risk_Matrix!$B$1:$D$1,0))</f>
        <v>Low</v>
      </c>
      <c r="H1215" s="12" t="n">
        <v>46078</v>
      </c>
      <c r="I1215" s="5" t="s">
        <v>2256</v>
      </c>
      <c r="J1215" s="5" t="s">
        <v>2257</v>
      </c>
      <c r="K1215" s="5" t="s">
        <v>2276</v>
      </c>
      <c r="L1215" s="5" t="n">
        <f aca="false">IF(G1215="High",3,IF(G1215="Medium",2,1))</f>
        <v>1</v>
      </c>
    </row>
    <row r="1216" customFormat="false" ht="15" hidden="false" customHeight="true" outlineLevel="0" collapsed="false">
      <c r="A1216" s="5" t="s">
        <v>3492</v>
      </c>
      <c r="B1216" s="5" t="s">
        <v>1363</v>
      </c>
      <c r="C1216" s="5" t="s">
        <v>2248</v>
      </c>
      <c r="D1216" s="5" t="s">
        <v>2249</v>
      </c>
      <c r="E1216" s="5" t="s">
        <v>2225</v>
      </c>
      <c r="F1216" s="5" t="s">
        <v>59</v>
      </c>
      <c r="G1216" s="5" t="str">
        <f aca="false">INDEX(Risk_Matrix!$B$2:$D$4,MATCH(E1216,Risk_Matrix!$A$2:$A$4,0),MATCH(F1216,Risk_Matrix!$B$1:$D$1,0))</f>
        <v>Low</v>
      </c>
      <c r="H1216" s="12" t="n">
        <v>46101</v>
      </c>
      <c r="I1216" s="5" t="s">
        <v>2241</v>
      </c>
      <c r="J1216" s="5" t="s">
        <v>2242</v>
      </c>
      <c r="K1216" s="5" t="s">
        <v>2276</v>
      </c>
      <c r="L1216" s="5" t="n">
        <f aca="false">IF(G1216="High",3,IF(G1216="Medium",2,1))</f>
        <v>1</v>
      </c>
    </row>
    <row r="1217" customFormat="false" ht="15" hidden="false" customHeight="true" outlineLevel="0" collapsed="false">
      <c r="A1217" s="5" t="s">
        <v>3493</v>
      </c>
      <c r="B1217" s="5" t="s">
        <v>1363</v>
      </c>
      <c r="C1217" s="5" t="s">
        <v>2254</v>
      </c>
      <c r="D1217" s="5" t="s">
        <v>2255</v>
      </c>
      <c r="E1217" s="5" t="s">
        <v>59</v>
      </c>
      <c r="F1217" s="5" t="s">
        <v>2225</v>
      </c>
      <c r="G1217" s="5" t="str">
        <f aca="false">INDEX(Risk_Matrix!$B$2:$D$4,MATCH(E1217,Risk_Matrix!$A$2:$A$4,0),MATCH(F1217,Risk_Matrix!$B$1:$D$1,0))</f>
        <v>Low</v>
      </c>
      <c r="H1217" s="12" t="n">
        <v>46192</v>
      </c>
      <c r="I1217" s="5" t="s">
        <v>2256</v>
      </c>
      <c r="J1217" s="5" t="s">
        <v>2257</v>
      </c>
      <c r="K1217" s="5" t="s">
        <v>2266</v>
      </c>
      <c r="L1217" s="5" t="n">
        <f aca="false">IF(G1217="High",3,IF(G1217="Medium",2,1))</f>
        <v>1</v>
      </c>
    </row>
    <row r="1218" customFormat="false" ht="15" hidden="false" customHeight="true" outlineLevel="0" collapsed="false">
      <c r="A1218" s="5" t="s">
        <v>3494</v>
      </c>
      <c r="B1218" s="5" t="s">
        <v>1363</v>
      </c>
      <c r="C1218" s="5" t="s">
        <v>2259</v>
      </c>
      <c r="D1218" s="5" t="s">
        <v>2260</v>
      </c>
      <c r="E1218" s="5" t="s">
        <v>2225</v>
      </c>
      <c r="F1218" s="5" t="s">
        <v>59</v>
      </c>
      <c r="G1218" s="5" t="str">
        <f aca="false">INDEX(Risk_Matrix!$B$2:$D$4,MATCH(E1218,Risk_Matrix!$A$2:$A$4,0),MATCH(F1218,Risk_Matrix!$B$1:$D$1,0))</f>
        <v>Low</v>
      </c>
      <c r="H1218" s="12" t="n">
        <v>46083</v>
      </c>
      <c r="I1218" s="5" t="s">
        <v>2256</v>
      </c>
      <c r="J1218" s="5" t="s">
        <v>2257</v>
      </c>
      <c r="K1218" s="5" t="s">
        <v>2252</v>
      </c>
      <c r="L1218" s="5" t="n">
        <f aca="false">IF(G1218="High",3,IF(G1218="Medium",2,1))</f>
        <v>1</v>
      </c>
    </row>
    <row r="1219" customFormat="false" ht="15" hidden="false" customHeight="true" outlineLevel="0" collapsed="false">
      <c r="A1219" s="5" t="s">
        <v>3495</v>
      </c>
      <c r="B1219" s="5" t="s">
        <v>1363</v>
      </c>
      <c r="C1219" s="5" t="s">
        <v>2262</v>
      </c>
      <c r="D1219" s="5" t="s">
        <v>2263</v>
      </c>
      <c r="E1219" s="5" t="s">
        <v>59</v>
      </c>
      <c r="F1219" s="5" t="s">
        <v>2225</v>
      </c>
      <c r="G1219" s="5" t="str">
        <f aca="false">INDEX(Risk_Matrix!$B$2:$D$4,MATCH(E1219,Risk_Matrix!$A$2:$A$4,0),MATCH(F1219,Risk_Matrix!$B$1:$D$1,0))</f>
        <v>Low</v>
      </c>
      <c r="H1219" s="12" t="n">
        <v>46222</v>
      </c>
      <c r="I1219" s="5" t="s">
        <v>2250</v>
      </c>
      <c r="J1219" s="5" t="s">
        <v>2251</v>
      </c>
      <c r="K1219" s="5" t="s">
        <v>2266</v>
      </c>
      <c r="L1219" s="5" t="n">
        <f aca="false">IF(G1219="High",3,IF(G1219="Medium",2,1))</f>
        <v>1</v>
      </c>
    </row>
    <row r="1220" customFormat="false" ht="15" hidden="false" customHeight="true" outlineLevel="0" collapsed="false">
      <c r="A1220" s="5" t="s">
        <v>3496</v>
      </c>
      <c r="B1220" s="5" t="s">
        <v>1366</v>
      </c>
      <c r="C1220" s="5" t="s">
        <v>2239</v>
      </c>
      <c r="D1220" s="5" t="s">
        <v>2278</v>
      </c>
      <c r="E1220" s="5" t="s">
        <v>59</v>
      </c>
      <c r="F1220" s="5" t="s">
        <v>59</v>
      </c>
      <c r="G1220" s="5" t="str">
        <f aca="false">INDEX(Risk_Matrix!$B$2:$D$4,MATCH(E1220,Risk_Matrix!$A$2:$A$4,0),MATCH(F1220,Risk_Matrix!$B$1:$D$1,0))</f>
        <v>Low</v>
      </c>
      <c r="H1220" s="12" t="n">
        <v>46090</v>
      </c>
      <c r="I1220" s="5" t="s">
        <v>2250</v>
      </c>
      <c r="J1220" s="5" t="s">
        <v>2251</v>
      </c>
      <c r="K1220" s="5" t="s">
        <v>2243</v>
      </c>
      <c r="L1220" s="5" t="n">
        <f aca="false">IF(G1220="High",3,IF(G1220="Medium",2,1))</f>
        <v>1</v>
      </c>
    </row>
    <row r="1221" customFormat="false" ht="15" hidden="false" customHeight="true" outlineLevel="0" collapsed="false">
      <c r="A1221" s="5" t="s">
        <v>3497</v>
      </c>
      <c r="B1221" s="5" t="s">
        <v>1366</v>
      </c>
      <c r="C1221" s="5" t="s">
        <v>2245</v>
      </c>
      <c r="D1221" s="5" t="s">
        <v>2280</v>
      </c>
      <c r="E1221" s="5" t="s">
        <v>59</v>
      </c>
      <c r="F1221" s="5" t="s">
        <v>54</v>
      </c>
      <c r="G1221" s="5" t="str">
        <f aca="false">INDEX(Risk_Matrix!$B$2:$D$4,MATCH(E1221,Risk_Matrix!$A$2:$A$4,0),MATCH(F1221,Risk_Matrix!$B$1:$D$1,0))</f>
        <v>Medium</v>
      </c>
      <c r="H1221" s="12" t="n">
        <v>46076</v>
      </c>
      <c r="I1221" s="5" t="s">
        <v>2256</v>
      </c>
      <c r="J1221" s="5" t="s">
        <v>2257</v>
      </c>
      <c r="K1221" s="5" t="s">
        <v>2276</v>
      </c>
      <c r="L1221" s="5" t="n">
        <f aca="false">IF(G1221="High",3,IF(G1221="Medium",2,1))</f>
        <v>2</v>
      </c>
    </row>
    <row r="1222" customFormat="false" ht="15" hidden="false" customHeight="true" outlineLevel="0" collapsed="false">
      <c r="A1222" s="5" t="s">
        <v>3498</v>
      </c>
      <c r="B1222" s="5" t="s">
        <v>1366</v>
      </c>
      <c r="C1222" s="5" t="s">
        <v>2248</v>
      </c>
      <c r="D1222" s="5" t="s">
        <v>2322</v>
      </c>
      <c r="E1222" s="5" t="s">
        <v>59</v>
      </c>
      <c r="F1222" s="5" t="s">
        <v>59</v>
      </c>
      <c r="G1222" s="5" t="str">
        <f aca="false">INDEX(Risk_Matrix!$B$2:$D$4,MATCH(E1222,Risk_Matrix!$A$2:$A$4,0),MATCH(F1222,Risk_Matrix!$B$1:$D$1,0))</f>
        <v>Low</v>
      </c>
      <c r="H1222" s="12" t="n">
        <v>46213</v>
      </c>
      <c r="I1222" s="5" t="s">
        <v>2250</v>
      </c>
      <c r="J1222" s="5" t="s">
        <v>2251</v>
      </c>
      <c r="K1222" s="5" t="s">
        <v>2283</v>
      </c>
      <c r="L1222" s="5" t="n">
        <f aca="false">IF(G1222="High",3,IF(G1222="Medium",2,1))</f>
        <v>1</v>
      </c>
    </row>
    <row r="1223" customFormat="false" ht="15" hidden="false" customHeight="true" outlineLevel="0" collapsed="false">
      <c r="A1223" s="5" t="s">
        <v>3499</v>
      </c>
      <c r="B1223" s="5" t="s">
        <v>1366</v>
      </c>
      <c r="C1223" s="5" t="s">
        <v>2254</v>
      </c>
      <c r="D1223" s="5" t="s">
        <v>2299</v>
      </c>
      <c r="E1223" s="5" t="s">
        <v>59</v>
      </c>
      <c r="F1223" s="5" t="s">
        <v>59</v>
      </c>
      <c r="G1223" s="5" t="str">
        <f aca="false">INDEX(Risk_Matrix!$B$2:$D$4,MATCH(E1223,Risk_Matrix!$A$2:$A$4,0),MATCH(F1223,Risk_Matrix!$B$1:$D$1,0))</f>
        <v>Low</v>
      </c>
      <c r="H1223" s="12" t="n">
        <v>46090</v>
      </c>
      <c r="I1223" s="5" t="s">
        <v>2250</v>
      </c>
      <c r="J1223" s="5" t="s">
        <v>2251</v>
      </c>
      <c r="K1223" s="5" t="s">
        <v>2243</v>
      </c>
      <c r="L1223" s="5" t="n">
        <f aca="false">IF(G1223="High",3,IF(G1223="Medium",2,1))</f>
        <v>1</v>
      </c>
    </row>
    <row r="1224" customFormat="false" ht="15" hidden="false" customHeight="true" outlineLevel="0" collapsed="false">
      <c r="A1224" s="5" t="s">
        <v>3500</v>
      </c>
      <c r="B1224" s="5" t="s">
        <v>1366</v>
      </c>
      <c r="C1224" s="5" t="s">
        <v>2259</v>
      </c>
      <c r="D1224" s="5" t="s">
        <v>2260</v>
      </c>
      <c r="E1224" s="5" t="s">
        <v>2225</v>
      </c>
      <c r="F1224" s="5" t="s">
        <v>59</v>
      </c>
      <c r="G1224" s="5" t="str">
        <f aca="false">INDEX(Risk_Matrix!$B$2:$D$4,MATCH(E1224,Risk_Matrix!$A$2:$A$4,0),MATCH(F1224,Risk_Matrix!$B$1:$D$1,0))</f>
        <v>Low</v>
      </c>
      <c r="H1224" s="12" t="n">
        <v>46088</v>
      </c>
      <c r="I1224" s="5" t="s">
        <v>2250</v>
      </c>
      <c r="J1224" s="5" t="s">
        <v>2251</v>
      </c>
      <c r="K1224" s="5" t="s">
        <v>2283</v>
      </c>
      <c r="L1224" s="5" t="n">
        <f aca="false">IF(G1224="High",3,IF(G1224="Medium",2,1))</f>
        <v>1</v>
      </c>
    </row>
    <row r="1225" customFormat="false" ht="15" hidden="false" customHeight="true" outlineLevel="0" collapsed="false">
      <c r="A1225" s="5" t="s">
        <v>3501</v>
      </c>
      <c r="B1225" s="5" t="s">
        <v>1366</v>
      </c>
      <c r="C1225" s="5" t="s">
        <v>2262</v>
      </c>
      <c r="D1225" s="5" t="s">
        <v>2311</v>
      </c>
      <c r="E1225" s="5" t="s">
        <v>54</v>
      </c>
      <c r="F1225" s="5" t="s">
        <v>59</v>
      </c>
      <c r="G1225" s="5" t="str">
        <f aca="false">INDEX(Risk_Matrix!$B$2:$D$4,MATCH(E1225,Risk_Matrix!$A$2:$A$4,0),MATCH(F1225,Risk_Matrix!$B$1:$D$1,0))</f>
        <v>Medium</v>
      </c>
      <c r="H1225" s="12" t="n">
        <v>46169</v>
      </c>
      <c r="I1225" s="5" t="s">
        <v>2250</v>
      </c>
      <c r="J1225" s="5" t="s">
        <v>2251</v>
      </c>
      <c r="K1225" s="5" t="s">
        <v>2243</v>
      </c>
      <c r="L1225" s="5" t="n">
        <f aca="false">IF(G1225="High",3,IF(G1225="Medium",2,1))</f>
        <v>2</v>
      </c>
    </row>
    <row r="1226" customFormat="false" ht="15" hidden="false" customHeight="true" outlineLevel="0" collapsed="false">
      <c r="A1226" s="5" t="s">
        <v>3502</v>
      </c>
      <c r="B1226" s="5" t="s">
        <v>1369</v>
      </c>
      <c r="C1226" s="5" t="s">
        <v>2239</v>
      </c>
      <c r="D1226" s="5" t="s">
        <v>2303</v>
      </c>
      <c r="E1226" s="5" t="s">
        <v>59</v>
      </c>
      <c r="F1226" s="5" t="s">
        <v>59</v>
      </c>
      <c r="G1226" s="5" t="str">
        <f aca="false">INDEX(Risk_Matrix!$B$2:$D$4,MATCH(E1226,Risk_Matrix!$A$2:$A$4,0),MATCH(F1226,Risk_Matrix!$B$1:$D$1,0))</f>
        <v>Low</v>
      </c>
      <c r="H1226" s="12" t="n">
        <v>46073</v>
      </c>
      <c r="I1226" s="5" t="s">
        <v>2256</v>
      </c>
      <c r="J1226" s="5" t="s">
        <v>2257</v>
      </c>
      <c r="K1226" s="5" t="s">
        <v>2252</v>
      </c>
      <c r="L1226" s="5" t="n">
        <f aca="false">IF(G1226="High",3,IF(G1226="Medium",2,1))</f>
        <v>1</v>
      </c>
    </row>
    <row r="1227" customFormat="false" ht="15" hidden="false" customHeight="true" outlineLevel="0" collapsed="false">
      <c r="A1227" s="5" t="s">
        <v>3503</v>
      </c>
      <c r="B1227" s="5" t="s">
        <v>1369</v>
      </c>
      <c r="C1227" s="5" t="s">
        <v>2245</v>
      </c>
      <c r="D1227" s="5" t="s">
        <v>2269</v>
      </c>
      <c r="E1227" s="5" t="s">
        <v>54</v>
      </c>
      <c r="F1227" s="5" t="s">
        <v>59</v>
      </c>
      <c r="G1227" s="5" t="str">
        <f aca="false">INDEX(Risk_Matrix!$B$2:$D$4,MATCH(E1227,Risk_Matrix!$A$2:$A$4,0),MATCH(F1227,Risk_Matrix!$B$1:$D$1,0))</f>
        <v>Medium</v>
      </c>
      <c r="H1227" s="12" t="n">
        <v>46095</v>
      </c>
      <c r="I1227" s="5" t="s">
        <v>2256</v>
      </c>
      <c r="J1227" s="5" t="s">
        <v>2257</v>
      </c>
      <c r="K1227" s="5" t="s">
        <v>2283</v>
      </c>
      <c r="L1227" s="5" t="n">
        <f aca="false">IF(G1227="High",3,IF(G1227="Medium",2,1))</f>
        <v>2</v>
      </c>
    </row>
    <row r="1228" customFormat="false" ht="15" hidden="false" customHeight="true" outlineLevel="0" collapsed="false">
      <c r="A1228" s="5" t="s">
        <v>3504</v>
      </c>
      <c r="B1228" s="5" t="s">
        <v>1369</v>
      </c>
      <c r="C1228" s="5" t="s">
        <v>2248</v>
      </c>
      <c r="D1228" s="5" t="s">
        <v>2249</v>
      </c>
      <c r="E1228" s="5" t="s">
        <v>2225</v>
      </c>
      <c r="F1228" s="5" t="s">
        <v>59</v>
      </c>
      <c r="G1228" s="5" t="str">
        <f aca="false">INDEX(Risk_Matrix!$B$2:$D$4,MATCH(E1228,Risk_Matrix!$A$2:$A$4,0),MATCH(F1228,Risk_Matrix!$B$1:$D$1,0))</f>
        <v>Low</v>
      </c>
      <c r="H1228" s="12" t="n">
        <v>46192</v>
      </c>
      <c r="I1228" s="5" t="s">
        <v>2264</v>
      </c>
      <c r="J1228" s="5" t="s">
        <v>2265</v>
      </c>
      <c r="K1228" s="5" t="s">
        <v>2243</v>
      </c>
      <c r="L1228" s="5" t="n">
        <f aca="false">IF(G1228="High",3,IF(G1228="Medium",2,1))</f>
        <v>1</v>
      </c>
    </row>
    <row r="1229" customFormat="false" ht="15" hidden="false" customHeight="true" outlineLevel="0" collapsed="false">
      <c r="A1229" s="5" t="s">
        <v>3505</v>
      </c>
      <c r="B1229" s="5" t="s">
        <v>1369</v>
      </c>
      <c r="C1229" s="5" t="s">
        <v>2254</v>
      </c>
      <c r="D1229" s="5" t="s">
        <v>2255</v>
      </c>
      <c r="E1229" s="5" t="s">
        <v>59</v>
      </c>
      <c r="F1229" s="5" t="s">
        <v>54</v>
      </c>
      <c r="G1229" s="5" t="str">
        <f aca="false">INDEX(Risk_Matrix!$B$2:$D$4,MATCH(E1229,Risk_Matrix!$A$2:$A$4,0),MATCH(F1229,Risk_Matrix!$B$1:$D$1,0))</f>
        <v>Medium</v>
      </c>
      <c r="H1229" s="12" t="n">
        <v>46197</v>
      </c>
      <c r="I1229" s="5" t="s">
        <v>2250</v>
      </c>
      <c r="J1229" s="5" t="s">
        <v>2251</v>
      </c>
      <c r="K1229" s="5" t="s">
        <v>2266</v>
      </c>
      <c r="L1229" s="5" t="n">
        <f aca="false">IF(G1229="High",3,IF(G1229="Medium",2,1))</f>
        <v>2</v>
      </c>
    </row>
    <row r="1230" customFormat="false" ht="15" hidden="false" customHeight="true" outlineLevel="0" collapsed="false">
      <c r="A1230" s="5" t="s">
        <v>3506</v>
      </c>
      <c r="B1230" s="5" t="s">
        <v>1369</v>
      </c>
      <c r="C1230" s="5" t="s">
        <v>2259</v>
      </c>
      <c r="D1230" s="5" t="s">
        <v>2260</v>
      </c>
      <c r="E1230" s="5" t="s">
        <v>2225</v>
      </c>
      <c r="F1230" s="5" t="s">
        <v>2225</v>
      </c>
      <c r="G1230" s="5" t="str">
        <f aca="false">INDEX(Risk_Matrix!$B$2:$D$4,MATCH(E1230,Risk_Matrix!$A$2:$A$4,0),MATCH(F1230,Risk_Matrix!$B$1:$D$1,0))</f>
        <v>Medium</v>
      </c>
      <c r="H1230" s="12" t="n">
        <v>46125</v>
      </c>
      <c r="I1230" s="5" t="s">
        <v>2256</v>
      </c>
      <c r="J1230" s="5" t="s">
        <v>2257</v>
      </c>
      <c r="K1230" s="5" t="s">
        <v>2252</v>
      </c>
      <c r="L1230" s="5" t="n">
        <f aca="false">IF(G1230="High",3,IF(G1230="Medium",2,1))</f>
        <v>2</v>
      </c>
    </row>
    <row r="1231" customFormat="false" ht="15" hidden="false" customHeight="true" outlineLevel="0" collapsed="false">
      <c r="A1231" s="5" t="s">
        <v>3507</v>
      </c>
      <c r="B1231" s="5" t="s">
        <v>1369</v>
      </c>
      <c r="C1231" s="5" t="s">
        <v>2262</v>
      </c>
      <c r="D1231" s="5" t="s">
        <v>2263</v>
      </c>
      <c r="E1231" s="5" t="s">
        <v>2225</v>
      </c>
      <c r="F1231" s="5" t="s">
        <v>2225</v>
      </c>
      <c r="G1231" s="5" t="str">
        <f aca="false">INDEX(Risk_Matrix!$B$2:$D$4,MATCH(E1231,Risk_Matrix!$A$2:$A$4,0),MATCH(F1231,Risk_Matrix!$B$1:$D$1,0))</f>
        <v>Medium</v>
      </c>
      <c r="H1231" s="12" t="n">
        <v>46211</v>
      </c>
      <c r="I1231" s="5" t="s">
        <v>2256</v>
      </c>
      <c r="J1231" s="5" t="s">
        <v>2257</v>
      </c>
      <c r="K1231" s="5" t="s">
        <v>2266</v>
      </c>
      <c r="L1231" s="5" t="n">
        <f aca="false">IF(G1231="High",3,IF(G1231="Medium",2,1))</f>
        <v>2</v>
      </c>
    </row>
    <row r="1232" customFormat="false" ht="15" hidden="false" customHeight="true" outlineLevel="0" collapsed="false">
      <c r="A1232" s="5" t="s">
        <v>3508</v>
      </c>
      <c r="B1232" s="5" t="s">
        <v>1372</v>
      </c>
      <c r="C1232" s="5" t="s">
        <v>2239</v>
      </c>
      <c r="D1232" s="5" t="s">
        <v>2303</v>
      </c>
      <c r="E1232" s="5" t="s">
        <v>59</v>
      </c>
      <c r="F1232" s="5" t="s">
        <v>59</v>
      </c>
      <c r="G1232" s="5" t="str">
        <f aca="false">INDEX(Risk_Matrix!$B$2:$D$4,MATCH(E1232,Risk_Matrix!$A$2:$A$4,0),MATCH(F1232,Risk_Matrix!$B$1:$D$1,0))</f>
        <v>Low</v>
      </c>
      <c r="H1232" s="12" t="n">
        <v>46118</v>
      </c>
      <c r="I1232" s="5" t="s">
        <v>2264</v>
      </c>
      <c r="J1232" s="5" t="s">
        <v>2265</v>
      </c>
      <c r="K1232" s="5" t="s">
        <v>2276</v>
      </c>
      <c r="L1232" s="5" t="n">
        <f aca="false">IF(G1232="High",3,IF(G1232="Medium",2,1))</f>
        <v>1</v>
      </c>
    </row>
    <row r="1233" customFormat="false" ht="15" hidden="false" customHeight="true" outlineLevel="0" collapsed="false">
      <c r="A1233" s="5" t="s">
        <v>3509</v>
      </c>
      <c r="B1233" s="5" t="s">
        <v>1372</v>
      </c>
      <c r="C1233" s="5" t="s">
        <v>2245</v>
      </c>
      <c r="D1233" s="5" t="s">
        <v>2269</v>
      </c>
      <c r="E1233" s="5" t="s">
        <v>54</v>
      </c>
      <c r="F1233" s="5" t="s">
        <v>59</v>
      </c>
      <c r="G1233" s="5" t="str">
        <f aca="false">INDEX(Risk_Matrix!$B$2:$D$4,MATCH(E1233,Risk_Matrix!$A$2:$A$4,0),MATCH(F1233,Risk_Matrix!$B$1:$D$1,0))</f>
        <v>Medium</v>
      </c>
      <c r="H1233" s="12" t="n">
        <v>46156</v>
      </c>
      <c r="I1233" s="5" t="s">
        <v>2250</v>
      </c>
      <c r="J1233" s="5" t="s">
        <v>2251</v>
      </c>
      <c r="K1233" s="5" t="s">
        <v>2266</v>
      </c>
      <c r="L1233" s="5" t="n">
        <f aca="false">IF(G1233="High",3,IF(G1233="Medium",2,1))</f>
        <v>2</v>
      </c>
    </row>
    <row r="1234" customFormat="false" ht="15" hidden="false" customHeight="true" outlineLevel="0" collapsed="false">
      <c r="A1234" s="5" t="s">
        <v>3510</v>
      </c>
      <c r="B1234" s="5" t="s">
        <v>1372</v>
      </c>
      <c r="C1234" s="5" t="s">
        <v>2248</v>
      </c>
      <c r="D1234" s="5" t="s">
        <v>2322</v>
      </c>
      <c r="E1234" s="5" t="s">
        <v>2225</v>
      </c>
      <c r="F1234" s="5" t="s">
        <v>2225</v>
      </c>
      <c r="G1234" s="5" t="str">
        <f aca="false">INDEX(Risk_Matrix!$B$2:$D$4,MATCH(E1234,Risk_Matrix!$A$2:$A$4,0),MATCH(F1234,Risk_Matrix!$B$1:$D$1,0))</f>
        <v>Medium</v>
      </c>
      <c r="H1234" s="12" t="n">
        <v>46082</v>
      </c>
      <c r="I1234" s="5" t="s">
        <v>2264</v>
      </c>
      <c r="J1234" s="5" t="s">
        <v>2265</v>
      </c>
      <c r="K1234" s="5" t="s">
        <v>2266</v>
      </c>
      <c r="L1234" s="5" t="n">
        <f aca="false">IF(G1234="High",3,IF(G1234="Medium",2,1))</f>
        <v>2</v>
      </c>
    </row>
    <row r="1235" customFormat="false" ht="15" hidden="false" customHeight="true" outlineLevel="0" collapsed="false">
      <c r="A1235" s="5" t="s">
        <v>3511</v>
      </c>
      <c r="B1235" s="5" t="s">
        <v>1372</v>
      </c>
      <c r="C1235" s="5" t="s">
        <v>2254</v>
      </c>
      <c r="D1235" s="5" t="s">
        <v>2308</v>
      </c>
      <c r="E1235" s="5" t="s">
        <v>54</v>
      </c>
      <c r="F1235" s="5" t="s">
        <v>54</v>
      </c>
      <c r="G1235" s="5" t="str">
        <f aca="false">INDEX(Risk_Matrix!$B$2:$D$4,MATCH(E1235,Risk_Matrix!$A$2:$A$4,0),MATCH(F1235,Risk_Matrix!$B$1:$D$1,0))</f>
        <v>High</v>
      </c>
      <c r="H1235" s="12" t="n">
        <v>46132</v>
      </c>
      <c r="I1235" s="5" t="s">
        <v>2250</v>
      </c>
      <c r="J1235" s="5" t="s">
        <v>2251</v>
      </c>
      <c r="K1235" s="5" t="s">
        <v>2252</v>
      </c>
      <c r="L1235" s="5" t="n">
        <f aca="false">IF(G1235="High",3,IF(G1235="Medium",2,1))</f>
        <v>3</v>
      </c>
    </row>
    <row r="1236" customFormat="false" ht="15" hidden="false" customHeight="true" outlineLevel="0" collapsed="false">
      <c r="A1236" s="5" t="s">
        <v>3512</v>
      </c>
      <c r="B1236" s="5" t="s">
        <v>1372</v>
      </c>
      <c r="C1236" s="5" t="s">
        <v>2259</v>
      </c>
      <c r="D1236" s="5" t="s">
        <v>2260</v>
      </c>
      <c r="E1236" s="5" t="s">
        <v>54</v>
      </c>
      <c r="F1236" s="5" t="s">
        <v>59</v>
      </c>
      <c r="G1236" s="5" t="str">
        <f aca="false">INDEX(Risk_Matrix!$B$2:$D$4,MATCH(E1236,Risk_Matrix!$A$2:$A$4,0),MATCH(F1236,Risk_Matrix!$B$1:$D$1,0))</f>
        <v>Medium</v>
      </c>
      <c r="H1236" s="12" t="n">
        <v>46161</v>
      </c>
      <c r="I1236" s="5" t="s">
        <v>2264</v>
      </c>
      <c r="J1236" s="5" t="s">
        <v>2265</v>
      </c>
      <c r="K1236" s="5" t="s">
        <v>2252</v>
      </c>
      <c r="L1236" s="5" t="n">
        <f aca="false">IF(G1236="High",3,IF(G1236="Medium",2,1))</f>
        <v>2</v>
      </c>
    </row>
    <row r="1237" customFormat="false" ht="15" hidden="false" customHeight="true" outlineLevel="0" collapsed="false">
      <c r="A1237" s="5" t="s">
        <v>3513</v>
      </c>
      <c r="B1237" s="5" t="s">
        <v>1372</v>
      </c>
      <c r="C1237" s="5" t="s">
        <v>2262</v>
      </c>
      <c r="D1237" s="5" t="s">
        <v>2287</v>
      </c>
      <c r="E1237" s="5" t="s">
        <v>59</v>
      </c>
      <c r="F1237" s="5" t="s">
        <v>2225</v>
      </c>
      <c r="G1237" s="5" t="str">
        <f aca="false">INDEX(Risk_Matrix!$B$2:$D$4,MATCH(E1237,Risk_Matrix!$A$2:$A$4,0),MATCH(F1237,Risk_Matrix!$B$1:$D$1,0))</f>
        <v>Low</v>
      </c>
      <c r="H1237" s="12" t="n">
        <v>46158</v>
      </c>
      <c r="I1237" s="5" t="s">
        <v>2264</v>
      </c>
      <c r="J1237" s="5" t="s">
        <v>2265</v>
      </c>
      <c r="K1237" s="5" t="s">
        <v>2243</v>
      </c>
      <c r="L1237" s="5" t="n">
        <f aca="false">IF(G1237="High",3,IF(G1237="Medium",2,1))</f>
        <v>1</v>
      </c>
    </row>
    <row r="1238" customFormat="false" ht="15" hidden="false" customHeight="true" outlineLevel="0" collapsed="false">
      <c r="A1238" s="5" t="s">
        <v>3514</v>
      </c>
      <c r="B1238" s="5" t="s">
        <v>1375</v>
      </c>
      <c r="C1238" s="5" t="s">
        <v>2239</v>
      </c>
      <c r="D1238" s="5" t="s">
        <v>2278</v>
      </c>
      <c r="E1238" s="5" t="s">
        <v>59</v>
      </c>
      <c r="F1238" s="5" t="s">
        <v>59</v>
      </c>
      <c r="G1238" s="5" t="str">
        <f aca="false">INDEX(Risk_Matrix!$B$2:$D$4,MATCH(E1238,Risk_Matrix!$A$2:$A$4,0),MATCH(F1238,Risk_Matrix!$B$1:$D$1,0))</f>
        <v>Low</v>
      </c>
      <c r="H1238" s="12" t="n">
        <v>46135</v>
      </c>
      <c r="I1238" s="5" t="s">
        <v>2250</v>
      </c>
      <c r="J1238" s="5" t="s">
        <v>2251</v>
      </c>
      <c r="K1238" s="5" t="s">
        <v>2276</v>
      </c>
      <c r="L1238" s="5" t="n">
        <f aca="false">IF(G1238="High",3,IF(G1238="Medium",2,1))</f>
        <v>1</v>
      </c>
    </row>
    <row r="1239" customFormat="false" ht="15" hidden="false" customHeight="true" outlineLevel="0" collapsed="false">
      <c r="A1239" s="5" t="s">
        <v>3515</v>
      </c>
      <c r="B1239" s="5" t="s">
        <v>1375</v>
      </c>
      <c r="C1239" s="5" t="s">
        <v>2245</v>
      </c>
      <c r="D1239" s="5" t="s">
        <v>2280</v>
      </c>
      <c r="E1239" s="5" t="s">
        <v>59</v>
      </c>
      <c r="F1239" s="5" t="s">
        <v>2225</v>
      </c>
      <c r="G1239" s="5" t="str">
        <f aca="false">INDEX(Risk_Matrix!$B$2:$D$4,MATCH(E1239,Risk_Matrix!$A$2:$A$4,0),MATCH(F1239,Risk_Matrix!$B$1:$D$1,0))</f>
        <v>Low</v>
      </c>
      <c r="H1239" s="12" t="n">
        <v>46168</v>
      </c>
      <c r="I1239" s="5" t="s">
        <v>2241</v>
      </c>
      <c r="J1239" s="5" t="s">
        <v>2242</v>
      </c>
      <c r="K1239" s="5" t="s">
        <v>2276</v>
      </c>
      <c r="L1239" s="5" t="n">
        <f aca="false">IF(G1239="High",3,IF(G1239="Medium",2,1))</f>
        <v>1</v>
      </c>
    </row>
    <row r="1240" customFormat="false" ht="15" hidden="false" customHeight="true" outlineLevel="0" collapsed="false">
      <c r="A1240" s="5" t="s">
        <v>3516</v>
      </c>
      <c r="B1240" s="5" t="s">
        <v>1375</v>
      </c>
      <c r="C1240" s="5" t="s">
        <v>2248</v>
      </c>
      <c r="D1240" s="5" t="s">
        <v>2322</v>
      </c>
      <c r="E1240" s="5" t="s">
        <v>59</v>
      </c>
      <c r="F1240" s="5" t="s">
        <v>2225</v>
      </c>
      <c r="G1240" s="5" t="str">
        <f aca="false">INDEX(Risk_Matrix!$B$2:$D$4,MATCH(E1240,Risk_Matrix!$A$2:$A$4,0),MATCH(F1240,Risk_Matrix!$B$1:$D$1,0))</f>
        <v>Low</v>
      </c>
      <c r="H1240" s="12" t="n">
        <v>46143</v>
      </c>
      <c r="I1240" s="5" t="s">
        <v>2256</v>
      </c>
      <c r="J1240" s="5" t="s">
        <v>2257</v>
      </c>
      <c r="K1240" s="5" t="s">
        <v>2276</v>
      </c>
      <c r="L1240" s="5" t="n">
        <f aca="false">IF(G1240="High",3,IF(G1240="Medium",2,1))</f>
        <v>1</v>
      </c>
    </row>
    <row r="1241" customFormat="false" ht="15" hidden="false" customHeight="true" outlineLevel="0" collapsed="false">
      <c r="A1241" s="5" t="s">
        <v>3517</v>
      </c>
      <c r="B1241" s="5" t="s">
        <v>1375</v>
      </c>
      <c r="C1241" s="5" t="s">
        <v>2254</v>
      </c>
      <c r="D1241" s="5" t="s">
        <v>2308</v>
      </c>
      <c r="E1241" s="5" t="s">
        <v>59</v>
      </c>
      <c r="F1241" s="5" t="s">
        <v>59</v>
      </c>
      <c r="G1241" s="5" t="str">
        <f aca="false">INDEX(Risk_Matrix!$B$2:$D$4,MATCH(E1241,Risk_Matrix!$A$2:$A$4,0),MATCH(F1241,Risk_Matrix!$B$1:$D$1,0))</f>
        <v>Low</v>
      </c>
      <c r="H1241" s="12" t="n">
        <v>46187</v>
      </c>
      <c r="I1241" s="5" t="s">
        <v>2250</v>
      </c>
      <c r="J1241" s="5" t="s">
        <v>2251</v>
      </c>
      <c r="K1241" s="5" t="s">
        <v>2266</v>
      </c>
      <c r="L1241" s="5" t="n">
        <f aca="false">IF(G1241="High",3,IF(G1241="Medium",2,1))</f>
        <v>1</v>
      </c>
    </row>
    <row r="1242" customFormat="false" ht="15" hidden="false" customHeight="true" outlineLevel="0" collapsed="false">
      <c r="A1242" s="5" t="s">
        <v>3518</v>
      </c>
      <c r="B1242" s="5" t="s">
        <v>1375</v>
      </c>
      <c r="C1242" s="5" t="s">
        <v>2259</v>
      </c>
      <c r="D1242" s="5" t="s">
        <v>2285</v>
      </c>
      <c r="E1242" s="5" t="s">
        <v>2225</v>
      </c>
      <c r="F1242" s="5" t="s">
        <v>54</v>
      </c>
      <c r="G1242" s="5" t="str">
        <f aca="false">INDEX(Risk_Matrix!$B$2:$D$4,MATCH(E1242,Risk_Matrix!$A$2:$A$4,0),MATCH(F1242,Risk_Matrix!$B$1:$D$1,0))</f>
        <v>High</v>
      </c>
      <c r="H1242" s="12" t="n">
        <v>46176</v>
      </c>
      <c r="I1242" s="5" t="s">
        <v>2256</v>
      </c>
      <c r="J1242" s="5" t="s">
        <v>2257</v>
      </c>
      <c r="K1242" s="5" t="s">
        <v>2266</v>
      </c>
      <c r="L1242" s="5" t="n">
        <f aca="false">IF(G1242="High",3,IF(G1242="Medium",2,1))</f>
        <v>3</v>
      </c>
    </row>
    <row r="1243" customFormat="false" ht="15" hidden="false" customHeight="true" outlineLevel="0" collapsed="false">
      <c r="A1243" s="5" t="s">
        <v>3519</v>
      </c>
      <c r="B1243" s="5" t="s">
        <v>1375</v>
      </c>
      <c r="C1243" s="5" t="s">
        <v>2262</v>
      </c>
      <c r="D1243" s="5" t="s">
        <v>2311</v>
      </c>
      <c r="E1243" s="5" t="s">
        <v>2225</v>
      </c>
      <c r="F1243" s="5" t="s">
        <v>54</v>
      </c>
      <c r="G1243" s="5" t="str">
        <f aca="false">INDEX(Risk_Matrix!$B$2:$D$4,MATCH(E1243,Risk_Matrix!$A$2:$A$4,0),MATCH(F1243,Risk_Matrix!$B$1:$D$1,0))</f>
        <v>High</v>
      </c>
      <c r="H1243" s="12" t="n">
        <v>46227</v>
      </c>
      <c r="I1243" s="5" t="s">
        <v>2250</v>
      </c>
      <c r="J1243" s="5" t="s">
        <v>2251</v>
      </c>
      <c r="K1243" s="5" t="s">
        <v>2243</v>
      </c>
      <c r="L1243" s="5" t="n">
        <f aca="false">IF(G1243="High",3,IF(G1243="Medium",2,1))</f>
        <v>3</v>
      </c>
    </row>
    <row r="1244" customFormat="false" ht="15" hidden="false" customHeight="true" outlineLevel="0" collapsed="false">
      <c r="A1244" s="5" t="s">
        <v>3520</v>
      </c>
      <c r="B1244" s="5" t="s">
        <v>1378</v>
      </c>
      <c r="C1244" s="5" t="s">
        <v>2239</v>
      </c>
      <c r="D1244" s="5" t="s">
        <v>2295</v>
      </c>
      <c r="E1244" s="5" t="s">
        <v>59</v>
      </c>
      <c r="F1244" s="5" t="s">
        <v>54</v>
      </c>
      <c r="G1244" s="5" t="str">
        <f aca="false">INDEX(Risk_Matrix!$B$2:$D$4,MATCH(E1244,Risk_Matrix!$A$2:$A$4,0),MATCH(F1244,Risk_Matrix!$B$1:$D$1,0))</f>
        <v>Medium</v>
      </c>
      <c r="H1244" s="12" t="n">
        <v>46223</v>
      </c>
      <c r="I1244" s="5" t="s">
        <v>2250</v>
      </c>
      <c r="J1244" s="5" t="s">
        <v>2251</v>
      </c>
      <c r="K1244" s="5" t="s">
        <v>2276</v>
      </c>
      <c r="L1244" s="5" t="n">
        <f aca="false">IF(G1244="High",3,IF(G1244="Medium",2,1))</f>
        <v>2</v>
      </c>
    </row>
    <row r="1245" customFormat="false" ht="15" hidden="false" customHeight="true" outlineLevel="0" collapsed="false">
      <c r="A1245" s="5" t="s">
        <v>3521</v>
      </c>
      <c r="B1245" s="5" t="s">
        <v>1378</v>
      </c>
      <c r="C1245" s="5" t="s">
        <v>2245</v>
      </c>
      <c r="D1245" s="5" t="s">
        <v>2246</v>
      </c>
      <c r="E1245" s="5" t="s">
        <v>2225</v>
      </c>
      <c r="F1245" s="5" t="s">
        <v>59</v>
      </c>
      <c r="G1245" s="5" t="str">
        <f aca="false">INDEX(Risk_Matrix!$B$2:$D$4,MATCH(E1245,Risk_Matrix!$A$2:$A$4,0),MATCH(F1245,Risk_Matrix!$B$1:$D$1,0))</f>
        <v>Low</v>
      </c>
      <c r="H1245" s="12" t="n">
        <v>46166</v>
      </c>
      <c r="I1245" s="5" t="s">
        <v>2256</v>
      </c>
      <c r="J1245" s="5" t="s">
        <v>2257</v>
      </c>
      <c r="K1245" s="5" t="s">
        <v>2276</v>
      </c>
      <c r="L1245" s="5" t="n">
        <f aca="false">IF(G1245="High",3,IF(G1245="Medium",2,1))</f>
        <v>1</v>
      </c>
    </row>
    <row r="1246" customFormat="false" ht="15" hidden="false" customHeight="true" outlineLevel="0" collapsed="false">
      <c r="A1246" s="5" t="s">
        <v>3522</v>
      </c>
      <c r="B1246" s="5" t="s">
        <v>1378</v>
      </c>
      <c r="C1246" s="5" t="s">
        <v>2248</v>
      </c>
      <c r="D1246" s="5" t="s">
        <v>2271</v>
      </c>
      <c r="E1246" s="5" t="s">
        <v>59</v>
      </c>
      <c r="F1246" s="5" t="s">
        <v>2225</v>
      </c>
      <c r="G1246" s="5" t="str">
        <f aca="false">INDEX(Risk_Matrix!$B$2:$D$4,MATCH(E1246,Risk_Matrix!$A$2:$A$4,0),MATCH(F1246,Risk_Matrix!$B$1:$D$1,0))</f>
        <v>Low</v>
      </c>
      <c r="H1246" s="12" t="n">
        <v>46133</v>
      </c>
      <c r="I1246" s="5" t="s">
        <v>2256</v>
      </c>
      <c r="J1246" s="5" t="s">
        <v>2257</v>
      </c>
      <c r="K1246" s="5" t="s">
        <v>2266</v>
      </c>
      <c r="L1246" s="5" t="n">
        <f aca="false">IF(G1246="High",3,IF(G1246="Medium",2,1))</f>
        <v>1</v>
      </c>
    </row>
    <row r="1247" customFormat="false" ht="15" hidden="false" customHeight="true" outlineLevel="0" collapsed="false">
      <c r="A1247" s="5" t="s">
        <v>3523</v>
      </c>
      <c r="B1247" s="5" t="s">
        <v>1378</v>
      </c>
      <c r="C1247" s="5" t="s">
        <v>2254</v>
      </c>
      <c r="D1247" s="5" t="s">
        <v>2255</v>
      </c>
      <c r="E1247" s="5" t="s">
        <v>2225</v>
      </c>
      <c r="F1247" s="5" t="s">
        <v>2225</v>
      </c>
      <c r="G1247" s="5" t="str">
        <f aca="false">INDEX(Risk_Matrix!$B$2:$D$4,MATCH(E1247,Risk_Matrix!$A$2:$A$4,0),MATCH(F1247,Risk_Matrix!$B$1:$D$1,0))</f>
        <v>Medium</v>
      </c>
      <c r="H1247" s="12" t="n">
        <v>46126</v>
      </c>
      <c r="I1247" s="5" t="s">
        <v>2250</v>
      </c>
      <c r="J1247" s="5" t="s">
        <v>2251</v>
      </c>
      <c r="K1247" s="5" t="s">
        <v>2266</v>
      </c>
      <c r="L1247" s="5" t="n">
        <f aca="false">IF(G1247="High",3,IF(G1247="Medium",2,1))</f>
        <v>2</v>
      </c>
    </row>
    <row r="1248" customFormat="false" ht="15" hidden="false" customHeight="true" outlineLevel="0" collapsed="false">
      <c r="A1248" s="5" t="s">
        <v>3524</v>
      </c>
      <c r="B1248" s="5" t="s">
        <v>1378</v>
      </c>
      <c r="C1248" s="5" t="s">
        <v>2259</v>
      </c>
      <c r="D1248" s="5" t="s">
        <v>2274</v>
      </c>
      <c r="E1248" s="5" t="s">
        <v>2225</v>
      </c>
      <c r="F1248" s="5" t="s">
        <v>2225</v>
      </c>
      <c r="G1248" s="5" t="str">
        <f aca="false">INDEX(Risk_Matrix!$B$2:$D$4,MATCH(E1248,Risk_Matrix!$A$2:$A$4,0),MATCH(F1248,Risk_Matrix!$B$1:$D$1,0))</f>
        <v>Medium</v>
      </c>
      <c r="H1248" s="12" t="n">
        <v>46103</v>
      </c>
      <c r="I1248" s="5" t="s">
        <v>2256</v>
      </c>
      <c r="J1248" s="5" t="s">
        <v>2257</v>
      </c>
      <c r="K1248" s="5" t="s">
        <v>2252</v>
      </c>
      <c r="L1248" s="5" t="n">
        <f aca="false">IF(G1248="High",3,IF(G1248="Medium",2,1))</f>
        <v>2</v>
      </c>
    </row>
    <row r="1249" customFormat="false" ht="15" hidden="false" customHeight="true" outlineLevel="0" collapsed="false">
      <c r="A1249" s="5" t="s">
        <v>3525</v>
      </c>
      <c r="B1249" s="5" t="s">
        <v>1378</v>
      </c>
      <c r="C1249" s="5" t="s">
        <v>2262</v>
      </c>
      <c r="D1249" s="5" t="s">
        <v>2263</v>
      </c>
      <c r="E1249" s="5" t="s">
        <v>59</v>
      </c>
      <c r="F1249" s="5" t="s">
        <v>2225</v>
      </c>
      <c r="G1249" s="5" t="str">
        <f aca="false">INDEX(Risk_Matrix!$B$2:$D$4,MATCH(E1249,Risk_Matrix!$A$2:$A$4,0),MATCH(F1249,Risk_Matrix!$B$1:$D$1,0))</f>
        <v>Low</v>
      </c>
      <c r="H1249" s="12" t="n">
        <v>46059</v>
      </c>
      <c r="I1249" s="5" t="s">
        <v>2256</v>
      </c>
      <c r="J1249" s="5" t="s">
        <v>2257</v>
      </c>
      <c r="K1249" s="5" t="s">
        <v>2252</v>
      </c>
      <c r="L1249" s="5" t="n">
        <f aca="false">IF(G1249="High",3,IF(G1249="Medium",2,1))</f>
        <v>1</v>
      </c>
    </row>
    <row r="1250" customFormat="false" ht="15" hidden="false" customHeight="true" outlineLevel="0" collapsed="false">
      <c r="A1250" s="5" t="s">
        <v>3526</v>
      </c>
      <c r="B1250" s="5" t="s">
        <v>1381</v>
      </c>
      <c r="C1250" s="5" t="s">
        <v>2239</v>
      </c>
      <c r="D1250" s="5" t="s">
        <v>2278</v>
      </c>
      <c r="E1250" s="5" t="s">
        <v>54</v>
      </c>
      <c r="F1250" s="5" t="s">
        <v>59</v>
      </c>
      <c r="G1250" s="5" t="str">
        <f aca="false">INDEX(Risk_Matrix!$B$2:$D$4,MATCH(E1250,Risk_Matrix!$A$2:$A$4,0),MATCH(F1250,Risk_Matrix!$B$1:$D$1,0))</f>
        <v>Medium</v>
      </c>
      <c r="H1250" s="12" t="n">
        <v>46191</v>
      </c>
      <c r="I1250" s="5" t="s">
        <v>2264</v>
      </c>
      <c r="J1250" s="5" t="s">
        <v>2265</v>
      </c>
      <c r="K1250" s="5" t="s">
        <v>2252</v>
      </c>
      <c r="L1250" s="5" t="n">
        <f aca="false">IF(G1250="High",3,IF(G1250="Medium",2,1))</f>
        <v>2</v>
      </c>
    </row>
    <row r="1251" customFormat="false" ht="15" hidden="false" customHeight="true" outlineLevel="0" collapsed="false">
      <c r="A1251" s="5" t="s">
        <v>3527</v>
      </c>
      <c r="B1251" s="5" t="s">
        <v>1381</v>
      </c>
      <c r="C1251" s="5" t="s">
        <v>2245</v>
      </c>
      <c r="D1251" s="5" t="s">
        <v>2280</v>
      </c>
      <c r="E1251" s="5" t="s">
        <v>59</v>
      </c>
      <c r="F1251" s="5" t="s">
        <v>59</v>
      </c>
      <c r="G1251" s="5" t="str">
        <f aca="false">INDEX(Risk_Matrix!$B$2:$D$4,MATCH(E1251,Risk_Matrix!$A$2:$A$4,0),MATCH(F1251,Risk_Matrix!$B$1:$D$1,0))</f>
        <v>Low</v>
      </c>
      <c r="H1251" s="12" t="n">
        <v>46172</v>
      </c>
      <c r="I1251" s="5" t="s">
        <v>2256</v>
      </c>
      <c r="J1251" s="5" t="s">
        <v>2257</v>
      </c>
      <c r="K1251" s="5" t="s">
        <v>2252</v>
      </c>
      <c r="L1251" s="5" t="n">
        <f aca="false">IF(G1251="High",3,IF(G1251="Medium",2,1))</f>
        <v>1</v>
      </c>
    </row>
    <row r="1252" customFormat="false" ht="15" hidden="false" customHeight="true" outlineLevel="0" collapsed="false">
      <c r="A1252" s="5" t="s">
        <v>3528</v>
      </c>
      <c r="B1252" s="5" t="s">
        <v>1381</v>
      </c>
      <c r="C1252" s="5" t="s">
        <v>2248</v>
      </c>
      <c r="D1252" s="5" t="s">
        <v>2306</v>
      </c>
      <c r="E1252" s="5" t="s">
        <v>59</v>
      </c>
      <c r="F1252" s="5" t="s">
        <v>2225</v>
      </c>
      <c r="G1252" s="5" t="str">
        <f aca="false">INDEX(Risk_Matrix!$B$2:$D$4,MATCH(E1252,Risk_Matrix!$A$2:$A$4,0),MATCH(F1252,Risk_Matrix!$B$1:$D$1,0))</f>
        <v>Low</v>
      </c>
      <c r="H1252" s="12" t="n">
        <v>46114</v>
      </c>
      <c r="I1252" s="5" t="s">
        <v>2250</v>
      </c>
      <c r="J1252" s="5" t="s">
        <v>2251</v>
      </c>
      <c r="K1252" s="5" t="s">
        <v>2276</v>
      </c>
      <c r="L1252" s="5" t="n">
        <f aca="false">IF(G1252="High",3,IF(G1252="Medium",2,1))</f>
        <v>1</v>
      </c>
    </row>
    <row r="1253" customFormat="false" ht="15" hidden="false" customHeight="true" outlineLevel="0" collapsed="false">
      <c r="A1253" s="5" t="s">
        <v>3529</v>
      </c>
      <c r="B1253" s="5" t="s">
        <v>1381</v>
      </c>
      <c r="C1253" s="5" t="s">
        <v>2254</v>
      </c>
      <c r="D1253" s="5" t="s">
        <v>2299</v>
      </c>
      <c r="E1253" s="5" t="s">
        <v>59</v>
      </c>
      <c r="F1253" s="5" t="s">
        <v>54</v>
      </c>
      <c r="G1253" s="5" t="str">
        <f aca="false">INDEX(Risk_Matrix!$B$2:$D$4,MATCH(E1253,Risk_Matrix!$A$2:$A$4,0),MATCH(F1253,Risk_Matrix!$B$1:$D$1,0))</f>
        <v>Medium</v>
      </c>
      <c r="H1253" s="12" t="n">
        <v>46094</v>
      </c>
      <c r="I1253" s="5" t="s">
        <v>2256</v>
      </c>
      <c r="J1253" s="5" t="s">
        <v>2257</v>
      </c>
      <c r="K1253" s="5" t="s">
        <v>2243</v>
      </c>
      <c r="L1253" s="5" t="n">
        <f aca="false">IF(G1253="High",3,IF(G1253="Medium",2,1))</f>
        <v>2</v>
      </c>
    </row>
    <row r="1254" customFormat="false" ht="15" hidden="false" customHeight="true" outlineLevel="0" collapsed="false">
      <c r="A1254" s="5" t="s">
        <v>3530</v>
      </c>
      <c r="B1254" s="5" t="s">
        <v>1381</v>
      </c>
      <c r="C1254" s="5" t="s">
        <v>2259</v>
      </c>
      <c r="D1254" s="5" t="s">
        <v>2260</v>
      </c>
      <c r="E1254" s="5" t="s">
        <v>54</v>
      </c>
      <c r="F1254" s="5" t="s">
        <v>54</v>
      </c>
      <c r="G1254" s="5" t="str">
        <f aca="false">INDEX(Risk_Matrix!$B$2:$D$4,MATCH(E1254,Risk_Matrix!$A$2:$A$4,0),MATCH(F1254,Risk_Matrix!$B$1:$D$1,0))</f>
        <v>High</v>
      </c>
      <c r="H1254" s="12" t="n">
        <v>46101</v>
      </c>
      <c r="I1254" s="5" t="s">
        <v>2256</v>
      </c>
      <c r="J1254" s="5" t="s">
        <v>2257</v>
      </c>
      <c r="K1254" s="5" t="s">
        <v>2243</v>
      </c>
      <c r="L1254" s="5" t="n">
        <f aca="false">IF(G1254="High",3,IF(G1254="Medium",2,1))</f>
        <v>3</v>
      </c>
    </row>
    <row r="1255" customFormat="false" ht="15" hidden="false" customHeight="true" outlineLevel="0" collapsed="false">
      <c r="A1255" s="5" t="s">
        <v>3531</v>
      </c>
      <c r="B1255" s="5" t="s">
        <v>1381</v>
      </c>
      <c r="C1255" s="5" t="s">
        <v>2262</v>
      </c>
      <c r="D1255" s="5" t="s">
        <v>2311</v>
      </c>
      <c r="E1255" s="5" t="s">
        <v>2225</v>
      </c>
      <c r="F1255" s="5" t="s">
        <v>2225</v>
      </c>
      <c r="G1255" s="5" t="str">
        <f aca="false">INDEX(Risk_Matrix!$B$2:$D$4,MATCH(E1255,Risk_Matrix!$A$2:$A$4,0),MATCH(F1255,Risk_Matrix!$B$1:$D$1,0))</f>
        <v>Medium</v>
      </c>
      <c r="H1255" s="12" t="n">
        <v>46094</v>
      </c>
      <c r="I1255" s="5" t="s">
        <v>2250</v>
      </c>
      <c r="J1255" s="5" t="s">
        <v>2251</v>
      </c>
      <c r="K1255" s="5" t="s">
        <v>2276</v>
      </c>
      <c r="L1255" s="5" t="n">
        <f aca="false">IF(G1255="High",3,IF(G1255="Medium",2,1))</f>
        <v>2</v>
      </c>
    </row>
    <row r="1256" customFormat="false" ht="15" hidden="false" customHeight="true" outlineLevel="0" collapsed="false">
      <c r="A1256" s="5" t="s">
        <v>3532</v>
      </c>
      <c r="B1256" s="5" t="s">
        <v>1384</v>
      </c>
      <c r="C1256" s="5" t="s">
        <v>2239</v>
      </c>
      <c r="D1256" s="5" t="s">
        <v>2240</v>
      </c>
      <c r="E1256" s="5" t="s">
        <v>2225</v>
      </c>
      <c r="F1256" s="5" t="s">
        <v>2225</v>
      </c>
      <c r="G1256" s="5" t="str">
        <f aca="false">INDEX(Risk_Matrix!$B$2:$D$4,MATCH(E1256,Risk_Matrix!$A$2:$A$4,0),MATCH(F1256,Risk_Matrix!$B$1:$D$1,0))</f>
        <v>Medium</v>
      </c>
      <c r="H1256" s="12" t="n">
        <v>46216</v>
      </c>
      <c r="I1256" s="5" t="s">
        <v>2264</v>
      </c>
      <c r="J1256" s="5" t="s">
        <v>2265</v>
      </c>
      <c r="K1256" s="5" t="s">
        <v>2283</v>
      </c>
      <c r="L1256" s="5" t="n">
        <f aca="false">IF(G1256="High",3,IF(G1256="Medium",2,1))</f>
        <v>2</v>
      </c>
    </row>
    <row r="1257" customFormat="false" ht="15" hidden="false" customHeight="true" outlineLevel="0" collapsed="false">
      <c r="A1257" s="5" t="s">
        <v>3533</v>
      </c>
      <c r="B1257" s="5" t="s">
        <v>1384</v>
      </c>
      <c r="C1257" s="5" t="s">
        <v>2245</v>
      </c>
      <c r="D1257" s="5" t="s">
        <v>2280</v>
      </c>
      <c r="E1257" s="5" t="s">
        <v>2225</v>
      </c>
      <c r="F1257" s="5" t="s">
        <v>54</v>
      </c>
      <c r="G1257" s="5" t="str">
        <f aca="false">INDEX(Risk_Matrix!$B$2:$D$4,MATCH(E1257,Risk_Matrix!$A$2:$A$4,0),MATCH(F1257,Risk_Matrix!$B$1:$D$1,0))</f>
        <v>High</v>
      </c>
      <c r="H1257" s="12" t="n">
        <v>46063</v>
      </c>
      <c r="I1257" s="5" t="s">
        <v>2264</v>
      </c>
      <c r="J1257" s="5" t="s">
        <v>2265</v>
      </c>
      <c r="K1257" s="5" t="s">
        <v>2243</v>
      </c>
      <c r="L1257" s="5" t="n">
        <f aca="false">IF(G1257="High",3,IF(G1257="Medium",2,1))</f>
        <v>3</v>
      </c>
    </row>
    <row r="1258" customFormat="false" ht="15" hidden="false" customHeight="true" outlineLevel="0" collapsed="false">
      <c r="A1258" s="5" t="s">
        <v>3534</v>
      </c>
      <c r="B1258" s="5" t="s">
        <v>1384</v>
      </c>
      <c r="C1258" s="5" t="s">
        <v>2248</v>
      </c>
      <c r="D1258" s="5" t="s">
        <v>2249</v>
      </c>
      <c r="E1258" s="5" t="s">
        <v>59</v>
      </c>
      <c r="F1258" s="5" t="s">
        <v>54</v>
      </c>
      <c r="G1258" s="5" t="str">
        <f aca="false">INDEX(Risk_Matrix!$B$2:$D$4,MATCH(E1258,Risk_Matrix!$A$2:$A$4,0),MATCH(F1258,Risk_Matrix!$B$1:$D$1,0))</f>
        <v>Medium</v>
      </c>
      <c r="H1258" s="12" t="n">
        <v>46200</v>
      </c>
      <c r="I1258" s="5" t="s">
        <v>2241</v>
      </c>
      <c r="J1258" s="5" t="s">
        <v>2242</v>
      </c>
      <c r="K1258" s="5" t="s">
        <v>2252</v>
      </c>
      <c r="L1258" s="5" t="n">
        <f aca="false">IF(G1258="High",3,IF(G1258="Medium",2,1))</f>
        <v>2</v>
      </c>
    </row>
    <row r="1259" customFormat="false" ht="15" hidden="false" customHeight="true" outlineLevel="0" collapsed="false">
      <c r="A1259" s="5" t="s">
        <v>3535</v>
      </c>
      <c r="B1259" s="5" t="s">
        <v>1384</v>
      </c>
      <c r="C1259" s="5" t="s">
        <v>2254</v>
      </c>
      <c r="D1259" s="5" t="s">
        <v>2255</v>
      </c>
      <c r="E1259" s="5" t="s">
        <v>59</v>
      </c>
      <c r="F1259" s="5" t="s">
        <v>2225</v>
      </c>
      <c r="G1259" s="5" t="str">
        <f aca="false">INDEX(Risk_Matrix!$B$2:$D$4,MATCH(E1259,Risk_Matrix!$A$2:$A$4,0),MATCH(F1259,Risk_Matrix!$B$1:$D$1,0))</f>
        <v>Low</v>
      </c>
      <c r="H1259" s="12" t="n">
        <v>46061</v>
      </c>
      <c r="I1259" s="5" t="s">
        <v>2250</v>
      </c>
      <c r="J1259" s="5" t="s">
        <v>2251</v>
      </c>
      <c r="K1259" s="5" t="s">
        <v>2243</v>
      </c>
      <c r="L1259" s="5" t="n">
        <f aca="false">IF(G1259="High",3,IF(G1259="Medium",2,1))</f>
        <v>1</v>
      </c>
    </row>
    <row r="1260" customFormat="false" ht="15" hidden="false" customHeight="true" outlineLevel="0" collapsed="false">
      <c r="A1260" s="5" t="s">
        <v>3536</v>
      </c>
      <c r="B1260" s="5" t="s">
        <v>1384</v>
      </c>
      <c r="C1260" s="5" t="s">
        <v>2259</v>
      </c>
      <c r="D1260" s="5" t="s">
        <v>2260</v>
      </c>
      <c r="E1260" s="5" t="s">
        <v>59</v>
      </c>
      <c r="F1260" s="5" t="s">
        <v>59</v>
      </c>
      <c r="G1260" s="5" t="str">
        <f aca="false">INDEX(Risk_Matrix!$B$2:$D$4,MATCH(E1260,Risk_Matrix!$A$2:$A$4,0),MATCH(F1260,Risk_Matrix!$B$1:$D$1,0))</f>
        <v>Low</v>
      </c>
      <c r="H1260" s="12" t="n">
        <v>46139</v>
      </c>
      <c r="I1260" s="5" t="s">
        <v>2250</v>
      </c>
      <c r="J1260" s="5" t="s">
        <v>2251</v>
      </c>
      <c r="K1260" s="5" t="s">
        <v>2276</v>
      </c>
      <c r="L1260" s="5" t="n">
        <f aca="false">IF(G1260="High",3,IF(G1260="Medium",2,1))</f>
        <v>1</v>
      </c>
    </row>
    <row r="1261" customFormat="false" ht="15" hidden="false" customHeight="true" outlineLevel="0" collapsed="false">
      <c r="A1261" s="5" t="s">
        <v>3537</v>
      </c>
      <c r="B1261" s="5" t="s">
        <v>1384</v>
      </c>
      <c r="C1261" s="5" t="s">
        <v>2262</v>
      </c>
      <c r="D1261" s="5" t="s">
        <v>2287</v>
      </c>
      <c r="E1261" s="5" t="s">
        <v>59</v>
      </c>
      <c r="F1261" s="5" t="s">
        <v>59</v>
      </c>
      <c r="G1261" s="5" t="str">
        <f aca="false">INDEX(Risk_Matrix!$B$2:$D$4,MATCH(E1261,Risk_Matrix!$A$2:$A$4,0),MATCH(F1261,Risk_Matrix!$B$1:$D$1,0))</f>
        <v>Low</v>
      </c>
      <c r="H1261" s="12" t="n">
        <v>46181</v>
      </c>
      <c r="I1261" s="5" t="s">
        <v>2256</v>
      </c>
      <c r="J1261" s="5" t="s">
        <v>2257</v>
      </c>
      <c r="K1261" s="5" t="s">
        <v>2283</v>
      </c>
      <c r="L1261" s="5" t="n">
        <f aca="false">IF(G1261="High",3,IF(G1261="Medium",2,1))</f>
        <v>1</v>
      </c>
    </row>
    <row r="1262" customFormat="false" ht="15" hidden="false" customHeight="true" outlineLevel="0" collapsed="false">
      <c r="A1262" s="5" t="s">
        <v>3538</v>
      </c>
      <c r="B1262" s="5" t="s">
        <v>1386</v>
      </c>
      <c r="C1262" s="5" t="s">
        <v>2239</v>
      </c>
      <c r="D1262" s="5" t="s">
        <v>2278</v>
      </c>
      <c r="E1262" s="5" t="s">
        <v>2225</v>
      </c>
      <c r="F1262" s="5" t="s">
        <v>2225</v>
      </c>
      <c r="G1262" s="5" t="str">
        <f aca="false">INDEX(Risk_Matrix!$B$2:$D$4,MATCH(E1262,Risk_Matrix!$A$2:$A$4,0),MATCH(F1262,Risk_Matrix!$B$1:$D$1,0))</f>
        <v>Medium</v>
      </c>
      <c r="H1262" s="12" t="n">
        <v>46091</v>
      </c>
      <c r="I1262" s="5" t="s">
        <v>2256</v>
      </c>
      <c r="J1262" s="5" t="s">
        <v>2257</v>
      </c>
      <c r="K1262" s="5" t="s">
        <v>2252</v>
      </c>
      <c r="L1262" s="5" t="n">
        <f aca="false">IF(G1262="High",3,IF(G1262="Medium",2,1))</f>
        <v>2</v>
      </c>
    </row>
    <row r="1263" customFormat="false" ht="15" hidden="false" customHeight="true" outlineLevel="0" collapsed="false">
      <c r="A1263" s="5" t="s">
        <v>3539</v>
      </c>
      <c r="B1263" s="5" t="s">
        <v>1386</v>
      </c>
      <c r="C1263" s="5" t="s">
        <v>2245</v>
      </c>
      <c r="D1263" s="5" t="s">
        <v>2320</v>
      </c>
      <c r="E1263" s="5" t="s">
        <v>59</v>
      </c>
      <c r="F1263" s="5" t="s">
        <v>59</v>
      </c>
      <c r="G1263" s="5" t="str">
        <f aca="false">INDEX(Risk_Matrix!$B$2:$D$4,MATCH(E1263,Risk_Matrix!$A$2:$A$4,0),MATCH(F1263,Risk_Matrix!$B$1:$D$1,0))</f>
        <v>Low</v>
      </c>
      <c r="H1263" s="12" t="n">
        <v>46213</v>
      </c>
      <c r="I1263" s="5" t="s">
        <v>2256</v>
      </c>
      <c r="J1263" s="5" t="s">
        <v>2257</v>
      </c>
      <c r="K1263" s="5" t="s">
        <v>2276</v>
      </c>
      <c r="L1263" s="5" t="n">
        <f aca="false">IF(G1263="High",3,IF(G1263="Medium",2,1))</f>
        <v>1</v>
      </c>
    </row>
    <row r="1264" customFormat="false" ht="15" hidden="false" customHeight="true" outlineLevel="0" collapsed="false">
      <c r="A1264" s="5" t="s">
        <v>3540</v>
      </c>
      <c r="B1264" s="5" t="s">
        <v>1386</v>
      </c>
      <c r="C1264" s="5" t="s">
        <v>2248</v>
      </c>
      <c r="D1264" s="5" t="s">
        <v>2306</v>
      </c>
      <c r="E1264" s="5" t="s">
        <v>2225</v>
      </c>
      <c r="F1264" s="5" t="s">
        <v>2225</v>
      </c>
      <c r="G1264" s="5" t="str">
        <f aca="false">INDEX(Risk_Matrix!$B$2:$D$4,MATCH(E1264,Risk_Matrix!$A$2:$A$4,0),MATCH(F1264,Risk_Matrix!$B$1:$D$1,0))</f>
        <v>Medium</v>
      </c>
      <c r="H1264" s="12" t="n">
        <v>46155</v>
      </c>
      <c r="I1264" s="5" t="s">
        <v>2241</v>
      </c>
      <c r="J1264" s="5" t="s">
        <v>2242</v>
      </c>
      <c r="K1264" s="5" t="s">
        <v>2252</v>
      </c>
      <c r="L1264" s="5" t="n">
        <f aca="false">IF(G1264="High",3,IF(G1264="Medium",2,1))</f>
        <v>2</v>
      </c>
    </row>
    <row r="1265" customFormat="false" ht="15" hidden="false" customHeight="true" outlineLevel="0" collapsed="false">
      <c r="A1265" s="5" t="s">
        <v>3541</v>
      </c>
      <c r="B1265" s="5" t="s">
        <v>1386</v>
      </c>
      <c r="C1265" s="5" t="s">
        <v>2254</v>
      </c>
      <c r="D1265" s="5" t="s">
        <v>2255</v>
      </c>
      <c r="E1265" s="5" t="s">
        <v>2225</v>
      </c>
      <c r="F1265" s="5" t="s">
        <v>59</v>
      </c>
      <c r="G1265" s="5" t="str">
        <f aca="false">INDEX(Risk_Matrix!$B$2:$D$4,MATCH(E1265,Risk_Matrix!$A$2:$A$4,0),MATCH(F1265,Risk_Matrix!$B$1:$D$1,0))</f>
        <v>Low</v>
      </c>
      <c r="H1265" s="12" t="n">
        <v>46169</v>
      </c>
      <c r="I1265" s="5" t="s">
        <v>2256</v>
      </c>
      <c r="J1265" s="5" t="s">
        <v>2257</v>
      </c>
      <c r="K1265" s="5" t="s">
        <v>2266</v>
      </c>
      <c r="L1265" s="5" t="n">
        <f aca="false">IF(G1265="High",3,IF(G1265="Medium",2,1))</f>
        <v>1</v>
      </c>
    </row>
    <row r="1266" customFormat="false" ht="15" hidden="false" customHeight="true" outlineLevel="0" collapsed="false">
      <c r="A1266" s="5" t="s">
        <v>3542</v>
      </c>
      <c r="B1266" s="5" t="s">
        <v>1386</v>
      </c>
      <c r="C1266" s="5" t="s">
        <v>2259</v>
      </c>
      <c r="D1266" s="5" t="s">
        <v>2260</v>
      </c>
      <c r="E1266" s="5" t="s">
        <v>2225</v>
      </c>
      <c r="F1266" s="5" t="s">
        <v>59</v>
      </c>
      <c r="G1266" s="5" t="str">
        <f aca="false">INDEX(Risk_Matrix!$B$2:$D$4,MATCH(E1266,Risk_Matrix!$A$2:$A$4,0),MATCH(F1266,Risk_Matrix!$B$1:$D$1,0))</f>
        <v>Low</v>
      </c>
      <c r="H1266" s="12" t="n">
        <v>46126</v>
      </c>
      <c r="I1266" s="5" t="s">
        <v>2264</v>
      </c>
      <c r="J1266" s="5" t="s">
        <v>2265</v>
      </c>
      <c r="K1266" s="5" t="s">
        <v>2276</v>
      </c>
      <c r="L1266" s="5" t="n">
        <f aca="false">IF(G1266="High",3,IF(G1266="Medium",2,1))</f>
        <v>1</v>
      </c>
    </row>
    <row r="1267" customFormat="false" ht="15" hidden="false" customHeight="true" outlineLevel="0" collapsed="false">
      <c r="A1267" s="5" t="s">
        <v>3543</v>
      </c>
      <c r="B1267" s="5" t="s">
        <v>1386</v>
      </c>
      <c r="C1267" s="5" t="s">
        <v>2262</v>
      </c>
      <c r="D1267" s="5" t="s">
        <v>2311</v>
      </c>
      <c r="E1267" s="5" t="s">
        <v>59</v>
      </c>
      <c r="F1267" s="5" t="s">
        <v>54</v>
      </c>
      <c r="G1267" s="5" t="str">
        <f aca="false">INDEX(Risk_Matrix!$B$2:$D$4,MATCH(E1267,Risk_Matrix!$A$2:$A$4,0),MATCH(F1267,Risk_Matrix!$B$1:$D$1,0))</f>
        <v>Medium</v>
      </c>
      <c r="H1267" s="12" t="n">
        <v>46185</v>
      </c>
      <c r="I1267" s="5" t="s">
        <v>2264</v>
      </c>
      <c r="J1267" s="5" t="s">
        <v>2265</v>
      </c>
      <c r="K1267" s="5" t="s">
        <v>2243</v>
      </c>
      <c r="L1267" s="5" t="n">
        <f aca="false">IF(G1267="High",3,IF(G1267="Medium",2,1))</f>
        <v>2</v>
      </c>
    </row>
    <row r="1268" customFormat="false" ht="15" hidden="false" customHeight="true" outlineLevel="0" collapsed="false">
      <c r="A1268" s="5" t="s">
        <v>3544</v>
      </c>
      <c r="B1268" s="5" t="s">
        <v>1388</v>
      </c>
      <c r="C1268" s="5" t="s">
        <v>2239</v>
      </c>
      <c r="D1268" s="5" t="s">
        <v>2240</v>
      </c>
      <c r="E1268" s="5" t="s">
        <v>59</v>
      </c>
      <c r="F1268" s="5" t="s">
        <v>59</v>
      </c>
      <c r="G1268" s="5" t="str">
        <f aca="false">INDEX(Risk_Matrix!$B$2:$D$4,MATCH(E1268,Risk_Matrix!$A$2:$A$4,0),MATCH(F1268,Risk_Matrix!$B$1:$D$1,0))</f>
        <v>Low</v>
      </c>
      <c r="H1268" s="12" t="n">
        <v>46141</v>
      </c>
      <c r="I1268" s="5" t="s">
        <v>2256</v>
      </c>
      <c r="J1268" s="5" t="s">
        <v>2257</v>
      </c>
      <c r="K1268" s="5" t="s">
        <v>2283</v>
      </c>
      <c r="L1268" s="5" t="n">
        <f aca="false">IF(G1268="High",3,IF(G1268="Medium",2,1))</f>
        <v>1</v>
      </c>
    </row>
    <row r="1269" customFormat="false" ht="15" hidden="false" customHeight="true" outlineLevel="0" collapsed="false">
      <c r="A1269" s="5" t="s">
        <v>3545</v>
      </c>
      <c r="B1269" s="5" t="s">
        <v>1388</v>
      </c>
      <c r="C1269" s="5" t="s">
        <v>2245</v>
      </c>
      <c r="D1269" s="5" t="s">
        <v>2246</v>
      </c>
      <c r="E1269" s="5" t="s">
        <v>59</v>
      </c>
      <c r="F1269" s="5" t="s">
        <v>59</v>
      </c>
      <c r="G1269" s="5" t="str">
        <f aca="false">INDEX(Risk_Matrix!$B$2:$D$4,MATCH(E1269,Risk_Matrix!$A$2:$A$4,0),MATCH(F1269,Risk_Matrix!$B$1:$D$1,0))</f>
        <v>Low</v>
      </c>
      <c r="H1269" s="12" t="n">
        <v>46106</v>
      </c>
      <c r="I1269" s="5" t="s">
        <v>2264</v>
      </c>
      <c r="J1269" s="5" t="s">
        <v>2265</v>
      </c>
      <c r="K1269" s="5" t="s">
        <v>2276</v>
      </c>
      <c r="L1269" s="5" t="n">
        <f aca="false">IF(G1269="High",3,IF(G1269="Medium",2,1))</f>
        <v>1</v>
      </c>
    </row>
    <row r="1270" customFormat="false" ht="15" hidden="false" customHeight="true" outlineLevel="0" collapsed="false">
      <c r="A1270" s="5" t="s">
        <v>3546</v>
      </c>
      <c r="B1270" s="5" t="s">
        <v>1388</v>
      </c>
      <c r="C1270" s="5" t="s">
        <v>2248</v>
      </c>
      <c r="D1270" s="5" t="s">
        <v>2322</v>
      </c>
      <c r="E1270" s="5" t="s">
        <v>2225</v>
      </c>
      <c r="F1270" s="5" t="s">
        <v>59</v>
      </c>
      <c r="G1270" s="5" t="str">
        <f aca="false">INDEX(Risk_Matrix!$B$2:$D$4,MATCH(E1270,Risk_Matrix!$A$2:$A$4,0),MATCH(F1270,Risk_Matrix!$B$1:$D$1,0))</f>
        <v>Low</v>
      </c>
      <c r="H1270" s="12" t="n">
        <v>46084</v>
      </c>
      <c r="I1270" s="5" t="s">
        <v>2250</v>
      </c>
      <c r="J1270" s="5" t="s">
        <v>2251</v>
      </c>
      <c r="K1270" s="5" t="s">
        <v>2252</v>
      </c>
      <c r="L1270" s="5" t="n">
        <f aca="false">IF(G1270="High",3,IF(G1270="Medium",2,1))</f>
        <v>1</v>
      </c>
    </row>
    <row r="1271" customFormat="false" ht="15" hidden="false" customHeight="true" outlineLevel="0" collapsed="false">
      <c r="A1271" s="5" t="s">
        <v>3547</v>
      </c>
      <c r="B1271" s="5" t="s">
        <v>1388</v>
      </c>
      <c r="C1271" s="5" t="s">
        <v>2254</v>
      </c>
      <c r="D1271" s="5" t="s">
        <v>2299</v>
      </c>
      <c r="E1271" s="5" t="s">
        <v>54</v>
      </c>
      <c r="F1271" s="5" t="s">
        <v>59</v>
      </c>
      <c r="G1271" s="5" t="str">
        <f aca="false">INDEX(Risk_Matrix!$B$2:$D$4,MATCH(E1271,Risk_Matrix!$A$2:$A$4,0),MATCH(F1271,Risk_Matrix!$B$1:$D$1,0))</f>
        <v>Medium</v>
      </c>
      <c r="H1271" s="12" t="n">
        <v>46215</v>
      </c>
      <c r="I1271" s="5" t="s">
        <v>2256</v>
      </c>
      <c r="J1271" s="5" t="s">
        <v>2257</v>
      </c>
      <c r="K1271" s="5" t="s">
        <v>2283</v>
      </c>
      <c r="L1271" s="5" t="n">
        <f aca="false">IF(G1271="High",3,IF(G1271="Medium",2,1))</f>
        <v>2</v>
      </c>
    </row>
    <row r="1272" customFormat="false" ht="15" hidden="false" customHeight="true" outlineLevel="0" collapsed="false">
      <c r="A1272" s="5" t="s">
        <v>3548</v>
      </c>
      <c r="B1272" s="5" t="s">
        <v>1388</v>
      </c>
      <c r="C1272" s="5" t="s">
        <v>2259</v>
      </c>
      <c r="D1272" s="5" t="s">
        <v>2274</v>
      </c>
      <c r="E1272" s="5" t="s">
        <v>59</v>
      </c>
      <c r="F1272" s="5" t="s">
        <v>2225</v>
      </c>
      <c r="G1272" s="5" t="str">
        <f aca="false">INDEX(Risk_Matrix!$B$2:$D$4,MATCH(E1272,Risk_Matrix!$A$2:$A$4,0),MATCH(F1272,Risk_Matrix!$B$1:$D$1,0))</f>
        <v>Low</v>
      </c>
      <c r="H1272" s="12" t="n">
        <v>46234</v>
      </c>
      <c r="I1272" s="5" t="s">
        <v>2264</v>
      </c>
      <c r="J1272" s="5" t="s">
        <v>2265</v>
      </c>
      <c r="K1272" s="5" t="s">
        <v>2276</v>
      </c>
      <c r="L1272" s="5" t="n">
        <f aca="false">IF(G1272="High",3,IF(G1272="Medium",2,1))</f>
        <v>1</v>
      </c>
    </row>
    <row r="1273" customFormat="false" ht="15" hidden="false" customHeight="true" outlineLevel="0" collapsed="false">
      <c r="A1273" s="5" t="s">
        <v>3549</v>
      </c>
      <c r="B1273" s="5" t="s">
        <v>1388</v>
      </c>
      <c r="C1273" s="5" t="s">
        <v>2262</v>
      </c>
      <c r="D1273" s="5" t="s">
        <v>2311</v>
      </c>
      <c r="E1273" s="5" t="s">
        <v>2225</v>
      </c>
      <c r="F1273" s="5" t="s">
        <v>59</v>
      </c>
      <c r="G1273" s="5" t="str">
        <f aca="false">INDEX(Risk_Matrix!$B$2:$D$4,MATCH(E1273,Risk_Matrix!$A$2:$A$4,0),MATCH(F1273,Risk_Matrix!$B$1:$D$1,0))</f>
        <v>Low</v>
      </c>
      <c r="H1273" s="12" t="n">
        <v>46148</v>
      </c>
      <c r="I1273" s="5" t="s">
        <v>2264</v>
      </c>
      <c r="J1273" s="5" t="s">
        <v>2265</v>
      </c>
      <c r="K1273" s="5" t="s">
        <v>2252</v>
      </c>
      <c r="L1273" s="5" t="n">
        <f aca="false">IF(G1273="High",3,IF(G1273="Medium",2,1))</f>
        <v>1</v>
      </c>
    </row>
    <row r="1274" customFormat="false" ht="15" hidden="false" customHeight="true" outlineLevel="0" collapsed="false">
      <c r="A1274" s="5" t="s">
        <v>3550</v>
      </c>
      <c r="B1274" s="5" t="s">
        <v>1389</v>
      </c>
      <c r="C1274" s="5" t="s">
        <v>2239</v>
      </c>
      <c r="D1274" s="5" t="s">
        <v>2278</v>
      </c>
      <c r="E1274" s="5" t="s">
        <v>2225</v>
      </c>
      <c r="F1274" s="5" t="s">
        <v>59</v>
      </c>
      <c r="G1274" s="5" t="str">
        <f aca="false">INDEX(Risk_Matrix!$B$2:$D$4,MATCH(E1274,Risk_Matrix!$A$2:$A$4,0),MATCH(F1274,Risk_Matrix!$B$1:$D$1,0))</f>
        <v>Low</v>
      </c>
      <c r="H1274" s="12" t="n">
        <v>46162</v>
      </c>
      <c r="I1274" s="5" t="s">
        <v>2264</v>
      </c>
      <c r="J1274" s="5" t="s">
        <v>2265</v>
      </c>
      <c r="K1274" s="5" t="s">
        <v>2266</v>
      </c>
      <c r="L1274" s="5" t="n">
        <f aca="false">IF(G1274="High",3,IF(G1274="Medium",2,1))</f>
        <v>1</v>
      </c>
    </row>
    <row r="1275" customFormat="false" ht="15" hidden="false" customHeight="true" outlineLevel="0" collapsed="false">
      <c r="A1275" s="5" t="s">
        <v>3551</v>
      </c>
      <c r="B1275" s="5" t="s">
        <v>1389</v>
      </c>
      <c r="C1275" s="5" t="s">
        <v>2245</v>
      </c>
      <c r="D1275" s="5" t="s">
        <v>2246</v>
      </c>
      <c r="E1275" s="5" t="s">
        <v>2225</v>
      </c>
      <c r="F1275" s="5" t="s">
        <v>2225</v>
      </c>
      <c r="G1275" s="5" t="str">
        <f aca="false">INDEX(Risk_Matrix!$B$2:$D$4,MATCH(E1275,Risk_Matrix!$A$2:$A$4,0),MATCH(F1275,Risk_Matrix!$B$1:$D$1,0))</f>
        <v>Medium</v>
      </c>
      <c r="H1275" s="12" t="n">
        <v>46234</v>
      </c>
      <c r="I1275" s="5" t="s">
        <v>2264</v>
      </c>
      <c r="J1275" s="5" t="s">
        <v>2265</v>
      </c>
      <c r="K1275" s="5" t="s">
        <v>2252</v>
      </c>
      <c r="L1275" s="5" t="n">
        <f aca="false">IF(G1275="High",3,IF(G1275="Medium",2,1))</f>
        <v>2</v>
      </c>
    </row>
    <row r="1276" customFormat="false" ht="15" hidden="false" customHeight="true" outlineLevel="0" collapsed="false">
      <c r="A1276" s="5" t="s">
        <v>3552</v>
      </c>
      <c r="B1276" s="5" t="s">
        <v>1389</v>
      </c>
      <c r="C1276" s="5" t="s">
        <v>2248</v>
      </c>
      <c r="D1276" s="5" t="s">
        <v>2249</v>
      </c>
      <c r="E1276" s="5" t="s">
        <v>59</v>
      </c>
      <c r="F1276" s="5" t="s">
        <v>2225</v>
      </c>
      <c r="G1276" s="5" t="str">
        <f aca="false">INDEX(Risk_Matrix!$B$2:$D$4,MATCH(E1276,Risk_Matrix!$A$2:$A$4,0),MATCH(F1276,Risk_Matrix!$B$1:$D$1,0))</f>
        <v>Low</v>
      </c>
      <c r="H1276" s="12" t="n">
        <v>46236</v>
      </c>
      <c r="I1276" s="5" t="s">
        <v>2256</v>
      </c>
      <c r="J1276" s="5" t="s">
        <v>2257</v>
      </c>
      <c r="K1276" s="5" t="s">
        <v>2266</v>
      </c>
      <c r="L1276" s="5" t="n">
        <f aca="false">IF(G1276="High",3,IF(G1276="Medium",2,1))</f>
        <v>1</v>
      </c>
    </row>
    <row r="1277" customFormat="false" ht="15" hidden="false" customHeight="true" outlineLevel="0" collapsed="false">
      <c r="A1277" s="5" t="s">
        <v>3553</v>
      </c>
      <c r="B1277" s="5" t="s">
        <v>1389</v>
      </c>
      <c r="C1277" s="5" t="s">
        <v>2254</v>
      </c>
      <c r="D1277" s="5" t="s">
        <v>2299</v>
      </c>
      <c r="E1277" s="5" t="s">
        <v>59</v>
      </c>
      <c r="F1277" s="5" t="s">
        <v>2225</v>
      </c>
      <c r="G1277" s="5" t="str">
        <f aca="false">INDEX(Risk_Matrix!$B$2:$D$4,MATCH(E1277,Risk_Matrix!$A$2:$A$4,0),MATCH(F1277,Risk_Matrix!$B$1:$D$1,0))</f>
        <v>Low</v>
      </c>
      <c r="H1277" s="12" t="n">
        <v>46223</v>
      </c>
      <c r="I1277" s="5" t="s">
        <v>2264</v>
      </c>
      <c r="J1277" s="5" t="s">
        <v>2265</v>
      </c>
      <c r="K1277" s="5" t="s">
        <v>2283</v>
      </c>
      <c r="L1277" s="5" t="n">
        <f aca="false">IF(G1277="High",3,IF(G1277="Medium",2,1))</f>
        <v>1</v>
      </c>
    </row>
    <row r="1278" customFormat="false" ht="15" hidden="false" customHeight="true" outlineLevel="0" collapsed="false">
      <c r="A1278" s="5" t="s">
        <v>3554</v>
      </c>
      <c r="B1278" s="5" t="s">
        <v>1389</v>
      </c>
      <c r="C1278" s="5" t="s">
        <v>2259</v>
      </c>
      <c r="D1278" s="5" t="s">
        <v>2260</v>
      </c>
      <c r="E1278" s="5" t="s">
        <v>54</v>
      </c>
      <c r="F1278" s="5" t="s">
        <v>2225</v>
      </c>
      <c r="G1278" s="5" t="str">
        <f aca="false">INDEX(Risk_Matrix!$B$2:$D$4,MATCH(E1278,Risk_Matrix!$A$2:$A$4,0),MATCH(F1278,Risk_Matrix!$B$1:$D$1,0))</f>
        <v>High</v>
      </c>
      <c r="H1278" s="12" t="n">
        <v>46132</v>
      </c>
      <c r="I1278" s="5" t="s">
        <v>2256</v>
      </c>
      <c r="J1278" s="5" t="s">
        <v>2257</v>
      </c>
      <c r="K1278" s="5" t="s">
        <v>2266</v>
      </c>
      <c r="L1278" s="5" t="n">
        <f aca="false">IF(G1278="High",3,IF(G1278="Medium",2,1))</f>
        <v>3</v>
      </c>
    </row>
    <row r="1279" customFormat="false" ht="15" hidden="false" customHeight="true" outlineLevel="0" collapsed="false">
      <c r="A1279" s="5" t="s">
        <v>3555</v>
      </c>
      <c r="B1279" s="5" t="s">
        <v>1389</v>
      </c>
      <c r="C1279" s="5" t="s">
        <v>2262</v>
      </c>
      <c r="D1279" s="5" t="s">
        <v>2311</v>
      </c>
      <c r="E1279" s="5" t="s">
        <v>59</v>
      </c>
      <c r="F1279" s="5" t="s">
        <v>54</v>
      </c>
      <c r="G1279" s="5" t="str">
        <f aca="false">INDEX(Risk_Matrix!$B$2:$D$4,MATCH(E1279,Risk_Matrix!$A$2:$A$4,0),MATCH(F1279,Risk_Matrix!$B$1:$D$1,0))</f>
        <v>Medium</v>
      </c>
      <c r="H1279" s="12" t="n">
        <v>46067</v>
      </c>
      <c r="I1279" s="5" t="s">
        <v>2241</v>
      </c>
      <c r="J1279" s="5" t="s">
        <v>2242</v>
      </c>
      <c r="K1279" s="5" t="s">
        <v>2266</v>
      </c>
      <c r="L1279" s="5" t="n">
        <f aca="false">IF(G1279="High",3,IF(G1279="Medium",2,1))</f>
        <v>2</v>
      </c>
    </row>
    <row r="1280" customFormat="false" ht="15" hidden="false" customHeight="true" outlineLevel="0" collapsed="false">
      <c r="A1280" s="5" t="s">
        <v>3556</v>
      </c>
      <c r="B1280" s="5" t="s">
        <v>1392</v>
      </c>
      <c r="C1280" s="5" t="s">
        <v>2239</v>
      </c>
      <c r="D1280" s="5" t="s">
        <v>2278</v>
      </c>
      <c r="E1280" s="5" t="s">
        <v>54</v>
      </c>
      <c r="F1280" s="5" t="s">
        <v>59</v>
      </c>
      <c r="G1280" s="5" t="str">
        <f aca="false">INDEX(Risk_Matrix!$B$2:$D$4,MATCH(E1280,Risk_Matrix!$A$2:$A$4,0),MATCH(F1280,Risk_Matrix!$B$1:$D$1,0))</f>
        <v>Medium</v>
      </c>
      <c r="H1280" s="12" t="n">
        <v>46111</v>
      </c>
      <c r="I1280" s="5" t="s">
        <v>2256</v>
      </c>
      <c r="J1280" s="5" t="s">
        <v>2257</v>
      </c>
      <c r="K1280" s="5" t="s">
        <v>2266</v>
      </c>
      <c r="L1280" s="5" t="n">
        <f aca="false">IF(G1280="High",3,IF(G1280="Medium",2,1))</f>
        <v>2</v>
      </c>
    </row>
    <row r="1281" customFormat="false" ht="15" hidden="false" customHeight="true" outlineLevel="0" collapsed="false">
      <c r="A1281" s="5" t="s">
        <v>3557</v>
      </c>
      <c r="B1281" s="5" t="s">
        <v>1392</v>
      </c>
      <c r="C1281" s="5" t="s">
        <v>2245</v>
      </c>
      <c r="D1281" s="5" t="s">
        <v>2269</v>
      </c>
      <c r="E1281" s="5" t="s">
        <v>59</v>
      </c>
      <c r="F1281" s="5" t="s">
        <v>59</v>
      </c>
      <c r="G1281" s="5" t="str">
        <f aca="false">INDEX(Risk_Matrix!$B$2:$D$4,MATCH(E1281,Risk_Matrix!$A$2:$A$4,0),MATCH(F1281,Risk_Matrix!$B$1:$D$1,0))</f>
        <v>Low</v>
      </c>
      <c r="H1281" s="12" t="n">
        <v>46079</v>
      </c>
      <c r="I1281" s="5" t="s">
        <v>2264</v>
      </c>
      <c r="J1281" s="5" t="s">
        <v>2265</v>
      </c>
      <c r="K1281" s="5" t="s">
        <v>2252</v>
      </c>
      <c r="L1281" s="5" t="n">
        <f aca="false">IF(G1281="High",3,IF(G1281="Medium",2,1))</f>
        <v>1</v>
      </c>
    </row>
    <row r="1282" customFormat="false" ht="15" hidden="false" customHeight="true" outlineLevel="0" collapsed="false">
      <c r="A1282" s="5" t="s">
        <v>3558</v>
      </c>
      <c r="B1282" s="5" t="s">
        <v>1392</v>
      </c>
      <c r="C1282" s="5" t="s">
        <v>2248</v>
      </c>
      <c r="D1282" s="5" t="s">
        <v>2306</v>
      </c>
      <c r="E1282" s="5" t="s">
        <v>2225</v>
      </c>
      <c r="F1282" s="5" t="s">
        <v>59</v>
      </c>
      <c r="G1282" s="5" t="str">
        <f aca="false">INDEX(Risk_Matrix!$B$2:$D$4,MATCH(E1282,Risk_Matrix!$A$2:$A$4,0),MATCH(F1282,Risk_Matrix!$B$1:$D$1,0))</f>
        <v>Low</v>
      </c>
      <c r="H1282" s="12" t="n">
        <v>46230</v>
      </c>
      <c r="I1282" s="5" t="s">
        <v>2264</v>
      </c>
      <c r="J1282" s="5" t="s">
        <v>2265</v>
      </c>
      <c r="K1282" s="5" t="s">
        <v>2266</v>
      </c>
      <c r="L1282" s="5" t="n">
        <f aca="false">IF(G1282="High",3,IF(G1282="Medium",2,1))</f>
        <v>1</v>
      </c>
    </row>
    <row r="1283" customFormat="false" ht="15" hidden="false" customHeight="true" outlineLevel="0" collapsed="false">
      <c r="A1283" s="5" t="s">
        <v>3559</v>
      </c>
      <c r="B1283" s="5" t="s">
        <v>1392</v>
      </c>
      <c r="C1283" s="5" t="s">
        <v>2254</v>
      </c>
      <c r="D1283" s="5" t="s">
        <v>2308</v>
      </c>
      <c r="E1283" s="5" t="s">
        <v>59</v>
      </c>
      <c r="F1283" s="5" t="s">
        <v>59</v>
      </c>
      <c r="G1283" s="5" t="str">
        <f aca="false">INDEX(Risk_Matrix!$B$2:$D$4,MATCH(E1283,Risk_Matrix!$A$2:$A$4,0),MATCH(F1283,Risk_Matrix!$B$1:$D$1,0))</f>
        <v>Low</v>
      </c>
      <c r="H1283" s="12" t="n">
        <v>46104</v>
      </c>
      <c r="I1283" s="5" t="s">
        <v>2250</v>
      </c>
      <c r="J1283" s="5" t="s">
        <v>2251</v>
      </c>
      <c r="K1283" s="5" t="s">
        <v>2266</v>
      </c>
      <c r="L1283" s="5" t="n">
        <f aca="false">IF(G1283="High",3,IF(G1283="Medium",2,1))</f>
        <v>1</v>
      </c>
    </row>
    <row r="1284" customFormat="false" ht="15" hidden="false" customHeight="true" outlineLevel="0" collapsed="false">
      <c r="A1284" s="5" t="s">
        <v>3560</v>
      </c>
      <c r="B1284" s="5" t="s">
        <v>1392</v>
      </c>
      <c r="C1284" s="5" t="s">
        <v>2259</v>
      </c>
      <c r="D1284" s="5" t="s">
        <v>2260</v>
      </c>
      <c r="E1284" s="5" t="s">
        <v>59</v>
      </c>
      <c r="F1284" s="5" t="s">
        <v>59</v>
      </c>
      <c r="G1284" s="5" t="str">
        <f aca="false">INDEX(Risk_Matrix!$B$2:$D$4,MATCH(E1284,Risk_Matrix!$A$2:$A$4,0),MATCH(F1284,Risk_Matrix!$B$1:$D$1,0))</f>
        <v>Low</v>
      </c>
      <c r="H1284" s="12" t="n">
        <v>46131</v>
      </c>
      <c r="I1284" s="5" t="s">
        <v>2256</v>
      </c>
      <c r="J1284" s="5" t="s">
        <v>2257</v>
      </c>
      <c r="K1284" s="5" t="s">
        <v>2276</v>
      </c>
      <c r="L1284" s="5" t="n">
        <f aca="false">IF(G1284="High",3,IF(G1284="Medium",2,1))</f>
        <v>1</v>
      </c>
    </row>
    <row r="1285" customFormat="false" ht="15" hidden="false" customHeight="true" outlineLevel="0" collapsed="false">
      <c r="A1285" s="5" t="s">
        <v>3561</v>
      </c>
      <c r="B1285" s="5" t="s">
        <v>1392</v>
      </c>
      <c r="C1285" s="5" t="s">
        <v>2262</v>
      </c>
      <c r="D1285" s="5" t="s">
        <v>2287</v>
      </c>
      <c r="E1285" s="5" t="s">
        <v>54</v>
      </c>
      <c r="F1285" s="5" t="s">
        <v>59</v>
      </c>
      <c r="G1285" s="5" t="str">
        <f aca="false">INDEX(Risk_Matrix!$B$2:$D$4,MATCH(E1285,Risk_Matrix!$A$2:$A$4,0),MATCH(F1285,Risk_Matrix!$B$1:$D$1,0))</f>
        <v>Medium</v>
      </c>
      <c r="H1285" s="12" t="n">
        <v>46101</v>
      </c>
      <c r="I1285" s="5" t="s">
        <v>2250</v>
      </c>
      <c r="J1285" s="5" t="s">
        <v>2251</v>
      </c>
      <c r="K1285" s="5" t="s">
        <v>2243</v>
      </c>
      <c r="L1285" s="5" t="n">
        <f aca="false">IF(G1285="High",3,IF(G1285="Medium",2,1))</f>
        <v>2</v>
      </c>
    </row>
    <row r="1286" customFormat="false" ht="15" hidden="false" customHeight="true" outlineLevel="0" collapsed="false">
      <c r="A1286" s="5" t="s">
        <v>3562</v>
      </c>
      <c r="B1286" s="5" t="s">
        <v>1395</v>
      </c>
      <c r="C1286" s="5" t="s">
        <v>2239</v>
      </c>
      <c r="D1286" s="5" t="s">
        <v>2303</v>
      </c>
      <c r="E1286" s="5" t="s">
        <v>54</v>
      </c>
      <c r="F1286" s="5" t="s">
        <v>2225</v>
      </c>
      <c r="G1286" s="5" t="str">
        <f aca="false">INDEX(Risk_Matrix!$B$2:$D$4,MATCH(E1286,Risk_Matrix!$A$2:$A$4,0),MATCH(F1286,Risk_Matrix!$B$1:$D$1,0))</f>
        <v>High</v>
      </c>
      <c r="H1286" s="12" t="n">
        <v>46117</v>
      </c>
      <c r="I1286" s="5" t="s">
        <v>2256</v>
      </c>
      <c r="J1286" s="5" t="s">
        <v>2257</v>
      </c>
      <c r="K1286" s="5" t="s">
        <v>2243</v>
      </c>
      <c r="L1286" s="5" t="n">
        <f aca="false">IF(G1286="High",3,IF(G1286="Medium",2,1))</f>
        <v>3</v>
      </c>
    </row>
    <row r="1287" customFormat="false" ht="15" hidden="false" customHeight="true" outlineLevel="0" collapsed="false">
      <c r="A1287" s="5" t="s">
        <v>3563</v>
      </c>
      <c r="B1287" s="5" t="s">
        <v>1395</v>
      </c>
      <c r="C1287" s="5" t="s">
        <v>2245</v>
      </c>
      <c r="D1287" s="5" t="s">
        <v>2269</v>
      </c>
      <c r="E1287" s="5" t="s">
        <v>59</v>
      </c>
      <c r="F1287" s="5" t="s">
        <v>2225</v>
      </c>
      <c r="G1287" s="5" t="str">
        <f aca="false">INDEX(Risk_Matrix!$B$2:$D$4,MATCH(E1287,Risk_Matrix!$A$2:$A$4,0),MATCH(F1287,Risk_Matrix!$B$1:$D$1,0))</f>
        <v>Low</v>
      </c>
      <c r="H1287" s="12" t="n">
        <v>46081</v>
      </c>
      <c r="I1287" s="5" t="s">
        <v>2256</v>
      </c>
      <c r="J1287" s="5" t="s">
        <v>2257</v>
      </c>
      <c r="K1287" s="5" t="s">
        <v>2276</v>
      </c>
      <c r="L1287" s="5" t="n">
        <f aca="false">IF(G1287="High",3,IF(G1287="Medium",2,1))</f>
        <v>1</v>
      </c>
    </row>
    <row r="1288" customFormat="false" ht="15" hidden="false" customHeight="true" outlineLevel="0" collapsed="false">
      <c r="A1288" s="5" t="s">
        <v>3564</v>
      </c>
      <c r="B1288" s="5" t="s">
        <v>1395</v>
      </c>
      <c r="C1288" s="5" t="s">
        <v>2248</v>
      </c>
      <c r="D1288" s="5" t="s">
        <v>2271</v>
      </c>
      <c r="E1288" s="5" t="s">
        <v>59</v>
      </c>
      <c r="F1288" s="5" t="s">
        <v>2225</v>
      </c>
      <c r="G1288" s="5" t="str">
        <f aca="false">INDEX(Risk_Matrix!$B$2:$D$4,MATCH(E1288,Risk_Matrix!$A$2:$A$4,0),MATCH(F1288,Risk_Matrix!$B$1:$D$1,0))</f>
        <v>Low</v>
      </c>
      <c r="H1288" s="12" t="n">
        <v>46206</v>
      </c>
      <c r="I1288" s="5" t="s">
        <v>2250</v>
      </c>
      <c r="J1288" s="5" t="s">
        <v>2251</v>
      </c>
      <c r="K1288" s="5" t="s">
        <v>2266</v>
      </c>
      <c r="L1288" s="5" t="n">
        <f aca="false">IF(G1288="High",3,IF(G1288="Medium",2,1))</f>
        <v>1</v>
      </c>
    </row>
    <row r="1289" customFormat="false" ht="15" hidden="false" customHeight="true" outlineLevel="0" collapsed="false">
      <c r="A1289" s="5" t="s">
        <v>3565</v>
      </c>
      <c r="B1289" s="5" t="s">
        <v>1395</v>
      </c>
      <c r="C1289" s="5" t="s">
        <v>2254</v>
      </c>
      <c r="D1289" s="5" t="s">
        <v>2299</v>
      </c>
      <c r="E1289" s="5" t="s">
        <v>59</v>
      </c>
      <c r="F1289" s="5" t="s">
        <v>54</v>
      </c>
      <c r="G1289" s="5" t="str">
        <f aca="false">INDEX(Risk_Matrix!$B$2:$D$4,MATCH(E1289,Risk_Matrix!$A$2:$A$4,0),MATCH(F1289,Risk_Matrix!$B$1:$D$1,0))</f>
        <v>Medium</v>
      </c>
      <c r="H1289" s="12" t="n">
        <v>46217</v>
      </c>
      <c r="I1289" s="5" t="s">
        <v>2256</v>
      </c>
      <c r="J1289" s="5" t="s">
        <v>2257</v>
      </c>
      <c r="K1289" s="5" t="s">
        <v>2276</v>
      </c>
      <c r="L1289" s="5" t="n">
        <f aca="false">IF(G1289="High",3,IF(G1289="Medium",2,1))</f>
        <v>2</v>
      </c>
    </row>
    <row r="1290" customFormat="false" ht="15" hidden="false" customHeight="true" outlineLevel="0" collapsed="false">
      <c r="A1290" s="5" t="s">
        <v>3566</v>
      </c>
      <c r="B1290" s="5" t="s">
        <v>1395</v>
      </c>
      <c r="C1290" s="5" t="s">
        <v>2259</v>
      </c>
      <c r="D1290" s="5" t="s">
        <v>2285</v>
      </c>
      <c r="E1290" s="5" t="s">
        <v>59</v>
      </c>
      <c r="F1290" s="5" t="s">
        <v>54</v>
      </c>
      <c r="G1290" s="5" t="str">
        <f aca="false">INDEX(Risk_Matrix!$B$2:$D$4,MATCH(E1290,Risk_Matrix!$A$2:$A$4,0),MATCH(F1290,Risk_Matrix!$B$1:$D$1,0))</f>
        <v>Medium</v>
      </c>
      <c r="H1290" s="12" t="n">
        <v>46181</v>
      </c>
      <c r="I1290" s="5" t="s">
        <v>2256</v>
      </c>
      <c r="J1290" s="5" t="s">
        <v>2257</v>
      </c>
      <c r="K1290" s="5" t="s">
        <v>2252</v>
      </c>
      <c r="L1290" s="5" t="n">
        <f aca="false">IF(G1290="High",3,IF(G1290="Medium",2,1))</f>
        <v>2</v>
      </c>
    </row>
    <row r="1291" customFormat="false" ht="15" hidden="false" customHeight="true" outlineLevel="0" collapsed="false">
      <c r="A1291" s="5" t="s">
        <v>3567</v>
      </c>
      <c r="B1291" s="5" t="s">
        <v>1395</v>
      </c>
      <c r="C1291" s="5" t="s">
        <v>2262</v>
      </c>
      <c r="D1291" s="5" t="s">
        <v>2287</v>
      </c>
      <c r="E1291" s="5" t="s">
        <v>2225</v>
      </c>
      <c r="F1291" s="5" t="s">
        <v>59</v>
      </c>
      <c r="G1291" s="5" t="str">
        <f aca="false">INDEX(Risk_Matrix!$B$2:$D$4,MATCH(E1291,Risk_Matrix!$A$2:$A$4,0),MATCH(F1291,Risk_Matrix!$B$1:$D$1,0))</f>
        <v>Low</v>
      </c>
      <c r="H1291" s="12" t="n">
        <v>46120</v>
      </c>
      <c r="I1291" s="5" t="s">
        <v>2250</v>
      </c>
      <c r="J1291" s="5" t="s">
        <v>2251</v>
      </c>
      <c r="K1291" s="5" t="s">
        <v>2283</v>
      </c>
      <c r="L1291" s="5" t="n">
        <f aca="false">IF(G1291="High",3,IF(G1291="Medium",2,1))</f>
        <v>1</v>
      </c>
    </row>
    <row r="1292" customFormat="false" ht="15" hidden="false" customHeight="true" outlineLevel="0" collapsed="false">
      <c r="A1292" s="5" t="s">
        <v>3568</v>
      </c>
      <c r="B1292" s="5" t="s">
        <v>1397</v>
      </c>
      <c r="C1292" s="5" t="s">
        <v>2239</v>
      </c>
      <c r="D1292" s="5" t="s">
        <v>2278</v>
      </c>
      <c r="E1292" s="5" t="s">
        <v>2225</v>
      </c>
      <c r="F1292" s="5" t="s">
        <v>59</v>
      </c>
      <c r="G1292" s="5" t="str">
        <f aca="false">INDEX(Risk_Matrix!$B$2:$D$4,MATCH(E1292,Risk_Matrix!$A$2:$A$4,0),MATCH(F1292,Risk_Matrix!$B$1:$D$1,0))</f>
        <v>Low</v>
      </c>
      <c r="H1292" s="12" t="n">
        <v>46069</v>
      </c>
      <c r="I1292" s="5" t="s">
        <v>2250</v>
      </c>
      <c r="J1292" s="5" t="s">
        <v>2251</v>
      </c>
      <c r="K1292" s="5" t="s">
        <v>2266</v>
      </c>
      <c r="L1292" s="5" t="n">
        <f aca="false">IF(G1292="High",3,IF(G1292="Medium",2,1))</f>
        <v>1</v>
      </c>
    </row>
    <row r="1293" customFormat="false" ht="15" hidden="false" customHeight="true" outlineLevel="0" collapsed="false">
      <c r="A1293" s="5" t="s">
        <v>3569</v>
      </c>
      <c r="B1293" s="5" t="s">
        <v>1397</v>
      </c>
      <c r="C1293" s="5" t="s">
        <v>2245</v>
      </c>
      <c r="D1293" s="5" t="s">
        <v>2246</v>
      </c>
      <c r="E1293" s="5" t="s">
        <v>2225</v>
      </c>
      <c r="F1293" s="5" t="s">
        <v>2225</v>
      </c>
      <c r="G1293" s="5" t="str">
        <f aca="false">INDEX(Risk_Matrix!$B$2:$D$4,MATCH(E1293,Risk_Matrix!$A$2:$A$4,0),MATCH(F1293,Risk_Matrix!$B$1:$D$1,0))</f>
        <v>Medium</v>
      </c>
      <c r="H1293" s="12" t="n">
        <v>46188</v>
      </c>
      <c r="I1293" s="5" t="s">
        <v>2250</v>
      </c>
      <c r="J1293" s="5" t="s">
        <v>2251</v>
      </c>
      <c r="K1293" s="5" t="s">
        <v>2266</v>
      </c>
      <c r="L1293" s="5" t="n">
        <f aca="false">IF(G1293="High",3,IF(G1293="Medium",2,1))</f>
        <v>2</v>
      </c>
    </row>
    <row r="1294" customFormat="false" ht="15" hidden="false" customHeight="true" outlineLevel="0" collapsed="false">
      <c r="A1294" s="5" t="s">
        <v>3570</v>
      </c>
      <c r="B1294" s="5" t="s">
        <v>1397</v>
      </c>
      <c r="C1294" s="5" t="s">
        <v>2248</v>
      </c>
      <c r="D1294" s="5" t="s">
        <v>2306</v>
      </c>
      <c r="E1294" s="5" t="s">
        <v>59</v>
      </c>
      <c r="F1294" s="5" t="s">
        <v>59</v>
      </c>
      <c r="G1294" s="5" t="str">
        <f aca="false">INDEX(Risk_Matrix!$B$2:$D$4,MATCH(E1294,Risk_Matrix!$A$2:$A$4,0),MATCH(F1294,Risk_Matrix!$B$1:$D$1,0))</f>
        <v>Low</v>
      </c>
      <c r="H1294" s="12" t="n">
        <v>46197</v>
      </c>
      <c r="I1294" s="5" t="s">
        <v>2264</v>
      </c>
      <c r="J1294" s="5" t="s">
        <v>2265</v>
      </c>
      <c r="K1294" s="5" t="s">
        <v>2243</v>
      </c>
      <c r="L1294" s="5" t="n">
        <f aca="false">IF(G1294="High",3,IF(G1294="Medium",2,1))</f>
        <v>1</v>
      </c>
    </row>
    <row r="1295" customFormat="false" ht="15" hidden="false" customHeight="true" outlineLevel="0" collapsed="false">
      <c r="A1295" s="5" t="s">
        <v>3571</v>
      </c>
      <c r="B1295" s="5" t="s">
        <v>1397</v>
      </c>
      <c r="C1295" s="5" t="s">
        <v>2254</v>
      </c>
      <c r="D1295" s="5" t="s">
        <v>2308</v>
      </c>
      <c r="E1295" s="5" t="s">
        <v>59</v>
      </c>
      <c r="F1295" s="5" t="s">
        <v>59</v>
      </c>
      <c r="G1295" s="5" t="str">
        <f aca="false">INDEX(Risk_Matrix!$B$2:$D$4,MATCH(E1295,Risk_Matrix!$A$2:$A$4,0),MATCH(F1295,Risk_Matrix!$B$1:$D$1,0))</f>
        <v>Low</v>
      </c>
      <c r="H1295" s="12" t="n">
        <v>46190</v>
      </c>
      <c r="I1295" s="5" t="s">
        <v>2264</v>
      </c>
      <c r="J1295" s="5" t="s">
        <v>2265</v>
      </c>
      <c r="K1295" s="5" t="s">
        <v>2283</v>
      </c>
      <c r="L1295" s="5" t="n">
        <f aca="false">IF(G1295="High",3,IF(G1295="Medium",2,1))</f>
        <v>1</v>
      </c>
    </row>
    <row r="1296" customFormat="false" ht="15" hidden="false" customHeight="true" outlineLevel="0" collapsed="false">
      <c r="A1296" s="5" t="s">
        <v>3572</v>
      </c>
      <c r="B1296" s="5" t="s">
        <v>1397</v>
      </c>
      <c r="C1296" s="5" t="s">
        <v>2259</v>
      </c>
      <c r="D1296" s="5" t="s">
        <v>2274</v>
      </c>
      <c r="E1296" s="5" t="s">
        <v>59</v>
      </c>
      <c r="F1296" s="5" t="s">
        <v>59</v>
      </c>
      <c r="G1296" s="5" t="str">
        <f aca="false">INDEX(Risk_Matrix!$B$2:$D$4,MATCH(E1296,Risk_Matrix!$A$2:$A$4,0),MATCH(F1296,Risk_Matrix!$B$1:$D$1,0))</f>
        <v>Low</v>
      </c>
      <c r="H1296" s="12" t="n">
        <v>46099</v>
      </c>
      <c r="I1296" s="5" t="s">
        <v>2250</v>
      </c>
      <c r="J1296" s="5" t="s">
        <v>2251</v>
      </c>
      <c r="K1296" s="5" t="s">
        <v>2243</v>
      </c>
      <c r="L1296" s="5" t="n">
        <f aca="false">IF(G1296="High",3,IF(G1296="Medium",2,1))</f>
        <v>1</v>
      </c>
    </row>
    <row r="1297" customFormat="false" ht="15" hidden="false" customHeight="true" outlineLevel="0" collapsed="false">
      <c r="A1297" s="5" t="s">
        <v>3573</v>
      </c>
      <c r="B1297" s="5" t="s">
        <v>1397</v>
      </c>
      <c r="C1297" s="5" t="s">
        <v>2262</v>
      </c>
      <c r="D1297" s="5" t="s">
        <v>2287</v>
      </c>
      <c r="E1297" s="5" t="s">
        <v>2225</v>
      </c>
      <c r="F1297" s="5" t="s">
        <v>2225</v>
      </c>
      <c r="G1297" s="5" t="str">
        <f aca="false">INDEX(Risk_Matrix!$B$2:$D$4,MATCH(E1297,Risk_Matrix!$A$2:$A$4,0),MATCH(F1297,Risk_Matrix!$B$1:$D$1,0))</f>
        <v>Medium</v>
      </c>
      <c r="H1297" s="12" t="n">
        <v>46152</v>
      </c>
      <c r="I1297" s="5" t="s">
        <v>2250</v>
      </c>
      <c r="J1297" s="5" t="s">
        <v>2251</v>
      </c>
      <c r="K1297" s="5" t="s">
        <v>2252</v>
      </c>
      <c r="L1297" s="5" t="n">
        <f aca="false">IF(G1297="High",3,IF(G1297="Medium",2,1))</f>
        <v>2</v>
      </c>
    </row>
    <row r="1298" customFormat="false" ht="15" hidden="false" customHeight="true" outlineLevel="0" collapsed="false">
      <c r="A1298" s="5" t="s">
        <v>3574</v>
      </c>
      <c r="B1298" s="5" t="s">
        <v>1399</v>
      </c>
      <c r="C1298" s="5" t="s">
        <v>2239</v>
      </c>
      <c r="D1298" s="5" t="s">
        <v>2303</v>
      </c>
      <c r="E1298" s="5" t="s">
        <v>59</v>
      </c>
      <c r="F1298" s="5" t="s">
        <v>2225</v>
      </c>
      <c r="G1298" s="5" t="str">
        <f aca="false">INDEX(Risk_Matrix!$B$2:$D$4,MATCH(E1298,Risk_Matrix!$A$2:$A$4,0),MATCH(F1298,Risk_Matrix!$B$1:$D$1,0))</f>
        <v>Low</v>
      </c>
      <c r="H1298" s="12" t="n">
        <v>46098</v>
      </c>
      <c r="I1298" s="5" t="s">
        <v>2250</v>
      </c>
      <c r="J1298" s="5" t="s">
        <v>2251</v>
      </c>
      <c r="K1298" s="5" t="s">
        <v>2243</v>
      </c>
      <c r="L1298" s="5" t="n">
        <f aca="false">IF(G1298="High",3,IF(G1298="Medium",2,1))</f>
        <v>1</v>
      </c>
    </row>
    <row r="1299" customFormat="false" ht="15" hidden="false" customHeight="true" outlineLevel="0" collapsed="false">
      <c r="A1299" s="5" t="s">
        <v>3575</v>
      </c>
      <c r="B1299" s="5" t="s">
        <v>1399</v>
      </c>
      <c r="C1299" s="5" t="s">
        <v>2245</v>
      </c>
      <c r="D1299" s="5" t="s">
        <v>2246</v>
      </c>
      <c r="E1299" s="5" t="s">
        <v>2225</v>
      </c>
      <c r="F1299" s="5" t="s">
        <v>59</v>
      </c>
      <c r="G1299" s="5" t="str">
        <f aca="false">INDEX(Risk_Matrix!$B$2:$D$4,MATCH(E1299,Risk_Matrix!$A$2:$A$4,0),MATCH(F1299,Risk_Matrix!$B$1:$D$1,0))</f>
        <v>Low</v>
      </c>
      <c r="H1299" s="12" t="n">
        <v>46222</v>
      </c>
      <c r="I1299" s="5" t="s">
        <v>2250</v>
      </c>
      <c r="J1299" s="5" t="s">
        <v>2251</v>
      </c>
      <c r="K1299" s="5" t="s">
        <v>2252</v>
      </c>
      <c r="L1299" s="5" t="n">
        <f aca="false">IF(G1299="High",3,IF(G1299="Medium",2,1))</f>
        <v>1</v>
      </c>
    </row>
    <row r="1300" customFormat="false" ht="15" hidden="false" customHeight="true" outlineLevel="0" collapsed="false">
      <c r="A1300" s="5" t="s">
        <v>3576</v>
      </c>
      <c r="B1300" s="5" t="s">
        <v>1399</v>
      </c>
      <c r="C1300" s="5" t="s">
        <v>2248</v>
      </c>
      <c r="D1300" s="5" t="s">
        <v>2271</v>
      </c>
      <c r="E1300" s="5" t="s">
        <v>2225</v>
      </c>
      <c r="F1300" s="5" t="s">
        <v>54</v>
      </c>
      <c r="G1300" s="5" t="str">
        <f aca="false">INDEX(Risk_Matrix!$B$2:$D$4,MATCH(E1300,Risk_Matrix!$A$2:$A$4,0),MATCH(F1300,Risk_Matrix!$B$1:$D$1,0))</f>
        <v>High</v>
      </c>
      <c r="H1300" s="12" t="n">
        <v>46180</v>
      </c>
      <c r="I1300" s="5" t="s">
        <v>2256</v>
      </c>
      <c r="J1300" s="5" t="s">
        <v>2257</v>
      </c>
      <c r="K1300" s="5" t="s">
        <v>2243</v>
      </c>
      <c r="L1300" s="5" t="n">
        <f aca="false">IF(G1300="High",3,IF(G1300="Medium",2,1))</f>
        <v>3</v>
      </c>
    </row>
    <row r="1301" customFormat="false" ht="15" hidden="false" customHeight="true" outlineLevel="0" collapsed="false">
      <c r="A1301" s="5" t="s">
        <v>3577</v>
      </c>
      <c r="B1301" s="5" t="s">
        <v>1399</v>
      </c>
      <c r="C1301" s="5" t="s">
        <v>2254</v>
      </c>
      <c r="D1301" s="5" t="s">
        <v>2255</v>
      </c>
      <c r="E1301" s="5" t="s">
        <v>59</v>
      </c>
      <c r="F1301" s="5" t="s">
        <v>2225</v>
      </c>
      <c r="G1301" s="5" t="str">
        <f aca="false">INDEX(Risk_Matrix!$B$2:$D$4,MATCH(E1301,Risk_Matrix!$A$2:$A$4,0),MATCH(F1301,Risk_Matrix!$B$1:$D$1,0))</f>
        <v>Low</v>
      </c>
      <c r="H1301" s="12" t="n">
        <v>46150</v>
      </c>
      <c r="I1301" s="5" t="s">
        <v>2256</v>
      </c>
      <c r="J1301" s="5" t="s">
        <v>2257</v>
      </c>
      <c r="K1301" s="5" t="s">
        <v>2252</v>
      </c>
      <c r="L1301" s="5" t="n">
        <f aca="false">IF(G1301="High",3,IF(G1301="Medium",2,1))</f>
        <v>1</v>
      </c>
    </row>
    <row r="1302" customFormat="false" ht="15" hidden="false" customHeight="true" outlineLevel="0" collapsed="false">
      <c r="A1302" s="5" t="s">
        <v>3578</v>
      </c>
      <c r="B1302" s="5" t="s">
        <v>1399</v>
      </c>
      <c r="C1302" s="5" t="s">
        <v>2259</v>
      </c>
      <c r="D1302" s="5" t="s">
        <v>2274</v>
      </c>
      <c r="E1302" s="5" t="s">
        <v>59</v>
      </c>
      <c r="F1302" s="5" t="s">
        <v>54</v>
      </c>
      <c r="G1302" s="5" t="str">
        <f aca="false">INDEX(Risk_Matrix!$B$2:$D$4,MATCH(E1302,Risk_Matrix!$A$2:$A$4,0),MATCH(F1302,Risk_Matrix!$B$1:$D$1,0))</f>
        <v>Medium</v>
      </c>
      <c r="H1302" s="12" t="n">
        <v>46109</v>
      </c>
      <c r="I1302" s="5" t="s">
        <v>2256</v>
      </c>
      <c r="J1302" s="5" t="s">
        <v>2257</v>
      </c>
      <c r="K1302" s="5" t="s">
        <v>2266</v>
      </c>
      <c r="L1302" s="5" t="n">
        <f aca="false">IF(G1302="High",3,IF(G1302="Medium",2,1))</f>
        <v>2</v>
      </c>
    </row>
    <row r="1303" customFormat="false" ht="15" hidden="false" customHeight="true" outlineLevel="0" collapsed="false">
      <c r="A1303" s="5" t="s">
        <v>3579</v>
      </c>
      <c r="B1303" s="5" t="s">
        <v>1399</v>
      </c>
      <c r="C1303" s="5" t="s">
        <v>2262</v>
      </c>
      <c r="D1303" s="5" t="s">
        <v>2311</v>
      </c>
      <c r="E1303" s="5" t="s">
        <v>2225</v>
      </c>
      <c r="F1303" s="5" t="s">
        <v>54</v>
      </c>
      <c r="G1303" s="5" t="str">
        <f aca="false">INDEX(Risk_Matrix!$B$2:$D$4,MATCH(E1303,Risk_Matrix!$A$2:$A$4,0),MATCH(F1303,Risk_Matrix!$B$1:$D$1,0))</f>
        <v>High</v>
      </c>
      <c r="H1303" s="12" t="n">
        <v>46202</v>
      </c>
      <c r="I1303" s="5" t="s">
        <v>2250</v>
      </c>
      <c r="J1303" s="5" t="s">
        <v>2251</v>
      </c>
      <c r="K1303" s="5" t="s">
        <v>2266</v>
      </c>
      <c r="L1303" s="5" t="n">
        <f aca="false">IF(G1303="High",3,IF(G1303="Medium",2,1))</f>
        <v>3</v>
      </c>
    </row>
    <row r="1304" customFormat="false" ht="15" hidden="false" customHeight="true" outlineLevel="0" collapsed="false">
      <c r="A1304" s="5" t="s">
        <v>3580</v>
      </c>
      <c r="B1304" s="5" t="s">
        <v>1400</v>
      </c>
      <c r="C1304" s="5" t="s">
        <v>2239</v>
      </c>
      <c r="D1304" s="5" t="s">
        <v>2240</v>
      </c>
      <c r="E1304" s="5" t="s">
        <v>59</v>
      </c>
      <c r="F1304" s="5" t="s">
        <v>2225</v>
      </c>
      <c r="G1304" s="5" t="str">
        <f aca="false">INDEX(Risk_Matrix!$B$2:$D$4,MATCH(E1304,Risk_Matrix!$A$2:$A$4,0),MATCH(F1304,Risk_Matrix!$B$1:$D$1,0))</f>
        <v>Low</v>
      </c>
      <c r="H1304" s="12" t="n">
        <v>46200</v>
      </c>
      <c r="I1304" s="5" t="s">
        <v>2250</v>
      </c>
      <c r="J1304" s="5" t="s">
        <v>2251</v>
      </c>
      <c r="K1304" s="5" t="s">
        <v>2283</v>
      </c>
      <c r="L1304" s="5" t="n">
        <f aca="false">IF(G1304="High",3,IF(G1304="Medium",2,1))</f>
        <v>1</v>
      </c>
    </row>
    <row r="1305" customFormat="false" ht="15" hidden="false" customHeight="true" outlineLevel="0" collapsed="false">
      <c r="A1305" s="5" t="s">
        <v>3581</v>
      </c>
      <c r="B1305" s="5" t="s">
        <v>1400</v>
      </c>
      <c r="C1305" s="5" t="s">
        <v>2245</v>
      </c>
      <c r="D1305" s="5" t="s">
        <v>2246</v>
      </c>
      <c r="E1305" s="5" t="s">
        <v>2225</v>
      </c>
      <c r="F1305" s="5" t="s">
        <v>59</v>
      </c>
      <c r="G1305" s="5" t="str">
        <f aca="false">INDEX(Risk_Matrix!$B$2:$D$4,MATCH(E1305,Risk_Matrix!$A$2:$A$4,0),MATCH(F1305,Risk_Matrix!$B$1:$D$1,0))</f>
        <v>Low</v>
      </c>
      <c r="H1305" s="12" t="n">
        <v>46103</v>
      </c>
      <c r="I1305" s="5" t="s">
        <v>2256</v>
      </c>
      <c r="J1305" s="5" t="s">
        <v>2257</v>
      </c>
      <c r="K1305" s="5" t="s">
        <v>2266</v>
      </c>
      <c r="L1305" s="5" t="n">
        <f aca="false">IF(G1305="High",3,IF(G1305="Medium",2,1))</f>
        <v>1</v>
      </c>
    </row>
    <row r="1306" customFormat="false" ht="15" hidden="false" customHeight="true" outlineLevel="0" collapsed="false">
      <c r="A1306" s="5" t="s">
        <v>3582</v>
      </c>
      <c r="B1306" s="5" t="s">
        <v>1400</v>
      </c>
      <c r="C1306" s="5" t="s">
        <v>2248</v>
      </c>
      <c r="D1306" s="5" t="s">
        <v>2249</v>
      </c>
      <c r="E1306" s="5" t="s">
        <v>59</v>
      </c>
      <c r="F1306" s="5" t="s">
        <v>2225</v>
      </c>
      <c r="G1306" s="5" t="str">
        <f aca="false">INDEX(Risk_Matrix!$B$2:$D$4,MATCH(E1306,Risk_Matrix!$A$2:$A$4,0),MATCH(F1306,Risk_Matrix!$B$1:$D$1,0))</f>
        <v>Low</v>
      </c>
      <c r="H1306" s="12" t="n">
        <v>46080</v>
      </c>
      <c r="I1306" s="5" t="s">
        <v>2250</v>
      </c>
      <c r="J1306" s="5" t="s">
        <v>2251</v>
      </c>
      <c r="K1306" s="5" t="s">
        <v>2266</v>
      </c>
      <c r="L1306" s="5" t="n">
        <f aca="false">IF(G1306="High",3,IF(G1306="Medium",2,1))</f>
        <v>1</v>
      </c>
    </row>
    <row r="1307" customFormat="false" ht="15" hidden="false" customHeight="true" outlineLevel="0" collapsed="false">
      <c r="A1307" s="5" t="s">
        <v>3583</v>
      </c>
      <c r="B1307" s="5" t="s">
        <v>1400</v>
      </c>
      <c r="C1307" s="5" t="s">
        <v>2254</v>
      </c>
      <c r="D1307" s="5" t="s">
        <v>2299</v>
      </c>
      <c r="E1307" s="5" t="s">
        <v>59</v>
      </c>
      <c r="F1307" s="5" t="s">
        <v>54</v>
      </c>
      <c r="G1307" s="5" t="str">
        <f aca="false">INDEX(Risk_Matrix!$B$2:$D$4,MATCH(E1307,Risk_Matrix!$A$2:$A$4,0),MATCH(F1307,Risk_Matrix!$B$1:$D$1,0))</f>
        <v>Medium</v>
      </c>
      <c r="H1307" s="12" t="n">
        <v>46187</v>
      </c>
      <c r="I1307" s="5" t="s">
        <v>2250</v>
      </c>
      <c r="J1307" s="5" t="s">
        <v>2251</v>
      </c>
      <c r="K1307" s="5" t="s">
        <v>2252</v>
      </c>
      <c r="L1307" s="5" t="n">
        <f aca="false">IF(G1307="High",3,IF(G1307="Medium",2,1))</f>
        <v>2</v>
      </c>
    </row>
    <row r="1308" customFormat="false" ht="15" hidden="false" customHeight="true" outlineLevel="0" collapsed="false">
      <c r="A1308" s="5" t="s">
        <v>3584</v>
      </c>
      <c r="B1308" s="5" t="s">
        <v>1400</v>
      </c>
      <c r="C1308" s="5" t="s">
        <v>2259</v>
      </c>
      <c r="D1308" s="5" t="s">
        <v>2260</v>
      </c>
      <c r="E1308" s="5" t="s">
        <v>54</v>
      </c>
      <c r="F1308" s="5" t="s">
        <v>54</v>
      </c>
      <c r="G1308" s="5" t="str">
        <f aca="false">INDEX(Risk_Matrix!$B$2:$D$4,MATCH(E1308,Risk_Matrix!$A$2:$A$4,0),MATCH(F1308,Risk_Matrix!$B$1:$D$1,0))</f>
        <v>High</v>
      </c>
      <c r="H1308" s="12" t="n">
        <v>46105</v>
      </c>
      <c r="I1308" s="5" t="s">
        <v>2256</v>
      </c>
      <c r="J1308" s="5" t="s">
        <v>2257</v>
      </c>
      <c r="K1308" s="5" t="s">
        <v>2243</v>
      </c>
      <c r="L1308" s="5" t="n">
        <f aca="false">IF(G1308="High",3,IF(G1308="Medium",2,1))</f>
        <v>3</v>
      </c>
    </row>
    <row r="1309" customFormat="false" ht="15" hidden="false" customHeight="true" outlineLevel="0" collapsed="false">
      <c r="A1309" s="5" t="s">
        <v>3585</v>
      </c>
      <c r="B1309" s="5" t="s">
        <v>1400</v>
      </c>
      <c r="C1309" s="5" t="s">
        <v>2262</v>
      </c>
      <c r="D1309" s="5" t="s">
        <v>2311</v>
      </c>
      <c r="E1309" s="5" t="s">
        <v>59</v>
      </c>
      <c r="F1309" s="5" t="s">
        <v>59</v>
      </c>
      <c r="G1309" s="5" t="str">
        <f aca="false">INDEX(Risk_Matrix!$B$2:$D$4,MATCH(E1309,Risk_Matrix!$A$2:$A$4,0),MATCH(F1309,Risk_Matrix!$B$1:$D$1,0))</f>
        <v>Low</v>
      </c>
      <c r="H1309" s="12" t="n">
        <v>46238</v>
      </c>
      <c r="I1309" s="5" t="s">
        <v>2264</v>
      </c>
      <c r="J1309" s="5" t="s">
        <v>2265</v>
      </c>
      <c r="K1309" s="5" t="s">
        <v>2276</v>
      </c>
      <c r="L1309" s="5" t="n">
        <f aca="false">IF(G1309="High",3,IF(G1309="Medium",2,1))</f>
        <v>1</v>
      </c>
    </row>
    <row r="1310" customFormat="false" ht="15" hidden="false" customHeight="true" outlineLevel="0" collapsed="false">
      <c r="A1310" s="5" t="s">
        <v>3586</v>
      </c>
      <c r="B1310" s="5" t="s">
        <v>1402</v>
      </c>
      <c r="C1310" s="5" t="s">
        <v>2239</v>
      </c>
      <c r="D1310" s="5" t="s">
        <v>2278</v>
      </c>
      <c r="E1310" s="5" t="s">
        <v>2225</v>
      </c>
      <c r="F1310" s="5" t="s">
        <v>2225</v>
      </c>
      <c r="G1310" s="5" t="str">
        <f aca="false">INDEX(Risk_Matrix!$B$2:$D$4,MATCH(E1310,Risk_Matrix!$A$2:$A$4,0),MATCH(F1310,Risk_Matrix!$B$1:$D$1,0))</f>
        <v>Medium</v>
      </c>
      <c r="H1310" s="12" t="n">
        <v>46082</v>
      </c>
      <c r="I1310" s="5" t="s">
        <v>2256</v>
      </c>
      <c r="J1310" s="5" t="s">
        <v>2257</v>
      </c>
      <c r="K1310" s="5" t="s">
        <v>2283</v>
      </c>
      <c r="L1310" s="5" t="n">
        <f aca="false">IF(G1310="High",3,IF(G1310="Medium",2,1))</f>
        <v>2</v>
      </c>
    </row>
    <row r="1311" customFormat="false" ht="15" hidden="false" customHeight="true" outlineLevel="0" collapsed="false">
      <c r="A1311" s="5" t="s">
        <v>3587</v>
      </c>
      <c r="B1311" s="5" t="s">
        <v>1402</v>
      </c>
      <c r="C1311" s="5" t="s">
        <v>2245</v>
      </c>
      <c r="D1311" s="5" t="s">
        <v>2246</v>
      </c>
      <c r="E1311" s="5" t="s">
        <v>59</v>
      </c>
      <c r="F1311" s="5" t="s">
        <v>59</v>
      </c>
      <c r="G1311" s="5" t="str">
        <f aca="false">INDEX(Risk_Matrix!$B$2:$D$4,MATCH(E1311,Risk_Matrix!$A$2:$A$4,0),MATCH(F1311,Risk_Matrix!$B$1:$D$1,0))</f>
        <v>Low</v>
      </c>
      <c r="H1311" s="12" t="n">
        <v>46197</v>
      </c>
      <c r="I1311" s="5" t="s">
        <v>2256</v>
      </c>
      <c r="J1311" s="5" t="s">
        <v>2257</v>
      </c>
      <c r="K1311" s="5" t="s">
        <v>2266</v>
      </c>
      <c r="L1311" s="5" t="n">
        <f aca="false">IF(G1311="High",3,IF(G1311="Medium",2,1))</f>
        <v>1</v>
      </c>
    </row>
    <row r="1312" customFormat="false" ht="15" hidden="false" customHeight="true" outlineLevel="0" collapsed="false">
      <c r="A1312" s="5" t="s">
        <v>3588</v>
      </c>
      <c r="B1312" s="5" t="s">
        <v>1402</v>
      </c>
      <c r="C1312" s="5" t="s">
        <v>2248</v>
      </c>
      <c r="D1312" s="5" t="s">
        <v>2271</v>
      </c>
      <c r="E1312" s="5" t="s">
        <v>2225</v>
      </c>
      <c r="F1312" s="5" t="s">
        <v>2225</v>
      </c>
      <c r="G1312" s="5" t="str">
        <f aca="false">INDEX(Risk_Matrix!$B$2:$D$4,MATCH(E1312,Risk_Matrix!$A$2:$A$4,0),MATCH(F1312,Risk_Matrix!$B$1:$D$1,0))</f>
        <v>Medium</v>
      </c>
      <c r="H1312" s="12" t="n">
        <v>46189</v>
      </c>
      <c r="I1312" s="5" t="s">
        <v>2256</v>
      </c>
      <c r="J1312" s="5" t="s">
        <v>2257</v>
      </c>
      <c r="K1312" s="5" t="s">
        <v>2266</v>
      </c>
      <c r="L1312" s="5" t="n">
        <f aca="false">IF(G1312="High",3,IF(G1312="Medium",2,1))</f>
        <v>2</v>
      </c>
    </row>
    <row r="1313" customFormat="false" ht="15" hidden="false" customHeight="true" outlineLevel="0" collapsed="false">
      <c r="A1313" s="5" t="s">
        <v>3589</v>
      </c>
      <c r="B1313" s="5" t="s">
        <v>1402</v>
      </c>
      <c r="C1313" s="5" t="s">
        <v>2254</v>
      </c>
      <c r="D1313" s="5" t="s">
        <v>2308</v>
      </c>
      <c r="E1313" s="5" t="s">
        <v>59</v>
      </c>
      <c r="F1313" s="5" t="s">
        <v>54</v>
      </c>
      <c r="G1313" s="5" t="str">
        <f aca="false">INDEX(Risk_Matrix!$B$2:$D$4,MATCH(E1313,Risk_Matrix!$A$2:$A$4,0),MATCH(F1313,Risk_Matrix!$B$1:$D$1,0))</f>
        <v>Medium</v>
      </c>
      <c r="H1313" s="12" t="n">
        <v>46136</v>
      </c>
      <c r="I1313" s="5" t="s">
        <v>2256</v>
      </c>
      <c r="J1313" s="5" t="s">
        <v>2257</v>
      </c>
      <c r="K1313" s="5" t="s">
        <v>2276</v>
      </c>
      <c r="L1313" s="5" t="n">
        <f aca="false">IF(G1313="High",3,IF(G1313="Medium",2,1))</f>
        <v>2</v>
      </c>
    </row>
    <row r="1314" customFormat="false" ht="15" hidden="false" customHeight="true" outlineLevel="0" collapsed="false">
      <c r="A1314" s="5" t="s">
        <v>3590</v>
      </c>
      <c r="B1314" s="5" t="s">
        <v>1402</v>
      </c>
      <c r="C1314" s="5" t="s">
        <v>2259</v>
      </c>
      <c r="D1314" s="5" t="s">
        <v>2285</v>
      </c>
      <c r="E1314" s="5" t="s">
        <v>2225</v>
      </c>
      <c r="F1314" s="5" t="s">
        <v>54</v>
      </c>
      <c r="G1314" s="5" t="str">
        <f aca="false">INDEX(Risk_Matrix!$B$2:$D$4,MATCH(E1314,Risk_Matrix!$A$2:$A$4,0),MATCH(F1314,Risk_Matrix!$B$1:$D$1,0))</f>
        <v>High</v>
      </c>
      <c r="H1314" s="12" t="n">
        <v>46125</v>
      </c>
      <c r="I1314" s="5" t="s">
        <v>2256</v>
      </c>
      <c r="J1314" s="5" t="s">
        <v>2257</v>
      </c>
      <c r="K1314" s="5" t="s">
        <v>2266</v>
      </c>
      <c r="L1314" s="5" t="n">
        <f aca="false">IF(G1314="High",3,IF(G1314="Medium",2,1))</f>
        <v>3</v>
      </c>
    </row>
    <row r="1315" customFormat="false" ht="15" hidden="false" customHeight="true" outlineLevel="0" collapsed="false">
      <c r="A1315" s="5" t="s">
        <v>3591</v>
      </c>
      <c r="B1315" s="5" t="s">
        <v>1402</v>
      </c>
      <c r="C1315" s="5" t="s">
        <v>2262</v>
      </c>
      <c r="D1315" s="5" t="s">
        <v>2263</v>
      </c>
      <c r="E1315" s="5" t="s">
        <v>59</v>
      </c>
      <c r="F1315" s="5" t="s">
        <v>59</v>
      </c>
      <c r="G1315" s="5" t="str">
        <f aca="false">INDEX(Risk_Matrix!$B$2:$D$4,MATCH(E1315,Risk_Matrix!$A$2:$A$4,0),MATCH(F1315,Risk_Matrix!$B$1:$D$1,0))</f>
        <v>Low</v>
      </c>
      <c r="H1315" s="12" t="n">
        <v>46105</v>
      </c>
      <c r="I1315" s="5" t="s">
        <v>2250</v>
      </c>
      <c r="J1315" s="5" t="s">
        <v>2251</v>
      </c>
      <c r="K1315" s="5" t="s">
        <v>2252</v>
      </c>
      <c r="L1315" s="5" t="n">
        <f aca="false">IF(G1315="High",3,IF(G1315="Medium",2,1))</f>
        <v>1</v>
      </c>
    </row>
    <row r="1316" customFormat="false" ht="15" hidden="false" customHeight="true" outlineLevel="0" collapsed="false">
      <c r="A1316" s="5" t="s">
        <v>3592</v>
      </c>
      <c r="B1316" s="5" t="s">
        <v>1404</v>
      </c>
      <c r="C1316" s="5" t="s">
        <v>2239</v>
      </c>
      <c r="D1316" s="5" t="s">
        <v>2240</v>
      </c>
      <c r="E1316" s="5" t="s">
        <v>2225</v>
      </c>
      <c r="F1316" s="5" t="s">
        <v>2225</v>
      </c>
      <c r="G1316" s="5" t="str">
        <f aca="false">INDEX(Risk_Matrix!$B$2:$D$4,MATCH(E1316,Risk_Matrix!$A$2:$A$4,0),MATCH(F1316,Risk_Matrix!$B$1:$D$1,0))</f>
        <v>Medium</v>
      </c>
      <c r="H1316" s="12" t="n">
        <v>46126</v>
      </c>
      <c r="I1316" s="5" t="s">
        <v>2256</v>
      </c>
      <c r="J1316" s="5" t="s">
        <v>2257</v>
      </c>
      <c r="K1316" s="5" t="s">
        <v>2252</v>
      </c>
      <c r="L1316" s="5" t="n">
        <f aca="false">IF(G1316="High",3,IF(G1316="Medium",2,1))</f>
        <v>2</v>
      </c>
    </row>
    <row r="1317" customFormat="false" ht="15" hidden="false" customHeight="true" outlineLevel="0" collapsed="false">
      <c r="A1317" s="5" t="s">
        <v>3593</v>
      </c>
      <c r="B1317" s="5" t="s">
        <v>1404</v>
      </c>
      <c r="C1317" s="5" t="s">
        <v>2245</v>
      </c>
      <c r="D1317" s="5" t="s">
        <v>2246</v>
      </c>
      <c r="E1317" s="5" t="s">
        <v>2225</v>
      </c>
      <c r="F1317" s="5" t="s">
        <v>2225</v>
      </c>
      <c r="G1317" s="5" t="str">
        <f aca="false">INDEX(Risk_Matrix!$B$2:$D$4,MATCH(E1317,Risk_Matrix!$A$2:$A$4,0),MATCH(F1317,Risk_Matrix!$B$1:$D$1,0))</f>
        <v>Medium</v>
      </c>
      <c r="H1317" s="12" t="n">
        <v>46151</v>
      </c>
      <c r="I1317" s="5" t="s">
        <v>2256</v>
      </c>
      <c r="J1317" s="5" t="s">
        <v>2257</v>
      </c>
      <c r="K1317" s="5" t="s">
        <v>2252</v>
      </c>
      <c r="L1317" s="5" t="n">
        <f aca="false">IF(G1317="High",3,IF(G1317="Medium",2,1))</f>
        <v>2</v>
      </c>
    </row>
    <row r="1318" customFormat="false" ht="15" hidden="false" customHeight="true" outlineLevel="0" collapsed="false">
      <c r="A1318" s="5" t="s">
        <v>3594</v>
      </c>
      <c r="B1318" s="5" t="s">
        <v>1404</v>
      </c>
      <c r="C1318" s="5" t="s">
        <v>2248</v>
      </c>
      <c r="D1318" s="5" t="s">
        <v>2306</v>
      </c>
      <c r="E1318" s="5" t="s">
        <v>59</v>
      </c>
      <c r="F1318" s="5" t="s">
        <v>54</v>
      </c>
      <c r="G1318" s="5" t="str">
        <f aca="false">INDEX(Risk_Matrix!$B$2:$D$4,MATCH(E1318,Risk_Matrix!$A$2:$A$4,0),MATCH(F1318,Risk_Matrix!$B$1:$D$1,0))</f>
        <v>Medium</v>
      </c>
      <c r="H1318" s="12" t="n">
        <v>46119</v>
      </c>
      <c r="I1318" s="5" t="s">
        <v>2256</v>
      </c>
      <c r="J1318" s="5" t="s">
        <v>2257</v>
      </c>
      <c r="K1318" s="5" t="s">
        <v>2243</v>
      </c>
      <c r="L1318" s="5" t="n">
        <f aca="false">IF(G1318="High",3,IF(G1318="Medium",2,1))</f>
        <v>2</v>
      </c>
    </row>
    <row r="1319" customFormat="false" ht="15" hidden="false" customHeight="true" outlineLevel="0" collapsed="false">
      <c r="A1319" s="5" t="s">
        <v>3595</v>
      </c>
      <c r="B1319" s="5" t="s">
        <v>1404</v>
      </c>
      <c r="C1319" s="5" t="s">
        <v>2254</v>
      </c>
      <c r="D1319" s="5" t="s">
        <v>2299</v>
      </c>
      <c r="E1319" s="5" t="s">
        <v>59</v>
      </c>
      <c r="F1319" s="5" t="s">
        <v>2225</v>
      </c>
      <c r="G1319" s="5" t="str">
        <f aca="false">INDEX(Risk_Matrix!$B$2:$D$4,MATCH(E1319,Risk_Matrix!$A$2:$A$4,0),MATCH(F1319,Risk_Matrix!$B$1:$D$1,0))</f>
        <v>Low</v>
      </c>
      <c r="H1319" s="12" t="n">
        <v>46114</v>
      </c>
      <c r="I1319" s="5" t="s">
        <v>2264</v>
      </c>
      <c r="J1319" s="5" t="s">
        <v>2265</v>
      </c>
      <c r="K1319" s="5" t="s">
        <v>2252</v>
      </c>
      <c r="L1319" s="5" t="n">
        <f aca="false">IF(G1319="High",3,IF(G1319="Medium",2,1))</f>
        <v>1</v>
      </c>
    </row>
    <row r="1320" customFormat="false" ht="15" hidden="false" customHeight="true" outlineLevel="0" collapsed="false">
      <c r="A1320" s="5" t="s">
        <v>3596</v>
      </c>
      <c r="B1320" s="5" t="s">
        <v>1404</v>
      </c>
      <c r="C1320" s="5" t="s">
        <v>2259</v>
      </c>
      <c r="D1320" s="5" t="s">
        <v>2260</v>
      </c>
      <c r="E1320" s="5" t="s">
        <v>2225</v>
      </c>
      <c r="F1320" s="5" t="s">
        <v>59</v>
      </c>
      <c r="G1320" s="5" t="str">
        <f aca="false">INDEX(Risk_Matrix!$B$2:$D$4,MATCH(E1320,Risk_Matrix!$A$2:$A$4,0),MATCH(F1320,Risk_Matrix!$B$1:$D$1,0))</f>
        <v>Low</v>
      </c>
      <c r="H1320" s="12" t="n">
        <v>46085</v>
      </c>
      <c r="I1320" s="5" t="s">
        <v>2250</v>
      </c>
      <c r="J1320" s="5" t="s">
        <v>2251</v>
      </c>
      <c r="K1320" s="5" t="s">
        <v>2252</v>
      </c>
      <c r="L1320" s="5" t="n">
        <f aca="false">IF(G1320="High",3,IF(G1320="Medium",2,1))</f>
        <v>1</v>
      </c>
    </row>
    <row r="1321" customFormat="false" ht="15" hidden="false" customHeight="true" outlineLevel="0" collapsed="false">
      <c r="A1321" s="5" t="s">
        <v>3597</v>
      </c>
      <c r="B1321" s="5" t="s">
        <v>1404</v>
      </c>
      <c r="C1321" s="5" t="s">
        <v>2262</v>
      </c>
      <c r="D1321" s="5" t="s">
        <v>2287</v>
      </c>
      <c r="E1321" s="5" t="s">
        <v>54</v>
      </c>
      <c r="F1321" s="5" t="s">
        <v>2225</v>
      </c>
      <c r="G1321" s="5" t="str">
        <f aca="false">INDEX(Risk_Matrix!$B$2:$D$4,MATCH(E1321,Risk_Matrix!$A$2:$A$4,0),MATCH(F1321,Risk_Matrix!$B$1:$D$1,0))</f>
        <v>High</v>
      </c>
      <c r="H1321" s="12" t="n">
        <v>46128</v>
      </c>
      <c r="I1321" s="5" t="s">
        <v>2264</v>
      </c>
      <c r="J1321" s="5" t="s">
        <v>2265</v>
      </c>
      <c r="K1321" s="5" t="s">
        <v>2243</v>
      </c>
      <c r="L1321" s="5" t="n">
        <f aca="false">IF(G1321="High",3,IF(G1321="Medium",2,1))</f>
        <v>3</v>
      </c>
    </row>
    <row r="1322" customFormat="false" ht="15" hidden="false" customHeight="true" outlineLevel="0" collapsed="false">
      <c r="A1322" s="5" t="s">
        <v>3598</v>
      </c>
      <c r="B1322" s="5" t="s">
        <v>1406</v>
      </c>
      <c r="C1322" s="5" t="s">
        <v>2239</v>
      </c>
      <c r="D1322" s="5" t="s">
        <v>2240</v>
      </c>
      <c r="E1322" s="5" t="s">
        <v>2225</v>
      </c>
      <c r="F1322" s="5" t="s">
        <v>54</v>
      </c>
      <c r="G1322" s="5" t="str">
        <f aca="false">INDEX(Risk_Matrix!$B$2:$D$4,MATCH(E1322,Risk_Matrix!$A$2:$A$4,0),MATCH(F1322,Risk_Matrix!$B$1:$D$1,0))</f>
        <v>High</v>
      </c>
      <c r="H1322" s="12" t="n">
        <v>46168</v>
      </c>
      <c r="I1322" s="5" t="s">
        <v>2256</v>
      </c>
      <c r="J1322" s="5" t="s">
        <v>2257</v>
      </c>
      <c r="K1322" s="5" t="s">
        <v>2252</v>
      </c>
      <c r="L1322" s="5" t="n">
        <f aca="false">IF(G1322="High",3,IF(G1322="Medium",2,1))</f>
        <v>3</v>
      </c>
    </row>
    <row r="1323" customFormat="false" ht="15" hidden="false" customHeight="true" outlineLevel="0" collapsed="false">
      <c r="A1323" s="5" t="s">
        <v>3599</v>
      </c>
      <c r="B1323" s="5" t="s">
        <v>1406</v>
      </c>
      <c r="C1323" s="5" t="s">
        <v>2245</v>
      </c>
      <c r="D1323" s="5" t="s">
        <v>2269</v>
      </c>
      <c r="E1323" s="5" t="s">
        <v>59</v>
      </c>
      <c r="F1323" s="5" t="s">
        <v>2225</v>
      </c>
      <c r="G1323" s="5" t="str">
        <f aca="false">INDEX(Risk_Matrix!$B$2:$D$4,MATCH(E1323,Risk_Matrix!$A$2:$A$4,0),MATCH(F1323,Risk_Matrix!$B$1:$D$1,0))</f>
        <v>Low</v>
      </c>
      <c r="H1323" s="12" t="n">
        <v>46217</v>
      </c>
      <c r="I1323" s="5" t="s">
        <v>2241</v>
      </c>
      <c r="J1323" s="5" t="s">
        <v>2242</v>
      </c>
      <c r="K1323" s="5" t="s">
        <v>2276</v>
      </c>
      <c r="L1323" s="5" t="n">
        <f aca="false">IF(G1323="High",3,IF(G1323="Medium",2,1))</f>
        <v>1</v>
      </c>
    </row>
    <row r="1324" customFormat="false" ht="15" hidden="false" customHeight="true" outlineLevel="0" collapsed="false">
      <c r="A1324" s="5" t="s">
        <v>3600</v>
      </c>
      <c r="B1324" s="5" t="s">
        <v>1406</v>
      </c>
      <c r="C1324" s="5" t="s">
        <v>2248</v>
      </c>
      <c r="D1324" s="5" t="s">
        <v>2306</v>
      </c>
      <c r="E1324" s="5" t="s">
        <v>2225</v>
      </c>
      <c r="F1324" s="5" t="s">
        <v>59</v>
      </c>
      <c r="G1324" s="5" t="str">
        <f aca="false">INDEX(Risk_Matrix!$B$2:$D$4,MATCH(E1324,Risk_Matrix!$A$2:$A$4,0),MATCH(F1324,Risk_Matrix!$B$1:$D$1,0))</f>
        <v>Low</v>
      </c>
      <c r="H1324" s="12" t="n">
        <v>46182</v>
      </c>
      <c r="I1324" s="5" t="s">
        <v>2250</v>
      </c>
      <c r="J1324" s="5" t="s">
        <v>2251</v>
      </c>
      <c r="K1324" s="5" t="s">
        <v>2283</v>
      </c>
      <c r="L1324" s="5" t="n">
        <f aca="false">IF(G1324="High",3,IF(G1324="Medium",2,1))</f>
        <v>1</v>
      </c>
    </row>
    <row r="1325" customFormat="false" ht="15" hidden="false" customHeight="true" outlineLevel="0" collapsed="false">
      <c r="A1325" s="5" t="s">
        <v>3601</v>
      </c>
      <c r="B1325" s="5" t="s">
        <v>1406</v>
      </c>
      <c r="C1325" s="5" t="s">
        <v>2254</v>
      </c>
      <c r="D1325" s="5" t="s">
        <v>2308</v>
      </c>
      <c r="E1325" s="5" t="s">
        <v>2225</v>
      </c>
      <c r="F1325" s="5" t="s">
        <v>59</v>
      </c>
      <c r="G1325" s="5" t="str">
        <f aca="false">INDEX(Risk_Matrix!$B$2:$D$4,MATCH(E1325,Risk_Matrix!$A$2:$A$4,0),MATCH(F1325,Risk_Matrix!$B$1:$D$1,0))</f>
        <v>Low</v>
      </c>
      <c r="H1325" s="12" t="n">
        <v>46114</v>
      </c>
      <c r="I1325" s="5" t="s">
        <v>2264</v>
      </c>
      <c r="J1325" s="5" t="s">
        <v>2265</v>
      </c>
      <c r="K1325" s="5" t="s">
        <v>2283</v>
      </c>
      <c r="L1325" s="5" t="n">
        <f aca="false">IF(G1325="High",3,IF(G1325="Medium",2,1))</f>
        <v>1</v>
      </c>
    </row>
    <row r="1326" customFormat="false" ht="15" hidden="false" customHeight="true" outlineLevel="0" collapsed="false">
      <c r="A1326" s="5" t="s">
        <v>3602</v>
      </c>
      <c r="B1326" s="5" t="s">
        <v>1406</v>
      </c>
      <c r="C1326" s="5" t="s">
        <v>2259</v>
      </c>
      <c r="D1326" s="5" t="s">
        <v>2285</v>
      </c>
      <c r="E1326" s="5" t="s">
        <v>2225</v>
      </c>
      <c r="F1326" s="5" t="s">
        <v>59</v>
      </c>
      <c r="G1326" s="5" t="str">
        <f aca="false">INDEX(Risk_Matrix!$B$2:$D$4,MATCH(E1326,Risk_Matrix!$A$2:$A$4,0),MATCH(F1326,Risk_Matrix!$B$1:$D$1,0))</f>
        <v>Low</v>
      </c>
      <c r="H1326" s="12" t="n">
        <v>46068</v>
      </c>
      <c r="I1326" s="5" t="s">
        <v>2250</v>
      </c>
      <c r="J1326" s="5" t="s">
        <v>2251</v>
      </c>
      <c r="K1326" s="5" t="s">
        <v>2243</v>
      </c>
      <c r="L1326" s="5" t="n">
        <f aca="false">IF(G1326="High",3,IF(G1326="Medium",2,1))</f>
        <v>1</v>
      </c>
    </row>
    <row r="1327" customFormat="false" ht="15" hidden="false" customHeight="true" outlineLevel="0" collapsed="false">
      <c r="A1327" s="5" t="s">
        <v>3603</v>
      </c>
      <c r="B1327" s="5" t="s">
        <v>1406</v>
      </c>
      <c r="C1327" s="5" t="s">
        <v>2262</v>
      </c>
      <c r="D1327" s="5" t="s">
        <v>2287</v>
      </c>
      <c r="E1327" s="5" t="s">
        <v>2225</v>
      </c>
      <c r="F1327" s="5" t="s">
        <v>2225</v>
      </c>
      <c r="G1327" s="5" t="str">
        <f aca="false">INDEX(Risk_Matrix!$B$2:$D$4,MATCH(E1327,Risk_Matrix!$A$2:$A$4,0),MATCH(F1327,Risk_Matrix!$B$1:$D$1,0))</f>
        <v>Medium</v>
      </c>
      <c r="H1327" s="12" t="n">
        <v>46213</v>
      </c>
      <c r="I1327" s="5" t="s">
        <v>2264</v>
      </c>
      <c r="J1327" s="5" t="s">
        <v>2265</v>
      </c>
      <c r="K1327" s="5" t="s">
        <v>2283</v>
      </c>
      <c r="L1327" s="5" t="n">
        <f aca="false">IF(G1327="High",3,IF(G1327="Medium",2,1))</f>
        <v>2</v>
      </c>
    </row>
    <row r="1328" customFormat="false" ht="15" hidden="false" customHeight="true" outlineLevel="0" collapsed="false">
      <c r="A1328" s="5" t="s">
        <v>3604</v>
      </c>
      <c r="B1328" s="5" t="s">
        <v>1408</v>
      </c>
      <c r="C1328" s="5" t="s">
        <v>2239</v>
      </c>
      <c r="D1328" s="5" t="s">
        <v>2240</v>
      </c>
      <c r="E1328" s="5" t="s">
        <v>59</v>
      </c>
      <c r="F1328" s="5" t="s">
        <v>2225</v>
      </c>
      <c r="G1328" s="5" t="str">
        <f aca="false">INDEX(Risk_Matrix!$B$2:$D$4,MATCH(E1328,Risk_Matrix!$A$2:$A$4,0),MATCH(F1328,Risk_Matrix!$B$1:$D$1,0))</f>
        <v>Low</v>
      </c>
      <c r="H1328" s="12" t="n">
        <v>46066</v>
      </c>
      <c r="I1328" s="5" t="s">
        <v>2256</v>
      </c>
      <c r="J1328" s="5" t="s">
        <v>2257</v>
      </c>
      <c r="K1328" s="5" t="s">
        <v>2283</v>
      </c>
      <c r="L1328" s="5" t="n">
        <f aca="false">IF(G1328="High",3,IF(G1328="Medium",2,1))</f>
        <v>1</v>
      </c>
    </row>
    <row r="1329" customFormat="false" ht="15" hidden="false" customHeight="true" outlineLevel="0" collapsed="false">
      <c r="A1329" s="5" t="s">
        <v>3605</v>
      </c>
      <c r="B1329" s="5" t="s">
        <v>1408</v>
      </c>
      <c r="C1329" s="5" t="s">
        <v>2245</v>
      </c>
      <c r="D1329" s="5" t="s">
        <v>2280</v>
      </c>
      <c r="E1329" s="5" t="s">
        <v>2225</v>
      </c>
      <c r="F1329" s="5" t="s">
        <v>2225</v>
      </c>
      <c r="G1329" s="5" t="str">
        <f aca="false">INDEX(Risk_Matrix!$B$2:$D$4,MATCH(E1329,Risk_Matrix!$A$2:$A$4,0),MATCH(F1329,Risk_Matrix!$B$1:$D$1,0))</f>
        <v>Medium</v>
      </c>
      <c r="H1329" s="12" t="n">
        <v>46073</v>
      </c>
      <c r="I1329" s="5" t="s">
        <v>2256</v>
      </c>
      <c r="J1329" s="5" t="s">
        <v>2257</v>
      </c>
      <c r="K1329" s="5" t="s">
        <v>2243</v>
      </c>
      <c r="L1329" s="5" t="n">
        <f aca="false">IF(G1329="High",3,IF(G1329="Medium",2,1))</f>
        <v>2</v>
      </c>
    </row>
    <row r="1330" customFormat="false" ht="15" hidden="false" customHeight="true" outlineLevel="0" collapsed="false">
      <c r="A1330" s="5" t="s">
        <v>3606</v>
      </c>
      <c r="B1330" s="5" t="s">
        <v>1408</v>
      </c>
      <c r="C1330" s="5" t="s">
        <v>2248</v>
      </c>
      <c r="D1330" s="5" t="s">
        <v>2271</v>
      </c>
      <c r="E1330" s="5" t="s">
        <v>2225</v>
      </c>
      <c r="F1330" s="5" t="s">
        <v>2225</v>
      </c>
      <c r="G1330" s="5" t="str">
        <f aca="false">INDEX(Risk_Matrix!$B$2:$D$4,MATCH(E1330,Risk_Matrix!$A$2:$A$4,0),MATCH(F1330,Risk_Matrix!$B$1:$D$1,0))</f>
        <v>Medium</v>
      </c>
      <c r="H1330" s="12" t="n">
        <v>46078</v>
      </c>
      <c r="I1330" s="5" t="s">
        <v>2264</v>
      </c>
      <c r="J1330" s="5" t="s">
        <v>2265</v>
      </c>
      <c r="K1330" s="5" t="s">
        <v>2243</v>
      </c>
      <c r="L1330" s="5" t="n">
        <f aca="false">IF(G1330="High",3,IF(G1330="Medium",2,1))</f>
        <v>2</v>
      </c>
    </row>
    <row r="1331" customFormat="false" ht="15" hidden="false" customHeight="true" outlineLevel="0" collapsed="false">
      <c r="A1331" s="5" t="s">
        <v>3607</v>
      </c>
      <c r="B1331" s="5" t="s">
        <v>1408</v>
      </c>
      <c r="C1331" s="5" t="s">
        <v>2254</v>
      </c>
      <c r="D1331" s="5" t="s">
        <v>2299</v>
      </c>
      <c r="E1331" s="5" t="s">
        <v>54</v>
      </c>
      <c r="F1331" s="5" t="s">
        <v>59</v>
      </c>
      <c r="G1331" s="5" t="str">
        <f aca="false">INDEX(Risk_Matrix!$B$2:$D$4,MATCH(E1331,Risk_Matrix!$A$2:$A$4,0),MATCH(F1331,Risk_Matrix!$B$1:$D$1,0))</f>
        <v>Medium</v>
      </c>
      <c r="H1331" s="12" t="n">
        <v>46077</v>
      </c>
      <c r="I1331" s="5" t="s">
        <v>2256</v>
      </c>
      <c r="J1331" s="5" t="s">
        <v>2257</v>
      </c>
      <c r="K1331" s="5" t="s">
        <v>2252</v>
      </c>
      <c r="L1331" s="5" t="n">
        <f aca="false">IF(G1331="High",3,IF(G1331="Medium",2,1))</f>
        <v>2</v>
      </c>
    </row>
    <row r="1332" customFormat="false" ht="15" hidden="false" customHeight="true" outlineLevel="0" collapsed="false">
      <c r="A1332" s="5" t="s">
        <v>3608</v>
      </c>
      <c r="B1332" s="5" t="s">
        <v>1408</v>
      </c>
      <c r="C1332" s="5" t="s">
        <v>2259</v>
      </c>
      <c r="D1332" s="5" t="s">
        <v>2260</v>
      </c>
      <c r="E1332" s="5" t="s">
        <v>59</v>
      </c>
      <c r="F1332" s="5" t="s">
        <v>59</v>
      </c>
      <c r="G1332" s="5" t="str">
        <f aca="false">INDEX(Risk_Matrix!$B$2:$D$4,MATCH(E1332,Risk_Matrix!$A$2:$A$4,0),MATCH(F1332,Risk_Matrix!$B$1:$D$1,0))</f>
        <v>Low</v>
      </c>
      <c r="H1332" s="12" t="n">
        <v>46122</v>
      </c>
      <c r="I1332" s="5" t="s">
        <v>2256</v>
      </c>
      <c r="J1332" s="5" t="s">
        <v>2257</v>
      </c>
      <c r="K1332" s="5" t="s">
        <v>2252</v>
      </c>
      <c r="L1332" s="5" t="n">
        <f aca="false">IF(G1332="High",3,IF(G1332="Medium",2,1))</f>
        <v>1</v>
      </c>
    </row>
    <row r="1333" customFormat="false" ht="15" hidden="false" customHeight="true" outlineLevel="0" collapsed="false">
      <c r="A1333" s="5" t="s">
        <v>3609</v>
      </c>
      <c r="B1333" s="5" t="s">
        <v>1408</v>
      </c>
      <c r="C1333" s="5" t="s">
        <v>2262</v>
      </c>
      <c r="D1333" s="5" t="s">
        <v>2311</v>
      </c>
      <c r="E1333" s="5" t="s">
        <v>2225</v>
      </c>
      <c r="F1333" s="5" t="s">
        <v>59</v>
      </c>
      <c r="G1333" s="5" t="str">
        <f aca="false">INDEX(Risk_Matrix!$B$2:$D$4,MATCH(E1333,Risk_Matrix!$A$2:$A$4,0),MATCH(F1333,Risk_Matrix!$B$1:$D$1,0))</f>
        <v>Low</v>
      </c>
      <c r="H1333" s="12" t="n">
        <v>46175</v>
      </c>
      <c r="I1333" s="5" t="s">
        <v>2241</v>
      </c>
      <c r="J1333" s="5" t="s">
        <v>2242</v>
      </c>
      <c r="K1333" s="5" t="s">
        <v>2252</v>
      </c>
      <c r="L1333" s="5" t="n">
        <f aca="false">IF(G1333="High",3,IF(G1333="Medium",2,1))</f>
        <v>1</v>
      </c>
    </row>
    <row r="1334" customFormat="false" ht="15" hidden="false" customHeight="true" outlineLevel="0" collapsed="false">
      <c r="A1334" s="5" t="s">
        <v>3610</v>
      </c>
      <c r="B1334" s="5" t="s">
        <v>1410</v>
      </c>
      <c r="C1334" s="5" t="s">
        <v>2239</v>
      </c>
      <c r="D1334" s="5" t="s">
        <v>2295</v>
      </c>
      <c r="E1334" s="5" t="s">
        <v>2225</v>
      </c>
      <c r="F1334" s="5" t="s">
        <v>59</v>
      </c>
      <c r="G1334" s="5" t="str">
        <f aca="false">INDEX(Risk_Matrix!$B$2:$D$4,MATCH(E1334,Risk_Matrix!$A$2:$A$4,0),MATCH(F1334,Risk_Matrix!$B$1:$D$1,0))</f>
        <v>Low</v>
      </c>
      <c r="H1334" s="12" t="n">
        <v>46076</v>
      </c>
      <c r="I1334" s="5" t="s">
        <v>2250</v>
      </c>
      <c r="J1334" s="5" t="s">
        <v>2251</v>
      </c>
      <c r="K1334" s="5" t="s">
        <v>2252</v>
      </c>
      <c r="L1334" s="5" t="n">
        <f aca="false">IF(G1334="High",3,IF(G1334="Medium",2,1))</f>
        <v>1</v>
      </c>
    </row>
    <row r="1335" customFormat="false" ht="15" hidden="false" customHeight="true" outlineLevel="0" collapsed="false">
      <c r="A1335" s="5" t="s">
        <v>3611</v>
      </c>
      <c r="B1335" s="5" t="s">
        <v>1410</v>
      </c>
      <c r="C1335" s="5" t="s">
        <v>2245</v>
      </c>
      <c r="D1335" s="5" t="s">
        <v>2320</v>
      </c>
      <c r="E1335" s="5" t="s">
        <v>59</v>
      </c>
      <c r="F1335" s="5" t="s">
        <v>2225</v>
      </c>
      <c r="G1335" s="5" t="str">
        <f aca="false">INDEX(Risk_Matrix!$B$2:$D$4,MATCH(E1335,Risk_Matrix!$A$2:$A$4,0),MATCH(F1335,Risk_Matrix!$B$1:$D$1,0))</f>
        <v>Low</v>
      </c>
      <c r="H1335" s="12" t="n">
        <v>46156</v>
      </c>
      <c r="I1335" s="5" t="s">
        <v>2250</v>
      </c>
      <c r="J1335" s="5" t="s">
        <v>2251</v>
      </c>
      <c r="K1335" s="5" t="s">
        <v>2243</v>
      </c>
      <c r="L1335" s="5" t="n">
        <f aca="false">IF(G1335="High",3,IF(G1335="Medium",2,1))</f>
        <v>1</v>
      </c>
    </row>
    <row r="1336" customFormat="false" ht="15" hidden="false" customHeight="true" outlineLevel="0" collapsed="false">
      <c r="A1336" s="5" t="s">
        <v>3612</v>
      </c>
      <c r="B1336" s="5" t="s">
        <v>1410</v>
      </c>
      <c r="C1336" s="5" t="s">
        <v>2248</v>
      </c>
      <c r="D1336" s="5" t="s">
        <v>2249</v>
      </c>
      <c r="E1336" s="5" t="s">
        <v>2225</v>
      </c>
      <c r="F1336" s="5" t="s">
        <v>59</v>
      </c>
      <c r="G1336" s="5" t="str">
        <f aca="false">INDEX(Risk_Matrix!$B$2:$D$4,MATCH(E1336,Risk_Matrix!$A$2:$A$4,0),MATCH(F1336,Risk_Matrix!$B$1:$D$1,0))</f>
        <v>Low</v>
      </c>
      <c r="H1336" s="12" t="n">
        <v>46216</v>
      </c>
      <c r="I1336" s="5" t="s">
        <v>2250</v>
      </c>
      <c r="J1336" s="5" t="s">
        <v>2251</v>
      </c>
      <c r="K1336" s="5" t="s">
        <v>2252</v>
      </c>
      <c r="L1336" s="5" t="n">
        <f aca="false">IF(G1336="High",3,IF(G1336="Medium",2,1))</f>
        <v>1</v>
      </c>
    </row>
    <row r="1337" customFormat="false" ht="15" hidden="false" customHeight="true" outlineLevel="0" collapsed="false">
      <c r="A1337" s="5" t="s">
        <v>3613</v>
      </c>
      <c r="B1337" s="5" t="s">
        <v>1410</v>
      </c>
      <c r="C1337" s="5" t="s">
        <v>2254</v>
      </c>
      <c r="D1337" s="5" t="s">
        <v>2308</v>
      </c>
      <c r="E1337" s="5" t="s">
        <v>2225</v>
      </c>
      <c r="F1337" s="5" t="s">
        <v>2225</v>
      </c>
      <c r="G1337" s="5" t="str">
        <f aca="false">INDEX(Risk_Matrix!$B$2:$D$4,MATCH(E1337,Risk_Matrix!$A$2:$A$4,0),MATCH(F1337,Risk_Matrix!$B$1:$D$1,0))</f>
        <v>Medium</v>
      </c>
      <c r="H1337" s="12" t="n">
        <v>46180</v>
      </c>
      <c r="I1337" s="5" t="s">
        <v>2264</v>
      </c>
      <c r="J1337" s="5" t="s">
        <v>2265</v>
      </c>
      <c r="K1337" s="5" t="s">
        <v>2252</v>
      </c>
      <c r="L1337" s="5" t="n">
        <f aca="false">IF(G1337="High",3,IF(G1337="Medium",2,1))</f>
        <v>2</v>
      </c>
    </row>
    <row r="1338" customFormat="false" ht="15" hidden="false" customHeight="true" outlineLevel="0" collapsed="false">
      <c r="A1338" s="5" t="s">
        <v>3614</v>
      </c>
      <c r="B1338" s="5" t="s">
        <v>1410</v>
      </c>
      <c r="C1338" s="5" t="s">
        <v>2259</v>
      </c>
      <c r="D1338" s="5" t="s">
        <v>2274</v>
      </c>
      <c r="E1338" s="5" t="s">
        <v>59</v>
      </c>
      <c r="F1338" s="5" t="s">
        <v>2225</v>
      </c>
      <c r="G1338" s="5" t="str">
        <f aca="false">INDEX(Risk_Matrix!$B$2:$D$4,MATCH(E1338,Risk_Matrix!$A$2:$A$4,0),MATCH(F1338,Risk_Matrix!$B$1:$D$1,0))</f>
        <v>Low</v>
      </c>
      <c r="H1338" s="12" t="n">
        <v>46158</v>
      </c>
      <c r="I1338" s="5" t="s">
        <v>2250</v>
      </c>
      <c r="J1338" s="5" t="s">
        <v>2251</v>
      </c>
      <c r="K1338" s="5" t="s">
        <v>2283</v>
      </c>
      <c r="L1338" s="5" t="n">
        <f aca="false">IF(G1338="High",3,IF(G1338="Medium",2,1))</f>
        <v>1</v>
      </c>
    </row>
    <row r="1339" customFormat="false" ht="15" hidden="false" customHeight="true" outlineLevel="0" collapsed="false">
      <c r="A1339" s="5" t="s">
        <v>3615</v>
      </c>
      <c r="B1339" s="5" t="s">
        <v>1410</v>
      </c>
      <c r="C1339" s="5" t="s">
        <v>2262</v>
      </c>
      <c r="D1339" s="5" t="s">
        <v>2311</v>
      </c>
      <c r="E1339" s="5" t="s">
        <v>2225</v>
      </c>
      <c r="F1339" s="5" t="s">
        <v>2225</v>
      </c>
      <c r="G1339" s="5" t="str">
        <f aca="false">INDEX(Risk_Matrix!$B$2:$D$4,MATCH(E1339,Risk_Matrix!$A$2:$A$4,0),MATCH(F1339,Risk_Matrix!$B$1:$D$1,0))</f>
        <v>Medium</v>
      </c>
      <c r="H1339" s="12" t="n">
        <v>46114</v>
      </c>
      <c r="I1339" s="5" t="s">
        <v>2256</v>
      </c>
      <c r="J1339" s="5" t="s">
        <v>2257</v>
      </c>
      <c r="K1339" s="5" t="s">
        <v>2252</v>
      </c>
      <c r="L1339" s="5" t="n">
        <f aca="false">IF(G1339="High",3,IF(G1339="Medium",2,1))</f>
        <v>2</v>
      </c>
    </row>
    <row r="1340" customFormat="false" ht="15" hidden="false" customHeight="true" outlineLevel="0" collapsed="false">
      <c r="A1340" s="5" t="s">
        <v>3616</v>
      </c>
      <c r="B1340" s="5" t="s">
        <v>1412</v>
      </c>
      <c r="C1340" s="5" t="s">
        <v>2239</v>
      </c>
      <c r="D1340" s="5" t="s">
        <v>2278</v>
      </c>
      <c r="E1340" s="5" t="s">
        <v>2225</v>
      </c>
      <c r="F1340" s="5" t="s">
        <v>54</v>
      </c>
      <c r="G1340" s="5" t="str">
        <f aca="false">INDEX(Risk_Matrix!$B$2:$D$4,MATCH(E1340,Risk_Matrix!$A$2:$A$4,0),MATCH(F1340,Risk_Matrix!$B$1:$D$1,0))</f>
        <v>High</v>
      </c>
      <c r="H1340" s="12" t="n">
        <v>46195</v>
      </c>
      <c r="I1340" s="5" t="s">
        <v>2264</v>
      </c>
      <c r="J1340" s="5" t="s">
        <v>2265</v>
      </c>
      <c r="K1340" s="5" t="s">
        <v>2252</v>
      </c>
      <c r="L1340" s="5" t="n">
        <f aca="false">IF(G1340="High",3,IF(G1340="Medium",2,1))</f>
        <v>3</v>
      </c>
    </row>
    <row r="1341" customFormat="false" ht="15" hidden="false" customHeight="true" outlineLevel="0" collapsed="false">
      <c r="A1341" s="5" t="s">
        <v>3617</v>
      </c>
      <c r="B1341" s="5" t="s">
        <v>1412</v>
      </c>
      <c r="C1341" s="5" t="s">
        <v>2245</v>
      </c>
      <c r="D1341" s="5" t="s">
        <v>2246</v>
      </c>
      <c r="E1341" s="5" t="s">
        <v>59</v>
      </c>
      <c r="F1341" s="5" t="s">
        <v>2225</v>
      </c>
      <c r="G1341" s="5" t="str">
        <f aca="false">INDEX(Risk_Matrix!$B$2:$D$4,MATCH(E1341,Risk_Matrix!$A$2:$A$4,0),MATCH(F1341,Risk_Matrix!$B$1:$D$1,0))</f>
        <v>Low</v>
      </c>
      <c r="H1341" s="12" t="n">
        <v>46059</v>
      </c>
      <c r="I1341" s="5" t="s">
        <v>2264</v>
      </c>
      <c r="J1341" s="5" t="s">
        <v>2265</v>
      </c>
      <c r="K1341" s="5" t="s">
        <v>2283</v>
      </c>
      <c r="L1341" s="5" t="n">
        <f aca="false">IF(G1341="High",3,IF(G1341="Medium",2,1))</f>
        <v>1</v>
      </c>
    </row>
    <row r="1342" customFormat="false" ht="15" hidden="false" customHeight="true" outlineLevel="0" collapsed="false">
      <c r="A1342" s="5" t="s">
        <v>3618</v>
      </c>
      <c r="B1342" s="5" t="s">
        <v>1412</v>
      </c>
      <c r="C1342" s="5" t="s">
        <v>2248</v>
      </c>
      <c r="D1342" s="5" t="s">
        <v>2249</v>
      </c>
      <c r="E1342" s="5" t="s">
        <v>2225</v>
      </c>
      <c r="F1342" s="5" t="s">
        <v>2225</v>
      </c>
      <c r="G1342" s="5" t="str">
        <f aca="false">INDEX(Risk_Matrix!$B$2:$D$4,MATCH(E1342,Risk_Matrix!$A$2:$A$4,0),MATCH(F1342,Risk_Matrix!$B$1:$D$1,0))</f>
        <v>Medium</v>
      </c>
      <c r="H1342" s="12" t="n">
        <v>46060</v>
      </c>
      <c r="I1342" s="5" t="s">
        <v>2256</v>
      </c>
      <c r="J1342" s="5" t="s">
        <v>2257</v>
      </c>
      <c r="K1342" s="5" t="s">
        <v>2276</v>
      </c>
      <c r="L1342" s="5" t="n">
        <f aca="false">IF(G1342="High",3,IF(G1342="Medium",2,1))</f>
        <v>2</v>
      </c>
    </row>
    <row r="1343" customFormat="false" ht="15" hidden="false" customHeight="true" outlineLevel="0" collapsed="false">
      <c r="A1343" s="5" t="s">
        <v>3619</v>
      </c>
      <c r="B1343" s="5" t="s">
        <v>1412</v>
      </c>
      <c r="C1343" s="5" t="s">
        <v>2254</v>
      </c>
      <c r="D1343" s="5" t="s">
        <v>2255</v>
      </c>
      <c r="E1343" s="5" t="s">
        <v>59</v>
      </c>
      <c r="F1343" s="5" t="s">
        <v>2225</v>
      </c>
      <c r="G1343" s="5" t="str">
        <f aca="false">INDEX(Risk_Matrix!$B$2:$D$4,MATCH(E1343,Risk_Matrix!$A$2:$A$4,0),MATCH(F1343,Risk_Matrix!$B$1:$D$1,0))</f>
        <v>Low</v>
      </c>
      <c r="H1343" s="12" t="n">
        <v>46069</v>
      </c>
      <c r="I1343" s="5" t="s">
        <v>2264</v>
      </c>
      <c r="J1343" s="5" t="s">
        <v>2265</v>
      </c>
      <c r="K1343" s="5" t="s">
        <v>2243</v>
      </c>
      <c r="L1343" s="5" t="n">
        <f aca="false">IF(G1343="High",3,IF(G1343="Medium",2,1))</f>
        <v>1</v>
      </c>
    </row>
    <row r="1344" customFormat="false" ht="15" hidden="false" customHeight="true" outlineLevel="0" collapsed="false">
      <c r="A1344" s="5" t="s">
        <v>3620</v>
      </c>
      <c r="B1344" s="5" t="s">
        <v>1412</v>
      </c>
      <c r="C1344" s="5" t="s">
        <v>2259</v>
      </c>
      <c r="D1344" s="5" t="s">
        <v>2274</v>
      </c>
      <c r="E1344" s="5" t="s">
        <v>59</v>
      </c>
      <c r="F1344" s="5" t="s">
        <v>59</v>
      </c>
      <c r="G1344" s="5" t="str">
        <f aca="false">INDEX(Risk_Matrix!$B$2:$D$4,MATCH(E1344,Risk_Matrix!$A$2:$A$4,0),MATCH(F1344,Risk_Matrix!$B$1:$D$1,0))</f>
        <v>Low</v>
      </c>
      <c r="H1344" s="12" t="n">
        <v>46204</v>
      </c>
      <c r="I1344" s="5" t="s">
        <v>2256</v>
      </c>
      <c r="J1344" s="5" t="s">
        <v>2257</v>
      </c>
      <c r="K1344" s="5" t="s">
        <v>2243</v>
      </c>
      <c r="L1344" s="5" t="n">
        <f aca="false">IF(G1344="High",3,IF(G1344="Medium",2,1))</f>
        <v>1</v>
      </c>
    </row>
    <row r="1345" customFormat="false" ht="15" hidden="false" customHeight="true" outlineLevel="0" collapsed="false">
      <c r="A1345" s="5" t="s">
        <v>3621</v>
      </c>
      <c r="B1345" s="5" t="s">
        <v>1412</v>
      </c>
      <c r="C1345" s="5" t="s">
        <v>2262</v>
      </c>
      <c r="D1345" s="5" t="s">
        <v>2287</v>
      </c>
      <c r="E1345" s="5" t="s">
        <v>2225</v>
      </c>
      <c r="F1345" s="5" t="s">
        <v>2225</v>
      </c>
      <c r="G1345" s="5" t="str">
        <f aca="false">INDEX(Risk_Matrix!$B$2:$D$4,MATCH(E1345,Risk_Matrix!$A$2:$A$4,0),MATCH(F1345,Risk_Matrix!$B$1:$D$1,0))</f>
        <v>Medium</v>
      </c>
      <c r="H1345" s="12" t="n">
        <v>46163</v>
      </c>
      <c r="I1345" s="5" t="s">
        <v>2264</v>
      </c>
      <c r="J1345" s="5" t="s">
        <v>2265</v>
      </c>
      <c r="K1345" s="5" t="s">
        <v>2283</v>
      </c>
      <c r="L1345" s="5" t="n">
        <f aca="false">IF(G1345="High",3,IF(G1345="Medium",2,1))</f>
        <v>2</v>
      </c>
    </row>
    <row r="1346" customFormat="false" ht="15" hidden="false" customHeight="true" outlineLevel="0" collapsed="false">
      <c r="A1346" s="5" t="s">
        <v>3622</v>
      </c>
      <c r="B1346" s="5" t="s">
        <v>1415</v>
      </c>
      <c r="C1346" s="5" t="s">
        <v>2239</v>
      </c>
      <c r="D1346" s="5" t="s">
        <v>2240</v>
      </c>
      <c r="E1346" s="5" t="s">
        <v>59</v>
      </c>
      <c r="F1346" s="5" t="s">
        <v>59</v>
      </c>
      <c r="G1346" s="5" t="str">
        <f aca="false">INDEX(Risk_Matrix!$B$2:$D$4,MATCH(E1346,Risk_Matrix!$A$2:$A$4,0),MATCH(F1346,Risk_Matrix!$B$1:$D$1,0))</f>
        <v>Low</v>
      </c>
      <c r="H1346" s="12" t="n">
        <v>46176</v>
      </c>
      <c r="I1346" s="5" t="s">
        <v>2264</v>
      </c>
      <c r="J1346" s="5" t="s">
        <v>2265</v>
      </c>
      <c r="K1346" s="5" t="s">
        <v>2283</v>
      </c>
      <c r="L1346" s="5" t="n">
        <f aca="false">IF(G1346="High",3,IF(G1346="Medium",2,1))</f>
        <v>1</v>
      </c>
    </row>
    <row r="1347" customFormat="false" ht="15" hidden="false" customHeight="true" outlineLevel="0" collapsed="false">
      <c r="A1347" s="5" t="s">
        <v>3623</v>
      </c>
      <c r="B1347" s="5" t="s">
        <v>1415</v>
      </c>
      <c r="C1347" s="5" t="s">
        <v>2245</v>
      </c>
      <c r="D1347" s="5" t="s">
        <v>2320</v>
      </c>
      <c r="E1347" s="5" t="s">
        <v>2225</v>
      </c>
      <c r="F1347" s="5" t="s">
        <v>59</v>
      </c>
      <c r="G1347" s="5" t="str">
        <f aca="false">INDEX(Risk_Matrix!$B$2:$D$4,MATCH(E1347,Risk_Matrix!$A$2:$A$4,0),MATCH(F1347,Risk_Matrix!$B$1:$D$1,0))</f>
        <v>Low</v>
      </c>
      <c r="H1347" s="12" t="n">
        <v>46061</v>
      </c>
      <c r="I1347" s="5" t="s">
        <v>2250</v>
      </c>
      <c r="J1347" s="5" t="s">
        <v>2251</v>
      </c>
      <c r="K1347" s="5" t="s">
        <v>2266</v>
      </c>
      <c r="L1347" s="5" t="n">
        <f aca="false">IF(G1347="High",3,IF(G1347="Medium",2,1))</f>
        <v>1</v>
      </c>
    </row>
    <row r="1348" customFormat="false" ht="15" hidden="false" customHeight="true" outlineLevel="0" collapsed="false">
      <c r="A1348" s="5" t="s">
        <v>3624</v>
      </c>
      <c r="B1348" s="5" t="s">
        <v>1415</v>
      </c>
      <c r="C1348" s="5" t="s">
        <v>2248</v>
      </c>
      <c r="D1348" s="5" t="s">
        <v>2322</v>
      </c>
      <c r="E1348" s="5" t="s">
        <v>54</v>
      </c>
      <c r="F1348" s="5" t="s">
        <v>59</v>
      </c>
      <c r="G1348" s="5" t="str">
        <f aca="false">INDEX(Risk_Matrix!$B$2:$D$4,MATCH(E1348,Risk_Matrix!$A$2:$A$4,0),MATCH(F1348,Risk_Matrix!$B$1:$D$1,0))</f>
        <v>Medium</v>
      </c>
      <c r="H1348" s="12" t="n">
        <v>46201</v>
      </c>
      <c r="I1348" s="5" t="s">
        <v>2264</v>
      </c>
      <c r="J1348" s="5" t="s">
        <v>2265</v>
      </c>
      <c r="K1348" s="5" t="s">
        <v>2276</v>
      </c>
      <c r="L1348" s="5" t="n">
        <f aca="false">IF(G1348="High",3,IF(G1348="Medium",2,1))</f>
        <v>2</v>
      </c>
    </row>
    <row r="1349" customFormat="false" ht="15" hidden="false" customHeight="true" outlineLevel="0" collapsed="false">
      <c r="A1349" s="5" t="s">
        <v>3625</v>
      </c>
      <c r="B1349" s="5" t="s">
        <v>1415</v>
      </c>
      <c r="C1349" s="5" t="s">
        <v>2254</v>
      </c>
      <c r="D1349" s="5" t="s">
        <v>2308</v>
      </c>
      <c r="E1349" s="5" t="s">
        <v>59</v>
      </c>
      <c r="F1349" s="5" t="s">
        <v>59</v>
      </c>
      <c r="G1349" s="5" t="str">
        <f aca="false">INDEX(Risk_Matrix!$B$2:$D$4,MATCH(E1349,Risk_Matrix!$A$2:$A$4,0),MATCH(F1349,Risk_Matrix!$B$1:$D$1,0))</f>
        <v>Low</v>
      </c>
      <c r="H1349" s="12" t="n">
        <v>46126</v>
      </c>
      <c r="I1349" s="5" t="s">
        <v>2250</v>
      </c>
      <c r="J1349" s="5" t="s">
        <v>2251</v>
      </c>
      <c r="K1349" s="5" t="s">
        <v>2243</v>
      </c>
      <c r="L1349" s="5" t="n">
        <f aca="false">IF(G1349="High",3,IF(G1349="Medium",2,1))</f>
        <v>1</v>
      </c>
    </row>
    <row r="1350" customFormat="false" ht="15" hidden="false" customHeight="true" outlineLevel="0" collapsed="false">
      <c r="A1350" s="5" t="s">
        <v>3626</v>
      </c>
      <c r="B1350" s="5" t="s">
        <v>1415</v>
      </c>
      <c r="C1350" s="5" t="s">
        <v>2259</v>
      </c>
      <c r="D1350" s="5" t="s">
        <v>2285</v>
      </c>
      <c r="E1350" s="5" t="s">
        <v>2225</v>
      </c>
      <c r="F1350" s="5" t="s">
        <v>2225</v>
      </c>
      <c r="G1350" s="5" t="str">
        <f aca="false">INDEX(Risk_Matrix!$B$2:$D$4,MATCH(E1350,Risk_Matrix!$A$2:$A$4,0),MATCH(F1350,Risk_Matrix!$B$1:$D$1,0))</f>
        <v>Medium</v>
      </c>
      <c r="H1350" s="12" t="n">
        <v>46106</v>
      </c>
      <c r="I1350" s="5" t="s">
        <v>2250</v>
      </c>
      <c r="J1350" s="5" t="s">
        <v>2251</v>
      </c>
      <c r="K1350" s="5" t="s">
        <v>2283</v>
      </c>
      <c r="L1350" s="5" t="n">
        <f aca="false">IF(G1350="High",3,IF(G1350="Medium",2,1))</f>
        <v>2</v>
      </c>
    </row>
    <row r="1351" customFormat="false" ht="15" hidden="false" customHeight="true" outlineLevel="0" collapsed="false">
      <c r="A1351" s="5" t="s">
        <v>3627</v>
      </c>
      <c r="B1351" s="5" t="s">
        <v>1415</v>
      </c>
      <c r="C1351" s="5" t="s">
        <v>2262</v>
      </c>
      <c r="D1351" s="5" t="s">
        <v>2311</v>
      </c>
      <c r="E1351" s="5" t="s">
        <v>2225</v>
      </c>
      <c r="F1351" s="5" t="s">
        <v>54</v>
      </c>
      <c r="G1351" s="5" t="str">
        <f aca="false">INDEX(Risk_Matrix!$B$2:$D$4,MATCH(E1351,Risk_Matrix!$A$2:$A$4,0),MATCH(F1351,Risk_Matrix!$B$1:$D$1,0))</f>
        <v>High</v>
      </c>
      <c r="H1351" s="12" t="n">
        <v>46172</v>
      </c>
      <c r="I1351" s="5" t="s">
        <v>2241</v>
      </c>
      <c r="J1351" s="5" t="s">
        <v>2242</v>
      </c>
      <c r="K1351" s="5" t="s">
        <v>2252</v>
      </c>
      <c r="L1351" s="5" t="n">
        <f aca="false">IF(G1351="High",3,IF(G1351="Medium",2,1))</f>
        <v>3</v>
      </c>
    </row>
    <row r="1352" customFormat="false" ht="15" hidden="false" customHeight="true" outlineLevel="0" collapsed="false">
      <c r="A1352" s="5" t="s">
        <v>3628</v>
      </c>
      <c r="B1352" s="5" t="s">
        <v>1418</v>
      </c>
      <c r="C1352" s="5" t="s">
        <v>2239</v>
      </c>
      <c r="D1352" s="5" t="s">
        <v>2278</v>
      </c>
      <c r="E1352" s="5" t="s">
        <v>59</v>
      </c>
      <c r="F1352" s="5" t="s">
        <v>59</v>
      </c>
      <c r="G1352" s="5" t="str">
        <f aca="false">INDEX(Risk_Matrix!$B$2:$D$4,MATCH(E1352,Risk_Matrix!$A$2:$A$4,0),MATCH(F1352,Risk_Matrix!$B$1:$D$1,0))</f>
        <v>Low</v>
      </c>
      <c r="H1352" s="12" t="n">
        <v>46178</v>
      </c>
      <c r="I1352" s="5" t="s">
        <v>2264</v>
      </c>
      <c r="J1352" s="5" t="s">
        <v>2265</v>
      </c>
      <c r="K1352" s="5" t="s">
        <v>2252</v>
      </c>
      <c r="L1352" s="5" t="n">
        <f aca="false">IF(G1352="High",3,IF(G1352="Medium",2,1))</f>
        <v>1</v>
      </c>
    </row>
    <row r="1353" customFormat="false" ht="15" hidden="false" customHeight="true" outlineLevel="0" collapsed="false">
      <c r="A1353" s="5" t="s">
        <v>3629</v>
      </c>
      <c r="B1353" s="5" t="s">
        <v>1418</v>
      </c>
      <c r="C1353" s="5" t="s">
        <v>2245</v>
      </c>
      <c r="D1353" s="5" t="s">
        <v>2269</v>
      </c>
      <c r="E1353" s="5" t="s">
        <v>59</v>
      </c>
      <c r="F1353" s="5" t="s">
        <v>2225</v>
      </c>
      <c r="G1353" s="5" t="str">
        <f aca="false">INDEX(Risk_Matrix!$B$2:$D$4,MATCH(E1353,Risk_Matrix!$A$2:$A$4,0),MATCH(F1353,Risk_Matrix!$B$1:$D$1,0))</f>
        <v>Low</v>
      </c>
      <c r="H1353" s="12" t="n">
        <v>46059</v>
      </c>
      <c r="I1353" s="5" t="s">
        <v>2256</v>
      </c>
      <c r="J1353" s="5" t="s">
        <v>2257</v>
      </c>
      <c r="K1353" s="5" t="s">
        <v>2266</v>
      </c>
      <c r="L1353" s="5" t="n">
        <f aca="false">IF(G1353="High",3,IF(G1353="Medium",2,1))</f>
        <v>1</v>
      </c>
    </row>
    <row r="1354" customFormat="false" ht="15" hidden="false" customHeight="true" outlineLevel="0" collapsed="false">
      <c r="A1354" s="5" t="s">
        <v>3630</v>
      </c>
      <c r="B1354" s="5" t="s">
        <v>1418</v>
      </c>
      <c r="C1354" s="5" t="s">
        <v>2248</v>
      </c>
      <c r="D1354" s="5" t="s">
        <v>2322</v>
      </c>
      <c r="E1354" s="5" t="s">
        <v>59</v>
      </c>
      <c r="F1354" s="5" t="s">
        <v>54</v>
      </c>
      <c r="G1354" s="5" t="str">
        <f aca="false">INDEX(Risk_Matrix!$B$2:$D$4,MATCH(E1354,Risk_Matrix!$A$2:$A$4,0),MATCH(F1354,Risk_Matrix!$B$1:$D$1,0))</f>
        <v>Medium</v>
      </c>
      <c r="H1354" s="12" t="n">
        <v>46117</v>
      </c>
      <c r="I1354" s="5" t="s">
        <v>2241</v>
      </c>
      <c r="J1354" s="5" t="s">
        <v>2242</v>
      </c>
      <c r="K1354" s="5" t="s">
        <v>2283</v>
      </c>
      <c r="L1354" s="5" t="n">
        <f aca="false">IF(G1354="High",3,IF(G1354="Medium",2,1))</f>
        <v>2</v>
      </c>
    </row>
    <row r="1355" customFormat="false" ht="15" hidden="false" customHeight="true" outlineLevel="0" collapsed="false">
      <c r="A1355" s="5" t="s">
        <v>3631</v>
      </c>
      <c r="B1355" s="5" t="s">
        <v>1418</v>
      </c>
      <c r="C1355" s="5" t="s">
        <v>2254</v>
      </c>
      <c r="D1355" s="5" t="s">
        <v>2308</v>
      </c>
      <c r="E1355" s="5" t="s">
        <v>59</v>
      </c>
      <c r="F1355" s="5" t="s">
        <v>2225</v>
      </c>
      <c r="G1355" s="5" t="str">
        <f aca="false">INDEX(Risk_Matrix!$B$2:$D$4,MATCH(E1355,Risk_Matrix!$A$2:$A$4,0),MATCH(F1355,Risk_Matrix!$B$1:$D$1,0))</f>
        <v>Low</v>
      </c>
      <c r="H1355" s="12" t="n">
        <v>46149</v>
      </c>
      <c r="I1355" s="5" t="s">
        <v>2256</v>
      </c>
      <c r="J1355" s="5" t="s">
        <v>2257</v>
      </c>
      <c r="K1355" s="5" t="s">
        <v>2283</v>
      </c>
      <c r="L1355" s="5" t="n">
        <f aca="false">IF(G1355="High",3,IF(G1355="Medium",2,1))</f>
        <v>1</v>
      </c>
    </row>
    <row r="1356" customFormat="false" ht="15" hidden="false" customHeight="true" outlineLevel="0" collapsed="false">
      <c r="A1356" s="5" t="s">
        <v>3632</v>
      </c>
      <c r="B1356" s="5" t="s">
        <v>1418</v>
      </c>
      <c r="C1356" s="5" t="s">
        <v>2259</v>
      </c>
      <c r="D1356" s="5" t="s">
        <v>2260</v>
      </c>
      <c r="E1356" s="5" t="s">
        <v>59</v>
      </c>
      <c r="F1356" s="5" t="s">
        <v>2225</v>
      </c>
      <c r="G1356" s="5" t="str">
        <f aca="false">INDEX(Risk_Matrix!$B$2:$D$4,MATCH(E1356,Risk_Matrix!$A$2:$A$4,0),MATCH(F1356,Risk_Matrix!$B$1:$D$1,0))</f>
        <v>Low</v>
      </c>
      <c r="H1356" s="12" t="n">
        <v>46080</v>
      </c>
      <c r="I1356" s="5" t="s">
        <v>2256</v>
      </c>
      <c r="J1356" s="5" t="s">
        <v>2257</v>
      </c>
      <c r="K1356" s="5" t="s">
        <v>2243</v>
      </c>
      <c r="L1356" s="5" t="n">
        <f aca="false">IF(G1356="High",3,IF(G1356="Medium",2,1))</f>
        <v>1</v>
      </c>
    </row>
    <row r="1357" customFormat="false" ht="15" hidden="false" customHeight="true" outlineLevel="0" collapsed="false">
      <c r="A1357" s="5" t="s">
        <v>3633</v>
      </c>
      <c r="B1357" s="5" t="s">
        <v>1418</v>
      </c>
      <c r="C1357" s="5" t="s">
        <v>2262</v>
      </c>
      <c r="D1357" s="5" t="s">
        <v>2311</v>
      </c>
      <c r="E1357" s="5" t="s">
        <v>2225</v>
      </c>
      <c r="F1357" s="5" t="s">
        <v>59</v>
      </c>
      <c r="G1357" s="5" t="str">
        <f aca="false">INDEX(Risk_Matrix!$B$2:$D$4,MATCH(E1357,Risk_Matrix!$A$2:$A$4,0),MATCH(F1357,Risk_Matrix!$B$1:$D$1,0))</f>
        <v>Low</v>
      </c>
      <c r="H1357" s="12" t="n">
        <v>46233</v>
      </c>
      <c r="I1357" s="5" t="s">
        <v>2241</v>
      </c>
      <c r="J1357" s="5" t="s">
        <v>2242</v>
      </c>
      <c r="K1357" s="5" t="s">
        <v>2283</v>
      </c>
      <c r="L1357" s="5" t="n">
        <f aca="false">IF(G1357="High",3,IF(G1357="Medium",2,1))</f>
        <v>1</v>
      </c>
    </row>
    <row r="1358" customFormat="false" ht="15" hidden="false" customHeight="true" outlineLevel="0" collapsed="false">
      <c r="A1358" s="5" t="s">
        <v>3634</v>
      </c>
      <c r="B1358" s="5" t="s">
        <v>1420</v>
      </c>
      <c r="C1358" s="5" t="s">
        <v>2239</v>
      </c>
      <c r="D1358" s="5" t="s">
        <v>2295</v>
      </c>
      <c r="E1358" s="5" t="s">
        <v>2225</v>
      </c>
      <c r="F1358" s="5" t="s">
        <v>59</v>
      </c>
      <c r="G1358" s="5" t="str">
        <f aca="false">INDEX(Risk_Matrix!$B$2:$D$4,MATCH(E1358,Risk_Matrix!$A$2:$A$4,0),MATCH(F1358,Risk_Matrix!$B$1:$D$1,0))</f>
        <v>Low</v>
      </c>
      <c r="H1358" s="12" t="n">
        <v>46201</v>
      </c>
      <c r="I1358" s="5" t="s">
        <v>2256</v>
      </c>
      <c r="J1358" s="5" t="s">
        <v>2257</v>
      </c>
      <c r="K1358" s="5" t="s">
        <v>2276</v>
      </c>
      <c r="L1358" s="5" t="n">
        <f aca="false">IF(G1358="High",3,IF(G1358="Medium",2,1))</f>
        <v>1</v>
      </c>
    </row>
    <row r="1359" customFormat="false" ht="15" hidden="false" customHeight="true" outlineLevel="0" collapsed="false">
      <c r="A1359" s="5" t="s">
        <v>3635</v>
      </c>
      <c r="B1359" s="5" t="s">
        <v>1420</v>
      </c>
      <c r="C1359" s="5" t="s">
        <v>2245</v>
      </c>
      <c r="D1359" s="5" t="s">
        <v>2269</v>
      </c>
      <c r="E1359" s="5" t="s">
        <v>59</v>
      </c>
      <c r="F1359" s="5" t="s">
        <v>2225</v>
      </c>
      <c r="G1359" s="5" t="str">
        <f aca="false">INDEX(Risk_Matrix!$B$2:$D$4,MATCH(E1359,Risk_Matrix!$A$2:$A$4,0),MATCH(F1359,Risk_Matrix!$B$1:$D$1,0))</f>
        <v>Low</v>
      </c>
      <c r="H1359" s="12" t="n">
        <v>46231</v>
      </c>
      <c r="I1359" s="5" t="s">
        <v>2250</v>
      </c>
      <c r="J1359" s="5" t="s">
        <v>2251</v>
      </c>
      <c r="K1359" s="5" t="s">
        <v>2283</v>
      </c>
      <c r="L1359" s="5" t="n">
        <f aca="false">IF(G1359="High",3,IF(G1359="Medium",2,1))</f>
        <v>1</v>
      </c>
    </row>
    <row r="1360" customFormat="false" ht="15" hidden="false" customHeight="true" outlineLevel="0" collapsed="false">
      <c r="A1360" s="5" t="s">
        <v>3636</v>
      </c>
      <c r="B1360" s="5" t="s">
        <v>1420</v>
      </c>
      <c r="C1360" s="5" t="s">
        <v>2248</v>
      </c>
      <c r="D1360" s="5" t="s">
        <v>2271</v>
      </c>
      <c r="E1360" s="5" t="s">
        <v>59</v>
      </c>
      <c r="F1360" s="5" t="s">
        <v>2225</v>
      </c>
      <c r="G1360" s="5" t="str">
        <f aca="false">INDEX(Risk_Matrix!$B$2:$D$4,MATCH(E1360,Risk_Matrix!$A$2:$A$4,0),MATCH(F1360,Risk_Matrix!$B$1:$D$1,0))</f>
        <v>Low</v>
      </c>
      <c r="H1360" s="12" t="n">
        <v>46137</v>
      </c>
      <c r="I1360" s="5" t="s">
        <v>2256</v>
      </c>
      <c r="J1360" s="5" t="s">
        <v>2257</v>
      </c>
      <c r="K1360" s="5" t="s">
        <v>2266</v>
      </c>
      <c r="L1360" s="5" t="n">
        <f aca="false">IF(G1360="High",3,IF(G1360="Medium",2,1))</f>
        <v>1</v>
      </c>
    </row>
    <row r="1361" customFormat="false" ht="15" hidden="false" customHeight="true" outlineLevel="0" collapsed="false">
      <c r="A1361" s="5" t="s">
        <v>3637</v>
      </c>
      <c r="B1361" s="5" t="s">
        <v>1420</v>
      </c>
      <c r="C1361" s="5" t="s">
        <v>2254</v>
      </c>
      <c r="D1361" s="5" t="s">
        <v>2299</v>
      </c>
      <c r="E1361" s="5" t="s">
        <v>59</v>
      </c>
      <c r="F1361" s="5" t="s">
        <v>2225</v>
      </c>
      <c r="G1361" s="5" t="str">
        <f aca="false">INDEX(Risk_Matrix!$B$2:$D$4,MATCH(E1361,Risk_Matrix!$A$2:$A$4,0),MATCH(F1361,Risk_Matrix!$B$1:$D$1,0))</f>
        <v>Low</v>
      </c>
      <c r="H1361" s="12" t="n">
        <v>46154</v>
      </c>
      <c r="I1361" s="5" t="s">
        <v>2250</v>
      </c>
      <c r="J1361" s="5" t="s">
        <v>2251</v>
      </c>
      <c r="K1361" s="5" t="s">
        <v>2266</v>
      </c>
      <c r="L1361" s="5" t="n">
        <f aca="false">IF(G1361="High",3,IF(G1361="Medium",2,1))</f>
        <v>1</v>
      </c>
    </row>
    <row r="1362" customFormat="false" ht="15" hidden="false" customHeight="true" outlineLevel="0" collapsed="false">
      <c r="A1362" s="5" t="s">
        <v>3638</v>
      </c>
      <c r="B1362" s="5" t="s">
        <v>1420</v>
      </c>
      <c r="C1362" s="5" t="s">
        <v>2259</v>
      </c>
      <c r="D1362" s="5" t="s">
        <v>2285</v>
      </c>
      <c r="E1362" s="5" t="s">
        <v>2225</v>
      </c>
      <c r="F1362" s="5" t="s">
        <v>2225</v>
      </c>
      <c r="G1362" s="5" t="str">
        <f aca="false">INDEX(Risk_Matrix!$B$2:$D$4,MATCH(E1362,Risk_Matrix!$A$2:$A$4,0),MATCH(F1362,Risk_Matrix!$B$1:$D$1,0))</f>
        <v>Medium</v>
      </c>
      <c r="H1362" s="12" t="n">
        <v>46100</v>
      </c>
      <c r="I1362" s="5" t="s">
        <v>2250</v>
      </c>
      <c r="J1362" s="5" t="s">
        <v>2251</v>
      </c>
      <c r="K1362" s="5" t="s">
        <v>2283</v>
      </c>
      <c r="L1362" s="5" t="n">
        <f aca="false">IF(G1362="High",3,IF(G1362="Medium",2,1))</f>
        <v>2</v>
      </c>
    </row>
    <row r="1363" customFormat="false" ht="15" hidden="false" customHeight="true" outlineLevel="0" collapsed="false">
      <c r="A1363" s="5" t="s">
        <v>3639</v>
      </c>
      <c r="B1363" s="5" t="s">
        <v>1420</v>
      </c>
      <c r="C1363" s="5" t="s">
        <v>2262</v>
      </c>
      <c r="D1363" s="5" t="s">
        <v>2311</v>
      </c>
      <c r="E1363" s="5" t="s">
        <v>54</v>
      </c>
      <c r="F1363" s="5" t="s">
        <v>54</v>
      </c>
      <c r="G1363" s="5" t="str">
        <f aca="false">INDEX(Risk_Matrix!$B$2:$D$4,MATCH(E1363,Risk_Matrix!$A$2:$A$4,0),MATCH(F1363,Risk_Matrix!$B$1:$D$1,0))</f>
        <v>High</v>
      </c>
      <c r="H1363" s="12" t="n">
        <v>46147</v>
      </c>
      <c r="I1363" s="5" t="s">
        <v>2256</v>
      </c>
      <c r="J1363" s="5" t="s">
        <v>2257</v>
      </c>
      <c r="K1363" s="5" t="s">
        <v>2283</v>
      </c>
      <c r="L1363" s="5" t="n">
        <f aca="false">IF(G1363="High",3,IF(G1363="Medium",2,1))</f>
        <v>3</v>
      </c>
    </row>
    <row r="1364" customFormat="false" ht="15" hidden="false" customHeight="true" outlineLevel="0" collapsed="false">
      <c r="A1364" s="5" t="s">
        <v>3640</v>
      </c>
      <c r="B1364" s="5" t="s">
        <v>1422</v>
      </c>
      <c r="C1364" s="5" t="s">
        <v>2239</v>
      </c>
      <c r="D1364" s="5" t="s">
        <v>2240</v>
      </c>
      <c r="E1364" s="5" t="s">
        <v>2225</v>
      </c>
      <c r="F1364" s="5" t="s">
        <v>59</v>
      </c>
      <c r="G1364" s="5" t="str">
        <f aca="false">INDEX(Risk_Matrix!$B$2:$D$4,MATCH(E1364,Risk_Matrix!$A$2:$A$4,0),MATCH(F1364,Risk_Matrix!$B$1:$D$1,0))</f>
        <v>Low</v>
      </c>
      <c r="H1364" s="12" t="n">
        <v>46133</v>
      </c>
      <c r="I1364" s="5" t="s">
        <v>2256</v>
      </c>
      <c r="J1364" s="5" t="s">
        <v>2257</v>
      </c>
      <c r="K1364" s="5" t="s">
        <v>2266</v>
      </c>
      <c r="L1364" s="5" t="n">
        <f aca="false">IF(G1364="High",3,IF(G1364="Medium",2,1))</f>
        <v>1</v>
      </c>
    </row>
    <row r="1365" customFormat="false" ht="15" hidden="false" customHeight="true" outlineLevel="0" collapsed="false">
      <c r="A1365" s="5" t="s">
        <v>3641</v>
      </c>
      <c r="B1365" s="5" t="s">
        <v>1422</v>
      </c>
      <c r="C1365" s="5" t="s">
        <v>2245</v>
      </c>
      <c r="D1365" s="5" t="s">
        <v>2320</v>
      </c>
      <c r="E1365" s="5" t="s">
        <v>59</v>
      </c>
      <c r="F1365" s="5" t="s">
        <v>2225</v>
      </c>
      <c r="G1365" s="5" t="str">
        <f aca="false">INDEX(Risk_Matrix!$B$2:$D$4,MATCH(E1365,Risk_Matrix!$A$2:$A$4,0),MATCH(F1365,Risk_Matrix!$B$1:$D$1,0))</f>
        <v>Low</v>
      </c>
      <c r="H1365" s="12" t="n">
        <v>46193</v>
      </c>
      <c r="I1365" s="5" t="s">
        <v>2264</v>
      </c>
      <c r="J1365" s="5" t="s">
        <v>2265</v>
      </c>
      <c r="K1365" s="5" t="s">
        <v>2266</v>
      </c>
      <c r="L1365" s="5" t="n">
        <f aca="false">IF(G1365="High",3,IF(G1365="Medium",2,1))</f>
        <v>1</v>
      </c>
    </row>
    <row r="1366" customFormat="false" ht="15" hidden="false" customHeight="true" outlineLevel="0" collapsed="false">
      <c r="A1366" s="5" t="s">
        <v>3642</v>
      </c>
      <c r="B1366" s="5" t="s">
        <v>1422</v>
      </c>
      <c r="C1366" s="5" t="s">
        <v>2248</v>
      </c>
      <c r="D1366" s="5" t="s">
        <v>2306</v>
      </c>
      <c r="E1366" s="5" t="s">
        <v>2225</v>
      </c>
      <c r="F1366" s="5" t="s">
        <v>59</v>
      </c>
      <c r="G1366" s="5" t="str">
        <f aca="false">INDEX(Risk_Matrix!$B$2:$D$4,MATCH(E1366,Risk_Matrix!$A$2:$A$4,0),MATCH(F1366,Risk_Matrix!$B$1:$D$1,0))</f>
        <v>Low</v>
      </c>
      <c r="H1366" s="12" t="n">
        <v>46216</v>
      </c>
      <c r="I1366" s="5" t="s">
        <v>2256</v>
      </c>
      <c r="J1366" s="5" t="s">
        <v>2257</v>
      </c>
      <c r="K1366" s="5" t="s">
        <v>2276</v>
      </c>
      <c r="L1366" s="5" t="n">
        <f aca="false">IF(G1366="High",3,IF(G1366="Medium",2,1))</f>
        <v>1</v>
      </c>
    </row>
    <row r="1367" customFormat="false" ht="15" hidden="false" customHeight="true" outlineLevel="0" collapsed="false">
      <c r="A1367" s="5" t="s">
        <v>3643</v>
      </c>
      <c r="B1367" s="5" t="s">
        <v>1422</v>
      </c>
      <c r="C1367" s="5" t="s">
        <v>2254</v>
      </c>
      <c r="D1367" s="5" t="s">
        <v>2308</v>
      </c>
      <c r="E1367" s="5" t="s">
        <v>2225</v>
      </c>
      <c r="F1367" s="5" t="s">
        <v>54</v>
      </c>
      <c r="G1367" s="5" t="str">
        <f aca="false">INDEX(Risk_Matrix!$B$2:$D$4,MATCH(E1367,Risk_Matrix!$A$2:$A$4,0),MATCH(F1367,Risk_Matrix!$B$1:$D$1,0))</f>
        <v>High</v>
      </c>
      <c r="H1367" s="12" t="n">
        <v>46134</v>
      </c>
      <c r="I1367" s="5" t="s">
        <v>2256</v>
      </c>
      <c r="J1367" s="5" t="s">
        <v>2257</v>
      </c>
      <c r="K1367" s="5" t="s">
        <v>2243</v>
      </c>
      <c r="L1367" s="5" t="n">
        <f aca="false">IF(G1367="High",3,IF(G1367="Medium",2,1))</f>
        <v>3</v>
      </c>
    </row>
    <row r="1368" customFormat="false" ht="15" hidden="false" customHeight="true" outlineLevel="0" collapsed="false">
      <c r="A1368" s="5" t="s">
        <v>3644</v>
      </c>
      <c r="B1368" s="5" t="s">
        <v>1422</v>
      </c>
      <c r="C1368" s="5" t="s">
        <v>2259</v>
      </c>
      <c r="D1368" s="5" t="s">
        <v>2285</v>
      </c>
      <c r="E1368" s="5" t="s">
        <v>59</v>
      </c>
      <c r="F1368" s="5" t="s">
        <v>2225</v>
      </c>
      <c r="G1368" s="5" t="str">
        <f aca="false">INDEX(Risk_Matrix!$B$2:$D$4,MATCH(E1368,Risk_Matrix!$A$2:$A$4,0),MATCH(F1368,Risk_Matrix!$B$1:$D$1,0))</f>
        <v>Low</v>
      </c>
      <c r="H1368" s="12" t="n">
        <v>46159</v>
      </c>
      <c r="I1368" s="5" t="s">
        <v>2256</v>
      </c>
      <c r="J1368" s="5" t="s">
        <v>2257</v>
      </c>
      <c r="K1368" s="5" t="s">
        <v>2252</v>
      </c>
      <c r="L1368" s="5" t="n">
        <f aca="false">IF(G1368="High",3,IF(G1368="Medium",2,1))</f>
        <v>1</v>
      </c>
    </row>
    <row r="1369" customFormat="false" ht="15" hidden="false" customHeight="true" outlineLevel="0" collapsed="false">
      <c r="A1369" s="5" t="s">
        <v>3645</v>
      </c>
      <c r="B1369" s="5" t="s">
        <v>1422</v>
      </c>
      <c r="C1369" s="5" t="s">
        <v>2262</v>
      </c>
      <c r="D1369" s="5" t="s">
        <v>2287</v>
      </c>
      <c r="E1369" s="5" t="s">
        <v>2225</v>
      </c>
      <c r="F1369" s="5" t="s">
        <v>54</v>
      </c>
      <c r="G1369" s="5" t="str">
        <f aca="false">INDEX(Risk_Matrix!$B$2:$D$4,MATCH(E1369,Risk_Matrix!$A$2:$A$4,0),MATCH(F1369,Risk_Matrix!$B$1:$D$1,0))</f>
        <v>High</v>
      </c>
      <c r="H1369" s="12" t="n">
        <v>46191</v>
      </c>
      <c r="I1369" s="5" t="s">
        <v>2250</v>
      </c>
      <c r="J1369" s="5" t="s">
        <v>2251</v>
      </c>
      <c r="K1369" s="5" t="s">
        <v>2252</v>
      </c>
      <c r="L1369" s="5" t="n">
        <f aca="false">IF(G1369="High",3,IF(G1369="Medium",2,1))</f>
        <v>3</v>
      </c>
    </row>
    <row r="1370" customFormat="false" ht="15" hidden="false" customHeight="true" outlineLevel="0" collapsed="false">
      <c r="A1370" s="5" t="s">
        <v>3646</v>
      </c>
      <c r="B1370" s="5" t="s">
        <v>1424</v>
      </c>
      <c r="C1370" s="5" t="s">
        <v>2239</v>
      </c>
      <c r="D1370" s="5" t="s">
        <v>2295</v>
      </c>
      <c r="E1370" s="5" t="s">
        <v>59</v>
      </c>
      <c r="F1370" s="5" t="s">
        <v>59</v>
      </c>
      <c r="G1370" s="5" t="str">
        <f aca="false">INDEX(Risk_Matrix!$B$2:$D$4,MATCH(E1370,Risk_Matrix!$A$2:$A$4,0),MATCH(F1370,Risk_Matrix!$B$1:$D$1,0))</f>
        <v>Low</v>
      </c>
      <c r="H1370" s="12" t="n">
        <v>46218</v>
      </c>
      <c r="I1370" s="5" t="s">
        <v>2250</v>
      </c>
      <c r="J1370" s="5" t="s">
        <v>2251</v>
      </c>
      <c r="K1370" s="5" t="s">
        <v>2252</v>
      </c>
      <c r="L1370" s="5" t="n">
        <f aca="false">IF(G1370="High",3,IF(G1370="Medium",2,1))</f>
        <v>1</v>
      </c>
    </row>
    <row r="1371" customFormat="false" ht="15" hidden="false" customHeight="true" outlineLevel="0" collapsed="false">
      <c r="A1371" s="5" t="s">
        <v>3647</v>
      </c>
      <c r="B1371" s="5" t="s">
        <v>1424</v>
      </c>
      <c r="C1371" s="5" t="s">
        <v>2245</v>
      </c>
      <c r="D1371" s="5" t="s">
        <v>2280</v>
      </c>
      <c r="E1371" s="5" t="s">
        <v>2225</v>
      </c>
      <c r="F1371" s="5" t="s">
        <v>2225</v>
      </c>
      <c r="G1371" s="5" t="str">
        <f aca="false">INDEX(Risk_Matrix!$B$2:$D$4,MATCH(E1371,Risk_Matrix!$A$2:$A$4,0),MATCH(F1371,Risk_Matrix!$B$1:$D$1,0))</f>
        <v>Medium</v>
      </c>
      <c r="H1371" s="12" t="n">
        <v>46083</v>
      </c>
      <c r="I1371" s="5" t="s">
        <v>2256</v>
      </c>
      <c r="J1371" s="5" t="s">
        <v>2257</v>
      </c>
      <c r="K1371" s="5" t="s">
        <v>2276</v>
      </c>
      <c r="L1371" s="5" t="n">
        <f aca="false">IF(G1371="High",3,IF(G1371="Medium",2,1))</f>
        <v>2</v>
      </c>
    </row>
    <row r="1372" customFormat="false" ht="15" hidden="false" customHeight="true" outlineLevel="0" collapsed="false">
      <c r="A1372" s="5" t="s">
        <v>3648</v>
      </c>
      <c r="B1372" s="5" t="s">
        <v>1424</v>
      </c>
      <c r="C1372" s="5" t="s">
        <v>2248</v>
      </c>
      <c r="D1372" s="5" t="s">
        <v>2306</v>
      </c>
      <c r="E1372" s="5" t="s">
        <v>2225</v>
      </c>
      <c r="F1372" s="5" t="s">
        <v>59</v>
      </c>
      <c r="G1372" s="5" t="str">
        <f aca="false">INDEX(Risk_Matrix!$B$2:$D$4,MATCH(E1372,Risk_Matrix!$A$2:$A$4,0),MATCH(F1372,Risk_Matrix!$B$1:$D$1,0))</f>
        <v>Low</v>
      </c>
      <c r="H1372" s="12" t="n">
        <v>46103</v>
      </c>
      <c r="I1372" s="5" t="s">
        <v>2256</v>
      </c>
      <c r="J1372" s="5" t="s">
        <v>2257</v>
      </c>
      <c r="K1372" s="5" t="s">
        <v>2276</v>
      </c>
      <c r="L1372" s="5" t="n">
        <f aca="false">IF(G1372="High",3,IF(G1372="Medium",2,1))</f>
        <v>1</v>
      </c>
    </row>
    <row r="1373" customFormat="false" ht="15" hidden="false" customHeight="true" outlineLevel="0" collapsed="false">
      <c r="A1373" s="5" t="s">
        <v>3649</v>
      </c>
      <c r="B1373" s="5" t="s">
        <v>1424</v>
      </c>
      <c r="C1373" s="5" t="s">
        <v>2254</v>
      </c>
      <c r="D1373" s="5" t="s">
        <v>2255</v>
      </c>
      <c r="E1373" s="5" t="s">
        <v>59</v>
      </c>
      <c r="F1373" s="5" t="s">
        <v>59</v>
      </c>
      <c r="G1373" s="5" t="str">
        <f aca="false">INDEX(Risk_Matrix!$B$2:$D$4,MATCH(E1373,Risk_Matrix!$A$2:$A$4,0),MATCH(F1373,Risk_Matrix!$B$1:$D$1,0))</f>
        <v>Low</v>
      </c>
      <c r="H1373" s="12" t="n">
        <v>46093</v>
      </c>
      <c r="I1373" s="5" t="s">
        <v>2264</v>
      </c>
      <c r="J1373" s="5" t="s">
        <v>2265</v>
      </c>
      <c r="K1373" s="5" t="s">
        <v>2283</v>
      </c>
      <c r="L1373" s="5" t="n">
        <f aca="false">IF(G1373="High",3,IF(G1373="Medium",2,1))</f>
        <v>1</v>
      </c>
    </row>
    <row r="1374" customFormat="false" ht="15" hidden="false" customHeight="true" outlineLevel="0" collapsed="false">
      <c r="A1374" s="5" t="s">
        <v>3650</v>
      </c>
      <c r="B1374" s="5" t="s">
        <v>1424</v>
      </c>
      <c r="C1374" s="5" t="s">
        <v>2259</v>
      </c>
      <c r="D1374" s="5" t="s">
        <v>2274</v>
      </c>
      <c r="E1374" s="5" t="s">
        <v>54</v>
      </c>
      <c r="F1374" s="5" t="s">
        <v>54</v>
      </c>
      <c r="G1374" s="5" t="str">
        <f aca="false">INDEX(Risk_Matrix!$B$2:$D$4,MATCH(E1374,Risk_Matrix!$A$2:$A$4,0),MATCH(F1374,Risk_Matrix!$B$1:$D$1,0))</f>
        <v>High</v>
      </c>
      <c r="H1374" s="12" t="n">
        <v>46080</v>
      </c>
      <c r="I1374" s="5" t="s">
        <v>2256</v>
      </c>
      <c r="J1374" s="5" t="s">
        <v>2257</v>
      </c>
      <c r="K1374" s="5" t="s">
        <v>2243</v>
      </c>
      <c r="L1374" s="5" t="n">
        <f aca="false">IF(G1374="High",3,IF(G1374="Medium",2,1))</f>
        <v>3</v>
      </c>
    </row>
    <row r="1375" customFormat="false" ht="15" hidden="false" customHeight="true" outlineLevel="0" collapsed="false">
      <c r="A1375" s="5" t="s">
        <v>3651</v>
      </c>
      <c r="B1375" s="5" t="s">
        <v>1424</v>
      </c>
      <c r="C1375" s="5" t="s">
        <v>2262</v>
      </c>
      <c r="D1375" s="5" t="s">
        <v>2287</v>
      </c>
      <c r="E1375" s="5" t="s">
        <v>2225</v>
      </c>
      <c r="F1375" s="5" t="s">
        <v>54</v>
      </c>
      <c r="G1375" s="5" t="str">
        <f aca="false">INDEX(Risk_Matrix!$B$2:$D$4,MATCH(E1375,Risk_Matrix!$A$2:$A$4,0),MATCH(F1375,Risk_Matrix!$B$1:$D$1,0))</f>
        <v>High</v>
      </c>
      <c r="H1375" s="12" t="n">
        <v>46064</v>
      </c>
      <c r="I1375" s="5" t="s">
        <v>2256</v>
      </c>
      <c r="J1375" s="5" t="s">
        <v>2257</v>
      </c>
      <c r="K1375" s="5" t="s">
        <v>2266</v>
      </c>
      <c r="L1375" s="5" t="n">
        <f aca="false">IF(G1375="High",3,IF(G1375="Medium",2,1))</f>
        <v>3</v>
      </c>
    </row>
    <row r="1376" customFormat="false" ht="15" hidden="false" customHeight="true" outlineLevel="0" collapsed="false">
      <c r="A1376" s="5" t="s">
        <v>3652</v>
      </c>
      <c r="B1376" s="5" t="s">
        <v>1427</v>
      </c>
      <c r="C1376" s="5" t="s">
        <v>2239</v>
      </c>
      <c r="D1376" s="5" t="s">
        <v>2278</v>
      </c>
      <c r="E1376" s="5" t="s">
        <v>2225</v>
      </c>
      <c r="F1376" s="5" t="s">
        <v>54</v>
      </c>
      <c r="G1376" s="5" t="str">
        <f aca="false">INDEX(Risk_Matrix!$B$2:$D$4,MATCH(E1376,Risk_Matrix!$A$2:$A$4,0),MATCH(F1376,Risk_Matrix!$B$1:$D$1,0))</f>
        <v>High</v>
      </c>
      <c r="H1376" s="12" t="n">
        <v>46193</v>
      </c>
      <c r="I1376" s="5" t="s">
        <v>2250</v>
      </c>
      <c r="J1376" s="5" t="s">
        <v>2251</v>
      </c>
      <c r="K1376" s="5" t="s">
        <v>2283</v>
      </c>
      <c r="L1376" s="5" t="n">
        <f aca="false">IF(G1376="High",3,IF(G1376="Medium",2,1))</f>
        <v>3</v>
      </c>
    </row>
    <row r="1377" customFormat="false" ht="15" hidden="false" customHeight="true" outlineLevel="0" collapsed="false">
      <c r="A1377" s="5" t="s">
        <v>3653</v>
      </c>
      <c r="B1377" s="5" t="s">
        <v>1427</v>
      </c>
      <c r="C1377" s="5" t="s">
        <v>2245</v>
      </c>
      <c r="D1377" s="5" t="s">
        <v>2320</v>
      </c>
      <c r="E1377" s="5" t="s">
        <v>2225</v>
      </c>
      <c r="F1377" s="5" t="s">
        <v>59</v>
      </c>
      <c r="G1377" s="5" t="str">
        <f aca="false">INDEX(Risk_Matrix!$B$2:$D$4,MATCH(E1377,Risk_Matrix!$A$2:$A$4,0),MATCH(F1377,Risk_Matrix!$B$1:$D$1,0))</f>
        <v>Low</v>
      </c>
      <c r="H1377" s="12" t="n">
        <v>46101</v>
      </c>
      <c r="I1377" s="5" t="s">
        <v>2250</v>
      </c>
      <c r="J1377" s="5" t="s">
        <v>2251</v>
      </c>
      <c r="K1377" s="5" t="s">
        <v>2276</v>
      </c>
      <c r="L1377" s="5" t="n">
        <f aca="false">IF(G1377="High",3,IF(G1377="Medium",2,1))</f>
        <v>1</v>
      </c>
    </row>
    <row r="1378" customFormat="false" ht="15" hidden="false" customHeight="true" outlineLevel="0" collapsed="false">
      <c r="A1378" s="5" t="s">
        <v>3654</v>
      </c>
      <c r="B1378" s="5" t="s">
        <v>1427</v>
      </c>
      <c r="C1378" s="5" t="s">
        <v>2248</v>
      </c>
      <c r="D1378" s="5" t="s">
        <v>2249</v>
      </c>
      <c r="E1378" s="5" t="s">
        <v>54</v>
      </c>
      <c r="F1378" s="5" t="s">
        <v>59</v>
      </c>
      <c r="G1378" s="5" t="str">
        <f aca="false">INDEX(Risk_Matrix!$B$2:$D$4,MATCH(E1378,Risk_Matrix!$A$2:$A$4,0),MATCH(F1378,Risk_Matrix!$B$1:$D$1,0))</f>
        <v>Medium</v>
      </c>
      <c r="H1378" s="12" t="n">
        <v>46087</v>
      </c>
      <c r="I1378" s="5" t="s">
        <v>2250</v>
      </c>
      <c r="J1378" s="5" t="s">
        <v>2251</v>
      </c>
      <c r="K1378" s="5" t="s">
        <v>2283</v>
      </c>
      <c r="L1378" s="5" t="n">
        <f aca="false">IF(G1378="High",3,IF(G1378="Medium",2,1))</f>
        <v>2</v>
      </c>
    </row>
    <row r="1379" customFormat="false" ht="15" hidden="false" customHeight="true" outlineLevel="0" collapsed="false">
      <c r="A1379" s="5" t="s">
        <v>3655</v>
      </c>
      <c r="B1379" s="5" t="s">
        <v>1427</v>
      </c>
      <c r="C1379" s="5" t="s">
        <v>2254</v>
      </c>
      <c r="D1379" s="5" t="s">
        <v>2255</v>
      </c>
      <c r="E1379" s="5" t="s">
        <v>54</v>
      </c>
      <c r="F1379" s="5" t="s">
        <v>59</v>
      </c>
      <c r="G1379" s="5" t="str">
        <f aca="false">INDEX(Risk_Matrix!$B$2:$D$4,MATCH(E1379,Risk_Matrix!$A$2:$A$4,0),MATCH(F1379,Risk_Matrix!$B$1:$D$1,0))</f>
        <v>Medium</v>
      </c>
      <c r="H1379" s="12" t="n">
        <v>46082</v>
      </c>
      <c r="I1379" s="5" t="s">
        <v>2250</v>
      </c>
      <c r="J1379" s="5" t="s">
        <v>2251</v>
      </c>
      <c r="K1379" s="5" t="s">
        <v>2252</v>
      </c>
      <c r="L1379" s="5" t="n">
        <f aca="false">IF(G1379="High",3,IF(G1379="Medium",2,1))</f>
        <v>2</v>
      </c>
    </row>
    <row r="1380" customFormat="false" ht="15" hidden="false" customHeight="true" outlineLevel="0" collapsed="false">
      <c r="A1380" s="5" t="s">
        <v>3656</v>
      </c>
      <c r="B1380" s="5" t="s">
        <v>1427</v>
      </c>
      <c r="C1380" s="5" t="s">
        <v>2259</v>
      </c>
      <c r="D1380" s="5" t="s">
        <v>2274</v>
      </c>
      <c r="E1380" s="5" t="s">
        <v>54</v>
      </c>
      <c r="F1380" s="5" t="s">
        <v>2225</v>
      </c>
      <c r="G1380" s="5" t="str">
        <f aca="false">INDEX(Risk_Matrix!$B$2:$D$4,MATCH(E1380,Risk_Matrix!$A$2:$A$4,0),MATCH(F1380,Risk_Matrix!$B$1:$D$1,0))</f>
        <v>High</v>
      </c>
      <c r="H1380" s="12" t="n">
        <v>46124</v>
      </c>
      <c r="I1380" s="5" t="s">
        <v>2256</v>
      </c>
      <c r="J1380" s="5" t="s">
        <v>2257</v>
      </c>
      <c r="K1380" s="5" t="s">
        <v>2276</v>
      </c>
      <c r="L1380" s="5" t="n">
        <f aca="false">IF(G1380="High",3,IF(G1380="Medium",2,1))</f>
        <v>3</v>
      </c>
    </row>
    <row r="1381" customFormat="false" ht="15" hidden="false" customHeight="true" outlineLevel="0" collapsed="false">
      <c r="A1381" s="5" t="s">
        <v>3657</v>
      </c>
      <c r="B1381" s="5" t="s">
        <v>1427</v>
      </c>
      <c r="C1381" s="5" t="s">
        <v>2262</v>
      </c>
      <c r="D1381" s="5" t="s">
        <v>2263</v>
      </c>
      <c r="E1381" s="5" t="s">
        <v>2225</v>
      </c>
      <c r="F1381" s="5" t="s">
        <v>59</v>
      </c>
      <c r="G1381" s="5" t="str">
        <f aca="false">INDEX(Risk_Matrix!$B$2:$D$4,MATCH(E1381,Risk_Matrix!$A$2:$A$4,0),MATCH(F1381,Risk_Matrix!$B$1:$D$1,0))</f>
        <v>Low</v>
      </c>
      <c r="H1381" s="12" t="n">
        <v>46177</v>
      </c>
      <c r="I1381" s="5" t="s">
        <v>2256</v>
      </c>
      <c r="J1381" s="5" t="s">
        <v>2257</v>
      </c>
      <c r="K1381" s="5" t="s">
        <v>2243</v>
      </c>
      <c r="L1381" s="5" t="n">
        <f aca="false">IF(G1381="High",3,IF(G1381="Medium",2,1))</f>
        <v>1</v>
      </c>
    </row>
    <row r="1382" customFormat="false" ht="15" hidden="false" customHeight="true" outlineLevel="0" collapsed="false">
      <c r="A1382" s="5" t="s">
        <v>3658</v>
      </c>
      <c r="B1382" s="5" t="s">
        <v>1429</v>
      </c>
      <c r="C1382" s="5" t="s">
        <v>2239</v>
      </c>
      <c r="D1382" s="5" t="s">
        <v>2303</v>
      </c>
      <c r="E1382" s="5" t="s">
        <v>2225</v>
      </c>
      <c r="F1382" s="5" t="s">
        <v>59</v>
      </c>
      <c r="G1382" s="5" t="str">
        <f aca="false">INDEX(Risk_Matrix!$B$2:$D$4,MATCH(E1382,Risk_Matrix!$A$2:$A$4,0),MATCH(F1382,Risk_Matrix!$B$1:$D$1,0))</f>
        <v>Low</v>
      </c>
      <c r="H1382" s="12" t="n">
        <v>46116</v>
      </c>
      <c r="I1382" s="5" t="s">
        <v>2256</v>
      </c>
      <c r="J1382" s="5" t="s">
        <v>2257</v>
      </c>
      <c r="K1382" s="5" t="s">
        <v>2283</v>
      </c>
      <c r="L1382" s="5" t="n">
        <f aca="false">IF(G1382="High",3,IF(G1382="Medium",2,1))</f>
        <v>1</v>
      </c>
    </row>
    <row r="1383" customFormat="false" ht="15" hidden="false" customHeight="true" outlineLevel="0" collapsed="false">
      <c r="A1383" s="5" t="s">
        <v>3659</v>
      </c>
      <c r="B1383" s="5" t="s">
        <v>1429</v>
      </c>
      <c r="C1383" s="5" t="s">
        <v>2245</v>
      </c>
      <c r="D1383" s="5" t="s">
        <v>2246</v>
      </c>
      <c r="E1383" s="5" t="s">
        <v>2225</v>
      </c>
      <c r="F1383" s="5" t="s">
        <v>59</v>
      </c>
      <c r="G1383" s="5" t="str">
        <f aca="false">INDEX(Risk_Matrix!$B$2:$D$4,MATCH(E1383,Risk_Matrix!$A$2:$A$4,0),MATCH(F1383,Risk_Matrix!$B$1:$D$1,0))</f>
        <v>Low</v>
      </c>
      <c r="H1383" s="12" t="n">
        <v>46104</v>
      </c>
      <c r="I1383" s="5" t="s">
        <v>2250</v>
      </c>
      <c r="J1383" s="5" t="s">
        <v>2251</v>
      </c>
      <c r="K1383" s="5" t="s">
        <v>2283</v>
      </c>
      <c r="L1383" s="5" t="n">
        <f aca="false">IF(G1383="High",3,IF(G1383="Medium",2,1))</f>
        <v>1</v>
      </c>
    </row>
    <row r="1384" customFormat="false" ht="15" hidden="false" customHeight="true" outlineLevel="0" collapsed="false">
      <c r="A1384" s="5" t="s">
        <v>3660</v>
      </c>
      <c r="B1384" s="5" t="s">
        <v>1429</v>
      </c>
      <c r="C1384" s="5" t="s">
        <v>2248</v>
      </c>
      <c r="D1384" s="5" t="s">
        <v>2271</v>
      </c>
      <c r="E1384" s="5" t="s">
        <v>2225</v>
      </c>
      <c r="F1384" s="5" t="s">
        <v>2225</v>
      </c>
      <c r="G1384" s="5" t="str">
        <f aca="false">INDEX(Risk_Matrix!$B$2:$D$4,MATCH(E1384,Risk_Matrix!$A$2:$A$4,0),MATCH(F1384,Risk_Matrix!$B$1:$D$1,0))</f>
        <v>Medium</v>
      </c>
      <c r="H1384" s="12" t="n">
        <v>46204</v>
      </c>
      <c r="I1384" s="5" t="s">
        <v>2256</v>
      </c>
      <c r="J1384" s="5" t="s">
        <v>2257</v>
      </c>
      <c r="K1384" s="5" t="s">
        <v>2243</v>
      </c>
      <c r="L1384" s="5" t="n">
        <f aca="false">IF(G1384="High",3,IF(G1384="Medium",2,1))</f>
        <v>2</v>
      </c>
    </row>
    <row r="1385" customFormat="false" ht="15" hidden="false" customHeight="true" outlineLevel="0" collapsed="false">
      <c r="A1385" s="5" t="s">
        <v>3661</v>
      </c>
      <c r="B1385" s="5" t="s">
        <v>1429</v>
      </c>
      <c r="C1385" s="5" t="s">
        <v>2254</v>
      </c>
      <c r="D1385" s="5" t="s">
        <v>2255</v>
      </c>
      <c r="E1385" s="5" t="s">
        <v>59</v>
      </c>
      <c r="F1385" s="5" t="s">
        <v>2225</v>
      </c>
      <c r="G1385" s="5" t="str">
        <f aca="false">INDEX(Risk_Matrix!$B$2:$D$4,MATCH(E1385,Risk_Matrix!$A$2:$A$4,0),MATCH(F1385,Risk_Matrix!$B$1:$D$1,0))</f>
        <v>Low</v>
      </c>
      <c r="H1385" s="12" t="n">
        <v>46142</v>
      </c>
      <c r="I1385" s="5" t="s">
        <v>2250</v>
      </c>
      <c r="J1385" s="5" t="s">
        <v>2251</v>
      </c>
      <c r="K1385" s="5" t="s">
        <v>2276</v>
      </c>
      <c r="L1385" s="5" t="n">
        <f aca="false">IF(G1385="High",3,IF(G1385="Medium",2,1))</f>
        <v>1</v>
      </c>
    </row>
    <row r="1386" customFormat="false" ht="15" hidden="false" customHeight="true" outlineLevel="0" collapsed="false">
      <c r="A1386" s="5" t="s">
        <v>3662</v>
      </c>
      <c r="B1386" s="5" t="s">
        <v>1429</v>
      </c>
      <c r="C1386" s="5" t="s">
        <v>2259</v>
      </c>
      <c r="D1386" s="5" t="s">
        <v>2274</v>
      </c>
      <c r="E1386" s="5" t="s">
        <v>59</v>
      </c>
      <c r="F1386" s="5" t="s">
        <v>59</v>
      </c>
      <c r="G1386" s="5" t="str">
        <f aca="false">INDEX(Risk_Matrix!$B$2:$D$4,MATCH(E1386,Risk_Matrix!$A$2:$A$4,0),MATCH(F1386,Risk_Matrix!$B$1:$D$1,0))</f>
        <v>Low</v>
      </c>
      <c r="H1386" s="12" t="n">
        <v>46082</v>
      </c>
      <c r="I1386" s="5" t="s">
        <v>2250</v>
      </c>
      <c r="J1386" s="5" t="s">
        <v>2251</v>
      </c>
      <c r="K1386" s="5" t="s">
        <v>2243</v>
      </c>
      <c r="L1386" s="5" t="n">
        <f aca="false">IF(G1386="High",3,IF(G1386="Medium",2,1))</f>
        <v>1</v>
      </c>
    </row>
    <row r="1387" customFormat="false" ht="15" hidden="false" customHeight="true" outlineLevel="0" collapsed="false">
      <c r="A1387" s="5" t="s">
        <v>3663</v>
      </c>
      <c r="B1387" s="5" t="s">
        <v>1429</v>
      </c>
      <c r="C1387" s="5" t="s">
        <v>2262</v>
      </c>
      <c r="D1387" s="5" t="s">
        <v>2311</v>
      </c>
      <c r="E1387" s="5" t="s">
        <v>59</v>
      </c>
      <c r="F1387" s="5" t="s">
        <v>2225</v>
      </c>
      <c r="G1387" s="5" t="str">
        <f aca="false">INDEX(Risk_Matrix!$B$2:$D$4,MATCH(E1387,Risk_Matrix!$A$2:$A$4,0),MATCH(F1387,Risk_Matrix!$B$1:$D$1,0))</f>
        <v>Low</v>
      </c>
      <c r="H1387" s="12" t="n">
        <v>46063</v>
      </c>
      <c r="I1387" s="5" t="s">
        <v>2256</v>
      </c>
      <c r="J1387" s="5" t="s">
        <v>2257</v>
      </c>
      <c r="K1387" s="5" t="s">
        <v>2276</v>
      </c>
      <c r="L1387" s="5" t="n">
        <f aca="false">IF(G1387="High",3,IF(G1387="Medium",2,1))</f>
        <v>1</v>
      </c>
    </row>
    <row r="1388" customFormat="false" ht="15" hidden="false" customHeight="true" outlineLevel="0" collapsed="false">
      <c r="A1388" s="5" t="s">
        <v>3664</v>
      </c>
      <c r="B1388" s="5" t="s">
        <v>1430</v>
      </c>
      <c r="C1388" s="5" t="s">
        <v>2239</v>
      </c>
      <c r="D1388" s="5" t="s">
        <v>2240</v>
      </c>
      <c r="E1388" s="5" t="s">
        <v>59</v>
      </c>
      <c r="F1388" s="5" t="s">
        <v>59</v>
      </c>
      <c r="G1388" s="5" t="str">
        <f aca="false">INDEX(Risk_Matrix!$B$2:$D$4,MATCH(E1388,Risk_Matrix!$A$2:$A$4,0),MATCH(F1388,Risk_Matrix!$B$1:$D$1,0))</f>
        <v>Low</v>
      </c>
      <c r="H1388" s="12" t="n">
        <v>46092</v>
      </c>
      <c r="I1388" s="5" t="s">
        <v>2264</v>
      </c>
      <c r="J1388" s="5" t="s">
        <v>2265</v>
      </c>
      <c r="K1388" s="5" t="s">
        <v>2283</v>
      </c>
      <c r="L1388" s="5" t="n">
        <f aca="false">IF(G1388="High",3,IF(G1388="Medium",2,1))</f>
        <v>1</v>
      </c>
    </row>
    <row r="1389" customFormat="false" ht="15" hidden="false" customHeight="true" outlineLevel="0" collapsed="false">
      <c r="A1389" s="5" t="s">
        <v>3665</v>
      </c>
      <c r="B1389" s="5" t="s">
        <v>1430</v>
      </c>
      <c r="C1389" s="5" t="s">
        <v>2245</v>
      </c>
      <c r="D1389" s="5" t="s">
        <v>2320</v>
      </c>
      <c r="E1389" s="5" t="s">
        <v>2225</v>
      </c>
      <c r="F1389" s="5" t="s">
        <v>2225</v>
      </c>
      <c r="G1389" s="5" t="str">
        <f aca="false">INDEX(Risk_Matrix!$B$2:$D$4,MATCH(E1389,Risk_Matrix!$A$2:$A$4,0),MATCH(F1389,Risk_Matrix!$B$1:$D$1,0))</f>
        <v>Medium</v>
      </c>
      <c r="H1389" s="12" t="n">
        <v>46226</v>
      </c>
      <c r="I1389" s="5" t="s">
        <v>2250</v>
      </c>
      <c r="J1389" s="5" t="s">
        <v>2251</v>
      </c>
      <c r="K1389" s="5" t="s">
        <v>2252</v>
      </c>
      <c r="L1389" s="5" t="n">
        <f aca="false">IF(G1389="High",3,IF(G1389="Medium",2,1))</f>
        <v>2</v>
      </c>
    </row>
    <row r="1390" customFormat="false" ht="15" hidden="false" customHeight="true" outlineLevel="0" collapsed="false">
      <c r="A1390" s="5" t="s">
        <v>3666</v>
      </c>
      <c r="B1390" s="5" t="s">
        <v>1430</v>
      </c>
      <c r="C1390" s="5" t="s">
        <v>2248</v>
      </c>
      <c r="D1390" s="5" t="s">
        <v>2271</v>
      </c>
      <c r="E1390" s="5" t="s">
        <v>59</v>
      </c>
      <c r="F1390" s="5" t="s">
        <v>54</v>
      </c>
      <c r="G1390" s="5" t="str">
        <f aca="false">INDEX(Risk_Matrix!$B$2:$D$4,MATCH(E1390,Risk_Matrix!$A$2:$A$4,0),MATCH(F1390,Risk_Matrix!$B$1:$D$1,0))</f>
        <v>Medium</v>
      </c>
      <c r="H1390" s="12" t="n">
        <v>46063</v>
      </c>
      <c r="I1390" s="5" t="s">
        <v>2256</v>
      </c>
      <c r="J1390" s="5" t="s">
        <v>2257</v>
      </c>
      <c r="K1390" s="5" t="s">
        <v>2243</v>
      </c>
      <c r="L1390" s="5" t="n">
        <f aca="false">IF(G1390="High",3,IF(G1390="Medium",2,1))</f>
        <v>2</v>
      </c>
    </row>
    <row r="1391" customFormat="false" ht="15" hidden="false" customHeight="true" outlineLevel="0" collapsed="false">
      <c r="A1391" s="5" t="s">
        <v>3667</v>
      </c>
      <c r="B1391" s="5" t="s">
        <v>1430</v>
      </c>
      <c r="C1391" s="5" t="s">
        <v>2254</v>
      </c>
      <c r="D1391" s="5" t="s">
        <v>2299</v>
      </c>
      <c r="E1391" s="5" t="s">
        <v>2225</v>
      </c>
      <c r="F1391" s="5" t="s">
        <v>2225</v>
      </c>
      <c r="G1391" s="5" t="str">
        <f aca="false">INDEX(Risk_Matrix!$B$2:$D$4,MATCH(E1391,Risk_Matrix!$A$2:$A$4,0),MATCH(F1391,Risk_Matrix!$B$1:$D$1,0))</f>
        <v>Medium</v>
      </c>
      <c r="H1391" s="12" t="n">
        <v>46064</v>
      </c>
      <c r="I1391" s="5" t="s">
        <v>2250</v>
      </c>
      <c r="J1391" s="5" t="s">
        <v>2251</v>
      </c>
      <c r="K1391" s="5" t="s">
        <v>2276</v>
      </c>
      <c r="L1391" s="5" t="n">
        <f aca="false">IF(G1391="High",3,IF(G1391="Medium",2,1))</f>
        <v>2</v>
      </c>
    </row>
    <row r="1392" customFormat="false" ht="15" hidden="false" customHeight="true" outlineLevel="0" collapsed="false">
      <c r="A1392" s="5" t="s">
        <v>3668</v>
      </c>
      <c r="B1392" s="5" t="s">
        <v>1430</v>
      </c>
      <c r="C1392" s="5" t="s">
        <v>2259</v>
      </c>
      <c r="D1392" s="5" t="s">
        <v>2260</v>
      </c>
      <c r="E1392" s="5" t="s">
        <v>59</v>
      </c>
      <c r="F1392" s="5" t="s">
        <v>54</v>
      </c>
      <c r="G1392" s="5" t="str">
        <f aca="false">INDEX(Risk_Matrix!$B$2:$D$4,MATCH(E1392,Risk_Matrix!$A$2:$A$4,0),MATCH(F1392,Risk_Matrix!$B$1:$D$1,0))</f>
        <v>Medium</v>
      </c>
      <c r="H1392" s="12" t="n">
        <v>46157</v>
      </c>
      <c r="I1392" s="5" t="s">
        <v>2264</v>
      </c>
      <c r="J1392" s="5" t="s">
        <v>2265</v>
      </c>
      <c r="K1392" s="5" t="s">
        <v>2276</v>
      </c>
      <c r="L1392" s="5" t="n">
        <f aca="false">IF(G1392="High",3,IF(G1392="Medium",2,1))</f>
        <v>2</v>
      </c>
    </row>
    <row r="1393" customFormat="false" ht="15" hidden="false" customHeight="true" outlineLevel="0" collapsed="false">
      <c r="A1393" s="5" t="s">
        <v>3669</v>
      </c>
      <c r="B1393" s="5" t="s">
        <v>1430</v>
      </c>
      <c r="C1393" s="5" t="s">
        <v>2262</v>
      </c>
      <c r="D1393" s="5" t="s">
        <v>2263</v>
      </c>
      <c r="E1393" s="5" t="s">
        <v>59</v>
      </c>
      <c r="F1393" s="5" t="s">
        <v>59</v>
      </c>
      <c r="G1393" s="5" t="str">
        <f aca="false">INDEX(Risk_Matrix!$B$2:$D$4,MATCH(E1393,Risk_Matrix!$A$2:$A$4,0),MATCH(F1393,Risk_Matrix!$B$1:$D$1,0))</f>
        <v>Low</v>
      </c>
      <c r="H1393" s="12" t="n">
        <v>46235</v>
      </c>
      <c r="I1393" s="5" t="s">
        <v>2250</v>
      </c>
      <c r="J1393" s="5" t="s">
        <v>2251</v>
      </c>
      <c r="K1393" s="5" t="s">
        <v>2276</v>
      </c>
      <c r="L1393" s="5" t="n">
        <f aca="false">IF(G1393="High",3,IF(G1393="Medium",2,1))</f>
        <v>1</v>
      </c>
    </row>
    <row r="1394" customFormat="false" ht="15" hidden="false" customHeight="true" outlineLevel="0" collapsed="false">
      <c r="A1394" s="5" t="s">
        <v>3670</v>
      </c>
      <c r="B1394" s="5" t="s">
        <v>1432</v>
      </c>
      <c r="C1394" s="5" t="s">
        <v>2239</v>
      </c>
      <c r="D1394" s="5" t="s">
        <v>2295</v>
      </c>
      <c r="E1394" s="5" t="s">
        <v>59</v>
      </c>
      <c r="F1394" s="5" t="s">
        <v>2225</v>
      </c>
      <c r="G1394" s="5" t="str">
        <f aca="false">INDEX(Risk_Matrix!$B$2:$D$4,MATCH(E1394,Risk_Matrix!$A$2:$A$4,0),MATCH(F1394,Risk_Matrix!$B$1:$D$1,0))</f>
        <v>Low</v>
      </c>
      <c r="H1394" s="12" t="n">
        <v>46237</v>
      </c>
      <c r="I1394" s="5" t="s">
        <v>2264</v>
      </c>
      <c r="J1394" s="5" t="s">
        <v>2265</v>
      </c>
      <c r="K1394" s="5" t="s">
        <v>2266</v>
      </c>
      <c r="L1394" s="5" t="n">
        <f aca="false">IF(G1394="High",3,IF(G1394="Medium",2,1))</f>
        <v>1</v>
      </c>
    </row>
    <row r="1395" customFormat="false" ht="15" hidden="false" customHeight="true" outlineLevel="0" collapsed="false">
      <c r="A1395" s="5" t="s">
        <v>3671</v>
      </c>
      <c r="B1395" s="5" t="s">
        <v>1432</v>
      </c>
      <c r="C1395" s="5" t="s">
        <v>2245</v>
      </c>
      <c r="D1395" s="5" t="s">
        <v>2269</v>
      </c>
      <c r="E1395" s="5" t="s">
        <v>54</v>
      </c>
      <c r="F1395" s="5" t="s">
        <v>54</v>
      </c>
      <c r="G1395" s="5" t="str">
        <f aca="false">INDEX(Risk_Matrix!$B$2:$D$4,MATCH(E1395,Risk_Matrix!$A$2:$A$4,0),MATCH(F1395,Risk_Matrix!$B$1:$D$1,0))</f>
        <v>High</v>
      </c>
      <c r="H1395" s="12" t="n">
        <v>46143</v>
      </c>
      <c r="I1395" s="5" t="s">
        <v>2264</v>
      </c>
      <c r="J1395" s="5" t="s">
        <v>2265</v>
      </c>
      <c r="K1395" s="5" t="s">
        <v>2243</v>
      </c>
      <c r="L1395" s="5" t="n">
        <f aca="false">IF(G1395="High",3,IF(G1395="Medium",2,1))</f>
        <v>3</v>
      </c>
    </row>
    <row r="1396" customFormat="false" ht="15" hidden="false" customHeight="true" outlineLevel="0" collapsed="false">
      <c r="A1396" s="5" t="s">
        <v>3672</v>
      </c>
      <c r="B1396" s="5" t="s">
        <v>1432</v>
      </c>
      <c r="C1396" s="5" t="s">
        <v>2248</v>
      </c>
      <c r="D1396" s="5" t="s">
        <v>2306</v>
      </c>
      <c r="E1396" s="5" t="s">
        <v>59</v>
      </c>
      <c r="F1396" s="5" t="s">
        <v>2225</v>
      </c>
      <c r="G1396" s="5" t="str">
        <f aca="false">INDEX(Risk_Matrix!$B$2:$D$4,MATCH(E1396,Risk_Matrix!$A$2:$A$4,0),MATCH(F1396,Risk_Matrix!$B$1:$D$1,0))</f>
        <v>Low</v>
      </c>
      <c r="H1396" s="12" t="n">
        <v>46172</v>
      </c>
      <c r="I1396" s="5" t="s">
        <v>2250</v>
      </c>
      <c r="J1396" s="5" t="s">
        <v>2251</v>
      </c>
      <c r="K1396" s="5" t="s">
        <v>2243</v>
      </c>
      <c r="L1396" s="5" t="n">
        <f aca="false">IF(G1396="High",3,IF(G1396="Medium",2,1))</f>
        <v>1</v>
      </c>
    </row>
    <row r="1397" customFormat="false" ht="15" hidden="false" customHeight="true" outlineLevel="0" collapsed="false">
      <c r="A1397" s="5" t="s">
        <v>3673</v>
      </c>
      <c r="B1397" s="5" t="s">
        <v>1432</v>
      </c>
      <c r="C1397" s="5" t="s">
        <v>2254</v>
      </c>
      <c r="D1397" s="5" t="s">
        <v>2299</v>
      </c>
      <c r="E1397" s="5" t="s">
        <v>2225</v>
      </c>
      <c r="F1397" s="5" t="s">
        <v>54</v>
      </c>
      <c r="G1397" s="5" t="str">
        <f aca="false">INDEX(Risk_Matrix!$B$2:$D$4,MATCH(E1397,Risk_Matrix!$A$2:$A$4,0),MATCH(F1397,Risk_Matrix!$B$1:$D$1,0))</f>
        <v>High</v>
      </c>
      <c r="H1397" s="12" t="n">
        <v>46186</v>
      </c>
      <c r="I1397" s="5" t="s">
        <v>2250</v>
      </c>
      <c r="J1397" s="5" t="s">
        <v>2251</v>
      </c>
      <c r="K1397" s="5" t="s">
        <v>2252</v>
      </c>
      <c r="L1397" s="5" t="n">
        <f aca="false">IF(G1397="High",3,IF(G1397="Medium",2,1))</f>
        <v>3</v>
      </c>
    </row>
    <row r="1398" customFormat="false" ht="15" hidden="false" customHeight="true" outlineLevel="0" collapsed="false">
      <c r="A1398" s="5" t="s">
        <v>3674</v>
      </c>
      <c r="B1398" s="5" t="s">
        <v>1432</v>
      </c>
      <c r="C1398" s="5" t="s">
        <v>2259</v>
      </c>
      <c r="D1398" s="5" t="s">
        <v>2274</v>
      </c>
      <c r="E1398" s="5" t="s">
        <v>2225</v>
      </c>
      <c r="F1398" s="5" t="s">
        <v>59</v>
      </c>
      <c r="G1398" s="5" t="str">
        <f aca="false">INDEX(Risk_Matrix!$B$2:$D$4,MATCH(E1398,Risk_Matrix!$A$2:$A$4,0),MATCH(F1398,Risk_Matrix!$B$1:$D$1,0))</f>
        <v>Low</v>
      </c>
      <c r="H1398" s="12" t="n">
        <v>46167</v>
      </c>
      <c r="I1398" s="5" t="s">
        <v>2250</v>
      </c>
      <c r="J1398" s="5" t="s">
        <v>2251</v>
      </c>
      <c r="K1398" s="5" t="s">
        <v>2266</v>
      </c>
      <c r="L1398" s="5" t="n">
        <f aca="false">IF(G1398="High",3,IF(G1398="Medium",2,1))</f>
        <v>1</v>
      </c>
    </row>
    <row r="1399" customFormat="false" ht="15" hidden="false" customHeight="true" outlineLevel="0" collapsed="false">
      <c r="A1399" s="5" t="s">
        <v>3675</v>
      </c>
      <c r="B1399" s="5" t="s">
        <v>1432</v>
      </c>
      <c r="C1399" s="5" t="s">
        <v>2262</v>
      </c>
      <c r="D1399" s="5" t="s">
        <v>2311</v>
      </c>
      <c r="E1399" s="5" t="s">
        <v>59</v>
      </c>
      <c r="F1399" s="5" t="s">
        <v>59</v>
      </c>
      <c r="G1399" s="5" t="str">
        <f aca="false">INDEX(Risk_Matrix!$B$2:$D$4,MATCH(E1399,Risk_Matrix!$A$2:$A$4,0),MATCH(F1399,Risk_Matrix!$B$1:$D$1,0))</f>
        <v>Low</v>
      </c>
      <c r="H1399" s="12" t="n">
        <v>46228</v>
      </c>
      <c r="I1399" s="5" t="s">
        <v>2250</v>
      </c>
      <c r="J1399" s="5" t="s">
        <v>2251</v>
      </c>
      <c r="K1399" s="5" t="s">
        <v>2243</v>
      </c>
      <c r="L1399" s="5" t="n">
        <f aca="false">IF(G1399="High",3,IF(G1399="Medium",2,1))</f>
        <v>1</v>
      </c>
    </row>
    <row r="1400" customFormat="false" ht="15" hidden="false" customHeight="true" outlineLevel="0" collapsed="false">
      <c r="A1400" s="5" t="s">
        <v>3676</v>
      </c>
      <c r="B1400" s="5" t="s">
        <v>1434</v>
      </c>
      <c r="C1400" s="5" t="s">
        <v>2239</v>
      </c>
      <c r="D1400" s="5" t="s">
        <v>2303</v>
      </c>
      <c r="E1400" s="5" t="s">
        <v>2225</v>
      </c>
      <c r="F1400" s="5" t="s">
        <v>59</v>
      </c>
      <c r="G1400" s="5" t="str">
        <f aca="false">INDEX(Risk_Matrix!$B$2:$D$4,MATCH(E1400,Risk_Matrix!$A$2:$A$4,0),MATCH(F1400,Risk_Matrix!$B$1:$D$1,0))</f>
        <v>Low</v>
      </c>
      <c r="H1400" s="12" t="n">
        <v>46209</v>
      </c>
      <c r="I1400" s="5" t="s">
        <v>2250</v>
      </c>
      <c r="J1400" s="5" t="s">
        <v>2251</v>
      </c>
      <c r="K1400" s="5" t="s">
        <v>2266</v>
      </c>
      <c r="L1400" s="5" t="n">
        <f aca="false">IF(G1400="High",3,IF(G1400="Medium",2,1))</f>
        <v>1</v>
      </c>
    </row>
    <row r="1401" customFormat="false" ht="15" hidden="false" customHeight="true" outlineLevel="0" collapsed="false">
      <c r="A1401" s="5" t="s">
        <v>3677</v>
      </c>
      <c r="B1401" s="5" t="s">
        <v>1434</v>
      </c>
      <c r="C1401" s="5" t="s">
        <v>2245</v>
      </c>
      <c r="D1401" s="5" t="s">
        <v>2280</v>
      </c>
      <c r="E1401" s="5" t="s">
        <v>59</v>
      </c>
      <c r="F1401" s="5" t="s">
        <v>2225</v>
      </c>
      <c r="G1401" s="5" t="str">
        <f aca="false">INDEX(Risk_Matrix!$B$2:$D$4,MATCH(E1401,Risk_Matrix!$A$2:$A$4,0),MATCH(F1401,Risk_Matrix!$B$1:$D$1,0))</f>
        <v>Low</v>
      </c>
      <c r="H1401" s="12" t="n">
        <v>46173</v>
      </c>
      <c r="I1401" s="5" t="s">
        <v>2256</v>
      </c>
      <c r="J1401" s="5" t="s">
        <v>2257</v>
      </c>
      <c r="K1401" s="5" t="s">
        <v>2243</v>
      </c>
      <c r="L1401" s="5" t="n">
        <f aca="false">IF(G1401="High",3,IF(G1401="Medium",2,1))</f>
        <v>1</v>
      </c>
    </row>
    <row r="1402" customFormat="false" ht="15" hidden="false" customHeight="true" outlineLevel="0" collapsed="false">
      <c r="A1402" s="5" t="s">
        <v>3678</v>
      </c>
      <c r="B1402" s="5" t="s">
        <v>1434</v>
      </c>
      <c r="C1402" s="5" t="s">
        <v>2248</v>
      </c>
      <c r="D1402" s="5" t="s">
        <v>2249</v>
      </c>
      <c r="E1402" s="5" t="s">
        <v>2225</v>
      </c>
      <c r="F1402" s="5" t="s">
        <v>59</v>
      </c>
      <c r="G1402" s="5" t="str">
        <f aca="false">INDEX(Risk_Matrix!$B$2:$D$4,MATCH(E1402,Risk_Matrix!$A$2:$A$4,0),MATCH(F1402,Risk_Matrix!$B$1:$D$1,0))</f>
        <v>Low</v>
      </c>
      <c r="H1402" s="12" t="n">
        <v>46211</v>
      </c>
      <c r="I1402" s="5" t="s">
        <v>2250</v>
      </c>
      <c r="J1402" s="5" t="s">
        <v>2251</v>
      </c>
      <c r="K1402" s="5" t="s">
        <v>2276</v>
      </c>
      <c r="L1402" s="5" t="n">
        <f aca="false">IF(G1402="High",3,IF(G1402="Medium",2,1))</f>
        <v>1</v>
      </c>
    </row>
    <row r="1403" customFormat="false" ht="15" hidden="false" customHeight="true" outlineLevel="0" collapsed="false">
      <c r="A1403" s="5" t="s">
        <v>3679</v>
      </c>
      <c r="B1403" s="5" t="s">
        <v>1434</v>
      </c>
      <c r="C1403" s="5" t="s">
        <v>2254</v>
      </c>
      <c r="D1403" s="5" t="s">
        <v>2308</v>
      </c>
      <c r="E1403" s="5" t="s">
        <v>2225</v>
      </c>
      <c r="F1403" s="5" t="s">
        <v>54</v>
      </c>
      <c r="G1403" s="5" t="str">
        <f aca="false">INDEX(Risk_Matrix!$B$2:$D$4,MATCH(E1403,Risk_Matrix!$A$2:$A$4,0),MATCH(F1403,Risk_Matrix!$B$1:$D$1,0))</f>
        <v>High</v>
      </c>
      <c r="H1403" s="12" t="n">
        <v>46096</v>
      </c>
      <c r="I1403" s="5" t="s">
        <v>2241</v>
      </c>
      <c r="J1403" s="5" t="s">
        <v>2242</v>
      </c>
      <c r="K1403" s="5" t="s">
        <v>2243</v>
      </c>
      <c r="L1403" s="5" t="n">
        <f aca="false">IF(G1403="High",3,IF(G1403="Medium",2,1))</f>
        <v>3</v>
      </c>
    </row>
    <row r="1404" customFormat="false" ht="15" hidden="false" customHeight="true" outlineLevel="0" collapsed="false">
      <c r="A1404" s="5" t="s">
        <v>3680</v>
      </c>
      <c r="B1404" s="5" t="s">
        <v>1434</v>
      </c>
      <c r="C1404" s="5" t="s">
        <v>2259</v>
      </c>
      <c r="D1404" s="5" t="s">
        <v>2260</v>
      </c>
      <c r="E1404" s="5" t="s">
        <v>59</v>
      </c>
      <c r="F1404" s="5" t="s">
        <v>54</v>
      </c>
      <c r="G1404" s="5" t="str">
        <f aca="false">INDEX(Risk_Matrix!$B$2:$D$4,MATCH(E1404,Risk_Matrix!$A$2:$A$4,0),MATCH(F1404,Risk_Matrix!$B$1:$D$1,0))</f>
        <v>Medium</v>
      </c>
      <c r="H1404" s="12" t="n">
        <v>46211</v>
      </c>
      <c r="I1404" s="5" t="s">
        <v>2250</v>
      </c>
      <c r="J1404" s="5" t="s">
        <v>2251</v>
      </c>
      <c r="K1404" s="5" t="s">
        <v>2276</v>
      </c>
      <c r="L1404" s="5" t="n">
        <f aca="false">IF(G1404="High",3,IF(G1404="Medium",2,1))</f>
        <v>2</v>
      </c>
    </row>
    <row r="1405" customFormat="false" ht="15" hidden="false" customHeight="true" outlineLevel="0" collapsed="false">
      <c r="A1405" s="5" t="s">
        <v>3681</v>
      </c>
      <c r="B1405" s="5" t="s">
        <v>1434</v>
      </c>
      <c r="C1405" s="5" t="s">
        <v>2262</v>
      </c>
      <c r="D1405" s="5" t="s">
        <v>2287</v>
      </c>
      <c r="E1405" s="5" t="s">
        <v>59</v>
      </c>
      <c r="F1405" s="5" t="s">
        <v>59</v>
      </c>
      <c r="G1405" s="5" t="str">
        <f aca="false">INDEX(Risk_Matrix!$B$2:$D$4,MATCH(E1405,Risk_Matrix!$A$2:$A$4,0),MATCH(F1405,Risk_Matrix!$B$1:$D$1,0))</f>
        <v>Low</v>
      </c>
      <c r="H1405" s="12" t="n">
        <v>46061</v>
      </c>
      <c r="I1405" s="5" t="s">
        <v>2256</v>
      </c>
      <c r="J1405" s="5" t="s">
        <v>2257</v>
      </c>
      <c r="K1405" s="5" t="s">
        <v>2276</v>
      </c>
      <c r="L1405" s="5" t="n">
        <f aca="false">IF(G1405="High",3,IF(G1405="Medium",2,1))</f>
        <v>1</v>
      </c>
    </row>
    <row r="1406" customFormat="false" ht="15" hidden="false" customHeight="true" outlineLevel="0" collapsed="false">
      <c r="A1406" s="5" t="s">
        <v>3682</v>
      </c>
      <c r="B1406" s="5" t="s">
        <v>1435</v>
      </c>
      <c r="C1406" s="5" t="s">
        <v>2239</v>
      </c>
      <c r="D1406" s="5" t="s">
        <v>2303</v>
      </c>
      <c r="E1406" s="5" t="s">
        <v>59</v>
      </c>
      <c r="F1406" s="5" t="s">
        <v>59</v>
      </c>
      <c r="G1406" s="5" t="str">
        <f aca="false">INDEX(Risk_Matrix!$B$2:$D$4,MATCH(E1406,Risk_Matrix!$A$2:$A$4,0),MATCH(F1406,Risk_Matrix!$B$1:$D$1,0))</f>
        <v>Low</v>
      </c>
      <c r="H1406" s="12" t="n">
        <v>46125</v>
      </c>
      <c r="I1406" s="5" t="s">
        <v>2250</v>
      </c>
      <c r="J1406" s="5" t="s">
        <v>2251</v>
      </c>
      <c r="K1406" s="5" t="s">
        <v>2283</v>
      </c>
      <c r="L1406" s="5" t="n">
        <f aca="false">IF(G1406="High",3,IF(G1406="Medium",2,1))</f>
        <v>1</v>
      </c>
    </row>
    <row r="1407" customFormat="false" ht="15" hidden="false" customHeight="true" outlineLevel="0" collapsed="false">
      <c r="A1407" s="5" t="s">
        <v>3683</v>
      </c>
      <c r="B1407" s="5" t="s">
        <v>1435</v>
      </c>
      <c r="C1407" s="5" t="s">
        <v>2245</v>
      </c>
      <c r="D1407" s="5" t="s">
        <v>2246</v>
      </c>
      <c r="E1407" s="5" t="s">
        <v>2225</v>
      </c>
      <c r="F1407" s="5" t="s">
        <v>2225</v>
      </c>
      <c r="G1407" s="5" t="str">
        <f aca="false">INDEX(Risk_Matrix!$B$2:$D$4,MATCH(E1407,Risk_Matrix!$A$2:$A$4,0),MATCH(F1407,Risk_Matrix!$B$1:$D$1,0))</f>
        <v>Medium</v>
      </c>
      <c r="H1407" s="12" t="n">
        <v>46185</v>
      </c>
      <c r="I1407" s="5" t="s">
        <v>2241</v>
      </c>
      <c r="J1407" s="5" t="s">
        <v>2242</v>
      </c>
      <c r="K1407" s="5" t="s">
        <v>2252</v>
      </c>
      <c r="L1407" s="5" t="n">
        <f aca="false">IF(G1407="High",3,IF(G1407="Medium",2,1))</f>
        <v>2</v>
      </c>
    </row>
    <row r="1408" customFormat="false" ht="15" hidden="false" customHeight="true" outlineLevel="0" collapsed="false">
      <c r="A1408" s="5" t="s">
        <v>3684</v>
      </c>
      <c r="B1408" s="5" t="s">
        <v>1435</v>
      </c>
      <c r="C1408" s="5" t="s">
        <v>2248</v>
      </c>
      <c r="D1408" s="5" t="s">
        <v>2306</v>
      </c>
      <c r="E1408" s="5" t="s">
        <v>2225</v>
      </c>
      <c r="F1408" s="5" t="s">
        <v>54</v>
      </c>
      <c r="G1408" s="5" t="str">
        <f aca="false">INDEX(Risk_Matrix!$B$2:$D$4,MATCH(E1408,Risk_Matrix!$A$2:$A$4,0),MATCH(F1408,Risk_Matrix!$B$1:$D$1,0))</f>
        <v>High</v>
      </c>
      <c r="H1408" s="12" t="n">
        <v>46174</v>
      </c>
      <c r="I1408" s="5" t="s">
        <v>2256</v>
      </c>
      <c r="J1408" s="5" t="s">
        <v>2257</v>
      </c>
      <c r="K1408" s="5" t="s">
        <v>2266</v>
      </c>
      <c r="L1408" s="5" t="n">
        <f aca="false">IF(G1408="High",3,IF(G1408="Medium",2,1))</f>
        <v>3</v>
      </c>
    </row>
    <row r="1409" customFormat="false" ht="15" hidden="false" customHeight="true" outlineLevel="0" collapsed="false">
      <c r="A1409" s="5" t="s">
        <v>3685</v>
      </c>
      <c r="B1409" s="5" t="s">
        <v>1435</v>
      </c>
      <c r="C1409" s="5" t="s">
        <v>2254</v>
      </c>
      <c r="D1409" s="5" t="s">
        <v>2308</v>
      </c>
      <c r="E1409" s="5" t="s">
        <v>59</v>
      </c>
      <c r="F1409" s="5" t="s">
        <v>54</v>
      </c>
      <c r="G1409" s="5" t="str">
        <f aca="false">INDEX(Risk_Matrix!$B$2:$D$4,MATCH(E1409,Risk_Matrix!$A$2:$A$4,0),MATCH(F1409,Risk_Matrix!$B$1:$D$1,0))</f>
        <v>Medium</v>
      </c>
      <c r="H1409" s="12" t="n">
        <v>46141</v>
      </c>
      <c r="I1409" s="5" t="s">
        <v>2256</v>
      </c>
      <c r="J1409" s="5" t="s">
        <v>2257</v>
      </c>
      <c r="K1409" s="5" t="s">
        <v>2266</v>
      </c>
      <c r="L1409" s="5" t="n">
        <f aca="false">IF(G1409="High",3,IF(G1409="Medium",2,1))</f>
        <v>2</v>
      </c>
    </row>
    <row r="1410" customFormat="false" ht="15" hidden="false" customHeight="true" outlineLevel="0" collapsed="false">
      <c r="A1410" s="5" t="s">
        <v>3686</v>
      </c>
      <c r="B1410" s="5" t="s">
        <v>1435</v>
      </c>
      <c r="C1410" s="5" t="s">
        <v>2259</v>
      </c>
      <c r="D1410" s="5" t="s">
        <v>2274</v>
      </c>
      <c r="E1410" s="5" t="s">
        <v>2225</v>
      </c>
      <c r="F1410" s="5" t="s">
        <v>59</v>
      </c>
      <c r="G1410" s="5" t="str">
        <f aca="false">INDEX(Risk_Matrix!$B$2:$D$4,MATCH(E1410,Risk_Matrix!$A$2:$A$4,0),MATCH(F1410,Risk_Matrix!$B$1:$D$1,0))</f>
        <v>Low</v>
      </c>
      <c r="H1410" s="12" t="n">
        <v>46153</v>
      </c>
      <c r="I1410" s="5" t="s">
        <v>2250</v>
      </c>
      <c r="J1410" s="5" t="s">
        <v>2251</v>
      </c>
      <c r="K1410" s="5" t="s">
        <v>2243</v>
      </c>
      <c r="L1410" s="5" t="n">
        <f aca="false">IF(G1410="High",3,IF(G1410="Medium",2,1))</f>
        <v>1</v>
      </c>
    </row>
    <row r="1411" customFormat="false" ht="15" hidden="false" customHeight="true" outlineLevel="0" collapsed="false">
      <c r="A1411" s="5" t="s">
        <v>3687</v>
      </c>
      <c r="B1411" s="5" t="s">
        <v>1435</v>
      </c>
      <c r="C1411" s="5" t="s">
        <v>2262</v>
      </c>
      <c r="D1411" s="5" t="s">
        <v>2287</v>
      </c>
      <c r="E1411" s="5" t="s">
        <v>54</v>
      </c>
      <c r="F1411" s="5" t="s">
        <v>59</v>
      </c>
      <c r="G1411" s="5" t="str">
        <f aca="false">INDEX(Risk_Matrix!$B$2:$D$4,MATCH(E1411,Risk_Matrix!$A$2:$A$4,0),MATCH(F1411,Risk_Matrix!$B$1:$D$1,0))</f>
        <v>Medium</v>
      </c>
      <c r="H1411" s="12" t="n">
        <v>46103</v>
      </c>
      <c r="I1411" s="5" t="s">
        <v>2256</v>
      </c>
      <c r="J1411" s="5" t="s">
        <v>2257</v>
      </c>
      <c r="K1411" s="5" t="s">
        <v>2252</v>
      </c>
      <c r="L1411" s="5" t="n">
        <f aca="false">IF(G1411="High",3,IF(G1411="Medium",2,1))</f>
        <v>2</v>
      </c>
    </row>
    <row r="1412" customFormat="false" ht="15" hidden="false" customHeight="true" outlineLevel="0" collapsed="false">
      <c r="A1412" s="5" t="s">
        <v>3688</v>
      </c>
      <c r="B1412" s="5" t="s">
        <v>1438</v>
      </c>
      <c r="C1412" s="5" t="s">
        <v>2239</v>
      </c>
      <c r="D1412" s="5" t="s">
        <v>2303</v>
      </c>
      <c r="E1412" s="5" t="s">
        <v>59</v>
      </c>
      <c r="F1412" s="5" t="s">
        <v>54</v>
      </c>
      <c r="G1412" s="5" t="str">
        <f aca="false">INDEX(Risk_Matrix!$B$2:$D$4,MATCH(E1412,Risk_Matrix!$A$2:$A$4,0),MATCH(F1412,Risk_Matrix!$B$1:$D$1,0))</f>
        <v>Medium</v>
      </c>
      <c r="H1412" s="12" t="n">
        <v>46063</v>
      </c>
      <c r="I1412" s="5" t="s">
        <v>2256</v>
      </c>
      <c r="J1412" s="5" t="s">
        <v>2257</v>
      </c>
      <c r="K1412" s="5" t="s">
        <v>2276</v>
      </c>
      <c r="L1412" s="5" t="n">
        <f aca="false">IF(G1412="High",3,IF(G1412="Medium",2,1))</f>
        <v>2</v>
      </c>
    </row>
    <row r="1413" customFormat="false" ht="15" hidden="false" customHeight="true" outlineLevel="0" collapsed="false">
      <c r="A1413" s="5" t="s">
        <v>3689</v>
      </c>
      <c r="B1413" s="5" t="s">
        <v>1438</v>
      </c>
      <c r="C1413" s="5" t="s">
        <v>2245</v>
      </c>
      <c r="D1413" s="5" t="s">
        <v>2280</v>
      </c>
      <c r="E1413" s="5" t="s">
        <v>2225</v>
      </c>
      <c r="F1413" s="5" t="s">
        <v>59</v>
      </c>
      <c r="G1413" s="5" t="str">
        <f aca="false">INDEX(Risk_Matrix!$B$2:$D$4,MATCH(E1413,Risk_Matrix!$A$2:$A$4,0),MATCH(F1413,Risk_Matrix!$B$1:$D$1,0))</f>
        <v>Low</v>
      </c>
      <c r="H1413" s="12" t="n">
        <v>46156</v>
      </c>
      <c r="I1413" s="5" t="s">
        <v>2250</v>
      </c>
      <c r="J1413" s="5" t="s">
        <v>2251</v>
      </c>
      <c r="K1413" s="5" t="s">
        <v>2252</v>
      </c>
      <c r="L1413" s="5" t="n">
        <f aca="false">IF(G1413="High",3,IF(G1413="Medium",2,1))</f>
        <v>1</v>
      </c>
    </row>
    <row r="1414" customFormat="false" ht="15" hidden="false" customHeight="true" outlineLevel="0" collapsed="false">
      <c r="A1414" s="5" t="s">
        <v>3690</v>
      </c>
      <c r="B1414" s="5" t="s">
        <v>1438</v>
      </c>
      <c r="C1414" s="5" t="s">
        <v>2248</v>
      </c>
      <c r="D1414" s="5" t="s">
        <v>2306</v>
      </c>
      <c r="E1414" s="5" t="s">
        <v>59</v>
      </c>
      <c r="F1414" s="5" t="s">
        <v>59</v>
      </c>
      <c r="G1414" s="5" t="str">
        <f aca="false">INDEX(Risk_Matrix!$B$2:$D$4,MATCH(E1414,Risk_Matrix!$A$2:$A$4,0),MATCH(F1414,Risk_Matrix!$B$1:$D$1,0))</f>
        <v>Low</v>
      </c>
      <c r="H1414" s="12" t="n">
        <v>46141</v>
      </c>
      <c r="I1414" s="5" t="s">
        <v>2256</v>
      </c>
      <c r="J1414" s="5" t="s">
        <v>2257</v>
      </c>
      <c r="K1414" s="5" t="s">
        <v>2276</v>
      </c>
      <c r="L1414" s="5" t="n">
        <f aca="false">IF(G1414="High",3,IF(G1414="Medium",2,1))</f>
        <v>1</v>
      </c>
    </row>
    <row r="1415" customFormat="false" ht="15" hidden="false" customHeight="true" outlineLevel="0" collapsed="false">
      <c r="A1415" s="5" t="s">
        <v>3691</v>
      </c>
      <c r="B1415" s="5" t="s">
        <v>1438</v>
      </c>
      <c r="C1415" s="5" t="s">
        <v>2254</v>
      </c>
      <c r="D1415" s="5" t="s">
        <v>2299</v>
      </c>
      <c r="E1415" s="5" t="s">
        <v>59</v>
      </c>
      <c r="F1415" s="5" t="s">
        <v>59</v>
      </c>
      <c r="G1415" s="5" t="str">
        <f aca="false">INDEX(Risk_Matrix!$B$2:$D$4,MATCH(E1415,Risk_Matrix!$A$2:$A$4,0),MATCH(F1415,Risk_Matrix!$B$1:$D$1,0))</f>
        <v>Low</v>
      </c>
      <c r="H1415" s="12" t="n">
        <v>46181</v>
      </c>
      <c r="I1415" s="5" t="s">
        <v>2250</v>
      </c>
      <c r="J1415" s="5" t="s">
        <v>2251</v>
      </c>
      <c r="K1415" s="5" t="s">
        <v>2276</v>
      </c>
      <c r="L1415" s="5" t="n">
        <f aca="false">IF(G1415="High",3,IF(G1415="Medium",2,1))</f>
        <v>1</v>
      </c>
    </row>
    <row r="1416" customFormat="false" ht="15" hidden="false" customHeight="true" outlineLevel="0" collapsed="false">
      <c r="A1416" s="5" t="s">
        <v>3692</v>
      </c>
      <c r="B1416" s="5" t="s">
        <v>1438</v>
      </c>
      <c r="C1416" s="5" t="s">
        <v>2259</v>
      </c>
      <c r="D1416" s="5" t="s">
        <v>2285</v>
      </c>
      <c r="E1416" s="5" t="s">
        <v>2225</v>
      </c>
      <c r="F1416" s="5" t="s">
        <v>59</v>
      </c>
      <c r="G1416" s="5" t="str">
        <f aca="false">INDEX(Risk_Matrix!$B$2:$D$4,MATCH(E1416,Risk_Matrix!$A$2:$A$4,0),MATCH(F1416,Risk_Matrix!$B$1:$D$1,0))</f>
        <v>Low</v>
      </c>
      <c r="H1416" s="12" t="n">
        <v>46117</v>
      </c>
      <c r="I1416" s="5" t="s">
        <v>2264</v>
      </c>
      <c r="J1416" s="5" t="s">
        <v>2265</v>
      </c>
      <c r="K1416" s="5" t="s">
        <v>2283</v>
      </c>
      <c r="L1416" s="5" t="n">
        <f aca="false">IF(G1416="High",3,IF(G1416="Medium",2,1))</f>
        <v>1</v>
      </c>
    </row>
    <row r="1417" customFormat="false" ht="15" hidden="false" customHeight="true" outlineLevel="0" collapsed="false">
      <c r="A1417" s="5" t="s">
        <v>3693</v>
      </c>
      <c r="B1417" s="5" t="s">
        <v>1438</v>
      </c>
      <c r="C1417" s="5" t="s">
        <v>2262</v>
      </c>
      <c r="D1417" s="5" t="s">
        <v>2263</v>
      </c>
      <c r="E1417" s="5" t="s">
        <v>59</v>
      </c>
      <c r="F1417" s="5" t="s">
        <v>2225</v>
      </c>
      <c r="G1417" s="5" t="str">
        <f aca="false">INDEX(Risk_Matrix!$B$2:$D$4,MATCH(E1417,Risk_Matrix!$A$2:$A$4,0),MATCH(F1417,Risk_Matrix!$B$1:$D$1,0))</f>
        <v>Low</v>
      </c>
      <c r="H1417" s="12" t="n">
        <v>46178</v>
      </c>
      <c r="I1417" s="5" t="s">
        <v>2256</v>
      </c>
      <c r="J1417" s="5" t="s">
        <v>2257</v>
      </c>
      <c r="K1417" s="5" t="s">
        <v>2243</v>
      </c>
      <c r="L1417" s="5" t="n">
        <f aca="false">IF(G1417="High",3,IF(G1417="Medium",2,1))</f>
        <v>1</v>
      </c>
    </row>
    <row r="1418" customFormat="false" ht="15" hidden="false" customHeight="true" outlineLevel="0" collapsed="false">
      <c r="A1418" s="5" t="s">
        <v>3694</v>
      </c>
      <c r="B1418" s="5" t="s">
        <v>1440</v>
      </c>
      <c r="C1418" s="5" t="s">
        <v>2239</v>
      </c>
      <c r="D1418" s="5" t="s">
        <v>2278</v>
      </c>
      <c r="E1418" s="5" t="s">
        <v>59</v>
      </c>
      <c r="F1418" s="5" t="s">
        <v>54</v>
      </c>
      <c r="G1418" s="5" t="str">
        <f aca="false">INDEX(Risk_Matrix!$B$2:$D$4,MATCH(E1418,Risk_Matrix!$A$2:$A$4,0),MATCH(F1418,Risk_Matrix!$B$1:$D$1,0))</f>
        <v>Medium</v>
      </c>
      <c r="H1418" s="12" t="n">
        <v>46199</v>
      </c>
      <c r="I1418" s="5" t="s">
        <v>2250</v>
      </c>
      <c r="J1418" s="5" t="s">
        <v>2251</v>
      </c>
      <c r="K1418" s="5" t="s">
        <v>2243</v>
      </c>
      <c r="L1418" s="5" t="n">
        <f aca="false">IF(G1418="High",3,IF(G1418="Medium",2,1))</f>
        <v>2</v>
      </c>
    </row>
    <row r="1419" customFormat="false" ht="15" hidden="false" customHeight="true" outlineLevel="0" collapsed="false">
      <c r="A1419" s="5" t="s">
        <v>3695</v>
      </c>
      <c r="B1419" s="5" t="s">
        <v>1440</v>
      </c>
      <c r="C1419" s="5" t="s">
        <v>2245</v>
      </c>
      <c r="D1419" s="5" t="s">
        <v>2269</v>
      </c>
      <c r="E1419" s="5" t="s">
        <v>59</v>
      </c>
      <c r="F1419" s="5" t="s">
        <v>59</v>
      </c>
      <c r="G1419" s="5" t="str">
        <f aca="false">INDEX(Risk_Matrix!$B$2:$D$4,MATCH(E1419,Risk_Matrix!$A$2:$A$4,0),MATCH(F1419,Risk_Matrix!$B$1:$D$1,0))</f>
        <v>Low</v>
      </c>
      <c r="H1419" s="12" t="n">
        <v>46139</v>
      </c>
      <c r="I1419" s="5" t="s">
        <v>2250</v>
      </c>
      <c r="J1419" s="5" t="s">
        <v>2251</v>
      </c>
      <c r="K1419" s="5" t="s">
        <v>2252</v>
      </c>
      <c r="L1419" s="5" t="n">
        <f aca="false">IF(G1419="High",3,IF(G1419="Medium",2,1))</f>
        <v>1</v>
      </c>
    </row>
    <row r="1420" customFormat="false" ht="15" hidden="false" customHeight="true" outlineLevel="0" collapsed="false">
      <c r="A1420" s="5" t="s">
        <v>3696</v>
      </c>
      <c r="B1420" s="5" t="s">
        <v>1440</v>
      </c>
      <c r="C1420" s="5" t="s">
        <v>2248</v>
      </c>
      <c r="D1420" s="5" t="s">
        <v>2322</v>
      </c>
      <c r="E1420" s="5" t="s">
        <v>59</v>
      </c>
      <c r="F1420" s="5" t="s">
        <v>59</v>
      </c>
      <c r="G1420" s="5" t="str">
        <f aca="false">INDEX(Risk_Matrix!$B$2:$D$4,MATCH(E1420,Risk_Matrix!$A$2:$A$4,0),MATCH(F1420,Risk_Matrix!$B$1:$D$1,0))</f>
        <v>Low</v>
      </c>
      <c r="H1420" s="12" t="n">
        <v>46202</v>
      </c>
      <c r="I1420" s="5" t="s">
        <v>2264</v>
      </c>
      <c r="J1420" s="5" t="s">
        <v>2265</v>
      </c>
      <c r="K1420" s="5" t="s">
        <v>2276</v>
      </c>
      <c r="L1420" s="5" t="n">
        <f aca="false">IF(G1420="High",3,IF(G1420="Medium",2,1))</f>
        <v>1</v>
      </c>
    </row>
    <row r="1421" customFormat="false" ht="15" hidden="false" customHeight="true" outlineLevel="0" collapsed="false">
      <c r="A1421" s="5" t="s">
        <v>3697</v>
      </c>
      <c r="B1421" s="5" t="s">
        <v>1440</v>
      </c>
      <c r="C1421" s="5" t="s">
        <v>2254</v>
      </c>
      <c r="D1421" s="5" t="s">
        <v>2308</v>
      </c>
      <c r="E1421" s="5" t="s">
        <v>59</v>
      </c>
      <c r="F1421" s="5" t="s">
        <v>54</v>
      </c>
      <c r="G1421" s="5" t="str">
        <f aca="false">INDEX(Risk_Matrix!$B$2:$D$4,MATCH(E1421,Risk_Matrix!$A$2:$A$4,0),MATCH(F1421,Risk_Matrix!$B$1:$D$1,0))</f>
        <v>Medium</v>
      </c>
      <c r="H1421" s="12" t="n">
        <v>46136</v>
      </c>
      <c r="I1421" s="5" t="s">
        <v>2264</v>
      </c>
      <c r="J1421" s="5" t="s">
        <v>2265</v>
      </c>
      <c r="K1421" s="5" t="s">
        <v>2266</v>
      </c>
      <c r="L1421" s="5" t="n">
        <f aca="false">IF(G1421="High",3,IF(G1421="Medium",2,1))</f>
        <v>2</v>
      </c>
    </row>
    <row r="1422" customFormat="false" ht="15" hidden="false" customHeight="true" outlineLevel="0" collapsed="false">
      <c r="A1422" s="5" t="s">
        <v>3698</v>
      </c>
      <c r="B1422" s="5" t="s">
        <v>1440</v>
      </c>
      <c r="C1422" s="5" t="s">
        <v>2259</v>
      </c>
      <c r="D1422" s="5" t="s">
        <v>2285</v>
      </c>
      <c r="E1422" s="5" t="s">
        <v>59</v>
      </c>
      <c r="F1422" s="5" t="s">
        <v>54</v>
      </c>
      <c r="G1422" s="5" t="str">
        <f aca="false">INDEX(Risk_Matrix!$B$2:$D$4,MATCH(E1422,Risk_Matrix!$A$2:$A$4,0),MATCH(F1422,Risk_Matrix!$B$1:$D$1,0))</f>
        <v>Medium</v>
      </c>
      <c r="H1422" s="12" t="n">
        <v>46132</v>
      </c>
      <c r="I1422" s="5" t="s">
        <v>2250</v>
      </c>
      <c r="J1422" s="5" t="s">
        <v>2251</v>
      </c>
      <c r="K1422" s="5" t="s">
        <v>2243</v>
      </c>
      <c r="L1422" s="5" t="n">
        <f aca="false">IF(G1422="High",3,IF(G1422="Medium",2,1))</f>
        <v>2</v>
      </c>
    </row>
    <row r="1423" customFormat="false" ht="15" hidden="false" customHeight="true" outlineLevel="0" collapsed="false">
      <c r="A1423" s="5" t="s">
        <v>3699</v>
      </c>
      <c r="B1423" s="5" t="s">
        <v>1440</v>
      </c>
      <c r="C1423" s="5" t="s">
        <v>2262</v>
      </c>
      <c r="D1423" s="5" t="s">
        <v>2263</v>
      </c>
      <c r="E1423" s="5" t="s">
        <v>59</v>
      </c>
      <c r="F1423" s="5" t="s">
        <v>54</v>
      </c>
      <c r="G1423" s="5" t="str">
        <f aca="false">INDEX(Risk_Matrix!$B$2:$D$4,MATCH(E1423,Risk_Matrix!$A$2:$A$4,0),MATCH(F1423,Risk_Matrix!$B$1:$D$1,0))</f>
        <v>Medium</v>
      </c>
      <c r="H1423" s="12" t="n">
        <v>46152</v>
      </c>
      <c r="I1423" s="5" t="s">
        <v>2250</v>
      </c>
      <c r="J1423" s="5" t="s">
        <v>2251</v>
      </c>
      <c r="K1423" s="5" t="s">
        <v>2252</v>
      </c>
      <c r="L1423" s="5" t="n">
        <f aca="false">IF(G1423="High",3,IF(G1423="Medium",2,1))</f>
        <v>2</v>
      </c>
    </row>
    <row r="1424" customFormat="false" ht="15" hidden="false" customHeight="true" outlineLevel="0" collapsed="false">
      <c r="A1424" s="5" t="s">
        <v>3700</v>
      </c>
      <c r="B1424" s="5" t="s">
        <v>1442</v>
      </c>
      <c r="C1424" s="5" t="s">
        <v>2239</v>
      </c>
      <c r="D1424" s="5" t="s">
        <v>2295</v>
      </c>
      <c r="E1424" s="5" t="s">
        <v>59</v>
      </c>
      <c r="F1424" s="5" t="s">
        <v>2225</v>
      </c>
      <c r="G1424" s="5" t="str">
        <f aca="false">INDEX(Risk_Matrix!$B$2:$D$4,MATCH(E1424,Risk_Matrix!$A$2:$A$4,0),MATCH(F1424,Risk_Matrix!$B$1:$D$1,0))</f>
        <v>Low</v>
      </c>
      <c r="H1424" s="12" t="n">
        <v>46190</v>
      </c>
      <c r="I1424" s="5" t="s">
        <v>2256</v>
      </c>
      <c r="J1424" s="5" t="s">
        <v>2257</v>
      </c>
      <c r="K1424" s="5" t="s">
        <v>2283</v>
      </c>
      <c r="L1424" s="5" t="n">
        <f aca="false">IF(G1424="High",3,IF(G1424="Medium",2,1))</f>
        <v>1</v>
      </c>
    </row>
    <row r="1425" customFormat="false" ht="15" hidden="false" customHeight="true" outlineLevel="0" collapsed="false">
      <c r="A1425" s="5" t="s">
        <v>3701</v>
      </c>
      <c r="B1425" s="5" t="s">
        <v>1442</v>
      </c>
      <c r="C1425" s="5" t="s">
        <v>2245</v>
      </c>
      <c r="D1425" s="5" t="s">
        <v>2320</v>
      </c>
      <c r="E1425" s="5" t="s">
        <v>54</v>
      </c>
      <c r="F1425" s="5" t="s">
        <v>2225</v>
      </c>
      <c r="G1425" s="5" t="str">
        <f aca="false">INDEX(Risk_Matrix!$B$2:$D$4,MATCH(E1425,Risk_Matrix!$A$2:$A$4,0),MATCH(F1425,Risk_Matrix!$B$1:$D$1,0))</f>
        <v>High</v>
      </c>
      <c r="H1425" s="12" t="n">
        <v>46145</v>
      </c>
      <c r="I1425" s="5" t="s">
        <v>2264</v>
      </c>
      <c r="J1425" s="5" t="s">
        <v>2265</v>
      </c>
      <c r="K1425" s="5" t="s">
        <v>2243</v>
      </c>
      <c r="L1425" s="5" t="n">
        <f aca="false">IF(G1425="High",3,IF(G1425="Medium",2,1))</f>
        <v>3</v>
      </c>
    </row>
    <row r="1426" customFormat="false" ht="15" hidden="false" customHeight="true" outlineLevel="0" collapsed="false">
      <c r="A1426" s="5" t="s">
        <v>3702</v>
      </c>
      <c r="B1426" s="5" t="s">
        <v>1442</v>
      </c>
      <c r="C1426" s="5" t="s">
        <v>2248</v>
      </c>
      <c r="D1426" s="5" t="s">
        <v>2271</v>
      </c>
      <c r="E1426" s="5" t="s">
        <v>59</v>
      </c>
      <c r="F1426" s="5" t="s">
        <v>59</v>
      </c>
      <c r="G1426" s="5" t="str">
        <f aca="false">INDEX(Risk_Matrix!$B$2:$D$4,MATCH(E1426,Risk_Matrix!$A$2:$A$4,0),MATCH(F1426,Risk_Matrix!$B$1:$D$1,0))</f>
        <v>Low</v>
      </c>
      <c r="H1426" s="12" t="n">
        <v>46118</v>
      </c>
      <c r="I1426" s="5" t="s">
        <v>2256</v>
      </c>
      <c r="J1426" s="5" t="s">
        <v>2257</v>
      </c>
      <c r="K1426" s="5" t="s">
        <v>2276</v>
      </c>
      <c r="L1426" s="5" t="n">
        <f aca="false">IF(G1426="High",3,IF(G1426="Medium",2,1))</f>
        <v>1</v>
      </c>
    </row>
    <row r="1427" customFormat="false" ht="15" hidden="false" customHeight="true" outlineLevel="0" collapsed="false">
      <c r="A1427" s="5" t="s">
        <v>3703</v>
      </c>
      <c r="B1427" s="5" t="s">
        <v>1442</v>
      </c>
      <c r="C1427" s="5" t="s">
        <v>2254</v>
      </c>
      <c r="D1427" s="5" t="s">
        <v>2299</v>
      </c>
      <c r="E1427" s="5" t="s">
        <v>2225</v>
      </c>
      <c r="F1427" s="5" t="s">
        <v>59</v>
      </c>
      <c r="G1427" s="5" t="str">
        <f aca="false">INDEX(Risk_Matrix!$B$2:$D$4,MATCH(E1427,Risk_Matrix!$A$2:$A$4,0),MATCH(F1427,Risk_Matrix!$B$1:$D$1,0))</f>
        <v>Low</v>
      </c>
      <c r="H1427" s="12" t="n">
        <v>46079</v>
      </c>
      <c r="I1427" s="5" t="s">
        <v>2264</v>
      </c>
      <c r="J1427" s="5" t="s">
        <v>2265</v>
      </c>
      <c r="K1427" s="5" t="s">
        <v>2243</v>
      </c>
      <c r="L1427" s="5" t="n">
        <f aca="false">IF(G1427="High",3,IF(G1427="Medium",2,1))</f>
        <v>1</v>
      </c>
    </row>
    <row r="1428" customFormat="false" ht="15" hidden="false" customHeight="true" outlineLevel="0" collapsed="false">
      <c r="A1428" s="5" t="s">
        <v>3704</v>
      </c>
      <c r="B1428" s="5" t="s">
        <v>1442</v>
      </c>
      <c r="C1428" s="5" t="s">
        <v>2259</v>
      </c>
      <c r="D1428" s="5" t="s">
        <v>2260</v>
      </c>
      <c r="E1428" s="5" t="s">
        <v>59</v>
      </c>
      <c r="F1428" s="5" t="s">
        <v>59</v>
      </c>
      <c r="G1428" s="5" t="str">
        <f aca="false">INDEX(Risk_Matrix!$B$2:$D$4,MATCH(E1428,Risk_Matrix!$A$2:$A$4,0),MATCH(F1428,Risk_Matrix!$B$1:$D$1,0))</f>
        <v>Low</v>
      </c>
      <c r="H1428" s="12" t="n">
        <v>46070</v>
      </c>
      <c r="I1428" s="5" t="s">
        <v>2264</v>
      </c>
      <c r="J1428" s="5" t="s">
        <v>2265</v>
      </c>
      <c r="K1428" s="5" t="s">
        <v>2243</v>
      </c>
      <c r="L1428" s="5" t="n">
        <f aca="false">IF(G1428="High",3,IF(G1428="Medium",2,1))</f>
        <v>1</v>
      </c>
    </row>
    <row r="1429" customFormat="false" ht="15" hidden="false" customHeight="true" outlineLevel="0" collapsed="false">
      <c r="A1429" s="5" t="s">
        <v>3705</v>
      </c>
      <c r="B1429" s="5" t="s">
        <v>1442</v>
      </c>
      <c r="C1429" s="5" t="s">
        <v>2262</v>
      </c>
      <c r="D1429" s="5" t="s">
        <v>2263</v>
      </c>
      <c r="E1429" s="5" t="s">
        <v>59</v>
      </c>
      <c r="F1429" s="5" t="s">
        <v>54</v>
      </c>
      <c r="G1429" s="5" t="str">
        <f aca="false">INDEX(Risk_Matrix!$B$2:$D$4,MATCH(E1429,Risk_Matrix!$A$2:$A$4,0),MATCH(F1429,Risk_Matrix!$B$1:$D$1,0))</f>
        <v>Medium</v>
      </c>
      <c r="H1429" s="12" t="n">
        <v>46186</v>
      </c>
      <c r="I1429" s="5" t="s">
        <v>2256</v>
      </c>
      <c r="J1429" s="5" t="s">
        <v>2257</v>
      </c>
      <c r="K1429" s="5" t="s">
        <v>2243</v>
      </c>
      <c r="L1429" s="5" t="n">
        <f aca="false">IF(G1429="High",3,IF(G1429="Medium",2,1))</f>
        <v>2</v>
      </c>
    </row>
    <row r="1430" customFormat="false" ht="15" hidden="false" customHeight="true" outlineLevel="0" collapsed="false">
      <c r="A1430" s="5" t="s">
        <v>3706</v>
      </c>
      <c r="B1430" s="5" t="s">
        <v>1445</v>
      </c>
      <c r="C1430" s="5" t="s">
        <v>2239</v>
      </c>
      <c r="D1430" s="5" t="s">
        <v>2303</v>
      </c>
      <c r="E1430" s="5" t="s">
        <v>59</v>
      </c>
      <c r="F1430" s="5" t="s">
        <v>2225</v>
      </c>
      <c r="G1430" s="5" t="str">
        <f aca="false">INDEX(Risk_Matrix!$B$2:$D$4,MATCH(E1430,Risk_Matrix!$A$2:$A$4,0),MATCH(F1430,Risk_Matrix!$B$1:$D$1,0))</f>
        <v>Low</v>
      </c>
      <c r="H1430" s="12" t="n">
        <v>46199</v>
      </c>
      <c r="I1430" s="5" t="s">
        <v>2250</v>
      </c>
      <c r="J1430" s="5" t="s">
        <v>2251</v>
      </c>
      <c r="K1430" s="5" t="s">
        <v>2243</v>
      </c>
      <c r="L1430" s="5" t="n">
        <f aca="false">IF(G1430="High",3,IF(G1430="Medium",2,1))</f>
        <v>1</v>
      </c>
    </row>
    <row r="1431" customFormat="false" ht="15" hidden="false" customHeight="true" outlineLevel="0" collapsed="false">
      <c r="A1431" s="5" t="s">
        <v>3707</v>
      </c>
      <c r="B1431" s="5" t="s">
        <v>1445</v>
      </c>
      <c r="C1431" s="5" t="s">
        <v>2245</v>
      </c>
      <c r="D1431" s="5" t="s">
        <v>2320</v>
      </c>
      <c r="E1431" s="5" t="s">
        <v>59</v>
      </c>
      <c r="F1431" s="5" t="s">
        <v>59</v>
      </c>
      <c r="G1431" s="5" t="str">
        <f aca="false">INDEX(Risk_Matrix!$B$2:$D$4,MATCH(E1431,Risk_Matrix!$A$2:$A$4,0),MATCH(F1431,Risk_Matrix!$B$1:$D$1,0))</f>
        <v>Low</v>
      </c>
      <c r="H1431" s="12" t="n">
        <v>46205</v>
      </c>
      <c r="I1431" s="5" t="s">
        <v>2256</v>
      </c>
      <c r="J1431" s="5" t="s">
        <v>2257</v>
      </c>
      <c r="K1431" s="5" t="s">
        <v>2243</v>
      </c>
      <c r="L1431" s="5" t="n">
        <f aca="false">IF(G1431="High",3,IF(G1431="Medium",2,1))</f>
        <v>1</v>
      </c>
    </row>
    <row r="1432" customFormat="false" ht="15" hidden="false" customHeight="true" outlineLevel="0" collapsed="false">
      <c r="A1432" s="5" t="s">
        <v>3708</v>
      </c>
      <c r="B1432" s="5" t="s">
        <v>1445</v>
      </c>
      <c r="C1432" s="5" t="s">
        <v>2248</v>
      </c>
      <c r="D1432" s="5" t="s">
        <v>2249</v>
      </c>
      <c r="E1432" s="5" t="s">
        <v>2225</v>
      </c>
      <c r="F1432" s="5" t="s">
        <v>2225</v>
      </c>
      <c r="G1432" s="5" t="str">
        <f aca="false">INDEX(Risk_Matrix!$B$2:$D$4,MATCH(E1432,Risk_Matrix!$A$2:$A$4,0),MATCH(F1432,Risk_Matrix!$B$1:$D$1,0))</f>
        <v>Medium</v>
      </c>
      <c r="H1432" s="12" t="n">
        <v>46078</v>
      </c>
      <c r="I1432" s="5" t="s">
        <v>2250</v>
      </c>
      <c r="J1432" s="5" t="s">
        <v>2251</v>
      </c>
      <c r="K1432" s="5" t="s">
        <v>2276</v>
      </c>
      <c r="L1432" s="5" t="n">
        <f aca="false">IF(G1432="High",3,IF(G1432="Medium",2,1))</f>
        <v>2</v>
      </c>
    </row>
    <row r="1433" customFormat="false" ht="15" hidden="false" customHeight="true" outlineLevel="0" collapsed="false">
      <c r="A1433" s="5" t="s">
        <v>3709</v>
      </c>
      <c r="B1433" s="5" t="s">
        <v>1445</v>
      </c>
      <c r="C1433" s="5" t="s">
        <v>2254</v>
      </c>
      <c r="D1433" s="5" t="s">
        <v>2299</v>
      </c>
      <c r="E1433" s="5" t="s">
        <v>59</v>
      </c>
      <c r="F1433" s="5" t="s">
        <v>59</v>
      </c>
      <c r="G1433" s="5" t="str">
        <f aca="false">INDEX(Risk_Matrix!$B$2:$D$4,MATCH(E1433,Risk_Matrix!$A$2:$A$4,0),MATCH(F1433,Risk_Matrix!$B$1:$D$1,0))</f>
        <v>Low</v>
      </c>
      <c r="H1433" s="12" t="n">
        <v>46225</v>
      </c>
      <c r="I1433" s="5" t="s">
        <v>2256</v>
      </c>
      <c r="J1433" s="5" t="s">
        <v>2257</v>
      </c>
      <c r="K1433" s="5" t="s">
        <v>2252</v>
      </c>
      <c r="L1433" s="5" t="n">
        <f aca="false">IF(G1433="High",3,IF(G1433="Medium",2,1))</f>
        <v>1</v>
      </c>
    </row>
    <row r="1434" customFormat="false" ht="15" hidden="false" customHeight="true" outlineLevel="0" collapsed="false">
      <c r="A1434" s="5" t="s">
        <v>3710</v>
      </c>
      <c r="B1434" s="5" t="s">
        <v>1445</v>
      </c>
      <c r="C1434" s="5" t="s">
        <v>2259</v>
      </c>
      <c r="D1434" s="5" t="s">
        <v>2260</v>
      </c>
      <c r="E1434" s="5" t="s">
        <v>59</v>
      </c>
      <c r="F1434" s="5" t="s">
        <v>54</v>
      </c>
      <c r="G1434" s="5" t="str">
        <f aca="false">INDEX(Risk_Matrix!$B$2:$D$4,MATCH(E1434,Risk_Matrix!$A$2:$A$4,0),MATCH(F1434,Risk_Matrix!$B$1:$D$1,0))</f>
        <v>Medium</v>
      </c>
      <c r="H1434" s="12" t="n">
        <v>46200</v>
      </c>
      <c r="I1434" s="5" t="s">
        <v>2256</v>
      </c>
      <c r="J1434" s="5" t="s">
        <v>2257</v>
      </c>
      <c r="K1434" s="5" t="s">
        <v>2266</v>
      </c>
      <c r="L1434" s="5" t="n">
        <f aca="false">IF(G1434="High",3,IF(G1434="Medium",2,1))</f>
        <v>2</v>
      </c>
    </row>
    <row r="1435" customFormat="false" ht="15" hidden="false" customHeight="true" outlineLevel="0" collapsed="false">
      <c r="A1435" s="5" t="s">
        <v>3711</v>
      </c>
      <c r="B1435" s="5" t="s">
        <v>1445</v>
      </c>
      <c r="C1435" s="5" t="s">
        <v>2262</v>
      </c>
      <c r="D1435" s="5" t="s">
        <v>2311</v>
      </c>
      <c r="E1435" s="5" t="s">
        <v>2225</v>
      </c>
      <c r="F1435" s="5" t="s">
        <v>59</v>
      </c>
      <c r="G1435" s="5" t="str">
        <f aca="false">INDEX(Risk_Matrix!$B$2:$D$4,MATCH(E1435,Risk_Matrix!$A$2:$A$4,0),MATCH(F1435,Risk_Matrix!$B$1:$D$1,0))</f>
        <v>Low</v>
      </c>
      <c r="H1435" s="12" t="n">
        <v>46089</v>
      </c>
      <c r="I1435" s="5" t="s">
        <v>2264</v>
      </c>
      <c r="J1435" s="5" t="s">
        <v>2265</v>
      </c>
      <c r="K1435" s="5" t="s">
        <v>2243</v>
      </c>
      <c r="L1435" s="5" t="n">
        <f aca="false">IF(G1435="High",3,IF(G1435="Medium",2,1))</f>
        <v>1</v>
      </c>
    </row>
    <row r="1436" customFormat="false" ht="15" hidden="false" customHeight="true" outlineLevel="0" collapsed="false">
      <c r="A1436" s="5" t="s">
        <v>3712</v>
      </c>
      <c r="B1436" s="5" t="s">
        <v>1448</v>
      </c>
      <c r="C1436" s="5" t="s">
        <v>2239</v>
      </c>
      <c r="D1436" s="5" t="s">
        <v>2295</v>
      </c>
      <c r="E1436" s="5" t="s">
        <v>59</v>
      </c>
      <c r="F1436" s="5" t="s">
        <v>59</v>
      </c>
      <c r="G1436" s="5" t="str">
        <f aca="false">INDEX(Risk_Matrix!$B$2:$D$4,MATCH(E1436,Risk_Matrix!$A$2:$A$4,0),MATCH(F1436,Risk_Matrix!$B$1:$D$1,0))</f>
        <v>Low</v>
      </c>
      <c r="H1436" s="12" t="n">
        <v>46095</v>
      </c>
      <c r="I1436" s="5" t="s">
        <v>2256</v>
      </c>
      <c r="J1436" s="5" t="s">
        <v>2257</v>
      </c>
      <c r="K1436" s="5" t="s">
        <v>2266</v>
      </c>
      <c r="L1436" s="5" t="n">
        <f aca="false">IF(G1436="High",3,IF(G1436="Medium",2,1))</f>
        <v>1</v>
      </c>
    </row>
    <row r="1437" customFormat="false" ht="15" hidden="false" customHeight="true" outlineLevel="0" collapsed="false">
      <c r="A1437" s="5" t="s">
        <v>3713</v>
      </c>
      <c r="B1437" s="5" t="s">
        <v>1448</v>
      </c>
      <c r="C1437" s="5" t="s">
        <v>2245</v>
      </c>
      <c r="D1437" s="5" t="s">
        <v>2320</v>
      </c>
      <c r="E1437" s="5" t="s">
        <v>59</v>
      </c>
      <c r="F1437" s="5" t="s">
        <v>59</v>
      </c>
      <c r="G1437" s="5" t="str">
        <f aca="false">INDEX(Risk_Matrix!$B$2:$D$4,MATCH(E1437,Risk_Matrix!$A$2:$A$4,0),MATCH(F1437,Risk_Matrix!$B$1:$D$1,0))</f>
        <v>Low</v>
      </c>
      <c r="H1437" s="12" t="n">
        <v>46134</v>
      </c>
      <c r="I1437" s="5" t="s">
        <v>2264</v>
      </c>
      <c r="J1437" s="5" t="s">
        <v>2265</v>
      </c>
      <c r="K1437" s="5" t="s">
        <v>2266</v>
      </c>
      <c r="L1437" s="5" t="n">
        <f aca="false">IF(G1437="High",3,IF(G1437="Medium",2,1))</f>
        <v>1</v>
      </c>
    </row>
    <row r="1438" customFormat="false" ht="15" hidden="false" customHeight="true" outlineLevel="0" collapsed="false">
      <c r="A1438" s="5" t="s">
        <v>3714</v>
      </c>
      <c r="B1438" s="5" t="s">
        <v>1448</v>
      </c>
      <c r="C1438" s="5" t="s">
        <v>2248</v>
      </c>
      <c r="D1438" s="5" t="s">
        <v>2271</v>
      </c>
      <c r="E1438" s="5" t="s">
        <v>2225</v>
      </c>
      <c r="F1438" s="5" t="s">
        <v>59</v>
      </c>
      <c r="G1438" s="5" t="str">
        <f aca="false">INDEX(Risk_Matrix!$B$2:$D$4,MATCH(E1438,Risk_Matrix!$A$2:$A$4,0),MATCH(F1438,Risk_Matrix!$B$1:$D$1,0))</f>
        <v>Low</v>
      </c>
      <c r="H1438" s="12" t="n">
        <v>46175</v>
      </c>
      <c r="I1438" s="5" t="s">
        <v>2264</v>
      </c>
      <c r="J1438" s="5" t="s">
        <v>2265</v>
      </c>
      <c r="K1438" s="5" t="s">
        <v>2276</v>
      </c>
      <c r="L1438" s="5" t="n">
        <f aca="false">IF(G1438="High",3,IF(G1438="Medium",2,1))</f>
        <v>1</v>
      </c>
    </row>
    <row r="1439" customFormat="false" ht="15" hidden="false" customHeight="true" outlineLevel="0" collapsed="false">
      <c r="A1439" s="5" t="s">
        <v>3715</v>
      </c>
      <c r="B1439" s="5" t="s">
        <v>1448</v>
      </c>
      <c r="C1439" s="5" t="s">
        <v>2254</v>
      </c>
      <c r="D1439" s="5" t="s">
        <v>2299</v>
      </c>
      <c r="E1439" s="5" t="s">
        <v>54</v>
      </c>
      <c r="F1439" s="5" t="s">
        <v>54</v>
      </c>
      <c r="G1439" s="5" t="str">
        <f aca="false">INDEX(Risk_Matrix!$B$2:$D$4,MATCH(E1439,Risk_Matrix!$A$2:$A$4,0),MATCH(F1439,Risk_Matrix!$B$1:$D$1,0))</f>
        <v>High</v>
      </c>
      <c r="H1439" s="12" t="n">
        <v>46228</v>
      </c>
      <c r="I1439" s="5" t="s">
        <v>2256</v>
      </c>
      <c r="J1439" s="5" t="s">
        <v>2257</v>
      </c>
      <c r="K1439" s="5" t="s">
        <v>2266</v>
      </c>
      <c r="L1439" s="5" t="n">
        <f aca="false">IF(G1439="High",3,IF(G1439="Medium",2,1))</f>
        <v>3</v>
      </c>
    </row>
    <row r="1440" customFormat="false" ht="15" hidden="false" customHeight="true" outlineLevel="0" collapsed="false">
      <c r="A1440" s="5" t="s">
        <v>3716</v>
      </c>
      <c r="B1440" s="5" t="s">
        <v>1448</v>
      </c>
      <c r="C1440" s="5" t="s">
        <v>2259</v>
      </c>
      <c r="D1440" s="5" t="s">
        <v>2274</v>
      </c>
      <c r="E1440" s="5" t="s">
        <v>59</v>
      </c>
      <c r="F1440" s="5" t="s">
        <v>59</v>
      </c>
      <c r="G1440" s="5" t="str">
        <f aca="false">INDEX(Risk_Matrix!$B$2:$D$4,MATCH(E1440,Risk_Matrix!$A$2:$A$4,0),MATCH(F1440,Risk_Matrix!$B$1:$D$1,0))</f>
        <v>Low</v>
      </c>
      <c r="H1440" s="12" t="n">
        <v>46088</v>
      </c>
      <c r="I1440" s="5" t="s">
        <v>2264</v>
      </c>
      <c r="J1440" s="5" t="s">
        <v>2265</v>
      </c>
      <c r="K1440" s="5" t="s">
        <v>2252</v>
      </c>
      <c r="L1440" s="5" t="n">
        <f aca="false">IF(G1440="High",3,IF(G1440="Medium",2,1))</f>
        <v>1</v>
      </c>
    </row>
    <row r="1441" customFormat="false" ht="15" hidden="false" customHeight="true" outlineLevel="0" collapsed="false">
      <c r="A1441" s="5" t="s">
        <v>3717</v>
      </c>
      <c r="B1441" s="5" t="s">
        <v>1448</v>
      </c>
      <c r="C1441" s="5" t="s">
        <v>2262</v>
      </c>
      <c r="D1441" s="5" t="s">
        <v>2311</v>
      </c>
      <c r="E1441" s="5" t="s">
        <v>2225</v>
      </c>
      <c r="F1441" s="5" t="s">
        <v>59</v>
      </c>
      <c r="G1441" s="5" t="str">
        <f aca="false">INDEX(Risk_Matrix!$B$2:$D$4,MATCH(E1441,Risk_Matrix!$A$2:$A$4,0),MATCH(F1441,Risk_Matrix!$B$1:$D$1,0))</f>
        <v>Low</v>
      </c>
      <c r="H1441" s="12" t="n">
        <v>46113</v>
      </c>
      <c r="I1441" s="5" t="s">
        <v>2264</v>
      </c>
      <c r="J1441" s="5" t="s">
        <v>2265</v>
      </c>
      <c r="K1441" s="5" t="s">
        <v>2283</v>
      </c>
      <c r="L1441" s="5" t="n">
        <f aca="false">IF(G1441="High",3,IF(G1441="Medium",2,1))</f>
        <v>1</v>
      </c>
    </row>
    <row r="1442" customFormat="false" ht="15" hidden="false" customHeight="true" outlineLevel="0" collapsed="false">
      <c r="A1442" s="5" t="s">
        <v>3718</v>
      </c>
      <c r="B1442" s="5" t="s">
        <v>1450</v>
      </c>
      <c r="C1442" s="5" t="s">
        <v>2239</v>
      </c>
      <c r="D1442" s="5" t="s">
        <v>2278</v>
      </c>
      <c r="E1442" s="5" t="s">
        <v>54</v>
      </c>
      <c r="F1442" s="5" t="s">
        <v>54</v>
      </c>
      <c r="G1442" s="5" t="str">
        <f aca="false">INDEX(Risk_Matrix!$B$2:$D$4,MATCH(E1442,Risk_Matrix!$A$2:$A$4,0),MATCH(F1442,Risk_Matrix!$B$1:$D$1,0))</f>
        <v>High</v>
      </c>
      <c r="H1442" s="12" t="n">
        <v>46221</v>
      </c>
      <c r="I1442" s="5" t="s">
        <v>2264</v>
      </c>
      <c r="J1442" s="5" t="s">
        <v>2265</v>
      </c>
      <c r="K1442" s="5" t="s">
        <v>2266</v>
      </c>
      <c r="L1442" s="5" t="n">
        <f aca="false">IF(G1442="High",3,IF(G1442="Medium",2,1))</f>
        <v>3</v>
      </c>
    </row>
    <row r="1443" customFormat="false" ht="15" hidden="false" customHeight="true" outlineLevel="0" collapsed="false">
      <c r="A1443" s="5" t="s">
        <v>3719</v>
      </c>
      <c r="B1443" s="5" t="s">
        <v>1450</v>
      </c>
      <c r="C1443" s="5" t="s">
        <v>2245</v>
      </c>
      <c r="D1443" s="5" t="s">
        <v>2320</v>
      </c>
      <c r="E1443" s="5" t="s">
        <v>2225</v>
      </c>
      <c r="F1443" s="5" t="s">
        <v>2225</v>
      </c>
      <c r="G1443" s="5" t="str">
        <f aca="false">INDEX(Risk_Matrix!$B$2:$D$4,MATCH(E1443,Risk_Matrix!$A$2:$A$4,0),MATCH(F1443,Risk_Matrix!$B$1:$D$1,0))</f>
        <v>Medium</v>
      </c>
      <c r="H1443" s="12" t="n">
        <v>46210</v>
      </c>
      <c r="I1443" s="5" t="s">
        <v>2264</v>
      </c>
      <c r="J1443" s="5" t="s">
        <v>2265</v>
      </c>
      <c r="K1443" s="5" t="s">
        <v>2266</v>
      </c>
      <c r="L1443" s="5" t="n">
        <f aca="false">IF(G1443="High",3,IF(G1443="Medium",2,1))</f>
        <v>2</v>
      </c>
    </row>
    <row r="1444" customFormat="false" ht="15" hidden="false" customHeight="true" outlineLevel="0" collapsed="false">
      <c r="A1444" s="5" t="s">
        <v>3720</v>
      </c>
      <c r="B1444" s="5" t="s">
        <v>1450</v>
      </c>
      <c r="C1444" s="5" t="s">
        <v>2248</v>
      </c>
      <c r="D1444" s="5" t="s">
        <v>2249</v>
      </c>
      <c r="E1444" s="5" t="s">
        <v>59</v>
      </c>
      <c r="F1444" s="5" t="s">
        <v>2225</v>
      </c>
      <c r="G1444" s="5" t="str">
        <f aca="false">INDEX(Risk_Matrix!$B$2:$D$4,MATCH(E1444,Risk_Matrix!$A$2:$A$4,0),MATCH(F1444,Risk_Matrix!$B$1:$D$1,0))</f>
        <v>Low</v>
      </c>
      <c r="H1444" s="12" t="n">
        <v>46148</v>
      </c>
      <c r="I1444" s="5" t="s">
        <v>2264</v>
      </c>
      <c r="J1444" s="5" t="s">
        <v>2265</v>
      </c>
      <c r="K1444" s="5" t="s">
        <v>2283</v>
      </c>
      <c r="L1444" s="5" t="n">
        <f aca="false">IF(G1444="High",3,IF(G1444="Medium",2,1))</f>
        <v>1</v>
      </c>
    </row>
    <row r="1445" customFormat="false" ht="15" hidden="false" customHeight="true" outlineLevel="0" collapsed="false">
      <c r="A1445" s="5" t="s">
        <v>3721</v>
      </c>
      <c r="B1445" s="5" t="s">
        <v>1450</v>
      </c>
      <c r="C1445" s="5" t="s">
        <v>2254</v>
      </c>
      <c r="D1445" s="5" t="s">
        <v>2308</v>
      </c>
      <c r="E1445" s="5" t="s">
        <v>59</v>
      </c>
      <c r="F1445" s="5" t="s">
        <v>54</v>
      </c>
      <c r="G1445" s="5" t="str">
        <f aca="false">INDEX(Risk_Matrix!$B$2:$D$4,MATCH(E1445,Risk_Matrix!$A$2:$A$4,0),MATCH(F1445,Risk_Matrix!$B$1:$D$1,0))</f>
        <v>Medium</v>
      </c>
      <c r="H1445" s="12" t="n">
        <v>46195</v>
      </c>
      <c r="I1445" s="5" t="s">
        <v>2250</v>
      </c>
      <c r="J1445" s="5" t="s">
        <v>2251</v>
      </c>
      <c r="K1445" s="5" t="s">
        <v>2252</v>
      </c>
      <c r="L1445" s="5" t="n">
        <f aca="false">IF(G1445="High",3,IF(G1445="Medium",2,1))</f>
        <v>2</v>
      </c>
    </row>
    <row r="1446" customFormat="false" ht="15" hidden="false" customHeight="true" outlineLevel="0" collapsed="false">
      <c r="A1446" s="5" t="s">
        <v>3722</v>
      </c>
      <c r="B1446" s="5" t="s">
        <v>1450</v>
      </c>
      <c r="C1446" s="5" t="s">
        <v>2259</v>
      </c>
      <c r="D1446" s="5" t="s">
        <v>2274</v>
      </c>
      <c r="E1446" s="5" t="s">
        <v>59</v>
      </c>
      <c r="F1446" s="5" t="s">
        <v>59</v>
      </c>
      <c r="G1446" s="5" t="str">
        <f aca="false">INDEX(Risk_Matrix!$B$2:$D$4,MATCH(E1446,Risk_Matrix!$A$2:$A$4,0),MATCH(F1446,Risk_Matrix!$B$1:$D$1,0))</f>
        <v>Low</v>
      </c>
      <c r="H1446" s="12" t="n">
        <v>46232</v>
      </c>
      <c r="I1446" s="5" t="s">
        <v>2250</v>
      </c>
      <c r="J1446" s="5" t="s">
        <v>2251</v>
      </c>
      <c r="K1446" s="5" t="s">
        <v>2243</v>
      </c>
      <c r="L1446" s="5" t="n">
        <f aca="false">IF(G1446="High",3,IF(G1446="Medium",2,1))</f>
        <v>1</v>
      </c>
    </row>
    <row r="1447" customFormat="false" ht="15" hidden="false" customHeight="true" outlineLevel="0" collapsed="false">
      <c r="A1447" s="5" t="s">
        <v>3723</v>
      </c>
      <c r="B1447" s="5" t="s">
        <v>1450</v>
      </c>
      <c r="C1447" s="5" t="s">
        <v>2262</v>
      </c>
      <c r="D1447" s="5" t="s">
        <v>2311</v>
      </c>
      <c r="E1447" s="5" t="s">
        <v>54</v>
      </c>
      <c r="F1447" s="5" t="s">
        <v>59</v>
      </c>
      <c r="G1447" s="5" t="str">
        <f aca="false">INDEX(Risk_Matrix!$B$2:$D$4,MATCH(E1447,Risk_Matrix!$A$2:$A$4,0),MATCH(F1447,Risk_Matrix!$B$1:$D$1,0))</f>
        <v>Medium</v>
      </c>
      <c r="H1447" s="12" t="n">
        <v>46160</v>
      </c>
      <c r="I1447" s="5" t="s">
        <v>2256</v>
      </c>
      <c r="J1447" s="5" t="s">
        <v>2257</v>
      </c>
      <c r="K1447" s="5" t="s">
        <v>2252</v>
      </c>
      <c r="L1447" s="5" t="n">
        <f aca="false">IF(G1447="High",3,IF(G1447="Medium",2,1))</f>
        <v>2</v>
      </c>
    </row>
    <row r="1448" customFormat="false" ht="15" hidden="false" customHeight="true" outlineLevel="0" collapsed="false">
      <c r="A1448" s="5" t="s">
        <v>3724</v>
      </c>
      <c r="B1448" s="5" t="s">
        <v>1452</v>
      </c>
      <c r="C1448" s="5" t="s">
        <v>2239</v>
      </c>
      <c r="D1448" s="5" t="s">
        <v>2295</v>
      </c>
      <c r="E1448" s="5" t="s">
        <v>54</v>
      </c>
      <c r="F1448" s="5" t="s">
        <v>59</v>
      </c>
      <c r="G1448" s="5" t="str">
        <f aca="false">INDEX(Risk_Matrix!$B$2:$D$4,MATCH(E1448,Risk_Matrix!$A$2:$A$4,0),MATCH(F1448,Risk_Matrix!$B$1:$D$1,0))</f>
        <v>Medium</v>
      </c>
      <c r="H1448" s="12" t="n">
        <v>46070</v>
      </c>
      <c r="I1448" s="5" t="s">
        <v>2256</v>
      </c>
      <c r="J1448" s="5" t="s">
        <v>2257</v>
      </c>
      <c r="K1448" s="5" t="s">
        <v>2243</v>
      </c>
      <c r="L1448" s="5" t="n">
        <f aca="false">IF(G1448="High",3,IF(G1448="Medium",2,1))</f>
        <v>2</v>
      </c>
    </row>
    <row r="1449" customFormat="false" ht="15" hidden="false" customHeight="true" outlineLevel="0" collapsed="false">
      <c r="A1449" s="5" t="s">
        <v>3725</v>
      </c>
      <c r="B1449" s="5" t="s">
        <v>1452</v>
      </c>
      <c r="C1449" s="5" t="s">
        <v>2245</v>
      </c>
      <c r="D1449" s="5" t="s">
        <v>2246</v>
      </c>
      <c r="E1449" s="5" t="s">
        <v>59</v>
      </c>
      <c r="F1449" s="5" t="s">
        <v>59</v>
      </c>
      <c r="G1449" s="5" t="str">
        <f aca="false">INDEX(Risk_Matrix!$B$2:$D$4,MATCH(E1449,Risk_Matrix!$A$2:$A$4,0),MATCH(F1449,Risk_Matrix!$B$1:$D$1,0))</f>
        <v>Low</v>
      </c>
      <c r="H1449" s="12" t="n">
        <v>46079</v>
      </c>
      <c r="I1449" s="5" t="s">
        <v>2264</v>
      </c>
      <c r="J1449" s="5" t="s">
        <v>2265</v>
      </c>
      <c r="K1449" s="5" t="s">
        <v>2276</v>
      </c>
      <c r="L1449" s="5" t="n">
        <f aca="false">IF(G1449="High",3,IF(G1449="Medium",2,1))</f>
        <v>1</v>
      </c>
    </row>
    <row r="1450" customFormat="false" ht="15" hidden="false" customHeight="true" outlineLevel="0" collapsed="false">
      <c r="A1450" s="5" t="s">
        <v>3726</v>
      </c>
      <c r="B1450" s="5" t="s">
        <v>1452</v>
      </c>
      <c r="C1450" s="5" t="s">
        <v>2248</v>
      </c>
      <c r="D1450" s="5" t="s">
        <v>2306</v>
      </c>
      <c r="E1450" s="5" t="s">
        <v>59</v>
      </c>
      <c r="F1450" s="5" t="s">
        <v>59</v>
      </c>
      <c r="G1450" s="5" t="str">
        <f aca="false">INDEX(Risk_Matrix!$B$2:$D$4,MATCH(E1450,Risk_Matrix!$A$2:$A$4,0),MATCH(F1450,Risk_Matrix!$B$1:$D$1,0))</f>
        <v>Low</v>
      </c>
      <c r="H1450" s="12" t="n">
        <v>46139</v>
      </c>
      <c r="I1450" s="5" t="s">
        <v>2250</v>
      </c>
      <c r="J1450" s="5" t="s">
        <v>2251</v>
      </c>
      <c r="K1450" s="5" t="s">
        <v>2276</v>
      </c>
      <c r="L1450" s="5" t="n">
        <f aca="false">IF(G1450="High",3,IF(G1450="Medium",2,1))</f>
        <v>1</v>
      </c>
    </row>
    <row r="1451" customFormat="false" ht="15" hidden="false" customHeight="true" outlineLevel="0" collapsed="false">
      <c r="A1451" s="5" t="s">
        <v>3727</v>
      </c>
      <c r="B1451" s="5" t="s">
        <v>1452</v>
      </c>
      <c r="C1451" s="5" t="s">
        <v>2254</v>
      </c>
      <c r="D1451" s="5" t="s">
        <v>2299</v>
      </c>
      <c r="E1451" s="5" t="s">
        <v>2225</v>
      </c>
      <c r="F1451" s="5" t="s">
        <v>2225</v>
      </c>
      <c r="G1451" s="5" t="str">
        <f aca="false">INDEX(Risk_Matrix!$B$2:$D$4,MATCH(E1451,Risk_Matrix!$A$2:$A$4,0),MATCH(F1451,Risk_Matrix!$B$1:$D$1,0))</f>
        <v>Medium</v>
      </c>
      <c r="H1451" s="12" t="n">
        <v>46107</v>
      </c>
      <c r="I1451" s="5" t="s">
        <v>2256</v>
      </c>
      <c r="J1451" s="5" t="s">
        <v>2257</v>
      </c>
      <c r="K1451" s="5" t="s">
        <v>2243</v>
      </c>
      <c r="L1451" s="5" t="n">
        <f aca="false">IF(G1451="High",3,IF(G1451="Medium",2,1))</f>
        <v>2</v>
      </c>
    </row>
    <row r="1452" customFormat="false" ht="15" hidden="false" customHeight="true" outlineLevel="0" collapsed="false">
      <c r="A1452" s="5" t="s">
        <v>3728</v>
      </c>
      <c r="B1452" s="5" t="s">
        <v>1452</v>
      </c>
      <c r="C1452" s="5" t="s">
        <v>2259</v>
      </c>
      <c r="D1452" s="5" t="s">
        <v>2274</v>
      </c>
      <c r="E1452" s="5" t="s">
        <v>2225</v>
      </c>
      <c r="F1452" s="5" t="s">
        <v>59</v>
      </c>
      <c r="G1452" s="5" t="str">
        <f aca="false">INDEX(Risk_Matrix!$B$2:$D$4,MATCH(E1452,Risk_Matrix!$A$2:$A$4,0),MATCH(F1452,Risk_Matrix!$B$1:$D$1,0))</f>
        <v>Low</v>
      </c>
      <c r="H1452" s="12" t="n">
        <v>46172</v>
      </c>
      <c r="I1452" s="5" t="s">
        <v>2256</v>
      </c>
      <c r="J1452" s="5" t="s">
        <v>2257</v>
      </c>
      <c r="K1452" s="5" t="s">
        <v>2283</v>
      </c>
      <c r="L1452" s="5" t="n">
        <f aca="false">IF(G1452="High",3,IF(G1452="Medium",2,1))</f>
        <v>1</v>
      </c>
    </row>
    <row r="1453" customFormat="false" ht="15" hidden="false" customHeight="true" outlineLevel="0" collapsed="false">
      <c r="A1453" s="5" t="s">
        <v>3729</v>
      </c>
      <c r="B1453" s="5" t="s">
        <v>1452</v>
      </c>
      <c r="C1453" s="5" t="s">
        <v>2262</v>
      </c>
      <c r="D1453" s="5" t="s">
        <v>2287</v>
      </c>
      <c r="E1453" s="5" t="s">
        <v>59</v>
      </c>
      <c r="F1453" s="5" t="s">
        <v>59</v>
      </c>
      <c r="G1453" s="5" t="str">
        <f aca="false">INDEX(Risk_Matrix!$B$2:$D$4,MATCH(E1453,Risk_Matrix!$A$2:$A$4,0),MATCH(F1453,Risk_Matrix!$B$1:$D$1,0))</f>
        <v>Low</v>
      </c>
      <c r="H1453" s="12" t="n">
        <v>46067</v>
      </c>
      <c r="I1453" s="5" t="s">
        <v>2264</v>
      </c>
      <c r="J1453" s="5" t="s">
        <v>2265</v>
      </c>
      <c r="K1453" s="5" t="s">
        <v>2276</v>
      </c>
      <c r="L1453" s="5" t="n">
        <f aca="false">IF(G1453="High",3,IF(G1453="Medium",2,1))</f>
        <v>1</v>
      </c>
    </row>
    <row r="1454" customFormat="false" ht="15" hidden="false" customHeight="true" outlineLevel="0" collapsed="false">
      <c r="A1454" s="5" t="s">
        <v>3730</v>
      </c>
      <c r="B1454" s="5" t="s">
        <v>1454</v>
      </c>
      <c r="C1454" s="5" t="s">
        <v>2239</v>
      </c>
      <c r="D1454" s="5" t="s">
        <v>2278</v>
      </c>
      <c r="E1454" s="5" t="s">
        <v>54</v>
      </c>
      <c r="F1454" s="5" t="s">
        <v>54</v>
      </c>
      <c r="G1454" s="5" t="str">
        <f aca="false">INDEX(Risk_Matrix!$B$2:$D$4,MATCH(E1454,Risk_Matrix!$A$2:$A$4,0),MATCH(F1454,Risk_Matrix!$B$1:$D$1,0))</f>
        <v>High</v>
      </c>
      <c r="H1454" s="12" t="n">
        <v>46206</v>
      </c>
      <c r="I1454" s="5" t="s">
        <v>2256</v>
      </c>
      <c r="J1454" s="5" t="s">
        <v>2257</v>
      </c>
      <c r="K1454" s="5" t="s">
        <v>2276</v>
      </c>
      <c r="L1454" s="5" t="n">
        <f aca="false">IF(G1454="High",3,IF(G1454="Medium",2,1))</f>
        <v>3</v>
      </c>
    </row>
    <row r="1455" customFormat="false" ht="15" hidden="false" customHeight="true" outlineLevel="0" collapsed="false">
      <c r="A1455" s="5" t="s">
        <v>3731</v>
      </c>
      <c r="B1455" s="5" t="s">
        <v>1454</v>
      </c>
      <c r="C1455" s="5" t="s">
        <v>2245</v>
      </c>
      <c r="D1455" s="5" t="s">
        <v>2320</v>
      </c>
      <c r="E1455" s="5" t="s">
        <v>59</v>
      </c>
      <c r="F1455" s="5" t="s">
        <v>59</v>
      </c>
      <c r="G1455" s="5" t="str">
        <f aca="false">INDEX(Risk_Matrix!$B$2:$D$4,MATCH(E1455,Risk_Matrix!$A$2:$A$4,0),MATCH(F1455,Risk_Matrix!$B$1:$D$1,0))</f>
        <v>Low</v>
      </c>
      <c r="H1455" s="12" t="n">
        <v>46178</v>
      </c>
      <c r="I1455" s="5" t="s">
        <v>2256</v>
      </c>
      <c r="J1455" s="5" t="s">
        <v>2257</v>
      </c>
      <c r="K1455" s="5" t="s">
        <v>2276</v>
      </c>
      <c r="L1455" s="5" t="n">
        <f aca="false">IF(G1455="High",3,IF(G1455="Medium",2,1))</f>
        <v>1</v>
      </c>
    </row>
    <row r="1456" customFormat="false" ht="15" hidden="false" customHeight="true" outlineLevel="0" collapsed="false">
      <c r="A1456" s="5" t="s">
        <v>3732</v>
      </c>
      <c r="B1456" s="5" t="s">
        <v>1454</v>
      </c>
      <c r="C1456" s="5" t="s">
        <v>2248</v>
      </c>
      <c r="D1456" s="5" t="s">
        <v>2306</v>
      </c>
      <c r="E1456" s="5" t="s">
        <v>59</v>
      </c>
      <c r="F1456" s="5" t="s">
        <v>59</v>
      </c>
      <c r="G1456" s="5" t="str">
        <f aca="false">INDEX(Risk_Matrix!$B$2:$D$4,MATCH(E1456,Risk_Matrix!$A$2:$A$4,0),MATCH(F1456,Risk_Matrix!$B$1:$D$1,0))</f>
        <v>Low</v>
      </c>
      <c r="H1456" s="12" t="n">
        <v>46080</v>
      </c>
      <c r="I1456" s="5" t="s">
        <v>2264</v>
      </c>
      <c r="J1456" s="5" t="s">
        <v>2265</v>
      </c>
      <c r="K1456" s="5" t="s">
        <v>2276</v>
      </c>
      <c r="L1456" s="5" t="n">
        <f aca="false">IF(G1456="High",3,IF(G1456="Medium",2,1))</f>
        <v>1</v>
      </c>
    </row>
    <row r="1457" customFormat="false" ht="15" hidden="false" customHeight="true" outlineLevel="0" collapsed="false">
      <c r="A1457" s="5" t="s">
        <v>3733</v>
      </c>
      <c r="B1457" s="5" t="s">
        <v>1454</v>
      </c>
      <c r="C1457" s="5" t="s">
        <v>2254</v>
      </c>
      <c r="D1457" s="5" t="s">
        <v>2255</v>
      </c>
      <c r="E1457" s="5" t="s">
        <v>2225</v>
      </c>
      <c r="F1457" s="5" t="s">
        <v>54</v>
      </c>
      <c r="G1457" s="5" t="str">
        <f aca="false">INDEX(Risk_Matrix!$B$2:$D$4,MATCH(E1457,Risk_Matrix!$A$2:$A$4,0),MATCH(F1457,Risk_Matrix!$B$1:$D$1,0))</f>
        <v>High</v>
      </c>
      <c r="H1457" s="12" t="n">
        <v>46077</v>
      </c>
      <c r="I1457" s="5" t="s">
        <v>2241</v>
      </c>
      <c r="J1457" s="5" t="s">
        <v>2242</v>
      </c>
      <c r="K1457" s="5" t="s">
        <v>2252</v>
      </c>
      <c r="L1457" s="5" t="n">
        <f aca="false">IF(G1457="High",3,IF(G1457="Medium",2,1))</f>
        <v>3</v>
      </c>
    </row>
    <row r="1458" customFormat="false" ht="15" hidden="false" customHeight="true" outlineLevel="0" collapsed="false">
      <c r="A1458" s="5" t="s">
        <v>3734</v>
      </c>
      <c r="B1458" s="5" t="s">
        <v>1454</v>
      </c>
      <c r="C1458" s="5" t="s">
        <v>2259</v>
      </c>
      <c r="D1458" s="5" t="s">
        <v>2285</v>
      </c>
      <c r="E1458" s="5" t="s">
        <v>59</v>
      </c>
      <c r="F1458" s="5" t="s">
        <v>59</v>
      </c>
      <c r="G1458" s="5" t="str">
        <f aca="false">INDEX(Risk_Matrix!$B$2:$D$4,MATCH(E1458,Risk_Matrix!$A$2:$A$4,0),MATCH(F1458,Risk_Matrix!$B$1:$D$1,0))</f>
        <v>Low</v>
      </c>
      <c r="H1458" s="12" t="n">
        <v>46187</v>
      </c>
      <c r="I1458" s="5" t="s">
        <v>2250</v>
      </c>
      <c r="J1458" s="5" t="s">
        <v>2251</v>
      </c>
      <c r="K1458" s="5" t="s">
        <v>2276</v>
      </c>
      <c r="L1458" s="5" t="n">
        <f aca="false">IF(G1458="High",3,IF(G1458="Medium",2,1))</f>
        <v>1</v>
      </c>
    </row>
    <row r="1459" customFormat="false" ht="15" hidden="false" customHeight="true" outlineLevel="0" collapsed="false">
      <c r="A1459" s="5" t="s">
        <v>3735</v>
      </c>
      <c r="B1459" s="5" t="s">
        <v>1454</v>
      </c>
      <c r="C1459" s="5" t="s">
        <v>2262</v>
      </c>
      <c r="D1459" s="5" t="s">
        <v>2287</v>
      </c>
      <c r="E1459" s="5" t="s">
        <v>59</v>
      </c>
      <c r="F1459" s="5" t="s">
        <v>54</v>
      </c>
      <c r="G1459" s="5" t="str">
        <f aca="false">INDEX(Risk_Matrix!$B$2:$D$4,MATCH(E1459,Risk_Matrix!$A$2:$A$4,0),MATCH(F1459,Risk_Matrix!$B$1:$D$1,0))</f>
        <v>Medium</v>
      </c>
      <c r="H1459" s="12" t="n">
        <v>46063</v>
      </c>
      <c r="I1459" s="5" t="s">
        <v>2256</v>
      </c>
      <c r="J1459" s="5" t="s">
        <v>2257</v>
      </c>
      <c r="K1459" s="5" t="s">
        <v>2266</v>
      </c>
      <c r="L1459" s="5" t="n">
        <f aca="false">IF(G1459="High",3,IF(G1459="Medium",2,1))</f>
        <v>2</v>
      </c>
    </row>
    <row r="1460" customFormat="false" ht="15" hidden="false" customHeight="true" outlineLevel="0" collapsed="false">
      <c r="A1460" s="5" t="s">
        <v>3736</v>
      </c>
      <c r="B1460" s="5" t="s">
        <v>1455</v>
      </c>
      <c r="C1460" s="5" t="s">
        <v>2239</v>
      </c>
      <c r="D1460" s="5" t="s">
        <v>2303</v>
      </c>
      <c r="E1460" s="5" t="s">
        <v>59</v>
      </c>
      <c r="F1460" s="5" t="s">
        <v>59</v>
      </c>
      <c r="G1460" s="5" t="str">
        <f aca="false">INDEX(Risk_Matrix!$B$2:$D$4,MATCH(E1460,Risk_Matrix!$A$2:$A$4,0),MATCH(F1460,Risk_Matrix!$B$1:$D$1,0))</f>
        <v>Low</v>
      </c>
      <c r="H1460" s="12" t="n">
        <v>46103</v>
      </c>
      <c r="I1460" s="5" t="s">
        <v>2256</v>
      </c>
      <c r="J1460" s="5" t="s">
        <v>2257</v>
      </c>
      <c r="K1460" s="5" t="s">
        <v>2266</v>
      </c>
      <c r="L1460" s="5" t="n">
        <f aca="false">IF(G1460="High",3,IF(G1460="Medium",2,1))</f>
        <v>1</v>
      </c>
    </row>
    <row r="1461" customFormat="false" ht="15" hidden="false" customHeight="true" outlineLevel="0" collapsed="false">
      <c r="A1461" s="5" t="s">
        <v>3737</v>
      </c>
      <c r="B1461" s="5" t="s">
        <v>1455</v>
      </c>
      <c r="C1461" s="5" t="s">
        <v>2245</v>
      </c>
      <c r="D1461" s="5" t="s">
        <v>2280</v>
      </c>
      <c r="E1461" s="5" t="s">
        <v>2225</v>
      </c>
      <c r="F1461" s="5" t="s">
        <v>2225</v>
      </c>
      <c r="G1461" s="5" t="str">
        <f aca="false">INDEX(Risk_Matrix!$B$2:$D$4,MATCH(E1461,Risk_Matrix!$A$2:$A$4,0),MATCH(F1461,Risk_Matrix!$B$1:$D$1,0))</f>
        <v>Medium</v>
      </c>
      <c r="H1461" s="12" t="n">
        <v>46191</v>
      </c>
      <c r="I1461" s="5" t="s">
        <v>2250</v>
      </c>
      <c r="J1461" s="5" t="s">
        <v>2251</v>
      </c>
      <c r="K1461" s="5" t="s">
        <v>2243</v>
      </c>
      <c r="L1461" s="5" t="n">
        <f aca="false">IF(G1461="High",3,IF(G1461="Medium",2,1))</f>
        <v>2</v>
      </c>
    </row>
    <row r="1462" customFormat="false" ht="15" hidden="false" customHeight="true" outlineLevel="0" collapsed="false">
      <c r="A1462" s="5" t="s">
        <v>3738</v>
      </c>
      <c r="B1462" s="5" t="s">
        <v>1455</v>
      </c>
      <c r="C1462" s="5" t="s">
        <v>2248</v>
      </c>
      <c r="D1462" s="5" t="s">
        <v>2249</v>
      </c>
      <c r="E1462" s="5" t="s">
        <v>2225</v>
      </c>
      <c r="F1462" s="5" t="s">
        <v>2225</v>
      </c>
      <c r="G1462" s="5" t="str">
        <f aca="false">INDEX(Risk_Matrix!$B$2:$D$4,MATCH(E1462,Risk_Matrix!$A$2:$A$4,0),MATCH(F1462,Risk_Matrix!$B$1:$D$1,0))</f>
        <v>Medium</v>
      </c>
      <c r="H1462" s="12" t="n">
        <v>46125</v>
      </c>
      <c r="I1462" s="5" t="s">
        <v>2264</v>
      </c>
      <c r="J1462" s="5" t="s">
        <v>2265</v>
      </c>
      <c r="K1462" s="5" t="s">
        <v>2266</v>
      </c>
      <c r="L1462" s="5" t="n">
        <f aca="false">IF(G1462="High",3,IF(G1462="Medium",2,1))</f>
        <v>2</v>
      </c>
    </row>
    <row r="1463" customFormat="false" ht="15" hidden="false" customHeight="true" outlineLevel="0" collapsed="false">
      <c r="A1463" s="5" t="s">
        <v>3739</v>
      </c>
      <c r="B1463" s="5" t="s">
        <v>1455</v>
      </c>
      <c r="C1463" s="5" t="s">
        <v>2254</v>
      </c>
      <c r="D1463" s="5" t="s">
        <v>2299</v>
      </c>
      <c r="E1463" s="5" t="s">
        <v>59</v>
      </c>
      <c r="F1463" s="5" t="s">
        <v>59</v>
      </c>
      <c r="G1463" s="5" t="str">
        <f aca="false">INDEX(Risk_Matrix!$B$2:$D$4,MATCH(E1463,Risk_Matrix!$A$2:$A$4,0),MATCH(F1463,Risk_Matrix!$B$1:$D$1,0))</f>
        <v>Low</v>
      </c>
      <c r="H1463" s="12" t="n">
        <v>46202</v>
      </c>
      <c r="I1463" s="5" t="s">
        <v>2256</v>
      </c>
      <c r="J1463" s="5" t="s">
        <v>2257</v>
      </c>
      <c r="K1463" s="5" t="s">
        <v>2283</v>
      </c>
      <c r="L1463" s="5" t="n">
        <f aca="false">IF(G1463="High",3,IF(G1463="Medium",2,1))</f>
        <v>1</v>
      </c>
    </row>
    <row r="1464" customFormat="false" ht="15" hidden="false" customHeight="true" outlineLevel="0" collapsed="false">
      <c r="A1464" s="5" t="s">
        <v>3740</v>
      </c>
      <c r="B1464" s="5" t="s">
        <v>1455</v>
      </c>
      <c r="C1464" s="5" t="s">
        <v>2259</v>
      </c>
      <c r="D1464" s="5" t="s">
        <v>2285</v>
      </c>
      <c r="E1464" s="5" t="s">
        <v>54</v>
      </c>
      <c r="F1464" s="5" t="s">
        <v>2225</v>
      </c>
      <c r="G1464" s="5" t="str">
        <f aca="false">INDEX(Risk_Matrix!$B$2:$D$4,MATCH(E1464,Risk_Matrix!$A$2:$A$4,0),MATCH(F1464,Risk_Matrix!$B$1:$D$1,0))</f>
        <v>High</v>
      </c>
      <c r="H1464" s="12" t="n">
        <v>46219</v>
      </c>
      <c r="I1464" s="5" t="s">
        <v>2250</v>
      </c>
      <c r="J1464" s="5" t="s">
        <v>2251</v>
      </c>
      <c r="K1464" s="5" t="s">
        <v>2266</v>
      </c>
      <c r="L1464" s="5" t="n">
        <f aca="false">IF(G1464="High",3,IF(G1464="Medium",2,1))</f>
        <v>3</v>
      </c>
    </row>
    <row r="1465" customFormat="false" ht="15" hidden="false" customHeight="true" outlineLevel="0" collapsed="false">
      <c r="A1465" s="5" t="s">
        <v>3741</v>
      </c>
      <c r="B1465" s="5" t="s">
        <v>1455</v>
      </c>
      <c r="C1465" s="5" t="s">
        <v>2262</v>
      </c>
      <c r="D1465" s="5" t="s">
        <v>2287</v>
      </c>
      <c r="E1465" s="5" t="s">
        <v>2225</v>
      </c>
      <c r="F1465" s="5" t="s">
        <v>2225</v>
      </c>
      <c r="G1465" s="5" t="str">
        <f aca="false">INDEX(Risk_Matrix!$B$2:$D$4,MATCH(E1465,Risk_Matrix!$A$2:$A$4,0),MATCH(F1465,Risk_Matrix!$B$1:$D$1,0))</f>
        <v>Medium</v>
      </c>
      <c r="H1465" s="12" t="n">
        <v>46137</v>
      </c>
      <c r="I1465" s="5" t="s">
        <v>2256</v>
      </c>
      <c r="J1465" s="5" t="s">
        <v>2257</v>
      </c>
      <c r="K1465" s="5" t="s">
        <v>2283</v>
      </c>
      <c r="L1465" s="5" t="n">
        <f aca="false">IF(G1465="High",3,IF(G1465="Medium",2,1))</f>
        <v>2</v>
      </c>
    </row>
    <row r="1466" customFormat="false" ht="15" hidden="false" customHeight="true" outlineLevel="0" collapsed="false">
      <c r="A1466" s="5" t="s">
        <v>3742</v>
      </c>
      <c r="B1466" s="5" t="s">
        <v>1457</v>
      </c>
      <c r="C1466" s="5" t="s">
        <v>2239</v>
      </c>
      <c r="D1466" s="5" t="s">
        <v>2278</v>
      </c>
      <c r="E1466" s="5" t="s">
        <v>2225</v>
      </c>
      <c r="F1466" s="5" t="s">
        <v>2225</v>
      </c>
      <c r="G1466" s="5" t="str">
        <f aca="false">INDEX(Risk_Matrix!$B$2:$D$4,MATCH(E1466,Risk_Matrix!$A$2:$A$4,0),MATCH(F1466,Risk_Matrix!$B$1:$D$1,0))</f>
        <v>Medium</v>
      </c>
      <c r="H1466" s="12" t="n">
        <v>46129</v>
      </c>
      <c r="I1466" s="5" t="s">
        <v>2256</v>
      </c>
      <c r="J1466" s="5" t="s">
        <v>2257</v>
      </c>
      <c r="K1466" s="5" t="s">
        <v>2252</v>
      </c>
      <c r="L1466" s="5" t="n">
        <f aca="false">IF(G1466="High",3,IF(G1466="Medium",2,1))</f>
        <v>2</v>
      </c>
    </row>
    <row r="1467" customFormat="false" ht="15" hidden="false" customHeight="true" outlineLevel="0" collapsed="false">
      <c r="A1467" s="5" t="s">
        <v>3743</v>
      </c>
      <c r="B1467" s="5" t="s">
        <v>1457</v>
      </c>
      <c r="C1467" s="5" t="s">
        <v>2245</v>
      </c>
      <c r="D1467" s="5" t="s">
        <v>2269</v>
      </c>
      <c r="E1467" s="5" t="s">
        <v>2225</v>
      </c>
      <c r="F1467" s="5" t="s">
        <v>2225</v>
      </c>
      <c r="G1467" s="5" t="str">
        <f aca="false">INDEX(Risk_Matrix!$B$2:$D$4,MATCH(E1467,Risk_Matrix!$A$2:$A$4,0),MATCH(F1467,Risk_Matrix!$B$1:$D$1,0))</f>
        <v>Medium</v>
      </c>
      <c r="H1467" s="12" t="n">
        <v>46064</v>
      </c>
      <c r="I1467" s="5" t="s">
        <v>2250</v>
      </c>
      <c r="J1467" s="5" t="s">
        <v>2251</v>
      </c>
      <c r="K1467" s="5" t="s">
        <v>2252</v>
      </c>
      <c r="L1467" s="5" t="n">
        <f aca="false">IF(G1467="High",3,IF(G1467="Medium",2,1))</f>
        <v>2</v>
      </c>
    </row>
    <row r="1468" customFormat="false" ht="15" hidden="false" customHeight="true" outlineLevel="0" collapsed="false">
      <c r="A1468" s="5" t="s">
        <v>3744</v>
      </c>
      <c r="B1468" s="5" t="s">
        <v>1457</v>
      </c>
      <c r="C1468" s="5" t="s">
        <v>2248</v>
      </c>
      <c r="D1468" s="5" t="s">
        <v>2249</v>
      </c>
      <c r="E1468" s="5" t="s">
        <v>2225</v>
      </c>
      <c r="F1468" s="5" t="s">
        <v>59</v>
      </c>
      <c r="G1468" s="5" t="str">
        <f aca="false">INDEX(Risk_Matrix!$B$2:$D$4,MATCH(E1468,Risk_Matrix!$A$2:$A$4,0),MATCH(F1468,Risk_Matrix!$B$1:$D$1,0))</f>
        <v>Low</v>
      </c>
      <c r="H1468" s="12" t="n">
        <v>46150</v>
      </c>
      <c r="I1468" s="5" t="s">
        <v>2256</v>
      </c>
      <c r="J1468" s="5" t="s">
        <v>2257</v>
      </c>
      <c r="K1468" s="5" t="s">
        <v>2276</v>
      </c>
      <c r="L1468" s="5" t="n">
        <f aca="false">IF(G1468="High",3,IF(G1468="Medium",2,1))</f>
        <v>1</v>
      </c>
    </row>
    <row r="1469" customFormat="false" ht="15" hidden="false" customHeight="true" outlineLevel="0" collapsed="false">
      <c r="A1469" s="5" t="s">
        <v>3745</v>
      </c>
      <c r="B1469" s="5" t="s">
        <v>1457</v>
      </c>
      <c r="C1469" s="5" t="s">
        <v>2254</v>
      </c>
      <c r="D1469" s="5" t="s">
        <v>2299</v>
      </c>
      <c r="E1469" s="5" t="s">
        <v>2225</v>
      </c>
      <c r="F1469" s="5" t="s">
        <v>59</v>
      </c>
      <c r="G1469" s="5" t="str">
        <f aca="false">INDEX(Risk_Matrix!$B$2:$D$4,MATCH(E1469,Risk_Matrix!$A$2:$A$4,0),MATCH(F1469,Risk_Matrix!$B$1:$D$1,0))</f>
        <v>Low</v>
      </c>
      <c r="H1469" s="12" t="n">
        <v>46124</v>
      </c>
      <c r="I1469" s="5" t="s">
        <v>2250</v>
      </c>
      <c r="J1469" s="5" t="s">
        <v>2251</v>
      </c>
      <c r="K1469" s="5" t="s">
        <v>2276</v>
      </c>
      <c r="L1469" s="5" t="n">
        <f aca="false">IF(G1469="High",3,IF(G1469="Medium",2,1))</f>
        <v>1</v>
      </c>
    </row>
    <row r="1470" customFormat="false" ht="15" hidden="false" customHeight="true" outlineLevel="0" collapsed="false">
      <c r="A1470" s="5" t="s">
        <v>3746</v>
      </c>
      <c r="B1470" s="5" t="s">
        <v>1457</v>
      </c>
      <c r="C1470" s="5" t="s">
        <v>2259</v>
      </c>
      <c r="D1470" s="5" t="s">
        <v>2285</v>
      </c>
      <c r="E1470" s="5" t="s">
        <v>2225</v>
      </c>
      <c r="F1470" s="5" t="s">
        <v>59</v>
      </c>
      <c r="G1470" s="5" t="str">
        <f aca="false">INDEX(Risk_Matrix!$B$2:$D$4,MATCH(E1470,Risk_Matrix!$A$2:$A$4,0),MATCH(F1470,Risk_Matrix!$B$1:$D$1,0))</f>
        <v>Low</v>
      </c>
      <c r="H1470" s="12" t="n">
        <v>46146</v>
      </c>
      <c r="I1470" s="5" t="s">
        <v>2264</v>
      </c>
      <c r="J1470" s="5" t="s">
        <v>2265</v>
      </c>
      <c r="K1470" s="5" t="s">
        <v>2283</v>
      </c>
      <c r="L1470" s="5" t="n">
        <f aca="false">IF(G1470="High",3,IF(G1470="Medium",2,1))</f>
        <v>1</v>
      </c>
    </row>
    <row r="1471" customFormat="false" ht="15" hidden="false" customHeight="true" outlineLevel="0" collapsed="false">
      <c r="A1471" s="5" t="s">
        <v>3747</v>
      </c>
      <c r="B1471" s="5" t="s">
        <v>1457</v>
      </c>
      <c r="C1471" s="5" t="s">
        <v>2262</v>
      </c>
      <c r="D1471" s="5" t="s">
        <v>2263</v>
      </c>
      <c r="E1471" s="5" t="s">
        <v>54</v>
      </c>
      <c r="F1471" s="5" t="s">
        <v>2225</v>
      </c>
      <c r="G1471" s="5" t="str">
        <f aca="false">INDEX(Risk_Matrix!$B$2:$D$4,MATCH(E1471,Risk_Matrix!$A$2:$A$4,0),MATCH(F1471,Risk_Matrix!$B$1:$D$1,0))</f>
        <v>High</v>
      </c>
      <c r="H1471" s="12" t="n">
        <v>46157</v>
      </c>
      <c r="I1471" s="5" t="s">
        <v>2250</v>
      </c>
      <c r="J1471" s="5" t="s">
        <v>2251</v>
      </c>
      <c r="K1471" s="5" t="s">
        <v>2243</v>
      </c>
      <c r="L1471" s="5" t="n">
        <f aca="false">IF(G1471="High",3,IF(G1471="Medium",2,1))</f>
        <v>3</v>
      </c>
    </row>
    <row r="1472" customFormat="false" ht="15" hidden="false" customHeight="true" outlineLevel="0" collapsed="false">
      <c r="A1472" s="5" t="s">
        <v>3748</v>
      </c>
      <c r="B1472" s="5" t="s">
        <v>1459</v>
      </c>
      <c r="C1472" s="5" t="s">
        <v>2239</v>
      </c>
      <c r="D1472" s="5" t="s">
        <v>2278</v>
      </c>
      <c r="E1472" s="5" t="s">
        <v>2225</v>
      </c>
      <c r="F1472" s="5" t="s">
        <v>59</v>
      </c>
      <c r="G1472" s="5" t="str">
        <f aca="false">INDEX(Risk_Matrix!$B$2:$D$4,MATCH(E1472,Risk_Matrix!$A$2:$A$4,0),MATCH(F1472,Risk_Matrix!$B$1:$D$1,0))</f>
        <v>Low</v>
      </c>
      <c r="H1472" s="12" t="n">
        <v>46113</v>
      </c>
      <c r="I1472" s="5" t="s">
        <v>2250</v>
      </c>
      <c r="J1472" s="5" t="s">
        <v>2251</v>
      </c>
      <c r="K1472" s="5" t="s">
        <v>2252</v>
      </c>
      <c r="L1472" s="5" t="n">
        <f aca="false">IF(G1472="High",3,IF(G1472="Medium",2,1))</f>
        <v>1</v>
      </c>
    </row>
    <row r="1473" customFormat="false" ht="15" hidden="false" customHeight="true" outlineLevel="0" collapsed="false">
      <c r="A1473" s="5" t="s">
        <v>3749</v>
      </c>
      <c r="B1473" s="5" t="s">
        <v>1459</v>
      </c>
      <c r="C1473" s="5" t="s">
        <v>2245</v>
      </c>
      <c r="D1473" s="5" t="s">
        <v>2320</v>
      </c>
      <c r="E1473" s="5" t="s">
        <v>59</v>
      </c>
      <c r="F1473" s="5" t="s">
        <v>59</v>
      </c>
      <c r="G1473" s="5" t="str">
        <f aca="false">INDEX(Risk_Matrix!$B$2:$D$4,MATCH(E1473,Risk_Matrix!$A$2:$A$4,0),MATCH(F1473,Risk_Matrix!$B$1:$D$1,0))</f>
        <v>Low</v>
      </c>
      <c r="H1473" s="12" t="n">
        <v>46134</v>
      </c>
      <c r="I1473" s="5" t="s">
        <v>2250</v>
      </c>
      <c r="J1473" s="5" t="s">
        <v>2251</v>
      </c>
      <c r="K1473" s="5" t="s">
        <v>2243</v>
      </c>
      <c r="L1473" s="5" t="n">
        <f aca="false">IF(G1473="High",3,IF(G1473="Medium",2,1))</f>
        <v>1</v>
      </c>
    </row>
    <row r="1474" customFormat="false" ht="15" hidden="false" customHeight="true" outlineLevel="0" collapsed="false">
      <c r="A1474" s="5" t="s">
        <v>3750</v>
      </c>
      <c r="B1474" s="5" t="s">
        <v>1459</v>
      </c>
      <c r="C1474" s="5" t="s">
        <v>2248</v>
      </c>
      <c r="D1474" s="5" t="s">
        <v>2271</v>
      </c>
      <c r="E1474" s="5" t="s">
        <v>59</v>
      </c>
      <c r="F1474" s="5" t="s">
        <v>2225</v>
      </c>
      <c r="G1474" s="5" t="str">
        <f aca="false">INDEX(Risk_Matrix!$B$2:$D$4,MATCH(E1474,Risk_Matrix!$A$2:$A$4,0),MATCH(F1474,Risk_Matrix!$B$1:$D$1,0))</f>
        <v>Low</v>
      </c>
      <c r="H1474" s="12" t="n">
        <v>46135</v>
      </c>
      <c r="I1474" s="5" t="s">
        <v>2264</v>
      </c>
      <c r="J1474" s="5" t="s">
        <v>2265</v>
      </c>
      <c r="K1474" s="5" t="s">
        <v>2243</v>
      </c>
      <c r="L1474" s="5" t="n">
        <f aca="false">IF(G1474="High",3,IF(G1474="Medium",2,1))</f>
        <v>1</v>
      </c>
    </row>
    <row r="1475" customFormat="false" ht="15" hidden="false" customHeight="true" outlineLevel="0" collapsed="false">
      <c r="A1475" s="5" t="s">
        <v>3751</v>
      </c>
      <c r="B1475" s="5" t="s">
        <v>1459</v>
      </c>
      <c r="C1475" s="5" t="s">
        <v>2254</v>
      </c>
      <c r="D1475" s="5" t="s">
        <v>2308</v>
      </c>
      <c r="E1475" s="5" t="s">
        <v>59</v>
      </c>
      <c r="F1475" s="5" t="s">
        <v>59</v>
      </c>
      <c r="G1475" s="5" t="str">
        <f aca="false">INDEX(Risk_Matrix!$B$2:$D$4,MATCH(E1475,Risk_Matrix!$A$2:$A$4,0),MATCH(F1475,Risk_Matrix!$B$1:$D$1,0))</f>
        <v>Low</v>
      </c>
      <c r="H1475" s="12" t="n">
        <v>46131</v>
      </c>
      <c r="I1475" s="5" t="s">
        <v>2264</v>
      </c>
      <c r="J1475" s="5" t="s">
        <v>2265</v>
      </c>
      <c r="K1475" s="5" t="s">
        <v>2276</v>
      </c>
      <c r="L1475" s="5" t="n">
        <f aca="false">IF(G1475="High",3,IF(G1475="Medium",2,1))</f>
        <v>1</v>
      </c>
    </row>
    <row r="1476" customFormat="false" ht="15" hidden="false" customHeight="true" outlineLevel="0" collapsed="false">
      <c r="A1476" s="5" t="s">
        <v>3752</v>
      </c>
      <c r="B1476" s="5" t="s">
        <v>1459</v>
      </c>
      <c r="C1476" s="5" t="s">
        <v>2259</v>
      </c>
      <c r="D1476" s="5" t="s">
        <v>2260</v>
      </c>
      <c r="E1476" s="5" t="s">
        <v>2225</v>
      </c>
      <c r="F1476" s="5" t="s">
        <v>59</v>
      </c>
      <c r="G1476" s="5" t="str">
        <f aca="false">INDEX(Risk_Matrix!$B$2:$D$4,MATCH(E1476,Risk_Matrix!$A$2:$A$4,0),MATCH(F1476,Risk_Matrix!$B$1:$D$1,0))</f>
        <v>Low</v>
      </c>
      <c r="H1476" s="12" t="n">
        <v>46200</v>
      </c>
      <c r="I1476" s="5" t="s">
        <v>2264</v>
      </c>
      <c r="J1476" s="5" t="s">
        <v>2265</v>
      </c>
      <c r="K1476" s="5" t="s">
        <v>2243</v>
      </c>
      <c r="L1476" s="5" t="n">
        <f aca="false">IF(G1476="High",3,IF(G1476="Medium",2,1))</f>
        <v>1</v>
      </c>
    </row>
    <row r="1477" customFormat="false" ht="15" hidden="false" customHeight="true" outlineLevel="0" collapsed="false">
      <c r="A1477" s="5" t="s">
        <v>3753</v>
      </c>
      <c r="B1477" s="5" t="s">
        <v>1459</v>
      </c>
      <c r="C1477" s="5" t="s">
        <v>2262</v>
      </c>
      <c r="D1477" s="5" t="s">
        <v>2311</v>
      </c>
      <c r="E1477" s="5" t="s">
        <v>59</v>
      </c>
      <c r="F1477" s="5" t="s">
        <v>2225</v>
      </c>
      <c r="G1477" s="5" t="str">
        <f aca="false">INDEX(Risk_Matrix!$B$2:$D$4,MATCH(E1477,Risk_Matrix!$A$2:$A$4,0),MATCH(F1477,Risk_Matrix!$B$1:$D$1,0))</f>
        <v>Low</v>
      </c>
      <c r="H1477" s="12" t="n">
        <v>46194</v>
      </c>
      <c r="I1477" s="5" t="s">
        <v>2250</v>
      </c>
      <c r="J1477" s="5" t="s">
        <v>2251</v>
      </c>
      <c r="K1477" s="5" t="s">
        <v>2266</v>
      </c>
      <c r="L1477" s="5" t="n">
        <f aca="false">IF(G1477="High",3,IF(G1477="Medium",2,1))</f>
        <v>1</v>
      </c>
    </row>
    <row r="1478" customFormat="false" ht="15" hidden="false" customHeight="true" outlineLevel="0" collapsed="false">
      <c r="A1478" s="5" t="s">
        <v>3754</v>
      </c>
      <c r="B1478" s="5" t="s">
        <v>1462</v>
      </c>
      <c r="C1478" s="5" t="s">
        <v>2239</v>
      </c>
      <c r="D1478" s="5" t="s">
        <v>2303</v>
      </c>
      <c r="E1478" s="5" t="s">
        <v>59</v>
      </c>
      <c r="F1478" s="5" t="s">
        <v>59</v>
      </c>
      <c r="G1478" s="5" t="str">
        <f aca="false">INDEX(Risk_Matrix!$B$2:$D$4,MATCH(E1478,Risk_Matrix!$A$2:$A$4,0),MATCH(F1478,Risk_Matrix!$B$1:$D$1,0))</f>
        <v>Low</v>
      </c>
      <c r="H1478" s="12" t="n">
        <v>46169</v>
      </c>
      <c r="I1478" s="5" t="s">
        <v>2250</v>
      </c>
      <c r="J1478" s="5" t="s">
        <v>2251</v>
      </c>
      <c r="K1478" s="5" t="s">
        <v>2252</v>
      </c>
      <c r="L1478" s="5" t="n">
        <f aca="false">IF(G1478="High",3,IF(G1478="Medium",2,1))</f>
        <v>1</v>
      </c>
    </row>
    <row r="1479" customFormat="false" ht="15" hidden="false" customHeight="true" outlineLevel="0" collapsed="false">
      <c r="A1479" s="5" t="s">
        <v>3755</v>
      </c>
      <c r="B1479" s="5" t="s">
        <v>1462</v>
      </c>
      <c r="C1479" s="5" t="s">
        <v>2245</v>
      </c>
      <c r="D1479" s="5" t="s">
        <v>2320</v>
      </c>
      <c r="E1479" s="5" t="s">
        <v>59</v>
      </c>
      <c r="F1479" s="5" t="s">
        <v>59</v>
      </c>
      <c r="G1479" s="5" t="str">
        <f aca="false">INDEX(Risk_Matrix!$B$2:$D$4,MATCH(E1479,Risk_Matrix!$A$2:$A$4,0),MATCH(F1479,Risk_Matrix!$B$1:$D$1,0))</f>
        <v>Low</v>
      </c>
      <c r="H1479" s="12" t="n">
        <v>46098</v>
      </c>
      <c r="I1479" s="5" t="s">
        <v>2256</v>
      </c>
      <c r="J1479" s="5" t="s">
        <v>2257</v>
      </c>
      <c r="K1479" s="5" t="s">
        <v>2252</v>
      </c>
      <c r="L1479" s="5" t="n">
        <f aca="false">IF(G1479="High",3,IF(G1479="Medium",2,1))</f>
        <v>1</v>
      </c>
    </row>
    <row r="1480" customFormat="false" ht="15" hidden="false" customHeight="true" outlineLevel="0" collapsed="false">
      <c r="A1480" s="5" t="s">
        <v>3756</v>
      </c>
      <c r="B1480" s="5" t="s">
        <v>1462</v>
      </c>
      <c r="C1480" s="5" t="s">
        <v>2248</v>
      </c>
      <c r="D1480" s="5" t="s">
        <v>2322</v>
      </c>
      <c r="E1480" s="5" t="s">
        <v>59</v>
      </c>
      <c r="F1480" s="5" t="s">
        <v>2225</v>
      </c>
      <c r="G1480" s="5" t="str">
        <f aca="false">INDEX(Risk_Matrix!$B$2:$D$4,MATCH(E1480,Risk_Matrix!$A$2:$A$4,0),MATCH(F1480,Risk_Matrix!$B$1:$D$1,0))</f>
        <v>Low</v>
      </c>
      <c r="H1480" s="12" t="n">
        <v>46127</v>
      </c>
      <c r="I1480" s="5" t="s">
        <v>2250</v>
      </c>
      <c r="J1480" s="5" t="s">
        <v>2251</v>
      </c>
      <c r="K1480" s="5" t="s">
        <v>2266</v>
      </c>
      <c r="L1480" s="5" t="n">
        <f aca="false">IF(G1480="High",3,IF(G1480="Medium",2,1))</f>
        <v>1</v>
      </c>
    </row>
    <row r="1481" customFormat="false" ht="15" hidden="false" customHeight="true" outlineLevel="0" collapsed="false">
      <c r="A1481" s="5" t="s">
        <v>3757</v>
      </c>
      <c r="B1481" s="5" t="s">
        <v>1462</v>
      </c>
      <c r="C1481" s="5" t="s">
        <v>2254</v>
      </c>
      <c r="D1481" s="5" t="s">
        <v>2308</v>
      </c>
      <c r="E1481" s="5" t="s">
        <v>54</v>
      </c>
      <c r="F1481" s="5" t="s">
        <v>59</v>
      </c>
      <c r="G1481" s="5" t="str">
        <f aca="false">INDEX(Risk_Matrix!$B$2:$D$4,MATCH(E1481,Risk_Matrix!$A$2:$A$4,0),MATCH(F1481,Risk_Matrix!$B$1:$D$1,0))</f>
        <v>Medium</v>
      </c>
      <c r="H1481" s="12" t="n">
        <v>46221</v>
      </c>
      <c r="I1481" s="5" t="s">
        <v>2241</v>
      </c>
      <c r="J1481" s="5" t="s">
        <v>2242</v>
      </c>
      <c r="K1481" s="5" t="s">
        <v>2252</v>
      </c>
      <c r="L1481" s="5" t="n">
        <f aca="false">IF(G1481="High",3,IF(G1481="Medium",2,1))</f>
        <v>2</v>
      </c>
    </row>
    <row r="1482" customFormat="false" ht="15" hidden="false" customHeight="true" outlineLevel="0" collapsed="false">
      <c r="A1482" s="5" t="s">
        <v>3758</v>
      </c>
      <c r="B1482" s="5" t="s">
        <v>1462</v>
      </c>
      <c r="C1482" s="5" t="s">
        <v>2259</v>
      </c>
      <c r="D1482" s="5" t="s">
        <v>2285</v>
      </c>
      <c r="E1482" s="5" t="s">
        <v>59</v>
      </c>
      <c r="F1482" s="5" t="s">
        <v>59</v>
      </c>
      <c r="G1482" s="5" t="str">
        <f aca="false">INDEX(Risk_Matrix!$B$2:$D$4,MATCH(E1482,Risk_Matrix!$A$2:$A$4,0),MATCH(F1482,Risk_Matrix!$B$1:$D$1,0))</f>
        <v>Low</v>
      </c>
      <c r="H1482" s="12" t="n">
        <v>46112</v>
      </c>
      <c r="I1482" s="5" t="s">
        <v>2256</v>
      </c>
      <c r="J1482" s="5" t="s">
        <v>2257</v>
      </c>
      <c r="K1482" s="5" t="s">
        <v>2266</v>
      </c>
      <c r="L1482" s="5" t="n">
        <f aca="false">IF(G1482="High",3,IF(G1482="Medium",2,1))</f>
        <v>1</v>
      </c>
    </row>
    <row r="1483" customFormat="false" ht="15" hidden="false" customHeight="true" outlineLevel="0" collapsed="false">
      <c r="A1483" s="5" t="s">
        <v>3759</v>
      </c>
      <c r="B1483" s="5" t="s">
        <v>1462</v>
      </c>
      <c r="C1483" s="5" t="s">
        <v>2262</v>
      </c>
      <c r="D1483" s="5" t="s">
        <v>2311</v>
      </c>
      <c r="E1483" s="5" t="s">
        <v>59</v>
      </c>
      <c r="F1483" s="5" t="s">
        <v>54</v>
      </c>
      <c r="G1483" s="5" t="str">
        <f aca="false">INDEX(Risk_Matrix!$B$2:$D$4,MATCH(E1483,Risk_Matrix!$A$2:$A$4,0),MATCH(F1483,Risk_Matrix!$B$1:$D$1,0))</f>
        <v>Medium</v>
      </c>
      <c r="H1483" s="12" t="n">
        <v>46152</v>
      </c>
      <c r="I1483" s="5" t="s">
        <v>2250</v>
      </c>
      <c r="J1483" s="5" t="s">
        <v>2251</v>
      </c>
      <c r="K1483" s="5" t="s">
        <v>2252</v>
      </c>
      <c r="L1483" s="5" t="n">
        <f aca="false">IF(G1483="High",3,IF(G1483="Medium",2,1))</f>
        <v>2</v>
      </c>
    </row>
    <row r="1484" customFormat="false" ht="15" hidden="false" customHeight="true" outlineLevel="0" collapsed="false">
      <c r="A1484" s="5" t="s">
        <v>3760</v>
      </c>
      <c r="B1484" s="5" t="s">
        <v>1464</v>
      </c>
      <c r="C1484" s="5" t="s">
        <v>2239</v>
      </c>
      <c r="D1484" s="5" t="s">
        <v>2295</v>
      </c>
      <c r="E1484" s="5" t="s">
        <v>2225</v>
      </c>
      <c r="F1484" s="5" t="s">
        <v>2225</v>
      </c>
      <c r="G1484" s="5" t="str">
        <f aca="false">INDEX(Risk_Matrix!$B$2:$D$4,MATCH(E1484,Risk_Matrix!$A$2:$A$4,0),MATCH(F1484,Risk_Matrix!$B$1:$D$1,0))</f>
        <v>Medium</v>
      </c>
      <c r="H1484" s="12" t="n">
        <v>46151</v>
      </c>
      <c r="I1484" s="5" t="s">
        <v>2250</v>
      </c>
      <c r="J1484" s="5" t="s">
        <v>2251</v>
      </c>
      <c r="K1484" s="5" t="s">
        <v>2252</v>
      </c>
      <c r="L1484" s="5" t="n">
        <f aca="false">IF(G1484="High",3,IF(G1484="Medium",2,1))</f>
        <v>2</v>
      </c>
    </row>
    <row r="1485" customFormat="false" ht="15" hidden="false" customHeight="true" outlineLevel="0" collapsed="false">
      <c r="A1485" s="5" t="s">
        <v>3761</v>
      </c>
      <c r="B1485" s="5" t="s">
        <v>1464</v>
      </c>
      <c r="C1485" s="5" t="s">
        <v>2245</v>
      </c>
      <c r="D1485" s="5" t="s">
        <v>2320</v>
      </c>
      <c r="E1485" s="5" t="s">
        <v>59</v>
      </c>
      <c r="F1485" s="5" t="s">
        <v>54</v>
      </c>
      <c r="G1485" s="5" t="str">
        <f aca="false">INDEX(Risk_Matrix!$B$2:$D$4,MATCH(E1485,Risk_Matrix!$A$2:$A$4,0),MATCH(F1485,Risk_Matrix!$B$1:$D$1,0))</f>
        <v>Medium</v>
      </c>
      <c r="H1485" s="12" t="n">
        <v>46124</v>
      </c>
      <c r="I1485" s="5" t="s">
        <v>2256</v>
      </c>
      <c r="J1485" s="5" t="s">
        <v>2257</v>
      </c>
      <c r="K1485" s="5" t="s">
        <v>2252</v>
      </c>
      <c r="L1485" s="5" t="n">
        <f aca="false">IF(G1485="High",3,IF(G1485="Medium",2,1))</f>
        <v>2</v>
      </c>
    </row>
    <row r="1486" customFormat="false" ht="15" hidden="false" customHeight="true" outlineLevel="0" collapsed="false">
      <c r="A1486" s="5" t="s">
        <v>3762</v>
      </c>
      <c r="B1486" s="5" t="s">
        <v>1464</v>
      </c>
      <c r="C1486" s="5" t="s">
        <v>2248</v>
      </c>
      <c r="D1486" s="5" t="s">
        <v>2271</v>
      </c>
      <c r="E1486" s="5" t="s">
        <v>59</v>
      </c>
      <c r="F1486" s="5" t="s">
        <v>54</v>
      </c>
      <c r="G1486" s="5" t="str">
        <f aca="false">INDEX(Risk_Matrix!$B$2:$D$4,MATCH(E1486,Risk_Matrix!$A$2:$A$4,0),MATCH(F1486,Risk_Matrix!$B$1:$D$1,0))</f>
        <v>Medium</v>
      </c>
      <c r="H1486" s="12" t="n">
        <v>46158</v>
      </c>
      <c r="I1486" s="5" t="s">
        <v>2250</v>
      </c>
      <c r="J1486" s="5" t="s">
        <v>2251</v>
      </c>
      <c r="K1486" s="5" t="s">
        <v>2243</v>
      </c>
      <c r="L1486" s="5" t="n">
        <f aca="false">IF(G1486="High",3,IF(G1486="Medium",2,1))</f>
        <v>2</v>
      </c>
    </row>
    <row r="1487" customFormat="false" ht="15" hidden="false" customHeight="true" outlineLevel="0" collapsed="false">
      <c r="A1487" s="5" t="s">
        <v>3763</v>
      </c>
      <c r="B1487" s="5" t="s">
        <v>1464</v>
      </c>
      <c r="C1487" s="5" t="s">
        <v>2254</v>
      </c>
      <c r="D1487" s="5" t="s">
        <v>2308</v>
      </c>
      <c r="E1487" s="5" t="s">
        <v>2225</v>
      </c>
      <c r="F1487" s="5" t="s">
        <v>2225</v>
      </c>
      <c r="G1487" s="5" t="str">
        <f aca="false">INDEX(Risk_Matrix!$B$2:$D$4,MATCH(E1487,Risk_Matrix!$A$2:$A$4,0),MATCH(F1487,Risk_Matrix!$B$1:$D$1,0))</f>
        <v>Medium</v>
      </c>
      <c r="H1487" s="12" t="n">
        <v>46189</v>
      </c>
      <c r="I1487" s="5" t="s">
        <v>2256</v>
      </c>
      <c r="J1487" s="5" t="s">
        <v>2257</v>
      </c>
      <c r="K1487" s="5" t="s">
        <v>2266</v>
      </c>
      <c r="L1487" s="5" t="n">
        <f aca="false">IF(G1487="High",3,IF(G1487="Medium",2,1))</f>
        <v>2</v>
      </c>
    </row>
    <row r="1488" customFormat="false" ht="15" hidden="false" customHeight="true" outlineLevel="0" collapsed="false">
      <c r="A1488" s="5" t="s">
        <v>3764</v>
      </c>
      <c r="B1488" s="5" t="s">
        <v>1464</v>
      </c>
      <c r="C1488" s="5" t="s">
        <v>2259</v>
      </c>
      <c r="D1488" s="5" t="s">
        <v>2274</v>
      </c>
      <c r="E1488" s="5" t="s">
        <v>2225</v>
      </c>
      <c r="F1488" s="5" t="s">
        <v>2225</v>
      </c>
      <c r="G1488" s="5" t="str">
        <f aca="false">INDEX(Risk_Matrix!$B$2:$D$4,MATCH(E1488,Risk_Matrix!$A$2:$A$4,0),MATCH(F1488,Risk_Matrix!$B$1:$D$1,0))</f>
        <v>Medium</v>
      </c>
      <c r="H1488" s="12" t="n">
        <v>46087</v>
      </c>
      <c r="I1488" s="5" t="s">
        <v>2264</v>
      </c>
      <c r="J1488" s="5" t="s">
        <v>2265</v>
      </c>
      <c r="K1488" s="5" t="s">
        <v>2283</v>
      </c>
      <c r="L1488" s="5" t="n">
        <f aca="false">IF(G1488="High",3,IF(G1488="Medium",2,1))</f>
        <v>2</v>
      </c>
    </row>
    <row r="1489" customFormat="false" ht="15" hidden="false" customHeight="true" outlineLevel="0" collapsed="false">
      <c r="A1489" s="5" t="s">
        <v>3765</v>
      </c>
      <c r="B1489" s="5" t="s">
        <v>1464</v>
      </c>
      <c r="C1489" s="5" t="s">
        <v>2262</v>
      </c>
      <c r="D1489" s="5" t="s">
        <v>2287</v>
      </c>
      <c r="E1489" s="5" t="s">
        <v>2225</v>
      </c>
      <c r="F1489" s="5" t="s">
        <v>59</v>
      </c>
      <c r="G1489" s="5" t="str">
        <f aca="false">INDEX(Risk_Matrix!$B$2:$D$4,MATCH(E1489,Risk_Matrix!$A$2:$A$4,0),MATCH(F1489,Risk_Matrix!$B$1:$D$1,0))</f>
        <v>Low</v>
      </c>
      <c r="H1489" s="12" t="n">
        <v>46234</v>
      </c>
      <c r="I1489" s="5" t="s">
        <v>2250</v>
      </c>
      <c r="J1489" s="5" t="s">
        <v>2251</v>
      </c>
      <c r="K1489" s="5" t="s">
        <v>2252</v>
      </c>
      <c r="L1489" s="5" t="n">
        <f aca="false">IF(G1489="High",3,IF(G1489="Medium",2,1))</f>
        <v>1</v>
      </c>
    </row>
    <row r="1490" customFormat="false" ht="15" hidden="false" customHeight="true" outlineLevel="0" collapsed="false">
      <c r="A1490" s="5" t="s">
        <v>3766</v>
      </c>
      <c r="B1490" s="5" t="s">
        <v>1467</v>
      </c>
      <c r="C1490" s="5" t="s">
        <v>2239</v>
      </c>
      <c r="D1490" s="5" t="s">
        <v>2240</v>
      </c>
      <c r="E1490" s="5" t="s">
        <v>59</v>
      </c>
      <c r="F1490" s="5" t="s">
        <v>59</v>
      </c>
      <c r="G1490" s="5" t="str">
        <f aca="false">INDEX(Risk_Matrix!$B$2:$D$4,MATCH(E1490,Risk_Matrix!$A$2:$A$4,0),MATCH(F1490,Risk_Matrix!$B$1:$D$1,0))</f>
        <v>Low</v>
      </c>
      <c r="H1490" s="12" t="n">
        <v>46103</v>
      </c>
      <c r="I1490" s="5" t="s">
        <v>2256</v>
      </c>
      <c r="J1490" s="5" t="s">
        <v>2257</v>
      </c>
      <c r="K1490" s="5" t="s">
        <v>2243</v>
      </c>
      <c r="L1490" s="5" t="n">
        <f aca="false">IF(G1490="High",3,IF(G1490="Medium",2,1))</f>
        <v>1</v>
      </c>
    </row>
    <row r="1491" customFormat="false" ht="15" hidden="false" customHeight="true" outlineLevel="0" collapsed="false">
      <c r="A1491" s="5" t="s">
        <v>3767</v>
      </c>
      <c r="B1491" s="5" t="s">
        <v>1467</v>
      </c>
      <c r="C1491" s="5" t="s">
        <v>2245</v>
      </c>
      <c r="D1491" s="5" t="s">
        <v>2280</v>
      </c>
      <c r="E1491" s="5" t="s">
        <v>2225</v>
      </c>
      <c r="F1491" s="5" t="s">
        <v>54</v>
      </c>
      <c r="G1491" s="5" t="str">
        <f aca="false">INDEX(Risk_Matrix!$B$2:$D$4,MATCH(E1491,Risk_Matrix!$A$2:$A$4,0),MATCH(F1491,Risk_Matrix!$B$1:$D$1,0))</f>
        <v>High</v>
      </c>
      <c r="H1491" s="12" t="n">
        <v>46170</v>
      </c>
      <c r="I1491" s="5" t="s">
        <v>2241</v>
      </c>
      <c r="J1491" s="5" t="s">
        <v>2242</v>
      </c>
      <c r="K1491" s="5" t="s">
        <v>2276</v>
      </c>
      <c r="L1491" s="5" t="n">
        <f aca="false">IF(G1491="High",3,IF(G1491="Medium",2,1))</f>
        <v>3</v>
      </c>
    </row>
    <row r="1492" customFormat="false" ht="15" hidden="false" customHeight="true" outlineLevel="0" collapsed="false">
      <c r="A1492" s="5" t="s">
        <v>3768</v>
      </c>
      <c r="B1492" s="5" t="s">
        <v>1467</v>
      </c>
      <c r="C1492" s="5" t="s">
        <v>2248</v>
      </c>
      <c r="D1492" s="5" t="s">
        <v>2271</v>
      </c>
      <c r="E1492" s="5" t="s">
        <v>59</v>
      </c>
      <c r="F1492" s="5" t="s">
        <v>59</v>
      </c>
      <c r="G1492" s="5" t="str">
        <f aca="false">INDEX(Risk_Matrix!$B$2:$D$4,MATCH(E1492,Risk_Matrix!$A$2:$A$4,0),MATCH(F1492,Risk_Matrix!$B$1:$D$1,0))</f>
        <v>Low</v>
      </c>
      <c r="H1492" s="12" t="n">
        <v>46202</v>
      </c>
      <c r="I1492" s="5" t="s">
        <v>2264</v>
      </c>
      <c r="J1492" s="5" t="s">
        <v>2265</v>
      </c>
      <c r="K1492" s="5" t="s">
        <v>2252</v>
      </c>
      <c r="L1492" s="5" t="n">
        <f aca="false">IF(G1492="High",3,IF(G1492="Medium",2,1))</f>
        <v>1</v>
      </c>
    </row>
    <row r="1493" customFormat="false" ht="15" hidden="false" customHeight="true" outlineLevel="0" collapsed="false">
      <c r="A1493" s="5" t="s">
        <v>3769</v>
      </c>
      <c r="B1493" s="5" t="s">
        <v>1467</v>
      </c>
      <c r="C1493" s="5" t="s">
        <v>2254</v>
      </c>
      <c r="D1493" s="5" t="s">
        <v>2255</v>
      </c>
      <c r="E1493" s="5" t="s">
        <v>59</v>
      </c>
      <c r="F1493" s="5" t="s">
        <v>59</v>
      </c>
      <c r="G1493" s="5" t="str">
        <f aca="false">INDEX(Risk_Matrix!$B$2:$D$4,MATCH(E1493,Risk_Matrix!$A$2:$A$4,0),MATCH(F1493,Risk_Matrix!$B$1:$D$1,0))</f>
        <v>Low</v>
      </c>
      <c r="H1493" s="12" t="n">
        <v>46147</v>
      </c>
      <c r="I1493" s="5" t="s">
        <v>2256</v>
      </c>
      <c r="J1493" s="5" t="s">
        <v>2257</v>
      </c>
      <c r="K1493" s="5" t="s">
        <v>2283</v>
      </c>
      <c r="L1493" s="5" t="n">
        <f aca="false">IF(G1493="High",3,IF(G1493="Medium",2,1))</f>
        <v>1</v>
      </c>
    </row>
    <row r="1494" customFormat="false" ht="15" hidden="false" customHeight="true" outlineLevel="0" collapsed="false">
      <c r="A1494" s="5" t="s">
        <v>3770</v>
      </c>
      <c r="B1494" s="5" t="s">
        <v>1467</v>
      </c>
      <c r="C1494" s="5" t="s">
        <v>2259</v>
      </c>
      <c r="D1494" s="5" t="s">
        <v>2274</v>
      </c>
      <c r="E1494" s="5" t="s">
        <v>2225</v>
      </c>
      <c r="F1494" s="5" t="s">
        <v>2225</v>
      </c>
      <c r="G1494" s="5" t="str">
        <f aca="false">INDEX(Risk_Matrix!$B$2:$D$4,MATCH(E1494,Risk_Matrix!$A$2:$A$4,0),MATCH(F1494,Risk_Matrix!$B$1:$D$1,0))</f>
        <v>Medium</v>
      </c>
      <c r="H1494" s="12" t="n">
        <v>46114</v>
      </c>
      <c r="I1494" s="5" t="s">
        <v>2241</v>
      </c>
      <c r="J1494" s="5" t="s">
        <v>2242</v>
      </c>
      <c r="K1494" s="5" t="s">
        <v>2252</v>
      </c>
      <c r="L1494" s="5" t="n">
        <f aca="false">IF(G1494="High",3,IF(G1494="Medium",2,1))</f>
        <v>2</v>
      </c>
    </row>
    <row r="1495" customFormat="false" ht="15" hidden="false" customHeight="true" outlineLevel="0" collapsed="false">
      <c r="A1495" s="5" t="s">
        <v>3771</v>
      </c>
      <c r="B1495" s="5" t="s">
        <v>1467</v>
      </c>
      <c r="C1495" s="5" t="s">
        <v>2262</v>
      </c>
      <c r="D1495" s="5" t="s">
        <v>2263</v>
      </c>
      <c r="E1495" s="5" t="s">
        <v>54</v>
      </c>
      <c r="F1495" s="5" t="s">
        <v>59</v>
      </c>
      <c r="G1495" s="5" t="str">
        <f aca="false">INDEX(Risk_Matrix!$B$2:$D$4,MATCH(E1495,Risk_Matrix!$A$2:$A$4,0),MATCH(F1495,Risk_Matrix!$B$1:$D$1,0))</f>
        <v>Medium</v>
      </c>
      <c r="H1495" s="12" t="n">
        <v>46190</v>
      </c>
      <c r="I1495" s="5" t="s">
        <v>2264</v>
      </c>
      <c r="J1495" s="5" t="s">
        <v>2265</v>
      </c>
      <c r="K1495" s="5" t="s">
        <v>2283</v>
      </c>
      <c r="L1495" s="5" t="n">
        <f aca="false">IF(G1495="High",3,IF(G1495="Medium",2,1))</f>
        <v>2</v>
      </c>
    </row>
    <row r="1496" customFormat="false" ht="15" hidden="false" customHeight="true" outlineLevel="0" collapsed="false">
      <c r="A1496" s="5" t="s">
        <v>3772</v>
      </c>
      <c r="B1496" s="5" t="s">
        <v>1469</v>
      </c>
      <c r="C1496" s="5" t="s">
        <v>2239</v>
      </c>
      <c r="D1496" s="5" t="s">
        <v>2240</v>
      </c>
      <c r="E1496" s="5" t="s">
        <v>59</v>
      </c>
      <c r="F1496" s="5" t="s">
        <v>59</v>
      </c>
      <c r="G1496" s="5" t="str">
        <f aca="false">INDEX(Risk_Matrix!$B$2:$D$4,MATCH(E1496,Risk_Matrix!$A$2:$A$4,0),MATCH(F1496,Risk_Matrix!$B$1:$D$1,0))</f>
        <v>Low</v>
      </c>
      <c r="H1496" s="12" t="n">
        <v>46104</v>
      </c>
      <c r="I1496" s="5" t="s">
        <v>2264</v>
      </c>
      <c r="J1496" s="5" t="s">
        <v>2265</v>
      </c>
      <c r="K1496" s="5" t="s">
        <v>2283</v>
      </c>
      <c r="L1496" s="5" t="n">
        <f aca="false">IF(G1496="High",3,IF(G1496="Medium",2,1))</f>
        <v>1</v>
      </c>
    </row>
    <row r="1497" customFormat="false" ht="15" hidden="false" customHeight="true" outlineLevel="0" collapsed="false">
      <c r="A1497" s="5" t="s">
        <v>3773</v>
      </c>
      <c r="B1497" s="5" t="s">
        <v>1469</v>
      </c>
      <c r="C1497" s="5" t="s">
        <v>2245</v>
      </c>
      <c r="D1497" s="5" t="s">
        <v>2269</v>
      </c>
      <c r="E1497" s="5" t="s">
        <v>59</v>
      </c>
      <c r="F1497" s="5" t="s">
        <v>59</v>
      </c>
      <c r="G1497" s="5" t="str">
        <f aca="false">INDEX(Risk_Matrix!$B$2:$D$4,MATCH(E1497,Risk_Matrix!$A$2:$A$4,0),MATCH(F1497,Risk_Matrix!$B$1:$D$1,0))</f>
        <v>Low</v>
      </c>
      <c r="H1497" s="12" t="n">
        <v>46236</v>
      </c>
      <c r="I1497" s="5" t="s">
        <v>2250</v>
      </c>
      <c r="J1497" s="5" t="s">
        <v>2251</v>
      </c>
      <c r="K1497" s="5" t="s">
        <v>2252</v>
      </c>
      <c r="L1497" s="5" t="n">
        <f aca="false">IF(G1497="High",3,IF(G1497="Medium",2,1))</f>
        <v>1</v>
      </c>
    </row>
    <row r="1498" customFormat="false" ht="15" hidden="false" customHeight="true" outlineLevel="0" collapsed="false">
      <c r="A1498" s="5" t="s">
        <v>3774</v>
      </c>
      <c r="B1498" s="5" t="s">
        <v>1469</v>
      </c>
      <c r="C1498" s="5" t="s">
        <v>2248</v>
      </c>
      <c r="D1498" s="5" t="s">
        <v>2249</v>
      </c>
      <c r="E1498" s="5" t="s">
        <v>59</v>
      </c>
      <c r="F1498" s="5" t="s">
        <v>59</v>
      </c>
      <c r="G1498" s="5" t="str">
        <f aca="false">INDEX(Risk_Matrix!$B$2:$D$4,MATCH(E1498,Risk_Matrix!$A$2:$A$4,0),MATCH(F1498,Risk_Matrix!$B$1:$D$1,0))</f>
        <v>Low</v>
      </c>
      <c r="H1498" s="12" t="n">
        <v>46074</v>
      </c>
      <c r="I1498" s="5" t="s">
        <v>2256</v>
      </c>
      <c r="J1498" s="5" t="s">
        <v>2257</v>
      </c>
      <c r="K1498" s="5" t="s">
        <v>2243</v>
      </c>
      <c r="L1498" s="5" t="n">
        <f aca="false">IF(G1498="High",3,IF(G1498="Medium",2,1))</f>
        <v>1</v>
      </c>
    </row>
    <row r="1499" customFormat="false" ht="15" hidden="false" customHeight="true" outlineLevel="0" collapsed="false">
      <c r="A1499" s="5" t="s">
        <v>3775</v>
      </c>
      <c r="B1499" s="5" t="s">
        <v>1469</v>
      </c>
      <c r="C1499" s="5" t="s">
        <v>2254</v>
      </c>
      <c r="D1499" s="5" t="s">
        <v>2255</v>
      </c>
      <c r="E1499" s="5" t="s">
        <v>59</v>
      </c>
      <c r="F1499" s="5" t="s">
        <v>2225</v>
      </c>
      <c r="G1499" s="5" t="str">
        <f aca="false">INDEX(Risk_Matrix!$B$2:$D$4,MATCH(E1499,Risk_Matrix!$A$2:$A$4,0),MATCH(F1499,Risk_Matrix!$B$1:$D$1,0))</f>
        <v>Low</v>
      </c>
      <c r="H1499" s="12" t="n">
        <v>46124</v>
      </c>
      <c r="I1499" s="5" t="s">
        <v>2241</v>
      </c>
      <c r="J1499" s="5" t="s">
        <v>2242</v>
      </c>
      <c r="K1499" s="5" t="s">
        <v>2243</v>
      </c>
      <c r="L1499" s="5" t="n">
        <f aca="false">IF(G1499="High",3,IF(G1499="Medium",2,1))</f>
        <v>1</v>
      </c>
    </row>
    <row r="1500" customFormat="false" ht="15" hidden="false" customHeight="true" outlineLevel="0" collapsed="false">
      <c r="A1500" s="5" t="s">
        <v>3776</v>
      </c>
      <c r="B1500" s="5" t="s">
        <v>1469</v>
      </c>
      <c r="C1500" s="5" t="s">
        <v>2259</v>
      </c>
      <c r="D1500" s="5" t="s">
        <v>2285</v>
      </c>
      <c r="E1500" s="5" t="s">
        <v>59</v>
      </c>
      <c r="F1500" s="5" t="s">
        <v>59</v>
      </c>
      <c r="G1500" s="5" t="str">
        <f aca="false">INDEX(Risk_Matrix!$B$2:$D$4,MATCH(E1500,Risk_Matrix!$A$2:$A$4,0),MATCH(F1500,Risk_Matrix!$B$1:$D$1,0))</f>
        <v>Low</v>
      </c>
      <c r="H1500" s="12" t="n">
        <v>46168</v>
      </c>
      <c r="I1500" s="5" t="s">
        <v>2256</v>
      </c>
      <c r="J1500" s="5" t="s">
        <v>2257</v>
      </c>
      <c r="K1500" s="5" t="s">
        <v>2243</v>
      </c>
      <c r="L1500" s="5" t="n">
        <f aca="false">IF(G1500="High",3,IF(G1500="Medium",2,1))</f>
        <v>1</v>
      </c>
    </row>
    <row r="1501" customFormat="false" ht="15" hidden="false" customHeight="true" outlineLevel="0" collapsed="false">
      <c r="A1501" s="5" t="s">
        <v>3777</v>
      </c>
      <c r="B1501" s="5" t="s">
        <v>1469</v>
      </c>
      <c r="C1501" s="5" t="s">
        <v>2262</v>
      </c>
      <c r="D1501" s="5" t="s">
        <v>2311</v>
      </c>
      <c r="E1501" s="5" t="s">
        <v>59</v>
      </c>
      <c r="F1501" s="5" t="s">
        <v>2225</v>
      </c>
      <c r="G1501" s="5" t="str">
        <f aca="false">INDEX(Risk_Matrix!$B$2:$D$4,MATCH(E1501,Risk_Matrix!$A$2:$A$4,0),MATCH(F1501,Risk_Matrix!$B$1:$D$1,0))</f>
        <v>Low</v>
      </c>
      <c r="H1501" s="12" t="n">
        <v>46088</v>
      </c>
      <c r="I1501" s="5" t="s">
        <v>2256</v>
      </c>
      <c r="J1501" s="5" t="s">
        <v>2257</v>
      </c>
      <c r="K1501" s="5" t="s">
        <v>2266</v>
      </c>
      <c r="L1501" s="5" t="n">
        <f aca="false">IF(G1501="High",3,IF(G1501="Medium",2,1))</f>
        <v>1</v>
      </c>
    </row>
    <row r="1502" customFormat="false" ht="15" hidden="false" customHeight="true" outlineLevel="0" collapsed="false">
      <c r="A1502" s="5" t="s">
        <v>3778</v>
      </c>
      <c r="B1502" s="5" t="s">
        <v>1471</v>
      </c>
      <c r="C1502" s="5" t="s">
        <v>2239</v>
      </c>
      <c r="D1502" s="5" t="s">
        <v>2278</v>
      </c>
      <c r="E1502" s="5" t="s">
        <v>54</v>
      </c>
      <c r="F1502" s="5" t="s">
        <v>59</v>
      </c>
      <c r="G1502" s="5" t="str">
        <f aca="false">INDEX(Risk_Matrix!$B$2:$D$4,MATCH(E1502,Risk_Matrix!$A$2:$A$4,0),MATCH(F1502,Risk_Matrix!$B$1:$D$1,0))</f>
        <v>Medium</v>
      </c>
      <c r="H1502" s="12" t="n">
        <v>46097</v>
      </c>
      <c r="I1502" s="5" t="s">
        <v>2264</v>
      </c>
      <c r="J1502" s="5" t="s">
        <v>2265</v>
      </c>
      <c r="K1502" s="5" t="s">
        <v>2243</v>
      </c>
      <c r="L1502" s="5" t="n">
        <f aca="false">IF(G1502="High",3,IF(G1502="Medium",2,1))</f>
        <v>2</v>
      </c>
    </row>
    <row r="1503" customFormat="false" ht="15" hidden="false" customHeight="true" outlineLevel="0" collapsed="false">
      <c r="A1503" s="5" t="s">
        <v>3779</v>
      </c>
      <c r="B1503" s="5" t="s">
        <v>1471</v>
      </c>
      <c r="C1503" s="5" t="s">
        <v>2245</v>
      </c>
      <c r="D1503" s="5" t="s">
        <v>2269</v>
      </c>
      <c r="E1503" s="5" t="s">
        <v>59</v>
      </c>
      <c r="F1503" s="5" t="s">
        <v>2225</v>
      </c>
      <c r="G1503" s="5" t="str">
        <f aca="false">INDEX(Risk_Matrix!$B$2:$D$4,MATCH(E1503,Risk_Matrix!$A$2:$A$4,0),MATCH(F1503,Risk_Matrix!$B$1:$D$1,0))</f>
        <v>Low</v>
      </c>
      <c r="H1503" s="12" t="n">
        <v>46232</v>
      </c>
      <c r="I1503" s="5" t="s">
        <v>2256</v>
      </c>
      <c r="J1503" s="5" t="s">
        <v>2257</v>
      </c>
      <c r="K1503" s="5" t="s">
        <v>2243</v>
      </c>
      <c r="L1503" s="5" t="n">
        <f aca="false">IF(G1503="High",3,IF(G1503="Medium",2,1))</f>
        <v>1</v>
      </c>
    </row>
    <row r="1504" customFormat="false" ht="15" hidden="false" customHeight="true" outlineLevel="0" collapsed="false">
      <c r="A1504" s="5" t="s">
        <v>3780</v>
      </c>
      <c r="B1504" s="5" t="s">
        <v>1471</v>
      </c>
      <c r="C1504" s="5" t="s">
        <v>2248</v>
      </c>
      <c r="D1504" s="5" t="s">
        <v>2249</v>
      </c>
      <c r="E1504" s="5" t="s">
        <v>59</v>
      </c>
      <c r="F1504" s="5" t="s">
        <v>59</v>
      </c>
      <c r="G1504" s="5" t="str">
        <f aca="false">INDEX(Risk_Matrix!$B$2:$D$4,MATCH(E1504,Risk_Matrix!$A$2:$A$4,0),MATCH(F1504,Risk_Matrix!$B$1:$D$1,0))</f>
        <v>Low</v>
      </c>
      <c r="H1504" s="12" t="n">
        <v>46230</v>
      </c>
      <c r="I1504" s="5" t="s">
        <v>2264</v>
      </c>
      <c r="J1504" s="5" t="s">
        <v>2265</v>
      </c>
      <c r="K1504" s="5" t="s">
        <v>2252</v>
      </c>
      <c r="L1504" s="5" t="n">
        <f aca="false">IF(G1504="High",3,IF(G1504="Medium",2,1))</f>
        <v>1</v>
      </c>
    </row>
    <row r="1505" customFormat="false" ht="15" hidden="false" customHeight="true" outlineLevel="0" collapsed="false">
      <c r="A1505" s="5" t="s">
        <v>3781</v>
      </c>
      <c r="B1505" s="5" t="s">
        <v>1471</v>
      </c>
      <c r="C1505" s="5" t="s">
        <v>2254</v>
      </c>
      <c r="D1505" s="5" t="s">
        <v>2308</v>
      </c>
      <c r="E1505" s="5" t="s">
        <v>2225</v>
      </c>
      <c r="F1505" s="5" t="s">
        <v>2225</v>
      </c>
      <c r="G1505" s="5" t="str">
        <f aca="false">INDEX(Risk_Matrix!$B$2:$D$4,MATCH(E1505,Risk_Matrix!$A$2:$A$4,0),MATCH(F1505,Risk_Matrix!$B$1:$D$1,0))</f>
        <v>Medium</v>
      </c>
      <c r="H1505" s="12" t="n">
        <v>46224</v>
      </c>
      <c r="I1505" s="5" t="s">
        <v>2264</v>
      </c>
      <c r="J1505" s="5" t="s">
        <v>2265</v>
      </c>
      <c r="K1505" s="5" t="s">
        <v>2266</v>
      </c>
      <c r="L1505" s="5" t="n">
        <f aca="false">IF(G1505="High",3,IF(G1505="Medium",2,1))</f>
        <v>2</v>
      </c>
    </row>
    <row r="1506" customFormat="false" ht="15" hidden="false" customHeight="true" outlineLevel="0" collapsed="false">
      <c r="A1506" s="5" t="s">
        <v>3782</v>
      </c>
      <c r="B1506" s="5" t="s">
        <v>1471</v>
      </c>
      <c r="C1506" s="5" t="s">
        <v>2259</v>
      </c>
      <c r="D1506" s="5" t="s">
        <v>2274</v>
      </c>
      <c r="E1506" s="5" t="s">
        <v>59</v>
      </c>
      <c r="F1506" s="5" t="s">
        <v>59</v>
      </c>
      <c r="G1506" s="5" t="str">
        <f aca="false">INDEX(Risk_Matrix!$B$2:$D$4,MATCH(E1506,Risk_Matrix!$A$2:$A$4,0),MATCH(F1506,Risk_Matrix!$B$1:$D$1,0))</f>
        <v>Low</v>
      </c>
      <c r="H1506" s="12" t="n">
        <v>46105</v>
      </c>
      <c r="I1506" s="5" t="s">
        <v>2256</v>
      </c>
      <c r="J1506" s="5" t="s">
        <v>2257</v>
      </c>
      <c r="K1506" s="5" t="s">
        <v>2266</v>
      </c>
      <c r="L1506" s="5" t="n">
        <f aca="false">IF(G1506="High",3,IF(G1506="Medium",2,1))</f>
        <v>1</v>
      </c>
    </row>
    <row r="1507" customFormat="false" ht="15" hidden="false" customHeight="true" outlineLevel="0" collapsed="false">
      <c r="A1507" s="5" t="s">
        <v>3783</v>
      </c>
      <c r="B1507" s="5" t="s">
        <v>1471</v>
      </c>
      <c r="C1507" s="5" t="s">
        <v>2262</v>
      </c>
      <c r="D1507" s="5" t="s">
        <v>2263</v>
      </c>
      <c r="E1507" s="5" t="s">
        <v>59</v>
      </c>
      <c r="F1507" s="5" t="s">
        <v>2225</v>
      </c>
      <c r="G1507" s="5" t="str">
        <f aca="false">INDEX(Risk_Matrix!$B$2:$D$4,MATCH(E1507,Risk_Matrix!$A$2:$A$4,0),MATCH(F1507,Risk_Matrix!$B$1:$D$1,0))</f>
        <v>Low</v>
      </c>
      <c r="H1507" s="12" t="n">
        <v>46152</v>
      </c>
      <c r="I1507" s="5" t="s">
        <v>2241</v>
      </c>
      <c r="J1507" s="5" t="s">
        <v>2242</v>
      </c>
      <c r="K1507" s="5" t="s">
        <v>2276</v>
      </c>
      <c r="L1507" s="5" t="n">
        <f aca="false">IF(G1507="High",3,IF(G1507="Medium",2,1))</f>
        <v>1</v>
      </c>
    </row>
    <row r="1508" customFormat="false" ht="15" hidden="false" customHeight="true" outlineLevel="0" collapsed="false">
      <c r="A1508" s="5" t="s">
        <v>3784</v>
      </c>
      <c r="B1508" s="5" t="s">
        <v>1473</v>
      </c>
      <c r="C1508" s="5" t="s">
        <v>2239</v>
      </c>
      <c r="D1508" s="5" t="s">
        <v>2295</v>
      </c>
      <c r="E1508" s="5" t="s">
        <v>59</v>
      </c>
      <c r="F1508" s="5" t="s">
        <v>59</v>
      </c>
      <c r="G1508" s="5" t="str">
        <f aca="false">INDEX(Risk_Matrix!$B$2:$D$4,MATCH(E1508,Risk_Matrix!$A$2:$A$4,0),MATCH(F1508,Risk_Matrix!$B$1:$D$1,0))</f>
        <v>Low</v>
      </c>
      <c r="H1508" s="12" t="n">
        <v>46223</v>
      </c>
      <c r="I1508" s="5" t="s">
        <v>2250</v>
      </c>
      <c r="J1508" s="5" t="s">
        <v>2251</v>
      </c>
      <c r="K1508" s="5" t="s">
        <v>2283</v>
      </c>
      <c r="L1508" s="5" t="n">
        <f aca="false">IF(G1508="High",3,IF(G1508="Medium",2,1))</f>
        <v>1</v>
      </c>
    </row>
    <row r="1509" customFormat="false" ht="15" hidden="false" customHeight="true" outlineLevel="0" collapsed="false">
      <c r="A1509" s="5" t="s">
        <v>3785</v>
      </c>
      <c r="B1509" s="5" t="s">
        <v>1473</v>
      </c>
      <c r="C1509" s="5" t="s">
        <v>2245</v>
      </c>
      <c r="D1509" s="5" t="s">
        <v>2280</v>
      </c>
      <c r="E1509" s="5" t="s">
        <v>2225</v>
      </c>
      <c r="F1509" s="5" t="s">
        <v>59</v>
      </c>
      <c r="G1509" s="5" t="str">
        <f aca="false">INDEX(Risk_Matrix!$B$2:$D$4,MATCH(E1509,Risk_Matrix!$A$2:$A$4,0),MATCH(F1509,Risk_Matrix!$B$1:$D$1,0))</f>
        <v>Low</v>
      </c>
      <c r="H1509" s="12" t="n">
        <v>46216</v>
      </c>
      <c r="I1509" s="5" t="s">
        <v>2256</v>
      </c>
      <c r="J1509" s="5" t="s">
        <v>2257</v>
      </c>
      <c r="K1509" s="5" t="s">
        <v>2266</v>
      </c>
      <c r="L1509" s="5" t="n">
        <f aca="false">IF(G1509="High",3,IF(G1509="Medium",2,1))</f>
        <v>1</v>
      </c>
    </row>
    <row r="1510" customFormat="false" ht="15" hidden="false" customHeight="true" outlineLevel="0" collapsed="false">
      <c r="A1510" s="5" t="s">
        <v>3786</v>
      </c>
      <c r="B1510" s="5" t="s">
        <v>1473</v>
      </c>
      <c r="C1510" s="5" t="s">
        <v>2248</v>
      </c>
      <c r="D1510" s="5" t="s">
        <v>2271</v>
      </c>
      <c r="E1510" s="5" t="s">
        <v>59</v>
      </c>
      <c r="F1510" s="5" t="s">
        <v>2225</v>
      </c>
      <c r="G1510" s="5" t="str">
        <f aca="false">INDEX(Risk_Matrix!$B$2:$D$4,MATCH(E1510,Risk_Matrix!$A$2:$A$4,0),MATCH(F1510,Risk_Matrix!$B$1:$D$1,0))</f>
        <v>Low</v>
      </c>
      <c r="H1510" s="12" t="n">
        <v>46180</v>
      </c>
      <c r="I1510" s="5" t="s">
        <v>2264</v>
      </c>
      <c r="J1510" s="5" t="s">
        <v>2265</v>
      </c>
      <c r="K1510" s="5" t="s">
        <v>2266</v>
      </c>
      <c r="L1510" s="5" t="n">
        <f aca="false">IF(G1510="High",3,IF(G1510="Medium",2,1))</f>
        <v>1</v>
      </c>
    </row>
    <row r="1511" customFormat="false" ht="15" hidden="false" customHeight="true" outlineLevel="0" collapsed="false">
      <c r="A1511" s="5" t="s">
        <v>3787</v>
      </c>
      <c r="B1511" s="5" t="s">
        <v>1473</v>
      </c>
      <c r="C1511" s="5" t="s">
        <v>2254</v>
      </c>
      <c r="D1511" s="5" t="s">
        <v>2255</v>
      </c>
      <c r="E1511" s="5" t="s">
        <v>2225</v>
      </c>
      <c r="F1511" s="5" t="s">
        <v>2225</v>
      </c>
      <c r="G1511" s="5" t="str">
        <f aca="false">INDEX(Risk_Matrix!$B$2:$D$4,MATCH(E1511,Risk_Matrix!$A$2:$A$4,0),MATCH(F1511,Risk_Matrix!$B$1:$D$1,0))</f>
        <v>Medium</v>
      </c>
      <c r="H1511" s="12" t="n">
        <v>46060</v>
      </c>
      <c r="I1511" s="5" t="s">
        <v>2256</v>
      </c>
      <c r="J1511" s="5" t="s">
        <v>2257</v>
      </c>
      <c r="K1511" s="5" t="s">
        <v>2266</v>
      </c>
      <c r="L1511" s="5" t="n">
        <f aca="false">IF(G1511="High",3,IF(G1511="Medium",2,1))</f>
        <v>2</v>
      </c>
    </row>
    <row r="1512" customFormat="false" ht="15" hidden="false" customHeight="true" outlineLevel="0" collapsed="false">
      <c r="A1512" s="5" t="s">
        <v>3788</v>
      </c>
      <c r="B1512" s="5" t="s">
        <v>1473</v>
      </c>
      <c r="C1512" s="5" t="s">
        <v>2259</v>
      </c>
      <c r="D1512" s="5" t="s">
        <v>2274</v>
      </c>
      <c r="E1512" s="5" t="s">
        <v>59</v>
      </c>
      <c r="F1512" s="5" t="s">
        <v>59</v>
      </c>
      <c r="G1512" s="5" t="str">
        <f aca="false">INDEX(Risk_Matrix!$B$2:$D$4,MATCH(E1512,Risk_Matrix!$A$2:$A$4,0),MATCH(F1512,Risk_Matrix!$B$1:$D$1,0))</f>
        <v>Low</v>
      </c>
      <c r="H1512" s="12" t="n">
        <v>46199</v>
      </c>
      <c r="I1512" s="5" t="s">
        <v>2256</v>
      </c>
      <c r="J1512" s="5" t="s">
        <v>2257</v>
      </c>
      <c r="K1512" s="5" t="s">
        <v>2266</v>
      </c>
      <c r="L1512" s="5" t="n">
        <f aca="false">IF(G1512="High",3,IF(G1512="Medium",2,1))</f>
        <v>1</v>
      </c>
    </row>
    <row r="1513" customFormat="false" ht="15" hidden="false" customHeight="true" outlineLevel="0" collapsed="false">
      <c r="A1513" s="5" t="s">
        <v>3789</v>
      </c>
      <c r="B1513" s="5" t="s">
        <v>1473</v>
      </c>
      <c r="C1513" s="5" t="s">
        <v>2262</v>
      </c>
      <c r="D1513" s="5" t="s">
        <v>2263</v>
      </c>
      <c r="E1513" s="5" t="s">
        <v>59</v>
      </c>
      <c r="F1513" s="5" t="s">
        <v>59</v>
      </c>
      <c r="G1513" s="5" t="str">
        <f aca="false">INDEX(Risk_Matrix!$B$2:$D$4,MATCH(E1513,Risk_Matrix!$A$2:$A$4,0),MATCH(F1513,Risk_Matrix!$B$1:$D$1,0))</f>
        <v>Low</v>
      </c>
      <c r="H1513" s="12" t="n">
        <v>46137</v>
      </c>
      <c r="I1513" s="5" t="s">
        <v>2250</v>
      </c>
      <c r="J1513" s="5" t="s">
        <v>2251</v>
      </c>
      <c r="K1513" s="5" t="s">
        <v>2276</v>
      </c>
      <c r="L1513" s="5" t="n">
        <f aca="false">IF(G1513="High",3,IF(G1513="Medium",2,1))</f>
        <v>1</v>
      </c>
    </row>
    <row r="1514" customFormat="false" ht="15" hidden="false" customHeight="true" outlineLevel="0" collapsed="false">
      <c r="A1514" s="5" t="s">
        <v>3790</v>
      </c>
      <c r="B1514" s="5" t="s">
        <v>1474</v>
      </c>
      <c r="C1514" s="5" t="s">
        <v>2239</v>
      </c>
      <c r="D1514" s="5" t="s">
        <v>2278</v>
      </c>
      <c r="E1514" s="5" t="s">
        <v>59</v>
      </c>
      <c r="F1514" s="5" t="s">
        <v>2225</v>
      </c>
      <c r="G1514" s="5" t="str">
        <f aca="false">INDEX(Risk_Matrix!$B$2:$D$4,MATCH(E1514,Risk_Matrix!$A$2:$A$4,0),MATCH(F1514,Risk_Matrix!$B$1:$D$1,0))</f>
        <v>Low</v>
      </c>
      <c r="H1514" s="12" t="n">
        <v>46098</v>
      </c>
      <c r="I1514" s="5" t="s">
        <v>2250</v>
      </c>
      <c r="J1514" s="5" t="s">
        <v>2251</v>
      </c>
      <c r="K1514" s="5" t="s">
        <v>2276</v>
      </c>
      <c r="L1514" s="5" t="n">
        <f aca="false">IF(G1514="High",3,IF(G1514="Medium",2,1))</f>
        <v>1</v>
      </c>
    </row>
    <row r="1515" customFormat="false" ht="15" hidden="false" customHeight="true" outlineLevel="0" collapsed="false">
      <c r="A1515" s="5" t="s">
        <v>3791</v>
      </c>
      <c r="B1515" s="5" t="s">
        <v>1474</v>
      </c>
      <c r="C1515" s="5" t="s">
        <v>2245</v>
      </c>
      <c r="D1515" s="5" t="s">
        <v>2246</v>
      </c>
      <c r="E1515" s="5" t="s">
        <v>59</v>
      </c>
      <c r="F1515" s="5" t="s">
        <v>59</v>
      </c>
      <c r="G1515" s="5" t="str">
        <f aca="false">INDEX(Risk_Matrix!$B$2:$D$4,MATCH(E1515,Risk_Matrix!$A$2:$A$4,0),MATCH(F1515,Risk_Matrix!$B$1:$D$1,0))</f>
        <v>Low</v>
      </c>
      <c r="H1515" s="12" t="n">
        <v>46113</v>
      </c>
      <c r="I1515" s="5" t="s">
        <v>2256</v>
      </c>
      <c r="J1515" s="5" t="s">
        <v>2257</v>
      </c>
      <c r="K1515" s="5" t="s">
        <v>2276</v>
      </c>
      <c r="L1515" s="5" t="n">
        <f aca="false">IF(G1515="High",3,IF(G1515="Medium",2,1))</f>
        <v>1</v>
      </c>
    </row>
    <row r="1516" customFormat="false" ht="15" hidden="false" customHeight="true" outlineLevel="0" collapsed="false">
      <c r="A1516" s="5" t="s">
        <v>3792</v>
      </c>
      <c r="B1516" s="5" t="s">
        <v>1474</v>
      </c>
      <c r="C1516" s="5" t="s">
        <v>2248</v>
      </c>
      <c r="D1516" s="5" t="s">
        <v>2249</v>
      </c>
      <c r="E1516" s="5" t="s">
        <v>2225</v>
      </c>
      <c r="F1516" s="5" t="s">
        <v>2225</v>
      </c>
      <c r="G1516" s="5" t="str">
        <f aca="false">INDEX(Risk_Matrix!$B$2:$D$4,MATCH(E1516,Risk_Matrix!$A$2:$A$4,0),MATCH(F1516,Risk_Matrix!$B$1:$D$1,0))</f>
        <v>Medium</v>
      </c>
      <c r="H1516" s="12" t="n">
        <v>46196</v>
      </c>
      <c r="I1516" s="5" t="s">
        <v>2256</v>
      </c>
      <c r="J1516" s="5" t="s">
        <v>2257</v>
      </c>
      <c r="K1516" s="5" t="s">
        <v>2243</v>
      </c>
      <c r="L1516" s="5" t="n">
        <f aca="false">IF(G1516="High",3,IF(G1516="Medium",2,1))</f>
        <v>2</v>
      </c>
    </row>
    <row r="1517" customFormat="false" ht="15" hidden="false" customHeight="true" outlineLevel="0" collapsed="false">
      <c r="A1517" s="5" t="s">
        <v>3793</v>
      </c>
      <c r="B1517" s="5" t="s">
        <v>1474</v>
      </c>
      <c r="C1517" s="5" t="s">
        <v>2254</v>
      </c>
      <c r="D1517" s="5" t="s">
        <v>2255</v>
      </c>
      <c r="E1517" s="5" t="s">
        <v>59</v>
      </c>
      <c r="F1517" s="5" t="s">
        <v>59</v>
      </c>
      <c r="G1517" s="5" t="str">
        <f aca="false">INDEX(Risk_Matrix!$B$2:$D$4,MATCH(E1517,Risk_Matrix!$A$2:$A$4,0),MATCH(F1517,Risk_Matrix!$B$1:$D$1,0))</f>
        <v>Low</v>
      </c>
      <c r="H1517" s="12" t="n">
        <v>46079</v>
      </c>
      <c r="I1517" s="5" t="s">
        <v>2250</v>
      </c>
      <c r="J1517" s="5" t="s">
        <v>2251</v>
      </c>
      <c r="K1517" s="5" t="s">
        <v>2252</v>
      </c>
      <c r="L1517" s="5" t="n">
        <f aca="false">IF(G1517="High",3,IF(G1517="Medium",2,1))</f>
        <v>1</v>
      </c>
    </row>
    <row r="1518" customFormat="false" ht="15" hidden="false" customHeight="true" outlineLevel="0" collapsed="false">
      <c r="A1518" s="5" t="s">
        <v>3794</v>
      </c>
      <c r="B1518" s="5" t="s">
        <v>1474</v>
      </c>
      <c r="C1518" s="5" t="s">
        <v>2259</v>
      </c>
      <c r="D1518" s="5" t="s">
        <v>2274</v>
      </c>
      <c r="E1518" s="5" t="s">
        <v>2225</v>
      </c>
      <c r="F1518" s="5" t="s">
        <v>2225</v>
      </c>
      <c r="G1518" s="5" t="str">
        <f aca="false">INDEX(Risk_Matrix!$B$2:$D$4,MATCH(E1518,Risk_Matrix!$A$2:$A$4,0),MATCH(F1518,Risk_Matrix!$B$1:$D$1,0))</f>
        <v>Medium</v>
      </c>
      <c r="H1518" s="12" t="n">
        <v>46187</v>
      </c>
      <c r="I1518" s="5" t="s">
        <v>2256</v>
      </c>
      <c r="J1518" s="5" t="s">
        <v>2257</v>
      </c>
      <c r="K1518" s="5" t="s">
        <v>2283</v>
      </c>
      <c r="L1518" s="5" t="n">
        <f aca="false">IF(G1518="High",3,IF(G1518="Medium",2,1))</f>
        <v>2</v>
      </c>
    </row>
    <row r="1519" customFormat="false" ht="15" hidden="false" customHeight="true" outlineLevel="0" collapsed="false">
      <c r="A1519" s="5" t="s">
        <v>3795</v>
      </c>
      <c r="B1519" s="5" t="s">
        <v>1474</v>
      </c>
      <c r="C1519" s="5" t="s">
        <v>2262</v>
      </c>
      <c r="D1519" s="5" t="s">
        <v>2311</v>
      </c>
      <c r="E1519" s="5" t="s">
        <v>59</v>
      </c>
      <c r="F1519" s="5" t="s">
        <v>59</v>
      </c>
      <c r="G1519" s="5" t="str">
        <f aca="false">INDEX(Risk_Matrix!$B$2:$D$4,MATCH(E1519,Risk_Matrix!$A$2:$A$4,0),MATCH(F1519,Risk_Matrix!$B$1:$D$1,0))</f>
        <v>Low</v>
      </c>
      <c r="H1519" s="12" t="n">
        <v>46208</v>
      </c>
      <c r="I1519" s="5" t="s">
        <v>2256</v>
      </c>
      <c r="J1519" s="5" t="s">
        <v>2257</v>
      </c>
      <c r="K1519" s="5" t="s">
        <v>2252</v>
      </c>
      <c r="L1519" s="5" t="n">
        <f aca="false">IF(G1519="High",3,IF(G1519="Medium",2,1))</f>
        <v>1</v>
      </c>
    </row>
    <row r="1520" customFormat="false" ht="15" hidden="false" customHeight="true" outlineLevel="0" collapsed="false">
      <c r="A1520" s="5" t="s">
        <v>3796</v>
      </c>
      <c r="B1520" s="5" t="s">
        <v>1476</v>
      </c>
      <c r="C1520" s="5" t="s">
        <v>2239</v>
      </c>
      <c r="D1520" s="5" t="s">
        <v>2295</v>
      </c>
      <c r="E1520" s="5" t="s">
        <v>59</v>
      </c>
      <c r="F1520" s="5" t="s">
        <v>2225</v>
      </c>
      <c r="G1520" s="5" t="str">
        <f aca="false">INDEX(Risk_Matrix!$B$2:$D$4,MATCH(E1520,Risk_Matrix!$A$2:$A$4,0),MATCH(F1520,Risk_Matrix!$B$1:$D$1,0))</f>
        <v>Low</v>
      </c>
      <c r="H1520" s="12" t="n">
        <v>46107</v>
      </c>
      <c r="I1520" s="5" t="s">
        <v>2250</v>
      </c>
      <c r="J1520" s="5" t="s">
        <v>2251</v>
      </c>
      <c r="K1520" s="5" t="s">
        <v>2243</v>
      </c>
      <c r="L1520" s="5" t="n">
        <f aca="false">IF(G1520="High",3,IF(G1520="Medium",2,1))</f>
        <v>1</v>
      </c>
    </row>
    <row r="1521" customFormat="false" ht="15" hidden="false" customHeight="true" outlineLevel="0" collapsed="false">
      <c r="A1521" s="5" t="s">
        <v>3797</v>
      </c>
      <c r="B1521" s="5" t="s">
        <v>1476</v>
      </c>
      <c r="C1521" s="5" t="s">
        <v>2245</v>
      </c>
      <c r="D1521" s="5" t="s">
        <v>2320</v>
      </c>
      <c r="E1521" s="5" t="s">
        <v>59</v>
      </c>
      <c r="F1521" s="5" t="s">
        <v>59</v>
      </c>
      <c r="G1521" s="5" t="str">
        <f aca="false">INDEX(Risk_Matrix!$B$2:$D$4,MATCH(E1521,Risk_Matrix!$A$2:$A$4,0),MATCH(F1521,Risk_Matrix!$B$1:$D$1,0))</f>
        <v>Low</v>
      </c>
      <c r="H1521" s="12" t="n">
        <v>46186</v>
      </c>
      <c r="I1521" s="5" t="s">
        <v>2264</v>
      </c>
      <c r="J1521" s="5" t="s">
        <v>2265</v>
      </c>
      <c r="K1521" s="5" t="s">
        <v>2266</v>
      </c>
      <c r="L1521" s="5" t="n">
        <f aca="false">IF(G1521="High",3,IF(G1521="Medium",2,1))</f>
        <v>1</v>
      </c>
    </row>
    <row r="1522" customFormat="false" ht="15" hidden="false" customHeight="true" outlineLevel="0" collapsed="false">
      <c r="A1522" s="5" t="s">
        <v>3798</v>
      </c>
      <c r="B1522" s="5" t="s">
        <v>1476</v>
      </c>
      <c r="C1522" s="5" t="s">
        <v>2248</v>
      </c>
      <c r="D1522" s="5" t="s">
        <v>2249</v>
      </c>
      <c r="E1522" s="5" t="s">
        <v>2225</v>
      </c>
      <c r="F1522" s="5" t="s">
        <v>2225</v>
      </c>
      <c r="G1522" s="5" t="str">
        <f aca="false">INDEX(Risk_Matrix!$B$2:$D$4,MATCH(E1522,Risk_Matrix!$A$2:$A$4,0),MATCH(F1522,Risk_Matrix!$B$1:$D$1,0))</f>
        <v>Medium</v>
      </c>
      <c r="H1522" s="12" t="n">
        <v>46161</v>
      </c>
      <c r="I1522" s="5" t="s">
        <v>2264</v>
      </c>
      <c r="J1522" s="5" t="s">
        <v>2265</v>
      </c>
      <c r="K1522" s="5" t="s">
        <v>2252</v>
      </c>
      <c r="L1522" s="5" t="n">
        <f aca="false">IF(G1522="High",3,IF(G1522="Medium",2,1))</f>
        <v>2</v>
      </c>
    </row>
    <row r="1523" customFormat="false" ht="15" hidden="false" customHeight="true" outlineLevel="0" collapsed="false">
      <c r="A1523" s="5" t="s">
        <v>3799</v>
      </c>
      <c r="B1523" s="5" t="s">
        <v>1476</v>
      </c>
      <c r="C1523" s="5" t="s">
        <v>2254</v>
      </c>
      <c r="D1523" s="5" t="s">
        <v>2308</v>
      </c>
      <c r="E1523" s="5" t="s">
        <v>59</v>
      </c>
      <c r="F1523" s="5" t="s">
        <v>2225</v>
      </c>
      <c r="G1523" s="5" t="str">
        <f aca="false">INDEX(Risk_Matrix!$B$2:$D$4,MATCH(E1523,Risk_Matrix!$A$2:$A$4,0),MATCH(F1523,Risk_Matrix!$B$1:$D$1,0))</f>
        <v>Low</v>
      </c>
      <c r="H1523" s="12" t="n">
        <v>46174</v>
      </c>
      <c r="I1523" s="5" t="s">
        <v>2250</v>
      </c>
      <c r="J1523" s="5" t="s">
        <v>2251</v>
      </c>
      <c r="K1523" s="5" t="s">
        <v>2266</v>
      </c>
      <c r="L1523" s="5" t="n">
        <f aca="false">IF(G1523="High",3,IF(G1523="Medium",2,1))</f>
        <v>1</v>
      </c>
    </row>
    <row r="1524" customFormat="false" ht="15" hidden="false" customHeight="true" outlineLevel="0" collapsed="false">
      <c r="A1524" s="5" t="s">
        <v>3800</v>
      </c>
      <c r="B1524" s="5" t="s">
        <v>1476</v>
      </c>
      <c r="C1524" s="5" t="s">
        <v>2259</v>
      </c>
      <c r="D1524" s="5" t="s">
        <v>2285</v>
      </c>
      <c r="E1524" s="5" t="s">
        <v>59</v>
      </c>
      <c r="F1524" s="5" t="s">
        <v>59</v>
      </c>
      <c r="G1524" s="5" t="str">
        <f aca="false">INDEX(Risk_Matrix!$B$2:$D$4,MATCH(E1524,Risk_Matrix!$A$2:$A$4,0),MATCH(F1524,Risk_Matrix!$B$1:$D$1,0))</f>
        <v>Low</v>
      </c>
      <c r="H1524" s="12" t="n">
        <v>46153</v>
      </c>
      <c r="I1524" s="5" t="s">
        <v>2264</v>
      </c>
      <c r="J1524" s="5" t="s">
        <v>2265</v>
      </c>
      <c r="K1524" s="5" t="s">
        <v>2266</v>
      </c>
      <c r="L1524" s="5" t="n">
        <f aca="false">IF(G1524="High",3,IF(G1524="Medium",2,1))</f>
        <v>1</v>
      </c>
    </row>
    <row r="1525" customFormat="false" ht="15" hidden="false" customHeight="true" outlineLevel="0" collapsed="false">
      <c r="A1525" s="5" t="s">
        <v>3801</v>
      </c>
      <c r="B1525" s="5" t="s">
        <v>1476</v>
      </c>
      <c r="C1525" s="5" t="s">
        <v>2262</v>
      </c>
      <c r="D1525" s="5" t="s">
        <v>2311</v>
      </c>
      <c r="E1525" s="5" t="s">
        <v>54</v>
      </c>
      <c r="F1525" s="5" t="s">
        <v>59</v>
      </c>
      <c r="G1525" s="5" t="str">
        <f aca="false">INDEX(Risk_Matrix!$B$2:$D$4,MATCH(E1525,Risk_Matrix!$A$2:$A$4,0),MATCH(F1525,Risk_Matrix!$B$1:$D$1,0))</f>
        <v>Medium</v>
      </c>
      <c r="H1525" s="12" t="n">
        <v>46138</v>
      </c>
      <c r="I1525" s="5" t="s">
        <v>2256</v>
      </c>
      <c r="J1525" s="5" t="s">
        <v>2257</v>
      </c>
      <c r="K1525" s="5" t="s">
        <v>2283</v>
      </c>
      <c r="L1525" s="5" t="n">
        <f aca="false">IF(G1525="High",3,IF(G1525="Medium",2,1))</f>
        <v>2</v>
      </c>
    </row>
    <row r="1526" customFormat="false" ht="15" hidden="false" customHeight="true" outlineLevel="0" collapsed="false">
      <c r="A1526" s="5" t="s">
        <v>3802</v>
      </c>
      <c r="B1526" s="5" t="s">
        <v>1478</v>
      </c>
      <c r="C1526" s="5" t="s">
        <v>2239</v>
      </c>
      <c r="D1526" s="5" t="s">
        <v>2303</v>
      </c>
      <c r="E1526" s="5" t="s">
        <v>54</v>
      </c>
      <c r="F1526" s="5" t="s">
        <v>59</v>
      </c>
      <c r="G1526" s="5" t="str">
        <f aca="false">INDEX(Risk_Matrix!$B$2:$D$4,MATCH(E1526,Risk_Matrix!$A$2:$A$4,0),MATCH(F1526,Risk_Matrix!$B$1:$D$1,0))</f>
        <v>Medium</v>
      </c>
      <c r="H1526" s="12" t="n">
        <v>46068</v>
      </c>
      <c r="I1526" s="5" t="s">
        <v>2250</v>
      </c>
      <c r="J1526" s="5" t="s">
        <v>2251</v>
      </c>
      <c r="K1526" s="5" t="s">
        <v>2266</v>
      </c>
      <c r="L1526" s="5" t="n">
        <f aca="false">IF(G1526="High",3,IF(G1526="Medium",2,1))</f>
        <v>2</v>
      </c>
    </row>
    <row r="1527" customFormat="false" ht="15" hidden="false" customHeight="true" outlineLevel="0" collapsed="false">
      <c r="A1527" s="5" t="s">
        <v>3803</v>
      </c>
      <c r="B1527" s="5" t="s">
        <v>1478</v>
      </c>
      <c r="C1527" s="5" t="s">
        <v>2245</v>
      </c>
      <c r="D1527" s="5" t="s">
        <v>2246</v>
      </c>
      <c r="E1527" s="5" t="s">
        <v>2225</v>
      </c>
      <c r="F1527" s="5" t="s">
        <v>54</v>
      </c>
      <c r="G1527" s="5" t="str">
        <f aca="false">INDEX(Risk_Matrix!$B$2:$D$4,MATCH(E1527,Risk_Matrix!$A$2:$A$4,0),MATCH(F1527,Risk_Matrix!$B$1:$D$1,0))</f>
        <v>High</v>
      </c>
      <c r="H1527" s="12" t="n">
        <v>46080</v>
      </c>
      <c r="I1527" s="5" t="s">
        <v>2264</v>
      </c>
      <c r="J1527" s="5" t="s">
        <v>2265</v>
      </c>
      <c r="K1527" s="5" t="s">
        <v>2276</v>
      </c>
      <c r="L1527" s="5" t="n">
        <f aca="false">IF(G1527="High",3,IF(G1527="Medium",2,1))</f>
        <v>3</v>
      </c>
    </row>
    <row r="1528" customFormat="false" ht="15" hidden="false" customHeight="true" outlineLevel="0" collapsed="false">
      <c r="A1528" s="5" t="s">
        <v>3804</v>
      </c>
      <c r="B1528" s="5" t="s">
        <v>1478</v>
      </c>
      <c r="C1528" s="5" t="s">
        <v>2248</v>
      </c>
      <c r="D1528" s="5" t="s">
        <v>2306</v>
      </c>
      <c r="E1528" s="5" t="s">
        <v>54</v>
      </c>
      <c r="F1528" s="5" t="s">
        <v>54</v>
      </c>
      <c r="G1528" s="5" t="str">
        <f aca="false">INDEX(Risk_Matrix!$B$2:$D$4,MATCH(E1528,Risk_Matrix!$A$2:$A$4,0),MATCH(F1528,Risk_Matrix!$B$1:$D$1,0))</f>
        <v>High</v>
      </c>
      <c r="H1528" s="12" t="n">
        <v>46141</v>
      </c>
      <c r="I1528" s="5" t="s">
        <v>2256</v>
      </c>
      <c r="J1528" s="5" t="s">
        <v>2257</v>
      </c>
      <c r="K1528" s="5" t="s">
        <v>2283</v>
      </c>
      <c r="L1528" s="5" t="n">
        <f aca="false">IF(G1528="High",3,IF(G1528="Medium",2,1))</f>
        <v>3</v>
      </c>
    </row>
    <row r="1529" customFormat="false" ht="15" hidden="false" customHeight="true" outlineLevel="0" collapsed="false">
      <c r="A1529" s="5" t="s">
        <v>3805</v>
      </c>
      <c r="B1529" s="5" t="s">
        <v>1478</v>
      </c>
      <c r="C1529" s="5" t="s">
        <v>2254</v>
      </c>
      <c r="D1529" s="5" t="s">
        <v>2255</v>
      </c>
      <c r="E1529" s="5" t="s">
        <v>59</v>
      </c>
      <c r="F1529" s="5" t="s">
        <v>59</v>
      </c>
      <c r="G1529" s="5" t="str">
        <f aca="false">INDEX(Risk_Matrix!$B$2:$D$4,MATCH(E1529,Risk_Matrix!$A$2:$A$4,0),MATCH(F1529,Risk_Matrix!$B$1:$D$1,0))</f>
        <v>Low</v>
      </c>
      <c r="H1529" s="12" t="n">
        <v>46130</v>
      </c>
      <c r="I1529" s="5" t="s">
        <v>2250</v>
      </c>
      <c r="J1529" s="5" t="s">
        <v>2251</v>
      </c>
      <c r="K1529" s="5" t="s">
        <v>2252</v>
      </c>
      <c r="L1529" s="5" t="n">
        <f aca="false">IF(G1529="High",3,IF(G1529="Medium",2,1))</f>
        <v>1</v>
      </c>
    </row>
    <row r="1530" customFormat="false" ht="15" hidden="false" customHeight="true" outlineLevel="0" collapsed="false">
      <c r="A1530" s="5" t="s">
        <v>3806</v>
      </c>
      <c r="B1530" s="5" t="s">
        <v>1478</v>
      </c>
      <c r="C1530" s="5" t="s">
        <v>2259</v>
      </c>
      <c r="D1530" s="5" t="s">
        <v>2260</v>
      </c>
      <c r="E1530" s="5" t="s">
        <v>59</v>
      </c>
      <c r="F1530" s="5" t="s">
        <v>2225</v>
      </c>
      <c r="G1530" s="5" t="str">
        <f aca="false">INDEX(Risk_Matrix!$B$2:$D$4,MATCH(E1530,Risk_Matrix!$A$2:$A$4,0),MATCH(F1530,Risk_Matrix!$B$1:$D$1,0))</f>
        <v>Low</v>
      </c>
      <c r="H1530" s="12" t="n">
        <v>46230</v>
      </c>
      <c r="I1530" s="5" t="s">
        <v>2256</v>
      </c>
      <c r="J1530" s="5" t="s">
        <v>2257</v>
      </c>
      <c r="K1530" s="5" t="s">
        <v>2276</v>
      </c>
      <c r="L1530" s="5" t="n">
        <f aca="false">IF(G1530="High",3,IF(G1530="Medium",2,1))</f>
        <v>1</v>
      </c>
    </row>
    <row r="1531" customFormat="false" ht="15" hidden="false" customHeight="true" outlineLevel="0" collapsed="false">
      <c r="A1531" s="5" t="s">
        <v>3807</v>
      </c>
      <c r="B1531" s="5" t="s">
        <v>1478</v>
      </c>
      <c r="C1531" s="5" t="s">
        <v>2262</v>
      </c>
      <c r="D1531" s="5" t="s">
        <v>2311</v>
      </c>
      <c r="E1531" s="5" t="s">
        <v>59</v>
      </c>
      <c r="F1531" s="5" t="s">
        <v>59</v>
      </c>
      <c r="G1531" s="5" t="str">
        <f aca="false">INDEX(Risk_Matrix!$B$2:$D$4,MATCH(E1531,Risk_Matrix!$A$2:$A$4,0),MATCH(F1531,Risk_Matrix!$B$1:$D$1,0))</f>
        <v>Low</v>
      </c>
      <c r="H1531" s="12" t="n">
        <v>46186</v>
      </c>
      <c r="I1531" s="5" t="s">
        <v>2264</v>
      </c>
      <c r="J1531" s="5" t="s">
        <v>2265</v>
      </c>
      <c r="K1531" s="5" t="s">
        <v>2276</v>
      </c>
      <c r="L1531" s="5" t="n">
        <f aca="false">IF(G1531="High",3,IF(G1531="Medium",2,1))</f>
        <v>1</v>
      </c>
    </row>
    <row r="1532" customFormat="false" ht="15" hidden="false" customHeight="true" outlineLevel="0" collapsed="false">
      <c r="A1532" s="5" t="s">
        <v>3808</v>
      </c>
      <c r="B1532" s="5" t="s">
        <v>1479</v>
      </c>
      <c r="C1532" s="5" t="s">
        <v>2239</v>
      </c>
      <c r="D1532" s="5" t="s">
        <v>2240</v>
      </c>
      <c r="E1532" s="5" t="s">
        <v>54</v>
      </c>
      <c r="F1532" s="5" t="s">
        <v>54</v>
      </c>
      <c r="G1532" s="5" t="str">
        <f aca="false">INDEX(Risk_Matrix!$B$2:$D$4,MATCH(E1532,Risk_Matrix!$A$2:$A$4,0),MATCH(F1532,Risk_Matrix!$B$1:$D$1,0))</f>
        <v>High</v>
      </c>
      <c r="H1532" s="12" t="n">
        <v>46210</v>
      </c>
      <c r="I1532" s="5" t="s">
        <v>2256</v>
      </c>
      <c r="J1532" s="5" t="s">
        <v>2257</v>
      </c>
      <c r="K1532" s="5" t="s">
        <v>2276</v>
      </c>
      <c r="L1532" s="5" t="n">
        <f aca="false">IF(G1532="High",3,IF(G1532="Medium",2,1))</f>
        <v>3</v>
      </c>
    </row>
    <row r="1533" customFormat="false" ht="15" hidden="false" customHeight="true" outlineLevel="0" collapsed="false">
      <c r="A1533" s="5" t="s">
        <v>3809</v>
      </c>
      <c r="B1533" s="5" t="s">
        <v>1479</v>
      </c>
      <c r="C1533" s="5" t="s">
        <v>2245</v>
      </c>
      <c r="D1533" s="5" t="s">
        <v>2320</v>
      </c>
      <c r="E1533" s="5" t="s">
        <v>59</v>
      </c>
      <c r="F1533" s="5" t="s">
        <v>54</v>
      </c>
      <c r="G1533" s="5" t="str">
        <f aca="false">INDEX(Risk_Matrix!$B$2:$D$4,MATCH(E1533,Risk_Matrix!$A$2:$A$4,0),MATCH(F1533,Risk_Matrix!$B$1:$D$1,0))</f>
        <v>Medium</v>
      </c>
      <c r="H1533" s="12" t="n">
        <v>46169</v>
      </c>
      <c r="I1533" s="5" t="s">
        <v>2250</v>
      </c>
      <c r="J1533" s="5" t="s">
        <v>2251</v>
      </c>
      <c r="K1533" s="5" t="s">
        <v>2252</v>
      </c>
      <c r="L1533" s="5" t="n">
        <f aca="false">IF(G1533="High",3,IF(G1533="Medium",2,1))</f>
        <v>2</v>
      </c>
    </row>
    <row r="1534" customFormat="false" ht="15" hidden="false" customHeight="true" outlineLevel="0" collapsed="false">
      <c r="A1534" s="5" t="s">
        <v>3810</v>
      </c>
      <c r="B1534" s="5" t="s">
        <v>1479</v>
      </c>
      <c r="C1534" s="5" t="s">
        <v>2248</v>
      </c>
      <c r="D1534" s="5" t="s">
        <v>2306</v>
      </c>
      <c r="E1534" s="5" t="s">
        <v>2225</v>
      </c>
      <c r="F1534" s="5" t="s">
        <v>59</v>
      </c>
      <c r="G1534" s="5" t="str">
        <f aca="false">INDEX(Risk_Matrix!$B$2:$D$4,MATCH(E1534,Risk_Matrix!$A$2:$A$4,0),MATCH(F1534,Risk_Matrix!$B$1:$D$1,0))</f>
        <v>Low</v>
      </c>
      <c r="H1534" s="12" t="n">
        <v>46199</v>
      </c>
      <c r="I1534" s="5" t="s">
        <v>2250</v>
      </c>
      <c r="J1534" s="5" t="s">
        <v>2251</v>
      </c>
      <c r="K1534" s="5" t="s">
        <v>2266</v>
      </c>
      <c r="L1534" s="5" t="n">
        <f aca="false">IF(G1534="High",3,IF(G1534="Medium",2,1))</f>
        <v>1</v>
      </c>
    </row>
    <row r="1535" customFormat="false" ht="15" hidden="false" customHeight="true" outlineLevel="0" collapsed="false">
      <c r="A1535" s="5" t="s">
        <v>3811</v>
      </c>
      <c r="B1535" s="5" t="s">
        <v>1479</v>
      </c>
      <c r="C1535" s="5" t="s">
        <v>2254</v>
      </c>
      <c r="D1535" s="5" t="s">
        <v>2255</v>
      </c>
      <c r="E1535" s="5" t="s">
        <v>59</v>
      </c>
      <c r="F1535" s="5" t="s">
        <v>59</v>
      </c>
      <c r="G1535" s="5" t="str">
        <f aca="false">INDEX(Risk_Matrix!$B$2:$D$4,MATCH(E1535,Risk_Matrix!$A$2:$A$4,0),MATCH(F1535,Risk_Matrix!$B$1:$D$1,0))</f>
        <v>Low</v>
      </c>
      <c r="H1535" s="12" t="n">
        <v>46128</v>
      </c>
      <c r="I1535" s="5" t="s">
        <v>2256</v>
      </c>
      <c r="J1535" s="5" t="s">
        <v>2257</v>
      </c>
      <c r="K1535" s="5" t="s">
        <v>2243</v>
      </c>
      <c r="L1535" s="5" t="n">
        <f aca="false">IF(G1535="High",3,IF(G1535="Medium",2,1))</f>
        <v>1</v>
      </c>
    </row>
    <row r="1536" customFormat="false" ht="15" hidden="false" customHeight="true" outlineLevel="0" collapsed="false">
      <c r="A1536" s="5" t="s">
        <v>3812</v>
      </c>
      <c r="B1536" s="5" t="s">
        <v>1479</v>
      </c>
      <c r="C1536" s="5" t="s">
        <v>2259</v>
      </c>
      <c r="D1536" s="5" t="s">
        <v>2274</v>
      </c>
      <c r="E1536" s="5" t="s">
        <v>59</v>
      </c>
      <c r="F1536" s="5" t="s">
        <v>59</v>
      </c>
      <c r="G1536" s="5" t="str">
        <f aca="false">INDEX(Risk_Matrix!$B$2:$D$4,MATCH(E1536,Risk_Matrix!$A$2:$A$4,0),MATCH(F1536,Risk_Matrix!$B$1:$D$1,0))</f>
        <v>Low</v>
      </c>
      <c r="H1536" s="12" t="n">
        <v>46070</v>
      </c>
      <c r="I1536" s="5" t="s">
        <v>2264</v>
      </c>
      <c r="J1536" s="5" t="s">
        <v>2265</v>
      </c>
      <c r="K1536" s="5" t="s">
        <v>2276</v>
      </c>
      <c r="L1536" s="5" t="n">
        <f aca="false">IF(G1536="High",3,IF(G1536="Medium",2,1))</f>
        <v>1</v>
      </c>
    </row>
    <row r="1537" customFormat="false" ht="15" hidden="false" customHeight="true" outlineLevel="0" collapsed="false">
      <c r="A1537" s="5" t="s">
        <v>3813</v>
      </c>
      <c r="B1537" s="5" t="s">
        <v>1479</v>
      </c>
      <c r="C1537" s="5" t="s">
        <v>2262</v>
      </c>
      <c r="D1537" s="5" t="s">
        <v>2311</v>
      </c>
      <c r="E1537" s="5" t="s">
        <v>2225</v>
      </c>
      <c r="F1537" s="5" t="s">
        <v>2225</v>
      </c>
      <c r="G1537" s="5" t="str">
        <f aca="false">INDEX(Risk_Matrix!$B$2:$D$4,MATCH(E1537,Risk_Matrix!$A$2:$A$4,0),MATCH(F1537,Risk_Matrix!$B$1:$D$1,0))</f>
        <v>Medium</v>
      </c>
      <c r="H1537" s="12" t="n">
        <v>46170</v>
      </c>
      <c r="I1537" s="5" t="s">
        <v>2256</v>
      </c>
      <c r="J1537" s="5" t="s">
        <v>2257</v>
      </c>
      <c r="K1537" s="5" t="s">
        <v>2276</v>
      </c>
      <c r="L1537" s="5" t="n">
        <f aca="false">IF(G1537="High",3,IF(G1537="Medium",2,1))</f>
        <v>2</v>
      </c>
    </row>
    <row r="1538" customFormat="false" ht="15" hidden="false" customHeight="true" outlineLevel="0" collapsed="false">
      <c r="A1538" s="5" t="s">
        <v>3814</v>
      </c>
      <c r="B1538" s="5" t="s">
        <v>1481</v>
      </c>
      <c r="C1538" s="5" t="s">
        <v>2239</v>
      </c>
      <c r="D1538" s="5" t="s">
        <v>2278</v>
      </c>
      <c r="E1538" s="5" t="s">
        <v>54</v>
      </c>
      <c r="F1538" s="5" t="s">
        <v>59</v>
      </c>
      <c r="G1538" s="5" t="str">
        <f aca="false">INDEX(Risk_Matrix!$B$2:$D$4,MATCH(E1538,Risk_Matrix!$A$2:$A$4,0),MATCH(F1538,Risk_Matrix!$B$1:$D$1,0))</f>
        <v>Medium</v>
      </c>
      <c r="H1538" s="12" t="n">
        <v>46238</v>
      </c>
      <c r="I1538" s="5" t="s">
        <v>2250</v>
      </c>
      <c r="J1538" s="5" t="s">
        <v>2251</v>
      </c>
      <c r="K1538" s="5" t="s">
        <v>2276</v>
      </c>
      <c r="L1538" s="5" t="n">
        <f aca="false">IF(G1538="High",3,IF(G1538="Medium",2,1))</f>
        <v>2</v>
      </c>
    </row>
    <row r="1539" customFormat="false" ht="15" hidden="false" customHeight="true" outlineLevel="0" collapsed="false">
      <c r="A1539" s="5" t="s">
        <v>3815</v>
      </c>
      <c r="B1539" s="5" t="s">
        <v>1481</v>
      </c>
      <c r="C1539" s="5" t="s">
        <v>2245</v>
      </c>
      <c r="D1539" s="5" t="s">
        <v>2280</v>
      </c>
      <c r="E1539" s="5" t="s">
        <v>2225</v>
      </c>
      <c r="F1539" s="5" t="s">
        <v>2225</v>
      </c>
      <c r="G1539" s="5" t="str">
        <f aca="false">INDEX(Risk_Matrix!$B$2:$D$4,MATCH(E1539,Risk_Matrix!$A$2:$A$4,0),MATCH(F1539,Risk_Matrix!$B$1:$D$1,0))</f>
        <v>Medium</v>
      </c>
      <c r="H1539" s="12" t="n">
        <v>46226</v>
      </c>
      <c r="I1539" s="5" t="s">
        <v>2264</v>
      </c>
      <c r="J1539" s="5" t="s">
        <v>2265</v>
      </c>
      <c r="K1539" s="5" t="s">
        <v>2252</v>
      </c>
      <c r="L1539" s="5" t="n">
        <f aca="false">IF(G1539="High",3,IF(G1539="Medium",2,1))</f>
        <v>2</v>
      </c>
    </row>
    <row r="1540" customFormat="false" ht="15" hidden="false" customHeight="true" outlineLevel="0" collapsed="false">
      <c r="A1540" s="5" t="s">
        <v>3816</v>
      </c>
      <c r="B1540" s="5" t="s">
        <v>1481</v>
      </c>
      <c r="C1540" s="5" t="s">
        <v>2248</v>
      </c>
      <c r="D1540" s="5" t="s">
        <v>2249</v>
      </c>
      <c r="E1540" s="5" t="s">
        <v>59</v>
      </c>
      <c r="F1540" s="5" t="s">
        <v>59</v>
      </c>
      <c r="G1540" s="5" t="str">
        <f aca="false">INDEX(Risk_Matrix!$B$2:$D$4,MATCH(E1540,Risk_Matrix!$A$2:$A$4,0),MATCH(F1540,Risk_Matrix!$B$1:$D$1,0))</f>
        <v>Low</v>
      </c>
      <c r="H1540" s="12" t="n">
        <v>46099</v>
      </c>
      <c r="I1540" s="5" t="s">
        <v>2264</v>
      </c>
      <c r="J1540" s="5" t="s">
        <v>2265</v>
      </c>
      <c r="K1540" s="5" t="s">
        <v>2266</v>
      </c>
      <c r="L1540" s="5" t="n">
        <f aca="false">IF(G1540="High",3,IF(G1540="Medium",2,1))</f>
        <v>1</v>
      </c>
    </row>
    <row r="1541" customFormat="false" ht="15" hidden="false" customHeight="true" outlineLevel="0" collapsed="false">
      <c r="A1541" s="5" t="s">
        <v>3817</v>
      </c>
      <c r="B1541" s="5" t="s">
        <v>1481</v>
      </c>
      <c r="C1541" s="5" t="s">
        <v>2254</v>
      </c>
      <c r="D1541" s="5" t="s">
        <v>2308</v>
      </c>
      <c r="E1541" s="5" t="s">
        <v>2225</v>
      </c>
      <c r="F1541" s="5" t="s">
        <v>59</v>
      </c>
      <c r="G1541" s="5" t="str">
        <f aca="false">INDEX(Risk_Matrix!$B$2:$D$4,MATCH(E1541,Risk_Matrix!$A$2:$A$4,0),MATCH(F1541,Risk_Matrix!$B$1:$D$1,0))</f>
        <v>Low</v>
      </c>
      <c r="H1541" s="12" t="n">
        <v>46201</v>
      </c>
      <c r="I1541" s="5" t="s">
        <v>2250</v>
      </c>
      <c r="J1541" s="5" t="s">
        <v>2251</v>
      </c>
      <c r="K1541" s="5" t="s">
        <v>2252</v>
      </c>
      <c r="L1541" s="5" t="n">
        <f aca="false">IF(G1541="High",3,IF(G1541="Medium",2,1))</f>
        <v>1</v>
      </c>
    </row>
    <row r="1542" customFormat="false" ht="15" hidden="false" customHeight="true" outlineLevel="0" collapsed="false">
      <c r="A1542" s="5" t="s">
        <v>3818</v>
      </c>
      <c r="B1542" s="5" t="s">
        <v>1481</v>
      </c>
      <c r="C1542" s="5" t="s">
        <v>2259</v>
      </c>
      <c r="D1542" s="5" t="s">
        <v>2285</v>
      </c>
      <c r="E1542" s="5" t="s">
        <v>2225</v>
      </c>
      <c r="F1542" s="5" t="s">
        <v>59</v>
      </c>
      <c r="G1542" s="5" t="str">
        <f aca="false">INDEX(Risk_Matrix!$B$2:$D$4,MATCH(E1542,Risk_Matrix!$A$2:$A$4,0),MATCH(F1542,Risk_Matrix!$B$1:$D$1,0))</f>
        <v>Low</v>
      </c>
      <c r="H1542" s="12" t="n">
        <v>46143</v>
      </c>
      <c r="I1542" s="5" t="s">
        <v>2250</v>
      </c>
      <c r="J1542" s="5" t="s">
        <v>2251</v>
      </c>
      <c r="K1542" s="5" t="s">
        <v>2243</v>
      </c>
      <c r="L1542" s="5" t="n">
        <f aca="false">IF(G1542="High",3,IF(G1542="Medium",2,1))</f>
        <v>1</v>
      </c>
    </row>
    <row r="1543" customFormat="false" ht="15" hidden="false" customHeight="true" outlineLevel="0" collapsed="false">
      <c r="A1543" s="5" t="s">
        <v>3819</v>
      </c>
      <c r="B1543" s="5" t="s">
        <v>1481</v>
      </c>
      <c r="C1543" s="5" t="s">
        <v>2262</v>
      </c>
      <c r="D1543" s="5" t="s">
        <v>2311</v>
      </c>
      <c r="E1543" s="5" t="s">
        <v>2225</v>
      </c>
      <c r="F1543" s="5" t="s">
        <v>59</v>
      </c>
      <c r="G1543" s="5" t="str">
        <f aca="false">INDEX(Risk_Matrix!$B$2:$D$4,MATCH(E1543,Risk_Matrix!$A$2:$A$4,0),MATCH(F1543,Risk_Matrix!$B$1:$D$1,0))</f>
        <v>Low</v>
      </c>
      <c r="H1543" s="12" t="n">
        <v>46112</v>
      </c>
      <c r="I1543" s="5" t="s">
        <v>2250</v>
      </c>
      <c r="J1543" s="5" t="s">
        <v>2251</v>
      </c>
      <c r="K1543" s="5" t="s">
        <v>2283</v>
      </c>
      <c r="L1543" s="5" t="n">
        <f aca="false">IF(G1543="High",3,IF(G1543="Medium",2,1))</f>
        <v>1</v>
      </c>
    </row>
    <row r="1544" customFormat="false" ht="15" hidden="false" customHeight="true" outlineLevel="0" collapsed="false">
      <c r="A1544" s="5" t="s">
        <v>3820</v>
      </c>
      <c r="B1544" s="5" t="s">
        <v>1483</v>
      </c>
      <c r="C1544" s="5" t="s">
        <v>2239</v>
      </c>
      <c r="D1544" s="5" t="s">
        <v>2295</v>
      </c>
      <c r="E1544" s="5" t="s">
        <v>59</v>
      </c>
      <c r="F1544" s="5" t="s">
        <v>59</v>
      </c>
      <c r="G1544" s="5" t="str">
        <f aca="false">INDEX(Risk_Matrix!$B$2:$D$4,MATCH(E1544,Risk_Matrix!$A$2:$A$4,0),MATCH(F1544,Risk_Matrix!$B$1:$D$1,0))</f>
        <v>Low</v>
      </c>
      <c r="H1544" s="12" t="n">
        <v>46203</v>
      </c>
      <c r="I1544" s="5" t="s">
        <v>2250</v>
      </c>
      <c r="J1544" s="5" t="s">
        <v>2251</v>
      </c>
      <c r="K1544" s="5" t="s">
        <v>2252</v>
      </c>
      <c r="L1544" s="5" t="n">
        <f aca="false">IF(G1544="High",3,IF(G1544="Medium",2,1))</f>
        <v>1</v>
      </c>
    </row>
    <row r="1545" customFormat="false" ht="15" hidden="false" customHeight="true" outlineLevel="0" collapsed="false">
      <c r="A1545" s="5" t="s">
        <v>3821</v>
      </c>
      <c r="B1545" s="5" t="s">
        <v>1483</v>
      </c>
      <c r="C1545" s="5" t="s">
        <v>2245</v>
      </c>
      <c r="D1545" s="5" t="s">
        <v>2269</v>
      </c>
      <c r="E1545" s="5" t="s">
        <v>2225</v>
      </c>
      <c r="F1545" s="5" t="s">
        <v>59</v>
      </c>
      <c r="G1545" s="5" t="str">
        <f aca="false">INDEX(Risk_Matrix!$B$2:$D$4,MATCH(E1545,Risk_Matrix!$A$2:$A$4,0),MATCH(F1545,Risk_Matrix!$B$1:$D$1,0))</f>
        <v>Low</v>
      </c>
      <c r="H1545" s="12" t="n">
        <v>46064</v>
      </c>
      <c r="I1545" s="5" t="s">
        <v>2250</v>
      </c>
      <c r="J1545" s="5" t="s">
        <v>2251</v>
      </c>
      <c r="K1545" s="5" t="s">
        <v>2266</v>
      </c>
      <c r="L1545" s="5" t="n">
        <f aca="false">IF(G1545="High",3,IF(G1545="Medium",2,1))</f>
        <v>1</v>
      </c>
    </row>
    <row r="1546" customFormat="false" ht="15" hidden="false" customHeight="true" outlineLevel="0" collapsed="false">
      <c r="A1546" s="5" t="s">
        <v>3822</v>
      </c>
      <c r="B1546" s="5" t="s">
        <v>1483</v>
      </c>
      <c r="C1546" s="5" t="s">
        <v>2248</v>
      </c>
      <c r="D1546" s="5" t="s">
        <v>2306</v>
      </c>
      <c r="E1546" s="5" t="s">
        <v>59</v>
      </c>
      <c r="F1546" s="5" t="s">
        <v>54</v>
      </c>
      <c r="G1546" s="5" t="str">
        <f aca="false">INDEX(Risk_Matrix!$B$2:$D$4,MATCH(E1546,Risk_Matrix!$A$2:$A$4,0),MATCH(F1546,Risk_Matrix!$B$1:$D$1,0))</f>
        <v>Medium</v>
      </c>
      <c r="H1546" s="12" t="n">
        <v>46201</v>
      </c>
      <c r="I1546" s="5" t="s">
        <v>2241</v>
      </c>
      <c r="J1546" s="5" t="s">
        <v>2242</v>
      </c>
      <c r="K1546" s="5" t="s">
        <v>2283</v>
      </c>
      <c r="L1546" s="5" t="n">
        <f aca="false">IF(G1546="High",3,IF(G1546="Medium",2,1))</f>
        <v>2</v>
      </c>
    </row>
    <row r="1547" customFormat="false" ht="15" hidden="false" customHeight="true" outlineLevel="0" collapsed="false">
      <c r="A1547" s="5" t="s">
        <v>3823</v>
      </c>
      <c r="B1547" s="5" t="s">
        <v>1483</v>
      </c>
      <c r="C1547" s="5" t="s">
        <v>2254</v>
      </c>
      <c r="D1547" s="5" t="s">
        <v>2308</v>
      </c>
      <c r="E1547" s="5" t="s">
        <v>2225</v>
      </c>
      <c r="F1547" s="5" t="s">
        <v>2225</v>
      </c>
      <c r="G1547" s="5" t="str">
        <f aca="false">INDEX(Risk_Matrix!$B$2:$D$4,MATCH(E1547,Risk_Matrix!$A$2:$A$4,0),MATCH(F1547,Risk_Matrix!$B$1:$D$1,0))</f>
        <v>Medium</v>
      </c>
      <c r="H1547" s="12" t="n">
        <v>46092</v>
      </c>
      <c r="I1547" s="5" t="s">
        <v>2256</v>
      </c>
      <c r="J1547" s="5" t="s">
        <v>2257</v>
      </c>
      <c r="K1547" s="5" t="s">
        <v>2266</v>
      </c>
      <c r="L1547" s="5" t="n">
        <f aca="false">IF(G1547="High",3,IF(G1547="Medium",2,1))</f>
        <v>2</v>
      </c>
    </row>
    <row r="1548" customFormat="false" ht="15" hidden="false" customHeight="true" outlineLevel="0" collapsed="false">
      <c r="A1548" s="5" t="s">
        <v>3824</v>
      </c>
      <c r="B1548" s="5" t="s">
        <v>1483</v>
      </c>
      <c r="C1548" s="5" t="s">
        <v>2259</v>
      </c>
      <c r="D1548" s="5" t="s">
        <v>2260</v>
      </c>
      <c r="E1548" s="5" t="s">
        <v>2225</v>
      </c>
      <c r="F1548" s="5" t="s">
        <v>59</v>
      </c>
      <c r="G1548" s="5" t="str">
        <f aca="false">INDEX(Risk_Matrix!$B$2:$D$4,MATCH(E1548,Risk_Matrix!$A$2:$A$4,0),MATCH(F1548,Risk_Matrix!$B$1:$D$1,0))</f>
        <v>Low</v>
      </c>
      <c r="H1548" s="12" t="n">
        <v>46210</v>
      </c>
      <c r="I1548" s="5" t="s">
        <v>2264</v>
      </c>
      <c r="J1548" s="5" t="s">
        <v>2265</v>
      </c>
      <c r="K1548" s="5" t="s">
        <v>2283</v>
      </c>
      <c r="L1548" s="5" t="n">
        <f aca="false">IF(G1548="High",3,IF(G1548="Medium",2,1))</f>
        <v>1</v>
      </c>
    </row>
    <row r="1549" customFormat="false" ht="15" hidden="false" customHeight="true" outlineLevel="0" collapsed="false">
      <c r="A1549" s="5" t="s">
        <v>3825</v>
      </c>
      <c r="B1549" s="5" t="s">
        <v>1483</v>
      </c>
      <c r="C1549" s="5" t="s">
        <v>2262</v>
      </c>
      <c r="D1549" s="5" t="s">
        <v>2263</v>
      </c>
      <c r="E1549" s="5" t="s">
        <v>59</v>
      </c>
      <c r="F1549" s="5" t="s">
        <v>59</v>
      </c>
      <c r="G1549" s="5" t="str">
        <f aca="false">INDEX(Risk_Matrix!$B$2:$D$4,MATCH(E1549,Risk_Matrix!$A$2:$A$4,0),MATCH(F1549,Risk_Matrix!$B$1:$D$1,0))</f>
        <v>Low</v>
      </c>
      <c r="H1549" s="12" t="n">
        <v>46098</v>
      </c>
      <c r="I1549" s="5" t="s">
        <v>2256</v>
      </c>
      <c r="J1549" s="5" t="s">
        <v>2257</v>
      </c>
      <c r="K1549" s="5" t="s">
        <v>2266</v>
      </c>
      <c r="L1549" s="5" t="n">
        <f aca="false">IF(G1549="High",3,IF(G1549="Medium",2,1))</f>
        <v>1</v>
      </c>
    </row>
    <row r="1550" customFormat="false" ht="15" hidden="false" customHeight="true" outlineLevel="0" collapsed="false">
      <c r="A1550" s="5" t="s">
        <v>3826</v>
      </c>
      <c r="B1550" s="5" t="s">
        <v>1485</v>
      </c>
      <c r="C1550" s="5" t="s">
        <v>2239</v>
      </c>
      <c r="D1550" s="5" t="s">
        <v>2303</v>
      </c>
      <c r="E1550" s="5" t="s">
        <v>2225</v>
      </c>
      <c r="F1550" s="5" t="s">
        <v>2225</v>
      </c>
      <c r="G1550" s="5" t="str">
        <f aca="false">INDEX(Risk_Matrix!$B$2:$D$4,MATCH(E1550,Risk_Matrix!$A$2:$A$4,0),MATCH(F1550,Risk_Matrix!$B$1:$D$1,0))</f>
        <v>Medium</v>
      </c>
      <c r="H1550" s="12" t="n">
        <v>46155</v>
      </c>
      <c r="I1550" s="5" t="s">
        <v>2250</v>
      </c>
      <c r="J1550" s="5" t="s">
        <v>2251</v>
      </c>
      <c r="K1550" s="5" t="s">
        <v>2252</v>
      </c>
      <c r="L1550" s="5" t="n">
        <f aca="false">IF(G1550="High",3,IF(G1550="Medium",2,1))</f>
        <v>2</v>
      </c>
    </row>
    <row r="1551" customFormat="false" ht="15" hidden="false" customHeight="true" outlineLevel="0" collapsed="false">
      <c r="A1551" s="5" t="s">
        <v>3827</v>
      </c>
      <c r="B1551" s="5" t="s">
        <v>1485</v>
      </c>
      <c r="C1551" s="5" t="s">
        <v>2245</v>
      </c>
      <c r="D1551" s="5" t="s">
        <v>2280</v>
      </c>
      <c r="E1551" s="5" t="s">
        <v>2225</v>
      </c>
      <c r="F1551" s="5" t="s">
        <v>2225</v>
      </c>
      <c r="G1551" s="5" t="str">
        <f aca="false">INDEX(Risk_Matrix!$B$2:$D$4,MATCH(E1551,Risk_Matrix!$A$2:$A$4,0),MATCH(F1551,Risk_Matrix!$B$1:$D$1,0))</f>
        <v>Medium</v>
      </c>
      <c r="H1551" s="12" t="n">
        <v>46149</v>
      </c>
      <c r="I1551" s="5" t="s">
        <v>2256</v>
      </c>
      <c r="J1551" s="5" t="s">
        <v>2257</v>
      </c>
      <c r="K1551" s="5" t="s">
        <v>2243</v>
      </c>
      <c r="L1551" s="5" t="n">
        <f aca="false">IF(G1551="High",3,IF(G1551="Medium",2,1))</f>
        <v>2</v>
      </c>
    </row>
    <row r="1552" customFormat="false" ht="15" hidden="false" customHeight="true" outlineLevel="0" collapsed="false">
      <c r="A1552" s="5" t="s">
        <v>3828</v>
      </c>
      <c r="B1552" s="5" t="s">
        <v>1485</v>
      </c>
      <c r="C1552" s="5" t="s">
        <v>2248</v>
      </c>
      <c r="D1552" s="5" t="s">
        <v>2306</v>
      </c>
      <c r="E1552" s="5" t="s">
        <v>59</v>
      </c>
      <c r="F1552" s="5" t="s">
        <v>2225</v>
      </c>
      <c r="G1552" s="5" t="str">
        <f aca="false">INDEX(Risk_Matrix!$B$2:$D$4,MATCH(E1552,Risk_Matrix!$A$2:$A$4,0),MATCH(F1552,Risk_Matrix!$B$1:$D$1,0))</f>
        <v>Low</v>
      </c>
      <c r="H1552" s="12" t="n">
        <v>46061</v>
      </c>
      <c r="I1552" s="5" t="s">
        <v>2256</v>
      </c>
      <c r="J1552" s="5" t="s">
        <v>2257</v>
      </c>
      <c r="K1552" s="5" t="s">
        <v>2266</v>
      </c>
      <c r="L1552" s="5" t="n">
        <f aca="false">IF(G1552="High",3,IF(G1552="Medium",2,1))</f>
        <v>1</v>
      </c>
    </row>
    <row r="1553" customFormat="false" ht="15" hidden="false" customHeight="true" outlineLevel="0" collapsed="false">
      <c r="A1553" s="5" t="s">
        <v>3829</v>
      </c>
      <c r="B1553" s="5" t="s">
        <v>1485</v>
      </c>
      <c r="C1553" s="5" t="s">
        <v>2254</v>
      </c>
      <c r="D1553" s="5" t="s">
        <v>2299</v>
      </c>
      <c r="E1553" s="5" t="s">
        <v>59</v>
      </c>
      <c r="F1553" s="5" t="s">
        <v>2225</v>
      </c>
      <c r="G1553" s="5" t="str">
        <f aca="false">INDEX(Risk_Matrix!$B$2:$D$4,MATCH(E1553,Risk_Matrix!$A$2:$A$4,0),MATCH(F1553,Risk_Matrix!$B$1:$D$1,0))</f>
        <v>Low</v>
      </c>
      <c r="H1553" s="12" t="n">
        <v>46211</v>
      </c>
      <c r="I1553" s="5" t="s">
        <v>2250</v>
      </c>
      <c r="J1553" s="5" t="s">
        <v>2251</v>
      </c>
      <c r="K1553" s="5" t="s">
        <v>2243</v>
      </c>
      <c r="L1553" s="5" t="n">
        <f aca="false">IF(G1553="High",3,IF(G1553="Medium",2,1))</f>
        <v>1</v>
      </c>
    </row>
    <row r="1554" customFormat="false" ht="15" hidden="false" customHeight="true" outlineLevel="0" collapsed="false">
      <c r="A1554" s="5" t="s">
        <v>3830</v>
      </c>
      <c r="B1554" s="5" t="s">
        <v>1485</v>
      </c>
      <c r="C1554" s="5" t="s">
        <v>2259</v>
      </c>
      <c r="D1554" s="5" t="s">
        <v>2260</v>
      </c>
      <c r="E1554" s="5" t="s">
        <v>54</v>
      </c>
      <c r="F1554" s="5" t="s">
        <v>2225</v>
      </c>
      <c r="G1554" s="5" t="str">
        <f aca="false">INDEX(Risk_Matrix!$B$2:$D$4,MATCH(E1554,Risk_Matrix!$A$2:$A$4,0),MATCH(F1554,Risk_Matrix!$B$1:$D$1,0))</f>
        <v>High</v>
      </c>
      <c r="H1554" s="12" t="n">
        <v>46135</v>
      </c>
      <c r="I1554" s="5" t="s">
        <v>2256</v>
      </c>
      <c r="J1554" s="5" t="s">
        <v>2257</v>
      </c>
      <c r="K1554" s="5" t="s">
        <v>2252</v>
      </c>
      <c r="L1554" s="5" t="n">
        <f aca="false">IF(G1554="High",3,IF(G1554="Medium",2,1))</f>
        <v>3</v>
      </c>
    </row>
    <row r="1555" customFormat="false" ht="15" hidden="false" customHeight="true" outlineLevel="0" collapsed="false">
      <c r="A1555" s="5" t="s">
        <v>3831</v>
      </c>
      <c r="B1555" s="5" t="s">
        <v>1485</v>
      </c>
      <c r="C1555" s="5" t="s">
        <v>2262</v>
      </c>
      <c r="D1555" s="5" t="s">
        <v>2287</v>
      </c>
      <c r="E1555" s="5" t="s">
        <v>2225</v>
      </c>
      <c r="F1555" s="5" t="s">
        <v>59</v>
      </c>
      <c r="G1555" s="5" t="str">
        <f aca="false">INDEX(Risk_Matrix!$B$2:$D$4,MATCH(E1555,Risk_Matrix!$A$2:$A$4,0),MATCH(F1555,Risk_Matrix!$B$1:$D$1,0))</f>
        <v>Low</v>
      </c>
      <c r="H1555" s="12" t="n">
        <v>46232</v>
      </c>
      <c r="I1555" s="5" t="s">
        <v>2264</v>
      </c>
      <c r="J1555" s="5" t="s">
        <v>2265</v>
      </c>
      <c r="K1555" s="5" t="s">
        <v>2276</v>
      </c>
      <c r="L1555" s="5" t="n">
        <f aca="false">IF(G1555="High",3,IF(G1555="Medium",2,1))</f>
        <v>1</v>
      </c>
    </row>
    <row r="1556" customFormat="false" ht="15" hidden="false" customHeight="true" outlineLevel="0" collapsed="false">
      <c r="A1556" s="5" t="s">
        <v>3832</v>
      </c>
      <c r="B1556" s="5" t="s">
        <v>1486</v>
      </c>
      <c r="C1556" s="5" t="s">
        <v>2239</v>
      </c>
      <c r="D1556" s="5" t="s">
        <v>2240</v>
      </c>
      <c r="E1556" s="5" t="s">
        <v>59</v>
      </c>
      <c r="F1556" s="5" t="s">
        <v>59</v>
      </c>
      <c r="G1556" s="5" t="str">
        <f aca="false">INDEX(Risk_Matrix!$B$2:$D$4,MATCH(E1556,Risk_Matrix!$A$2:$A$4,0),MATCH(F1556,Risk_Matrix!$B$1:$D$1,0))</f>
        <v>Low</v>
      </c>
      <c r="H1556" s="12" t="n">
        <v>46064</v>
      </c>
      <c r="I1556" s="5" t="s">
        <v>2264</v>
      </c>
      <c r="J1556" s="5" t="s">
        <v>2265</v>
      </c>
      <c r="K1556" s="5" t="s">
        <v>2276</v>
      </c>
      <c r="L1556" s="5" t="n">
        <f aca="false">IF(G1556="High",3,IF(G1556="Medium",2,1))</f>
        <v>1</v>
      </c>
    </row>
    <row r="1557" customFormat="false" ht="15" hidden="false" customHeight="true" outlineLevel="0" collapsed="false">
      <c r="A1557" s="5" t="s">
        <v>3833</v>
      </c>
      <c r="B1557" s="5" t="s">
        <v>1486</v>
      </c>
      <c r="C1557" s="5" t="s">
        <v>2245</v>
      </c>
      <c r="D1557" s="5" t="s">
        <v>2246</v>
      </c>
      <c r="E1557" s="5" t="s">
        <v>59</v>
      </c>
      <c r="F1557" s="5" t="s">
        <v>54</v>
      </c>
      <c r="G1557" s="5" t="str">
        <f aca="false">INDEX(Risk_Matrix!$B$2:$D$4,MATCH(E1557,Risk_Matrix!$A$2:$A$4,0),MATCH(F1557,Risk_Matrix!$B$1:$D$1,0))</f>
        <v>Medium</v>
      </c>
      <c r="H1557" s="12" t="n">
        <v>46147</v>
      </c>
      <c r="I1557" s="5" t="s">
        <v>2250</v>
      </c>
      <c r="J1557" s="5" t="s">
        <v>2251</v>
      </c>
      <c r="K1557" s="5" t="s">
        <v>2243</v>
      </c>
      <c r="L1557" s="5" t="n">
        <f aca="false">IF(G1557="High",3,IF(G1557="Medium",2,1))</f>
        <v>2</v>
      </c>
    </row>
    <row r="1558" customFormat="false" ht="15" hidden="false" customHeight="true" outlineLevel="0" collapsed="false">
      <c r="A1558" s="5" t="s">
        <v>3834</v>
      </c>
      <c r="B1558" s="5" t="s">
        <v>1486</v>
      </c>
      <c r="C1558" s="5" t="s">
        <v>2248</v>
      </c>
      <c r="D1558" s="5" t="s">
        <v>2306</v>
      </c>
      <c r="E1558" s="5" t="s">
        <v>2225</v>
      </c>
      <c r="F1558" s="5" t="s">
        <v>59</v>
      </c>
      <c r="G1558" s="5" t="str">
        <f aca="false">INDEX(Risk_Matrix!$B$2:$D$4,MATCH(E1558,Risk_Matrix!$A$2:$A$4,0),MATCH(F1558,Risk_Matrix!$B$1:$D$1,0))</f>
        <v>Low</v>
      </c>
      <c r="H1558" s="12" t="n">
        <v>46185</v>
      </c>
      <c r="I1558" s="5" t="s">
        <v>2256</v>
      </c>
      <c r="J1558" s="5" t="s">
        <v>2257</v>
      </c>
      <c r="K1558" s="5" t="s">
        <v>2252</v>
      </c>
      <c r="L1558" s="5" t="n">
        <f aca="false">IF(G1558="High",3,IF(G1558="Medium",2,1))</f>
        <v>1</v>
      </c>
    </row>
    <row r="1559" customFormat="false" ht="15" hidden="false" customHeight="true" outlineLevel="0" collapsed="false">
      <c r="A1559" s="5" t="s">
        <v>3835</v>
      </c>
      <c r="B1559" s="5" t="s">
        <v>1486</v>
      </c>
      <c r="C1559" s="5" t="s">
        <v>2254</v>
      </c>
      <c r="D1559" s="5" t="s">
        <v>2308</v>
      </c>
      <c r="E1559" s="5" t="s">
        <v>2225</v>
      </c>
      <c r="F1559" s="5" t="s">
        <v>54</v>
      </c>
      <c r="G1559" s="5" t="str">
        <f aca="false">INDEX(Risk_Matrix!$B$2:$D$4,MATCH(E1559,Risk_Matrix!$A$2:$A$4,0),MATCH(F1559,Risk_Matrix!$B$1:$D$1,0))</f>
        <v>High</v>
      </c>
      <c r="H1559" s="12" t="n">
        <v>46087</v>
      </c>
      <c r="I1559" s="5" t="s">
        <v>2250</v>
      </c>
      <c r="J1559" s="5" t="s">
        <v>2251</v>
      </c>
      <c r="K1559" s="5" t="s">
        <v>2276</v>
      </c>
      <c r="L1559" s="5" t="n">
        <f aca="false">IF(G1559="High",3,IF(G1559="Medium",2,1))</f>
        <v>3</v>
      </c>
    </row>
    <row r="1560" customFormat="false" ht="15" hidden="false" customHeight="true" outlineLevel="0" collapsed="false">
      <c r="A1560" s="5" t="s">
        <v>3836</v>
      </c>
      <c r="B1560" s="5" t="s">
        <v>1486</v>
      </c>
      <c r="C1560" s="5" t="s">
        <v>2259</v>
      </c>
      <c r="D1560" s="5" t="s">
        <v>2285</v>
      </c>
      <c r="E1560" s="5" t="s">
        <v>59</v>
      </c>
      <c r="F1560" s="5" t="s">
        <v>59</v>
      </c>
      <c r="G1560" s="5" t="str">
        <f aca="false">INDEX(Risk_Matrix!$B$2:$D$4,MATCH(E1560,Risk_Matrix!$A$2:$A$4,0),MATCH(F1560,Risk_Matrix!$B$1:$D$1,0))</f>
        <v>Low</v>
      </c>
      <c r="H1560" s="12" t="n">
        <v>46231</v>
      </c>
      <c r="I1560" s="5" t="s">
        <v>2256</v>
      </c>
      <c r="J1560" s="5" t="s">
        <v>2257</v>
      </c>
      <c r="K1560" s="5" t="s">
        <v>2252</v>
      </c>
      <c r="L1560" s="5" t="n">
        <f aca="false">IF(G1560="High",3,IF(G1560="Medium",2,1))</f>
        <v>1</v>
      </c>
    </row>
    <row r="1561" customFormat="false" ht="15" hidden="false" customHeight="true" outlineLevel="0" collapsed="false">
      <c r="A1561" s="5" t="s">
        <v>3837</v>
      </c>
      <c r="B1561" s="5" t="s">
        <v>1486</v>
      </c>
      <c r="C1561" s="5" t="s">
        <v>2262</v>
      </c>
      <c r="D1561" s="5" t="s">
        <v>2263</v>
      </c>
      <c r="E1561" s="5" t="s">
        <v>59</v>
      </c>
      <c r="F1561" s="5" t="s">
        <v>2225</v>
      </c>
      <c r="G1561" s="5" t="str">
        <f aca="false">INDEX(Risk_Matrix!$B$2:$D$4,MATCH(E1561,Risk_Matrix!$A$2:$A$4,0),MATCH(F1561,Risk_Matrix!$B$1:$D$1,0))</f>
        <v>Low</v>
      </c>
      <c r="H1561" s="12" t="n">
        <v>46213</v>
      </c>
      <c r="I1561" s="5" t="s">
        <v>2264</v>
      </c>
      <c r="J1561" s="5" t="s">
        <v>2265</v>
      </c>
      <c r="K1561" s="5" t="s">
        <v>2243</v>
      </c>
      <c r="L1561" s="5" t="n">
        <f aca="false">IF(G1561="High",3,IF(G1561="Medium",2,1))</f>
        <v>1</v>
      </c>
    </row>
    <row r="1562" customFormat="false" ht="15" hidden="false" customHeight="true" outlineLevel="0" collapsed="false">
      <c r="A1562" s="5" t="s">
        <v>3838</v>
      </c>
      <c r="B1562" s="5" t="s">
        <v>1488</v>
      </c>
      <c r="C1562" s="5" t="s">
        <v>2239</v>
      </c>
      <c r="D1562" s="5" t="s">
        <v>2278</v>
      </c>
      <c r="E1562" s="5" t="s">
        <v>54</v>
      </c>
      <c r="F1562" s="5" t="s">
        <v>2225</v>
      </c>
      <c r="G1562" s="5" t="str">
        <f aca="false">INDEX(Risk_Matrix!$B$2:$D$4,MATCH(E1562,Risk_Matrix!$A$2:$A$4,0),MATCH(F1562,Risk_Matrix!$B$1:$D$1,0))</f>
        <v>High</v>
      </c>
      <c r="H1562" s="12" t="n">
        <v>46141</v>
      </c>
      <c r="I1562" s="5" t="s">
        <v>2241</v>
      </c>
      <c r="J1562" s="5" t="s">
        <v>2242</v>
      </c>
      <c r="K1562" s="5" t="s">
        <v>2276</v>
      </c>
      <c r="L1562" s="5" t="n">
        <f aca="false">IF(G1562="High",3,IF(G1562="Medium",2,1))</f>
        <v>3</v>
      </c>
    </row>
    <row r="1563" customFormat="false" ht="15" hidden="false" customHeight="true" outlineLevel="0" collapsed="false">
      <c r="A1563" s="5" t="s">
        <v>3839</v>
      </c>
      <c r="B1563" s="5" t="s">
        <v>1488</v>
      </c>
      <c r="C1563" s="5" t="s">
        <v>2245</v>
      </c>
      <c r="D1563" s="5" t="s">
        <v>2280</v>
      </c>
      <c r="E1563" s="5" t="s">
        <v>2225</v>
      </c>
      <c r="F1563" s="5" t="s">
        <v>59</v>
      </c>
      <c r="G1563" s="5" t="str">
        <f aca="false">INDEX(Risk_Matrix!$B$2:$D$4,MATCH(E1563,Risk_Matrix!$A$2:$A$4,0),MATCH(F1563,Risk_Matrix!$B$1:$D$1,0))</f>
        <v>Low</v>
      </c>
      <c r="H1563" s="12" t="n">
        <v>46215</v>
      </c>
      <c r="I1563" s="5" t="s">
        <v>2256</v>
      </c>
      <c r="J1563" s="5" t="s">
        <v>2257</v>
      </c>
      <c r="K1563" s="5" t="s">
        <v>2276</v>
      </c>
      <c r="L1563" s="5" t="n">
        <f aca="false">IF(G1563="High",3,IF(G1563="Medium",2,1))</f>
        <v>1</v>
      </c>
    </row>
    <row r="1564" customFormat="false" ht="15" hidden="false" customHeight="true" outlineLevel="0" collapsed="false">
      <c r="A1564" s="5" t="s">
        <v>3840</v>
      </c>
      <c r="B1564" s="5" t="s">
        <v>1488</v>
      </c>
      <c r="C1564" s="5" t="s">
        <v>2248</v>
      </c>
      <c r="D1564" s="5" t="s">
        <v>2322</v>
      </c>
      <c r="E1564" s="5" t="s">
        <v>2225</v>
      </c>
      <c r="F1564" s="5" t="s">
        <v>2225</v>
      </c>
      <c r="G1564" s="5" t="str">
        <f aca="false">INDEX(Risk_Matrix!$B$2:$D$4,MATCH(E1564,Risk_Matrix!$A$2:$A$4,0),MATCH(F1564,Risk_Matrix!$B$1:$D$1,0))</f>
        <v>Medium</v>
      </c>
      <c r="H1564" s="12" t="n">
        <v>46122</v>
      </c>
      <c r="I1564" s="5" t="s">
        <v>2264</v>
      </c>
      <c r="J1564" s="5" t="s">
        <v>2265</v>
      </c>
      <c r="K1564" s="5" t="s">
        <v>2243</v>
      </c>
      <c r="L1564" s="5" t="n">
        <f aca="false">IF(G1564="High",3,IF(G1564="Medium",2,1))</f>
        <v>2</v>
      </c>
    </row>
    <row r="1565" customFormat="false" ht="15" hidden="false" customHeight="true" outlineLevel="0" collapsed="false">
      <c r="A1565" s="5" t="s">
        <v>3841</v>
      </c>
      <c r="B1565" s="5" t="s">
        <v>1488</v>
      </c>
      <c r="C1565" s="5" t="s">
        <v>2254</v>
      </c>
      <c r="D1565" s="5" t="s">
        <v>2299</v>
      </c>
      <c r="E1565" s="5" t="s">
        <v>59</v>
      </c>
      <c r="F1565" s="5" t="s">
        <v>2225</v>
      </c>
      <c r="G1565" s="5" t="str">
        <f aca="false">INDEX(Risk_Matrix!$B$2:$D$4,MATCH(E1565,Risk_Matrix!$A$2:$A$4,0),MATCH(F1565,Risk_Matrix!$B$1:$D$1,0))</f>
        <v>Low</v>
      </c>
      <c r="H1565" s="12" t="n">
        <v>46156</v>
      </c>
      <c r="I1565" s="5" t="s">
        <v>2250</v>
      </c>
      <c r="J1565" s="5" t="s">
        <v>2251</v>
      </c>
      <c r="K1565" s="5" t="s">
        <v>2252</v>
      </c>
      <c r="L1565" s="5" t="n">
        <f aca="false">IF(G1565="High",3,IF(G1565="Medium",2,1))</f>
        <v>1</v>
      </c>
    </row>
    <row r="1566" customFormat="false" ht="15" hidden="false" customHeight="true" outlineLevel="0" collapsed="false">
      <c r="A1566" s="5" t="s">
        <v>3842</v>
      </c>
      <c r="B1566" s="5" t="s">
        <v>1488</v>
      </c>
      <c r="C1566" s="5" t="s">
        <v>2259</v>
      </c>
      <c r="D1566" s="5" t="s">
        <v>2285</v>
      </c>
      <c r="E1566" s="5" t="s">
        <v>2225</v>
      </c>
      <c r="F1566" s="5" t="s">
        <v>54</v>
      </c>
      <c r="G1566" s="5" t="str">
        <f aca="false">INDEX(Risk_Matrix!$B$2:$D$4,MATCH(E1566,Risk_Matrix!$A$2:$A$4,0),MATCH(F1566,Risk_Matrix!$B$1:$D$1,0))</f>
        <v>High</v>
      </c>
      <c r="H1566" s="12" t="n">
        <v>46133</v>
      </c>
      <c r="I1566" s="5" t="s">
        <v>2256</v>
      </c>
      <c r="J1566" s="5" t="s">
        <v>2257</v>
      </c>
      <c r="K1566" s="5" t="s">
        <v>2276</v>
      </c>
      <c r="L1566" s="5" t="n">
        <f aca="false">IF(G1566="High",3,IF(G1566="Medium",2,1))</f>
        <v>3</v>
      </c>
    </row>
    <row r="1567" customFormat="false" ht="15" hidden="false" customHeight="true" outlineLevel="0" collapsed="false">
      <c r="A1567" s="5" t="s">
        <v>3843</v>
      </c>
      <c r="B1567" s="5" t="s">
        <v>1488</v>
      </c>
      <c r="C1567" s="5" t="s">
        <v>2262</v>
      </c>
      <c r="D1567" s="5" t="s">
        <v>2287</v>
      </c>
      <c r="E1567" s="5" t="s">
        <v>2225</v>
      </c>
      <c r="F1567" s="5" t="s">
        <v>2225</v>
      </c>
      <c r="G1567" s="5" t="str">
        <f aca="false">INDEX(Risk_Matrix!$B$2:$D$4,MATCH(E1567,Risk_Matrix!$A$2:$A$4,0),MATCH(F1567,Risk_Matrix!$B$1:$D$1,0))</f>
        <v>Medium</v>
      </c>
      <c r="H1567" s="12" t="n">
        <v>46231</v>
      </c>
      <c r="I1567" s="5" t="s">
        <v>2250</v>
      </c>
      <c r="J1567" s="5" t="s">
        <v>2251</v>
      </c>
      <c r="K1567" s="5" t="s">
        <v>2283</v>
      </c>
      <c r="L1567" s="5" t="n">
        <f aca="false">IF(G1567="High",3,IF(G1567="Medium",2,1))</f>
        <v>2</v>
      </c>
    </row>
    <row r="1568" customFormat="false" ht="15" hidden="false" customHeight="true" outlineLevel="0" collapsed="false">
      <c r="A1568" s="5" t="s">
        <v>3844</v>
      </c>
      <c r="B1568" s="5" t="s">
        <v>1491</v>
      </c>
      <c r="C1568" s="5" t="s">
        <v>2239</v>
      </c>
      <c r="D1568" s="5" t="s">
        <v>2295</v>
      </c>
      <c r="E1568" s="5" t="s">
        <v>59</v>
      </c>
      <c r="F1568" s="5" t="s">
        <v>59</v>
      </c>
      <c r="G1568" s="5" t="str">
        <f aca="false">INDEX(Risk_Matrix!$B$2:$D$4,MATCH(E1568,Risk_Matrix!$A$2:$A$4,0),MATCH(F1568,Risk_Matrix!$B$1:$D$1,0))</f>
        <v>Low</v>
      </c>
      <c r="H1568" s="12" t="n">
        <v>46094</v>
      </c>
      <c r="I1568" s="5" t="s">
        <v>2256</v>
      </c>
      <c r="J1568" s="5" t="s">
        <v>2257</v>
      </c>
      <c r="K1568" s="5" t="s">
        <v>2243</v>
      </c>
      <c r="L1568" s="5" t="n">
        <f aca="false">IF(G1568="High",3,IF(G1568="Medium",2,1))</f>
        <v>1</v>
      </c>
    </row>
    <row r="1569" customFormat="false" ht="15" hidden="false" customHeight="true" outlineLevel="0" collapsed="false">
      <c r="A1569" s="5" t="s">
        <v>3845</v>
      </c>
      <c r="B1569" s="5" t="s">
        <v>1491</v>
      </c>
      <c r="C1569" s="5" t="s">
        <v>2245</v>
      </c>
      <c r="D1569" s="5" t="s">
        <v>2246</v>
      </c>
      <c r="E1569" s="5" t="s">
        <v>59</v>
      </c>
      <c r="F1569" s="5" t="s">
        <v>59</v>
      </c>
      <c r="G1569" s="5" t="str">
        <f aca="false">INDEX(Risk_Matrix!$B$2:$D$4,MATCH(E1569,Risk_Matrix!$A$2:$A$4,0),MATCH(F1569,Risk_Matrix!$B$1:$D$1,0))</f>
        <v>Low</v>
      </c>
      <c r="H1569" s="12" t="n">
        <v>46194</v>
      </c>
      <c r="I1569" s="5" t="s">
        <v>2250</v>
      </c>
      <c r="J1569" s="5" t="s">
        <v>2251</v>
      </c>
      <c r="K1569" s="5" t="s">
        <v>2243</v>
      </c>
      <c r="L1569" s="5" t="n">
        <f aca="false">IF(G1569="High",3,IF(G1569="Medium",2,1))</f>
        <v>1</v>
      </c>
    </row>
    <row r="1570" customFormat="false" ht="15" hidden="false" customHeight="true" outlineLevel="0" collapsed="false">
      <c r="A1570" s="5" t="s">
        <v>3846</v>
      </c>
      <c r="B1570" s="5" t="s">
        <v>1491</v>
      </c>
      <c r="C1570" s="5" t="s">
        <v>2248</v>
      </c>
      <c r="D1570" s="5" t="s">
        <v>2249</v>
      </c>
      <c r="E1570" s="5" t="s">
        <v>54</v>
      </c>
      <c r="F1570" s="5" t="s">
        <v>59</v>
      </c>
      <c r="G1570" s="5" t="str">
        <f aca="false">INDEX(Risk_Matrix!$B$2:$D$4,MATCH(E1570,Risk_Matrix!$A$2:$A$4,0),MATCH(F1570,Risk_Matrix!$B$1:$D$1,0))</f>
        <v>Medium</v>
      </c>
      <c r="H1570" s="12" t="n">
        <v>46129</v>
      </c>
      <c r="I1570" s="5" t="s">
        <v>2250</v>
      </c>
      <c r="J1570" s="5" t="s">
        <v>2251</v>
      </c>
      <c r="K1570" s="5" t="s">
        <v>2276</v>
      </c>
      <c r="L1570" s="5" t="n">
        <f aca="false">IF(G1570="High",3,IF(G1570="Medium",2,1))</f>
        <v>2</v>
      </c>
    </row>
    <row r="1571" customFormat="false" ht="15" hidden="false" customHeight="true" outlineLevel="0" collapsed="false">
      <c r="A1571" s="5" t="s">
        <v>3847</v>
      </c>
      <c r="B1571" s="5" t="s">
        <v>1491</v>
      </c>
      <c r="C1571" s="5" t="s">
        <v>2254</v>
      </c>
      <c r="D1571" s="5" t="s">
        <v>2299</v>
      </c>
      <c r="E1571" s="5" t="s">
        <v>59</v>
      </c>
      <c r="F1571" s="5" t="s">
        <v>2225</v>
      </c>
      <c r="G1571" s="5" t="str">
        <f aca="false">INDEX(Risk_Matrix!$B$2:$D$4,MATCH(E1571,Risk_Matrix!$A$2:$A$4,0),MATCH(F1571,Risk_Matrix!$B$1:$D$1,0))</f>
        <v>Low</v>
      </c>
      <c r="H1571" s="12" t="n">
        <v>46114</v>
      </c>
      <c r="I1571" s="5" t="s">
        <v>2256</v>
      </c>
      <c r="J1571" s="5" t="s">
        <v>2257</v>
      </c>
      <c r="K1571" s="5" t="s">
        <v>2266</v>
      </c>
      <c r="L1571" s="5" t="n">
        <f aca="false">IF(G1571="High",3,IF(G1571="Medium",2,1))</f>
        <v>1</v>
      </c>
    </row>
    <row r="1572" customFormat="false" ht="15" hidden="false" customHeight="true" outlineLevel="0" collapsed="false">
      <c r="A1572" s="5" t="s">
        <v>3848</v>
      </c>
      <c r="B1572" s="5" t="s">
        <v>1491</v>
      </c>
      <c r="C1572" s="5" t="s">
        <v>2259</v>
      </c>
      <c r="D1572" s="5" t="s">
        <v>2260</v>
      </c>
      <c r="E1572" s="5" t="s">
        <v>59</v>
      </c>
      <c r="F1572" s="5" t="s">
        <v>2225</v>
      </c>
      <c r="G1572" s="5" t="str">
        <f aca="false">INDEX(Risk_Matrix!$B$2:$D$4,MATCH(E1572,Risk_Matrix!$A$2:$A$4,0),MATCH(F1572,Risk_Matrix!$B$1:$D$1,0))</f>
        <v>Low</v>
      </c>
      <c r="H1572" s="12" t="n">
        <v>46193</v>
      </c>
      <c r="I1572" s="5" t="s">
        <v>2250</v>
      </c>
      <c r="J1572" s="5" t="s">
        <v>2251</v>
      </c>
      <c r="K1572" s="5" t="s">
        <v>2243</v>
      </c>
      <c r="L1572" s="5" t="n">
        <f aca="false">IF(G1572="High",3,IF(G1572="Medium",2,1))</f>
        <v>1</v>
      </c>
    </row>
    <row r="1573" customFormat="false" ht="15" hidden="false" customHeight="true" outlineLevel="0" collapsed="false">
      <c r="A1573" s="5" t="s">
        <v>3849</v>
      </c>
      <c r="B1573" s="5" t="s">
        <v>1491</v>
      </c>
      <c r="C1573" s="5" t="s">
        <v>2262</v>
      </c>
      <c r="D1573" s="5" t="s">
        <v>2287</v>
      </c>
      <c r="E1573" s="5" t="s">
        <v>59</v>
      </c>
      <c r="F1573" s="5" t="s">
        <v>59</v>
      </c>
      <c r="G1573" s="5" t="str">
        <f aca="false">INDEX(Risk_Matrix!$B$2:$D$4,MATCH(E1573,Risk_Matrix!$A$2:$A$4,0),MATCH(F1573,Risk_Matrix!$B$1:$D$1,0))</f>
        <v>Low</v>
      </c>
      <c r="H1573" s="12" t="n">
        <v>46089</v>
      </c>
      <c r="I1573" s="5" t="s">
        <v>2264</v>
      </c>
      <c r="J1573" s="5" t="s">
        <v>2265</v>
      </c>
      <c r="K1573" s="5" t="s">
        <v>2243</v>
      </c>
      <c r="L1573" s="5" t="n">
        <f aca="false">IF(G1573="High",3,IF(G1573="Medium",2,1))</f>
        <v>1</v>
      </c>
    </row>
    <row r="1574" customFormat="false" ht="15" hidden="false" customHeight="true" outlineLevel="0" collapsed="false">
      <c r="A1574" s="5" t="s">
        <v>3850</v>
      </c>
      <c r="B1574" s="5" t="s">
        <v>1492</v>
      </c>
      <c r="C1574" s="5" t="s">
        <v>2239</v>
      </c>
      <c r="D1574" s="5" t="s">
        <v>2303</v>
      </c>
      <c r="E1574" s="5" t="s">
        <v>2225</v>
      </c>
      <c r="F1574" s="5" t="s">
        <v>2225</v>
      </c>
      <c r="G1574" s="5" t="str">
        <f aca="false">INDEX(Risk_Matrix!$B$2:$D$4,MATCH(E1574,Risk_Matrix!$A$2:$A$4,0),MATCH(F1574,Risk_Matrix!$B$1:$D$1,0))</f>
        <v>Medium</v>
      </c>
      <c r="H1574" s="12" t="n">
        <v>46209</v>
      </c>
      <c r="I1574" s="5" t="s">
        <v>2264</v>
      </c>
      <c r="J1574" s="5" t="s">
        <v>2265</v>
      </c>
      <c r="K1574" s="5" t="s">
        <v>2276</v>
      </c>
      <c r="L1574" s="5" t="n">
        <f aca="false">IF(G1574="High",3,IF(G1574="Medium",2,1))</f>
        <v>2</v>
      </c>
    </row>
    <row r="1575" customFormat="false" ht="15" hidden="false" customHeight="true" outlineLevel="0" collapsed="false">
      <c r="A1575" s="5" t="s">
        <v>3851</v>
      </c>
      <c r="B1575" s="5" t="s">
        <v>1492</v>
      </c>
      <c r="C1575" s="5" t="s">
        <v>2245</v>
      </c>
      <c r="D1575" s="5" t="s">
        <v>2320</v>
      </c>
      <c r="E1575" s="5" t="s">
        <v>59</v>
      </c>
      <c r="F1575" s="5" t="s">
        <v>2225</v>
      </c>
      <c r="G1575" s="5" t="str">
        <f aca="false">INDEX(Risk_Matrix!$B$2:$D$4,MATCH(E1575,Risk_Matrix!$A$2:$A$4,0),MATCH(F1575,Risk_Matrix!$B$1:$D$1,0))</f>
        <v>Low</v>
      </c>
      <c r="H1575" s="12" t="n">
        <v>46094</v>
      </c>
      <c r="I1575" s="5" t="s">
        <v>2264</v>
      </c>
      <c r="J1575" s="5" t="s">
        <v>2265</v>
      </c>
      <c r="K1575" s="5" t="s">
        <v>2276</v>
      </c>
      <c r="L1575" s="5" t="n">
        <f aca="false">IF(G1575="High",3,IF(G1575="Medium",2,1))</f>
        <v>1</v>
      </c>
    </row>
    <row r="1576" customFormat="false" ht="15" hidden="false" customHeight="true" outlineLevel="0" collapsed="false">
      <c r="A1576" s="5" t="s">
        <v>3852</v>
      </c>
      <c r="B1576" s="5" t="s">
        <v>1492</v>
      </c>
      <c r="C1576" s="5" t="s">
        <v>2248</v>
      </c>
      <c r="D1576" s="5" t="s">
        <v>2271</v>
      </c>
      <c r="E1576" s="5" t="s">
        <v>59</v>
      </c>
      <c r="F1576" s="5" t="s">
        <v>2225</v>
      </c>
      <c r="G1576" s="5" t="str">
        <f aca="false">INDEX(Risk_Matrix!$B$2:$D$4,MATCH(E1576,Risk_Matrix!$A$2:$A$4,0),MATCH(F1576,Risk_Matrix!$B$1:$D$1,0))</f>
        <v>Low</v>
      </c>
      <c r="H1576" s="12" t="n">
        <v>46104</v>
      </c>
      <c r="I1576" s="5" t="s">
        <v>2250</v>
      </c>
      <c r="J1576" s="5" t="s">
        <v>2251</v>
      </c>
      <c r="K1576" s="5" t="s">
        <v>2252</v>
      </c>
      <c r="L1576" s="5" t="n">
        <f aca="false">IF(G1576="High",3,IF(G1576="Medium",2,1))</f>
        <v>1</v>
      </c>
    </row>
    <row r="1577" customFormat="false" ht="15" hidden="false" customHeight="true" outlineLevel="0" collapsed="false">
      <c r="A1577" s="5" t="s">
        <v>3853</v>
      </c>
      <c r="B1577" s="5" t="s">
        <v>1492</v>
      </c>
      <c r="C1577" s="5" t="s">
        <v>2254</v>
      </c>
      <c r="D1577" s="5" t="s">
        <v>2299</v>
      </c>
      <c r="E1577" s="5" t="s">
        <v>2225</v>
      </c>
      <c r="F1577" s="5" t="s">
        <v>59</v>
      </c>
      <c r="G1577" s="5" t="str">
        <f aca="false">INDEX(Risk_Matrix!$B$2:$D$4,MATCH(E1577,Risk_Matrix!$A$2:$A$4,0),MATCH(F1577,Risk_Matrix!$B$1:$D$1,0))</f>
        <v>Low</v>
      </c>
      <c r="H1577" s="12" t="n">
        <v>46127</v>
      </c>
      <c r="I1577" s="5" t="s">
        <v>2256</v>
      </c>
      <c r="J1577" s="5" t="s">
        <v>2257</v>
      </c>
      <c r="K1577" s="5" t="s">
        <v>2283</v>
      </c>
      <c r="L1577" s="5" t="n">
        <f aca="false">IF(G1577="High",3,IF(G1577="Medium",2,1))</f>
        <v>1</v>
      </c>
    </row>
    <row r="1578" customFormat="false" ht="15" hidden="false" customHeight="true" outlineLevel="0" collapsed="false">
      <c r="A1578" s="5" t="s">
        <v>3854</v>
      </c>
      <c r="B1578" s="5" t="s">
        <v>1492</v>
      </c>
      <c r="C1578" s="5" t="s">
        <v>2259</v>
      </c>
      <c r="D1578" s="5" t="s">
        <v>2285</v>
      </c>
      <c r="E1578" s="5" t="s">
        <v>59</v>
      </c>
      <c r="F1578" s="5" t="s">
        <v>59</v>
      </c>
      <c r="G1578" s="5" t="str">
        <f aca="false">INDEX(Risk_Matrix!$B$2:$D$4,MATCH(E1578,Risk_Matrix!$A$2:$A$4,0),MATCH(F1578,Risk_Matrix!$B$1:$D$1,0))</f>
        <v>Low</v>
      </c>
      <c r="H1578" s="12" t="n">
        <v>46068</v>
      </c>
      <c r="I1578" s="5" t="s">
        <v>2256</v>
      </c>
      <c r="J1578" s="5" t="s">
        <v>2257</v>
      </c>
      <c r="K1578" s="5" t="s">
        <v>2252</v>
      </c>
      <c r="L1578" s="5" t="n">
        <f aca="false">IF(G1578="High",3,IF(G1578="Medium",2,1))</f>
        <v>1</v>
      </c>
    </row>
    <row r="1579" customFormat="false" ht="15" hidden="false" customHeight="true" outlineLevel="0" collapsed="false">
      <c r="A1579" s="5" t="s">
        <v>3855</v>
      </c>
      <c r="B1579" s="5" t="s">
        <v>1492</v>
      </c>
      <c r="C1579" s="5" t="s">
        <v>2262</v>
      </c>
      <c r="D1579" s="5" t="s">
        <v>2311</v>
      </c>
      <c r="E1579" s="5" t="s">
        <v>59</v>
      </c>
      <c r="F1579" s="5" t="s">
        <v>54</v>
      </c>
      <c r="G1579" s="5" t="str">
        <f aca="false">INDEX(Risk_Matrix!$B$2:$D$4,MATCH(E1579,Risk_Matrix!$A$2:$A$4,0),MATCH(F1579,Risk_Matrix!$B$1:$D$1,0))</f>
        <v>Medium</v>
      </c>
      <c r="H1579" s="12" t="n">
        <v>46203</v>
      </c>
      <c r="I1579" s="5" t="s">
        <v>2264</v>
      </c>
      <c r="J1579" s="5" t="s">
        <v>2265</v>
      </c>
      <c r="K1579" s="5" t="s">
        <v>2276</v>
      </c>
      <c r="L1579" s="5" t="n">
        <f aca="false">IF(G1579="High",3,IF(G1579="Medium",2,1))</f>
        <v>2</v>
      </c>
    </row>
    <row r="1580" customFormat="false" ht="15" hidden="false" customHeight="true" outlineLevel="0" collapsed="false">
      <c r="A1580" s="5" t="s">
        <v>3856</v>
      </c>
      <c r="B1580" s="5" t="s">
        <v>1494</v>
      </c>
      <c r="C1580" s="5" t="s">
        <v>2239</v>
      </c>
      <c r="D1580" s="5" t="s">
        <v>2240</v>
      </c>
      <c r="E1580" s="5" t="s">
        <v>59</v>
      </c>
      <c r="F1580" s="5" t="s">
        <v>2225</v>
      </c>
      <c r="G1580" s="5" t="str">
        <f aca="false">INDEX(Risk_Matrix!$B$2:$D$4,MATCH(E1580,Risk_Matrix!$A$2:$A$4,0),MATCH(F1580,Risk_Matrix!$B$1:$D$1,0))</f>
        <v>Low</v>
      </c>
      <c r="H1580" s="12" t="n">
        <v>46124</v>
      </c>
      <c r="I1580" s="5" t="s">
        <v>2250</v>
      </c>
      <c r="J1580" s="5" t="s">
        <v>2251</v>
      </c>
      <c r="K1580" s="5" t="s">
        <v>2283</v>
      </c>
      <c r="L1580" s="5" t="n">
        <f aca="false">IF(G1580="High",3,IF(G1580="Medium",2,1))</f>
        <v>1</v>
      </c>
    </row>
    <row r="1581" customFormat="false" ht="15" hidden="false" customHeight="true" outlineLevel="0" collapsed="false">
      <c r="A1581" s="5" t="s">
        <v>3857</v>
      </c>
      <c r="B1581" s="5" t="s">
        <v>1494</v>
      </c>
      <c r="C1581" s="5" t="s">
        <v>2245</v>
      </c>
      <c r="D1581" s="5" t="s">
        <v>2269</v>
      </c>
      <c r="E1581" s="5" t="s">
        <v>2225</v>
      </c>
      <c r="F1581" s="5" t="s">
        <v>59</v>
      </c>
      <c r="G1581" s="5" t="str">
        <f aca="false">INDEX(Risk_Matrix!$B$2:$D$4,MATCH(E1581,Risk_Matrix!$A$2:$A$4,0),MATCH(F1581,Risk_Matrix!$B$1:$D$1,0))</f>
        <v>Low</v>
      </c>
      <c r="H1581" s="12" t="n">
        <v>46070</v>
      </c>
      <c r="I1581" s="5" t="s">
        <v>2241</v>
      </c>
      <c r="J1581" s="5" t="s">
        <v>2242</v>
      </c>
      <c r="K1581" s="5" t="s">
        <v>2266</v>
      </c>
      <c r="L1581" s="5" t="n">
        <f aca="false">IF(G1581="High",3,IF(G1581="Medium",2,1))</f>
        <v>1</v>
      </c>
    </row>
    <row r="1582" customFormat="false" ht="15" hidden="false" customHeight="true" outlineLevel="0" collapsed="false">
      <c r="A1582" s="5" t="s">
        <v>3858</v>
      </c>
      <c r="B1582" s="5" t="s">
        <v>1494</v>
      </c>
      <c r="C1582" s="5" t="s">
        <v>2248</v>
      </c>
      <c r="D1582" s="5" t="s">
        <v>2271</v>
      </c>
      <c r="E1582" s="5" t="s">
        <v>59</v>
      </c>
      <c r="F1582" s="5" t="s">
        <v>59</v>
      </c>
      <c r="G1582" s="5" t="str">
        <f aca="false">INDEX(Risk_Matrix!$B$2:$D$4,MATCH(E1582,Risk_Matrix!$A$2:$A$4,0),MATCH(F1582,Risk_Matrix!$B$1:$D$1,0))</f>
        <v>Low</v>
      </c>
      <c r="H1582" s="12" t="n">
        <v>46162</v>
      </c>
      <c r="I1582" s="5" t="s">
        <v>2256</v>
      </c>
      <c r="J1582" s="5" t="s">
        <v>2257</v>
      </c>
      <c r="K1582" s="5" t="s">
        <v>2266</v>
      </c>
      <c r="L1582" s="5" t="n">
        <f aca="false">IF(G1582="High",3,IF(G1582="Medium",2,1))</f>
        <v>1</v>
      </c>
    </row>
    <row r="1583" customFormat="false" ht="15" hidden="false" customHeight="true" outlineLevel="0" collapsed="false">
      <c r="A1583" s="5" t="s">
        <v>3859</v>
      </c>
      <c r="B1583" s="5" t="s">
        <v>1494</v>
      </c>
      <c r="C1583" s="5" t="s">
        <v>2254</v>
      </c>
      <c r="D1583" s="5" t="s">
        <v>2299</v>
      </c>
      <c r="E1583" s="5" t="s">
        <v>2225</v>
      </c>
      <c r="F1583" s="5" t="s">
        <v>59</v>
      </c>
      <c r="G1583" s="5" t="str">
        <f aca="false">INDEX(Risk_Matrix!$B$2:$D$4,MATCH(E1583,Risk_Matrix!$A$2:$A$4,0),MATCH(F1583,Risk_Matrix!$B$1:$D$1,0))</f>
        <v>Low</v>
      </c>
      <c r="H1583" s="12" t="n">
        <v>46235</v>
      </c>
      <c r="I1583" s="5" t="s">
        <v>2256</v>
      </c>
      <c r="J1583" s="5" t="s">
        <v>2257</v>
      </c>
      <c r="K1583" s="5" t="s">
        <v>2276</v>
      </c>
      <c r="L1583" s="5" t="n">
        <f aca="false">IF(G1583="High",3,IF(G1583="Medium",2,1))</f>
        <v>1</v>
      </c>
    </row>
    <row r="1584" customFormat="false" ht="15" hidden="false" customHeight="true" outlineLevel="0" collapsed="false">
      <c r="A1584" s="5" t="s">
        <v>3860</v>
      </c>
      <c r="B1584" s="5" t="s">
        <v>1494</v>
      </c>
      <c r="C1584" s="5" t="s">
        <v>2259</v>
      </c>
      <c r="D1584" s="5" t="s">
        <v>2285</v>
      </c>
      <c r="E1584" s="5" t="s">
        <v>2225</v>
      </c>
      <c r="F1584" s="5" t="s">
        <v>2225</v>
      </c>
      <c r="G1584" s="5" t="str">
        <f aca="false">INDEX(Risk_Matrix!$B$2:$D$4,MATCH(E1584,Risk_Matrix!$A$2:$A$4,0),MATCH(F1584,Risk_Matrix!$B$1:$D$1,0))</f>
        <v>Medium</v>
      </c>
      <c r="H1584" s="12" t="n">
        <v>46203</v>
      </c>
      <c r="I1584" s="5" t="s">
        <v>2256</v>
      </c>
      <c r="J1584" s="5" t="s">
        <v>2257</v>
      </c>
      <c r="K1584" s="5" t="s">
        <v>2252</v>
      </c>
      <c r="L1584" s="5" t="n">
        <f aca="false">IF(G1584="High",3,IF(G1584="Medium",2,1))</f>
        <v>2</v>
      </c>
    </row>
    <row r="1585" customFormat="false" ht="15" hidden="false" customHeight="true" outlineLevel="0" collapsed="false">
      <c r="A1585" s="5" t="s">
        <v>3861</v>
      </c>
      <c r="B1585" s="5" t="s">
        <v>1494</v>
      </c>
      <c r="C1585" s="5" t="s">
        <v>2262</v>
      </c>
      <c r="D1585" s="5" t="s">
        <v>2287</v>
      </c>
      <c r="E1585" s="5" t="s">
        <v>54</v>
      </c>
      <c r="F1585" s="5" t="s">
        <v>2225</v>
      </c>
      <c r="G1585" s="5" t="str">
        <f aca="false">INDEX(Risk_Matrix!$B$2:$D$4,MATCH(E1585,Risk_Matrix!$A$2:$A$4,0),MATCH(F1585,Risk_Matrix!$B$1:$D$1,0))</f>
        <v>High</v>
      </c>
      <c r="H1585" s="12" t="n">
        <v>46117</v>
      </c>
      <c r="I1585" s="5" t="s">
        <v>2256</v>
      </c>
      <c r="J1585" s="5" t="s">
        <v>2257</v>
      </c>
      <c r="K1585" s="5" t="s">
        <v>2243</v>
      </c>
      <c r="L1585" s="5" t="n">
        <f aca="false">IF(G1585="High",3,IF(G1585="Medium",2,1))</f>
        <v>3</v>
      </c>
    </row>
    <row r="1586" customFormat="false" ht="15" hidden="false" customHeight="true" outlineLevel="0" collapsed="false">
      <c r="A1586" s="5" t="s">
        <v>3862</v>
      </c>
      <c r="B1586" s="5" t="s">
        <v>1495</v>
      </c>
      <c r="C1586" s="5" t="s">
        <v>2239</v>
      </c>
      <c r="D1586" s="5" t="s">
        <v>2295</v>
      </c>
      <c r="E1586" s="5" t="s">
        <v>59</v>
      </c>
      <c r="F1586" s="5" t="s">
        <v>59</v>
      </c>
      <c r="G1586" s="5" t="str">
        <f aca="false">INDEX(Risk_Matrix!$B$2:$D$4,MATCH(E1586,Risk_Matrix!$A$2:$A$4,0),MATCH(F1586,Risk_Matrix!$B$1:$D$1,0))</f>
        <v>Low</v>
      </c>
      <c r="H1586" s="12" t="n">
        <v>46078</v>
      </c>
      <c r="I1586" s="5" t="s">
        <v>2250</v>
      </c>
      <c r="J1586" s="5" t="s">
        <v>2251</v>
      </c>
      <c r="K1586" s="5" t="s">
        <v>2283</v>
      </c>
      <c r="L1586" s="5" t="n">
        <f aca="false">IF(G1586="High",3,IF(G1586="Medium",2,1))</f>
        <v>1</v>
      </c>
    </row>
    <row r="1587" customFormat="false" ht="15" hidden="false" customHeight="true" outlineLevel="0" collapsed="false">
      <c r="A1587" s="5" t="s">
        <v>3863</v>
      </c>
      <c r="B1587" s="5" t="s">
        <v>1495</v>
      </c>
      <c r="C1587" s="5" t="s">
        <v>2245</v>
      </c>
      <c r="D1587" s="5" t="s">
        <v>2246</v>
      </c>
      <c r="E1587" s="5" t="s">
        <v>59</v>
      </c>
      <c r="F1587" s="5" t="s">
        <v>59</v>
      </c>
      <c r="G1587" s="5" t="str">
        <f aca="false">INDEX(Risk_Matrix!$B$2:$D$4,MATCH(E1587,Risk_Matrix!$A$2:$A$4,0),MATCH(F1587,Risk_Matrix!$B$1:$D$1,0))</f>
        <v>Low</v>
      </c>
      <c r="H1587" s="12" t="n">
        <v>46221</v>
      </c>
      <c r="I1587" s="5" t="s">
        <v>2250</v>
      </c>
      <c r="J1587" s="5" t="s">
        <v>2251</v>
      </c>
      <c r="K1587" s="5" t="s">
        <v>2243</v>
      </c>
      <c r="L1587" s="5" t="n">
        <f aca="false">IF(G1587="High",3,IF(G1587="Medium",2,1))</f>
        <v>1</v>
      </c>
    </row>
    <row r="1588" customFormat="false" ht="15" hidden="false" customHeight="true" outlineLevel="0" collapsed="false">
      <c r="A1588" s="5" t="s">
        <v>3864</v>
      </c>
      <c r="B1588" s="5" t="s">
        <v>1495</v>
      </c>
      <c r="C1588" s="5" t="s">
        <v>2248</v>
      </c>
      <c r="D1588" s="5" t="s">
        <v>2306</v>
      </c>
      <c r="E1588" s="5" t="s">
        <v>2225</v>
      </c>
      <c r="F1588" s="5" t="s">
        <v>59</v>
      </c>
      <c r="G1588" s="5" t="str">
        <f aca="false">INDEX(Risk_Matrix!$B$2:$D$4,MATCH(E1588,Risk_Matrix!$A$2:$A$4,0),MATCH(F1588,Risk_Matrix!$B$1:$D$1,0))</f>
        <v>Low</v>
      </c>
      <c r="H1588" s="12" t="n">
        <v>46078</v>
      </c>
      <c r="I1588" s="5" t="s">
        <v>2264</v>
      </c>
      <c r="J1588" s="5" t="s">
        <v>2265</v>
      </c>
      <c r="K1588" s="5" t="s">
        <v>2252</v>
      </c>
      <c r="L1588" s="5" t="n">
        <f aca="false">IF(G1588="High",3,IF(G1588="Medium",2,1))</f>
        <v>1</v>
      </c>
    </row>
    <row r="1589" customFormat="false" ht="15" hidden="false" customHeight="true" outlineLevel="0" collapsed="false">
      <c r="A1589" s="5" t="s">
        <v>3865</v>
      </c>
      <c r="B1589" s="5" t="s">
        <v>1495</v>
      </c>
      <c r="C1589" s="5" t="s">
        <v>2254</v>
      </c>
      <c r="D1589" s="5" t="s">
        <v>2255</v>
      </c>
      <c r="E1589" s="5" t="s">
        <v>2225</v>
      </c>
      <c r="F1589" s="5" t="s">
        <v>59</v>
      </c>
      <c r="G1589" s="5" t="str">
        <f aca="false">INDEX(Risk_Matrix!$B$2:$D$4,MATCH(E1589,Risk_Matrix!$A$2:$A$4,0),MATCH(F1589,Risk_Matrix!$B$1:$D$1,0))</f>
        <v>Low</v>
      </c>
      <c r="H1589" s="12" t="n">
        <v>46228</v>
      </c>
      <c r="I1589" s="5" t="s">
        <v>2264</v>
      </c>
      <c r="J1589" s="5" t="s">
        <v>2265</v>
      </c>
      <c r="K1589" s="5" t="s">
        <v>2252</v>
      </c>
      <c r="L1589" s="5" t="n">
        <f aca="false">IF(G1589="High",3,IF(G1589="Medium",2,1))</f>
        <v>1</v>
      </c>
    </row>
    <row r="1590" customFormat="false" ht="15" hidden="false" customHeight="true" outlineLevel="0" collapsed="false">
      <c r="A1590" s="5" t="s">
        <v>3866</v>
      </c>
      <c r="B1590" s="5" t="s">
        <v>1495</v>
      </c>
      <c r="C1590" s="5" t="s">
        <v>2259</v>
      </c>
      <c r="D1590" s="5" t="s">
        <v>2274</v>
      </c>
      <c r="E1590" s="5" t="s">
        <v>59</v>
      </c>
      <c r="F1590" s="5" t="s">
        <v>2225</v>
      </c>
      <c r="G1590" s="5" t="str">
        <f aca="false">INDEX(Risk_Matrix!$B$2:$D$4,MATCH(E1590,Risk_Matrix!$A$2:$A$4,0),MATCH(F1590,Risk_Matrix!$B$1:$D$1,0))</f>
        <v>Low</v>
      </c>
      <c r="H1590" s="12" t="n">
        <v>46138</v>
      </c>
      <c r="I1590" s="5" t="s">
        <v>2264</v>
      </c>
      <c r="J1590" s="5" t="s">
        <v>2265</v>
      </c>
      <c r="K1590" s="5" t="s">
        <v>2243</v>
      </c>
      <c r="L1590" s="5" t="n">
        <f aca="false">IF(G1590="High",3,IF(G1590="Medium",2,1))</f>
        <v>1</v>
      </c>
    </row>
    <row r="1591" customFormat="false" ht="15" hidden="false" customHeight="true" outlineLevel="0" collapsed="false">
      <c r="A1591" s="5" t="s">
        <v>3867</v>
      </c>
      <c r="B1591" s="5" t="s">
        <v>1495</v>
      </c>
      <c r="C1591" s="5" t="s">
        <v>2262</v>
      </c>
      <c r="D1591" s="5" t="s">
        <v>2263</v>
      </c>
      <c r="E1591" s="5" t="s">
        <v>2225</v>
      </c>
      <c r="F1591" s="5" t="s">
        <v>59</v>
      </c>
      <c r="G1591" s="5" t="str">
        <f aca="false">INDEX(Risk_Matrix!$B$2:$D$4,MATCH(E1591,Risk_Matrix!$A$2:$A$4,0),MATCH(F1591,Risk_Matrix!$B$1:$D$1,0))</f>
        <v>Low</v>
      </c>
      <c r="H1591" s="12" t="n">
        <v>46116</v>
      </c>
      <c r="I1591" s="5" t="s">
        <v>2264</v>
      </c>
      <c r="J1591" s="5" t="s">
        <v>2265</v>
      </c>
      <c r="K1591" s="5" t="s">
        <v>2283</v>
      </c>
      <c r="L1591" s="5" t="n">
        <f aca="false">IF(G1591="High",3,IF(G1591="Medium",2,1))</f>
        <v>1</v>
      </c>
    </row>
    <row r="1592" customFormat="false" ht="15" hidden="false" customHeight="true" outlineLevel="0" collapsed="false">
      <c r="A1592" s="5" t="s">
        <v>3868</v>
      </c>
      <c r="B1592" s="5" t="s">
        <v>1498</v>
      </c>
      <c r="C1592" s="5" t="s">
        <v>2239</v>
      </c>
      <c r="D1592" s="5" t="s">
        <v>2295</v>
      </c>
      <c r="E1592" s="5" t="s">
        <v>2225</v>
      </c>
      <c r="F1592" s="5" t="s">
        <v>2225</v>
      </c>
      <c r="G1592" s="5" t="str">
        <f aca="false">INDEX(Risk_Matrix!$B$2:$D$4,MATCH(E1592,Risk_Matrix!$A$2:$A$4,0),MATCH(F1592,Risk_Matrix!$B$1:$D$1,0))</f>
        <v>Medium</v>
      </c>
      <c r="H1592" s="12" t="n">
        <v>46085</v>
      </c>
      <c r="I1592" s="5" t="s">
        <v>2256</v>
      </c>
      <c r="J1592" s="5" t="s">
        <v>2257</v>
      </c>
      <c r="K1592" s="5" t="s">
        <v>2283</v>
      </c>
      <c r="L1592" s="5" t="n">
        <f aca="false">IF(G1592="High",3,IF(G1592="Medium",2,1))</f>
        <v>2</v>
      </c>
    </row>
    <row r="1593" customFormat="false" ht="15" hidden="false" customHeight="true" outlineLevel="0" collapsed="false">
      <c r="A1593" s="5" t="s">
        <v>3869</v>
      </c>
      <c r="B1593" s="5" t="s">
        <v>1498</v>
      </c>
      <c r="C1593" s="5" t="s">
        <v>2245</v>
      </c>
      <c r="D1593" s="5" t="s">
        <v>2269</v>
      </c>
      <c r="E1593" s="5" t="s">
        <v>59</v>
      </c>
      <c r="F1593" s="5" t="s">
        <v>59</v>
      </c>
      <c r="G1593" s="5" t="str">
        <f aca="false">INDEX(Risk_Matrix!$B$2:$D$4,MATCH(E1593,Risk_Matrix!$A$2:$A$4,0),MATCH(F1593,Risk_Matrix!$B$1:$D$1,0))</f>
        <v>Low</v>
      </c>
      <c r="H1593" s="12" t="n">
        <v>46132</v>
      </c>
      <c r="I1593" s="5" t="s">
        <v>2250</v>
      </c>
      <c r="J1593" s="5" t="s">
        <v>2251</v>
      </c>
      <c r="K1593" s="5" t="s">
        <v>2276</v>
      </c>
      <c r="L1593" s="5" t="n">
        <f aca="false">IF(G1593="High",3,IF(G1593="Medium",2,1))</f>
        <v>1</v>
      </c>
    </row>
    <row r="1594" customFormat="false" ht="15" hidden="false" customHeight="true" outlineLevel="0" collapsed="false">
      <c r="A1594" s="5" t="s">
        <v>3870</v>
      </c>
      <c r="B1594" s="5" t="s">
        <v>1498</v>
      </c>
      <c r="C1594" s="5" t="s">
        <v>2248</v>
      </c>
      <c r="D1594" s="5" t="s">
        <v>2306</v>
      </c>
      <c r="E1594" s="5" t="s">
        <v>2225</v>
      </c>
      <c r="F1594" s="5" t="s">
        <v>2225</v>
      </c>
      <c r="G1594" s="5" t="str">
        <f aca="false">INDEX(Risk_Matrix!$B$2:$D$4,MATCH(E1594,Risk_Matrix!$A$2:$A$4,0),MATCH(F1594,Risk_Matrix!$B$1:$D$1,0))</f>
        <v>Medium</v>
      </c>
      <c r="H1594" s="12" t="n">
        <v>46228</v>
      </c>
      <c r="I1594" s="5" t="s">
        <v>2264</v>
      </c>
      <c r="J1594" s="5" t="s">
        <v>2265</v>
      </c>
      <c r="K1594" s="5" t="s">
        <v>2252</v>
      </c>
      <c r="L1594" s="5" t="n">
        <f aca="false">IF(G1594="High",3,IF(G1594="Medium",2,1))</f>
        <v>2</v>
      </c>
    </row>
    <row r="1595" customFormat="false" ht="15" hidden="false" customHeight="true" outlineLevel="0" collapsed="false">
      <c r="A1595" s="5" t="s">
        <v>3871</v>
      </c>
      <c r="B1595" s="5" t="s">
        <v>1498</v>
      </c>
      <c r="C1595" s="5" t="s">
        <v>2254</v>
      </c>
      <c r="D1595" s="5" t="s">
        <v>2308</v>
      </c>
      <c r="E1595" s="5" t="s">
        <v>59</v>
      </c>
      <c r="F1595" s="5" t="s">
        <v>59</v>
      </c>
      <c r="G1595" s="5" t="str">
        <f aca="false">INDEX(Risk_Matrix!$B$2:$D$4,MATCH(E1595,Risk_Matrix!$A$2:$A$4,0),MATCH(F1595,Risk_Matrix!$B$1:$D$1,0))</f>
        <v>Low</v>
      </c>
      <c r="H1595" s="12" t="n">
        <v>46151</v>
      </c>
      <c r="I1595" s="5" t="s">
        <v>2264</v>
      </c>
      <c r="J1595" s="5" t="s">
        <v>2265</v>
      </c>
      <c r="K1595" s="5" t="s">
        <v>2252</v>
      </c>
      <c r="L1595" s="5" t="n">
        <f aca="false">IF(G1595="High",3,IF(G1595="Medium",2,1))</f>
        <v>1</v>
      </c>
    </row>
    <row r="1596" customFormat="false" ht="15" hidden="false" customHeight="true" outlineLevel="0" collapsed="false">
      <c r="A1596" s="5" t="s">
        <v>3872</v>
      </c>
      <c r="B1596" s="5" t="s">
        <v>1498</v>
      </c>
      <c r="C1596" s="5" t="s">
        <v>2259</v>
      </c>
      <c r="D1596" s="5" t="s">
        <v>2285</v>
      </c>
      <c r="E1596" s="5" t="s">
        <v>2225</v>
      </c>
      <c r="F1596" s="5" t="s">
        <v>54</v>
      </c>
      <c r="G1596" s="5" t="str">
        <f aca="false">INDEX(Risk_Matrix!$B$2:$D$4,MATCH(E1596,Risk_Matrix!$A$2:$A$4,0),MATCH(F1596,Risk_Matrix!$B$1:$D$1,0))</f>
        <v>High</v>
      </c>
      <c r="H1596" s="12" t="n">
        <v>46118</v>
      </c>
      <c r="I1596" s="5" t="s">
        <v>2264</v>
      </c>
      <c r="J1596" s="5" t="s">
        <v>2265</v>
      </c>
      <c r="K1596" s="5" t="s">
        <v>2283</v>
      </c>
      <c r="L1596" s="5" t="n">
        <f aca="false">IF(G1596="High",3,IF(G1596="Medium",2,1))</f>
        <v>3</v>
      </c>
    </row>
    <row r="1597" customFormat="false" ht="15" hidden="false" customHeight="true" outlineLevel="0" collapsed="false">
      <c r="A1597" s="5" t="s">
        <v>3873</v>
      </c>
      <c r="B1597" s="5" t="s">
        <v>1498</v>
      </c>
      <c r="C1597" s="5" t="s">
        <v>2262</v>
      </c>
      <c r="D1597" s="5" t="s">
        <v>2311</v>
      </c>
      <c r="E1597" s="5" t="s">
        <v>59</v>
      </c>
      <c r="F1597" s="5" t="s">
        <v>54</v>
      </c>
      <c r="G1597" s="5" t="str">
        <f aca="false">INDEX(Risk_Matrix!$B$2:$D$4,MATCH(E1597,Risk_Matrix!$A$2:$A$4,0),MATCH(F1597,Risk_Matrix!$B$1:$D$1,0))</f>
        <v>Medium</v>
      </c>
      <c r="H1597" s="12" t="n">
        <v>46061</v>
      </c>
      <c r="I1597" s="5" t="s">
        <v>2250</v>
      </c>
      <c r="J1597" s="5" t="s">
        <v>2251</v>
      </c>
      <c r="K1597" s="5" t="s">
        <v>2283</v>
      </c>
      <c r="L1597" s="5" t="n">
        <f aca="false">IF(G1597="High",3,IF(G1597="Medium",2,1))</f>
        <v>2</v>
      </c>
    </row>
    <row r="1598" customFormat="false" ht="15" hidden="false" customHeight="true" outlineLevel="0" collapsed="false">
      <c r="A1598" s="5" t="s">
        <v>3874</v>
      </c>
      <c r="B1598" s="5" t="s">
        <v>1500</v>
      </c>
      <c r="C1598" s="5" t="s">
        <v>2239</v>
      </c>
      <c r="D1598" s="5" t="s">
        <v>2303</v>
      </c>
      <c r="E1598" s="5" t="s">
        <v>59</v>
      </c>
      <c r="F1598" s="5" t="s">
        <v>59</v>
      </c>
      <c r="G1598" s="5" t="str">
        <f aca="false">INDEX(Risk_Matrix!$B$2:$D$4,MATCH(E1598,Risk_Matrix!$A$2:$A$4,0),MATCH(F1598,Risk_Matrix!$B$1:$D$1,0))</f>
        <v>Low</v>
      </c>
      <c r="H1598" s="12" t="n">
        <v>46151</v>
      </c>
      <c r="I1598" s="5" t="s">
        <v>2250</v>
      </c>
      <c r="J1598" s="5" t="s">
        <v>2251</v>
      </c>
      <c r="K1598" s="5" t="s">
        <v>2283</v>
      </c>
      <c r="L1598" s="5" t="n">
        <f aca="false">IF(G1598="High",3,IF(G1598="Medium",2,1))</f>
        <v>1</v>
      </c>
    </row>
    <row r="1599" customFormat="false" ht="15" hidden="false" customHeight="true" outlineLevel="0" collapsed="false">
      <c r="A1599" s="5" t="s">
        <v>3875</v>
      </c>
      <c r="B1599" s="5" t="s">
        <v>1500</v>
      </c>
      <c r="C1599" s="5" t="s">
        <v>2245</v>
      </c>
      <c r="D1599" s="5" t="s">
        <v>2246</v>
      </c>
      <c r="E1599" s="5" t="s">
        <v>59</v>
      </c>
      <c r="F1599" s="5" t="s">
        <v>59</v>
      </c>
      <c r="G1599" s="5" t="str">
        <f aca="false">INDEX(Risk_Matrix!$B$2:$D$4,MATCH(E1599,Risk_Matrix!$A$2:$A$4,0),MATCH(F1599,Risk_Matrix!$B$1:$D$1,0))</f>
        <v>Low</v>
      </c>
      <c r="H1599" s="12" t="n">
        <v>46165</v>
      </c>
      <c r="I1599" s="5" t="s">
        <v>2256</v>
      </c>
      <c r="J1599" s="5" t="s">
        <v>2257</v>
      </c>
      <c r="K1599" s="5" t="s">
        <v>2283</v>
      </c>
      <c r="L1599" s="5" t="n">
        <f aca="false">IF(G1599="High",3,IF(G1599="Medium",2,1))</f>
        <v>1</v>
      </c>
    </row>
    <row r="1600" customFormat="false" ht="15" hidden="false" customHeight="true" outlineLevel="0" collapsed="false">
      <c r="A1600" s="5" t="s">
        <v>3876</v>
      </c>
      <c r="B1600" s="5" t="s">
        <v>1500</v>
      </c>
      <c r="C1600" s="5" t="s">
        <v>2248</v>
      </c>
      <c r="D1600" s="5" t="s">
        <v>2322</v>
      </c>
      <c r="E1600" s="5" t="s">
        <v>59</v>
      </c>
      <c r="F1600" s="5" t="s">
        <v>54</v>
      </c>
      <c r="G1600" s="5" t="str">
        <f aca="false">INDEX(Risk_Matrix!$B$2:$D$4,MATCH(E1600,Risk_Matrix!$A$2:$A$4,0),MATCH(F1600,Risk_Matrix!$B$1:$D$1,0))</f>
        <v>Medium</v>
      </c>
      <c r="H1600" s="12" t="n">
        <v>46094</v>
      </c>
      <c r="I1600" s="5" t="s">
        <v>2264</v>
      </c>
      <c r="J1600" s="5" t="s">
        <v>2265</v>
      </c>
      <c r="K1600" s="5" t="s">
        <v>2266</v>
      </c>
      <c r="L1600" s="5" t="n">
        <f aca="false">IF(G1600="High",3,IF(G1600="Medium",2,1))</f>
        <v>2</v>
      </c>
    </row>
    <row r="1601" customFormat="false" ht="15" hidden="false" customHeight="true" outlineLevel="0" collapsed="false">
      <c r="A1601" s="5" t="s">
        <v>3877</v>
      </c>
      <c r="B1601" s="5" t="s">
        <v>1500</v>
      </c>
      <c r="C1601" s="5" t="s">
        <v>2254</v>
      </c>
      <c r="D1601" s="5" t="s">
        <v>2308</v>
      </c>
      <c r="E1601" s="5" t="s">
        <v>54</v>
      </c>
      <c r="F1601" s="5" t="s">
        <v>59</v>
      </c>
      <c r="G1601" s="5" t="str">
        <f aca="false">INDEX(Risk_Matrix!$B$2:$D$4,MATCH(E1601,Risk_Matrix!$A$2:$A$4,0),MATCH(F1601,Risk_Matrix!$B$1:$D$1,0))</f>
        <v>Medium</v>
      </c>
      <c r="H1601" s="12" t="n">
        <v>46065</v>
      </c>
      <c r="I1601" s="5" t="s">
        <v>2256</v>
      </c>
      <c r="J1601" s="5" t="s">
        <v>2257</v>
      </c>
      <c r="K1601" s="5" t="s">
        <v>2243</v>
      </c>
      <c r="L1601" s="5" t="n">
        <f aca="false">IF(G1601="High",3,IF(G1601="Medium",2,1))</f>
        <v>2</v>
      </c>
    </row>
    <row r="1602" customFormat="false" ht="15" hidden="false" customHeight="true" outlineLevel="0" collapsed="false">
      <c r="A1602" s="5" t="s">
        <v>3878</v>
      </c>
      <c r="B1602" s="5" t="s">
        <v>1500</v>
      </c>
      <c r="C1602" s="5" t="s">
        <v>2259</v>
      </c>
      <c r="D1602" s="5" t="s">
        <v>2274</v>
      </c>
      <c r="E1602" s="5" t="s">
        <v>59</v>
      </c>
      <c r="F1602" s="5" t="s">
        <v>59</v>
      </c>
      <c r="G1602" s="5" t="str">
        <f aca="false">INDEX(Risk_Matrix!$B$2:$D$4,MATCH(E1602,Risk_Matrix!$A$2:$A$4,0),MATCH(F1602,Risk_Matrix!$B$1:$D$1,0))</f>
        <v>Low</v>
      </c>
      <c r="H1602" s="12" t="n">
        <v>46082</v>
      </c>
      <c r="I1602" s="5" t="s">
        <v>2250</v>
      </c>
      <c r="J1602" s="5" t="s">
        <v>2251</v>
      </c>
      <c r="K1602" s="5" t="s">
        <v>2266</v>
      </c>
      <c r="L1602" s="5" t="n">
        <f aca="false">IF(G1602="High",3,IF(G1602="Medium",2,1))</f>
        <v>1</v>
      </c>
    </row>
    <row r="1603" customFormat="false" ht="15" hidden="false" customHeight="true" outlineLevel="0" collapsed="false">
      <c r="A1603" s="5" t="s">
        <v>3879</v>
      </c>
      <c r="B1603" s="5" t="s">
        <v>1500</v>
      </c>
      <c r="C1603" s="5" t="s">
        <v>2262</v>
      </c>
      <c r="D1603" s="5" t="s">
        <v>2263</v>
      </c>
      <c r="E1603" s="5" t="s">
        <v>59</v>
      </c>
      <c r="F1603" s="5" t="s">
        <v>2225</v>
      </c>
      <c r="G1603" s="5" t="str">
        <f aca="false">INDEX(Risk_Matrix!$B$2:$D$4,MATCH(E1603,Risk_Matrix!$A$2:$A$4,0),MATCH(F1603,Risk_Matrix!$B$1:$D$1,0))</f>
        <v>Low</v>
      </c>
      <c r="H1603" s="12" t="n">
        <v>46100</v>
      </c>
      <c r="I1603" s="5" t="s">
        <v>2256</v>
      </c>
      <c r="J1603" s="5" t="s">
        <v>2257</v>
      </c>
      <c r="K1603" s="5" t="s">
        <v>2283</v>
      </c>
      <c r="L1603" s="5" t="n">
        <f aca="false">IF(G1603="High",3,IF(G1603="Medium",2,1))</f>
        <v>1</v>
      </c>
    </row>
    <row r="1604" customFormat="false" ht="15" hidden="false" customHeight="true" outlineLevel="0" collapsed="false">
      <c r="A1604" s="5" t="s">
        <v>3880</v>
      </c>
      <c r="B1604" s="5" t="s">
        <v>1503</v>
      </c>
      <c r="C1604" s="5" t="s">
        <v>2239</v>
      </c>
      <c r="D1604" s="5" t="s">
        <v>2278</v>
      </c>
      <c r="E1604" s="5" t="s">
        <v>59</v>
      </c>
      <c r="F1604" s="5" t="s">
        <v>59</v>
      </c>
      <c r="G1604" s="5" t="str">
        <f aca="false">INDEX(Risk_Matrix!$B$2:$D$4,MATCH(E1604,Risk_Matrix!$A$2:$A$4,0),MATCH(F1604,Risk_Matrix!$B$1:$D$1,0))</f>
        <v>Low</v>
      </c>
      <c r="H1604" s="12" t="n">
        <v>46208</v>
      </c>
      <c r="I1604" s="5" t="s">
        <v>2250</v>
      </c>
      <c r="J1604" s="5" t="s">
        <v>2251</v>
      </c>
      <c r="K1604" s="5" t="s">
        <v>2252</v>
      </c>
      <c r="L1604" s="5" t="n">
        <f aca="false">IF(G1604="High",3,IF(G1604="Medium",2,1))</f>
        <v>1</v>
      </c>
    </row>
    <row r="1605" customFormat="false" ht="15" hidden="false" customHeight="true" outlineLevel="0" collapsed="false">
      <c r="A1605" s="5" t="s">
        <v>3881</v>
      </c>
      <c r="B1605" s="5" t="s">
        <v>1503</v>
      </c>
      <c r="C1605" s="5" t="s">
        <v>2245</v>
      </c>
      <c r="D1605" s="5" t="s">
        <v>2320</v>
      </c>
      <c r="E1605" s="5" t="s">
        <v>59</v>
      </c>
      <c r="F1605" s="5" t="s">
        <v>2225</v>
      </c>
      <c r="G1605" s="5" t="str">
        <f aca="false">INDEX(Risk_Matrix!$B$2:$D$4,MATCH(E1605,Risk_Matrix!$A$2:$A$4,0),MATCH(F1605,Risk_Matrix!$B$1:$D$1,0))</f>
        <v>Low</v>
      </c>
      <c r="H1605" s="12" t="n">
        <v>46192</v>
      </c>
      <c r="I1605" s="5" t="s">
        <v>2264</v>
      </c>
      <c r="J1605" s="5" t="s">
        <v>2265</v>
      </c>
      <c r="K1605" s="5" t="s">
        <v>2243</v>
      </c>
      <c r="L1605" s="5" t="n">
        <f aca="false">IF(G1605="High",3,IF(G1605="Medium",2,1))</f>
        <v>1</v>
      </c>
    </row>
    <row r="1606" customFormat="false" ht="15" hidden="false" customHeight="true" outlineLevel="0" collapsed="false">
      <c r="A1606" s="5" t="s">
        <v>3882</v>
      </c>
      <c r="B1606" s="5" t="s">
        <v>1503</v>
      </c>
      <c r="C1606" s="5" t="s">
        <v>2248</v>
      </c>
      <c r="D1606" s="5" t="s">
        <v>2249</v>
      </c>
      <c r="E1606" s="5" t="s">
        <v>59</v>
      </c>
      <c r="F1606" s="5" t="s">
        <v>59</v>
      </c>
      <c r="G1606" s="5" t="str">
        <f aca="false">INDEX(Risk_Matrix!$B$2:$D$4,MATCH(E1606,Risk_Matrix!$A$2:$A$4,0),MATCH(F1606,Risk_Matrix!$B$1:$D$1,0))</f>
        <v>Low</v>
      </c>
      <c r="H1606" s="12" t="n">
        <v>46093</v>
      </c>
      <c r="I1606" s="5" t="s">
        <v>2256</v>
      </c>
      <c r="J1606" s="5" t="s">
        <v>2257</v>
      </c>
      <c r="K1606" s="5" t="s">
        <v>2243</v>
      </c>
      <c r="L1606" s="5" t="n">
        <f aca="false">IF(G1606="High",3,IF(G1606="Medium",2,1))</f>
        <v>1</v>
      </c>
    </row>
    <row r="1607" customFormat="false" ht="15" hidden="false" customHeight="true" outlineLevel="0" collapsed="false">
      <c r="A1607" s="5" t="s">
        <v>3883</v>
      </c>
      <c r="B1607" s="5" t="s">
        <v>1503</v>
      </c>
      <c r="C1607" s="5" t="s">
        <v>2254</v>
      </c>
      <c r="D1607" s="5" t="s">
        <v>2299</v>
      </c>
      <c r="E1607" s="5" t="s">
        <v>59</v>
      </c>
      <c r="F1607" s="5" t="s">
        <v>59</v>
      </c>
      <c r="G1607" s="5" t="str">
        <f aca="false">INDEX(Risk_Matrix!$B$2:$D$4,MATCH(E1607,Risk_Matrix!$A$2:$A$4,0),MATCH(F1607,Risk_Matrix!$B$1:$D$1,0))</f>
        <v>Low</v>
      </c>
      <c r="H1607" s="12" t="n">
        <v>46207</v>
      </c>
      <c r="I1607" s="5" t="s">
        <v>2256</v>
      </c>
      <c r="J1607" s="5" t="s">
        <v>2257</v>
      </c>
      <c r="K1607" s="5" t="s">
        <v>2243</v>
      </c>
      <c r="L1607" s="5" t="n">
        <f aca="false">IF(G1607="High",3,IF(G1607="Medium",2,1))</f>
        <v>1</v>
      </c>
    </row>
    <row r="1608" customFormat="false" ht="15" hidden="false" customHeight="true" outlineLevel="0" collapsed="false">
      <c r="A1608" s="5" t="s">
        <v>3884</v>
      </c>
      <c r="B1608" s="5" t="s">
        <v>1503</v>
      </c>
      <c r="C1608" s="5" t="s">
        <v>2259</v>
      </c>
      <c r="D1608" s="5" t="s">
        <v>2285</v>
      </c>
      <c r="E1608" s="5" t="s">
        <v>54</v>
      </c>
      <c r="F1608" s="5" t="s">
        <v>59</v>
      </c>
      <c r="G1608" s="5" t="str">
        <f aca="false">INDEX(Risk_Matrix!$B$2:$D$4,MATCH(E1608,Risk_Matrix!$A$2:$A$4,0),MATCH(F1608,Risk_Matrix!$B$1:$D$1,0))</f>
        <v>Medium</v>
      </c>
      <c r="H1608" s="12" t="n">
        <v>46173</v>
      </c>
      <c r="I1608" s="5" t="s">
        <v>2256</v>
      </c>
      <c r="J1608" s="5" t="s">
        <v>2257</v>
      </c>
      <c r="K1608" s="5" t="s">
        <v>2243</v>
      </c>
      <c r="L1608" s="5" t="n">
        <f aca="false">IF(G1608="High",3,IF(G1608="Medium",2,1))</f>
        <v>2</v>
      </c>
    </row>
    <row r="1609" customFormat="false" ht="15" hidden="false" customHeight="true" outlineLevel="0" collapsed="false">
      <c r="A1609" s="5" t="s">
        <v>3885</v>
      </c>
      <c r="B1609" s="5" t="s">
        <v>1503</v>
      </c>
      <c r="C1609" s="5" t="s">
        <v>2262</v>
      </c>
      <c r="D1609" s="5" t="s">
        <v>2311</v>
      </c>
      <c r="E1609" s="5" t="s">
        <v>54</v>
      </c>
      <c r="F1609" s="5" t="s">
        <v>2225</v>
      </c>
      <c r="G1609" s="5" t="str">
        <f aca="false">INDEX(Risk_Matrix!$B$2:$D$4,MATCH(E1609,Risk_Matrix!$A$2:$A$4,0),MATCH(F1609,Risk_Matrix!$B$1:$D$1,0))</f>
        <v>High</v>
      </c>
      <c r="H1609" s="12" t="n">
        <v>46108</v>
      </c>
      <c r="I1609" s="5" t="s">
        <v>2264</v>
      </c>
      <c r="J1609" s="5" t="s">
        <v>2265</v>
      </c>
      <c r="K1609" s="5" t="s">
        <v>2283</v>
      </c>
      <c r="L1609" s="5" t="n">
        <f aca="false">IF(G1609="High",3,IF(G1609="Medium",2,1))</f>
        <v>3</v>
      </c>
    </row>
    <row r="1610" customFormat="false" ht="15" hidden="false" customHeight="true" outlineLevel="0" collapsed="false">
      <c r="A1610" s="5" t="s">
        <v>3886</v>
      </c>
      <c r="B1610" s="5" t="s">
        <v>1506</v>
      </c>
      <c r="C1610" s="5" t="s">
        <v>2239</v>
      </c>
      <c r="D1610" s="5" t="s">
        <v>2295</v>
      </c>
      <c r="E1610" s="5" t="s">
        <v>59</v>
      </c>
      <c r="F1610" s="5" t="s">
        <v>59</v>
      </c>
      <c r="G1610" s="5" t="str">
        <f aca="false">INDEX(Risk_Matrix!$B$2:$D$4,MATCH(E1610,Risk_Matrix!$A$2:$A$4,0),MATCH(F1610,Risk_Matrix!$B$1:$D$1,0))</f>
        <v>Low</v>
      </c>
      <c r="H1610" s="12" t="n">
        <v>46113</v>
      </c>
      <c r="I1610" s="5" t="s">
        <v>2250</v>
      </c>
      <c r="J1610" s="5" t="s">
        <v>2251</v>
      </c>
      <c r="K1610" s="5" t="s">
        <v>2283</v>
      </c>
      <c r="L1610" s="5" t="n">
        <f aca="false">IF(G1610="High",3,IF(G1610="Medium",2,1))</f>
        <v>1</v>
      </c>
    </row>
    <row r="1611" customFormat="false" ht="15" hidden="false" customHeight="true" outlineLevel="0" collapsed="false">
      <c r="A1611" s="5" t="s">
        <v>3887</v>
      </c>
      <c r="B1611" s="5" t="s">
        <v>1506</v>
      </c>
      <c r="C1611" s="5" t="s">
        <v>2245</v>
      </c>
      <c r="D1611" s="5" t="s">
        <v>2246</v>
      </c>
      <c r="E1611" s="5" t="s">
        <v>59</v>
      </c>
      <c r="F1611" s="5" t="s">
        <v>59</v>
      </c>
      <c r="G1611" s="5" t="str">
        <f aca="false">INDEX(Risk_Matrix!$B$2:$D$4,MATCH(E1611,Risk_Matrix!$A$2:$A$4,0),MATCH(F1611,Risk_Matrix!$B$1:$D$1,0))</f>
        <v>Low</v>
      </c>
      <c r="H1611" s="12" t="n">
        <v>46192</v>
      </c>
      <c r="I1611" s="5" t="s">
        <v>2256</v>
      </c>
      <c r="J1611" s="5" t="s">
        <v>2257</v>
      </c>
      <c r="K1611" s="5" t="s">
        <v>2276</v>
      </c>
      <c r="L1611" s="5" t="n">
        <f aca="false">IF(G1611="High",3,IF(G1611="Medium",2,1))</f>
        <v>1</v>
      </c>
    </row>
    <row r="1612" customFormat="false" ht="15" hidden="false" customHeight="true" outlineLevel="0" collapsed="false">
      <c r="A1612" s="5" t="s">
        <v>3888</v>
      </c>
      <c r="B1612" s="5" t="s">
        <v>1506</v>
      </c>
      <c r="C1612" s="5" t="s">
        <v>2248</v>
      </c>
      <c r="D1612" s="5" t="s">
        <v>2249</v>
      </c>
      <c r="E1612" s="5" t="s">
        <v>2225</v>
      </c>
      <c r="F1612" s="5" t="s">
        <v>54</v>
      </c>
      <c r="G1612" s="5" t="str">
        <f aca="false">INDEX(Risk_Matrix!$B$2:$D$4,MATCH(E1612,Risk_Matrix!$A$2:$A$4,0),MATCH(F1612,Risk_Matrix!$B$1:$D$1,0))</f>
        <v>High</v>
      </c>
      <c r="H1612" s="12" t="n">
        <v>46221</v>
      </c>
      <c r="I1612" s="5" t="s">
        <v>2256</v>
      </c>
      <c r="J1612" s="5" t="s">
        <v>2257</v>
      </c>
      <c r="K1612" s="5" t="s">
        <v>2252</v>
      </c>
      <c r="L1612" s="5" t="n">
        <f aca="false">IF(G1612="High",3,IF(G1612="Medium",2,1))</f>
        <v>3</v>
      </c>
    </row>
    <row r="1613" customFormat="false" ht="15" hidden="false" customHeight="true" outlineLevel="0" collapsed="false">
      <c r="A1613" s="5" t="s">
        <v>3889</v>
      </c>
      <c r="B1613" s="5" t="s">
        <v>1506</v>
      </c>
      <c r="C1613" s="5" t="s">
        <v>2254</v>
      </c>
      <c r="D1613" s="5" t="s">
        <v>2255</v>
      </c>
      <c r="E1613" s="5" t="s">
        <v>2225</v>
      </c>
      <c r="F1613" s="5" t="s">
        <v>59</v>
      </c>
      <c r="G1613" s="5" t="str">
        <f aca="false">INDEX(Risk_Matrix!$B$2:$D$4,MATCH(E1613,Risk_Matrix!$A$2:$A$4,0),MATCH(F1613,Risk_Matrix!$B$1:$D$1,0))</f>
        <v>Low</v>
      </c>
      <c r="H1613" s="12" t="n">
        <v>46063</v>
      </c>
      <c r="I1613" s="5" t="s">
        <v>2264</v>
      </c>
      <c r="J1613" s="5" t="s">
        <v>2265</v>
      </c>
      <c r="K1613" s="5" t="s">
        <v>2243</v>
      </c>
      <c r="L1613" s="5" t="n">
        <f aca="false">IF(G1613="High",3,IF(G1613="Medium",2,1))</f>
        <v>1</v>
      </c>
    </row>
    <row r="1614" customFormat="false" ht="15" hidden="false" customHeight="true" outlineLevel="0" collapsed="false">
      <c r="A1614" s="5" t="s">
        <v>3890</v>
      </c>
      <c r="B1614" s="5" t="s">
        <v>1506</v>
      </c>
      <c r="C1614" s="5" t="s">
        <v>2259</v>
      </c>
      <c r="D1614" s="5" t="s">
        <v>2260</v>
      </c>
      <c r="E1614" s="5" t="s">
        <v>59</v>
      </c>
      <c r="F1614" s="5" t="s">
        <v>2225</v>
      </c>
      <c r="G1614" s="5" t="str">
        <f aca="false">INDEX(Risk_Matrix!$B$2:$D$4,MATCH(E1614,Risk_Matrix!$A$2:$A$4,0),MATCH(F1614,Risk_Matrix!$B$1:$D$1,0))</f>
        <v>Low</v>
      </c>
      <c r="H1614" s="12" t="n">
        <v>46210</v>
      </c>
      <c r="I1614" s="5" t="s">
        <v>2256</v>
      </c>
      <c r="J1614" s="5" t="s">
        <v>2257</v>
      </c>
      <c r="K1614" s="5" t="s">
        <v>2252</v>
      </c>
      <c r="L1614" s="5" t="n">
        <f aca="false">IF(G1614="High",3,IF(G1614="Medium",2,1))</f>
        <v>1</v>
      </c>
    </row>
    <row r="1615" customFormat="false" ht="15" hidden="false" customHeight="true" outlineLevel="0" collapsed="false">
      <c r="A1615" s="5" t="s">
        <v>3891</v>
      </c>
      <c r="B1615" s="5" t="s">
        <v>1506</v>
      </c>
      <c r="C1615" s="5" t="s">
        <v>2262</v>
      </c>
      <c r="D1615" s="5" t="s">
        <v>2263</v>
      </c>
      <c r="E1615" s="5" t="s">
        <v>2225</v>
      </c>
      <c r="F1615" s="5" t="s">
        <v>59</v>
      </c>
      <c r="G1615" s="5" t="str">
        <f aca="false">INDEX(Risk_Matrix!$B$2:$D$4,MATCH(E1615,Risk_Matrix!$A$2:$A$4,0),MATCH(F1615,Risk_Matrix!$B$1:$D$1,0))</f>
        <v>Low</v>
      </c>
      <c r="H1615" s="12" t="n">
        <v>46182</v>
      </c>
      <c r="I1615" s="5" t="s">
        <v>2256</v>
      </c>
      <c r="J1615" s="5" t="s">
        <v>2257</v>
      </c>
      <c r="K1615" s="5" t="s">
        <v>2283</v>
      </c>
      <c r="L1615" s="5" t="n">
        <f aca="false">IF(G1615="High",3,IF(G1615="Medium",2,1))</f>
        <v>1</v>
      </c>
    </row>
    <row r="1616" customFormat="false" ht="15" hidden="false" customHeight="true" outlineLevel="0" collapsed="false">
      <c r="A1616" s="5" t="s">
        <v>3892</v>
      </c>
      <c r="B1616" s="5" t="s">
        <v>1508</v>
      </c>
      <c r="C1616" s="5" t="s">
        <v>2239</v>
      </c>
      <c r="D1616" s="5" t="s">
        <v>2278</v>
      </c>
      <c r="E1616" s="5" t="s">
        <v>54</v>
      </c>
      <c r="F1616" s="5" t="s">
        <v>59</v>
      </c>
      <c r="G1616" s="5" t="str">
        <f aca="false">INDEX(Risk_Matrix!$B$2:$D$4,MATCH(E1616,Risk_Matrix!$A$2:$A$4,0),MATCH(F1616,Risk_Matrix!$B$1:$D$1,0))</f>
        <v>Medium</v>
      </c>
      <c r="H1616" s="12" t="n">
        <v>46233</v>
      </c>
      <c r="I1616" s="5" t="s">
        <v>2256</v>
      </c>
      <c r="J1616" s="5" t="s">
        <v>2257</v>
      </c>
      <c r="K1616" s="5" t="s">
        <v>2283</v>
      </c>
      <c r="L1616" s="5" t="n">
        <f aca="false">IF(G1616="High",3,IF(G1616="Medium",2,1))</f>
        <v>2</v>
      </c>
    </row>
    <row r="1617" customFormat="false" ht="15" hidden="false" customHeight="true" outlineLevel="0" collapsed="false">
      <c r="A1617" s="5" t="s">
        <v>3893</v>
      </c>
      <c r="B1617" s="5" t="s">
        <v>1508</v>
      </c>
      <c r="C1617" s="5" t="s">
        <v>2245</v>
      </c>
      <c r="D1617" s="5" t="s">
        <v>2269</v>
      </c>
      <c r="E1617" s="5" t="s">
        <v>2225</v>
      </c>
      <c r="F1617" s="5" t="s">
        <v>59</v>
      </c>
      <c r="G1617" s="5" t="str">
        <f aca="false">INDEX(Risk_Matrix!$B$2:$D$4,MATCH(E1617,Risk_Matrix!$A$2:$A$4,0),MATCH(F1617,Risk_Matrix!$B$1:$D$1,0))</f>
        <v>Low</v>
      </c>
      <c r="H1617" s="12" t="n">
        <v>46140</v>
      </c>
      <c r="I1617" s="5" t="s">
        <v>2241</v>
      </c>
      <c r="J1617" s="5" t="s">
        <v>2242</v>
      </c>
      <c r="K1617" s="5" t="s">
        <v>2266</v>
      </c>
      <c r="L1617" s="5" t="n">
        <f aca="false">IF(G1617="High",3,IF(G1617="Medium",2,1))</f>
        <v>1</v>
      </c>
    </row>
    <row r="1618" customFormat="false" ht="15" hidden="false" customHeight="true" outlineLevel="0" collapsed="false">
      <c r="A1618" s="5" t="s">
        <v>3894</v>
      </c>
      <c r="B1618" s="5" t="s">
        <v>1508</v>
      </c>
      <c r="C1618" s="5" t="s">
        <v>2248</v>
      </c>
      <c r="D1618" s="5" t="s">
        <v>2306</v>
      </c>
      <c r="E1618" s="5" t="s">
        <v>54</v>
      </c>
      <c r="F1618" s="5" t="s">
        <v>59</v>
      </c>
      <c r="G1618" s="5" t="str">
        <f aca="false">INDEX(Risk_Matrix!$B$2:$D$4,MATCH(E1618,Risk_Matrix!$A$2:$A$4,0),MATCH(F1618,Risk_Matrix!$B$1:$D$1,0))</f>
        <v>Medium</v>
      </c>
      <c r="H1618" s="12" t="n">
        <v>46169</v>
      </c>
      <c r="I1618" s="5" t="s">
        <v>2250</v>
      </c>
      <c r="J1618" s="5" t="s">
        <v>2251</v>
      </c>
      <c r="K1618" s="5" t="s">
        <v>2243</v>
      </c>
      <c r="L1618" s="5" t="n">
        <f aca="false">IF(G1618="High",3,IF(G1618="Medium",2,1))</f>
        <v>2</v>
      </c>
    </row>
    <row r="1619" customFormat="false" ht="15" hidden="false" customHeight="true" outlineLevel="0" collapsed="false">
      <c r="A1619" s="5" t="s">
        <v>3895</v>
      </c>
      <c r="B1619" s="5" t="s">
        <v>1508</v>
      </c>
      <c r="C1619" s="5" t="s">
        <v>2254</v>
      </c>
      <c r="D1619" s="5" t="s">
        <v>2255</v>
      </c>
      <c r="E1619" s="5" t="s">
        <v>59</v>
      </c>
      <c r="F1619" s="5" t="s">
        <v>2225</v>
      </c>
      <c r="G1619" s="5" t="str">
        <f aca="false">INDEX(Risk_Matrix!$B$2:$D$4,MATCH(E1619,Risk_Matrix!$A$2:$A$4,0),MATCH(F1619,Risk_Matrix!$B$1:$D$1,0))</f>
        <v>Low</v>
      </c>
      <c r="H1619" s="12" t="n">
        <v>46121</v>
      </c>
      <c r="I1619" s="5" t="s">
        <v>2256</v>
      </c>
      <c r="J1619" s="5" t="s">
        <v>2257</v>
      </c>
      <c r="K1619" s="5" t="s">
        <v>2283</v>
      </c>
      <c r="L1619" s="5" t="n">
        <f aca="false">IF(G1619="High",3,IF(G1619="Medium",2,1))</f>
        <v>1</v>
      </c>
    </row>
    <row r="1620" customFormat="false" ht="15" hidden="false" customHeight="true" outlineLevel="0" collapsed="false">
      <c r="A1620" s="5" t="s">
        <v>3896</v>
      </c>
      <c r="B1620" s="5" t="s">
        <v>1508</v>
      </c>
      <c r="C1620" s="5" t="s">
        <v>2259</v>
      </c>
      <c r="D1620" s="5" t="s">
        <v>2260</v>
      </c>
      <c r="E1620" s="5" t="s">
        <v>54</v>
      </c>
      <c r="F1620" s="5" t="s">
        <v>54</v>
      </c>
      <c r="G1620" s="5" t="str">
        <f aca="false">INDEX(Risk_Matrix!$B$2:$D$4,MATCH(E1620,Risk_Matrix!$A$2:$A$4,0),MATCH(F1620,Risk_Matrix!$B$1:$D$1,0))</f>
        <v>High</v>
      </c>
      <c r="H1620" s="12" t="n">
        <v>46238</v>
      </c>
      <c r="I1620" s="5" t="s">
        <v>2256</v>
      </c>
      <c r="J1620" s="5" t="s">
        <v>2257</v>
      </c>
      <c r="K1620" s="5" t="s">
        <v>2266</v>
      </c>
      <c r="L1620" s="5" t="n">
        <f aca="false">IF(G1620="High",3,IF(G1620="Medium",2,1))</f>
        <v>3</v>
      </c>
    </row>
    <row r="1621" customFormat="false" ht="15" hidden="false" customHeight="true" outlineLevel="0" collapsed="false">
      <c r="A1621" s="5" t="s">
        <v>3897</v>
      </c>
      <c r="B1621" s="5" t="s">
        <v>1508</v>
      </c>
      <c r="C1621" s="5" t="s">
        <v>2262</v>
      </c>
      <c r="D1621" s="5" t="s">
        <v>2263</v>
      </c>
      <c r="E1621" s="5" t="s">
        <v>59</v>
      </c>
      <c r="F1621" s="5" t="s">
        <v>2225</v>
      </c>
      <c r="G1621" s="5" t="str">
        <f aca="false">INDEX(Risk_Matrix!$B$2:$D$4,MATCH(E1621,Risk_Matrix!$A$2:$A$4,0),MATCH(F1621,Risk_Matrix!$B$1:$D$1,0))</f>
        <v>Low</v>
      </c>
      <c r="H1621" s="12" t="n">
        <v>46140</v>
      </c>
      <c r="I1621" s="5" t="s">
        <v>2250</v>
      </c>
      <c r="J1621" s="5" t="s">
        <v>2251</v>
      </c>
      <c r="K1621" s="5" t="s">
        <v>2243</v>
      </c>
      <c r="L1621" s="5" t="n">
        <f aca="false">IF(G1621="High",3,IF(G1621="Medium",2,1))</f>
        <v>1</v>
      </c>
    </row>
    <row r="1622" customFormat="false" ht="15" hidden="false" customHeight="true" outlineLevel="0" collapsed="false">
      <c r="A1622" s="5" t="s">
        <v>3898</v>
      </c>
      <c r="B1622" s="5" t="s">
        <v>1510</v>
      </c>
      <c r="C1622" s="5" t="s">
        <v>2239</v>
      </c>
      <c r="D1622" s="5" t="s">
        <v>2303</v>
      </c>
      <c r="E1622" s="5" t="s">
        <v>59</v>
      </c>
      <c r="F1622" s="5" t="s">
        <v>2225</v>
      </c>
      <c r="G1622" s="5" t="str">
        <f aca="false">INDEX(Risk_Matrix!$B$2:$D$4,MATCH(E1622,Risk_Matrix!$A$2:$A$4,0),MATCH(F1622,Risk_Matrix!$B$1:$D$1,0))</f>
        <v>Low</v>
      </c>
      <c r="H1622" s="12" t="n">
        <v>46125</v>
      </c>
      <c r="I1622" s="5" t="s">
        <v>2250</v>
      </c>
      <c r="J1622" s="5" t="s">
        <v>2251</v>
      </c>
      <c r="K1622" s="5" t="s">
        <v>2243</v>
      </c>
      <c r="L1622" s="5" t="n">
        <f aca="false">IF(G1622="High",3,IF(G1622="Medium",2,1))</f>
        <v>1</v>
      </c>
    </row>
    <row r="1623" customFormat="false" ht="15" hidden="false" customHeight="true" outlineLevel="0" collapsed="false">
      <c r="A1623" s="5" t="s">
        <v>3899</v>
      </c>
      <c r="B1623" s="5" t="s">
        <v>1510</v>
      </c>
      <c r="C1623" s="5" t="s">
        <v>2245</v>
      </c>
      <c r="D1623" s="5" t="s">
        <v>2320</v>
      </c>
      <c r="E1623" s="5" t="s">
        <v>2225</v>
      </c>
      <c r="F1623" s="5" t="s">
        <v>59</v>
      </c>
      <c r="G1623" s="5" t="str">
        <f aca="false">INDEX(Risk_Matrix!$B$2:$D$4,MATCH(E1623,Risk_Matrix!$A$2:$A$4,0),MATCH(F1623,Risk_Matrix!$B$1:$D$1,0))</f>
        <v>Low</v>
      </c>
      <c r="H1623" s="12" t="n">
        <v>46141</v>
      </c>
      <c r="I1623" s="5" t="s">
        <v>2250</v>
      </c>
      <c r="J1623" s="5" t="s">
        <v>2251</v>
      </c>
      <c r="K1623" s="5" t="s">
        <v>2276</v>
      </c>
      <c r="L1623" s="5" t="n">
        <f aca="false">IF(G1623="High",3,IF(G1623="Medium",2,1))</f>
        <v>1</v>
      </c>
    </row>
    <row r="1624" customFormat="false" ht="15" hidden="false" customHeight="true" outlineLevel="0" collapsed="false">
      <c r="A1624" s="5" t="s">
        <v>3900</v>
      </c>
      <c r="B1624" s="5" t="s">
        <v>1510</v>
      </c>
      <c r="C1624" s="5" t="s">
        <v>2248</v>
      </c>
      <c r="D1624" s="5" t="s">
        <v>2249</v>
      </c>
      <c r="E1624" s="5" t="s">
        <v>59</v>
      </c>
      <c r="F1624" s="5" t="s">
        <v>2225</v>
      </c>
      <c r="G1624" s="5" t="str">
        <f aca="false">INDEX(Risk_Matrix!$B$2:$D$4,MATCH(E1624,Risk_Matrix!$A$2:$A$4,0),MATCH(F1624,Risk_Matrix!$B$1:$D$1,0))</f>
        <v>Low</v>
      </c>
      <c r="H1624" s="12" t="n">
        <v>46104</v>
      </c>
      <c r="I1624" s="5" t="s">
        <v>2250</v>
      </c>
      <c r="J1624" s="5" t="s">
        <v>2251</v>
      </c>
      <c r="K1624" s="5" t="s">
        <v>2252</v>
      </c>
      <c r="L1624" s="5" t="n">
        <f aca="false">IF(G1624="High",3,IF(G1624="Medium",2,1))</f>
        <v>1</v>
      </c>
    </row>
    <row r="1625" customFormat="false" ht="15" hidden="false" customHeight="true" outlineLevel="0" collapsed="false">
      <c r="A1625" s="5" t="s">
        <v>3901</v>
      </c>
      <c r="B1625" s="5" t="s">
        <v>1510</v>
      </c>
      <c r="C1625" s="5" t="s">
        <v>2254</v>
      </c>
      <c r="D1625" s="5" t="s">
        <v>2308</v>
      </c>
      <c r="E1625" s="5" t="s">
        <v>59</v>
      </c>
      <c r="F1625" s="5" t="s">
        <v>2225</v>
      </c>
      <c r="G1625" s="5" t="str">
        <f aca="false">INDEX(Risk_Matrix!$B$2:$D$4,MATCH(E1625,Risk_Matrix!$A$2:$A$4,0),MATCH(F1625,Risk_Matrix!$B$1:$D$1,0))</f>
        <v>Low</v>
      </c>
      <c r="H1625" s="12" t="n">
        <v>46125</v>
      </c>
      <c r="I1625" s="5" t="s">
        <v>2256</v>
      </c>
      <c r="J1625" s="5" t="s">
        <v>2257</v>
      </c>
      <c r="K1625" s="5" t="s">
        <v>2283</v>
      </c>
      <c r="L1625" s="5" t="n">
        <f aca="false">IF(G1625="High",3,IF(G1625="Medium",2,1))</f>
        <v>1</v>
      </c>
    </row>
    <row r="1626" customFormat="false" ht="15" hidden="false" customHeight="true" outlineLevel="0" collapsed="false">
      <c r="A1626" s="5" t="s">
        <v>3902</v>
      </c>
      <c r="B1626" s="5" t="s">
        <v>1510</v>
      </c>
      <c r="C1626" s="5" t="s">
        <v>2259</v>
      </c>
      <c r="D1626" s="5" t="s">
        <v>2260</v>
      </c>
      <c r="E1626" s="5" t="s">
        <v>59</v>
      </c>
      <c r="F1626" s="5" t="s">
        <v>2225</v>
      </c>
      <c r="G1626" s="5" t="str">
        <f aca="false">INDEX(Risk_Matrix!$B$2:$D$4,MATCH(E1626,Risk_Matrix!$A$2:$A$4,0),MATCH(F1626,Risk_Matrix!$B$1:$D$1,0))</f>
        <v>Low</v>
      </c>
      <c r="H1626" s="12" t="n">
        <v>46060</v>
      </c>
      <c r="I1626" s="5" t="s">
        <v>2250</v>
      </c>
      <c r="J1626" s="5" t="s">
        <v>2251</v>
      </c>
      <c r="K1626" s="5" t="s">
        <v>2243</v>
      </c>
      <c r="L1626" s="5" t="n">
        <f aca="false">IF(G1626="High",3,IF(G1626="Medium",2,1))</f>
        <v>1</v>
      </c>
    </row>
    <row r="1627" customFormat="false" ht="15" hidden="false" customHeight="true" outlineLevel="0" collapsed="false">
      <c r="A1627" s="5" t="s">
        <v>3903</v>
      </c>
      <c r="B1627" s="5" t="s">
        <v>1510</v>
      </c>
      <c r="C1627" s="5" t="s">
        <v>2262</v>
      </c>
      <c r="D1627" s="5" t="s">
        <v>2287</v>
      </c>
      <c r="E1627" s="5" t="s">
        <v>2225</v>
      </c>
      <c r="F1627" s="5" t="s">
        <v>59</v>
      </c>
      <c r="G1627" s="5" t="str">
        <f aca="false">INDEX(Risk_Matrix!$B$2:$D$4,MATCH(E1627,Risk_Matrix!$A$2:$A$4,0),MATCH(F1627,Risk_Matrix!$B$1:$D$1,0))</f>
        <v>Low</v>
      </c>
      <c r="H1627" s="12" t="n">
        <v>46135</v>
      </c>
      <c r="I1627" s="5" t="s">
        <v>2256</v>
      </c>
      <c r="J1627" s="5" t="s">
        <v>2257</v>
      </c>
      <c r="K1627" s="5" t="s">
        <v>2252</v>
      </c>
      <c r="L1627" s="5" t="n">
        <f aca="false">IF(G1627="High",3,IF(G1627="Medium",2,1))</f>
        <v>1</v>
      </c>
    </row>
    <row r="1628" customFormat="false" ht="15" hidden="false" customHeight="true" outlineLevel="0" collapsed="false">
      <c r="A1628" s="5" t="s">
        <v>3904</v>
      </c>
      <c r="B1628" s="5" t="s">
        <v>1513</v>
      </c>
      <c r="C1628" s="5" t="s">
        <v>2239</v>
      </c>
      <c r="D1628" s="5" t="s">
        <v>2303</v>
      </c>
      <c r="E1628" s="5" t="s">
        <v>2225</v>
      </c>
      <c r="F1628" s="5" t="s">
        <v>54</v>
      </c>
      <c r="G1628" s="5" t="str">
        <f aca="false">INDEX(Risk_Matrix!$B$2:$D$4,MATCH(E1628,Risk_Matrix!$A$2:$A$4,0),MATCH(F1628,Risk_Matrix!$B$1:$D$1,0))</f>
        <v>High</v>
      </c>
      <c r="H1628" s="12" t="n">
        <v>46118</v>
      </c>
      <c r="I1628" s="5" t="s">
        <v>2256</v>
      </c>
      <c r="J1628" s="5" t="s">
        <v>2257</v>
      </c>
      <c r="K1628" s="5" t="s">
        <v>2276</v>
      </c>
      <c r="L1628" s="5" t="n">
        <f aca="false">IF(G1628="High",3,IF(G1628="Medium",2,1))</f>
        <v>3</v>
      </c>
    </row>
    <row r="1629" customFormat="false" ht="15" hidden="false" customHeight="true" outlineLevel="0" collapsed="false">
      <c r="A1629" s="5" t="s">
        <v>3905</v>
      </c>
      <c r="B1629" s="5" t="s">
        <v>1513</v>
      </c>
      <c r="C1629" s="5" t="s">
        <v>2245</v>
      </c>
      <c r="D1629" s="5" t="s">
        <v>2320</v>
      </c>
      <c r="E1629" s="5" t="s">
        <v>2225</v>
      </c>
      <c r="F1629" s="5" t="s">
        <v>59</v>
      </c>
      <c r="G1629" s="5" t="str">
        <f aca="false">INDEX(Risk_Matrix!$B$2:$D$4,MATCH(E1629,Risk_Matrix!$A$2:$A$4,0),MATCH(F1629,Risk_Matrix!$B$1:$D$1,0))</f>
        <v>Low</v>
      </c>
      <c r="H1629" s="12" t="n">
        <v>46233</v>
      </c>
      <c r="I1629" s="5" t="s">
        <v>2250</v>
      </c>
      <c r="J1629" s="5" t="s">
        <v>2251</v>
      </c>
      <c r="K1629" s="5" t="s">
        <v>2243</v>
      </c>
      <c r="L1629" s="5" t="n">
        <f aca="false">IF(G1629="High",3,IF(G1629="Medium",2,1))</f>
        <v>1</v>
      </c>
    </row>
    <row r="1630" customFormat="false" ht="15" hidden="false" customHeight="true" outlineLevel="0" collapsed="false">
      <c r="A1630" s="5" t="s">
        <v>3906</v>
      </c>
      <c r="B1630" s="5" t="s">
        <v>1513</v>
      </c>
      <c r="C1630" s="5" t="s">
        <v>2248</v>
      </c>
      <c r="D1630" s="5" t="s">
        <v>2249</v>
      </c>
      <c r="E1630" s="5" t="s">
        <v>59</v>
      </c>
      <c r="F1630" s="5" t="s">
        <v>59</v>
      </c>
      <c r="G1630" s="5" t="str">
        <f aca="false">INDEX(Risk_Matrix!$B$2:$D$4,MATCH(E1630,Risk_Matrix!$A$2:$A$4,0),MATCH(F1630,Risk_Matrix!$B$1:$D$1,0))</f>
        <v>Low</v>
      </c>
      <c r="H1630" s="12" t="n">
        <v>46124</v>
      </c>
      <c r="I1630" s="5" t="s">
        <v>2250</v>
      </c>
      <c r="J1630" s="5" t="s">
        <v>2251</v>
      </c>
      <c r="K1630" s="5" t="s">
        <v>2243</v>
      </c>
      <c r="L1630" s="5" t="n">
        <f aca="false">IF(G1630="High",3,IF(G1630="Medium",2,1))</f>
        <v>1</v>
      </c>
    </row>
    <row r="1631" customFormat="false" ht="15" hidden="false" customHeight="true" outlineLevel="0" collapsed="false">
      <c r="A1631" s="5" t="s">
        <v>3907</v>
      </c>
      <c r="B1631" s="5" t="s">
        <v>1513</v>
      </c>
      <c r="C1631" s="5" t="s">
        <v>2254</v>
      </c>
      <c r="D1631" s="5" t="s">
        <v>2255</v>
      </c>
      <c r="E1631" s="5" t="s">
        <v>59</v>
      </c>
      <c r="F1631" s="5" t="s">
        <v>59</v>
      </c>
      <c r="G1631" s="5" t="str">
        <f aca="false">INDEX(Risk_Matrix!$B$2:$D$4,MATCH(E1631,Risk_Matrix!$A$2:$A$4,0),MATCH(F1631,Risk_Matrix!$B$1:$D$1,0))</f>
        <v>Low</v>
      </c>
      <c r="H1631" s="12" t="n">
        <v>46172</v>
      </c>
      <c r="I1631" s="5" t="s">
        <v>2256</v>
      </c>
      <c r="J1631" s="5" t="s">
        <v>2257</v>
      </c>
      <c r="K1631" s="5" t="s">
        <v>2243</v>
      </c>
      <c r="L1631" s="5" t="n">
        <f aca="false">IF(G1631="High",3,IF(G1631="Medium",2,1))</f>
        <v>1</v>
      </c>
    </row>
    <row r="1632" customFormat="false" ht="15" hidden="false" customHeight="true" outlineLevel="0" collapsed="false">
      <c r="A1632" s="5" t="s">
        <v>3908</v>
      </c>
      <c r="B1632" s="5" t="s">
        <v>1513</v>
      </c>
      <c r="C1632" s="5" t="s">
        <v>2259</v>
      </c>
      <c r="D1632" s="5" t="s">
        <v>2260</v>
      </c>
      <c r="E1632" s="5" t="s">
        <v>59</v>
      </c>
      <c r="F1632" s="5" t="s">
        <v>54</v>
      </c>
      <c r="G1632" s="5" t="str">
        <f aca="false">INDEX(Risk_Matrix!$B$2:$D$4,MATCH(E1632,Risk_Matrix!$A$2:$A$4,0),MATCH(F1632,Risk_Matrix!$B$1:$D$1,0))</f>
        <v>Medium</v>
      </c>
      <c r="H1632" s="12" t="n">
        <v>46085</v>
      </c>
      <c r="I1632" s="5" t="s">
        <v>2250</v>
      </c>
      <c r="J1632" s="5" t="s">
        <v>2251</v>
      </c>
      <c r="K1632" s="5" t="s">
        <v>2283</v>
      </c>
      <c r="L1632" s="5" t="n">
        <f aca="false">IF(G1632="High",3,IF(G1632="Medium",2,1))</f>
        <v>2</v>
      </c>
    </row>
    <row r="1633" customFormat="false" ht="15" hidden="false" customHeight="true" outlineLevel="0" collapsed="false">
      <c r="A1633" s="5" t="s">
        <v>3909</v>
      </c>
      <c r="B1633" s="5" t="s">
        <v>1513</v>
      </c>
      <c r="C1633" s="5" t="s">
        <v>2262</v>
      </c>
      <c r="D1633" s="5" t="s">
        <v>2287</v>
      </c>
      <c r="E1633" s="5" t="s">
        <v>2225</v>
      </c>
      <c r="F1633" s="5" t="s">
        <v>54</v>
      </c>
      <c r="G1633" s="5" t="str">
        <f aca="false">INDEX(Risk_Matrix!$B$2:$D$4,MATCH(E1633,Risk_Matrix!$A$2:$A$4,0),MATCH(F1633,Risk_Matrix!$B$1:$D$1,0))</f>
        <v>High</v>
      </c>
      <c r="H1633" s="12" t="n">
        <v>46180</v>
      </c>
      <c r="I1633" s="5" t="s">
        <v>2256</v>
      </c>
      <c r="J1633" s="5" t="s">
        <v>2257</v>
      </c>
      <c r="K1633" s="5" t="s">
        <v>2276</v>
      </c>
      <c r="L1633" s="5" t="n">
        <f aca="false">IF(G1633="High",3,IF(G1633="Medium",2,1))</f>
        <v>3</v>
      </c>
    </row>
    <row r="1634" customFormat="false" ht="15" hidden="false" customHeight="true" outlineLevel="0" collapsed="false">
      <c r="A1634" s="5" t="s">
        <v>3910</v>
      </c>
      <c r="B1634" s="5" t="s">
        <v>1515</v>
      </c>
      <c r="C1634" s="5" t="s">
        <v>2239</v>
      </c>
      <c r="D1634" s="5" t="s">
        <v>2303</v>
      </c>
      <c r="E1634" s="5" t="s">
        <v>59</v>
      </c>
      <c r="F1634" s="5" t="s">
        <v>2225</v>
      </c>
      <c r="G1634" s="5" t="str">
        <f aca="false">INDEX(Risk_Matrix!$B$2:$D$4,MATCH(E1634,Risk_Matrix!$A$2:$A$4,0),MATCH(F1634,Risk_Matrix!$B$1:$D$1,0))</f>
        <v>Low</v>
      </c>
      <c r="H1634" s="12" t="n">
        <v>46218</v>
      </c>
      <c r="I1634" s="5" t="s">
        <v>2256</v>
      </c>
      <c r="J1634" s="5" t="s">
        <v>2257</v>
      </c>
      <c r="K1634" s="5" t="s">
        <v>2283</v>
      </c>
      <c r="L1634" s="5" t="n">
        <f aca="false">IF(G1634="High",3,IF(G1634="Medium",2,1))</f>
        <v>1</v>
      </c>
    </row>
    <row r="1635" customFormat="false" ht="15" hidden="false" customHeight="true" outlineLevel="0" collapsed="false">
      <c r="A1635" s="5" t="s">
        <v>3911</v>
      </c>
      <c r="B1635" s="5" t="s">
        <v>1515</v>
      </c>
      <c r="C1635" s="5" t="s">
        <v>2245</v>
      </c>
      <c r="D1635" s="5" t="s">
        <v>2269</v>
      </c>
      <c r="E1635" s="5" t="s">
        <v>59</v>
      </c>
      <c r="F1635" s="5" t="s">
        <v>59</v>
      </c>
      <c r="G1635" s="5" t="str">
        <f aca="false">INDEX(Risk_Matrix!$B$2:$D$4,MATCH(E1635,Risk_Matrix!$A$2:$A$4,0),MATCH(F1635,Risk_Matrix!$B$1:$D$1,0))</f>
        <v>Low</v>
      </c>
      <c r="H1635" s="12" t="n">
        <v>46167</v>
      </c>
      <c r="I1635" s="5" t="s">
        <v>2264</v>
      </c>
      <c r="J1635" s="5" t="s">
        <v>2265</v>
      </c>
      <c r="K1635" s="5" t="s">
        <v>2266</v>
      </c>
      <c r="L1635" s="5" t="n">
        <f aca="false">IF(G1635="High",3,IF(G1635="Medium",2,1))</f>
        <v>1</v>
      </c>
    </row>
    <row r="1636" customFormat="false" ht="15" hidden="false" customHeight="true" outlineLevel="0" collapsed="false">
      <c r="A1636" s="5" t="s">
        <v>3912</v>
      </c>
      <c r="B1636" s="5" t="s">
        <v>1515</v>
      </c>
      <c r="C1636" s="5" t="s">
        <v>2248</v>
      </c>
      <c r="D1636" s="5" t="s">
        <v>2322</v>
      </c>
      <c r="E1636" s="5" t="s">
        <v>59</v>
      </c>
      <c r="F1636" s="5" t="s">
        <v>59</v>
      </c>
      <c r="G1636" s="5" t="str">
        <f aca="false">INDEX(Risk_Matrix!$B$2:$D$4,MATCH(E1636,Risk_Matrix!$A$2:$A$4,0),MATCH(F1636,Risk_Matrix!$B$1:$D$1,0))</f>
        <v>Low</v>
      </c>
      <c r="H1636" s="12" t="n">
        <v>46215</v>
      </c>
      <c r="I1636" s="5" t="s">
        <v>2256</v>
      </c>
      <c r="J1636" s="5" t="s">
        <v>2257</v>
      </c>
      <c r="K1636" s="5" t="s">
        <v>2283</v>
      </c>
      <c r="L1636" s="5" t="n">
        <f aca="false">IF(G1636="High",3,IF(G1636="Medium",2,1))</f>
        <v>1</v>
      </c>
    </row>
    <row r="1637" customFormat="false" ht="15" hidden="false" customHeight="true" outlineLevel="0" collapsed="false">
      <c r="A1637" s="5" t="s">
        <v>3913</v>
      </c>
      <c r="B1637" s="5" t="s">
        <v>1515</v>
      </c>
      <c r="C1637" s="5" t="s">
        <v>2254</v>
      </c>
      <c r="D1637" s="5" t="s">
        <v>2255</v>
      </c>
      <c r="E1637" s="5" t="s">
        <v>2225</v>
      </c>
      <c r="F1637" s="5" t="s">
        <v>2225</v>
      </c>
      <c r="G1637" s="5" t="str">
        <f aca="false">INDEX(Risk_Matrix!$B$2:$D$4,MATCH(E1637,Risk_Matrix!$A$2:$A$4,0),MATCH(F1637,Risk_Matrix!$B$1:$D$1,0))</f>
        <v>Medium</v>
      </c>
      <c r="H1637" s="12" t="n">
        <v>46193</v>
      </c>
      <c r="I1637" s="5" t="s">
        <v>2264</v>
      </c>
      <c r="J1637" s="5" t="s">
        <v>2265</v>
      </c>
      <c r="K1637" s="5" t="s">
        <v>2252</v>
      </c>
      <c r="L1637" s="5" t="n">
        <f aca="false">IF(G1637="High",3,IF(G1637="Medium",2,1))</f>
        <v>2</v>
      </c>
    </row>
    <row r="1638" customFormat="false" ht="15" hidden="false" customHeight="true" outlineLevel="0" collapsed="false">
      <c r="A1638" s="5" t="s">
        <v>3914</v>
      </c>
      <c r="B1638" s="5" t="s">
        <v>1515</v>
      </c>
      <c r="C1638" s="5" t="s">
        <v>2259</v>
      </c>
      <c r="D1638" s="5" t="s">
        <v>2285</v>
      </c>
      <c r="E1638" s="5" t="s">
        <v>59</v>
      </c>
      <c r="F1638" s="5" t="s">
        <v>59</v>
      </c>
      <c r="G1638" s="5" t="str">
        <f aca="false">INDEX(Risk_Matrix!$B$2:$D$4,MATCH(E1638,Risk_Matrix!$A$2:$A$4,0),MATCH(F1638,Risk_Matrix!$B$1:$D$1,0))</f>
        <v>Low</v>
      </c>
      <c r="H1638" s="12" t="n">
        <v>46234</v>
      </c>
      <c r="I1638" s="5" t="s">
        <v>2256</v>
      </c>
      <c r="J1638" s="5" t="s">
        <v>2257</v>
      </c>
      <c r="K1638" s="5" t="s">
        <v>2266</v>
      </c>
      <c r="L1638" s="5" t="n">
        <f aca="false">IF(G1638="High",3,IF(G1638="Medium",2,1))</f>
        <v>1</v>
      </c>
    </row>
    <row r="1639" customFormat="false" ht="15" hidden="false" customHeight="true" outlineLevel="0" collapsed="false">
      <c r="A1639" s="5" t="s">
        <v>3915</v>
      </c>
      <c r="B1639" s="5" t="s">
        <v>1515</v>
      </c>
      <c r="C1639" s="5" t="s">
        <v>2262</v>
      </c>
      <c r="D1639" s="5" t="s">
        <v>2263</v>
      </c>
      <c r="E1639" s="5" t="s">
        <v>2225</v>
      </c>
      <c r="F1639" s="5" t="s">
        <v>59</v>
      </c>
      <c r="G1639" s="5" t="str">
        <f aca="false">INDEX(Risk_Matrix!$B$2:$D$4,MATCH(E1639,Risk_Matrix!$A$2:$A$4,0),MATCH(F1639,Risk_Matrix!$B$1:$D$1,0))</f>
        <v>Low</v>
      </c>
      <c r="H1639" s="12" t="n">
        <v>46193</v>
      </c>
      <c r="I1639" s="5" t="s">
        <v>2256</v>
      </c>
      <c r="J1639" s="5" t="s">
        <v>2257</v>
      </c>
      <c r="K1639" s="5" t="s">
        <v>2283</v>
      </c>
      <c r="L1639" s="5" t="n">
        <f aca="false">IF(G1639="High",3,IF(G1639="Medium",2,1))</f>
        <v>1</v>
      </c>
    </row>
    <row r="1640" customFormat="false" ht="15" hidden="false" customHeight="true" outlineLevel="0" collapsed="false">
      <c r="A1640" s="5" t="s">
        <v>3916</v>
      </c>
      <c r="B1640" s="5" t="s">
        <v>1518</v>
      </c>
      <c r="C1640" s="5" t="s">
        <v>2239</v>
      </c>
      <c r="D1640" s="5" t="s">
        <v>2240</v>
      </c>
      <c r="E1640" s="5" t="s">
        <v>2225</v>
      </c>
      <c r="F1640" s="5" t="s">
        <v>2225</v>
      </c>
      <c r="G1640" s="5" t="str">
        <f aca="false">INDEX(Risk_Matrix!$B$2:$D$4,MATCH(E1640,Risk_Matrix!$A$2:$A$4,0),MATCH(F1640,Risk_Matrix!$B$1:$D$1,0))</f>
        <v>Medium</v>
      </c>
      <c r="H1640" s="12" t="n">
        <v>46193</v>
      </c>
      <c r="I1640" s="5" t="s">
        <v>2256</v>
      </c>
      <c r="J1640" s="5" t="s">
        <v>2257</v>
      </c>
      <c r="K1640" s="5" t="s">
        <v>2266</v>
      </c>
      <c r="L1640" s="5" t="n">
        <f aca="false">IF(G1640="High",3,IF(G1640="Medium",2,1))</f>
        <v>2</v>
      </c>
    </row>
    <row r="1641" customFormat="false" ht="15" hidden="false" customHeight="true" outlineLevel="0" collapsed="false">
      <c r="A1641" s="5" t="s">
        <v>3917</v>
      </c>
      <c r="B1641" s="5" t="s">
        <v>1518</v>
      </c>
      <c r="C1641" s="5" t="s">
        <v>2245</v>
      </c>
      <c r="D1641" s="5" t="s">
        <v>2320</v>
      </c>
      <c r="E1641" s="5" t="s">
        <v>59</v>
      </c>
      <c r="F1641" s="5" t="s">
        <v>59</v>
      </c>
      <c r="G1641" s="5" t="str">
        <f aca="false">INDEX(Risk_Matrix!$B$2:$D$4,MATCH(E1641,Risk_Matrix!$A$2:$A$4,0),MATCH(F1641,Risk_Matrix!$B$1:$D$1,0))</f>
        <v>Low</v>
      </c>
      <c r="H1641" s="12" t="n">
        <v>46169</v>
      </c>
      <c r="I1641" s="5" t="s">
        <v>2264</v>
      </c>
      <c r="J1641" s="5" t="s">
        <v>2265</v>
      </c>
      <c r="K1641" s="5" t="s">
        <v>2283</v>
      </c>
      <c r="L1641" s="5" t="n">
        <f aca="false">IF(G1641="High",3,IF(G1641="Medium",2,1))</f>
        <v>1</v>
      </c>
    </row>
    <row r="1642" customFormat="false" ht="15" hidden="false" customHeight="true" outlineLevel="0" collapsed="false">
      <c r="A1642" s="5" t="s">
        <v>3918</v>
      </c>
      <c r="B1642" s="5" t="s">
        <v>1518</v>
      </c>
      <c r="C1642" s="5" t="s">
        <v>2248</v>
      </c>
      <c r="D1642" s="5" t="s">
        <v>2306</v>
      </c>
      <c r="E1642" s="5" t="s">
        <v>2225</v>
      </c>
      <c r="F1642" s="5" t="s">
        <v>54</v>
      </c>
      <c r="G1642" s="5" t="str">
        <f aca="false">INDEX(Risk_Matrix!$B$2:$D$4,MATCH(E1642,Risk_Matrix!$A$2:$A$4,0),MATCH(F1642,Risk_Matrix!$B$1:$D$1,0))</f>
        <v>High</v>
      </c>
      <c r="H1642" s="12" t="n">
        <v>46196</v>
      </c>
      <c r="I1642" s="5" t="s">
        <v>2256</v>
      </c>
      <c r="J1642" s="5" t="s">
        <v>2257</v>
      </c>
      <c r="K1642" s="5" t="s">
        <v>2276</v>
      </c>
      <c r="L1642" s="5" t="n">
        <f aca="false">IF(G1642="High",3,IF(G1642="Medium",2,1))</f>
        <v>3</v>
      </c>
    </row>
    <row r="1643" customFormat="false" ht="15" hidden="false" customHeight="true" outlineLevel="0" collapsed="false">
      <c r="A1643" s="5" t="s">
        <v>3919</v>
      </c>
      <c r="B1643" s="5" t="s">
        <v>1518</v>
      </c>
      <c r="C1643" s="5" t="s">
        <v>2254</v>
      </c>
      <c r="D1643" s="5" t="s">
        <v>2308</v>
      </c>
      <c r="E1643" s="5" t="s">
        <v>59</v>
      </c>
      <c r="F1643" s="5" t="s">
        <v>59</v>
      </c>
      <c r="G1643" s="5" t="str">
        <f aca="false">INDEX(Risk_Matrix!$B$2:$D$4,MATCH(E1643,Risk_Matrix!$A$2:$A$4,0),MATCH(F1643,Risk_Matrix!$B$1:$D$1,0))</f>
        <v>Low</v>
      </c>
      <c r="H1643" s="12" t="n">
        <v>46144</v>
      </c>
      <c r="I1643" s="5" t="s">
        <v>2264</v>
      </c>
      <c r="J1643" s="5" t="s">
        <v>2265</v>
      </c>
      <c r="K1643" s="5" t="s">
        <v>2283</v>
      </c>
      <c r="L1643" s="5" t="n">
        <f aca="false">IF(G1643="High",3,IF(G1643="Medium",2,1))</f>
        <v>1</v>
      </c>
    </row>
    <row r="1644" customFormat="false" ht="15" hidden="false" customHeight="true" outlineLevel="0" collapsed="false">
      <c r="A1644" s="5" t="s">
        <v>3920</v>
      </c>
      <c r="B1644" s="5" t="s">
        <v>1518</v>
      </c>
      <c r="C1644" s="5" t="s">
        <v>2259</v>
      </c>
      <c r="D1644" s="5" t="s">
        <v>2274</v>
      </c>
      <c r="E1644" s="5" t="s">
        <v>59</v>
      </c>
      <c r="F1644" s="5" t="s">
        <v>59</v>
      </c>
      <c r="G1644" s="5" t="str">
        <f aca="false">INDEX(Risk_Matrix!$B$2:$D$4,MATCH(E1644,Risk_Matrix!$A$2:$A$4,0),MATCH(F1644,Risk_Matrix!$B$1:$D$1,0))</f>
        <v>Low</v>
      </c>
      <c r="H1644" s="12" t="n">
        <v>46175</v>
      </c>
      <c r="I1644" s="5" t="s">
        <v>2250</v>
      </c>
      <c r="J1644" s="5" t="s">
        <v>2251</v>
      </c>
      <c r="K1644" s="5" t="s">
        <v>2266</v>
      </c>
      <c r="L1644" s="5" t="n">
        <f aca="false">IF(G1644="High",3,IF(G1644="Medium",2,1))</f>
        <v>1</v>
      </c>
    </row>
    <row r="1645" customFormat="false" ht="15" hidden="false" customHeight="true" outlineLevel="0" collapsed="false">
      <c r="A1645" s="5" t="s">
        <v>3921</v>
      </c>
      <c r="B1645" s="5" t="s">
        <v>1518</v>
      </c>
      <c r="C1645" s="5" t="s">
        <v>2262</v>
      </c>
      <c r="D1645" s="5" t="s">
        <v>2263</v>
      </c>
      <c r="E1645" s="5" t="s">
        <v>2225</v>
      </c>
      <c r="F1645" s="5" t="s">
        <v>59</v>
      </c>
      <c r="G1645" s="5" t="str">
        <f aca="false">INDEX(Risk_Matrix!$B$2:$D$4,MATCH(E1645,Risk_Matrix!$A$2:$A$4,0),MATCH(F1645,Risk_Matrix!$B$1:$D$1,0))</f>
        <v>Low</v>
      </c>
      <c r="H1645" s="12" t="n">
        <v>46204</v>
      </c>
      <c r="I1645" s="5" t="s">
        <v>2241</v>
      </c>
      <c r="J1645" s="5" t="s">
        <v>2242</v>
      </c>
      <c r="K1645" s="5" t="s">
        <v>2276</v>
      </c>
      <c r="L1645" s="5" t="n">
        <f aca="false">IF(G1645="High",3,IF(G1645="Medium",2,1))</f>
        <v>1</v>
      </c>
    </row>
    <row r="1646" customFormat="false" ht="15" hidden="false" customHeight="true" outlineLevel="0" collapsed="false">
      <c r="A1646" s="5" t="s">
        <v>3922</v>
      </c>
      <c r="B1646" s="5" t="s">
        <v>1520</v>
      </c>
      <c r="C1646" s="5" t="s">
        <v>2239</v>
      </c>
      <c r="D1646" s="5" t="s">
        <v>2278</v>
      </c>
      <c r="E1646" s="5" t="s">
        <v>59</v>
      </c>
      <c r="F1646" s="5" t="s">
        <v>2225</v>
      </c>
      <c r="G1646" s="5" t="str">
        <f aca="false">INDEX(Risk_Matrix!$B$2:$D$4,MATCH(E1646,Risk_Matrix!$A$2:$A$4,0),MATCH(F1646,Risk_Matrix!$B$1:$D$1,0))</f>
        <v>Low</v>
      </c>
      <c r="H1646" s="12" t="n">
        <v>46137</v>
      </c>
      <c r="I1646" s="5" t="s">
        <v>2250</v>
      </c>
      <c r="J1646" s="5" t="s">
        <v>2251</v>
      </c>
      <c r="K1646" s="5" t="s">
        <v>2283</v>
      </c>
      <c r="L1646" s="5" t="n">
        <f aca="false">IF(G1646="High",3,IF(G1646="Medium",2,1))</f>
        <v>1</v>
      </c>
    </row>
    <row r="1647" customFormat="false" ht="15" hidden="false" customHeight="true" outlineLevel="0" collapsed="false">
      <c r="A1647" s="5" t="s">
        <v>3923</v>
      </c>
      <c r="B1647" s="5" t="s">
        <v>1520</v>
      </c>
      <c r="C1647" s="5" t="s">
        <v>2245</v>
      </c>
      <c r="D1647" s="5" t="s">
        <v>2280</v>
      </c>
      <c r="E1647" s="5" t="s">
        <v>54</v>
      </c>
      <c r="F1647" s="5" t="s">
        <v>59</v>
      </c>
      <c r="G1647" s="5" t="str">
        <f aca="false">INDEX(Risk_Matrix!$B$2:$D$4,MATCH(E1647,Risk_Matrix!$A$2:$A$4,0),MATCH(F1647,Risk_Matrix!$B$1:$D$1,0))</f>
        <v>Medium</v>
      </c>
      <c r="H1647" s="12" t="n">
        <v>46105</v>
      </c>
      <c r="I1647" s="5" t="s">
        <v>2250</v>
      </c>
      <c r="J1647" s="5" t="s">
        <v>2251</v>
      </c>
      <c r="K1647" s="5" t="s">
        <v>2252</v>
      </c>
      <c r="L1647" s="5" t="n">
        <f aca="false">IF(G1647="High",3,IF(G1647="Medium",2,1))</f>
        <v>2</v>
      </c>
    </row>
    <row r="1648" customFormat="false" ht="15" hidden="false" customHeight="true" outlineLevel="0" collapsed="false">
      <c r="A1648" s="5" t="s">
        <v>3924</v>
      </c>
      <c r="B1648" s="5" t="s">
        <v>1520</v>
      </c>
      <c r="C1648" s="5" t="s">
        <v>2248</v>
      </c>
      <c r="D1648" s="5" t="s">
        <v>2271</v>
      </c>
      <c r="E1648" s="5" t="s">
        <v>2225</v>
      </c>
      <c r="F1648" s="5" t="s">
        <v>2225</v>
      </c>
      <c r="G1648" s="5" t="str">
        <f aca="false">INDEX(Risk_Matrix!$B$2:$D$4,MATCH(E1648,Risk_Matrix!$A$2:$A$4,0),MATCH(F1648,Risk_Matrix!$B$1:$D$1,0))</f>
        <v>Medium</v>
      </c>
      <c r="H1648" s="12" t="n">
        <v>46110</v>
      </c>
      <c r="I1648" s="5" t="s">
        <v>2250</v>
      </c>
      <c r="J1648" s="5" t="s">
        <v>2251</v>
      </c>
      <c r="K1648" s="5" t="s">
        <v>2243</v>
      </c>
      <c r="L1648" s="5" t="n">
        <f aca="false">IF(G1648="High",3,IF(G1648="Medium",2,1))</f>
        <v>2</v>
      </c>
    </row>
    <row r="1649" customFormat="false" ht="15" hidden="false" customHeight="true" outlineLevel="0" collapsed="false">
      <c r="A1649" s="5" t="s">
        <v>3925</v>
      </c>
      <c r="B1649" s="5" t="s">
        <v>1520</v>
      </c>
      <c r="C1649" s="5" t="s">
        <v>2254</v>
      </c>
      <c r="D1649" s="5" t="s">
        <v>2255</v>
      </c>
      <c r="E1649" s="5" t="s">
        <v>2225</v>
      </c>
      <c r="F1649" s="5" t="s">
        <v>59</v>
      </c>
      <c r="G1649" s="5" t="str">
        <f aca="false">INDEX(Risk_Matrix!$B$2:$D$4,MATCH(E1649,Risk_Matrix!$A$2:$A$4,0),MATCH(F1649,Risk_Matrix!$B$1:$D$1,0))</f>
        <v>Low</v>
      </c>
      <c r="H1649" s="12" t="n">
        <v>46144</v>
      </c>
      <c r="I1649" s="5" t="s">
        <v>2250</v>
      </c>
      <c r="J1649" s="5" t="s">
        <v>2251</v>
      </c>
      <c r="K1649" s="5" t="s">
        <v>2252</v>
      </c>
      <c r="L1649" s="5" t="n">
        <f aca="false">IF(G1649="High",3,IF(G1649="Medium",2,1))</f>
        <v>1</v>
      </c>
    </row>
    <row r="1650" customFormat="false" ht="15" hidden="false" customHeight="true" outlineLevel="0" collapsed="false">
      <c r="A1650" s="5" t="s">
        <v>3926</v>
      </c>
      <c r="B1650" s="5" t="s">
        <v>1520</v>
      </c>
      <c r="C1650" s="5" t="s">
        <v>2259</v>
      </c>
      <c r="D1650" s="5" t="s">
        <v>2260</v>
      </c>
      <c r="E1650" s="5" t="s">
        <v>2225</v>
      </c>
      <c r="F1650" s="5" t="s">
        <v>59</v>
      </c>
      <c r="G1650" s="5" t="str">
        <f aca="false">INDEX(Risk_Matrix!$B$2:$D$4,MATCH(E1650,Risk_Matrix!$A$2:$A$4,0),MATCH(F1650,Risk_Matrix!$B$1:$D$1,0))</f>
        <v>Low</v>
      </c>
      <c r="H1650" s="12" t="n">
        <v>46143</v>
      </c>
      <c r="I1650" s="5" t="s">
        <v>2256</v>
      </c>
      <c r="J1650" s="5" t="s">
        <v>2257</v>
      </c>
      <c r="K1650" s="5" t="s">
        <v>2276</v>
      </c>
      <c r="L1650" s="5" t="n">
        <f aca="false">IF(G1650="High",3,IF(G1650="Medium",2,1))</f>
        <v>1</v>
      </c>
    </row>
    <row r="1651" customFormat="false" ht="15" hidden="false" customHeight="true" outlineLevel="0" collapsed="false">
      <c r="A1651" s="5" t="s">
        <v>3927</v>
      </c>
      <c r="B1651" s="5" t="s">
        <v>1520</v>
      </c>
      <c r="C1651" s="5" t="s">
        <v>2262</v>
      </c>
      <c r="D1651" s="5" t="s">
        <v>2311</v>
      </c>
      <c r="E1651" s="5" t="s">
        <v>59</v>
      </c>
      <c r="F1651" s="5" t="s">
        <v>2225</v>
      </c>
      <c r="G1651" s="5" t="str">
        <f aca="false">INDEX(Risk_Matrix!$B$2:$D$4,MATCH(E1651,Risk_Matrix!$A$2:$A$4,0),MATCH(F1651,Risk_Matrix!$B$1:$D$1,0))</f>
        <v>Low</v>
      </c>
      <c r="H1651" s="12" t="n">
        <v>46075</v>
      </c>
      <c r="I1651" s="5" t="s">
        <v>2256</v>
      </c>
      <c r="J1651" s="5" t="s">
        <v>2257</v>
      </c>
      <c r="K1651" s="5" t="s">
        <v>2266</v>
      </c>
      <c r="L1651" s="5" t="n">
        <f aca="false">IF(G1651="High",3,IF(G1651="Medium",2,1))</f>
        <v>1</v>
      </c>
    </row>
    <row r="1652" customFormat="false" ht="15" hidden="false" customHeight="true" outlineLevel="0" collapsed="false">
      <c r="A1652" s="5" t="s">
        <v>3928</v>
      </c>
      <c r="B1652" s="5" t="s">
        <v>1522</v>
      </c>
      <c r="C1652" s="5" t="s">
        <v>2239</v>
      </c>
      <c r="D1652" s="5" t="s">
        <v>2295</v>
      </c>
      <c r="E1652" s="5" t="s">
        <v>54</v>
      </c>
      <c r="F1652" s="5" t="s">
        <v>2225</v>
      </c>
      <c r="G1652" s="5" t="str">
        <f aca="false">INDEX(Risk_Matrix!$B$2:$D$4,MATCH(E1652,Risk_Matrix!$A$2:$A$4,0),MATCH(F1652,Risk_Matrix!$B$1:$D$1,0))</f>
        <v>High</v>
      </c>
      <c r="H1652" s="12" t="n">
        <v>46072</v>
      </c>
      <c r="I1652" s="5" t="s">
        <v>2250</v>
      </c>
      <c r="J1652" s="5" t="s">
        <v>2251</v>
      </c>
      <c r="K1652" s="5" t="s">
        <v>2252</v>
      </c>
      <c r="L1652" s="5" t="n">
        <f aca="false">IF(G1652="High",3,IF(G1652="Medium",2,1))</f>
        <v>3</v>
      </c>
    </row>
    <row r="1653" customFormat="false" ht="15" hidden="false" customHeight="true" outlineLevel="0" collapsed="false">
      <c r="A1653" s="5" t="s">
        <v>3929</v>
      </c>
      <c r="B1653" s="5" t="s">
        <v>1522</v>
      </c>
      <c r="C1653" s="5" t="s">
        <v>2245</v>
      </c>
      <c r="D1653" s="5" t="s">
        <v>2280</v>
      </c>
      <c r="E1653" s="5" t="s">
        <v>59</v>
      </c>
      <c r="F1653" s="5" t="s">
        <v>59</v>
      </c>
      <c r="G1653" s="5" t="str">
        <f aca="false">INDEX(Risk_Matrix!$B$2:$D$4,MATCH(E1653,Risk_Matrix!$A$2:$A$4,0),MATCH(F1653,Risk_Matrix!$B$1:$D$1,0))</f>
        <v>Low</v>
      </c>
      <c r="H1653" s="12" t="n">
        <v>46126</v>
      </c>
      <c r="I1653" s="5" t="s">
        <v>2256</v>
      </c>
      <c r="J1653" s="5" t="s">
        <v>2257</v>
      </c>
      <c r="K1653" s="5" t="s">
        <v>2252</v>
      </c>
      <c r="L1653" s="5" t="n">
        <f aca="false">IF(G1653="High",3,IF(G1653="Medium",2,1))</f>
        <v>1</v>
      </c>
    </row>
    <row r="1654" customFormat="false" ht="15" hidden="false" customHeight="true" outlineLevel="0" collapsed="false">
      <c r="A1654" s="5" t="s">
        <v>3930</v>
      </c>
      <c r="B1654" s="5" t="s">
        <v>1522</v>
      </c>
      <c r="C1654" s="5" t="s">
        <v>2248</v>
      </c>
      <c r="D1654" s="5" t="s">
        <v>2271</v>
      </c>
      <c r="E1654" s="5" t="s">
        <v>59</v>
      </c>
      <c r="F1654" s="5" t="s">
        <v>2225</v>
      </c>
      <c r="G1654" s="5" t="str">
        <f aca="false">INDEX(Risk_Matrix!$B$2:$D$4,MATCH(E1654,Risk_Matrix!$A$2:$A$4,0),MATCH(F1654,Risk_Matrix!$B$1:$D$1,0))</f>
        <v>Low</v>
      </c>
      <c r="H1654" s="12" t="n">
        <v>46186</v>
      </c>
      <c r="I1654" s="5" t="s">
        <v>2256</v>
      </c>
      <c r="J1654" s="5" t="s">
        <v>2257</v>
      </c>
      <c r="K1654" s="5" t="s">
        <v>2243</v>
      </c>
      <c r="L1654" s="5" t="n">
        <f aca="false">IF(G1654="High",3,IF(G1654="Medium",2,1))</f>
        <v>1</v>
      </c>
    </row>
    <row r="1655" customFormat="false" ht="15" hidden="false" customHeight="true" outlineLevel="0" collapsed="false">
      <c r="A1655" s="5" t="s">
        <v>3931</v>
      </c>
      <c r="B1655" s="5" t="s">
        <v>1522</v>
      </c>
      <c r="C1655" s="5" t="s">
        <v>2254</v>
      </c>
      <c r="D1655" s="5" t="s">
        <v>2255</v>
      </c>
      <c r="E1655" s="5" t="s">
        <v>59</v>
      </c>
      <c r="F1655" s="5" t="s">
        <v>59</v>
      </c>
      <c r="G1655" s="5" t="str">
        <f aca="false">INDEX(Risk_Matrix!$B$2:$D$4,MATCH(E1655,Risk_Matrix!$A$2:$A$4,0),MATCH(F1655,Risk_Matrix!$B$1:$D$1,0))</f>
        <v>Low</v>
      </c>
      <c r="H1655" s="12" t="n">
        <v>46075</v>
      </c>
      <c r="I1655" s="5" t="s">
        <v>2264</v>
      </c>
      <c r="J1655" s="5" t="s">
        <v>2265</v>
      </c>
      <c r="K1655" s="5" t="s">
        <v>2276</v>
      </c>
      <c r="L1655" s="5" t="n">
        <f aca="false">IF(G1655="High",3,IF(G1655="Medium",2,1))</f>
        <v>1</v>
      </c>
    </row>
    <row r="1656" customFormat="false" ht="15" hidden="false" customHeight="true" outlineLevel="0" collapsed="false">
      <c r="A1656" s="5" t="s">
        <v>3932</v>
      </c>
      <c r="B1656" s="5" t="s">
        <v>1522</v>
      </c>
      <c r="C1656" s="5" t="s">
        <v>2259</v>
      </c>
      <c r="D1656" s="5" t="s">
        <v>2274</v>
      </c>
      <c r="E1656" s="5" t="s">
        <v>59</v>
      </c>
      <c r="F1656" s="5" t="s">
        <v>59</v>
      </c>
      <c r="G1656" s="5" t="str">
        <f aca="false">INDEX(Risk_Matrix!$B$2:$D$4,MATCH(E1656,Risk_Matrix!$A$2:$A$4,0),MATCH(F1656,Risk_Matrix!$B$1:$D$1,0))</f>
        <v>Low</v>
      </c>
      <c r="H1656" s="12" t="n">
        <v>46071</v>
      </c>
      <c r="I1656" s="5" t="s">
        <v>2264</v>
      </c>
      <c r="J1656" s="5" t="s">
        <v>2265</v>
      </c>
      <c r="K1656" s="5" t="s">
        <v>2243</v>
      </c>
      <c r="L1656" s="5" t="n">
        <f aca="false">IF(G1656="High",3,IF(G1656="Medium",2,1))</f>
        <v>1</v>
      </c>
    </row>
    <row r="1657" customFormat="false" ht="15" hidden="false" customHeight="true" outlineLevel="0" collapsed="false">
      <c r="A1657" s="5" t="s">
        <v>3933</v>
      </c>
      <c r="B1657" s="5" t="s">
        <v>1522</v>
      </c>
      <c r="C1657" s="5" t="s">
        <v>2262</v>
      </c>
      <c r="D1657" s="5" t="s">
        <v>2287</v>
      </c>
      <c r="E1657" s="5" t="s">
        <v>2225</v>
      </c>
      <c r="F1657" s="5" t="s">
        <v>59</v>
      </c>
      <c r="G1657" s="5" t="str">
        <f aca="false">INDEX(Risk_Matrix!$B$2:$D$4,MATCH(E1657,Risk_Matrix!$A$2:$A$4,0),MATCH(F1657,Risk_Matrix!$B$1:$D$1,0))</f>
        <v>Low</v>
      </c>
      <c r="H1657" s="12" t="n">
        <v>46116</v>
      </c>
      <c r="I1657" s="5" t="s">
        <v>2250</v>
      </c>
      <c r="J1657" s="5" t="s">
        <v>2251</v>
      </c>
      <c r="K1657" s="5" t="s">
        <v>2276</v>
      </c>
      <c r="L1657" s="5" t="n">
        <f aca="false">IF(G1657="High",3,IF(G1657="Medium",2,1))</f>
        <v>1</v>
      </c>
    </row>
    <row r="1658" customFormat="false" ht="15" hidden="false" customHeight="true" outlineLevel="0" collapsed="false">
      <c r="A1658" s="5" t="s">
        <v>3934</v>
      </c>
      <c r="B1658" s="5" t="s">
        <v>1524</v>
      </c>
      <c r="C1658" s="5" t="s">
        <v>2239</v>
      </c>
      <c r="D1658" s="5" t="s">
        <v>2295</v>
      </c>
      <c r="E1658" s="5" t="s">
        <v>59</v>
      </c>
      <c r="F1658" s="5" t="s">
        <v>59</v>
      </c>
      <c r="G1658" s="5" t="str">
        <f aca="false">INDEX(Risk_Matrix!$B$2:$D$4,MATCH(E1658,Risk_Matrix!$A$2:$A$4,0),MATCH(F1658,Risk_Matrix!$B$1:$D$1,0))</f>
        <v>Low</v>
      </c>
      <c r="H1658" s="12" t="n">
        <v>46109</v>
      </c>
      <c r="I1658" s="5" t="s">
        <v>2256</v>
      </c>
      <c r="J1658" s="5" t="s">
        <v>2257</v>
      </c>
      <c r="K1658" s="5" t="s">
        <v>2266</v>
      </c>
      <c r="L1658" s="5" t="n">
        <f aca="false">IF(G1658="High",3,IF(G1658="Medium",2,1))</f>
        <v>1</v>
      </c>
    </row>
    <row r="1659" customFormat="false" ht="15" hidden="false" customHeight="true" outlineLevel="0" collapsed="false">
      <c r="A1659" s="5" t="s">
        <v>3935</v>
      </c>
      <c r="B1659" s="5" t="s">
        <v>1524</v>
      </c>
      <c r="C1659" s="5" t="s">
        <v>2245</v>
      </c>
      <c r="D1659" s="5" t="s">
        <v>2246</v>
      </c>
      <c r="E1659" s="5" t="s">
        <v>54</v>
      </c>
      <c r="F1659" s="5" t="s">
        <v>59</v>
      </c>
      <c r="G1659" s="5" t="str">
        <f aca="false">INDEX(Risk_Matrix!$B$2:$D$4,MATCH(E1659,Risk_Matrix!$A$2:$A$4,0),MATCH(F1659,Risk_Matrix!$B$1:$D$1,0))</f>
        <v>Medium</v>
      </c>
      <c r="H1659" s="12" t="n">
        <v>46169</v>
      </c>
      <c r="I1659" s="5" t="s">
        <v>2250</v>
      </c>
      <c r="J1659" s="5" t="s">
        <v>2251</v>
      </c>
      <c r="K1659" s="5" t="s">
        <v>2276</v>
      </c>
      <c r="L1659" s="5" t="n">
        <f aca="false">IF(G1659="High",3,IF(G1659="Medium",2,1))</f>
        <v>2</v>
      </c>
    </row>
    <row r="1660" customFormat="false" ht="15" hidden="false" customHeight="true" outlineLevel="0" collapsed="false">
      <c r="A1660" s="5" t="s">
        <v>3936</v>
      </c>
      <c r="B1660" s="5" t="s">
        <v>1524</v>
      </c>
      <c r="C1660" s="5" t="s">
        <v>2248</v>
      </c>
      <c r="D1660" s="5" t="s">
        <v>2306</v>
      </c>
      <c r="E1660" s="5" t="s">
        <v>2225</v>
      </c>
      <c r="F1660" s="5" t="s">
        <v>2225</v>
      </c>
      <c r="G1660" s="5" t="str">
        <f aca="false">INDEX(Risk_Matrix!$B$2:$D$4,MATCH(E1660,Risk_Matrix!$A$2:$A$4,0),MATCH(F1660,Risk_Matrix!$B$1:$D$1,0))</f>
        <v>Medium</v>
      </c>
      <c r="H1660" s="12" t="n">
        <v>46124</v>
      </c>
      <c r="I1660" s="5" t="s">
        <v>2256</v>
      </c>
      <c r="J1660" s="5" t="s">
        <v>2257</v>
      </c>
      <c r="K1660" s="5" t="s">
        <v>2243</v>
      </c>
      <c r="L1660" s="5" t="n">
        <f aca="false">IF(G1660="High",3,IF(G1660="Medium",2,1))</f>
        <v>2</v>
      </c>
    </row>
    <row r="1661" customFormat="false" ht="15" hidden="false" customHeight="true" outlineLevel="0" collapsed="false">
      <c r="A1661" s="5" t="s">
        <v>3937</v>
      </c>
      <c r="B1661" s="5" t="s">
        <v>1524</v>
      </c>
      <c r="C1661" s="5" t="s">
        <v>2254</v>
      </c>
      <c r="D1661" s="5" t="s">
        <v>2308</v>
      </c>
      <c r="E1661" s="5" t="s">
        <v>2225</v>
      </c>
      <c r="F1661" s="5" t="s">
        <v>59</v>
      </c>
      <c r="G1661" s="5" t="str">
        <f aca="false">INDEX(Risk_Matrix!$B$2:$D$4,MATCH(E1661,Risk_Matrix!$A$2:$A$4,0),MATCH(F1661,Risk_Matrix!$B$1:$D$1,0))</f>
        <v>Low</v>
      </c>
      <c r="H1661" s="12" t="n">
        <v>46166</v>
      </c>
      <c r="I1661" s="5" t="s">
        <v>2250</v>
      </c>
      <c r="J1661" s="5" t="s">
        <v>2251</v>
      </c>
      <c r="K1661" s="5" t="s">
        <v>2252</v>
      </c>
      <c r="L1661" s="5" t="n">
        <f aca="false">IF(G1661="High",3,IF(G1661="Medium",2,1))</f>
        <v>1</v>
      </c>
    </row>
    <row r="1662" customFormat="false" ht="15" hidden="false" customHeight="true" outlineLevel="0" collapsed="false">
      <c r="A1662" s="5" t="s">
        <v>3938</v>
      </c>
      <c r="B1662" s="5" t="s">
        <v>1524</v>
      </c>
      <c r="C1662" s="5" t="s">
        <v>2259</v>
      </c>
      <c r="D1662" s="5" t="s">
        <v>2260</v>
      </c>
      <c r="E1662" s="5" t="s">
        <v>2225</v>
      </c>
      <c r="F1662" s="5" t="s">
        <v>2225</v>
      </c>
      <c r="G1662" s="5" t="str">
        <f aca="false">INDEX(Risk_Matrix!$B$2:$D$4,MATCH(E1662,Risk_Matrix!$A$2:$A$4,0),MATCH(F1662,Risk_Matrix!$B$1:$D$1,0))</f>
        <v>Medium</v>
      </c>
      <c r="H1662" s="12" t="n">
        <v>46114</v>
      </c>
      <c r="I1662" s="5" t="s">
        <v>2264</v>
      </c>
      <c r="J1662" s="5" t="s">
        <v>2265</v>
      </c>
      <c r="K1662" s="5" t="s">
        <v>2243</v>
      </c>
      <c r="L1662" s="5" t="n">
        <f aca="false">IF(G1662="High",3,IF(G1662="Medium",2,1))</f>
        <v>2</v>
      </c>
    </row>
    <row r="1663" customFormat="false" ht="15" hidden="false" customHeight="true" outlineLevel="0" collapsed="false">
      <c r="A1663" s="5" t="s">
        <v>3939</v>
      </c>
      <c r="B1663" s="5" t="s">
        <v>1524</v>
      </c>
      <c r="C1663" s="5" t="s">
        <v>2262</v>
      </c>
      <c r="D1663" s="5" t="s">
        <v>2263</v>
      </c>
      <c r="E1663" s="5" t="s">
        <v>59</v>
      </c>
      <c r="F1663" s="5" t="s">
        <v>2225</v>
      </c>
      <c r="G1663" s="5" t="str">
        <f aca="false">INDEX(Risk_Matrix!$B$2:$D$4,MATCH(E1663,Risk_Matrix!$A$2:$A$4,0),MATCH(F1663,Risk_Matrix!$B$1:$D$1,0))</f>
        <v>Low</v>
      </c>
      <c r="H1663" s="12" t="n">
        <v>46094</v>
      </c>
      <c r="I1663" s="5" t="s">
        <v>2250</v>
      </c>
      <c r="J1663" s="5" t="s">
        <v>2251</v>
      </c>
      <c r="K1663" s="5" t="s">
        <v>2283</v>
      </c>
      <c r="L1663" s="5" t="n">
        <f aca="false">IF(G1663="High",3,IF(G1663="Medium",2,1))</f>
        <v>1</v>
      </c>
    </row>
    <row r="1664" customFormat="false" ht="15" hidden="false" customHeight="true" outlineLevel="0" collapsed="false">
      <c r="A1664" s="5" t="s">
        <v>3940</v>
      </c>
      <c r="B1664" s="5" t="s">
        <v>1526</v>
      </c>
      <c r="C1664" s="5" t="s">
        <v>2239</v>
      </c>
      <c r="D1664" s="5" t="s">
        <v>2240</v>
      </c>
      <c r="E1664" s="5" t="s">
        <v>54</v>
      </c>
      <c r="F1664" s="5" t="s">
        <v>59</v>
      </c>
      <c r="G1664" s="5" t="str">
        <f aca="false">INDEX(Risk_Matrix!$B$2:$D$4,MATCH(E1664,Risk_Matrix!$A$2:$A$4,0),MATCH(F1664,Risk_Matrix!$B$1:$D$1,0))</f>
        <v>Medium</v>
      </c>
      <c r="H1664" s="12" t="n">
        <v>46154</v>
      </c>
      <c r="I1664" s="5" t="s">
        <v>2264</v>
      </c>
      <c r="J1664" s="5" t="s">
        <v>2265</v>
      </c>
      <c r="K1664" s="5" t="s">
        <v>2243</v>
      </c>
      <c r="L1664" s="5" t="n">
        <f aca="false">IF(G1664="High",3,IF(G1664="Medium",2,1))</f>
        <v>2</v>
      </c>
    </row>
    <row r="1665" customFormat="false" ht="15" hidden="false" customHeight="true" outlineLevel="0" collapsed="false">
      <c r="A1665" s="5" t="s">
        <v>3941</v>
      </c>
      <c r="B1665" s="5" t="s">
        <v>1526</v>
      </c>
      <c r="C1665" s="5" t="s">
        <v>2245</v>
      </c>
      <c r="D1665" s="5" t="s">
        <v>2269</v>
      </c>
      <c r="E1665" s="5" t="s">
        <v>59</v>
      </c>
      <c r="F1665" s="5" t="s">
        <v>2225</v>
      </c>
      <c r="G1665" s="5" t="str">
        <f aca="false">INDEX(Risk_Matrix!$B$2:$D$4,MATCH(E1665,Risk_Matrix!$A$2:$A$4,0),MATCH(F1665,Risk_Matrix!$B$1:$D$1,0))</f>
        <v>Low</v>
      </c>
      <c r="H1665" s="12" t="n">
        <v>46081</v>
      </c>
      <c r="I1665" s="5" t="s">
        <v>2256</v>
      </c>
      <c r="J1665" s="5" t="s">
        <v>2257</v>
      </c>
      <c r="K1665" s="5" t="s">
        <v>2243</v>
      </c>
      <c r="L1665" s="5" t="n">
        <f aca="false">IF(G1665="High",3,IF(G1665="Medium",2,1))</f>
        <v>1</v>
      </c>
    </row>
    <row r="1666" customFormat="false" ht="15" hidden="false" customHeight="true" outlineLevel="0" collapsed="false">
      <c r="A1666" s="5" t="s">
        <v>3942</v>
      </c>
      <c r="B1666" s="5" t="s">
        <v>1526</v>
      </c>
      <c r="C1666" s="5" t="s">
        <v>2248</v>
      </c>
      <c r="D1666" s="5" t="s">
        <v>2249</v>
      </c>
      <c r="E1666" s="5" t="s">
        <v>59</v>
      </c>
      <c r="F1666" s="5" t="s">
        <v>59</v>
      </c>
      <c r="G1666" s="5" t="str">
        <f aca="false">INDEX(Risk_Matrix!$B$2:$D$4,MATCH(E1666,Risk_Matrix!$A$2:$A$4,0),MATCH(F1666,Risk_Matrix!$B$1:$D$1,0))</f>
        <v>Low</v>
      </c>
      <c r="H1666" s="12" t="n">
        <v>46204</v>
      </c>
      <c r="I1666" s="5" t="s">
        <v>2256</v>
      </c>
      <c r="J1666" s="5" t="s">
        <v>2257</v>
      </c>
      <c r="K1666" s="5" t="s">
        <v>2266</v>
      </c>
      <c r="L1666" s="5" t="n">
        <f aca="false">IF(G1666="High",3,IF(G1666="Medium",2,1))</f>
        <v>1</v>
      </c>
    </row>
    <row r="1667" customFormat="false" ht="15" hidden="false" customHeight="true" outlineLevel="0" collapsed="false">
      <c r="A1667" s="5" t="s">
        <v>3943</v>
      </c>
      <c r="B1667" s="5" t="s">
        <v>1526</v>
      </c>
      <c r="C1667" s="5" t="s">
        <v>2254</v>
      </c>
      <c r="D1667" s="5" t="s">
        <v>2308</v>
      </c>
      <c r="E1667" s="5" t="s">
        <v>2225</v>
      </c>
      <c r="F1667" s="5" t="s">
        <v>59</v>
      </c>
      <c r="G1667" s="5" t="str">
        <f aca="false">INDEX(Risk_Matrix!$B$2:$D$4,MATCH(E1667,Risk_Matrix!$A$2:$A$4,0),MATCH(F1667,Risk_Matrix!$B$1:$D$1,0))</f>
        <v>Low</v>
      </c>
      <c r="H1667" s="12" t="n">
        <v>46200</v>
      </c>
      <c r="I1667" s="5" t="s">
        <v>2264</v>
      </c>
      <c r="J1667" s="5" t="s">
        <v>2265</v>
      </c>
      <c r="K1667" s="5" t="s">
        <v>2243</v>
      </c>
      <c r="L1667" s="5" t="n">
        <f aca="false">IF(G1667="High",3,IF(G1667="Medium",2,1))</f>
        <v>1</v>
      </c>
    </row>
    <row r="1668" customFormat="false" ht="15" hidden="false" customHeight="true" outlineLevel="0" collapsed="false">
      <c r="A1668" s="5" t="s">
        <v>3944</v>
      </c>
      <c r="B1668" s="5" t="s">
        <v>1526</v>
      </c>
      <c r="C1668" s="5" t="s">
        <v>2259</v>
      </c>
      <c r="D1668" s="5" t="s">
        <v>2285</v>
      </c>
      <c r="E1668" s="5" t="s">
        <v>2225</v>
      </c>
      <c r="F1668" s="5" t="s">
        <v>54</v>
      </c>
      <c r="G1668" s="5" t="str">
        <f aca="false">INDEX(Risk_Matrix!$B$2:$D$4,MATCH(E1668,Risk_Matrix!$A$2:$A$4,0),MATCH(F1668,Risk_Matrix!$B$1:$D$1,0))</f>
        <v>High</v>
      </c>
      <c r="H1668" s="12" t="n">
        <v>46222</v>
      </c>
      <c r="I1668" s="5" t="s">
        <v>2256</v>
      </c>
      <c r="J1668" s="5" t="s">
        <v>2257</v>
      </c>
      <c r="K1668" s="5" t="s">
        <v>2266</v>
      </c>
      <c r="L1668" s="5" t="n">
        <f aca="false">IF(G1668="High",3,IF(G1668="Medium",2,1))</f>
        <v>3</v>
      </c>
    </row>
    <row r="1669" customFormat="false" ht="15" hidden="false" customHeight="true" outlineLevel="0" collapsed="false">
      <c r="A1669" s="5" t="s">
        <v>3945</v>
      </c>
      <c r="B1669" s="5" t="s">
        <v>1526</v>
      </c>
      <c r="C1669" s="5" t="s">
        <v>2262</v>
      </c>
      <c r="D1669" s="5" t="s">
        <v>2287</v>
      </c>
      <c r="E1669" s="5" t="s">
        <v>59</v>
      </c>
      <c r="F1669" s="5" t="s">
        <v>59</v>
      </c>
      <c r="G1669" s="5" t="str">
        <f aca="false">INDEX(Risk_Matrix!$B$2:$D$4,MATCH(E1669,Risk_Matrix!$A$2:$A$4,0),MATCH(F1669,Risk_Matrix!$B$1:$D$1,0))</f>
        <v>Low</v>
      </c>
      <c r="H1669" s="12" t="n">
        <v>46119</v>
      </c>
      <c r="I1669" s="5" t="s">
        <v>2256</v>
      </c>
      <c r="J1669" s="5" t="s">
        <v>2257</v>
      </c>
      <c r="K1669" s="5" t="s">
        <v>2266</v>
      </c>
      <c r="L1669" s="5" t="n">
        <f aca="false">IF(G1669="High",3,IF(G1669="Medium",2,1))</f>
        <v>1</v>
      </c>
    </row>
    <row r="1670" customFormat="false" ht="15" hidden="false" customHeight="true" outlineLevel="0" collapsed="false">
      <c r="A1670" s="5" t="s">
        <v>3946</v>
      </c>
      <c r="B1670" s="5" t="s">
        <v>1528</v>
      </c>
      <c r="C1670" s="5" t="s">
        <v>2239</v>
      </c>
      <c r="D1670" s="5" t="s">
        <v>2295</v>
      </c>
      <c r="E1670" s="5" t="s">
        <v>59</v>
      </c>
      <c r="F1670" s="5" t="s">
        <v>2225</v>
      </c>
      <c r="G1670" s="5" t="str">
        <f aca="false">INDEX(Risk_Matrix!$B$2:$D$4,MATCH(E1670,Risk_Matrix!$A$2:$A$4,0),MATCH(F1670,Risk_Matrix!$B$1:$D$1,0))</f>
        <v>Low</v>
      </c>
      <c r="H1670" s="12" t="n">
        <v>46151</v>
      </c>
      <c r="I1670" s="5" t="s">
        <v>2264</v>
      </c>
      <c r="J1670" s="5" t="s">
        <v>2265</v>
      </c>
      <c r="K1670" s="5" t="s">
        <v>2283</v>
      </c>
      <c r="L1670" s="5" t="n">
        <f aca="false">IF(G1670="High",3,IF(G1670="Medium",2,1))</f>
        <v>1</v>
      </c>
    </row>
    <row r="1671" customFormat="false" ht="15" hidden="false" customHeight="true" outlineLevel="0" collapsed="false">
      <c r="A1671" s="5" t="s">
        <v>3947</v>
      </c>
      <c r="B1671" s="5" t="s">
        <v>1528</v>
      </c>
      <c r="C1671" s="5" t="s">
        <v>2245</v>
      </c>
      <c r="D1671" s="5" t="s">
        <v>2269</v>
      </c>
      <c r="E1671" s="5" t="s">
        <v>54</v>
      </c>
      <c r="F1671" s="5" t="s">
        <v>54</v>
      </c>
      <c r="G1671" s="5" t="str">
        <f aca="false">INDEX(Risk_Matrix!$B$2:$D$4,MATCH(E1671,Risk_Matrix!$A$2:$A$4,0),MATCH(F1671,Risk_Matrix!$B$1:$D$1,0))</f>
        <v>High</v>
      </c>
      <c r="H1671" s="12" t="n">
        <v>46096</v>
      </c>
      <c r="I1671" s="5" t="s">
        <v>2256</v>
      </c>
      <c r="J1671" s="5" t="s">
        <v>2257</v>
      </c>
      <c r="K1671" s="5" t="s">
        <v>2283</v>
      </c>
      <c r="L1671" s="5" t="n">
        <f aca="false">IF(G1671="High",3,IF(G1671="Medium",2,1))</f>
        <v>3</v>
      </c>
    </row>
    <row r="1672" customFormat="false" ht="15" hidden="false" customHeight="true" outlineLevel="0" collapsed="false">
      <c r="A1672" s="5" t="s">
        <v>3948</v>
      </c>
      <c r="B1672" s="5" t="s">
        <v>1528</v>
      </c>
      <c r="C1672" s="5" t="s">
        <v>2248</v>
      </c>
      <c r="D1672" s="5" t="s">
        <v>2249</v>
      </c>
      <c r="E1672" s="5" t="s">
        <v>2225</v>
      </c>
      <c r="F1672" s="5" t="s">
        <v>59</v>
      </c>
      <c r="G1672" s="5" t="str">
        <f aca="false">INDEX(Risk_Matrix!$B$2:$D$4,MATCH(E1672,Risk_Matrix!$A$2:$A$4,0),MATCH(F1672,Risk_Matrix!$B$1:$D$1,0))</f>
        <v>Low</v>
      </c>
      <c r="H1672" s="12" t="n">
        <v>46064</v>
      </c>
      <c r="I1672" s="5" t="s">
        <v>2256</v>
      </c>
      <c r="J1672" s="5" t="s">
        <v>2257</v>
      </c>
      <c r="K1672" s="5" t="s">
        <v>2283</v>
      </c>
      <c r="L1672" s="5" t="n">
        <f aca="false">IF(G1672="High",3,IF(G1672="Medium",2,1))</f>
        <v>1</v>
      </c>
    </row>
    <row r="1673" customFormat="false" ht="15" hidden="false" customHeight="true" outlineLevel="0" collapsed="false">
      <c r="A1673" s="5" t="s">
        <v>3949</v>
      </c>
      <c r="B1673" s="5" t="s">
        <v>1528</v>
      </c>
      <c r="C1673" s="5" t="s">
        <v>2254</v>
      </c>
      <c r="D1673" s="5" t="s">
        <v>2299</v>
      </c>
      <c r="E1673" s="5" t="s">
        <v>2225</v>
      </c>
      <c r="F1673" s="5" t="s">
        <v>2225</v>
      </c>
      <c r="G1673" s="5" t="str">
        <f aca="false">INDEX(Risk_Matrix!$B$2:$D$4,MATCH(E1673,Risk_Matrix!$A$2:$A$4,0),MATCH(F1673,Risk_Matrix!$B$1:$D$1,0))</f>
        <v>Medium</v>
      </c>
      <c r="H1673" s="12" t="n">
        <v>46176</v>
      </c>
      <c r="I1673" s="5" t="s">
        <v>2264</v>
      </c>
      <c r="J1673" s="5" t="s">
        <v>2265</v>
      </c>
      <c r="K1673" s="5" t="s">
        <v>2266</v>
      </c>
      <c r="L1673" s="5" t="n">
        <f aca="false">IF(G1673="High",3,IF(G1673="Medium",2,1))</f>
        <v>2</v>
      </c>
    </row>
    <row r="1674" customFormat="false" ht="15" hidden="false" customHeight="true" outlineLevel="0" collapsed="false">
      <c r="A1674" s="5" t="s">
        <v>3950</v>
      </c>
      <c r="B1674" s="5" t="s">
        <v>1528</v>
      </c>
      <c r="C1674" s="5" t="s">
        <v>2259</v>
      </c>
      <c r="D1674" s="5" t="s">
        <v>2260</v>
      </c>
      <c r="E1674" s="5" t="s">
        <v>59</v>
      </c>
      <c r="F1674" s="5" t="s">
        <v>59</v>
      </c>
      <c r="G1674" s="5" t="str">
        <f aca="false">INDEX(Risk_Matrix!$B$2:$D$4,MATCH(E1674,Risk_Matrix!$A$2:$A$4,0),MATCH(F1674,Risk_Matrix!$B$1:$D$1,0))</f>
        <v>Low</v>
      </c>
      <c r="H1674" s="12" t="n">
        <v>46162</v>
      </c>
      <c r="I1674" s="5" t="s">
        <v>2264</v>
      </c>
      <c r="J1674" s="5" t="s">
        <v>2265</v>
      </c>
      <c r="K1674" s="5" t="s">
        <v>2243</v>
      </c>
      <c r="L1674" s="5" t="n">
        <f aca="false">IF(G1674="High",3,IF(G1674="Medium",2,1))</f>
        <v>1</v>
      </c>
    </row>
    <row r="1675" customFormat="false" ht="15" hidden="false" customHeight="true" outlineLevel="0" collapsed="false">
      <c r="A1675" s="5" t="s">
        <v>3951</v>
      </c>
      <c r="B1675" s="5" t="s">
        <v>1528</v>
      </c>
      <c r="C1675" s="5" t="s">
        <v>2262</v>
      </c>
      <c r="D1675" s="5" t="s">
        <v>2263</v>
      </c>
      <c r="E1675" s="5" t="s">
        <v>54</v>
      </c>
      <c r="F1675" s="5" t="s">
        <v>59</v>
      </c>
      <c r="G1675" s="5" t="str">
        <f aca="false">INDEX(Risk_Matrix!$B$2:$D$4,MATCH(E1675,Risk_Matrix!$A$2:$A$4,0),MATCH(F1675,Risk_Matrix!$B$1:$D$1,0))</f>
        <v>Medium</v>
      </c>
      <c r="H1675" s="12" t="n">
        <v>46173</v>
      </c>
      <c r="I1675" s="5" t="s">
        <v>2250</v>
      </c>
      <c r="J1675" s="5" t="s">
        <v>2251</v>
      </c>
      <c r="K1675" s="5" t="s">
        <v>2276</v>
      </c>
      <c r="L1675" s="5" t="n">
        <f aca="false">IF(G1675="High",3,IF(G1675="Medium",2,1))</f>
        <v>2</v>
      </c>
    </row>
    <row r="1676" customFormat="false" ht="15" hidden="false" customHeight="true" outlineLevel="0" collapsed="false">
      <c r="A1676" s="5" t="s">
        <v>3952</v>
      </c>
      <c r="B1676" s="5" t="s">
        <v>1530</v>
      </c>
      <c r="C1676" s="5" t="s">
        <v>2239</v>
      </c>
      <c r="D1676" s="5" t="s">
        <v>2303</v>
      </c>
      <c r="E1676" s="5" t="s">
        <v>2225</v>
      </c>
      <c r="F1676" s="5" t="s">
        <v>2225</v>
      </c>
      <c r="G1676" s="5" t="str">
        <f aca="false">INDEX(Risk_Matrix!$B$2:$D$4,MATCH(E1676,Risk_Matrix!$A$2:$A$4,0),MATCH(F1676,Risk_Matrix!$B$1:$D$1,0))</f>
        <v>Medium</v>
      </c>
      <c r="H1676" s="12" t="n">
        <v>46175</v>
      </c>
      <c r="I1676" s="5" t="s">
        <v>2256</v>
      </c>
      <c r="J1676" s="5" t="s">
        <v>2257</v>
      </c>
      <c r="K1676" s="5" t="s">
        <v>2243</v>
      </c>
      <c r="L1676" s="5" t="n">
        <f aca="false">IF(G1676="High",3,IF(G1676="Medium",2,1))</f>
        <v>2</v>
      </c>
    </row>
    <row r="1677" customFormat="false" ht="15" hidden="false" customHeight="true" outlineLevel="0" collapsed="false">
      <c r="A1677" s="5" t="s">
        <v>3953</v>
      </c>
      <c r="B1677" s="5" t="s">
        <v>1530</v>
      </c>
      <c r="C1677" s="5" t="s">
        <v>2245</v>
      </c>
      <c r="D1677" s="5" t="s">
        <v>2320</v>
      </c>
      <c r="E1677" s="5" t="s">
        <v>54</v>
      </c>
      <c r="F1677" s="5" t="s">
        <v>2225</v>
      </c>
      <c r="G1677" s="5" t="str">
        <f aca="false">INDEX(Risk_Matrix!$B$2:$D$4,MATCH(E1677,Risk_Matrix!$A$2:$A$4,0),MATCH(F1677,Risk_Matrix!$B$1:$D$1,0))</f>
        <v>High</v>
      </c>
      <c r="H1677" s="12" t="n">
        <v>46133</v>
      </c>
      <c r="I1677" s="5" t="s">
        <v>2250</v>
      </c>
      <c r="J1677" s="5" t="s">
        <v>2251</v>
      </c>
      <c r="K1677" s="5" t="s">
        <v>2243</v>
      </c>
      <c r="L1677" s="5" t="n">
        <f aca="false">IF(G1677="High",3,IF(G1677="Medium",2,1))</f>
        <v>3</v>
      </c>
    </row>
    <row r="1678" customFormat="false" ht="15" hidden="false" customHeight="true" outlineLevel="0" collapsed="false">
      <c r="A1678" s="5" t="s">
        <v>3954</v>
      </c>
      <c r="B1678" s="5" t="s">
        <v>1530</v>
      </c>
      <c r="C1678" s="5" t="s">
        <v>2248</v>
      </c>
      <c r="D1678" s="5" t="s">
        <v>2271</v>
      </c>
      <c r="E1678" s="5" t="s">
        <v>2225</v>
      </c>
      <c r="F1678" s="5" t="s">
        <v>59</v>
      </c>
      <c r="G1678" s="5" t="str">
        <f aca="false">INDEX(Risk_Matrix!$B$2:$D$4,MATCH(E1678,Risk_Matrix!$A$2:$A$4,0),MATCH(F1678,Risk_Matrix!$B$1:$D$1,0))</f>
        <v>Low</v>
      </c>
      <c r="H1678" s="12" t="n">
        <v>46079</v>
      </c>
      <c r="I1678" s="5" t="s">
        <v>2256</v>
      </c>
      <c r="J1678" s="5" t="s">
        <v>2257</v>
      </c>
      <c r="K1678" s="5" t="s">
        <v>2243</v>
      </c>
      <c r="L1678" s="5" t="n">
        <f aca="false">IF(G1678="High",3,IF(G1678="Medium",2,1))</f>
        <v>1</v>
      </c>
    </row>
    <row r="1679" customFormat="false" ht="15" hidden="false" customHeight="true" outlineLevel="0" collapsed="false">
      <c r="A1679" s="5" t="s">
        <v>3955</v>
      </c>
      <c r="B1679" s="5" t="s">
        <v>1530</v>
      </c>
      <c r="C1679" s="5" t="s">
        <v>2254</v>
      </c>
      <c r="D1679" s="5" t="s">
        <v>2299</v>
      </c>
      <c r="E1679" s="5" t="s">
        <v>59</v>
      </c>
      <c r="F1679" s="5" t="s">
        <v>59</v>
      </c>
      <c r="G1679" s="5" t="str">
        <f aca="false">INDEX(Risk_Matrix!$B$2:$D$4,MATCH(E1679,Risk_Matrix!$A$2:$A$4,0),MATCH(F1679,Risk_Matrix!$B$1:$D$1,0))</f>
        <v>Low</v>
      </c>
      <c r="H1679" s="12" t="n">
        <v>46127</v>
      </c>
      <c r="I1679" s="5" t="s">
        <v>2264</v>
      </c>
      <c r="J1679" s="5" t="s">
        <v>2265</v>
      </c>
      <c r="K1679" s="5" t="s">
        <v>2243</v>
      </c>
      <c r="L1679" s="5" t="n">
        <f aca="false">IF(G1679="High",3,IF(G1679="Medium",2,1))</f>
        <v>1</v>
      </c>
    </row>
    <row r="1680" customFormat="false" ht="15" hidden="false" customHeight="true" outlineLevel="0" collapsed="false">
      <c r="A1680" s="5" t="s">
        <v>3956</v>
      </c>
      <c r="B1680" s="5" t="s">
        <v>1530</v>
      </c>
      <c r="C1680" s="5" t="s">
        <v>2259</v>
      </c>
      <c r="D1680" s="5" t="s">
        <v>2274</v>
      </c>
      <c r="E1680" s="5" t="s">
        <v>59</v>
      </c>
      <c r="F1680" s="5" t="s">
        <v>59</v>
      </c>
      <c r="G1680" s="5" t="str">
        <f aca="false">INDEX(Risk_Matrix!$B$2:$D$4,MATCH(E1680,Risk_Matrix!$A$2:$A$4,0),MATCH(F1680,Risk_Matrix!$B$1:$D$1,0))</f>
        <v>Low</v>
      </c>
      <c r="H1680" s="12" t="n">
        <v>46144</v>
      </c>
      <c r="I1680" s="5" t="s">
        <v>2256</v>
      </c>
      <c r="J1680" s="5" t="s">
        <v>2257</v>
      </c>
      <c r="K1680" s="5" t="s">
        <v>2276</v>
      </c>
      <c r="L1680" s="5" t="n">
        <f aca="false">IF(G1680="High",3,IF(G1680="Medium",2,1))</f>
        <v>1</v>
      </c>
    </row>
    <row r="1681" customFormat="false" ht="15" hidden="false" customHeight="true" outlineLevel="0" collapsed="false">
      <c r="A1681" s="5" t="s">
        <v>3957</v>
      </c>
      <c r="B1681" s="5" t="s">
        <v>1530</v>
      </c>
      <c r="C1681" s="5" t="s">
        <v>2262</v>
      </c>
      <c r="D1681" s="5" t="s">
        <v>2311</v>
      </c>
      <c r="E1681" s="5" t="s">
        <v>59</v>
      </c>
      <c r="F1681" s="5" t="s">
        <v>54</v>
      </c>
      <c r="G1681" s="5" t="str">
        <f aca="false">INDEX(Risk_Matrix!$B$2:$D$4,MATCH(E1681,Risk_Matrix!$A$2:$A$4,0),MATCH(F1681,Risk_Matrix!$B$1:$D$1,0))</f>
        <v>Medium</v>
      </c>
      <c r="H1681" s="12" t="n">
        <v>46137</v>
      </c>
      <c r="I1681" s="5" t="s">
        <v>2250</v>
      </c>
      <c r="J1681" s="5" t="s">
        <v>2251</v>
      </c>
      <c r="K1681" s="5" t="s">
        <v>2283</v>
      </c>
      <c r="L1681" s="5" t="n">
        <f aca="false">IF(G1681="High",3,IF(G1681="Medium",2,1))</f>
        <v>2</v>
      </c>
    </row>
    <row r="1682" customFormat="false" ht="15" hidden="false" customHeight="true" outlineLevel="0" collapsed="false">
      <c r="A1682" s="5" t="s">
        <v>3958</v>
      </c>
      <c r="B1682" s="5" t="s">
        <v>1532</v>
      </c>
      <c r="C1682" s="5" t="s">
        <v>2239</v>
      </c>
      <c r="D1682" s="5" t="s">
        <v>2303</v>
      </c>
      <c r="E1682" s="5" t="s">
        <v>59</v>
      </c>
      <c r="F1682" s="5" t="s">
        <v>2225</v>
      </c>
      <c r="G1682" s="5" t="str">
        <f aca="false">INDEX(Risk_Matrix!$B$2:$D$4,MATCH(E1682,Risk_Matrix!$A$2:$A$4,0),MATCH(F1682,Risk_Matrix!$B$1:$D$1,0))</f>
        <v>Low</v>
      </c>
      <c r="H1682" s="12" t="n">
        <v>46082</v>
      </c>
      <c r="I1682" s="5" t="s">
        <v>2256</v>
      </c>
      <c r="J1682" s="5" t="s">
        <v>2257</v>
      </c>
      <c r="K1682" s="5" t="s">
        <v>2266</v>
      </c>
      <c r="L1682" s="5" t="n">
        <f aca="false">IF(G1682="High",3,IF(G1682="Medium",2,1))</f>
        <v>1</v>
      </c>
    </row>
    <row r="1683" customFormat="false" ht="15" hidden="false" customHeight="true" outlineLevel="0" collapsed="false">
      <c r="A1683" s="5" t="s">
        <v>3959</v>
      </c>
      <c r="B1683" s="5" t="s">
        <v>1532</v>
      </c>
      <c r="C1683" s="5" t="s">
        <v>2245</v>
      </c>
      <c r="D1683" s="5" t="s">
        <v>2269</v>
      </c>
      <c r="E1683" s="5" t="s">
        <v>59</v>
      </c>
      <c r="F1683" s="5" t="s">
        <v>59</v>
      </c>
      <c r="G1683" s="5" t="str">
        <f aca="false">INDEX(Risk_Matrix!$B$2:$D$4,MATCH(E1683,Risk_Matrix!$A$2:$A$4,0),MATCH(F1683,Risk_Matrix!$B$1:$D$1,0))</f>
        <v>Low</v>
      </c>
      <c r="H1683" s="12" t="n">
        <v>46217</v>
      </c>
      <c r="I1683" s="5" t="s">
        <v>2256</v>
      </c>
      <c r="J1683" s="5" t="s">
        <v>2257</v>
      </c>
      <c r="K1683" s="5" t="s">
        <v>2276</v>
      </c>
      <c r="L1683" s="5" t="n">
        <f aca="false">IF(G1683="High",3,IF(G1683="Medium",2,1))</f>
        <v>1</v>
      </c>
    </row>
    <row r="1684" customFormat="false" ht="15" hidden="false" customHeight="true" outlineLevel="0" collapsed="false">
      <c r="A1684" s="5" t="s">
        <v>3960</v>
      </c>
      <c r="B1684" s="5" t="s">
        <v>1532</v>
      </c>
      <c r="C1684" s="5" t="s">
        <v>2248</v>
      </c>
      <c r="D1684" s="5" t="s">
        <v>2306</v>
      </c>
      <c r="E1684" s="5" t="s">
        <v>59</v>
      </c>
      <c r="F1684" s="5" t="s">
        <v>2225</v>
      </c>
      <c r="G1684" s="5" t="str">
        <f aca="false">INDEX(Risk_Matrix!$B$2:$D$4,MATCH(E1684,Risk_Matrix!$A$2:$A$4,0),MATCH(F1684,Risk_Matrix!$B$1:$D$1,0))</f>
        <v>Low</v>
      </c>
      <c r="H1684" s="12" t="n">
        <v>46129</v>
      </c>
      <c r="I1684" s="5" t="s">
        <v>2256</v>
      </c>
      <c r="J1684" s="5" t="s">
        <v>2257</v>
      </c>
      <c r="K1684" s="5" t="s">
        <v>2243</v>
      </c>
      <c r="L1684" s="5" t="n">
        <f aca="false">IF(G1684="High",3,IF(G1684="Medium",2,1))</f>
        <v>1</v>
      </c>
    </row>
    <row r="1685" customFormat="false" ht="15" hidden="false" customHeight="true" outlineLevel="0" collapsed="false">
      <c r="A1685" s="5" t="s">
        <v>3961</v>
      </c>
      <c r="B1685" s="5" t="s">
        <v>1532</v>
      </c>
      <c r="C1685" s="5" t="s">
        <v>2254</v>
      </c>
      <c r="D1685" s="5" t="s">
        <v>2255</v>
      </c>
      <c r="E1685" s="5" t="s">
        <v>54</v>
      </c>
      <c r="F1685" s="5" t="s">
        <v>2225</v>
      </c>
      <c r="G1685" s="5" t="str">
        <f aca="false">INDEX(Risk_Matrix!$B$2:$D$4,MATCH(E1685,Risk_Matrix!$A$2:$A$4,0),MATCH(F1685,Risk_Matrix!$B$1:$D$1,0))</f>
        <v>High</v>
      </c>
      <c r="H1685" s="12" t="n">
        <v>46200</v>
      </c>
      <c r="I1685" s="5" t="s">
        <v>2250</v>
      </c>
      <c r="J1685" s="5" t="s">
        <v>2251</v>
      </c>
      <c r="K1685" s="5" t="s">
        <v>2276</v>
      </c>
      <c r="L1685" s="5" t="n">
        <f aca="false">IF(G1685="High",3,IF(G1685="Medium",2,1))</f>
        <v>3</v>
      </c>
    </row>
    <row r="1686" customFormat="false" ht="15" hidden="false" customHeight="true" outlineLevel="0" collapsed="false">
      <c r="A1686" s="5" t="s">
        <v>3962</v>
      </c>
      <c r="B1686" s="5" t="s">
        <v>1532</v>
      </c>
      <c r="C1686" s="5" t="s">
        <v>2259</v>
      </c>
      <c r="D1686" s="5" t="s">
        <v>2260</v>
      </c>
      <c r="E1686" s="5" t="s">
        <v>59</v>
      </c>
      <c r="F1686" s="5" t="s">
        <v>59</v>
      </c>
      <c r="G1686" s="5" t="str">
        <f aca="false">INDEX(Risk_Matrix!$B$2:$D$4,MATCH(E1686,Risk_Matrix!$A$2:$A$4,0),MATCH(F1686,Risk_Matrix!$B$1:$D$1,0))</f>
        <v>Low</v>
      </c>
      <c r="H1686" s="12" t="n">
        <v>46145</v>
      </c>
      <c r="I1686" s="5" t="s">
        <v>2256</v>
      </c>
      <c r="J1686" s="5" t="s">
        <v>2257</v>
      </c>
      <c r="K1686" s="5" t="s">
        <v>2252</v>
      </c>
      <c r="L1686" s="5" t="n">
        <f aca="false">IF(G1686="High",3,IF(G1686="Medium",2,1))</f>
        <v>1</v>
      </c>
    </row>
    <row r="1687" customFormat="false" ht="15" hidden="false" customHeight="true" outlineLevel="0" collapsed="false">
      <c r="A1687" s="5" t="s">
        <v>3963</v>
      </c>
      <c r="B1687" s="5" t="s">
        <v>1532</v>
      </c>
      <c r="C1687" s="5" t="s">
        <v>2262</v>
      </c>
      <c r="D1687" s="5" t="s">
        <v>2263</v>
      </c>
      <c r="E1687" s="5" t="s">
        <v>2225</v>
      </c>
      <c r="F1687" s="5" t="s">
        <v>59</v>
      </c>
      <c r="G1687" s="5" t="str">
        <f aca="false">INDEX(Risk_Matrix!$B$2:$D$4,MATCH(E1687,Risk_Matrix!$A$2:$A$4,0),MATCH(F1687,Risk_Matrix!$B$1:$D$1,0))</f>
        <v>Low</v>
      </c>
      <c r="H1687" s="12" t="n">
        <v>46154</v>
      </c>
      <c r="I1687" s="5" t="s">
        <v>2264</v>
      </c>
      <c r="J1687" s="5" t="s">
        <v>2265</v>
      </c>
      <c r="K1687" s="5" t="s">
        <v>2276</v>
      </c>
      <c r="L1687" s="5" t="n">
        <f aca="false">IF(G1687="High",3,IF(G1687="Medium",2,1))</f>
        <v>1</v>
      </c>
    </row>
    <row r="1688" customFormat="false" ht="15" hidden="false" customHeight="true" outlineLevel="0" collapsed="false">
      <c r="A1688" s="5" t="s">
        <v>3964</v>
      </c>
      <c r="B1688" s="5" t="s">
        <v>1534</v>
      </c>
      <c r="C1688" s="5" t="s">
        <v>2239</v>
      </c>
      <c r="D1688" s="5" t="s">
        <v>2240</v>
      </c>
      <c r="E1688" s="5" t="s">
        <v>54</v>
      </c>
      <c r="F1688" s="5" t="s">
        <v>59</v>
      </c>
      <c r="G1688" s="5" t="str">
        <f aca="false">INDEX(Risk_Matrix!$B$2:$D$4,MATCH(E1688,Risk_Matrix!$A$2:$A$4,0),MATCH(F1688,Risk_Matrix!$B$1:$D$1,0))</f>
        <v>Medium</v>
      </c>
      <c r="H1688" s="12" t="n">
        <v>46238</v>
      </c>
      <c r="I1688" s="5" t="s">
        <v>2256</v>
      </c>
      <c r="J1688" s="5" t="s">
        <v>2257</v>
      </c>
      <c r="K1688" s="5" t="s">
        <v>2266</v>
      </c>
      <c r="L1688" s="5" t="n">
        <f aca="false">IF(G1688="High",3,IF(G1688="Medium",2,1))</f>
        <v>2</v>
      </c>
    </row>
    <row r="1689" customFormat="false" ht="15" hidden="false" customHeight="true" outlineLevel="0" collapsed="false">
      <c r="A1689" s="5" t="s">
        <v>3965</v>
      </c>
      <c r="B1689" s="5" t="s">
        <v>1534</v>
      </c>
      <c r="C1689" s="5" t="s">
        <v>2245</v>
      </c>
      <c r="D1689" s="5" t="s">
        <v>2320</v>
      </c>
      <c r="E1689" s="5" t="s">
        <v>54</v>
      </c>
      <c r="F1689" s="5" t="s">
        <v>2225</v>
      </c>
      <c r="G1689" s="5" t="str">
        <f aca="false">INDEX(Risk_Matrix!$B$2:$D$4,MATCH(E1689,Risk_Matrix!$A$2:$A$4,0),MATCH(F1689,Risk_Matrix!$B$1:$D$1,0))</f>
        <v>High</v>
      </c>
      <c r="H1689" s="12" t="n">
        <v>46170</v>
      </c>
      <c r="I1689" s="5" t="s">
        <v>2250</v>
      </c>
      <c r="J1689" s="5" t="s">
        <v>2251</v>
      </c>
      <c r="K1689" s="5" t="s">
        <v>2283</v>
      </c>
      <c r="L1689" s="5" t="n">
        <f aca="false">IF(G1689="High",3,IF(G1689="Medium",2,1))</f>
        <v>3</v>
      </c>
    </row>
    <row r="1690" customFormat="false" ht="15" hidden="false" customHeight="true" outlineLevel="0" collapsed="false">
      <c r="A1690" s="5" t="s">
        <v>3966</v>
      </c>
      <c r="B1690" s="5" t="s">
        <v>1534</v>
      </c>
      <c r="C1690" s="5" t="s">
        <v>2248</v>
      </c>
      <c r="D1690" s="5" t="s">
        <v>2249</v>
      </c>
      <c r="E1690" s="5" t="s">
        <v>2225</v>
      </c>
      <c r="F1690" s="5" t="s">
        <v>2225</v>
      </c>
      <c r="G1690" s="5" t="str">
        <f aca="false">INDEX(Risk_Matrix!$B$2:$D$4,MATCH(E1690,Risk_Matrix!$A$2:$A$4,0),MATCH(F1690,Risk_Matrix!$B$1:$D$1,0))</f>
        <v>Medium</v>
      </c>
      <c r="H1690" s="12" t="n">
        <v>46166</v>
      </c>
      <c r="I1690" s="5" t="s">
        <v>2264</v>
      </c>
      <c r="J1690" s="5" t="s">
        <v>2265</v>
      </c>
      <c r="K1690" s="5" t="s">
        <v>2266</v>
      </c>
      <c r="L1690" s="5" t="n">
        <f aca="false">IF(G1690="High",3,IF(G1690="Medium",2,1))</f>
        <v>2</v>
      </c>
    </row>
    <row r="1691" customFormat="false" ht="15" hidden="false" customHeight="true" outlineLevel="0" collapsed="false">
      <c r="A1691" s="5" t="s">
        <v>3967</v>
      </c>
      <c r="B1691" s="5" t="s">
        <v>1534</v>
      </c>
      <c r="C1691" s="5" t="s">
        <v>2254</v>
      </c>
      <c r="D1691" s="5" t="s">
        <v>2255</v>
      </c>
      <c r="E1691" s="5" t="s">
        <v>59</v>
      </c>
      <c r="F1691" s="5" t="s">
        <v>54</v>
      </c>
      <c r="G1691" s="5" t="str">
        <f aca="false">INDEX(Risk_Matrix!$B$2:$D$4,MATCH(E1691,Risk_Matrix!$A$2:$A$4,0),MATCH(F1691,Risk_Matrix!$B$1:$D$1,0))</f>
        <v>Medium</v>
      </c>
      <c r="H1691" s="12" t="n">
        <v>46059</v>
      </c>
      <c r="I1691" s="5" t="s">
        <v>2256</v>
      </c>
      <c r="J1691" s="5" t="s">
        <v>2257</v>
      </c>
      <c r="K1691" s="5" t="s">
        <v>2283</v>
      </c>
      <c r="L1691" s="5" t="n">
        <f aca="false">IF(G1691="High",3,IF(G1691="Medium",2,1))</f>
        <v>2</v>
      </c>
    </row>
    <row r="1692" customFormat="false" ht="15" hidden="false" customHeight="true" outlineLevel="0" collapsed="false">
      <c r="A1692" s="5" t="s">
        <v>3968</v>
      </c>
      <c r="B1692" s="5" t="s">
        <v>1534</v>
      </c>
      <c r="C1692" s="5" t="s">
        <v>2259</v>
      </c>
      <c r="D1692" s="5" t="s">
        <v>2260</v>
      </c>
      <c r="E1692" s="5" t="s">
        <v>59</v>
      </c>
      <c r="F1692" s="5" t="s">
        <v>59</v>
      </c>
      <c r="G1692" s="5" t="str">
        <f aca="false">INDEX(Risk_Matrix!$B$2:$D$4,MATCH(E1692,Risk_Matrix!$A$2:$A$4,0),MATCH(F1692,Risk_Matrix!$B$1:$D$1,0))</f>
        <v>Low</v>
      </c>
      <c r="H1692" s="12" t="n">
        <v>46138</v>
      </c>
      <c r="I1692" s="5" t="s">
        <v>2256</v>
      </c>
      <c r="J1692" s="5" t="s">
        <v>2257</v>
      </c>
      <c r="K1692" s="5" t="s">
        <v>2252</v>
      </c>
      <c r="L1692" s="5" t="n">
        <f aca="false">IF(G1692="High",3,IF(G1692="Medium",2,1))</f>
        <v>1</v>
      </c>
    </row>
    <row r="1693" customFormat="false" ht="15" hidden="false" customHeight="true" outlineLevel="0" collapsed="false">
      <c r="A1693" s="5" t="s">
        <v>3969</v>
      </c>
      <c r="B1693" s="5" t="s">
        <v>1534</v>
      </c>
      <c r="C1693" s="5" t="s">
        <v>2262</v>
      </c>
      <c r="D1693" s="5" t="s">
        <v>2263</v>
      </c>
      <c r="E1693" s="5" t="s">
        <v>59</v>
      </c>
      <c r="F1693" s="5" t="s">
        <v>59</v>
      </c>
      <c r="G1693" s="5" t="str">
        <f aca="false">INDEX(Risk_Matrix!$B$2:$D$4,MATCH(E1693,Risk_Matrix!$A$2:$A$4,0),MATCH(F1693,Risk_Matrix!$B$1:$D$1,0))</f>
        <v>Low</v>
      </c>
      <c r="H1693" s="12" t="n">
        <v>46108</v>
      </c>
      <c r="I1693" s="5" t="s">
        <v>2250</v>
      </c>
      <c r="J1693" s="5" t="s">
        <v>2251</v>
      </c>
      <c r="K1693" s="5" t="s">
        <v>2252</v>
      </c>
      <c r="L1693" s="5" t="n">
        <f aca="false">IF(G1693="High",3,IF(G1693="Medium",2,1))</f>
        <v>1</v>
      </c>
    </row>
    <row r="1694" customFormat="false" ht="15" hidden="false" customHeight="true" outlineLevel="0" collapsed="false">
      <c r="A1694" s="5" t="s">
        <v>3970</v>
      </c>
      <c r="B1694" s="5" t="s">
        <v>1536</v>
      </c>
      <c r="C1694" s="5" t="s">
        <v>2239</v>
      </c>
      <c r="D1694" s="5" t="s">
        <v>2278</v>
      </c>
      <c r="E1694" s="5" t="s">
        <v>2225</v>
      </c>
      <c r="F1694" s="5" t="s">
        <v>2225</v>
      </c>
      <c r="G1694" s="5" t="str">
        <f aca="false">INDEX(Risk_Matrix!$B$2:$D$4,MATCH(E1694,Risk_Matrix!$A$2:$A$4,0),MATCH(F1694,Risk_Matrix!$B$1:$D$1,0))</f>
        <v>Medium</v>
      </c>
      <c r="H1694" s="12" t="n">
        <v>46178</v>
      </c>
      <c r="I1694" s="5" t="s">
        <v>2250</v>
      </c>
      <c r="J1694" s="5" t="s">
        <v>2251</v>
      </c>
      <c r="K1694" s="5" t="s">
        <v>2252</v>
      </c>
      <c r="L1694" s="5" t="n">
        <f aca="false">IF(G1694="High",3,IF(G1694="Medium",2,1))</f>
        <v>2</v>
      </c>
    </row>
    <row r="1695" customFormat="false" ht="15" hidden="false" customHeight="true" outlineLevel="0" collapsed="false">
      <c r="A1695" s="5" t="s">
        <v>3971</v>
      </c>
      <c r="B1695" s="5" t="s">
        <v>1536</v>
      </c>
      <c r="C1695" s="5" t="s">
        <v>2245</v>
      </c>
      <c r="D1695" s="5" t="s">
        <v>2269</v>
      </c>
      <c r="E1695" s="5" t="s">
        <v>59</v>
      </c>
      <c r="F1695" s="5" t="s">
        <v>59</v>
      </c>
      <c r="G1695" s="5" t="str">
        <f aca="false">INDEX(Risk_Matrix!$B$2:$D$4,MATCH(E1695,Risk_Matrix!$A$2:$A$4,0),MATCH(F1695,Risk_Matrix!$B$1:$D$1,0))</f>
        <v>Low</v>
      </c>
      <c r="H1695" s="12" t="n">
        <v>46229</v>
      </c>
      <c r="I1695" s="5" t="s">
        <v>2250</v>
      </c>
      <c r="J1695" s="5" t="s">
        <v>2251</v>
      </c>
      <c r="K1695" s="5" t="s">
        <v>2276</v>
      </c>
      <c r="L1695" s="5" t="n">
        <f aca="false">IF(G1695="High",3,IF(G1695="Medium",2,1))</f>
        <v>1</v>
      </c>
    </row>
    <row r="1696" customFormat="false" ht="15" hidden="false" customHeight="true" outlineLevel="0" collapsed="false">
      <c r="A1696" s="5" t="s">
        <v>3972</v>
      </c>
      <c r="B1696" s="5" t="s">
        <v>1536</v>
      </c>
      <c r="C1696" s="5" t="s">
        <v>2248</v>
      </c>
      <c r="D1696" s="5" t="s">
        <v>2306</v>
      </c>
      <c r="E1696" s="5" t="s">
        <v>2225</v>
      </c>
      <c r="F1696" s="5" t="s">
        <v>59</v>
      </c>
      <c r="G1696" s="5" t="str">
        <f aca="false">INDEX(Risk_Matrix!$B$2:$D$4,MATCH(E1696,Risk_Matrix!$A$2:$A$4,0),MATCH(F1696,Risk_Matrix!$B$1:$D$1,0))</f>
        <v>Low</v>
      </c>
      <c r="H1696" s="12" t="n">
        <v>46124</v>
      </c>
      <c r="I1696" s="5" t="s">
        <v>2256</v>
      </c>
      <c r="J1696" s="5" t="s">
        <v>2257</v>
      </c>
      <c r="K1696" s="5" t="s">
        <v>2266</v>
      </c>
      <c r="L1696" s="5" t="n">
        <f aca="false">IF(G1696="High",3,IF(G1696="Medium",2,1))</f>
        <v>1</v>
      </c>
    </row>
    <row r="1697" customFormat="false" ht="15" hidden="false" customHeight="true" outlineLevel="0" collapsed="false">
      <c r="A1697" s="5" t="s">
        <v>3973</v>
      </c>
      <c r="B1697" s="5" t="s">
        <v>1536</v>
      </c>
      <c r="C1697" s="5" t="s">
        <v>2254</v>
      </c>
      <c r="D1697" s="5" t="s">
        <v>2255</v>
      </c>
      <c r="E1697" s="5" t="s">
        <v>2225</v>
      </c>
      <c r="F1697" s="5" t="s">
        <v>59</v>
      </c>
      <c r="G1697" s="5" t="str">
        <f aca="false">INDEX(Risk_Matrix!$B$2:$D$4,MATCH(E1697,Risk_Matrix!$A$2:$A$4,0),MATCH(F1697,Risk_Matrix!$B$1:$D$1,0))</f>
        <v>Low</v>
      </c>
      <c r="H1697" s="12" t="n">
        <v>46157</v>
      </c>
      <c r="I1697" s="5" t="s">
        <v>2256</v>
      </c>
      <c r="J1697" s="5" t="s">
        <v>2257</v>
      </c>
      <c r="K1697" s="5" t="s">
        <v>2283</v>
      </c>
      <c r="L1697" s="5" t="n">
        <f aca="false">IF(G1697="High",3,IF(G1697="Medium",2,1))</f>
        <v>1</v>
      </c>
    </row>
    <row r="1698" customFormat="false" ht="15" hidden="false" customHeight="true" outlineLevel="0" collapsed="false">
      <c r="A1698" s="5" t="s">
        <v>3974</v>
      </c>
      <c r="B1698" s="5" t="s">
        <v>1536</v>
      </c>
      <c r="C1698" s="5" t="s">
        <v>2259</v>
      </c>
      <c r="D1698" s="5" t="s">
        <v>2260</v>
      </c>
      <c r="E1698" s="5" t="s">
        <v>2225</v>
      </c>
      <c r="F1698" s="5" t="s">
        <v>59</v>
      </c>
      <c r="G1698" s="5" t="str">
        <f aca="false">INDEX(Risk_Matrix!$B$2:$D$4,MATCH(E1698,Risk_Matrix!$A$2:$A$4,0),MATCH(F1698,Risk_Matrix!$B$1:$D$1,0))</f>
        <v>Low</v>
      </c>
      <c r="H1698" s="12" t="n">
        <v>46074</v>
      </c>
      <c r="I1698" s="5" t="s">
        <v>2256</v>
      </c>
      <c r="J1698" s="5" t="s">
        <v>2257</v>
      </c>
      <c r="K1698" s="5" t="s">
        <v>2283</v>
      </c>
      <c r="L1698" s="5" t="n">
        <f aca="false">IF(G1698="High",3,IF(G1698="Medium",2,1))</f>
        <v>1</v>
      </c>
    </row>
    <row r="1699" customFormat="false" ht="15" hidden="false" customHeight="true" outlineLevel="0" collapsed="false">
      <c r="A1699" s="5" t="s">
        <v>3975</v>
      </c>
      <c r="B1699" s="5" t="s">
        <v>1536</v>
      </c>
      <c r="C1699" s="5" t="s">
        <v>2262</v>
      </c>
      <c r="D1699" s="5" t="s">
        <v>2263</v>
      </c>
      <c r="E1699" s="5" t="s">
        <v>2225</v>
      </c>
      <c r="F1699" s="5" t="s">
        <v>54</v>
      </c>
      <c r="G1699" s="5" t="str">
        <f aca="false">INDEX(Risk_Matrix!$B$2:$D$4,MATCH(E1699,Risk_Matrix!$A$2:$A$4,0),MATCH(F1699,Risk_Matrix!$B$1:$D$1,0))</f>
        <v>High</v>
      </c>
      <c r="H1699" s="12" t="n">
        <v>46117</v>
      </c>
      <c r="I1699" s="5" t="s">
        <v>2256</v>
      </c>
      <c r="J1699" s="5" t="s">
        <v>2257</v>
      </c>
      <c r="K1699" s="5" t="s">
        <v>2276</v>
      </c>
      <c r="L1699" s="5" t="n">
        <f aca="false">IF(G1699="High",3,IF(G1699="Medium",2,1))</f>
        <v>3</v>
      </c>
    </row>
    <row r="1700" customFormat="false" ht="15" hidden="false" customHeight="true" outlineLevel="0" collapsed="false">
      <c r="A1700" s="5" t="s">
        <v>3976</v>
      </c>
      <c r="B1700" s="5" t="s">
        <v>1538</v>
      </c>
      <c r="C1700" s="5" t="s">
        <v>2239</v>
      </c>
      <c r="D1700" s="5" t="s">
        <v>2278</v>
      </c>
      <c r="E1700" s="5" t="s">
        <v>59</v>
      </c>
      <c r="F1700" s="5" t="s">
        <v>59</v>
      </c>
      <c r="G1700" s="5" t="str">
        <f aca="false">INDEX(Risk_Matrix!$B$2:$D$4,MATCH(E1700,Risk_Matrix!$A$2:$A$4,0),MATCH(F1700,Risk_Matrix!$B$1:$D$1,0))</f>
        <v>Low</v>
      </c>
      <c r="H1700" s="12" t="n">
        <v>46230</v>
      </c>
      <c r="I1700" s="5" t="s">
        <v>2256</v>
      </c>
      <c r="J1700" s="5" t="s">
        <v>2257</v>
      </c>
      <c r="K1700" s="5" t="s">
        <v>2252</v>
      </c>
      <c r="L1700" s="5" t="n">
        <f aca="false">IF(G1700="High",3,IF(G1700="Medium",2,1))</f>
        <v>1</v>
      </c>
    </row>
    <row r="1701" customFormat="false" ht="15" hidden="false" customHeight="true" outlineLevel="0" collapsed="false">
      <c r="A1701" s="5" t="s">
        <v>3977</v>
      </c>
      <c r="B1701" s="5" t="s">
        <v>1538</v>
      </c>
      <c r="C1701" s="5" t="s">
        <v>2245</v>
      </c>
      <c r="D1701" s="5" t="s">
        <v>2280</v>
      </c>
      <c r="E1701" s="5" t="s">
        <v>59</v>
      </c>
      <c r="F1701" s="5" t="s">
        <v>59</v>
      </c>
      <c r="G1701" s="5" t="str">
        <f aca="false">INDEX(Risk_Matrix!$B$2:$D$4,MATCH(E1701,Risk_Matrix!$A$2:$A$4,0),MATCH(F1701,Risk_Matrix!$B$1:$D$1,0))</f>
        <v>Low</v>
      </c>
      <c r="H1701" s="12" t="n">
        <v>46137</v>
      </c>
      <c r="I1701" s="5" t="s">
        <v>2250</v>
      </c>
      <c r="J1701" s="5" t="s">
        <v>2251</v>
      </c>
      <c r="K1701" s="5" t="s">
        <v>2252</v>
      </c>
      <c r="L1701" s="5" t="n">
        <f aca="false">IF(G1701="High",3,IF(G1701="Medium",2,1))</f>
        <v>1</v>
      </c>
    </row>
    <row r="1702" customFormat="false" ht="15" hidden="false" customHeight="true" outlineLevel="0" collapsed="false">
      <c r="A1702" s="5" t="s">
        <v>3978</v>
      </c>
      <c r="B1702" s="5" t="s">
        <v>1538</v>
      </c>
      <c r="C1702" s="5" t="s">
        <v>2248</v>
      </c>
      <c r="D1702" s="5" t="s">
        <v>2271</v>
      </c>
      <c r="E1702" s="5" t="s">
        <v>59</v>
      </c>
      <c r="F1702" s="5" t="s">
        <v>59</v>
      </c>
      <c r="G1702" s="5" t="str">
        <f aca="false">INDEX(Risk_Matrix!$B$2:$D$4,MATCH(E1702,Risk_Matrix!$A$2:$A$4,0),MATCH(F1702,Risk_Matrix!$B$1:$D$1,0))</f>
        <v>Low</v>
      </c>
      <c r="H1702" s="12" t="n">
        <v>46130</v>
      </c>
      <c r="I1702" s="5" t="s">
        <v>2241</v>
      </c>
      <c r="J1702" s="5" t="s">
        <v>2242</v>
      </c>
      <c r="K1702" s="5" t="s">
        <v>2252</v>
      </c>
      <c r="L1702" s="5" t="n">
        <f aca="false">IF(G1702="High",3,IF(G1702="Medium",2,1))</f>
        <v>1</v>
      </c>
    </row>
    <row r="1703" customFormat="false" ht="15" hidden="false" customHeight="true" outlineLevel="0" collapsed="false">
      <c r="A1703" s="5" t="s">
        <v>3979</v>
      </c>
      <c r="B1703" s="5" t="s">
        <v>1538</v>
      </c>
      <c r="C1703" s="5" t="s">
        <v>2254</v>
      </c>
      <c r="D1703" s="5" t="s">
        <v>2299</v>
      </c>
      <c r="E1703" s="5" t="s">
        <v>54</v>
      </c>
      <c r="F1703" s="5" t="s">
        <v>59</v>
      </c>
      <c r="G1703" s="5" t="str">
        <f aca="false">INDEX(Risk_Matrix!$B$2:$D$4,MATCH(E1703,Risk_Matrix!$A$2:$A$4,0),MATCH(F1703,Risk_Matrix!$B$1:$D$1,0))</f>
        <v>Medium</v>
      </c>
      <c r="H1703" s="12" t="n">
        <v>46196</v>
      </c>
      <c r="I1703" s="5" t="s">
        <v>2264</v>
      </c>
      <c r="J1703" s="5" t="s">
        <v>2265</v>
      </c>
      <c r="K1703" s="5" t="s">
        <v>2252</v>
      </c>
      <c r="L1703" s="5" t="n">
        <f aca="false">IF(G1703="High",3,IF(G1703="Medium",2,1))</f>
        <v>2</v>
      </c>
    </row>
    <row r="1704" customFormat="false" ht="15" hidden="false" customHeight="true" outlineLevel="0" collapsed="false">
      <c r="A1704" s="5" t="s">
        <v>3980</v>
      </c>
      <c r="B1704" s="5" t="s">
        <v>1538</v>
      </c>
      <c r="C1704" s="5" t="s">
        <v>2259</v>
      </c>
      <c r="D1704" s="5" t="s">
        <v>2274</v>
      </c>
      <c r="E1704" s="5" t="s">
        <v>59</v>
      </c>
      <c r="F1704" s="5" t="s">
        <v>54</v>
      </c>
      <c r="G1704" s="5" t="str">
        <f aca="false">INDEX(Risk_Matrix!$B$2:$D$4,MATCH(E1704,Risk_Matrix!$A$2:$A$4,0),MATCH(F1704,Risk_Matrix!$B$1:$D$1,0))</f>
        <v>Medium</v>
      </c>
      <c r="H1704" s="12" t="n">
        <v>46228</v>
      </c>
      <c r="I1704" s="5" t="s">
        <v>2256</v>
      </c>
      <c r="J1704" s="5" t="s">
        <v>2257</v>
      </c>
      <c r="K1704" s="5" t="s">
        <v>2266</v>
      </c>
      <c r="L1704" s="5" t="n">
        <f aca="false">IF(G1704="High",3,IF(G1704="Medium",2,1))</f>
        <v>2</v>
      </c>
    </row>
    <row r="1705" customFormat="false" ht="15" hidden="false" customHeight="true" outlineLevel="0" collapsed="false">
      <c r="A1705" s="5" t="s">
        <v>3981</v>
      </c>
      <c r="B1705" s="5" t="s">
        <v>1538</v>
      </c>
      <c r="C1705" s="5" t="s">
        <v>2262</v>
      </c>
      <c r="D1705" s="5" t="s">
        <v>2287</v>
      </c>
      <c r="E1705" s="5" t="s">
        <v>2225</v>
      </c>
      <c r="F1705" s="5" t="s">
        <v>59</v>
      </c>
      <c r="G1705" s="5" t="str">
        <f aca="false">INDEX(Risk_Matrix!$B$2:$D$4,MATCH(E1705,Risk_Matrix!$A$2:$A$4,0),MATCH(F1705,Risk_Matrix!$B$1:$D$1,0))</f>
        <v>Low</v>
      </c>
      <c r="H1705" s="12" t="n">
        <v>46187</v>
      </c>
      <c r="I1705" s="5" t="s">
        <v>2256</v>
      </c>
      <c r="J1705" s="5" t="s">
        <v>2257</v>
      </c>
      <c r="K1705" s="5" t="s">
        <v>2266</v>
      </c>
      <c r="L1705" s="5" t="n">
        <f aca="false">IF(G1705="High",3,IF(G1705="Medium",2,1))</f>
        <v>1</v>
      </c>
    </row>
    <row r="1706" customFormat="false" ht="15" hidden="false" customHeight="true" outlineLevel="0" collapsed="false">
      <c r="A1706" s="5" t="s">
        <v>3982</v>
      </c>
      <c r="B1706" s="5" t="s">
        <v>1540</v>
      </c>
      <c r="C1706" s="5" t="s">
        <v>2239</v>
      </c>
      <c r="D1706" s="5" t="s">
        <v>2295</v>
      </c>
      <c r="E1706" s="5" t="s">
        <v>59</v>
      </c>
      <c r="F1706" s="5" t="s">
        <v>59</v>
      </c>
      <c r="G1706" s="5" t="str">
        <f aca="false">INDEX(Risk_Matrix!$B$2:$D$4,MATCH(E1706,Risk_Matrix!$A$2:$A$4,0),MATCH(F1706,Risk_Matrix!$B$1:$D$1,0))</f>
        <v>Low</v>
      </c>
      <c r="H1706" s="12" t="n">
        <v>46151</v>
      </c>
      <c r="I1706" s="5" t="s">
        <v>2256</v>
      </c>
      <c r="J1706" s="5" t="s">
        <v>2257</v>
      </c>
      <c r="K1706" s="5" t="s">
        <v>2283</v>
      </c>
      <c r="L1706" s="5" t="n">
        <f aca="false">IF(G1706="High",3,IF(G1706="Medium",2,1))</f>
        <v>1</v>
      </c>
    </row>
    <row r="1707" customFormat="false" ht="15" hidden="false" customHeight="true" outlineLevel="0" collapsed="false">
      <c r="A1707" s="5" t="s">
        <v>3983</v>
      </c>
      <c r="B1707" s="5" t="s">
        <v>1540</v>
      </c>
      <c r="C1707" s="5" t="s">
        <v>2245</v>
      </c>
      <c r="D1707" s="5" t="s">
        <v>2269</v>
      </c>
      <c r="E1707" s="5" t="s">
        <v>59</v>
      </c>
      <c r="F1707" s="5" t="s">
        <v>59</v>
      </c>
      <c r="G1707" s="5" t="str">
        <f aca="false">INDEX(Risk_Matrix!$B$2:$D$4,MATCH(E1707,Risk_Matrix!$A$2:$A$4,0),MATCH(F1707,Risk_Matrix!$B$1:$D$1,0))</f>
        <v>Low</v>
      </c>
      <c r="H1707" s="12" t="n">
        <v>46110</v>
      </c>
      <c r="I1707" s="5" t="s">
        <v>2264</v>
      </c>
      <c r="J1707" s="5" t="s">
        <v>2265</v>
      </c>
      <c r="K1707" s="5" t="s">
        <v>2266</v>
      </c>
      <c r="L1707" s="5" t="n">
        <f aca="false">IF(G1707="High",3,IF(G1707="Medium",2,1))</f>
        <v>1</v>
      </c>
    </row>
    <row r="1708" customFormat="false" ht="15" hidden="false" customHeight="true" outlineLevel="0" collapsed="false">
      <c r="A1708" s="5" t="s">
        <v>3984</v>
      </c>
      <c r="B1708" s="5" t="s">
        <v>1540</v>
      </c>
      <c r="C1708" s="5" t="s">
        <v>2248</v>
      </c>
      <c r="D1708" s="5" t="s">
        <v>2322</v>
      </c>
      <c r="E1708" s="5" t="s">
        <v>59</v>
      </c>
      <c r="F1708" s="5" t="s">
        <v>2225</v>
      </c>
      <c r="G1708" s="5" t="str">
        <f aca="false">INDEX(Risk_Matrix!$B$2:$D$4,MATCH(E1708,Risk_Matrix!$A$2:$A$4,0),MATCH(F1708,Risk_Matrix!$B$1:$D$1,0))</f>
        <v>Low</v>
      </c>
      <c r="H1708" s="12" t="n">
        <v>46109</v>
      </c>
      <c r="I1708" s="5" t="s">
        <v>2264</v>
      </c>
      <c r="J1708" s="5" t="s">
        <v>2265</v>
      </c>
      <c r="K1708" s="5" t="s">
        <v>2252</v>
      </c>
      <c r="L1708" s="5" t="n">
        <f aca="false">IF(G1708="High",3,IF(G1708="Medium",2,1))</f>
        <v>1</v>
      </c>
    </row>
    <row r="1709" customFormat="false" ht="15" hidden="false" customHeight="true" outlineLevel="0" collapsed="false">
      <c r="A1709" s="5" t="s">
        <v>3985</v>
      </c>
      <c r="B1709" s="5" t="s">
        <v>1540</v>
      </c>
      <c r="C1709" s="5" t="s">
        <v>2254</v>
      </c>
      <c r="D1709" s="5" t="s">
        <v>2299</v>
      </c>
      <c r="E1709" s="5" t="s">
        <v>59</v>
      </c>
      <c r="F1709" s="5" t="s">
        <v>2225</v>
      </c>
      <c r="G1709" s="5" t="str">
        <f aca="false">INDEX(Risk_Matrix!$B$2:$D$4,MATCH(E1709,Risk_Matrix!$A$2:$A$4,0),MATCH(F1709,Risk_Matrix!$B$1:$D$1,0))</f>
        <v>Low</v>
      </c>
      <c r="H1709" s="12" t="n">
        <v>46082</v>
      </c>
      <c r="I1709" s="5" t="s">
        <v>2250</v>
      </c>
      <c r="J1709" s="5" t="s">
        <v>2251</v>
      </c>
      <c r="K1709" s="5" t="s">
        <v>2266</v>
      </c>
      <c r="L1709" s="5" t="n">
        <f aca="false">IF(G1709="High",3,IF(G1709="Medium",2,1))</f>
        <v>1</v>
      </c>
    </row>
    <row r="1710" customFormat="false" ht="15" hidden="false" customHeight="true" outlineLevel="0" collapsed="false">
      <c r="A1710" s="5" t="s">
        <v>3986</v>
      </c>
      <c r="B1710" s="5" t="s">
        <v>1540</v>
      </c>
      <c r="C1710" s="5" t="s">
        <v>2259</v>
      </c>
      <c r="D1710" s="5" t="s">
        <v>2274</v>
      </c>
      <c r="E1710" s="5" t="s">
        <v>2225</v>
      </c>
      <c r="F1710" s="5" t="s">
        <v>2225</v>
      </c>
      <c r="G1710" s="5" t="str">
        <f aca="false">INDEX(Risk_Matrix!$B$2:$D$4,MATCH(E1710,Risk_Matrix!$A$2:$A$4,0),MATCH(F1710,Risk_Matrix!$B$1:$D$1,0))</f>
        <v>Medium</v>
      </c>
      <c r="H1710" s="12" t="n">
        <v>46087</v>
      </c>
      <c r="I1710" s="5" t="s">
        <v>2256</v>
      </c>
      <c r="J1710" s="5" t="s">
        <v>2257</v>
      </c>
      <c r="K1710" s="5" t="s">
        <v>2283</v>
      </c>
      <c r="L1710" s="5" t="n">
        <f aca="false">IF(G1710="High",3,IF(G1710="Medium",2,1))</f>
        <v>2</v>
      </c>
    </row>
    <row r="1711" customFormat="false" ht="15" hidden="false" customHeight="true" outlineLevel="0" collapsed="false">
      <c r="A1711" s="5" t="s">
        <v>3987</v>
      </c>
      <c r="B1711" s="5" t="s">
        <v>1540</v>
      </c>
      <c r="C1711" s="5" t="s">
        <v>2262</v>
      </c>
      <c r="D1711" s="5" t="s">
        <v>2311</v>
      </c>
      <c r="E1711" s="5" t="s">
        <v>2225</v>
      </c>
      <c r="F1711" s="5" t="s">
        <v>2225</v>
      </c>
      <c r="G1711" s="5" t="str">
        <f aca="false">INDEX(Risk_Matrix!$B$2:$D$4,MATCH(E1711,Risk_Matrix!$A$2:$A$4,0),MATCH(F1711,Risk_Matrix!$B$1:$D$1,0))</f>
        <v>Medium</v>
      </c>
      <c r="H1711" s="12" t="n">
        <v>46153</v>
      </c>
      <c r="I1711" s="5" t="s">
        <v>2256</v>
      </c>
      <c r="J1711" s="5" t="s">
        <v>2257</v>
      </c>
      <c r="K1711" s="5" t="s">
        <v>2276</v>
      </c>
      <c r="L1711" s="5" t="n">
        <f aca="false">IF(G1711="High",3,IF(G1711="Medium",2,1))</f>
        <v>2</v>
      </c>
    </row>
    <row r="1712" customFormat="false" ht="15" hidden="false" customHeight="true" outlineLevel="0" collapsed="false">
      <c r="A1712" s="5" t="s">
        <v>3988</v>
      </c>
      <c r="B1712" s="5" t="s">
        <v>1541</v>
      </c>
      <c r="C1712" s="5" t="s">
        <v>2239</v>
      </c>
      <c r="D1712" s="5" t="s">
        <v>2295</v>
      </c>
      <c r="E1712" s="5" t="s">
        <v>2225</v>
      </c>
      <c r="F1712" s="5" t="s">
        <v>54</v>
      </c>
      <c r="G1712" s="5" t="str">
        <f aca="false">INDEX(Risk_Matrix!$B$2:$D$4,MATCH(E1712,Risk_Matrix!$A$2:$A$4,0),MATCH(F1712,Risk_Matrix!$B$1:$D$1,0))</f>
        <v>High</v>
      </c>
      <c r="H1712" s="12" t="n">
        <v>46132</v>
      </c>
      <c r="I1712" s="5" t="s">
        <v>2256</v>
      </c>
      <c r="J1712" s="5" t="s">
        <v>2257</v>
      </c>
      <c r="K1712" s="5" t="s">
        <v>2243</v>
      </c>
      <c r="L1712" s="5" t="n">
        <f aca="false">IF(G1712="High",3,IF(G1712="Medium",2,1))</f>
        <v>3</v>
      </c>
    </row>
    <row r="1713" customFormat="false" ht="15" hidden="false" customHeight="true" outlineLevel="0" collapsed="false">
      <c r="A1713" s="5" t="s">
        <v>3989</v>
      </c>
      <c r="B1713" s="5" t="s">
        <v>1541</v>
      </c>
      <c r="C1713" s="5" t="s">
        <v>2245</v>
      </c>
      <c r="D1713" s="5" t="s">
        <v>2320</v>
      </c>
      <c r="E1713" s="5" t="s">
        <v>54</v>
      </c>
      <c r="F1713" s="5" t="s">
        <v>2225</v>
      </c>
      <c r="G1713" s="5" t="str">
        <f aca="false">INDEX(Risk_Matrix!$B$2:$D$4,MATCH(E1713,Risk_Matrix!$A$2:$A$4,0),MATCH(F1713,Risk_Matrix!$B$1:$D$1,0))</f>
        <v>High</v>
      </c>
      <c r="H1713" s="12" t="n">
        <v>46171</v>
      </c>
      <c r="I1713" s="5" t="s">
        <v>2256</v>
      </c>
      <c r="J1713" s="5" t="s">
        <v>2257</v>
      </c>
      <c r="K1713" s="5" t="s">
        <v>2252</v>
      </c>
      <c r="L1713" s="5" t="n">
        <f aca="false">IF(G1713="High",3,IF(G1713="Medium",2,1))</f>
        <v>3</v>
      </c>
    </row>
    <row r="1714" customFormat="false" ht="15" hidden="false" customHeight="true" outlineLevel="0" collapsed="false">
      <c r="A1714" s="5" t="s">
        <v>3990</v>
      </c>
      <c r="B1714" s="5" t="s">
        <v>1541</v>
      </c>
      <c r="C1714" s="5" t="s">
        <v>2248</v>
      </c>
      <c r="D1714" s="5" t="s">
        <v>2306</v>
      </c>
      <c r="E1714" s="5" t="s">
        <v>2225</v>
      </c>
      <c r="F1714" s="5" t="s">
        <v>2225</v>
      </c>
      <c r="G1714" s="5" t="str">
        <f aca="false">INDEX(Risk_Matrix!$B$2:$D$4,MATCH(E1714,Risk_Matrix!$A$2:$A$4,0),MATCH(F1714,Risk_Matrix!$B$1:$D$1,0))</f>
        <v>Medium</v>
      </c>
      <c r="H1714" s="12" t="n">
        <v>46137</v>
      </c>
      <c r="I1714" s="5" t="s">
        <v>2250</v>
      </c>
      <c r="J1714" s="5" t="s">
        <v>2251</v>
      </c>
      <c r="K1714" s="5" t="s">
        <v>2252</v>
      </c>
      <c r="L1714" s="5" t="n">
        <f aca="false">IF(G1714="High",3,IF(G1714="Medium",2,1))</f>
        <v>2</v>
      </c>
    </row>
    <row r="1715" customFormat="false" ht="15" hidden="false" customHeight="true" outlineLevel="0" collapsed="false">
      <c r="A1715" s="5" t="s">
        <v>3991</v>
      </c>
      <c r="B1715" s="5" t="s">
        <v>1541</v>
      </c>
      <c r="C1715" s="5" t="s">
        <v>2254</v>
      </c>
      <c r="D1715" s="5" t="s">
        <v>2255</v>
      </c>
      <c r="E1715" s="5" t="s">
        <v>2225</v>
      </c>
      <c r="F1715" s="5" t="s">
        <v>59</v>
      </c>
      <c r="G1715" s="5" t="str">
        <f aca="false">INDEX(Risk_Matrix!$B$2:$D$4,MATCH(E1715,Risk_Matrix!$A$2:$A$4,0),MATCH(F1715,Risk_Matrix!$B$1:$D$1,0))</f>
        <v>Low</v>
      </c>
      <c r="H1715" s="12" t="n">
        <v>46123</v>
      </c>
      <c r="I1715" s="5" t="s">
        <v>2241</v>
      </c>
      <c r="J1715" s="5" t="s">
        <v>2242</v>
      </c>
      <c r="K1715" s="5" t="s">
        <v>2266</v>
      </c>
      <c r="L1715" s="5" t="n">
        <f aca="false">IF(G1715="High",3,IF(G1715="Medium",2,1))</f>
        <v>1</v>
      </c>
    </row>
    <row r="1716" customFormat="false" ht="15" hidden="false" customHeight="true" outlineLevel="0" collapsed="false">
      <c r="A1716" s="5" t="s">
        <v>3992</v>
      </c>
      <c r="B1716" s="5" t="s">
        <v>1541</v>
      </c>
      <c r="C1716" s="5" t="s">
        <v>2259</v>
      </c>
      <c r="D1716" s="5" t="s">
        <v>2274</v>
      </c>
      <c r="E1716" s="5" t="s">
        <v>59</v>
      </c>
      <c r="F1716" s="5" t="s">
        <v>59</v>
      </c>
      <c r="G1716" s="5" t="str">
        <f aca="false">INDEX(Risk_Matrix!$B$2:$D$4,MATCH(E1716,Risk_Matrix!$A$2:$A$4,0),MATCH(F1716,Risk_Matrix!$B$1:$D$1,0))</f>
        <v>Low</v>
      </c>
      <c r="H1716" s="12" t="n">
        <v>46168</v>
      </c>
      <c r="I1716" s="5" t="s">
        <v>2256</v>
      </c>
      <c r="J1716" s="5" t="s">
        <v>2257</v>
      </c>
      <c r="K1716" s="5" t="s">
        <v>2283</v>
      </c>
      <c r="L1716" s="5" t="n">
        <f aca="false">IF(G1716="High",3,IF(G1716="Medium",2,1))</f>
        <v>1</v>
      </c>
    </row>
    <row r="1717" customFormat="false" ht="15" hidden="false" customHeight="true" outlineLevel="0" collapsed="false">
      <c r="A1717" s="5" t="s">
        <v>3993</v>
      </c>
      <c r="B1717" s="5" t="s">
        <v>1541</v>
      </c>
      <c r="C1717" s="5" t="s">
        <v>2262</v>
      </c>
      <c r="D1717" s="5" t="s">
        <v>2263</v>
      </c>
      <c r="E1717" s="5" t="s">
        <v>54</v>
      </c>
      <c r="F1717" s="5" t="s">
        <v>59</v>
      </c>
      <c r="G1717" s="5" t="str">
        <f aca="false">INDEX(Risk_Matrix!$B$2:$D$4,MATCH(E1717,Risk_Matrix!$A$2:$A$4,0),MATCH(F1717,Risk_Matrix!$B$1:$D$1,0))</f>
        <v>Medium</v>
      </c>
      <c r="H1717" s="12" t="n">
        <v>46075</v>
      </c>
      <c r="I1717" s="5" t="s">
        <v>2264</v>
      </c>
      <c r="J1717" s="5" t="s">
        <v>2265</v>
      </c>
      <c r="K1717" s="5" t="s">
        <v>2252</v>
      </c>
      <c r="L1717" s="5" t="n">
        <f aca="false">IF(G1717="High",3,IF(G1717="Medium",2,1))</f>
        <v>2</v>
      </c>
    </row>
    <row r="1718" customFormat="false" ht="15" hidden="false" customHeight="true" outlineLevel="0" collapsed="false">
      <c r="A1718" s="5" t="s">
        <v>3994</v>
      </c>
      <c r="B1718" s="5" t="s">
        <v>1543</v>
      </c>
      <c r="C1718" s="5" t="s">
        <v>2239</v>
      </c>
      <c r="D1718" s="5" t="s">
        <v>2240</v>
      </c>
      <c r="E1718" s="5" t="s">
        <v>59</v>
      </c>
      <c r="F1718" s="5" t="s">
        <v>2225</v>
      </c>
      <c r="G1718" s="5" t="str">
        <f aca="false">INDEX(Risk_Matrix!$B$2:$D$4,MATCH(E1718,Risk_Matrix!$A$2:$A$4,0),MATCH(F1718,Risk_Matrix!$B$1:$D$1,0))</f>
        <v>Low</v>
      </c>
      <c r="H1718" s="12" t="n">
        <v>46097</v>
      </c>
      <c r="I1718" s="5" t="s">
        <v>2250</v>
      </c>
      <c r="J1718" s="5" t="s">
        <v>2251</v>
      </c>
      <c r="K1718" s="5" t="s">
        <v>2252</v>
      </c>
      <c r="L1718" s="5" t="n">
        <f aca="false">IF(G1718="High",3,IF(G1718="Medium",2,1))</f>
        <v>1</v>
      </c>
    </row>
    <row r="1719" customFormat="false" ht="15" hidden="false" customHeight="true" outlineLevel="0" collapsed="false">
      <c r="A1719" s="5" t="s">
        <v>3995</v>
      </c>
      <c r="B1719" s="5" t="s">
        <v>1543</v>
      </c>
      <c r="C1719" s="5" t="s">
        <v>2245</v>
      </c>
      <c r="D1719" s="5" t="s">
        <v>2246</v>
      </c>
      <c r="E1719" s="5" t="s">
        <v>54</v>
      </c>
      <c r="F1719" s="5" t="s">
        <v>54</v>
      </c>
      <c r="G1719" s="5" t="str">
        <f aca="false">INDEX(Risk_Matrix!$B$2:$D$4,MATCH(E1719,Risk_Matrix!$A$2:$A$4,0),MATCH(F1719,Risk_Matrix!$B$1:$D$1,0))</f>
        <v>High</v>
      </c>
      <c r="H1719" s="12" t="n">
        <v>46154</v>
      </c>
      <c r="I1719" s="5" t="s">
        <v>2256</v>
      </c>
      <c r="J1719" s="5" t="s">
        <v>2257</v>
      </c>
      <c r="K1719" s="5" t="s">
        <v>2266</v>
      </c>
      <c r="L1719" s="5" t="n">
        <f aca="false">IF(G1719="High",3,IF(G1719="Medium",2,1))</f>
        <v>3</v>
      </c>
    </row>
    <row r="1720" customFormat="false" ht="15" hidden="false" customHeight="true" outlineLevel="0" collapsed="false">
      <c r="A1720" s="5" t="s">
        <v>3996</v>
      </c>
      <c r="B1720" s="5" t="s">
        <v>1543</v>
      </c>
      <c r="C1720" s="5" t="s">
        <v>2248</v>
      </c>
      <c r="D1720" s="5" t="s">
        <v>2322</v>
      </c>
      <c r="E1720" s="5" t="s">
        <v>59</v>
      </c>
      <c r="F1720" s="5" t="s">
        <v>59</v>
      </c>
      <c r="G1720" s="5" t="str">
        <f aca="false">INDEX(Risk_Matrix!$B$2:$D$4,MATCH(E1720,Risk_Matrix!$A$2:$A$4,0),MATCH(F1720,Risk_Matrix!$B$1:$D$1,0))</f>
        <v>Low</v>
      </c>
      <c r="H1720" s="12" t="n">
        <v>46176</v>
      </c>
      <c r="I1720" s="5" t="s">
        <v>2256</v>
      </c>
      <c r="J1720" s="5" t="s">
        <v>2257</v>
      </c>
      <c r="K1720" s="5" t="s">
        <v>2243</v>
      </c>
      <c r="L1720" s="5" t="n">
        <f aca="false">IF(G1720="High",3,IF(G1720="Medium",2,1))</f>
        <v>1</v>
      </c>
    </row>
    <row r="1721" customFormat="false" ht="15" hidden="false" customHeight="true" outlineLevel="0" collapsed="false">
      <c r="A1721" s="5" t="s">
        <v>3997</v>
      </c>
      <c r="B1721" s="5" t="s">
        <v>1543</v>
      </c>
      <c r="C1721" s="5" t="s">
        <v>2254</v>
      </c>
      <c r="D1721" s="5" t="s">
        <v>2255</v>
      </c>
      <c r="E1721" s="5" t="s">
        <v>59</v>
      </c>
      <c r="F1721" s="5" t="s">
        <v>54</v>
      </c>
      <c r="G1721" s="5" t="str">
        <f aca="false">INDEX(Risk_Matrix!$B$2:$D$4,MATCH(E1721,Risk_Matrix!$A$2:$A$4,0),MATCH(F1721,Risk_Matrix!$B$1:$D$1,0))</f>
        <v>Medium</v>
      </c>
      <c r="H1721" s="12" t="n">
        <v>46195</v>
      </c>
      <c r="I1721" s="5" t="s">
        <v>2250</v>
      </c>
      <c r="J1721" s="5" t="s">
        <v>2251</v>
      </c>
      <c r="K1721" s="5" t="s">
        <v>2252</v>
      </c>
      <c r="L1721" s="5" t="n">
        <f aca="false">IF(G1721="High",3,IF(G1721="Medium",2,1))</f>
        <v>2</v>
      </c>
    </row>
    <row r="1722" customFormat="false" ht="15" hidden="false" customHeight="true" outlineLevel="0" collapsed="false">
      <c r="A1722" s="5" t="s">
        <v>3998</v>
      </c>
      <c r="B1722" s="5" t="s">
        <v>1543</v>
      </c>
      <c r="C1722" s="5" t="s">
        <v>2259</v>
      </c>
      <c r="D1722" s="5" t="s">
        <v>2285</v>
      </c>
      <c r="E1722" s="5" t="s">
        <v>59</v>
      </c>
      <c r="F1722" s="5" t="s">
        <v>59</v>
      </c>
      <c r="G1722" s="5" t="str">
        <f aca="false">INDEX(Risk_Matrix!$B$2:$D$4,MATCH(E1722,Risk_Matrix!$A$2:$A$4,0),MATCH(F1722,Risk_Matrix!$B$1:$D$1,0))</f>
        <v>Low</v>
      </c>
      <c r="H1722" s="12" t="n">
        <v>46197</v>
      </c>
      <c r="I1722" s="5" t="s">
        <v>2250</v>
      </c>
      <c r="J1722" s="5" t="s">
        <v>2251</v>
      </c>
      <c r="K1722" s="5" t="s">
        <v>2252</v>
      </c>
      <c r="L1722" s="5" t="n">
        <f aca="false">IF(G1722="High",3,IF(G1722="Medium",2,1))</f>
        <v>1</v>
      </c>
    </row>
    <row r="1723" customFormat="false" ht="15" hidden="false" customHeight="true" outlineLevel="0" collapsed="false">
      <c r="A1723" s="5" t="s">
        <v>3999</v>
      </c>
      <c r="B1723" s="5" t="s">
        <v>1543</v>
      </c>
      <c r="C1723" s="5" t="s">
        <v>2262</v>
      </c>
      <c r="D1723" s="5" t="s">
        <v>2287</v>
      </c>
      <c r="E1723" s="5" t="s">
        <v>2225</v>
      </c>
      <c r="F1723" s="5" t="s">
        <v>59</v>
      </c>
      <c r="G1723" s="5" t="str">
        <f aca="false">INDEX(Risk_Matrix!$B$2:$D$4,MATCH(E1723,Risk_Matrix!$A$2:$A$4,0),MATCH(F1723,Risk_Matrix!$B$1:$D$1,0))</f>
        <v>Low</v>
      </c>
      <c r="H1723" s="12" t="n">
        <v>46061</v>
      </c>
      <c r="I1723" s="5" t="s">
        <v>2241</v>
      </c>
      <c r="J1723" s="5" t="s">
        <v>2242</v>
      </c>
      <c r="K1723" s="5" t="s">
        <v>2283</v>
      </c>
      <c r="L1723" s="5" t="n">
        <f aca="false">IF(G1723="High",3,IF(G1723="Medium",2,1))</f>
        <v>1</v>
      </c>
    </row>
    <row r="1724" customFormat="false" ht="15" hidden="false" customHeight="true" outlineLevel="0" collapsed="false">
      <c r="A1724" s="5" t="s">
        <v>4000</v>
      </c>
      <c r="B1724" s="5" t="s">
        <v>1545</v>
      </c>
      <c r="C1724" s="5" t="s">
        <v>2239</v>
      </c>
      <c r="D1724" s="5" t="s">
        <v>2240</v>
      </c>
      <c r="E1724" s="5" t="s">
        <v>59</v>
      </c>
      <c r="F1724" s="5" t="s">
        <v>59</v>
      </c>
      <c r="G1724" s="5" t="str">
        <f aca="false">INDEX(Risk_Matrix!$B$2:$D$4,MATCH(E1724,Risk_Matrix!$A$2:$A$4,0),MATCH(F1724,Risk_Matrix!$B$1:$D$1,0))</f>
        <v>Low</v>
      </c>
      <c r="H1724" s="12" t="n">
        <v>46238</v>
      </c>
      <c r="I1724" s="5" t="s">
        <v>2256</v>
      </c>
      <c r="J1724" s="5" t="s">
        <v>2257</v>
      </c>
      <c r="K1724" s="5" t="s">
        <v>2266</v>
      </c>
      <c r="L1724" s="5" t="n">
        <f aca="false">IF(G1724="High",3,IF(G1724="Medium",2,1))</f>
        <v>1</v>
      </c>
    </row>
    <row r="1725" customFormat="false" ht="15" hidden="false" customHeight="true" outlineLevel="0" collapsed="false">
      <c r="A1725" s="5" t="s">
        <v>4001</v>
      </c>
      <c r="B1725" s="5" t="s">
        <v>1545</v>
      </c>
      <c r="C1725" s="5" t="s">
        <v>2245</v>
      </c>
      <c r="D1725" s="5" t="s">
        <v>2246</v>
      </c>
      <c r="E1725" s="5" t="s">
        <v>2225</v>
      </c>
      <c r="F1725" s="5" t="s">
        <v>2225</v>
      </c>
      <c r="G1725" s="5" t="str">
        <f aca="false">INDEX(Risk_Matrix!$B$2:$D$4,MATCH(E1725,Risk_Matrix!$A$2:$A$4,0),MATCH(F1725,Risk_Matrix!$B$1:$D$1,0))</f>
        <v>Medium</v>
      </c>
      <c r="H1725" s="12" t="n">
        <v>46193</v>
      </c>
      <c r="I1725" s="5" t="s">
        <v>2264</v>
      </c>
      <c r="J1725" s="5" t="s">
        <v>2265</v>
      </c>
      <c r="K1725" s="5" t="s">
        <v>2276</v>
      </c>
      <c r="L1725" s="5" t="n">
        <f aca="false">IF(G1725="High",3,IF(G1725="Medium",2,1))</f>
        <v>2</v>
      </c>
    </row>
    <row r="1726" customFormat="false" ht="15" hidden="false" customHeight="true" outlineLevel="0" collapsed="false">
      <c r="A1726" s="5" t="s">
        <v>4002</v>
      </c>
      <c r="B1726" s="5" t="s">
        <v>1545</v>
      </c>
      <c r="C1726" s="5" t="s">
        <v>2248</v>
      </c>
      <c r="D1726" s="5" t="s">
        <v>2271</v>
      </c>
      <c r="E1726" s="5" t="s">
        <v>59</v>
      </c>
      <c r="F1726" s="5" t="s">
        <v>2225</v>
      </c>
      <c r="G1726" s="5" t="str">
        <f aca="false">INDEX(Risk_Matrix!$B$2:$D$4,MATCH(E1726,Risk_Matrix!$A$2:$A$4,0),MATCH(F1726,Risk_Matrix!$B$1:$D$1,0))</f>
        <v>Low</v>
      </c>
      <c r="H1726" s="12" t="n">
        <v>46102</v>
      </c>
      <c r="I1726" s="5" t="s">
        <v>2264</v>
      </c>
      <c r="J1726" s="5" t="s">
        <v>2265</v>
      </c>
      <c r="K1726" s="5" t="s">
        <v>2243</v>
      </c>
      <c r="L1726" s="5" t="n">
        <f aca="false">IF(G1726="High",3,IF(G1726="Medium",2,1))</f>
        <v>1</v>
      </c>
    </row>
    <row r="1727" customFormat="false" ht="15" hidden="false" customHeight="true" outlineLevel="0" collapsed="false">
      <c r="A1727" s="5" t="s">
        <v>4003</v>
      </c>
      <c r="B1727" s="5" t="s">
        <v>1545</v>
      </c>
      <c r="C1727" s="5" t="s">
        <v>2254</v>
      </c>
      <c r="D1727" s="5" t="s">
        <v>2299</v>
      </c>
      <c r="E1727" s="5" t="s">
        <v>59</v>
      </c>
      <c r="F1727" s="5" t="s">
        <v>2225</v>
      </c>
      <c r="G1727" s="5" t="str">
        <f aca="false">INDEX(Risk_Matrix!$B$2:$D$4,MATCH(E1727,Risk_Matrix!$A$2:$A$4,0),MATCH(F1727,Risk_Matrix!$B$1:$D$1,0))</f>
        <v>Low</v>
      </c>
      <c r="H1727" s="12" t="n">
        <v>46217</v>
      </c>
      <c r="I1727" s="5" t="s">
        <v>2256</v>
      </c>
      <c r="J1727" s="5" t="s">
        <v>2257</v>
      </c>
      <c r="K1727" s="5" t="s">
        <v>2252</v>
      </c>
      <c r="L1727" s="5" t="n">
        <f aca="false">IF(G1727="High",3,IF(G1727="Medium",2,1))</f>
        <v>1</v>
      </c>
    </row>
    <row r="1728" customFormat="false" ht="15" hidden="false" customHeight="true" outlineLevel="0" collapsed="false">
      <c r="A1728" s="5" t="s">
        <v>4004</v>
      </c>
      <c r="B1728" s="5" t="s">
        <v>1545</v>
      </c>
      <c r="C1728" s="5" t="s">
        <v>2259</v>
      </c>
      <c r="D1728" s="5" t="s">
        <v>2260</v>
      </c>
      <c r="E1728" s="5" t="s">
        <v>59</v>
      </c>
      <c r="F1728" s="5" t="s">
        <v>59</v>
      </c>
      <c r="G1728" s="5" t="str">
        <f aca="false">INDEX(Risk_Matrix!$B$2:$D$4,MATCH(E1728,Risk_Matrix!$A$2:$A$4,0),MATCH(F1728,Risk_Matrix!$B$1:$D$1,0))</f>
        <v>Low</v>
      </c>
      <c r="H1728" s="12" t="n">
        <v>46174</v>
      </c>
      <c r="I1728" s="5" t="s">
        <v>2256</v>
      </c>
      <c r="J1728" s="5" t="s">
        <v>2257</v>
      </c>
      <c r="K1728" s="5" t="s">
        <v>2276</v>
      </c>
      <c r="L1728" s="5" t="n">
        <f aca="false">IF(G1728="High",3,IF(G1728="Medium",2,1))</f>
        <v>1</v>
      </c>
    </row>
    <row r="1729" customFormat="false" ht="15" hidden="false" customHeight="true" outlineLevel="0" collapsed="false">
      <c r="A1729" s="5" t="s">
        <v>4005</v>
      </c>
      <c r="B1729" s="5" t="s">
        <v>1545</v>
      </c>
      <c r="C1729" s="5" t="s">
        <v>2262</v>
      </c>
      <c r="D1729" s="5" t="s">
        <v>2263</v>
      </c>
      <c r="E1729" s="5" t="s">
        <v>2225</v>
      </c>
      <c r="F1729" s="5" t="s">
        <v>2225</v>
      </c>
      <c r="G1729" s="5" t="str">
        <f aca="false">INDEX(Risk_Matrix!$B$2:$D$4,MATCH(E1729,Risk_Matrix!$A$2:$A$4,0),MATCH(F1729,Risk_Matrix!$B$1:$D$1,0))</f>
        <v>Medium</v>
      </c>
      <c r="H1729" s="12" t="n">
        <v>46222</v>
      </c>
      <c r="I1729" s="5" t="s">
        <v>2256</v>
      </c>
      <c r="J1729" s="5" t="s">
        <v>2257</v>
      </c>
      <c r="K1729" s="5" t="s">
        <v>2266</v>
      </c>
      <c r="L1729" s="5" t="n">
        <f aca="false">IF(G1729="High",3,IF(G1729="Medium",2,1))</f>
        <v>2</v>
      </c>
    </row>
    <row r="1730" customFormat="false" ht="15" hidden="false" customHeight="true" outlineLevel="0" collapsed="false">
      <c r="A1730" s="5" t="s">
        <v>4006</v>
      </c>
      <c r="B1730" s="5" t="s">
        <v>1547</v>
      </c>
      <c r="C1730" s="5" t="s">
        <v>2239</v>
      </c>
      <c r="D1730" s="5" t="s">
        <v>2303</v>
      </c>
      <c r="E1730" s="5" t="s">
        <v>59</v>
      </c>
      <c r="F1730" s="5" t="s">
        <v>2225</v>
      </c>
      <c r="G1730" s="5" t="str">
        <f aca="false">INDEX(Risk_Matrix!$B$2:$D$4,MATCH(E1730,Risk_Matrix!$A$2:$A$4,0),MATCH(F1730,Risk_Matrix!$B$1:$D$1,0))</f>
        <v>Low</v>
      </c>
      <c r="H1730" s="12" t="n">
        <v>46189</v>
      </c>
      <c r="I1730" s="5" t="s">
        <v>2250</v>
      </c>
      <c r="J1730" s="5" t="s">
        <v>2251</v>
      </c>
      <c r="K1730" s="5" t="s">
        <v>2243</v>
      </c>
      <c r="L1730" s="5" t="n">
        <f aca="false">IF(G1730="High",3,IF(G1730="Medium",2,1))</f>
        <v>1</v>
      </c>
    </row>
    <row r="1731" customFormat="false" ht="15" hidden="false" customHeight="true" outlineLevel="0" collapsed="false">
      <c r="A1731" s="5" t="s">
        <v>4007</v>
      </c>
      <c r="B1731" s="5" t="s">
        <v>1547</v>
      </c>
      <c r="C1731" s="5" t="s">
        <v>2245</v>
      </c>
      <c r="D1731" s="5" t="s">
        <v>2269</v>
      </c>
      <c r="E1731" s="5" t="s">
        <v>59</v>
      </c>
      <c r="F1731" s="5" t="s">
        <v>54</v>
      </c>
      <c r="G1731" s="5" t="str">
        <f aca="false">INDEX(Risk_Matrix!$B$2:$D$4,MATCH(E1731,Risk_Matrix!$A$2:$A$4,0),MATCH(F1731,Risk_Matrix!$B$1:$D$1,0))</f>
        <v>Medium</v>
      </c>
      <c r="H1731" s="12" t="n">
        <v>46128</v>
      </c>
      <c r="I1731" s="5" t="s">
        <v>2264</v>
      </c>
      <c r="J1731" s="5" t="s">
        <v>2265</v>
      </c>
      <c r="K1731" s="5" t="s">
        <v>2276</v>
      </c>
      <c r="L1731" s="5" t="n">
        <f aca="false">IF(G1731="High",3,IF(G1731="Medium",2,1))</f>
        <v>2</v>
      </c>
    </row>
    <row r="1732" customFormat="false" ht="15" hidden="false" customHeight="true" outlineLevel="0" collapsed="false">
      <c r="A1732" s="5" t="s">
        <v>4008</v>
      </c>
      <c r="B1732" s="5" t="s">
        <v>1547</v>
      </c>
      <c r="C1732" s="5" t="s">
        <v>2248</v>
      </c>
      <c r="D1732" s="5" t="s">
        <v>2271</v>
      </c>
      <c r="E1732" s="5" t="s">
        <v>59</v>
      </c>
      <c r="F1732" s="5" t="s">
        <v>59</v>
      </c>
      <c r="G1732" s="5" t="str">
        <f aca="false">INDEX(Risk_Matrix!$B$2:$D$4,MATCH(E1732,Risk_Matrix!$A$2:$A$4,0),MATCH(F1732,Risk_Matrix!$B$1:$D$1,0))</f>
        <v>Low</v>
      </c>
      <c r="H1732" s="12" t="n">
        <v>46088</v>
      </c>
      <c r="I1732" s="5" t="s">
        <v>2250</v>
      </c>
      <c r="J1732" s="5" t="s">
        <v>2251</v>
      </c>
      <c r="K1732" s="5" t="s">
        <v>2276</v>
      </c>
      <c r="L1732" s="5" t="n">
        <f aca="false">IF(G1732="High",3,IF(G1732="Medium",2,1))</f>
        <v>1</v>
      </c>
    </row>
    <row r="1733" customFormat="false" ht="15" hidden="false" customHeight="true" outlineLevel="0" collapsed="false">
      <c r="A1733" s="5" t="s">
        <v>4009</v>
      </c>
      <c r="B1733" s="5" t="s">
        <v>1547</v>
      </c>
      <c r="C1733" s="5" t="s">
        <v>2254</v>
      </c>
      <c r="D1733" s="5" t="s">
        <v>2299</v>
      </c>
      <c r="E1733" s="5" t="s">
        <v>59</v>
      </c>
      <c r="F1733" s="5" t="s">
        <v>2225</v>
      </c>
      <c r="G1733" s="5" t="str">
        <f aca="false">INDEX(Risk_Matrix!$B$2:$D$4,MATCH(E1733,Risk_Matrix!$A$2:$A$4,0),MATCH(F1733,Risk_Matrix!$B$1:$D$1,0))</f>
        <v>Low</v>
      </c>
      <c r="H1733" s="12" t="n">
        <v>46112</v>
      </c>
      <c r="I1733" s="5" t="s">
        <v>2264</v>
      </c>
      <c r="J1733" s="5" t="s">
        <v>2265</v>
      </c>
      <c r="K1733" s="5" t="s">
        <v>2283</v>
      </c>
      <c r="L1733" s="5" t="n">
        <f aca="false">IF(G1733="High",3,IF(G1733="Medium",2,1))</f>
        <v>1</v>
      </c>
    </row>
    <row r="1734" customFormat="false" ht="15" hidden="false" customHeight="true" outlineLevel="0" collapsed="false">
      <c r="A1734" s="5" t="s">
        <v>4010</v>
      </c>
      <c r="B1734" s="5" t="s">
        <v>1547</v>
      </c>
      <c r="C1734" s="5" t="s">
        <v>2259</v>
      </c>
      <c r="D1734" s="5" t="s">
        <v>2274</v>
      </c>
      <c r="E1734" s="5" t="s">
        <v>59</v>
      </c>
      <c r="F1734" s="5" t="s">
        <v>2225</v>
      </c>
      <c r="G1734" s="5" t="str">
        <f aca="false">INDEX(Risk_Matrix!$B$2:$D$4,MATCH(E1734,Risk_Matrix!$A$2:$A$4,0),MATCH(F1734,Risk_Matrix!$B$1:$D$1,0))</f>
        <v>Low</v>
      </c>
      <c r="H1734" s="12" t="n">
        <v>46228</v>
      </c>
      <c r="I1734" s="5" t="s">
        <v>2256</v>
      </c>
      <c r="J1734" s="5" t="s">
        <v>2257</v>
      </c>
      <c r="K1734" s="5" t="s">
        <v>2276</v>
      </c>
      <c r="L1734" s="5" t="n">
        <f aca="false">IF(G1734="High",3,IF(G1734="Medium",2,1))</f>
        <v>1</v>
      </c>
    </row>
    <row r="1735" customFormat="false" ht="15" hidden="false" customHeight="true" outlineLevel="0" collapsed="false">
      <c r="A1735" s="5" t="s">
        <v>4011</v>
      </c>
      <c r="B1735" s="5" t="s">
        <v>1547</v>
      </c>
      <c r="C1735" s="5" t="s">
        <v>2262</v>
      </c>
      <c r="D1735" s="5" t="s">
        <v>2311</v>
      </c>
      <c r="E1735" s="5" t="s">
        <v>59</v>
      </c>
      <c r="F1735" s="5" t="s">
        <v>2225</v>
      </c>
      <c r="G1735" s="5" t="str">
        <f aca="false">INDEX(Risk_Matrix!$B$2:$D$4,MATCH(E1735,Risk_Matrix!$A$2:$A$4,0),MATCH(F1735,Risk_Matrix!$B$1:$D$1,0))</f>
        <v>Low</v>
      </c>
      <c r="H1735" s="12" t="n">
        <v>46068</v>
      </c>
      <c r="I1735" s="5" t="s">
        <v>2256</v>
      </c>
      <c r="J1735" s="5" t="s">
        <v>2257</v>
      </c>
      <c r="K1735" s="5" t="s">
        <v>2252</v>
      </c>
      <c r="L1735" s="5" t="n">
        <f aca="false">IF(G1735="High",3,IF(G1735="Medium",2,1))</f>
        <v>1</v>
      </c>
    </row>
    <row r="1736" customFormat="false" ht="15" hidden="false" customHeight="true" outlineLevel="0" collapsed="false">
      <c r="A1736" s="5" t="s">
        <v>4012</v>
      </c>
      <c r="B1736" s="5" t="s">
        <v>1550</v>
      </c>
      <c r="C1736" s="5" t="s">
        <v>2239</v>
      </c>
      <c r="D1736" s="5" t="s">
        <v>2278</v>
      </c>
      <c r="E1736" s="5" t="s">
        <v>59</v>
      </c>
      <c r="F1736" s="5" t="s">
        <v>2225</v>
      </c>
      <c r="G1736" s="5" t="str">
        <f aca="false">INDEX(Risk_Matrix!$B$2:$D$4,MATCH(E1736,Risk_Matrix!$A$2:$A$4,0),MATCH(F1736,Risk_Matrix!$B$1:$D$1,0))</f>
        <v>Low</v>
      </c>
      <c r="H1736" s="12" t="n">
        <v>46120</v>
      </c>
      <c r="I1736" s="5" t="s">
        <v>2241</v>
      </c>
      <c r="J1736" s="5" t="s">
        <v>2242</v>
      </c>
      <c r="K1736" s="5" t="s">
        <v>2276</v>
      </c>
      <c r="L1736" s="5" t="n">
        <f aca="false">IF(G1736="High",3,IF(G1736="Medium",2,1))</f>
        <v>1</v>
      </c>
    </row>
    <row r="1737" customFormat="false" ht="15" hidden="false" customHeight="true" outlineLevel="0" collapsed="false">
      <c r="A1737" s="5" t="s">
        <v>4013</v>
      </c>
      <c r="B1737" s="5" t="s">
        <v>1550</v>
      </c>
      <c r="C1737" s="5" t="s">
        <v>2245</v>
      </c>
      <c r="D1737" s="5" t="s">
        <v>2320</v>
      </c>
      <c r="E1737" s="5" t="s">
        <v>2225</v>
      </c>
      <c r="F1737" s="5" t="s">
        <v>2225</v>
      </c>
      <c r="G1737" s="5" t="str">
        <f aca="false">INDEX(Risk_Matrix!$B$2:$D$4,MATCH(E1737,Risk_Matrix!$A$2:$A$4,0),MATCH(F1737,Risk_Matrix!$B$1:$D$1,0))</f>
        <v>Medium</v>
      </c>
      <c r="H1737" s="12" t="n">
        <v>46209</v>
      </c>
      <c r="I1737" s="5" t="s">
        <v>2250</v>
      </c>
      <c r="J1737" s="5" t="s">
        <v>2251</v>
      </c>
      <c r="K1737" s="5" t="s">
        <v>2283</v>
      </c>
      <c r="L1737" s="5" t="n">
        <f aca="false">IF(G1737="High",3,IF(G1737="Medium",2,1))</f>
        <v>2</v>
      </c>
    </row>
    <row r="1738" customFormat="false" ht="15" hidden="false" customHeight="true" outlineLevel="0" collapsed="false">
      <c r="A1738" s="5" t="s">
        <v>4014</v>
      </c>
      <c r="B1738" s="5" t="s">
        <v>1550</v>
      </c>
      <c r="C1738" s="5" t="s">
        <v>2248</v>
      </c>
      <c r="D1738" s="5" t="s">
        <v>2322</v>
      </c>
      <c r="E1738" s="5" t="s">
        <v>59</v>
      </c>
      <c r="F1738" s="5" t="s">
        <v>2225</v>
      </c>
      <c r="G1738" s="5" t="str">
        <f aca="false">INDEX(Risk_Matrix!$B$2:$D$4,MATCH(E1738,Risk_Matrix!$A$2:$A$4,0),MATCH(F1738,Risk_Matrix!$B$1:$D$1,0))</f>
        <v>Low</v>
      </c>
      <c r="H1738" s="12" t="n">
        <v>46151</v>
      </c>
      <c r="I1738" s="5" t="s">
        <v>2250</v>
      </c>
      <c r="J1738" s="5" t="s">
        <v>2251</v>
      </c>
      <c r="K1738" s="5" t="s">
        <v>2276</v>
      </c>
      <c r="L1738" s="5" t="n">
        <f aca="false">IF(G1738="High",3,IF(G1738="Medium",2,1))</f>
        <v>1</v>
      </c>
    </row>
    <row r="1739" customFormat="false" ht="15" hidden="false" customHeight="true" outlineLevel="0" collapsed="false">
      <c r="A1739" s="5" t="s">
        <v>4015</v>
      </c>
      <c r="B1739" s="5" t="s">
        <v>1550</v>
      </c>
      <c r="C1739" s="5" t="s">
        <v>2254</v>
      </c>
      <c r="D1739" s="5" t="s">
        <v>2299</v>
      </c>
      <c r="E1739" s="5" t="s">
        <v>2225</v>
      </c>
      <c r="F1739" s="5" t="s">
        <v>2225</v>
      </c>
      <c r="G1739" s="5" t="str">
        <f aca="false">INDEX(Risk_Matrix!$B$2:$D$4,MATCH(E1739,Risk_Matrix!$A$2:$A$4,0),MATCH(F1739,Risk_Matrix!$B$1:$D$1,0))</f>
        <v>Medium</v>
      </c>
      <c r="H1739" s="12" t="n">
        <v>46176</v>
      </c>
      <c r="I1739" s="5" t="s">
        <v>2250</v>
      </c>
      <c r="J1739" s="5" t="s">
        <v>2251</v>
      </c>
      <c r="K1739" s="5" t="s">
        <v>2252</v>
      </c>
      <c r="L1739" s="5" t="n">
        <f aca="false">IF(G1739="High",3,IF(G1739="Medium",2,1))</f>
        <v>2</v>
      </c>
    </row>
    <row r="1740" customFormat="false" ht="15" hidden="false" customHeight="true" outlineLevel="0" collapsed="false">
      <c r="A1740" s="5" t="s">
        <v>4016</v>
      </c>
      <c r="B1740" s="5" t="s">
        <v>1550</v>
      </c>
      <c r="C1740" s="5" t="s">
        <v>2259</v>
      </c>
      <c r="D1740" s="5" t="s">
        <v>2285</v>
      </c>
      <c r="E1740" s="5" t="s">
        <v>2225</v>
      </c>
      <c r="F1740" s="5" t="s">
        <v>59</v>
      </c>
      <c r="G1740" s="5" t="str">
        <f aca="false">INDEX(Risk_Matrix!$B$2:$D$4,MATCH(E1740,Risk_Matrix!$A$2:$A$4,0),MATCH(F1740,Risk_Matrix!$B$1:$D$1,0))</f>
        <v>Low</v>
      </c>
      <c r="H1740" s="12" t="n">
        <v>46224</v>
      </c>
      <c r="I1740" s="5" t="s">
        <v>2264</v>
      </c>
      <c r="J1740" s="5" t="s">
        <v>2265</v>
      </c>
      <c r="K1740" s="5" t="s">
        <v>2252</v>
      </c>
      <c r="L1740" s="5" t="n">
        <f aca="false">IF(G1740="High",3,IF(G1740="Medium",2,1))</f>
        <v>1</v>
      </c>
    </row>
    <row r="1741" customFormat="false" ht="15" hidden="false" customHeight="true" outlineLevel="0" collapsed="false">
      <c r="A1741" s="5" t="s">
        <v>4017</v>
      </c>
      <c r="B1741" s="5" t="s">
        <v>1550</v>
      </c>
      <c r="C1741" s="5" t="s">
        <v>2262</v>
      </c>
      <c r="D1741" s="5" t="s">
        <v>2263</v>
      </c>
      <c r="E1741" s="5" t="s">
        <v>54</v>
      </c>
      <c r="F1741" s="5" t="s">
        <v>59</v>
      </c>
      <c r="G1741" s="5" t="str">
        <f aca="false">INDEX(Risk_Matrix!$B$2:$D$4,MATCH(E1741,Risk_Matrix!$A$2:$A$4,0),MATCH(F1741,Risk_Matrix!$B$1:$D$1,0))</f>
        <v>Medium</v>
      </c>
      <c r="H1741" s="12" t="n">
        <v>46141</v>
      </c>
      <c r="I1741" s="5" t="s">
        <v>2256</v>
      </c>
      <c r="J1741" s="5" t="s">
        <v>2257</v>
      </c>
      <c r="K1741" s="5" t="s">
        <v>2266</v>
      </c>
      <c r="L1741" s="5" t="n">
        <f aca="false">IF(G1741="High",3,IF(G1741="Medium",2,1))</f>
        <v>2</v>
      </c>
    </row>
    <row r="1742" customFormat="false" ht="15" hidden="false" customHeight="true" outlineLevel="0" collapsed="false">
      <c r="A1742" s="5" t="s">
        <v>4018</v>
      </c>
      <c r="B1742" s="5" t="s">
        <v>1552</v>
      </c>
      <c r="C1742" s="5" t="s">
        <v>2239</v>
      </c>
      <c r="D1742" s="5" t="s">
        <v>2278</v>
      </c>
      <c r="E1742" s="5" t="s">
        <v>59</v>
      </c>
      <c r="F1742" s="5" t="s">
        <v>59</v>
      </c>
      <c r="G1742" s="5" t="str">
        <f aca="false">INDEX(Risk_Matrix!$B$2:$D$4,MATCH(E1742,Risk_Matrix!$A$2:$A$4,0),MATCH(F1742,Risk_Matrix!$B$1:$D$1,0))</f>
        <v>Low</v>
      </c>
      <c r="H1742" s="12" t="n">
        <v>46103</v>
      </c>
      <c r="I1742" s="5" t="s">
        <v>2256</v>
      </c>
      <c r="J1742" s="5" t="s">
        <v>2257</v>
      </c>
      <c r="K1742" s="5" t="s">
        <v>2252</v>
      </c>
      <c r="L1742" s="5" t="n">
        <f aca="false">IF(G1742="High",3,IF(G1742="Medium",2,1))</f>
        <v>1</v>
      </c>
    </row>
    <row r="1743" customFormat="false" ht="15" hidden="false" customHeight="true" outlineLevel="0" collapsed="false">
      <c r="A1743" s="5" t="s">
        <v>4019</v>
      </c>
      <c r="B1743" s="5" t="s">
        <v>1552</v>
      </c>
      <c r="C1743" s="5" t="s">
        <v>2245</v>
      </c>
      <c r="D1743" s="5" t="s">
        <v>2246</v>
      </c>
      <c r="E1743" s="5" t="s">
        <v>59</v>
      </c>
      <c r="F1743" s="5" t="s">
        <v>2225</v>
      </c>
      <c r="G1743" s="5" t="str">
        <f aca="false">INDEX(Risk_Matrix!$B$2:$D$4,MATCH(E1743,Risk_Matrix!$A$2:$A$4,0),MATCH(F1743,Risk_Matrix!$B$1:$D$1,0))</f>
        <v>Low</v>
      </c>
      <c r="H1743" s="12" t="n">
        <v>46232</v>
      </c>
      <c r="I1743" s="5" t="s">
        <v>2250</v>
      </c>
      <c r="J1743" s="5" t="s">
        <v>2251</v>
      </c>
      <c r="K1743" s="5" t="s">
        <v>2252</v>
      </c>
      <c r="L1743" s="5" t="n">
        <f aca="false">IF(G1743="High",3,IF(G1743="Medium",2,1))</f>
        <v>1</v>
      </c>
    </row>
    <row r="1744" customFormat="false" ht="15" hidden="false" customHeight="true" outlineLevel="0" collapsed="false">
      <c r="A1744" s="5" t="s">
        <v>4020</v>
      </c>
      <c r="B1744" s="5" t="s">
        <v>1552</v>
      </c>
      <c r="C1744" s="5" t="s">
        <v>2248</v>
      </c>
      <c r="D1744" s="5" t="s">
        <v>2249</v>
      </c>
      <c r="E1744" s="5" t="s">
        <v>59</v>
      </c>
      <c r="F1744" s="5" t="s">
        <v>59</v>
      </c>
      <c r="G1744" s="5" t="str">
        <f aca="false">INDEX(Risk_Matrix!$B$2:$D$4,MATCH(E1744,Risk_Matrix!$A$2:$A$4,0),MATCH(F1744,Risk_Matrix!$B$1:$D$1,0))</f>
        <v>Low</v>
      </c>
      <c r="H1744" s="12" t="n">
        <v>46104</v>
      </c>
      <c r="I1744" s="5" t="s">
        <v>2256</v>
      </c>
      <c r="J1744" s="5" t="s">
        <v>2257</v>
      </c>
      <c r="K1744" s="5" t="s">
        <v>2283</v>
      </c>
      <c r="L1744" s="5" t="n">
        <f aca="false">IF(G1744="High",3,IF(G1744="Medium",2,1))</f>
        <v>1</v>
      </c>
    </row>
    <row r="1745" customFormat="false" ht="15" hidden="false" customHeight="true" outlineLevel="0" collapsed="false">
      <c r="A1745" s="5" t="s">
        <v>4021</v>
      </c>
      <c r="B1745" s="5" t="s">
        <v>1552</v>
      </c>
      <c r="C1745" s="5" t="s">
        <v>2254</v>
      </c>
      <c r="D1745" s="5" t="s">
        <v>2299</v>
      </c>
      <c r="E1745" s="5" t="s">
        <v>54</v>
      </c>
      <c r="F1745" s="5" t="s">
        <v>59</v>
      </c>
      <c r="G1745" s="5" t="str">
        <f aca="false">INDEX(Risk_Matrix!$B$2:$D$4,MATCH(E1745,Risk_Matrix!$A$2:$A$4,0),MATCH(F1745,Risk_Matrix!$B$1:$D$1,0))</f>
        <v>Medium</v>
      </c>
      <c r="H1745" s="12" t="n">
        <v>46171</v>
      </c>
      <c r="I1745" s="5" t="s">
        <v>2256</v>
      </c>
      <c r="J1745" s="5" t="s">
        <v>2257</v>
      </c>
      <c r="K1745" s="5" t="s">
        <v>2252</v>
      </c>
      <c r="L1745" s="5" t="n">
        <f aca="false">IF(G1745="High",3,IF(G1745="Medium",2,1))</f>
        <v>2</v>
      </c>
    </row>
    <row r="1746" customFormat="false" ht="15" hidden="false" customHeight="true" outlineLevel="0" collapsed="false">
      <c r="A1746" s="5" t="s">
        <v>4022</v>
      </c>
      <c r="B1746" s="5" t="s">
        <v>1552</v>
      </c>
      <c r="C1746" s="5" t="s">
        <v>2259</v>
      </c>
      <c r="D1746" s="5" t="s">
        <v>2274</v>
      </c>
      <c r="E1746" s="5" t="s">
        <v>54</v>
      </c>
      <c r="F1746" s="5" t="s">
        <v>59</v>
      </c>
      <c r="G1746" s="5" t="str">
        <f aca="false">INDEX(Risk_Matrix!$B$2:$D$4,MATCH(E1746,Risk_Matrix!$A$2:$A$4,0),MATCH(F1746,Risk_Matrix!$B$1:$D$1,0))</f>
        <v>Medium</v>
      </c>
      <c r="H1746" s="12" t="n">
        <v>46218</v>
      </c>
      <c r="I1746" s="5" t="s">
        <v>2256</v>
      </c>
      <c r="J1746" s="5" t="s">
        <v>2257</v>
      </c>
      <c r="K1746" s="5" t="s">
        <v>2266</v>
      </c>
      <c r="L1746" s="5" t="n">
        <f aca="false">IF(G1746="High",3,IF(G1746="Medium",2,1))</f>
        <v>2</v>
      </c>
    </row>
    <row r="1747" customFormat="false" ht="15" hidden="false" customHeight="true" outlineLevel="0" collapsed="false">
      <c r="A1747" s="5" t="s">
        <v>4023</v>
      </c>
      <c r="B1747" s="5" t="s">
        <v>1552</v>
      </c>
      <c r="C1747" s="5" t="s">
        <v>2262</v>
      </c>
      <c r="D1747" s="5" t="s">
        <v>2287</v>
      </c>
      <c r="E1747" s="5" t="s">
        <v>59</v>
      </c>
      <c r="F1747" s="5" t="s">
        <v>2225</v>
      </c>
      <c r="G1747" s="5" t="str">
        <f aca="false">INDEX(Risk_Matrix!$B$2:$D$4,MATCH(E1747,Risk_Matrix!$A$2:$A$4,0),MATCH(F1747,Risk_Matrix!$B$1:$D$1,0))</f>
        <v>Low</v>
      </c>
      <c r="H1747" s="12" t="n">
        <v>46100</v>
      </c>
      <c r="I1747" s="5" t="s">
        <v>2250</v>
      </c>
      <c r="J1747" s="5" t="s">
        <v>2251</v>
      </c>
      <c r="K1747" s="5" t="s">
        <v>2276</v>
      </c>
      <c r="L1747" s="5" t="n">
        <f aca="false">IF(G1747="High",3,IF(G1747="Medium",2,1))</f>
        <v>1</v>
      </c>
    </row>
    <row r="1748" customFormat="false" ht="15" hidden="false" customHeight="true" outlineLevel="0" collapsed="false">
      <c r="A1748" s="5" t="s">
        <v>4024</v>
      </c>
      <c r="B1748" s="5" t="s">
        <v>1554</v>
      </c>
      <c r="C1748" s="5" t="s">
        <v>2239</v>
      </c>
      <c r="D1748" s="5" t="s">
        <v>2278</v>
      </c>
      <c r="E1748" s="5" t="s">
        <v>54</v>
      </c>
      <c r="F1748" s="5" t="s">
        <v>2225</v>
      </c>
      <c r="G1748" s="5" t="str">
        <f aca="false">INDEX(Risk_Matrix!$B$2:$D$4,MATCH(E1748,Risk_Matrix!$A$2:$A$4,0),MATCH(F1748,Risk_Matrix!$B$1:$D$1,0))</f>
        <v>High</v>
      </c>
      <c r="H1748" s="12" t="n">
        <v>46135</v>
      </c>
      <c r="I1748" s="5" t="s">
        <v>2256</v>
      </c>
      <c r="J1748" s="5" t="s">
        <v>2257</v>
      </c>
      <c r="K1748" s="5" t="s">
        <v>2276</v>
      </c>
      <c r="L1748" s="5" t="n">
        <f aca="false">IF(G1748="High",3,IF(G1748="Medium",2,1))</f>
        <v>3</v>
      </c>
    </row>
    <row r="1749" customFormat="false" ht="15" hidden="false" customHeight="true" outlineLevel="0" collapsed="false">
      <c r="A1749" s="5" t="s">
        <v>4025</v>
      </c>
      <c r="B1749" s="5" t="s">
        <v>1554</v>
      </c>
      <c r="C1749" s="5" t="s">
        <v>2245</v>
      </c>
      <c r="D1749" s="5" t="s">
        <v>2269</v>
      </c>
      <c r="E1749" s="5" t="s">
        <v>54</v>
      </c>
      <c r="F1749" s="5" t="s">
        <v>59</v>
      </c>
      <c r="G1749" s="5" t="str">
        <f aca="false">INDEX(Risk_Matrix!$B$2:$D$4,MATCH(E1749,Risk_Matrix!$A$2:$A$4,0),MATCH(F1749,Risk_Matrix!$B$1:$D$1,0))</f>
        <v>Medium</v>
      </c>
      <c r="H1749" s="12" t="n">
        <v>46170</v>
      </c>
      <c r="I1749" s="5" t="s">
        <v>2250</v>
      </c>
      <c r="J1749" s="5" t="s">
        <v>2251</v>
      </c>
      <c r="K1749" s="5" t="s">
        <v>2276</v>
      </c>
      <c r="L1749" s="5" t="n">
        <f aca="false">IF(G1749="High",3,IF(G1749="Medium",2,1))</f>
        <v>2</v>
      </c>
    </row>
    <row r="1750" customFormat="false" ht="15" hidden="false" customHeight="true" outlineLevel="0" collapsed="false">
      <c r="A1750" s="5" t="s">
        <v>4026</v>
      </c>
      <c r="B1750" s="5" t="s">
        <v>1554</v>
      </c>
      <c r="C1750" s="5" t="s">
        <v>2248</v>
      </c>
      <c r="D1750" s="5" t="s">
        <v>2322</v>
      </c>
      <c r="E1750" s="5" t="s">
        <v>59</v>
      </c>
      <c r="F1750" s="5" t="s">
        <v>54</v>
      </c>
      <c r="G1750" s="5" t="str">
        <f aca="false">INDEX(Risk_Matrix!$B$2:$D$4,MATCH(E1750,Risk_Matrix!$A$2:$A$4,0),MATCH(F1750,Risk_Matrix!$B$1:$D$1,0))</f>
        <v>Medium</v>
      </c>
      <c r="H1750" s="12" t="n">
        <v>46211</v>
      </c>
      <c r="I1750" s="5" t="s">
        <v>2250</v>
      </c>
      <c r="J1750" s="5" t="s">
        <v>2251</v>
      </c>
      <c r="K1750" s="5" t="s">
        <v>2243</v>
      </c>
      <c r="L1750" s="5" t="n">
        <f aca="false">IF(G1750="High",3,IF(G1750="Medium",2,1))</f>
        <v>2</v>
      </c>
    </row>
    <row r="1751" customFormat="false" ht="15" hidden="false" customHeight="true" outlineLevel="0" collapsed="false">
      <c r="A1751" s="5" t="s">
        <v>4027</v>
      </c>
      <c r="B1751" s="5" t="s">
        <v>1554</v>
      </c>
      <c r="C1751" s="5" t="s">
        <v>2254</v>
      </c>
      <c r="D1751" s="5" t="s">
        <v>2255</v>
      </c>
      <c r="E1751" s="5" t="s">
        <v>59</v>
      </c>
      <c r="F1751" s="5" t="s">
        <v>59</v>
      </c>
      <c r="G1751" s="5" t="str">
        <f aca="false">INDEX(Risk_Matrix!$B$2:$D$4,MATCH(E1751,Risk_Matrix!$A$2:$A$4,0),MATCH(F1751,Risk_Matrix!$B$1:$D$1,0))</f>
        <v>Low</v>
      </c>
      <c r="H1751" s="12" t="n">
        <v>46171</v>
      </c>
      <c r="I1751" s="5" t="s">
        <v>2250</v>
      </c>
      <c r="J1751" s="5" t="s">
        <v>2251</v>
      </c>
      <c r="K1751" s="5" t="s">
        <v>2266</v>
      </c>
      <c r="L1751" s="5" t="n">
        <f aca="false">IF(G1751="High",3,IF(G1751="Medium",2,1))</f>
        <v>1</v>
      </c>
    </row>
    <row r="1752" customFormat="false" ht="15" hidden="false" customHeight="true" outlineLevel="0" collapsed="false">
      <c r="A1752" s="5" t="s">
        <v>4028</v>
      </c>
      <c r="B1752" s="5" t="s">
        <v>1554</v>
      </c>
      <c r="C1752" s="5" t="s">
        <v>2259</v>
      </c>
      <c r="D1752" s="5" t="s">
        <v>2285</v>
      </c>
      <c r="E1752" s="5" t="s">
        <v>54</v>
      </c>
      <c r="F1752" s="5" t="s">
        <v>54</v>
      </c>
      <c r="G1752" s="5" t="str">
        <f aca="false">INDEX(Risk_Matrix!$B$2:$D$4,MATCH(E1752,Risk_Matrix!$A$2:$A$4,0),MATCH(F1752,Risk_Matrix!$B$1:$D$1,0))</f>
        <v>High</v>
      </c>
      <c r="H1752" s="12" t="n">
        <v>46153</v>
      </c>
      <c r="I1752" s="5" t="s">
        <v>2256</v>
      </c>
      <c r="J1752" s="5" t="s">
        <v>2257</v>
      </c>
      <c r="K1752" s="5" t="s">
        <v>2266</v>
      </c>
      <c r="L1752" s="5" t="n">
        <f aca="false">IF(G1752="High",3,IF(G1752="Medium",2,1))</f>
        <v>3</v>
      </c>
    </row>
    <row r="1753" customFormat="false" ht="15" hidden="false" customHeight="true" outlineLevel="0" collapsed="false">
      <c r="A1753" s="5" t="s">
        <v>4029</v>
      </c>
      <c r="B1753" s="5" t="s">
        <v>1554</v>
      </c>
      <c r="C1753" s="5" t="s">
        <v>2262</v>
      </c>
      <c r="D1753" s="5" t="s">
        <v>2287</v>
      </c>
      <c r="E1753" s="5" t="s">
        <v>2225</v>
      </c>
      <c r="F1753" s="5" t="s">
        <v>2225</v>
      </c>
      <c r="G1753" s="5" t="str">
        <f aca="false">INDEX(Risk_Matrix!$B$2:$D$4,MATCH(E1753,Risk_Matrix!$A$2:$A$4,0),MATCH(F1753,Risk_Matrix!$B$1:$D$1,0))</f>
        <v>Medium</v>
      </c>
      <c r="H1753" s="12" t="n">
        <v>46077</v>
      </c>
      <c r="I1753" s="5" t="s">
        <v>2264</v>
      </c>
      <c r="J1753" s="5" t="s">
        <v>2265</v>
      </c>
      <c r="K1753" s="5" t="s">
        <v>2276</v>
      </c>
      <c r="L1753" s="5" t="n">
        <f aca="false">IF(G1753="High",3,IF(G1753="Medium",2,1))</f>
        <v>2</v>
      </c>
    </row>
    <row r="1754" customFormat="false" ht="15" hidden="false" customHeight="true" outlineLevel="0" collapsed="false">
      <c r="A1754" s="5" t="s">
        <v>4030</v>
      </c>
      <c r="B1754" s="5" t="s">
        <v>1556</v>
      </c>
      <c r="C1754" s="5" t="s">
        <v>2239</v>
      </c>
      <c r="D1754" s="5" t="s">
        <v>2295</v>
      </c>
      <c r="E1754" s="5" t="s">
        <v>59</v>
      </c>
      <c r="F1754" s="5" t="s">
        <v>2225</v>
      </c>
      <c r="G1754" s="5" t="str">
        <f aca="false">INDEX(Risk_Matrix!$B$2:$D$4,MATCH(E1754,Risk_Matrix!$A$2:$A$4,0),MATCH(F1754,Risk_Matrix!$B$1:$D$1,0))</f>
        <v>Low</v>
      </c>
      <c r="H1754" s="12" t="n">
        <v>46064</v>
      </c>
      <c r="I1754" s="5" t="s">
        <v>2256</v>
      </c>
      <c r="J1754" s="5" t="s">
        <v>2257</v>
      </c>
      <c r="K1754" s="5" t="s">
        <v>2283</v>
      </c>
      <c r="L1754" s="5" t="n">
        <f aca="false">IF(G1754="High",3,IF(G1754="Medium",2,1))</f>
        <v>1</v>
      </c>
    </row>
    <row r="1755" customFormat="false" ht="15" hidden="false" customHeight="true" outlineLevel="0" collapsed="false">
      <c r="A1755" s="5" t="s">
        <v>4031</v>
      </c>
      <c r="B1755" s="5" t="s">
        <v>1556</v>
      </c>
      <c r="C1755" s="5" t="s">
        <v>2245</v>
      </c>
      <c r="D1755" s="5" t="s">
        <v>2320</v>
      </c>
      <c r="E1755" s="5" t="s">
        <v>54</v>
      </c>
      <c r="F1755" s="5" t="s">
        <v>59</v>
      </c>
      <c r="G1755" s="5" t="str">
        <f aca="false">INDEX(Risk_Matrix!$B$2:$D$4,MATCH(E1755,Risk_Matrix!$A$2:$A$4,0),MATCH(F1755,Risk_Matrix!$B$1:$D$1,0))</f>
        <v>Medium</v>
      </c>
      <c r="H1755" s="12" t="n">
        <v>46169</v>
      </c>
      <c r="I1755" s="5" t="s">
        <v>2250</v>
      </c>
      <c r="J1755" s="5" t="s">
        <v>2251</v>
      </c>
      <c r="K1755" s="5" t="s">
        <v>2283</v>
      </c>
      <c r="L1755" s="5" t="n">
        <f aca="false">IF(G1755="High",3,IF(G1755="Medium",2,1))</f>
        <v>2</v>
      </c>
    </row>
    <row r="1756" customFormat="false" ht="15" hidden="false" customHeight="true" outlineLevel="0" collapsed="false">
      <c r="A1756" s="5" t="s">
        <v>4032</v>
      </c>
      <c r="B1756" s="5" t="s">
        <v>1556</v>
      </c>
      <c r="C1756" s="5" t="s">
        <v>2248</v>
      </c>
      <c r="D1756" s="5" t="s">
        <v>2322</v>
      </c>
      <c r="E1756" s="5" t="s">
        <v>59</v>
      </c>
      <c r="F1756" s="5" t="s">
        <v>59</v>
      </c>
      <c r="G1756" s="5" t="str">
        <f aca="false">INDEX(Risk_Matrix!$B$2:$D$4,MATCH(E1756,Risk_Matrix!$A$2:$A$4,0),MATCH(F1756,Risk_Matrix!$B$1:$D$1,0))</f>
        <v>Low</v>
      </c>
      <c r="H1756" s="12" t="n">
        <v>46082</v>
      </c>
      <c r="I1756" s="5" t="s">
        <v>2250</v>
      </c>
      <c r="J1756" s="5" t="s">
        <v>2251</v>
      </c>
      <c r="K1756" s="5" t="s">
        <v>2243</v>
      </c>
      <c r="L1756" s="5" t="n">
        <f aca="false">IF(G1756="High",3,IF(G1756="Medium",2,1))</f>
        <v>1</v>
      </c>
    </row>
    <row r="1757" customFormat="false" ht="15" hidden="false" customHeight="true" outlineLevel="0" collapsed="false">
      <c r="A1757" s="5" t="s">
        <v>4033</v>
      </c>
      <c r="B1757" s="5" t="s">
        <v>1556</v>
      </c>
      <c r="C1757" s="5" t="s">
        <v>2254</v>
      </c>
      <c r="D1757" s="5" t="s">
        <v>2255</v>
      </c>
      <c r="E1757" s="5" t="s">
        <v>2225</v>
      </c>
      <c r="F1757" s="5" t="s">
        <v>59</v>
      </c>
      <c r="G1757" s="5" t="str">
        <f aca="false">INDEX(Risk_Matrix!$B$2:$D$4,MATCH(E1757,Risk_Matrix!$A$2:$A$4,0),MATCH(F1757,Risk_Matrix!$B$1:$D$1,0))</f>
        <v>Low</v>
      </c>
      <c r="H1757" s="12" t="n">
        <v>46087</v>
      </c>
      <c r="I1757" s="5" t="s">
        <v>2256</v>
      </c>
      <c r="J1757" s="5" t="s">
        <v>2257</v>
      </c>
      <c r="K1757" s="5" t="s">
        <v>2243</v>
      </c>
      <c r="L1757" s="5" t="n">
        <f aca="false">IF(G1757="High",3,IF(G1757="Medium",2,1))</f>
        <v>1</v>
      </c>
    </row>
    <row r="1758" customFormat="false" ht="15" hidden="false" customHeight="true" outlineLevel="0" collapsed="false">
      <c r="A1758" s="5" t="s">
        <v>4034</v>
      </c>
      <c r="B1758" s="5" t="s">
        <v>1556</v>
      </c>
      <c r="C1758" s="5" t="s">
        <v>2259</v>
      </c>
      <c r="D1758" s="5" t="s">
        <v>2285</v>
      </c>
      <c r="E1758" s="5" t="s">
        <v>59</v>
      </c>
      <c r="F1758" s="5" t="s">
        <v>59</v>
      </c>
      <c r="G1758" s="5" t="str">
        <f aca="false">INDEX(Risk_Matrix!$B$2:$D$4,MATCH(E1758,Risk_Matrix!$A$2:$A$4,0),MATCH(F1758,Risk_Matrix!$B$1:$D$1,0))</f>
        <v>Low</v>
      </c>
      <c r="H1758" s="12" t="n">
        <v>46207</v>
      </c>
      <c r="I1758" s="5" t="s">
        <v>2264</v>
      </c>
      <c r="J1758" s="5" t="s">
        <v>2265</v>
      </c>
      <c r="K1758" s="5" t="s">
        <v>2243</v>
      </c>
      <c r="L1758" s="5" t="n">
        <f aca="false">IF(G1758="High",3,IF(G1758="Medium",2,1))</f>
        <v>1</v>
      </c>
    </row>
    <row r="1759" customFormat="false" ht="15" hidden="false" customHeight="true" outlineLevel="0" collapsed="false">
      <c r="A1759" s="5" t="s">
        <v>4035</v>
      </c>
      <c r="B1759" s="5" t="s">
        <v>1556</v>
      </c>
      <c r="C1759" s="5" t="s">
        <v>2262</v>
      </c>
      <c r="D1759" s="5" t="s">
        <v>2311</v>
      </c>
      <c r="E1759" s="5" t="s">
        <v>2225</v>
      </c>
      <c r="F1759" s="5" t="s">
        <v>59</v>
      </c>
      <c r="G1759" s="5" t="str">
        <f aca="false">INDEX(Risk_Matrix!$B$2:$D$4,MATCH(E1759,Risk_Matrix!$A$2:$A$4,0),MATCH(F1759,Risk_Matrix!$B$1:$D$1,0))</f>
        <v>Low</v>
      </c>
      <c r="H1759" s="12" t="n">
        <v>46135</v>
      </c>
      <c r="I1759" s="5" t="s">
        <v>2241</v>
      </c>
      <c r="J1759" s="5" t="s">
        <v>2242</v>
      </c>
      <c r="K1759" s="5" t="s">
        <v>2283</v>
      </c>
      <c r="L1759" s="5" t="n">
        <f aca="false">IF(G1759="High",3,IF(G1759="Medium",2,1))</f>
        <v>1</v>
      </c>
    </row>
    <row r="1760" customFormat="false" ht="15" hidden="false" customHeight="true" outlineLevel="0" collapsed="false">
      <c r="A1760" s="5" t="s">
        <v>4036</v>
      </c>
      <c r="B1760" s="5" t="s">
        <v>1559</v>
      </c>
      <c r="C1760" s="5" t="s">
        <v>2239</v>
      </c>
      <c r="D1760" s="5" t="s">
        <v>2303</v>
      </c>
      <c r="E1760" s="5" t="s">
        <v>2225</v>
      </c>
      <c r="F1760" s="5" t="s">
        <v>2225</v>
      </c>
      <c r="G1760" s="5" t="str">
        <f aca="false">INDEX(Risk_Matrix!$B$2:$D$4,MATCH(E1760,Risk_Matrix!$A$2:$A$4,0),MATCH(F1760,Risk_Matrix!$B$1:$D$1,0))</f>
        <v>Medium</v>
      </c>
      <c r="H1760" s="12" t="n">
        <v>46074</v>
      </c>
      <c r="I1760" s="5" t="s">
        <v>2250</v>
      </c>
      <c r="J1760" s="5" t="s">
        <v>2251</v>
      </c>
      <c r="K1760" s="5" t="s">
        <v>2283</v>
      </c>
      <c r="L1760" s="5" t="n">
        <f aca="false">IF(G1760="High",3,IF(G1760="Medium",2,1))</f>
        <v>2</v>
      </c>
    </row>
    <row r="1761" customFormat="false" ht="15" hidden="false" customHeight="true" outlineLevel="0" collapsed="false">
      <c r="A1761" s="5" t="s">
        <v>4037</v>
      </c>
      <c r="B1761" s="5" t="s">
        <v>1559</v>
      </c>
      <c r="C1761" s="5" t="s">
        <v>2245</v>
      </c>
      <c r="D1761" s="5" t="s">
        <v>2246</v>
      </c>
      <c r="E1761" s="5" t="s">
        <v>54</v>
      </c>
      <c r="F1761" s="5" t="s">
        <v>59</v>
      </c>
      <c r="G1761" s="5" t="str">
        <f aca="false">INDEX(Risk_Matrix!$B$2:$D$4,MATCH(E1761,Risk_Matrix!$A$2:$A$4,0),MATCH(F1761,Risk_Matrix!$B$1:$D$1,0))</f>
        <v>Medium</v>
      </c>
      <c r="H1761" s="12" t="n">
        <v>46179</v>
      </c>
      <c r="I1761" s="5" t="s">
        <v>2250</v>
      </c>
      <c r="J1761" s="5" t="s">
        <v>2251</v>
      </c>
      <c r="K1761" s="5" t="s">
        <v>2266</v>
      </c>
      <c r="L1761" s="5" t="n">
        <f aca="false">IF(G1761="High",3,IF(G1761="Medium",2,1))</f>
        <v>2</v>
      </c>
    </row>
    <row r="1762" customFormat="false" ht="15" hidden="false" customHeight="true" outlineLevel="0" collapsed="false">
      <c r="A1762" s="5" t="s">
        <v>4038</v>
      </c>
      <c r="B1762" s="5" t="s">
        <v>1559</v>
      </c>
      <c r="C1762" s="5" t="s">
        <v>2248</v>
      </c>
      <c r="D1762" s="5" t="s">
        <v>2306</v>
      </c>
      <c r="E1762" s="5" t="s">
        <v>2225</v>
      </c>
      <c r="F1762" s="5" t="s">
        <v>2225</v>
      </c>
      <c r="G1762" s="5" t="str">
        <f aca="false">INDEX(Risk_Matrix!$B$2:$D$4,MATCH(E1762,Risk_Matrix!$A$2:$A$4,0),MATCH(F1762,Risk_Matrix!$B$1:$D$1,0))</f>
        <v>Medium</v>
      </c>
      <c r="H1762" s="12" t="n">
        <v>46183</v>
      </c>
      <c r="I1762" s="5" t="s">
        <v>2256</v>
      </c>
      <c r="J1762" s="5" t="s">
        <v>2257</v>
      </c>
      <c r="K1762" s="5" t="s">
        <v>2252</v>
      </c>
      <c r="L1762" s="5" t="n">
        <f aca="false">IF(G1762="High",3,IF(G1762="Medium",2,1))</f>
        <v>2</v>
      </c>
    </row>
    <row r="1763" customFormat="false" ht="15" hidden="false" customHeight="true" outlineLevel="0" collapsed="false">
      <c r="A1763" s="5" t="s">
        <v>4039</v>
      </c>
      <c r="B1763" s="5" t="s">
        <v>1559</v>
      </c>
      <c r="C1763" s="5" t="s">
        <v>2254</v>
      </c>
      <c r="D1763" s="5" t="s">
        <v>2255</v>
      </c>
      <c r="E1763" s="5" t="s">
        <v>2225</v>
      </c>
      <c r="F1763" s="5" t="s">
        <v>2225</v>
      </c>
      <c r="G1763" s="5" t="str">
        <f aca="false">INDEX(Risk_Matrix!$B$2:$D$4,MATCH(E1763,Risk_Matrix!$A$2:$A$4,0),MATCH(F1763,Risk_Matrix!$B$1:$D$1,0))</f>
        <v>Medium</v>
      </c>
      <c r="H1763" s="12" t="n">
        <v>46060</v>
      </c>
      <c r="I1763" s="5" t="s">
        <v>2250</v>
      </c>
      <c r="J1763" s="5" t="s">
        <v>2251</v>
      </c>
      <c r="K1763" s="5" t="s">
        <v>2276</v>
      </c>
      <c r="L1763" s="5" t="n">
        <f aca="false">IF(G1763="High",3,IF(G1763="Medium",2,1))</f>
        <v>2</v>
      </c>
    </row>
    <row r="1764" customFormat="false" ht="15" hidden="false" customHeight="true" outlineLevel="0" collapsed="false">
      <c r="A1764" s="5" t="s">
        <v>4040</v>
      </c>
      <c r="B1764" s="5" t="s">
        <v>1559</v>
      </c>
      <c r="C1764" s="5" t="s">
        <v>2259</v>
      </c>
      <c r="D1764" s="5" t="s">
        <v>2274</v>
      </c>
      <c r="E1764" s="5" t="s">
        <v>59</v>
      </c>
      <c r="F1764" s="5" t="s">
        <v>59</v>
      </c>
      <c r="G1764" s="5" t="str">
        <f aca="false">INDEX(Risk_Matrix!$B$2:$D$4,MATCH(E1764,Risk_Matrix!$A$2:$A$4,0),MATCH(F1764,Risk_Matrix!$B$1:$D$1,0))</f>
        <v>Low</v>
      </c>
      <c r="H1764" s="12" t="n">
        <v>46073</v>
      </c>
      <c r="I1764" s="5" t="s">
        <v>2256</v>
      </c>
      <c r="J1764" s="5" t="s">
        <v>2257</v>
      </c>
      <c r="K1764" s="5" t="s">
        <v>2276</v>
      </c>
      <c r="L1764" s="5" t="n">
        <f aca="false">IF(G1764="High",3,IF(G1764="Medium",2,1))</f>
        <v>1</v>
      </c>
    </row>
    <row r="1765" customFormat="false" ht="15" hidden="false" customHeight="true" outlineLevel="0" collapsed="false">
      <c r="A1765" s="5" t="s">
        <v>4041</v>
      </c>
      <c r="B1765" s="5" t="s">
        <v>1559</v>
      </c>
      <c r="C1765" s="5" t="s">
        <v>2262</v>
      </c>
      <c r="D1765" s="5" t="s">
        <v>2311</v>
      </c>
      <c r="E1765" s="5" t="s">
        <v>59</v>
      </c>
      <c r="F1765" s="5" t="s">
        <v>59</v>
      </c>
      <c r="G1765" s="5" t="str">
        <f aca="false">INDEX(Risk_Matrix!$B$2:$D$4,MATCH(E1765,Risk_Matrix!$A$2:$A$4,0),MATCH(F1765,Risk_Matrix!$B$1:$D$1,0))</f>
        <v>Low</v>
      </c>
      <c r="H1765" s="12" t="n">
        <v>46064</v>
      </c>
      <c r="I1765" s="5" t="s">
        <v>2250</v>
      </c>
      <c r="J1765" s="5" t="s">
        <v>2251</v>
      </c>
      <c r="K1765" s="5" t="s">
        <v>2252</v>
      </c>
      <c r="L1765" s="5" t="n">
        <f aca="false">IF(G1765="High",3,IF(G1765="Medium",2,1))</f>
        <v>1</v>
      </c>
    </row>
    <row r="1766" customFormat="false" ht="15" hidden="false" customHeight="true" outlineLevel="0" collapsed="false">
      <c r="A1766" s="5" t="s">
        <v>4042</v>
      </c>
      <c r="B1766" s="5" t="s">
        <v>1561</v>
      </c>
      <c r="C1766" s="5" t="s">
        <v>2239</v>
      </c>
      <c r="D1766" s="5" t="s">
        <v>2295</v>
      </c>
      <c r="E1766" s="5" t="s">
        <v>2225</v>
      </c>
      <c r="F1766" s="5" t="s">
        <v>54</v>
      </c>
      <c r="G1766" s="5" t="str">
        <f aca="false">INDEX(Risk_Matrix!$B$2:$D$4,MATCH(E1766,Risk_Matrix!$A$2:$A$4,0),MATCH(F1766,Risk_Matrix!$B$1:$D$1,0))</f>
        <v>High</v>
      </c>
      <c r="H1766" s="12" t="n">
        <v>46139</v>
      </c>
      <c r="I1766" s="5" t="s">
        <v>2256</v>
      </c>
      <c r="J1766" s="5" t="s">
        <v>2257</v>
      </c>
      <c r="K1766" s="5" t="s">
        <v>2252</v>
      </c>
      <c r="L1766" s="5" t="n">
        <f aca="false">IF(G1766="High",3,IF(G1766="Medium",2,1))</f>
        <v>3</v>
      </c>
    </row>
    <row r="1767" customFormat="false" ht="15" hidden="false" customHeight="true" outlineLevel="0" collapsed="false">
      <c r="A1767" s="5" t="s">
        <v>4043</v>
      </c>
      <c r="B1767" s="5" t="s">
        <v>1561</v>
      </c>
      <c r="C1767" s="5" t="s">
        <v>2245</v>
      </c>
      <c r="D1767" s="5" t="s">
        <v>2320</v>
      </c>
      <c r="E1767" s="5" t="s">
        <v>54</v>
      </c>
      <c r="F1767" s="5" t="s">
        <v>54</v>
      </c>
      <c r="G1767" s="5" t="str">
        <f aca="false">INDEX(Risk_Matrix!$B$2:$D$4,MATCH(E1767,Risk_Matrix!$A$2:$A$4,0),MATCH(F1767,Risk_Matrix!$B$1:$D$1,0))</f>
        <v>High</v>
      </c>
      <c r="H1767" s="12" t="n">
        <v>46113</v>
      </c>
      <c r="I1767" s="5" t="s">
        <v>2250</v>
      </c>
      <c r="J1767" s="5" t="s">
        <v>2251</v>
      </c>
      <c r="K1767" s="5" t="s">
        <v>2243</v>
      </c>
      <c r="L1767" s="5" t="n">
        <f aca="false">IF(G1767="High",3,IF(G1767="Medium",2,1))</f>
        <v>3</v>
      </c>
    </row>
    <row r="1768" customFormat="false" ht="15" hidden="false" customHeight="true" outlineLevel="0" collapsed="false">
      <c r="A1768" s="5" t="s">
        <v>4044</v>
      </c>
      <c r="B1768" s="5" t="s">
        <v>1561</v>
      </c>
      <c r="C1768" s="5" t="s">
        <v>2248</v>
      </c>
      <c r="D1768" s="5" t="s">
        <v>2249</v>
      </c>
      <c r="E1768" s="5" t="s">
        <v>59</v>
      </c>
      <c r="F1768" s="5" t="s">
        <v>59</v>
      </c>
      <c r="G1768" s="5" t="str">
        <f aca="false">INDEX(Risk_Matrix!$B$2:$D$4,MATCH(E1768,Risk_Matrix!$A$2:$A$4,0),MATCH(F1768,Risk_Matrix!$B$1:$D$1,0))</f>
        <v>Low</v>
      </c>
      <c r="H1768" s="12" t="n">
        <v>46198</v>
      </c>
      <c r="I1768" s="5" t="s">
        <v>2250</v>
      </c>
      <c r="J1768" s="5" t="s">
        <v>2251</v>
      </c>
      <c r="K1768" s="5" t="s">
        <v>2276</v>
      </c>
      <c r="L1768" s="5" t="n">
        <f aca="false">IF(G1768="High",3,IF(G1768="Medium",2,1))</f>
        <v>1</v>
      </c>
    </row>
    <row r="1769" customFormat="false" ht="15" hidden="false" customHeight="true" outlineLevel="0" collapsed="false">
      <c r="A1769" s="5" t="s">
        <v>4045</v>
      </c>
      <c r="B1769" s="5" t="s">
        <v>1561</v>
      </c>
      <c r="C1769" s="5" t="s">
        <v>2254</v>
      </c>
      <c r="D1769" s="5" t="s">
        <v>2255</v>
      </c>
      <c r="E1769" s="5" t="s">
        <v>2225</v>
      </c>
      <c r="F1769" s="5" t="s">
        <v>2225</v>
      </c>
      <c r="G1769" s="5" t="str">
        <f aca="false">INDEX(Risk_Matrix!$B$2:$D$4,MATCH(E1769,Risk_Matrix!$A$2:$A$4,0),MATCH(F1769,Risk_Matrix!$B$1:$D$1,0))</f>
        <v>Medium</v>
      </c>
      <c r="H1769" s="12" t="n">
        <v>46210</v>
      </c>
      <c r="I1769" s="5" t="s">
        <v>2256</v>
      </c>
      <c r="J1769" s="5" t="s">
        <v>2257</v>
      </c>
      <c r="K1769" s="5" t="s">
        <v>2252</v>
      </c>
      <c r="L1769" s="5" t="n">
        <f aca="false">IF(G1769="High",3,IF(G1769="Medium",2,1))</f>
        <v>2</v>
      </c>
    </row>
    <row r="1770" customFormat="false" ht="15" hidden="false" customHeight="true" outlineLevel="0" collapsed="false">
      <c r="A1770" s="5" t="s">
        <v>4046</v>
      </c>
      <c r="B1770" s="5" t="s">
        <v>1561</v>
      </c>
      <c r="C1770" s="5" t="s">
        <v>2259</v>
      </c>
      <c r="D1770" s="5" t="s">
        <v>2260</v>
      </c>
      <c r="E1770" s="5" t="s">
        <v>59</v>
      </c>
      <c r="F1770" s="5" t="s">
        <v>59</v>
      </c>
      <c r="G1770" s="5" t="str">
        <f aca="false">INDEX(Risk_Matrix!$B$2:$D$4,MATCH(E1770,Risk_Matrix!$A$2:$A$4,0),MATCH(F1770,Risk_Matrix!$B$1:$D$1,0))</f>
        <v>Low</v>
      </c>
      <c r="H1770" s="12" t="n">
        <v>46117</v>
      </c>
      <c r="I1770" s="5" t="s">
        <v>2264</v>
      </c>
      <c r="J1770" s="5" t="s">
        <v>2265</v>
      </c>
      <c r="K1770" s="5" t="s">
        <v>2283</v>
      </c>
      <c r="L1770" s="5" t="n">
        <f aca="false">IF(G1770="High",3,IF(G1770="Medium",2,1))</f>
        <v>1</v>
      </c>
    </row>
    <row r="1771" customFormat="false" ht="15" hidden="false" customHeight="true" outlineLevel="0" collapsed="false">
      <c r="A1771" s="5" t="s">
        <v>4047</v>
      </c>
      <c r="B1771" s="5" t="s">
        <v>1561</v>
      </c>
      <c r="C1771" s="5" t="s">
        <v>2262</v>
      </c>
      <c r="D1771" s="5" t="s">
        <v>2287</v>
      </c>
      <c r="E1771" s="5" t="s">
        <v>2225</v>
      </c>
      <c r="F1771" s="5" t="s">
        <v>59</v>
      </c>
      <c r="G1771" s="5" t="str">
        <f aca="false">INDEX(Risk_Matrix!$B$2:$D$4,MATCH(E1771,Risk_Matrix!$A$2:$A$4,0),MATCH(F1771,Risk_Matrix!$B$1:$D$1,0))</f>
        <v>Low</v>
      </c>
      <c r="H1771" s="12" t="n">
        <v>46123</v>
      </c>
      <c r="I1771" s="5" t="s">
        <v>2250</v>
      </c>
      <c r="J1771" s="5" t="s">
        <v>2251</v>
      </c>
      <c r="K1771" s="5" t="s">
        <v>2266</v>
      </c>
      <c r="L1771" s="5" t="n">
        <f aca="false">IF(G1771="High",3,IF(G1771="Medium",2,1))</f>
        <v>1</v>
      </c>
    </row>
    <row r="1772" customFormat="false" ht="15" hidden="false" customHeight="true" outlineLevel="0" collapsed="false">
      <c r="A1772" s="5" t="s">
        <v>4048</v>
      </c>
      <c r="B1772" s="5" t="s">
        <v>1562</v>
      </c>
      <c r="C1772" s="5" t="s">
        <v>2239</v>
      </c>
      <c r="D1772" s="5" t="s">
        <v>2278</v>
      </c>
      <c r="E1772" s="5" t="s">
        <v>2225</v>
      </c>
      <c r="F1772" s="5" t="s">
        <v>54</v>
      </c>
      <c r="G1772" s="5" t="str">
        <f aca="false">INDEX(Risk_Matrix!$B$2:$D$4,MATCH(E1772,Risk_Matrix!$A$2:$A$4,0),MATCH(F1772,Risk_Matrix!$B$1:$D$1,0))</f>
        <v>High</v>
      </c>
      <c r="H1772" s="12" t="n">
        <v>46116</v>
      </c>
      <c r="I1772" s="5" t="s">
        <v>2256</v>
      </c>
      <c r="J1772" s="5" t="s">
        <v>2257</v>
      </c>
      <c r="K1772" s="5" t="s">
        <v>2266</v>
      </c>
      <c r="L1772" s="5" t="n">
        <f aca="false">IF(G1772="High",3,IF(G1772="Medium",2,1))</f>
        <v>3</v>
      </c>
    </row>
    <row r="1773" customFormat="false" ht="15" hidden="false" customHeight="true" outlineLevel="0" collapsed="false">
      <c r="A1773" s="5" t="s">
        <v>4049</v>
      </c>
      <c r="B1773" s="5" t="s">
        <v>1562</v>
      </c>
      <c r="C1773" s="5" t="s">
        <v>2245</v>
      </c>
      <c r="D1773" s="5" t="s">
        <v>2280</v>
      </c>
      <c r="E1773" s="5" t="s">
        <v>54</v>
      </c>
      <c r="F1773" s="5" t="s">
        <v>59</v>
      </c>
      <c r="G1773" s="5" t="str">
        <f aca="false">INDEX(Risk_Matrix!$B$2:$D$4,MATCH(E1773,Risk_Matrix!$A$2:$A$4,0),MATCH(F1773,Risk_Matrix!$B$1:$D$1,0))</f>
        <v>Medium</v>
      </c>
      <c r="H1773" s="12" t="n">
        <v>46114</v>
      </c>
      <c r="I1773" s="5" t="s">
        <v>2256</v>
      </c>
      <c r="J1773" s="5" t="s">
        <v>2257</v>
      </c>
      <c r="K1773" s="5" t="s">
        <v>2243</v>
      </c>
      <c r="L1773" s="5" t="n">
        <f aca="false">IF(G1773="High",3,IF(G1773="Medium",2,1))</f>
        <v>2</v>
      </c>
    </row>
    <row r="1774" customFormat="false" ht="15" hidden="false" customHeight="true" outlineLevel="0" collapsed="false">
      <c r="A1774" s="5" t="s">
        <v>4050</v>
      </c>
      <c r="B1774" s="5" t="s">
        <v>1562</v>
      </c>
      <c r="C1774" s="5" t="s">
        <v>2248</v>
      </c>
      <c r="D1774" s="5" t="s">
        <v>2322</v>
      </c>
      <c r="E1774" s="5" t="s">
        <v>54</v>
      </c>
      <c r="F1774" s="5" t="s">
        <v>2225</v>
      </c>
      <c r="G1774" s="5" t="str">
        <f aca="false">INDEX(Risk_Matrix!$B$2:$D$4,MATCH(E1774,Risk_Matrix!$A$2:$A$4,0),MATCH(F1774,Risk_Matrix!$B$1:$D$1,0))</f>
        <v>High</v>
      </c>
      <c r="H1774" s="12" t="n">
        <v>46201</v>
      </c>
      <c r="I1774" s="5" t="s">
        <v>2250</v>
      </c>
      <c r="J1774" s="5" t="s">
        <v>2251</v>
      </c>
      <c r="K1774" s="5" t="s">
        <v>2276</v>
      </c>
      <c r="L1774" s="5" t="n">
        <f aca="false">IF(G1774="High",3,IF(G1774="Medium",2,1))</f>
        <v>3</v>
      </c>
    </row>
    <row r="1775" customFormat="false" ht="15" hidden="false" customHeight="true" outlineLevel="0" collapsed="false">
      <c r="A1775" s="5" t="s">
        <v>4051</v>
      </c>
      <c r="B1775" s="5" t="s">
        <v>1562</v>
      </c>
      <c r="C1775" s="5" t="s">
        <v>2254</v>
      </c>
      <c r="D1775" s="5" t="s">
        <v>2308</v>
      </c>
      <c r="E1775" s="5" t="s">
        <v>2225</v>
      </c>
      <c r="F1775" s="5" t="s">
        <v>2225</v>
      </c>
      <c r="G1775" s="5" t="str">
        <f aca="false">INDEX(Risk_Matrix!$B$2:$D$4,MATCH(E1775,Risk_Matrix!$A$2:$A$4,0),MATCH(F1775,Risk_Matrix!$B$1:$D$1,0))</f>
        <v>Medium</v>
      </c>
      <c r="H1775" s="12" t="n">
        <v>46169</v>
      </c>
      <c r="I1775" s="5" t="s">
        <v>2250</v>
      </c>
      <c r="J1775" s="5" t="s">
        <v>2251</v>
      </c>
      <c r="K1775" s="5" t="s">
        <v>2283</v>
      </c>
      <c r="L1775" s="5" t="n">
        <f aca="false">IF(G1775="High",3,IF(G1775="Medium",2,1))</f>
        <v>2</v>
      </c>
    </row>
    <row r="1776" customFormat="false" ht="15" hidden="false" customHeight="true" outlineLevel="0" collapsed="false">
      <c r="A1776" s="5" t="s">
        <v>4052</v>
      </c>
      <c r="B1776" s="5" t="s">
        <v>1562</v>
      </c>
      <c r="C1776" s="5" t="s">
        <v>2259</v>
      </c>
      <c r="D1776" s="5" t="s">
        <v>2274</v>
      </c>
      <c r="E1776" s="5" t="s">
        <v>2225</v>
      </c>
      <c r="F1776" s="5" t="s">
        <v>59</v>
      </c>
      <c r="G1776" s="5" t="str">
        <f aca="false">INDEX(Risk_Matrix!$B$2:$D$4,MATCH(E1776,Risk_Matrix!$A$2:$A$4,0),MATCH(F1776,Risk_Matrix!$B$1:$D$1,0))</f>
        <v>Low</v>
      </c>
      <c r="H1776" s="12" t="n">
        <v>46211</v>
      </c>
      <c r="I1776" s="5" t="s">
        <v>2250</v>
      </c>
      <c r="J1776" s="5" t="s">
        <v>2251</v>
      </c>
      <c r="K1776" s="5" t="s">
        <v>2266</v>
      </c>
      <c r="L1776" s="5" t="n">
        <f aca="false">IF(G1776="High",3,IF(G1776="Medium",2,1))</f>
        <v>1</v>
      </c>
    </row>
    <row r="1777" customFormat="false" ht="15" hidden="false" customHeight="true" outlineLevel="0" collapsed="false">
      <c r="A1777" s="5" t="s">
        <v>4053</v>
      </c>
      <c r="B1777" s="5" t="s">
        <v>1562</v>
      </c>
      <c r="C1777" s="5" t="s">
        <v>2262</v>
      </c>
      <c r="D1777" s="5" t="s">
        <v>2311</v>
      </c>
      <c r="E1777" s="5" t="s">
        <v>59</v>
      </c>
      <c r="F1777" s="5" t="s">
        <v>59</v>
      </c>
      <c r="G1777" s="5" t="str">
        <f aca="false">INDEX(Risk_Matrix!$B$2:$D$4,MATCH(E1777,Risk_Matrix!$A$2:$A$4,0),MATCH(F1777,Risk_Matrix!$B$1:$D$1,0))</f>
        <v>Low</v>
      </c>
      <c r="H1777" s="12" t="n">
        <v>46096</v>
      </c>
      <c r="I1777" s="5" t="s">
        <v>2241</v>
      </c>
      <c r="J1777" s="5" t="s">
        <v>2242</v>
      </c>
      <c r="K1777" s="5" t="s">
        <v>2283</v>
      </c>
      <c r="L1777" s="5" t="n">
        <f aca="false">IF(G1777="High",3,IF(G1777="Medium",2,1))</f>
        <v>1</v>
      </c>
    </row>
    <row r="1778" customFormat="false" ht="15" hidden="false" customHeight="true" outlineLevel="0" collapsed="false">
      <c r="A1778" s="5" t="s">
        <v>4054</v>
      </c>
      <c r="B1778" s="5" t="s">
        <v>1565</v>
      </c>
      <c r="C1778" s="5" t="s">
        <v>2239</v>
      </c>
      <c r="D1778" s="5" t="s">
        <v>2303</v>
      </c>
      <c r="E1778" s="5" t="s">
        <v>2225</v>
      </c>
      <c r="F1778" s="5" t="s">
        <v>54</v>
      </c>
      <c r="G1778" s="5" t="str">
        <f aca="false">INDEX(Risk_Matrix!$B$2:$D$4,MATCH(E1778,Risk_Matrix!$A$2:$A$4,0),MATCH(F1778,Risk_Matrix!$B$1:$D$1,0))</f>
        <v>High</v>
      </c>
      <c r="H1778" s="12" t="n">
        <v>46233</v>
      </c>
      <c r="I1778" s="5" t="s">
        <v>2256</v>
      </c>
      <c r="J1778" s="5" t="s">
        <v>2257</v>
      </c>
      <c r="K1778" s="5" t="s">
        <v>2252</v>
      </c>
      <c r="L1778" s="5" t="n">
        <f aca="false">IF(G1778="High",3,IF(G1778="Medium",2,1))</f>
        <v>3</v>
      </c>
    </row>
    <row r="1779" customFormat="false" ht="15" hidden="false" customHeight="true" outlineLevel="0" collapsed="false">
      <c r="A1779" s="5" t="s">
        <v>4055</v>
      </c>
      <c r="B1779" s="5" t="s">
        <v>1565</v>
      </c>
      <c r="C1779" s="5" t="s">
        <v>2245</v>
      </c>
      <c r="D1779" s="5" t="s">
        <v>2280</v>
      </c>
      <c r="E1779" s="5" t="s">
        <v>2225</v>
      </c>
      <c r="F1779" s="5" t="s">
        <v>59</v>
      </c>
      <c r="G1779" s="5" t="str">
        <f aca="false">INDEX(Risk_Matrix!$B$2:$D$4,MATCH(E1779,Risk_Matrix!$A$2:$A$4,0),MATCH(F1779,Risk_Matrix!$B$1:$D$1,0))</f>
        <v>Low</v>
      </c>
      <c r="H1779" s="12" t="n">
        <v>46211</v>
      </c>
      <c r="I1779" s="5" t="s">
        <v>2256</v>
      </c>
      <c r="J1779" s="5" t="s">
        <v>2257</v>
      </c>
      <c r="K1779" s="5" t="s">
        <v>2252</v>
      </c>
      <c r="L1779" s="5" t="n">
        <f aca="false">IF(G1779="High",3,IF(G1779="Medium",2,1))</f>
        <v>1</v>
      </c>
    </row>
    <row r="1780" customFormat="false" ht="15" hidden="false" customHeight="true" outlineLevel="0" collapsed="false">
      <c r="A1780" s="5" t="s">
        <v>4056</v>
      </c>
      <c r="B1780" s="5" t="s">
        <v>1565</v>
      </c>
      <c r="C1780" s="5" t="s">
        <v>2248</v>
      </c>
      <c r="D1780" s="5" t="s">
        <v>2271</v>
      </c>
      <c r="E1780" s="5" t="s">
        <v>59</v>
      </c>
      <c r="F1780" s="5" t="s">
        <v>2225</v>
      </c>
      <c r="G1780" s="5" t="str">
        <f aca="false">INDEX(Risk_Matrix!$B$2:$D$4,MATCH(E1780,Risk_Matrix!$A$2:$A$4,0),MATCH(F1780,Risk_Matrix!$B$1:$D$1,0))</f>
        <v>Low</v>
      </c>
      <c r="H1780" s="12" t="n">
        <v>46078</v>
      </c>
      <c r="I1780" s="5" t="s">
        <v>2250</v>
      </c>
      <c r="J1780" s="5" t="s">
        <v>2251</v>
      </c>
      <c r="K1780" s="5" t="s">
        <v>2243</v>
      </c>
      <c r="L1780" s="5" t="n">
        <f aca="false">IF(G1780="High",3,IF(G1780="Medium",2,1))</f>
        <v>1</v>
      </c>
    </row>
    <row r="1781" customFormat="false" ht="15" hidden="false" customHeight="true" outlineLevel="0" collapsed="false">
      <c r="A1781" s="5" t="s">
        <v>4057</v>
      </c>
      <c r="B1781" s="5" t="s">
        <v>1565</v>
      </c>
      <c r="C1781" s="5" t="s">
        <v>2254</v>
      </c>
      <c r="D1781" s="5" t="s">
        <v>2299</v>
      </c>
      <c r="E1781" s="5" t="s">
        <v>2225</v>
      </c>
      <c r="F1781" s="5" t="s">
        <v>2225</v>
      </c>
      <c r="G1781" s="5" t="str">
        <f aca="false">INDEX(Risk_Matrix!$B$2:$D$4,MATCH(E1781,Risk_Matrix!$A$2:$A$4,0),MATCH(F1781,Risk_Matrix!$B$1:$D$1,0))</f>
        <v>Medium</v>
      </c>
      <c r="H1781" s="12" t="n">
        <v>46214</v>
      </c>
      <c r="I1781" s="5" t="s">
        <v>2250</v>
      </c>
      <c r="J1781" s="5" t="s">
        <v>2251</v>
      </c>
      <c r="K1781" s="5" t="s">
        <v>2243</v>
      </c>
      <c r="L1781" s="5" t="n">
        <f aca="false">IF(G1781="High",3,IF(G1781="Medium",2,1))</f>
        <v>2</v>
      </c>
    </row>
    <row r="1782" customFormat="false" ht="15" hidden="false" customHeight="true" outlineLevel="0" collapsed="false">
      <c r="A1782" s="5" t="s">
        <v>4058</v>
      </c>
      <c r="B1782" s="5" t="s">
        <v>1565</v>
      </c>
      <c r="C1782" s="5" t="s">
        <v>2259</v>
      </c>
      <c r="D1782" s="5" t="s">
        <v>2274</v>
      </c>
      <c r="E1782" s="5" t="s">
        <v>2225</v>
      </c>
      <c r="F1782" s="5" t="s">
        <v>54</v>
      </c>
      <c r="G1782" s="5" t="str">
        <f aca="false">INDEX(Risk_Matrix!$B$2:$D$4,MATCH(E1782,Risk_Matrix!$A$2:$A$4,0),MATCH(F1782,Risk_Matrix!$B$1:$D$1,0))</f>
        <v>High</v>
      </c>
      <c r="H1782" s="12" t="n">
        <v>46152</v>
      </c>
      <c r="I1782" s="5" t="s">
        <v>2256</v>
      </c>
      <c r="J1782" s="5" t="s">
        <v>2257</v>
      </c>
      <c r="K1782" s="5" t="s">
        <v>2252</v>
      </c>
      <c r="L1782" s="5" t="n">
        <f aca="false">IF(G1782="High",3,IF(G1782="Medium",2,1))</f>
        <v>3</v>
      </c>
    </row>
    <row r="1783" customFormat="false" ht="15" hidden="false" customHeight="true" outlineLevel="0" collapsed="false">
      <c r="A1783" s="5" t="s">
        <v>4059</v>
      </c>
      <c r="B1783" s="5" t="s">
        <v>1565</v>
      </c>
      <c r="C1783" s="5" t="s">
        <v>2262</v>
      </c>
      <c r="D1783" s="5" t="s">
        <v>2311</v>
      </c>
      <c r="E1783" s="5" t="s">
        <v>2225</v>
      </c>
      <c r="F1783" s="5" t="s">
        <v>2225</v>
      </c>
      <c r="G1783" s="5" t="str">
        <f aca="false">INDEX(Risk_Matrix!$B$2:$D$4,MATCH(E1783,Risk_Matrix!$A$2:$A$4,0),MATCH(F1783,Risk_Matrix!$B$1:$D$1,0))</f>
        <v>Medium</v>
      </c>
      <c r="H1783" s="12" t="n">
        <v>46128</v>
      </c>
      <c r="I1783" s="5" t="s">
        <v>2250</v>
      </c>
      <c r="J1783" s="5" t="s">
        <v>2251</v>
      </c>
      <c r="K1783" s="5" t="s">
        <v>2283</v>
      </c>
      <c r="L1783" s="5" t="n">
        <f aca="false">IF(G1783="High",3,IF(G1783="Medium",2,1))</f>
        <v>2</v>
      </c>
    </row>
    <row r="1784" customFormat="false" ht="15" hidden="false" customHeight="true" outlineLevel="0" collapsed="false">
      <c r="A1784" s="5" t="s">
        <v>4060</v>
      </c>
      <c r="B1784" s="5" t="s">
        <v>1567</v>
      </c>
      <c r="C1784" s="5" t="s">
        <v>2239</v>
      </c>
      <c r="D1784" s="5" t="s">
        <v>2240</v>
      </c>
      <c r="E1784" s="5" t="s">
        <v>2225</v>
      </c>
      <c r="F1784" s="5" t="s">
        <v>59</v>
      </c>
      <c r="G1784" s="5" t="str">
        <f aca="false">INDEX(Risk_Matrix!$B$2:$D$4,MATCH(E1784,Risk_Matrix!$A$2:$A$4,0),MATCH(F1784,Risk_Matrix!$B$1:$D$1,0))</f>
        <v>Low</v>
      </c>
      <c r="H1784" s="12" t="n">
        <v>46179</v>
      </c>
      <c r="I1784" s="5" t="s">
        <v>2264</v>
      </c>
      <c r="J1784" s="5" t="s">
        <v>2265</v>
      </c>
      <c r="K1784" s="5" t="s">
        <v>2243</v>
      </c>
      <c r="L1784" s="5" t="n">
        <f aca="false">IF(G1784="High",3,IF(G1784="Medium",2,1))</f>
        <v>1</v>
      </c>
    </row>
    <row r="1785" customFormat="false" ht="15" hidden="false" customHeight="true" outlineLevel="0" collapsed="false">
      <c r="A1785" s="5" t="s">
        <v>4061</v>
      </c>
      <c r="B1785" s="5" t="s">
        <v>1567</v>
      </c>
      <c r="C1785" s="5" t="s">
        <v>2245</v>
      </c>
      <c r="D1785" s="5" t="s">
        <v>2246</v>
      </c>
      <c r="E1785" s="5" t="s">
        <v>59</v>
      </c>
      <c r="F1785" s="5" t="s">
        <v>59</v>
      </c>
      <c r="G1785" s="5" t="str">
        <f aca="false">INDEX(Risk_Matrix!$B$2:$D$4,MATCH(E1785,Risk_Matrix!$A$2:$A$4,0),MATCH(F1785,Risk_Matrix!$B$1:$D$1,0))</f>
        <v>Low</v>
      </c>
      <c r="H1785" s="12" t="n">
        <v>46220</v>
      </c>
      <c r="I1785" s="5" t="s">
        <v>2241</v>
      </c>
      <c r="J1785" s="5" t="s">
        <v>2242</v>
      </c>
      <c r="K1785" s="5" t="s">
        <v>2276</v>
      </c>
      <c r="L1785" s="5" t="n">
        <f aca="false">IF(G1785="High",3,IF(G1785="Medium",2,1))</f>
        <v>1</v>
      </c>
    </row>
    <row r="1786" customFormat="false" ht="15" hidden="false" customHeight="true" outlineLevel="0" collapsed="false">
      <c r="A1786" s="5" t="s">
        <v>4062</v>
      </c>
      <c r="B1786" s="5" t="s">
        <v>1567</v>
      </c>
      <c r="C1786" s="5" t="s">
        <v>2248</v>
      </c>
      <c r="D1786" s="5" t="s">
        <v>2271</v>
      </c>
      <c r="E1786" s="5" t="s">
        <v>2225</v>
      </c>
      <c r="F1786" s="5" t="s">
        <v>59</v>
      </c>
      <c r="G1786" s="5" t="str">
        <f aca="false">INDEX(Risk_Matrix!$B$2:$D$4,MATCH(E1786,Risk_Matrix!$A$2:$A$4,0),MATCH(F1786,Risk_Matrix!$B$1:$D$1,0))</f>
        <v>Low</v>
      </c>
      <c r="H1786" s="12" t="n">
        <v>46144</v>
      </c>
      <c r="I1786" s="5" t="s">
        <v>2256</v>
      </c>
      <c r="J1786" s="5" t="s">
        <v>2257</v>
      </c>
      <c r="K1786" s="5" t="s">
        <v>2276</v>
      </c>
      <c r="L1786" s="5" t="n">
        <f aca="false">IF(G1786="High",3,IF(G1786="Medium",2,1))</f>
        <v>1</v>
      </c>
    </row>
    <row r="1787" customFormat="false" ht="15" hidden="false" customHeight="true" outlineLevel="0" collapsed="false">
      <c r="A1787" s="5" t="s">
        <v>4063</v>
      </c>
      <c r="B1787" s="5" t="s">
        <v>1567</v>
      </c>
      <c r="C1787" s="5" t="s">
        <v>2254</v>
      </c>
      <c r="D1787" s="5" t="s">
        <v>2255</v>
      </c>
      <c r="E1787" s="5" t="s">
        <v>59</v>
      </c>
      <c r="F1787" s="5" t="s">
        <v>54</v>
      </c>
      <c r="G1787" s="5" t="str">
        <f aca="false">INDEX(Risk_Matrix!$B$2:$D$4,MATCH(E1787,Risk_Matrix!$A$2:$A$4,0),MATCH(F1787,Risk_Matrix!$B$1:$D$1,0))</f>
        <v>Medium</v>
      </c>
      <c r="H1787" s="12" t="n">
        <v>46167</v>
      </c>
      <c r="I1787" s="5" t="s">
        <v>2250</v>
      </c>
      <c r="J1787" s="5" t="s">
        <v>2251</v>
      </c>
      <c r="K1787" s="5" t="s">
        <v>2283</v>
      </c>
      <c r="L1787" s="5" t="n">
        <f aca="false">IF(G1787="High",3,IF(G1787="Medium",2,1))</f>
        <v>2</v>
      </c>
    </row>
    <row r="1788" customFormat="false" ht="15" hidden="false" customHeight="true" outlineLevel="0" collapsed="false">
      <c r="A1788" s="5" t="s">
        <v>4064</v>
      </c>
      <c r="B1788" s="5" t="s">
        <v>1567</v>
      </c>
      <c r="C1788" s="5" t="s">
        <v>2259</v>
      </c>
      <c r="D1788" s="5" t="s">
        <v>2274</v>
      </c>
      <c r="E1788" s="5" t="s">
        <v>54</v>
      </c>
      <c r="F1788" s="5" t="s">
        <v>59</v>
      </c>
      <c r="G1788" s="5" t="str">
        <f aca="false">INDEX(Risk_Matrix!$B$2:$D$4,MATCH(E1788,Risk_Matrix!$A$2:$A$4,0),MATCH(F1788,Risk_Matrix!$B$1:$D$1,0))</f>
        <v>Medium</v>
      </c>
      <c r="H1788" s="12" t="n">
        <v>46082</v>
      </c>
      <c r="I1788" s="5" t="s">
        <v>2264</v>
      </c>
      <c r="J1788" s="5" t="s">
        <v>2265</v>
      </c>
      <c r="K1788" s="5" t="s">
        <v>2276</v>
      </c>
      <c r="L1788" s="5" t="n">
        <f aca="false">IF(G1788="High",3,IF(G1788="Medium",2,1))</f>
        <v>2</v>
      </c>
    </row>
    <row r="1789" customFormat="false" ht="15" hidden="false" customHeight="true" outlineLevel="0" collapsed="false">
      <c r="A1789" s="5" t="s">
        <v>4065</v>
      </c>
      <c r="B1789" s="5" t="s">
        <v>1567</v>
      </c>
      <c r="C1789" s="5" t="s">
        <v>2262</v>
      </c>
      <c r="D1789" s="5" t="s">
        <v>2287</v>
      </c>
      <c r="E1789" s="5" t="s">
        <v>2225</v>
      </c>
      <c r="F1789" s="5" t="s">
        <v>2225</v>
      </c>
      <c r="G1789" s="5" t="str">
        <f aca="false">INDEX(Risk_Matrix!$B$2:$D$4,MATCH(E1789,Risk_Matrix!$A$2:$A$4,0),MATCH(F1789,Risk_Matrix!$B$1:$D$1,0))</f>
        <v>Medium</v>
      </c>
      <c r="H1789" s="12" t="n">
        <v>46077</v>
      </c>
      <c r="I1789" s="5" t="s">
        <v>2250</v>
      </c>
      <c r="J1789" s="5" t="s">
        <v>2251</v>
      </c>
      <c r="K1789" s="5" t="s">
        <v>2266</v>
      </c>
      <c r="L1789" s="5" t="n">
        <f aca="false">IF(G1789="High",3,IF(G1789="Medium",2,1))</f>
        <v>2</v>
      </c>
    </row>
    <row r="1790" customFormat="false" ht="15" hidden="false" customHeight="true" outlineLevel="0" collapsed="false">
      <c r="A1790" s="5" t="s">
        <v>4066</v>
      </c>
      <c r="B1790" s="5" t="s">
        <v>1568</v>
      </c>
      <c r="C1790" s="5" t="s">
        <v>2239</v>
      </c>
      <c r="D1790" s="5" t="s">
        <v>2240</v>
      </c>
      <c r="E1790" s="5" t="s">
        <v>59</v>
      </c>
      <c r="F1790" s="5" t="s">
        <v>59</v>
      </c>
      <c r="G1790" s="5" t="str">
        <f aca="false">INDEX(Risk_Matrix!$B$2:$D$4,MATCH(E1790,Risk_Matrix!$A$2:$A$4,0),MATCH(F1790,Risk_Matrix!$B$1:$D$1,0))</f>
        <v>Low</v>
      </c>
      <c r="H1790" s="12" t="n">
        <v>46060</v>
      </c>
      <c r="I1790" s="5" t="s">
        <v>2256</v>
      </c>
      <c r="J1790" s="5" t="s">
        <v>2257</v>
      </c>
      <c r="K1790" s="5" t="s">
        <v>2276</v>
      </c>
      <c r="L1790" s="5" t="n">
        <f aca="false">IF(G1790="High",3,IF(G1790="Medium",2,1))</f>
        <v>1</v>
      </c>
    </row>
    <row r="1791" customFormat="false" ht="15" hidden="false" customHeight="true" outlineLevel="0" collapsed="false">
      <c r="A1791" s="5" t="s">
        <v>4067</v>
      </c>
      <c r="B1791" s="5" t="s">
        <v>1568</v>
      </c>
      <c r="C1791" s="5" t="s">
        <v>2245</v>
      </c>
      <c r="D1791" s="5" t="s">
        <v>2280</v>
      </c>
      <c r="E1791" s="5" t="s">
        <v>2225</v>
      </c>
      <c r="F1791" s="5" t="s">
        <v>59</v>
      </c>
      <c r="G1791" s="5" t="str">
        <f aca="false">INDEX(Risk_Matrix!$B$2:$D$4,MATCH(E1791,Risk_Matrix!$A$2:$A$4,0),MATCH(F1791,Risk_Matrix!$B$1:$D$1,0))</f>
        <v>Low</v>
      </c>
      <c r="H1791" s="12" t="n">
        <v>46154</v>
      </c>
      <c r="I1791" s="5" t="s">
        <v>2250</v>
      </c>
      <c r="J1791" s="5" t="s">
        <v>2251</v>
      </c>
      <c r="K1791" s="5" t="s">
        <v>2276</v>
      </c>
      <c r="L1791" s="5" t="n">
        <f aca="false">IF(G1791="High",3,IF(G1791="Medium",2,1))</f>
        <v>1</v>
      </c>
    </row>
    <row r="1792" customFormat="false" ht="15" hidden="false" customHeight="true" outlineLevel="0" collapsed="false">
      <c r="A1792" s="5" t="s">
        <v>4068</v>
      </c>
      <c r="B1792" s="5" t="s">
        <v>1568</v>
      </c>
      <c r="C1792" s="5" t="s">
        <v>2248</v>
      </c>
      <c r="D1792" s="5" t="s">
        <v>2306</v>
      </c>
      <c r="E1792" s="5" t="s">
        <v>2225</v>
      </c>
      <c r="F1792" s="5" t="s">
        <v>59</v>
      </c>
      <c r="G1792" s="5" t="str">
        <f aca="false">INDEX(Risk_Matrix!$B$2:$D$4,MATCH(E1792,Risk_Matrix!$A$2:$A$4,0),MATCH(F1792,Risk_Matrix!$B$1:$D$1,0))</f>
        <v>Low</v>
      </c>
      <c r="H1792" s="12" t="n">
        <v>46238</v>
      </c>
      <c r="I1792" s="5" t="s">
        <v>2250</v>
      </c>
      <c r="J1792" s="5" t="s">
        <v>2251</v>
      </c>
      <c r="K1792" s="5" t="s">
        <v>2243</v>
      </c>
      <c r="L1792" s="5" t="n">
        <f aca="false">IF(G1792="High",3,IF(G1792="Medium",2,1))</f>
        <v>1</v>
      </c>
    </row>
    <row r="1793" customFormat="false" ht="15" hidden="false" customHeight="true" outlineLevel="0" collapsed="false">
      <c r="A1793" s="5" t="s">
        <v>4069</v>
      </c>
      <c r="B1793" s="5" t="s">
        <v>1568</v>
      </c>
      <c r="C1793" s="5" t="s">
        <v>2254</v>
      </c>
      <c r="D1793" s="5" t="s">
        <v>2299</v>
      </c>
      <c r="E1793" s="5" t="s">
        <v>59</v>
      </c>
      <c r="F1793" s="5" t="s">
        <v>59</v>
      </c>
      <c r="G1793" s="5" t="str">
        <f aca="false">INDEX(Risk_Matrix!$B$2:$D$4,MATCH(E1793,Risk_Matrix!$A$2:$A$4,0),MATCH(F1793,Risk_Matrix!$B$1:$D$1,0))</f>
        <v>Low</v>
      </c>
      <c r="H1793" s="12" t="n">
        <v>46060</v>
      </c>
      <c r="I1793" s="5" t="s">
        <v>2250</v>
      </c>
      <c r="J1793" s="5" t="s">
        <v>2251</v>
      </c>
      <c r="K1793" s="5" t="s">
        <v>2266</v>
      </c>
      <c r="L1793" s="5" t="n">
        <f aca="false">IF(G1793="High",3,IF(G1793="Medium",2,1))</f>
        <v>1</v>
      </c>
    </row>
    <row r="1794" customFormat="false" ht="15" hidden="false" customHeight="true" outlineLevel="0" collapsed="false">
      <c r="A1794" s="5" t="s">
        <v>4070</v>
      </c>
      <c r="B1794" s="5" t="s">
        <v>1568</v>
      </c>
      <c r="C1794" s="5" t="s">
        <v>2259</v>
      </c>
      <c r="D1794" s="5" t="s">
        <v>2260</v>
      </c>
      <c r="E1794" s="5" t="s">
        <v>2225</v>
      </c>
      <c r="F1794" s="5" t="s">
        <v>54</v>
      </c>
      <c r="G1794" s="5" t="str">
        <f aca="false">INDEX(Risk_Matrix!$B$2:$D$4,MATCH(E1794,Risk_Matrix!$A$2:$A$4,0),MATCH(F1794,Risk_Matrix!$B$1:$D$1,0))</f>
        <v>High</v>
      </c>
      <c r="H1794" s="12" t="n">
        <v>46068</v>
      </c>
      <c r="I1794" s="5" t="s">
        <v>2250</v>
      </c>
      <c r="J1794" s="5" t="s">
        <v>2251</v>
      </c>
      <c r="K1794" s="5" t="s">
        <v>2252</v>
      </c>
      <c r="L1794" s="5" t="n">
        <f aca="false">IF(G1794="High",3,IF(G1794="Medium",2,1))</f>
        <v>3</v>
      </c>
    </row>
    <row r="1795" customFormat="false" ht="15" hidden="false" customHeight="true" outlineLevel="0" collapsed="false">
      <c r="A1795" s="5" t="s">
        <v>4071</v>
      </c>
      <c r="B1795" s="5" t="s">
        <v>1568</v>
      </c>
      <c r="C1795" s="5" t="s">
        <v>2262</v>
      </c>
      <c r="D1795" s="5" t="s">
        <v>2287</v>
      </c>
      <c r="E1795" s="5" t="s">
        <v>59</v>
      </c>
      <c r="F1795" s="5" t="s">
        <v>59</v>
      </c>
      <c r="G1795" s="5" t="str">
        <f aca="false">INDEX(Risk_Matrix!$B$2:$D$4,MATCH(E1795,Risk_Matrix!$A$2:$A$4,0),MATCH(F1795,Risk_Matrix!$B$1:$D$1,0))</f>
        <v>Low</v>
      </c>
      <c r="H1795" s="12" t="n">
        <v>46193</v>
      </c>
      <c r="I1795" s="5" t="s">
        <v>2250</v>
      </c>
      <c r="J1795" s="5" t="s">
        <v>2251</v>
      </c>
      <c r="K1795" s="5" t="s">
        <v>2266</v>
      </c>
      <c r="L1795" s="5" t="n">
        <f aca="false">IF(G1795="High",3,IF(G1795="Medium",2,1))</f>
        <v>1</v>
      </c>
    </row>
    <row r="1796" customFormat="false" ht="15" hidden="false" customHeight="true" outlineLevel="0" collapsed="false">
      <c r="A1796" s="5" t="s">
        <v>4072</v>
      </c>
      <c r="B1796" s="5" t="s">
        <v>1570</v>
      </c>
      <c r="C1796" s="5" t="s">
        <v>2239</v>
      </c>
      <c r="D1796" s="5" t="s">
        <v>2303</v>
      </c>
      <c r="E1796" s="5" t="s">
        <v>59</v>
      </c>
      <c r="F1796" s="5" t="s">
        <v>59</v>
      </c>
      <c r="G1796" s="5" t="str">
        <f aca="false">INDEX(Risk_Matrix!$B$2:$D$4,MATCH(E1796,Risk_Matrix!$A$2:$A$4,0),MATCH(F1796,Risk_Matrix!$B$1:$D$1,0))</f>
        <v>Low</v>
      </c>
      <c r="H1796" s="12" t="n">
        <v>46123</v>
      </c>
      <c r="I1796" s="5" t="s">
        <v>2256</v>
      </c>
      <c r="J1796" s="5" t="s">
        <v>2257</v>
      </c>
      <c r="K1796" s="5" t="s">
        <v>2266</v>
      </c>
      <c r="L1796" s="5" t="n">
        <f aca="false">IF(G1796="High",3,IF(G1796="Medium",2,1))</f>
        <v>1</v>
      </c>
    </row>
    <row r="1797" customFormat="false" ht="15" hidden="false" customHeight="true" outlineLevel="0" collapsed="false">
      <c r="A1797" s="5" t="s">
        <v>4073</v>
      </c>
      <c r="B1797" s="5" t="s">
        <v>1570</v>
      </c>
      <c r="C1797" s="5" t="s">
        <v>2245</v>
      </c>
      <c r="D1797" s="5" t="s">
        <v>2320</v>
      </c>
      <c r="E1797" s="5" t="s">
        <v>59</v>
      </c>
      <c r="F1797" s="5" t="s">
        <v>2225</v>
      </c>
      <c r="G1797" s="5" t="str">
        <f aca="false">INDEX(Risk_Matrix!$B$2:$D$4,MATCH(E1797,Risk_Matrix!$A$2:$A$4,0),MATCH(F1797,Risk_Matrix!$B$1:$D$1,0))</f>
        <v>Low</v>
      </c>
      <c r="H1797" s="12" t="n">
        <v>46145</v>
      </c>
      <c r="I1797" s="5" t="s">
        <v>2250</v>
      </c>
      <c r="J1797" s="5" t="s">
        <v>2251</v>
      </c>
      <c r="K1797" s="5" t="s">
        <v>2252</v>
      </c>
      <c r="L1797" s="5" t="n">
        <f aca="false">IF(G1797="High",3,IF(G1797="Medium",2,1))</f>
        <v>1</v>
      </c>
    </row>
    <row r="1798" customFormat="false" ht="15" hidden="false" customHeight="true" outlineLevel="0" collapsed="false">
      <c r="A1798" s="5" t="s">
        <v>4074</v>
      </c>
      <c r="B1798" s="5" t="s">
        <v>1570</v>
      </c>
      <c r="C1798" s="5" t="s">
        <v>2248</v>
      </c>
      <c r="D1798" s="5" t="s">
        <v>2271</v>
      </c>
      <c r="E1798" s="5" t="s">
        <v>59</v>
      </c>
      <c r="F1798" s="5" t="s">
        <v>59</v>
      </c>
      <c r="G1798" s="5" t="str">
        <f aca="false">INDEX(Risk_Matrix!$B$2:$D$4,MATCH(E1798,Risk_Matrix!$A$2:$A$4,0),MATCH(F1798,Risk_Matrix!$B$1:$D$1,0))</f>
        <v>Low</v>
      </c>
      <c r="H1798" s="12" t="n">
        <v>46117</v>
      </c>
      <c r="I1798" s="5" t="s">
        <v>2264</v>
      </c>
      <c r="J1798" s="5" t="s">
        <v>2265</v>
      </c>
      <c r="K1798" s="5" t="s">
        <v>2243</v>
      </c>
      <c r="L1798" s="5" t="n">
        <f aca="false">IF(G1798="High",3,IF(G1798="Medium",2,1))</f>
        <v>1</v>
      </c>
    </row>
    <row r="1799" customFormat="false" ht="15" hidden="false" customHeight="true" outlineLevel="0" collapsed="false">
      <c r="A1799" s="5" t="s">
        <v>4075</v>
      </c>
      <c r="B1799" s="5" t="s">
        <v>1570</v>
      </c>
      <c r="C1799" s="5" t="s">
        <v>2254</v>
      </c>
      <c r="D1799" s="5" t="s">
        <v>2255</v>
      </c>
      <c r="E1799" s="5" t="s">
        <v>59</v>
      </c>
      <c r="F1799" s="5" t="s">
        <v>59</v>
      </c>
      <c r="G1799" s="5" t="str">
        <f aca="false">INDEX(Risk_Matrix!$B$2:$D$4,MATCH(E1799,Risk_Matrix!$A$2:$A$4,0),MATCH(F1799,Risk_Matrix!$B$1:$D$1,0))</f>
        <v>Low</v>
      </c>
      <c r="H1799" s="12" t="n">
        <v>46131</v>
      </c>
      <c r="I1799" s="5" t="s">
        <v>2256</v>
      </c>
      <c r="J1799" s="5" t="s">
        <v>2257</v>
      </c>
      <c r="K1799" s="5" t="s">
        <v>2276</v>
      </c>
      <c r="L1799" s="5" t="n">
        <f aca="false">IF(G1799="High",3,IF(G1799="Medium",2,1))</f>
        <v>1</v>
      </c>
    </row>
    <row r="1800" customFormat="false" ht="15" hidden="false" customHeight="true" outlineLevel="0" collapsed="false">
      <c r="A1800" s="5" t="s">
        <v>4076</v>
      </c>
      <c r="B1800" s="5" t="s">
        <v>1570</v>
      </c>
      <c r="C1800" s="5" t="s">
        <v>2259</v>
      </c>
      <c r="D1800" s="5" t="s">
        <v>2260</v>
      </c>
      <c r="E1800" s="5" t="s">
        <v>2225</v>
      </c>
      <c r="F1800" s="5" t="s">
        <v>59</v>
      </c>
      <c r="G1800" s="5" t="str">
        <f aca="false">INDEX(Risk_Matrix!$B$2:$D$4,MATCH(E1800,Risk_Matrix!$A$2:$A$4,0),MATCH(F1800,Risk_Matrix!$B$1:$D$1,0))</f>
        <v>Low</v>
      </c>
      <c r="H1800" s="12" t="n">
        <v>46211</v>
      </c>
      <c r="I1800" s="5" t="s">
        <v>2256</v>
      </c>
      <c r="J1800" s="5" t="s">
        <v>2257</v>
      </c>
      <c r="K1800" s="5" t="s">
        <v>2243</v>
      </c>
      <c r="L1800" s="5" t="n">
        <f aca="false">IF(G1800="High",3,IF(G1800="Medium",2,1))</f>
        <v>1</v>
      </c>
    </row>
    <row r="1801" customFormat="false" ht="15" hidden="false" customHeight="true" outlineLevel="0" collapsed="false">
      <c r="A1801" s="5" t="s">
        <v>4077</v>
      </c>
      <c r="B1801" s="5" t="s">
        <v>1570</v>
      </c>
      <c r="C1801" s="5" t="s">
        <v>2262</v>
      </c>
      <c r="D1801" s="5" t="s">
        <v>2287</v>
      </c>
      <c r="E1801" s="5" t="s">
        <v>2225</v>
      </c>
      <c r="F1801" s="5" t="s">
        <v>59</v>
      </c>
      <c r="G1801" s="5" t="str">
        <f aca="false">INDEX(Risk_Matrix!$B$2:$D$4,MATCH(E1801,Risk_Matrix!$A$2:$A$4,0),MATCH(F1801,Risk_Matrix!$B$1:$D$1,0))</f>
        <v>Low</v>
      </c>
      <c r="H1801" s="12" t="n">
        <v>46096</v>
      </c>
      <c r="I1801" s="5" t="s">
        <v>2250</v>
      </c>
      <c r="J1801" s="5" t="s">
        <v>2251</v>
      </c>
      <c r="K1801" s="5" t="s">
        <v>2283</v>
      </c>
      <c r="L1801" s="5" t="n">
        <f aca="false">IF(G1801="High",3,IF(G1801="Medium",2,1))</f>
        <v>1</v>
      </c>
    </row>
    <row r="1802" customFormat="false" ht="15" hidden="false" customHeight="true" outlineLevel="0" collapsed="false">
      <c r="A1802" s="5" t="s">
        <v>4078</v>
      </c>
      <c r="B1802" s="5" t="s">
        <v>1572</v>
      </c>
      <c r="C1802" s="5" t="s">
        <v>2239</v>
      </c>
      <c r="D1802" s="5" t="s">
        <v>2240</v>
      </c>
      <c r="E1802" s="5" t="s">
        <v>59</v>
      </c>
      <c r="F1802" s="5" t="s">
        <v>2225</v>
      </c>
      <c r="G1802" s="5" t="str">
        <f aca="false">INDEX(Risk_Matrix!$B$2:$D$4,MATCH(E1802,Risk_Matrix!$A$2:$A$4,0),MATCH(F1802,Risk_Matrix!$B$1:$D$1,0))</f>
        <v>Low</v>
      </c>
      <c r="H1802" s="12" t="n">
        <v>46156</v>
      </c>
      <c r="I1802" s="5" t="s">
        <v>2250</v>
      </c>
      <c r="J1802" s="5" t="s">
        <v>2251</v>
      </c>
      <c r="K1802" s="5" t="s">
        <v>2252</v>
      </c>
      <c r="L1802" s="5" t="n">
        <f aca="false">IF(G1802="High",3,IF(G1802="Medium",2,1))</f>
        <v>1</v>
      </c>
    </row>
    <row r="1803" customFormat="false" ht="15" hidden="false" customHeight="true" outlineLevel="0" collapsed="false">
      <c r="A1803" s="5" t="s">
        <v>4079</v>
      </c>
      <c r="B1803" s="5" t="s">
        <v>1572</v>
      </c>
      <c r="C1803" s="5" t="s">
        <v>2245</v>
      </c>
      <c r="D1803" s="5" t="s">
        <v>2246</v>
      </c>
      <c r="E1803" s="5" t="s">
        <v>59</v>
      </c>
      <c r="F1803" s="5" t="s">
        <v>2225</v>
      </c>
      <c r="G1803" s="5" t="str">
        <f aca="false">INDEX(Risk_Matrix!$B$2:$D$4,MATCH(E1803,Risk_Matrix!$A$2:$A$4,0),MATCH(F1803,Risk_Matrix!$B$1:$D$1,0))</f>
        <v>Low</v>
      </c>
      <c r="H1803" s="12" t="n">
        <v>46119</v>
      </c>
      <c r="I1803" s="5" t="s">
        <v>2250</v>
      </c>
      <c r="J1803" s="5" t="s">
        <v>2251</v>
      </c>
      <c r="K1803" s="5" t="s">
        <v>2276</v>
      </c>
      <c r="L1803" s="5" t="n">
        <f aca="false">IF(G1803="High",3,IF(G1803="Medium",2,1))</f>
        <v>1</v>
      </c>
    </row>
    <row r="1804" customFormat="false" ht="15" hidden="false" customHeight="true" outlineLevel="0" collapsed="false">
      <c r="A1804" s="5" t="s">
        <v>4080</v>
      </c>
      <c r="B1804" s="5" t="s">
        <v>1572</v>
      </c>
      <c r="C1804" s="5" t="s">
        <v>2248</v>
      </c>
      <c r="D1804" s="5" t="s">
        <v>2322</v>
      </c>
      <c r="E1804" s="5" t="s">
        <v>59</v>
      </c>
      <c r="F1804" s="5" t="s">
        <v>54</v>
      </c>
      <c r="G1804" s="5" t="str">
        <f aca="false">INDEX(Risk_Matrix!$B$2:$D$4,MATCH(E1804,Risk_Matrix!$A$2:$A$4,0),MATCH(F1804,Risk_Matrix!$B$1:$D$1,0))</f>
        <v>Medium</v>
      </c>
      <c r="H1804" s="12" t="n">
        <v>46062</v>
      </c>
      <c r="I1804" s="5" t="s">
        <v>2256</v>
      </c>
      <c r="J1804" s="5" t="s">
        <v>4081</v>
      </c>
      <c r="K1804" s="5" t="s">
        <v>2243</v>
      </c>
      <c r="L1804" s="5" t="n">
        <f aca="false">IF(G1804="High",3,IF(G1804="Medium",2,1))</f>
        <v>2</v>
      </c>
    </row>
    <row r="1805" customFormat="false" ht="15" hidden="false" customHeight="true" outlineLevel="0" collapsed="false">
      <c r="A1805" s="5" t="s">
        <v>4082</v>
      </c>
      <c r="B1805" s="5" t="s">
        <v>1572</v>
      </c>
      <c r="C1805" s="5" t="s">
        <v>2262</v>
      </c>
      <c r="D1805" s="5" t="s">
        <v>2287</v>
      </c>
      <c r="E1805" s="5" t="s">
        <v>2225</v>
      </c>
      <c r="F1805" s="5" t="s">
        <v>2225</v>
      </c>
      <c r="G1805" s="5" t="str">
        <f aca="false">INDEX(Risk_Matrix!$B$2:$D$4,MATCH(E1805,Risk_Matrix!$A$2:$A$4,0),MATCH(F1805,Risk_Matrix!$B$1:$D$1,0))</f>
        <v>Medium</v>
      </c>
      <c r="H1805" s="12" t="n">
        <v>46230</v>
      </c>
      <c r="I1805" s="5" t="s">
        <v>2256</v>
      </c>
      <c r="J1805" s="5" t="s">
        <v>4081</v>
      </c>
      <c r="K1805" s="5" t="s">
        <v>2283</v>
      </c>
      <c r="L1805" s="5" t="n">
        <f aca="false">IF(G1805="High",3,IF(G1805="Medium",2,1))</f>
        <v>2</v>
      </c>
    </row>
    <row r="1806" customFormat="false" ht="15" hidden="false" customHeight="true" outlineLevel="0" collapsed="false">
      <c r="A1806" s="5" t="s">
        <v>4083</v>
      </c>
      <c r="B1806" s="5" t="s">
        <v>1572</v>
      </c>
      <c r="C1806" s="5" t="s">
        <v>2259</v>
      </c>
      <c r="D1806" s="5" t="s">
        <v>2285</v>
      </c>
      <c r="E1806" s="5" t="s">
        <v>2225</v>
      </c>
      <c r="F1806" s="5" t="s">
        <v>59</v>
      </c>
      <c r="G1806" s="5" t="str">
        <f aca="false">INDEX(Risk_Matrix!$B$2:$D$4,MATCH(E1806,Risk_Matrix!$A$2:$A$4,0),MATCH(F1806,Risk_Matrix!$B$1:$D$1,0))</f>
        <v>Low</v>
      </c>
      <c r="H1806" s="12" t="n">
        <v>46224</v>
      </c>
      <c r="I1806" s="5" t="s">
        <v>2256</v>
      </c>
      <c r="J1806" s="5" t="s">
        <v>4081</v>
      </c>
      <c r="K1806" s="5" t="s">
        <v>2243</v>
      </c>
      <c r="L1806" s="5" t="n">
        <f aca="false">IF(G1806="High",3,IF(G1806="Medium",2,1))</f>
        <v>1</v>
      </c>
    </row>
    <row r="1807" customFormat="false" ht="15" hidden="false" customHeight="true" outlineLevel="0" collapsed="false">
      <c r="A1807" s="5" t="s">
        <v>4084</v>
      </c>
      <c r="B1807" s="5" t="s">
        <v>1572</v>
      </c>
      <c r="C1807" s="5" t="s">
        <v>2254</v>
      </c>
      <c r="D1807" s="5" t="s">
        <v>2308</v>
      </c>
      <c r="E1807" s="5" t="s">
        <v>54</v>
      </c>
      <c r="F1807" s="5" t="s">
        <v>54</v>
      </c>
      <c r="G1807" s="5" t="str">
        <f aca="false">INDEX(Risk_Matrix!$B$2:$D$4,MATCH(E1807,Risk_Matrix!$A$2:$A$4,0),MATCH(F1807,Risk_Matrix!$B$1:$D$1,0))</f>
        <v>High</v>
      </c>
      <c r="H1807" s="12" t="n">
        <v>46113</v>
      </c>
      <c r="I1807" s="5" t="s">
        <v>2241</v>
      </c>
      <c r="J1807" s="5" t="s">
        <v>2242</v>
      </c>
      <c r="K1807" s="5" t="s">
        <v>2266</v>
      </c>
      <c r="L1807" s="5" t="n">
        <f aca="false">IF(G1807="High",3,IF(G1807="Medium",2,1))</f>
        <v>3</v>
      </c>
    </row>
    <row r="1808" customFormat="false" ht="15" hidden="false" customHeight="true" outlineLevel="0" collapsed="false">
      <c r="A1808" s="5" t="s">
        <v>4085</v>
      </c>
      <c r="B1808" s="5" t="s">
        <v>1574</v>
      </c>
      <c r="C1808" s="5" t="s">
        <v>2239</v>
      </c>
      <c r="D1808" s="5" t="s">
        <v>2295</v>
      </c>
      <c r="E1808" s="5" t="s">
        <v>2225</v>
      </c>
      <c r="F1808" s="5" t="s">
        <v>59</v>
      </c>
      <c r="G1808" s="5" t="str">
        <f aca="false">INDEX(Risk_Matrix!$B$2:$D$4,MATCH(E1808,Risk_Matrix!$A$2:$A$4,0),MATCH(F1808,Risk_Matrix!$B$1:$D$1,0))</f>
        <v>Low</v>
      </c>
      <c r="H1808" s="12" t="n">
        <v>46127</v>
      </c>
      <c r="I1808" s="5" t="s">
        <v>2256</v>
      </c>
      <c r="J1808" s="5" t="s">
        <v>4081</v>
      </c>
      <c r="K1808" s="5" t="s">
        <v>2266</v>
      </c>
      <c r="L1808" s="5" t="n">
        <f aca="false">IF(G1808="High",3,IF(G1808="Medium",2,1))</f>
        <v>1</v>
      </c>
    </row>
    <row r="1809" customFormat="false" ht="15" hidden="false" customHeight="true" outlineLevel="0" collapsed="false">
      <c r="A1809" s="5" t="s">
        <v>4086</v>
      </c>
      <c r="B1809" s="5" t="s">
        <v>1574</v>
      </c>
      <c r="C1809" s="5" t="s">
        <v>2245</v>
      </c>
      <c r="D1809" s="5" t="s">
        <v>2280</v>
      </c>
      <c r="E1809" s="5" t="s">
        <v>54</v>
      </c>
      <c r="F1809" s="5" t="s">
        <v>54</v>
      </c>
      <c r="G1809" s="5" t="str">
        <f aca="false">INDEX(Risk_Matrix!$B$2:$D$4,MATCH(E1809,Risk_Matrix!$A$2:$A$4,0),MATCH(F1809,Risk_Matrix!$B$1:$D$1,0))</f>
        <v>High</v>
      </c>
      <c r="H1809" s="12" t="n">
        <v>46041</v>
      </c>
      <c r="I1809" s="5" t="s">
        <v>2264</v>
      </c>
      <c r="J1809" s="5" t="s">
        <v>4087</v>
      </c>
      <c r="K1809" s="5" t="s">
        <v>2283</v>
      </c>
      <c r="L1809" s="5" t="n">
        <f aca="false">IF(G1809="High",3,IF(G1809="Medium",2,1))</f>
        <v>3</v>
      </c>
    </row>
    <row r="1810" customFormat="false" ht="15" hidden="false" customHeight="true" outlineLevel="0" collapsed="false">
      <c r="A1810" s="5" t="s">
        <v>4088</v>
      </c>
      <c r="B1810" s="5" t="s">
        <v>1574</v>
      </c>
      <c r="C1810" s="5" t="s">
        <v>2248</v>
      </c>
      <c r="D1810" s="5" t="s">
        <v>2306</v>
      </c>
      <c r="E1810" s="5" t="s">
        <v>2225</v>
      </c>
      <c r="F1810" s="5" t="s">
        <v>2225</v>
      </c>
      <c r="G1810" s="5" t="str">
        <f aca="false">INDEX(Risk_Matrix!$B$2:$D$4,MATCH(E1810,Risk_Matrix!$A$2:$A$4,0),MATCH(F1810,Risk_Matrix!$B$1:$D$1,0))</f>
        <v>Medium</v>
      </c>
      <c r="H1810" s="12" t="n">
        <v>46115</v>
      </c>
      <c r="I1810" s="5" t="s">
        <v>2250</v>
      </c>
      <c r="J1810" s="5" t="s">
        <v>2251</v>
      </c>
      <c r="K1810" s="5" t="s">
        <v>2252</v>
      </c>
      <c r="L1810" s="5" t="n">
        <f aca="false">IF(G1810="High",3,IF(G1810="Medium",2,1))</f>
        <v>2</v>
      </c>
    </row>
    <row r="1811" customFormat="false" ht="15" hidden="false" customHeight="true" outlineLevel="0" collapsed="false">
      <c r="A1811" s="5" t="s">
        <v>4089</v>
      </c>
      <c r="B1811" s="5" t="s">
        <v>1574</v>
      </c>
      <c r="C1811" s="5" t="s">
        <v>2262</v>
      </c>
      <c r="D1811" s="5" t="s">
        <v>2311</v>
      </c>
      <c r="E1811" s="5" t="s">
        <v>2225</v>
      </c>
      <c r="F1811" s="5" t="s">
        <v>54</v>
      </c>
      <c r="G1811" s="5" t="str">
        <f aca="false">INDEX(Risk_Matrix!$B$2:$D$4,MATCH(E1811,Risk_Matrix!$A$2:$A$4,0),MATCH(F1811,Risk_Matrix!$B$1:$D$1,0))</f>
        <v>High</v>
      </c>
      <c r="H1811" s="12" t="n">
        <v>46141</v>
      </c>
      <c r="I1811" s="5" t="s">
        <v>2264</v>
      </c>
      <c r="J1811" s="5" t="s">
        <v>4087</v>
      </c>
      <c r="K1811" s="5" t="s">
        <v>2276</v>
      </c>
      <c r="L1811" s="5" t="n">
        <f aca="false">IF(G1811="High",3,IF(G1811="Medium",2,1))</f>
        <v>3</v>
      </c>
    </row>
    <row r="1812" customFormat="false" ht="15" hidden="false" customHeight="true" outlineLevel="0" collapsed="false">
      <c r="A1812" s="5" t="s">
        <v>4090</v>
      </c>
      <c r="B1812" s="5" t="s">
        <v>1574</v>
      </c>
      <c r="C1812" s="5" t="s">
        <v>2259</v>
      </c>
      <c r="D1812" s="5" t="s">
        <v>2285</v>
      </c>
      <c r="E1812" s="5" t="s">
        <v>59</v>
      </c>
      <c r="F1812" s="5" t="s">
        <v>54</v>
      </c>
      <c r="G1812" s="5" t="str">
        <f aca="false">INDEX(Risk_Matrix!$B$2:$D$4,MATCH(E1812,Risk_Matrix!$A$2:$A$4,0),MATCH(F1812,Risk_Matrix!$B$1:$D$1,0))</f>
        <v>Medium</v>
      </c>
      <c r="H1812" s="12" t="n">
        <v>46234</v>
      </c>
      <c r="I1812" s="5" t="s">
        <v>2256</v>
      </c>
      <c r="J1812" s="5" t="s">
        <v>4081</v>
      </c>
      <c r="K1812" s="5" t="s">
        <v>2252</v>
      </c>
      <c r="L1812" s="5" t="n">
        <f aca="false">IF(G1812="High",3,IF(G1812="Medium",2,1))</f>
        <v>2</v>
      </c>
    </row>
    <row r="1813" customFormat="false" ht="15" hidden="false" customHeight="true" outlineLevel="0" collapsed="false">
      <c r="A1813" s="5" t="s">
        <v>4091</v>
      </c>
      <c r="B1813" s="5" t="s">
        <v>1574</v>
      </c>
      <c r="C1813" s="5" t="s">
        <v>2254</v>
      </c>
      <c r="D1813" s="5" t="s">
        <v>2299</v>
      </c>
      <c r="E1813" s="5" t="s">
        <v>2225</v>
      </c>
      <c r="F1813" s="5" t="s">
        <v>59</v>
      </c>
      <c r="G1813" s="5" t="str">
        <f aca="false">INDEX(Risk_Matrix!$B$2:$D$4,MATCH(E1813,Risk_Matrix!$A$2:$A$4,0),MATCH(F1813,Risk_Matrix!$B$1:$D$1,0))</f>
        <v>Low</v>
      </c>
      <c r="H1813" s="12" t="n">
        <v>46036</v>
      </c>
      <c r="I1813" s="5" t="s">
        <v>2250</v>
      </c>
      <c r="J1813" s="5" t="s">
        <v>2251</v>
      </c>
      <c r="K1813" s="5" t="s">
        <v>2266</v>
      </c>
      <c r="L1813" s="5" t="n">
        <f aca="false">IF(G1813="High",3,IF(G1813="Medium",2,1))</f>
        <v>1</v>
      </c>
    </row>
    <row r="1814" customFormat="false" ht="15" hidden="false" customHeight="true" outlineLevel="0" collapsed="false">
      <c r="A1814" s="5" t="s">
        <v>4092</v>
      </c>
      <c r="B1814" s="5" t="s">
        <v>1577</v>
      </c>
      <c r="C1814" s="5" t="s">
        <v>2239</v>
      </c>
      <c r="D1814" s="5" t="s">
        <v>2295</v>
      </c>
      <c r="E1814" s="5" t="s">
        <v>2225</v>
      </c>
      <c r="F1814" s="5" t="s">
        <v>54</v>
      </c>
      <c r="G1814" s="5" t="str">
        <f aca="false">INDEX(Risk_Matrix!$B$2:$D$4,MATCH(E1814,Risk_Matrix!$A$2:$A$4,0),MATCH(F1814,Risk_Matrix!$B$1:$D$1,0))</f>
        <v>High</v>
      </c>
      <c r="H1814" s="12" t="n">
        <v>46165</v>
      </c>
      <c r="I1814" s="5" t="s">
        <v>2264</v>
      </c>
      <c r="J1814" s="5" t="s">
        <v>4087</v>
      </c>
      <c r="K1814" s="5" t="s">
        <v>2283</v>
      </c>
      <c r="L1814" s="5" t="n">
        <f aca="false">IF(G1814="High",3,IF(G1814="Medium",2,1))</f>
        <v>3</v>
      </c>
    </row>
    <row r="1815" customFormat="false" ht="15" hidden="false" customHeight="true" outlineLevel="0" collapsed="false">
      <c r="A1815" s="5" t="s">
        <v>4093</v>
      </c>
      <c r="B1815" s="5" t="s">
        <v>1577</v>
      </c>
      <c r="C1815" s="5" t="s">
        <v>2245</v>
      </c>
      <c r="D1815" s="5" t="s">
        <v>2320</v>
      </c>
      <c r="E1815" s="5" t="s">
        <v>59</v>
      </c>
      <c r="F1815" s="5" t="s">
        <v>59</v>
      </c>
      <c r="G1815" s="5" t="str">
        <f aca="false">INDEX(Risk_Matrix!$B$2:$D$4,MATCH(E1815,Risk_Matrix!$A$2:$A$4,0),MATCH(F1815,Risk_Matrix!$B$1:$D$1,0))</f>
        <v>Low</v>
      </c>
      <c r="H1815" s="12" t="n">
        <v>46114</v>
      </c>
      <c r="I1815" s="5" t="s">
        <v>2250</v>
      </c>
      <c r="J1815" s="5" t="s">
        <v>2251</v>
      </c>
      <c r="K1815" s="5" t="s">
        <v>2283</v>
      </c>
      <c r="L1815" s="5" t="n">
        <f aca="false">IF(G1815="High",3,IF(G1815="Medium",2,1))</f>
        <v>1</v>
      </c>
    </row>
    <row r="1816" customFormat="false" ht="15" hidden="false" customHeight="true" outlineLevel="0" collapsed="false">
      <c r="A1816" s="5" t="s">
        <v>4094</v>
      </c>
      <c r="B1816" s="5" t="s">
        <v>1577</v>
      </c>
      <c r="C1816" s="5" t="s">
        <v>2248</v>
      </c>
      <c r="D1816" s="5" t="s">
        <v>2322</v>
      </c>
      <c r="E1816" s="5" t="s">
        <v>59</v>
      </c>
      <c r="F1816" s="5" t="s">
        <v>59</v>
      </c>
      <c r="G1816" s="5" t="str">
        <f aca="false">INDEX(Risk_Matrix!$B$2:$D$4,MATCH(E1816,Risk_Matrix!$A$2:$A$4,0),MATCH(F1816,Risk_Matrix!$B$1:$D$1,0))</f>
        <v>Low</v>
      </c>
      <c r="H1816" s="12" t="n">
        <v>46225</v>
      </c>
      <c r="I1816" s="5" t="s">
        <v>2250</v>
      </c>
      <c r="J1816" s="5" t="s">
        <v>2251</v>
      </c>
      <c r="K1816" s="5" t="s">
        <v>2243</v>
      </c>
      <c r="L1816" s="5" t="n">
        <f aca="false">IF(G1816="High",3,IF(G1816="Medium",2,1))</f>
        <v>1</v>
      </c>
    </row>
    <row r="1817" customFormat="false" ht="15" hidden="false" customHeight="true" outlineLevel="0" collapsed="false">
      <c r="A1817" s="5" t="s">
        <v>4095</v>
      </c>
      <c r="B1817" s="5" t="s">
        <v>1577</v>
      </c>
      <c r="C1817" s="5" t="s">
        <v>2262</v>
      </c>
      <c r="D1817" s="5" t="s">
        <v>2287</v>
      </c>
      <c r="E1817" s="5" t="s">
        <v>54</v>
      </c>
      <c r="F1817" s="5" t="s">
        <v>2225</v>
      </c>
      <c r="G1817" s="5" t="str">
        <f aca="false">INDEX(Risk_Matrix!$B$2:$D$4,MATCH(E1817,Risk_Matrix!$A$2:$A$4,0),MATCH(F1817,Risk_Matrix!$B$1:$D$1,0))</f>
        <v>High</v>
      </c>
      <c r="H1817" s="12" t="n">
        <v>46122</v>
      </c>
      <c r="I1817" s="5" t="s">
        <v>2241</v>
      </c>
      <c r="J1817" s="5" t="s">
        <v>2242</v>
      </c>
      <c r="K1817" s="5" t="s">
        <v>2266</v>
      </c>
      <c r="L1817" s="5" t="n">
        <f aca="false">IF(G1817="High",3,IF(G1817="Medium",2,1))</f>
        <v>3</v>
      </c>
    </row>
    <row r="1818" customFormat="false" ht="15" hidden="false" customHeight="true" outlineLevel="0" collapsed="false">
      <c r="A1818" s="5" t="s">
        <v>4096</v>
      </c>
      <c r="B1818" s="5" t="s">
        <v>1577</v>
      </c>
      <c r="C1818" s="5" t="s">
        <v>2259</v>
      </c>
      <c r="D1818" s="5" t="s">
        <v>2274</v>
      </c>
      <c r="E1818" s="5" t="s">
        <v>54</v>
      </c>
      <c r="F1818" s="5" t="s">
        <v>54</v>
      </c>
      <c r="G1818" s="5" t="str">
        <f aca="false">INDEX(Risk_Matrix!$B$2:$D$4,MATCH(E1818,Risk_Matrix!$A$2:$A$4,0),MATCH(F1818,Risk_Matrix!$B$1:$D$1,0))</f>
        <v>High</v>
      </c>
      <c r="H1818" s="12" t="n">
        <v>46039</v>
      </c>
      <c r="I1818" s="5" t="s">
        <v>2250</v>
      </c>
      <c r="J1818" s="5" t="s">
        <v>2251</v>
      </c>
      <c r="K1818" s="5" t="s">
        <v>2266</v>
      </c>
      <c r="L1818" s="5" t="n">
        <f aca="false">IF(G1818="High",3,IF(G1818="Medium",2,1))</f>
        <v>3</v>
      </c>
    </row>
    <row r="1819" customFormat="false" ht="15" hidden="false" customHeight="true" outlineLevel="0" collapsed="false">
      <c r="A1819" s="5" t="s">
        <v>4097</v>
      </c>
      <c r="B1819" s="5" t="s">
        <v>1577</v>
      </c>
      <c r="C1819" s="5" t="s">
        <v>2254</v>
      </c>
      <c r="D1819" s="5" t="s">
        <v>2299</v>
      </c>
      <c r="E1819" s="5" t="s">
        <v>59</v>
      </c>
      <c r="F1819" s="5" t="s">
        <v>2225</v>
      </c>
      <c r="G1819" s="5" t="str">
        <f aca="false">INDEX(Risk_Matrix!$B$2:$D$4,MATCH(E1819,Risk_Matrix!$A$2:$A$4,0),MATCH(F1819,Risk_Matrix!$B$1:$D$1,0))</f>
        <v>Low</v>
      </c>
      <c r="H1819" s="12" t="n">
        <v>46215</v>
      </c>
      <c r="I1819" s="5" t="s">
        <v>2250</v>
      </c>
      <c r="J1819" s="5" t="s">
        <v>2251</v>
      </c>
      <c r="K1819" s="5" t="s">
        <v>2283</v>
      </c>
      <c r="L1819" s="5" t="n">
        <f aca="false">IF(G1819="High",3,IF(G1819="Medium",2,1))</f>
        <v>1</v>
      </c>
    </row>
    <row r="1820" customFormat="false" ht="15" hidden="false" customHeight="true" outlineLevel="0" collapsed="false">
      <c r="A1820" s="5" t="s">
        <v>4098</v>
      </c>
      <c r="B1820" s="5" t="s">
        <v>1580</v>
      </c>
      <c r="C1820" s="5" t="s">
        <v>2239</v>
      </c>
      <c r="D1820" s="5" t="s">
        <v>2240</v>
      </c>
      <c r="E1820" s="5" t="s">
        <v>2225</v>
      </c>
      <c r="F1820" s="5" t="s">
        <v>2225</v>
      </c>
      <c r="G1820" s="5" t="str">
        <f aca="false">INDEX(Risk_Matrix!$B$2:$D$4,MATCH(E1820,Risk_Matrix!$A$2:$A$4,0),MATCH(F1820,Risk_Matrix!$B$1:$D$1,0))</f>
        <v>Medium</v>
      </c>
      <c r="H1820" s="12" t="n">
        <v>46171</v>
      </c>
      <c r="I1820" s="5" t="s">
        <v>2264</v>
      </c>
      <c r="J1820" s="5" t="s">
        <v>4087</v>
      </c>
      <c r="K1820" s="5" t="s">
        <v>2283</v>
      </c>
      <c r="L1820" s="5" t="n">
        <f aca="false">IF(G1820="High",3,IF(G1820="Medium",2,1))</f>
        <v>2</v>
      </c>
    </row>
    <row r="1821" customFormat="false" ht="15" hidden="false" customHeight="true" outlineLevel="0" collapsed="false">
      <c r="A1821" s="5" t="s">
        <v>4099</v>
      </c>
      <c r="B1821" s="5" t="s">
        <v>1580</v>
      </c>
      <c r="C1821" s="5" t="s">
        <v>2245</v>
      </c>
      <c r="D1821" s="5" t="s">
        <v>2246</v>
      </c>
      <c r="E1821" s="5" t="s">
        <v>2225</v>
      </c>
      <c r="F1821" s="5" t="s">
        <v>2225</v>
      </c>
      <c r="G1821" s="5" t="str">
        <f aca="false">INDEX(Risk_Matrix!$B$2:$D$4,MATCH(E1821,Risk_Matrix!$A$2:$A$4,0),MATCH(F1821,Risk_Matrix!$B$1:$D$1,0))</f>
        <v>Medium</v>
      </c>
      <c r="H1821" s="12" t="n">
        <v>46199</v>
      </c>
      <c r="I1821" s="5" t="s">
        <v>2250</v>
      </c>
      <c r="J1821" s="5" t="s">
        <v>2251</v>
      </c>
      <c r="K1821" s="5" t="s">
        <v>2283</v>
      </c>
      <c r="L1821" s="5" t="n">
        <f aca="false">IF(G1821="High",3,IF(G1821="Medium",2,1))</f>
        <v>2</v>
      </c>
    </row>
    <row r="1822" customFormat="false" ht="15" hidden="false" customHeight="true" outlineLevel="0" collapsed="false">
      <c r="A1822" s="5" t="s">
        <v>4100</v>
      </c>
      <c r="B1822" s="5" t="s">
        <v>1580</v>
      </c>
      <c r="C1822" s="5" t="s">
        <v>2248</v>
      </c>
      <c r="D1822" s="5" t="s">
        <v>2322</v>
      </c>
      <c r="E1822" s="5" t="s">
        <v>54</v>
      </c>
      <c r="F1822" s="5" t="s">
        <v>2225</v>
      </c>
      <c r="G1822" s="5" t="str">
        <f aca="false">INDEX(Risk_Matrix!$B$2:$D$4,MATCH(E1822,Risk_Matrix!$A$2:$A$4,0),MATCH(F1822,Risk_Matrix!$B$1:$D$1,0))</f>
        <v>High</v>
      </c>
      <c r="H1822" s="12" t="n">
        <v>46110</v>
      </c>
      <c r="I1822" s="5" t="s">
        <v>2264</v>
      </c>
      <c r="J1822" s="5" t="s">
        <v>4087</v>
      </c>
      <c r="K1822" s="5" t="s">
        <v>2266</v>
      </c>
      <c r="L1822" s="5" t="n">
        <f aca="false">IF(G1822="High",3,IF(G1822="Medium",2,1))</f>
        <v>3</v>
      </c>
    </row>
    <row r="1823" customFormat="false" ht="15" hidden="false" customHeight="true" outlineLevel="0" collapsed="false">
      <c r="A1823" s="5" t="s">
        <v>4101</v>
      </c>
      <c r="B1823" s="5" t="s">
        <v>1580</v>
      </c>
      <c r="C1823" s="5" t="s">
        <v>2262</v>
      </c>
      <c r="D1823" s="5" t="s">
        <v>2263</v>
      </c>
      <c r="E1823" s="5" t="s">
        <v>54</v>
      </c>
      <c r="F1823" s="5" t="s">
        <v>59</v>
      </c>
      <c r="G1823" s="5" t="str">
        <f aca="false">INDEX(Risk_Matrix!$B$2:$D$4,MATCH(E1823,Risk_Matrix!$A$2:$A$4,0),MATCH(F1823,Risk_Matrix!$B$1:$D$1,0))</f>
        <v>Medium</v>
      </c>
      <c r="H1823" s="12" t="n">
        <v>46052</v>
      </c>
      <c r="I1823" s="5" t="s">
        <v>2250</v>
      </c>
      <c r="J1823" s="5" t="s">
        <v>2251</v>
      </c>
      <c r="K1823" s="5" t="s">
        <v>2276</v>
      </c>
      <c r="L1823" s="5" t="n">
        <f aca="false">IF(G1823="High",3,IF(G1823="Medium",2,1))</f>
        <v>2</v>
      </c>
    </row>
    <row r="1824" customFormat="false" ht="15" hidden="false" customHeight="true" outlineLevel="0" collapsed="false">
      <c r="A1824" s="5" t="s">
        <v>4102</v>
      </c>
      <c r="B1824" s="5" t="s">
        <v>1580</v>
      </c>
      <c r="C1824" s="5" t="s">
        <v>2259</v>
      </c>
      <c r="D1824" s="5" t="s">
        <v>2260</v>
      </c>
      <c r="E1824" s="5" t="s">
        <v>54</v>
      </c>
      <c r="F1824" s="5" t="s">
        <v>2225</v>
      </c>
      <c r="G1824" s="5" t="str">
        <f aca="false">INDEX(Risk_Matrix!$B$2:$D$4,MATCH(E1824,Risk_Matrix!$A$2:$A$4,0),MATCH(F1824,Risk_Matrix!$B$1:$D$1,0))</f>
        <v>High</v>
      </c>
      <c r="H1824" s="12" t="n">
        <v>46050</v>
      </c>
      <c r="I1824" s="5" t="s">
        <v>2256</v>
      </c>
      <c r="J1824" s="5" t="s">
        <v>4081</v>
      </c>
      <c r="K1824" s="5" t="s">
        <v>2266</v>
      </c>
      <c r="L1824" s="5" t="n">
        <f aca="false">IF(G1824="High",3,IF(G1824="Medium",2,1))</f>
        <v>3</v>
      </c>
    </row>
    <row r="1825" customFormat="false" ht="15" hidden="false" customHeight="true" outlineLevel="0" collapsed="false">
      <c r="A1825" s="5" t="s">
        <v>4103</v>
      </c>
      <c r="B1825" s="5" t="s">
        <v>1580</v>
      </c>
      <c r="C1825" s="5" t="s">
        <v>2254</v>
      </c>
      <c r="D1825" s="5" t="s">
        <v>2308</v>
      </c>
      <c r="E1825" s="5" t="s">
        <v>2225</v>
      </c>
      <c r="F1825" s="5" t="s">
        <v>59</v>
      </c>
      <c r="G1825" s="5" t="str">
        <f aca="false">INDEX(Risk_Matrix!$B$2:$D$4,MATCH(E1825,Risk_Matrix!$A$2:$A$4,0),MATCH(F1825,Risk_Matrix!$B$1:$D$1,0))</f>
        <v>Low</v>
      </c>
      <c r="H1825" s="12" t="n">
        <v>46141</v>
      </c>
      <c r="I1825" s="5" t="s">
        <v>2256</v>
      </c>
      <c r="J1825" s="5" t="s">
        <v>4081</v>
      </c>
      <c r="K1825" s="5" t="s">
        <v>2243</v>
      </c>
      <c r="L1825" s="5" t="n">
        <f aca="false">IF(G1825="High",3,IF(G1825="Medium",2,1))</f>
        <v>1</v>
      </c>
    </row>
    <row r="1826" customFormat="false" ht="15" hidden="false" customHeight="true" outlineLevel="0" collapsed="false">
      <c r="A1826" s="5" t="s">
        <v>4104</v>
      </c>
      <c r="B1826" s="5" t="s">
        <v>1583</v>
      </c>
      <c r="C1826" s="5" t="s">
        <v>2239</v>
      </c>
      <c r="D1826" s="5" t="s">
        <v>2240</v>
      </c>
      <c r="E1826" s="5" t="s">
        <v>2225</v>
      </c>
      <c r="F1826" s="5" t="s">
        <v>54</v>
      </c>
      <c r="G1826" s="5" t="str">
        <f aca="false">INDEX(Risk_Matrix!$B$2:$D$4,MATCH(E1826,Risk_Matrix!$A$2:$A$4,0),MATCH(F1826,Risk_Matrix!$B$1:$D$1,0))</f>
        <v>High</v>
      </c>
      <c r="H1826" s="12" t="n">
        <v>46170</v>
      </c>
      <c r="I1826" s="5" t="s">
        <v>2256</v>
      </c>
      <c r="J1826" s="5" t="s">
        <v>4081</v>
      </c>
      <c r="K1826" s="5" t="s">
        <v>2283</v>
      </c>
      <c r="L1826" s="5" t="n">
        <f aca="false">IF(G1826="High",3,IF(G1826="Medium",2,1))</f>
        <v>3</v>
      </c>
    </row>
    <row r="1827" customFormat="false" ht="15" hidden="false" customHeight="true" outlineLevel="0" collapsed="false">
      <c r="A1827" s="5" t="s">
        <v>4105</v>
      </c>
      <c r="B1827" s="5" t="s">
        <v>1583</v>
      </c>
      <c r="C1827" s="5" t="s">
        <v>2245</v>
      </c>
      <c r="D1827" s="5" t="s">
        <v>2269</v>
      </c>
      <c r="E1827" s="5" t="s">
        <v>2225</v>
      </c>
      <c r="F1827" s="5" t="s">
        <v>54</v>
      </c>
      <c r="G1827" s="5" t="str">
        <f aca="false">INDEX(Risk_Matrix!$B$2:$D$4,MATCH(E1827,Risk_Matrix!$A$2:$A$4,0),MATCH(F1827,Risk_Matrix!$B$1:$D$1,0))</f>
        <v>High</v>
      </c>
      <c r="H1827" s="12" t="n">
        <v>46139</v>
      </c>
      <c r="I1827" s="5" t="s">
        <v>2256</v>
      </c>
      <c r="J1827" s="5" t="s">
        <v>4081</v>
      </c>
      <c r="K1827" s="5" t="s">
        <v>2276</v>
      </c>
      <c r="L1827" s="5" t="n">
        <f aca="false">IF(G1827="High",3,IF(G1827="Medium",2,1))</f>
        <v>3</v>
      </c>
    </row>
    <row r="1828" customFormat="false" ht="15" hidden="false" customHeight="true" outlineLevel="0" collapsed="false">
      <c r="A1828" s="5" t="s">
        <v>4106</v>
      </c>
      <c r="B1828" s="5" t="s">
        <v>1583</v>
      </c>
      <c r="C1828" s="5" t="s">
        <v>2248</v>
      </c>
      <c r="D1828" s="5" t="s">
        <v>2249</v>
      </c>
      <c r="E1828" s="5" t="s">
        <v>54</v>
      </c>
      <c r="F1828" s="5" t="s">
        <v>2225</v>
      </c>
      <c r="G1828" s="5" t="str">
        <f aca="false">INDEX(Risk_Matrix!$B$2:$D$4,MATCH(E1828,Risk_Matrix!$A$2:$A$4,0),MATCH(F1828,Risk_Matrix!$B$1:$D$1,0))</f>
        <v>High</v>
      </c>
      <c r="H1828" s="12" t="n">
        <v>46156</v>
      </c>
      <c r="I1828" s="5" t="s">
        <v>2264</v>
      </c>
      <c r="J1828" s="5" t="s">
        <v>4087</v>
      </c>
      <c r="K1828" s="5" t="s">
        <v>2243</v>
      </c>
      <c r="L1828" s="5" t="n">
        <f aca="false">IF(G1828="High",3,IF(G1828="Medium",2,1))</f>
        <v>3</v>
      </c>
    </row>
    <row r="1829" customFormat="false" ht="15" hidden="false" customHeight="true" outlineLevel="0" collapsed="false">
      <c r="A1829" s="5" t="s">
        <v>4107</v>
      </c>
      <c r="B1829" s="5" t="s">
        <v>1583</v>
      </c>
      <c r="C1829" s="5" t="s">
        <v>2262</v>
      </c>
      <c r="D1829" s="5" t="s">
        <v>2311</v>
      </c>
      <c r="E1829" s="5" t="s">
        <v>2225</v>
      </c>
      <c r="F1829" s="5" t="s">
        <v>54</v>
      </c>
      <c r="G1829" s="5" t="str">
        <f aca="false">INDEX(Risk_Matrix!$B$2:$D$4,MATCH(E1829,Risk_Matrix!$A$2:$A$4,0),MATCH(F1829,Risk_Matrix!$B$1:$D$1,0))</f>
        <v>High</v>
      </c>
      <c r="H1829" s="12" t="n">
        <v>46207</v>
      </c>
      <c r="I1829" s="5" t="s">
        <v>2256</v>
      </c>
      <c r="J1829" s="5" t="s">
        <v>4081</v>
      </c>
      <c r="K1829" s="5" t="s">
        <v>2243</v>
      </c>
      <c r="L1829" s="5" t="n">
        <f aca="false">IF(G1829="High",3,IF(G1829="Medium",2,1))</f>
        <v>3</v>
      </c>
    </row>
    <row r="1830" customFormat="false" ht="15" hidden="false" customHeight="true" outlineLevel="0" collapsed="false">
      <c r="A1830" s="5" t="s">
        <v>4108</v>
      </c>
      <c r="B1830" s="5" t="s">
        <v>1583</v>
      </c>
      <c r="C1830" s="5" t="s">
        <v>2259</v>
      </c>
      <c r="D1830" s="5" t="s">
        <v>2285</v>
      </c>
      <c r="E1830" s="5" t="s">
        <v>54</v>
      </c>
      <c r="F1830" s="5" t="s">
        <v>59</v>
      </c>
      <c r="G1830" s="5" t="str">
        <f aca="false">INDEX(Risk_Matrix!$B$2:$D$4,MATCH(E1830,Risk_Matrix!$A$2:$A$4,0),MATCH(F1830,Risk_Matrix!$B$1:$D$1,0))</f>
        <v>Medium</v>
      </c>
      <c r="H1830" s="12" t="n">
        <v>46148</v>
      </c>
      <c r="I1830" s="5" t="s">
        <v>2264</v>
      </c>
      <c r="J1830" s="5" t="s">
        <v>4087</v>
      </c>
      <c r="K1830" s="5" t="s">
        <v>2276</v>
      </c>
      <c r="L1830" s="5" t="n">
        <f aca="false">IF(G1830="High",3,IF(G1830="Medium",2,1))</f>
        <v>2</v>
      </c>
    </row>
    <row r="1831" customFormat="false" ht="15" hidden="false" customHeight="true" outlineLevel="0" collapsed="false">
      <c r="A1831" s="5" t="s">
        <v>4109</v>
      </c>
      <c r="B1831" s="5" t="s">
        <v>1583</v>
      </c>
      <c r="C1831" s="5" t="s">
        <v>2254</v>
      </c>
      <c r="D1831" s="5" t="s">
        <v>2308</v>
      </c>
      <c r="E1831" s="5" t="s">
        <v>54</v>
      </c>
      <c r="F1831" s="5" t="s">
        <v>59</v>
      </c>
      <c r="G1831" s="5" t="str">
        <f aca="false">INDEX(Risk_Matrix!$B$2:$D$4,MATCH(E1831,Risk_Matrix!$A$2:$A$4,0),MATCH(F1831,Risk_Matrix!$B$1:$D$1,0))</f>
        <v>Medium</v>
      </c>
      <c r="H1831" s="12" t="n">
        <v>46181</v>
      </c>
      <c r="I1831" s="5" t="s">
        <v>2250</v>
      </c>
      <c r="J1831" s="5" t="s">
        <v>2251</v>
      </c>
      <c r="K1831" s="5" t="s">
        <v>2266</v>
      </c>
      <c r="L1831" s="5" t="n">
        <f aca="false">IF(G1831="High",3,IF(G1831="Medium",2,1))</f>
        <v>2</v>
      </c>
    </row>
    <row r="1832" customFormat="false" ht="15" hidden="false" customHeight="true" outlineLevel="0" collapsed="false">
      <c r="A1832" s="5" t="s">
        <v>4110</v>
      </c>
      <c r="B1832" s="5" t="s">
        <v>1586</v>
      </c>
      <c r="C1832" s="5" t="s">
        <v>2239</v>
      </c>
      <c r="D1832" s="5" t="s">
        <v>2303</v>
      </c>
      <c r="E1832" s="5" t="s">
        <v>59</v>
      </c>
      <c r="F1832" s="5" t="s">
        <v>59</v>
      </c>
      <c r="G1832" s="5" t="str">
        <f aca="false">INDEX(Risk_Matrix!$B$2:$D$4,MATCH(E1832,Risk_Matrix!$A$2:$A$4,0),MATCH(F1832,Risk_Matrix!$B$1:$D$1,0))</f>
        <v>Low</v>
      </c>
      <c r="H1832" s="12" t="n">
        <v>46101</v>
      </c>
      <c r="I1832" s="5" t="s">
        <v>2250</v>
      </c>
      <c r="J1832" s="5" t="s">
        <v>2251</v>
      </c>
      <c r="K1832" s="5" t="s">
        <v>2283</v>
      </c>
      <c r="L1832" s="5" t="n">
        <f aca="false">IF(G1832="High",3,IF(G1832="Medium",2,1))</f>
        <v>1</v>
      </c>
    </row>
    <row r="1833" customFormat="false" ht="15" hidden="false" customHeight="true" outlineLevel="0" collapsed="false">
      <c r="A1833" s="5" t="s">
        <v>4111</v>
      </c>
      <c r="B1833" s="5" t="s">
        <v>1586</v>
      </c>
      <c r="C1833" s="5" t="s">
        <v>2245</v>
      </c>
      <c r="D1833" s="5" t="s">
        <v>2280</v>
      </c>
      <c r="E1833" s="5" t="s">
        <v>54</v>
      </c>
      <c r="F1833" s="5" t="s">
        <v>59</v>
      </c>
      <c r="G1833" s="5" t="str">
        <f aca="false">INDEX(Risk_Matrix!$B$2:$D$4,MATCH(E1833,Risk_Matrix!$A$2:$A$4,0),MATCH(F1833,Risk_Matrix!$B$1:$D$1,0))</f>
        <v>Medium</v>
      </c>
      <c r="H1833" s="12" t="n">
        <v>46105</v>
      </c>
      <c r="I1833" s="5" t="s">
        <v>2241</v>
      </c>
      <c r="J1833" s="5" t="s">
        <v>2242</v>
      </c>
      <c r="K1833" s="5" t="s">
        <v>2252</v>
      </c>
      <c r="L1833" s="5" t="n">
        <f aca="false">IF(G1833="High",3,IF(G1833="Medium",2,1))</f>
        <v>2</v>
      </c>
    </row>
    <row r="1834" customFormat="false" ht="15" hidden="false" customHeight="true" outlineLevel="0" collapsed="false">
      <c r="A1834" s="5" t="s">
        <v>4112</v>
      </c>
      <c r="B1834" s="5" t="s">
        <v>1586</v>
      </c>
      <c r="C1834" s="5" t="s">
        <v>2248</v>
      </c>
      <c r="D1834" s="5" t="s">
        <v>2306</v>
      </c>
      <c r="E1834" s="5" t="s">
        <v>2225</v>
      </c>
      <c r="F1834" s="5" t="s">
        <v>2225</v>
      </c>
      <c r="G1834" s="5" t="str">
        <f aca="false">INDEX(Risk_Matrix!$B$2:$D$4,MATCH(E1834,Risk_Matrix!$A$2:$A$4,0),MATCH(F1834,Risk_Matrix!$B$1:$D$1,0))</f>
        <v>Medium</v>
      </c>
      <c r="H1834" s="12" t="n">
        <v>46229</v>
      </c>
      <c r="I1834" s="5" t="s">
        <v>2256</v>
      </c>
      <c r="J1834" s="5" t="s">
        <v>4081</v>
      </c>
      <c r="K1834" s="5" t="s">
        <v>2266</v>
      </c>
      <c r="L1834" s="5" t="n">
        <f aca="false">IF(G1834="High",3,IF(G1834="Medium",2,1))</f>
        <v>2</v>
      </c>
    </row>
    <row r="1835" customFormat="false" ht="15" hidden="false" customHeight="true" outlineLevel="0" collapsed="false">
      <c r="A1835" s="5" t="s">
        <v>4113</v>
      </c>
      <c r="B1835" s="5" t="s">
        <v>1586</v>
      </c>
      <c r="C1835" s="5" t="s">
        <v>2262</v>
      </c>
      <c r="D1835" s="5" t="s">
        <v>2311</v>
      </c>
      <c r="E1835" s="5" t="s">
        <v>59</v>
      </c>
      <c r="F1835" s="5" t="s">
        <v>54</v>
      </c>
      <c r="G1835" s="5" t="str">
        <f aca="false">INDEX(Risk_Matrix!$B$2:$D$4,MATCH(E1835,Risk_Matrix!$A$2:$A$4,0),MATCH(F1835,Risk_Matrix!$B$1:$D$1,0))</f>
        <v>Medium</v>
      </c>
      <c r="H1835" s="12" t="n">
        <v>46105</v>
      </c>
      <c r="I1835" s="5" t="s">
        <v>2256</v>
      </c>
      <c r="J1835" s="5" t="s">
        <v>4081</v>
      </c>
      <c r="K1835" s="5" t="s">
        <v>2266</v>
      </c>
      <c r="L1835" s="5" t="n">
        <f aca="false">IF(G1835="High",3,IF(G1835="Medium",2,1))</f>
        <v>2</v>
      </c>
    </row>
    <row r="1836" customFormat="false" ht="15" hidden="false" customHeight="true" outlineLevel="0" collapsed="false">
      <c r="A1836" s="5" t="s">
        <v>4114</v>
      </c>
      <c r="B1836" s="5" t="s">
        <v>1586</v>
      </c>
      <c r="C1836" s="5" t="s">
        <v>2259</v>
      </c>
      <c r="D1836" s="5" t="s">
        <v>2274</v>
      </c>
      <c r="E1836" s="5" t="s">
        <v>59</v>
      </c>
      <c r="F1836" s="5" t="s">
        <v>59</v>
      </c>
      <c r="G1836" s="5" t="str">
        <f aca="false">INDEX(Risk_Matrix!$B$2:$D$4,MATCH(E1836,Risk_Matrix!$A$2:$A$4,0),MATCH(F1836,Risk_Matrix!$B$1:$D$1,0))</f>
        <v>Low</v>
      </c>
      <c r="H1836" s="12" t="n">
        <v>46058</v>
      </c>
      <c r="I1836" s="5" t="s">
        <v>2256</v>
      </c>
      <c r="J1836" s="5" t="s">
        <v>4081</v>
      </c>
      <c r="K1836" s="5" t="s">
        <v>2266</v>
      </c>
      <c r="L1836" s="5" t="n">
        <f aca="false">IF(G1836="High",3,IF(G1836="Medium",2,1))</f>
        <v>1</v>
      </c>
    </row>
    <row r="1837" customFormat="false" ht="15" hidden="false" customHeight="true" outlineLevel="0" collapsed="false">
      <c r="A1837" s="5" t="s">
        <v>4115</v>
      </c>
      <c r="B1837" s="5" t="s">
        <v>1586</v>
      </c>
      <c r="C1837" s="5" t="s">
        <v>2254</v>
      </c>
      <c r="D1837" s="5" t="s">
        <v>2299</v>
      </c>
      <c r="E1837" s="5" t="s">
        <v>2225</v>
      </c>
      <c r="F1837" s="5" t="s">
        <v>59</v>
      </c>
      <c r="G1837" s="5" t="str">
        <f aca="false">INDEX(Risk_Matrix!$B$2:$D$4,MATCH(E1837,Risk_Matrix!$A$2:$A$4,0),MATCH(F1837,Risk_Matrix!$B$1:$D$1,0))</f>
        <v>Low</v>
      </c>
      <c r="H1837" s="12" t="n">
        <v>46150</v>
      </c>
      <c r="I1837" s="5" t="s">
        <v>2241</v>
      </c>
      <c r="J1837" s="5" t="s">
        <v>2242</v>
      </c>
      <c r="K1837" s="5" t="s">
        <v>2276</v>
      </c>
      <c r="L1837" s="5" t="n">
        <f aca="false">IF(G1837="High",3,IF(G1837="Medium",2,1))</f>
        <v>1</v>
      </c>
    </row>
    <row r="1838" customFormat="false" ht="15" hidden="false" customHeight="true" outlineLevel="0" collapsed="false">
      <c r="A1838" s="5" t="s">
        <v>4116</v>
      </c>
      <c r="B1838" s="5" t="s">
        <v>1588</v>
      </c>
      <c r="C1838" s="5" t="s">
        <v>2239</v>
      </c>
      <c r="D1838" s="5" t="s">
        <v>2295</v>
      </c>
      <c r="E1838" s="5" t="s">
        <v>54</v>
      </c>
      <c r="F1838" s="5" t="s">
        <v>2225</v>
      </c>
      <c r="G1838" s="5" t="str">
        <f aca="false">INDEX(Risk_Matrix!$B$2:$D$4,MATCH(E1838,Risk_Matrix!$A$2:$A$4,0),MATCH(F1838,Risk_Matrix!$B$1:$D$1,0))</f>
        <v>High</v>
      </c>
      <c r="H1838" s="12" t="n">
        <v>46148</v>
      </c>
      <c r="I1838" s="5" t="s">
        <v>2250</v>
      </c>
      <c r="J1838" s="5" t="s">
        <v>2251</v>
      </c>
      <c r="K1838" s="5" t="s">
        <v>2276</v>
      </c>
      <c r="L1838" s="5" t="n">
        <f aca="false">IF(G1838="High",3,IF(G1838="Medium",2,1))</f>
        <v>3</v>
      </c>
    </row>
    <row r="1839" customFormat="false" ht="15" hidden="false" customHeight="true" outlineLevel="0" collapsed="false">
      <c r="A1839" s="5" t="s">
        <v>4117</v>
      </c>
      <c r="B1839" s="5" t="s">
        <v>1588</v>
      </c>
      <c r="C1839" s="5" t="s">
        <v>2245</v>
      </c>
      <c r="D1839" s="5" t="s">
        <v>2246</v>
      </c>
      <c r="E1839" s="5" t="s">
        <v>59</v>
      </c>
      <c r="F1839" s="5" t="s">
        <v>54</v>
      </c>
      <c r="G1839" s="5" t="str">
        <f aca="false">INDEX(Risk_Matrix!$B$2:$D$4,MATCH(E1839,Risk_Matrix!$A$2:$A$4,0),MATCH(F1839,Risk_Matrix!$B$1:$D$1,0))</f>
        <v>Medium</v>
      </c>
      <c r="H1839" s="12" t="n">
        <v>46197</v>
      </c>
      <c r="I1839" s="5" t="s">
        <v>2256</v>
      </c>
      <c r="J1839" s="5" t="s">
        <v>4081</v>
      </c>
      <c r="K1839" s="5" t="s">
        <v>2276</v>
      </c>
      <c r="L1839" s="5" t="n">
        <f aca="false">IF(G1839="High",3,IF(G1839="Medium",2,1))</f>
        <v>2</v>
      </c>
    </row>
    <row r="1840" customFormat="false" ht="15" hidden="false" customHeight="true" outlineLevel="0" collapsed="false">
      <c r="A1840" s="5" t="s">
        <v>4118</v>
      </c>
      <c r="B1840" s="5" t="s">
        <v>1588</v>
      </c>
      <c r="C1840" s="5" t="s">
        <v>2248</v>
      </c>
      <c r="D1840" s="5" t="s">
        <v>2249</v>
      </c>
      <c r="E1840" s="5" t="s">
        <v>59</v>
      </c>
      <c r="F1840" s="5" t="s">
        <v>54</v>
      </c>
      <c r="G1840" s="5" t="str">
        <f aca="false">INDEX(Risk_Matrix!$B$2:$D$4,MATCH(E1840,Risk_Matrix!$A$2:$A$4,0),MATCH(F1840,Risk_Matrix!$B$1:$D$1,0))</f>
        <v>Medium</v>
      </c>
      <c r="H1840" s="12" t="n">
        <v>46231</v>
      </c>
      <c r="I1840" s="5" t="s">
        <v>2250</v>
      </c>
      <c r="J1840" s="5" t="s">
        <v>2251</v>
      </c>
      <c r="K1840" s="5" t="s">
        <v>2266</v>
      </c>
      <c r="L1840" s="5" t="n">
        <f aca="false">IF(G1840="High",3,IF(G1840="Medium",2,1))</f>
        <v>2</v>
      </c>
    </row>
    <row r="1841" customFormat="false" ht="15" hidden="false" customHeight="true" outlineLevel="0" collapsed="false">
      <c r="A1841" s="5" t="s">
        <v>4119</v>
      </c>
      <c r="B1841" s="5" t="s">
        <v>1588</v>
      </c>
      <c r="C1841" s="5" t="s">
        <v>2262</v>
      </c>
      <c r="D1841" s="5" t="s">
        <v>2263</v>
      </c>
      <c r="E1841" s="5" t="s">
        <v>54</v>
      </c>
      <c r="F1841" s="5" t="s">
        <v>54</v>
      </c>
      <c r="G1841" s="5" t="str">
        <f aca="false">INDEX(Risk_Matrix!$B$2:$D$4,MATCH(E1841,Risk_Matrix!$A$2:$A$4,0),MATCH(F1841,Risk_Matrix!$B$1:$D$1,0))</f>
        <v>High</v>
      </c>
      <c r="H1841" s="12" t="n">
        <v>46086</v>
      </c>
      <c r="I1841" s="5" t="s">
        <v>2256</v>
      </c>
      <c r="J1841" s="5" t="s">
        <v>4081</v>
      </c>
      <c r="K1841" s="5" t="s">
        <v>2276</v>
      </c>
      <c r="L1841" s="5" t="n">
        <f aca="false">IF(G1841="High",3,IF(G1841="Medium",2,1))</f>
        <v>3</v>
      </c>
    </row>
    <row r="1842" customFormat="false" ht="15" hidden="false" customHeight="true" outlineLevel="0" collapsed="false">
      <c r="A1842" s="5" t="s">
        <v>4120</v>
      </c>
      <c r="B1842" s="5" t="s">
        <v>1588</v>
      </c>
      <c r="C1842" s="5" t="s">
        <v>2259</v>
      </c>
      <c r="D1842" s="5" t="s">
        <v>2274</v>
      </c>
      <c r="E1842" s="5" t="s">
        <v>2225</v>
      </c>
      <c r="F1842" s="5" t="s">
        <v>54</v>
      </c>
      <c r="G1842" s="5" t="str">
        <f aca="false">INDEX(Risk_Matrix!$B$2:$D$4,MATCH(E1842,Risk_Matrix!$A$2:$A$4,0),MATCH(F1842,Risk_Matrix!$B$1:$D$1,0))</f>
        <v>High</v>
      </c>
      <c r="H1842" s="12" t="n">
        <v>46215</v>
      </c>
      <c r="I1842" s="5" t="s">
        <v>2241</v>
      </c>
      <c r="J1842" s="5" t="s">
        <v>2242</v>
      </c>
      <c r="K1842" s="5" t="s">
        <v>2276</v>
      </c>
      <c r="L1842" s="5" t="n">
        <f aca="false">IF(G1842="High",3,IF(G1842="Medium",2,1))</f>
        <v>3</v>
      </c>
    </row>
    <row r="1843" customFormat="false" ht="15" hidden="false" customHeight="true" outlineLevel="0" collapsed="false">
      <c r="A1843" s="5" t="s">
        <v>4121</v>
      </c>
      <c r="B1843" s="5" t="s">
        <v>1588</v>
      </c>
      <c r="C1843" s="5" t="s">
        <v>2254</v>
      </c>
      <c r="D1843" s="5" t="s">
        <v>2255</v>
      </c>
      <c r="E1843" s="5" t="s">
        <v>54</v>
      </c>
      <c r="F1843" s="5" t="s">
        <v>59</v>
      </c>
      <c r="G1843" s="5" t="str">
        <f aca="false">INDEX(Risk_Matrix!$B$2:$D$4,MATCH(E1843,Risk_Matrix!$A$2:$A$4,0),MATCH(F1843,Risk_Matrix!$B$1:$D$1,0))</f>
        <v>Medium</v>
      </c>
      <c r="H1843" s="12" t="n">
        <v>46173</v>
      </c>
      <c r="I1843" s="5" t="s">
        <v>2264</v>
      </c>
      <c r="J1843" s="5" t="s">
        <v>4087</v>
      </c>
      <c r="K1843" s="5" t="s">
        <v>2266</v>
      </c>
      <c r="L1843" s="5" t="n">
        <f aca="false">IF(G1843="High",3,IF(G1843="Medium",2,1))</f>
        <v>2</v>
      </c>
    </row>
    <row r="1844" customFormat="false" ht="15" hidden="false" customHeight="true" outlineLevel="0" collapsed="false">
      <c r="A1844" s="5" t="s">
        <v>4122</v>
      </c>
      <c r="B1844" s="5" t="s">
        <v>1590</v>
      </c>
      <c r="C1844" s="5" t="s">
        <v>2239</v>
      </c>
      <c r="D1844" s="5" t="s">
        <v>2295</v>
      </c>
      <c r="E1844" s="5" t="s">
        <v>54</v>
      </c>
      <c r="F1844" s="5" t="s">
        <v>54</v>
      </c>
      <c r="G1844" s="5" t="str">
        <f aca="false">INDEX(Risk_Matrix!$B$2:$D$4,MATCH(E1844,Risk_Matrix!$A$2:$A$4,0),MATCH(F1844,Risk_Matrix!$B$1:$D$1,0))</f>
        <v>High</v>
      </c>
      <c r="H1844" s="12" t="n">
        <v>46048</v>
      </c>
      <c r="I1844" s="5" t="s">
        <v>2241</v>
      </c>
      <c r="J1844" s="5" t="s">
        <v>2242</v>
      </c>
      <c r="K1844" s="5" t="s">
        <v>2283</v>
      </c>
      <c r="L1844" s="5" t="n">
        <f aca="false">IF(G1844="High",3,IF(G1844="Medium",2,1))</f>
        <v>3</v>
      </c>
    </row>
    <row r="1845" customFormat="false" ht="15" hidden="false" customHeight="true" outlineLevel="0" collapsed="false">
      <c r="A1845" s="5" t="s">
        <v>4123</v>
      </c>
      <c r="B1845" s="5" t="s">
        <v>1590</v>
      </c>
      <c r="C1845" s="5" t="s">
        <v>2245</v>
      </c>
      <c r="D1845" s="5" t="s">
        <v>2246</v>
      </c>
      <c r="E1845" s="5" t="s">
        <v>54</v>
      </c>
      <c r="F1845" s="5" t="s">
        <v>54</v>
      </c>
      <c r="G1845" s="5" t="str">
        <f aca="false">INDEX(Risk_Matrix!$B$2:$D$4,MATCH(E1845,Risk_Matrix!$A$2:$A$4,0),MATCH(F1845,Risk_Matrix!$B$1:$D$1,0))</f>
        <v>High</v>
      </c>
      <c r="H1845" s="12" t="n">
        <v>46160</v>
      </c>
      <c r="I1845" s="5" t="s">
        <v>2241</v>
      </c>
      <c r="J1845" s="5" t="s">
        <v>2242</v>
      </c>
      <c r="K1845" s="5" t="s">
        <v>2283</v>
      </c>
      <c r="L1845" s="5" t="n">
        <f aca="false">IF(G1845="High",3,IF(G1845="Medium",2,1))</f>
        <v>3</v>
      </c>
    </row>
    <row r="1846" customFormat="false" ht="15" hidden="false" customHeight="true" outlineLevel="0" collapsed="false">
      <c r="A1846" s="5" t="s">
        <v>4124</v>
      </c>
      <c r="B1846" s="5" t="s">
        <v>1590</v>
      </c>
      <c r="C1846" s="5" t="s">
        <v>2248</v>
      </c>
      <c r="D1846" s="5" t="s">
        <v>2322</v>
      </c>
      <c r="E1846" s="5" t="s">
        <v>2225</v>
      </c>
      <c r="F1846" s="5" t="s">
        <v>54</v>
      </c>
      <c r="G1846" s="5" t="str">
        <f aca="false">INDEX(Risk_Matrix!$B$2:$D$4,MATCH(E1846,Risk_Matrix!$A$2:$A$4,0),MATCH(F1846,Risk_Matrix!$B$1:$D$1,0))</f>
        <v>High</v>
      </c>
      <c r="H1846" s="12" t="n">
        <v>46195</v>
      </c>
      <c r="I1846" s="5" t="s">
        <v>2241</v>
      </c>
      <c r="J1846" s="5" t="s">
        <v>2242</v>
      </c>
      <c r="K1846" s="5" t="s">
        <v>2266</v>
      </c>
      <c r="L1846" s="5" t="n">
        <f aca="false">IF(G1846="High",3,IF(G1846="Medium",2,1))</f>
        <v>3</v>
      </c>
    </row>
    <row r="1847" customFormat="false" ht="15" hidden="false" customHeight="true" outlineLevel="0" collapsed="false">
      <c r="A1847" s="5" t="s">
        <v>4125</v>
      </c>
      <c r="B1847" s="5" t="s">
        <v>1590</v>
      </c>
      <c r="C1847" s="5" t="s">
        <v>2262</v>
      </c>
      <c r="D1847" s="5" t="s">
        <v>2263</v>
      </c>
      <c r="E1847" s="5" t="s">
        <v>59</v>
      </c>
      <c r="F1847" s="5" t="s">
        <v>59</v>
      </c>
      <c r="G1847" s="5" t="str">
        <f aca="false">INDEX(Risk_Matrix!$B$2:$D$4,MATCH(E1847,Risk_Matrix!$A$2:$A$4,0),MATCH(F1847,Risk_Matrix!$B$1:$D$1,0))</f>
        <v>Low</v>
      </c>
      <c r="H1847" s="12" t="n">
        <v>46089</v>
      </c>
      <c r="I1847" s="5" t="s">
        <v>2250</v>
      </c>
      <c r="J1847" s="5" t="s">
        <v>2251</v>
      </c>
      <c r="K1847" s="5" t="s">
        <v>2243</v>
      </c>
      <c r="L1847" s="5" t="n">
        <f aca="false">IF(G1847="High",3,IF(G1847="Medium",2,1))</f>
        <v>1</v>
      </c>
    </row>
    <row r="1848" customFormat="false" ht="15" hidden="false" customHeight="true" outlineLevel="0" collapsed="false">
      <c r="A1848" s="5" t="s">
        <v>4126</v>
      </c>
      <c r="B1848" s="5" t="s">
        <v>1590</v>
      </c>
      <c r="C1848" s="5" t="s">
        <v>2259</v>
      </c>
      <c r="D1848" s="5" t="s">
        <v>2285</v>
      </c>
      <c r="E1848" s="5" t="s">
        <v>54</v>
      </c>
      <c r="F1848" s="5" t="s">
        <v>2225</v>
      </c>
      <c r="G1848" s="5" t="str">
        <f aca="false">INDEX(Risk_Matrix!$B$2:$D$4,MATCH(E1848,Risk_Matrix!$A$2:$A$4,0),MATCH(F1848,Risk_Matrix!$B$1:$D$1,0))</f>
        <v>High</v>
      </c>
      <c r="H1848" s="12" t="n">
        <v>46182</v>
      </c>
      <c r="I1848" s="5" t="s">
        <v>2241</v>
      </c>
      <c r="J1848" s="5" t="s">
        <v>2242</v>
      </c>
      <c r="K1848" s="5" t="s">
        <v>2283</v>
      </c>
      <c r="L1848" s="5" t="n">
        <f aca="false">IF(G1848="High",3,IF(G1848="Medium",2,1))</f>
        <v>3</v>
      </c>
    </row>
    <row r="1849" customFormat="false" ht="15" hidden="false" customHeight="true" outlineLevel="0" collapsed="false">
      <c r="A1849" s="5" t="s">
        <v>4127</v>
      </c>
      <c r="B1849" s="5" t="s">
        <v>1590</v>
      </c>
      <c r="C1849" s="5" t="s">
        <v>2254</v>
      </c>
      <c r="D1849" s="5" t="s">
        <v>2255</v>
      </c>
      <c r="E1849" s="5" t="s">
        <v>2225</v>
      </c>
      <c r="F1849" s="5" t="s">
        <v>54</v>
      </c>
      <c r="G1849" s="5" t="str">
        <f aca="false">INDEX(Risk_Matrix!$B$2:$D$4,MATCH(E1849,Risk_Matrix!$A$2:$A$4,0),MATCH(F1849,Risk_Matrix!$B$1:$D$1,0))</f>
        <v>High</v>
      </c>
      <c r="H1849" s="12" t="n">
        <v>46032</v>
      </c>
      <c r="I1849" s="5" t="s">
        <v>2241</v>
      </c>
      <c r="J1849" s="5" t="s">
        <v>2242</v>
      </c>
      <c r="K1849" s="5" t="s">
        <v>2276</v>
      </c>
      <c r="L1849" s="5" t="n">
        <f aca="false">IF(G1849="High",3,IF(G1849="Medium",2,1))</f>
        <v>3</v>
      </c>
    </row>
    <row r="1850" customFormat="false" ht="15" hidden="false" customHeight="true" outlineLevel="0" collapsed="false">
      <c r="A1850" s="5" t="s">
        <v>4128</v>
      </c>
      <c r="B1850" s="5" t="s">
        <v>1592</v>
      </c>
      <c r="C1850" s="5" t="s">
        <v>2239</v>
      </c>
      <c r="D1850" s="5" t="s">
        <v>2295</v>
      </c>
      <c r="E1850" s="5" t="s">
        <v>2225</v>
      </c>
      <c r="F1850" s="5" t="s">
        <v>59</v>
      </c>
      <c r="G1850" s="5" t="str">
        <f aca="false">INDEX(Risk_Matrix!$B$2:$D$4,MATCH(E1850,Risk_Matrix!$A$2:$A$4,0),MATCH(F1850,Risk_Matrix!$B$1:$D$1,0))</f>
        <v>Low</v>
      </c>
      <c r="H1850" s="12" t="n">
        <v>46162</v>
      </c>
      <c r="I1850" s="5" t="s">
        <v>2256</v>
      </c>
      <c r="J1850" s="5" t="s">
        <v>4081</v>
      </c>
      <c r="K1850" s="5" t="s">
        <v>2266</v>
      </c>
      <c r="L1850" s="5" t="n">
        <f aca="false">IF(G1850="High",3,IF(G1850="Medium",2,1))</f>
        <v>1</v>
      </c>
    </row>
    <row r="1851" customFormat="false" ht="15" hidden="false" customHeight="true" outlineLevel="0" collapsed="false">
      <c r="A1851" s="5" t="s">
        <v>4129</v>
      </c>
      <c r="B1851" s="5" t="s">
        <v>1592</v>
      </c>
      <c r="C1851" s="5" t="s">
        <v>2245</v>
      </c>
      <c r="D1851" s="5" t="s">
        <v>2320</v>
      </c>
      <c r="E1851" s="5" t="s">
        <v>2225</v>
      </c>
      <c r="F1851" s="5" t="s">
        <v>2225</v>
      </c>
      <c r="G1851" s="5" t="str">
        <f aca="false">INDEX(Risk_Matrix!$B$2:$D$4,MATCH(E1851,Risk_Matrix!$A$2:$A$4,0),MATCH(F1851,Risk_Matrix!$B$1:$D$1,0))</f>
        <v>Medium</v>
      </c>
      <c r="H1851" s="12" t="n">
        <v>46052</v>
      </c>
      <c r="I1851" s="5" t="s">
        <v>2241</v>
      </c>
      <c r="J1851" s="5" t="s">
        <v>2242</v>
      </c>
      <c r="K1851" s="5" t="s">
        <v>2266</v>
      </c>
      <c r="L1851" s="5" t="n">
        <f aca="false">IF(G1851="High",3,IF(G1851="Medium",2,1))</f>
        <v>2</v>
      </c>
    </row>
    <row r="1852" customFormat="false" ht="15" hidden="false" customHeight="true" outlineLevel="0" collapsed="false">
      <c r="A1852" s="5" t="s">
        <v>4130</v>
      </c>
      <c r="B1852" s="5" t="s">
        <v>1592</v>
      </c>
      <c r="C1852" s="5" t="s">
        <v>2248</v>
      </c>
      <c r="D1852" s="5" t="s">
        <v>2322</v>
      </c>
      <c r="E1852" s="5" t="s">
        <v>2225</v>
      </c>
      <c r="F1852" s="5" t="s">
        <v>59</v>
      </c>
      <c r="G1852" s="5" t="str">
        <f aca="false">INDEX(Risk_Matrix!$B$2:$D$4,MATCH(E1852,Risk_Matrix!$A$2:$A$4,0),MATCH(F1852,Risk_Matrix!$B$1:$D$1,0))</f>
        <v>Low</v>
      </c>
      <c r="H1852" s="12" t="n">
        <v>46223</v>
      </c>
      <c r="I1852" s="5" t="s">
        <v>2264</v>
      </c>
      <c r="J1852" s="5" t="s">
        <v>4087</v>
      </c>
      <c r="K1852" s="5" t="s">
        <v>2252</v>
      </c>
      <c r="L1852" s="5" t="n">
        <f aca="false">IF(G1852="High",3,IF(G1852="Medium",2,1))</f>
        <v>1</v>
      </c>
    </row>
    <row r="1853" customFormat="false" ht="15" hidden="false" customHeight="true" outlineLevel="0" collapsed="false">
      <c r="A1853" s="5" t="s">
        <v>4131</v>
      </c>
      <c r="B1853" s="5" t="s">
        <v>1592</v>
      </c>
      <c r="C1853" s="5" t="s">
        <v>2262</v>
      </c>
      <c r="D1853" s="5" t="s">
        <v>2311</v>
      </c>
      <c r="E1853" s="5" t="s">
        <v>59</v>
      </c>
      <c r="F1853" s="5" t="s">
        <v>2225</v>
      </c>
      <c r="G1853" s="5" t="str">
        <f aca="false">INDEX(Risk_Matrix!$B$2:$D$4,MATCH(E1853,Risk_Matrix!$A$2:$A$4,0),MATCH(F1853,Risk_Matrix!$B$1:$D$1,0))</f>
        <v>Low</v>
      </c>
      <c r="H1853" s="12" t="n">
        <v>46042</v>
      </c>
      <c r="I1853" s="5" t="s">
        <v>2256</v>
      </c>
      <c r="J1853" s="5" t="s">
        <v>4081</v>
      </c>
      <c r="K1853" s="5" t="s">
        <v>2243</v>
      </c>
      <c r="L1853" s="5" t="n">
        <f aca="false">IF(G1853="High",3,IF(G1853="Medium",2,1))</f>
        <v>1</v>
      </c>
    </row>
    <row r="1854" customFormat="false" ht="15" hidden="false" customHeight="true" outlineLevel="0" collapsed="false">
      <c r="A1854" s="5" t="s">
        <v>4132</v>
      </c>
      <c r="B1854" s="5" t="s">
        <v>1592</v>
      </c>
      <c r="C1854" s="5" t="s">
        <v>2259</v>
      </c>
      <c r="D1854" s="5" t="s">
        <v>2285</v>
      </c>
      <c r="E1854" s="5" t="s">
        <v>2225</v>
      </c>
      <c r="F1854" s="5" t="s">
        <v>59</v>
      </c>
      <c r="G1854" s="5" t="str">
        <f aca="false">INDEX(Risk_Matrix!$B$2:$D$4,MATCH(E1854,Risk_Matrix!$A$2:$A$4,0),MATCH(F1854,Risk_Matrix!$B$1:$D$1,0))</f>
        <v>Low</v>
      </c>
      <c r="H1854" s="12" t="n">
        <v>46103</v>
      </c>
      <c r="I1854" s="5" t="s">
        <v>2241</v>
      </c>
      <c r="J1854" s="5" t="s">
        <v>2242</v>
      </c>
      <c r="K1854" s="5" t="s">
        <v>2266</v>
      </c>
      <c r="L1854" s="5" t="n">
        <f aca="false">IF(G1854="High",3,IF(G1854="Medium",2,1))</f>
        <v>1</v>
      </c>
    </row>
    <row r="1855" customFormat="false" ht="15" hidden="false" customHeight="true" outlineLevel="0" collapsed="false">
      <c r="A1855" s="5" t="s">
        <v>4133</v>
      </c>
      <c r="B1855" s="5" t="s">
        <v>1592</v>
      </c>
      <c r="C1855" s="5" t="s">
        <v>2254</v>
      </c>
      <c r="D1855" s="5" t="s">
        <v>2255</v>
      </c>
      <c r="E1855" s="5" t="s">
        <v>59</v>
      </c>
      <c r="F1855" s="5" t="s">
        <v>2225</v>
      </c>
      <c r="G1855" s="5" t="str">
        <f aca="false">INDEX(Risk_Matrix!$B$2:$D$4,MATCH(E1855,Risk_Matrix!$A$2:$A$4,0),MATCH(F1855,Risk_Matrix!$B$1:$D$1,0))</f>
        <v>Low</v>
      </c>
      <c r="H1855" s="12" t="n">
        <v>46109</v>
      </c>
      <c r="I1855" s="5" t="s">
        <v>2264</v>
      </c>
      <c r="J1855" s="5" t="s">
        <v>4087</v>
      </c>
      <c r="K1855" s="5" t="s">
        <v>2276</v>
      </c>
      <c r="L1855" s="5" t="n">
        <f aca="false">IF(G1855="High",3,IF(G1855="Medium",2,1))</f>
        <v>1</v>
      </c>
    </row>
    <row r="1856" customFormat="false" ht="15" hidden="false" customHeight="true" outlineLevel="0" collapsed="false">
      <c r="A1856" s="5" t="s">
        <v>4134</v>
      </c>
      <c r="B1856" s="5" t="s">
        <v>1595</v>
      </c>
      <c r="C1856" s="5" t="s">
        <v>2239</v>
      </c>
      <c r="D1856" s="5" t="s">
        <v>2295</v>
      </c>
      <c r="E1856" s="5" t="s">
        <v>2225</v>
      </c>
      <c r="F1856" s="5" t="s">
        <v>59</v>
      </c>
      <c r="G1856" s="5" t="str">
        <f aca="false">INDEX(Risk_Matrix!$B$2:$D$4,MATCH(E1856,Risk_Matrix!$A$2:$A$4,0),MATCH(F1856,Risk_Matrix!$B$1:$D$1,0))</f>
        <v>Low</v>
      </c>
      <c r="H1856" s="12" t="n">
        <v>46088</v>
      </c>
      <c r="I1856" s="5" t="s">
        <v>2241</v>
      </c>
      <c r="J1856" s="5" t="s">
        <v>2242</v>
      </c>
      <c r="K1856" s="5" t="s">
        <v>2243</v>
      </c>
      <c r="L1856" s="5" t="n">
        <f aca="false">IF(G1856="High",3,IF(G1856="Medium",2,1))</f>
        <v>1</v>
      </c>
    </row>
    <row r="1857" customFormat="false" ht="15" hidden="false" customHeight="true" outlineLevel="0" collapsed="false">
      <c r="A1857" s="5" t="s">
        <v>4135</v>
      </c>
      <c r="B1857" s="5" t="s">
        <v>1595</v>
      </c>
      <c r="C1857" s="5" t="s">
        <v>2245</v>
      </c>
      <c r="D1857" s="5" t="s">
        <v>2246</v>
      </c>
      <c r="E1857" s="5" t="s">
        <v>2225</v>
      </c>
      <c r="F1857" s="5" t="s">
        <v>54</v>
      </c>
      <c r="G1857" s="5" t="str">
        <f aca="false">INDEX(Risk_Matrix!$B$2:$D$4,MATCH(E1857,Risk_Matrix!$A$2:$A$4,0),MATCH(F1857,Risk_Matrix!$B$1:$D$1,0))</f>
        <v>High</v>
      </c>
      <c r="H1857" s="12" t="n">
        <v>46095</v>
      </c>
      <c r="I1857" s="5" t="s">
        <v>2256</v>
      </c>
      <c r="J1857" s="5" t="s">
        <v>4081</v>
      </c>
      <c r="K1857" s="5" t="s">
        <v>2266</v>
      </c>
      <c r="L1857" s="5" t="n">
        <f aca="false">IF(G1857="High",3,IF(G1857="Medium",2,1))</f>
        <v>3</v>
      </c>
    </row>
    <row r="1858" customFormat="false" ht="15" hidden="false" customHeight="true" outlineLevel="0" collapsed="false">
      <c r="A1858" s="5" t="s">
        <v>4136</v>
      </c>
      <c r="B1858" s="5" t="s">
        <v>1595</v>
      </c>
      <c r="C1858" s="5" t="s">
        <v>2248</v>
      </c>
      <c r="D1858" s="5" t="s">
        <v>2271</v>
      </c>
      <c r="E1858" s="5" t="s">
        <v>2225</v>
      </c>
      <c r="F1858" s="5" t="s">
        <v>2225</v>
      </c>
      <c r="G1858" s="5" t="str">
        <f aca="false">INDEX(Risk_Matrix!$B$2:$D$4,MATCH(E1858,Risk_Matrix!$A$2:$A$4,0),MATCH(F1858,Risk_Matrix!$B$1:$D$1,0))</f>
        <v>Medium</v>
      </c>
      <c r="H1858" s="12" t="n">
        <v>46150</v>
      </c>
      <c r="I1858" s="5" t="s">
        <v>2256</v>
      </c>
      <c r="J1858" s="5" t="s">
        <v>4081</v>
      </c>
      <c r="K1858" s="5" t="s">
        <v>2266</v>
      </c>
      <c r="L1858" s="5" t="n">
        <f aca="false">IF(G1858="High",3,IF(G1858="Medium",2,1))</f>
        <v>2</v>
      </c>
    </row>
    <row r="1859" customFormat="false" ht="15" hidden="false" customHeight="true" outlineLevel="0" collapsed="false">
      <c r="A1859" s="5" t="s">
        <v>4137</v>
      </c>
      <c r="B1859" s="5" t="s">
        <v>1595</v>
      </c>
      <c r="C1859" s="5" t="s">
        <v>2262</v>
      </c>
      <c r="D1859" s="5" t="s">
        <v>2311</v>
      </c>
      <c r="E1859" s="5" t="s">
        <v>2225</v>
      </c>
      <c r="F1859" s="5" t="s">
        <v>54</v>
      </c>
      <c r="G1859" s="5" t="str">
        <f aca="false">INDEX(Risk_Matrix!$B$2:$D$4,MATCH(E1859,Risk_Matrix!$A$2:$A$4,0),MATCH(F1859,Risk_Matrix!$B$1:$D$1,0))</f>
        <v>High</v>
      </c>
      <c r="H1859" s="12" t="n">
        <v>46095</v>
      </c>
      <c r="I1859" s="5" t="s">
        <v>2264</v>
      </c>
      <c r="J1859" s="5" t="s">
        <v>4087</v>
      </c>
      <c r="K1859" s="5" t="s">
        <v>2266</v>
      </c>
      <c r="L1859" s="5" t="n">
        <f aca="false">IF(G1859="High",3,IF(G1859="Medium",2,1))</f>
        <v>3</v>
      </c>
    </row>
    <row r="1860" customFormat="false" ht="15" hidden="false" customHeight="true" outlineLevel="0" collapsed="false">
      <c r="A1860" s="5" t="s">
        <v>4138</v>
      </c>
      <c r="B1860" s="5" t="s">
        <v>1595</v>
      </c>
      <c r="C1860" s="5" t="s">
        <v>2259</v>
      </c>
      <c r="D1860" s="5" t="s">
        <v>2285</v>
      </c>
      <c r="E1860" s="5" t="s">
        <v>54</v>
      </c>
      <c r="F1860" s="5" t="s">
        <v>54</v>
      </c>
      <c r="G1860" s="5" t="str">
        <f aca="false">INDEX(Risk_Matrix!$B$2:$D$4,MATCH(E1860,Risk_Matrix!$A$2:$A$4,0),MATCH(F1860,Risk_Matrix!$B$1:$D$1,0))</f>
        <v>High</v>
      </c>
      <c r="H1860" s="12" t="n">
        <v>46222</v>
      </c>
      <c r="I1860" s="5" t="s">
        <v>2241</v>
      </c>
      <c r="J1860" s="5" t="s">
        <v>2242</v>
      </c>
      <c r="K1860" s="5" t="s">
        <v>2243</v>
      </c>
      <c r="L1860" s="5" t="n">
        <f aca="false">IF(G1860="High",3,IF(G1860="Medium",2,1))</f>
        <v>3</v>
      </c>
    </row>
    <row r="1861" customFormat="false" ht="15" hidden="false" customHeight="true" outlineLevel="0" collapsed="false">
      <c r="A1861" s="5" t="s">
        <v>4139</v>
      </c>
      <c r="B1861" s="5" t="s">
        <v>1595</v>
      </c>
      <c r="C1861" s="5" t="s">
        <v>2254</v>
      </c>
      <c r="D1861" s="5" t="s">
        <v>2299</v>
      </c>
      <c r="E1861" s="5" t="s">
        <v>54</v>
      </c>
      <c r="F1861" s="5" t="s">
        <v>59</v>
      </c>
      <c r="G1861" s="5" t="str">
        <f aca="false">INDEX(Risk_Matrix!$B$2:$D$4,MATCH(E1861,Risk_Matrix!$A$2:$A$4,0),MATCH(F1861,Risk_Matrix!$B$1:$D$1,0))</f>
        <v>Medium</v>
      </c>
      <c r="H1861" s="12" t="n">
        <v>46131</v>
      </c>
      <c r="I1861" s="5" t="s">
        <v>2250</v>
      </c>
      <c r="J1861" s="5" t="s">
        <v>2251</v>
      </c>
      <c r="K1861" s="5" t="s">
        <v>2283</v>
      </c>
      <c r="L1861" s="5" t="n">
        <f aca="false">IF(G1861="High",3,IF(G1861="Medium",2,1))</f>
        <v>2</v>
      </c>
    </row>
    <row r="1862" customFormat="false" ht="15" hidden="false" customHeight="true" outlineLevel="0" collapsed="false">
      <c r="A1862" s="5" t="s">
        <v>4140</v>
      </c>
      <c r="B1862" s="5" t="s">
        <v>1599</v>
      </c>
      <c r="C1862" s="5" t="s">
        <v>2239</v>
      </c>
      <c r="D1862" s="5" t="s">
        <v>2303</v>
      </c>
      <c r="E1862" s="5" t="s">
        <v>59</v>
      </c>
      <c r="F1862" s="5" t="s">
        <v>54</v>
      </c>
      <c r="G1862" s="5" t="str">
        <f aca="false">INDEX(Risk_Matrix!$B$2:$D$4,MATCH(E1862,Risk_Matrix!$A$2:$A$4,0),MATCH(F1862,Risk_Matrix!$B$1:$D$1,0))</f>
        <v>Medium</v>
      </c>
      <c r="H1862" s="12" t="n">
        <v>46122</v>
      </c>
      <c r="I1862" s="5" t="s">
        <v>2264</v>
      </c>
      <c r="J1862" s="5" t="s">
        <v>4087</v>
      </c>
      <c r="K1862" s="5" t="s">
        <v>2243</v>
      </c>
      <c r="L1862" s="5" t="n">
        <f aca="false">IF(G1862="High",3,IF(G1862="Medium",2,1))</f>
        <v>2</v>
      </c>
    </row>
    <row r="1863" customFormat="false" ht="15" hidden="false" customHeight="true" outlineLevel="0" collapsed="false">
      <c r="A1863" s="5" t="s">
        <v>4141</v>
      </c>
      <c r="B1863" s="5" t="s">
        <v>1599</v>
      </c>
      <c r="C1863" s="5" t="s">
        <v>2245</v>
      </c>
      <c r="D1863" s="5" t="s">
        <v>2246</v>
      </c>
      <c r="E1863" s="5" t="s">
        <v>59</v>
      </c>
      <c r="F1863" s="5" t="s">
        <v>54</v>
      </c>
      <c r="G1863" s="5" t="str">
        <f aca="false">INDEX(Risk_Matrix!$B$2:$D$4,MATCH(E1863,Risk_Matrix!$A$2:$A$4,0),MATCH(F1863,Risk_Matrix!$B$1:$D$1,0))</f>
        <v>Medium</v>
      </c>
      <c r="H1863" s="12" t="n">
        <v>46142</v>
      </c>
      <c r="I1863" s="5" t="s">
        <v>2256</v>
      </c>
      <c r="J1863" s="5" t="s">
        <v>4081</v>
      </c>
      <c r="K1863" s="5" t="s">
        <v>2283</v>
      </c>
      <c r="L1863" s="5" t="n">
        <f aca="false">IF(G1863="High",3,IF(G1863="Medium",2,1))</f>
        <v>2</v>
      </c>
    </row>
    <row r="1864" customFormat="false" ht="15" hidden="false" customHeight="true" outlineLevel="0" collapsed="false">
      <c r="A1864" s="5" t="s">
        <v>4142</v>
      </c>
      <c r="B1864" s="5" t="s">
        <v>1599</v>
      </c>
      <c r="C1864" s="5" t="s">
        <v>2248</v>
      </c>
      <c r="D1864" s="5" t="s">
        <v>2271</v>
      </c>
      <c r="E1864" s="5" t="s">
        <v>59</v>
      </c>
      <c r="F1864" s="5" t="s">
        <v>2225</v>
      </c>
      <c r="G1864" s="5" t="str">
        <f aca="false">INDEX(Risk_Matrix!$B$2:$D$4,MATCH(E1864,Risk_Matrix!$A$2:$A$4,0),MATCH(F1864,Risk_Matrix!$B$1:$D$1,0))</f>
        <v>Low</v>
      </c>
      <c r="H1864" s="12" t="n">
        <v>46027</v>
      </c>
      <c r="I1864" s="5" t="s">
        <v>2250</v>
      </c>
      <c r="J1864" s="5" t="s">
        <v>2251</v>
      </c>
      <c r="K1864" s="5" t="s">
        <v>2243</v>
      </c>
      <c r="L1864" s="5" t="n">
        <f aca="false">IF(G1864="High",3,IF(G1864="Medium",2,1))</f>
        <v>1</v>
      </c>
    </row>
    <row r="1865" customFormat="false" ht="15" hidden="false" customHeight="true" outlineLevel="0" collapsed="false">
      <c r="A1865" s="5" t="s">
        <v>4143</v>
      </c>
      <c r="B1865" s="5" t="s">
        <v>1599</v>
      </c>
      <c r="C1865" s="5" t="s">
        <v>2262</v>
      </c>
      <c r="D1865" s="5" t="s">
        <v>2311</v>
      </c>
      <c r="E1865" s="5" t="s">
        <v>2225</v>
      </c>
      <c r="F1865" s="5" t="s">
        <v>2225</v>
      </c>
      <c r="G1865" s="5" t="str">
        <f aca="false">INDEX(Risk_Matrix!$B$2:$D$4,MATCH(E1865,Risk_Matrix!$A$2:$A$4,0),MATCH(F1865,Risk_Matrix!$B$1:$D$1,0))</f>
        <v>Medium</v>
      </c>
      <c r="H1865" s="12" t="n">
        <v>46116</v>
      </c>
      <c r="I1865" s="5" t="s">
        <v>2250</v>
      </c>
      <c r="J1865" s="5" t="s">
        <v>2251</v>
      </c>
      <c r="K1865" s="5" t="s">
        <v>2276</v>
      </c>
      <c r="L1865" s="5" t="n">
        <f aca="false">IF(G1865="High",3,IF(G1865="Medium",2,1))</f>
        <v>2</v>
      </c>
    </row>
    <row r="1866" customFormat="false" ht="15" hidden="false" customHeight="true" outlineLevel="0" collapsed="false">
      <c r="A1866" s="5" t="s">
        <v>4144</v>
      </c>
      <c r="B1866" s="5" t="s">
        <v>1599</v>
      </c>
      <c r="C1866" s="5" t="s">
        <v>2259</v>
      </c>
      <c r="D1866" s="5" t="s">
        <v>2285</v>
      </c>
      <c r="E1866" s="5" t="s">
        <v>59</v>
      </c>
      <c r="F1866" s="5" t="s">
        <v>54</v>
      </c>
      <c r="G1866" s="5" t="str">
        <f aca="false">INDEX(Risk_Matrix!$B$2:$D$4,MATCH(E1866,Risk_Matrix!$A$2:$A$4,0),MATCH(F1866,Risk_Matrix!$B$1:$D$1,0))</f>
        <v>Medium</v>
      </c>
      <c r="H1866" s="12" t="n">
        <v>46068</v>
      </c>
      <c r="I1866" s="5" t="s">
        <v>2250</v>
      </c>
      <c r="J1866" s="5" t="s">
        <v>2251</v>
      </c>
      <c r="K1866" s="5" t="s">
        <v>2266</v>
      </c>
      <c r="L1866" s="5" t="n">
        <f aca="false">IF(G1866="High",3,IF(G1866="Medium",2,1))</f>
        <v>2</v>
      </c>
    </row>
    <row r="1867" customFormat="false" ht="15" hidden="false" customHeight="true" outlineLevel="0" collapsed="false">
      <c r="A1867" s="5" t="s">
        <v>4145</v>
      </c>
      <c r="B1867" s="5" t="s">
        <v>1599</v>
      </c>
      <c r="C1867" s="5" t="s">
        <v>2254</v>
      </c>
      <c r="D1867" s="5" t="s">
        <v>2299</v>
      </c>
      <c r="E1867" s="5" t="s">
        <v>54</v>
      </c>
      <c r="F1867" s="5" t="s">
        <v>54</v>
      </c>
      <c r="G1867" s="5" t="str">
        <f aca="false">INDEX(Risk_Matrix!$B$2:$D$4,MATCH(E1867,Risk_Matrix!$A$2:$A$4,0),MATCH(F1867,Risk_Matrix!$B$1:$D$1,0))</f>
        <v>High</v>
      </c>
      <c r="H1867" s="12" t="n">
        <v>46049</v>
      </c>
      <c r="I1867" s="5" t="s">
        <v>2241</v>
      </c>
      <c r="J1867" s="5" t="s">
        <v>2242</v>
      </c>
      <c r="K1867" s="5" t="s">
        <v>2252</v>
      </c>
      <c r="L1867" s="5" t="n">
        <f aca="false">IF(G1867="High",3,IF(G1867="Medium",2,1))</f>
        <v>3</v>
      </c>
    </row>
    <row r="1868" customFormat="false" ht="15" hidden="false" customHeight="true" outlineLevel="0" collapsed="false">
      <c r="A1868" s="5" t="s">
        <v>4146</v>
      </c>
      <c r="B1868" s="5" t="s">
        <v>1601</v>
      </c>
      <c r="C1868" s="5" t="s">
        <v>2239</v>
      </c>
      <c r="D1868" s="5" t="s">
        <v>2303</v>
      </c>
      <c r="E1868" s="5" t="s">
        <v>54</v>
      </c>
      <c r="F1868" s="5" t="s">
        <v>59</v>
      </c>
      <c r="G1868" s="5" t="str">
        <f aca="false">INDEX(Risk_Matrix!$B$2:$D$4,MATCH(E1868,Risk_Matrix!$A$2:$A$4,0),MATCH(F1868,Risk_Matrix!$B$1:$D$1,0))</f>
        <v>Medium</v>
      </c>
      <c r="H1868" s="12" t="n">
        <v>46098</v>
      </c>
      <c r="I1868" s="5" t="s">
        <v>2264</v>
      </c>
      <c r="J1868" s="5" t="s">
        <v>4087</v>
      </c>
      <c r="K1868" s="5" t="s">
        <v>2283</v>
      </c>
      <c r="L1868" s="5" t="n">
        <f aca="false">IF(G1868="High",3,IF(G1868="Medium",2,1))</f>
        <v>2</v>
      </c>
    </row>
    <row r="1869" customFormat="false" ht="15" hidden="false" customHeight="true" outlineLevel="0" collapsed="false">
      <c r="A1869" s="5" t="s">
        <v>4147</v>
      </c>
      <c r="B1869" s="5" t="s">
        <v>1601</v>
      </c>
      <c r="C1869" s="5" t="s">
        <v>2245</v>
      </c>
      <c r="D1869" s="5" t="s">
        <v>2269</v>
      </c>
      <c r="E1869" s="5" t="s">
        <v>59</v>
      </c>
      <c r="F1869" s="5" t="s">
        <v>54</v>
      </c>
      <c r="G1869" s="5" t="str">
        <f aca="false">INDEX(Risk_Matrix!$B$2:$D$4,MATCH(E1869,Risk_Matrix!$A$2:$A$4,0),MATCH(F1869,Risk_Matrix!$B$1:$D$1,0))</f>
        <v>Medium</v>
      </c>
      <c r="H1869" s="12" t="n">
        <v>46189</v>
      </c>
      <c r="I1869" s="5" t="s">
        <v>2250</v>
      </c>
      <c r="J1869" s="5" t="s">
        <v>2251</v>
      </c>
      <c r="K1869" s="5" t="s">
        <v>2252</v>
      </c>
      <c r="L1869" s="5" t="n">
        <f aca="false">IF(G1869="High",3,IF(G1869="Medium",2,1))</f>
        <v>2</v>
      </c>
    </row>
    <row r="1870" customFormat="false" ht="15" hidden="false" customHeight="true" outlineLevel="0" collapsed="false">
      <c r="A1870" s="5" t="s">
        <v>4148</v>
      </c>
      <c r="B1870" s="5" t="s">
        <v>1601</v>
      </c>
      <c r="C1870" s="5" t="s">
        <v>2248</v>
      </c>
      <c r="D1870" s="5" t="s">
        <v>2306</v>
      </c>
      <c r="E1870" s="5" t="s">
        <v>54</v>
      </c>
      <c r="F1870" s="5" t="s">
        <v>2225</v>
      </c>
      <c r="G1870" s="5" t="str">
        <f aca="false">INDEX(Risk_Matrix!$B$2:$D$4,MATCH(E1870,Risk_Matrix!$A$2:$A$4,0),MATCH(F1870,Risk_Matrix!$B$1:$D$1,0))</f>
        <v>High</v>
      </c>
      <c r="H1870" s="12" t="n">
        <v>46196</v>
      </c>
      <c r="I1870" s="5" t="s">
        <v>2250</v>
      </c>
      <c r="J1870" s="5" t="s">
        <v>2251</v>
      </c>
      <c r="K1870" s="5" t="s">
        <v>2243</v>
      </c>
      <c r="L1870" s="5" t="n">
        <f aca="false">IF(G1870="High",3,IF(G1870="Medium",2,1))</f>
        <v>3</v>
      </c>
    </row>
    <row r="1871" customFormat="false" ht="15" hidden="false" customHeight="true" outlineLevel="0" collapsed="false">
      <c r="A1871" s="5" t="s">
        <v>4149</v>
      </c>
      <c r="B1871" s="5" t="s">
        <v>1601</v>
      </c>
      <c r="C1871" s="5" t="s">
        <v>2262</v>
      </c>
      <c r="D1871" s="5" t="s">
        <v>2287</v>
      </c>
      <c r="E1871" s="5" t="s">
        <v>2225</v>
      </c>
      <c r="F1871" s="5" t="s">
        <v>59</v>
      </c>
      <c r="G1871" s="5" t="str">
        <f aca="false">INDEX(Risk_Matrix!$B$2:$D$4,MATCH(E1871,Risk_Matrix!$A$2:$A$4,0),MATCH(F1871,Risk_Matrix!$B$1:$D$1,0))</f>
        <v>Low</v>
      </c>
      <c r="H1871" s="12" t="n">
        <v>46111</v>
      </c>
      <c r="I1871" s="5" t="s">
        <v>2256</v>
      </c>
      <c r="J1871" s="5" t="s">
        <v>4081</v>
      </c>
      <c r="K1871" s="5" t="s">
        <v>2283</v>
      </c>
      <c r="L1871" s="5" t="n">
        <f aca="false">IF(G1871="High",3,IF(G1871="Medium",2,1))</f>
        <v>1</v>
      </c>
    </row>
    <row r="1872" customFormat="false" ht="15" hidden="false" customHeight="true" outlineLevel="0" collapsed="false">
      <c r="A1872" s="5" t="s">
        <v>4150</v>
      </c>
      <c r="B1872" s="5" t="s">
        <v>1601</v>
      </c>
      <c r="C1872" s="5" t="s">
        <v>2259</v>
      </c>
      <c r="D1872" s="5" t="s">
        <v>2260</v>
      </c>
      <c r="E1872" s="5" t="s">
        <v>54</v>
      </c>
      <c r="F1872" s="5" t="s">
        <v>59</v>
      </c>
      <c r="G1872" s="5" t="str">
        <f aca="false">INDEX(Risk_Matrix!$B$2:$D$4,MATCH(E1872,Risk_Matrix!$A$2:$A$4,0),MATCH(F1872,Risk_Matrix!$B$1:$D$1,0))</f>
        <v>Medium</v>
      </c>
      <c r="H1872" s="12" t="n">
        <v>46148</v>
      </c>
      <c r="I1872" s="5" t="s">
        <v>2241</v>
      </c>
      <c r="J1872" s="5" t="s">
        <v>2242</v>
      </c>
      <c r="K1872" s="5" t="s">
        <v>2283</v>
      </c>
      <c r="L1872" s="5" t="n">
        <f aca="false">IF(G1872="High",3,IF(G1872="Medium",2,1))</f>
        <v>2</v>
      </c>
    </row>
    <row r="1873" customFormat="false" ht="15" hidden="false" customHeight="true" outlineLevel="0" collapsed="false">
      <c r="A1873" s="5" t="s">
        <v>4151</v>
      </c>
      <c r="B1873" s="5" t="s">
        <v>1601</v>
      </c>
      <c r="C1873" s="5" t="s">
        <v>2254</v>
      </c>
      <c r="D1873" s="5" t="s">
        <v>2308</v>
      </c>
      <c r="E1873" s="5" t="s">
        <v>59</v>
      </c>
      <c r="F1873" s="5" t="s">
        <v>54</v>
      </c>
      <c r="G1873" s="5" t="str">
        <f aca="false">INDEX(Risk_Matrix!$B$2:$D$4,MATCH(E1873,Risk_Matrix!$A$2:$A$4,0),MATCH(F1873,Risk_Matrix!$B$1:$D$1,0))</f>
        <v>Medium</v>
      </c>
      <c r="H1873" s="12" t="n">
        <v>46169</v>
      </c>
      <c r="I1873" s="5" t="s">
        <v>2264</v>
      </c>
      <c r="J1873" s="5" t="s">
        <v>4087</v>
      </c>
      <c r="K1873" s="5" t="s">
        <v>2276</v>
      </c>
      <c r="L1873" s="5" t="n">
        <f aca="false">IF(G1873="High",3,IF(G1873="Medium",2,1))</f>
        <v>2</v>
      </c>
    </row>
    <row r="1874" customFormat="false" ht="15" hidden="false" customHeight="true" outlineLevel="0" collapsed="false">
      <c r="A1874" s="5" t="s">
        <v>4152</v>
      </c>
      <c r="B1874" s="5" t="s">
        <v>1604</v>
      </c>
      <c r="C1874" s="5" t="s">
        <v>2239</v>
      </c>
      <c r="D1874" s="5" t="s">
        <v>2303</v>
      </c>
      <c r="E1874" s="5" t="s">
        <v>2225</v>
      </c>
      <c r="F1874" s="5" t="s">
        <v>54</v>
      </c>
      <c r="G1874" s="5" t="str">
        <f aca="false">INDEX(Risk_Matrix!$B$2:$D$4,MATCH(E1874,Risk_Matrix!$A$2:$A$4,0),MATCH(F1874,Risk_Matrix!$B$1:$D$1,0))</f>
        <v>High</v>
      </c>
      <c r="H1874" s="12" t="n">
        <v>46164</v>
      </c>
      <c r="I1874" s="5" t="s">
        <v>2241</v>
      </c>
      <c r="J1874" s="5" t="s">
        <v>2242</v>
      </c>
      <c r="K1874" s="5" t="s">
        <v>2266</v>
      </c>
      <c r="L1874" s="5" t="n">
        <f aca="false">IF(G1874="High",3,IF(G1874="Medium",2,1))</f>
        <v>3</v>
      </c>
    </row>
    <row r="1875" customFormat="false" ht="15" hidden="false" customHeight="true" outlineLevel="0" collapsed="false">
      <c r="A1875" s="5" t="s">
        <v>4153</v>
      </c>
      <c r="B1875" s="5" t="s">
        <v>1604</v>
      </c>
      <c r="C1875" s="5" t="s">
        <v>2245</v>
      </c>
      <c r="D1875" s="5" t="s">
        <v>2280</v>
      </c>
      <c r="E1875" s="5" t="s">
        <v>54</v>
      </c>
      <c r="F1875" s="5" t="s">
        <v>2225</v>
      </c>
      <c r="G1875" s="5" t="str">
        <f aca="false">INDEX(Risk_Matrix!$B$2:$D$4,MATCH(E1875,Risk_Matrix!$A$2:$A$4,0),MATCH(F1875,Risk_Matrix!$B$1:$D$1,0))</f>
        <v>High</v>
      </c>
      <c r="H1875" s="12" t="n">
        <v>46235</v>
      </c>
      <c r="I1875" s="5" t="s">
        <v>2241</v>
      </c>
      <c r="J1875" s="5" t="s">
        <v>2242</v>
      </c>
      <c r="K1875" s="5" t="s">
        <v>2252</v>
      </c>
      <c r="L1875" s="5" t="n">
        <f aca="false">IF(G1875="High",3,IF(G1875="Medium",2,1))</f>
        <v>3</v>
      </c>
    </row>
    <row r="1876" customFormat="false" ht="15" hidden="false" customHeight="true" outlineLevel="0" collapsed="false">
      <c r="A1876" s="5" t="s">
        <v>4154</v>
      </c>
      <c r="B1876" s="5" t="s">
        <v>1604</v>
      </c>
      <c r="C1876" s="5" t="s">
        <v>2248</v>
      </c>
      <c r="D1876" s="5" t="s">
        <v>2249</v>
      </c>
      <c r="E1876" s="5" t="s">
        <v>54</v>
      </c>
      <c r="F1876" s="5" t="s">
        <v>2225</v>
      </c>
      <c r="G1876" s="5" t="str">
        <f aca="false">INDEX(Risk_Matrix!$B$2:$D$4,MATCH(E1876,Risk_Matrix!$A$2:$A$4,0),MATCH(F1876,Risk_Matrix!$B$1:$D$1,0))</f>
        <v>High</v>
      </c>
      <c r="H1876" s="12" t="n">
        <v>46223</v>
      </c>
      <c r="I1876" s="5" t="s">
        <v>2256</v>
      </c>
      <c r="J1876" s="5" t="s">
        <v>4081</v>
      </c>
      <c r="K1876" s="5" t="s">
        <v>2243</v>
      </c>
      <c r="L1876" s="5" t="n">
        <f aca="false">IF(G1876="High",3,IF(G1876="Medium",2,1))</f>
        <v>3</v>
      </c>
    </row>
    <row r="1877" customFormat="false" ht="15" hidden="false" customHeight="true" outlineLevel="0" collapsed="false">
      <c r="A1877" s="5" t="s">
        <v>4155</v>
      </c>
      <c r="B1877" s="5" t="s">
        <v>1604</v>
      </c>
      <c r="C1877" s="5" t="s">
        <v>2262</v>
      </c>
      <c r="D1877" s="5" t="s">
        <v>2263</v>
      </c>
      <c r="E1877" s="5" t="s">
        <v>59</v>
      </c>
      <c r="F1877" s="5" t="s">
        <v>59</v>
      </c>
      <c r="G1877" s="5" t="str">
        <f aca="false">INDEX(Risk_Matrix!$B$2:$D$4,MATCH(E1877,Risk_Matrix!$A$2:$A$4,0),MATCH(F1877,Risk_Matrix!$B$1:$D$1,0))</f>
        <v>Low</v>
      </c>
      <c r="H1877" s="12" t="n">
        <v>46076</v>
      </c>
      <c r="I1877" s="5" t="s">
        <v>2256</v>
      </c>
      <c r="J1877" s="5" t="s">
        <v>4081</v>
      </c>
      <c r="K1877" s="5" t="s">
        <v>2252</v>
      </c>
      <c r="L1877" s="5" t="n">
        <f aca="false">IF(G1877="High",3,IF(G1877="Medium",2,1))</f>
        <v>1</v>
      </c>
    </row>
    <row r="1878" customFormat="false" ht="15" hidden="false" customHeight="true" outlineLevel="0" collapsed="false">
      <c r="A1878" s="5" t="s">
        <v>4156</v>
      </c>
      <c r="B1878" s="5" t="s">
        <v>1604</v>
      </c>
      <c r="C1878" s="5" t="s">
        <v>2259</v>
      </c>
      <c r="D1878" s="5" t="s">
        <v>2274</v>
      </c>
      <c r="E1878" s="5" t="s">
        <v>59</v>
      </c>
      <c r="F1878" s="5" t="s">
        <v>59</v>
      </c>
      <c r="G1878" s="5" t="str">
        <f aca="false">INDEX(Risk_Matrix!$B$2:$D$4,MATCH(E1878,Risk_Matrix!$A$2:$A$4,0),MATCH(F1878,Risk_Matrix!$B$1:$D$1,0))</f>
        <v>Low</v>
      </c>
      <c r="H1878" s="12" t="n">
        <v>46201</v>
      </c>
      <c r="I1878" s="5" t="s">
        <v>2241</v>
      </c>
      <c r="J1878" s="5" t="s">
        <v>2242</v>
      </c>
      <c r="K1878" s="5" t="s">
        <v>2252</v>
      </c>
      <c r="L1878" s="5" t="n">
        <f aca="false">IF(G1878="High",3,IF(G1878="Medium",2,1))</f>
        <v>1</v>
      </c>
    </row>
    <row r="1879" customFormat="false" ht="15" hidden="false" customHeight="true" outlineLevel="0" collapsed="false">
      <c r="A1879" s="5" t="s">
        <v>4157</v>
      </c>
      <c r="B1879" s="5" t="s">
        <v>1604</v>
      </c>
      <c r="C1879" s="5" t="s">
        <v>2254</v>
      </c>
      <c r="D1879" s="5" t="s">
        <v>2299</v>
      </c>
      <c r="E1879" s="5" t="s">
        <v>2225</v>
      </c>
      <c r="F1879" s="5" t="s">
        <v>59</v>
      </c>
      <c r="G1879" s="5" t="str">
        <f aca="false">INDEX(Risk_Matrix!$B$2:$D$4,MATCH(E1879,Risk_Matrix!$A$2:$A$4,0),MATCH(F1879,Risk_Matrix!$B$1:$D$1,0))</f>
        <v>Low</v>
      </c>
      <c r="H1879" s="12" t="n">
        <v>46187</v>
      </c>
      <c r="I1879" s="5" t="s">
        <v>2241</v>
      </c>
      <c r="J1879" s="5" t="s">
        <v>2242</v>
      </c>
      <c r="K1879" s="5" t="s">
        <v>2283</v>
      </c>
      <c r="L1879" s="5" t="n">
        <f aca="false">IF(G1879="High",3,IF(G1879="Medium",2,1))</f>
        <v>1</v>
      </c>
    </row>
    <row r="1880" customFormat="false" ht="15" hidden="false" customHeight="true" outlineLevel="0" collapsed="false">
      <c r="A1880" s="5" t="s">
        <v>4158</v>
      </c>
      <c r="B1880" s="5" t="s">
        <v>1606</v>
      </c>
      <c r="C1880" s="5" t="s">
        <v>2239</v>
      </c>
      <c r="D1880" s="5" t="s">
        <v>2295</v>
      </c>
      <c r="E1880" s="5" t="s">
        <v>54</v>
      </c>
      <c r="F1880" s="5" t="s">
        <v>59</v>
      </c>
      <c r="G1880" s="5" t="str">
        <f aca="false">INDEX(Risk_Matrix!$B$2:$D$4,MATCH(E1880,Risk_Matrix!$A$2:$A$4,0),MATCH(F1880,Risk_Matrix!$B$1:$D$1,0))</f>
        <v>Medium</v>
      </c>
      <c r="H1880" s="12" t="n">
        <v>46119</v>
      </c>
      <c r="I1880" s="5" t="s">
        <v>2264</v>
      </c>
      <c r="J1880" s="5" t="s">
        <v>4087</v>
      </c>
      <c r="K1880" s="5" t="s">
        <v>2276</v>
      </c>
      <c r="L1880" s="5" t="n">
        <f aca="false">IF(G1880="High",3,IF(G1880="Medium",2,1))</f>
        <v>2</v>
      </c>
    </row>
    <row r="1881" customFormat="false" ht="15" hidden="false" customHeight="true" outlineLevel="0" collapsed="false">
      <c r="A1881" s="5" t="s">
        <v>4159</v>
      </c>
      <c r="B1881" s="5" t="s">
        <v>1606</v>
      </c>
      <c r="C1881" s="5" t="s">
        <v>2245</v>
      </c>
      <c r="D1881" s="5" t="s">
        <v>2280</v>
      </c>
      <c r="E1881" s="5" t="s">
        <v>2225</v>
      </c>
      <c r="F1881" s="5" t="s">
        <v>2225</v>
      </c>
      <c r="G1881" s="5" t="str">
        <f aca="false">INDEX(Risk_Matrix!$B$2:$D$4,MATCH(E1881,Risk_Matrix!$A$2:$A$4,0),MATCH(F1881,Risk_Matrix!$B$1:$D$1,0))</f>
        <v>Medium</v>
      </c>
      <c r="H1881" s="12" t="n">
        <v>46077</v>
      </c>
      <c r="I1881" s="5" t="s">
        <v>2264</v>
      </c>
      <c r="J1881" s="5" t="s">
        <v>4087</v>
      </c>
      <c r="K1881" s="5" t="s">
        <v>2266</v>
      </c>
      <c r="L1881" s="5" t="n">
        <f aca="false">IF(G1881="High",3,IF(G1881="Medium",2,1))</f>
        <v>2</v>
      </c>
    </row>
    <row r="1882" customFormat="false" ht="15" hidden="false" customHeight="true" outlineLevel="0" collapsed="false">
      <c r="A1882" s="5" t="s">
        <v>4160</v>
      </c>
      <c r="B1882" s="5" t="s">
        <v>1606</v>
      </c>
      <c r="C1882" s="5" t="s">
        <v>2248</v>
      </c>
      <c r="D1882" s="5" t="s">
        <v>2249</v>
      </c>
      <c r="E1882" s="5" t="s">
        <v>59</v>
      </c>
      <c r="F1882" s="5" t="s">
        <v>2225</v>
      </c>
      <c r="G1882" s="5" t="str">
        <f aca="false">INDEX(Risk_Matrix!$B$2:$D$4,MATCH(E1882,Risk_Matrix!$A$2:$A$4,0),MATCH(F1882,Risk_Matrix!$B$1:$D$1,0))</f>
        <v>Low</v>
      </c>
      <c r="H1882" s="12" t="n">
        <v>46168</v>
      </c>
      <c r="I1882" s="5" t="s">
        <v>2256</v>
      </c>
      <c r="J1882" s="5" t="s">
        <v>4081</v>
      </c>
      <c r="K1882" s="5" t="s">
        <v>2243</v>
      </c>
      <c r="L1882" s="5" t="n">
        <f aca="false">IF(G1882="High",3,IF(G1882="Medium",2,1))</f>
        <v>1</v>
      </c>
    </row>
    <row r="1883" customFormat="false" ht="15" hidden="false" customHeight="true" outlineLevel="0" collapsed="false">
      <c r="A1883" s="5" t="s">
        <v>4161</v>
      </c>
      <c r="B1883" s="5" t="s">
        <v>1606</v>
      </c>
      <c r="C1883" s="5" t="s">
        <v>2262</v>
      </c>
      <c r="D1883" s="5" t="s">
        <v>2311</v>
      </c>
      <c r="E1883" s="5" t="s">
        <v>54</v>
      </c>
      <c r="F1883" s="5" t="s">
        <v>54</v>
      </c>
      <c r="G1883" s="5" t="str">
        <f aca="false">INDEX(Risk_Matrix!$B$2:$D$4,MATCH(E1883,Risk_Matrix!$A$2:$A$4,0),MATCH(F1883,Risk_Matrix!$B$1:$D$1,0))</f>
        <v>High</v>
      </c>
      <c r="H1883" s="12" t="n">
        <v>46177</v>
      </c>
      <c r="I1883" s="5" t="s">
        <v>2264</v>
      </c>
      <c r="J1883" s="5" t="s">
        <v>4087</v>
      </c>
      <c r="K1883" s="5" t="s">
        <v>2266</v>
      </c>
      <c r="L1883" s="5" t="n">
        <f aca="false">IF(G1883="High",3,IF(G1883="Medium",2,1))</f>
        <v>3</v>
      </c>
    </row>
    <row r="1884" customFormat="false" ht="15" hidden="false" customHeight="true" outlineLevel="0" collapsed="false">
      <c r="A1884" s="5" t="s">
        <v>4162</v>
      </c>
      <c r="B1884" s="5" t="s">
        <v>1606</v>
      </c>
      <c r="C1884" s="5" t="s">
        <v>2259</v>
      </c>
      <c r="D1884" s="5" t="s">
        <v>2260</v>
      </c>
      <c r="E1884" s="5" t="s">
        <v>54</v>
      </c>
      <c r="F1884" s="5" t="s">
        <v>59</v>
      </c>
      <c r="G1884" s="5" t="str">
        <f aca="false">INDEX(Risk_Matrix!$B$2:$D$4,MATCH(E1884,Risk_Matrix!$A$2:$A$4,0),MATCH(F1884,Risk_Matrix!$B$1:$D$1,0))</f>
        <v>Medium</v>
      </c>
      <c r="H1884" s="12" t="n">
        <v>46172</v>
      </c>
      <c r="I1884" s="5" t="s">
        <v>2264</v>
      </c>
      <c r="J1884" s="5" t="s">
        <v>4087</v>
      </c>
      <c r="K1884" s="5" t="s">
        <v>2252</v>
      </c>
      <c r="L1884" s="5" t="n">
        <f aca="false">IF(G1884="High",3,IF(G1884="Medium",2,1))</f>
        <v>2</v>
      </c>
    </row>
    <row r="1885" customFormat="false" ht="15" hidden="false" customHeight="true" outlineLevel="0" collapsed="false">
      <c r="A1885" s="5" t="s">
        <v>4163</v>
      </c>
      <c r="B1885" s="5" t="s">
        <v>1606</v>
      </c>
      <c r="C1885" s="5" t="s">
        <v>2254</v>
      </c>
      <c r="D1885" s="5" t="s">
        <v>2308</v>
      </c>
      <c r="E1885" s="5" t="s">
        <v>54</v>
      </c>
      <c r="F1885" s="5" t="s">
        <v>54</v>
      </c>
      <c r="G1885" s="5" t="str">
        <f aca="false">INDEX(Risk_Matrix!$B$2:$D$4,MATCH(E1885,Risk_Matrix!$A$2:$A$4,0),MATCH(F1885,Risk_Matrix!$B$1:$D$1,0))</f>
        <v>High</v>
      </c>
      <c r="H1885" s="12" t="n">
        <v>46200</v>
      </c>
      <c r="I1885" s="5" t="s">
        <v>2250</v>
      </c>
      <c r="J1885" s="5" t="s">
        <v>2251</v>
      </c>
      <c r="K1885" s="5" t="s">
        <v>2243</v>
      </c>
      <c r="L1885" s="5" t="n">
        <f aca="false">IF(G1885="High",3,IF(G1885="Medium",2,1))</f>
        <v>3</v>
      </c>
    </row>
    <row r="1886" customFormat="false" ht="15" hidden="false" customHeight="true" outlineLevel="0" collapsed="false">
      <c r="A1886" s="5" t="s">
        <v>4164</v>
      </c>
      <c r="B1886" s="5" t="s">
        <v>1608</v>
      </c>
      <c r="C1886" s="5" t="s">
        <v>2239</v>
      </c>
      <c r="D1886" s="5" t="s">
        <v>2240</v>
      </c>
      <c r="E1886" s="5" t="s">
        <v>54</v>
      </c>
      <c r="F1886" s="5" t="s">
        <v>54</v>
      </c>
      <c r="G1886" s="5" t="str">
        <f aca="false">INDEX(Risk_Matrix!$B$2:$D$4,MATCH(E1886,Risk_Matrix!$A$2:$A$4,0),MATCH(F1886,Risk_Matrix!$B$1:$D$1,0))</f>
        <v>High</v>
      </c>
      <c r="H1886" s="12" t="n">
        <v>46143</v>
      </c>
      <c r="I1886" s="5" t="s">
        <v>2250</v>
      </c>
      <c r="J1886" s="5" t="s">
        <v>2251</v>
      </c>
      <c r="K1886" s="5" t="s">
        <v>2283</v>
      </c>
      <c r="L1886" s="5" t="n">
        <f aca="false">IF(G1886="High",3,IF(G1886="Medium",2,1))</f>
        <v>3</v>
      </c>
    </row>
    <row r="1887" customFormat="false" ht="15" hidden="false" customHeight="true" outlineLevel="0" collapsed="false">
      <c r="A1887" s="5" t="s">
        <v>4165</v>
      </c>
      <c r="B1887" s="5" t="s">
        <v>1608</v>
      </c>
      <c r="C1887" s="5" t="s">
        <v>2245</v>
      </c>
      <c r="D1887" s="5" t="s">
        <v>2280</v>
      </c>
      <c r="E1887" s="5" t="s">
        <v>2225</v>
      </c>
      <c r="F1887" s="5" t="s">
        <v>54</v>
      </c>
      <c r="G1887" s="5" t="str">
        <f aca="false">INDEX(Risk_Matrix!$B$2:$D$4,MATCH(E1887,Risk_Matrix!$A$2:$A$4,0),MATCH(F1887,Risk_Matrix!$B$1:$D$1,0))</f>
        <v>High</v>
      </c>
      <c r="H1887" s="12" t="n">
        <v>46137</v>
      </c>
      <c r="I1887" s="5" t="s">
        <v>2241</v>
      </c>
      <c r="J1887" s="5" t="s">
        <v>2242</v>
      </c>
      <c r="K1887" s="5" t="s">
        <v>2252</v>
      </c>
      <c r="L1887" s="5" t="n">
        <f aca="false">IF(G1887="High",3,IF(G1887="Medium",2,1))</f>
        <v>3</v>
      </c>
    </row>
    <row r="1888" customFormat="false" ht="15" hidden="false" customHeight="true" outlineLevel="0" collapsed="false">
      <c r="A1888" s="5" t="s">
        <v>4166</v>
      </c>
      <c r="B1888" s="5" t="s">
        <v>1608</v>
      </c>
      <c r="C1888" s="5" t="s">
        <v>2248</v>
      </c>
      <c r="D1888" s="5" t="s">
        <v>2249</v>
      </c>
      <c r="E1888" s="5" t="s">
        <v>2225</v>
      </c>
      <c r="F1888" s="5" t="s">
        <v>59</v>
      </c>
      <c r="G1888" s="5" t="str">
        <f aca="false">INDEX(Risk_Matrix!$B$2:$D$4,MATCH(E1888,Risk_Matrix!$A$2:$A$4,0),MATCH(F1888,Risk_Matrix!$B$1:$D$1,0))</f>
        <v>Low</v>
      </c>
      <c r="H1888" s="12" t="n">
        <v>46119</v>
      </c>
      <c r="I1888" s="5" t="s">
        <v>2256</v>
      </c>
      <c r="J1888" s="5" t="s">
        <v>4081</v>
      </c>
      <c r="K1888" s="5" t="s">
        <v>2276</v>
      </c>
      <c r="L1888" s="5" t="n">
        <f aca="false">IF(G1888="High",3,IF(G1888="Medium",2,1))</f>
        <v>1</v>
      </c>
    </row>
    <row r="1889" customFormat="false" ht="15" hidden="false" customHeight="true" outlineLevel="0" collapsed="false">
      <c r="A1889" s="5" t="s">
        <v>4167</v>
      </c>
      <c r="B1889" s="5" t="s">
        <v>1608</v>
      </c>
      <c r="C1889" s="5" t="s">
        <v>2262</v>
      </c>
      <c r="D1889" s="5" t="s">
        <v>2263</v>
      </c>
      <c r="E1889" s="5" t="s">
        <v>59</v>
      </c>
      <c r="F1889" s="5" t="s">
        <v>54</v>
      </c>
      <c r="G1889" s="5" t="str">
        <f aca="false">INDEX(Risk_Matrix!$B$2:$D$4,MATCH(E1889,Risk_Matrix!$A$2:$A$4,0),MATCH(F1889,Risk_Matrix!$B$1:$D$1,0))</f>
        <v>Medium</v>
      </c>
      <c r="H1889" s="12" t="n">
        <v>46098</v>
      </c>
      <c r="I1889" s="5" t="s">
        <v>2264</v>
      </c>
      <c r="J1889" s="5" t="s">
        <v>4087</v>
      </c>
      <c r="K1889" s="5" t="s">
        <v>2266</v>
      </c>
      <c r="L1889" s="5" t="n">
        <f aca="false">IF(G1889="High",3,IF(G1889="Medium",2,1))</f>
        <v>2</v>
      </c>
    </row>
    <row r="1890" customFormat="false" ht="15" hidden="false" customHeight="true" outlineLevel="0" collapsed="false">
      <c r="A1890" s="5" t="s">
        <v>4168</v>
      </c>
      <c r="B1890" s="5" t="s">
        <v>1608</v>
      </c>
      <c r="C1890" s="5" t="s">
        <v>2259</v>
      </c>
      <c r="D1890" s="5" t="s">
        <v>2274</v>
      </c>
      <c r="E1890" s="5" t="s">
        <v>54</v>
      </c>
      <c r="F1890" s="5" t="s">
        <v>2225</v>
      </c>
      <c r="G1890" s="5" t="str">
        <f aca="false">INDEX(Risk_Matrix!$B$2:$D$4,MATCH(E1890,Risk_Matrix!$A$2:$A$4,0),MATCH(F1890,Risk_Matrix!$B$1:$D$1,0))</f>
        <v>High</v>
      </c>
      <c r="H1890" s="12" t="n">
        <v>46127</v>
      </c>
      <c r="I1890" s="5" t="s">
        <v>2250</v>
      </c>
      <c r="J1890" s="5" t="s">
        <v>2251</v>
      </c>
      <c r="K1890" s="5" t="s">
        <v>2266</v>
      </c>
      <c r="L1890" s="5" t="n">
        <f aca="false">IF(G1890="High",3,IF(G1890="Medium",2,1))</f>
        <v>3</v>
      </c>
    </row>
    <row r="1891" customFormat="false" ht="15" hidden="false" customHeight="true" outlineLevel="0" collapsed="false">
      <c r="A1891" s="5" t="s">
        <v>4169</v>
      </c>
      <c r="B1891" s="5" t="s">
        <v>1608</v>
      </c>
      <c r="C1891" s="5" t="s">
        <v>2254</v>
      </c>
      <c r="D1891" s="5" t="s">
        <v>2308</v>
      </c>
      <c r="E1891" s="5" t="s">
        <v>2225</v>
      </c>
      <c r="F1891" s="5" t="s">
        <v>59</v>
      </c>
      <c r="G1891" s="5" t="str">
        <f aca="false">INDEX(Risk_Matrix!$B$2:$D$4,MATCH(E1891,Risk_Matrix!$A$2:$A$4,0),MATCH(F1891,Risk_Matrix!$B$1:$D$1,0))</f>
        <v>Low</v>
      </c>
      <c r="H1891" s="12" t="n">
        <v>46203</v>
      </c>
      <c r="I1891" s="5" t="s">
        <v>2241</v>
      </c>
      <c r="J1891" s="5" t="s">
        <v>2242</v>
      </c>
      <c r="K1891" s="5" t="s">
        <v>2243</v>
      </c>
      <c r="L1891" s="5" t="n">
        <f aca="false">IF(G1891="High",3,IF(G1891="Medium",2,1))</f>
        <v>1</v>
      </c>
    </row>
    <row r="1892" customFormat="false" ht="15" hidden="false" customHeight="true" outlineLevel="0" collapsed="false">
      <c r="A1892" s="5" t="s">
        <v>4170</v>
      </c>
      <c r="B1892" s="5" t="s">
        <v>1610</v>
      </c>
      <c r="C1892" s="5" t="s">
        <v>2239</v>
      </c>
      <c r="D1892" s="5" t="s">
        <v>2303</v>
      </c>
      <c r="E1892" s="5" t="s">
        <v>59</v>
      </c>
      <c r="F1892" s="5" t="s">
        <v>59</v>
      </c>
      <c r="G1892" s="5" t="str">
        <f aca="false">INDEX(Risk_Matrix!$B$2:$D$4,MATCH(E1892,Risk_Matrix!$A$2:$A$4,0),MATCH(F1892,Risk_Matrix!$B$1:$D$1,0))</f>
        <v>Low</v>
      </c>
      <c r="H1892" s="12" t="n">
        <v>46111</v>
      </c>
      <c r="I1892" s="5" t="s">
        <v>2264</v>
      </c>
      <c r="J1892" s="5" t="s">
        <v>4087</v>
      </c>
      <c r="K1892" s="5" t="s">
        <v>2243</v>
      </c>
      <c r="L1892" s="5" t="n">
        <f aca="false">IF(G1892="High",3,IF(G1892="Medium",2,1))</f>
        <v>1</v>
      </c>
    </row>
    <row r="1893" customFormat="false" ht="15" hidden="false" customHeight="true" outlineLevel="0" collapsed="false">
      <c r="A1893" s="5" t="s">
        <v>4171</v>
      </c>
      <c r="B1893" s="5" t="s">
        <v>1610</v>
      </c>
      <c r="C1893" s="5" t="s">
        <v>2245</v>
      </c>
      <c r="D1893" s="5" t="s">
        <v>2320</v>
      </c>
      <c r="E1893" s="5" t="s">
        <v>59</v>
      </c>
      <c r="F1893" s="5" t="s">
        <v>54</v>
      </c>
      <c r="G1893" s="5" t="str">
        <f aca="false">INDEX(Risk_Matrix!$B$2:$D$4,MATCH(E1893,Risk_Matrix!$A$2:$A$4,0),MATCH(F1893,Risk_Matrix!$B$1:$D$1,0))</f>
        <v>Medium</v>
      </c>
      <c r="H1893" s="12" t="n">
        <v>46149</v>
      </c>
      <c r="I1893" s="5" t="s">
        <v>2241</v>
      </c>
      <c r="J1893" s="5" t="s">
        <v>2242</v>
      </c>
      <c r="K1893" s="5" t="s">
        <v>2266</v>
      </c>
      <c r="L1893" s="5" t="n">
        <f aca="false">IF(G1893="High",3,IF(G1893="Medium",2,1))</f>
        <v>2</v>
      </c>
    </row>
    <row r="1894" customFormat="false" ht="15" hidden="false" customHeight="true" outlineLevel="0" collapsed="false">
      <c r="A1894" s="5" t="s">
        <v>4172</v>
      </c>
      <c r="B1894" s="5" t="s">
        <v>1610</v>
      </c>
      <c r="C1894" s="5" t="s">
        <v>2248</v>
      </c>
      <c r="D1894" s="5" t="s">
        <v>2249</v>
      </c>
      <c r="E1894" s="5" t="s">
        <v>59</v>
      </c>
      <c r="F1894" s="5" t="s">
        <v>54</v>
      </c>
      <c r="G1894" s="5" t="str">
        <f aca="false">INDEX(Risk_Matrix!$B$2:$D$4,MATCH(E1894,Risk_Matrix!$A$2:$A$4,0),MATCH(F1894,Risk_Matrix!$B$1:$D$1,0))</f>
        <v>Medium</v>
      </c>
      <c r="H1894" s="12" t="n">
        <v>46090</v>
      </c>
      <c r="I1894" s="5" t="s">
        <v>2250</v>
      </c>
      <c r="J1894" s="5" t="s">
        <v>2251</v>
      </c>
      <c r="K1894" s="5" t="s">
        <v>2252</v>
      </c>
      <c r="L1894" s="5" t="n">
        <f aca="false">IF(G1894="High",3,IF(G1894="Medium",2,1))</f>
        <v>2</v>
      </c>
    </row>
    <row r="1895" customFormat="false" ht="15" hidden="false" customHeight="true" outlineLevel="0" collapsed="false">
      <c r="A1895" s="5" t="s">
        <v>4173</v>
      </c>
      <c r="B1895" s="5" t="s">
        <v>1610</v>
      </c>
      <c r="C1895" s="5" t="s">
        <v>2262</v>
      </c>
      <c r="D1895" s="5" t="s">
        <v>2311</v>
      </c>
      <c r="E1895" s="5" t="s">
        <v>2225</v>
      </c>
      <c r="F1895" s="5" t="s">
        <v>59</v>
      </c>
      <c r="G1895" s="5" t="str">
        <f aca="false">INDEX(Risk_Matrix!$B$2:$D$4,MATCH(E1895,Risk_Matrix!$A$2:$A$4,0),MATCH(F1895,Risk_Matrix!$B$1:$D$1,0))</f>
        <v>Low</v>
      </c>
      <c r="H1895" s="12" t="n">
        <v>46237</v>
      </c>
      <c r="I1895" s="5" t="s">
        <v>2250</v>
      </c>
      <c r="J1895" s="5" t="s">
        <v>2251</v>
      </c>
      <c r="K1895" s="5" t="s">
        <v>2266</v>
      </c>
      <c r="L1895" s="5" t="n">
        <f aca="false">IF(G1895="High",3,IF(G1895="Medium",2,1))</f>
        <v>1</v>
      </c>
    </row>
    <row r="1896" customFormat="false" ht="15" hidden="false" customHeight="true" outlineLevel="0" collapsed="false">
      <c r="A1896" s="5" t="s">
        <v>4174</v>
      </c>
      <c r="B1896" s="5" t="s">
        <v>1610</v>
      </c>
      <c r="C1896" s="5" t="s">
        <v>2259</v>
      </c>
      <c r="D1896" s="5" t="s">
        <v>2274</v>
      </c>
      <c r="E1896" s="5" t="s">
        <v>54</v>
      </c>
      <c r="F1896" s="5" t="s">
        <v>59</v>
      </c>
      <c r="G1896" s="5" t="str">
        <f aca="false">INDEX(Risk_Matrix!$B$2:$D$4,MATCH(E1896,Risk_Matrix!$A$2:$A$4,0),MATCH(F1896,Risk_Matrix!$B$1:$D$1,0))</f>
        <v>Medium</v>
      </c>
      <c r="H1896" s="12" t="n">
        <v>46185</v>
      </c>
      <c r="I1896" s="5" t="s">
        <v>2241</v>
      </c>
      <c r="J1896" s="5" t="s">
        <v>2242</v>
      </c>
      <c r="K1896" s="5" t="s">
        <v>2283</v>
      </c>
      <c r="L1896" s="5" t="n">
        <f aca="false">IF(G1896="High",3,IF(G1896="Medium",2,1))</f>
        <v>2</v>
      </c>
    </row>
    <row r="1897" customFormat="false" ht="15" hidden="false" customHeight="true" outlineLevel="0" collapsed="false">
      <c r="A1897" s="5" t="s">
        <v>4175</v>
      </c>
      <c r="B1897" s="5" t="s">
        <v>1610</v>
      </c>
      <c r="C1897" s="5" t="s">
        <v>2254</v>
      </c>
      <c r="D1897" s="5" t="s">
        <v>2255</v>
      </c>
      <c r="E1897" s="5" t="s">
        <v>59</v>
      </c>
      <c r="F1897" s="5" t="s">
        <v>54</v>
      </c>
      <c r="G1897" s="5" t="str">
        <f aca="false">INDEX(Risk_Matrix!$B$2:$D$4,MATCH(E1897,Risk_Matrix!$A$2:$A$4,0),MATCH(F1897,Risk_Matrix!$B$1:$D$1,0))</f>
        <v>Medium</v>
      </c>
      <c r="H1897" s="12" t="n">
        <v>46058</v>
      </c>
      <c r="I1897" s="5" t="s">
        <v>2256</v>
      </c>
      <c r="J1897" s="5" t="s">
        <v>4081</v>
      </c>
      <c r="K1897" s="5" t="s">
        <v>2283</v>
      </c>
      <c r="L1897" s="5" t="n">
        <f aca="false">IF(G1897="High",3,IF(G1897="Medium",2,1))</f>
        <v>2</v>
      </c>
    </row>
    <row r="1898" customFormat="false" ht="15" hidden="false" customHeight="true" outlineLevel="0" collapsed="false">
      <c r="A1898" s="5" t="s">
        <v>4176</v>
      </c>
      <c r="B1898" s="5" t="s">
        <v>1613</v>
      </c>
      <c r="C1898" s="5" t="s">
        <v>2239</v>
      </c>
      <c r="D1898" s="5" t="s">
        <v>2240</v>
      </c>
      <c r="E1898" s="5" t="s">
        <v>59</v>
      </c>
      <c r="F1898" s="5" t="s">
        <v>59</v>
      </c>
      <c r="G1898" s="5" t="str">
        <f aca="false">INDEX(Risk_Matrix!$B$2:$D$4,MATCH(E1898,Risk_Matrix!$A$2:$A$4,0),MATCH(F1898,Risk_Matrix!$B$1:$D$1,0))</f>
        <v>Low</v>
      </c>
      <c r="H1898" s="12" t="n">
        <v>46204</v>
      </c>
      <c r="I1898" s="5" t="s">
        <v>2256</v>
      </c>
      <c r="J1898" s="5" t="s">
        <v>4081</v>
      </c>
      <c r="K1898" s="5" t="s">
        <v>2252</v>
      </c>
      <c r="L1898" s="5" t="n">
        <f aca="false">IF(G1898="High",3,IF(G1898="Medium",2,1))</f>
        <v>1</v>
      </c>
    </row>
    <row r="1899" customFormat="false" ht="15" hidden="false" customHeight="true" outlineLevel="0" collapsed="false">
      <c r="A1899" s="5" t="s">
        <v>4177</v>
      </c>
      <c r="B1899" s="5" t="s">
        <v>1613</v>
      </c>
      <c r="C1899" s="5" t="s">
        <v>2245</v>
      </c>
      <c r="D1899" s="5" t="s">
        <v>2280</v>
      </c>
      <c r="E1899" s="5" t="s">
        <v>59</v>
      </c>
      <c r="F1899" s="5" t="s">
        <v>59</v>
      </c>
      <c r="G1899" s="5" t="str">
        <f aca="false">INDEX(Risk_Matrix!$B$2:$D$4,MATCH(E1899,Risk_Matrix!$A$2:$A$4,0),MATCH(F1899,Risk_Matrix!$B$1:$D$1,0))</f>
        <v>Low</v>
      </c>
      <c r="H1899" s="12" t="n">
        <v>46104</v>
      </c>
      <c r="I1899" s="5" t="s">
        <v>2256</v>
      </c>
      <c r="J1899" s="5" t="s">
        <v>4081</v>
      </c>
      <c r="K1899" s="5" t="s">
        <v>2266</v>
      </c>
      <c r="L1899" s="5" t="n">
        <f aca="false">IF(G1899="High",3,IF(G1899="Medium",2,1))</f>
        <v>1</v>
      </c>
    </row>
    <row r="1900" customFormat="false" ht="15" hidden="false" customHeight="true" outlineLevel="0" collapsed="false">
      <c r="A1900" s="5" t="s">
        <v>4178</v>
      </c>
      <c r="B1900" s="5" t="s">
        <v>1613</v>
      </c>
      <c r="C1900" s="5" t="s">
        <v>2248</v>
      </c>
      <c r="D1900" s="5" t="s">
        <v>2249</v>
      </c>
      <c r="E1900" s="5" t="s">
        <v>59</v>
      </c>
      <c r="F1900" s="5" t="s">
        <v>59</v>
      </c>
      <c r="G1900" s="5" t="str">
        <f aca="false">INDEX(Risk_Matrix!$B$2:$D$4,MATCH(E1900,Risk_Matrix!$A$2:$A$4,0),MATCH(F1900,Risk_Matrix!$B$1:$D$1,0))</f>
        <v>Low</v>
      </c>
      <c r="H1900" s="12" t="n">
        <v>46040</v>
      </c>
      <c r="I1900" s="5" t="s">
        <v>2241</v>
      </c>
      <c r="J1900" s="5" t="s">
        <v>2242</v>
      </c>
      <c r="K1900" s="5" t="s">
        <v>2283</v>
      </c>
      <c r="L1900" s="5" t="n">
        <f aca="false">IF(G1900="High",3,IF(G1900="Medium",2,1))</f>
        <v>1</v>
      </c>
    </row>
    <row r="1901" customFormat="false" ht="15" hidden="false" customHeight="true" outlineLevel="0" collapsed="false">
      <c r="A1901" s="5" t="s">
        <v>4179</v>
      </c>
      <c r="B1901" s="5" t="s">
        <v>1613</v>
      </c>
      <c r="C1901" s="5" t="s">
        <v>2262</v>
      </c>
      <c r="D1901" s="5" t="s">
        <v>2287</v>
      </c>
      <c r="E1901" s="5" t="s">
        <v>2225</v>
      </c>
      <c r="F1901" s="5" t="s">
        <v>2225</v>
      </c>
      <c r="G1901" s="5" t="str">
        <f aca="false">INDEX(Risk_Matrix!$B$2:$D$4,MATCH(E1901,Risk_Matrix!$A$2:$A$4,0),MATCH(F1901,Risk_Matrix!$B$1:$D$1,0))</f>
        <v>Medium</v>
      </c>
      <c r="H1901" s="12" t="n">
        <v>46219</v>
      </c>
      <c r="I1901" s="5" t="s">
        <v>2241</v>
      </c>
      <c r="J1901" s="5" t="s">
        <v>2242</v>
      </c>
      <c r="K1901" s="5" t="s">
        <v>2283</v>
      </c>
      <c r="L1901" s="5" t="n">
        <f aca="false">IF(G1901="High",3,IF(G1901="Medium",2,1))</f>
        <v>2</v>
      </c>
    </row>
    <row r="1902" customFormat="false" ht="15" hidden="false" customHeight="true" outlineLevel="0" collapsed="false">
      <c r="A1902" s="5" t="s">
        <v>4180</v>
      </c>
      <c r="B1902" s="5" t="s">
        <v>1613</v>
      </c>
      <c r="C1902" s="5" t="s">
        <v>2259</v>
      </c>
      <c r="D1902" s="5" t="s">
        <v>2274</v>
      </c>
      <c r="E1902" s="5" t="s">
        <v>59</v>
      </c>
      <c r="F1902" s="5" t="s">
        <v>54</v>
      </c>
      <c r="G1902" s="5" t="str">
        <f aca="false">INDEX(Risk_Matrix!$B$2:$D$4,MATCH(E1902,Risk_Matrix!$A$2:$A$4,0),MATCH(F1902,Risk_Matrix!$B$1:$D$1,0))</f>
        <v>Medium</v>
      </c>
      <c r="H1902" s="12" t="n">
        <v>46125</v>
      </c>
      <c r="I1902" s="5" t="s">
        <v>2241</v>
      </c>
      <c r="J1902" s="5" t="s">
        <v>2242</v>
      </c>
      <c r="K1902" s="5" t="s">
        <v>2276</v>
      </c>
      <c r="L1902" s="5" t="n">
        <f aca="false">IF(G1902="High",3,IF(G1902="Medium",2,1))</f>
        <v>2</v>
      </c>
    </row>
    <row r="1903" customFormat="false" ht="15" hidden="false" customHeight="true" outlineLevel="0" collapsed="false">
      <c r="A1903" s="5" t="s">
        <v>4181</v>
      </c>
      <c r="B1903" s="5" t="s">
        <v>1613</v>
      </c>
      <c r="C1903" s="5" t="s">
        <v>2254</v>
      </c>
      <c r="D1903" s="5" t="s">
        <v>2255</v>
      </c>
      <c r="E1903" s="5" t="s">
        <v>2225</v>
      </c>
      <c r="F1903" s="5" t="s">
        <v>54</v>
      </c>
      <c r="G1903" s="5" t="str">
        <f aca="false">INDEX(Risk_Matrix!$B$2:$D$4,MATCH(E1903,Risk_Matrix!$A$2:$A$4,0),MATCH(F1903,Risk_Matrix!$B$1:$D$1,0))</f>
        <v>High</v>
      </c>
      <c r="H1903" s="12" t="n">
        <v>46193</v>
      </c>
      <c r="I1903" s="5" t="s">
        <v>2241</v>
      </c>
      <c r="J1903" s="5" t="s">
        <v>2242</v>
      </c>
      <c r="K1903" s="5" t="s">
        <v>2252</v>
      </c>
      <c r="L1903" s="5" t="n">
        <f aca="false">IF(G1903="High",3,IF(G1903="Medium",2,1))</f>
        <v>3</v>
      </c>
    </row>
    <row r="1904" customFormat="false" ht="15" hidden="false" customHeight="true" outlineLevel="0" collapsed="false">
      <c r="A1904" s="5" t="s">
        <v>4182</v>
      </c>
      <c r="B1904" s="5" t="s">
        <v>1615</v>
      </c>
      <c r="C1904" s="5" t="s">
        <v>2239</v>
      </c>
      <c r="D1904" s="5" t="s">
        <v>2240</v>
      </c>
      <c r="E1904" s="5" t="s">
        <v>2225</v>
      </c>
      <c r="F1904" s="5" t="s">
        <v>54</v>
      </c>
      <c r="G1904" s="5" t="str">
        <f aca="false">INDEX(Risk_Matrix!$B$2:$D$4,MATCH(E1904,Risk_Matrix!$A$2:$A$4,0),MATCH(F1904,Risk_Matrix!$B$1:$D$1,0))</f>
        <v>High</v>
      </c>
      <c r="H1904" s="12" t="n">
        <v>46076</v>
      </c>
      <c r="I1904" s="5" t="s">
        <v>2250</v>
      </c>
      <c r="J1904" s="5" t="s">
        <v>2251</v>
      </c>
      <c r="K1904" s="5" t="s">
        <v>2283</v>
      </c>
      <c r="L1904" s="5" t="n">
        <f aca="false">IF(G1904="High",3,IF(G1904="Medium",2,1))</f>
        <v>3</v>
      </c>
    </row>
    <row r="1905" customFormat="false" ht="15" hidden="false" customHeight="true" outlineLevel="0" collapsed="false">
      <c r="A1905" s="5" t="s">
        <v>4183</v>
      </c>
      <c r="B1905" s="5" t="s">
        <v>1615</v>
      </c>
      <c r="C1905" s="5" t="s">
        <v>2245</v>
      </c>
      <c r="D1905" s="5" t="s">
        <v>2280</v>
      </c>
      <c r="E1905" s="5" t="s">
        <v>59</v>
      </c>
      <c r="F1905" s="5" t="s">
        <v>59</v>
      </c>
      <c r="G1905" s="5" t="str">
        <f aca="false">INDEX(Risk_Matrix!$B$2:$D$4,MATCH(E1905,Risk_Matrix!$A$2:$A$4,0),MATCH(F1905,Risk_Matrix!$B$1:$D$1,0))</f>
        <v>Low</v>
      </c>
      <c r="H1905" s="12" t="n">
        <v>46229</v>
      </c>
      <c r="I1905" s="5" t="s">
        <v>2241</v>
      </c>
      <c r="J1905" s="5" t="s">
        <v>2242</v>
      </c>
      <c r="K1905" s="5" t="s">
        <v>2283</v>
      </c>
      <c r="L1905" s="5" t="n">
        <f aca="false">IF(G1905="High",3,IF(G1905="Medium",2,1))</f>
        <v>1</v>
      </c>
    </row>
    <row r="1906" customFormat="false" ht="15" hidden="false" customHeight="true" outlineLevel="0" collapsed="false">
      <c r="A1906" s="5" t="s">
        <v>4184</v>
      </c>
      <c r="B1906" s="5" t="s">
        <v>1615</v>
      </c>
      <c r="C1906" s="5" t="s">
        <v>2248</v>
      </c>
      <c r="D1906" s="5" t="s">
        <v>2322</v>
      </c>
      <c r="E1906" s="5" t="s">
        <v>54</v>
      </c>
      <c r="F1906" s="5" t="s">
        <v>59</v>
      </c>
      <c r="G1906" s="5" t="str">
        <f aca="false">INDEX(Risk_Matrix!$B$2:$D$4,MATCH(E1906,Risk_Matrix!$A$2:$A$4,0),MATCH(F1906,Risk_Matrix!$B$1:$D$1,0))</f>
        <v>Medium</v>
      </c>
      <c r="H1906" s="12" t="n">
        <v>46134</v>
      </c>
      <c r="I1906" s="5" t="s">
        <v>2250</v>
      </c>
      <c r="J1906" s="5" t="s">
        <v>2251</v>
      </c>
      <c r="K1906" s="5" t="s">
        <v>2252</v>
      </c>
      <c r="L1906" s="5" t="n">
        <f aca="false">IF(G1906="High",3,IF(G1906="Medium",2,1))</f>
        <v>2</v>
      </c>
    </row>
    <row r="1907" customFormat="false" ht="15" hidden="false" customHeight="true" outlineLevel="0" collapsed="false">
      <c r="A1907" s="5" t="s">
        <v>4185</v>
      </c>
      <c r="B1907" s="5" t="s">
        <v>1615</v>
      </c>
      <c r="C1907" s="5" t="s">
        <v>2262</v>
      </c>
      <c r="D1907" s="5" t="s">
        <v>2287</v>
      </c>
      <c r="E1907" s="5" t="s">
        <v>54</v>
      </c>
      <c r="F1907" s="5" t="s">
        <v>54</v>
      </c>
      <c r="G1907" s="5" t="str">
        <f aca="false">INDEX(Risk_Matrix!$B$2:$D$4,MATCH(E1907,Risk_Matrix!$A$2:$A$4,0),MATCH(F1907,Risk_Matrix!$B$1:$D$1,0))</f>
        <v>High</v>
      </c>
      <c r="H1907" s="12" t="n">
        <v>46089</v>
      </c>
      <c r="I1907" s="5" t="s">
        <v>2256</v>
      </c>
      <c r="J1907" s="5" t="s">
        <v>4081</v>
      </c>
      <c r="K1907" s="5" t="s">
        <v>2243</v>
      </c>
      <c r="L1907" s="5" t="n">
        <f aca="false">IF(G1907="High",3,IF(G1907="Medium",2,1))</f>
        <v>3</v>
      </c>
    </row>
    <row r="1908" customFormat="false" ht="15" hidden="false" customHeight="true" outlineLevel="0" collapsed="false">
      <c r="A1908" s="5" t="s">
        <v>4186</v>
      </c>
      <c r="B1908" s="5" t="s">
        <v>1615</v>
      </c>
      <c r="C1908" s="5" t="s">
        <v>2259</v>
      </c>
      <c r="D1908" s="5" t="s">
        <v>2260</v>
      </c>
      <c r="E1908" s="5" t="s">
        <v>59</v>
      </c>
      <c r="F1908" s="5" t="s">
        <v>59</v>
      </c>
      <c r="G1908" s="5" t="str">
        <f aca="false">INDEX(Risk_Matrix!$B$2:$D$4,MATCH(E1908,Risk_Matrix!$A$2:$A$4,0),MATCH(F1908,Risk_Matrix!$B$1:$D$1,0))</f>
        <v>Low</v>
      </c>
      <c r="H1908" s="12" t="n">
        <v>46176</v>
      </c>
      <c r="I1908" s="5" t="s">
        <v>2264</v>
      </c>
      <c r="J1908" s="5" t="s">
        <v>4087</v>
      </c>
      <c r="K1908" s="5" t="s">
        <v>2252</v>
      </c>
      <c r="L1908" s="5" t="n">
        <f aca="false">IF(G1908="High",3,IF(G1908="Medium",2,1))</f>
        <v>1</v>
      </c>
    </row>
    <row r="1909" customFormat="false" ht="15" hidden="false" customHeight="true" outlineLevel="0" collapsed="false">
      <c r="A1909" s="5" t="s">
        <v>4187</v>
      </c>
      <c r="B1909" s="5" t="s">
        <v>1615</v>
      </c>
      <c r="C1909" s="5" t="s">
        <v>2254</v>
      </c>
      <c r="D1909" s="5" t="s">
        <v>2255</v>
      </c>
      <c r="E1909" s="5" t="s">
        <v>54</v>
      </c>
      <c r="F1909" s="5" t="s">
        <v>54</v>
      </c>
      <c r="G1909" s="5" t="str">
        <f aca="false">INDEX(Risk_Matrix!$B$2:$D$4,MATCH(E1909,Risk_Matrix!$A$2:$A$4,0),MATCH(F1909,Risk_Matrix!$B$1:$D$1,0))</f>
        <v>High</v>
      </c>
      <c r="H1909" s="12" t="n">
        <v>46176</v>
      </c>
      <c r="I1909" s="5" t="s">
        <v>2250</v>
      </c>
      <c r="J1909" s="5" t="s">
        <v>2251</v>
      </c>
      <c r="K1909" s="5" t="s">
        <v>2252</v>
      </c>
      <c r="L1909" s="5" t="n">
        <f aca="false">IF(G1909="High",3,IF(G1909="Medium",2,1))</f>
        <v>3</v>
      </c>
    </row>
    <row r="1910" customFormat="false" ht="15" hidden="false" customHeight="true" outlineLevel="0" collapsed="false">
      <c r="A1910" s="5" t="s">
        <v>4188</v>
      </c>
      <c r="B1910" s="5" t="s">
        <v>1617</v>
      </c>
      <c r="C1910" s="5" t="s">
        <v>2239</v>
      </c>
      <c r="D1910" s="5" t="s">
        <v>2278</v>
      </c>
      <c r="E1910" s="5" t="s">
        <v>59</v>
      </c>
      <c r="F1910" s="5" t="s">
        <v>2225</v>
      </c>
      <c r="G1910" s="5" t="str">
        <f aca="false">INDEX(Risk_Matrix!$B$2:$D$4,MATCH(E1910,Risk_Matrix!$A$2:$A$4,0),MATCH(F1910,Risk_Matrix!$B$1:$D$1,0))</f>
        <v>Low</v>
      </c>
      <c r="H1910" s="12" t="n">
        <v>46114</v>
      </c>
      <c r="I1910" s="5" t="s">
        <v>2250</v>
      </c>
      <c r="J1910" s="5" t="s">
        <v>2251</v>
      </c>
      <c r="K1910" s="5" t="s">
        <v>2283</v>
      </c>
      <c r="L1910" s="5" t="n">
        <f aca="false">IF(G1910="High",3,IF(G1910="Medium",2,1))</f>
        <v>1</v>
      </c>
    </row>
    <row r="1911" customFormat="false" ht="15" hidden="false" customHeight="true" outlineLevel="0" collapsed="false">
      <c r="A1911" s="5" t="s">
        <v>4189</v>
      </c>
      <c r="B1911" s="5" t="s">
        <v>1617</v>
      </c>
      <c r="C1911" s="5" t="s">
        <v>2245</v>
      </c>
      <c r="D1911" s="5" t="s">
        <v>2320</v>
      </c>
      <c r="E1911" s="5" t="s">
        <v>2225</v>
      </c>
      <c r="F1911" s="5" t="s">
        <v>59</v>
      </c>
      <c r="G1911" s="5" t="str">
        <f aca="false">INDEX(Risk_Matrix!$B$2:$D$4,MATCH(E1911,Risk_Matrix!$A$2:$A$4,0),MATCH(F1911,Risk_Matrix!$B$1:$D$1,0))</f>
        <v>Low</v>
      </c>
      <c r="H1911" s="12" t="n">
        <v>46087</v>
      </c>
      <c r="I1911" s="5" t="s">
        <v>2264</v>
      </c>
      <c r="J1911" s="5" t="s">
        <v>4087</v>
      </c>
      <c r="K1911" s="5" t="s">
        <v>2266</v>
      </c>
      <c r="L1911" s="5" t="n">
        <f aca="false">IF(G1911="High",3,IF(G1911="Medium",2,1))</f>
        <v>1</v>
      </c>
    </row>
    <row r="1912" customFormat="false" ht="15" hidden="false" customHeight="true" outlineLevel="0" collapsed="false">
      <c r="A1912" s="5" t="s">
        <v>4190</v>
      </c>
      <c r="B1912" s="5" t="s">
        <v>1617</v>
      </c>
      <c r="C1912" s="5" t="s">
        <v>2248</v>
      </c>
      <c r="D1912" s="5" t="s">
        <v>2271</v>
      </c>
      <c r="E1912" s="5" t="s">
        <v>2225</v>
      </c>
      <c r="F1912" s="5" t="s">
        <v>2225</v>
      </c>
      <c r="G1912" s="5" t="str">
        <f aca="false">INDEX(Risk_Matrix!$B$2:$D$4,MATCH(E1912,Risk_Matrix!$A$2:$A$4,0),MATCH(F1912,Risk_Matrix!$B$1:$D$1,0))</f>
        <v>Medium</v>
      </c>
      <c r="H1912" s="12" t="n">
        <v>46190</v>
      </c>
      <c r="I1912" s="5" t="s">
        <v>2264</v>
      </c>
      <c r="J1912" s="5" t="s">
        <v>4087</v>
      </c>
      <c r="K1912" s="5" t="s">
        <v>2243</v>
      </c>
      <c r="L1912" s="5" t="n">
        <f aca="false">IF(G1912="High",3,IF(G1912="Medium",2,1))</f>
        <v>2</v>
      </c>
    </row>
    <row r="1913" customFormat="false" ht="15" hidden="false" customHeight="true" outlineLevel="0" collapsed="false">
      <c r="A1913" s="5" t="s">
        <v>4191</v>
      </c>
      <c r="B1913" s="5" t="s">
        <v>1617</v>
      </c>
      <c r="C1913" s="5" t="s">
        <v>2262</v>
      </c>
      <c r="D1913" s="5" t="s">
        <v>2311</v>
      </c>
      <c r="E1913" s="5" t="s">
        <v>59</v>
      </c>
      <c r="F1913" s="5" t="s">
        <v>2225</v>
      </c>
      <c r="G1913" s="5" t="str">
        <f aca="false">INDEX(Risk_Matrix!$B$2:$D$4,MATCH(E1913,Risk_Matrix!$A$2:$A$4,0),MATCH(F1913,Risk_Matrix!$B$1:$D$1,0))</f>
        <v>Low</v>
      </c>
      <c r="H1913" s="12" t="n">
        <v>46204</v>
      </c>
      <c r="I1913" s="5" t="s">
        <v>2264</v>
      </c>
      <c r="J1913" s="5" t="s">
        <v>4087</v>
      </c>
      <c r="K1913" s="5" t="s">
        <v>2276</v>
      </c>
      <c r="L1913" s="5" t="n">
        <f aca="false">IF(G1913="High",3,IF(G1913="Medium",2,1))</f>
        <v>1</v>
      </c>
    </row>
    <row r="1914" customFormat="false" ht="15" hidden="false" customHeight="true" outlineLevel="0" collapsed="false">
      <c r="A1914" s="5" t="s">
        <v>4192</v>
      </c>
      <c r="B1914" s="5" t="s">
        <v>1617</v>
      </c>
      <c r="C1914" s="5" t="s">
        <v>2259</v>
      </c>
      <c r="D1914" s="5" t="s">
        <v>2285</v>
      </c>
      <c r="E1914" s="5" t="s">
        <v>2225</v>
      </c>
      <c r="F1914" s="5" t="s">
        <v>54</v>
      </c>
      <c r="G1914" s="5" t="str">
        <f aca="false">INDEX(Risk_Matrix!$B$2:$D$4,MATCH(E1914,Risk_Matrix!$A$2:$A$4,0),MATCH(F1914,Risk_Matrix!$B$1:$D$1,0))</f>
        <v>High</v>
      </c>
      <c r="H1914" s="12" t="n">
        <v>46171</v>
      </c>
      <c r="I1914" s="5" t="s">
        <v>2250</v>
      </c>
      <c r="J1914" s="5" t="s">
        <v>2251</v>
      </c>
      <c r="K1914" s="5" t="s">
        <v>2283</v>
      </c>
      <c r="L1914" s="5" t="n">
        <f aca="false">IF(G1914="High",3,IF(G1914="Medium",2,1))</f>
        <v>3</v>
      </c>
    </row>
    <row r="1915" customFormat="false" ht="15" hidden="false" customHeight="true" outlineLevel="0" collapsed="false">
      <c r="A1915" s="5" t="s">
        <v>4193</v>
      </c>
      <c r="B1915" s="5" t="s">
        <v>1617</v>
      </c>
      <c r="C1915" s="5" t="s">
        <v>2254</v>
      </c>
      <c r="D1915" s="5" t="s">
        <v>2255</v>
      </c>
      <c r="E1915" s="5" t="s">
        <v>54</v>
      </c>
      <c r="F1915" s="5" t="s">
        <v>2225</v>
      </c>
      <c r="G1915" s="5" t="str">
        <f aca="false">INDEX(Risk_Matrix!$B$2:$D$4,MATCH(E1915,Risk_Matrix!$A$2:$A$4,0),MATCH(F1915,Risk_Matrix!$B$1:$D$1,0))</f>
        <v>High</v>
      </c>
      <c r="H1915" s="12" t="n">
        <v>46068</v>
      </c>
      <c r="I1915" s="5" t="s">
        <v>2256</v>
      </c>
      <c r="J1915" s="5" t="s">
        <v>4081</v>
      </c>
      <c r="K1915" s="5" t="s">
        <v>2252</v>
      </c>
      <c r="L1915" s="5" t="n">
        <f aca="false">IF(G1915="High",3,IF(G1915="Medium",2,1))</f>
        <v>3</v>
      </c>
    </row>
    <row r="1916" customFormat="false" ht="15" hidden="false" customHeight="true" outlineLevel="0" collapsed="false">
      <c r="A1916" s="5" t="s">
        <v>4194</v>
      </c>
      <c r="B1916" s="5" t="s">
        <v>1619</v>
      </c>
      <c r="C1916" s="5" t="s">
        <v>2239</v>
      </c>
      <c r="D1916" s="5" t="s">
        <v>2240</v>
      </c>
      <c r="E1916" s="5" t="s">
        <v>2225</v>
      </c>
      <c r="F1916" s="5" t="s">
        <v>59</v>
      </c>
      <c r="G1916" s="5" t="str">
        <f aca="false">INDEX(Risk_Matrix!$B$2:$D$4,MATCH(E1916,Risk_Matrix!$A$2:$A$4,0),MATCH(F1916,Risk_Matrix!$B$1:$D$1,0))</f>
        <v>Low</v>
      </c>
      <c r="H1916" s="12" t="n">
        <v>46027</v>
      </c>
      <c r="I1916" s="5" t="s">
        <v>2256</v>
      </c>
      <c r="J1916" s="5" t="s">
        <v>4081</v>
      </c>
      <c r="K1916" s="5" t="s">
        <v>2243</v>
      </c>
      <c r="L1916" s="5" t="n">
        <f aca="false">IF(G1916="High",3,IF(G1916="Medium",2,1))</f>
        <v>1</v>
      </c>
    </row>
    <row r="1917" customFormat="false" ht="15" hidden="false" customHeight="true" outlineLevel="0" collapsed="false">
      <c r="A1917" s="5" t="s">
        <v>4195</v>
      </c>
      <c r="B1917" s="5" t="s">
        <v>1619</v>
      </c>
      <c r="C1917" s="5" t="s">
        <v>2245</v>
      </c>
      <c r="D1917" s="5" t="s">
        <v>2246</v>
      </c>
      <c r="E1917" s="5" t="s">
        <v>54</v>
      </c>
      <c r="F1917" s="5" t="s">
        <v>59</v>
      </c>
      <c r="G1917" s="5" t="str">
        <f aca="false">INDEX(Risk_Matrix!$B$2:$D$4,MATCH(E1917,Risk_Matrix!$A$2:$A$4,0),MATCH(F1917,Risk_Matrix!$B$1:$D$1,0))</f>
        <v>Medium</v>
      </c>
      <c r="H1917" s="12" t="n">
        <v>46081</v>
      </c>
      <c r="I1917" s="5" t="s">
        <v>2256</v>
      </c>
      <c r="J1917" s="5" t="s">
        <v>4081</v>
      </c>
      <c r="K1917" s="5" t="s">
        <v>2283</v>
      </c>
      <c r="L1917" s="5" t="n">
        <f aca="false">IF(G1917="High",3,IF(G1917="Medium",2,1))</f>
        <v>2</v>
      </c>
    </row>
    <row r="1918" customFormat="false" ht="15" hidden="false" customHeight="true" outlineLevel="0" collapsed="false">
      <c r="A1918" s="5" t="s">
        <v>4196</v>
      </c>
      <c r="B1918" s="5" t="s">
        <v>1619</v>
      </c>
      <c r="C1918" s="5" t="s">
        <v>2248</v>
      </c>
      <c r="D1918" s="5" t="s">
        <v>2322</v>
      </c>
      <c r="E1918" s="5" t="s">
        <v>2225</v>
      </c>
      <c r="F1918" s="5" t="s">
        <v>54</v>
      </c>
      <c r="G1918" s="5" t="str">
        <f aca="false">INDEX(Risk_Matrix!$B$2:$D$4,MATCH(E1918,Risk_Matrix!$A$2:$A$4,0),MATCH(F1918,Risk_Matrix!$B$1:$D$1,0))</f>
        <v>High</v>
      </c>
      <c r="H1918" s="12" t="n">
        <v>46079</v>
      </c>
      <c r="I1918" s="5" t="s">
        <v>2250</v>
      </c>
      <c r="J1918" s="5" t="s">
        <v>2251</v>
      </c>
      <c r="K1918" s="5" t="s">
        <v>2276</v>
      </c>
      <c r="L1918" s="5" t="n">
        <f aca="false">IF(G1918="High",3,IF(G1918="Medium",2,1))</f>
        <v>3</v>
      </c>
    </row>
    <row r="1919" customFormat="false" ht="15" hidden="false" customHeight="true" outlineLevel="0" collapsed="false">
      <c r="A1919" s="5" t="s">
        <v>4197</v>
      </c>
      <c r="B1919" s="5" t="s">
        <v>1619</v>
      </c>
      <c r="C1919" s="5" t="s">
        <v>2262</v>
      </c>
      <c r="D1919" s="5" t="s">
        <v>2287</v>
      </c>
      <c r="E1919" s="5" t="s">
        <v>59</v>
      </c>
      <c r="F1919" s="5" t="s">
        <v>59</v>
      </c>
      <c r="G1919" s="5" t="str">
        <f aca="false">INDEX(Risk_Matrix!$B$2:$D$4,MATCH(E1919,Risk_Matrix!$A$2:$A$4,0),MATCH(F1919,Risk_Matrix!$B$1:$D$1,0))</f>
        <v>Low</v>
      </c>
      <c r="H1919" s="12" t="n">
        <v>46045</v>
      </c>
      <c r="I1919" s="5" t="s">
        <v>2250</v>
      </c>
      <c r="J1919" s="5" t="s">
        <v>2251</v>
      </c>
      <c r="K1919" s="5" t="s">
        <v>2266</v>
      </c>
      <c r="L1919" s="5" t="n">
        <f aca="false">IF(G1919="High",3,IF(G1919="Medium",2,1))</f>
        <v>1</v>
      </c>
    </row>
    <row r="1920" customFormat="false" ht="15" hidden="false" customHeight="true" outlineLevel="0" collapsed="false">
      <c r="A1920" s="5" t="s">
        <v>4198</v>
      </c>
      <c r="B1920" s="5" t="s">
        <v>1619</v>
      </c>
      <c r="C1920" s="5" t="s">
        <v>2259</v>
      </c>
      <c r="D1920" s="5" t="s">
        <v>2274</v>
      </c>
      <c r="E1920" s="5" t="s">
        <v>59</v>
      </c>
      <c r="F1920" s="5" t="s">
        <v>54</v>
      </c>
      <c r="G1920" s="5" t="str">
        <f aca="false">INDEX(Risk_Matrix!$B$2:$D$4,MATCH(E1920,Risk_Matrix!$A$2:$A$4,0),MATCH(F1920,Risk_Matrix!$B$1:$D$1,0))</f>
        <v>Medium</v>
      </c>
      <c r="H1920" s="12" t="n">
        <v>46101</v>
      </c>
      <c r="I1920" s="5" t="s">
        <v>2241</v>
      </c>
      <c r="J1920" s="5" t="s">
        <v>2242</v>
      </c>
      <c r="K1920" s="5" t="s">
        <v>2243</v>
      </c>
      <c r="L1920" s="5" t="n">
        <f aca="false">IF(G1920="High",3,IF(G1920="Medium",2,1))</f>
        <v>2</v>
      </c>
    </row>
    <row r="1921" customFormat="false" ht="15" hidden="false" customHeight="true" outlineLevel="0" collapsed="false">
      <c r="A1921" s="5" t="s">
        <v>4199</v>
      </c>
      <c r="B1921" s="5" t="s">
        <v>1619</v>
      </c>
      <c r="C1921" s="5" t="s">
        <v>2254</v>
      </c>
      <c r="D1921" s="5" t="s">
        <v>2255</v>
      </c>
      <c r="E1921" s="5" t="s">
        <v>59</v>
      </c>
      <c r="F1921" s="5" t="s">
        <v>54</v>
      </c>
      <c r="G1921" s="5" t="str">
        <f aca="false">INDEX(Risk_Matrix!$B$2:$D$4,MATCH(E1921,Risk_Matrix!$A$2:$A$4,0),MATCH(F1921,Risk_Matrix!$B$1:$D$1,0))</f>
        <v>Medium</v>
      </c>
      <c r="H1921" s="12" t="n">
        <v>46034</v>
      </c>
      <c r="I1921" s="5" t="s">
        <v>2250</v>
      </c>
      <c r="J1921" s="5" t="s">
        <v>2251</v>
      </c>
      <c r="K1921" s="5" t="s">
        <v>2266</v>
      </c>
      <c r="L1921" s="5" t="n">
        <f aca="false">IF(G1921="High",3,IF(G1921="Medium",2,1))</f>
        <v>2</v>
      </c>
    </row>
    <row r="1922" customFormat="false" ht="15" hidden="false" customHeight="true" outlineLevel="0" collapsed="false">
      <c r="A1922" s="5" t="s">
        <v>4200</v>
      </c>
      <c r="B1922" s="5" t="s">
        <v>1621</v>
      </c>
      <c r="C1922" s="5" t="s">
        <v>2239</v>
      </c>
      <c r="D1922" s="5" t="s">
        <v>2278</v>
      </c>
      <c r="E1922" s="5" t="s">
        <v>59</v>
      </c>
      <c r="F1922" s="5" t="s">
        <v>2225</v>
      </c>
      <c r="G1922" s="5" t="str">
        <f aca="false">INDEX(Risk_Matrix!$B$2:$D$4,MATCH(E1922,Risk_Matrix!$A$2:$A$4,0),MATCH(F1922,Risk_Matrix!$B$1:$D$1,0))</f>
        <v>Low</v>
      </c>
      <c r="H1922" s="12" t="n">
        <v>46094</v>
      </c>
      <c r="I1922" s="5" t="s">
        <v>2264</v>
      </c>
      <c r="J1922" s="5" t="s">
        <v>4087</v>
      </c>
      <c r="K1922" s="5" t="s">
        <v>2243</v>
      </c>
      <c r="L1922" s="5" t="n">
        <f aca="false">IF(G1922="High",3,IF(G1922="Medium",2,1))</f>
        <v>1</v>
      </c>
    </row>
    <row r="1923" customFormat="false" ht="15" hidden="false" customHeight="true" outlineLevel="0" collapsed="false">
      <c r="A1923" s="5" t="s">
        <v>4201</v>
      </c>
      <c r="B1923" s="5" t="s">
        <v>1621</v>
      </c>
      <c r="C1923" s="5" t="s">
        <v>2245</v>
      </c>
      <c r="D1923" s="5" t="s">
        <v>2246</v>
      </c>
      <c r="E1923" s="5" t="s">
        <v>2225</v>
      </c>
      <c r="F1923" s="5" t="s">
        <v>54</v>
      </c>
      <c r="G1923" s="5" t="str">
        <f aca="false">INDEX(Risk_Matrix!$B$2:$D$4,MATCH(E1923,Risk_Matrix!$A$2:$A$4,0),MATCH(F1923,Risk_Matrix!$B$1:$D$1,0))</f>
        <v>High</v>
      </c>
      <c r="H1923" s="12" t="n">
        <v>46077</v>
      </c>
      <c r="I1923" s="5" t="s">
        <v>2264</v>
      </c>
      <c r="J1923" s="5" t="s">
        <v>4087</v>
      </c>
      <c r="K1923" s="5" t="s">
        <v>2243</v>
      </c>
      <c r="L1923" s="5" t="n">
        <f aca="false">IF(G1923="High",3,IF(G1923="Medium",2,1))</f>
        <v>3</v>
      </c>
    </row>
    <row r="1924" customFormat="false" ht="15" hidden="false" customHeight="true" outlineLevel="0" collapsed="false">
      <c r="A1924" s="5" t="s">
        <v>4202</v>
      </c>
      <c r="B1924" s="5" t="s">
        <v>1621</v>
      </c>
      <c r="C1924" s="5" t="s">
        <v>2248</v>
      </c>
      <c r="D1924" s="5" t="s">
        <v>2271</v>
      </c>
      <c r="E1924" s="5" t="s">
        <v>59</v>
      </c>
      <c r="F1924" s="5" t="s">
        <v>2225</v>
      </c>
      <c r="G1924" s="5" t="str">
        <f aca="false">INDEX(Risk_Matrix!$B$2:$D$4,MATCH(E1924,Risk_Matrix!$A$2:$A$4,0),MATCH(F1924,Risk_Matrix!$B$1:$D$1,0))</f>
        <v>Low</v>
      </c>
      <c r="H1924" s="12" t="n">
        <v>46200</v>
      </c>
      <c r="I1924" s="5" t="s">
        <v>2241</v>
      </c>
      <c r="J1924" s="5" t="s">
        <v>2242</v>
      </c>
      <c r="K1924" s="5" t="s">
        <v>2266</v>
      </c>
      <c r="L1924" s="5" t="n">
        <f aca="false">IF(G1924="High",3,IF(G1924="Medium",2,1))</f>
        <v>1</v>
      </c>
    </row>
    <row r="1925" customFormat="false" ht="15" hidden="false" customHeight="true" outlineLevel="0" collapsed="false">
      <c r="A1925" s="5" t="s">
        <v>4203</v>
      </c>
      <c r="B1925" s="5" t="s">
        <v>1621</v>
      </c>
      <c r="C1925" s="5" t="s">
        <v>2262</v>
      </c>
      <c r="D1925" s="5" t="s">
        <v>2311</v>
      </c>
      <c r="E1925" s="5" t="s">
        <v>2225</v>
      </c>
      <c r="F1925" s="5" t="s">
        <v>54</v>
      </c>
      <c r="G1925" s="5" t="str">
        <f aca="false">INDEX(Risk_Matrix!$B$2:$D$4,MATCH(E1925,Risk_Matrix!$A$2:$A$4,0),MATCH(F1925,Risk_Matrix!$B$1:$D$1,0))</f>
        <v>High</v>
      </c>
      <c r="H1925" s="12" t="n">
        <v>46080</v>
      </c>
      <c r="I1925" s="5" t="s">
        <v>2241</v>
      </c>
      <c r="J1925" s="5" t="s">
        <v>2242</v>
      </c>
      <c r="K1925" s="5" t="s">
        <v>2252</v>
      </c>
      <c r="L1925" s="5" t="n">
        <f aca="false">IF(G1925="High",3,IF(G1925="Medium",2,1))</f>
        <v>3</v>
      </c>
    </row>
    <row r="1926" customFormat="false" ht="15" hidden="false" customHeight="true" outlineLevel="0" collapsed="false">
      <c r="A1926" s="5" t="s">
        <v>4204</v>
      </c>
      <c r="B1926" s="5" t="s">
        <v>1621</v>
      </c>
      <c r="C1926" s="5" t="s">
        <v>2259</v>
      </c>
      <c r="D1926" s="5" t="s">
        <v>2274</v>
      </c>
      <c r="E1926" s="5" t="s">
        <v>2225</v>
      </c>
      <c r="F1926" s="5" t="s">
        <v>59</v>
      </c>
      <c r="G1926" s="5" t="str">
        <f aca="false">INDEX(Risk_Matrix!$B$2:$D$4,MATCH(E1926,Risk_Matrix!$A$2:$A$4,0),MATCH(F1926,Risk_Matrix!$B$1:$D$1,0))</f>
        <v>Low</v>
      </c>
      <c r="H1926" s="12" t="n">
        <v>46196</v>
      </c>
      <c r="I1926" s="5" t="s">
        <v>2250</v>
      </c>
      <c r="J1926" s="5" t="s">
        <v>2251</v>
      </c>
      <c r="K1926" s="5" t="s">
        <v>2252</v>
      </c>
      <c r="L1926" s="5" t="n">
        <f aca="false">IF(G1926="High",3,IF(G1926="Medium",2,1))</f>
        <v>1</v>
      </c>
    </row>
    <row r="1927" customFormat="false" ht="15" hidden="false" customHeight="true" outlineLevel="0" collapsed="false">
      <c r="A1927" s="5" t="s">
        <v>4205</v>
      </c>
      <c r="B1927" s="5" t="s">
        <v>1621</v>
      </c>
      <c r="C1927" s="5" t="s">
        <v>2254</v>
      </c>
      <c r="D1927" s="5" t="s">
        <v>2308</v>
      </c>
      <c r="E1927" s="5" t="s">
        <v>54</v>
      </c>
      <c r="F1927" s="5" t="s">
        <v>54</v>
      </c>
      <c r="G1927" s="5" t="str">
        <f aca="false">INDEX(Risk_Matrix!$B$2:$D$4,MATCH(E1927,Risk_Matrix!$A$2:$A$4,0),MATCH(F1927,Risk_Matrix!$B$1:$D$1,0))</f>
        <v>High</v>
      </c>
      <c r="H1927" s="12" t="n">
        <v>46057</v>
      </c>
      <c r="I1927" s="5" t="s">
        <v>2256</v>
      </c>
      <c r="J1927" s="5" t="s">
        <v>4081</v>
      </c>
      <c r="K1927" s="5" t="s">
        <v>2266</v>
      </c>
      <c r="L1927" s="5" t="n">
        <f aca="false">IF(G1927="High",3,IF(G1927="Medium",2,1))</f>
        <v>3</v>
      </c>
    </row>
    <row r="1928" customFormat="false" ht="15" hidden="false" customHeight="true" outlineLevel="0" collapsed="false">
      <c r="A1928" s="5" t="s">
        <v>4206</v>
      </c>
      <c r="B1928" s="5" t="s">
        <v>1623</v>
      </c>
      <c r="C1928" s="5" t="s">
        <v>2239</v>
      </c>
      <c r="D1928" s="5" t="s">
        <v>2278</v>
      </c>
      <c r="E1928" s="5" t="s">
        <v>59</v>
      </c>
      <c r="F1928" s="5" t="s">
        <v>59</v>
      </c>
      <c r="G1928" s="5" t="str">
        <f aca="false">INDEX(Risk_Matrix!$B$2:$D$4,MATCH(E1928,Risk_Matrix!$A$2:$A$4,0),MATCH(F1928,Risk_Matrix!$B$1:$D$1,0))</f>
        <v>Low</v>
      </c>
      <c r="H1928" s="12" t="n">
        <v>46123</v>
      </c>
      <c r="I1928" s="5" t="s">
        <v>2264</v>
      </c>
      <c r="J1928" s="5" t="s">
        <v>4087</v>
      </c>
      <c r="K1928" s="5" t="s">
        <v>2283</v>
      </c>
      <c r="L1928" s="5" t="n">
        <f aca="false">IF(G1928="High",3,IF(G1928="Medium",2,1))</f>
        <v>1</v>
      </c>
    </row>
    <row r="1929" customFormat="false" ht="15" hidden="false" customHeight="true" outlineLevel="0" collapsed="false">
      <c r="A1929" s="5" t="s">
        <v>4207</v>
      </c>
      <c r="B1929" s="5" t="s">
        <v>1623</v>
      </c>
      <c r="C1929" s="5" t="s">
        <v>2245</v>
      </c>
      <c r="D1929" s="5" t="s">
        <v>2320</v>
      </c>
      <c r="E1929" s="5" t="s">
        <v>2225</v>
      </c>
      <c r="F1929" s="5" t="s">
        <v>54</v>
      </c>
      <c r="G1929" s="5" t="str">
        <f aca="false">INDEX(Risk_Matrix!$B$2:$D$4,MATCH(E1929,Risk_Matrix!$A$2:$A$4,0),MATCH(F1929,Risk_Matrix!$B$1:$D$1,0))</f>
        <v>High</v>
      </c>
      <c r="H1929" s="12" t="n">
        <v>46038</v>
      </c>
      <c r="I1929" s="5" t="s">
        <v>2256</v>
      </c>
      <c r="J1929" s="5" t="s">
        <v>4081</v>
      </c>
      <c r="K1929" s="5" t="s">
        <v>2243</v>
      </c>
      <c r="L1929" s="5" t="n">
        <f aca="false">IF(G1929="High",3,IF(G1929="Medium",2,1))</f>
        <v>3</v>
      </c>
    </row>
    <row r="1930" customFormat="false" ht="15" hidden="false" customHeight="true" outlineLevel="0" collapsed="false">
      <c r="A1930" s="5" t="s">
        <v>4208</v>
      </c>
      <c r="B1930" s="5" t="s">
        <v>1623</v>
      </c>
      <c r="C1930" s="5" t="s">
        <v>2248</v>
      </c>
      <c r="D1930" s="5" t="s">
        <v>2322</v>
      </c>
      <c r="E1930" s="5" t="s">
        <v>54</v>
      </c>
      <c r="F1930" s="5" t="s">
        <v>2225</v>
      </c>
      <c r="G1930" s="5" t="str">
        <f aca="false">INDEX(Risk_Matrix!$B$2:$D$4,MATCH(E1930,Risk_Matrix!$A$2:$A$4,0),MATCH(F1930,Risk_Matrix!$B$1:$D$1,0))</f>
        <v>High</v>
      </c>
      <c r="H1930" s="12" t="n">
        <v>46090</v>
      </c>
      <c r="I1930" s="5" t="s">
        <v>2264</v>
      </c>
      <c r="J1930" s="5" t="s">
        <v>4087</v>
      </c>
      <c r="K1930" s="5" t="s">
        <v>2252</v>
      </c>
      <c r="L1930" s="5" t="n">
        <f aca="false">IF(G1930="High",3,IF(G1930="Medium",2,1))</f>
        <v>3</v>
      </c>
    </row>
    <row r="1931" customFormat="false" ht="15" hidden="false" customHeight="true" outlineLevel="0" collapsed="false">
      <c r="A1931" s="5" t="s">
        <v>4209</v>
      </c>
      <c r="B1931" s="5" t="s">
        <v>1623</v>
      </c>
      <c r="C1931" s="5" t="s">
        <v>2262</v>
      </c>
      <c r="D1931" s="5" t="s">
        <v>2311</v>
      </c>
      <c r="E1931" s="5" t="s">
        <v>54</v>
      </c>
      <c r="F1931" s="5" t="s">
        <v>2225</v>
      </c>
      <c r="G1931" s="5" t="str">
        <f aca="false">INDEX(Risk_Matrix!$B$2:$D$4,MATCH(E1931,Risk_Matrix!$A$2:$A$4,0),MATCH(F1931,Risk_Matrix!$B$1:$D$1,0))</f>
        <v>High</v>
      </c>
      <c r="H1931" s="12" t="n">
        <v>46176</v>
      </c>
      <c r="I1931" s="5" t="s">
        <v>2264</v>
      </c>
      <c r="J1931" s="5" t="s">
        <v>4087</v>
      </c>
      <c r="K1931" s="5" t="s">
        <v>2283</v>
      </c>
      <c r="L1931" s="5" t="n">
        <f aca="false">IF(G1931="High",3,IF(G1931="Medium",2,1))</f>
        <v>3</v>
      </c>
    </row>
    <row r="1932" customFormat="false" ht="15" hidden="false" customHeight="true" outlineLevel="0" collapsed="false">
      <c r="A1932" s="5" t="s">
        <v>4210</v>
      </c>
      <c r="B1932" s="5" t="s">
        <v>1623</v>
      </c>
      <c r="C1932" s="5" t="s">
        <v>2259</v>
      </c>
      <c r="D1932" s="5" t="s">
        <v>2274</v>
      </c>
      <c r="E1932" s="5" t="s">
        <v>59</v>
      </c>
      <c r="F1932" s="5" t="s">
        <v>54</v>
      </c>
      <c r="G1932" s="5" t="str">
        <f aca="false">INDEX(Risk_Matrix!$B$2:$D$4,MATCH(E1932,Risk_Matrix!$A$2:$A$4,0),MATCH(F1932,Risk_Matrix!$B$1:$D$1,0))</f>
        <v>Medium</v>
      </c>
      <c r="H1932" s="12" t="n">
        <v>46229</v>
      </c>
      <c r="I1932" s="5" t="s">
        <v>2241</v>
      </c>
      <c r="J1932" s="5" t="s">
        <v>2242</v>
      </c>
      <c r="K1932" s="5" t="s">
        <v>2276</v>
      </c>
      <c r="L1932" s="5" t="n">
        <f aca="false">IF(G1932="High",3,IF(G1932="Medium",2,1))</f>
        <v>2</v>
      </c>
    </row>
    <row r="1933" customFormat="false" ht="15" hidden="false" customHeight="true" outlineLevel="0" collapsed="false">
      <c r="A1933" s="5" t="s">
        <v>4211</v>
      </c>
      <c r="B1933" s="5" t="s">
        <v>1623</v>
      </c>
      <c r="C1933" s="5" t="s">
        <v>2254</v>
      </c>
      <c r="D1933" s="5" t="s">
        <v>2299</v>
      </c>
      <c r="E1933" s="5" t="s">
        <v>54</v>
      </c>
      <c r="F1933" s="5" t="s">
        <v>59</v>
      </c>
      <c r="G1933" s="5" t="str">
        <f aca="false">INDEX(Risk_Matrix!$B$2:$D$4,MATCH(E1933,Risk_Matrix!$A$2:$A$4,0),MATCH(F1933,Risk_Matrix!$B$1:$D$1,0))</f>
        <v>Medium</v>
      </c>
      <c r="H1933" s="12" t="n">
        <v>46126</v>
      </c>
      <c r="I1933" s="5" t="s">
        <v>2264</v>
      </c>
      <c r="J1933" s="5" t="s">
        <v>4087</v>
      </c>
      <c r="K1933" s="5" t="s">
        <v>2283</v>
      </c>
      <c r="L1933" s="5" t="n">
        <f aca="false">IF(G1933="High",3,IF(G1933="Medium",2,1))</f>
        <v>2</v>
      </c>
    </row>
    <row r="1934" customFormat="false" ht="15" hidden="false" customHeight="true" outlineLevel="0" collapsed="false">
      <c r="A1934" s="5" t="s">
        <v>4212</v>
      </c>
      <c r="B1934" s="5" t="s">
        <v>1625</v>
      </c>
      <c r="C1934" s="5" t="s">
        <v>2239</v>
      </c>
      <c r="D1934" s="5" t="s">
        <v>2295</v>
      </c>
      <c r="E1934" s="5" t="s">
        <v>2225</v>
      </c>
      <c r="F1934" s="5" t="s">
        <v>54</v>
      </c>
      <c r="G1934" s="5" t="str">
        <f aca="false">INDEX(Risk_Matrix!$B$2:$D$4,MATCH(E1934,Risk_Matrix!$A$2:$A$4,0),MATCH(F1934,Risk_Matrix!$B$1:$D$1,0))</f>
        <v>High</v>
      </c>
      <c r="H1934" s="12" t="n">
        <v>46109</v>
      </c>
      <c r="I1934" s="5" t="s">
        <v>2256</v>
      </c>
      <c r="J1934" s="5" t="s">
        <v>4081</v>
      </c>
      <c r="K1934" s="5" t="s">
        <v>2243</v>
      </c>
      <c r="L1934" s="5" t="n">
        <f aca="false">IF(G1934="High",3,IF(G1934="Medium",2,1))</f>
        <v>3</v>
      </c>
    </row>
    <row r="1935" customFormat="false" ht="15" hidden="false" customHeight="true" outlineLevel="0" collapsed="false">
      <c r="A1935" s="5" t="s">
        <v>4213</v>
      </c>
      <c r="B1935" s="5" t="s">
        <v>1625</v>
      </c>
      <c r="C1935" s="5" t="s">
        <v>2245</v>
      </c>
      <c r="D1935" s="5" t="s">
        <v>2320</v>
      </c>
      <c r="E1935" s="5" t="s">
        <v>54</v>
      </c>
      <c r="F1935" s="5" t="s">
        <v>54</v>
      </c>
      <c r="G1935" s="5" t="str">
        <f aca="false">INDEX(Risk_Matrix!$B$2:$D$4,MATCH(E1935,Risk_Matrix!$A$2:$A$4,0),MATCH(F1935,Risk_Matrix!$B$1:$D$1,0))</f>
        <v>High</v>
      </c>
      <c r="H1935" s="12" t="n">
        <v>46148</v>
      </c>
      <c r="I1935" s="5" t="s">
        <v>2256</v>
      </c>
      <c r="J1935" s="5" t="s">
        <v>4081</v>
      </c>
      <c r="K1935" s="5" t="s">
        <v>2276</v>
      </c>
      <c r="L1935" s="5" t="n">
        <f aca="false">IF(G1935="High",3,IF(G1935="Medium",2,1))</f>
        <v>3</v>
      </c>
    </row>
    <row r="1936" customFormat="false" ht="15" hidden="false" customHeight="true" outlineLevel="0" collapsed="false">
      <c r="A1936" s="5" t="s">
        <v>4214</v>
      </c>
      <c r="B1936" s="5" t="s">
        <v>1625</v>
      </c>
      <c r="C1936" s="5" t="s">
        <v>2248</v>
      </c>
      <c r="D1936" s="5" t="s">
        <v>2306</v>
      </c>
      <c r="E1936" s="5" t="s">
        <v>54</v>
      </c>
      <c r="F1936" s="5" t="s">
        <v>2225</v>
      </c>
      <c r="G1936" s="5" t="str">
        <f aca="false">INDEX(Risk_Matrix!$B$2:$D$4,MATCH(E1936,Risk_Matrix!$A$2:$A$4,0),MATCH(F1936,Risk_Matrix!$B$1:$D$1,0))</f>
        <v>High</v>
      </c>
      <c r="H1936" s="12" t="n">
        <v>46083</v>
      </c>
      <c r="I1936" s="5" t="s">
        <v>2241</v>
      </c>
      <c r="J1936" s="5" t="s">
        <v>2242</v>
      </c>
      <c r="K1936" s="5" t="s">
        <v>2243</v>
      </c>
      <c r="L1936" s="5" t="n">
        <f aca="false">IF(G1936="High",3,IF(G1936="Medium",2,1))</f>
        <v>3</v>
      </c>
    </row>
    <row r="1937" customFormat="false" ht="15" hidden="false" customHeight="true" outlineLevel="0" collapsed="false">
      <c r="A1937" s="5" t="s">
        <v>4215</v>
      </c>
      <c r="B1937" s="5" t="s">
        <v>1625</v>
      </c>
      <c r="C1937" s="5" t="s">
        <v>2262</v>
      </c>
      <c r="D1937" s="5" t="s">
        <v>2311</v>
      </c>
      <c r="E1937" s="5" t="s">
        <v>2225</v>
      </c>
      <c r="F1937" s="5" t="s">
        <v>59</v>
      </c>
      <c r="G1937" s="5" t="str">
        <f aca="false">INDEX(Risk_Matrix!$B$2:$D$4,MATCH(E1937,Risk_Matrix!$A$2:$A$4,0),MATCH(F1937,Risk_Matrix!$B$1:$D$1,0))</f>
        <v>Low</v>
      </c>
      <c r="H1937" s="12" t="n">
        <v>46105</v>
      </c>
      <c r="I1937" s="5" t="s">
        <v>2256</v>
      </c>
      <c r="J1937" s="5" t="s">
        <v>4081</v>
      </c>
      <c r="K1937" s="5" t="s">
        <v>2243</v>
      </c>
      <c r="L1937" s="5" t="n">
        <f aca="false">IF(G1937="High",3,IF(G1937="Medium",2,1))</f>
        <v>1</v>
      </c>
    </row>
    <row r="1938" customFormat="false" ht="15" hidden="false" customHeight="true" outlineLevel="0" collapsed="false">
      <c r="A1938" s="5" t="s">
        <v>4216</v>
      </c>
      <c r="B1938" s="5" t="s">
        <v>1625</v>
      </c>
      <c r="C1938" s="5" t="s">
        <v>2259</v>
      </c>
      <c r="D1938" s="5" t="s">
        <v>2274</v>
      </c>
      <c r="E1938" s="5" t="s">
        <v>2225</v>
      </c>
      <c r="F1938" s="5" t="s">
        <v>54</v>
      </c>
      <c r="G1938" s="5" t="str">
        <f aca="false">INDEX(Risk_Matrix!$B$2:$D$4,MATCH(E1938,Risk_Matrix!$A$2:$A$4,0),MATCH(F1938,Risk_Matrix!$B$1:$D$1,0))</f>
        <v>High</v>
      </c>
      <c r="H1938" s="12" t="n">
        <v>46092</v>
      </c>
      <c r="I1938" s="5" t="s">
        <v>2264</v>
      </c>
      <c r="J1938" s="5" t="s">
        <v>4087</v>
      </c>
      <c r="K1938" s="5" t="s">
        <v>2252</v>
      </c>
      <c r="L1938" s="5" t="n">
        <f aca="false">IF(G1938="High",3,IF(G1938="Medium",2,1))</f>
        <v>3</v>
      </c>
    </row>
    <row r="1939" customFormat="false" ht="15" hidden="false" customHeight="true" outlineLevel="0" collapsed="false">
      <c r="A1939" s="5" t="s">
        <v>4217</v>
      </c>
      <c r="B1939" s="5" t="s">
        <v>1625</v>
      </c>
      <c r="C1939" s="5" t="s">
        <v>2254</v>
      </c>
      <c r="D1939" s="5" t="s">
        <v>2299</v>
      </c>
      <c r="E1939" s="5" t="s">
        <v>59</v>
      </c>
      <c r="F1939" s="5" t="s">
        <v>59</v>
      </c>
      <c r="G1939" s="5" t="str">
        <f aca="false">INDEX(Risk_Matrix!$B$2:$D$4,MATCH(E1939,Risk_Matrix!$A$2:$A$4,0),MATCH(F1939,Risk_Matrix!$B$1:$D$1,0))</f>
        <v>Low</v>
      </c>
      <c r="H1939" s="12" t="n">
        <v>46140</v>
      </c>
      <c r="I1939" s="5" t="s">
        <v>2241</v>
      </c>
      <c r="J1939" s="5" t="s">
        <v>2242</v>
      </c>
      <c r="K1939" s="5" t="s">
        <v>2252</v>
      </c>
      <c r="L1939" s="5" t="n">
        <f aca="false">IF(G1939="High",3,IF(G1939="Medium",2,1))</f>
        <v>1</v>
      </c>
    </row>
    <row r="1940" customFormat="false" ht="15" hidden="false" customHeight="true" outlineLevel="0" collapsed="false">
      <c r="A1940" s="5" t="s">
        <v>4218</v>
      </c>
      <c r="B1940" s="5" t="s">
        <v>1627</v>
      </c>
      <c r="C1940" s="5" t="s">
        <v>2239</v>
      </c>
      <c r="D1940" s="5" t="s">
        <v>2295</v>
      </c>
      <c r="E1940" s="5" t="s">
        <v>59</v>
      </c>
      <c r="F1940" s="5" t="s">
        <v>54</v>
      </c>
      <c r="G1940" s="5" t="str">
        <f aca="false">INDEX(Risk_Matrix!$B$2:$D$4,MATCH(E1940,Risk_Matrix!$A$2:$A$4,0),MATCH(F1940,Risk_Matrix!$B$1:$D$1,0))</f>
        <v>Medium</v>
      </c>
      <c r="H1940" s="12" t="n">
        <v>46158</v>
      </c>
      <c r="I1940" s="5" t="s">
        <v>2241</v>
      </c>
      <c r="J1940" s="5" t="s">
        <v>2242</v>
      </c>
      <c r="K1940" s="5" t="s">
        <v>2276</v>
      </c>
      <c r="L1940" s="5" t="n">
        <f aca="false">IF(G1940="High",3,IF(G1940="Medium",2,1))</f>
        <v>2</v>
      </c>
    </row>
    <row r="1941" customFormat="false" ht="15" hidden="false" customHeight="true" outlineLevel="0" collapsed="false">
      <c r="A1941" s="5" t="s">
        <v>4219</v>
      </c>
      <c r="B1941" s="5" t="s">
        <v>1627</v>
      </c>
      <c r="C1941" s="5" t="s">
        <v>2245</v>
      </c>
      <c r="D1941" s="5" t="s">
        <v>2320</v>
      </c>
      <c r="E1941" s="5" t="s">
        <v>2225</v>
      </c>
      <c r="F1941" s="5" t="s">
        <v>2225</v>
      </c>
      <c r="G1941" s="5" t="str">
        <f aca="false">INDEX(Risk_Matrix!$B$2:$D$4,MATCH(E1941,Risk_Matrix!$A$2:$A$4,0),MATCH(F1941,Risk_Matrix!$B$1:$D$1,0))</f>
        <v>Medium</v>
      </c>
      <c r="H1941" s="12" t="n">
        <v>46131</v>
      </c>
      <c r="I1941" s="5" t="s">
        <v>2256</v>
      </c>
      <c r="J1941" s="5" t="s">
        <v>4081</v>
      </c>
      <c r="K1941" s="5" t="s">
        <v>2276</v>
      </c>
      <c r="L1941" s="5" t="n">
        <f aca="false">IF(G1941="High",3,IF(G1941="Medium",2,1))</f>
        <v>2</v>
      </c>
    </row>
    <row r="1942" customFormat="false" ht="15" hidden="false" customHeight="true" outlineLevel="0" collapsed="false">
      <c r="A1942" s="5" t="s">
        <v>4220</v>
      </c>
      <c r="B1942" s="5" t="s">
        <v>1627</v>
      </c>
      <c r="C1942" s="5" t="s">
        <v>2248</v>
      </c>
      <c r="D1942" s="5" t="s">
        <v>2306</v>
      </c>
      <c r="E1942" s="5" t="s">
        <v>2225</v>
      </c>
      <c r="F1942" s="5" t="s">
        <v>2225</v>
      </c>
      <c r="G1942" s="5" t="str">
        <f aca="false">INDEX(Risk_Matrix!$B$2:$D$4,MATCH(E1942,Risk_Matrix!$A$2:$A$4,0),MATCH(F1942,Risk_Matrix!$B$1:$D$1,0))</f>
        <v>Medium</v>
      </c>
      <c r="H1942" s="12" t="n">
        <v>46033</v>
      </c>
      <c r="I1942" s="5" t="s">
        <v>2250</v>
      </c>
      <c r="J1942" s="5" t="s">
        <v>2251</v>
      </c>
      <c r="K1942" s="5" t="s">
        <v>2276</v>
      </c>
      <c r="L1942" s="5" t="n">
        <f aca="false">IF(G1942="High",3,IF(G1942="Medium",2,1))</f>
        <v>2</v>
      </c>
    </row>
    <row r="1943" customFormat="false" ht="15" hidden="false" customHeight="true" outlineLevel="0" collapsed="false">
      <c r="A1943" s="5" t="s">
        <v>4221</v>
      </c>
      <c r="B1943" s="5" t="s">
        <v>1627</v>
      </c>
      <c r="C1943" s="5" t="s">
        <v>2262</v>
      </c>
      <c r="D1943" s="5" t="s">
        <v>2311</v>
      </c>
      <c r="E1943" s="5" t="s">
        <v>2225</v>
      </c>
      <c r="F1943" s="5" t="s">
        <v>59</v>
      </c>
      <c r="G1943" s="5" t="str">
        <f aca="false">INDEX(Risk_Matrix!$B$2:$D$4,MATCH(E1943,Risk_Matrix!$A$2:$A$4,0),MATCH(F1943,Risk_Matrix!$B$1:$D$1,0))</f>
        <v>Low</v>
      </c>
      <c r="H1943" s="12" t="n">
        <v>46118</v>
      </c>
      <c r="I1943" s="5" t="s">
        <v>2250</v>
      </c>
      <c r="J1943" s="5" t="s">
        <v>2251</v>
      </c>
      <c r="K1943" s="5" t="s">
        <v>2266</v>
      </c>
      <c r="L1943" s="5" t="n">
        <f aca="false">IF(G1943="High",3,IF(G1943="Medium",2,1))</f>
        <v>1</v>
      </c>
    </row>
    <row r="1944" customFormat="false" ht="15" hidden="false" customHeight="true" outlineLevel="0" collapsed="false">
      <c r="A1944" s="5" t="s">
        <v>4222</v>
      </c>
      <c r="B1944" s="5" t="s">
        <v>1627</v>
      </c>
      <c r="C1944" s="5" t="s">
        <v>2259</v>
      </c>
      <c r="D1944" s="5" t="s">
        <v>2260</v>
      </c>
      <c r="E1944" s="5" t="s">
        <v>2225</v>
      </c>
      <c r="F1944" s="5" t="s">
        <v>54</v>
      </c>
      <c r="G1944" s="5" t="str">
        <f aca="false">INDEX(Risk_Matrix!$B$2:$D$4,MATCH(E1944,Risk_Matrix!$A$2:$A$4,0),MATCH(F1944,Risk_Matrix!$B$1:$D$1,0))</f>
        <v>High</v>
      </c>
      <c r="H1944" s="12" t="n">
        <v>46085</v>
      </c>
      <c r="I1944" s="5" t="s">
        <v>2241</v>
      </c>
      <c r="J1944" s="5" t="s">
        <v>2242</v>
      </c>
      <c r="K1944" s="5" t="s">
        <v>2252</v>
      </c>
      <c r="L1944" s="5" t="n">
        <f aca="false">IF(G1944="High",3,IF(G1944="Medium",2,1))</f>
        <v>3</v>
      </c>
    </row>
    <row r="1945" customFormat="false" ht="15" hidden="false" customHeight="true" outlineLevel="0" collapsed="false">
      <c r="A1945" s="5" t="s">
        <v>4223</v>
      </c>
      <c r="B1945" s="5" t="s">
        <v>1627</v>
      </c>
      <c r="C1945" s="5" t="s">
        <v>2254</v>
      </c>
      <c r="D1945" s="5" t="s">
        <v>2308</v>
      </c>
      <c r="E1945" s="5" t="s">
        <v>59</v>
      </c>
      <c r="F1945" s="5" t="s">
        <v>59</v>
      </c>
      <c r="G1945" s="5" t="str">
        <f aca="false">INDEX(Risk_Matrix!$B$2:$D$4,MATCH(E1945,Risk_Matrix!$A$2:$A$4,0),MATCH(F1945,Risk_Matrix!$B$1:$D$1,0))</f>
        <v>Low</v>
      </c>
      <c r="H1945" s="12" t="n">
        <v>46166</v>
      </c>
      <c r="I1945" s="5" t="s">
        <v>2250</v>
      </c>
      <c r="J1945" s="5" t="s">
        <v>2251</v>
      </c>
      <c r="K1945" s="5" t="s">
        <v>2266</v>
      </c>
      <c r="L1945" s="5" t="n">
        <f aca="false">IF(G1945="High",3,IF(G1945="Medium",2,1))</f>
        <v>1</v>
      </c>
    </row>
    <row r="1946" customFormat="false" ht="15" hidden="false" customHeight="true" outlineLevel="0" collapsed="false">
      <c r="A1946" s="5" t="s">
        <v>4224</v>
      </c>
      <c r="B1946" s="5" t="s">
        <v>1629</v>
      </c>
      <c r="C1946" s="5" t="s">
        <v>2239</v>
      </c>
      <c r="D1946" s="5" t="s">
        <v>2278</v>
      </c>
      <c r="E1946" s="5" t="s">
        <v>2225</v>
      </c>
      <c r="F1946" s="5" t="s">
        <v>59</v>
      </c>
      <c r="G1946" s="5" t="str">
        <f aca="false">INDEX(Risk_Matrix!$B$2:$D$4,MATCH(E1946,Risk_Matrix!$A$2:$A$4,0),MATCH(F1946,Risk_Matrix!$B$1:$D$1,0))</f>
        <v>Low</v>
      </c>
      <c r="H1946" s="12" t="n">
        <v>46104</v>
      </c>
      <c r="I1946" s="5" t="s">
        <v>2250</v>
      </c>
      <c r="J1946" s="5" t="s">
        <v>2251</v>
      </c>
      <c r="K1946" s="5" t="s">
        <v>2252</v>
      </c>
      <c r="L1946" s="5" t="n">
        <f aca="false">IF(G1946="High",3,IF(G1946="Medium",2,1))</f>
        <v>1</v>
      </c>
    </row>
    <row r="1947" customFormat="false" ht="15" hidden="false" customHeight="true" outlineLevel="0" collapsed="false">
      <c r="A1947" s="5" t="s">
        <v>4225</v>
      </c>
      <c r="B1947" s="5" t="s">
        <v>1629</v>
      </c>
      <c r="C1947" s="5" t="s">
        <v>2245</v>
      </c>
      <c r="D1947" s="5" t="s">
        <v>2320</v>
      </c>
      <c r="E1947" s="5" t="s">
        <v>59</v>
      </c>
      <c r="F1947" s="5" t="s">
        <v>54</v>
      </c>
      <c r="G1947" s="5" t="str">
        <f aca="false">INDEX(Risk_Matrix!$B$2:$D$4,MATCH(E1947,Risk_Matrix!$A$2:$A$4,0),MATCH(F1947,Risk_Matrix!$B$1:$D$1,0))</f>
        <v>Medium</v>
      </c>
      <c r="H1947" s="12" t="n">
        <v>46093</v>
      </c>
      <c r="I1947" s="5" t="s">
        <v>2264</v>
      </c>
      <c r="J1947" s="5" t="s">
        <v>4087</v>
      </c>
      <c r="K1947" s="5" t="s">
        <v>2283</v>
      </c>
      <c r="L1947" s="5" t="n">
        <f aca="false">IF(G1947="High",3,IF(G1947="Medium",2,1))</f>
        <v>2</v>
      </c>
    </row>
    <row r="1948" customFormat="false" ht="15" hidden="false" customHeight="true" outlineLevel="0" collapsed="false">
      <c r="A1948" s="5" t="s">
        <v>4226</v>
      </c>
      <c r="B1948" s="5" t="s">
        <v>1629</v>
      </c>
      <c r="C1948" s="5" t="s">
        <v>2248</v>
      </c>
      <c r="D1948" s="5" t="s">
        <v>2271</v>
      </c>
      <c r="E1948" s="5" t="s">
        <v>2225</v>
      </c>
      <c r="F1948" s="5" t="s">
        <v>2225</v>
      </c>
      <c r="G1948" s="5" t="str">
        <f aca="false">INDEX(Risk_Matrix!$B$2:$D$4,MATCH(E1948,Risk_Matrix!$A$2:$A$4,0),MATCH(F1948,Risk_Matrix!$B$1:$D$1,0))</f>
        <v>Medium</v>
      </c>
      <c r="H1948" s="12" t="n">
        <v>46130</v>
      </c>
      <c r="I1948" s="5" t="s">
        <v>2250</v>
      </c>
      <c r="J1948" s="5" t="s">
        <v>2251</v>
      </c>
      <c r="K1948" s="5" t="s">
        <v>2276</v>
      </c>
      <c r="L1948" s="5" t="n">
        <f aca="false">IF(G1948="High",3,IF(G1948="Medium",2,1))</f>
        <v>2</v>
      </c>
    </row>
    <row r="1949" customFormat="false" ht="15" hidden="false" customHeight="true" outlineLevel="0" collapsed="false">
      <c r="A1949" s="5" t="s">
        <v>4227</v>
      </c>
      <c r="B1949" s="5" t="s">
        <v>1629</v>
      </c>
      <c r="C1949" s="5" t="s">
        <v>2262</v>
      </c>
      <c r="D1949" s="5" t="s">
        <v>2263</v>
      </c>
      <c r="E1949" s="5" t="s">
        <v>54</v>
      </c>
      <c r="F1949" s="5" t="s">
        <v>59</v>
      </c>
      <c r="G1949" s="5" t="str">
        <f aca="false">INDEX(Risk_Matrix!$B$2:$D$4,MATCH(E1949,Risk_Matrix!$A$2:$A$4,0),MATCH(F1949,Risk_Matrix!$B$1:$D$1,0))</f>
        <v>Medium</v>
      </c>
      <c r="H1949" s="12" t="n">
        <v>46221</v>
      </c>
      <c r="I1949" s="5" t="s">
        <v>2256</v>
      </c>
      <c r="J1949" s="5" t="s">
        <v>4081</v>
      </c>
      <c r="K1949" s="5" t="s">
        <v>2283</v>
      </c>
      <c r="L1949" s="5" t="n">
        <f aca="false">IF(G1949="High",3,IF(G1949="Medium",2,1))</f>
        <v>2</v>
      </c>
    </row>
    <row r="1950" customFormat="false" ht="15" hidden="false" customHeight="true" outlineLevel="0" collapsed="false">
      <c r="A1950" s="5" t="s">
        <v>4228</v>
      </c>
      <c r="B1950" s="5" t="s">
        <v>1629</v>
      </c>
      <c r="C1950" s="5" t="s">
        <v>2259</v>
      </c>
      <c r="D1950" s="5" t="s">
        <v>2260</v>
      </c>
      <c r="E1950" s="5" t="s">
        <v>2225</v>
      </c>
      <c r="F1950" s="5" t="s">
        <v>59</v>
      </c>
      <c r="G1950" s="5" t="str">
        <f aca="false">INDEX(Risk_Matrix!$B$2:$D$4,MATCH(E1950,Risk_Matrix!$A$2:$A$4,0),MATCH(F1950,Risk_Matrix!$B$1:$D$1,0))</f>
        <v>Low</v>
      </c>
      <c r="H1950" s="12" t="n">
        <v>46148</v>
      </c>
      <c r="I1950" s="5" t="s">
        <v>2264</v>
      </c>
      <c r="J1950" s="5" t="s">
        <v>4087</v>
      </c>
      <c r="K1950" s="5" t="s">
        <v>2243</v>
      </c>
      <c r="L1950" s="5" t="n">
        <f aca="false">IF(G1950="High",3,IF(G1950="Medium",2,1))</f>
        <v>1</v>
      </c>
    </row>
    <row r="1951" customFormat="false" ht="15" hidden="false" customHeight="true" outlineLevel="0" collapsed="false">
      <c r="A1951" s="5" t="s">
        <v>4229</v>
      </c>
      <c r="B1951" s="5" t="s">
        <v>1629</v>
      </c>
      <c r="C1951" s="5" t="s">
        <v>2254</v>
      </c>
      <c r="D1951" s="5" t="s">
        <v>2308</v>
      </c>
      <c r="E1951" s="5" t="s">
        <v>54</v>
      </c>
      <c r="F1951" s="5" t="s">
        <v>54</v>
      </c>
      <c r="G1951" s="5" t="str">
        <f aca="false">INDEX(Risk_Matrix!$B$2:$D$4,MATCH(E1951,Risk_Matrix!$A$2:$A$4,0),MATCH(F1951,Risk_Matrix!$B$1:$D$1,0))</f>
        <v>High</v>
      </c>
      <c r="H1951" s="12" t="n">
        <v>46114</v>
      </c>
      <c r="I1951" s="5" t="s">
        <v>2256</v>
      </c>
      <c r="J1951" s="5" t="s">
        <v>4081</v>
      </c>
      <c r="K1951" s="5" t="s">
        <v>2276</v>
      </c>
      <c r="L1951" s="5" t="n">
        <f aca="false">IF(G1951="High",3,IF(G1951="Medium",2,1))</f>
        <v>3</v>
      </c>
    </row>
    <row r="1952" customFormat="false" ht="15" hidden="false" customHeight="true" outlineLevel="0" collapsed="false">
      <c r="A1952" s="5" t="s">
        <v>4230</v>
      </c>
      <c r="B1952" s="5" t="s">
        <v>1631</v>
      </c>
      <c r="C1952" s="5" t="s">
        <v>2239</v>
      </c>
      <c r="D1952" s="5" t="s">
        <v>2240</v>
      </c>
      <c r="E1952" s="5" t="s">
        <v>2225</v>
      </c>
      <c r="F1952" s="5" t="s">
        <v>59</v>
      </c>
      <c r="G1952" s="5" t="str">
        <f aca="false">INDEX(Risk_Matrix!$B$2:$D$4,MATCH(E1952,Risk_Matrix!$A$2:$A$4,0),MATCH(F1952,Risk_Matrix!$B$1:$D$1,0))</f>
        <v>Low</v>
      </c>
      <c r="H1952" s="12" t="n">
        <v>46080</v>
      </c>
      <c r="I1952" s="5" t="s">
        <v>2256</v>
      </c>
      <c r="J1952" s="5" t="s">
        <v>4081</v>
      </c>
      <c r="K1952" s="5" t="s">
        <v>2276</v>
      </c>
      <c r="L1952" s="5" t="n">
        <f aca="false">IF(G1952="High",3,IF(G1952="Medium",2,1))</f>
        <v>1</v>
      </c>
    </row>
    <row r="1953" customFormat="false" ht="15" hidden="false" customHeight="true" outlineLevel="0" collapsed="false">
      <c r="A1953" s="5" t="s">
        <v>4231</v>
      </c>
      <c r="B1953" s="5" t="s">
        <v>1631</v>
      </c>
      <c r="C1953" s="5" t="s">
        <v>2245</v>
      </c>
      <c r="D1953" s="5" t="s">
        <v>2269</v>
      </c>
      <c r="E1953" s="5" t="s">
        <v>2225</v>
      </c>
      <c r="F1953" s="5" t="s">
        <v>54</v>
      </c>
      <c r="G1953" s="5" t="str">
        <f aca="false">INDEX(Risk_Matrix!$B$2:$D$4,MATCH(E1953,Risk_Matrix!$A$2:$A$4,0),MATCH(F1953,Risk_Matrix!$B$1:$D$1,0))</f>
        <v>High</v>
      </c>
      <c r="H1953" s="12" t="n">
        <v>46062</v>
      </c>
      <c r="I1953" s="5" t="s">
        <v>2241</v>
      </c>
      <c r="J1953" s="5" t="s">
        <v>2242</v>
      </c>
      <c r="K1953" s="5" t="s">
        <v>2252</v>
      </c>
      <c r="L1953" s="5" t="n">
        <f aca="false">IF(G1953="High",3,IF(G1953="Medium",2,1))</f>
        <v>3</v>
      </c>
    </row>
    <row r="1954" customFormat="false" ht="15" hidden="false" customHeight="true" outlineLevel="0" collapsed="false">
      <c r="A1954" s="5" t="s">
        <v>4232</v>
      </c>
      <c r="B1954" s="5" t="s">
        <v>1631</v>
      </c>
      <c r="C1954" s="5" t="s">
        <v>2248</v>
      </c>
      <c r="D1954" s="5" t="s">
        <v>2322</v>
      </c>
      <c r="E1954" s="5" t="s">
        <v>2225</v>
      </c>
      <c r="F1954" s="5" t="s">
        <v>54</v>
      </c>
      <c r="G1954" s="5" t="str">
        <f aca="false">INDEX(Risk_Matrix!$B$2:$D$4,MATCH(E1954,Risk_Matrix!$A$2:$A$4,0),MATCH(F1954,Risk_Matrix!$B$1:$D$1,0))</f>
        <v>High</v>
      </c>
      <c r="H1954" s="12" t="n">
        <v>46234</v>
      </c>
      <c r="I1954" s="5" t="s">
        <v>2241</v>
      </c>
      <c r="J1954" s="5" t="s">
        <v>2242</v>
      </c>
      <c r="K1954" s="5" t="s">
        <v>2276</v>
      </c>
      <c r="L1954" s="5" t="n">
        <f aca="false">IF(G1954="High",3,IF(G1954="Medium",2,1))</f>
        <v>3</v>
      </c>
    </row>
    <row r="1955" customFormat="false" ht="15" hidden="false" customHeight="true" outlineLevel="0" collapsed="false">
      <c r="A1955" s="5" t="s">
        <v>4233</v>
      </c>
      <c r="B1955" s="5" t="s">
        <v>1631</v>
      </c>
      <c r="C1955" s="5" t="s">
        <v>2262</v>
      </c>
      <c r="D1955" s="5" t="s">
        <v>2263</v>
      </c>
      <c r="E1955" s="5" t="s">
        <v>2225</v>
      </c>
      <c r="F1955" s="5" t="s">
        <v>2225</v>
      </c>
      <c r="G1955" s="5" t="str">
        <f aca="false">INDEX(Risk_Matrix!$B$2:$D$4,MATCH(E1955,Risk_Matrix!$A$2:$A$4,0),MATCH(F1955,Risk_Matrix!$B$1:$D$1,0))</f>
        <v>Medium</v>
      </c>
      <c r="H1955" s="12" t="n">
        <v>46135</v>
      </c>
      <c r="I1955" s="5" t="s">
        <v>2264</v>
      </c>
      <c r="J1955" s="5" t="s">
        <v>4087</v>
      </c>
      <c r="K1955" s="5" t="s">
        <v>2276</v>
      </c>
      <c r="L1955" s="5" t="n">
        <f aca="false">IF(G1955="High",3,IF(G1955="Medium",2,1))</f>
        <v>2</v>
      </c>
    </row>
    <row r="1956" customFormat="false" ht="15" hidden="false" customHeight="true" outlineLevel="0" collapsed="false">
      <c r="A1956" s="5" t="s">
        <v>4234</v>
      </c>
      <c r="B1956" s="5" t="s">
        <v>1631</v>
      </c>
      <c r="C1956" s="5" t="s">
        <v>2259</v>
      </c>
      <c r="D1956" s="5" t="s">
        <v>2285</v>
      </c>
      <c r="E1956" s="5" t="s">
        <v>2225</v>
      </c>
      <c r="F1956" s="5" t="s">
        <v>54</v>
      </c>
      <c r="G1956" s="5" t="str">
        <f aca="false">INDEX(Risk_Matrix!$B$2:$D$4,MATCH(E1956,Risk_Matrix!$A$2:$A$4,0),MATCH(F1956,Risk_Matrix!$B$1:$D$1,0))</f>
        <v>High</v>
      </c>
      <c r="H1956" s="12" t="n">
        <v>46177</v>
      </c>
      <c r="I1956" s="5" t="s">
        <v>2250</v>
      </c>
      <c r="J1956" s="5" t="s">
        <v>2251</v>
      </c>
      <c r="K1956" s="5" t="s">
        <v>2252</v>
      </c>
      <c r="L1956" s="5" t="n">
        <f aca="false">IF(G1956="High",3,IF(G1956="Medium",2,1))</f>
        <v>3</v>
      </c>
    </row>
    <row r="1957" customFormat="false" ht="15" hidden="false" customHeight="true" outlineLevel="0" collapsed="false">
      <c r="A1957" s="5" t="s">
        <v>4235</v>
      </c>
      <c r="B1957" s="5" t="s">
        <v>1631</v>
      </c>
      <c r="C1957" s="5" t="s">
        <v>2254</v>
      </c>
      <c r="D1957" s="5" t="s">
        <v>2308</v>
      </c>
      <c r="E1957" s="5" t="s">
        <v>54</v>
      </c>
      <c r="F1957" s="5" t="s">
        <v>59</v>
      </c>
      <c r="G1957" s="5" t="str">
        <f aca="false">INDEX(Risk_Matrix!$B$2:$D$4,MATCH(E1957,Risk_Matrix!$A$2:$A$4,0),MATCH(F1957,Risk_Matrix!$B$1:$D$1,0))</f>
        <v>Medium</v>
      </c>
      <c r="H1957" s="12" t="n">
        <v>46111</v>
      </c>
      <c r="I1957" s="5" t="s">
        <v>2264</v>
      </c>
      <c r="J1957" s="5" t="s">
        <v>4087</v>
      </c>
      <c r="K1957" s="5" t="s">
        <v>2243</v>
      </c>
      <c r="L1957" s="5" t="n">
        <f aca="false">IF(G1957="High",3,IF(G1957="Medium",2,1))</f>
        <v>2</v>
      </c>
    </row>
    <row r="1958" customFormat="false" ht="15" hidden="false" customHeight="true" outlineLevel="0" collapsed="false">
      <c r="A1958" s="5" t="s">
        <v>4236</v>
      </c>
      <c r="B1958" s="5" t="s">
        <v>1633</v>
      </c>
      <c r="C1958" s="5" t="s">
        <v>2239</v>
      </c>
      <c r="D1958" s="5" t="s">
        <v>2303</v>
      </c>
      <c r="E1958" s="5" t="s">
        <v>2225</v>
      </c>
      <c r="F1958" s="5" t="s">
        <v>59</v>
      </c>
      <c r="G1958" s="5" t="str">
        <f aca="false">INDEX(Risk_Matrix!$B$2:$D$4,MATCH(E1958,Risk_Matrix!$A$2:$A$4,0),MATCH(F1958,Risk_Matrix!$B$1:$D$1,0))</f>
        <v>Low</v>
      </c>
      <c r="H1958" s="12" t="n">
        <v>46163</v>
      </c>
      <c r="I1958" s="5" t="s">
        <v>2256</v>
      </c>
      <c r="J1958" s="5" t="s">
        <v>4081</v>
      </c>
      <c r="K1958" s="5" t="s">
        <v>2266</v>
      </c>
      <c r="L1958" s="5" t="n">
        <f aca="false">IF(G1958="High",3,IF(G1958="Medium",2,1))</f>
        <v>1</v>
      </c>
    </row>
    <row r="1959" customFormat="false" ht="15" hidden="false" customHeight="true" outlineLevel="0" collapsed="false">
      <c r="A1959" s="5" t="s">
        <v>4237</v>
      </c>
      <c r="B1959" s="5" t="s">
        <v>1633</v>
      </c>
      <c r="C1959" s="5" t="s">
        <v>2245</v>
      </c>
      <c r="D1959" s="5" t="s">
        <v>2269</v>
      </c>
      <c r="E1959" s="5" t="s">
        <v>59</v>
      </c>
      <c r="F1959" s="5" t="s">
        <v>2225</v>
      </c>
      <c r="G1959" s="5" t="str">
        <f aca="false">INDEX(Risk_Matrix!$B$2:$D$4,MATCH(E1959,Risk_Matrix!$A$2:$A$4,0),MATCH(F1959,Risk_Matrix!$B$1:$D$1,0))</f>
        <v>Low</v>
      </c>
      <c r="H1959" s="12" t="n">
        <v>46172</v>
      </c>
      <c r="I1959" s="5" t="s">
        <v>2241</v>
      </c>
      <c r="J1959" s="5" t="s">
        <v>2242</v>
      </c>
      <c r="K1959" s="5" t="s">
        <v>2252</v>
      </c>
      <c r="L1959" s="5" t="n">
        <f aca="false">IF(G1959="High",3,IF(G1959="Medium",2,1))</f>
        <v>1</v>
      </c>
    </row>
    <row r="1960" customFormat="false" ht="15" hidden="false" customHeight="true" outlineLevel="0" collapsed="false">
      <c r="A1960" s="5" t="s">
        <v>4238</v>
      </c>
      <c r="B1960" s="5" t="s">
        <v>1633</v>
      </c>
      <c r="C1960" s="5" t="s">
        <v>2248</v>
      </c>
      <c r="D1960" s="5" t="s">
        <v>2249</v>
      </c>
      <c r="E1960" s="5" t="s">
        <v>54</v>
      </c>
      <c r="F1960" s="5" t="s">
        <v>2225</v>
      </c>
      <c r="G1960" s="5" t="str">
        <f aca="false">INDEX(Risk_Matrix!$B$2:$D$4,MATCH(E1960,Risk_Matrix!$A$2:$A$4,0),MATCH(F1960,Risk_Matrix!$B$1:$D$1,0))</f>
        <v>High</v>
      </c>
      <c r="H1960" s="12" t="n">
        <v>46053</v>
      </c>
      <c r="I1960" s="5" t="s">
        <v>2241</v>
      </c>
      <c r="J1960" s="5" t="s">
        <v>2242</v>
      </c>
      <c r="K1960" s="5" t="s">
        <v>2243</v>
      </c>
      <c r="L1960" s="5" t="n">
        <f aca="false">IF(G1960="High",3,IF(G1960="Medium",2,1))</f>
        <v>3</v>
      </c>
    </row>
    <row r="1961" customFormat="false" ht="15" hidden="false" customHeight="true" outlineLevel="0" collapsed="false">
      <c r="A1961" s="5" t="s">
        <v>4239</v>
      </c>
      <c r="B1961" s="5" t="s">
        <v>1633</v>
      </c>
      <c r="C1961" s="5" t="s">
        <v>2262</v>
      </c>
      <c r="D1961" s="5" t="s">
        <v>2263</v>
      </c>
      <c r="E1961" s="5" t="s">
        <v>54</v>
      </c>
      <c r="F1961" s="5" t="s">
        <v>59</v>
      </c>
      <c r="G1961" s="5" t="str">
        <f aca="false">INDEX(Risk_Matrix!$B$2:$D$4,MATCH(E1961,Risk_Matrix!$A$2:$A$4,0),MATCH(F1961,Risk_Matrix!$B$1:$D$1,0))</f>
        <v>Medium</v>
      </c>
      <c r="H1961" s="12" t="n">
        <v>46152</v>
      </c>
      <c r="I1961" s="5" t="s">
        <v>2241</v>
      </c>
      <c r="J1961" s="5" t="s">
        <v>2242</v>
      </c>
      <c r="K1961" s="5" t="s">
        <v>2283</v>
      </c>
      <c r="L1961" s="5" t="n">
        <f aca="false">IF(G1961="High",3,IF(G1961="Medium",2,1))</f>
        <v>2</v>
      </c>
    </row>
    <row r="1962" customFormat="false" ht="15" hidden="false" customHeight="true" outlineLevel="0" collapsed="false">
      <c r="A1962" s="5" t="s">
        <v>4240</v>
      </c>
      <c r="B1962" s="5" t="s">
        <v>1633</v>
      </c>
      <c r="C1962" s="5" t="s">
        <v>2259</v>
      </c>
      <c r="D1962" s="5" t="s">
        <v>2260</v>
      </c>
      <c r="E1962" s="5" t="s">
        <v>59</v>
      </c>
      <c r="F1962" s="5" t="s">
        <v>59</v>
      </c>
      <c r="G1962" s="5" t="str">
        <f aca="false">INDEX(Risk_Matrix!$B$2:$D$4,MATCH(E1962,Risk_Matrix!$A$2:$A$4,0),MATCH(F1962,Risk_Matrix!$B$1:$D$1,0))</f>
        <v>Low</v>
      </c>
      <c r="H1962" s="12" t="n">
        <v>46099</v>
      </c>
      <c r="I1962" s="5" t="s">
        <v>2241</v>
      </c>
      <c r="J1962" s="5" t="s">
        <v>2242</v>
      </c>
      <c r="K1962" s="5" t="s">
        <v>2276</v>
      </c>
      <c r="L1962" s="5" t="n">
        <f aca="false">IF(G1962="High",3,IF(G1962="Medium",2,1))</f>
        <v>1</v>
      </c>
    </row>
    <row r="1963" customFormat="false" ht="15" hidden="false" customHeight="true" outlineLevel="0" collapsed="false">
      <c r="A1963" s="5" t="s">
        <v>4241</v>
      </c>
      <c r="B1963" s="5" t="s">
        <v>1633</v>
      </c>
      <c r="C1963" s="5" t="s">
        <v>2254</v>
      </c>
      <c r="D1963" s="5" t="s">
        <v>2308</v>
      </c>
      <c r="E1963" s="5" t="s">
        <v>59</v>
      </c>
      <c r="F1963" s="5" t="s">
        <v>2225</v>
      </c>
      <c r="G1963" s="5" t="str">
        <f aca="false">INDEX(Risk_Matrix!$B$2:$D$4,MATCH(E1963,Risk_Matrix!$A$2:$A$4,0),MATCH(F1963,Risk_Matrix!$B$1:$D$1,0))</f>
        <v>Low</v>
      </c>
      <c r="H1963" s="12" t="n">
        <v>46041</v>
      </c>
      <c r="I1963" s="5" t="s">
        <v>2241</v>
      </c>
      <c r="J1963" s="5" t="s">
        <v>2242</v>
      </c>
      <c r="K1963" s="5" t="s">
        <v>2276</v>
      </c>
      <c r="L1963" s="5" t="n">
        <f aca="false">IF(G1963="High",3,IF(G1963="Medium",2,1))</f>
        <v>1</v>
      </c>
    </row>
    <row r="1964" customFormat="false" ht="15" hidden="false" customHeight="true" outlineLevel="0" collapsed="false">
      <c r="A1964" s="5" t="s">
        <v>4242</v>
      </c>
      <c r="B1964" s="5" t="s">
        <v>1635</v>
      </c>
      <c r="C1964" s="5" t="s">
        <v>2239</v>
      </c>
      <c r="D1964" s="5" t="s">
        <v>2295</v>
      </c>
      <c r="E1964" s="5" t="s">
        <v>54</v>
      </c>
      <c r="F1964" s="5" t="s">
        <v>59</v>
      </c>
      <c r="G1964" s="5" t="str">
        <f aca="false">INDEX(Risk_Matrix!$B$2:$D$4,MATCH(E1964,Risk_Matrix!$A$2:$A$4,0),MATCH(F1964,Risk_Matrix!$B$1:$D$1,0))</f>
        <v>Medium</v>
      </c>
      <c r="H1964" s="12" t="n">
        <v>46132</v>
      </c>
      <c r="I1964" s="5" t="s">
        <v>2264</v>
      </c>
      <c r="J1964" s="5" t="s">
        <v>4087</v>
      </c>
      <c r="K1964" s="5" t="s">
        <v>2252</v>
      </c>
      <c r="L1964" s="5" t="n">
        <f aca="false">IF(G1964="High",3,IF(G1964="Medium",2,1))</f>
        <v>2</v>
      </c>
    </row>
    <row r="1965" customFormat="false" ht="15" hidden="false" customHeight="true" outlineLevel="0" collapsed="false">
      <c r="A1965" s="5" t="s">
        <v>4243</v>
      </c>
      <c r="B1965" s="5" t="s">
        <v>1635</v>
      </c>
      <c r="C1965" s="5" t="s">
        <v>2245</v>
      </c>
      <c r="D1965" s="5" t="s">
        <v>2269</v>
      </c>
      <c r="E1965" s="5" t="s">
        <v>59</v>
      </c>
      <c r="F1965" s="5" t="s">
        <v>59</v>
      </c>
      <c r="G1965" s="5" t="str">
        <f aca="false">INDEX(Risk_Matrix!$B$2:$D$4,MATCH(E1965,Risk_Matrix!$A$2:$A$4,0),MATCH(F1965,Risk_Matrix!$B$1:$D$1,0))</f>
        <v>Low</v>
      </c>
      <c r="H1965" s="12" t="n">
        <v>46134</v>
      </c>
      <c r="I1965" s="5" t="s">
        <v>2264</v>
      </c>
      <c r="J1965" s="5" t="s">
        <v>4087</v>
      </c>
      <c r="K1965" s="5" t="s">
        <v>2283</v>
      </c>
      <c r="L1965" s="5" t="n">
        <f aca="false">IF(G1965="High",3,IF(G1965="Medium",2,1))</f>
        <v>1</v>
      </c>
    </row>
    <row r="1966" customFormat="false" ht="15" hidden="false" customHeight="true" outlineLevel="0" collapsed="false">
      <c r="A1966" s="5" t="s">
        <v>4244</v>
      </c>
      <c r="B1966" s="5" t="s">
        <v>1635</v>
      </c>
      <c r="C1966" s="5" t="s">
        <v>2248</v>
      </c>
      <c r="D1966" s="5" t="s">
        <v>2249</v>
      </c>
      <c r="E1966" s="5" t="s">
        <v>54</v>
      </c>
      <c r="F1966" s="5" t="s">
        <v>59</v>
      </c>
      <c r="G1966" s="5" t="str">
        <f aca="false">INDEX(Risk_Matrix!$B$2:$D$4,MATCH(E1966,Risk_Matrix!$A$2:$A$4,0),MATCH(F1966,Risk_Matrix!$B$1:$D$1,0))</f>
        <v>Medium</v>
      </c>
      <c r="H1966" s="12" t="n">
        <v>46060</v>
      </c>
      <c r="I1966" s="5" t="s">
        <v>2256</v>
      </c>
      <c r="J1966" s="5" t="s">
        <v>4081</v>
      </c>
      <c r="K1966" s="5" t="s">
        <v>2243</v>
      </c>
      <c r="L1966" s="5" t="n">
        <f aca="false">IF(G1966="High",3,IF(G1966="Medium",2,1))</f>
        <v>2</v>
      </c>
    </row>
    <row r="1967" customFormat="false" ht="15" hidden="false" customHeight="true" outlineLevel="0" collapsed="false">
      <c r="A1967" s="5" t="s">
        <v>4245</v>
      </c>
      <c r="B1967" s="5" t="s">
        <v>1635</v>
      </c>
      <c r="C1967" s="5" t="s">
        <v>2262</v>
      </c>
      <c r="D1967" s="5" t="s">
        <v>2311</v>
      </c>
      <c r="E1967" s="5" t="s">
        <v>2225</v>
      </c>
      <c r="F1967" s="5" t="s">
        <v>2225</v>
      </c>
      <c r="G1967" s="5" t="str">
        <f aca="false">INDEX(Risk_Matrix!$B$2:$D$4,MATCH(E1967,Risk_Matrix!$A$2:$A$4,0),MATCH(F1967,Risk_Matrix!$B$1:$D$1,0))</f>
        <v>Medium</v>
      </c>
      <c r="H1967" s="12" t="n">
        <v>46181</v>
      </c>
      <c r="I1967" s="5" t="s">
        <v>2256</v>
      </c>
      <c r="J1967" s="5" t="s">
        <v>4081</v>
      </c>
      <c r="K1967" s="5" t="s">
        <v>2243</v>
      </c>
      <c r="L1967" s="5" t="n">
        <f aca="false">IF(G1967="High",3,IF(G1967="Medium",2,1))</f>
        <v>2</v>
      </c>
    </row>
    <row r="1968" customFormat="false" ht="15" hidden="false" customHeight="true" outlineLevel="0" collapsed="false">
      <c r="A1968" s="5" t="s">
        <v>4246</v>
      </c>
      <c r="B1968" s="5" t="s">
        <v>1635</v>
      </c>
      <c r="C1968" s="5" t="s">
        <v>2259</v>
      </c>
      <c r="D1968" s="5" t="s">
        <v>2285</v>
      </c>
      <c r="E1968" s="5" t="s">
        <v>2225</v>
      </c>
      <c r="F1968" s="5" t="s">
        <v>54</v>
      </c>
      <c r="G1968" s="5" t="str">
        <f aca="false">INDEX(Risk_Matrix!$B$2:$D$4,MATCH(E1968,Risk_Matrix!$A$2:$A$4,0),MATCH(F1968,Risk_Matrix!$B$1:$D$1,0))</f>
        <v>High</v>
      </c>
      <c r="H1968" s="12" t="n">
        <v>46210</v>
      </c>
      <c r="I1968" s="5" t="s">
        <v>2264</v>
      </c>
      <c r="J1968" s="5" t="s">
        <v>4087</v>
      </c>
      <c r="K1968" s="5" t="s">
        <v>2283</v>
      </c>
      <c r="L1968" s="5" t="n">
        <f aca="false">IF(G1968="High",3,IF(G1968="Medium",2,1))</f>
        <v>3</v>
      </c>
    </row>
    <row r="1969" customFormat="false" ht="15" hidden="false" customHeight="true" outlineLevel="0" collapsed="false">
      <c r="A1969" s="5" t="s">
        <v>4247</v>
      </c>
      <c r="B1969" s="5" t="s">
        <v>1635</v>
      </c>
      <c r="C1969" s="5" t="s">
        <v>2254</v>
      </c>
      <c r="D1969" s="5" t="s">
        <v>2299</v>
      </c>
      <c r="E1969" s="5" t="s">
        <v>2225</v>
      </c>
      <c r="F1969" s="5" t="s">
        <v>2225</v>
      </c>
      <c r="G1969" s="5" t="str">
        <f aca="false">INDEX(Risk_Matrix!$B$2:$D$4,MATCH(E1969,Risk_Matrix!$A$2:$A$4,0),MATCH(F1969,Risk_Matrix!$B$1:$D$1,0))</f>
        <v>Medium</v>
      </c>
      <c r="H1969" s="12" t="n">
        <v>46063</v>
      </c>
      <c r="I1969" s="5" t="s">
        <v>2264</v>
      </c>
      <c r="J1969" s="5" t="s">
        <v>4087</v>
      </c>
      <c r="K1969" s="5" t="s">
        <v>2266</v>
      </c>
      <c r="L1969" s="5" t="n">
        <f aca="false">IF(G1969="High",3,IF(G1969="Medium",2,1))</f>
        <v>2</v>
      </c>
    </row>
    <row r="1970" customFormat="false" ht="15" hidden="false" customHeight="true" outlineLevel="0" collapsed="false">
      <c r="A1970" s="5" t="s">
        <v>4248</v>
      </c>
      <c r="B1970" s="5" t="s">
        <v>1638</v>
      </c>
      <c r="C1970" s="5" t="s">
        <v>2239</v>
      </c>
      <c r="D1970" s="5" t="s">
        <v>2303</v>
      </c>
      <c r="E1970" s="5" t="s">
        <v>59</v>
      </c>
      <c r="F1970" s="5" t="s">
        <v>2225</v>
      </c>
      <c r="G1970" s="5" t="str">
        <f aca="false">INDEX(Risk_Matrix!$B$2:$D$4,MATCH(E1970,Risk_Matrix!$A$2:$A$4,0),MATCH(F1970,Risk_Matrix!$B$1:$D$1,0))</f>
        <v>Low</v>
      </c>
      <c r="H1970" s="12" t="n">
        <v>46111</v>
      </c>
      <c r="I1970" s="5" t="s">
        <v>2264</v>
      </c>
      <c r="J1970" s="5" t="s">
        <v>4087</v>
      </c>
      <c r="K1970" s="5" t="s">
        <v>2283</v>
      </c>
      <c r="L1970" s="5" t="n">
        <f aca="false">IF(G1970="High",3,IF(G1970="Medium",2,1))</f>
        <v>1</v>
      </c>
    </row>
    <row r="1971" customFormat="false" ht="15" hidden="false" customHeight="true" outlineLevel="0" collapsed="false">
      <c r="A1971" s="5" t="s">
        <v>4249</v>
      </c>
      <c r="B1971" s="5" t="s">
        <v>1638</v>
      </c>
      <c r="C1971" s="5" t="s">
        <v>2245</v>
      </c>
      <c r="D1971" s="5" t="s">
        <v>2269</v>
      </c>
      <c r="E1971" s="5" t="s">
        <v>2225</v>
      </c>
      <c r="F1971" s="5" t="s">
        <v>2225</v>
      </c>
      <c r="G1971" s="5" t="str">
        <f aca="false">INDEX(Risk_Matrix!$B$2:$D$4,MATCH(E1971,Risk_Matrix!$A$2:$A$4,0),MATCH(F1971,Risk_Matrix!$B$1:$D$1,0))</f>
        <v>Medium</v>
      </c>
      <c r="H1971" s="12" t="n">
        <v>46100</v>
      </c>
      <c r="I1971" s="5" t="s">
        <v>2241</v>
      </c>
      <c r="J1971" s="5" t="s">
        <v>2242</v>
      </c>
      <c r="K1971" s="5" t="s">
        <v>2266</v>
      </c>
      <c r="L1971" s="5" t="n">
        <f aca="false">IF(G1971="High",3,IF(G1971="Medium",2,1))</f>
        <v>2</v>
      </c>
    </row>
    <row r="1972" customFormat="false" ht="15" hidden="false" customHeight="true" outlineLevel="0" collapsed="false">
      <c r="A1972" s="5" t="s">
        <v>4250</v>
      </c>
      <c r="B1972" s="5" t="s">
        <v>1638</v>
      </c>
      <c r="C1972" s="5" t="s">
        <v>2248</v>
      </c>
      <c r="D1972" s="5" t="s">
        <v>2249</v>
      </c>
      <c r="E1972" s="5" t="s">
        <v>2225</v>
      </c>
      <c r="F1972" s="5" t="s">
        <v>54</v>
      </c>
      <c r="G1972" s="5" t="str">
        <f aca="false">INDEX(Risk_Matrix!$B$2:$D$4,MATCH(E1972,Risk_Matrix!$A$2:$A$4,0),MATCH(F1972,Risk_Matrix!$B$1:$D$1,0))</f>
        <v>High</v>
      </c>
      <c r="H1972" s="12" t="n">
        <v>46183</v>
      </c>
      <c r="I1972" s="5" t="s">
        <v>2250</v>
      </c>
      <c r="J1972" s="5" t="s">
        <v>2251</v>
      </c>
      <c r="K1972" s="5" t="s">
        <v>2276</v>
      </c>
      <c r="L1972" s="5" t="n">
        <f aca="false">IF(G1972="High",3,IF(G1972="Medium",2,1))</f>
        <v>3</v>
      </c>
    </row>
    <row r="1973" customFormat="false" ht="15" hidden="false" customHeight="true" outlineLevel="0" collapsed="false">
      <c r="A1973" s="5" t="s">
        <v>4251</v>
      </c>
      <c r="B1973" s="5" t="s">
        <v>1638</v>
      </c>
      <c r="C1973" s="5" t="s">
        <v>2262</v>
      </c>
      <c r="D1973" s="5" t="s">
        <v>2311</v>
      </c>
      <c r="E1973" s="5" t="s">
        <v>2225</v>
      </c>
      <c r="F1973" s="5" t="s">
        <v>59</v>
      </c>
      <c r="G1973" s="5" t="str">
        <f aca="false">INDEX(Risk_Matrix!$B$2:$D$4,MATCH(E1973,Risk_Matrix!$A$2:$A$4,0),MATCH(F1973,Risk_Matrix!$B$1:$D$1,0))</f>
        <v>Low</v>
      </c>
      <c r="H1973" s="12" t="n">
        <v>46214</v>
      </c>
      <c r="I1973" s="5" t="s">
        <v>2264</v>
      </c>
      <c r="J1973" s="5" t="s">
        <v>4087</v>
      </c>
      <c r="K1973" s="5" t="s">
        <v>2283</v>
      </c>
      <c r="L1973" s="5" t="n">
        <f aca="false">IF(G1973="High",3,IF(G1973="Medium",2,1))</f>
        <v>1</v>
      </c>
    </row>
    <row r="1974" customFormat="false" ht="15" hidden="false" customHeight="true" outlineLevel="0" collapsed="false">
      <c r="A1974" s="5" t="s">
        <v>4252</v>
      </c>
      <c r="B1974" s="5" t="s">
        <v>1638</v>
      </c>
      <c r="C1974" s="5" t="s">
        <v>2259</v>
      </c>
      <c r="D1974" s="5" t="s">
        <v>2274</v>
      </c>
      <c r="E1974" s="5" t="s">
        <v>2225</v>
      </c>
      <c r="F1974" s="5" t="s">
        <v>2225</v>
      </c>
      <c r="G1974" s="5" t="str">
        <f aca="false">INDEX(Risk_Matrix!$B$2:$D$4,MATCH(E1974,Risk_Matrix!$A$2:$A$4,0),MATCH(F1974,Risk_Matrix!$B$1:$D$1,0))</f>
        <v>Medium</v>
      </c>
      <c r="H1974" s="12" t="n">
        <v>46051</v>
      </c>
      <c r="I1974" s="5" t="s">
        <v>2264</v>
      </c>
      <c r="J1974" s="5" t="s">
        <v>4087</v>
      </c>
      <c r="K1974" s="5" t="s">
        <v>2283</v>
      </c>
      <c r="L1974" s="5" t="n">
        <f aca="false">IF(G1974="High",3,IF(G1974="Medium",2,1))</f>
        <v>2</v>
      </c>
    </row>
    <row r="1975" customFormat="false" ht="15" hidden="false" customHeight="true" outlineLevel="0" collapsed="false">
      <c r="A1975" s="5" t="s">
        <v>4253</v>
      </c>
      <c r="B1975" s="5" t="s">
        <v>1638</v>
      </c>
      <c r="C1975" s="5" t="s">
        <v>2254</v>
      </c>
      <c r="D1975" s="5" t="s">
        <v>2255</v>
      </c>
      <c r="E1975" s="5" t="s">
        <v>54</v>
      </c>
      <c r="F1975" s="5" t="s">
        <v>59</v>
      </c>
      <c r="G1975" s="5" t="str">
        <f aca="false">INDEX(Risk_Matrix!$B$2:$D$4,MATCH(E1975,Risk_Matrix!$A$2:$A$4,0),MATCH(F1975,Risk_Matrix!$B$1:$D$1,0))</f>
        <v>Medium</v>
      </c>
      <c r="H1975" s="12" t="n">
        <v>46097</v>
      </c>
      <c r="I1975" s="5" t="s">
        <v>2264</v>
      </c>
      <c r="J1975" s="5" t="s">
        <v>4087</v>
      </c>
      <c r="K1975" s="5" t="s">
        <v>2243</v>
      </c>
      <c r="L1975" s="5" t="n">
        <f aca="false">IF(G1975="High",3,IF(G1975="Medium",2,1))</f>
        <v>2</v>
      </c>
    </row>
    <row r="1976" customFormat="false" ht="15" hidden="false" customHeight="true" outlineLevel="0" collapsed="false">
      <c r="A1976" s="5" t="s">
        <v>4254</v>
      </c>
      <c r="B1976" s="5" t="s">
        <v>1640</v>
      </c>
      <c r="C1976" s="5" t="s">
        <v>2239</v>
      </c>
      <c r="D1976" s="5" t="s">
        <v>2295</v>
      </c>
      <c r="E1976" s="5" t="s">
        <v>54</v>
      </c>
      <c r="F1976" s="5" t="s">
        <v>59</v>
      </c>
      <c r="G1976" s="5" t="str">
        <f aca="false">INDEX(Risk_Matrix!$B$2:$D$4,MATCH(E1976,Risk_Matrix!$A$2:$A$4,0),MATCH(F1976,Risk_Matrix!$B$1:$D$1,0))</f>
        <v>Medium</v>
      </c>
      <c r="H1976" s="12" t="n">
        <v>46132</v>
      </c>
      <c r="I1976" s="5" t="s">
        <v>2264</v>
      </c>
      <c r="J1976" s="5" t="s">
        <v>4087</v>
      </c>
      <c r="K1976" s="5" t="s">
        <v>2276</v>
      </c>
      <c r="L1976" s="5" t="n">
        <f aca="false">IF(G1976="High",3,IF(G1976="Medium",2,1))</f>
        <v>2</v>
      </c>
    </row>
    <row r="1977" customFormat="false" ht="15" hidden="false" customHeight="true" outlineLevel="0" collapsed="false">
      <c r="A1977" s="5" t="s">
        <v>4255</v>
      </c>
      <c r="B1977" s="5" t="s">
        <v>1640</v>
      </c>
      <c r="C1977" s="5" t="s">
        <v>2245</v>
      </c>
      <c r="D1977" s="5" t="s">
        <v>2280</v>
      </c>
      <c r="E1977" s="5" t="s">
        <v>2225</v>
      </c>
      <c r="F1977" s="5" t="s">
        <v>59</v>
      </c>
      <c r="G1977" s="5" t="str">
        <f aca="false">INDEX(Risk_Matrix!$B$2:$D$4,MATCH(E1977,Risk_Matrix!$A$2:$A$4,0),MATCH(F1977,Risk_Matrix!$B$1:$D$1,0))</f>
        <v>Low</v>
      </c>
      <c r="H1977" s="12" t="n">
        <v>46223</v>
      </c>
      <c r="I1977" s="5" t="s">
        <v>2241</v>
      </c>
      <c r="J1977" s="5" t="s">
        <v>2242</v>
      </c>
      <c r="K1977" s="5" t="s">
        <v>2283</v>
      </c>
      <c r="L1977" s="5" t="n">
        <f aca="false">IF(G1977="High",3,IF(G1977="Medium",2,1))</f>
        <v>1</v>
      </c>
    </row>
    <row r="1978" customFormat="false" ht="15" hidden="false" customHeight="true" outlineLevel="0" collapsed="false">
      <c r="A1978" s="5" t="s">
        <v>4256</v>
      </c>
      <c r="B1978" s="5" t="s">
        <v>1640</v>
      </c>
      <c r="C1978" s="5" t="s">
        <v>2248</v>
      </c>
      <c r="D1978" s="5" t="s">
        <v>2306</v>
      </c>
      <c r="E1978" s="5" t="s">
        <v>2225</v>
      </c>
      <c r="F1978" s="5" t="s">
        <v>2225</v>
      </c>
      <c r="G1978" s="5" t="str">
        <f aca="false">INDEX(Risk_Matrix!$B$2:$D$4,MATCH(E1978,Risk_Matrix!$A$2:$A$4,0),MATCH(F1978,Risk_Matrix!$B$1:$D$1,0))</f>
        <v>Medium</v>
      </c>
      <c r="H1978" s="12" t="n">
        <v>46080</v>
      </c>
      <c r="I1978" s="5" t="s">
        <v>2264</v>
      </c>
      <c r="J1978" s="5" t="s">
        <v>4087</v>
      </c>
      <c r="K1978" s="5" t="s">
        <v>2252</v>
      </c>
      <c r="L1978" s="5" t="n">
        <f aca="false">IF(G1978="High",3,IF(G1978="Medium",2,1))</f>
        <v>2</v>
      </c>
    </row>
    <row r="1979" customFormat="false" ht="15" hidden="false" customHeight="true" outlineLevel="0" collapsed="false">
      <c r="A1979" s="5" t="s">
        <v>4257</v>
      </c>
      <c r="B1979" s="5" t="s">
        <v>1640</v>
      </c>
      <c r="C1979" s="5" t="s">
        <v>2262</v>
      </c>
      <c r="D1979" s="5" t="s">
        <v>2263</v>
      </c>
      <c r="E1979" s="5" t="s">
        <v>59</v>
      </c>
      <c r="F1979" s="5" t="s">
        <v>2225</v>
      </c>
      <c r="G1979" s="5" t="str">
        <f aca="false">INDEX(Risk_Matrix!$B$2:$D$4,MATCH(E1979,Risk_Matrix!$A$2:$A$4,0),MATCH(F1979,Risk_Matrix!$B$1:$D$1,0))</f>
        <v>Low</v>
      </c>
      <c r="H1979" s="12" t="n">
        <v>46190</v>
      </c>
      <c r="I1979" s="5" t="s">
        <v>2241</v>
      </c>
      <c r="J1979" s="5" t="s">
        <v>2242</v>
      </c>
      <c r="K1979" s="5" t="s">
        <v>2266</v>
      </c>
      <c r="L1979" s="5" t="n">
        <f aca="false">IF(G1979="High",3,IF(G1979="Medium",2,1))</f>
        <v>1</v>
      </c>
    </row>
    <row r="1980" customFormat="false" ht="15" hidden="false" customHeight="true" outlineLevel="0" collapsed="false">
      <c r="A1980" s="5" t="s">
        <v>4258</v>
      </c>
      <c r="B1980" s="5" t="s">
        <v>1640</v>
      </c>
      <c r="C1980" s="5" t="s">
        <v>2259</v>
      </c>
      <c r="D1980" s="5" t="s">
        <v>2285</v>
      </c>
      <c r="E1980" s="5" t="s">
        <v>54</v>
      </c>
      <c r="F1980" s="5" t="s">
        <v>54</v>
      </c>
      <c r="G1980" s="5" t="str">
        <f aca="false">INDEX(Risk_Matrix!$B$2:$D$4,MATCH(E1980,Risk_Matrix!$A$2:$A$4,0),MATCH(F1980,Risk_Matrix!$B$1:$D$1,0))</f>
        <v>High</v>
      </c>
      <c r="H1980" s="12" t="n">
        <v>46114</v>
      </c>
      <c r="I1980" s="5" t="s">
        <v>2256</v>
      </c>
      <c r="J1980" s="5" t="s">
        <v>4081</v>
      </c>
      <c r="K1980" s="5" t="s">
        <v>2276</v>
      </c>
      <c r="L1980" s="5" t="n">
        <f aca="false">IF(G1980="High",3,IF(G1980="Medium",2,1))</f>
        <v>3</v>
      </c>
    </row>
    <row r="1981" customFormat="false" ht="15" hidden="false" customHeight="true" outlineLevel="0" collapsed="false">
      <c r="A1981" s="5" t="s">
        <v>4259</v>
      </c>
      <c r="B1981" s="5" t="s">
        <v>1640</v>
      </c>
      <c r="C1981" s="5" t="s">
        <v>2254</v>
      </c>
      <c r="D1981" s="5" t="s">
        <v>2299</v>
      </c>
      <c r="E1981" s="5" t="s">
        <v>2225</v>
      </c>
      <c r="F1981" s="5" t="s">
        <v>59</v>
      </c>
      <c r="G1981" s="5" t="str">
        <f aca="false">INDEX(Risk_Matrix!$B$2:$D$4,MATCH(E1981,Risk_Matrix!$A$2:$A$4,0),MATCH(F1981,Risk_Matrix!$B$1:$D$1,0))</f>
        <v>Low</v>
      </c>
      <c r="H1981" s="12" t="n">
        <v>46029</v>
      </c>
      <c r="I1981" s="5" t="s">
        <v>2256</v>
      </c>
      <c r="J1981" s="5" t="s">
        <v>4081</v>
      </c>
      <c r="K1981" s="5" t="s">
        <v>2266</v>
      </c>
      <c r="L1981" s="5" t="n">
        <f aca="false">IF(G1981="High",3,IF(G1981="Medium",2,1))</f>
        <v>1</v>
      </c>
    </row>
    <row r="1982" customFormat="false" ht="15" hidden="false" customHeight="true" outlineLevel="0" collapsed="false">
      <c r="A1982" s="5" t="s">
        <v>4260</v>
      </c>
      <c r="B1982" s="5" t="s">
        <v>1642</v>
      </c>
      <c r="C1982" s="5" t="s">
        <v>2239</v>
      </c>
      <c r="D1982" s="5" t="s">
        <v>2295</v>
      </c>
      <c r="E1982" s="5" t="s">
        <v>59</v>
      </c>
      <c r="F1982" s="5" t="s">
        <v>54</v>
      </c>
      <c r="G1982" s="5" t="str">
        <f aca="false">INDEX(Risk_Matrix!$B$2:$D$4,MATCH(E1982,Risk_Matrix!$A$2:$A$4,0),MATCH(F1982,Risk_Matrix!$B$1:$D$1,0))</f>
        <v>Medium</v>
      </c>
      <c r="H1982" s="12" t="n">
        <v>46198</v>
      </c>
      <c r="I1982" s="5" t="s">
        <v>2264</v>
      </c>
      <c r="J1982" s="5" t="s">
        <v>4087</v>
      </c>
      <c r="K1982" s="5" t="s">
        <v>2252</v>
      </c>
      <c r="L1982" s="5" t="n">
        <f aca="false">IF(G1982="High",3,IF(G1982="Medium",2,1))</f>
        <v>2</v>
      </c>
    </row>
    <row r="1983" customFormat="false" ht="15" hidden="false" customHeight="true" outlineLevel="0" collapsed="false">
      <c r="A1983" s="5" t="s">
        <v>4261</v>
      </c>
      <c r="B1983" s="5" t="s">
        <v>1642</v>
      </c>
      <c r="C1983" s="5" t="s">
        <v>2245</v>
      </c>
      <c r="D1983" s="5" t="s">
        <v>2269</v>
      </c>
      <c r="E1983" s="5" t="s">
        <v>2225</v>
      </c>
      <c r="F1983" s="5" t="s">
        <v>2225</v>
      </c>
      <c r="G1983" s="5" t="str">
        <f aca="false">INDEX(Risk_Matrix!$B$2:$D$4,MATCH(E1983,Risk_Matrix!$A$2:$A$4,0),MATCH(F1983,Risk_Matrix!$B$1:$D$1,0))</f>
        <v>Medium</v>
      </c>
      <c r="H1983" s="12" t="n">
        <v>46167</v>
      </c>
      <c r="I1983" s="5" t="s">
        <v>2241</v>
      </c>
      <c r="J1983" s="5" t="s">
        <v>2242</v>
      </c>
      <c r="K1983" s="5" t="s">
        <v>2266</v>
      </c>
      <c r="L1983" s="5" t="n">
        <f aca="false">IF(G1983="High",3,IF(G1983="Medium",2,1))</f>
        <v>2</v>
      </c>
    </row>
    <row r="1984" customFormat="false" ht="15" hidden="false" customHeight="true" outlineLevel="0" collapsed="false">
      <c r="A1984" s="5" t="s">
        <v>4262</v>
      </c>
      <c r="B1984" s="5" t="s">
        <v>1642</v>
      </c>
      <c r="C1984" s="5" t="s">
        <v>2248</v>
      </c>
      <c r="D1984" s="5" t="s">
        <v>2322</v>
      </c>
      <c r="E1984" s="5" t="s">
        <v>54</v>
      </c>
      <c r="F1984" s="5" t="s">
        <v>2225</v>
      </c>
      <c r="G1984" s="5" t="str">
        <f aca="false">INDEX(Risk_Matrix!$B$2:$D$4,MATCH(E1984,Risk_Matrix!$A$2:$A$4,0),MATCH(F1984,Risk_Matrix!$B$1:$D$1,0))</f>
        <v>High</v>
      </c>
      <c r="H1984" s="12" t="n">
        <v>46237</v>
      </c>
      <c r="I1984" s="5" t="s">
        <v>2264</v>
      </c>
      <c r="J1984" s="5" t="s">
        <v>4087</v>
      </c>
      <c r="K1984" s="5" t="s">
        <v>2276</v>
      </c>
      <c r="L1984" s="5" t="n">
        <f aca="false">IF(G1984="High",3,IF(G1984="Medium",2,1))</f>
        <v>3</v>
      </c>
    </row>
    <row r="1985" customFormat="false" ht="15" hidden="false" customHeight="true" outlineLevel="0" collapsed="false">
      <c r="A1985" s="5" t="s">
        <v>4263</v>
      </c>
      <c r="B1985" s="5" t="s">
        <v>1642</v>
      </c>
      <c r="C1985" s="5" t="s">
        <v>2262</v>
      </c>
      <c r="D1985" s="5" t="s">
        <v>2287</v>
      </c>
      <c r="E1985" s="5" t="s">
        <v>59</v>
      </c>
      <c r="F1985" s="5" t="s">
        <v>59</v>
      </c>
      <c r="G1985" s="5" t="str">
        <f aca="false">INDEX(Risk_Matrix!$B$2:$D$4,MATCH(E1985,Risk_Matrix!$A$2:$A$4,0),MATCH(F1985,Risk_Matrix!$B$1:$D$1,0))</f>
        <v>Low</v>
      </c>
      <c r="H1985" s="12" t="n">
        <v>46052</v>
      </c>
      <c r="I1985" s="5" t="s">
        <v>2241</v>
      </c>
      <c r="J1985" s="5" t="s">
        <v>2242</v>
      </c>
      <c r="K1985" s="5" t="s">
        <v>2283</v>
      </c>
      <c r="L1985" s="5" t="n">
        <f aca="false">IF(G1985="High",3,IF(G1985="Medium",2,1))</f>
        <v>1</v>
      </c>
    </row>
    <row r="1986" customFormat="false" ht="15" hidden="false" customHeight="true" outlineLevel="0" collapsed="false">
      <c r="A1986" s="5" t="s">
        <v>4264</v>
      </c>
      <c r="B1986" s="5" t="s">
        <v>1642</v>
      </c>
      <c r="C1986" s="5" t="s">
        <v>2259</v>
      </c>
      <c r="D1986" s="5" t="s">
        <v>2260</v>
      </c>
      <c r="E1986" s="5" t="s">
        <v>2225</v>
      </c>
      <c r="F1986" s="5" t="s">
        <v>59</v>
      </c>
      <c r="G1986" s="5" t="str">
        <f aca="false">INDEX(Risk_Matrix!$B$2:$D$4,MATCH(E1986,Risk_Matrix!$A$2:$A$4,0),MATCH(F1986,Risk_Matrix!$B$1:$D$1,0))</f>
        <v>Low</v>
      </c>
      <c r="H1986" s="12" t="n">
        <v>46046</v>
      </c>
      <c r="I1986" s="5" t="s">
        <v>2256</v>
      </c>
      <c r="J1986" s="5" t="s">
        <v>4081</v>
      </c>
      <c r="K1986" s="5" t="s">
        <v>2243</v>
      </c>
      <c r="L1986" s="5" t="n">
        <f aca="false">IF(G1986="High",3,IF(G1986="Medium",2,1))</f>
        <v>1</v>
      </c>
    </row>
    <row r="1987" customFormat="false" ht="15" hidden="false" customHeight="true" outlineLevel="0" collapsed="false">
      <c r="A1987" s="5" t="s">
        <v>4265</v>
      </c>
      <c r="B1987" s="5" t="s">
        <v>1642</v>
      </c>
      <c r="C1987" s="5" t="s">
        <v>2254</v>
      </c>
      <c r="D1987" s="5" t="s">
        <v>2299</v>
      </c>
      <c r="E1987" s="5" t="s">
        <v>59</v>
      </c>
      <c r="F1987" s="5" t="s">
        <v>54</v>
      </c>
      <c r="G1987" s="5" t="str">
        <f aca="false">INDEX(Risk_Matrix!$B$2:$D$4,MATCH(E1987,Risk_Matrix!$A$2:$A$4,0),MATCH(F1987,Risk_Matrix!$B$1:$D$1,0))</f>
        <v>Medium</v>
      </c>
      <c r="H1987" s="12" t="n">
        <v>46139</v>
      </c>
      <c r="I1987" s="5" t="s">
        <v>2250</v>
      </c>
      <c r="J1987" s="5" t="s">
        <v>2251</v>
      </c>
      <c r="K1987" s="5" t="s">
        <v>2243</v>
      </c>
      <c r="L1987" s="5" t="n">
        <f aca="false">IF(G1987="High",3,IF(G1987="Medium",2,1))</f>
        <v>2</v>
      </c>
    </row>
    <row r="1988" customFormat="false" ht="15" hidden="false" customHeight="true" outlineLevel="0" collapsed="false">
      <c r="A1988" s="5" t="s">
        <v>4266</v>
      </c>
      <c r="B1988" s="5" t="s">
        <v>1644</v>
      </c>
      <c r="C1988" s="5" t="s">
        <v>2239</v>
      </c>
      <c r="D1988" s="5" t="s">
        <v>2295</v>
      </c>
      <c r="E1988" s="5" t="s">
        <v>59</v>
      </c>
      <c r="F1988" s="5" t="s">
        <v>59</v>
      </c>
      <c r="G1988" s="5" t="str">
        <f aca="false">INDEX(Risk_Matrix!$B$2:$D$4,MATCH(E1988,Risk_Matrix!$A$2:$A$4,0),MATCH(F1988,Risk_Matrix!$B$1:$D$1,0))</f>
        <v>Low</v>
      </c>
      <c r="H1988" s="12" t="n">
        <v>46082</v>
      </c>
      <c r="I1988" s="5" t="s">
        <v>2241</v>
      </c>
      <c r="J1988" s="5" t="s">
        <v>2242</v>
      </c>
      <c r="K1988" s="5" t="s">
        <v>2283</v>
      </c>
      <c r="L1988" s="5" t="n">
        <f aca="false">IF(G1988="High",3,IF(G1988="Medium",2,1))</f>
        <v>1</v>
      </c>
    </row>
    <row r="1989" customFormat="false" ht="15" hidden="false" customHeight="true" outlineLevel="0" collapsed="false">
      <c r="A1989" s="5" t="s">
        <v>4267</v>
      </c>
      <c r="B1989" s="5" t="s">
        <v>1644</v>
      </c>
      <c r="C1989" s="5" t="s">
        <v>2245</v>
      </c>
      <c r="D1989" s="5" t="s">
        <v>2269</v>
      </c>
      <c r="E1989" s="5" t="s">
        <v>54</v>
      </c>
      <c r="F1989" s="5" t="s">
        <v>59</v>
      </c>
      <c r="G1989" s="5" t="str">
        <f aca="false">INDEX(Risk_Matrix!$B$2:$D$4,MATCH(E1989,Risk_Matrix!$A$2:$A$4,0),MATCH(F1989,Risk_Matrix!$B$1:$D$1,0))</f>
        <v>Medium</v>
      </c>
      <c r="H1989" s="12" t="n">
        <v>46203</v>
      </c>
      <c r="I1989" s="5" t="s">
        <v>2241</v>
      </c>
      <c r="J1989" s="5" t="s">
        <v>2242</v>
      </c>
      <c r="K1989" s="5" t="s">
        <v>2276</v>
      </c>
      <c r="L1989" s="5" t="n">
        <f aca="false">IF(G1989="High",3,IF(G1989="Medium",2,1))</f>
        <v>2</v>
      </c>
    </row>
    <row r="1990" customFormat="false" ht="15" hidden="false" customHeight="true" outlineLevel="0" collapsed="false">
      <c r="A1990" s="5" t="s">
        <v>4268</v>
      </c>
      <c r="B1990" s="5" t="s">
        <v>1644</v>
      </c>
      <c r="C1990" s="5" t="s">
        <v>2248</v>
      </c>
      <c r="D1990" s="5" t="s">
        <v>2306</v>
      </c>
      <c r="E1990" s="5" t="s">
        <v>2225</v>
      </c>
      <c r="F1990" s="5" t="s">
        <v>59</v>
      </c>
      <c r="G1990" s="5" t="str">
        <f aca="false">INDEX(Risk_Matrix!$B$2:$D$4,MATCH(E1990,Risk_Matrix!$A$2:$A$4,0),MATCH(F1990,Risk_Matrix!$B$1:$D$1,0))</f>
        <v>Low</v>
      </c>
      <c r="H1990" s="12" t="n">
        <v>46224</v>
      </c>
      <c r="I1990" s="5" t="s">
        <v>2241</v>
      </c>
      <c r="J1990" s="5" t="s">
        <v>2242</v>
      </c>
      <c r="K1990" s="5" t="s">
        <v>2266</v>
      </c>
      <c r="L1990" s="5" t="n">
        <f aca="false">IF(G1990="High",3,IF(G1990="Medium",2,1))</f>
        <v>1</v>
      </c>
    </row>
    <row r="1991" customFormat="false" ht="15" hidden="false" customHeight="true" outlineLevel="0" collapsed="false">
      <c r="A1991" s="5" t="s">
        <v>4269</v>
      </c>
      <c r="B1991" s="5" t="s">
        <v>1644</v>
      </c>
      <c r="C1991" s="5" t="s">
        <v>2262</v>
      </c>
      <c r="D1991" s="5" t="s">
        <v>2287</v>
      </c>
      <c r="E1991" s="5" t="s">
        <v>59</v>
      </c>
      <c r="F1991" s="5" t="s">
        <v>59</v>
      </c>
      <c r="G1991" s="5" t="str">
        <f aca="false">INDEX(Risk_Matrix!$B$2:$D$4,MATCH(E1991,Risk_Matrix!$A$2:$A$4,0),MATCH(F1991,Risk_Matrix!$B$1:$D$1,0))</f>
        <v>Low</v>
      </c>
      <c r="H1991" s="12" t="n">
        <v>46078</v>
      </c>
      <c r="I1991" s="5" t="s">
        <v>2250</v>
      </c>
      <c r="J1991" s="5" t="s">
        <v>2251</v>
      </c>
      <c r="K1991" s="5" t="s">
        <v>2243</v>
      </c>
      <c r="L1991" s="5" t="n">
        <f aca="false">IF(G1991="High",3,IF(G1991="Medium",2,1))</f>
        <v>1</v>
      </c>
    </row>
    <row r="1992" customFormat="false" ht="15" hidden="false" customHeight="true" outlineLevel="0" collapsed="false">
      <c r="A1992" s="5" t="s">
        <v>4270</v>
      </c>
      <c r="B1992" s="5" t="s">
        <v>1644</v>
      </c>
      <c r="C1992" s="5" t="s">
        <v>2259</v>
      </c>
      <c r="D1992" s="5" t="s">
        <v>2260</v>
      </c>
      <c r="E1992" s="5" t="s">
        <v>59</v>
      </c>
      <c r="F1992" s="5" t="s">
        <v>2225</v>
      </c>
      <c r="G1992" s="5" t="str">
        <f aca="false">INDEX(Risk_Matrix!$B$2:$D$4,MATCH(E1992,Risk_Matrix!$A$2:$A$4,0),MATCH(F1992,Risk_Matrix!$B$1:$D$1,0))</f>
        <v>Low</v>
      </c>
      <c r="H1992" s="12" t="n">
        <v>46113</v>
      </c>
      <c r="I1992" s="5" t="s">
        <v>2241</v>
      </c>
      <c r="J1992" s="5" t="s">
        <v>2242</v>
      </c>
      <c r="K1992" s="5" t="s">
        <v>2266</v>
      </c>
      <c r="L1992" s="5" t="n">
        <f aca="false">IF(G1992="High",3,IF(G1992="Medium",2,1))</f>
        <v>1</v>
      </c>
    </row>
    <row r="1993" customFormat="false" ht="15" hidden="false" customHeight="true" outlineLevel="0" collapsed="false">
      <c r="A1993" s="5" t="s">
        <v>4271</v>
      </c>
      <c r="B1993" s="5" t="s">
        <v>1644</v>
      </c>
      <c r="C1993" s="5" t="s">
        <v>2254</v>
      </c>
      <c r="D1993" s="5" t="s">
        <v>2308</v>
      </c>
      <c r="E1993" s="5" t="s">
        <v>54</v>
      </c>
      <c r="F1993" s="5" t="s">
        <v>54</v>
      </c>
      <c r="G1993" s="5" t="str">
        <f aca="false">INDEX(Risk_Matrix!$B$2:$D$4,MATCH(E1993,Risk_Matrix!$A$2:$A$4,0),MATCH(F1993,Risk_Matrix!$B$1:$D$1,0))</f>
        <v>High</v>
      </c>
      <c r="H1993" s="12" t="n">
        <v>46051</v>
      </c>
      <c r="I1993" s="5" t="s">
        <v>2241</v>
      </c>
      <c r="J1993" s="5" t="s">
        <v>2242</v>
      </c>
      <c r="K1993" s="5" t="s">
        <v>2243</v>
      </c>
      <c r="L1993" s="5" t="n">
        <f aca="false">IF(G1993="High",3,IF(G1993="Medium",2,1))</f>
        <v>3</v>
      </c>
    </row>
    <row r="1994" customFormat="false" ht="15" hidden="false" customHeight="true" outlineLevel="0" collapsed="false">
      <c r="A1994" s="5" t="s">
        <v>4272</v>
      </c>
      <c r="B1994" s="5" t="s">
        <v>1646</v>
      </c>
      <c r="C1994" s="5" t="s">
        <v>2239</v>
      </c>
      <c r="D1994" s="5" t="s">
        <v>2278</v>
      </c>
      <c r="E1994" s="5" t="s">
        <v>54</v>
      </c>
      <c r="F1994" s="5" t="s">
        <v>59</v>
      </c>
      <c r="G1994" s="5" t="str">
        <f aca="false">INDEX(Risk_Matrix!$B$2:$D$4,MATCH(E1994,Risk_Matrix!$A$2:$A$4,0),MATCH(F1994,Risk_Matrix!$B$1:$D$1,0))</f>
        <v>Medium</v>
      </c>
      <c r="H1994" s="12" t="n">
        <v>46158</v>
      </c>
      <c r="I1994" s="5" t="s">
        <v>2241</v>
      </c>
      <c r="J1994" s="5" t="s">
        <v>2242</v>
      </c>
      <c r="K1994" s="5" t="s">
        <v>2276</v>
      </c>
      <c r="L1994" s="5" t="n">
        <f aca="false">IF(G1994="High",3,IF(G1994="Medium",2,1))</f>
        <v>2</v>
      </c>
    </row>
    <row r="1995" customFormat="false" ht="15" hidden="false" customHeight="true" outlineLevel="0" collapsed="false">
      <c r="A1995" s="5" t="s">
        <v>4273</v>
      </c>
      <c r="B1995" s="5" t="s">
        <v>1646</v>
      </c>
      <c r="C1995" s="5" t="s">
        <v>2245</v>
      </c>
      <c r="D1995" s="5" t="s">
        <v>2280</v>
      </c>
      <c r="E1995" s="5" t="s">
        <v>2225</v>
      </c>
      <c r="F1995" s="5" t="s">
        <v>2225</v>
      </c>
      <c r="G1995" s="5" t="str">
        <f aca="false">INDEX(Risk_Matrix!$B$2:$D$4,MATCH(E1995,Risk_Matrix!$A$2:$A$4,0),MATCH(F1995,Risk_Matrix!$B$1:$D$1,0))</f>
        <v>Medium</v>
      </c>
      <c r="H1995" s="12" t="n">
        <v>46080</v>
      </c>
      <c r="I1995" s="5" t="s">
        <v>2264</v>
      </c>
      <c r="J1995" s="5" t="s">
        <v>4087</v>
      </c>
      <c r="K1995" s="5" t="s">
        <v>2283</v>
      </c>
      <c r="L1995" s="5" t="n">
        <f aca="false">IF(G1995="High",3,IF(G1995="Medium",2,1))</f>
        <v>2</v>
      </c>
    </row>
    <row r="1996" customFormat="false" ht="15" hidden="false" customHeight="true" outlineLevel="0" collapsed="false">
      <c r="A1996" s="5" t="s">
        <v>4274</v>
      </c>
      <c r="B1996" s="5" t="s">
        <v>1646</v>
      </c>
      <c r="C1996" s="5" t="s">
        <v>2248</v>
      </c>
      <c r="D1996" s="5" t="s">
        <v>2249</v>
      </c>
      <c r="E1996" s="5" t="s">
        <v>2225</v>
      </c>
      <c r="F1996" s="5" t="s">
        <v>59</v>
      </c>
      <c r="G1996" s="5" t="str">
        <f aca="false">INDEX(Risk_Matrix!$B$2:$D$4,MATCH(E1996,Risk_Matrix!$A$2:$A$4,0),MATCH(F1996,Risk_Matrix!$B$1:$D$1,0))</f>
        <v>Low</v>
      </c>
      <c r="H1996" s="12" t="n">
        <v>46054</v>
      </c>
      <c r="I1996" s="5" t="s">
        <v>2264</v>
      </c>
      <c r="J1996" s="5" t="s">
        <v>4087</v>
      </c>
      <c r="K1996" s="5" t="s">
        <v>2243</v>
      </c>
      <c r="L1996" s="5" t="n">
        <f aca="false">IF(G1996="High",3,IF(G1996="Medium",2,1))</f>
        <v>1</v>
      </c>
    </row>
    <row r="1997" customFormat="false" ht="15" hidden="false" customHeight="true" outlineLevel="0" collapsed="false">
      <c r="A1997" s="5" t="s">
        <v>4275</v>
      </c>
      <c r="B1997" s="5" t="s">
        <v>1646</v>
      </c>
      <c r="C1997" s="5" t="s">
        <v>2262</v>
      </c>
      <c r="D1997" s="5" t="s">
        <v>2287</v>
      </c>
      <c r="E1997" s="5" t="s">
        <v>2225</v>
      </c>
      <c r="F1997" s="5" t="s">
        <v>59</v>
      </c>
      <c r="G1997" s="5" t="str">
        <f aca="false">INDEX(Risk_Matrix!$B$2:$D$4,MATCH(E1997,Risk_Matrix!$A$2:$A$4,0),MATCH(F1997,Risk_Matrix!$B$1:$D$1,0))</f>
        <v>Low</v>
      </c>
      <c r="H1997" s="12" t="n">
        <v>46194</v>
      </c>
      <c r="I1997" s="5" t="s">
        <v>2241</v>
      </c>
      <c r="J1997" s="5" t="s">
        <v>2242</v>
      </c>
      <c r="K1997" s="5" t="s">
        <v>2276</v>
      </c>
      <c r="L1997" s="5" t="n">
        <f aca="false">IF(G1997="High",3,IF(G1997="Medium",2,1))</f>
        <v>1</v>
      </c>
    </row>
    <row r="1998" customFormat="false" ht="15" hidden="false" customHeight="true" outlineLevel="0" collapsed="false">
      <c r="A1998" s="5" t="s">
        <v>4276</v>
      </c>
      <c r="B1998" s="5" t="s">
        <v>1646</v>
      </c>
      <c r="C1998" s="5" t="s">
        <v>2259</v>
      </c>
      <c r="D1998" s="5" t="s">
        <v>2274</v>
      </c>
      <c r="E1998" s="5" t="s">
        <v>59</v>
      </c>
      <c r="F1998" s="5" t="s">
        <v>2225</v>
      </c>
      <c r="G1998" s="5" t="str">
        <f aca="false">INDEX(Risk_Matrix!$B$2:$D$4,MATCH(E1998,Risk_Matrix!$A$2:$A$4,0),MATCH(F1998,Risk_Matrix!$B$1:$D$1,0))</f>
        <v>Low</v>
      </c>
      <c r="H1998" s="12" t="n">
        <v>46083</v>
      </c>
      <c r="I1998" s="5" t="s">
        <v>2264</v>
      </c>
      <c r="J1998" s="5" t="s">
        <v>4087</v>
      </c>
      <c r="K1998" s="5" t="s">
        <v>2276</v>
      </c>
      <c r="L1998" s="5" t="n">
        <f aca="false">IF(G1998="High",3,IF(G1998="Medium",2,1))</f>
        <v>1</v>
      </c>
    </row>
    <row r="1999" customFormat="false" ht="15" hidden="false" customHeight="true" outlineLevel="0" collapsed="false">
      <c r="A1999" s="5" t="s">
        <v>4277</v>
      </c>
      <c r="B1999" s="5" t="s">
        <v>1646</v>
      </c>
      <c r="C1999" s="5" t="s">
        <v>2254</v>
      </c>
      <c r="D1999" s="5" t="s">
        <v>2308</v>
      </c>
      <c r="E1999" s="5" t="s">
        <v>54</v>
      </c>
      <c r="F1999" s="5" t="s">
        <v>2225</v>
      </c>
      <c r="G1999" s="5" t="str">
        <f aca="false">INDEX(Risk_Matrix!$B$2:$D$4,MATCH(E1999,Risk_Matrix!$A$2:$A$4,0),MATCH(F1999,Risk_Matrix!$B$1:$D$1,0))</f>
        <v>High</v>
      </c>
      <c r="H1999" s="12" t="n">
        <v>46044</v>
      </c>
      <c r="I1999" s="5" t="s">
        <v>2250</v>
      </c>
      <c r="J1999" s="5" t="s">
        <v>2251</v>
      </c>
      <c r="K1999" s="5" t="s">
        <v>2266</v>
      </c>
      <c r="L1999" s="5" t="n">
        <f aca="false">IF(G1999="High",3,IF(G1999="Medium",2,1))</f>
        <v>3</v>
      </c>
    </row>
    <row r="2000" customFormat="false" ht="15" hidden="false" customHeight="true" outlineLevel="0" collapsed="false">
      <c r="A2000" s="5" t="s">
        <v>4278</v>
      </c>
      <c r="B2000" s="5" t="s">
        <v>1648</v>
      </c>
      <c r="C2000" s="5" t="s">
        <v>2239</v>
      </c>
      <c r="D2000" s="5" t="s">
        <v>2278</v>
      </c>
      <c r="E2000" s="5" t="s">
        <v>2225</v>
      </c>
      <c r="F2000" s="5" t="s">
        <v>2225</v>
      </c>
      <c r="G2000" s="5" t="str">
        <f aca="false">INDEX(Risk_Matrix!$B$2:$D$4,MATCH(E2000,Risk_Matrix!$A$2:$A$4,0),MATCH(F2000,Risk_Matrix!$B$1:$D$1,0))</f>
        <v>Medium</v>
      </c>
      <c r="H2000" s="12" t="n">
        <v>46209</v>
      </c>
      <c r="I2000" s="5" t="s">
        <v>2256</v>
      </c>
      <c r="J2000" s="5" t="s">
        <v>4081</v>
      </c>
      <c r="K2000" s="5" t="s">
        <v>2266</v>
      </c>
      <c r="L2000" s="5" t="n">
        <f aca="false">IF(G2000="High",3,IF(G2000="Medium",2,1))</f>
        <v>2</v>
      </c>
    </row>
    <row r="2001" customFormat="false" ht="15" hidden="false" customHeight="true" outlineLevel="0" collapsed="false">
      <c r="A2001" s="5" t="s">
        <v>4279</v>
      </c>
      <c r="B2001" s="5" t="s">
        <v>1648</v>
      </c>
      <c r="C2001" s="5" t="s">
        <v>2245</v>
      </c>
      <c r="D2001" s="5" t="s">
        <v>2246</v>
      </c>
      <c r="E2001" s="5" t="s">
        <v>2225</v>
      </c>
      <c r="F2001" s="5" t="s">
        <v>59</v>
      </c>
      <c r="G2001" s="5" t="str">
        <f aca="false">INDEX(Risk_Matrix!$B$2:$D$4,MATCH(E2001,Risk_Matrix!$A$2:$A$4,0),MATCH(F2001,Risk_Matrix!$B$1:$D$1,0))</f>
        <v>Low</v>
      </c>
      <c r="H2001" s="12" t="n">
        <v>46200</v>
      </c>
      <c r="I2001" s="5" t="s">
        <v>2250</v>
      </c>
      <c r="J2001" s="5" t="s">
        <v>2251</v>
      </c>
      <c r="K2001" s="5" t="s">
        <v>2276</v>
      </c>
      <c r="L2001" s="5" t="n">
        <f aca="false">IF(G2001="High",3,IF(G2001="Medium",2,1))</f>
        <v>1</v>
      </c>
    </row>
    <row r="2002" customFormat="false" ht="15" hidden="false" customHeight="true" outlineLevel="0" collapsed="false">
      <c r="A2002" s="5" t="s">
        <v>4280</v>
      </c>
      <c r="B2002" s="5" t="s">
        <v>1648</v>
      </c>
      <c r="C2002" s="5" t="s">
        <v>2248</v>
      </c>
      <c r="D2002" s="5" t="s">
        <v>2322</v>
      </c>
      <c r="E2002" s="5" t="s">
        <v>2225</v>
      </c>
      <c r="F2002" s="5" t="s">
        <v>59</v>
      </c>
      <c r="G2002" s="5" t="str">
        <f aca="false">INDEX(Risk_Matrix!$B$2:$D$4,MATCH(E2002,Risk_Matrix!$A$2:$A$4,0),MATCH(F2002,Risk_Matrix!$B$1:$D$1,0))</f>
        <v>Low</v>
      </c>
      <c r="H2002" s="12" t="n">
        <v>46044</v>
      </c>
      <c r="I2002" s="5" t="s">
        <v>2250</v>
      </c>
      <c r="J2002" s="5" t="s">
        <v>2251</v>
      </c>
      <c r="K2002" s="5" t="s">
        <v>2276</v>
      </c>
      <c r="L2002" s="5" t="n">
        <f aca="false">IF(G2002="High",3,IF(G2002="Medium",2,1))</f>
        <v>1</v>
      </c>
    </row>
    <row r="2003" customFormat="false" ht="15" hidden="false" customHeight="true" outlineLevel="0" collapsed="false">
      <c r="A2003" s="5" t="s">
        <v>4281</v>
      </c>
      <c r="B2003" s="5" t="s">
        <v>1648</v>
      </c>
      <c r="C2003" s="5" t="s">
        <v>2262</v>
      </c>
      <c r="D2003" s="5" t="s">
        <v>2287</v>
      </c>
      <c r="E2003" s="5" t="s">
        <v>59</v>
      </c>
      <c r="F2003" s="5" t="s">
        <v>54</v>
      </c>
      <c r="G2003" s="5" t="str">
        <f aca="false">INDEX(Risk_Matrix!$B$2:$D$4,MATCH(E2003,Risk_Matrix!$A$2:$A$4,0),MATCH(F2003,Risk_Matrix!$B$1:$D$1,0))</f>
        <v>Medium</v>
      </c>
      <c r="H2003" s="12" t="n">
        <v>46157</v>
      </c>
      <c r="I2003" s="5" t="s">
        <v>2256</v>
      </c>
      <c r="J2003" s="5" t="s">
        <v>4081</v>
      </c>
      <c r="K2003" s="5" t="s">
        <v>2276</v>
      </c>
      <c r="L2003" s="5" t="n">
        <f aca="false">IF(G2003="High",3,IF(G2003="Medium",2,1))</f>
        <v>2</v>
      </c>
    </row>
    <row r="2004" customFormat="false" ht="15" hidden="false" customHeight="true" outlineLevel="0" collapsed="false">
      <c r="A2004" s="5" t="s">
        <v>4282</v>
      </c>
      <c r="B2004" s="5" t="s">
        <v>1648</v>
      </c>
      <c r="C2004" s="5" t="s">
        <v>2259</v>
      </c>
      <c r="D2004" s="5" t="s">
        <v>2285</v>
      </c>
      <c r="E2004" s="5" t="s">
        <v>54</v>
      </c>
      <c r="F2004" s="5" t="s">
        <v>59</v>
      </c>
      <c r="G2004" s="5" t="str">
        <f aca="false">INDEX(Risk_Matrix!$B$2:$D$4,MATCH(E2004,Risk_Matrix!$A$2:$A$4,0),MATCH(F2004,Risk_Matrix!$B$1:$D$1,0))</f>
        <v>Medium</v>
      </c>
      <c r="H2004" s="12" t="n">
        <v>46032</v>
      </c>
      <c r="I2004" s="5" t="s">
        <v>2241</v>
      </c>
      <c r="J2004" s="5" t="s">
        <v>2242</v>
      </c>
      <c r="K2004" s="5" t="s">
        <v>2243</v>
      </c>
      <c r="L2004" s="5" t="n">
        <f aca="false">IF(G2004="High",3,IF(G2004="Medium",2,1))</f>
        <v>2</v>
      </c>
    </row>
    <row r="2005" customFormat="false" ht="15" hidden="false" customHeight="true" outlineLevel="0" collapsed="false">
      <c r="A2005" s="5" t="s">
        <v>4283</v>
      </c>
      <c r="B2005" s="5" t="s">
        <v>1648</v>
      </c>
      <c r="C2005" s="5" t="s">
        <v>2254</v>
      </c>
      <c r="D2005" s="5" t="s">
        <v>2299</v>
      </c>
      <c r="E2005" s="5" t="s">
        <v>59</v>
      </c>
      <c r="F2005" s="5" t="s">
        <v>2225</v>
      </c>
      <c r="G2005" s="5" t="str">
        <f aca="false">INDEX(Risk_Matrix!$B$2:$D$4,MATCH(E2005,Risk_Matrix!$A$2:$A$4,0),MATCH(F2005,Risk_Matrix!$B$1:$D$1,0))</f>
        <v>Low</v>
      </c>
      <c r="H2005" s="12" t="n">
        <v>46220</v>
      </c>
      <c r="I2005" s="5" t="s">
        <v>2264</v>
      </c>
      <c r="J2005" s="5" t="s">
        <v>4087</v>
      </c>
      <c r="K2005" s="5" t="s">
        <v>2276</v>
      </c>
      <c r="L2005" s="5" t="n">
        <f aca="false">IF(G2005="High",3,IF(G2005="Medium",2,1))</f>
        <v>1</v>
      </c>
    </row>
    <row r="2006" customFormat="false" ht="15" hidden="false" customHeight="true" outlineLevel="0" collapsed="false">
      <c r="A2006" s="5" t="s">
        <v>4284</v>
      </c>
      <c r="B2006" s="5" t="s">
        <v>1650</v>
      </c>
      <c r="C2006" s="5" t="s">
        <v>2239</v>
      </c>
      <c r="D2006" s="5" t="s">
        <v>2278</v>
      </c>
      <c r="E2006" s="5" t="s">
        <v>54</v>
      </c>
      <c r="F2006" s="5" t="s">
        <v>59</v>
      </c>
      <c r="G2006" s="5" t="str">
        <f aca="false">INDEX(Risk_Matrix!$B$2:$D$4,MATCH(E2006,Risk_Matrix!$A$2:$A$4,0),MATCH(F2006,Risk_Matrix!$B$1:$D$1,0))</f>
        <v>Medium</v>
      </c>
      <c r="H2006" s="12" t="n">
        <v>46122</v>
      </c>
      <c r="I2006" s="5" t="s">
        <v>2241</v>
      </c>
      <c r="J2006" s="5" t="s">
        <v>2242</v>
      </c>
      <c r="K2006" s="5" t="s">
        <v>2243</v>
      </c>
      <c r="L2006" s="5" t="n">
        <f aca="false">IF(G2006="High",3,IF(G2006="Medium",2,1))</f>
        <v>2</v>
      </c>
    </row>
    <row r="2007" customFormat="false" ht="15" hidden="false" customHeight="true" outlineLevel="0" collapsed="false">
      <c r="A2007" s="5" t="s">
        <v>4285</v>
      </c>
      <c r="B2007" s="5" t="s">
        <v>1650</v>
      </c>
      <c r="C2007" s="5" t="s">
        <v>2245</v>
      </c>
      <c r="D2007" s="5" t="s">
        <v>2269</v>
      </c>
      <c r="E2007" s="5" t="s">
        <v>2225</v>
      </c>
      <c r="F2007" s="5" t="s">
        <v>59</v>
      </c>
      <c r="G2007" s="5" t="str">
        <f aca="false">INDEX(Risk_Matrix!$B$2:$D$4,MATCH(E2007,Risk_Matrix!$A$2:$A$4,0),MATCH(F2007,Risk_Matrix!$B$1:$D$1,0))</f>
        <v>Low</v>
      </c>
      <c r="H2007" s="12" t="n">
        <v>46079</v>
      </c>
      <c r="I2007" s="5" t="s">
        <v>2264</v>
      </c>
      <c r="J2007" s="5" t="s">
        <v>4087</v>
      </c>
      <c r="K2007" s="5" t="s">
        <v>2276</v>
      </c>
      <c r="L2007" s="5" t="n">
        <f aca="false">IF(G2007="High",3,IF(G2007="Medium",2,1))</f>
        <v>1</v>
      </c>
    </row>
    <row r="2008" customFormat="false" ht="15" hidden="false" customHeight="true" outlineLevel="0" collapsed="false">
      <c r="A2008" s="5" t="s">
        <v>4286</v>
      </c>
      <c r="B2008" s="5" t="s">
        <v>1650</v>
      </c>
      <c r="C2008" s="5" t="s">
        <v>2248</v>
      </c>
      <c r="D2008" s="5" t="s">
        <v>2271</v>
      </c>
      <c r="E2008" s="5" t="s">
        <v>59</v>
      </c>
      <c r="F2008" s="5" t="s">
        <v>54</v>
      </c>
      <c r="G2008" s="5" t="str">
        <f aca="false">INDEX(Risk_Matrix!$B$2:$D$4,MATCH(E2008,Risk_Matrix!$A$2:$A$4,0),MATCH(F2008,Risk_Matrix!$B$1:$D$1,0))</f>
        <v>Medium</v>
      </c>
      <c r="H2008" s="12" t="n">
        <v>46061</v>
      </c>
      <c r="I2008" s="5" t="s">
        <v>2256</v>
      </c>
      <c r="J2008" s="5" t="s">
        <v>4081</v>
      </c>
      <c r="K2008" s="5" t="s">
        <v>2252</v>
      </c>
      <c r="L2008" s="5" t="n">
        <f aca="false">IF(G2008="High",3,IF(G2008="Medium",2,1))</f>
        <v>2</v>
      </c>
    </row>
    <row r="2009" customFormat="false" ht="15" hidden="false" customHeight="true" outlineLevel="0" collapsed="false">
      <c r="A2009" s="5" t="s">
        <v>4287</v>
      </c>
      <c r="B2009" s="5" t="s">
        <v>1650</v>
      </c>
      <c r="C2009" s="5" t="s">
        <v>2262</v>
      </c>
      <c r="D2009" s="5" t="s">
        <v>2287</v>
      </c>
      <c r="E2009" s="5" t="s">
        <v>2225</v>
      </c>
      <c r="F2009" s="5" t="s">
        <v>54</v>
      </c>
      <c r="G2009" s="5" t="str">
        <f aca="false">INDEX(Risk_Matrix!$B$2:$D$4,MATCH(E2009,Risk_Matrix!$A$2:$A$4,0),MATCH(F2009,Risk_Matrix!$B$1:$D$1,0))</f>
        <v>High</v>
      </c>
      <c r="H2009" s="12" t="n">
        <v>46229</v>
      </c>
      <c r="I2009" s="5" t="s">
        <v>2241</v>
      </c>
      <c r="J2009" s="5" t="s">
        <v>2242</v>
      </c>
      <c r="K2009" s="5" t="s">
        <v>2283</v>
      </c>
      <c r="L2009" s="5" t="n">
        <f aca="false">IF(G2009="High",3,IF(G2009="Medium",2,1))</f>
        <v>3</v>
      </c>
    </row>
    <row r="2010" customFormat="false" ht="15" hidden="false" customHeight="true" outlineLevel="0" collapsed="false">
      <c r="A2010" s="5" t="s">
        <v>4288</v>
      </c>
      <c r="B2010" s="5" t="s">
        <v>1650</v>
      </c>
      <c r="C2010" s="5" t="s">
        <v>2259</v>
      </c>
      <c r="D2010" s="5" t="s">
        <v>2274</v>
      </c>
      <c r="E2010" s="5" t="s">
        <v>54</v>
      </c>
      <c r="F2010" s="5" t="s">
        <v>2225</v>
      </c>
      <c r="G2010" s="5" t="str">
        <f aca="false">INDEX(Risk_Matrix!$B$2:$D$4,MATCH(E2010,Risk_Matrix!$A$2:$A$4,0),MATCH(F2010,Risk_Matrix!$B$1:$D$1,0))</f>
        <v>High</v>
      </c>
      <c r="H2010" s="12" t="n">
        <v>46214</v>
      </c>
      <c r="I2010" s="5" t="s">
        <v>2241</v>
      </c>
      <c r="J2010" s="5" t="s">
        <v>2242</v>
      </c>
      <c r="K2010" s="5" t="s">
        <v>2243</v>
      </c>
      <c r="L2010" s="5" t="n">
        <f aca="false">IF(G2010="High",3,IF(G2010="Medium",2,1))</f>
        <v>3</v>
      </c>
    </row>
    <row r="2011" customFormat="false" ht="15" hidden="false" customHeight="true" outlineLevel="0" collapsed="false">
      <c r="A2011" s="5" t="s">
        <v>4289</v>
      </c>
      <c r="B2011" s="5" t="s">
        <v>1650</v>
      </c>
      <c r="C2011" s="5" t="s">
        <v>2254</v>
      </c>
      <c r="D2011" s="5" t="s">
        <v>2255</v>
      </c>
      <c r="E2011" s="5" t="s">
        <v>2225</v>
      </c>
      <c r="F2011" s="5" t="s">
        <v>59</v>
      </c>
      <c r="G2011" s="5" t="str">
        <f aca="false">INDEX(Risk_Matrix!$B$2:$D$4,MATCH(E2011,Risk_Matrix!$A$2:$A$4,0),MATCH(F2011,Risk_Matrix!$B$1:$D$1,0))</f>
        <v>Low</v>
      </c>
      <c r="H2011" s="12" t="n">
        <v>46040</v>
      </c>
      <c r="I2011" s="5" t="s">
        <v>2264</v>
      </c>
      <c r="J2011" s="5" t="s">
        <v>4087</v>
      </c>
      <c r="K2011" s="5" t="s">
        <v>2283</v>
      </c>
      <c r="L2011" s="5" t="n">
        <f aca="false">IF(G2011="High",3,IF(G2011="Medium",2,1))</f>
        <v>1</v>
      </c>
    </row>
    <row r="2012" customFormat="false" ht="15" hidden="false" customHeight="true" outlineLevel="0" collapsed="false">
      <c r="A2012" s="5" t="s">
        <v>4290</v>
      </c>
      <c r="B2012" s="5" t="s">
        <v>1652</v>
      </c>
      <c r="C2012" s="5" t="s">
        <v>2239</v>
      </c>
      <c r="D2012" s="5" t="s">
        <v>2278</v>
      </c>
      <c r="E2012" s="5" t="s">
        <v>54</v>
      </c>
      <c r="F2012" s="5" t="s">
        <v>54</v>
      </c>
      <c r="G2012" s="5" t="str">
        <f aca="false">INDEX(Risk_Matrix!$B$2:$D$4,MATCH(E2012,Risk_Matrix!$A$2:$A$4,0),MATCH(F2012,Risk_Matrix!$B$1:$D$1,0))</f>
        <v>High</v>
      </c>
      <c r="H2012" s="12" t="n">
        <v>46124</v>
      </c>
      <c r="I2012" s="5" t="s">
        <v>2264</v>
      </c>
      <c r="J2012" s="5" t="s">
        <v>4087</v>
      </c>
      <c r="K2012" s="5" t="s">
        <v>2283</v>
      </c>
      <c r="L2012" s="5" t="n">
        <f aca="false">IF(G2012="High",3,IF(G2012="Medium",2,1))</f>
        <v>3</v>
      </c>
    </row>
    <row r="2013" customFormat="false" ht="15" hidden="false" customHeight="true" outlineLevel="0" collapsed="false">
      <c r="A2013" s="5" t="s">
        <v>4291</v>
      </c>
      <c r="B2013" s="5" t="s">
        <v>1652</v>
      </c>
      <c r="C2013" s="5" t="s">
        <v>2245</v>
      </c>
      <c r="D2013" s="5" t="s">
        <v>2320</v>
      </c>
      <c r="E2013" s="5" t="s">
        <v>59</v>
      </c>
      <c r="F2013" s="5" t="s">
        <v>2225</v>
      </c>
      <c r="G2013" s="5" t="str">
        <f aca="false">INDEX(Risk_Matrix!$B$2:$D$4,MATCH(E2013,Risk_Matrix!$A$2:$A$4,0),MATCH(F2013,Risk_Matrix!$B$1:$D$1,0))</f>
        <v>Low</v>
      </c>
      <c r="H2013" s="12" t="n">
        <v>46152</v>
      </c>
      <c r="I2013" s="5" t="s">
        <v>2241</v>
      </c>
      <c r="J2013" s="5" t="s">
        <v>2242</v>
      </c>
      <c r="K2013" s="5" t="s">
        <v>2266</v>
      </c>
      <c r="L2013" s="5" t="n">
        <f aca="false">IF(G2013="High",3,IF(G2013="Medium",2,1))</f>
        <v>1</v>
      </c>
    </row>
    <row r="2014" customFormat="false" ht="15" hidden="false" customHeight="true" outlineLevel="0" collapsed="false">
      <c r="A2014" s="5" t="s">
        <v>4292</v>
      </c>
      <c r="B2014" s="5" t="s">
        <v>1652</v>
      </c>
      <c r="C2014" s="5" t="s">
        <v>2248</v>
      </c>
      <c r="D2014" s="5" t="s">
        <v>2271</v>
      </c>
      <c r="E2014" s="5" t="s">
        <v>59</v>
      </c>
      <c r="F2014" s="5" t="s">
        <v>59</v>
      </c>
      <c r="G2014" s="5" t="str">
        <f aca="false">INDEX(Risk_Matrix!$B$2:$D$4,MATCH(E2014,Risk_Matrix!$A$2:$A$4,0),MATCH(F2014,Risk_Matrix!$B$1:$D$1,0))</f>
        <v>Low</v>
      </c>
      <c r="H2014" s="12" t="n">
        <v>46059</v>
      </c>
      <c r="I2014" s="5" t="s">
        <v>2264</v>
      </c>
      <c r="J2014" s="5" t="s">
        <v>4087</v>
      </c>
      <c r="K2014" s="5" t="s">
        <v>2243</v>
      </c>
      <c r="L2014" s="5" t="n">
        <f aca="false">IF(G2014="High",3,IF(G2014="Medium",2,1))</f>
        <v>1</v>
      </c>
    </row>
    <row r="2015" customFormat="false" ht="15" hidden="false" customHeight="true" outlineLevel="0" collapsed="false">
      <c r="A2015" s="5" t="s">
        <v>4293</v>
      </c>
      <c r="B2015" s="5" t="s">
        <v>1652</v>
      </c>
      <c r="C2015" s="5" t="s">
        <v>2262</v>
      </c>
      <c r="D2015" s="5" t="s">
        <v>2311</v>
      </c>
      <c r="E2015" s="5" t="s">
        <v>59</v>
      </c>
      <c r="F2015" s="5" t="s">
        <v>54</v>
      </c>
      <c r="G2015" s="5" t="str">
        <f aca="false">INDEX(Risk_Matrix!$B$2:$D$4,MATCH(E2015,Risk_Matrix!$A$2:$A$4,0),MATCH(F2015,Risk_Matrix!$B$1:$D$1,0))</f>
        <v>Medium</v>
      </c>
      <c r="H2015" s="12" t="n">
        <v>46156</v>
      </c>
      <c r="I2015" s="5" t="s">
        <v>2264</v>
      </c>
      <c r="J2015" s="5" t="s">
        <v>4087</v>
      </c>
      <c r="K2015" s="5" t="s">
        <v>2243</v>
      </c>
      <c r="L2015" s="5" t="n">
        <f aca="false">IF(G2015="High",3,IF(G2015="Medium",2,1))</f>
        <v>2</v>
      </c>
    </row>
    <row r="2016" customFormat="false" ht="15" hidden="false" customHeight="true" outlineLevel="0" collapsed="false">
      <c r="A2016" s="5" t="s">
        <v>4294</v>
      </c>
      <c r="B2016" s="5" t="s">
        <v>1652</v>
      </c>
      <c r="C2016" s="5" t="s">
        <v>2259</v>
      </c>
      <c r="D2016" s="5" t="s">
        <v>2260</v>
      </c>
      <c r="E2016" s="5" t="s">
        <v>2225</v>
      </c>
      <c r="F2016" s="5" t="s">
        <v>54</v>
      </c>
      <c r="G2016" s="5" t="str">
        <f aca="false">INDEX(Risk_Matrix!$B$2:$D$4,MATCH(E2016,Risk_Matrix!$A$2:$A$4,0),MATCH(F2016,Risk_Matrix!$B$1:$D$1,0))</f>
        <v>High</v>
      </c>
      <c r="H2016" s="12" t="n">
        <v>46069</v>
      </c>
      <c r="I2016" s="5" t="s">
        <v>2256</v>
      </c>
      <c r="J2016" s="5" t="s">
        <v>4081</v>
      </c>
      <c r="K2016" s="5" t="s">
        <v>2252</v>
      </c>
      <c r="L2016" s="5" t="n">
        <f aca="false">IF(G2016="High",3,IF(G2016="Medium",2,1))</f>
        <v>3</v>
      </c>
    </row>
    <row r="2017" customFormat="false" ht="15" hidden="false" customHeight="true" outlineLevel="0" collapsed="false">
      <c r="A2017" s="5" t="s">
        <v>4295</v>
      </c>
      <c r="B2017" s="5" t="s">
        <v>1652</v>
      </c>
      <c r="C2017" s="5" t="s">
        <v>2254</v>
      </c>
      <c r="D2017" s="5" t="s">
        <v>2299</v>
      </c>
      <c r="E2017" s="5" t="s">
        <v>59</v>
      </c>
      <c r="F2017" s="5" t="s">
        <v>59</v>
      </c>
      <c r="G2017" s="5" t="str">
        <f aca="false">INDEX(Risk_Matrix!$B$2:$D$4,MATCH(E2017,Risk_Matrix!$A$2:$A$4,0),MATCH(F2017,Risk_Matrix!$B$1:$D$1,0))</f>
        <v>Low</v>
      </c>
      <c r="H2017" s="12" t="n">
        <v>46182</v>
      </c>
      <c r="I2017" s="5" t="s">
        <v>2256</v>
      </c>
      <c r="J2017" s="5" t="s">
        <v>4081</v>
      </c>
      <c r="K2017" s="5" t="s">
        <v>2243</v>
      </c>
      <c r="L2017" s="5" t="n">
        <f aca="false">IF(G2017="High",3,IF(G2017="Medium",2,1))</f>
        <v>1</v>
      </c>
    </row>
    <row r="2018" customFormat="false" ht="15" hidden="false" customHeight="true" outlineLevel="0" collapsed="false">
      <c r="A2018" s="5" t="s">
        <v>4296</v>
      </c>
      <c r="B2018" s="5" t="s">
        <v>1654</v>
      </c>
      <c r="C2018" s="5" t="s">
        <v>2239</v>
      </c>
      <c r="D2018" s="5" t="s">
        <v>2278</v>
      </c>
      <c r="E2018" s="5" t="s">
        <v>2225</v>
      </c>
      <c r="F2018" s="5" t="s">
        <v>2225</v>
      </c>
      <c r="G2018" s="5" t="str">
        <f aca="false">INDEX(Risk_Matrix!$B$2:$D$4,MATCH(E2018,Risk_Matrix!$A$2:$A$4,0),MATCH(F2018,Risk_Matrix!$B$1:$D$1,0))</f>
        <v>Medium</v>
      </c>
      <c r="H2018" s="12" t="n">
        <v>46096</v>
      </c>
      <c r="I2018" s="5" t="s">
        <v>2256</v>
      </c>
      <c r="J2018" s="5" t="s">
        <v>4081</v>
      </c>
      <c r="K2018" s="5" t="s">
        <v>2243</v>
      </c>
      <c r="L2018" s="5" t="n">
        <f aca="false">IF(G2018="High",3,IF(G2018="Medium",2,1))</f>
        <v>2</v>
      </c>
    </row>
    <row r="2019" customFormat="false" ht="15" hidden="false" customHeight="true" outlineLevel="0" collapsed="false">
      <c r="A2019" s="5" t="s">
        <v>4297</v>
      </c>
      <c r="B2019" s="5" t="s">
        <v>1654</v>
      </c>
      <c r="C2019" s="5" t="s">
        <v>2245</v>
      </c>
      <c r="D2019" s="5" t="s">
        <v>2269</v>
      </c>
      <c r="E2019" s="5" t="s">
        <v>59</v>
      </c>
      <c r="F2019" s="5" t="s">
        <v>2225</v>
      </c>
      <c r="G2019" s="5" t="str">
        <f aca="false">INDEX(Risk_Matrix!$B$2:$D$4,MATCH(E2019,Risk_Matrix!$A$2:$A$4,0),MATCH(F2019,Risk_Matrix!$B$1:$D$1,0))</f>
        <v>Low</v>
      </c>
      <c r="H2019" s="12" t="n">
        <v>46069</v>
      </c>
      <c r="I2019" s="5" t="s">
        <v>2256</v>
      </c>
      <c r="J2019" s="5" t="s">
        <v>4081</v>
      </c>
      <c r="K2019" s="5" t="s">
        <v>2276</v>
      </c>
      <c r="L2019" s="5" t="n">
        <f aca="false">IF(G2019="High",3,IF(G2019="Medium",2,1))</f>
        <v>1</v>
      </c>
    </row>
    <row r="2020" customFormat="false" ht="15" hidden="false" customHeight="true" outlineLevel="0" collapsed="false">
      <c r="A2020" s="5" t="s">
        <v>4298</v>
      </c>
      <c r="B2020" s="5" t="s">
        <v>1654</v>
      </c>
      <c r="C2020" s="5" t="s">
        <v>2248</v>
      </c>
      <c r="D2020" s="5" t="s">
        <v>2249</v>
      </c>
      <c r="E2020" s="5" t="s">
        <v>2225</v>
      </c>
      <c r="F2020" s="5" t="s">
        <v>2225</v>
      </c>
      <c r="G2020" s="5" t="str">
        <f aca="false">INDEX(Risk_Matrix!$B$2:$D$4,MATCH(E2020,Risk_Matrix!$A$2:$A$4,0),MATCH(F2020,Risk_Matrix!$B$1:$D$1,0))</f>
        <v>Medium</v>
      </c>
      <c r="H2020" s="12" t="n">
        <v>46236</v>
      </c>
      <c r="I2020" s="5" t="s">
        <v>2256</v>
      </c>
      <c r="J2020" s="5" t="s">
        <v>4081</v>
      </c>
      <c r="K2020" s="5" t="s">
        <v>2243</v>
      </c>
      <c r="L2020" s="5" t="n">
        <f aca="false">IF(G2020="High",3,IF(G2020="Medium",2,1))</f>
        <v>2</v>
      </c>
    </row>
    <row r="2021" customFormat="false" ht="15" hidden="false" customHeight="true" outlineLevel="0" collapsed="false">
      <c r="A2021" s="5" t="s">
        <v>4299</v>
      </c>
      <c r="B2021" s="5" t="s">
        <v>1654</v>
      </c>
      <c r="C2021" s="5" t="s">
        <v>2262</v>
      </c>
      <c r="D2021" s="5" t="s">
        <v>2287</v>
      </c>
      <c r="E2021" s="5" t="s">
        <v>59</v>
      </c>
      <c r="F2021" s="5" t="s">
        <v>2225</v>
      </c>
      <c r="G2021" s="5" t="str">
        <f aca="false">INDEX(Risk_Matrix!$B$2:$D$4,MATCH(E2021,Risk_Matrix!$A$2:$A$4,0),MATCH(F2021,Risk_Matrix!$B$1:$D$1,0))</f>
        <v>Low</v>
      </c>
      <c r="H2021" s="12" t="n">
        <v>46221</v>
      </c>
      <c r="I2021" s="5" t="s">
        <v>2256</v>
      </c>
      <c r="J2021" s="5" t="s">
        <v>4081</v>
      </c>
      <c r="K2021" s="5" t="s">
        <v>2266</v>
      </c>
      <c r="L2021" s="5" t="n">
        <f aca="false">IF(G2021="High",3,IF(G2021="Medium",2,1))</f>
        <v>1</v>
      </c>
    </row>
    <row r="2022" customFormat="false" ht="15" hidden="false" customHeight="true" outlineLevel="0" collapsed="false">
      <c r="A2022" s="5" t="s">
        <v>4300</v>
      </c>
      <c r="B2022" s="5" t="s">
        <v>1654</v>
      </c>
      <c r="C2022" s="5" t="s">
        <v>2259</v>
      </c>
      <c r="D2022" s="5" t="s">
        <v>2274</v>
      </c>
      <c r="E2022" s="5" t="s">
        <v>54</v>
      </c>
      <c r="F2022" s="5" t="s">
        <v>54</v>
      </c>
      <c r="G2022" s="5" t="str">
        <f aca="false">INDEX(Risk_Matrix!$B$2:$D$4,MATCH(E2022,Risk_Matrix!$A$2:$A$4,0),MATCH(F2022,Risk_Matrix!$B$1:$D$1,0))</f>
        <v>High</v>
      </c>
      <c r="H2022" s="12" t="n">
        <v>46213</v>
      </c>
      <c r="I2022" s="5" t="s">
        <v>2264</v>
      </c>
      <c r="J2022" s="5" t="s">
        <v>4087</v>
      </c>
      <c r="K2022" s="5" t="s">
        <v>2283</v>
      </c>
      <c r="L2022" s="5" t="n">
        <f aca="false">IF(G2022="High",3,IF(G2022="Medium",2,1))</f>
        <v>3</v>
      </c>
    </row>
    <row r="2023" customFormat="false" ht="15" hidden="false" customHeight="true" outlineLevel="0" collapsed="false">
      <c r="A2023" s="5" t="s">
        <v>4301</v>
      </c>
      <c r="B2023" s="5" t="s">
        <v>1654</v>
      </c>
      <c r="C2023" s="5" t="s">
        <v>2254</v>
      </c>
      <c r="D2023" s="5" t="s">
        <v>2308</v>
      </c>
      <c r="E2023" s="5" t="s">
        <v>2225</v>
      </c>
      <c r="F2023" s="5" t="s">
        <v>2225</v>
      </c>
      <c r="G2023" s="5" t="str">
        <f aca="false">INDEX(Risk_Matrix!$B$2:$D$4,MATCH(E2023,Risk_Matrix!$A$2:$A$4,0),MATCH(F2023,Risk_Matrix!$B$1:$D$1,0))</f>
        <v>Medium</v>
      </c>
      <c r="H2023" s="12" t="n">
        <v>46143</v>
      </c>
      <c r="I2023" s="5" t="s">
        <v>2256</v>
      </c>
      <c r="J2023" s="5" t="s">
        <v>4081</v>
      </c>
      <c r="K2023" s="5" t="s">
        <v>2252</v>
      </c>
      <c r="L2023" s="5" t="n">
        <f aca="false">IF(G2023="High",3,IF(G2023="Medium",2,1))</f>
        <v>2</v>
      </c>
    </row>
    <row r="2024" customFormat="false" ht="15" hidden="false" customHeight="true" outlineLevel="0" collapsed="false">
      <c r="A2024" s="5" t="s">
        <v>4302</v>
      </c>
      <c r="B2024" s="5" t="s">
        <v>1656</v>
      </c>
      <c r="C2024" s="5" t="s">
        <v>2239</v>
      </c>
      <c r="D2024" s="5" t="s">
        <v>2295</v>
      </c>
      <c r="E2024" s="5" t="s">
        <v>2225</v>
      </c>
      <c r="F2024" s="5" t="s">
        <v>54</v>
      </c>
      <c r="G2024" s="5" t="str">
        <f aca="false">INDEX(Risk_Matrix!$B$2:$D$4,MATCH(E2024,Risk_Matrix!$A$2:$A$4,0),MATCH(F2024,Risk_Matrix!$B$1:$D$1,0))</f>
        <v>High</v>
      </c>
      <c r="H2024" s="12" t="n">
        <v>46112</v>
      </c>
      <c r="I2024" s="5" t="s">
        <v>2256</v>
      </c>
      <c r="J2024" s="5" t="s">
        <v>4081</v>
      </c>
      <c r="K2024" s="5" t="s">
        <v>2266</v>
      </c>
      <c r="L2024" s="5" t="n">
        <f aca="false">IF(G2024="High",3,IF(G2024="Medium",2,1))</f>
        <v>3</v>
      </c>
    </row>
    <row r="2025" customFormat="false" ht="15" hidden="false" customHeight="true" outlineLevel="0" collapsed="false">
      <c r="A2025" s="5" t="s">
        <v>4303</v>
      </c>
      <c r="B2025" s="5" t="s">
        <v>1656</v>
      </c>
      <c r="C2025" s="5" t="s">
        <v>2245</v>
      </c>
      <c r="D2025" s="5" t="s">
        <v>2246</v>
      </c>
      <c r="E2025" s="5" t="s">
        <v>54</v>
      </c>
      <c r="F2025" s="5" t="s">
        <v>2225</v>
      </c>
      <c r="G2025" s="5" t="str">
        <f aca="false">INDEX(Risk_Matrix!$B$2:$D$4,MATCH(E2025,Risk_Matrix!$A$2:$A$4,0),MATCH(F2025,Risk_Matrix!$B$1:$D$1,0))</f>
        <v>High</v>
      </c>
      <c r="H2025" s="12" t="n">
        <v>46075</v>
      </c>
      <c r="I2025" s="5" t="s">
        <v>2264</v>
      </c>
      <c r="J2025" s="5" t="s">
        <v>4087</v>
      </c>
      <c r="K2025" s="5" t="s">
        <v>2243</v>
      </c>
      <c r="L2025" s="5" t="n">
        <f aca="false">IF(G2025="High",3,IF(G2025="Medium",2,1))</f>
        <v>3</v>
      </c>
    </row>
    <row r="2026" customFormat="false" ht="15" hidden="false" customHeight="true" outlineLevel="0" collapsed="false">
      <c r="A2026" s="5" t="s">
        <v>4304</v>
      </c>
      <c r="B2026" s="5" t="s">
        <v>1656</v>
      </c>
      <c r="C2026" s="5" t="s">
        <v>2248</v>
      </c>
      <c r="D2026" s="5" t="s">
        <v>2271</v>
      </c>
      <c r="E2026" s="5" t="s">
        <v>59</v>
      </c>
      <c r="F2026" s="5" t="s">
        <v>54</v>
      </c>
      <c r="G2026" s="5" t="str">
        <f aca="false">INDEX(Risk_Matrix!$B$2:$D$4,MATCH(E2026,Risk_Matrix!$A$2:$A$4,0),MATCH(F2026,Risk_Matrix!$B$1:$D$1,0))</f>
        <v>Medium</v>
      </c>
      <c r="H2026" s="12" t="n">
        <v>46130</v>
      </c>
      <c r="I2026" s="5" t="s">
        <v>2250</v>
      </c>
      <c r="J2026" s="5" t="s">
        <v>2251</v>
      </c>
      <c r="K2026" s="5" t="s">
        <v>2276</v>
      </c>
      <c r="L2026" s="5" t="n">
        <f aca="false">IF(G2026="High",3,IF(G2026="Medium",2,1))</f>
        <v>2</v>
      </c>
    </row>
    <row r="2027" customFormat="false" ht="15" hidden="false" customHeight="true" outlineLevel="0" collapsed="false">
      <c r="A2027" s="5" t="s">
        <v>4305</v>
      </c>
      <c r="B2027" s="5" t="s">
        <v>1656</v>
      </c>
      <c r="C2027" s="5" t="s">
        <v>2262</v>
      </c>
      <c r="D2027" s="5" t="s">
        <v>2287</v>
      </c>
      <c r="E2027" s="5" t="s">
        <v>2225</v>
      </c>
      <c r="F2027" s="5" t="s">
        <v>54</v>
      </c>
      <c r="G2027" s="5" t="str">
        <f aca="false">INDEX(Risk_Matrix!$B$2:$D$4,MATCH(E2027,Risk_Matrix!$A$2:$A$4,0),MATCH(F2027,Risk_Matrix!$B$1:$D$1,0))</f>
        <v>High</v>
      </c>
      <c r="H2027" s="12" t="n">
        <v>46152</v>
      </c>
      <c r="I2027" s="5" t="s">
        <v>2250</v>
      </c>
      <c r="J2027" s="5" t="s">
        <v>2251</v>
      </c>
      <c r="K2027" s="5" t="s">
        <v>2276</v>
      </c>
      <c r="L2027" s="5" t="n">
        <f aca="false">IF(G2027="High",3,IF(G2027="Medium",2,1))</f>
        <v>3</v>
      </c>
    </row>
    <row r="2028" customFormat="false" ht="15" hidden="false" customHeight="true" outlineLevel="0" collapsed="false">
      <c r="A2028" s="5" t="s">
        <v>4306</v>
      </c>
      <c r="B2028" s="5" t="s">
        <v>1656</v>
      </c>
      <c r="C2028" s="5" t="s">
        <v>2259</v>
      </c>
      <c r="D2028" s="5" t="s">
        <v>2274</v>
      </c>
      <c r="E2028" s="5" t="s">
        <v>54</v>
      </c>
      <c r="F2028" s="5" t="s">
        <v>54</v>
      </c>
      <c r="G2028" s="5" t="str">
        <f aca="false">INDEX(Risk_Matrix!$B$2:$D$4,MATCH(E2028,Risk_Matrix!$A$2:$A$4,0),MATCH(F2028,Risk_Matrix!$B$1:$D$1,0))</f>
        <v>High</v>
      </c>
      <c r="H2028" s="12" t="n">
        <v>46036</v>
      </c>
      <c r="I2028" s="5" t="s">
        <v>2241</v>
      </c>
      <c r="J2028" s="5" t="s">
        <v>2242</v>
      </c>
      <c r="K2028" s="5" t="s">
        <v>2276</v>
      </c>
      <c r="L2028" s="5" t="n">
        <f aca="false">IF(G2028="High",3,IF(G2028="Medium",2,1))</f>
        <v>3</v>
      </c>
    </row>
    <row r="2029" customFormat="false" ht="15" hidden="false" customHeight="true" outlineLevel="0" collapsed="false">
      <c r="A2029" s="5" t="s">
        <v>4307</v>
      </c>
      <c r="B2029" s="5" t="s">
        <v>1656</v>
      </c>
      <c r="C2029" s="5" t="s">
        <v>2254</v>
      </c>
      <c r="D2029" s="5" t="s">
        <v>2308</v>
      </c>
      <c r="E2029" s="5" t="s">
        <v>2225</v>
      </c>
      <c r="F2029" s="5" t="s">
        <v>54</v>
      </c>
      <c r="G2029" s="5" t="str">
        <f aca="false">INDEX(Risk_Matrix!$B$2:$D$4,MATCH(E2029,Risk_Matrix!$A$2:$A$4,0),MATCH(F2029,Risk_Matrix!$B$1:$D$1,0))</f>
        <v>High</v>
      </c>
      <c r="H2029" s="12" t="n">
        <v>46222</v>
      </c>
      <c r="I2029" s="5" t="s">
        <v>2264</v>
      </c>
      <c r="J2029" s="5" t="s">
        <v>4087</v>
      </c>
      <c r="K2029" s="5" t="s">
        <v>2243</v>
      </c>
      <c r="L2029" s="5" t="n">
        <f aca="false">IF(G2029="High",3,IF(G2029="Medium",2,1))</f>
        <v>3</v>
      </c>
    </row>
    <row r="2030" customFormat="false" ht="15" hidden="false" customHeight="true" outlineLevel="0" collapsed="false">
      <c r="A2030" s="5" t="s">
        <v>4308</v>
      </c>
      <c r="B2030" s="5" t="s">
        <v>1658</v>
      </c>
      <c r="C2030" s="5" t="s">
        <v>2239</v>
      </c>
      <c r="D2030" s="5" t="s">
        <v>2303</v>
      </c>
      <c r="E2030" s="5" t="s">
        <v>2225</v>
      </c>
      <c r="F2030" s="5" t="s">
        <v>54</v>
      </c>
      <c r="G2030" s="5" t="str">
        <f aca="false">INDEX(Risk_Matrix!$B$2:$D$4,MATCH(E2030,Risk_Matrix!$A$2:$A$4,0),MATCH(F2030,Risk_Matrix!$B$1:$D$1,0))</f>
        <v>High</v>
      </c>
      <c r="H2030" s="12" t="n">
        <v>46208</v>
      </c>
      <c r="I2030" s="5" t="s">
        <v>2250</v>
      </c>
      <c r="J2030" s="5" t="s">
        <v>2251</v>
      </c>
      <c r="K2030" s="5" t="s">
        <v>2283</v>
      </c>
      <c r="L2030" s="5" t="n">
        <f aca="false">IF(G2030="High",3,IF(G2030="Medium",2,1))</f>
        <v>3</v>
      </c>
    </row>
    <row r="2031" customFormat="false" ht="15" hidden="false" customHeight="true" outlineLevel="0" collapsed="false">
      <c r="A2031" s="5" t="s">
        <v>4309</v>
      </c>
      <c r="B2031" s="5" t="s">
        <v>1658</v>
      </c>
      <c r="C2031" s="5" t="s">
        <v>2245</v>
      </c>
      <c r="D2031" s="5" t="s">
        <v>2269</v>
      </c>
      <c r="E2031" s="5" t="s">
        <v>54</v>
      </c>
      <c r="F2031" s="5" t="s">
        <v>54</v>
      </c>
      <c r="G2031" s="5" t="str">
        <f aca="false">INDEX(Risk_Matrix!$B$2:$D$4,MATCH(E2031,Risk_Matrix!$A$2:$A$4,0),MATCH(F2031,Risk_Matrix!$B$1:$D$1,0))</f>
        <v>High</v>
      </c>
      <c r="H2031" s="12" t="n">
        <v>46193</v>
      </c>
      <c r="I2031" s="5" t="s">
        <v>2250</v>
      </c>
      <c r="J2031" s="5" t="s">
        <v>2251</v>
      </c>
      <c r="K2031" s="5" t="s">
        <v>2266</v>
      </c>
      <c r="L2031" s="5" t="n">
        <f aca="false">IF(G2031="High",3,IF(G2031="Medium",2,1))</f>
        <v>3</v>
      </c>
    </row>
    <row r="2032" customFormat="false" ht="15" hidden="false" customHeight="true" outlineLevel="0" collapsed="false">
      <c r="A2032" s="5" t="s">
        <v>4310</v>
      </c>
      <c r="B2032" s="5" t="s">
        <v>1658</v>
      </c>
      <c r="C2032" s="5" t="s">
        <v>2248</v>
      </c>
      <c r="D2032" s="5" t="s">
        <v>2249</v>
      </c>
      <c r="E2032" s="5" t="s">
        <v>2225</v>
      </c>
      <c r="F2032" s="5" t="s">
        <v>54</v>
      </c>
      <c r="G2032" s="5" t="str">
        <f aca="false">INDEX(Risk_Matrix!$B$2:$D$4,MATCH(E2032,Risk_Matrix!$A$2:$A$4,0),MATCH(F2032,Risk_Matrix!$B$1:$D$1,0))</f>
        <v>High</v>
      </c>
      <c r="H2032" s="12" t="n">
        <v>46149</v>
      </c>
      <c r="I2032" s="5" t="s">
        <v>2264</v>
      </c>
      <c r="J2032" s="5" t="s">
        <v>4087</v>
      </c>
      <c r="K2032" s="5" t="s">
        <v>2243</v>
      </c>
      <c r="L2032" s="5" t="n">
        <f aca="false">IF(G2032="High",3,IF(G2032="Medium",2,1))</f>
        <v>3</v>
      </c>
    </row>
    <row r="2033" customFormat="false" ht="15" hidden="false" customHeight="true" outlineLevel="0" collapsed="false">
      <c r="A2033" s="5" t="s">
        <v>4311</v>
      </c>
      <c r="B2033" s="5" t="s">
        <v>1658</v>
      </c>
      <c r="C2033" s="5" t="s">
        <v>2262</v>
      </c>
      <c r="D2033" s="5" t="s">
        <v>2311</v>
      </c>
      <c r="E2033" s="5" t="s">
        <v>2225</v>
      </c>
      <c r="F2033" s="5" t="s">
        <v>54</v>
      </c>
      <c r="G2033" s="5" t="str">
        <f aca="false">INDEX(Risk_Matrix!$B$2:$D$4,MATCH(E2033,Risk_Matrix!$A$2:$A$4,0),MATCH(F2033,Risk_Matrix!$B$1:$D$1,0))</f>
        <v>High</v>
      </c>
      <c r="H2033" s="12" t="n">
        <v>46093</v>
      </c>
      <c r="I2033" s="5" t="s">
        <v>2241</v>
      </c>
      <c r="J2033" s="5" t="s">
        <v>2242</v>
      </c>
      <c r="K2033" s="5" t="s">
        <v>2243</v>
      </c>
      <c r="L2033" s="5" t="n">
        <f aca="false">IF(G2033="High",3,IF(G2033="Medium",2,1))</f>
        <v>3</v>
      </c>
    </row>
    <row r="2034" customFormat="false" ht="15" hidden="false" customHeight="true" outlineLevel="0" collapsed="false">
      <c r="A2034" s="5" t="s">
        <v>4312</v>
      </c>
      <c r="B2034" s="5" t="s">
        <v>1658</v>
      </c>
      <c r="C2034" s="5" t="s">
        <v>2259</v>
      </c>
      <c r="D2034" s="5" t="s">
        <v>2285</v>
      </c>
      <c r="E2034" s="5" t="s">
        <v>2225</v>
      </c>
      <c r="F2034" s="5" t="s">
        <v>54</v>
      </c>
      <c r="G2034" s="5" t="str">
        <f aca="false">INDEX(Risk_Matrix!$B$2:$D$4,MATCH(E2034,Risk_Matrix!$A$2:$A$4,0),MATCH(F2034,Risk_Matrix!$B$1:$D$1,0))</f>
        <v>High</v>
      </c>
      <c r="H2034" s="12" t="n">
        <v>46090</v>
      </c>
      <c r="I2034" s="5" t="s">
        <v>2264</v>
      </c>
      <c r="J2034" s="5" t="s">
        <v>4087</v>
      </c>
      <c r="K2034" s="5" t="s">
        <v>2252</v>
      </c>
      <c r="L2034" s="5" t="n">
        <f aca="false">IF(G2034="High",3,IF(G2034="Medium",2,1))</f>
        <v>3</v>
      </c>
    </row>
    <row r="2035" customFormat="false" ht="15" hidden="false" customHeight="true" outlineLevel="0" collapsed="false">
      <c r="A2035" s="5" t="s">
        <v>4313</v>
      </c>
      <c r="B2035" s="5" t="s">
        <v>1658</v>
      </c>
      <c r="C2035" s="5" t="s">
        <v>2254</v>
      </c>
      <c r="D2035" s="5" t="s">
        <v>2299</v>
      </c>
      <c r="E2035" s="5" t="s">
        <v>54</v>
      </c>
      <c r="F2035" s="5" t="s">
        <v>54</v>
      </c>
      <c r="G2035" s="5" t="str">
        <f aca="false">INDEX(Risk_Matrix!$B$2:$D$4,MATCH(E2035,Risk_Matrix!$A$2:$A$4,0),MATCH(F2035,Risk_Matrix!$B$1:$D$1,0))</f>
        <v>High</v>
      </c>
      <c r="H2035" s="12" t="n">
        <v>46056</v>
      </c>
      <c r="I2035" s="5" t="s">
        <v>2264</v>
      </c>
      <c r="J2035" s="5" t="s">
        <v>4087</v>
      </c>
      <c r="K2035" s="5" t="s">
        <v>2266</v>
      </c>
      <c r="L2035" s="5" t="n">
        <f aca="false">IF(G2035="High",3,IF(G2035="Medium",2,1))</f>
        <v>3</v>
      </c>
    </row>
    <row r="2036" customFormat="false" ht="15" hidden="false" customHeight="true" outlineLevel="0" collapsed="false">
      <c r="A2036" s="5" t="s">
        <v>4314</v>
      </c>
      <c r="B2036" s="5" t="s">
        <v>1661</v>
      </c>
      <c r="C2036" s="5" t="s">
        <v>2239</v>
      </c>
      <c r="D2036" s="5" t="s">
        <v>2240</v>
      </c>
      <c r="E2036" s="5" t="s">
        <v>54</v>
      </c>
      <c r="F2036" s="5" t="s">
        <v>54</v>
      </c>
      <c r="G2036" s="5" t="str">
        <f aca="false">INDEX(Risk_Matrix!$B$2:$D$4,MATCH(E2036,Risk_Matrix!$A$2:$A$4,0),MATCH(F2036,Risk_Matrix!$B$1:$D$1,0))</f>
        <v>High</v>
      </c>
      <c r="H2036" s="12" t="n">
        <v>46207</v>
      </c>
      <c r="I2036" s="5" t="s">
        <v>2256</v>
      </c>
      <c r="J2036" s="5" t="s">
        <v>4081</v>
      </c>
      <c r="K2036" s="5" t="s">
        <v>2276</v>
      </c>
      <c r="L2036" s="5" t="n">
        <f aca="false">IF(G2036="High",3,IF(G2036="Medium",2,1))</f>
        <v>3</v>
      </c>
    </row>
    <row r="2037" customFormat="false" ht="15" hidden="false" customHeight="true" outlineLevel="0" collapsed="false">
      <c r="A2037" s="5" t="s">
        <v>4315</v>
      </c>
      <c r="B2037" s="5" t="s">
        <v>1661</v>
      </c>
      <c r="C2037" s="5" t="s">
        <v>2245</v>
      </c>
      <c r="D2037" s="5" t="s">
        <v>2280</v>
      </c>
      <c r="E2037" s="5" t="s">
        <v>54</v>
      </c>
      <c r="F2037" s="5" t="s">
        <v>59</v>
      </c>
      <c r="G2037" s="5" t="str">
        <f aca="false">INDEX(Risk_Matrix!$B$2:$D$4,MATCH(E2037,Risk_Matrix!$A$2:$A$4,0),MATCH(F2037,Risk_Matrix!$B$1:$D$1,0))</f>
        <v>Medium</v>
      </c>
      <c r="H2037" s="12" t="n">
        <v>46136</v>
      </c>
      <c r="I2037" s="5" t="s">
        <v>2256</v>
      </c>
      <c r="J2037" s="5" t="s">
        <v>4081</v>
      </c>
      <c r="K2037" s="5" t="s">
        <v>2243</v>
      </c>
      <c r="L2037" s="5" t="n">
        <f aca="false">IF(G2037="High",3,IF(G2037="Medium",2,1))</f>
        <v>2</v>
      </c>
    </row>
    <row r="2038" customFormat="false" ht="15" hidden="false" customHeight="true" outlineLevel="0" collapsed="false">
      <c r="A2038" s="5" t="s">
        <v>4316</v>
      </c>
      <c r="B2038" s="5" t="s">
        <v>1661</v>
      </c>
      <c r="C2038" s="5" t="s">
        <v>2248</v>
      </c>
      <c r="D2038" s="5" t="s">
        <v>2306</v>
      </c>
      <c r="E2038" s="5" t="s">
        <v>54</v>
      </c>
      <c r="F2038" s="5" t="s">
        <v>2225</v>
      </c>
      <c r="G2038" s="5" t="str">
        <f aca="false">INDEX(Risk_Matrix!$B$2:$D$4,MATCH(E2038,Risk_Matrix!$A$2:$A$4,0),MATCH(F2038,Risk_Matrix!$B$1:$D$1,0))</f>
        <v>High</v>
      </c>
      <c r="H2038" s="12" t="n">
        <v>46105</v>
      </c>
      <c r="I2038" s="5" t="s">
        <v>2256</v>
      </c>
      <c r="J2038" s="5" t="s">
        <v>4081</v>
      </c>
      <c r="K2038" s="5" t="s">
        <v>2283</v>
      </c>
      <c r="L2038" s="5" t="n">
        <f aca="false">IF(G2038="High",3,IF(G2038="Medium",2,1))</f>
        <v>3</v>
      </c>
    </row>
    <row r="2039" customFormat="false" ht="15" hidden="false" customHeight="true" outlineLevel="0" collapsed="false">
      <c r="A2039" s="5" t="s">
        <v>4317</v>
      </c>
      <c r="B2039" s="5" t="s">
        <v>1661</v>
      </c>
      <c r="C2039" s="5" t="s">
        <v>2262</v>
      </c>
      <c r="D2039" s="5" t="s">
        <v>2263</v>
      </c>
      <c r="E2039" s="5" t="s">
        <v>2225</v>
      </c>
      <c r="F2039" s="5" t="s">
        <v>54</v>
      </c>
      <c r="G2039" s="5" t="str">
        <f aca="false">INDEX(Risk_Matrix!$B$2:$D$4,MATCH(E2039,Risk_Matrix!$A$2:$A$4,0),MATCH(F2039,Risk_Matrix!$B$1:$D$1,0))</f>
        <v>High</v>
      </c>
      <c r="H2039" s="12" t="n">
        <v>46189</v>
      </c>
      <c r="I2039" s="5" t="s">
        <v>2241</v>
      </c>
      <c r="J2039" s="5" t="s">
        <v>2242</v>
      </c>
      <c r="K2039" s="5" t="s">
        <v>2266</v>
      </c>
      <c r="L2039" s="5" t="n">
        <f aca="false">IF(G2039="High",3,IF(G2039="Medium",2,1))</f>
        <v>3</v>
      </c>
    </row>
    <row r="2040" customFormat="false" ht="15" hidden="false" customHeight="true" outlineLevel="0" collapsed="false">
      <c r="A2040" s="5" t="s">
        <v>4318</v>
      </c>
      <c r="B2040" s="5" t="s">
        <v>1661</v>
      </c>
      <c r="C2040" s="5" t="s">
        <v>2259</v>
      </c>
      <c r="D2040" s="5" t="s">
        <v>2285</v>
      </c>
      <c r="E2040" s="5" t="s">
        <v>2225</v>
      </c>
      <c r="F2040" s="5" t="s">
        <v>59</v>
      </c>
      <c r="G2040" s="5" t="str">
        <f aca="false">INDEX(Risk_Matrix!$B$2:$D$4,MATCH(E2040,Risk_Matrix!$A$2:$A$4,0),MATCH(F2040,Risk_Matrix!$B$1:$D$1,0))</f>
        <v>Low</v>
      </c>
      <c r="H2040" s="12" t="n">
        <v>46218</v>
      </c>
      <c r="I2040" s="5" t="s">
        <v>2250</v>
      </c>
      <c r="J2040" s="5" t="s">
        <v>2251</v>
      </c>
      <c r="K2040" s="5" t="s">
        <v>2243</v>
      </c>
      <c r="L2040" s="5" t="n">
        <f aca="false">IF(G2040="High",3,IF(G2040="Medium",2,1))</f>
        <v>1</v>
      </c>
    </row>
    <row r="2041" customFormat="false" ht="15" hidden="false" customHeight="true" outlineLevel="0" collapsed="false">
      <c r="A2041" s="5" t="s">
        <v>4319</v>
      </c>
      <c r="B2041" s="5" t="s">
        <v>1661</v>
      </c>
      <c r="C2041" s="5" t="s">
        <v>2254</v>
      </c>
      <c r="D2041" s="5" t="s">
        <v>2255</v>
      </c>
      <c r="E2041" s="5" t="s">
        <v>54</v>
      </c>
      <c r="F2041" s="5" t="s">
        <v>2225</v>
      </c>
      <c r="G2041" s="5" t="str">
        <f aca="false">INDEX(Risk_Matrix!$B$2:$D$4,MATCH(E2041,Risk_Matrix!$A$2:$A$4,0),MATCH(F2041,Risk_Matrix!$B$1:$D$1,0))</f>
        <v>High</v>
      </c>
      <c r="H2041" s="12" t="n">
        <v>46235</v>
      </c>
      <c r="I2041" s="5" t="s">
        <v>2241</v>
      </c>
      <c r="J2041" s="5" t="s">
        <v>2242</v>
      </c>
      <c r="K2041" s="5" t="s">
        <v>2243</v>
      </c>
      <c r="L2041" s="5" t="n">
        <f aca="false">IF(G2041="High",3,IF(G2041="Medium",2,1))</f>
        <v>3</v>
      </c>
    </row>
    <row r="2042" customFormat="false" ht="15" hidden="false" customHeight="true" outlineLevel="0" collapsed="false">
      <c r="A2042" s="5" t="s">
        <v>4320</v>
      </c>
      <c r="B2042" s="5" t="s">
        <v>1663</v>
      </c>
      <c r="C2042" s="5" t="s">
        <v>2239</v>
      </c>
      <c r="D2042" s="5" t="s">
        <v>2303</v>
      </c>
      <c r="E2042" s="5" t="s">
        <v>59</v>
      </c>
      <c r="F2042" s="5" t="s">
        <v>59</v>
      </c>
      <c r="G2042" s="5" t="str">
        <f aca="false">INDEX(Risk_Matrix!$B$2:$D$4,MATCH(E2042,Risk_Matrix!$A$2:$A$4,0),MATCH(F2042,Risk_Matrix!$B$1:$D$1,0))</f>
        <v>Low</v>
      </c>
      <c r="H2042" s="12" t="n">
        <v>46161</v>
      </c>
      <c r="I2042" s="5" t="s">
        <v>2241</v>
      </c>
      <c r="J2042" s="5" t="s">
        <v>2242</v>
      </c>
      <c r="K2042" s="5" t="s">
        <v>2276</v>
      </c>
      <c r="L2042" s="5" t="n">
        <f aca="false">IF(G2042="High",3,IF(G2042="Medium",2,1))</f>
        <v>1</v>
      </c>
    </row>
    <row r="2043" customFormat="false" ht="15" hidden="false" customHeight="true" outlineLevel="0" collapsed="false">
      <c r="A2043" s="5" t="s">
        <v>4321</v>
      </c>
      <c r="B2043" s="5" t="s">
        <v>1663</v>
      </c>
      <c r="C2043" s="5" t="s">
        <v>2245</v>
      </c>
      <c r="D2043" s="5" t="s">
        <v>2269</v>
      </c>
      <c r="E2043" s="5" t="s">
        <v>54</v>
      </c>
      <c r="F2043" s="5" t="s">
        <v>2225</v>
      </c>
      <c r="G2043" s="5" t="str">
        <f aca="false">INDEX(Risk_Matrix!$B$2:$D$4,MATCH(E2043,Risk_Matrix!$A$2:$A$4,0),MATCH(F2043,Risk_Matrix!$B$1:$D$1,0))</f>
        <v>High</v>
      </c>
      <c r="H2043" s="12" t="n">
        <v>46072</v>
      </c>
      <c r="I2043" s="5" t="s">
        <v>2256</v>
      </c>
      <c r="J2043" s="5" t="s">
        <v>4081</v>
      </c>
      <c r="K2043" s="5" t="s">
        <v>2243</v>
      </c>
      <c r="L2043" s="5" t="n">
        <f aca="false">IF(G2043="High",3,IF(G2043="Medium",2,1))</f>
        <v>3</v>
      </c>
    </row>
    <row r="2044" customFormat="false" ht="15" hidden="false" customHeight="true" outlineLevel="0" collapsed="false">
      <c r="A2044" s="5" t="s">
        <v>4322</v>
      </c>
      <c r="B2044" s="5" t="s">
        <v>1663</v>
      </c>
      <c r="C2044" s="5" t="s">
        <v>2248</v>
      </c>
      <c r="D2044" s="5" t="s">
        <v>2306</v>
      </c>
      <c r="E2044" s="5" t="s">
        <v>59</v>
      </c>
      <c r="F2044" s="5" t="s">
        <v>54</v>
      </c>
      <c r="G2044" s="5" t="str">
        <f aca="false">INDEX(Risk_Matrix!$B$2:$D$4,MATCH(E2044,Risk_Matrix!$A$2:$A$4,0),MATCH(F2044,Risk_Matrix!$B$1:$D$1,0))</f>
        <v>Medium</v>
      </c>
      <c r="H2044" s="12" t="n">
        <v>46151</v>
      </c>
      <c r="I2044" s="5" t="s">
        <v>2264</v>
      </c>
      <c r="J2044" s="5" t="s">
        <v>4087</v>
      </c>
      <c r="K2044" s="5" t="s">
        <v>2243</v>
      </c>
      <c r="L2044" s="5" t="n">
        <f aca="false">IF(G2044="High",3,IF(G2044="Medium",2,1))</f>
        <v>2</v>
      </c>
    </row>
    <row r="2045" customFormat="false" ht="15" hidden="false" customHeight="true" outlineLevel="0" collapsed="false">
      <c r="A2045" s="5" t="s">
        <v>4323</v>
      </c>
      <c r="B2045" s="5" t="s">
        <v>1663</v>
      </c>
      <c r="C2045" s="5" t="s">
        <v>2262</v>
      </c>
      <c r="D2045" s="5" t="s">
        <v>2311</v>
      </c>
      <c r="E2045" s="5" t="s">
        <v>54</v>
      </c>
      <c r="F2045" s="5" t="s">
        <v>59</v>
      </c>
      <c r="G2045" s="5" t="str">
        <f aca="false">INDEX(Risk_Matrix!$B$2:$D$4,MATCH(E2045,Risk_Matrix!$A$2:$A$4,0),MATCH(F2045,Risk_Matrix!$B$1:$D$1,0))</f>
        <v>Medium</v>
      </c>
      <c r="H2045" s="12" t="n">
        <v>46235</v>
      </c>
      <c r="I2045" s="5" t="s">
        <v>2256</v>
      </c>
      <c r="J2045" s="5" t="s">
        <v>4081</v>
      </c>
      <c r="K2045" s="5" t="s">
        <v>2283</v>
      </c>
      <c r="L2045" s="5" t="n">
        <f aca="false">IF(G2045="High",3,IF(G2045="Medium",2,1))</f>
        <v>2</v>
      </c>
    </row>
    <row r="2046" customFormat="false" ht="15" hidden="false" customHeight="true" outlineLevel="0" collapsed="false">
      <c r="A2046" s="5" t="s">
        <v>4324</v>
      </c>
      <c r="B2046" s="5" t="s">
        <v>1663</v>
      </c>
      <c r="C2046" s="5" t="s">
        <v>2259</v>
      </c>
      <c r="D2046" s="5" t="s">
        <v>2260</v>
      </c>
      <c r="E2046" s="5" t="s">
        <v>59</v>
      </c>
      <c r="F2046" s="5" t="s">
        <v>59</v>
      </c>
      <c r="G2046" s="5" t="str">
        <f aca="false">INDEX(Risk_Matrix!$B$2:$D$4,MATCH(E2046,Risk_Matrix!$A$2:$A$4,0),MATCH(F2046,Risk_Matrix!$B$1:$D$1,0))</f>
        <v>Low</v>
      </c>
      <c r="H2046" s="12" t="n">
        <v>46234</v>
      </c>
      <c r="I2046" s="5" t="s">
        <v>2241</v>
      </c>
      <c r="J2046" s="5" t="s">
        <v>2242</v>
      </c>
      <c r="K2046" s="5" t="s">
        <v>2243</v>
      </c>
      <c r="L2046" s="5" t="n">
        <f aca="false">IF(G2046="High",3,IF(G2046="Medium",2,1))</f>
        <v>1</v>
      </c>
    </row>
    <row r="2047" customFormat="false" ht="15" hidden="false" customHeight="true" outlineLevel="0" collapsed="false">
      <c r="A2047" s="5" t="s">
        <v>4325</v>
      </c>
      <c r="B2047" s="5" t="s">
        <v>1663</v>
      </c>
      <c r="C2047" s="5" t="s">
        <v>2254</v>
      </c>
      <c r="D2047" s="5" t="s">
        <v>2308</v>
      </c>
      <c r="E2047" s="5" t="s">
        <v>2225</v>
      </c>
      <c r="F2047" s="5" t="s">
        <v>2225</v>
      </c>
      <c r="G2047" s="5" t="str">
        <f aca="false">INDEX(Risk_Matrix!$B$2:$D$4,MATCH(E2047,Risk_Matrix!$A$2:$A$4,0),MATCH(F2047,Risk_Matrix!$B$1:$D$1,0))</f>
        <v>Medium</v>
      </c>
      <c r="H2047" s="12" t="n">
        <v>46054</v>
      </c>
      <c r="I2047" s="5" t="s">
        <v>2256</v>
      </c>
      <c r="J2047" s="5" t="s">
        <v>4081</v>
      </c>
      <c r="K2047" s="5" t="s">
        <v>2283</v>
      </c>
      <c r="L2047" s="5" t="n">
        <f aca="false">IF(G2047="High",3,IF(G2047="Medium",2,1))</f>
        <v>2</v>
      </c>
    </row>
    <row r="2048" customFormat="false" ht="15" hidden="false" customHeight="true" outlineLevel="0" collapsed="false">
      <c r="A2048" s="5" t="s">
        <v>4326</v>
      </c>
      <c r="B2048" s="5" t="s">
        <v>1665</v>
      </c>
      <c r="C2048" s="5" t="s">
        <v>2239</v>
      </c>
      <c r="D2048" s="5" t="s">
        <v>2278</v>
      </c>
      <c r="E2048" s="5" t="s">
        <v>59</v>
      </c>
      <c r="F2048" s="5" t="s">
        <v>2225</v>
      </c>
      <c r="G2048" s="5" t="str">
        <f aca="false">INDEX(Risk_Matrix!$B$2:$D$4,MATCH(E2048,Risk_Matrix!$A$2:$A$4,0),MATCH(F2048,Risk_Matrix!$B$1:$D$1,0))</f>
        <v>Low</v>
      </c>
      <c r="H2048" s="12" t="n">
        <v>46058</v>
      </c>
      <c r="I2048" s="5" t="s">
        <v>2241</v>
      </c>
      <c r="J2048" s="5" t="s">
        <v>2242</v>
      </c>
      <c r="K2048" s="5" t="s">
        <v>2276</v>
      </c>
      <c r="L2048" s="5" t="n">
        <f aca="false">IF(G2048="High",3,IF(G2048="Medium",2,1))</f>
        <v>1</v>
      </c>
    </row>
    <row r="2049" customFormat="false" ht="15" hidden="false" customHeight="true" outlineLevel="0" collapsed="false">
      <c r="A2049" s="5" t="s">
        <v>4327</v>
      </c>
      <c r="B2049" s="5" t="s">
        <v>1665</v>
      </c>
      <c r="C2049" s="5" t="s">
        <v>2245</v>
      </c>
      <c r="D2049" s="5" t="s">
        <v>2320</v>
      </c>
      <c r="E2049" s="5" t="s">
        <v>59</v>
      </c>
      <c r="F2049" s="5" t="s">
        <v>2225</v>
      </c>
      <c r="G2049" s="5" t="str">
        <f aca="false">INDEX(Risk_Matrix!$B$2:$D$4,MATCH(E2049,Risk_Matrix!$A$2:$A$4,0),MATCH(F2049,Risk_Matrix!$B$1:$D$1,0))</f>
        <v>Low</v>
      </c>
      <c r="H2049" s="12" t="n">
        <v>46087</v>
      </c>
      <c r="I2049" s="5" t="s">
        <v>2241</v>
      </c>
      <c r="J2049" s="5" t="s">
        <v>2242</v>
      </c>
      <c r="K2049" s="5" t="s">
        <v>2283</v>
      </c>
      <c r="L2049" s="5" t="n">
        <f aca="false">IF(G2049="High",3,IF(G2049="Medium",2,1))</f>
        <v>1</v>
      </c>
    </row>
    <row r="2050" customFormat="false" ht="15" hidden="false" customHeight="true" outlineLevel="0" collapsed="false">
      <c r="A2050" s="5" t="s">
        <v>4328</v>
      </c>
      <c r="B2050" s="5" t="s">
        <v>1665</v>
      </c>
      <c r="C2050" s="5" t="s">
        <v>2248</v>
      </c>
      <c r="D2050" s="5" t="s">
        <v>2249</v>
      </c>
      <c r="E2050" s="5" t="s">
        <v>2225</v>
      </c>
      <c r="F2050" s="5" t="s">
        <v>54</v>
      </c>
      <c r="G2050" s="5" t="str">
        <f aca="false">INDEX(Risk_Matrix!$B$2:$D$4,MATCH(E2050,Risk_Matrix!$A$2:$A$4,0),MATCH(F2050,Risk_Matrix!$B$1:$D$1,0))</f>
        <v>High</v>
      </c>
      <c r="H2050" s="12" t="n">
        <v>46042</v>
      </c>
      <c r="I2050" s="5" t="s">
        <v>2241</v>
      </c>
      <c r="J2050" s="5" t="s">
        <v>2242</v>
      </c>
      <c r="K2050" s="5" t="s">
        <v>2266</v>
      </c>
      <c r="L2050" s="5" t="n">
        <f aca="false">IF(G2050="High",3,IF(G2050="Medium",2,1))</f>
        <v>3</v>
      </c>
    </row>
    <row r="2051" customFormat="false" ht="15" hidden="false" customHeight="true" outlineLevel="0" collapsed="false">
      <c r="A2051" s="5" t="s">
        <v>4329</v>
      </c>
      <c r="B2051" s="5" t="s">
        <v>1665</v>
      </c>
      <c r="C2051" s="5" t="s">
        <v>2262</v>
      </c>
      <c r="D2051" s="5" t="s">
        <v>2287</v>
      </c>
      <c r="E2051" s="5" t="s">
        <v>59</v>
      </c>
      <c r="F2051" s="5" t="s">
        <v>54</v>
      </c>
      <c r="G2051" s="5" t="str">
        <f aca="false">INDEX(Risk_Matrix!$B$2:$D$4,MATCH(E2051,Risk_Matrix!$A$2:$A$4,0),MATCH(F2051,Risk_Matrix!$B$1:$D$1,0))</f>
        <v>Medium</v>
      </c>
      <c r="H2051" s="12" t="n">
        <v>46081</v>
      </c>
      <c r="I2051" s="5" t="s">
        <v>2241</v>
      </c>
      <c r="J2051" s="5" t="s">
        <v>2242</v>
      </c>
      <c r="K2051" s="5" t="s">
        <v>2266</v>
      </c>
      <c r="L2051" s="5" t="n">
        <f aca="false">IF(G2051="High",3,IF(G2051="Medium",2,1))</f>
        <v>2</v>
      </c>
    </row>
    <row r="2052" customFormat="false" ht="15" hidden="false" customHeight="true" outlineLevel="0" collapsed="false">
      <c r="A2052" s="5" t="s">
        <v>4330</v>
      </c>
      <c r="B2052" s="5" t="s">
        <v>1665</v>
      </c>
      <c r="C2052" s="5" t="s">
        <v>2259</v>
      </c>
      <c r="D2052" s="5" t="s">
        <v>2285</v>
      </c>
      <c r="E2052" s="5" t="s">
        <v>59</v>
      </c>
      <c r="F2052" s="5" t="s">
        <v>2225</v>
      </c>
      <c r="G2052" s="5" t="str">
        <f aca="false">INDEX(Risk_Matrix!$B$2:$D$4,MATCH(E2052,Risk_Matrix!$A$2:$A$4,0),MATCH(F2052,Risk_Matrix!$B$1:$D$1,0))</f>
        <v>Low</v>
      </c>
      <c r="H2052" s="12" t="n">
        <v>46148</v>
      </c>
      <c r="I2052" s="5" t="s">
        <v>2250</v>
      </c>
      <c r="J2052" s="5" t="s">
        <v>2251</v>
      </c>
      <c r="K2052" s="5" t="s">
        <v>2276</v>
      </c>
      <c r="L2052" s="5" t="n">
        <f aca="false">IF(G2052="High",3,IF(G2052="Medium",2,1))</f>
        <v>1</v>
      </c>
    </row>
    <row r="2053" customFormat="false" ht="15" hidden="false" customHeight="true" outlineLevel="0" collapsed="false">
      <c r="A2053" s="5" t="s">
        <v>4331</v>
      </c>
      <c r="B2053" s="5" t="s">
        <v>1665</v>
      </c>
      <c r="C2053" s="5" t="s">
        <v>2254</v>
      </c>
      <c r="D2053" s="5" t="s">
        <v>2255</v>
      </c>
      <c r="E2053" s="5" t="s">
        <v>54</v>
      </c>
      <c r="F2053" s="5" t="s">
        <v>2225</v>
      </c>
      <c r="G2053" s="5" t="str">
        <f aca="false">INDEX(Risk_Matrix!$B$2:$D$4,MATCH(E2053,Risk_Matrix!$A$2:$A$4,0),MATCH(F2053,Risk_Matrix!$B$1:$D$1,0))</f>
        <v>High</v>
      </c>
      <c r="H2053" s="12" t="n">
        <v>46201</v>
      </c>
      <c r="I2053" s="5" t="s">
        <v>2250</v>
      </c>
      <c r="J2053" s="5" t="s">
        <v>2251</v>
      </c>
      <c r="K2053" s="5" t="s">
        <v>2252</v>
      </c>
      <c r="L2053" s="5" t="n">
        <f aca="false">IF(G2053="High",3,IF(G2053="Medium",2,1))</f>
        <v>3</v>
      </c>
    </row>
    <row r="2054" customFormat="false" ht="15" hidden="false" customHeight="true" outlineLevel="0" collapsed="false">
      <c r="A2054" s="5" t="s">
        <v>4332</v>
      </c>
      <c r="B2054" s="5" t="s">
        <v>1668</v>
      </c>
      <c r="C2054" s="5" t="s">
        <v>2239</v>
      </c>
      <c r="D2054" s="5" t="s">
        <v>2295</v>
      </c>
      <c r="E2054" s="5" t="s">
        <v>2225</v>
      </c>
      <c r="F2054" s="5" t="s">
        <v>59</v>
      </c>
      <c r="G2054" s="5" t="str">
        <f aca="false">INDEX(Risk_Matrix!$B$2:$D$4,MATCH(E2054,Risk_Matrix!$A$2:$A$4,0),MATCH(F2054,Risk_Matrix!$B$1:$D$1,0))</f>
        <v>Low</v>
      </c>
      <c r="H2054" s="12" t="n">
        <v>46123</v>
      </c>
      <c r="I2054" s="5" t="s">
        <v>2250</v>
      </c>
      <c r="J2054" s="5" t="s">
        <v>2251</v>
      </c>
      <c r="K2054" s="5" t="s">
        <v>2276</v>
      </c>
      <c r="L2054" s="5" t="n">
        <f aca="false">IF(G2054="High",3,IF(G2054="Medium",2,1))</f>
        <v>1</v>
      </c>
    </row>
    <row r="2055" customFormat="false" ht="15" hidden="false" customHeight="true" outlineLevel="0" collapsed="false">
      <c r="A2055" s="5" t="s">
        <v>4333</v>
      </c>
      <c r="B2055" s="5" t="s">
        <v>1668</v>
      </c>
      <c r="C2055" s="5" t="s">
        <v>2245</v>
      </c>
      <c r="D2055" s="5" t="s">
        <v>2280</v>
      </c>
      <c r="E2055" s="5" t="s">
        <v>2225</v>
      </c>
      <c r="F2055" s="5" t="s">
        <v>2225</v>
      </c>
      <c r="G2055" s="5" t="str">
        <f aca="false">INDEX(Risk_Matrix!$B$2:$D$4,MATCH(E2055,Risk_Matrix!$A$2:$A$4,0),MATCH(F2055,Risk_Matrix!$B$1:$D$1,0))</f>
        <v>Medium</v>
      </c>
      <c r="H2055" s="12" t="n">
        <v>46143</v>
      </c>
      <c r="I2055" s="5" t="s">
        <v>2241</v>
      </c>
      <c r="J2055" s="5" t="s">
        <v>2242</v>
      </c>
      <c r="K2055" s="5" t="s">
        <v>2266</v>
      </c>
      <c r="L2055" s="5" t="n">
        <f aca="false">IF(G2055="High",3,IF(G2055="Medium",2,1))</f>
        <v>2</v>
      </c>
    </row>
    <row r="2056" customFormat="false" ht="15" hidden="false" customHeight="true" outlineLevel="0" collapsed="false">
      <c r="A2056" s="5" t="s">
        <v>4334</v>
      </c>
      <c r="B2056" s="5" t="s">
        <v>1668</v>
      </c>
      <c r="C2056" s="5" t="s">
        <v>2248</v>
      </c>
      <c r="D2056" s="5" t="s">
        <v>2249</v>
      </c>
      <c r="E2056" s="5" t="s">
        <v>54</v>
      </c>
      <c r="F2056" s="5" t="s">
        <v>59</v>
      </c>
      <c r="G2056" s="5" t="str">
        <f aca="false">INDEX(Risk_Matrix!$B$2:$D$4,MATCH(E2056,Risk_Matrix!$A$2:$A$4,0),MATCH(F2056,Risk_Matrix!$B$1:$D$1,0))</f>
        <v>Medium</v>
      </c>
      <c r="H2056" s="12" t="n">
        <v>46058</v>
      </c>
      <c r="I2056" s="5" t="s">
        <v>2241</v>
      </c>
      <c r="J2056" s="5" t="s">
        <v>2242</v>
      </c>
      <c r="K2056" s="5" t="s">
        <v>2283</v>
      </c>
      <c r="L2056" s="5" t="n">
        <f aca="false">IF(G2056="High",3,IF(G2056="Medium",2,1))</f>
        <v>2</v>
      </c>
    </row>
    <row r="2057" customFormat="false" ht="15" hidden="false" customHeight="true" outlineLevel="0" collapsed="false">
      <c r="A2057" s="5" t="s">
        <v>4335</v>
      </c>
      <c r="B2057" s="5" t="s">
        <v>1668</v>
      </c>
      <c r="C2057" s="5" t="s">
        <v>2262</v>
      </c>
      <c r="D2057" s="5" t="s">
        <v>2263</v>
      </c>
      <c r="E2057" s="5" t="s">
        <v>2225</v>
      </c>
      <c r="F2057" s="5" t="s">
        <v>54</v>
      </c>
      <c r="G2057" s="5" t="str">
        <f aca="false">INDEX(Risk_Matrix!$B$2:$D$4,MATCH(E2057,Risk_Matrix!$A$2:$A$4,0),MATCH(F2057,Risk_Matrix!$B$1:$D$1,0))</f>
        <v>High</v>
      </c>
      <c r="H2057" s="12" t="n">
        <v>46142</v>
      </c>
      <c r="I2057" s="5" t="s">
        <v>2264</v>
      </c>
      <c r="J2057" s="5" t="s">
        <v>4087</v>
      </c>
      <c r="K2057" s="5" t="s">
        <v>2252</v>
      </c>
      <c r="L2057" s="5" t="n">
        <f aca="false">IF(G2057="High",3,IF(G2057="Medium",2,1))</f>
        <v>3</v>
      </c>
    </row>
    <row r="2058" customFormat="false" ht="15" hidden="false" customHeight="true" outlineLevel="0" collapsed="false">
      <c r="A2058" s="5" t="s">
        <v>4336</v>
      </c>
      <c r="B2058" s="5" t="s">
        <v>1668</v>
      </c>
      <c r="C2058" s="5" t="s">
        <v>2259</v>
      </c>
      <c r="D2058" s="5" t="s">
        <v>2285</v>
      </c>
      <c r="E2058" s="5" t="s">
        <v>54</v>
      </c>
      <c r="F2058" s="5" t="s">
        <v>54</v>
      </c>
      <c r="G2058" s="5" t="str">
        <f aca="false">INDEX(Risk_Matrix!$B$2:$D$4,MATCH(E2058,Risk_Matrix!$A$2:$A$4,0),MATCH(F2058,Risk_Matrix!$B$1:$D$1,0))</f>
        <v>High</v>
      </c>
      <c r="H2058" s="12" t="n">
        <v>46132</v>
      </c>
      <c r="I2058" s="5" t="s">
        <v>2256</v>
      </c>
      <c r="J2058" s="5" t="s">
        <v>4081</v>
      </c>
      <c r="K2058" s="5" t="s">
        <v>2283</v>
      </c>
      <c r="L2058" s="5" t="n">
        <f aca="false">IF(G2058="High",3,IF(G2058="Medium",2,1))</f>
        <v>3</v>
      </c>
    </row>
    <row r="2059" customFormat="false" ht="15" hidden="false" customHeight="true" outlineLevel="0" collapsed="false">
      <c r="A2059" s="5" t="s">
        <v>4337</v>
      </c>
      <c r="B2059" s="5" t="s">
        <v>1668</v>
      </c>
      <c r="C2059" s="5" t="s">
        <v>2254</v>
      </c>
      <c r="D2059" s="5" t="s">
        <v>2299</v>
      </c>
      <c r="E2059" s="5" t="s">
        <v>59</v>
      </c>
      <c r="F2059" s="5" t="s">
        <v>59</v>
      </c>
      <c r="G2059" s="5" t="str">
        <f aca="false">INDEX(Risk_Matrix!$B$2:$D$4,MATCH(E2059,Risk_Matrix!$A$2:$A$4,0),MATCH(F2059,Risk_Matrix!$B$1:$D$1,0))</f>
        <v>Low</v>
      </c>
      <c r="H2059" s="12" t="n">
        <v>46189</v>
      </c>
      <c r="I2059" s="5" t="s">
        <v>2250</v>
      </c>
      <c r="J2059" s="5" t="s">
        <v>2251</v>
      </c>
      <c r="K2059" s="5" t="s">
        <v>2266</v>
      </c>
      <c r="L2059" s="5" t="n">
        <f aca="false">IF(G2059="High",3,IF(G2059="Medium",2,1))</f>
        <v>1</v>
      </c>
    </row>
    <row r="2060" customFormat="false" ht="15" hidden="false" customHeight="true" outlineLevel="0" collapsed="false">
      <c r="A2060" s="5" t="s">
        <v>4338</v>
      </c>
      <c r="B2060" s="5" t="s">
        <v>1670</v>
      </c>
      <c r="C2060" s="5" t="s">
        <v>2239</v>
      </c>
      <c r="D2060" s="5" t="s">
        <v>2295</v>
      </c>
      <c r="E2060" s="5" t="s">
        <v>59</v>
      </c>
      <c r="F2060" s="5" t="s">
        <v>54</v>
      </c>
      <c r="G2060" s="5" t="str">
        <f aca="false">INDEX(Risk_Matrix!$B$2:$D$4,MATCH(E2060,Risk_Matrix!$A$2:$A$4,0),MATCH(F2060,Risk_Matrix!$B$1:$D$1,0))</f>
        <v>Medium</v>
      </c>
      <c r="H2060" s="12" t="n">
        <v>46086</v>
      </c>
      <c r="I2060" s="5" t="s">
        <v>2250</v>
      </c>
      <c r="J2060" s="5" t="s">
        <v>2251</v>
      </c>
      <c r="K2060" s="5" t="s">
        <v>2276</v>
      </c>
      <c r="L2060" s="5" t="n">
        <f aca="false">IF(G2060="High",3,IF(G2060="Medium",2,1))</f>
        <v>2</v>
      </c>
    </row>
    <row r="2061" customFormat="false" ht="15" hidden="false" customHeight="true" outlineLevel="0" collapsed="false">
      <c r="A2061" s="5" t="s">
        <v>4339</v>
      </c>
      <c r="B2061" s="5" t="s">
        <v>1670</v>
      </c>
      <c r="C2061" s="5" t="s">
        <v>2245</v>
      </c>
      <c r="D2061" s="5" t="s">
        <v>2269</v>
      </c>
      <c r="E2061" s="5" t="s">
        <v>2225</v>
      </c>
      <c r="F2061" s="5" t="s">
        <v>54</v>
      </c>
      <c r="G2061" s="5" t="str">
        <f aca="false">INDEX(Risk_Matrix!$B$2:$D$4,MATCH(E2061,Risk_Matrix!$A$2:$A$4,0),MATCH(F2061,Risk_Matrix!$B$1:$D$1,0))</f>
        <v>High</v>
      </c>
      <c r="H2061" s="12" t="n">
        <v>46136</v>
      </c>
      <c r="I2061" s="5" t="s">
        <v>2241</v>
      </c>
      <c r="J2061" s="5" t="s">
        <v>2242</v>
      </c>
      <c r="K2061" s="5" t="s">
        <v>2252</v>
      </c>
      <c r="L2061" s="5" t="n">
        <f aca="false">IF(G2061="High",3,IF(G2061="Medium",2,1))</f>
        <v>3</v>
      </c>
    </row>
    <row r="2062" customFormat="false" ht="15" hidden="false" customHeight="true" outlineLevel="0" collapsed="false">
      <c r="A2062" s="5" t="s">
        <v>4340</v>
      </c>
      <c r="B2062" s="5" t="s">
        <v>1670</v>
      </c>
      <c r="C2062" s="5" t="s">
        <v>2248</v>
      </c>
      <c r="D2062" s="5" t="s">
        <v>2249</v>
      </c>
      <c r="E2062" s="5" t="s">
        <v>54</v>
      </c>
      <c r="F2062" s="5" t="s">
        <v>54</v>
      </c>
      <c r="G2062" s="5" t="str">
        <f aca="false">INDEX(Risk_Matrix!$B$2:$D$4,MATCH(E2062,Risk_Matrix!$A$2:$A$4,0),MATCH(F2062,Risk_Matrix!$B$1:$D$1,0))</f>
        <v>High</v>
      </c>
      <c r="H2062" s="12" t="n">
        <v>46102</v>
      </c>
      <c r="I2062" s="5" t="s">
        <v>2241</v>
      </c>
      <c r="J2062" s="5" t="s">
        <v>2242</v>
      </c>
      <c r="K2062" s="5" t="s">
        <v>2276</v>
      </c>
      <c r="L2062" s="5" t="n">
        <f aca="false">IF(G2062="High",3,IF(G2062="Medium",2,1))</f>
        <v>3</v>
      </c>
    </row>
    <row r="2063" customFormat="false" ht="15" hidden="false" customHeight="true" outlineLevel="0" collapsed="false">
      <c r="A2063" s="5" t="s">
        <v>4341</v>
      </c>
      <c r="B2063" s="5" t="s">
        <v>1670</v>
      </c>
      <c r="C2063" s="5" t="s">
        <v>2262</v>
      </c>
      <c r="D2063" s="5" t="s">
        <v>2263</v>
      </c>
      <c r="E2063" s="5" t="s">
        <v>59</v>
      </c>
      <c r="F2063" s="5" t="s">
        <v>54</v>
      </c>
      <c r="G2063" s="5" t="str">
        <f aca="false">INDEX(Risk_Matrix!$B$2:$D$4,MATCH(E2063,Risk_Matrix!$A$2:$A$4,0),MATCH(F2063,Risk_Matrix!$B$1:$D$1,0))</f>
        <v>Medium</v>
      </c>
      <c r="H2063" s="12" t="n">
        <v>46173</v>
      </c>
      <c r="I2063" s="5" t="s">
        <v>2264</v>
      </c>
      <c r="J2063" s="5" t="s">
        <v>4087</v>
      </c>
      <c r="K2063" s="5" t="s">
        <v>2283</v>
      </c>
      <c r="L2063" s="5" t="n">
        <f aca="false">IF(G2063="High",3,IF(G2063="Medium",2,1))</f>
        <v>2</v>
      </c>
    </row>
    <row r="2064" customFormat="false" ht="15" hidden="false" customHeight="true" outlineLevel="0" collapsed="false">
      <c r="A2064" s="5" t="s">
        <v>4342</v>
      </c>
      <c r="B2064" s="5" t="s">
        <v>1670</v>
      </c>
      <c r="C2064" s="5" t="s">
        <v>2259</v>
      </c>
      <c r="D2064" s="5" t="s">
        <v>2285</v>
      </c>
      <c r="E2064" s="5" t="s">
        <v>54</v>
      </c>
      <c r="F2064" s="5" t="s">
        <v>59</v>
      </c>
      <c r="G2064" s="5" t="str">
        <f aca="false">INDEX(Risk_Matrix!$B$2:$D$4,MATCH(E2064,Risk_Matrix!$A$2:$A$4,0),MATCH(F2064,Risk_Matrix!$B$1:$D$1,0))</f>
        <v>Medium</v>
      </c>
      <c r="H2064" s="12" t="n">
        <v>46230</v>
      </c>
      <c r="I2064" s="5" t="s">
        <v>2264</v>
      </c>
      <c r="J2064" s="5" t="s">
        <v>4087</v>
      </c>
      <c r="K2064" s="5" t="s">
        <v>2276</v>
      </c>
      <c r="L2064" s="5" t="n">
        <f aca="false">IF(G2064="High",3,IF(G2064="Medium",2,1))</f>
        <v>2</v>
      </c>
    </row>
    <row r="2065" customFormat="false" ht="15" hidden="false" customHeight="true" outlineLevel="0" collapsed="false">
      <c r="A2065" s="5" t="s">
        <v>4343</v>
      </c>
      <c r="B2065" s="5" t="s">
        <v>1670</v>
      </c>
      <c r="C2065" s="5" t="s">
        <v>2254</v>
      </c>
      <c r="D2065" s="5" t="s">
        <v>2308</v>
      </c>
      <c r="E2065" s="5" t="s">
        <v>2225</v>
      </c>
      <c r="F2065" s="5" t="s">
        <v>54</v>
      </c>
      <c r="G2065" s="5" t="str">
        <f aca="false">INDEX(Risk_Matrix!$B$2:$D$4,MATCH(E2065,Risk_Matrix!$A$2:$A$4,0),MATCH(F2065,Risk_Matrix!$B$1:$D$1,0))</f>
        <v>High</v>
      </c>
      <c r="H2065" s="12" t="n">
        <v>46141</v>
      </c>
      <c r="I2065" s="5" t="s">
        <v>2256</v>
      </c>
      <c r="J2065" s="5" t="s">
        <v>4081</v>
      </c>
      <c r="K2065" s="5" t="s">
        <v>2243</v>
      </c>
      <c r="L2065" s="5" t="n">
        <f aca="false">IF(G2065="High",3,IF(G2065="Medium",2,1))</f>
        <v>3</v>
      </c>
    </row>
    <row r="2066" customFormat="false" ht="15" hidden="false" customHeight="true" outlineLevel="0" collapsed="false">
      <c r="A2066" s="5" t="s">
        <v>4344</v>
      </c>
      <c r="B2066" s="5" t="s">
        <v>1672</v>
      </c>
      <c r="C2066" s="5" t="s">
        <v>2239</v>
      </c>
      <c r="D2066" s="5" t="s">
        <v>2240</v>
      </c>
      <c r="E2066" s="5" t="s">
        <v>2225</v>
      </c>
      <c r="F2066" s="5" t="s">
        <v>54</v>
      </c>
      <c r="G2066" s="5" t="str">
        <f aca="false">INDEX(Risk_Matrix!$B$2:$D$4,MATCH(E2066,Risk_Matrix!$A$2:$A$4,0),MATCH(F2066,Risk_Matrix!$B$1:$D$1,0))</f>
        <v>High</v>
      </c>
      <c r="H2066" s="12" t="n">
        <v>46081</v>
      </c>
      <c r="I2066" s="5" t="s">
        <v>2264</v>
      </c>
      <c r="J2066" s="5" t="s">
        <v>4087</v>
      </c>
      <c r="K2066" s="5" t="s">
        <v>2243</v>
      </c>
      <c r="L2066" s="5" t="n">
        <f aca="false">IF(G2066="High",3,IF(G2066="Medium",2,1))</f>
        <v>3</v>
      </c>
    </row>
    <row r="2067" customFormat="false" ht="15" hidden="false" customHeight="true" outlineLevel="0" collapsed="false">
      <c r="A2067" s="5" t="s">
        <v>4345</v>
      </c>
      <c r="B2067" s="5" t="s">
        <v>1672</v>
      </c>
      <c r="C2067" s="5" t="s">
        <v>2245</v>
      </c>
      <c r="D2067" s="5" t="s">
        <v>2246</v>
      </c>
      <c r="E2067" s="5" t="s">
        <v>54</v>
      </c>
      <c r="F2067" s="5" t="s">
        <v>54</v>
      </c>
      <c r="G2067" s="5" t="str">
        <f aca="false">INDEX(Risk_Matrix!$B$2:$D$4,MATCH(E2067,Risk_Matrix!$A$2:$A$4,0),MATCH(F2067,Risk_Matrix!$B$1:$D$1,0))</f>
        <v>High</v>
      </c>
      <c r="H2067" s="12" t="n">
        <v>46138</v>
      </c>
      <c r="I2067" s="5" t="s">
        <v>2241</v>
      </c>
      <c r="J2067" s="5" t="s">
        <v>2242</v>
      </c>
      <c r="K2067" s="5" t="s">
        <v>2266</v>
      </c>
      <c r="L2067" s="5" t="n">
        <f aca="false">IF(G2067="High",3,IF(G2067="Medium",2,1))</f>
        <v>3</v>
      </c>
    </row>
    <row r="2068" customFormat="false" ht="15" hidden="false" customHeight="true" outlineLevel="0" collapsed="false">
      <c r="A2068" s="5" t="s">
        <v>4346</v>
      </c>
      <c r="B2068" s="5" t="s">
        <v>1672</v>
      </c>
      <c r="C2068" s="5" t="s">
        <v>2248</v>
      </c>
      <c r="D2068" s="5" t="s">
        <v>2271</v>
      </c>
      <c r="E2068" s="5" t="s">
        <v>59</v>
      </c>
      <c r="F2068" s="5" t="s">
        <v>2225</v>
      </c>
      <c r="G2068" s="5" t="str">
        <f aca="false">INDEX(Risk_Matrix!$B$2:$D$4,MATCH(E2068,Risk_Matrix!$A$2:$A$4,0),MATCH(F2068,Risk_Matrix!$B$1:$D$1,0))</f>
        <v>Low</v>
      </c>
      <c r="H2068" s="12" t="n">
        <v>46083</v>
      </c>
      <c r="I2068" s="5" t="s">
        <v>2256</v>
      </c>
      <c r="J2068" s="5" t="s">
        <v>4081</v>
      </c>
      <c r="K2068" s="5" t="s">
        <v>2252</v>
      </c>
      <c r="L2068" s="5" t="n">
        <f aca="false">IF(G2068="High",3,IF(G2068="Medium",2,1))</f>
        <v>1</v>
      </c>
    </row>
    <row r="2069" customFormat="false" ht="15" hidden="false" customHeight="true" outlineLevel="0" collapsed="false">
      <c r="A2069" s="5" t="s">
        <v>4347</v>
      </c>
      <c r="B2069" s="5" t="s">
        <v>1672</v>
      </c>
      <c r="C2069" s="5" t="s">
        <v>2262</v>
      </c>
      <c r="D2069" s="5" t="s">
        <v>2263</v>
      </c>
      <c r="E2069" s="5" t="s">
        <v>2225</v>
      </c>
      <c r="F2069" s="5" t="s">
        <v>54</v>
      </c>
      <c r="G2069" s="5" t="str">
        <f aca="false">INDEX(Risk_Matrix!$B$2:$D$4,MATCH(E2069,Risk_Matrix!$A$2:$A$4,0),MATCH(F2069,Risk_Matrix!$B$1:$D$1,0))</f>
        <v>High</v>
      </c>
      <c r="H2069" s="12" t="n">
        <v>46197</v>
      </c>
      <c r="I2069" s="5" t="s">
        <v>2256</v>
      </c>
      <c r="J2069" s="5" t="s">
        <v>4081</v>
      </c>
      <c r="K2069" s="5" t="s">
        <v>2266</v>
      </c>
      <c r="L2069" s="5" t="n">
        <f aca="false">IF(G2069="High",3,IF(G2069="Medium",2,1))</f>
        <v>3</v>
      </c>
    </row>
    <row r="2070" customFormat="false" ht="15" hidden="false" customHeight="true" outlineLevel="0" collapsed="false">
      <c r="A2070" s="5" t="s">
        <v>4348</v>
      </c>
      <c r="B2070" s="5" t="s">
        <v>1672</v>
      </c>
      <c r="C2070" s="5" t="s">
        <v>2259</v>
      </c>
      <c r="D2070" s="5" t="s">
        <v>2260</v>
      </c>
      <c r="E2070" s="5" t="s">
        <v>54</v>
      </c>
      <c r="F2070" s="5" t="s">
        <v>54</v>
      </c>
      <c r="G2070" s="5" t="str">
        <f aca="false">INDEX(Risk_Matrix!$B$2:$D$4,MATCH(E2070,Risk_Matrix!$A$2:$A$4,0),MATCH(F2070,Risk_Matrix!$B$1:$D$1,0))</f>
        <v>High</v>
      </c>
      <c r="H2070" s="12" t="n">
        <v>46230</v>
      </c>
      <c r="I2070" s="5" t="s">
        <v>2256</v>
      </c>
      <c r="J2070" s="5" t="s">
        <v>4081</v>
      </c>
      <c r="K2070" s="5" t="s">
        <v>2266</v>
      </c>
      <c r="L2070" s="5" t="n">
        <f aca="false">IF(G2070="High",3,IF(G2070="Medium",2,1))</f>
        <v>3</v>
      </c>
    </row>
    <row r="2071" customFormat="false" ht="15" hidden="false" customHeight="true" outlineLevel="0" collapsed="false">
      <c r="A2071" s="5" t="s">
        <v>4349</v>
      </c>
      <c r="B2071" s="5" t="s">
        <v>1672</v>
      </c>
      <c r="C2071" s="5" t="s">
        <v>2254</v>
      </c>
      <c r="D2071" s="5" t="s">
        <v>2299</v>
      </c>
      <c r="E2071" s="5" t="s">
        <v>2225</v>
      </c>
      <c r="F2071" s="5" t="s">
        <v>59</v>
      </c>
      <c r="G2071" s="5" t="str">
        <f aca="false">INDEX(Risk_Matrix!$B$2:$D$4,MATCH(E2071,Risk_Matrix!$A$2:$A$4,0),MATCH(F2071,Risk_Matrix!$B$1:$D$1,0))</f>
        <v>Low</v>
      </c>
      <c r="H2071" s="12" t="n">
        <v>46123</v>
      </c>
      <c r="I2071" s="5" t="s">
        <v>2241</v>
      </c>
      <c r="J2071" s="5" t="s">
        <v>2242</v>
      </c>
      <c r="K2071" s="5" t="s">
        <v>2252</v>
      </c>
      <c r="L2071" s="5" t="n">
        <f aca="false">IF(G2071="High",3,IF(G2071="Medium",2,1))</f>
        <v>1</v>
      </c>
    </row>
    <row r="2072" customFormat="false" ht="15" hidden="false" customHeight="true" outlineLevel="0" collapsed="false">
      <c r="A2072" s="5" t="s">
        <v>4350</v>
      </c>
      <c r="B2072" s="5" t="s">
        <v>1674</v>
      </c>
      <c r="C2072" s="5" t="s">
        <v>2239</v>
      </c>
      <c r="D2072" s="5" t="s">
        <v>2303</v>
      </c>
      <c r="E2072" s="5" t="s">
        <v>54</v>
      </c>
      <c r="F2072" s="5" t="s">
        <v>54</v>
      </c>
      <c r="G2072" s="5" t="str">
        <f aca="false">INDEX(Risk_Matrix!$B$2:$D$4,MATCH(E2072,Risk_Matrix!$A$2:$A$4,0),MATCH(F2072,Risk_Matrix!$B$1:$D$1,0))</f>
        <v>High</v>
      </c>
      <c r="H2072" s="12" t="n">
        <v>46084</v>
      </c>
      <c r="I2072" s="5" t="s">
        <v>2256</v>
      </c>
      <c r="J2072" s="5" t="s">
        <v>4081</v>
      </c>
      <c r="K2072" s="5" t="s">
        <v>2243</v>
      </c>
      <c r="L2072" s="5" t="n">
        <f aca="false">IF(G2072="High",3,IF(G2072="Medium",2,1))</f>
        <v>3</v>
      </c>
    </row>
    <row r="2073" customFormat="false" ht="15" hidden="false" customHeight="true" outlineLevel="0" collapsed="false">
      <c r="A2073" s="5" t="s">
        <v>4351</v>
      </c>
      <c r="B2073" s="5" t="s">
        <v>1674</v>
      </c>
      <c r="C2073" s="5" t="s">
        <v>2245</v>
      </c>
      <c r="D2073" s="5" t="s">
        <v>2320</v>
      </c>
      <c r="E2073" s="5" t="s">
        <v>59</v>
      </c>
      <c r="F2073" s="5" t="s">
        <v>2225</v>
      </c>
      <c r="G2073" s="5" t="str">
        <f aca="false">INDEX(Risk_Matrix!$B$2:$D$4,MATCH(E2073,Risk_Matrix!$A$2:$A$4,0),MATCH(F2073,Risk_Matrix!$B$1:$D$1,0))</f>
        <v>Low</v>
      </c>
      <c r="H2073" s="12" t="n">
        <v>46049</v>
      </c>
      <c r="I2073" s="5" t="s">
        <v>2241</v>
      </c>
      <c r="J2073" s="5" t="s">
        <v>2242</v>
      </c>
      <c r="K2073" s="5" t="s">
        <v>2266</v>
      </c>
      <c r="L2073" s="5" t="n">
        <f aca="false">IF(G2073="High",3,IF(G2073="Medium",2,1))</f>
        <v>1</v>
      </c>
    </row>
    <row r="2074" customFormat="false" ht="15" hidden="false" customHeight="true" outlineLevel="0" collapsed="false">
      <c r="A2074" s="5" t="s">
        <v>4352</v>
      </c>
      <c r="B2074" s="5" t="s">
        <v>1674</v>
      </c>
      <c r="C2074" s="5" t="s">
        <v>2248</v>
      </c>
      <c r="D2074" s="5" t="s">
        <v>2306</v>
      </c>
      <c r="E2074" s="5" t="s">
        <v>54</v>
      </c>
      <c r="F2074" s="5" t="s">
        <v>54</v>
      </c>
      <c r="G2074" s="5" t="str">
        <f aca="false">INDEX(Risk_Matrix!$B$2:$D$4,MATCH(E2074,Risk_Matrix!$A$2:$A$4,0),MATCH(F2074,Risk_Matrix!$B$1:$D$1,0))</f>
        <v>High</v>
      </c>
      <c r="H2074" s="12" t="n">
        <v>46173</v>
      </c>
      <c r="I2074" s="5" t="s">
        <v>2264</v>
      </c>
      <c r="J2074" s="5" t="s">
        <v>4087</v>
      </c>
      <c r="K2074" s="5" t="s">
        <v>2266</v>
      </c>
      <c r="L2074" s="5" t="n">
        <f aca="false">IF(G2074="High",3,IF(G2074="Medium",2,1))</f>
        <v>3</v>
      </c>
    </row>
    <row r="2075" customFormat="false" ht="15" hidden="false" customHeight="true" outlineLevel="0" collapsed="false">
      <c r="A2075" s="5" t="s">
        <v>4353</v>
      </c>
      <c r="B2075" s="5" t="s">
        <v>1674</v>
      </c>
      <c r="C2075" s="5" t="s">
        <v>2262</v>
      </c>
      <c r="D2075" s="5" t="s">
        <v>2287</v>
      </c>
      <c r="E2075" s="5" t="s">
        <v>59</v>
      </c>
      <c r="F2075" s="5" t="s">
        <v>2225</v>
      </c>
      <c r="G2075" s="5" t="str">
        <f aca="false">INDEX(Risk_Matrix!$B$2:$D$4,MATCH(E2075,Risk_Matrix!$A$2:$A$4,0),MATCH(F2075,Risk_Matrix!$B$1:$D$1,0))</f>
        <v>Low</v>
      </c>
      <c r="H2075" s="12" t="n">
        <v>46215</v>
      </c>
      <c r="I2075" s="5" t="s">
        <v>2256</v>
      </c>
      <c r="J2075" s="5" t="s">
        <v>4081</v>
      </c>
      <c r="K2075" s="5" t="s">
        <v>2283</v>
      </c>
      <c r="L2075" s="5" t="n">
        <f aca="false">IF(G2075="High",3,IF(G2075="Medium",2,1))</f>
        <v>1</v>
      </c>
    </row>
    <row r="2076" customFormat="false" ht="15" hidden="false" customHeight="true" outlineLevel="0" collapsed="false">
      <c r="A2076" s="5" t="s">
        <v>4354</v>
      </c>
      <c r="B2076" s="5" t="s">
        <v>1674</v>
      </c>
      <c r="C2076" s="5" t="s">
        <v>2259</v>
      </c>
      <c r="D2076" s="5" t="s">
        <v>2260</v>
      </c>
      <c r="E2076" s="5" t="s">
        <v>2225</v>
      </c>
      <c r="F2076" s="5" t="s">
        <v>59</v>
      </c>
      <c r="G2076" s="5" t="str">
        <f aca="false">INDEX(Risk_Matrix!$B$2:$D$4,MATCH(E2076,Risk_Matrix!$A$2:$A$4,0),MATCH(F2076,Risk_Matrix!$B$1:$D$1,0))</f>
        <v>Low</v>
      </c>
      <c r="H2076" s="12" t="n">
        <v>46135</v>
      </c>
      <c r="I2076" s="5" t="s">
        <v>2264</v>
      </c>
      <c r="J2076" s="5" t="s">
        <v>4087</v>
      </c>
      <c r="K2076" s="5" t="s">
        <v>2276</v>
      </c>
      <c r="L2076" s="5" t="n">
        <f aca="false">IF(G2076="High",3,IF(G2076="Medium",2,1))</f>
        <v>1</v>
      </c>
    </row>
    <row r="2077" customFormat="false" ht="15" hidden="false" customHeight="true" outlineLevel="0" collapsed="false">
      <c r="A2077" s="5" t="s">
        <v>4355</v>
      </c>
      <c r="B2077" s="5" t="s">
        <v>1674</v>
      </c>
      <c r="C2077" s="5" t="s">
        <v>2254</v>
      </c>
      <c r="D2077" s="5" t="s">
        <v>2255</v>
      </c>
      <c r="E2077" s="5" t="s">
        <v>2225</v>
      </c>
      <c r="F2077" s="5" t="s">
        <v>54</v>
      </c>
      <c r="G2077" s="5" t="str">
        <f aca="false">INDEX(Risk_Matrix!$B$2:$D$4,MATCH(E2077,Risk_Matrix!$A$2:$A$4,0),MATCH(F2077,Risk_Matrix!$B$1:$D$1,0))</f>
        <v>High</v>
      </c>
      <c r="H2077" s="12" t="n">
        <v>46196</v>
      </c>
      <c r="I2077" s="5" t="s">
        <v>2264</v>
      </c>
      <c r="J2077" s="5" t="s">
        <v>4087</v>
      </c>
      <c r="K2077" s="5" t="s">
        <v>2283</v>
      </c>
      <c r="L2077" s="5" t="n">
        <f aca="false">IF(G2077="High",3,IF(G2077="Medium",2,1))</f>
        <v>3</v>
      </c>
    </row>
    <row r="2078" customFormat="false" ht="15" hidden="false" customHeight="true" outlineLevel="0" collapsed="false">
      <c r="A2078" s="5" t="s">
        <v>4356</v>
      </c>
      <c r="B2078" s="5" t="s">
        <v>1676</v>
      </c>
      <c r="C2078" s="5" t="s">
        <v>2239</v>
      </c>
      <c r="D2078" s="5" t="s">
        <v>2278</v>
      </c>
      <c r="E2078" s="5" t="s">
        <v>59</v>
      </c>
      <c r="F2078" s="5" t="s">
        <v>2225</v>
      </c>
      <c r="G2078" s="5" t="str">
        <f aca="false">INDEX(Risk_Matrix!$B$2:$D$4,MATCH(E2078,Risk_Matrix!$A$2:$A$4,0),MATCH(F2078,Risk_Matrix!$B$1:$D$1,0))</f>
        <v>Low</v>
      </c>
      <c r="H2078" s="12" t="n">
        <v>46144</v>
      </c>
      <c r="I2078" s="5" t="s">
        <v>2241</v>
      </c>
      <c r="J2078" s="5" t="s">
        <v>2242</v>
      </c>
      <c r="K2078" s="5" t="s">
        <v>2283</v>
      </c>
      <c r="L2078" s="5" t="n">
        <f aca="false">IF(G2078="High",3,IF(G2078="Medium",2,1))</f>
        <v>1</v>
      </c>
    </row>
    <row r="2079" customFormat="false" ht="15" hidden="false" customHeight="true" outlineLevel="0" collapsed="false">
      <c r="A2079" s="5" t="s">
        <v>4357</v>
      </c>
      <c r="B2079" s="5" t="s">
        <v>1676</v>
      </c>
      <c r="C2079" s="5" t="s">
        <v>2245</v>
      </c>
      <c r="D2079" s="5" t="s">
        <v>2320</v>
      </c>
      <c r="E2079" s="5" t="s">
        <v>59</v>
      </c>
      <c r="F2079" s="5" t="s">
        <v>2225</v>
      </c>
      <c r="G2079" s="5" t="str">
        <f aca="false">INDEX(Risk_Matrix!$B$2:$D$4,MATCH(E2079,Risk_Matrix!$A$2:$A$4,0),MATCH(F2079,Risk_Matrix!$B$1:$D$1,0))</f>
        <v>Low</v>
      </c>
      <c r="H2079" s="12" t="n">
        <v>46201</v>
      </c>
      <c r="I2079" s="5" t="s">
        <v>2264</v>
      </c>
      <c r="J2079" s="5" t="s">
        <v>4087</v>
      </c>
      <c r="K2079" s="5" t="s">
        <v>2276</v>
      </c>
      <c r="L2079" s="5" t="n">
        <f aca="false">IF(G2079="High",3,IF(G2079="Medium",2,1))</f>
        <v>1</v>
      </c>
    </row>
    <row r="2080" customFormat="false" ht="15" hidden="false" customHeight="true" outlineLevel="0" collapsed="false">
      <c r="A2080" s="5" t="s">
        <v>4358</v>
      </c>
      <c r="B2080" s="5" t="s">
        <v>1676</v>
      </c>
      <c r="C2080" s="5" t="s">
        <v>2248</v>
      </c>
      <c r="D2080" s="5" t="s">
        <v>2249</v>
      </c>
      <c r="E2080" s="5" t="s">
        <v>59</v>
      </c>
      <c r="F2080" s="5" t="s">
        <v>54</v>
      </c>
      <c r="G2080" s="5" t="str">
        <f aca="false">INDEX(Risk_Matrix!$B$2:$D$4,MATCH(E2080,Risk_Matrix!$A$2:$A$4,0),MATCH(F2080,Risk_Matrix!$B$1:$D$1,0))</f>
        <v>Medium</v>
      </c>
      <c r="H2080" s="12" t="n">
        <v>46218</v>
      </c>
      <c r="I2080" s="5" t="s">
        <v>2250</v>
      </c>
      <c r="J2080" s="5" t="s">
        <v>2251</v>
      </c>
      <c r="K2080" s="5" t="s">
        <v>2243</v>
      </c>
      <c r="L2080" s="5" t="n">
        <f aca="false">IF(G2080="High",3,IF(G2080="Medium",2,1))</f>
        <v>2</v>
      </c>
    </row>
    <row r="2081" customFormat="false" ht="15" hidden="false" customHeight="true" outlineLevel="0" collapsed="false">
      <c r="A2081" s="5" t="s">
        <v>4359</v>
      </c>
      <c r="B2081" s="5" t="s">
        <v>1676</v>
      </c>
      <c r="C2081" s="5" t="s">
        <v>2262</v>
      </c>
      <c r="D2081" s="5" t="s">
        <v>2263</v>
      </c>
      <c r="E2081" s="5" t="s">
        <v>54</v>
      </c>
      <c r="F2081" s="5" t="s">
        <v>59</v>
      </c>
      <c r="G2081" s="5" t="str">
        <f aca="false">INDEX(Risk_Matrix!$B$2:$D$4,MATCH(E2081,Risk_Matrix!$A$2:$A$4,0),MATCH(F2081,Risk_Matrix!$B$1:$D$1,0))</f>
        <v>Medium</v>
      </c>
      <c r="H2081" s="12" t="n">
        <v>46155</v>
      </c>
      <c r="I2081" s="5" t="s">
        <v>2250</v>
      </c>
      <c r="J2081" s="5" t="s">
        <v>2251</v>
      </c>
      <c r="K2081" s="5" t="s">
        <v>2252</v>
      </c>
      <c r="L2081" s="5" t="n">
        <f aca="false">IF(G2081="High",3,IF(G2081="Medium",2,1))</f>
        <v>2</v>
      </c>
    </row>
    <row r="2082" customFormat="false" ht="15" hidden="false" customHeight="true" outlineLevel="0" collapsed="false">
      <c r="A2082" s="5" t="s">
        <v>4360</v>
      </c>
      <c r="B2082" s="5" t="s">
        <v>1676</v>
      </c>
      <c r="C2082" s="5" t="s">
        <v>2259</v>
      </c>
      <c r="D2082" s="5" t="s">
        <v>2285</v>
      </c>
      <c r="E2082" s="5" t="s">
        <v>59</v>
      </c>
      <c r="F2082" s="5" t="s">
        <v>2225</v>
      </c>
      <c r="G2082" s="5" t="str">
        <f aca="false">INDEX(Risk_Matrix!$B$2:$D$4,MATCH(E2082,Risk_Matrix!$A$2:$A$4,0),MATCH(F2082,Risk_Matrix!$B$1:$D$1,0))</f>
        <v>Low</v>
      </c>
      <c r="H2082" s="12" t="n">
        <v>46153</v>
      </c>
      <c r="I2082" s="5" t="s">
        <v>2256</v>
      </c>
      <c r="J2082" s="5" t="s">
        <v>4081</v>
      </c>
      <c r="K2082" s="5" t="s">
        <v>2243</v>
      </c>
      <c r="L2082" s="5" t="n">
        <f aca="false">IF(G2082="High",3,IF(G2082="Medium",2,1))</f>
        <v>1</v>
      </c>
    </row>
    <row r="2083" customFormat="false" ht="15" hidden="false" customHeight="true" outlineLevel="0" collapsed="false">
      <c r="A2083" s="5" t="s">
        <v>4361</v>
      </c>
      <c r="B2083" s="5" t="s">
        <v>1676</v>
      </c>
      <c r="C2083" s="5" t="s">
        <v>2254</v>
      </c>
      <c r="D2083" s="5" t="s">
        <v>2255</v>
      </c>
      <c r="E2083" s="5" t="s">
        <v>54</v>
      </c>
      <c r="F2083" s="5" t="s">
        <v>2225</v>
      </c>
      <c r="G2083" s="5" t="str">
        <f aca="false">INDEX(Risk_Matrix!$B$2:$D$4,MATCH(E2083,Risk_Matrix!$A$2:$A$4,0),MATCH(F2083,Risk_Matrix!$B$1:$D$1,0))</f>
        <v>High</v>
      </c>
      <c r="H2083" s="12" t="n">
        <v>46066</v>
      </c>
      <c r="I2083" s="5" t="s">
        <v>2241</v>
      </c>
      <c r="J2083" s="5" t="s">
        <v>2242</v>
      </c>
      <c r="K2083" s="5" t="s">
        <v>2252</v>
      </c>
      <c r="L2083" s="5" t="n">
        <f aca="false">IF(G2083="High",3,IF(G2083="Medium",2,1))</f>
        <v>3</v>
      </c>
    </row>
    <row r="2084" customFormat="false" ht="15" hidden="false" customHeight="true" outlineLevel="0" collapsed="false">
      <c r="A2084" s="5" t="s">
        <v>4362</v>
      </c>
      <c r="B2084" s="5" t="s">
        <v>1678</v>
      </c>
      <c r="C2084" s="5" t="s">
        <v>2239</v>
      </c>
      <c r="D2084" s="5" t="s">
        <v>2278</v>
      </c>
      <c r="E2084" s="5" t="s">
        <v>54</v>
      </c>
      <c r="F2084" s="5" t="s">
        <v>59</v>
      </c>
      <c r="G2084" s="5" t="str">
        <f aca="false">INDEX(Risk_Matrix!$B$2:$D$4,MATCH(E2084,Risk_Matrix!$A$2:$A$4,0),MATCH(F2084,Risk_Matrix!$B$1:$D$1,0))</f>
        <v>Medium</v>
      </c>
      <c r="H2084" s="12" t="n">
        <v>46151</v>
      </c>
      <c r="I2084" s="5" t="s">
        <v>2241</v>
      </c>
      <c r="J2084" s="5" t="s">
        <v>2242</v>
      </c>
      <c r="K2084" s="5" t="s">
        <v>2243</v>
      </c>
      <c r="L2084" s="5" t="n">
        <f aca="false">IF(G2084="High",3,IF(G2084="Medium",2,1))</f>
        <v>2</v>
      </c>
    </row>
    <row r="2085" customFormat="false" ht="15" hidden="false" customHeight="true" outlineLevel="0" collapsed="false">
      <c r="A2085" s="5" t="s">
        <v>4363</v>
      </c>
      <c r="B2085" s="5" t="s">
        <v>1678</v>
      </c>
      <c r="C2085" s="5" t="s">
        <v>2245</v>
      </c>
      <c r="D2085" s="5" t="s">
        <v>2269</v>
      </c>
      <c r="E2085" s="5" t="s">
        <v>2225</v>
      </c>
      <c r="F2085" s="5" t="s">
        <v>54</v>
      </c>
      <c r="G2085" s="5" t="str">
        <f aca="false">INDEX(Risk_Matrix!$B$2:$D$4,MATCH(E2085,Risk_Matrix!$A$2:$A$4,0),MATCH(F2085,Risk_Matrix!$B$1:$D$1,0))</f>
        <v>High</v>
      </c>
      <c r="H2085" s="12" t="n">
        <v>46167</v>
      </c>
      <c r="I2085" s="5" t="s">
        <v>2264</v>
      </c>
      <c r="J2085" s="5" t="s">
        <v>4087</v>
      </c>
      <c r="K2085" s="5" t="s">
        <v>2266</v>
      </c>
      <c r="L2085" s="5" t="n">
        <f aca="false">IF(G2085="High",3,IF(G2085="Medium",2,1))</f>
        <v>3</v>
      </c>
    </row>
    <row r="2086" customFormat="false" ht="15" hidden="false" customHeight="true" outlineLevel="0" collapsed="false">
      <c r="A2086" s="5" t="s">
        <v>4364</v>
      </c>
      <c r="B2086" s="5" t="s">
        <v>1678</v>
      </c>
      <c r="C2086" s="5" t="s">
        <v>2248</v>
      </c>
      <c r="D2086" s="5" t="s">
        <v>2249</v>
      </c>
      <c r="E2086" s="5" t="s">
        <v>2225</v>
      </c>
      <c r="F2086" s="5" t="s">
        <v>2225</v>
      </c>
      <c r="G2086" s="5" t="str">
        <f aca="false">INDEX(Risk_Matrix!$B$2:$D$4,MATCH(E2086,Risk_Matrix!$A$2:$A$4,0),MATCH(F2086,Risk_Matrix!$B$1:$D$1,0))</f>
        <v>Medium</v>
      </c>
      <c r="H2086" s="12" t="n">
        <v>46220</v>
      </c>
      <c r="I2086" s="5" t="s">
        <v>2256</v>
      </c>
      <c r="J2086" s="5" t="s">
        <v>4081</v>
      </c>
      <c r="K2086" s="5" t="s">
        <v>2252</v>
      </c>
      <c r="L2086" s="5" t="n">
        <f aca="false">IF(G2086="High",3,IF(G2086="Medium",2,1))</f>
        <v>2</v>
      </c>
    </row>
    <row r="2087" customFormat="false" ht="15" hidden="false" customHeight="true" outlineLevel="0" collapsed="false">
      <c r="A2087" s="5" t="s">
        <v>4365</v>
      </c>
      <c r="B2087" s="5" t="s">
        <v>1678</v>
      </c>
      <c r="C2087" s="5" t="s">
        <v>2262</v>
      </c>
      <c r="D2087" s="5" t="s">
        <v>2287</v>
      </c>
      <c r="E2087" s="5" t="s">
        <v>2225</v>
      </c>
      <c r="F2087" s="5" t="s">
        <v>59</v>
      </c>
      <c r="G2087" s="5" t="str">
        <f aca="false">INDEX(Risk_Matrix!$B$2:$D$4,MATCH(E2087,Risk_Matrix!$A$2:$A$4,0),MATCH(F2087,Risk_Matrix!$B$1:$D$1,0))</f>
        <v>Low</v>
      </c>
      <c r="H2087" s="12" t="n">
        <v>46205</v>
      </c>
      <c r="I2087" s="5" t="s">
        <v>2250</v>
      </c>
      <c r="J2087" s="5" t="s">
        <v>2251</v>
      </c>
      <c r="K2087" s="5" t="s">
        <v>2252</v>
      </c>
      <c r="L2087" s="5" t="n">
        <f aca="false">IF(G2087="High",3,IF(G2087="Medium",2,1))</f>
        <v>1</v>
      </c>
    </row>
    <row r="2088" customFormat="false" ht="15" hidden="false" customHeight="true" outlineLevel="0" collapsed="false">
      <c r="A2088" s="5" t="s">
        <v>4366</v>
      </c>
      <c r="B2088" s="5" t="s">
        <v>1678</v>
      </c>
      <c r="C2088" s="5" t="s">
        <v>2259</v>
      </c>
      <c r="D2088" s="5" t="s">
        <v>2260</v>
      </c>
      <c r="E2088" s="5" t="s">
        <v>54</v>
      </c>
      <c r="F2088" s="5" t="s">
        <v>54</v>
      </c>
      <c r="G2088" s="5" t="str">
        <f aca="false">INDEX(Risk_Matrix!$B$2:$D$4,MATCH(E2088,Risk_Matrix!$A$2:$A$4,0),MATCH(F2088,Risk_Matrix!$B$1:$D$1,0))</f>
        <v>High</v>
      </c>
      <c r="H2088" s="12" t="n">
        <v>46060</v>
      </c>
      <c r="I2088" s="5" t="s">
        <v>2256</v>
      </c>
      <c r="J2088" s="5" t="s">
        <v>4081</v>
      </c>
      <c r="K2088" s="5" t="s">
        <v>2266</v>
      </c>
      <c r="L2088" s="5" t="n">
        <f aca="false">IF(G2088="High",3,IF(G2088="Medium",2,1))</f>
        <v>3</v>
      </c>
    </row>
    <row r="2089" customFormat="false" ht="15" hidden="false" customHeight="true" outlineLevel="0" collapsed="false">
      <c r="A2089" s="5" t="s">
        <v>4367</v>
      </c>
      <c r="B2089" s="5" t="s">
        <v>1678</v>
      </c>
      <c r="C2089" s="5" t="s">
        <v>2254</v>
      </c>
      <c r="D2089" s="5" t="s">
        <v>2255</v>
      </c>
      <c r="E2089" s="5" t="s">
        <v>54</v>
      </c>
      <c r="F2089" s="5" t="s">
        <v>59</v>
      </c>
      <c r="G2089" s="5" t="str">
        <f aca="false">INDEX(Risk_Matrix!$B$2:$D$4,MATCH(E2089,Risk_Matrix!$A$2:$A$4,0),MATCH(F2089,Risk_Matrix!$B$1:$D$1,0))</f>
        <v>Medium</v>
      </c>
      <c r="H2089" s="12" t="n">
        <v>46194</v>
      </c>
      <c r="I2089" s="5" t="s">
        <v>2250</v>
      </c>
      <c r="J2089" s="5" t="s">
        <v>2251</v>
      </c>
      <c r="K2089" s="5" t="s">
        <v>2276</v>
      </c>
      <c r="L2089" s="5" t="n">
        <f aca="false">IF(G2089="High",3,IF(G2089="Medium",2,1))</f>
        <v>2</v>
      </c>
    </row>
    <row r="2090" customFormat="false" ht="15" hidden="false" customHeight="true" outlineLevel="0" collapsed="false">
      <c r="A2090" s="5" t="s">
        <v>4368</v>
      </c>
      <c r="B2090" s="5" t="s">
        <v>1680</v>
      </c>
      <c r="C2090" s="5" t="s">
        <v>2239</v>
      </c>
      <c r="D2090" s="5" t="s">
        <v>2278</v>
      </c>
      <c r="E2090" s="5" t="s">
        <v>54</v>
      </c>
      <c r="F2090" s="5" t="s">
        <v>59</v>
      </c>
      <c r="G2090" s="5" t="str">
        <f aca="false">INDEX(Risk_Matrix!$B$2:$D$4,MATCH(E2090,Risk_Matrix!$A$2:$A$4,0),MATCH(F2090,Risk_Matrix!$B$1:$D$1,0))</f>
        <v>Medium</v>
      </c>
      <c r="H2090" s="12" t="n">
        <v>46101</v>
      </c>
      <c r="I2090" s="5" t="s">
        <v>2256</v>
      </c>
      <c r="J2090" s="5" t="s">
        <v>4081</v>
      </c>
      <c r="K2090" s="5" t="s">
        <v>2276</v>
      </c>
      <c r="L2090" s="5" t="n">
        <f aca="false">IF(G2090="High",3,IF(G2090="Medium",2,1))</f>
        <v>2</v>
      </c>
    </row>
    <row r="2091" customFormat="false" ht="15" hidden="false" customHeight="true" outlineLevel="0" collapsed="false">
      <c r="A2091" s="5" t="s">
        <v>4369</v>
      </c>
      <c r="B2091" s="5" t="s">
        <v>1680</v>
      </c>
      <c r="C2091" s="5" t="s">
        <v>2245</v>
      </c>
      <c r="D2091" s="5" t="s">
        <v>2246</v>
      </c>
      <c r="E2091" s="5" t="s">
        <v>59</v>
      </c>
      <c r="F2091" s="5" t="s">
        <v>59</v>
      </c>
      <c r="G2091" s="5" t="str">
        <f aca="false">INDEX(Risk_Matrix!$B$2:$D$4,MATCH(E2091,Risk_Matrix!$A$2:$A$4,0),MATCH(F2091,Risk_Matrix!$B$1:$D$1,0))</f>
        <v>Low</v>
      </c>
      <c r="H2091" s="12" t="n">
        <v>46119</v>
      </c>
      <c r="I2091" s="5" t="s">
        <v>2264</v>
      </c>
      <c r="J2091" s="5" t="s">
        <v>4087</v>
      </c>
      <c r="K2091" s="5" t="s">
        <v>2266</v>
      </c>
      <c r="L2091" s="5" t="n">
        <f aca="false">IF(G2091="High",3,IF(G2091="Medium",2,1))</f>
        <v>1</v>
      </c>
    </row>
    <row r="2092" customFormat="false" ht="15" hidden="false" customHeight="true" outlineLevel="0" collapsed="false">
      <c r="A2092" s="5" t="s">
        <v>4370</v>
      </c>
      <c r="B2092" s="5" t="s">
        <v>1680</v>
      </c>
      <c r="C2092" s="5" t="s">
        <v>2248</v>
      </c>
      <c r="D2092" s="5" t="s">
        <v>2271</v>
      </c>
      <c r="E2092" s="5" t="s">
        <v>54</v>
      </c>
      <c r="F2092" s="5" t="s">
        <v>59</v>
      </c>
      <c r="G2092" s="5" t="str">
        <f aca="false">INDEX(Risk_Matrix!$B$2:$D$4,MATCH(E2092,Risk_Matrix!$A$2:$A$4,0),MATCH(F2092,Risk_Matrix!$B$1:$D$1,0))</f>
        <v>Medium</v>
      </c>
      <c r="H2092" s="12" t="n">
        <v>46200</v>
      </c>
      <c r="I2092" s="5" t="s">
        <v>2256</v>
      </c>
      <c r="J2092" s="5" t="s">
        <v>4081</v>
      </c>
      <c r="K2092" s="5" t="s">
        <v>2276</v>
      </c>
      <c r="L2092" s="5" t="n">
        <f aca="false">IF(G2092="High",3,IF(G2092="Medium",2,1))</f>
        <v>2</v>
      </c>
    </row>
    <row r="2093" customFormat="false" ht="15" hidden="false" customHeight="true" outlineLevel="0" collapsed="false">
      <c r="A2093" s="5" t="s">
        <v>4371</v>
      </c>
      <c r="B2093" s="5" t="s">
        <v>1680</v>
      </c>
      <c r="C2093" s="5" t="s">
        <v>2262</v>
      </c>
      <c r="D2093" s="5" t="s">
        <v>2311</v>
      </c>
      <c r="E2093" s="5" t="s">
        <v>59</v>
      </c>
      <c r="F2093" s="5" t="s">
        <v>59</v>
      </c>
      <c r="G2093" s="5" t="str">
        <f aca="false">INDEX(Risk_Matrix!$B$2:$D$4,MATCH(E2093,Risk_Matrix!$A$2:$A$4,0),MATCH(F2093,Risk_Matrix!$B$1:$D$1,0))</f>
        <v>Low</v>
      </c>
      <c r="H2093" s="12" t="n">
        <v>46072</v>
      </c>
      <c r="I2093" s="5" t="s">
        <v>2250</v>
      </c>
      <c r="J2093" s="5" t="s">
        <v>2251</v>
      </c>
      <c r="K2093" s="5" t="s">
        <v>2276</v>
      </c>
      <c r="L2093" s="5" t="n">
        <f aca="false">IF(G2093="High",3,IF(G2093="Medium",2,1))</f>
        <v>1</v>
      </c>
    </row>
    <row r="2094" customFormat="false" ht="15" hidden="false" customHeight="true" outlineLevel="0" collapsed="false">
      <c r="A2094" s="5" t="s">
        <v>4372</v>
      </c>
      <c r="B2094" s="5" t="s">
        <v>1680</v>
      </c>
      <c r="C2094" s="5" t="s">
        <v>2259</v>
      </c>
      <c r="D2094" s="5" t="s">
        <v>2260</v>
      </c>
      <c r="E2094" s="5" t="s">
        <v>59</v>
      </c>
      <c r="F2094" s="5" t="s">
        <v>54</v>
      </c>
      <c r="G2094" s="5" t="str">
        <f aca="false">INDEX(Risk_Matrix!$B$2:$D$4,MATCH(E2094,Risk_Matrix!$A$2:$A$4,0),MATCH(F2094,Risk_Matrix!$B$1:$D$1,0))</f>
        <v>Medium</v>
      </c>
      <c r="H2094" s="12" t="n">
        <v>46138</v>
      </c>
      <c r="I2094" s="5" t="s">
        <v>2250</v>
      </c>
      <c r="J2094" s="5" t="s">
        <v>2251</v>
      </c>
      <c r="K2094" s="5" t="s">
        <v>2283</v>
      </c>
      <c r="L2094" s="5" t="n">
        <f aca="false">IF(G2094="High",3,IF(G2094="Medium",2,1))</f>
        <v>2</v>
      </c>
    </row>
    <row r="2095" customFormat="false" ht="15" hidden="false" customHeight="true" outlineLevel="0" collapsed="false">
      <c r="A2095" s="5" t="s">
        <v>4373</v>
      </c>
      <c r="B2095" s="5" t="s">
        <v>1680</v>
      </c>
      <c r="C2095" s="5" t="s">
        <v>2254</v>
      </c>
      <c r="D2095" s="5" t="s">
        <v>2308</v>
      </c>
      <c r="E2095" s="5" t="s">
        <v>54</v>
      </c>
      <c r="F2095" s="5" t="s">
        <v>54</v>
      </c>
      <c r="G2095" s="5" t="str">
        <f aca="false">INDEX(Risk_Matrix!$B$2:$D$4,MATCH(E2095,Risk_Matrix!$A$2:$A$4,0),MATCH(F2095,Risk_Matrix!$B$1:$D$1,0))</f>
        <v>High</v>
      </c>
      <c r="H2095" s="12" t="n">
        <v>46035</v>
      </c>
      <c r="I2095" s="5" t="s">
        <v>2256</v>
      </c>
      <c r="J2095" s="5" t="s">
        <v>4081</v>
      </c>
      <c r="K2095" s="5" t="s">
        <v>2243</v>
      </c>
      <c r="L2095" s="5" t="n">
        <f aca="false">IF(G2095="High",3,IF(G2095="Medium",2,1))</f>
        <v>3</v>
      </c>
    </row>
    <row r="2096" customFormat="false" ht="15" hidden="false" customHeight="true" outlineLevel="0" collapsed="false">
      <c r="A2096" s="5" t="s">
        <v>4374</v>
      </c>
      <c r="B2096" s="5" t="s">
        <v>1682</v>
      </c>
      <c r="C2096" s="5" t="s">
        <v>2239</v>
      </c>
      <c r="D2096" s="5" t="s">
        <v>2240</v>
      </c>
      <c r="E2096" s="5" t="s">
        <v>59</v>
      </c>
      <c r="F2096" s="5" t="s">
        <v>2225</v>
      </c>
      <c r="G2096" s="5" t="str">
        <f aca="false">INDEX(Risk_Matrix!$B$2:$D$4,MATCH(E2096,Risk_Matrix!$A$2:$A$4,0),MATCH(F2096,Risk_Matrix!$B$1:$D$1,0))</f>
        <v>Low</v>
      </c>
      <c r="H2096" s="12" t="n">
        <v>46203</v>
      </c>
      <c r="I2096" s="5" t="s">
        <v>2256</v>
      </c>
      <c r="J2096" s="5" t="s">
        <v>4081</v>
      </c>
      <c r="K2096" s="5" t="s">
        <v>2252</v>
      </c>
      <c r="L2096" s="5" t="n">
        <f aca="false">IF(G2096="High",3,IF(G2096="Medium",2,1))</f>
        <v>1</v>
      </c>
    </row>
    <row r="2097" customFormat="false" ht="15" hidden="false" customHeight="true" outlineLevel="0" collapsed="false">
      <c r="A2097" s="5" t="s">
        <v>4375</v>
      </c>
      <c r="B2097" s="5" t="s">
        <v>1682</v>
      </c>
      <c r="C2097" s="5" t="s">
        <v>2245</v>
      </c>
      <c r="D2097" s="5" t="s">
        <v>2246</v>
      </c>
      <c r="E2097" s="5" t="s">
        <v>54</v>
      </c>
      <c r="F2097" s="5" t="s">
        <v>54</v>
      </c>
      <c r="G2097" s="5" t="str">
        <f aca="false">INDEX(Risk_Matrix!$B$2:$D$4,MATCH(E2097,Risk_Matrix!$A$2:$A$4,0),MATCH(F2097,Risk_Matrix!$B$1:$D$1,0))</f>
        <v>High</v>
      </c>
      <c r="H2097" s="12" t="n">
        <v>46226</v>
      </c>
      <c r="I2097" s="5" t="s">
        <v>2256</v>
      </c>
      <c r="J2097" s="5" t="s">
        <v>4081</v>
      </c>
      <c r="K2097" s="5" t="s">
        <v>2266</v>
      </c>
      <c r="L2097" s="5" t="n">
        <f aca="false">IF(G2097="High",3,IF(G2097="Medium",2,1))</f>
        <v>3</v>
      </c>
    </row>
    <row r="2098" customFormat="false" ht="15" hidden="false" customHeight="true" outlineLevel="0" collapsed="false">
      <c r="A2098" s="5" t="s">
        <v>4376</v>
      </c>
      <c r="B2098" s="5" t="s">
        <v>1682</v>
      </c>
      <c r="C2098" s="5" t="s">
        <v>2248</v>
      </c>
      <c r="D2098" s="5" t="s">
        <v>2249</v>
      </c>
      <c r="E2098" s="5" t="s">
        <v>54</v>
      </c>
      <c r="F2098" s="5" t="s">
        <v>2225</v>
      </c>
      <c r="G2098" s="5" t="str">
        <f aca="false">INDEX(Risk_Matrix!$B$2:$D$4,MATCH(E2098,Risk_Matrix!$A$2:$A$4,0),MATCH(F2098,Risk_Matrix!$B$1:$D$1,0))</f>
        <v>High</v>
      </c>
      <c r="H2098" s="12" t="n">
        <v>46121</v>
      </c>
      <c r="I2098" s="5" t="s">
        <v>2250</v>
      </c>
      <c r="J2098" s="5" t="s">
        <v>2251</v>
      </c>
      <c r="K2098" s="5" t="s">
        <v>2276</v>
      </c>
      <c r="L2098" s="5" t="n">
        <f aca="false">IF(G2098="High",3,IF(G2098="Medium",2,1))</f>
        <v>3</v>
      </c>
    </row>
    <row r="2099" customFormat="false" ht="15" hidden="false" customHeight="true" outlineLevel="0" collapsed="false">
      <c r="A2099" s="5" t="s">
        <v>4377</v>
      </c>
      <c r="B2099" s="5" t="s">
        <v>1682</v>
      </c>
      <c r="C2099" s="5" t="s">
        <v>2262</v>
      </c>
      <c r="D2099" s="5" t="s">
        <v>2311</v>
      </c>
      <c r="E2099" s="5" t="s">
        <v>59</v>
      </c>
      <c r="F2099" s="5" t="s">
        <v>59</v>
      </c>
      <c r="G2099" s="5" t="str">
        <f aca="false">INDEX(Risk_Matrix!$B$2:$D$4,MATCH(E2099,Risk_Matrix!$A$2:$A$4,0),MATCH(F2099,Risk_Matrix!$B$1:$D$1,0))</f>
        <v>Low</v>
      </c>
      <c r="H2099" s="12" t="n">
        <v>46152</v>
      </c>
      <c r="I2099" s="5" t="s">
        <v>2241</v>
      </c>
      <c r="J2099" s="5" t="s">
        <v>2242</v>
      </c>
      <c r="K2099" s="5" t="s">
        <v>2266</v>
      </c>
      <c r="L2099" s="5" t="n">
        <f aca="false">IF(G2099="High",3,IF(G2099="Medium",2,1))</f>
        <v>1</v>
      </c>
    </row>
    <row r="2100" customFormat="false" ht="15" hidden="false" customHeight="true" outlineLevel="0" collapsed="false">
      <c r="A2100" s="5" t="s">
        <v>4378</v>
      </c>
      <c r="B2100" s="5" t="s">
        <v>1682</v>
      </c>
      <c r="C2100" s="5" t="s">
        <v>2259</v>
      </c>
      <c r="D2100" s="5" t="s">
        <v>2285</v>
      </c>
      <c r="E2100" s="5" t="s">
        <v>54</v>
      </c>
      <c r="F2100" s="5" t="s">
        <v>54</v>
      </c>
      <c r="G2100" s="5" t="str">
        <f aca="false">INDEX(Risk_Matrix!$B$2:$D$4,MATCH(E2100,Risk_Matrix!$A$2:$A$4,0),MATCH(F2100,Risk_Matrix!$B$1:$D$1,0))</f>
        <v>High</v>
      </c>
      <c r="H2100" s="12" t="n">
        <v>46177</v>
      </c>
      <c r="I2100" s="5" t="s">
        <v>2264</v>
      </c>
      <c r="J2100" s="5" t="s">
        <v>4087</v>
      </c>
      <c r="K2100" s="5" t="s">
        <v>2266</v>
      </c>
      <c r="L2100" s="5" t="n">
        <f aca="false">IF(G2100="High",3,IF(G2100="Medium",2,1))</f>
        <v>3</v>
      </c>
    </row>
    <row r="2101" customFormat="false" ht="15" hidden="false" customHeight="true" outlineLevel="0" collapsed="false">
      <c r="A2101" s="5" t="s">
        <v>4379</v>
      </c>
      <c r="B2101" s="5" t="s">
        <v>1682</v>
      </c>
      <c r="C2101" s="5" t="s">
        <v>2254</v>
      </c>
      <c r="D2101" s="5" t="s">
        <v>2299</v>
      </c>
      <c r="E2101" s="5" t="s">
        <v>54</v>
      </c>
      <c r="F2101" s="5" t="s">
        <v>2225</v>
      </c>
      <c r="G2101" s="5" t="str">
        <f aca="false">INDEX(Risk_Matrix!$B$2:$D$4,MATCH(E2101,Risk_Matrix!$A$2:$A$4,0),MATCH(F2101,Risk_Matrix!$B$1:$D$1,0))</f>
        <v>High</v>
      </c>
      <c r="H2101" s="12" t="n">
        <v>46230</v>
      </c>
      <c r="I2101" s="5" t="s">
        <v>2250</v>
      </c>
      <c r="J2101" s="5" t="s">
        <v>2251</v>
      </c>
      <c r="K2101" s="5" t="s">
        <v>2266</v>
      </c>
      <c r="L2101" s="5" t="n">
        <f aca="false">IF(G2101="High",3,IF(G2101="Medium",2,1))</f>
        <v>3</v>
      </c>
    </row>
    <row r="2102" customFormat="false" ht="15" hidden="false" customHeight="true" outlineLevel="0" collapsed="false">
      <c r="A2102" s="5" t="s">
        <v>4380</v>
      </c>
      <c r="B2102" s="5" t="s">
        <v>1684</v>
      </c>
      <c r="C2102" s="5" t="s">
        <v>2239</v>
      </c>
      <c r="D2102" s="5" t="s">
        <v>2278</v>
      </c>
      <c r="E2102" s="5" t="s">
        <v>2225</v>
      </c>
      <c r="F2102" s="5" t="s">
        <v>2225</v>
      </c>
      <c r="G2102" s="5" t="str">
        <f aca="false">INDEX(Risk_Matrix!$B$2:$D$4,MATCH(E2102,Risk_Matrix!$A$2:$A$4,0),MATCH(F2102,Risk_Matrix!$B$1:$D$1,0))</f>
        <v>Medium</v>
      </c>
      <c r="H2102" s="12" t="n">
        <v>46173</v>
      </c>
      <c r="I2102" s="5" t="s">
        <v>2256</v>
      </c>
      <c r="J2102" s="5" t="s">
        <v>4081</v>
      </c>
      <c r="K2102" s="5" t="s">
        <v>2252</v>
      </c>
      <c r="L2102" s="5" t="n">
        <f aca="false">IF(G2102="High",3,IF(G2102="Medium",2,1))</f>
        <v>2</v>
      </c>
    </row>
    <row r="2103" customFormat="false" ht="15" hidden="false" customHeight="true" outlineLevel="0" collapsed="false">
      <c r="A2103" s="5" t="s">
        <v>4381</v>
      </c>
      <c r="B2103" s="5" t="s">
        <v>1684</v>
      </c>
      <c r="C2103" s="5" t="s">
        <v>2245</v>
      </c>
      <c r="D2103" s="5" t="s">
        <v>2246</v>
      </c>
      <c r="E2103" s="5" t="s">
        <v>59</v>
      </c>
      <c r="F2103" s="5" t="s">
        <v>2225</v>
      </c>
      <c r="G2103" s="5" t="str">
        <f aca="false">INDEX(Risk_Matrix!$B$2:$D$4,MATCH(E2103,Risk_Matrix!$A$2:$A$4,0),MATCH(F2103,Risk_Matrix!$B$1:$D$1,0))</f>
        <v>Low</v>
      </c>
      <c r="H2103" s="12" t="n">
        <v>46074</v>
      </c>
      <c r="I2103" s="5" t="s">
        <v>2241</v>
      </c>
      <c r="J2103" s="5" t="s">
        <v>2242</v>
      </c>
      <c r="K2103" s="5" t="s">
        <v>2283</v>
      </c>
      <c r="L2103" s="5" t="n">
        <f aca="false">IF(G2103="High",3,IF(G2103="Medium",2,1))</f>
        <v>1</v>
      </c>
    </row>
    <row r="2104" customFormat="false" ht="15" hidden="false" customHeight="true" outlineLevel="0" collapsed="false">
      <c r="A2104" s="5" t="s">
        <v>4382</v>
      </c>
      <c r="B2104" s="5" t="s">
        <v>1684</v>
      </c>
      <c r="C2104" s="5" t="s">
        <v>2248</v>
      </c>
      <c r="D2104" s="5" t="s">
        <v>2249</v>
      </c>
      <c r="E2104" s="5" t="s">
        <v>54</v>
      </c>
      <c r="F2104" s="5" t="s">
        <v>59</v>
      </c>
      <c r="G2104" s="5" t="str">
        <f aca="false">INDEX(Risk_Matrix!$B$2:$D$4,MATCH(E2104,Risk_Matrix!$A$2:$A$4,0),MATCH(F2104,Risk_Matrix!$B$1:$D$1,0))</f>
        <v>Medium</v>
      </c>
      <c r="H2104" s="12" t="n">
        <v>46236</v>
      </c>
      <c r="I2104" s="5" t="s">
        <v>2256</v>
      </c>
      <c r="J2104" s="5" t="s">
        <v>4081</v>
      </c>
      <c r="K2104" s="5" t="s">
        <v>2283</v>
      </c>
      <c r="L2104" s="5" t="n">
        <f aca="false">IF(G2104="High",3,IF(G2104="Medium",2,1))</f>
        <v>2</v>
      </c>
    </row>
    <row r="2105" customFormat="false" ht="15" hidden="false" customHeight="true" outlineLevel="0" collapsed="false">
      <c r="A2105" s="5" t="s">
        <v>4383</v>
      </c>
      <c r="B2105" s="5" t="s">
        <v>1684</v>
      </c>
      <c r="C2105" s="5" t="s">
        <v>2262</v>
      </c>
      <c r="D2105" s="5" t="s">
        <v>2263</v>
      </c>
      <c r="E2105" s="5" t="s">
        <v>54</v>
      </c>
      <c r="F2105" s="5" t="s">
        <v>2225</v>
      </c>
      <c r="G2105" s="5" t="str">
        <f aca="false">INDEX(Risk_Matrix!$B$2:$D$4,MATCH(E2105,Risk_Matrix!$A$2:$A$4,0),MATCH(F2105,Risk_Matrix!$B$1:$D$1,0))</f>
        <v>High</v>
      </c>
      <c r="H2105" s="12" t="n">
        <v>46176</v>
      </c>
      <c r="I2105" s="5" t="s">
        <v>2241</v>
      </c>
      <c r="J2105" s="5" t="s">
        <v>2242</v>
      </c>
      <c r="K2105" s="5" t="s">
        <v>2283</v>
      </c>
      <c r="L2105" s="5" t="n">
        <f aca="false">IF(G2105="High",3,IF(G2105="Medium",2,1))</f>
        <v>3</v>
      </c>
    </row>
    <row r="2106" customFormat="false" ht="15" hidden="false" customHeight="true" outlineLevel="0" collapsed="false">
      <c r="A2106" s="5" t="s">
        <v>4384</v>
      </c>
      <c r="B2106" s="5" t="s">
        <v>1684</v>
      </c>
      <c r="C2106" s="5" t="s">
        <v>2259</v>
      </c>
      <c r="D2106" s="5" t="s">
        <v>2285</v>
      </c>
      <c r="E2106" s="5" t="s">
        <v>54</v>
      </c>
      <c r="F2106" s="5" t="s">
        <v>54</v>
      </c>
      <c r="G2106" s="5" t="str">
        <f aca="false">INDEX(Risk_Matrix!$B$2:$D$4,MATCH(E2106,Risk_Matrix!$A$2:$A$4,0),MATCH(F2106,Risk_Matrix!$B$1:$D$1,0))</f>
        <v>High</v>
      </c>
      <c r="H2106" s="12" t="n">
        <v>46195</v>
      </c>
      <c r="I2106" s="5" t="s">
        <v>2241</v>
      </c>
      <c r="J2106" s="5" t="s">
        <v>2242</v>
      </c>
      <c r="K2106" s="5" t="s">
        <v>2243</v>
      </c>
      <c r="L2106" s="5" t="n">
        <f aca="false">IF(G2106="High",3,IF(G2106="Medium",2,1))</f>
        <v>3</v>
      </c>
    </row>
    <row r="2107" customFormat="false" ht="15" hidden="false" customHeight="true" outlineLevel="0" collapsed="false">
      <c r="A2107" s="5" t="s">
        <v>4385</v>
      </c>
      <c r="B2107" s="5" t="s">
        <v>1684</v>
      </c>
      <c r="C2107" s="5" t="s">
        <v>2254</v>
      </c>
      <c r="D2107" s="5" t="s">
        <v>2308</v>
      </c>
      <c r="E2107" s="5" t="s">
        <v>59</v>
      </c>
      <c r="F2107" s="5" t="s">
        <v>54</v>
      </c>
      <c r="G2107" s="5" t="str">
        <f aca="false">INDEX(Risk_Matrix!$B$2:$D$4,MATCH(E2107,Risk_Matrix!$A$2:$A$4,0),MATCH(F2107,Risk_Matrix!$B$1:$D$1,0))</f>
        <v>Medium</v>
      </c>
      <c r="H2107" s="12" t="n">
        <v>46169</v>
      </c>
      <c r="I2107" s="5" t="s">
        <v>2264</v>
      </c>
      <c r="J2107" s="5" t="s">
        <v>4087</v>
      </c>
      <c r="K2107" s="5" t="s">
        <v>2266</v>
      </c>
      <c r="L2107" s="5" t="n">
        <f aca="false">IF(G2107="High",3,IF(G2107="Medium",2,1))</f>
        <v>2</v>
      </c>
    </row>
    <row r="2108" customFormat="false" ht="15" hidden="false" customHeight="true" outlineLevel="0" collapsed="false">
      <c r="A2108" s="5" t="s">
        <v>4386</v>
      </c>
      <c r="B2108" s="5" t="s">
        <v>1686</v>
      </c>
      <c r="C2108" s="5" t="s">
        <v>2239</v>
      </c>
      <c r="D2108" s="5" t="s">
        <v>2303</v>
      </c>
      <c r="E2108" s="5" t="s">
        <v>2225</v>
      </c>
      <c r="F2108" s="5" t="s">
        <v>59</v>
      </c>
      <c r="G2108" s="5" t="str">
        <f aca="false">INDEX(Risk_Matrix!$B$2:$D$4,MATCH(E2108,Risk_Matrix!$A$2:$A$4,0),MATCH(F2108,Risk_Matrix!$B$1:$D$1,0))</f>
        <v>Low</v>
      </c>
      <c r="H2108" s="12" t="n">
        <v>46174</v>
      </c>
      <c r="I2108" s="5" t="s">
        <v>2241</v>
      </c>
      <c r="J2108" s="5" t="s">
        <v>2242</v>
      </c>
      <c r="K2108" s="5" t="s">
        <v>2243</v>
      </c>
      <c r="L2108" s="5" t="n">
        <f aca="false">IF(G2108="High",3,IF(G2108="Medium",2,1))</f>
        <v>1</v>
      </c>
    </row>
    <row r="2109" customFormat="false" ht="15" hidden="false" customHeight="true" outlineLevel="0" collapsed="false">
      <c r="A2109" s="5" t="s">
        <v>4387</v>
      </c>
      <c r="B2109" s="5" t="s">
        <v>1686</v>
      </c>
      <c r="C2109" s="5" t="s">
        <v>2245</v>
      </c>
      <c r="D2109" s="5" t="s">
        <v>2246</v>
      </c>
      <c r="E2109" s="5" t="s">
        <v>54</v>
      </c>
      <c r="F2109" s="5" t="s">
        <v>59</v>
      </c>
      <c r="G2109" s="5" t="str">
        <f aca="false">INDEX(Risk_Matrix!$B$2:$D$4,MATCH(E2109,Risk_Matrix!$A$2:$A$4,0),MATCH(F2109,Risk_Matrix!$B$1:$D$1,0))</f>
        <v>Medium</v>
      </c>
      <c r="H2109" s="12" t="n">
        <v>46092</v>
      </c>
      <c r="I2109" s="5" t="s">
        <v>2241</v>
      </c>
      <c r="J2109" s="5" t="s">
        <v>2242</v>
      </c>
      <c r="K2109" s="5" t="s">
        <v>2283</v>
      </c>
      <c r="L2109" s="5" t="n">
        <f aca="false">IF(G2109="High",3,IF(G2109="Medium",2,1))</f>
        <v>2</v>
      </c>
    </row>
    <row r="2110" customFormat="false" ht="15" hidden="false" customHeight="true" outlineLevel="0" collapsed="false">
      <c r="A2110" s="5" t="s">
        <v>4388</v>
      </c>
      <c r="B2110" s="5" t="s">
        <v>1686</v>
      </c>
      <c r="C2110" s="5" t="s">
        <v>2248</v>
      </c>
      <c r="D2110" s="5" t="s">
        <v>2271</v>
      </c>
      <c r="E2110" s="5" t="s">
        <v>59</v>
      </c>
      <c r="F2110" s="5" t="s">
        <v>59</v>
      </c>
      <c r="G2110" s="5" t="str">
        <f aca="false">INDEX(Risk_Matrix!$B$2:$D$4,MATCH(E2110,Risk_Matrix!$A$2:$A$4,0),MATCH(F2110,Risk_Matrix!$B$1:$D$1,0))</f>
        <v>Low</v>
      </c>
      <c r="H2110" s="12" t="n">
        <v>46166</v>
      </c>
      <c r="I2110" s="5" t="s">
        <v>2250</v>
      </c>
      <c r="J2110" s="5" t="s">
        <v>2251</v>
      </c>
      <c r="K2110" s="5" t="s">
        <v>2252</v>
      </c>
      <c r="L2110" s="5" t="n">
        <f aca="false">IF(G2110="High",3,IF(G2110="Medium",2,1))</f>
        <v>1</v>
      </c>
    </row>
    <row r="2111" customFormat="false" ht="15" hidden="false" customHeight="true" outlineLevel="0" collapsed="false">
      <c r="A2111" s="5" t="s">
        <v>4389</v>
      </c>
      <c r="B2111" s="5" t="s">
        <v>1686</v>
      </c>
      <c r="C2111" s="5" t="s">
        <v>2262</v>
      </c>
      <c r="D2111" s="5" t="s">
        <v>2311</v>
      </c>
      <c r="E2111" s="5" t="s">
        <v>2225</v>
      </c>
      <c r="F2111" s="5" t="s">
        <v>54</v>
      </c>
      <c r="G2111" s="5" t="str">
        <f aca="false">INDEX(Risk_Matrix!$B$2:$D$4,MATCH(E2111,Risk_Matrix!$A$2:$A$4,0),MATCH(F2111,Risk_Matrix!$B$1:$D$1,0))</f>
        <v>High</v>
      </c>
      <c r="H2111" s="12" t="n">
        <v>46103</v>
      </c>
      <c r="I2111" s="5" t="s">
        <v>2241</v>
      </c>
      <c r="J2111" s="5" t="s">
        <v>2242</v>
      </c>
      <c r="K2111" s="5" t="s">
        <v>2243</v>
      </c>
      <c r="L2111" s="5" t="n">
        <f aca="false">IF(G2111="High",3,IF(G2111="Medium",2,1))</f>
        <v>3</v>
      </c>
    </row>
    <row r="2112" customFormat="false" ht="15" hidden="false" customHeight="true" outlineLevel="0" collapsed="false">
      <c r="A2112" s="5" t="s">
        <v>4390</v>
      </c>
      <c r="B2112" s="5" t="s">
        <v>1686</v>
      </c>
      <c r="C2112" s="5" t="s">
        <v>2259</v>
      </c>
      <c r="D2112" s="5" t="s">
        <v>2260</v>
      </c>
      <c r="E2112" s="5" t="s">
        <v>54</v>
      </c>
      <c r="F2112" s="5" t="s">
        <v>2225</v>
      </c>
      <c r="G2112" s="5" t="str">
        <f aca="false">INDEX(Risk_Matrix!$B$2:$D$4,MATCH(E2112,Risk_Matrix!$A$2:$A$4,0),MATCH(F2112,Risk_Matrix!$B$1:$D$1,0))</f>
        <v>High</v>
      </c>
      <c r="H2112" s="12" t="n">
        <v>46174</v>
      </c>
      <c r="I2112" s="5" t="s">
        <v>2256</v>
      </c>
      <c r="J2112" s="5" t="s">
        <v>4081</v>
      </c>
      <c r="K2112" s="5" t="s">
        <v>2243</v>
      </c>
      <c r="L2112" s="5" t="n">
        <f aca="false">IF(G2112="High",3,IF(G2112="Medium",2,1))</f>
        <v>3</v>
      </c>
    </row>
    <row r="2113" customFormat="false" ht="15" hidden="false" customHeight="true" outlineLevel="0" collapsed="false">
      <c r="A2113" s="5" t="s">
        <v>4391</v>
      </c>
      <c r="B2113" s="5" t="s">
        <v>1686</v>
      </c>
      <c r="C2113" s="5" t="s">
        <v>2254</v>
      </c>
      <c r="D2113" s="5" t="s">
        <v>2255</v>
      </c>
      <c r="E2113" s="5" t="s">
        <v>54</v>
      </c>
      <c r="F2113" s="5" t="s">
        <v>2225</v>
      </c>
      <c r="G2113" s="5" t="str">
        <f aca="false">INDEX(Risk_Matrix!$B$2:$D$4,MATCH(E2113,Risk_Matrix!$A$2:$A$4,0),MATCH(F2113,Risk_Matrix!$B$1:$D$1,0))</f>
        <v>High</v>
      </c>
      <c r="H2113" s="12" t="n">
        <v>46164</v>
      </c>
      <c r="I2113" s="5" t="s">
        <v>2250</v>
      </c>
      <c r="J2113" s="5" t="s">
        <v>2251</v>
      </c>
      <c r="K2113" s="5" t="s">
        <v>2283</v>
      </c>
      <c r="L2113" s="5" t="n">
        <f aca="false">IF(G2113="High",3,IF(G2113="Medium",2,1))</f>
        <v>3</v>
      </c>
    </row>
    <row r="2114" customFormat="false" ht="15" hidden="false" customHeight="true" outlineLevel="0" collapsed="false">
      <c r="A2114" s="5" t="s">
        <v>4392</v>
      </c>
      <c r="B2114" s="5" t="s">
        <v>1688</v>
      </c>
      <c r="C2114" s="5" t="s">
        <v>2239</v>
      </c>
      <c r="D2114" s="5" t="s">
        <v>2278</v>
      </c>
      <c r="E2114" s="5" t="s">
        <v>54</v>
      </c>
      <c r="F2114" s="5" t="s">
        <v>59</v>
      </c>
      <c r="G2114" s="5" t="str">
        <f aca="false">INDEX(Risk_Matrix!$B$2:$D$4,MATCH(E2114,Risk_Matrix!$A$2:$A$4,0),MATCH(F2114,Risk_Matrix!$B$1:$D$1,0))</f>
        <v>Medium</v>
      </c>
      <c r="H2114" s="12" t="n">
        <v>46036</v>
      </c>
      <c r="I2114" s="5" t="s">
        <v>2241</v>
      </c>
      <c r="J2114" s="5" t="s">
        <v>2242</v>
      </c>
      <c r="K2114" s="5" t="s">
        <v>2243</v>
      </c>
      <c r="L2114" s="5" t="n">
        <f aca="false">IF(G2114="High",3,IF(G2114="Medium",2,1))</f>
        <v>2</v>
      </c>
    </row>
    <row r="2115" customFormat="false" ht="15" hidden="false" customHeight="true" outlineLevel="0" collapsed="false">
      <c r="A2115" s="5" t="s">
        <v>4393</v>
      </c>
      <c r="B2115" s="5" t="s">
        <v>1688</v>
      </c>
      <c r="C2115" s="5" t="s">
        <v>2245</v>
      </c>
      <c r="D2115" s="5" t="s">
        <v>2246</v>
      </c>
      <c r="E2115" s="5" t="s">
        <v>59</v>
      </c>
      <c r="F2115" s="5" t="s">
        <v>2225</v>
      </c>
      <c r="G2115" s="5" t="str">
        <f aca="false">INDEX(Risk_Matrix!$B$2:$D$4,MATCH(E2115,Risk_Matrix!$A$2:$A$4,0),MATCH(F2115,Risk_Matrix!$B$1:$D$1,0))</f>
        <v>Low</v>
      </c>
      <c r="H2115" s="12" t="n">
        <v>46181</v>
      </c>
      <c r="I2115" s="5" t="s">
        <v>2264</v>
      </c>
      <c r="J2115" s="5" t="s">
        <v>4087</v>
      </c>
      <c r="K2115" s="5" t="s">
        <v>2243</v>
      </c>
      <c r="L2115" s="5" t="n">
        <f aca="false">IF(G2115="High",3,IF(G2115="Medium",2,1))</f>
        <v>1</v>
      </c>
    </row>
    <row r="2116" customFormat="false" ht="15" hidden="false" customHeight="true" outlineLevel="0" collapsed="false">
      <c r="A2116" s="5" t="s">
        <v>4394</v>
      </c>
      <c r="B2116" s="5" t="s">
        <v>1688</v>
      </c>
      <c r="C2116" s="5" t="s">
        <v>2248</v>
      </c>
      <c r="D2116" s="5" t="s">
        <v>2322</v>
      </c>
      <c r="E2116" s="5" t="s">
        <v>54</v>
      </c>
      <c r="F2116" s="5" t="s">
        <v>2225</v>
      </c>
      <c r="G2116" s="5" t="str">
        <f aca="false">INDEX(Risk_Matrix!$B$2:$D$4,MATCH(E2116,Risk_Matrix!$A$2:$A$4,0),MATCH(F2116,Risk_Matrix!$B$1:$D$1,0))</f>
        <v>High</v>
      </c>
      <c r="H2116" s="12" t="n">
        <v>46213</v>
      </c>
      <c r="I2116" s="5" t="s">
        <v>2250</v>
      </c>
      <c r="J2116" s="5" t="s">
        <v>2251</v>
      </c>
      <c r="K2116" s="5" t="s">
        <v>2243</v>
      </c>
      <c r="L2116" s="5" t="n">
        <f aca="false">IF(G2116="High",3,IF(G2116="Medium",2,1))</f>
        <v>3</v>
      </c>
    </row>
    <row r="2117" customFormat="false" ht="15" hidden="false" customHeight="true" outlineLevel="0" collapsed="false">
      <c r="A2117" s="5" t="s">
        <v>4395</v>
      </c>
      <c r="B2117" s="5" t="s">
        <v>1688</v>
      </c>
      <c r="C2117" s="5" t="s">
        <v>2262</v>
      </c>
      <c r="D2117" s="5" t="s">
        <v>2263</v>
      </c>
      <c r="E2117" s="5" t="s">
        <v>2225</v>
      </c>
      <c r="F2117" s="5" t="s">
        <v>59</v>
      </c>
      <c r="G2117" s="5" t="str">
        <f aca="false">INDEX(Risk_Matrix!$B$2:$D$4,MATCH(E2117,Risk_Matrix!$A$2:$A$4,0),MATCH(F2117,Risk_Matrix!$B$1:$D$1,0))</f>
        <v>Low</v>
      </c>
      <c r="H2117" s="12" t="n">
        <v>46124</v>
      </c>
      <c r="I2117" s="5" t="s">
        <v>2250</v>
      </c>
      <c r="J2117" s="5" t="s">
        <v>2251</v>
      </c>
      <c r="K2117" s="5" t="s">
        <v>2252</v>
      </c>
      <c r="L2117" s="5" t="n">
        <f aca="false">IF(G2117="High",3,IF(G2117="Medium",2,1))</f>
        <v>1</v>
      </c>
    </row>
    <row r="2118" customFormat="false" ht="15" hidden="false" customHeight="true" outlineLevel="0" collapsed="false">
      <c r="A2118" s="5" t="s">
        <v>4396</v>
      </c>
      <c r="B2118" s="5" t="s">
        <v>1688</v>
      </c>
      <c r="C2118" s="5" t="s">
        <v>2259</v>
      </c>
      <c r="D2118" s="5" t="s">
        <v>2285</v>
      </c>
      <c r="E2118" s="5" t="s">
        <v>59</v>
      </c>
      <c r="F2118" s="5" t="s">
        <v>2225</v>
      </c>
      <c r="G2118" s="5" t="str">
        <f aca="false">INDEX(Risk_Matrix!$B$2:$D$4,MATCH(E2118,Risk_Matrix!$A$2:$A$4,0),MATCH(F2118,Risk_Matrix!$B$1:$D$1,0))</f>
        <v>Low</v>
      </c>
      <c r="H2118" s="12" t="n">
        <v>46092</v>
      </c>
      <c r="I2118" s="5" t="s">
        <v>2256</v>
      </c>
      <c r="J2118" s="5" t="s">
        <v>4081</v>
      </c>
      <c r="K2118" s="5" t="s">
        <v>2266</v>
      </c>
      <c r="L2118" s="5" t="n">
        <f aca="false">IF(G2118="High",3,IF(G2118="Medium",2,1))</f>
        <v>1</v>
      </c>
    </row>
    <row r="2119" customFormat="false" ht="15" hidden="false" customHeight="true" outlineLevel="0" collapsed="false">
      <c r="A2119" s="5" t="s">
        <v>4397</v>
      </c>
      <c r="B2119" s="5" t="s">
        <v>1688</v>
      </c>
      <c r="C2119" s="5" t="s">
        <v>2254</v>
      </c>
      <c r="D2119" s="5" t="s">
        <v>2299</v>
      </c>
      <c r="E2119" s="5" t="s">
        <v>2225</v>
      </c>
      <c r="F2119" s="5" t="s">
        <v>54</v>
      </c>
      <c r="G2119" s="5" t="str">
        <f aca="false">INDEX(Risk_Matrix!$B$2:$D$4,MATCH(E2119,Risk_Matrix!$A$2:$A$4,0),MATCH(F2119,Risk_Matrix!$B$1:$D$1,0))</f>
        <v>High</v>
      </c>
      <c r="H2119" s="12" t="n">
        <v>46079</v>
      </c>
      <c r="I2119" s="5" t="s">
        <v>2264</v>
      </c>
      <c r="J2119" s="5" t="s">
        <v>4087</v>
      </c>
      <c r="K2119" s="5" t="s">
        <v>2283</v>
      </c>
      <c r="L2119" s="5" t="n">
        <f aca="false">IF(G2119="High",3,IF(G2119="Medium",2,1))</f>
        <v>3</v>
      </c>
    </row>
    <row r="2120" customFormat="false" ht="15" hidden="false" customHeight="true" outlineLevel="0" collapsed="false">
      <c r="A2120" s="5" t="s">
        <v>4398</v>
      </c>
      <c r="B2120" s="5" t="s">
        <v>1690</v>
      </c>
      <c r="C2120" s="5" t="s">
        <v>2239</v>
      </c>
      <c r="D2120" s="5" t="s">
        <v>2240</v>
      </c>
      <c r="E2120" s="5" t="s">
        <v>54</v>
      </c>
      <c r="F2120" s="5" t="s">
        <v>54</v>
      </c>
      <c r="G2120" s="5" t="str">
        <f aca="false">INDEX(Risk_Matrix!$B$2:$D$4,MATCH(E2120,Risk_Matrix!$A$2:$A$4,0),MATCH(F2120,Risk_Matrix!$B$1:$D$1,0))</f>
        <v>High</v>
      </c>
      <c r="H2120" s="12" t="n">
        <v>46209</v>
      </c>
      <c r="I2120" s="5" t="s">
        <v>2250</v>
      </c>
      <c r="J2120" s="5" t="s">
        <v>2251</v>
      </c>
      <c r="K2120" s="5" t="s">
        <v>2243</v>
      </c>
      <c r="L2120" s="5" t="n">
        <f aca="false">IF(G2120="High",3,IF(G2120="Medium",2,1))</f>
        <v>3</v>
      </c>
    </row>
    <row r="2121" customFormat="false" ht="15" hidden="false" customHeight="true" outlineLevel="0" collapsed="false">
      <c r="A2121" s="5" t="s">
        <v>4399</v>
      </c>
      <c r="B2121" s="5" t="s">
        <v>1690</v>
      </c>
      <c r="C2121" s="5" t="s">
        <v>2245</v>
      </c>
      <c r="D2121" s="5" t="s">
        <v>2320</v>
      </c>
      <c r="E2121" s="5" t="s">
        <v>54</v>
      </c>
      <c r="F2121" s="5" t="s">
        <v>54</v>
      </c>
      <c r="G2121" s="5" t="str">
        <f aca="false">INDEX(Risk_Matrix!$B$2:$D$4,MATCH(E2121,Risk_Matrix!$A$2:$A$4,0),MATCH(F2121,Risk_Matrix!$B$1:$D$1,0))</f>
        <v>High</v>
      </c>
      <c r="H2121" s="12" t="n">
        <v>46237</v>
      </c>
      <c r="I2121" s="5" t="s">
        <v>2264</v>
      </c>
      <c r="J2121" s="5" t="s">
        <v>4087</v>
      </c>
      <c r="K2121" s="5" t="s">
        <v>2276</v>
      </c>
      <c r="L2121" s="5" t="n">
        <f aca="false">IF(G2121="High",3,IF(G2121="Medium",2,1))</f>
        <v>3</v>
      </c>
    </row>
    <row r="2122" customFormat="false" ht="15" hidden="false" customHeight="true" outlineLevel="0" collapsed="false">
      <c r="A2122" s="5" t="s">
        <v>4400</v>
      </c>
      <c r="B2122" s="5" t="s">
        <v>1690</v>
      </c>
      <c r="C2122" s="5" t="s">
        <v>2248</v>
      </c>
      <c r="D2122" s="5" t="s">
        <v>2322</v>
      </c>
      <c r="E2122" s="5" t="s">
        <v>2225</v>
      </c>
      <c r="F2122" s="5" t="s">
        <v>2225</v>
      </c>
      <c r="G2122" s="5" t="str">
        <f aca="false">INDEX(Risk_Matrix!$B$2:$D$4,MATCH(E2122,Risk_Matrix!$A$2:$A$4,0),MATCH(F2122,Risk_Matrix!$B$1:$D$1,0))</f>
        <v>Medium</v>
      </c>
      <c r="H2122" s="12" t="n">
        <v>46181</v>
      </c>
      <c r="I2122" s="5" t="s">
        <v>2256</v>
      </c>
      <c r="J2122" s="5" t="s">
        <v>4081</v>
      </c>
      <c r="K2122" s="5" t="s">
        <v>2266</v>
      </c>
      <c r="L2122" s="5" t="n">
        <f aca="false">IF(G2122="High",3,IF(G2122="Medium",2,1))</f>
        <v>2</v>
      </c>
    </row>
    <row r="2123" customFormat="false" ht="15" hidden="false" customHeight="true" outlineLevel="0" collapsed="false">
      <c r="A2123" s="5" t="s">
        <v>4401</v>
      </c>
      <c r="B2123" s="5" t="s">
        <v>1690</v>
      </c>
      <c r="C2123" s="5" t="s">
        <v>2262</v>
      </c>
      <c r="D2123" s="5" t="s">
        <v>2311</v>
      </c>
      <c r="E2123" s="5" t="s">
        <v>59</v>
      </c>
      <c r="F2123" s="5" t="s">
        <v>2225</v>
      </c>
      <c r="G2123" s="5" t="str">
        <f aca="false">INDEX(Risk_Matrix!$B$2:$D$4,MATCH(E2123,Risk_Matrix!$A$2:$A$4,0),MATCH(F2123,Risk_Matrix!$B$1:$D$1,0))</f>
        <v>Low</v>
      </c>
      <c r="H2123" s="12" t="n">
        <v>46055</v>
      </c>
      <c r="I2123" s="5" t="s">
        <v>2241</v>
      </c>
      <c r="J2123" s="5" t="s">
        <v>2242</v>
      </c>
      <c r="K2123" s="5" t="s">
        <v>2283</v>
      </c>
      <c r="L2123" s="5" t="n">
        <f aca="false">IF(G2123="High",3,IF(G2123="Medium",2,1))</f>
        <v>1</v>
      </c>
    </row>
    <row r="2124" customFormat="false" ht="15" hidden="false" customHeight="true" outlineLevel="0" collapsed="false">
      <c r="A2124" s="5" t="s">
        <v>4402</v>
      </c>
      <c r="B2124" s="5" t="s">
        <v>1690</v>
      </c>
      <c r="C2124" s="5" t="s">
        <v>2259</v>
      </c>
      <c r="D2124" s="5" t="s">
        <v>2285</v>
      </c>
      <c r="E2124" s="5" t="s">
        <v>54</v>
      </c>
      <c r="F2124" s="5" t="s">
        <v>2225</v>
      </c>
      <c r="G2124" s="5" t="str">
        <f aca="false">INDEX(Risk_Matrix!$B$2:$D$4,MATCH(E2124,Risk_Matrix!$A$2:$A$4,0),MATCH(F2124,Risk_Matrix!$B$1:$D$1,0))</f>
        <v>High</v>
      </c>
      <c r="H2124" s="12" t="n">
        <v>46190</v>
      </c>
      <c r="I2124" s="5" t="s">
        <v>2241</v>
      </c>
      <c r="J2124" s="5" t="s">
        <v>2242</v>
      </c>
      <c r="K2124" s="5" t="s">
        <v>2252</v>
      </c>
      <c r="L2124" s="5" t="n">
        <f aca="false">IF(G2124="High",3,IF(G2124="Medium",2,1))</f>
        <v>3</v>
      </c>
    </row>
    <row r="2125" customFormat="false" ht="15" hidden="false" customHeight="true" outlineLevel="0" collapsed="false">
      <c r="A2125" s="5" t="s">
        <v>4403</v>
      </c>
      <c r="B2125" s="5" t="s">
        <v>1690</v>
      </c>
      <c r="C2125" s="5" t="s">
        <v>2254</v>
      </c>
      <c r="D2125" s="5" t="s">
        <v>2308</v>
      </c>
      <c r="E2125" s="5" t="s">
        <v>2225</v>
      </c>
      <c r="F2125" s="5" t="s">
        <v>2225</v>
      </c>
      <c r="G2125" s="5" t="str">
        <f aca="false">INDEX(Risk_Matrix!$B$2:$D$4,MATCH(E2125,Risk_Matrix!$A$2:$A$4,0),MATCH(F2125,Risk_Matrix!$B$1:$D$1,0))</f>
        <v>Medium</v>
      </c>
      <c r="H2125" s="12" t="n">
        <v>46231</v>
      </c>
      <c r="I2125" s="5" t="s">
        <v>2250</v>
      </c>
      <c r="J2125" s="5" t="s">
        <v>2251</v>
      </c>
      <c r="K2125" s="5" t="s">
        <v>2243</v>
      </c>
      <c r="L2125" s="5" t="n">
        <f aca="false">IF(G2125="High",3,IF(G2125="Medium",2,1))</f>
        <v>2</v>
      </c>
    </row>
    <row r="2126" customFormat="false" ht="15" hidden="false" customHeight="true" outlineLevel="0" collapsed="false">
      <c r="A2126" s="5" t="s">
        <v>4404</v>
      </c>
      <c r="B2126" s="5" t="s">
        <v>1692</v>
      </c>
      <c r="C2126" s="5" t="s">
        <v>2239</v>
      </c>
      <c r="D2126" s="5" t="s">
        <v>2278</v>
      </c>
      <c r="E2126" s="5" t="s">
        <v>2225</v>
      </c>
      <c r="F2126" s="5" t="s">
        <v>59</v>
      </c>
      <c r="G2126" s="5" t="str">
        <f aca="false">INDEX(Risk_Matrix!$B$2:$D$4,MATCH(E2126,Risk_Matrix!$A$2:$A$4,0),MATCH(F2126,Risk_Matrix!$B$1:$D$1,0))</f>
        <v>Low</v>
      </c>
      <c r="H2126" s="12" t="n">
        <v>46083</v>
      </c>
      <c r="I2126" s="5" t="s">
        <v>2241</v>
      </c>
      <c r="J2126" s="5" t="s">
        <v>2242</v>
      </c>
      <c r="K2126" s="5" t="s">
        <v>2276</v>
      </c>
      <c r="L2126" s="5" t="n">
        <f aca="false">IF(G2126="High",3,IF(G2126="Medium",2,1))</f>
        <v>1</v>
      </c>
    </row>
    <row r="2127" customFormat="false" ht="15" hidden="false" customHeight="true" outlineLevel="0" collapsed="false">
      <c r="A2127" s="5" t="s">
        <v>4405</v>
      </c>
      <c r="B2127" s="5" t="s">
        <v>1692</v>
      </c>
      <c r="C2127" s="5" t="s">
        <v>2245</v>
      </c>
      <c r="D2127" s="5" t="s">
        <v>2269</v>
      </c>
      <c r="E2127" s="5" t="s">
        <v>59</v>
      </c>
      <c r="F2127" s="5" t="s">
        <v>59</v>
      </c>
      <c r="G2127" s="5" t="str">
        <f aca="false">INDEX(Risk_Matrix!$B$2:$D$4,MATCH(E2127,Risk_Matrix!$A$2:$A$4,0),MATCH(F2127,Risk_Matrix!$B$1:$D$1,0))</f>
        <v>Low</v>
      </c>
      <c r="H2127" s="12" t="n">
        <v>46213</v>
      </c>
      <c r="I2127" s="5" t="s">
        <v>2264</v>
      </c>
      <c r="J2127" s="5" t="s">
        <v>4087</v>
      </c>
      <c r="K2127" s="5" t="s">
        <v>2283</v>
      </c>
      <c r="L2127" s="5" t="n">
        <f aca="false">IF(G2127="High",3,IF(G2127="Medium",2,1))</f>
        <v>1</v>
      </c>
    </row>
    <row r="2128" customFormat="false" ht="15" hidden="false" customHeight="true" outlineLevel="0" collapsed="false">
      <c r="A2128" s="5" t="s">
        <v>4406</v>
      </c>
      <c r="B2128" s="5" t="s">
        <v>1692</v>
      </c>
      <c r="C2128" s="5" t="s">
        <v>2248</v>
      </c>
      <c r="D2128" s="5" t="s">
        <v>2306</v>
      </c>
      <c r="E2128" s="5" t="s">
        <v>54</v>
      </c>
      <c r="F2128" s="5" t="s">
        <v>2225</v>
      </c>
      <c r="G2128" s="5" t="str">
        <f aca="false">INDEX(Risk_Matrix!$B$2:$D$4,MATCH(E2128,Risk_Matrix!$A$2:$A$4,0),MATCH(F2128,Risk_Matrix!$B$1:$D$1,0))</f>
        <v>High</v>
      </c>
      <c r="H2128" s="12" t="n">
        <v>46116</v>
      </c>
      <c r="I2128" s="5" t="s">
        <v>2241</v>
      </c>
      <c r="J2128" s="5" t="s">
        <v>2242</v>
      </c>
      <c r="K2128" s="5" t="s">
        <v>2283</v>
      </c>
      <c r="L2128" s="5" t="n">
        <f aca="false">IF(G2128="High",3,IF(G2128="Medium",2,1))</f>
        <v>3</v>
      </c>
    </row>
    <row r="2129" customFormat="false" ht="15" hidden="false" customHeight="true" outlineLevel="0" collapsed="false">
      <c r="A2129" s="5" t="s">
        <v>4407</v>
      </c>
      <c r="B2129" s="5" t="s">
        <v>1692</v>
      </c>
      <c r="C2129" s="5" t="s">
        <v>2262</v>
      </c>
      <c r="D2129" s="5" t="s">
        <v>2263</v>
      </c>
      <c r="E2129" s="5" t="s">
        <v>54</v>
      </c>
      <c r="F2129" s="5" t="s">
        <v>2225</v>
      </c>
      <c r="G2129" s="5" t="str">
        <f aca="false">INDEX(Risk_Matrix!$B$2:$D$4,MATCH(E2129,Risk_Matrix!$A$2:$A$4,0),MATCH(F2129,Risk_Matrix!$B$1:$D$1,0))</f>
        <v>High</v>
      </c>
      <c r="H2129" s="12" t="n">
        <v>46052</v>
      </c>
      <c r="I2129" s="5" t="s">
        <v>2250</v>
      </c>
      <c r="J2129" s="5" t="s">
        <v>2251</v>
      </c>
      <c r="K2129" s="5" t="s">
        <v>2283</v>
      </c>
      <c r="L2129" s="5" t="n">
        <f aca="false">IF(G2129="High",3,IF(G2129="Medium",2,1))</f>
        <v>3</v>
      </c>
    </row>
    <row r="2130" customFormat="false" ht="15" hidden="false" customHeight="true" outlineLevel="0" collapsed="false">
      <c r="A2130" s="5" t="s">
        <v>4408</v>
      </c>
      <c r="B2130" s="5" t="s">
        <v>1692</v>
      </c>
      <c r="C2130" s="5" t="s">
        <v>2259</v>
      </c>
      <c r="D2130" s="5" t="s">
        <v>2260</v>
      </c>
      <c r="E2130" s="5" t="s">
        <v>59</v>
      </c>
      <c r="F2130" s="5" t="s">
        <v>2225</v>
      </c>
      <c r="G2130" s="5" t="str">
        <f aca="false">INDEX(Risk_Matrix!$B$2:$D$4,MATCH(E2130,Risk_Matrix!$A$2:$A$4,0),MATCH(F2130,Risk_Matrix!$B$1:$D$1,0))</f>
        <v>Low</v>
      </c>
      <c r="H2130" s="12" t="n">
        <v>46115</v>
      </c>
      <c r="I2130" s="5" t="s">
        <v>2256</v>
      </c>
      <c r="J2130" s="5" t="s">
        <v>4081</v>
      </c>
      <c r="K2130" s="5" t="s">
        <v>2243</v>
      </c>
      <c r="L2130" s="5" t="n">
        <f aca="false">IF(G2130="High",3,IF(G2130="Medium",2,1))</f>
        <v>1</v>
      </c>
    </row>
    <row r="2131" customFormat="false" ht="15" hidden="false" customHeight="true" outlineLevel="0" collapsed="false">
      <c r="A2131" s="5" t="s">
        <v>4409</v>
      </c>
      <c r="B2131" s="5" t="s">
        <v>1692</v>
      </c>
      <c r="C2131" s="5" t="s">
        <v>2254</v>
      </c>
      <c r="D2131" s="5" t="s">
        <v>2299</v>
      </c>
      <c r="E2131" s="5" t="s">
        <v>54</v>
      </c>
      <c r="F2131" s="5" t="s">
        <v>54</v>
      </c>
      <c r="G2131" s="5" t="str">
        <f aca="false">INDEX(Risk_Matrix!$B$2:$D$4,MATCH(E2131,Risk_Matrix!$A$2:$A$4,0),MATCH(F2131,Risk_Matrix!$B$1:$D$1,0))</f>
        <v>High</v>
      </c>
      <c r="H2131" s="12" t="n">
        <v>46178</v>
      </c>
      <c r="I2131" s="5" t="s">
        <v>2256</v>
      </c>
      <c r="J2131" s="5" t="s">
        <v>4081</v>
      </c>
      <c r="K2131" s="5" t="s">
        <v>2276</v>
      </c>
      <c r="L2131" s="5" t="n">
        <f aca="false">IF(G2131="High",3,IF(G2131="Medium",2,1))</f>
        <v>3</v>
      </c>
    </row>
    <row r="2132" customFormat="false" ht="15" hidden="false" customHeight="true" outlineLevel="0" collapsed="false">
      <c r="A2132" s="5" t="s">
        <v>4410</v>
      </c>
      <c r="B2132" s="5" t="s">
        <v>1694</v>
      </c>
      <c r="C2132" s="5" t="s">
        <v>2239</v>
      </c>
      <c r="D2132" s="5" t="s">
        <v>2278</v>
      </c>
      <c r="E2132" s="5" t="s">
        <v>2225</v>
      </c>
      <c r="F2132" s="5" t="s">
        <v>59</v>
      </c>
      <c r="G2132" s="5" t="str">
        <f aca="false">INDEX(Risk_Matrix!$B$2:$D$4,MATCH(E2132,Risk_Matrix!$A$2:$A$4,0),MATCH(F2132,Risk_Matrix!$B$1:$D$1,0))</f>
        <v>Low</v>
      </c>
      <c r="H2132" s="12" t="n">
        <v>46063</v>
      </c>
      <c r="I2132" s="5" t="s">
        <v>2264</v>
      </c>
      <c r="J2132" s="5" t="s">
        <v>4087</v>
      </c>
      <c r="K2132" s="5" t="s">
        <v>2243</v>
      </c>
      <c r="L2132" s="5" t="n">
        <f aca="false">IF(G2132="High",3,IF(G2132="Medium",2,1))</f>
        <v>1</v>
      </c>
    </row>
    <row r="2133" customFormat="false" ht="15" hidden="false" customHeight="true" outlineLevel="0" collapsed="false">
      <c r="A2133" s="5" t="s">
        <v>4411</v>
      </c>
      <c r="B2133" s="5" t="s">
        <v>1694</v>
      </c>
      <c r="C2133" s="5" t="s">
        <v>2245</v>
      </c>
      <c r="D2133" s="5" t="s">
        <v>2269</v>
      </c>
      <c r="E2133" s="5" t="s">
        <v>54</v>
      </c>
      <c r="F2133" s="5" t="s">
        <v>54</v>
      </c>
      <c r="G2133" s="5" t="str">
        <f aca="false">INDEX(Risk_Matrix!$B$2:$D$4,MATCH(E2133,Risk_Matrix!$A$2:$A$4,0),MATCH(F2133,Risk_Matrix!$B$1:$D$1,0))</f>
        <v>High</v>
      </c>
      <c r="H2133" s="12" t="n">
        <v>46212</v>
      </c>
      <c r="I2133" s="5" t="s">
        <v>2250</v>
      </c>
      <c r="J2133" s="5" t="s">
        <v>2251</v>
      </c>
      <c r="K2133" s="5" t="s">
        <v>2266</v>
      </c>
      <c r="L2133" s="5" t="n">
        <f aca="false">IF(G2133="High",3,IF(G2133="Medium",2,1))</f>
        <v>3</v>
      </c>
    </row>
    <row r="2134" customFormat="false" ht="15" hidden="false" customHeight="true" outlineLevel="0" collapsed="false">
      <c r="A2134" s="5" t="s">
        <v>4412</v>
      </c>
      <c r="B2134" s="5" t="s">
        <v>1694</v>
      </c>
      <c r="C2134" s="5" t="s">
        <v>2248</v>
      </c>
      <c r="D2134" s="5" t="s">
        <v>2306</v>
      </c>
      <c r="E2134" s="5" t="s">
        <v>54</v>
      </c>
      <c r="F2134" s="5" t="s">
        <v>59</v>
      </c>
      <c r="G2134" s="5" t="str">
        <f aca="false">INDEX(Risk_Matrix!$B$2:$D$4,MATCH(E2134,Risk_Matrix!$A$2:$A$4,0),MATCH(F2134,Risk_Matrix!$B$1:$D$1,0))</f>
        <v>Medium</v>
      </c>
      <c r="H2134" s="12" t="n">
        <v>46073</v>
      </c>
      <c r="I2134" s="5" t="s">
        <v>2256</v>
      </c>
      <c r="J2134" s="5" t="s">
        <v>4081</v>
      </c>
      <c r="K2134" s="5" t="s">
        <v>2276</v>
      </c>
      <c r="L2134" s="5" t="n">
        <f aca="false">IF(G2134="High",3,IF(G2134="Medium",2,1))</f>
        <v>2</v>
      </c>
    </row>
    <row r="2135" customFormat="false" ht="15" hidden="false" customHeight="true" outlineLevel="0" collapsed="false">
      <c r="A2135" s="5" t="s">
        <v>4413</v>
      </c>
      <c r="B2135" s="5" t="s">
        <v>1694</v>
      </c>
      <c r="C2135" s="5" t="s">
        <v>2262</v>
      </c>
      <c r="D2135" s="5" t="s">
        <v>2287</v>
      </c>
      <c r="E2135" s="5" t="s">
        <v>2225</v>
      </c>
      <c r="F2135" s="5" t="s">
        <v>2225</v>
      </c>
      <c r="G2135" s="5" t="str">
        <f aca="false">INDEX(Risk_Matrix!$B$2:$D$4,MATCH(E2135,Risk_Matrix!$A$2:$A$4,0),MATCH(F2135,Risk_Matrix!$B$1:$D$1,0))</f>
        <v>Medium</v>
      </c>
      <c r="H2135" s="12" t="n">
        <v>46136</v>
      </c>
      <c r="I2135" s="5" t="s">
        <v>2250</v>
      </c>
      <c r="J2135" s="5" t="s">
        <v>2251</v>
      </c>
      <c r="K2135" s="5" t="s">
        <v>2252</v>
      </c>
      <c r="L2135" s="5" t="n">
        <f aca="false">IF(G2135="High",3,IF(G2135="Medium",2,1))</f>
        <v>2</v>
      </c>
    </row>
    <row r="2136" customFormat="false" ht="15" hidden="false" customHeight="true" outlineLevel="0" collapsed="false">
      <c r="A2136" s="5" t="s">
        <v>4414</v>
      </c>
      <c r="B2136" s="5" t="s">
        <v>1694</v>
      </c>
      <c r="C2136" s="5" t="s">
        <v>2259</v>
      </c>
      <c r="D2136" s="5" t="s">
        <v>2285</v>
      </c>
      <c r="E2136" s="5" t="s">
        <v>54</v>
      </c>
      <c r="F2136" s="5" t="s">
        <v>59</v>
      </c>
      <c r="G2136" s="5" t="str">
        <f aca="false">INDEX(Risk_Matrix!$B$2:$D$4,MATCH(E2136,Risk_Matrix!$A$2:$A$4,0),MATCH(F2136,Risk_Matrix!$B$1:$D$1,0))</f>
        <v>Medium</v>
      </c>
      <c r="H2136" s="12" t="n">
        <v>46105</v>
      </c>
      <c r="I2136" s="5" t="s">
        <v>2250</v>
      </c>
      <c r="J2136" s="5" t="s">
        <v>2251</v>
      </c>
      <c r="K2136" s="5" t="s">
        <v>2266</v>
      </c>
      <c r="L2136" s="5" t="n">
        <f aca="false">IF(G2136="High",3,IF(G2136="Medium",2,1))</f>
        <v>2</v>
      </c>
    </row>
    <row r="2137" customFormat="false" ht="15" hidden="false" customHeight="true" outlineLevel="0" collapsed="false">
      <c r="A2137" s="5" t="s">
        <v>4415</v>
      </c>
      <c r="B2137" s="5" t="s">
        <v>1694</v>
      </c>
      <c r="C2137" s="5" t="s">
        <v>2254</v>
      </c>
      <c r="D2137" s="5" t="s">
        <v>2255</v>
      </c>
      <c r="E2137" s="5" t="s">
        <v>2225</v>
      </c>
      <c r="F2137" s="5" t="s">
        <v>59</v>
      </c>
      <c r="G2137" s="5" t="str">
        <f aca="false">INDEX(Risk_Matrix!$B$2:$D$4,MATCH(E2137,Risk_Matrix!$A$2:$A$4,0),MATCH(F2137,Risk_Matrix!$B$1:$D$1,0))</f>
        <v>Low</v>
      </c>
      <c r="H2137" s="12" t="n">
        <v>46213</v>
      </c>
      <c r="I2137" s="5" t="s">
        <v>2241</v>
      </c>
      <c r="J2137" s="5" t="s">
        <v>2242</v>
      </c>
      <c r="K2137" s="5" t="s">
        <v>2266</v>
      </c>
      <c r="L2137" s="5" t="n">
        <f aca="false">IF(G2137="High",3,IF(G2137="Medium",2,1))</f>
        <v>1</v>
      </c>
    </row>
    <row r="2138" customFormat="false" ht="15" hidden="false" customHeight="true" outlineLevel="0" collapsed="false">
      <c r="A2138" s="5" t="s">
        <v>4416</v>
      </c>
      <c r="B2138" s="5" t="s">
        <v>1696</v>
      </c>
      <c r="C2138" s="5" t="s">
        <v>2239</v>
      </c>
      <c r="D2138" s="5" t="s">
        <v>2278</v>
      </c>
      <c r="E2138" s="5" t="s">
        <v>59</v>
      </c>
      <c r="F2138" s="5" t="s">
        <v>59</v>
      </c>
      <c r="G2138" s="5" t="str">
        <f aca="false">INDEX(Risk_Matrix!$B$2:$D$4,MATCH(E2138,Risk_Matrix!$A$2:$A$4,0),MATCH(F2138,Risk_Matrix!$B$1:$D$1,0))</f>
        <v>Low</v>
      </c>
      <c r="H2138" s="12" t="n">
        <v>46217</v>
      </c>
      <c r="I2138" s="5" t="s">
        <v>2241</v>
      </c>
      <c r="J2138" s="5" t="s">
        <v>2242</v>
      </c>
      <c r="K2138" s="5" t="s">
        <v>2266</v>
      </c>
      <c r="L2138" s="5" t="n">
        <f aca="false">IF(G2138="High",3,IF(G2138="Medium",2,1))</f>
        <v>1</v>
      </c>
    </row>
    <row r="2139" customFormat="false" ht="15" hidden="false" customHeight="true" outlineLevel="0" collapsed="false">
      <c r="A2139" s="5" t="s">
        <v>4417</v>
      </c>
      <c r="B2139" s="5" t="s">
        <v>1696</v>
      </c>
      <c r="C2139" s="5" t="s">
        <v>2245</v>
      </c>
      <c r="D2139" s="5" t="s">
        <v>2320</v>
      </c>
      <c r="E2139" s="5" t="s">
        <v>54</v>
      </c>
      <c r="F2139" s="5" t="s">
        <v>2225</v>
      </c>
      <c r="G2139" s="5" t="str">
        <f aca="false">INDEX(Risk_Matrix!$B$2:$D$4,MATCH(E2139,Risk_Matrix!$A$2:$A$4,0),MATCH(F2139,Risk_Matrix!$B$1:$D$1,0))</f>
        <v>High</v>
      </c>
      <c r="H2139" s="12" t="n">
        <v>46200</v>
      </c>
      <c r="I2139" s="5" t="s">
        <v>2241</v>
      </c>
      <c r="J2139" s="5" t="s">
        <v>2242</v>
      </c>
      <c r="K2139" s="5" t="s">
        <v>2276</v>
      </c>
      <c r="L2139" s="5" t="n">
        <f aca="false">IF(G2139="High",3,IF(G2139="Medium",2,1))</f>
        <v>3</v>
      </c>
    </row>
    <row r="2140" customFormat="false" ht="15" hidden="false" customHeight="true" outlineLevel="0" collapsed="false">
      <c r="A2140" s="5" t="s">
        <v>4418</v>
      </c>
      <c r="B2140" s="5" t="s">
        <v>1696</v>
      </c>
      <c r="C2140" s="5" t="s">
        <v>2248</v>
      </c>
      <c r="D2140" s="5" t="s">
        <v>2322</v>
      </c>
      <c r="E2140" s="5" t="s">
        <v>2225</v>
      </c>
      <c r="F2140" s="5" t="s">
        <v>2225</v>
      </c>
      <c r="G2140" s="5" t="str">
        <f aca="false">INDEX(Risk_Matrix!$B$2:$D$4,MATCH(E2140,Risk_Matrix!$A$2:$A$4,0),MATCH(F2140,Risk_Matrix!$B$1:$D$1,0))</f>
        <v>Medium</v>
      </c>
      <c r="H2140" s="12" t="n">
        <v>46030</v>
      </c>
      <c r="I2140" s="5" t="s">
        <v>2241</v>
      </c>
      <c r="J2140" s="5" t="s">
        <v>2242</v>
      </c>
      <c r="K2140" s="5" t="s">
        <v>2276</v>
      </c>
      <c r="L2140" s="5" t="n">
        <f aca="false">IF(G2140="High",3,IF(G2140="Medium",2,1))</f>
        <v>2</v>
      </c>
    </row>
    <row r="2141" customFormat="false" ht="15" hidden="false" customHeight="true" outlineLevel="0" collapsed="false">
      <c r="A2141" s="5" t="s">
        <v>4419</v>
      </c>
      <c r="B2141" s="5" t="s">
        <v>1696</v>
      </c>
      <c r="C2141" s="5" t="s">
        <v>2262</v>
      </c>
      <c r="D2141" s="5" t="s">
        <v>2263</v>
      </c>
      <c r="E2141" s="5" t="s">
        <v>59</v>
      </c>
      <c r="F2141" s="5" t="s">
        <v>54</v>
      </c>
      <c r="G2141" s="5" t="str">
        <f aca="false">INDEX(Risk_Matrix!$B$2:$D$4,MATCH(E2141,Risk_Matrix!$A$2:$A$4,0),MATCH(F2141,Risk_Matrix!$B$1:$D$1,0))</f>
        <v>Medium</v>
      </c>
      <c r="H2141" s="12" t="n">
        <v>46206</v>
      </c>
      <c r="I2141" s="5" t="s">
        <v>2241</v>
      </c>
      <c r="J2141" s="5" t="s">
        <v>2242</v>
      </c>
      <c r="K2141" s="5" t="s">
        <v>2276</v>
      </c>
      <c r="L2141" s="5" t="n">
        <f aca="false">IF(G2141="High",3,IF(G2141="Medium",2,1))</f>
        <v>2</v>
      </c>
    </row>
    <row r="2142" customFormat="false" ht="15" hidden="false" customHeight="true" outlineLevel="0" collapsed="false">
      <c r="A2142" s="5" t="s">
        <v>4420</v>
      </c>
      <c r="B2142" s="5" t="s">
        <v>1696</v>
      </c>
      <c r="C2142" s="5" t="s">
        <v>2259</v>
      </c>
      <c r="D2142" s="5" t="s">
        <v>2285</v>
      </c>
      <c r="E2142" s="5" t="s">
        <v>54</v>
      </c>
      <c r="F2142" s="5" t="s">
        <v>2225</v>
      </c>
      <c r="G2142" s="5" t="str">
        <f aca="false">INDEX(Risk_Matrix!$B$2:$D$4,MATCH(E2142,Risk_Matrix!$A$2:$A$4,0),MATCH(F2142,Risk_Matrix!$B$1:$D$1,0))</f>
        <v>High</v>
      </c>
      <c r="H2142" s="12" t="n">
        <v>46202</v>
      </c>
      <c r="I2142" s="5" t="s">
        <v>2264</v>
      </c>
      <c r="J2142" s="5" t="s">
        <v>4087</v>
      </c>
      <c r="K2142" s="5" t="s">
        <v>2283</v>
      </c>
      <c r="L2142" s="5" t="n">
        <f aca="false">IF(G2142="High",3,IF(G2142="Medium",2,1))</f>
        <v>3</v>
      </c>
    </row>
    <row r="2143" customFormat="false" ht="15" hidden="false" customHeight="true" outlineLevel="0" collapsed="false">
      <c r="A2143" s="5" t="s">
        <v>4421</v>
      </c>
      <c r="B2143" s="5" t="s">
        <v>1696</v>
      </c>
      <c r="C2143" s="5" t="s">
        <v>2254</v>
      </c>
      <c r="D2143" s="5" t="s">
        <v>2299</v>
      </c>
      <c r="E2143" s="5" t="s">
        <v>59</v>
      </c>
      <c r="F2143" s="5" t="s">
        <v>54</v>
      </c>
      <c r="G2143" s="5" t="str">
        <f aca="false">INDEX(Risk_Matrix!$B$2:$D$4,MATCH(E2143,Risk_Matrix!$A$2:$A$4,0),MATCH(F2143,Risk_Matrix!$B$1:$D$1,0))</f>
        <v>Medium</v>
      </c>
      <c r="H2143" s="12" t="n">
        <v>46199</v>
      </c>
      <c r="I2143" s="5" t="s">
        <v>2256</v>
      </c>
      <c r="J2143" s="5" t="s">
        <v>4081</v>
      </c>
      <c r="K2143" s="5" t="s">
        <v>2243</v>
      </c>
      <c r="L2143" s="5" t="n">
        <f aca="false">IF(G2143="High",3,IF(G2143="Medium",2,1))</f>
        <v>2</v>
      </c>
    </row>
    <row r="2144" customFormat="false" ht="15" hidden="false" customHeight="true" outlineLevel="0" collapsed="false">
      <c r="A2144" s="5" t="s">
        <v>4422</v>
      </c>
      <c r="B2144" s="5" t="s">
        <v>1698</v>
      </c>
      <c r="C2144" s="5" t="s">
        <v>2239</v>
      </c>
      <c r="D2144" s="5" t="s">
        <v>2278</v>
      </c>
      <c r="E2144" s="5" t="s">
        <v>59</v>
      </c>
      <c r="F2144" s="5" t="s">
        <v>59</v>
      </c>
      <c r="G2144" s="5" t="str">
        <f aca="false">INDEX(Risk_Matrix!$B$2:$D$4,MATCH(E2144,Risk_Matrix!$A$2:$A$4,0),MATCH(F2144,Risk_Matrix!$B$1:$D$1,0))</f>
        <v>Low</v>
      </c>
      <c r="H2144" s="12" t="n">
        <v>46158</v>
      </c>
      <c r="I2144" s="5" t="s">
        <v>2250</v>
      </c>
      <c r="J2144" s="5" t="s">
        <v>2251</v>
      </c>
      <c r="K2144" s="5" t="s">
        <v>2243</v>
      </c>
      <c r="L2144" s="5" t="n">
        <f aca="false">IF(G2144="High",3,IF(G2144="Medium",2,1))</f>
        <v>1</v>
      </c>
    </row>
    <row r="2145" customFormat="false" ht="15" hidden="false" customHeight="true" outlineLevel="0" collapsed="false">
      <c r="A2145" s="5" t="s">
        <v>4423</v>
      </c>
      <c r="B2145" s="5" t="s">
        <v>1698</v>
      </c>
      <c r="C2145" s="5" t="s">
        <v>2245</v>
      </c>
      <c r="D2145" s="5" t="s">
        <v>2320</v>
      </c>
      <c r="E2145" s="5" t="s">
        <v>59</v>
      </c>
      <c r="F2145" s="5" t="s">
        <v>2225</v>
      </c>
      <c r="G2145" s="5" t="str">
        <f aca="false">INDEX(Risk_Matrix!$B$2:$D$4,MATCH(E2145,Risk_Matrix!$A$2:$A$4,0),MATCH(F2145,Risk_Matrix!$B$1:$D$1,0))</f>
        <v>Low</v>
      </c>
      <c r="H2145" s="12" t="n">
        <v>46070</v>
      </c>
      <c r="I2145" s="5" t="s">
        <v>2256</v>
      </c>
      <c r="J2145" s="5" t="s">
        <v>4081</v>
      </c>
      <c r="K2145" s="5" t="s">
        <v>2276</v>
      </c>
      <c r="L2145" s="5" t="n">
        <f aca="false">IF(G2145="High",3,IF(G2145="Medium",2,1))</f>
        <v>1</v>
      </c>
    </row>
    <row r="2146" customFormat="false" ht="15" hidden="false" customHeight="true" outlineLevel="0" collapsed="false">
      <c r="A2146" s="5" t="s">
        <v>4424</v>
      </c>
      <c r="B2146" s="5" t="s">
        <v>1698</v>
      </c>
      <c r="C2146" s="5" t="s">
        <v>2248</v>
      </c>
      <c r="D2146" s="5" t="s">
        <v>2306</v>
      </c>
      <c r="E2146" s="5" t="s">
        <v>59</v>
      </c>
      <c r="F2146" s="5" t="s">
        <v>2225</v>
      </c>
      <c r="G2146" s="5" t="str">
        <f aca="false">INDEX(Risk_Matrix!$B$2:$D$4,MATCH(E2146,Risk_Matrix!$A$2:$A$4,0),MATCH(F2146,Risk_Matrix!$B$1:$D$1,0))</f>
        <v>Low</v>
      </c>
      <c r="H2146" s="12" t="n">
        <v>46223</v>
      </c>
      <c r="I2146" s="5" t="s">
        <v>2264</v>
      </c>
      <c r="J2146" s="5" t="s">
        <v>4087</v>
      </c>
      <c r="K2146" s="5" t="s">
        <v>2283</v>
      </c>
      <c r="L2146" s="5" t="n">
        <f aca="false">IF(G2146="High",3,IF(G2146="Medium",2,1))</f>
        <v>1</v>
      </c>
    </row>
    <row r="2147" customFormat="false" ht="15" hidden="false" customHeight="true" outlineLevel="0" collapsed="false">
      <c r="A2147" s="5" t="s">
        <v>4425</v>
      </c>
      <c r="B2147" s="5" t="s">
        <v>1698</v>
      </c>
      <c r="C2147" s="5" t="s">
        <v>2262</v>
      </c>
      <c r="D2147" s="5" t="s">
        <v>2311</v>
      </c>
      <c r="E2147" s="5" t="s">
        <v>2225</v>
      </c>
      <c r="F2147" s="5" t="s">
        <v>2225</v>
      </c>
      <c r="G2147" s="5" t="str">
        <f aca="false">INDEX(Risk_Matrix!$B$2:$D$4,MATCH(E2147,Risk_Matrix!$A$2:$A$4,0),MATCH(F2147,Risk_Matrix!$B$1:$D$1,0))</f>
        <v>Medium</v>
      </c>
      <c r="H2147" s="12" t="n">
        <v>46094</v>
      </c>
      <c r="I2147" s="5" t="s">
        <v>2256</v>
      </c>
      <c r="J2147" s="5" t="s">
        <v>4081</v>
      </c>
      <c r="K2147" s="5" t="s">
        <v>2252</v>
      </c>
      <c r="L2147" s="5" t="n">
        <f aca="false">IF(G2147="High",3,IF(G2147="Medium",2,1))</f>
        <v>2</v>
      </c>
    </row>
    <row r="2148" customFormat="false" ht="15" hidden="false" customHeight="true" outlineLevel="0" collapsed="false">
      <c r="A2148" s="5" t="s">
        <v>4426</v>
      </c>
      <c r="B2148" s="5" t="s">
        <v>1698</v>
      </c>
      <c r="C2148" s="5" t="s">
        <v>2259</v>
      </c>
      <c r="D2148" s="5" t="s">
        <v>2260</v>
      </c>
      <c r="E2148" s="5" t="s">
        <v>59</v>
      </c>
      <c r="F2148" s="5" t="s">
        <v>54</v>
      </c>
      <c r="G2148" s="5" t="str">
        <f aca="false">INDEX(Risk_Matrix!$B$2:$D$4,MATCH(E2148,Risk_Matrix!$A$2:$A$4,0),MATCH(F2148,Risk_Matrix!$B$1:$D$1,0))</f>
        <v>Medium</v>
      </c>
      <c r="H2148" s="12" t="n">
        <v>46105</v>
      </c>
      <c r="I2148" s="5" t="s">
        <v>2256</v>
      </c>
      <c r="J2148" s="5" t="s">
        <v>4081</v>
      </c>
      <c r="K2148" s="5" t="s">
        <v>2243</v>
      </c>
      <c r="L2148" s="5" t="n">
        <f aca="false">IF(G2148="High",3,IF(G2148="Medium",2,1))</f>
        <v>2</v>
      </c>
    </row>
    <row r="2149" customFormat="false" ht="15" hidden="false" customHeight="true" outlineLevel="0" collapsed="false">
      <c r="A2149" s="5" t="s">
        <v>4427</v>
      </c>
      <c r="B2149" s="5" t="s">
        <v>1698</v>
      </c>
      <c r="C2149" s="5" t="s">
        <v>2254</v>
      </c>
      <c r="D2149" s="5" t="s">
        <v>2299</v>
      </c>
      <c r="E2149" s="5" t="s">
        <v>54</v>
      </c>
      <c r="F2149" s="5" t="s">
        <v>59</v>
      </c>
      <c r="G2149" s="5" t="str">
        <f aca="false">INDEX(Risk_Matrix!$B$2:$D$4,MATCH(E2149,Risk_Matrix!$A$2:$A$4,0),MATCH(F2149,Risk_Matrix!$B$1:$D$1,0))</f>
        <v>Medium</v>
      </c>
      <c r="H2149" s="12" t="n">
        <v>46151</v>
      </c>
      <c r="I2149" s="5" t="s">
        <v>2256</v>
      </c>
      <c r="J2149" s="5" t="s">
        <v>4081</v>
      </c>
      <c r="K2149" s="5" t="s">
        <v>2283</v>
      </c>
      <c r="L2149" s="5" t="n">
        <f aca="false">IF(G2149="High",3,IF(G2149="Medium",2,1))</f>
        <v>2</v>
      </c>
    </row>
    <row r="2150" customFormat="false" ht="15" hidden="false" customHeight="true" outlineLevel="0" collapsed="false">
      <c r="A2150" s="5" t="s">
        <v>4428</v>
      </c>
      <c r="B2150" s="5" t="s">
        <v>1700</v>
      </c>
      <c r="C2150" s="5" t="s">
        <v>2239</v>
      </c>
      <c r="D2150" s="5" t="s">
        <v>2240</v>
      </c>
      <c r="E2150" s="5" t="s">
        <v>2225</v>
      </c>
      <c r="F2150" s="5" t="s">
        <v>59</v>
      </c>
      <c r="G2150" s="5" t="str">
        <f aca="false">INDEX(Risk_Matrix!$B$2:$D$4,MATCH(E2150,Risk_Matrix!$A$2:$A$4,0),MATCH(F2150,Risk_Matrix!$B$1:$D$1,0))</f>
        <v>Low</v>
      </c>
      <c r="H2150" s="12" t="n">
        <v>46103</v>
      </c>
      <c r="I2150" s="5" t="s">
        <v>2256</v>
      </c>
      <c r="J2150" s="5" t="s">
        <v>4081</v>
      </c>
      <c r="K2150" s="5" t="s">
        <v>2252</v>
      </c>
      <c r="L2150" s="5" t="n">
        <f aca="false">IF(G2150="High",3,IF(G2150="Medium",2,1))</f>
        <v>1</v>
      </c>
    </row>
    <row r="2151" customFormat="false" ht="15" hidden="false" customHeight="true" outlineLevel="0" collapsed="false">
      <c r="A2151" s="5" t="s">
        <v>4429</v>
      </c>
      <c r="B2151" s="5" t="s">
        <v>1700</v>
      </c>
      <c r="C2151" s="5" t="s">
        <v>2245</v>
      </c>
      <c r="D2151" s="5" t="s">
        <v>2320</v>
      </c>
      <c r="E2151" s="5" t="s">
        <v>59</v>
      </c>
      <c r="F2151" s="5" t="s">
        <v>59</v>
      </c>
      <c r="G2151" s="5" t="str">
        <f aca="false">INDEX(Risk_Matrix!$B$2:$D$4,MATCH(E2151,Risk_Matrix!$A$2:$A$4,0),MATCH(F2151,Risk_Matrix!$B$1:$D$1,0))</f>
        <v>Low</v>
      </c>
      <c r="H2151" s="12" t="n">
        <v>46129</v>
      </c>
      <c r="I2151" s="5" t="s">
        <v>2250</v>
      </c>
      <c r="J2151" s="5" t="s">
        <v>2251</v>
      </c>
      <c r="K2151" s="5" t="s">
        <v>2243</v>
      </c>
      <c r="L2151" s="5" t="n">
        <f aca="false">IF(G2151="High",3,IF(G2151="Medium",2,1))</f>
        <v>1</v>
      </c>
    </row>
    <row r="2152" customFormat="false" ht="15" hidden="false" customHeight="true" outlineLevel="0" collapsed="false">
      <c r="A2152" s="5" t="s">
        <v>4430</v>
      </c>
      <c r="B2152" s="5" t="s">
        <v>1700</v>
      </c>
      <c r="C2152" s="5" t="s">
        <v>2248</v>
      </c>
      <c r="D2152" s="5" t="s">
        <v>2306</v>
      </c>
      <c r="E2152" s="5" t="s">
        <v>59</v>
      </c>
      <c r="F2152" s="5" t="s">
        <v>59</v>
      </c>
      <c r="G2152" s="5" t="str">
        <f aca="false">INDEX(Risk_Matrix!$B$2:$D$4,MATCH(E2152,Risk_Matrix!$A$2:$A$4,0),MATCH(F2152,Risk_Matrix!$B$1:$D$1,0))</f>
        <v>Low</v>
      </c>
      <c r="H2152" s="12" t="n">
        <v>46077</v>
      </c>
      <c r="I2152" s="5" t="s">
        <v>2256</v>
      </c>
      <c r="J2152" s="5" t="s">
        <v>4081</v>
      </c>
      <c r="K2152" s="5" t="s">
        <v>2276</v>
      </c>
      <c r="L2152" s="5" t="n">
        <f aca="false">IF(G2152="High",3,IF(G2152="Medium",2,1))</f>
        <v>1</v>
      </c>
    </row>
    <row r="2153" customFormat="false" ht="15" hidden="false" customHeight="true" outlineLevel="0" collapsed="false">
      <c r="A2153" s="5" t="s">
        <v>4431</v>
      </c>
      <c r="B2153" s="5" t="s">
        <v>1700</v>
      </c>
      <c r="C2153" s="5" t="s">
        <v>2262</v>
      </c>
      <c r="D2153" s="5" t="s">
        <v>2311</v>
      </c>
      <c r="E2153" s="5" t="s">
        <v>54</v>
      </c>
      <c r="F2153" s="5" t="s">
        <v>54</v>
      </c>
      <c r="G2153" s="5" t="str">
        <f aca="false">INDEX(Risk_Matrix!$B$2:$D$4,MATCH(E2153,Risk_Matrix!$A$2:$A$4,0),MATCH(F2153,Risk_Matrix!$B$1:$D$1,0))</f>
        <v>High</v>
      </c>
      <c r="H2153" s="12" t="n">
        <v>46058</v>
      </c>
      <c r="I2153" s="5" t="s">
        <v>2264</v>
      </c>
      <c r="J2153" s="5" t="s">
        <v>4087</v>
      </c>
      <c r="K2153" s="5" t="s">
        <v>2276</v>
      </c>
      <c r="L2153" s="5" t="n">
        <f aca="false">IF(G2153="High",3,IF(G2153="Medium",2,1))</f>
        <v>3</v>
      </c>
    </row>
    <row r="2154" customFormat="false" ht="15" hidden="false" customHeight="true" outlineLevel="0" collapsed="false">
      <c r="A2154" s="5" t="s">
        <v>4432</v>
      </c>
      <c r="B2154" s="5" t="s">
        <v>1700</v>
      </c>
      <c r="C2154" s="5" t="s">
        <v>2259</v>
      </c>
      <c r="D2154" s="5" t="s">
        <v>2274</v>
      </c>
      <c r="E2154" s="5" t="s">
        <v>59</v>
      </c>
      <c r="F2154" s="5" t="s">
        <v>59</v>
      </c>
      <c r="G2154" s="5" t="str">
        <f aca="false">INDEX(Risk_Matrix!$B$2:$D$4,MATCH(E2154,Risk_Matrix!$A$2:$A$4,0),MATCH(F2154,Risk_Matrix!$B$1:$D$1,0))</f>
        <v>Low</v>
      </c>
      <c r="H2154" s="12" t="n">
        <v>46147</v>
      </c>
      <c r="I2154" s="5" t="s">
        <v>2250</v>
      </c>
      <c r="J2154" s="5" t="s">
        <v>2251</v>
      </c>
      <c r="K2154" s="5" t="s">
        <v>2243</v>
      </c>
      <c r="L2154" s="5" t="n">
        <f aca="false">IF(G2154="High",3,IF(G2154="Medium",2,1))</f>
        <v>1</v>
      </c>
    </row>
    <row r="2155" customFormat="false" ht="15" hidden="false" customHeight="true" outlineLevel="0" collapsed="false">
      <c r="A2155" s="5" t="s">
        <v>4433</v>
      </c>
      <c r="B2155" s="5" t="s">
        <v>1700</v>
      </c>
      <c r="C2155" s="5" t="s">
        <v>2254</v>
      </c>
      <c r="D2155" s="5" t="s">
        <v>2255</v>
      </c>
      <c r="E2155" s="5" t="s">
        <v>2225</v>
      </c>
      <c r="F2155" s="5" t="s">
        <v>2225</v>
      </c>
      <c r="G2155" s="5" t="str">
        <f aca="false">INDEX(Risk_Matrix!$B$2:$D$4,MATCH(E2155,Risk_Matrix!$A$2:$A$4,0),MATCH(F2155,Risk_Matrix!$B$1:$D$1,0))</f>
        <v>Medium</v>
      </c>
      <c r="H2155" s="12" t="n">
        <v>46073</v>
      </c>
      <c r="I2155" s="5" t="s">
        <v>2250</v>
      </c>
      <c r="J2155" s="5" t="s">
        <v>2251</v>
      </c>
      <c r="K2155" s="5" t="s">
        <v>2276</v>
      </c>
      <c r="L2155" s="5" t="n">
        <f aca="false">IF(G2155="High",3,IF(G2155="Medium",2,1))</f>
        <v>2</v>
      </c>
    </row>
    <row r="2156" customFormat="false" ht="15" hidden="false" customHeight="true" outlineLevel="0" collapsed="false">
      <c r="A2156" s="5" t="s">
        <v>4434</v>
      </c>
      <c r="B2156" s="5" t="s">
        <v>1702</v>
      </c>
      <c r="C2156" s="5" t="s">
        <v>2239</v>
      </c>
      <c r="D2156" s="5" t="s">
        <v>2295</v>
      </c>
      <c r="E2156" s="5" t="s">
        <v>59</v>
      </c>
      <c r="F2156" s="5" t="s">
        <v>2225</v>
      </c>
      <c r="G2156" s="5" t="str">
        <f aca="false">INDEX(Risk_Matrix!$B$2:$D$4,MATCH(E2156,Risk_Matrix!$A$2:$A$4,0),MATCH(F2156,Risk_Matrix!$B$1:$D$1,0))</f>
        <v>Low</v>
      </c>
      <c r="H2156" s="12" t="n">
        <v>46062</v>
      </c>
      <c r="I2156" s="5" t="s">
        <v>2256</v>
      </c>
      <c r="J2156" s="5" t="s">
        <v>4081</v>
      </c>
      <c r="K2156" s="5" t="s">
        <v>2243</v>
      </c>
      <c r="L2156" s="5" t="n">
        <f aca="false">IF(G2156="High",3,IF(G2156="Medium",2,1))</f>
        <v>1</v>
      </c>
    </row>
    <row r="2157" customFormat="false" ht="15" hidden="false" customHeight="true" outlineLevel="0" collapsed="false">
      <c r="A2157" s="5" t="s">
        <v>4435</v>
      </c>
      <c r="B2157" s="5" t="s">
        <v>1702</v>
      </c>
      <c r="C2157" s="5" t="s">
        <v>2245</v>
      </c>
      <c r="D2157" s="5" t="s">
        <v>2320</v>
      </c>
      <c r="E2157" s="5" t="s">
        <v>54</v>
      </c>
      <c r="F2157" s="5" t="s">
        <v>2225</v>
      </c>
      <c r="G2157" s="5" t="str">
        <f aca="false">INDEX(Risk_Matrix!$B$2:$D$4,MATCH(E2157,Risk_Matrix!$A$2:$A$4,0),MATCH(F2157,Risk_Matrix!$B$1:$D$1,0))</f>
        <v>High</v>
      </c>
      <c r="H2157" s="12" t="n">
        <v>46208</v>
      </c>
      <c r="I2157" s="5" t="s">
        <v>2241</v>
      </c>
      <c r="J2157" s="5" t="s">
        <v>2242</v>
      </c>
      <c r="K2157" s="5" t="s">
        <v>2252</v>
      </c>
      <c r="L2157" s="5" t="n">
        <f aca="false">IF(G2157="High",3,IF(G2157="Medium",2,1))</f>
        <v>3</v>
      </c>
    </row>
    <row r="2158" customFormat="false" ht="15" hidden="false" customHeight="true" outlineLevel="0" collapsed="false">
      <c r="A2158" s="5" t="s">
        <v>4436</v>
      </c>
      <c r="B2158" s="5" t="s">
        <v>1702</v>
      </c>
      <c r="C2158" s="5" t="s">
        <v>2248</v>
      </c>
      <c r="D2158" s="5" t="s">
        <v>2322</v>
      </c>
      <c r="E2158" s="5" t="s">
        <v>59</v>
      </c>
      <c r="F2158" s="5" t="s">
        <v>59</v>
      </c>
      <c r="G2158" s="5" t="str">
        <f aca="false">INDEX(Risk_Matrix!$B$2:$D$4,MATCH(E2158,Risk_Matrix!$A$2:$A$4,0),MATCH(F2158,Risk_Matrix!$B$1:$D$1,0))</f>
        <v>Low</v>
      </c>
      <c r="H2158" s="12" t="n">
        <v>46061</v>
      </c>
      <c r="I2158" s="5" t="s">
        <v>2250</v>
      </c>
      <c r="J2158" s="5" t="s">
        <v>2251</v>
      </c>
      <c r="K2158" s="5" t="s">
        <v>2266</v>
      </c>
      <c r="L2158" s="5" t="n">
        <f aca="false">IF(G2158="High",3,IF(G2158="Medium",2,1))</f>
        <v>1</v>
      </c>
    </row>
    <row r="2159" customFormat="false" ht="15" hidden="false" customHeight="true" outlineLevel="0" collapsed="false">
      <c r="A2159" s="5" t="s">
        <v>4437</v>
      </c>
      <c r="B2159" s="5" t="s">
        <v>1702</v>
      </c>
      <c r="C2159" s="5" t="s">
        <v>2262</v>
      </c>
      <c r="D2159" s="5" t="s">
        <v>2287</v>
      </c>
      <c r="E2159" s="5" t="s">
        <v>2225</v>
      </c>
      <c r="F2159" s="5" t="s">
        <v>54</v>
      </c>
      <c r="G2159" s="5" t="str">
        <f aca="false">INDEX(Risk_Matrix!$B$2:$D$4,MATCH(E2159,Risk_Matrix!$A$2:$A$4,0),MATCH(F2159,Risk_Matrix!$B$1:$D$1,0))</f>
        <v>High</v>
      </c>
      <c r="H2159" s="12" t="n">
        <v>46068</v>
      </c>
      <c r="I2159" s="5" t="s">
        <v>2250</v>
      </c>
      <c r="J2159" s="5" t="s">
        <v>2251</v>
      </c>
      <c r="K2159" s="5" t="s">
        <v>2266</v>
      </c>
      <c r="L2159" s="5" t="n">
        <f aca="false">IF(G2159="High",3,IF(G2159="Medium",2,1))</f>
        <v>3</v>
      </c>
    </row>
    <row r="2160" customFormat="false" ht="15" hidden="false" customHeight="true" outlineLevel="0" collapsed="false">
      <c r="A2160" s="5" t="s">
        <v>4438</v>
      </c>
      <c r="B2160" s="5" t="s">
        <v>1702</v>
      </c>
      <c r="C2160" s="5" t="s">
        <v>2259</v>
      </c>
      <c r="D2160" s="5" t="s">
        <v>2285</v>
      </c>
      <c r="E2160" s="5" t="s">
        <v>59</v>
      </c>
      <c r="F2160" s="5" t="s">
        <v>2225</v>
      </c>
      <c r="G2160" s="5" t="str">
        <f aca="false">INDEX(Risk_Matrix!$B$2:$D$4,MATCH(E2160,Risk_Matrix!$A$2:$A$4,0),MATCH(F2160,Risk_Matrix!$B$1:$D$1,0))</f>
        <v>Low</v>
      </c>
      <c r="H2160" s="12" t="n">
        <v>46134</v>
      </c>
      <c r="I2160" s="5" t="s">
        <v>2250</v>
      </c>
      <c r="J2160" s="5" t="s">
        <v>2251</v>
      </c>
      <c r="K2160" s="5" t="s">
        <v>2266</v>
      </c>
      <c r="L2160" s="5" t="n">
        <f aca="false">IF(G2160="High",3,IF(G2160="Medium",2,1))</f>
        <v>1</v>
      </c>
    </row>
    <row r="2161" customFormat="false" ht="15" hidden="false" customHeight="true" outlineLevel="0" collapsed="false">
      <c r="A2161" s="5" t="s">
        <v>4439</v>
      </c>
      <c r="B2161" s="5" t="s">
        <v>1702</v>
      </c>
      <c r="C2161" s="5" t="s">
        <v>2254</v>
      </c>
      <c r="D2161" s="5" t="s">
        <v>2255</v>
      </c>
      <c r="E2161" s="5" t="s">
        <v>54</v>
      </c>
      <c r="F2161" s="5" t="s">
        <v>2225</v>
      </c>
      <c r="G2161" s="5" t="str">
        <f aca="false">INDEX(Risk_Matrix!$B$2:$D$4,MATCH(E2161,Risk_Matrix!$A$2:$A$4,0),MATCH(F2161,Risk_Matrix!$B$1:$D$1,0))</f>
        <v>High</v>
      </c>
      <c r="H2161" s="12" t="n">
        <v>46219</v>
      </c>
      <c r="I2161" s="5" t="s">
        <v>2264</v>
      </c>
      <c r="J2161" s="5" t="s">
        <v>4087</v>
      </c>
      <c r="K2161" s="5" t="s">
        <v>2252</v>
      </c>
      <c r="L2161" s="5" t="n">
        <f aca="false">IF(G2161="High",3,IF(G2161="Medium",2,1))</f>
        <v>3</v>
      </c>
    </row>
    <row r="2162" customFormat="false" ht="15" hidden="false" customHeight="true" outlineLevel="0" collapsed="false">
      <c r="A2162" s="5" t="s">
        <v>4440</v>
      </c>
      <c r="B2162" s="5" t="s">
        <v>1704</v>
      </c>
      <c r="C2162" s="5" t="s">
        <v>2239</v>
      </c>
      <c r="D2162" s="5" t="s">
        <v>2303</v>
      </c>
      <c r="E2162" s="5" t="s">
        <v>54</v>
      </c>
      <c r="F2162" s="5" t="s">
        <v>54</v>
      </c>
      <c r="G2162" s="5" t="str">
        <f aca="false">INDEX(Risk_Matrix!$B$2:$D$4,MATCH(E2162,Risk_Matrix!$A$2:$A$4,0),MATCH(F2162,Risk_Matrix!$B$1:$D$1,0))</f>
        <v>High</v>
      </c>
      <c r="H2162" s="12" t="n">
        <v>46055</v>
      </c>
      <c r="I2162" s="5" t="s">
        <v>2256</v>
      </c>
      <c r="J2162" s="5" t="s">
        <v>4081</v>
      </c>
      <c r="K2162" s="5" t="s">
        <v>2243</v>
      </c>
      <c r="L2162" s="5" t="n">
        <f aca="false">IF(G2162="High",3,IF(G2162="Medium",2,1))</f>
        <v>3</v>
      </c>
    </row>
    <row r="2163" customFormat="false" ht="15" hidden="false" customHeight="true" outlineLevel="0" collapsed="false">
      <c r="A2163" s="5" t="s">
        <v>4441</v>
      </c>
      <c r="B2163" s="5" t="s">
        <v>1704</v>
      </c>
      <c r="C2163" s="5" t="s">
        <v>2245</v>
      </c>
      <c r="D2163" s="5" t="s">
        <v>2280</v>
      </c>
      <c r="E2163" s="5" t="s">
        <v>59</v>
      </c>
      <c r="F2163" s="5" t="s">
        <v>59</v>
      </c>
      <c r="G2163" s="5" t="str">
        <f aca="false">INDEX(Risk_Matrix!$B$2:$D$4,MATCH(E2163,Risk_Matrix!$A$2:$A$4,0),MATCH(F2163,Risk_Matrix!$B$1:$D$1,0))</f>
        <v>Low</v>
      </c>
      <c r="H2163" s="12" t="n">
        <v>46155</v>
      </c>
      <c r="I2163" s="5" t="s">
        <v>2264</v>
      </c>
      <c r="J2163" s="5" t="s">
        <v>4087</v>
      </c>
      <c r="K2163" s="5" t="s">
        <v>2252</v>
      </c>
      <c r="L2163" s="5" t="n">
        <f aca="false">IF(G2163="High",3,IF(G2163="Medium",2,1))</f>
        <v>1</v>
      </c>
    </row>
    <row r="2164" customFormat="false" ht="15" hidden="false" customHeight="true" outlineLevel="0" collapsed="false">
      <c r="A2164" s="5" t="s">
        <v>4442</v>
      </c>
      <c r="B2164" s="5" t="s">
        <v>1704</v>
      </c>
      <c r="C2164" s="5" t="s">
        <v>2248</v>
      </c>
      <c r="D2164" s="5" t="s">
        <v>2271</v>
      </c>
      <c r="E2164" s="5" t="s">
        <v>54</v>
      </c>
      <c r="F2164" s="5" t="s">
        <v>59</v>
      </c>
      <c r="G2164" s="5" t="str">
        <f aca="false">INDEX(Risk_Matrix!$B$2:$D$4,MATCH(E2164,Risk_Matrix!$A$2:$A$4,0),MATCH(F2164,Risk_Matrix!$B$1:$D$1,0))</f>
        <v>Medium</v>
      </c>
      <c r="H2164" s="12" t="n">
        <v>46136</v>
      </c>
      <c r="I2164" s="5" t="s">
        <v>2241</v>
      </c>
      <c r="J2164" s="5" t="s">
        <v>2242</v>
      </c>
      <c r="K2164" s="5" t="s">
        <v>2252</v>
      </c>
      <c r="L2164" s="5" t="n">
        <f aca="false">IF(G2164="High",3,IF(G2164="Medium",2,1))</f>
        <v>2</v>
      </c>
    </row>
    <row r="2165" customFormat="false" ht="15" hidden="false" customHeight="true" outlineLevel="0" collapsed="false">
      <c r="A2165" s="5" t="s">
        <v>4443</v>
      </c>
      <c r="B2165" s="5" t="s">
        <v>1704</v>
      </c>
      <c r="C2165" s="5" t="s">
        <v>2262</v>
      </c>
      <c r="D2165" s="5" t="s">
        <v>2263</v>
      </c>
      <c r="E2165" s="5" t="s">
        <v>54</v>
      </c>
      <c r="F2165" s="5" t="s">
        <v>59</v>
      </c>
      <c r="G2165" s="5" t="str">
        <f aca="false">INDEX(Risk_Matrix!$B$2:$D$4,MATCH(E2165,Risk_Matrix!$A$2:$A$4,0),MATCH(F2165,Risk_Matrix!$B$1:$D$1,0))</f>
        <v>Medium</v>
      </c>
      <c r="H2165" s="12" t="n">
        <v>46101</v>
      </c>
      <c r="I2165" s="5" t="s">
        <v>2256</v>
      </c>
      <c r="J2165" s="5" t="s">
        <v>4081</v>
      </c>
      <c r="K2165" s="5" t="s">
        <v>2276</v>
      </c>
      <c r="L2165" s="5" t="n">
        <f aca="false">IF(G2165="High",3,IF(G2165="Medium",2,1))</f>
        <v>2</v>
      </c>
    </row>
    <row r="2166" customFormat="false" ht="15" hidden="false" customHeight="true" outlineLevel="0" collapsed="false">
      <c r="A2166" s="5" t="s">
        <v>4444</v>
      </c>
      <c r="B2166" s="5" t="s">
        <v>1704</v>
      </c>
      <c r="C2166" s="5" t="s">
        <v>2259</v>
      </c>
      <c r="D2166" s="5" t="s">
        <v>2274</v>
      </c>
      <c r="E2166" s="5" t="s">
        <v>2225</v>
      </c>
      <c r="F2166" s="5" t="s">
        <v>59</v>
      </c>
      <c r="G2166" s="5" t="str">
        <f aca="false">INDEX(Risk_Matrix!$B$2:$D$4,MATCH(E2166,Risk_Matrix!$A$2:$A$4,0),MATCH(F2166,Risk_Matrix!$B$1:$D$1,0))</f>
        <v>Low</v>
      </c>
      <c r="H2166" s="12" t="n">
        <v>46185</v>
      </c>
      <c r="I2166" s="5" t="s">
        <v>2256</v>
      </c>
      <c r="J2166" s="5" t="s">
        <v>4081</v>
      </c>
      <c r="K2166" s="5" t="s">
        <v>2243</v>
      </c>
      <c r="L2166" s="5" t="n">
        <f aca="false">IF(G2166="High",3,IF(G2166="Medium",2,1))</f>
        <v>1</v>
      </c>
    </row>
    <row r="2167" customFormat="false" ht="15" hidden="false" customHeight="true" outlineLevel="0" collapsed="false">
      <c r="A2167" s="5" t="s">
        <v>4445</v>
      </c>
      <c r="B2167" s="5" t="s">
        <v>1704</v>
      </c>
      <c r="C2167" s="5" t="s">
        <v>2254</v>
      </c>
      <c r="D2167" s="5" t="s">
        <v>2308</v>
      </c>
      <c r="E2167" s="5" t="s">
        <v>54</v>
      </c>
      <c r="F2167" s="5" t="s">
        <v>54</v>
      </c>
      <c r="G2167" s="5" t="str">
        <f aca="false">INDEX(Risk_Matrix!$B$2:$D$4,MATCH(E2167,Risk_Matrix!$A$2:$A$4,0),MATCH(F2167,Risk_Matrix!$B$1:$D$1,0))</f>
        <v>High</v>
      </c>
      <c r="H2167" s="12" t="n">
        <v>46098</v>
      </c>
      <c r="I2167" s="5" t="s">
        <v>2264</v>
      </c>
      <c r="J2167" s="5" t="s">
        <v>4087</v>
      </c>
      <c r="K2167" s="5" t="s">
        <v>2243</v>
      </c>
      <c r="L2167" s="5" t="n">
        <f aca="false">IF(G2167="High",3,IF(G2167="Medium",2,1))</f>
        <v>3</v>
      </c>
    </row>
    <row r="2168" customFormat="false" ht="15" hidden="false" customHeight="true" outlineLevel="0" collapsed="false">
      <c r="A2168" s="5" t="s">
        <v>4446</v>
      </c>
      <c r="B2168" s="5" t="s">
        <v>1706</v>
      </c>
      <c r="C2168" s="5" t="s">
        <v>2239</v>
      </c>
      <c r="D2168" s="5" t="s">
        <v>2240</v>
      </c>
      <c r="E2168" s="5" t="s">
        <v>2225</v>
      </c>
      <c r="F2168" s="5" t="s">
        <v>54</v>
      </c>
      <c r="G2168" s="5" t="str">
        <f aca="false">INDEX(Risk_Matrix!$B$2:$D$4,MATCH(E2168,Risk_Matrix!$A$2:$A$4,0),MATCH(F2168,Risk_Matrix!$B$1:$D$1,0))</f>
        <v>High</v>
      </c>
      <c r="H2168" s="12" t="n">
        <v>46077</v>
      </c>
      <c r="I2168" s="5" t="s">
        <v>2264</v>
      </c>
      <c r="J2168" s="5" t="s">
        <v>4087</v>
      </c>
      <c r="K2168" s="5" t="s">
        <v>2276</v>
      </c>
      <c r="L2168" s="5" t="n">
        <f aca="false">IF(G2168="High",3,IF(G2168="Medium",2,1))</f>
        <v>3</v>
      </c>
    </row>
    <row r="2169" customFormat="false" ht="15" hidden="false" customHeight="true" outlineLevel="0" collapsed="false">
      <c r="A2169" s="5" t="s">
        <v>4447</v>
      </c>
      <c r="B2169" s="5" t="s">
        <v>1706</v>
      </c>
      <c r="C2169" s="5" t="s">
        <v>2245</v>
      </c>
      <c r="D2169" s="5" t="s">
        <v>2269</v>
      </c>
      <c r="E2169" s="5" t="s">
        <v>54</v>
      </c>
      <c r="F2169" s="5" t="s">
        <v>59</v>
      </c>
      <c r="G2169" s="5" t="str">
        <f aca="false">INDEX(Risk_Matrix!$B$2:$D$4,MATCH(E2169,Risk_Matrix!$A$2:$A$4,0),MATCH(F2169,Risk_Matrix!$B$1:$D$1,0))</f>
        <v>Medium</v>
      </c>
      <c r="H2169" s="12" t="n">
        <v>46178</v>
      </c>
      <c r="I2169" s="5" t="s">
        <v>2264</v>
      </c>
      <c r="J2169" s="5" t="s">
        <v>4087</v>
      </c>
      <c r="K2169" s="5" t="s">
        <v>2243</v>
      </c>
      <c r="L2169" s="5" t="n">
        <f aca="false">IF(G2169="High",3,IF(G2169="Medium",2,1))</f>
        <v>2</v>
      </c>
    </row>
    <row r="2170" customFormat="false" ht="15" hidden="false" customHeight="true" outlineLevel="0" collapsed="false">
      <c r="A2170" s="5" t="s">
        <v>4448</v>
      </c>
      <c r="B2170" s="5" t="s">
        <v>1706</v>
      </c>
      <c r="C2170" s="5" t="s">
        <v>2248</v>
      </c>
      <c r="D2170" s="5" t="s">
        <v>2322</v>
      </c>
      <c r="E2170" s="5" t="s">
        <v>59</v>
      </c>
      <c r="F2170" s="5" t="s">
        <v>59</v>
      </c>
      <c r="G2170" s="5" t="str">
        <f aca="false">INDEX(Risk_Matrix!$B$2:$D$4,MATCH(E2170,Risk_Matrix!$A$2:$A$4,0),MATCH(F2170,Risk_Matrix!$B$1:$D$1,0))</f>
        <v>Low</v>
      </c>
      <c r="H2170" s="12" t="n">
        <v>46036</v>
      </c>
      <c r="I2170" s="5" t="s">
        <v>2264</v>
      </c>
      <c r="J2170" s="5" t="s">
        <v>4087</v>
      </c>
      <c r="K2170" s="5" t="s">
        <v>2276</v>
      </c>
      <c r="L2170" s="5" t="n">
        <f aca="false">IF(G2170="High",3,IF(G2170="Medium",2,1))</f>
        <v>1</v>
      </c>
    </row>
    <row r="2171" customFormat="false" ht="15" hidden="false" customHeight="true" outlineLevel="0" collapsed="false">
      <c r="A2171" s="5" t="s">
        <v>4449</v>
      </c>
      <c r="B2171" s="5" t="s">
        <v>1706</v>
      </c>
      <c r="C2171" s="5" t="s">
        <v>2262</v>
      </c>
      <c r="D2171" s="5" t="s">
        <v>2287</v>
      </c>
      <c r="E2171" s="5" t="s">
        <v>59</v>
      </c>
      <c r="F2171" s="5" t="s">
        <v>59</v>
      </c>
      <c r="G2171" s="5" t="str">
        <f aca="false">INDEX(Risk_Matrix!$B$2:$D$4,MATCH(E2171,Risk_Matrix!$A$2:$A$4,0),MATCH(F2171,Risk_Matrix!$B$1:$D$1,0))</f>
        <v>Low</v>
      </c>
      <c r="H2171" s="12" t="n">
        <v>46184</v>
      </c>
      <c r="I2171" s="5" t="s">
        <v>2256</v>
      </c>
      <c r="J2171" s="5" t="s">
        <v>4081</v>
      </c>
      <c r="K2171" s="5" t="s">
        <v>2266</v>
      </c>
      <c r="L2171" s="5" t="n">
        <f aca="false">IF(G2171="High",3,IF(G2171="Medium",2,1))</f>
        <v>1</v>
      </c>
    </row>
    <row r="2172" customFormat="false" ht="15" hidden="false" customHeight="true" outlineLevel="0" collapsed="false">
      <c r="A2172" s="5" t="s">
        <v>4450</v>
      </c>
      <c r="B2172" s="5" t="s">
        <v>1706</v>
      </c>
      <c r="C2172" s="5" t="s">
        <v>2259</v>
      </c>
      <c r="D2172" s="5" t="s">
        <v>2260</v>
      </c>
      <c r="E2172" s="5" t="s">
        <v>59</v>
      </c>
      <c r="F2172" s="5" t="s">
        <v>59</v>
      </c>
      <c r="G2172" s="5" t="str">
        <f aca="false">INDEX(Risk_Matrix!$B$2:$D$4,MATCH(E2172,Risk_Matrix!$A$2:$A$4,0),MATCH(F2172,Risk_Matrix!$B$1:$D$1,0))</f>
        <v>Low</v>
      </c>
      <c r="H2172" s="12" t="n">
        <v>46161</v>
      </c>
      <c r="I2172" s="5" t="s">
        <v>2256</v>
      </c>
      <c r="J2172" s="5" t="s">
        <v>4081</v>
      </c>
      <c r="K2172" s="5" t="s">
        <v>2276</v>
      </c>
      <c r="L2172" s="5" t="n">
        <f aca="false">IF(G2172="High",3,IF(G2172="Medium",2,1))</f>
        <v>1</v>
      </c>
    </row>
    <row r="2173" customFormat="false" ht="15" hidden="false" customHeight="true" outlineLevel="0" collapsed="false">
      <c r="A2173" s="5" t="s">
        <v>4451</v>
      </c>
      <c r="B2173" s="5" t="s">
        <v>1706</v>
      </c>
      <c r="C2173" s="5" t="s">
        <v>2254</v>
      </c>
      <c r="D2173" s="5" t="s">
        <v>2255</v>
      </c>
      <c r="E2173" s="5" t="s">
        <v>54</v>
      </c>
      <c r="F2173" s="5" t="s">
        <v>54</v>
      </c>
      <c r="G2173" s="5" t="str">
        <f aca="false">INDEX(Risk_Matrix!$B$2:$D$4,MATCH(E2173,Risk_Matrix!$A$2:$A$4,0),MATCH(F2173,Risk_Matrix!$B$1:$D$1,0))</f>
        <v>High</v>
      </c>
      <c r="H2173" s="12" t="n">
        <v>46113</v>
      </c>
      <c r="I2173" s="5" t="s">
        <v>2264</v>
      </c>
      <c r="J2173" s="5" t="s">
        <v>4087</v>
      </c>
      <c r="K2173" s="5" t="s">
        <v>2243</v>
      </c>
      <c r="L2173" s="5" t="n">
        <f aca="false">IF(G2173="High",3,IF(G2173="Medium",2,1))</f>
        <v>3</v>
      </c>
    </row>
    <row r="2174" customFormat="false" ht="15" hidden="false" customHeight="true" outlineLevel="0" collapsed="false">
      <c r="A2174" s="5" t="s">
        <v>4452</v>
      </c>
      <c r="B2174" s="5" t="s">
        <v>1709</v>
      </c>
      <c r="C2174" s="5" t="s">
        <v>2239</v>
      </c>
      <c r="D2174" s="5" t="s">
        <v>2303</v>
      </c>
      <c r="E2174" s="5" t="s">
        <v>2225</v>
      </c>
      <c r="F2174" s="5" t="s">
        <v>59</v>
      </c>
      <c r="G2174" s="5" t="str">
        <f aca="false">INDEX(Risk_Matrix!$B$2:$D$4,MATCH(E2174,Risk_Matrix!$A$2:$A$4,0),MATCH(F2174,Risk_Matrix!$B$1:$D$1,0))</f>
        <v>Low</v>
      </c>
      <c r="H2174" s="12" t="n">
        <v>46104</v>
      </c>
      <c r="I2174" s="5" t="s">
        <v>2256</v>
      </c>
      <c r="J2174" s="5" t="s">
        <v>4081</v>
      </c>
      <c r="K2174" s="5" t="s">
        <v>2266</v>
      </c>
      <c r="L2174" s="5" t="n">
        <f aca="false">IF(G2174="High",3,IF(G2174="Medium",2,1))</f>
        <v>1</v>
      </c>
    </row>
    <row r="2175" customFormat="false" ht="15" hidden="false" customHeight="true" outlineLevel="0" collapsed="false">
      <c r="A2175" s="5" t="s">
        <v>4453</v>
      </c>
      <c r="B2175" s="5" t="s">
        <v>1709</v>
      </c>
      <c r="C2175" s="5" t="s">
        <v>2245</v>
      </c>
      <c r="D2175" s="5" t="s">
        <v>2280</v>
      </c>
      <c r="E2175" s="5" t="s">
        <v>2225</v>
      </c>
      <c r="F2175" s="5" t="s">
        <v>2225</v>
      </c>
      <c r="G2175" s="5" t="str">
        <f aca="false">INDEX(Risk_Matrix!$B$2:$D$4,MATCH(E2175,Risk_Matrix!$A$2:$A$4,0),MATCH(F2175,Risk_Matrix!$B$1:$D$1,0))</f>
        <v>Medium</v>
      </c>
      <c r="H2175" s="12" t="n">
        <v>46209</v>
      </c>
      <c r="I2175" s="5" t="s">
        <v>2250</v>
      </c>
      <c r="J2175" s="5" t="s">
        <v>2251</v>
      </c>
      <c r="K2175" s="5" t="s">
        <v>2252</v>
      </c>
      <c r="L2175" s="5" t="n">
        <f aca="false">IF(G2175="High",3,IF(G2175="Medium",2,1))</f>
        <v>2</v>
      </c>
    </row>
    <row r="2176" customFormat="false" ht="15" hidden="false" customHeight="true" outlineLevel="0" collapsed="false">
      <c r="A2176" s="5" t="s">
        <v>4454</v>
      </c>
      <c r="B2176" s="5" t="s">
        <v>1709</v>
      </c>
      <c r="C2176" s="5" t="s">
        <v>2248</v>
      </c>
      <c r="D2176" s="5" t="s">
        <v>2249</v>
      </c>
      <c r="E2176" s="5" t="s">
        <v>59</v>
      </c>
      <c r="F2176" s="5" t="s">
        <v>2225</v>
      </c>
      <c r="G2176" s="5" t="str">
        <f aca="false">INDEX(Risk_Matrix!$B$2:$D$4,MATCH(E2176,Risk_Matrix!$A$2:$A$4,0),MATCH(F2176,Risk_Matrix!$B$1:$D$1,0))</f>
        <v>Low</v>
      </c>
      <c r="H2176" s="12" t="n">
        <v>46037</v>
      </c>
      <c r="I2176" s="5" t="s">
        <v>2241</v>
      </c>
      <c r="J2176" s="5" t="s">
        <v>2242</v>
      </c>
      <c r="K2176" s="5" t="s">
        <v>2243</v>
      </c>
      <c r="L2176" s="5" t="n">
        <f aca="false">IF(G2176="High",3,IF(G2176="Medium",2,1))</f>
        <v>1</v>
      </c>
    </row>
    <row r="2177" customFormat="false" ht="15" hidden="false" customHeight="true" outlineLevel="0" collapsed="false">
      <c r="A2177" s="5" t="s">
        <v>4455</v>
      </c>
      <c r="B2177" s="5" t="s">
        <v>1709</v>
      </c>
      <c r="C2177" s="5" t="s">
        <v>2262</v>
      </c>
      <c r="D2177" s="5" t="s">
        <v>2311</v>
      </c>
      <c r="E2177" s="5" t="s">
        <v>59</v>
      </c>
      <c r="F2177" s="5" t="s">
        <v>54</v>
      </c>
      <c r="G2177" s="5" t="str">
        <f aca="false">INDEX(Risk_Matrix!$B$2:$D$4,MATCH(E2177,Risk_Matrix!$A$2:$A$4,0),MATCH(F2177,Risk_Matrix!$B$1:$D$1,0))</f>
        <v>Medium</v>
      </c>
      <c r="H2177" s="12" t="n">
        <v>46100</v>
      </c>
      <c r="I2177" s="5" t="s">
        <v>2250</v>
      </c>
      <c r="J2177" s="5" t="s">
        <v>2251</v>
      </c>
      <c r="K2177" s="5" t="s">
        <v>2243</v>
      </c>
      <c r="L2177" s="5" t="n">
        <f aca="false">IF(G2177="High",3,IF(G2177="Medium",2,1))</f>
        <v>2</v>
      </c>
    </row>
    <row r="2178" customFormat="false" ht="15" hidden="false" customHeight="true" outlineLevel="0" collapsed="false">
      <c r="A2178" s="5" t="s">
        <v>4456</v>
      </c>
      <c r="B2178" s="5" t="s">
        <v>1709</v>
      </c>
      <c r="C2178" s="5" t="s">
        <v>2259</v>
      </c>
      <c r="D2178" s="5" t="s">
        <v>2274</v>
      </c>
      <c r="E2178" s="5" t="s">
        <v>2225</v>
      </c>
      <c r="F2178" s="5" t="s">
        <v>54</v>
      </c>
      <c r="G2178" s="5" t="str">
        <f aca="false">INDEX(Risk_Matrix!$B$2:$D$4,MATCH(E2178,Risk_Matrix!$A$2:$A$4,0),MATCH(F2178,Risk_Matrix!$B$1:$D$1,0))</f>
        <v>High</v>
      </c>
      <c r="H2178" s="12" t="n">
        <v>46074</v>
      </c>
      <c r="I2178" s="5" t="s">
        <v>2241</v>
      </c>
      <c r="J2178" s="5" t="s">
        <v>2242</v>
      </c>
      <c r="K2178" s="5" t="s">
        <v>2276</v>
      </c>
      <c r="L2178" s="5" t="n">
        <f aca="false">IF(G2178="High",3,IF(G2178="Medium",2,1))</f>
        <v>3</v>
      </c>
    </row>
    <row r="2179" customFormat="false" ht="15" hidden="false" customHeight="true" outlineLevel="0" collapsed="false">
      <c r="A2179" s="5" t="s">
        <v>4457</v>
      </c>
      <c r="B2179" s="5" t="s">
        <v>1709</v>
      </c>
      <c r="C2179" s="5" t="s">
        <v>2254</v>
      </c>
      <c r="D2179" s="5" t="s">
        <v>2255</v>
      </c>
      <c r="E2179" s="5" t="s">
        <v>2225</v>
      </c>
      <c r="F2179" s="5" t="s">
        <v>2225</v>
      </c>
      <c r="G2179" s="5" t="str">
        <f aca="false">INDEX(Risk_Matrix!$B$2:$D$4,MATCH(E2179,Risk_Matrix!$A$2:$A$4,0),MATCH(F2179,Risk_Matrix!$B$1:$D$1,0))</f>
        <v>Medium</v>
      </c>
      <c r="H2179" s="12" t="n">
        <v>46055</v>
      </c>
      <c r="I2179" s="5" t="s">
        <v>2250</v>
      </c>
      <c r="J2179" s="5" t="s">
        <v>2251</v>
      </c>
      <c r="K2179" s="5" t="s">
        <v>2252</v>
      </c>
      <c r="L2179" s="5" t="n">
        <f aca="false">IF(G2179="High",3,IF(G2179="Medium",2,1))</f>
        <v>2</v>
      </c>
    </row>
    <row r="2180" customFormat="false" ht="15" hidden="false" customHeight="true" outlineLevel="0" collapsed="false">
      <c r="A2180" s="5" t="s">
        <v>4458</v>
      </c>
      <c r="B2180" s="5" t="s">
        <v>1711</v>
      </c>
      <c r="C2180" s="5" t="s">
        <v>2239</v>
      </c>
      <c r="D2180" s="5" t="s">
        <v>2240</v>
      </c>
      <c r="E2180" s="5" t="s">
        <v>54</v>
      </c>
      <c r="F2180" s="5" t="s">
        <v>59</v>
      </c>
      <c r="G2180" s="5" t="str">
        <f aca="false">INDEX(Risk_Matrix!$B$2:$D$4,MATCH(E2180,Risk_Matrix!$A$2:$A$4,0),MATCH(F2180,Risk_Matrix!$B$1:$D$1,0))</f>
        <v>Medium</v>
      </c>
      <c r="H2180" s="12" t="n">
        <v>46119</v>
      </c>
      <c r="I2180" s="5" t="s">
        <v>2264</v>
      </c>
      <c r="J2180" s="5" t="s">
        <v>4087</v>
      </c>
      <c r="K2180" s="5" t="s">
        <v>2252</v>
      </c>
      <c r="L2180" s="5" t="n">
        <f aca="false">IF(G2180="High",3,IF(G2180="Medium",2,1))</f>
        <v>2</v>
      </c>
    </row>
    <row r="2181" customFormat="false" ht="15" hidden="false" customHeight="true" outlineLevel="0" collapsed="false">
      <c r="A2181" s="5" t="s">
        <v>4459</v>
      </c>
      <c r="B2181" s="5" t="s">
        <v>1711</v>
      </c>
      <c r="C2181" s="5" t="s">
        <v>2245</v>
      </c>
      <c r="D2181" s="5" t="s">
        <v>2320</v>
      </c>
      <c r="E2181" s="5" t="s">
        <v>54</v>
      </c>
      <c r="F2181" s="5" t="s">
        <v>54</v>
      </c>
      <c r="G2181" s="5" t="str">
        <f aca="false">INDEX(Risk_Matrix!$B$2:$D$4,MATCH(E2181,Risk_Matrix!$A$2:$A$4,0),MATCH(F2181,Risk_Matrix!$B$1:$D$1,0))</f>
        <v>High</v>
      </c>
      <c r="H2181" s="12" t="n">
        <v>46193</v>
      </c>
      <c r="I2181" s="5" t="s">
        <v>2250</v>
      </c>
      <c r="J2181" s="5" t="s">
        <v>2251</v>
      </c>
      <c r="K2181" s="5" t="s">
        <v>2243</v>
      </c>
      <c r="L2181" s="5" t="n">
        <f aca="false">IF(G2181="High",3,IF(G2181="Medium",2,1))</f>
        <v>3</v>
      </c>
    </row>
    <row r="2182" customFormat="false" ht="15" hidden="false" customHeight="true" outlineLevel="0" collapsed="false">
      <c r="A2182" s="5" t="s">
        <v>4460</v>
      </c>
      <c r="B2182" s="5" t="s">
        <v>1711</v>
      </c>
      <c r="C2182" s="5" t="s">
        <v>2248</v>
      </c>
      <c r="D2182" s="5" t="s">
        <v>2306</v>
      </c>
      <c r="E2182" s="5" t="s">
        <v>59</v>
      </c>
      <c r="F2182" s="5" t="s">
        <v>54</v>
      </c>
      <c r="G2182" s="5" t="str">
        <f aca="false">INDEX(Risk_Matrix!$B$2:$D$4,MATCH(E2182,Risk_Matrix!$A$2:$A$4,0),MATCH(F2182,Risk_Matrix!$B$1:$D$1,0))</f>
        <v>Medium</v>
      </c>
      <c r="H2182" s="12" t="n">
        <v>46054</v>
      </c>
      <c r="I2182" s="5" t="s">
        <v>2256</v>
      </c>
      <c r="J2182" s="5" t="s">
        <v>4081</v>
      </c>
      <c r="K2182" s="5" t="s">
        <v>2266</v>
      </c>
      <c r="L2182" s="5" t="n">
        <f aca="false">IF(G2182="High",3,IF(G2182="Medium",2,1))</f>
        <v>2</v>
      </c>
    </row>
    <row r="2183" customFormat="false" ht="15" hidden="false" customHeight="true" outlineLevel="0" collapsed="false">
      <c r="A2183" s="5" t="s">
        <v>4461</v>
      </c>
      <c r="B2183" s="5" t="s">
        <v>1711</v>
      </c>
      <c r="C2183" s="5" t="s">
        <v>2262</v>
      </c>
      <c r="D2183" s="5" t="s">
        <v>2311</v>
      </c>
      <c r="E2183" s="5" t="s">
        <v>54</v>
      </c>
      <c r="F2183" s="5" t="s">
        <v>54</v>
      </c>
      <c r="G2183" s="5" t="str">
        <f aca="false">INDEX(Risk_Matrix!$B$2:$D$4,MATCH(E2183,Risk_Matrix!$A$2:$A$4,0),MATCH(F2183,Risk_Matrix!$B$1:$D$1,0))</f>
        <v>High</v>
      </c>
      <c r="H2183" s="12" t="n">
        <v>46177</v>
      </c>
      <c r="I2183" s="5" t="s">
        <v>2241</v>
      </c>
      <c r="J2183" s="5" t="s">
        <v>2242</v>
      </c>
      <c r="K2183" s="5" t="s">
        <v>2266</v>
      </c>
      <c r="L2183" s="5" t="n">
        <f aca="false">IF(G2183="High",3,IF(G2183="Medium",2,1))</f>
        <v>3</v>
      </c>
    </row>
    <row r="2184" customFormat="false" ht="15" hidden="false" customHeight="true" outlineLevel="0" collapsed="false">
      <c r="A2184" s="5" t="s">
        <v>4462</v>
      </c>
      <c r="B2184" s="5" t="s">
        <v>1711</v>
      </c>
      <c r="C2184" s="5" t="s">
        <v>2259</v>
      </c>
      <c r="D2184" s="5" t="s">
        <v>2285</v>
      </c>
      <c r="E2184" s="5" t="s">
        <v>59</v>
      </c>
      <c r="F2184" s="5" t="s">
        <v>59</v>
      </c>
      <c r="G2184" s="5" t="str">
        <f aca="false">INDEX(Risk_Matrix!$B$2:$D$4,MATCH(E2184,Risk_Matrix!$A$2:$A$4,0),MATCH(F2184,Risk_Matrix!$B$1:$D$1,0))</f>
        <v>Low</v>
      </c>
      <c r="H2184" s="12" t="n">
        <v>46046</v>
      </c>
      <c r="I2184" s="5" t="s">
        <v>2256</v>
      </c>
      <c r="J2184" s="5" t="s">
        <v>4081</v>
      </c>
      <c r="K2184" s="5" t="s">
        <v>2266</v>
      </c>
      <c r="L2184" s="5" t="n">
        <f aca="false">IF(G2184="High",3,IF(G2184="Medium",2,1))</f>
        <v>1</v>
      </c>
    </row>
    <row r="2185" customFormat="false" ht="15" hidden="false" customHeight="true" outlineLevel="0" collapsed="false">
      <c r="A2185" s="5" t="s">
        <v>4463</v>
      </c>
      <c r="B2185" s="5" t="s">
        <v>1711</v>
      </c>
      <c r="C2185" s="5" t="s">
        <v>2254</v>
      </c>
      <c r="D2185" s="5" t="s">
        <v>2299</v>
      </c>
      <c r="E2185" s="5" t="s">
        <v>54</v>
      </c>
      <c r="F2185" s="5" t="s">
        <v>2225</v>
      </c>
      <c r="G2185" s="5" t="str">
        <f aca="false">INDEX(Risk_Matrix!$B$2:$D$4,MATCH(E2185,Risk_Matrix!$A$2:$A$4,0),MATCH(F2185,Risk_Matrix!$B$1:$D$1,0))</f>
        <v>High</v>
      </c>
      <c r="H2185" s="12" t="n">
        <v>46221</v>
      </c>
      <c r="I2185" s="5" t="s">
        <v>2250</v>
      </c>
      <c r="J2185" s="5" t="s">
        <v>2251</v>
      </c>
      <c r="K2185" s="5" t="s">
        <v>2276</v>
      </c>
      <c r="L2185" s="5" t="n">
        <f aca="false">IF(G2185="High",3,IF(G2185="Medium",2,1))</f>
        <v>3</v>
      </c>
    </row>
    <row r="2186" customFormat="false" ht="15" hidden="false" customHeight="true" outlineLevel="0" collapsed="false">
      <c r="A2186" s="5" t="s">
        <v>4464</v>
      </c>
      <c r="B2186" s="5" t="s">
        <v>1713</v>
      </c>
      <c r="C2186" s="5" t="s">
        <v>2239</v>
      </c>
      <c r="D2186" s="5" t="s">
        <v>2278</v>
      </c>
      <c r="E2186" s="5" t="s">
        <v>54</v>
      </c>
      <c r="F2186" s="5" t="s">
        <v>54</v>
      </c>
      <c r="G2186" s="5" t="str">
        <f aca="false">INDEX(Risk_Matrix!$B$2:$D$4,MATCH(E2186,Risk_Matrix!$A$2:$A$4,0),MATCH(F2186,Risk_Matrix!$B$1:$D$1,0))</f>
        <v>High</v>
      </c>
      <c r="H2186" s="12" t="n">
        <v>46059</v>
      </c>
      <c r="I2186" s="5" t="s">
        <v>2264</v>
      </c>
      <c r="J2186" s="5" t="s">
        <v>4087</v>
      </c>
      <c r="K2186" s="5" t="s">
        <v>2266</v>
      </c>
      <c r="L2186" s="5" t="n">
        <f aca="false">IF(G2186="High",3,IF(G2186="Medium",2,1))</f>
        <v>3</v>
      </c>
    </row>
    <row r="2187" customFormat="false" ht="15" hidden="false" customHeight="true" outlineLevel="0" collapsed="false">
      <c r="A2187" s="5" t="s">
        <v>4465</v>
      </c>
      <c r="B2187" s="5" t="s">
        <v>1713</v>
      </c>
      <c r="C2187" s="5" t="s">
        <v>2245</v>
      </c>
      <c r="D2187" s="5" t="s">
        <v>2246</v>
      </c>
      <c r="E2187" s="5" t="s">
        <v>2225</v>
      </c>
      <c r="F2187" s="5" t="s">
        <v>54</v>
      </c>
      <c r="G2187" s="5" t="str">
        <f aca="false">INDEX(Risk_Matrix!$B$2:$D$4,MATCH(E2187,Risk_Matrix!$A$2:$A$4,0),MATCH(F2187,Risk_Matrix!$B$1:$D$1,0))</f>
        <v>High</v>
      </c>
      <c r="H2187" s="12" t="n">
        <v>46115</v>
      </c>
      <c r="I2187" s="5" t="s">
        <v>2250</v>
      </c>
      <c r="J2187" s="5" t="s">
        <v>2251</v>
      </c>
      <c r="K2187" s="5" t="s">
        <v>2283</v>
      </c>
      <c r="L2187" s="5" t="n">
        <f aca="false">IF(G2187="High",3,IF(G2187="Medium",2,1))</f>
        <v>3</v>
      </c>
    </row>
    <row r="2188" customFormat="false" ht="15" hidden="false" customHeight="true" outlineLevel="0" collapsed="false">
      <c r="A2188" s="5" t="s">
        <v>4466</v>
      </c>
      <c r="B2188" s="5" t="s">
        <v>1713</v>
      </c>
      <c r="C2188" s="5" t="s">
        <v>2248</v>
      </c>
      <c r="D2188" s="5" t="s">
        <v>2306</v>
      </c>
      <c r="E2188" s="5" t="s">
        <v>2225</v>
      </c>
      <c r="F2188" s="5" t="s">
        <v>54</v>
      </c>
      <c r="G2188" s="5" t="str">
        <f aca="false">INDEX(Risk_Matrix!$B$2:$D$4,MATCH(E2188,Risk_Matrix!$A$2:$A$4,0),MATCH(F2188,Risk_Matrix!$B$1:$D$1,0))</f>
        <v>High</v>
      </c>
      <c r="H2188" s="12" t="n">
        <v>46044</v>
      </c>
      <c r="I2188" s="5" t="s">
        <v>2241</v>
      </c>
      <c r="J2188" s="5" t="s">
        <v>2242</v>
      </c>
      <c r="K2188" s="5" t="s">
        <v>2276</v>
      </c>
      <c r="L2188" s="5" t="n">
        <f aca="false">IF(G2188="High",3,IF(G2188="Medium",2,1))</f>
        <v>3</v>
      </c>
    </row>
    <row r="2189" customFormat="false" ht="15" hidden="false" customHeight="true" outlineLevel="0" collapsed="false">
      <c r="A2189" s="5" t="s">
        <v>4467</v>
      </c>
      <c r="B2189" s="5" t="s">
        <v>1713</v>
      </c>
      <c r="C2189" s="5" t="s">
        <v>2262</v>
      </c>
      <c r="D2189" s="5" t="s">
        <v>2287</v>
      </c>
      <c r="E2189" s="5" t="s">
        <v>2225</v>
      </c>
      <c r="F2189" s="5" t="s">
        <v>54</v>
      </c>
      <c r="G2189" s="5" t="str">
        <f aca="false">INDEX(Risk_Matrix!$B$2:$D$4,MATCH(E2189,Risk_Matrix!$A$2:$A$4,0),MATCH(F2189,Risk_Matrix!$B$1:$D$1,0))</f>
        <v>High</v>
      </c>
      <c r="H2189" s="12" t="n">
        <v>46180</v>
      </c>
      <c r="I2189" s="5" t="s">
        <v>2241</v>
      </c>
      <c r="J2189" s="5" t="s">
        <v>2242</v>
      </c>
      <c r="K2189" s="5" t="s">
        <v>2243</v>
      </c>
      <c r="L2189" s="5" t="n">
        <f aca="false">IF(G2189="High",3,IF(G2189="Medium",2,1))</f>
        <v>3</v>
      </c>
    </row>
    <row r="2190" customFormat="false" ht="15" hidden="false" customHeight="true" outlineLevel="0" collapsed="false">
      <c r="A2190" s="5" t="s">
        <v>4468</v>
      </c>
      <c r="B2190" s="5" t="s">
        <v>1713</v>
      </c>
      <c r="C2190" s="5" t="s">
        <v>2259</v>
      </c>
      <c r="D2190" s="5" t="s">
        <v>2274</v>
      </c>
      <c r="E2190" s="5" t="s">
        <v>54</v>
      </c>
      <c r="F2190" s="5" t="s">
        <v>59</v>
      </c>
      <c r="G2190" s="5" t="str">
        <f aca="false">INDEX(Risk_Matrix!$B$2:$D$4,MATCH(E2190,Risk_Matrix!$A$2:$A$4,0),MATCH(F2190,Risk_Matrix!$B$1:$D$1,0))</f>
        <v>Medium</v>
      </c>
      <c r="H2190" s="12" t="n">
        <v>46171</v>
      </c>
      <c r="I2190" s="5" t="s">
        <v>2250</v>
      </c>
      <c r="J2190" s="5" t="s">
        <v>2251</v>
      </c>
      <c r="K2190" s="5" t="s">
        <v>2266</v>
      </c>
      <c r="L2190" s="5" t="n">
        <f aca="false">IF(G2190="High",3,IF(G2190="Medium",2,1))</f>
        <v>2</v>
      </c>
    </row>
    <row r="2191" customFormat="false" ht="15" hidden="false" customHeight="true" outlineLevel="0" collapsed="false">
      <c r="A2191" s="5" t="s">
        <v>4469</v>
      </c>
      <c r="B2191" s="5" t="s">
        <v>1713</v>
      </c>
      <c r="C2191" s="5" t="s">
        <v>2254</v>
      </c>
      <c r="D2191" s="5" t="s">
        <v>2308</v>
      </c>
      <c r="E2191" s="5" t="s">
        <v>54</v>
      </c>
      <c r="F2191" s="5" t="s">
        <v>59</v>
      </c>
      <c r="G2191" s="5" t="str">
        <f aca="false">INDEX(Risk_Matrix!$B$2:$D$4,MATCH(E2191,Risk_Matrix!$A$2:$A$4,0),MATCH(F2191,Risk_Matrix!$B$1:$D$1,0))</f>
        <v>Medium</v>
      </c>
      <c r="H2191" s="12" t="n">
        <v>46202</v>
      </c>
      <c r="I2191" s="5" t="s">
        <v>2256</v>
      </c>
      <c r="J2191" s="5" t="s">
        <v>4081</v>
      </c>
      <c r="K2191" s="5" t="s">
        <v>2276</v>
      </c>
      <c r="L2191" s="5" t="n">
        <f aca="false">IF(G2191="High",3,IF(G2191="Medium",2,1))</f>
        <v>2</v>
      </c>
    </row>
    <row r="2192" customFormat="false" ht="15" hidden="false" customHeight="true" outlineLevel="0" collapsed="false">
      <c r="A2192" s="5" t="s">
        <v>4470</v>
      </c>
      <c r="B2192" s="5" t="s">
        <v>1715</v>
      </c>
      <c r="C2192" s="5" t="s">
        <v>2239</v>
      </c>
      <c r="D2192" s="5" t="s">
        <v>2240</v>
      </c>
      <c r="E2192" s="5" t="s">
        <v>59</v>
      </c>
      <c r="F2192" s="5" t="s">
        <v>2225</v>
      </c>
      <c r="G2192" s="5" t="str">
        <f aca="false">INDEX(Risk_Matrix!$B$2:$D$4,MATCH(E2192,Risk_Matrix!$A$2:$A$4,0),MATCH(F2192,Risk_Matrix!$B$1:$D$1,0))</f>
        <v>Low</v>
      </c>
      <c r="H2192" s="12" t="n">
        <v>46226</v>
      </c>
      <c r="I2192" s="5" t="s">
        <v>2256</v>
      </c>
      <c r="J2192" s="5" t="s">
        <v>4081</v>
      </c>
      <c r="K2192" s="5" t="s">
        <v>2283</v>
      </c>
      <c r="L2192" s="5" t="n">
        <f aca="false">IF(G2192="High",3,IF(G2192="Medium",2,1))</f>
        <v>1</v>
      </c>
    </row>
    <row r="2193" customFormat="false" ht="15" hidden="false" customHeight="true" outlineLevel="0" collapsed="false">
      <c r="A2193" s="5" t="s">
        <v>4471</v>
      </c>
      <c r="B2193" s="5" t="s">
        <v>1715</v>
      </c>
      <c r="C2193" s="5" t="s">
        <v>2245</v>
      </c>
      <c r="D2193" s="5" t="s">
        <v>2269</v>
      </c>
      <c r="E2193" s="5" t="s">
        <v>2225</v>
      </c>
      <c r="F2193" s="5" t="s">
        <v>54</v>
      </c>
      <c r="G2193" s="5" t="str">
        <f aca="false">INDEX(Risk_Matrix!$B$2:$D$4,MATCH(E2193,Risk_Matrix!$A$2:$A$4,0),MATCH(F2193,Risk_Matrix!$B$1:$D$1,0))</f>
        <v>High</v>
      </c>
      <c r="H2193" s="12" t="n">
        <v>46074</v>
      </c>
      <c r="I2193" s="5" t="s">
        <v>2250</v>
      </c>
      <c r="J2193" s="5" t="s">
        <v>2251</v>
      </c>
      <c r="K2193" s="5" t="s">
        <v>2243</v>
      </c>
      <c r="L2193" s="5" t="n">
        <f aca="false">IF(G2193="High",3,IF(G2193="Medium",2,1))</f>
        <v>3</v>
      </c>
    </row>
    <row r="2194" customFormat="false" ht="15" hidden="false" customHeight="true" outlineLevel="0" collapsed="false">
      <c r="A2194" s="5" t="s">
        <v>4472</v>
      </c>
      <c r="B2194" s="5" t="s">
        <v>1715</v>
      </c>
      <c r="C2194" s="5" t="s">
        <v>2248</v>
      </c>
      <c r="D2194" s="5" t="s">
        <v>2271</v>
      </c>
      <c r="E2194" s="5" t="s">
        <v>59</v>
      </c>
      <c r="F2194" s="5" t="s">
        <v>54</v>
      </c>
      <c r="G2194" s="5" t="str">
        <f aca="false">INDEX(Risk_Matrix!$B$2:$D$4,MATCH(E2194,Risk_Matrix!$A$2:$A$4,0),MATCH(F2194,Risk_Matrix!$B$1:$D$1,0))</f>
        <v>Medium</v>
      </c>
      <c r="H2194" s="12" t="n">
        <v>46205</v>
      </c>
      <c r="I2194" s="5" t="s">
        <v>2264</v>
      </c>
      <c r="J2194" s="5" t="s">
        <v>4087</v>
      </c>
      <c r="K2194" s="5" t="s">
        <v>2283</v>
      </c>
      <c r="L2194" s="5" t="n">
        <f aca="false">IF(G2194="High",3,IF(G2194="Medium",2,1))</f>
        <v>2</v>
      </c>
    </row>
    <row r="2195" customFormat="false" ht="15" hidden="false" customHeight="true" outlineLevel="0" collapsed="false">
      <c r="A2195" s="5" t="s">
        <v>4473</v>
      </c>
      <c r="B2195" s="5" t="s">
        <v>1715</v>
      </c>
      <c r="C2195" s="5" t="s">
        <v>2262</v>
      </c>
      <c r="D2195" s="5" t="s">
        <v>2311</v>
      </c>
      <c r="E2195" s="5" t="s">
        <v>54</v>
      </c>
      <c r="F2195" s="5" t="s">
        <v>2225</v>
      </c>
      <c r="G2195" s="5" t="str">
        <f aca="false">INDEX(Risk_Matrix!$B$2:$D$4,MATCH(E2195,Risk_Matrix!$A$2:$A$4,0),MATCH(F2195,Risk_Matrix!$B$1:$D$1,0))</f>
        <v>High</v>
      </c>
      <c r="H2195" s="12" t="n">
        <v>46083</v>
      </c>
      <c r="I2195" s="5" t="s">
        <v>2250</v>
      </c>
      <c r="J2195" s="5" t="s">
        <v>2251</v>
      </c>
      <c r="K2195" s="5" t="s">
        <v>2252</v>
      </c>
      <c r="L2195" s="5" t="n">
        <f aca="false">IF(G2195="High",3,IF(G2195="Medium",2,1))</f>
        <v>3</v>
      </c>
    </row>
    <row r="2196" customFormat="false" ht="15" hidden="false" customHeight="true" outlineLevel="0" collapsed="false">
      <c r="A2196" s="5" t="s">
        <v>4474</v>
      </c>
      <c r="B2196" s="5" t="s">
        <v>1715</v>
      </c>
      <c r="C2196" s="5" t="s">
        <v>2259</v>
      </c>
      <c r="D2196" s="5" t="s">
        <v>2274</v>
      </c>
      <c r="E2196" s="5" t="s">
        <v>54</v>
      </c>
      <c r="F2196" s="5" t="s">
        <v>2225</v>
      </c>
      <c r="G2196" s="5" t="str">
        <f aca="false">INDEX(Risk_Matrix!$B$2:$D$4,MATCH(E2196,Risk_Matrix!$A$2:$A$4,0),MATCH(F2196,Risk_Matrix!$B$1:$D$1,0))</f>
        <v>High</v>
      </c>
      <c r="H2196" s="12" t="n">
        <v>46084</v>
      </c>
      <c r="I2196" s="5" t="s">
        <v>2241</v>
      </c>
      <c r="J2196" s="5" t="s">
        <v>2242</v>
      </c>
      <c r="K2196" s="5" t="s">
        <v>2243</v>
      </c>
      <c r="L2196" s="5" t="n">
        <f aca="false">IF(G2196="High",3,IF(G2196="Medium",2,1))</f>
        <v>3</v>
      </c>
    </row>
    <row r="2197" customFormat="false" ht="15" hidden="false" customHeight="true" outlineLevel="0" collapsed="false">
      <c r="A2197" s="5" t="s">
        <v>4475</v>
      </c>
      <c r="B2197" s="5" t="s">
        <v>1715</v>
      </c>
      <c r="C2197" s="5" t="s">
        <v>2254</v>
      </c>
      <c r="D2197" s="5" t="s">
        <v>2308</v>
      </c>
      <c r="E2197" s="5" t="s">
        <v>54</v>
      </c>
      <c r="F2197" s="5" t="s">
        <v>59</v>
      </c>
      <c r="G2197" s="5" t="str">
        <f aca="false">INDEX(Risk_Matrix!$B$2:$D$4,MATCH(E2197,Risk_Matrix!$A$2:$A$4,0),MATCH(F2197,Risk_Matrix!$B$1:$D$1,0))</f>
        <v>Medium</v>
      </c>
      <c r="H2197" s="12" t="n">
        <v>46190</v>
      </c>
      <c r="I2197" s="5" t="s">
        <v>2250</v>
      </c>
      <c r="J2197" s="5" t="s">
        <v>2251</v>
      </c>
      <c r="K2197" s="5" t="s">
        <v>2266</v>
      </c>
      <c r="L2197" s="5" t="n">
        <f aca="false">IF(G2197="High",3,IF(G2197="Medium",2,1))</f>
        <v>2</v>
      </c>
    </row>
    <row r="2198" customFormat="false" ht="15" hidden="false" customHeight="true" outlineLevel="0" collapsed="false">
      <c r="A2198" s="5" t="s">
        <v>4476</v>
      </c>
      <c r="B2198" s="5" t="s">
        <v>1717</v>
      </c>
      <c r="C2198" s="5" t="s">
        <v>2239</v>
      </c>
      <c r="D2198" s="5" t="s">
        <v>2278</v>
      </c>
      <c r="E2198" s="5" t="s">
        <v>2225</v>
      </c>
      <c r="F2198" s="5" t="s">
        <v>59</v>
      </c>
      <c r="G2198" s="5" t="str">
        <f aca="false">INDEX(Risk_Matrix!$B$2:$D$4,MATCH(E2198,Risk_Matrix!$A$2:$A$4,0),MATCH(F2198,Risk_Matrix!$B$1:$D$1,0))</f>
        <v>Low</v>
      </c>
      <c r="H2198" s="12" t="n">
        <v>46191</v>
      </c>
      <c r="I2198" s="5" t="s">
        <v>2250</v>
      </c>
      <c r="J2198" s="5" t="s">
        <v>2251</v>
      </c>
      <c r="K2198" s="5" t="s">
        <v>2266</v>
      </c>
      <c r="L2198" s="5" t="n">
        <f aca="false">IF(G2198="High",3,IF(G2198="Medium",2,1))</f>
        <v>1</v>
      </c>
    </row>
    <row r="2199" customFormat="false" ht="15" hidden="false" customHeight="true" outlineLevel="0" collapsed="false">
      <c r="A2199" s="5" t="s">
        <v>4477</v>
      </c>
      <c r="B2199" s="5" t="s">
        <v>1717</v>
      </c>
      <c r="C2199" s="5" t="s">
        <v>2245</v>
      </c>
      <c r="D2199" s="5" t="s">
        <v>2246</v>
      </c>
      <c r="E2199" s="5" t="s">
        <v>59</v>
      </c>
      <c r="F2199" s="5" t="s">
        <v>54</v>
      </c>
      <c r="G2199" s="5" t="str">
        <f aca="false">INDEX(Risk_Matrix!$B$2:$D$4,MATCH(E2199,Risk_Matrix!$A$2:$A$4,0),MATCH(F2199,Risk_Matrix!$B$1:$D$1,0))</f>
        <v>Medium</v>
      </c>
      <c r="H2199" s="12" t="n">
        <v>46193</v>
      </c>
      <c r="I2199" s="5" t="s">
        <v>2241</v>
      </c>
      <c r="J2199" s="5" t="s">
        <v>2242</v>
      </c>
      <c r="K2199" s="5" t="s">
        <v>2266</v>
      </c>
      <c r="L2199" s="5" t="n">
        <f aca="false">IF(G2199="High",3,IF(G2199="Medium",2,1))</f>
        <v>2</v>
      </c>
    </row>
    <row r="2200" customFormat="false" ht="15" hidden="false" customHeight="true" outlineLevel="0" collapsed="false">
      <c r="A2200" s="5" t="s">
        <v>4478</v>
      </c>
      <c r="B2200" s="5" t="s">
        <v>1717</v>
      </c>
      <c r="C2200" s="5" t="s">
        <v>2248</v>
      </c>
      <c r="D2200" s="5" t="s">
        <v>2306</v>
      </c>
      <c r="E2200" s="5" t="s">
        <v>54</v>
      </c>
      <c r="F2200" s="5" t="s">
        <v>54</v>
      </c>
      <c r="G2200" s="5" t="str">
        <f aca="false">INDEX(Risk_Matrix!$B$2:$D$4,MATCH(E2200,Risk_Matrix!$A$2:$A$4,0),MATCH(F2200,Risk_Matrix!$B$1:$D$1,0))</f>
        <v>High</v>
      </c>
      <c r="H2200" s="12" t="n">
        <v>46048</v>
      </c>
      <c r="I2200" s="5" t="s">
        <v>2250</v>
      </c>
      <c r="J2200" s="5" t="s">
        <v>2251</v>
      </c>
      <c r="K2200" s="5" t="s">
        <v>2252</v>
      </c>
      <c r="L2200" s="5" t="n">
        <f aca="false">IF(G2200="High",3,IF(G2200="Medium",2,1))</f>
        <v>3</v>
      </c>
    </row>
    <row r="2201" customFormat="false" ht="15" hidden="false" customHeight="true" outlineLevel="0" collapsed="false">
      <c r="A2201" s="5" t="s">
        <v>4479</v>
      </c>
      <c r="B2201" s="5" t="s">
        <v>1717</v>
      </c>
      <c r="C2201" s="5" t="s">
        <v>2262</v>
      </c>
      <c r="D2201" s="5" t="s">
        <v>2263</v>
      </c>
      <c r="E2201" s="5" t="s">
        <v>54</v>
      </c>
      <c r="F2201" s="5" t="s">
        <v>2225</v>
      </c>
      <c r="G2201" s="5" t="str">
        <f aca="false">INDEX(Risk_Matrix!$B$2:$D$4,MATCH(E2201,Risk_Matrix!$A$2:$A$4,0),MATCH(F2201,Risk_Matrix!$B$1:$D$1,0))</f>
        <v>High</v>
      </c>
      <c r="H2201" s="12" t="n">
        <v>46183</v>
      </c>
      <c r="I2201" s="5" t="s">
        <v>2264</v>
      </c>
      <c r="J2201" s="5" t="s">
        <v>4087</v>
      </c>
      <c r="K2201" s="5" t="s">
        <v>2276</v>
      </c>
      <c r="L2201" s="5" t="n">
        <f aca="false">IF(G2201="High",3,IF(G2201="Medium",2,1))</f>
        <v>3</v>
      </c>
    </row>
    <row r="2202" customFormat="false" ht="15" hidden="false" customHeight="true" outlineLevel="0" collapsed="false">
      <c r="A2202" s="5" t="s">
        <v>4480</v>
      </c>
      <c r="B2202" s="5" t="s">
        <v>1717</v>
      </c>
      <c r="C2202" s="5" t="s">
        <v>2259</v>
      </c>
      <c r="D2202" s="5" t="s">
        <v>2274</v>
      </c>
      <c r="E2202" s="5" t="s">
        <v>2225</v>
      </c>
      <c r="F2202" s="5" t="s">
        <v>59</v>
      </c>
      <c r="G2202" s="5" t="str">
        <f aca="false">INDEX(Risk_Matrix!$B$2:$D$4,MATCH(E2202,Risk_Matrix!$A$2:$A$4,0),MATCH(F2202,Risk_Matrix!$B$1:$D$1,0))</f>
        <v>Low</v>
      </c>
      <c r="H2202" s="12" t="n">
        <v>46083</v>
      </c>
      <c r="I2202" s="5" t="s">
        <v>2241</v>
      </c>
      <c r="J2202" s="5" t="s">
        <v>2242</v>
      </c>
      <c r="K2202" s="5" t="s">
        <v>2252</v>
      </c>
      <c r="L2202" s="5" t="n">
        <f aca="false">IF(G2202="High",3,IF(G2202="Medium",2,1))</f>
        <v>1</v>
      </c>
    </row>
    <row r="2203" customFormat="false" ht="15" hidden="false" customHeight="true" outlineLevel="0" collapsed="false">
      <c r="A2203" s="5" t="s">
        <v>4481</v>
      </c>
      <c r="B2203" s="5" t="s">
        <v>1717</v>
      </c>
      <c r="C2203" s="5" t="s">
        <v>2254</v>
      </c>
      <c r="D2203" s="5" t="s">
        <v>2299</v>
      </c>
      <c r="E2203" s="5" t="s">
        <v>2225</v>
      </c>
      <c r="F2203" s="5" t="s">
        <v>59</v>
      </c>
      <c r="G2203" s="5" t="str">
        <f aca="false">INDEX(Risk_Matrix!$B$2:$D$4,MATCH(E2203,Risk_Matrix!$A$2:$A$4,0),MATCH(F2203,Risk_Matrix!$B$1:$D$1,0))</f>
        <v>Low</v>
      </c>
      <c r="H2203" s="12" t="n">
        <v>46164</v>
      </c>
      <c r="I2203" s="5" t="s">
        <v>2250</v>
      </c>
      <c r="J2203" s="5" t="s">
        <v>2251</v>
      </c>
      <c r="K2203" s="5" t="s">
        <v>2266</v>
      </c>
      <c r="L2203" s="5" t="n">
        <f aca="false">IF(G2203="High",3,IF(G2203="Medium",2,1))</f>
        <v>1</v>
      </c>
    </row>
    <row r="2204" customFormat="false" ht="15" hidden="false" customHeight="true" outlineLevel="0" collapsed="false">
      <c r="A2204" s="5" t="s">
        <v>4482</v>
      </c>
      <c r="B2204" s="5" t="s">
        <v>1719</v>
      </c>
      <c r="C2204" s="5" t="s">
        <v>2239</v>
      </c>
      <c r="D2204" s="5" t="s">
        <v>2240</v>
      </c>
      <c r="E2204" s="5" t="s">
        <v>54</v>
      </c>
      <c r="F2204" s="5" t="s">
        <v>54</v>
      </c>
      <c r="G2204" s="5" t="str">
        <f aca="false">INDEX(Risk_Matrix!$B$2:$D$4,MATCH(E2204,Risk_Matrix!$A$2:$A$4,0),MATCH(F2204,Risk_Matrix!$B$1:$D$1,0))</f>
        <v>High</v>
      </c>
      <c r="H2204" s="12" t="n">
        <v>46187</v>
      </c>
      <c r="I2204" s="5" t="s">
        <v>2256</v>
      </c>
      <c r="J2204" s="5" t="s">
        <v>4081</v>
      </c>
      <c r="K2204" s="5" t="s">
        <v>2252</v>
      </c>
      <c r="L2204" s="5" t="n">
        <f aca="false">IF(G2204="High",3,IF(G2204="Medium",2,1))</f>
        <v>3</v>
      </c>
    </row>
    <row r="2205" customFormat="false" ht="15" hidden="false" customHeight="true" outlineLevel="0" collapsed="false">
      <c r="A2205" s="5" t="s">
        <v>4483</v>
      </c>
      <c r="B2205" s="5" t="s">
        <v>1719</v>
      </c>
      <c r="C2205" s="5" t="s">
        <v>2245</v>
      </c>
      <c r="D2205" s="5" t="s">
        <v>2246</v>
      </c>
      <c r="E2205" s="5" t="s">
        <v>2225</v>
      </c>
      <c r="F2205" s="5" t="s">
        <v>59</v>
      </c>
      <c r="G2205" s="5" t="str">
        <f aca="false">INDEX(Risk_Matrix!$B$2:$D$4,MATCH(E2205,Risk_Matrix!$A$2:$A$4,0),MATCH(F2205,Risk_Matrix!$B$1:$D$1,0))</f>
        <v>Low</v>
      </c>
      <c r="H2205" s="12" t="n">
        <v>46079</v>
      </c>
      <c r="I2205" s="5" t="s">
        <v>2250</v>
      </c>
      <c r="J2205" s="5" t="s">
        <v>2251</v>
      </c>
      <c r="K2205" s="5" t="s">
        <v>2252</v>
      </c>
      <c r="L2205" s="5" t="n">
        <f aca="false">IF(G2205="High",3,IF(G2205="Medium",2,1))</f>
        <v>1</v>
      </c>
    </row>
    <row r="2206" customFormat="false" ht="15" hidden="false" customHeight="true" outlineLevel="0" collapsed="false">
      <c r="A2206" s="5" t="s">
        <v>4484</v>
      </c>
      <c r="B2206" s="5" t="s">
        <v>1719</v>
      </c>
      <c r="C2206" s="5" t="s">
        <v>2248</v>
      </c>
      <c r="D2206" s="5" t="s">
        <v>2249</v>
      </c>
      <c r="E2206" s="5" t="s">
        <v>59</v>
      </c>
      <c r="F2206" s="5" t="s">
        <v>2225</v>
      </c>
      <c r="G2206" s="5" t="str">
        <f aca="false">INDEX(Risk_Matrix!$B$2:$D$4,MATCH(E2206,Risk_Matrix!$A$2:$A$4,0),MATCH(F2206,Risk_Matrix!$B$1:$D$1,0))</f>
        <v>Low</v>
      </c>
      <c r="H2206" s="12" t="n">
        <v>46121</v>
      </c>
      <c r="I2206" s="5" t="s">
        <v>2264</v>
      </c>
      <c r="J2206" s="5" t="s">
        <v>4087</v>
      </c>
      <c r="K2206" s="5" t="s">
        <v>2276</v>
      </c>
      <c r="L2206" s="5" t="n">
        <f aca="false">IF(G2206="High",3,IF(G2206="Medium",2,1))</f>
        <v>1</v>
      </c>
    </row>
    <row r="2207" customFormat="false" ht="15" hidden="false" customHeight="true" outlineLevel="0" collapsed="false">
      <c r="A2207" s="5" t="s">
        <v>4485</v>
      </c>
      <c r="B2207" s="5" t="s">
        <v>1719</v>
      </c>
      <c r="C2207" s="5" t="s">
        <v>2262</v>
      </c>
      <c r="D2207" s="5" t="s">
        <v>2311</v>
      </c>
      <c r="E2207" s="5" t="s">
        <v>2225</v>
      </c>
      <c r="F2207" s="5" t="s">
        <v>59</v>
      </c>
      <c r="G2207" s="5" t="str">
        <f aca="false">INDEX(Risk_Matrix!$B$2:$D$4,MATCH(E2207,Risk_Matrix!$A$2:$A$4,0),MATCH(F2207,Risk_Matrix!$B$1:$D$1,0))</f>
        <v>Low</v>
      </c>
      <c r="H2207" s="12" t="n">
        <v>46144</v>
      </c>
      <c r="I2207" s="5" t="s">
        <v>2256</v>
      </c>
      <c r="J2207" s="5" t="s">
        <v>4081</v>
      </c>
      <c r="K2207" s="5" t="s">
        <v>2243</v>
      </c>
      <c r="L2207" s="5" t="n">
        <f aca="false">IF(G2207="High",3,IF(G2207="Medium",2,1))</f>
        <v>1</v>
      </c>
    </row>
    <row r="2208" customFormat="false" ht="15" hidden="false" customHeight="true" outlineLevel="0" collapsed="false">
      <c r="A2208" s="5" t="s">
        <v>4486</v>
      </c>
      <c r="B2208" s="5" t="s">
        <v>1719</v>
      </c>
      <c r="C2208" s="5" t="s">
        <v>2259</v>
      </c>
      <c r="D2208" s="5" t="s">
        <v>2260</v>
      </c>
      <c r="E2208" s="5" t="s">
        <v>59</v>
      </c>
      <c r="F2208" s="5" t="s">
        <v>59</v>
      </c>
      <c r="G2208" s="5" t="str">
        <f aca="false">INDEX(Risk_Matrix!$B$2:$D$4,MATCH(E2208,Risk_Matrix!$A$2:$A$4,0),MATCH(F2208,Risk_Matrix!$B$1:$D$1,0))</f>
        <v>Low</v>
      </c>
      <c r="H2208" s="12" t="n">
        <v>46192</v>
      </c>
      <c r="I2208" s="5" t="s">
        <v>2256</v>
      </c>
      <c r="J2208" s="5" t="s">
        <v>4081</v>
      </c>
      <c r="K2208" s="5" t="s">
        <v>2243</v>
      </c>
      <c r="L2208" s="5" t="n">
        <f aca="false">IF(G2208="High",3,IF(G2208="Medium",2,1))</f>
        <v>1</v>
      </c>
    </row>
    <row r="2209" customFormat="false" ht="15" hidden="false" customHeight="true" outlineLevel="0" collapsed="false">
      <c r="A2209" s="5" t="s">
        <v>4487</v>
      </c>
      <c r="B2209" s="5" t="s">
        <v>1719</v>
      </c>
      <c r="C2209" s="5" t="s">
        <v>2254</v>
      </c>
      <c r="D2209" s="5" t="s">
        <v>2255</v>
      </c>
      <c r="E2209" s="5" t="s">
        <v>59</v>
      </c>
      <c r="F2209" s="5" t="s">
        <v>2225</v>
      </c>
      <c r="G2209" s="5" t="str">
        <f aca="false">INDEX(Risk_Matrix!$B$2:$D$4,MATCH(E2209,Risk_Matrix!$A$2:$A$4,0),MATCH(F2209,Risk_Matrix!$B$1:$D$1,0))</f>
        <v>Low</v>
      </c>
      <c r="H2209" s="12" t="n">
        <v>46236</v>
      </c>
      <c r="I2209" s="5" t="s">
        <v>2264</v>
      </c>
      <c r="J2209" s="5" t="s">
        <v>4087</v>
      </c>
      <c r="K2209" s="5" t="s">
        <v>2243</v>
      </c>
      <c r="L2209" s="5" t="n">
        <f aca="false">IF(G2209="High",3,IF(G2209="Medium",2,1))</f>
        <v>1</v>
      </c>
    </row>
    <row r="2210" customFormat="false" ht="15" hidden="false" customHeight="true" outlineLevel="0" collapsed="false">
      <c r="A2210" s="5" t="s">
        <v>4488</v>
      </c>
      <c r="B2210" s="5" t="s">
        <v>1721</v>
      </c>
      <c r="C2210" s="5" t="s">
        <v>2239</v>
      </c>
      <c r="D2210" s="5" t="s">
        <v>2303</v>
      </c>
      <c r="E2210" s="5" t="s">
        <v>54</v>
      </c>
      <c r="F2210" s="5" t="s">
        <v>54</v>
      </c>
      <c r="G2210" s="5" t="str">
        <f aca="false">INDEX(Risk_Matrix!$B$2:$D$4,MATCH(E2210,Risk_Matrix!$A$2:$A$4,0),MATCH(F2210,Risk_Matrix!$B$1:$D$1,0))</f>
        <v>High</v>
      </c>
      <c r="H2210" s="12" t="n">
        <v>46063</v>
      </c>
      <c r="I2210" s="5" t="s">
        <v>2264</v>
      </c>
      <c r="J2210" s="5" t="s">
        <v>4087</v>
      </c>
      <c r="K2210" s="5" t="s">
        <v>2266</v>
      </c>
      <c r="L2210" s="5" t="n">
        <f aca="false">IF(G2210="High",3,IF(G2210="Medium",2,1))</f>
        <v>3</v>
      </c>
    </row>
    <row r="2211" customFormat="false" ht="15" hidden="false" customHeight="true" outlineLevel="0" collapsed="false">
      <c r="A2211" s="5" t="s">
        <v>4489</v>
      </c>
      <c r="B2211" s="5" t="s">
        <v>1721</v>
      </c>
      <c r="C2211" s="5" t="s">
        <v>2245</v>
      </c>
      <c r="D2211" s="5" t="s">
        <v>2280</v>
      </c>
      <c r="E2211" s="5" t="s">
        <v>2225</v>
      </c>
      <c r="F2211" s="5" t="s">
        <v>59</v>
      </c>
      <c r="G2211" s="5" t="str">
        <f aca="false">INDEX(Risk_Matrix!$B$2:$D$4,MATCH(E2211,Risk_Matrix!$A$2:$A$4,0),MATCH(F2211,Risk_Matrix!$B$1:$D$1,0))</f>
        <v>Low</v>
      </c>
      <c r="H2211" s="12" t="n">
        <v>46052</v>
      </c>
      <c r="I2211" s="5" t="s">
        <v>2256</v>
      </c>
      <c r="J2211" s="5" t="s">
        <v>4081</v>
      </c>
      <c r="K2211" s="5" t="s">
        <v>2276</v>
      </c>
      <c r="L2211" s="5" t="n">
        <f aca="false">IF(G2211="High",3,IF(G2211="Medium",2,1))</f>
        <v>1</v>
      </c>
    </row>
    <row r="2212" customFormat="false" ht="15" hidden="false" customHeight="true" outlineLevel="0" collapsed="false">
      <c r="A2212" s="5" t="s">
        <v>4490</v>
      </c>
      <c r="B2212" s="5" t="s">
        <v>1721</v>
      </c>
      <c r="C2212" s="5" t="s">
        <v>2248</v>
      </c>
      <c r="D2212" s="5" t="s">
        <v>2322</v>
      </c>
      <c r="E2212" s="5" t="s">
        <v>54</v>
      </c>
      <c r="F2212" s="5" t="s">
        <v>59</v>
      </c>
      <c r="G2212" s="5" t="str">
        <f aca="false">INDEX(Risk_Matrix!$B$2:$D$4,MATCH(E2212,Risk_Matrix!$A$2:$A$4,0),MATCH(F2212,Risk_Matrix!$B$1:$D$1,0))</f>
        <v>Medium</v>
      </c>
      <c r="H2212" s="12" t="n">
        <v>46125</v>
      </c>
      <c r="I2212" s="5" t="s">
        <v>2241</v>
      </c>
      <c r="J2212" s="5" t="s">
        <v>2242</v>
      </c>
      <c r="K2212" s="5" t="s">
        <v>2276</v>
      </c>
      <c r="L2212" s="5" t="n">
        <f aca="false">IF(G2212="High",3,IF(G2212="Medium",2,1))</f>
        <v>2</v>
      </c>
    </row>
    <row r="2213" customFormat="false" ht="15" hidden="false" customHeight="true" outlineLevel="0" collapsed="false">
      <c r="A2213" s="5" t="s">
        <v>4491</v>
      </c>
      <c r="B2213" s="5" t="s">
        <v>1721</v>
      </c>
      <c r="C2213" s="5" t="s">
        <v>2262</v>
      </c>
      <c r="D2213" s="5" t="s">
        <v>2311</v>
      </c>
      <c r="E2213" s="5" t="s">
        <v>59</v>
      </c>
      <c r="F2213" s="5" t="s">
        <v>59</v>
      </c>
      <c r="G2213" s="5" t="str">
        <f aca="false">INDEX(Risk_Matrix!$B$2:$D$4,MATCH(E2213,Risk_Matrix!$A$2:$A$4,0),MATCH(F2213,Risk_Matrix!$B$1:$D$1,0))</f>
        <v>Low</v>
      </c>
      <c r="H2213" s="12" t="n">
        <v>46090</v>
      </c>
      <c r="I2213" s="5" t="s">
        <v>2241</v>
      </c>
      <c r="J2213" s="5" t="s">
        <v>2242</v>
      </c>
      <c r="K2213" s="5" t="s">
        <v>2243</v>
      </c>
      <c r="L2213" s="5" t="n">
        <f aca="false">IF(G2213="High",3,IF(G2213="Medium",2,1))</f>
        <v>1</v>
      </c>
    </row>
    <row r="2214" customFormat="false" ht="15" hidden="false" customHeight="true" outlineLevel="0" collapsed="false">
      <c r="A2214" s="5" t="s">
        <v>4492</v>
      </c>
      <c r="B2214" s="5" t="s">
        <v>1721</v>
      </c>
      <c r="C2214" s="5" t="s">
        <v>2259</v>
      </c>
      <c r="D2214" s="5" t="s">
        <v>2260</v>
      </c>
      <c r="E2214" s="5" t="s">
        <v>2225</v>
      </c>
      <c r="F2214" s="5" t="s">
        <v>59</v>
      </c>
      <c r="G2214" s="5" t="str">
        <f aca="false">INDEX(Risk_Matrix!$B$2:$D$4,MATCH(E2214,Risk_Matrix!$A$2:$A$4,0),MATCH(F2214,Risk_Matrix!$B$1:$D$1,0))</f>
        <v>Low</v>
      </c>
      <c r="H2214" s="12" t="n">
        <v>46229</v>
      </c>
      <c r="I2214" s="5" t="s">
        <v>2241</v>
      </c>
      <c r="J2214" s="5" t="s">
        <v>2242</v>
      </c>
      <c r="K2214" s="5" t="s">
        <v>2266</v>
      </c>
      <c r="L2214" s="5" t="n">
        <f aca="false">IF(G2214="High",3,IF(G2214="Medium",2,1))</f>
        <v>1</v>
      </c>
    </row>
    <row r="2215" customFormat="false" ht="15" hidden="false" customHeight="true" outlineLevel="0" collapsed="false">
      <c r="A2215" s="5" t="s">
        <v>4493</v>
      </c>
      <c r="B2215" s="5" t="s">
        <v>1721</v>
      </c>
      <c r="C2215" s="5" t="s">
        <v>2254</v>
      </c>
      <c r="D2215" s="5" t="s">
        <v>2308</v>
      </c>
      <c r="E2215" s="5" t="s">
        <v>54</v>
      </c>
      <c r="F2215" s="5" t="s">
        <v>54</v>
      </c>
      <c r="G2215" s="5" t="str">
        <f aca="false">INDEX(Risk_Matrix!$B$2:$D$4,MATCH(E2215,Risk_Matrix!$A$2:$A$4,0),MATCH(F2215,Risk_Matrix!$B$1:$D$1,0))</f>
        <v>High</v>
      </c>
      <c r="H2215" s="12" t="n">
        <v>46078</v>
      </c>
      <c r="I2215" s="5" t="s">
        <v>2250</v>
      </c>
      <c r="J2215" s="5" t="s">
        <v>2251</v>
      </c>
      <c r="K2215" s="5" t="s">
        <v>2266</v>
      </c>
      <c r="L2215" s="5" t="n">
        <f aca="false">IF(G2215="High",3,IF(G2215="Medium",2,1))</f>
        <v>3</v>
      </c>
    </row>
    <row r="2216" customFormat="false" ht="15" hidden="false" customHeight="true" outlineLevel="0" collapsed="false">
      <c r="A2216" s="5" t="s">
        <v>4494</v>
      </c>
      <c r="B2216" s="5" t="s">
        <v>1724</v>
      </c>
      <c r="C2216" s="5" t="s">
        <v>2239</v>
      </c>
      <c r="D2216" s="5" t="s">
        <v>2278</v>
      </c>
      <c r="E2216" s="5" t="s">
        <v>2225</v>
      </c>
      <c r="F2216" s="5" t="s">
        <v>54</v>
      </c>
      <c r="G2216" s="5" t="str">
        <f aca="false">INDEX(Risk_Matrix!$B$2:$D$4,MATCH(E2216,Risk_Matrix!$A$2:$A$4,0),MATCH(F2216,Risk_Matrix!$B$1:$D$1,0))</f>
        <v>High</v>
      </c>
      <c r="H2216" s="12" t="n">
        <v>46105</v>
      </c>
      <c r="I2216" s="5" t="s">
        <v>2256</v>
      </c>
      <c r="J2216" s="5" t="s">
        <v>4081</v>
      </c>
      <c r="K2216" s="5" t="s">
        <v>2243</v>
      </c>
      <c r="L2216" s="5" t="n">
        <f aca="false">IF(G2216="High",3,IF(G2216="Medium",2,1))</f>
        <v>3</v>
      </c>
    </row>
    <row r="2217" customFormat="false" ht="15" hidden="false" customHeight="true" outlineLevel="0" collapsed="false">
      <c r="A2217" s="5" t="s">
        <v>4495</v>
      </c>
      <c r="B2217" s="5" t="s">
        <v>1724</v>
      </c>
      <c r="C2217" s="5" t="s">
        <v>2245</v>
      </c>
      <c r="D2217" s="5" t="s">
        <v>2320</v>
      </c>
      <c r="E2217" s="5" t="s">
        <v>2225</v>
      </c>
      <c r="F2217" s="5" t="s">
        <v>59</v>
      </c>
      <c r="G2217" s="5" t="str">
        <f aca="false">INDEX(Risk_Matrix!$B$2:$D$4,MATCH(E2217,Risk_Matrix!$A$2:$A$4,0),MATCH(F2217,Risk_Matrix!$B$1:$D$1,0))</f>
        <v>Low</v>
      </c>
      <c r="H2217" s="12" t="n">
        <v>46166</v>
      </c>
      <c r="I2217" s="5" t="s">
        <v>2264</v>
      </c>
      <c r="J2217" s="5" t="s">
        <v>4087</v>
      </c>
      <c r="K2217" s="5" t="s">
        <v>2266</v>
      </c>
      <c r="L2217" s="5" t="n">
        <f aca="false">IF(G2217="High",3,IF(G2217="Medium",2,1))</f>
        <v>1</v>
      </c>
    </row>
    <row r="2218" customFormat="false" ht="15" hidden="false" customHeight="true" outlineLevel="0" collapsed="false">
      <c r="A2218" s="5" t="s">
        <v>4496</v>
      </c>
      <c r="B2218" s="5" t="s">
        <v>1724</v>
      </c>
      <c r="C2218" s="5" t="s">
        <v>2248</v>
      </c>
      <c r="D2218" s="5" t="s">
        <v>2306</v>
      </c>
      <c r="E2218" s="5" t="s">
        <v>54</v>
      </c>
      <c r="F2218" s="5" t="s">
        <v>54</v>
      </c>
      <c r="G2218" s="5" t="str">
        <f aca="false">INDEX(Risk_Matrix!$B$2:$D$4,MATCH(E2218,Risk_Matrix!$A$2:$A$4,0),MATCH(F2218,Risk_Matrix!$B$1:$D$1,0))</f>
        <v>High</v>
      </c>
      <c r="H2218" s="12" t="n">
        <v>46038</v>
      </c>
      <c r="I2218" s="5" t="s">
        <v>2241</v>
      </c>
      <c r="J2218" s="5" t="s">
        <v>2242</v>
      </c>
      <c r="K2218" s="5" t="s">
        <v>2266</v>
      </c>
      <c r="L2218" s="5" t="n">
        <f aca="false">IF(G2218="High",3,IF(G2218="Medium",2,1))</f>
        <v>3</v>
      </c>
    </row>
    <row r="2219" customFormat="false" ht="15" hidden="false" customHeight="true" outlineLevel="0" collapsed="false">
      <c r="A2219" s="5" t="s">
        <v>4497</v>
      </c>
      <c r="B2219" s="5" t="s">
        <v>1724</v>
      </c>
      <c r="C2219" s="5" t="s">
        <v>2262</v>
      </c>
      <c r="D2219" s="5" t="s">
        <v>2311</v>
      </c>
      <c r="E2219" s="5" t="s">
        <v>54</v>
      </c>
      <c r="F2219" s="5" t="s">
        <v>2225</v>
      </c>
      <c r="G2219" s="5" t="str">
        <f aca="false">INDEX(Risk_Matrix!$B$2:$D$4,MATCH(E2219,Risk_Matrix!$A$2:$A$4,0),MATCH(F2219,Risk_Matrix!$B$1:$D$1,0))</f>
        <v>High</v>
      </c>
      <c r="H2219" s="12" t="n">
        <v>46133</v>
      </c>
      <c r="I2219" s="5" t="s">
        <v>2241</v>
      </c>
      <c r="J2219" s="5" t="s">
        <v>2242</v>
      </c>
      <c r="K2219" s="5" t="s">
        <v>2283</v>
      </c>
      <c r="L2219" s="5" t="n">
        <f aca="false">IF(G2219="High",3,IF(G2219="Medium",2,1))</f>
        <v>3</v>
      </c>
    </row>
    <row r="2220" customFormat="false" ht="15" hidden="false" customHeight="true" outlineLevel="0" collapsed="false">
      <c r="A2220" s="5" t="s">
        <v>4498</v>
      </c>
      <c r="B2220" s="5" t="s">
        <v>1724</v>
      </c>
      <c r="C2220" s="5" t="s">
        <v>2259</v>
      </c>
      <c r="D2220" s="5" t="s">
        <v>2260</v>
      </c>
      <c r="E2220" s="5" t="s">
        <v>59</v>
      </c>
      <c r="F2220" s="5" t="s">
        <v>59</v>
      </c>
      <c r="G2220" s="5" t="str">
        <f aca="false">INDEX(Risk_Matrix!$B$2:$D$4,MATCH(E2220,Risk_Matrix!$A$2:$A$4,0),MATCH(F2220,Risk_Matrix!$B$1:$D$1,0))</f>
        <v>Low</v>
      </c>
      <c r="H2220" s="12" t="n">
        <v>46136</v>
      </c>
      <c r="I2220" s="5" t="s">
        <v>2241</v>
      </c>
      <c r="J2220" s="5" t="s">
        <v>2242</v>
      </c>
      <c r="K2220" s="5" t="s">
        <v>2243</v>
      </c>
      <c r="L2220" s="5" t="n">
        <f aca="false">IF(G2220="High",3,IF(G2220="Medium",2,1))</f>
        <v>1</v>
      </c>
    </row>
    <row r="2221" customFormat="false" ht="15" hidden="false" customHeight="true" outlineLevel="0" collapsed="false">
      <c r="A2221" s="5" t="s">
        <v>4499</v>
      </c>
      <c r="B2221" s="5" t="s">
        <v>1724</v>
      </c>
      <c r="C2221" s="5" t="s">
        <v>2254</v>
      </c>
      <c r="D2221" s="5" t="s">
        <v>2255</v>
      </c>
      <c r="E2221" s="5" t="s">
        <v>59</v>
      </c>
      <c r="F2221" s="5" t="s">
        <v>2225</v>
      </c>
      <c r="G2221" s="5" t="str">
        <f aca="false">INDEX(Risk_Matrix!$B$2:$D$4,MATCH(E2221,Risk_Matrix!$A$2:$A$4,0),MATCH(F2221,Risk_Matrix!$B$1:$D$1,0))</f>
        <v>Low</v>
      </c>
      <c r="H2221" s="12" t="n">
        <v>46202</v>
      </c>
      <c r="I2221" s="5" t="s">
        <v>2250</v>
      </c>
      <c r="J2221" s="5" t="s">
        <v>2251</v>
      </c>
      <c r="K2221" s="5" t="s">
        <v>2243</v>
      </c>
      <c r="L2221" s="5" t="n">
        <f aca="false">IF(G2221="High",3,IF(G2221="Medium",2,1))</f>
        <v>1</v>
      </c>
    </row>
    <row r="2222" customFormat="false" ht="15" hidden="false" customHeight="true" outlineLevel="0" collapsed="false">
      <c r="A2222" s="5" t="s">
        <v>4500</v>
      </c>
      <c r="B2222" s="5" t="s">
        <v>1726</v>
      </c>
      <c r="C2222" s="5" t="s">
        <v>2239</v>
      </c>
      <c r="D2222" s="5" t="s">
        <v>2303</v>
      </c>
      <c r="E2222" s="5" t="s">
        <v>54</v>
      </c>
      <c r="F2222" s="5" t="s">
        <v>54</v>
      </c>
      <c r="G2222" s="5" t="str">
        <f aca="false">INDEX(Risk_Matrix!$B$2:$D$4,MATCH(E2222,Risk_Matrix!$A$2:$A$4,0),MATCH(F2222,Risk_Matrix!$B$1:$D$1,0))</f>
        <v>High</v>
      </c>
      <c r="H2222" s="12" t="n">
        <v>46070</v>
      </c>
      <c r="I2222" s="5" t="s">
        <v>2241</v>
      </c>
      <c r="J2222" s="5" t="s">
        <v>2242</v>
      </c>
      <c r="K2222" s="5" t="s">
        <v>2276</v>
      </c>
      <c r="L2222" s="5" t="n">
        <f aca="false">IF(G2222="High",3,IF(G2222="Medium",2,1))</f>
        <v>3</v>
      </c>
    </row>
    <row r="2223" customFormat="false" ht="15" hidden="false" customHeight="true" outlineLevel="0" collapsed="false">
      <c r="A2223" s="5" t="s">
        <v>4501</v>
      </c>
      <c r="B2223" s="5" t="s">
        <v>1726</v>
      </c>
      <c r="C2223" s="5" t="s">
        <v>2245</v>
      </c>
      <c r="D2223" s="5" t="s">
        <v>2280</v>
      </c>
      <c r="E2223" s="5" t="s">
        <v>59</v>
      </c>
      <c r="F2223" s="5" t="s">
        <v>59</v>
      </c>
      <c r="G2223" s="5" t="str">
        <f aca="false">INDEX(Risk_Matrix!$B$2:$D$4,MATCH(E2223,Risk_Matrix!$A$2:$A$4,0),MATCH(F2223,Risk_Matrix!$B$1:$D$1,0))</f>
        <v>Low</v>
      </c>
      <c r="H2223" s="12" t="n">
        <v>46046</v>
      </c>
      <c r="I2223" s="5" t="s">
        <v>2250</v>
      </c>
      <c r="J2223" s="5" t="s">
        <v>2251</v>
      </c>
      <c r="K2223" s="5" t="s">
        <v>2252</v>
      </c>
      <c r="L2223" s="5" t="n">
        <f aca="false">IF(G2223="High",3,IF(G2223="Medium",2,1))</f>
        <v>1</v>
      </c>
    </row>
    <row r="2224" customFormat="false" ht="15" hidden="false" customHeight="true" outlineLevel="0" collapsed="false">
      <c r="A2224" s="5" t="s">
        <v>4502</v>
      </c>
      <c r="B2224" s="5" t="s">
        <v>1726</v>
      </c>
      <c r="C2224" s="5" t="s">
        <v>2248</v>
      </c>
      <c r="D2224" s="5" t="s">
        <v>2306</v>
      </c>
      <c r="E2224" s="5" t="s">
        <v>59</v>
      </c>
      <c r="F2224" s="5" t="s">
        <v>2225</v>
      </c>
      <c r="G2224" s="5" t="str">
        <f aca="false">INDEX(Risk_Matrix!$B$2:$D$4,MATCH(E2224,Risk_Matrix!$A$2:$A$4,0),MATCH(F2224,Risk_Matrix!$B$1:$D$1,0))</f>
        <v>Low</v>
      </c>
      <c r="H2224" s="12" t="n">
        <v>46181</v>
      </c>
      <c r="I2224" s="5" t="s">
        <v>2241</v>
      </c>
      <c r="J2224" s="5" t="s">
        <v>2242</v>
      </c>
      <c r="K2224" s="5" t="s">
        <v>2266</v>
      </c>
      <c r="L2224" s="5" t="n">
        <f aca="false">IF(G2224="High",3,IF(G2224="Medium",2,1))</f>
        <v>1</v>
      </c>
    </row>
    <row r="2225" customFormat="false" ht="15" hidden="false" customHeight="true" outlineLevel="0" collapsed="false">
      <c r="A2225" s="5" t="s">
        <v>4503</v>
      </c>
      <c r="B2225" s="5" t="s">
        <v>1726</v>
      </c>
      <c r="C2225" s="5" t="s">
        <v>2262</v>
      </c>
      <c r="D2225" s="5" t="s">
        <v>2311</v>
      </c>
      <c r="E2225" s="5" t="s">
        <v>59</v>
      </c>
      <c r="F2225" s="5" t="s">
        <v>2225</v>
      </c>
      <c r="G2225" s="5" t="str">
        <f aca="false">INDEX(Risk_Matrix!$B$2:$D$4,MATCH(E2225,Risk_Matrix!$A$2:$A$4,0),MATCH(F2225,Risk_Matrix!$B$1:$D$1,0))</f>
        <v>Low</v>
      </c>
      <c r="H2225" s="12" t="n">
        <v>46073</v>
      </c>
      <c r="I2225" s="5" t="s">
        <v>2250</v>
      </c>
      <c r="J2225" s="5" t="s">
        <v>2251</v>
      </c>
      <c r="K2225" s="5" t="s">
        <v>2283</v>
      </c>
      <c r="L2225" s="5" t="n">
        <f aca="false">IF(G2225="High",3,IF(G2225="Medium",2,1))</f>
        <v>1</v>
      </c>
    </row>
    <row r="2226" customFormat="false" ht="15" hidden="false" customHeight="true" outlineLevel="0" collapsed="false">
      <c r="A2226" s="5" t="s">
        <v>4504</v>
      </c>
      <c r="B2226" s="5" t="s">
        <v>1726</v>
      </c>
      <c r="C2226" s="5" t="s">
        <v>2259</v>
      </c>
      <c r="D2226" s="5" t="s">
        <v>2285</v>
      </c>
      <c r="E2226" s="5" t="s">
        <v>2225</v>
      </c>
      <c r="F2226" s="5" t="s">
        <v>59</v>
      </c>
      <c r="G2226" s="5" t="str">
        <f aca="false">INDEX(Risk_Matrix!$B$2:$D$4,MATCH(E2226,Risk_Matrix!$A$2:$A$4,0),MATCH(F2226,Risk_Matrix!$B$1:$D$1,0))</f>
        <v>Low</v>
      </c>
      <c r="H2226" s="12" t="n">
        <v>46236</v>
      </c>
      <c r="I2226" s="5" t="s">
        <v>2250</v>
      </c>
      <c r="J2226" s="5" t="s">
        <v>2251</v>
      </c>
      <c r="K2226" s="5" t="s">
        <v>2283</v>
      </c>
      <c r="L2226" s="5" t="n">
        <f aca="false">IF(G2226="High",3,IF(G2226="Medium",2,1))</f>
        <v>1</v>
      </c>
    </row>
    <row r="2227" customFormat="false" ht="15" hidden="false" customHeight="true" outlineLevel="0" collapsed="false">
      <c r="A2227" s="5" t="s">
        <v>4505</v>
      </c>
      <c r="B2227" s="5" t="s">
        <v>1726</v>
      </c>
      <c r="C2227" s="5" t="s">
        <v>2254</v>
      </c>
      <c r="D2227" s="5" t="s">
        <v>2255</v>
      </c>
      <c r="E2227" s="5" t="s">
        <v>2225</v>
      </c>
      <c r="F2227" s="5" t="s">
        <v>59</v>
      </c>
      <c r="G2227" s="5" t="str">
        <f aca="false">INDEX(Risk_Matrix!$B$2:$D$4,MATCH(E2227,Risk_Matrix!$A$2:$A$4,0),MATCH(F2227,Risk_Matrix!$B$1:$D$1,0))</f>
        <v>Low</v>
      </c>
      <c r="H2227" s="12" t="n">
        <v>46196</v>
      </c>
      <c r="I2227" s="5" t="s">
        <v>2250</v>
      </c>
      <c r="J2227" s="5" t="s">
        <v>2251</v>
      </c>
      <c r="K2227" s="5" t="s">
        <v>2276</v>
      </c>
      <c r="L2227" s="5" t="n">
        <f aca="false">IF(G2227="High",3,IF(G2227="Medium",2,1))</f>
        <v>1</v>
      </c>
    </row>
    <row r="2228" customFormat="false" ht="15" hidden="false" customHeight="true" outlineLevel="0" collapsed="false">
      <c r="A2228" s="5" t="s">
        <v>4506</v>
      </c>
      <c r="B2228" s="5" t="s">
        <v>1728</v>
      </c>
      <c r="C2228" s="5" t="s">
        <v>2239</v>
      </c>
      <c r="D2228" s="5" t="s">
        <v>2295</v>
      </c>
      <c r="E2228" s="5" t="s">
        <v>2225</v>
      </c>
      <c r="F2228" s="5" t="s">
        <v>54</v>
      </c>
      <c r="G2228" s="5" t="str">
        <f aca="false">INDEX(Risk_Matrix!$B$2:$D$4,MATCH(E2228,Risk_Matrix!$A$2:$A$4,0),MATCH(F2228,Risk_Matrix!$B$1:$D$1,0))</f>
        <v>High</v>
      </c>
      <c r="H2228" s="12" t="n">
        <v>46065</v>
      </c>
      <c r="I2228" s="5" t="s">
        <v>2241</v>
      </c>
      <c r="J2228" s="5" t="s">
        <v>2242</v>
      </c>
      <c r="K2228" s="5" t="s">
        <v>2266</v>
      </c>
      <c r="L2228" s="5" t="n">
        <f aca="false">IF(G2228="High",3,IF(G2228="Medium",2,1))</f>
        <v>3</v>
      </c>
    </row>
    <row r="2229" customFormat="false" ht="15" hidden="false" customHeight="true" outlineLevel="0" collapsed="false">
      <c r="A2229" s="5" t="s">
        <v>4507</v>
      </c>
      <c r="B2229" s="5" t="s">
        <v>1728</v>
      </c>
      <c r="C2229" s="5" t="s">
        <v>2245</v>
      </c>
      <c r="D2229" s="5" t="s">
        <v>2246</v>
      </c>
      <c r="E2229" s="5" t="s">
        <v>2225</v>
      </c>
      <c r="F2229" s="5" t="s">
        <v>59</v>
      </c>
      <c r="G2229" s="5" t="str">
        <f aca="false">INDEX(Risk_Matrix!$B$2:$D$4,MATCH(E2229,Risk_Matrix!$A$2:$A$4,0),MATCH(F2229,Risk_Matrix!$B$1:$D$1,0))</f>
        <v>Low</v>
      </c>
      <c r="H2229" s="12" t="n">
        <v>46211</v>
      </c>
      <c r="I2229" s="5" t="s">
        <v>2256</v>
      </c>
      <c r="J2229" s="5" t="s">
        <v>4081</v>
      </c>
      <c r="K2229" s="5" t="s">
        <v>2276</v>
      </c>
      <c r="L2229" s="5" t="n">
        <f aca="false">IF(G2229="High",3,IF(G2229="Medium",2,1))</f>
        <v>1</v>
      </c>
    </row>
    <row r="2230" customFormat="false" ht="15" hidden="false" customHeight="true" outlineLevel="0" collapsed="false">
      <c r="A2230" s="5" t="s">
        <v>4508</v>
      </c>
      <c r="B2230" s="5" t="s">
        <v>1728</v>
      </c>
      <c r="C2230" s="5" t="s">
        <v>2248</v>
      </c>
      <c r="D2230" s="5" t="s">
        <v>2249</v>
      </c>
      <c r="E2230" s="5" t="s">
        <v>59</v>
      </c>
      <c r="F2230" s="5" t="s">
        <v>59</v>
      </c>
      <c r="G2230" s="5" t="str">
        <f aca="false">INDEX(Risk_Matrix!$B$2:$D$4,MATCH(E2230,Risk_Matrix!$A$2:$A$4,0),MATCH(F2230,Risk_Matrix!$B$1:$D$1,0))</f>
        <v>Low</v>
      </c>
      <c r="H2230" s="12" t="n">
        <v>46064</v>
      </c>
      <c r="I2230" s="5" t="s">
        <v>2256</v>
      </c>
      <c r="J2230" s="5" t="s">
        <v>4081</v>
      </c>
      <c r="K2230" s="5" t="s">
        <v>2252</v>
      </c>
      <c r="L2230" s="5" t="n">
        <f aca="false">IF(G2230="High",3,IF(G2230="Medium",2,1))</f>
        <v>1</v>
      </c>
    </row>
    <row r="2231" customFormat="false" ht="15" hidden="false" customHeight="true" outlineLevel="0" collapsed="false">
      <c r="A2231" s="5" t="s">
        <v>4509</v>
      </c>
      <c r="B2231" s="5" t="s">
        <v>1728</v>
      </c>
      <c r="C2231" s="5" t="s">
        <v>2262</v>
      </c>
      <c r="D2231" s="5" t="s">
        <v>2311</v>
      </c>
      <c r="E2231" s="5" t="s">
        <v>2225</v>
      </c>
      <c r="F2231" s="5" t="s">
        <v>59</v>
      </c>
      <c r="G2231" s="5" t="str">
        <f aca="false">INDEX(Risk_Matrix!$B$2:$D$4,MATCH(E2231,Risk_Matrix!$A$2:$A$4,0),MATCH(F2231,Risk_Matrix!$B$1:$D$1,0))</f>
        <v>Low</v>
      </c>
      <c r="H2231" s="12" t="n">
        <v>46117</v>
      </c>
      <c r="I2231" s="5" t="s">
        <v>2264</v>
      </c>
      <c r="J2231" s="5" t="s">
        <v>4087</v>
      </c>
      <c r="K2231" s="5" t="s">
        <v>2276</v>
      </c>
      <c r="L2231" s="5" t="n">
        <f aca="false">IF(G2231="High",3,IF(G2231="Medium",2,1))</f>
        <v>1</v>
      </c>
    </row>
    <row r="2232" customFormat="false" ht="15" hidden="false" customHeight="true" outlineLevel="0" collapsed="false">
      <c r="A2232" s="5" t="s">
        <v>4510</v>
      </c>
      <c r="B2232" s="5" t="s">
        <v>1728</v>
      </c>
      <c r="C2232" s="5" t="s">
        <v>2259</v>
      </c>
      <c r="D2232" s="5" t="s">
        <v>2274</v>
      </c>
      <c r="E2232" s="5" t="s">
        <v>2225</v>
      </c>
      <c r="F2232" s="5" t="s">
        <v>2225</v>
      </c>
      <c r="G2232" s="5" t="str">
        <f aca="false">INDEX(Risk_Matrix!$B$2:$D$4,MATCH(E2232,Risk_Matrix!$A$2:$A$4,0),MATCH(F2232,Risk_Matrix!$B$1:$D$1,0))</f>
        <v>Medium</v>
      </c>
      <c r="H2232" s="12" t="n">
        <v>46181</v>
      </c>
      <c r="I2232" s="5" t="s">
        <v>2256</v>
      </c>
      <c r="J2232" s="5" t="s">
        <v>4081</v>
      </c>
      <c r="K2232" s="5" t="s">
        <v>2276</v>
      </c>
      <c r="L2232" s="5" t="n">
        <f aca="false">IF(G2232="High",3,IF(G2232="Medium",2,1))</f>
        <v>2</v>
      </c>
    </row>
    <row r="2233" customFormat="false" ht="15" hidden="false" customHeight="true" outlineLevel="0" collapsed="false">
      <c r="A2233" s="5" t="s">
        <v>4511</v>
      </c>
      <c r="B2233" s="5" t="s">
        <v>1728</v>
      </c>
      <c r="C2233" s="5" t="s">
        <v>2254</v>
      </c>
      <c r="D2233" s="5" t="s">
        <v>2299</v>
      </c>
      <c r="E2233" s="5" t="s">
        <v>2225</v>
      </c>
      <c r="F2233" s="5" t="s">
        <v>59</v>
      </c>
      <c r="G2233" s="5" t="str">
        <f aca="false">INDEX(Risk_Matrix!$B$2:$D$4,MATCH(E2233,Risk_Matrix!$A$2:$A$4,0),MATCH(F2233,Risk_Matrix!$B$1:$D$1,0))</f>
        <v>Low</v>
      </c>
      <c r="H2233" s="12" t="n">
        <v>46134</v>
      </c>
      <c r="I2233" s="5" t="s">
        <v>2264</v>
      </c>
      <c r="J2233" s="5" t="s">
        <v>4087</v>
      </c>
      <c r="K2233" s="5" t="s">
        <v>2276</v>
      </c>
      <c r="L2233" s="5" t="n">
        <f aca="false">IF(G2233="High",3,IF(G2233="Medium",2,1))</f>
        <v>1</v>
      </c>
    </row>
    <row r="2234" customFormat="false" ht="15" hidden="false" customHeight="true" outlineLevel="0" collapsed="false">
      <c r="A2234" s="5" t="s">
        <v>4512</v>
      </c>
      <c r="B2234" s="5" t="s">
        <v>1730</v>
      </c>
      <c r="C2234" s="5" t="s">
        <v>2239</v>
      </c>
      <c r="D2234" s="5" t="s">
        <v>2303</v>
      </c>
      <c r="E2234" s="5" t="s">
        <v>54</v>
      </c>
      <c r="F2234" s="5" t="s">
        <v>54</v>
      </c>
      <c r="G2234" s="5" t="str">
        <f aca="false">INDEX(Risk_Matrix!$B$2:$D$4,MATCH(E2234,Risk_Matrix!$A$2:$A$4,0),MATCH(F2234,Risk_Matrix!$B$1:$D$1,0))</f>
        <v>High</v>
      </c>
      <c r="H2234" s="12" t="n">
        <v>46164</v>
      </c>
      <c r="I2234" s="5" t="s">
        <v>2256</v>
      </c>
      <c r="J2234" s="5" t="s">
        <v>4081</v>
      </c>
      <c r="K2234" s="5" t="s">
        <v>2283</v>
      </c>
      <c r="L2234" s="5" t="n">
        <f aca="false">IF(G2234="High",3,IF(G2234="Medium",2,1))</f>
        <v>3</v>
      </c>
    </row>
    <row r="2235" customFormat="false" ht="15" hidden="false" customHeight="true" outlineLevel="0" collapsed="false">
      <c r="A2235" s="5" t="s">
        <v>4513</v>
      </c>
      <c r="B2235" s="5" t="s">
        <v>1730</v>
      </c>
      <c r="C2235" s="5" t="s">
        <v>2245</v>
      </c>
      <c r="D2235" s="5" t="s">
        <v>2246</v>
      </c>
      <c r="E2235" s="5" t="s">
        <v>2225</v>
      </c>
      <c r="F2235" s="5" t="s">
        <v>59</v>
      </c>
      <c r="G2235" s="5" t="str">
        <f aca="false">INDEX(Risk_Matrix!$B$2:$D$4,MATCH(E2235,Risk_Matrix!$A$2:$A$4,0),MATCH(F2235,Risk_Matrix!$B$1:$D$1,0))</f>
        <v>Low</v>
      </c>
      <c r="H2235" s="12" t="n">
        <v>46174</v>
      </c>
      <c r="I2235" s="5" t="s">
        <v>2256</v>
      </c>
      <c r="J2235" s="5" t="s">
        <v>4081</v>
      </c>
      <c r="K2235" s="5" t="s">
        <v>2283</v>
      </c>
      <c r="L2235" s="5" t="n">
        <f aca="false">IF(G2235="High",3,IF(G2235="Medium",2,1))</f>
        <v>1</v>
      </c>
    </row>
    <row r="2236" customFormat="false" ht="15" hidden="false" customHeight="true" outlineLevel="0" collapsed="false">
      <c r="A2236" s="5" t="s">
        <v>4514</v>
      </c>
      <c r="B2236" s="5" t="s">
        <v>1730</v>
      </c>
      <c r="C2236" s="5" t="s">
        <v>2248</v>
      </c>
      <c r="D2236" s="5" t="s">
        <v>2322</v>
      </c>
      <c r="E2236" s="5" t="s">
        <v>54</v>
      </c>
      <c r="F2236" s="5" t="s">
        <v>59</v>
      </c>
      <c r="G2236" s="5" t="str">
        <f aca="false">INDEX(Risk_Matrix!$B$2:$D$4,MATCH(E2236,Risk_Matrix!$A$2:$A$4,0),MATCH(F2236,Risk_Matrix!$B$1:$D$1,0))</f>
        <v>Medium</v>
      </c>
      <c r="H2236" s="12" t="n">
        <v>46027</v>
      </c>
      <c r="I2236" s="5" t="s">
        <v>2264</v>
      </c>
      <c r="J2236" s="5" t="s">
        <v>4087</v>
      </c>
      <c r="K2236" s="5" t="s">
        <v>2252</v>
      </c>
      <c r="L2236" s="5" t="n">
        <f aca="false">IF(G2236="High",3,IF(G2236="Medium",2,1))</f>
        <v>2</v>
      </c>
    </row>
    <row r="2237" customFormat="false" ht="15" hidden="false" customHeight="true" outlineLevel="0" collapsed="false">
      <c r="A2237" s="5" t="s">
        <v>4515</v>
      </c>
      <c r="B2237" s="5" t="s">
        <v>1730</v>
      </c>
      <c r="C2237" s="5" t="s">
        <v>2262</v>
      </c>
      <c r="D2237" s="5" t="s">
        <v>2311</v>
      </c>
      <c r="E2237" s="5" t="s">
        <v>59</v>
      </c>
      <c r="F2237" s="5" t="s">
        <v>2225</v>
      </c>
      <c r="G2237" s="5" t="str">
        <f aca="false">INDEX(Risk_Matrix!$B$2:$D$4,MATCH(E2237,Risk_Matrix!$A$2:$A$4,0),MATCH(F2237,Risk_Matrix!$B$1:$D$1,0))</f>
        <v>Low</v>
      </c>
      <c r="H2237" s="12" t="n">
        <v>46055</v>
      </c>
      <c r="I2237" s="5" t="s">
        <v>2256</v>
      </c>
      <c r="J2237" s="5" t="s">
        <v>4081</v>
      </c>
      <c r="K2237" s="5" t="s">
        <v>2243</v>
      </c>
      <c r="L2237" s="5" t="n">
        <f aca="false">IF(G2237="High",3,IF(G2237="Medium",2,1))</f>
        <v>1</v>
      </c>
    </row>
    <row r="2238" customFormat="false" ht="15" hidden="false" customHeight="true" outlineLevel="0" collapsed="false">
      <c r="A2238" s="5" t="s">
        <v>4516</v>
      </c>
      <c r="B2238" s="5" t="s">
        <v>1730</v>
      </c>
      <c r="C2238" s="5" t="s">
        <v>2259</v>
      </c>
      <c r="D2238" s="5" t="s">
        <v>2260</v>
      </c>
      <c r="E2238" s="5" t="s">
        <v>2225</v>
      </c>
      <c r="F2238" s="5" t="s">
        <v>2225</v>
      </c>
      <c r="G2238" s="5" t="str">
        <f aca="false">INDEX(Risk_Matrix!$B$2:$D$4,MATCH(E2238,Risk_Matrix!$A$2:$A$4,0),MATCH(F2238,Risk_Matrix!$B$1:$D$1,0))</f>
        <v>Medium</v>
      </c>
      <c r="H2238" s="12" t="n">
        <v>46144</v>
      </c>
      <c r="I2238" s="5" t="s">
        <v>2264</v>
      </c>
      <c r="J2238" s="5" t="s">
        <v>4087</v>
      </c>
      <c r="K2238" s="5" t="s">
        <v>2252</v>
      </c>
      <c r="L2238" s="5" t="n">
        <f aca="false">IF(G2238="High",3,IF(G2238="Medium",2,1))</f>
        <v>2</v>
      </c>
    </row>
    <row r="2239" customFormat="false" ht="15" hidden="false" customHeight="true" outlineLevel="0" collapsed="false">
      <c r="A2239" s="5" t="s">
        <v>4517</v>
      </c>
      <c r="B2239" s="5" t="s">
        <v>1730</v>
      </c>
      <c r="C2239" s="5" t="s">
        <v>2254</v>
      </c>
      <c r="D2239" s="5" t="s">
        <v>2308</v>
      </c>
      <c r="E2239" s="5" t="s">
        <v>54</v>
      </c>
      <c r="F2239" s="5" t="s">
        <v>2225</v>
      </c>
      <c r="G2239" s="5" t="str">
        <f aca="false">INDEX(Risk_Matrix!$B$2:$D$4,MATCH(E2239,Risk_Matrix!$A$2:$A$4,0),MATCH(F2239,Risk_Matrix!$B$1:$D$1,0))</f>
        <v>High</v>
      </c>
      <c r="H2239" s="12" t="n">
        <v>46084</v>
      </c>
      <c r="I2239" s="5" t="s">
        <v>2264</v>
      </c>
      <c r="J2239" s="5" t="s">
        <v>4087</v>
      </c>
      <c r="K2239" s="5" t="s">
        <v>2243</v>
      </c>
      <c r="L2239" s="5" t="n">
        <f aca="false">IF(G2239="High",3,IF(G2239="Medium",2,1))</f>
        <v>3</v>
      </c>
    </row>
    <row r="2240" customFormat="false" ht="15" hidden="false" customHeight="true" outlineLevel="0" collapsed="false">
      <c r="A2240" s="5" t="s">
        <v>4518</v>
      </c>
      <c r="B2240" s="5" t="s">
        <v>1732</v>
      </c>
      <c r="C2240" s="5" t="s">
        <v>2239</v>
      </c>
      <c r="D2240" s="5" t="s">
        <v>2240</v>
      </c>
      <c r="E2240" s="5" t="s">
        <v>54</v>
      </c>
      <c r="F2240" s="5" t="s">
        <v>59</v>
      </c>
      <c r="G2240" s="5" t="str">
        <f aca="false">INDEX(Risk_Matrix!$B$2:$D$4,MATCH(E2240,Risk_Matrix!$A$2:$A$4,0),MATCH(F2240,Risk_Matrix!$B$1:$D$1,0))</f>
        <v>Medium</v>
      </c>
      <c r="H2240" s="12" t="n">
        <v>46123</v>
      </c>
      <c r="I2240" s="5" t="s">
        <v>2241</v>
      </c>
      <c r="J2240" s="5" t="s">
        <v>2242</v>
      </c>
      <c r="K2240" s="5" t="s">
        <v>2243</v>
      </c>
      <c r="L2240" s="5" t="n">
        <f aca="false">IF(G2240="High",3,IF(G2240="Medium",2,1))</f>
        <v>2</v>
      </c>
    </row>
    <row r="2241" customFormat="false" ht="15" hidden="false" customHeight="true" outlineLevel="0" collapsed="false">
      <c r="A2241" s="5" t="s">
        <v>4519</v>
      </c>
      <c r="B2241" s="5" t="s">
        <v>1732</v>
      </c>
      <c r="C2241" s="5" t="s">
        <v>2245</v>
      </c>
      <c r="D2241" s="5" t="s">
        <v>2280</v>
      </c>
      <c r="E2241" s="5" t="s">
        <v>54</v>
      </c>
      <c r="F2241" s="5" t="s">
        <v>2225</v>
      </c>
      <c r="G2241" s="5" t="str">
        <f aca="false">INDEX(Risk_Matrix!$B$2:$D$4,MATCH(E2241,Risk_Matrix!$A$2:$A$4,0),MATCH(F2241,Risk_Matrix!$B$1:$D$1,0))</f>
        <v>High</v>
      </c>
      <c r="H2241" s="12" t="n">
        <v>46206</v>
      </c>
      <c r="I2241" s="5" t="s">
        <v>2250</v>
      </c>
      <c r="J2241" s="5" t="s">
        <v>2251</v>
      </c>
      <c r="K2241" s="5" t="s">
        <v>2266</v>
      </c>
      <c r="L2241" s="5" t="n">
        <f aca="false">IF(G2241="High",3,IF(G2241="Medium",2,1))</f>
        <v>3</v>
      </c>
    </row>
    <row r="2242" customFormat="false" ht="15" hidden="false" customHeight="true" outlineLevel="0" collapsed="false">
      <c r="A2242" s="5" t="s">
        <v>4520</v>
      </c>
      <c r="B2242" s="5" t="s">
        <v>1732</v>
      </c>
      <c r="C2242" s="5" t="s">
        <v>2248</v>
      </c>
      <c r="D2242" s="5" t="s">
        <v>2271</v>
      </c>
      <c r="E2242" s="5" t="s">
        <v>54</v>
      </c>
      <c r="F2242" s="5" t="s">
        <v>54</v>
      </c>
      <c r="G2242" s="5" t="str">
        <f aca="false">INDEX(Risk_Matrix!$B$2:$D$4,MATCH(E2242,Risk_Matrix!$A$2:$A$4,0),MATCH(F2242,Risk_Matrix!$B$1:$D$1,0))</f>
        <v>High</v>
      </c>
      <c r="H2242" s="12" t="n">
        <v>46179</v>
      </c>
      <c r="I2242" s="5" t="s">
        <v>2241</v>
      </c>
      <c r="J2242" s="5" t="s">
        <v>2242</v>
      </c>
      <c r="K2242" s="5" t="s">
        <v>2276</v>
      </c>
      <c r="L2242" s="5" t="n">
        <f aca="false">IF(G2242="High",3,IF(G2242="Medium",2,1))</f>
        <v>3</v>
      </c>
    </row>
    <row r="2243" customFormat="false" ht="15" hidden="false" customHeight="true" outlineLevel="0" collapsed="false">
      <c r="A2243" s="5" t="s">
        <v>4521</v>
      </c>
      <c r="B2243" s="5" t="s">
        <v>1732</v>
      </c>
      <c r="C2243" s="5" t="s">
        <v>2262</v>
      </c>
      <c r="D2243" s="5" t="s">
        <v>2311</v>
      </c>
      <c r="E2243" s="5" t="s">
        <v>59</v>
      </c>
      <c r="F2243" s="5" t="s">
        <v>59</v>
      </c>
      <c r="G2243" s="5" t="str">
        <f aca="false">INDEX(Risk_Matrix!$B$2:$D$4,MATCH(E2243,Risk_Matrix!$A$2:$A$4,0),MATCH(F2243,Risk_Matrix!$B$1:$D$1,0))</f>
        <v>Low</v>
      </c>
      <c r="H2243" s="12" t="n">
        <v>46047</v>
      </c>
      <c r="I2243" s="5" t="s">
        <v>2250</v>
      </c>
      <c r="J2243" s="5" t="s">
        <v>2251</v>
      </c>
      <c r="K2243" s="5" t="s">
        <v>2243</v>
      </c>
      <c r="L2243" s="5" t="n">
        <f aca="false">IF(G2243="High",3,IF(G2243="Medium",2,1))</f>
        <v>1</v>
      </c>
    </row>
    <row r="2244" customFormat="false" ht="15" hidden="false" customHeight="true" outlineLevel="0" collapsed="false">
      <c r="A2244" s="5" t="s">
        <v>4522</v>
      </c>
      <c r="B2244" s="5" t="s">
        <v>1732</v>
      </c>
      <c r="C2244" s="5" t="s">
        <v>2259</v>
      </c>
      <c r="D2244" s="5" t="s">
        <v>2260</v>
      </c>
      <c r="E2244" s="5" t="s">
        <v>59</v>
      </c>
      <c r="F2244" s="5" t="s">
        <v>59</v>
      </c>
      <c r="G2244" s="5" t="str">
        <f aca="false">INDEX(Risk_Matrix!$B$2:$D$4,MATCH(E2244,Risk_Matrix!$A$2:$A$4,0),MATCH(F2244,Risk_Matrix!$B$1:$D$1,0))</f>
        <v>Low</v>
      </c>
      <c r="H2244" s="12" t="n">
        <v>46222</v>
      </c>
      <c r="I2244" s="5" t="s">
        <v>2256</v>
      </c>
      <c r="J2244" s="5" t="s">
        <v>4081</v>
      </c>
      <c r="K2244" s="5" t="s">
        <v>2243</v>
      </c>
      <c r="L2244" s="5" t="n">
        <f aca="false">IF(G2244="High",3,IF(G2244="Medium",2,1))</f>
        <v>1</v>
      </c>
    </row>
    <row r="2245" customFormat="false" ht="15" hidden="false" customHeight="true" outlineLevel="0" collapsed="false">
      <c r="A2245" s="5" t="s">
        <v>4523</v>
      </c>
      <c r="B2245" s="5" t="s">
        <v>1732</v>
      </c>
      <c r="C2245" s="5" t="s">
        <v>2254</v>
      </c>
      <c r="D2245" s="5" t="s">
        <v>2308</v>
      </c>
      <c r="E2245" s="5" t="s">
        <v>2225</v>
      </c>
      <c r="F2245" s="5" t="s">
        <v>54</v>
      </c>
      <c r="G2245" s="5" t="str">
        <f aca="false">INDEX(Risk_Matrix!$B$2:$D$4,MATCH(E2245,Risk_Matrix!$A$2:$A$4,0),MATCH(F2245,Risk_Matrix!$B$1:$D$1,0))</f>
        <v>High</v>
      </c>
      <c r="H2245" s="12" t="n">
        <v>46205</v>
      </c>
      <c r="I2245" s="5" t="s">
        <v>2264</v>
      </c>
      <c r="J2245" s="5" t="s">
        <v>4087</v>
      </c>
      <c r="K2245" s="5" t="s">
        <v>2283</v>
      </c>
      <c r="L2245" s="5" t="n">
        <f aca="false">IF(G2245="High",3,IF(G2245="Medium",2,1))</f>
        <v>3</v>
      </c>
    </row>
    <row r="2246" customFormat="false" ht="15" hidden="false" customHeight="true" outlineLevel="0" collapsed="false">
      <c r="A2246" s="5" t="s">
        <v>4524</v>
      </c>
      <c r="B2246" s="5" t="s">
        <v>1734</v>
      </c>
      <c r="C2246" s="5" t="s">
        <v>2239</v>
      </c>
      <c r="D2246" s="5" t="s">
        <v>2295</v>
      </c>
      <c r="E2246" s="5" t="s">
        <v>2225</v>
      </c>
      <c r="F2246" s="5" t="s">
        <v>2225</v>
      </c>
      <c r="G2246" s="5" t="str">
        <f aca="false">INDEX(Risk_Matrix!$B$2:$D$4,MATCH(E2246,Risk_Matrix!$A$2:$A$4,0),MATCH(F2246,Risk_Matrix!$B$1:$D$1,0))</f>
        <v>Medium</v>
      </c>
      <c r="H2246" s="12" t="n">
        <v>46227</v>
      </c>
      <c r="I2246" s="5" t="s">
        <v>2250</v>
      </c>
      <c r="J2246" s="5" t="s">
        <v>2251</v>
      </c>
      <c r="K2246" s="5" t="s">
        <v>2276</v>
      </c>
      <c r="L2246" s="5" t="n">
        <f aca="false">IF(G2246="High",3,IF(G2246="Medium",2,1))</f>
        <v>2</v>
      </c>
    </row>
    <row r="2247" customFormat="false" ht="15" hidden="false" customHeight="true" outlineLevel="0" collapsed="false">
      <c r="A2247" s="5" t="s">
        <v>4525</v>
      </c>
      <c r="B2247" s="5" t="s">
        <v>1734</v>
      </c>
      <c r="C2247" s="5" t="s">
        <v>2245</v>
      </c>
      <c r="D2247" s="5" t="s">
        <v>2280</v>
      </c>
      <c r="E2247" s="5" t="s">
        <v>2225</v>
      </c>
      <c r="F2247" s="5" t="s">
        <v>59</v>
      </c>
      <c r="G2247" s="5" t="str">
        <f aca="false">INDEX(Risk_Matrix!$B$2:$D$4,MATCH(E2247,Risk_Matrix!$A$2:$A$4,0),MATCH(F2247,Risk_Matrix!$B$1:$D$1,0))</f>
        <v>Low</v>
      </c>
      <c r="H2247" s="12" t="n">
        <v>46191</v>
      </c>
      <c r="I2247" s="5" t="s">
        <v>2264</v>
      </c>
      <c r="J2247" s="5" t="s">
        <v>4087</v>
      </c>
      <c r="K2247" s="5" t="s">
        <v>2266</v>
      </c>
      <c r="L2247" s="5" t="n">
        <f aca="false">IF(G2247="High",3,IF(G2247="Medium",2,1))</f>
        <v>1</v>
      </c>
    </row>
    <row r="2248" customFormat="false" ht="15" hidden="false" customHeight="true" outlineLevel="0" collapsed="false">
      <c r="A2248" s="5" t="s">
        <v>4526</v>
      </c>
      <c r="B2248" s="5" t="s">
        <v>1734</v>
      </c>
      <c r="C2248" s="5" t="s">
        <v>2248</v>
      </c>
      <c r="D2248" s="5" t="s">
        <v>2271</v>
      </c>
      <c r="E2248" s="5" t="s">
        <v>54</v>
      </c>
      <c r="F2248" s="5" t="s">
        <v>59</v>
      </c>
      <c r="G2248" s="5" t="str">
        <f aca="false">INDEX(Risk_Matrix!$B$2:$D$4,MATCH(E2248,Risk_Matrix!$A$2:$A$4,0),MATCH(F2248,Risk_Matrix!$B$1:$D$1,0))</f>
        <v>Medium</v>
      </c>
      <c r="H2248" s="12" t="n">
        <v>46128</v>
      </c>
      <c r="I2248" s="5" t="s">
        <v>2264</v>
      </c>
      <c r="J2248" s="5" t="s">
        <v>4087</v>
      </c>
      <c r="K2248" s="5" t="s">
        <v>2266</v>
      </c>
      <c r="L2248" s="5" t="n">
        <f aca="false">IF(G2248="High",3,IF(G2248="Medium",2,1))</f>
        <v>2</v>
      </c>
    </row>
    <row r="2249" customFormat="false" ht="15" hidden="false" customHeight="true" outlineLevel="0" collapsed="false">
      <c r="A2249" s="5" t="s">
        <v>4527</v>
      </c>
      <c r="B2249" s="5" t="s">
        <v>1734</v>
      </c>
      <c r="C2249" s="5" t="s">
        <v>2262</v>
      </c>
      <c r="D2249" s="5" t="s">
        <v>2287</v>
      </c>
      <c r="E2249" s="5" t="s">
        <v>54</v>
      </c>
      <c r="F2249" s="5" t="s">
        <v>2225</v>
      </c>
      <c r="G2249" s="5" t="str">
        <f aca="false">INDEX(Risk_Matrix!$B$2:$D$4,MATCH(E2249,Risk_Matrix!$A$2:$A$4,0),MATCH(F2249,Risk_Matrix!$B$1:$D$1,0))</f>
        <v>High</v>
      </c>
      <c r="H2249" s="12" t="n">
        <v>46155</v>
      </c>
      <c r="I2249" s="5" t="s">
        <v>2250</v>
      </c>
      <c r="J2249" s="5" t="s">
        <v>2251</v>
      </c>
      <c r="K2249" s="5" t="s">
        <v>2283</v>
      </c>
      <c r="L2249" s="5" t="n">
        <f aca="false">IF(G2249="High",3,IF(G2249="Medium",2,1))</f>
        <v>3</v>
      </c>
    </row>
    <row r="2250" customFormat="false" ht="15" hidden="false" customHeight="true" outlineLevel="0" collapsed="false">
      <c r="A2250" s="5" t="s">
        <v>4528</v>
      </c>
      <c r="B2250" s="5" t="s">
        <v>1734</v>
      </c>
      <c r="C2250" s="5" t="s">
        <v>2259</v>
      </c>
      <c r="D2250" s="5" t="s">
        <v>2274</v>
      </c>
      <c r="E2250" s="5" t="s">
        <v>54</v>
      </c>
      <c r="F2250" s="5" t="s">
        <v>59</v>
      </c>
      <c r="G2250" s="5" t="str">
        <f aca="false">INDEX(Risk_Matrix!$B$2:$D$4,MATCH(E2250,Risk_Matrix!$A$2:$A$4,0),MATCH(F2250,Risk_Matrix!$B$1:$D$1,0))</f>
        <v>Medium</v>
      </c>
      <c r="H2250" s="12" t="n">
        <v>46096</v>
      </c>
      <c r="I2250" s="5" t="s">
        <v>2256</v>
      </c>
      <c r="J2250" s="5" t="s">
        <v>4081</v>
      </c>
      <c r="K2250" s="5" t="s">
        <v>2243</v>
      </c>
      <c r="L2250" s="5" t="n">
        <f aca="false">IF(G2250="High",3,IF(G2250="Medium",2,1))</f>
        <v>2</v>
      </c>
    </row>
    <row r="2251" customFormat="false" ht="15" hidden="false" customHeight="true" outlineLevel="0" collapsed="false">
      <c r="A2251" s="5" t="s">
        <v>4529</v>
      </c>
      <c r="B2251" s="5" t="s">
        <v>1734</v>
      </c>
      <c r="C2251" s="5" t="s">
        <v>2254</v>
      </c>
      <c r="D2251" s="5" t="s">
        <v>2308</v>
      </c>
      <c r="E2251" s="5" t="s">
        <v>54</v>
      </c>
      <c r="F2251" s="5" t="s">
        <v>2225</v>
      </c>
      <c r="G2251" s="5" t="str">
        <f aca="false">INDEX(Risk_Matrix!$B$2:$D$4,MATCH(E2251,Risk_Matrix!$A$2:$A$4,0),MATCH(F2251,Risk_Matrix!$B$1:$D$1,0))</f>
        <v>High</v>
      </c>
      <c r="H2251" s="12" t="n">
        <v>46129</v>
      </c>
      <c r="I2251" s="5" t="s">
        <v>2264</v>
      </c>
      <c r="J2251" s="5" t="s">
        <v>4087</v>
      </c>
      <c r="K2251" s="5" t="s">
        <v>2243</v>
      </c>
      <c r="L2251" s="5" t="n">
        <f aca="false">IF(G2251="High",3,IF(G2251="Medium",2,1))</f>
        <v>3</v>
      </c>
    </row>
    <row r="2252" customFormat="false" ht="15" hidden="false" customHeight="true" outlineLevel="0" collapsed="false">
      <c r="A2252" s="5" t="s">
        <v>4530</v>
      </c>
      <c r="B2252" s="5" t="s">
        <v>1736</v>
      </c>
      <c r="C2252" s="5" t="s">
        <v>2239</v>
      </c>
      <c r="D2252" s="5" t="s">
        <v>2240</v>
      </c>
      <c r="E2252" s="5" t="s">
        <v>59</v>
      </c>
      <c r="F2252" s="5" t="s">
        <v>2225</v>
      </c>
      <c r="G2252" s="5" t="str">
        <f aca="false">INDEX(Risk_Matrix!$B$2:$D$4,MATCH(E2252,Risk_Matrix!$A$2:$A$4,0),MATCH(F2252,Risk_Matrix!$B$1:$D$1,0))</f>
        <v>Low</v>
      </c>
      <c r="H2252" s="12" t="n">
        <v>46181</v>
      </c>
      <c r="I2252" s="5" t="s">
        <v>2264</v>
      </c>
      <c r="J2252" s="5" t="s">
        <v>4087</v>
      </c>
      <c r="K2252" s="5" t="s">
        <v>2283</v>
      </c>
      <c r="L2252" s="5" t="n">
        <f aca="false">IF(G2252="High",3,IF(G2252="Medium",2,1))</f>
        <v>1</v>
      </c>
    </row>
    <row r="2253" customFormat="false" ht="15" hidden="false" customHeight="true" outlineLevel="0" collapsed="false">
      <c r="A2253" s="5" t="s">
        <v>4531</v>
      </c>
      <c r="B2253" s="5" t="s">
        <v>1736</v>
      </c>
      <c r="C2253" s="5" t="s">
        <v>2245</v>
      </c>
      <c r="D2253" s="5" t="s">
        <v>2280</v>
      </c>
      <c r="E2253" s="5" t="s">
        <v>54</v>
      </c>
      <c r="F2253" s="5" t="s">
        <v>2225</v>
      </c>
      <c r="G2253" s="5" t="str">
        <f aca="false">INDEX(Risk_Matrix!$B$2:$D$4,MATCH(E2253,Risk_Matrix!$A$2:$A$4,0),MATCH(F2253,Risk_Matrix!$B$1:$D$1,0))</f>
        <v>High</v>
      </c>
      <c r="H2253" s="12" t="n">
        <v>46194</v>
      </c>
      <c r="I2253" s="5" t="s">
        <v>2256</v>
      </c>
      <c r="J2253" s="5" t="s">
        <v>4081</v>
      </c>
      <c r="K2253" s="5" t="s">
        <v>2252</v>
      </c>
      <c r="L2253" s="5" t="n">
        <f aca="false">IF(G2253="High",3,IF(G2253="Medium",2,1))</f>
        <v>3</v>
      </c>
    </row>
    <row r="2254" customFormat="false" ht="15" hidden="false" customHeight="true" outlineLevel="0" collapsed="false">
      <c r="A2254" s="5" t="s">
        <v>4532</v>
      </c>
      <c r="B2254" s="5" t="s">
        <v>1736</v>
      </c>
      <c r="C2254" s="5" t="s">
        <v>2248</v>
      </c>
      <c r="D2254" s="5" t="s">
        <v>2249</v>
      </c>
      <c r="E2254" s="5" t="s">
        <v>2225</v>
      </c>
      <c r="F2254" s="5" t="s">
        <v>59</v>
      </c>
      <c r="G2254" s="5" t="str">
        <f aca="false">INDEX(Risk_Matrix!$B$2:$D$4,MATCH(E2254,Risk_Matrix!$A$2:$A$4,0),MATCH(F2254,Risk_Matrix!$B$1:$D$1,0))</f>
        <v>Low</v>
      </c>
      <c r="H2254" s="12" t="n">
        <v>46192</v>
      </c>
      <c r="I2254" s="5" t="s">
        <v>2241</v>
      </c>
      <c r="J2254" s="5" t="s">
        <v>2242</v>
      </c>
      <c r="K2254" s="5" t="s">
        <v>2252</v>
      </c>
      <c r="L2254" s="5" t="n">
        <f aca="false">IF(G2254="High",3,IF(G2254="Medium",2,1))</f>
        <v>1</v>
      </c>
    </row>
    <row r="2255" customFormat="false" ht="15" hidden="false" customHeight="true" outlineLevel="0" collapsed="false">
      <c r="A2255" s="5" t="s">
        <v>4533</v>
      </c>
      <c r="B2255" s="5" t="s">
        <v>1736</v>
      </c>
      <c r="C2255" s="5" t="s">
        <v>2262</v>
      </c>
      <c r="D2255" s="5" t="s">
        <v>2287</v>
      </c>
      <c r="E2255" s="5" t="s">
        <v>59</v>
      </c>
      <c r="F2255" s="5" t="s">
        <v>2225</v>
      </c>
      <c r="G2255" s="5" t="str">
        <f aca="false">INDEX(Risk_Matrix!$B$2:$D$4,MATCH(E2255,Risk_Matrix!$A$2:$A$4,0),MATCH(F2255,Risk_Matrix!$B$1:$D$1,0))</f>
        <v>Low</v>
      </c>
      <c r="H2255" s="12" t="n">
        <v>46046</v>
      </c>
      <c r="I2255" s="5" t="s">
        <v>2241</v>
      </c>
      <c r="J2255" s="5" t="s">
        <v>2242</v>
      </c>
      <c r="K2255" s="5" t="s">
        <v>2266</v>
      </c>
      <c r="L2255" s="5" t="n">
        <f aca="false">IF(G2255="High",3,IF(G2255="Medium",2,1))</f>
        <v>1</v>
      </c>
    </row>
    <row r="2256" customFormat="false" ht="15" hidden="false" customHeight="true" outlineLevel="0" collapsed="false">
      <c r="A2256" s="5" t="s">
        <v>4534</v>
      </c>
      <c r="B2256" s="5" t="s">
        <v>1736</v>
      </c>
      <c r="C2256" s="5" t="s">
        <v>2259</v>
      </c>
      <c r="D2256" s="5" t="s">
        <v>2274</v>
      </c>
      <c r="E2256" s="5" t="s">
        <v>54</v>
      </c>
      <c r="F2256" s="5" t="s">
        <v>2225</v>
      </c>
      <c r="G2256" s="5" t="str">
        <f aca="false">INDEX(Risk_Matrix!$B$2:$D$4,MATCH(E2256,Risk_Matrix!$A$2:$A$4,0),MATCH(F2256,Risk_Matrix!$B$1:$D$1,0))</f>
        <v>High</v>
      </c>
      <c r="H2256" s="12" t="n">
        <v>46099</v>
      </c>
      <c r="I2256" s="5" t="s">
        <v>2241</v>
      </c>
      <c r="J2256" s="5" t="s">
        <v>2242</v>
      </c>
      <c r="K2256" s="5" t="s">
        <v>2243</v>
      </c>
      <c r="L2256" s="5" t="n">
        <f aca="false">IF(G2256="High",3,IF(G2256="Medium",2,1))</f>
        <v>3</v>
      </c>
    </row>
    <row r="2257" customFormat="false" ht="15" hidden="false" customHeight="true" outlineLevel="0" collapsed="false">
      <c r="A2257" s="5" t="s">
        <v>4535</v>
      </c>
      <c r="B2257" s="5" t="s">
        <v>1736</v>
      </c>
      <c r="C2257" s="5" t="s">
        <v>2254</v>
      </c>
      <c r="D2257" s="5" t="s">
        <v>2308</v>
      </c>
      <c r="E2257" s="5" t="s">
        <v>54</v>
      </c>
      <c r="F2257" s="5" t="s">
        <v>59</v>
      </c>
      <c r="G2257" s="5" t="str">
        <f aca="false">INDEX(Risk_Matrix!$B$2:$D$4,MATCH(E2257,Risk_Matrix!$A$2:$A$4,0),MATCH(F2257,Risk_Matrix!$B$1:$D$1,0))</f>
        <v>Medium</v>
      </c>
      <c r="H2257" s="12" t="n">
        <v>46179</v>
      </c>
      <c r="I2257" s="5" t="s">
        <v>2241</v>
      </c>
      <c r="J2257" s="5" t="s">
        <v>2242</v>
      </c>
      <c r="K2257" s="5" t="s">
        <v>2243</v>
      </c>
      <c r="L2257" s="5" t="n">
        <f aca="false">IF(G2257="High",3,IF(G2257="Medium",2,1))</f>
        <v>2</v>
      </c>
    </row>
    <row r="2258" customFormat="false" ht="15" hidden="false" customHeight="true" outlineLevel="0" collapsed="false">
      <c r="A2258" s="5" t="s">
        <v>4536</v>
      </c>
      <c r="B2258" s="5" t="s">
        <v>1738</v>
      </c>
      <c r="C2258" s="5" t="s">
        <v>2239</v>
      </c>
      <c r="D2258" s="5" t="s">
        <v>2240</v>
      </c>
      <c r="E2258" s="5" t="s">
        <v>2225</v>
      </c>
      <c r="F2258" s="5" t="s">
        <v>59</v>
      </c>
      <c r="G2258" s="5" t="str">
        <f aca="false">INDEX(Risk_Matrix!$B$2:$D$4,MATCH(E2258,Risk_Matrix!$A$2:$A$4,0),MATCH(F2258,Risk_Matrix!$B$1:$D$1,0))</f>
        <v>Low</v>
      </c>
      <c r="H2258" s="12" t="n">
        <v>46088</v>
      </c>
      <c r="I2258" s="5" t="s">
        <v>2264</v>
      </c>
      <c r="J2258" s="5" t="s">
        <v>4087</v>
      </c>
      <c r="K2258" s="5" t="s">
        <v>2266</v>
      </c>
      <c r="L2258" s="5" t="n">
        <f aca="false">IF(G2258="High",3,IF(G2258="Medium",2,1))</f>
        <v>1</v>
      </c>
    </row>
    <row r="2259" customFormat="false" ht="15" hidden="false" customHeight="true" outlineLevel="0" collapsed="false">
      <c r="A2259" s="5" t="s">
        <v>4537</v>
      </c>
      <c r="B2259" s="5" t="s">
        <v>1738</v>
      </c>
      <c r="C2259" s="5" t="s">
        <v>2245</v>
      </c>
      <c r="D2259" s="5" t="s">
        <v>2320</v>
      </c>
      <c r="E2259" s="5" t="s">
        <v>59</v>
      </c>
      <c r="F2259" s="5" t="s">
        <v>54</v>
      </c>
      <c r="G2259" s="5" t="str">
        <f aca="false">INDEX(Risk_Matrix!$B$2:$D$4,MATCH(E2259,Risk_Matrix!$A$2:$A$4,0),MATCH(F2259,Risk_Matrix!$B$1:$D$1,0))</f>
        <v>Medium</v>
      </c>
      <c r="H2259" s="12" t="n">
        <v>46229</v>
      </c>
      <c r="I2259" s="5" t="s">
        <v>2241</v>
      </c>
      <c r="J2259" s="5" t="s">
        <v>2242</v>
      </c>
      <c r="K2259" s="5" t="s">
        <v>2283</v>
      </c>
      <c r="L2259" s="5" t="n">
        <f aca="false">IF(G2259="High",3,IF(G2259="Medium",2,1))</f>
        <v>2</v>
      </c>
    </row>
    <row r="2260" customFormat="false" ht="15" hidden="false" customHeight="true" outlineLevel="0" collapsed="false">
      <c r="A2260" s="5" t="s">
        <v>4538</v>
      </c>
      <c r="B2260" s="5" t="s">
        <v>1738</v>
      </c>
      <c r="C2260" s="5" t="s">
        <v>2248</v>
      </c>
      <c r="D2260" s="5" t="s">
        <v>2249</v>
      </c>
      <c r="E2260" s="5" t="s">
        <v>59</v>
      </c>
      <c r="F2260" s="5" t="s">
        <v>59</v>
      </c>
      <c r="G2260" s="5" t="str">
        <f aca="false">INDEX(Risk_Matrix!$B$2:$D$4,MATCH(E2260,Risk_Matrix!$A$2:$A$4,0),MATCH(F2260,Risk_Matrix!$B$1:$D$1,0))</f>
        <v>Low</v>
      </c>
      <c r="H2260" s="12" t="n">
        <v>46106</v>
      </c>
      <c r="I2260" s="5" t="s">
        <v>2250</v>
      </c>
      <c r="J2260" s="5" t="s">
        <v>2251</v>
      </c>
      <c r="K2260" s="5" t="s">
        <v>2266</v>
      </c>
      <c r="L2260" s="5" t="n">
        <f aca="false">IF(G2260="High",3,IF(G2260="Medium",2,1))</f>
        <v>1</v>
      </c>
    </row>
    <row r="2261" customFormat="false" ht="15" hidden="false" customHeight="true" outlineLevel="0" collapsed="false">
      <c r="A2261" s="5" t="s">
        <v>4539</v>
      </c>
      <c r="B2261" s="5" t="s">
        <v>1738</v>
      </c>
      <c r="C2261" s="5" t="s">
        <v>2262</v>
      </c>
      <c r="D2261" s="5" t="s">
        <v>2311</v>
      </c>
      <c r="E2261" s="5" t="s">
        <v>2225</v>
      </c>
      <c r="F2261" s="5" t="s">
        <v>2225</v>
      </c>
      <c r="G2261" s="5" t="str">
        <f aca="false">INDEX(Risk_Matrix!$B$2:$D$4,MATCH(E2261,Risk_Matrix!$A$2:$A$4,0),MATCH(F2261,Risk_Matrix!$B$1:$D$1,0))</f>
        <v>Medium</v>
      </c>
      <c r="H2261" s="12" t="n">
        <v>46076</v>
      </c>
      <c r="I2261" s="5" t="s">
        <v>2256</v>
      </c>
      <c r="J2261" s="5" t="s">
        <v>4081</v>
      </c>
      <c r="K2261" s="5" t="s">
        <v>2283</v>
      </c>
      <c r="L2261" s="5" t="n">
        <f aca="false">IF(G2261="High",3,IF(G2261="Medium",2,1))</f>
        <v>2</v>
      </c>
    </row>
    <row r="2262" customFormat="false" ht="15" hidden="false" customHeight="true" outlineLevel="0" collapsed="false">
      <c r="A2262" s="5" t="s">
        <v>4540</v>
      </c>
      <c r="B2262" s="5" t="s">
        <v>1738</v>
      </c>
      <c r="C2262" s="5" t="s">
        <v>2259</v>
      </c>
      <c r="D2262" s="5" t="s">
        <v>2274</v>
      </c>
      <c r="E2262" s="5" t="s">
        <v>2225</v>
      </c>
      <c r="F2262" s="5" t="s">
        <v>54</v>
      </c>
      <c r="G2262" s="5" t="str">
        <f aca="false">INDEX(Risk_Matrix!$B$2:$D$4,MATCH(E2262,Risk_Matrix!$A$2:$A$4,0),MATCH(F2262,Risk_Matrix!$B$1:$D$1,0))</f>
        <v>High</v>
      </c>
      <c r="H2262" s="12" t="n">
        <v>46206</v>
      </c>
      <c r="I2262" s="5" t="s">
        <v>2250</v>
      </c>
      <c r="J2262" s="5" t="s">
        <v>2251</v>
      </c>
      <c r="K2262" s="5" t="s">
        <v>2243</v>
      </c>
      <c r="L2262" s="5" t="n">
        <f aca="false">IF(G2262="High",3,IF(G2262="Medium",2,1))</f>
        <v>3</v>
      </c>
    </row>
    <row r="2263" customFormat="false" ht="15" hidden="false" customHeight="true" outlineLevel="0" collapsed="false">
      <c r="A2263" s="5" t="s">
        <v>4541</v>
      </c>
      <c r="B2263" s="5" t="s">
        <v>1738</v>
      </c>
      <c r="C2263" s="5" t="s">
        <v>2254</v>
      </c>
      <c r="D2263" s="5" t="s">
        <v>2299</v>
      </c>
      <c r="E2263" s="5" t="s">
        <v>59</v>
      </c>
      <c r="F2263" s="5" t="s">
        <v>2225</v>
      </c>
      <c r="G2263" s="5" t="str">
        <f aca="false">INDEX(Risk_Matrix!$B$2:$D$4,MATCH(E2263,Risk_Matrix!$A$2:$A$4,0),MATCH(F2263,Risk_Matrix!$B$1:$D$1,0))</f>
        <v>Low</v>
      </c>
      <c r="H2263" s="12" t="n">
        <v>46052</v>
      </c>
      <c r="I2263" s="5" t="s">
        <v>2256</v>
      </c>
      <c r="J2263" s="5" t="s">
        <v>4081</v>
      </c>
      <c r="K2263" s="5" t="s">
        <v>2283</v>
      </c>
      <c r="L2263" s="5" t="n">
        <f aca="false">IF(G2263="High",3,IF(G2263="Medium",2,1))</f>
        <v>1</v>
      </c>
    </row>
    <row r="2264" customFormat="false" ht="15" hidden="false" customHeight="true" outlineLevel="0" collapsed="false">
      <c r="A2264" s="5" t="s">
        <v>4542</v>
      </c>
      <c r="B2264" s="5" t="s">
        <v>1740</v>
      </c>
      <c r="C2264" s="5" t="s">
        <v>2239</v>
      </c>
      <c r="D2264" s="5" t="s">
        <v>2278</v>
      </c>
      <c r="E2264" s="5" t="s">
        <v>59</v>
      </c>
      <c r="F2264" s="5" t="s">
        <v>54</v>
      </c>
      <c r="G2264" s="5" t="str">
        <f aca="false">INDEX(Risk_Matrix!$B$2:$D$4,MATCH(E2264,Risk_Matrix!$A$2:$A$4,0),MATCH(F2264,Risk_Matrix!$B$1:$D$1,0))</f>
        <v>Medium</v>
      </c>
      <c r="H2264" s="12" t="n">
        <v>46177</v>
      </c>
      <c r="I2264" s="5" t="s">
        <v>2256</v>
      </c>
      <c r="J2264" s="5" t="s">
        <v>4081</v>
      </c>
      <c r="K2264" s="5" t="s">
        <v>2276</v>
      </c>
      <c r="L2264" s="5" t="n">
        <f aca="false">IF(G2264="High",3,IF(G2264="Medium",2,1))</f>
        <v>2</v>
      </c>
    </row>
    <row r="2265" customFormat="false" ht="15" hidden="false" customHeight="true" outlineLevel="0" collapsed="false">
      <c r="A2265" s="5" t="s">
        <v>4543</v>
      </c>
      <c r="B2265" s="5" t="s">
        <v>1740</v>
      </c>
      <c r="C2265" s="5" t="s">
        <v>2245</v>
      </c>
      <c r="D2265" s="5" t="s">
        <v>2280</v>
      </c>
      <c r="E2265" s="5" t="s">
        <v>2225</v>
      </c>
      <c r="F2265" s="5" t="s">
        <v>59</v>
      </c>
      <c r="G2265" s="5" t="str">
        <f aca="false">INDEX(Risk_Matrix!$B$2:$D$4,MATCH(E2265,Risk_Matrix!$A$2:$A$4,0),MATCH(F2265,Risk_Matrix!$B$1:$D$1,0))</f>
        <v>Low</v>
      </c>
      <c r="H2265" s="12" t="n">
        <v>46047</v>
      </c>
      <c r="I2265" s="5" t="s">
        <v>2264</v>
      </c>
      <c r="J2265" s="5" t="s">
        <v>4087</v>
      </c>
      <c r="K2265" s="5" t="s">
        <v>2276</v>
      </c>
      <c r="L2265" s="5" t="n">
        <f aca="false">IF(G2265="High",3,IF(G2265="Medium",2,1))</f>
        <v>1</v>
      </c>
    </row>
    <row r="2266" customFormat="false" ht="15" hidden="false" customHeight="true" outlineLevel="0" collapsed="false">
      <c r="A2266" s="5" t="s">
        <v>4544</v>
      </c>
      <c r="B2266" s="5" t="s">
        <v>1740</v>
      </c>
      <c r="C2266" s="5" t="s">
        <v>2248</v>
      </c>
      <c r="D2266" s="5" t="s">
        <v>2271</v>
      </c>
      <c r="E2266" s="5" t="s">
        <v>54</v>
      </c>
      <c r="F2266" s="5" t="s">
        <v>59</v>
      </c>
      <c r="G2266" s="5" t="str">
        <f aca="false">INDEX(Risk_Matrix!$B$2:$D$4,MATCH(E2266,Risk_Matrix!$A$2:$A$4,0),MATCH(F2266,Risk_Matrix!$B$1:$D$1,0))</f>
        <v>Medium</v>
      </c>
      <c r="H2266" s="12" t="n">
        <v>46223</v>
      </c>
      <c r="I2266" s="5" t="s">
        <v>2264</v>
      </c>
      <c r="J2266" s="5" t="s">
        <v>4087</v>
      </c>
      <c r="K2266" s="5" t="s">
        <v>2243</v>
      </c>
      <c r="L2266" s="5" t="n">
        <f aca="false">IF(G2266="High",3,IF(G2266="Medium",2,1))</f>
        <v>2</v>
      </c>
    </row>
    <row r="2267" customFormat="false" ht="15" hidden="false" customHeight="true" outlineLevel="0" collapsed="false">
      <c r="A2267" s="5" t="s">
        <v>4545</v>
      </c>
      <c r="B2267" s="5" t="s">
        <v>1740</v>
      </c>
      <c r="C2267" s="5" t="s">
        <v>2262</v>
      </c>
      <c r="D2267" s="5" t="s">
        <v>2263</v>
      </c>
      <c r="E2267" s="5" t="s">
        <v>59</v>
      </c>
      <c r="F2267" s="5" t="s">
        <v>54</v>
      </c>
      <c r="G2267" s="5" t="str">
        <f aca="false">INDEX(Risk_Matrix!$B$2:$D$4,MATCH(E2267,Risk_Matrix!$A$2:$A$4,0),MATCH(F2267,Risk_Matrix!$B$1:$D$1,0))</f>
        <v>Medium</v>
      </c>
      <c r="H2267" s="12" t="n">
        <v>46228</v>
      </c>
      <c r="I2267" s="5" t="s">
        <v>2250</v>
      </c>
      <c r="J2267" s="5" t="s">
        <v>2251</v>
      </c>
      <c r="K2267" s="5" t="s">
        <v>2276</v>
      </c>
      <c r="L2267" s="5" t="n">
        <f aca="false">IF(G2267="High",3,IF(G2267="Medium",2,1))</f>
        <v>2</v>
      </c>
    </row>
    <row r="2268" customFormat="false" ht="15" hidden="false" customHeight="true" outlineLevel="0" collapsed="false">
      <c r="A2268" s="5" t="s">
        <v>4546</v>
      </c>
      <c r="B2268" s="5" t="s">
        <v>1740</v>
      </c>
      <c r="C2268" s="5" t="s">
        <v>2259</v>
      </c>
      <c r="D2268" s="5" t="s">
        <v>2260</v>
      </c>
      <c r="E2268" s="5" t="s">
        <v>2225</v>
      </c>
      <c r="F2268" s="5" t="s">
        <v>2225</v>
      </c>
      <c r="G2268" s="5" t="str">
        <f aca="false">INDEX(Risk_Matrix!$B$2:$D$4,MATCH(E2268,Risk_Matrix!$A$2:$A$4,0),MATCH(F2268,Risk_Matrix!$B$1:$D$1,0))</f>
        <v>Medium</v>
      </c>
      <c r="H2268" s="12" t="n">
        <v>46137</v>
      </c>
      <c r="I2268" s="5" t="s">
        <v>2250</v>
      </c>
      <c r="J2268" s="5" t="s">
        <v>2251</v>
      </c>
      <c r="K2268" s="5" t="s">
        <v>2283</v>
      </c>
      <c r="L2268" s="5" t="n">
        <f aca="false">IF(G2268="High",3,IF(G2268="Medium",2,1))</f>
        <v>2</v>
      </c>
    </row>
    <row r="2269" customFormat="false" ht="15" hidden="false" customHeight="true" outlineLevel="0" collapsed="false">
      <c r="A2269" s="5" t="s">
        <v>4547</v>
      </c>
      <c r="B2269" s="5" t="s">
        <v>1740</v>
      </c>
      <c r="C2269" s="5" t="s">
        <v>2254</v>
      </c>
      <c r="D2269" s="5" t="s">
        <v>2308</v>
      </c>
      <c r="E2269" s="5" t="s">
        <v>54</v>
      </c>
      <c r="F2269" s="5" t="s">
        <v>54</v>
      </c>
      <c r="G2269" s="5" t="str">
        <f aca="false">INDEX(Risk_Matrix!$B$2:$D$4,MATCH(E2269,Risk_Matrix!$A$2:$A$4,0),MATCH(F2269,Risk_Matrix!$B$1:$D$1,0))</f>
        <v>High</v>
      </c>
      <c r="H2269" s="12" t="n">
        <v>46080</v>
      </c>
      <c r="I2269" s="5" t="s">
        <v>2256</v>
      </c>
      <c r="J2269" s="5" t="s">
        <v>4081</v>
      </c>
      <c r="K2269" s="5" t="s">
        <v>2243</v>
      </c>
      <c r="L2269" s="5" t="n">
        <f aca="false">IF(G2269="High",3,IF(G2269="Medium",2,1))</f>
        <v>3</v>
      </c>
    </row>
    <row r="2270" customFormat="false" ht="15" hidden="false" customHeight="true" outlineLevel="0" collapsed="false">
      <c r="A2270" s="5" t="s">
        <v>4548</v>
      </c>
      <c r="B2270" s="5" t="s">
        <v>1742</v>
      </c>
      <c r="C2270" s="5" t="s">
        <v>2239</v>
      </c>
      <c r="D2270" s="5" t="s">
        <v>2240</v>
      </c>
      <c r="E2270" s="5" t="s">
        <v>59</v>
      </c>
      <c r="F2270" s="5" t="s">
        <v>54</v>
      </c>
      <c r="G2270" s="5" t="str">
        <f aca="false">INDEX(Risk_Matrix!$B$2:$D$4,MATCH(E2270,Risk_Matrix!$A$2:$A$4,0),MATCH(F2270,Risk_Matrix!$B$1:$D$1,0))</f>
        <v>Medium</v>
      </c>
      <c r="H2270" s="12" t="n">
        <v>46233</v>
      </c>
      <c r="I2270" s="5" t="s">
        <v>2256</v>
      </c>
      <c r="J2270" s="5" t="s">
        <v>4081</v>
      </c>
      <c r="K2270" s="5" t="s">
        <v>2266</v>
      </c>
      <c r="L2270" s="5" t="n">
        <f aca="false">IF(G2270="High",3,IF(G2270="Medium",2,1))</f>
        <v>2</v>
      </c>
    </row>
    <row r="2271" customFormat="false" ht="15" hidden="false" customHeight="true" outlineLevel="0" collapsed="false">
      <c r="A2271" s="5" t="s">
        <v>4549</v>
      </c>
      <c r="B2271" s="5" t="s">
        <v>1742</v>
      </c>
      <c r="C2271" s="5" t="s">
        <v>2245</v>
      </c>
      <c r="D2271" s="5" t="s">
        <v>2280</v>
      </c>
      <c r="E2271" s="5" t="s">
        <v>59</v>
      </c>
      <c r="F2271" s="5" t="s">
        <v>2225</v>
      </c>
      <c r="G2271" s="5" t="str">
        <f aca="false">INDEX(Risk_Matrix!$B$2:$D$4,MATCH(E2271,Risk_Matrix!$A$2:$A$4,0),MATCH(F2271,Risk_Matrix!$B$1:$D$1,0))</f>
        <v>Low</v>
      </c>
      <c r="H2271" s="12" t="n">
        <v>46051</v>
      </c>
      <c r="I2271" s="5" t="s">
        <v>2241</v>
      </c>
      <c r="J2271" s="5" t="s">
        <v>2242</v>
      </c>
      <c r="K2271" s="5" t="s">
        <v>2276</v>
      </c>
      <c r="L2271" s="5" t="n">
        <f aca="false">IF(G2271="High",3,IF(G2271="Medium",2,1))</f>
        <v>1</v>
      </c>
    </row>
    <row r="2272" customFormat="false" ht="15" hidden="false" customHeight="true" outlineLevel="0" collapsed="false">
      <c r="A2272" s="5" t="s">
        <v>4550</v>
      </c>
      <c r="B2272" s="5" t="s">
        <v>1742</v>
      </c>
      <c r="C2272" s="5" t="s">
        <v>2248</v>
      </c>
      <c r="D2272" s="5" t="s">
        <v>2249</v>
      </c>
      <c r="E2272" s="5" t="s">
        <v>2225</v>
      </c>
      <c r="F2272" s="5" t="s">
        <v>59</v>
      </c>
      <c r="G2272" s="5" t="str">
        <f aca="false">INDEX(Risk_Matrix!$B$2:$D$4,MATCH(E2272,Risk_Matrix!$A$2:$A$4,0),MATCH(F2272,Risk_Matrix!$B$1:$D$1,0))</f>
        <v>Low</v>
      </c>
      <c r="H2272" s="12" t="n">
        <v>46044</v>
      </c>
      <c r="I2272" s="5" t="s">
        <v>2250</v>
      </c>
      <c r="J2272" s="5" t="s">
        <v>2251</v>
      </c>
      <c r="K2272" s="5" t="s">
        <v>2243</v>
      </c>
      <c r="L2272" s="5" t="n">
        <f aca="false">IF(G2272="High",3,IF(G2272="Medium",2,1))</f>
        <v>1</v>
      </c>
    </row>
    <row r="2273" customFormat="false" ht="15" hidden="false" customHeight="true" outlineLevel="0" collapsed="false">
      <c r="A2273" s="5" t="s">
        <v>4551</v>
      </c>
      <c r="B2273" s="5" t="s">
        <v>1742</v>
      </c>
      <c r="C2273" s="5" t="s">
        <v>2262</v>
      </c>
      <c r="D2273" s="5" t="s">
        <v>2287</v>
      </c>
      <c r="E2273" s="5" t="s">
        <v>54</v>
      </c>
      <c r="F2273" s="5" t="s">
        <v>2225</v>
      </c>
      <c r="G2273" s="5" t="str">
        <f aca="false">INDEX(Risk_Matrix!$B$2:$D$4,MATCH(E2273,Risk_Matrix!$A$2:$A$4,0),MATCH(F2273,Risk_Matrix!$B$1:$D$1,0))</f>
        <v>High</v>
      </c>
      <c r="H2273" s="12" t="n">
        <v>46045</v>
      </c>
      <c r="I2273" s="5" t="s">
        <v>2250</v>
      </c>
      <c r="J2273" s="5" t="s">
        <v>2251</v>
      </c>
      <c r="K2273" s="5" t="s">
        <v>2266</v>
      </c>
      <c r="L2273" s="5" t="n">
        <f aca="false">IF(G2273="High",3,IF(G2273="Medium",2,1))</f>
        <v>3</v>
      </c>
    </row>
    <row r="2274" customFormat="false" ht="15" hidden="false" customHeight="true" outlineLevel="0" collapsed="false">
      <c r="A2274" s="5" t="s">
        <v>4552</v>
      </c>
      <c r="B2274" s="5" t="s">
        <v>1742</v>
      </c>
      <c r="C2274" s="5" t="s">
        <v>2259</v>
      </c>
      <c r="D2274" s="5" t="s">
        <v>2260</v>
      </c>
      <c r="E2274" s="5" t="s">
        <v>54</v>
      </c>
      <c r="F2274" s="5" t="s">
        <v>2225</v>
      </c>
      <c r="G2274" s="5" t="str">
        <f aca="false">INDEX(Risk_Matrix!$B$2:$D$4,MATCH(E2274,Risk_Matrix!$A$2:$A$4,0),MATCH(F2274,Risk_Matrix!$B$1:$D$1,0))</f>
        <v>High</v>
      </c>
      <c r="H2274" s="12" t="n">
        <v>46092</v>
      </c>
      <c r="I2274" s="5" t="s">
        <v>2250</v>
      </c>
      <c r="J2274" s="5" t="s">
        <v>2251</v>
      </c>
      <c r="K2274" s="5" t="s">
        <v>2276</v>
      </c>
      <c r="L2274" s="5" t="n">
        <f aca="false">IF(G2274="High",3,IF(G2274="Medium",2,1))</f>
        <v>3</v>
      </c>
    </row>
    <row r="2275" customFormat="false" ht="15" hidden="false" customHeight="true" outlineLevel="0" collapsed="false">
      <c r="A2275" s="5" t="s">
        <v>4553</v>
      </c>
      <c r="B2275" s="5" t="s">
        <v>1742</v>
      </c>
      <c r="C2275" s="5" t="s">
        <v>2254</v>
      </c>
      <c r="D2275" s="5" t="s">
        <v>2255</v>
      </c>
      <c r="E2275" s="5" t="s">
        <v>54</v>
      </c>
      <c r="F2275" s="5" t="s">
        <v>59</v>
      </c>
      <c r="G2275" s="5" t="str">
        <f aca="false">INDEX(Risk_Matrix!$B$2:$D$4,MATCH(E2275,Risk_Matrix!$A$2:$A$4,0),MATCH(F2275,Risk_Matrix!$B$1:$D$1,0))</f>
        <v>Medium</v>
      </c>
      <c r="H2275" s="12" t="n">
        <v>46151</v>
      </c>
      <c r="I2275" s="5" t="s">
        <v>2241</v>
      </c>
      <c r="J2275" s="5" t="s">
        <v>2242</v>
      </c>
      <c r="K2275" s="5" t="s">
        <v>2283</v>
      </c>
      <c r="L2275" s="5" t="n">
        <f aca="false">IF(G2275="High",3,IF(G2275="Medium",2,1))</f>
        <v>2</v>
      </c>
    </row>
    <row r="2276" customFormat="false" ht="15" hidden="false" customHeight="true" outlineLevel="0" collapsed="false">
      <c r="A2276" s="5" t="s">
        <v>4554</v>
      </c>
      <c r="B2276" s="5" t="s">
        <v>1744</v>
      </c>
      <c r="C2276" s="5" t="s">
        <v>2239</v>
      </c>
      <c r="D2276" s="5" t="s">
        <v>2240</v>
      </c>
      <c r="E2276" s="5" t="s">
        <v>2225</v>
      </c>
      <c r="F2276" s="5" t="s">
        <v>2225</v>
      </c>
      <c r="G2276" s="5" t="str">
        <f aca="false">INDEX(Risk_Matrix!$B$2:$D$4,MATCH(E2276,Risk_Matrix!$A$2:$A$4,0),MATCH(F2276,Risk_Matrix!$B$1:$D$1,0))</f>
        <v>Medium</v>
      </c>
      <c r="H2276" s="12" t="n">
        <v>46185</v>
      </c>
      <c r="I2276" s="5" t="s">
        <v>2256</v>
      </c>
      <c r="J2276" s="5" t="s">
        <v>4081</v>
      </c>
      <c r="K2276" s="5" t="s">
        <v>2276</v>
      </c>
      <c r="L2276" s="5" t="n">
        <f aca="false">IF(G2276="High",3,IF(G2276="Medium",2,1))</f>
        <v>2</v>
      </c>
    </row>
    <row r="2277" customFormat="false" ht="15" hidden="false" customHeight="true" outlineLevel="0" collapsed="false">
      <c r="A2277" s="5" t="s">
        <v>4555</v>
      </c>
      <c r="B2277" s="5" t="s">
        <v>1744</v>
      </c>
      <c r="C2277" s="5" t="s">
        <v>2245</v>
      </c>
      <c r="D2277" s="5" t="s">
        <v>2246</v>
      </c>
      <c r="E2277" s="5" t="s">
        <v>2225</v>
      </c>
      <c r="F2277" s="5" t="s">
        <v>2225</v>
      </c>
      <c r="G2277" s="5" t="str">
        <f aca="false">INDEX(Risk_Matrix!$B$2:$D$4,MATCH(E2277,Risk_Matrix!$A$2:$A$4,0),MATCH(F2277,Risk_Matrix!$B$1:$D$1,0))</f>
        <v>Medium</v>
      </c>
      <c r="H2277" s="12" t="n">
        <v>46048</v>
      </c>
      <c r="I2277" s="5" t="s">
        <v>2250</v>
      </c>
      <c r="J2277" s="5" t="s">
        <v>2251</v>
      </c>
      <c r="K2277" s="5" t="s">
        <v>2252</v>
      </c>
      <c r="L2277" s="5" t="n">
        <f aca="false">IF(G2277="High",3,IF(G2277="Medium",2,1))</f>
        <v>2</v>
      </c>
    </row>
    <row r="2278" customFormat="false" ht="15" hidden="false" customHeight="true" outlineLevel="0" collapsed="false">
      <c r="A2278" s="5" t="s">
        <v>4556</v>
      </c>
      <c r="B2278" s="5" t="s">
        <v>1744</v>
      </c>
      <c r="C2278" s="5" t="s">
        <v>2248</v>
      </c>
      <c r="D2278" s="5" t="s">
        <v>2249</v>
      </c>
      <c r="E2278" s="5" t="s">
        <v>54</v>
      </c>
      <c r="F2278" s="5" t="s">
        <v>2225</v>
      </c>
      <c r="G2278" s="5" t="str">
        <f aca="false">INDEX(Risk_Matrix!$B$2:$D$4,MATCH(E2278,Risk_Matrix!$A$2:$A$4,0),MATCH(F2278,Risk_Matrix!$B$1:$D$1,0))</f>
        <v>High</v>
      </c>
      <c r="H2278" s="12" t="n">
        <v>46185</v>
      </c>
      <c r="I2278" s="5" t="s">
        <v>2250</v>
      </c>
      <c r="J2278" s="5" t="s">
        <v>2251</v>
      </c>
      <c r="K2278" s="5" t="s">
        <v>2266</v>
      </c>
      <c r="L2278" s="5" t="n">
        <f aca="false">IF(G2278="High",3,IF(G2278="Medium",2,1))</f>
        <v>3</v>
      </c>
    </row>
    <row r="2279" customFormat="false" ht="15" hidden="false" customHeight="true" outlineLevel="0" collapsed="false">
      <c r="A2279" s="5" t="s">
        <v>4557</v>
      </c>
      <c r="B2279" s="5" t="s">
        <v>1744</v>
      </c>
      <c r="C2279" s="5" t="s">
        <v>2262</v>
      </c>
      <c r="D2279" s="5" t="s">
        <v>2263</v>
      </c>
      <c r="E2279" s="5" t="s">
        <v>59</v>
      </c>
      <c r="F2279" s="5" t="s">
        <v>54</v>
      </c>
      <c r="G2279" s="5" t="str">
        <f aca="false">INDEX(Risk_Matrix!$B$2:$D$4,MATCH(E2279,Risk_Matrix!$A$2:$A$4,0),MATCH(F2279,Risk_Matrix!$B$1:$D$1,0))</f>
        <v>Medium</v>
      </c>
      <c r="H2279" s="12" t="n">
        <v>46029</v>
      </c>
      <c r="I2279" s="5" t="s">
        <v>2264</v>
      </c>
      <c r="J2279" s="5" t="s">
        <v>4087</v>
      </c>
      <c r="K2279" s="5" t="s">
        <v>2283</v>
      </c>
      <c r="L2279" s="5" t="n">
        <f aca="false">IF(G2279="High",3,IF(G2279="Medium",2,1))</f>
        <v>2</v>
      </c>
    </row>
    <row r="2280" customFormat="false" ht="15" hidden="false" customHeight="true" outlineLevel="0" collapsed="false">
      <c r="A2280" s="5" t="s">
        <v>4558</v>
      </c>
      <c r="B2280" s="5" t="s">
        <v>1744</v>
      </c>
      <c r="C2280" s="5" t="s">
        <v>2259</v>
      </c>
      <c r="D2280" s="5" t="s">
        <v>2260</v>
      </c>
      <c r="E2280" s="5" t="s">
        <v>59</v>
      </c>
      <c r="F2280" s="5" t="s">
        <v>2225</v>
      </c>
      <c r="G2280" s="5" t="str">
        <f aca="false">INDEX(Risk_Matrix!$B$2:$D$4,MATCH(E2280,Risk_Matrix!$A$2:$A$4,0),MATCH(F2280,Risk_Matrix!$B$1:$D$1,0))</f>
        <v>Low</v>
      </c>
      <c r="H2280" s="12" t="n">
        <v>46172</v>
      </c>
      <c r="I2280" s="5" t="s">
        <v>2256</v>
      </c>
      <c r="J2280" s="5" t="s">
        <v>4081</v>
      </c>
      <c r="K2280" s="5" t="s">
        <v>2243</v>
      </c>
      <c r="L2280" s="5" t="n">
        <f aca="false">IF(G2280="High",3,IF(G2280="Medium",2,1))</f>
        <v>1</v>
      </c>
    </row>
    <row r="2281" customFormat="false" ht="15" hidden="false" customHeight="true" outlineLevel="0" collapsed="false">
      <c r="A2281" s="5" t="s">
        <v>4559</v>
      </c>
      <c r="B2281" s="5" t="s">
        <v>1744</v>
      </c>
      <c r="C2281" s="5" t="s">
        <v>2254</v>
      </c>
      <c r="D2281" s="5" t="s">
        <v>2255</v>
      </c>
      <c r="E2281" s="5" t="s">
        <v>59</v>
      </c>
      <c r="F2281" s="5" t="s">
        <v>59</v>
      </c>
      <c r="G2281" s="5" t="str">
        <f aca="false">INDEX(Risk_Matrix!$B$2:$D$4,MATCH(E2281,Risk_Matrix!$A$2:$A$4,0),MATCH(F2281,Risk_Matrix!$B$1:$D$1,0))</f>
        <v>Low</v>
      </c>
      <c r="H2281" s="12" t="n">
        <v>46198</v>
      </c>
      <c r="I2281" s="5" t="s">
        <v>2256</v>
      </c>
      <c r="J2281" s="5" t="s">
        <v>4081</v>
      </c>
      <c r="K2281" s="5" t="s">
        <v>2276</v>
      </c>
      <c r="L2281" s="5" t="n">
        <f aca="false">IF(G2281="High",3,IF(G2281="Medium",2,1))</f>
        <v>1</v>
      </c>
    </row>
    <row r="2282" customFormat="false" ht="15" hidden="false" customHeight="true" outlineLevel="0" collapsed="false">
      <c r="A2282" s="5" t="s">
        <v>4560</v>
      </c>
      <c r="B2282" s="5" t="s">
        <v>1746</v>
      </c>
      <c r="C2282" s="5" t="s">
        <v>2239</v>
      </c>
      <c r="D2282" s="5" t="s">
        <v>2240</v>
      </c>
      <c r="E2282" s="5" t="s">
        <v>2225</v>
      </c>
      <c r="F2282" s="5" t="s">
        <v>2225</v>
      </c>
      <c r="G2282" s="5" t="str">
        <f aca="false">INDEX(Risk_Matrix!$B$2:$D$4,MATCH(E2282,Risk_Matrix!$A$2:$A$4,0),MATCH(F2282,Risk_Matrix!$B$1:$D$1,0))</f>
        <v>Medium</v>
      </c>
      <c r="H2282" s="12" t="n">
        <v>46236</v>
      </c>
      <c r="I2282" s="5" t="s">
        <v>2256</v>
      </c>
      <c r="J2282" s="5" t="s">
        <v>4081</v>
      </c>
      <c r="K2282" s="5" t="s">
        <v>2283</v>
      </c>
      <c r="L2282" s="5" t="n">
        <f aca="false">IF(G2282="High",3,IF(G2282="Medium",2,1))</f>
        <v>2</v>
      </c>
    </row>
    <row r="2283" customFormat="false" ht="15" hidden="false" customHeight="true" outlineLevel="0" collapsed="false">
      <c r="A2283" s="5" t="s">
        <v>4561</v>
      </c>
      <c r="B2283" s="5" t="s">
        <v>1746</v>
      </c>
      <c r="C2283" s="5" t="s">
        <v>2245</v>
      </c>
      <c r="D2283" s="5" t="s">
        <v>2269</v>
      </c>
      <c r="E2283" s="5" t="s">
        <v>59</v>
      </c>
      <c r="F2283" s="5" t="s">
        <v>59</v>
      </c>
      <c r="G2283" s="5" t="str">
        <f aca="false">INDEX(Risk_Matrix!$B$2:$D$4,MATCH(E2283,Risk_Matrix!$A$2:$A$4,0),MATCH(F2283,Risk_Matrix!$B$1:$D$1,0))</f>
        <v>Low</v>
      </c>
      <c r="H2283" s="12" t="n">
        <v>46128</v>
      </c>
      <c r="I2283" s="5" t="s">
        <v>2264</v>
      </c>
      <c r="J2283" s="5" t="s">
        <v>4087</v>
      </c>
      <c r="K2283" s="5" t="s">
        <v>2266</v>
      </c>
      <c r="L2283" s="5" t="n">
        <f aca="false">IF(G2283="High",3,IF(G2283="Medium",2,1))</f>
        <v>1</v>
      </c>
    </row>
    <row r="2284" customFormat="false" ht="15" hidden="false" customHeight="true" outlineLevel="0" collapsed="false">
      <c r="A2284" s="5" t="s">
        <v>4562</v>
      </c>
      <c r="B2284" s="5" t="s">
        <v>1746</v>
      </c>
      <c r="C2284" s="5" t="s">
        <v>2248</v>
      </c>
      <c r="D2284" s="5" t="s">
        <v>2249</v>
      </c>
      <c r="E2284" s="5" t="s">
        <v>59</v>
      </c>
      <c r="F2284" s="5" t="s">
        <v>2225</v>
      </c>
      <c r="G2284" s="5" t="str">
        <f aca="false">INDEX(Risk_Matrix!$B$2:$D$4,MATCH(E2284,Risk_Matrix!$A$2:$A$4,0),MATCH(F2284,Risk_Matrix!$B$1:$D$1,0))</f>
        <v>Low</v>
      </c>
      <c r="H2284" s="12" t="n">
        <v>46108</v>
      </c>
      <c r="I2284" s="5" t="s">
        <v>2250</v>
      </c>
      <c r="J2284" s="5" t="s">
        <v>2251</v>
      </c>
      <c r="K2284" s="5" t="s">
        <v>2266</v>
      </c>
      <c r="L2284" s="5" t="n">
        <f aca="false">IF(G2284="High",3,IF(G2284="Medium",2,1))</f>
        <v>1</v>
      </c>
    </row>
    <row r="2285" customFormat="false" ht="15" hidden="false" customHeight="true" outlineLevel="0" collapsed="false">
      <c r="A2285" s="5" t="s">
        <v>4563</v>
      </c>
      <c r="B2285" s="5" t="s">
        <v>1746</v>
      </c>
      <c r="C2285" s="5" t="s">
        <v>2262</v>
      </c>
      <c r="D2285" s="5" t="s">
        <v>2287</v>
      </c>
      <c r="E2285" s="5" t="s">
        <v>54</v>
      </c>
      <c r="F2285" s="5" t="s">
        <v>2225</v>
      </c>
      <c r="G2285" s="5" t="str">
        <f aca="false">INDEX(Risk_Matrix!$B$2:$D$4,MATCH(E2285,Risk_Matrix!$A$2:$A$4,0),MATCH(F2285,Risk_Matrix!$B$1:$D$1,0))</f>
        <v>High</v>
      </c>
      <c r="H2285" s="12" t="n">
        <v>46056</v>
      </c>
      <c r="I2285" s="5" t="s">
        <v>2264</v>
      </c>
      <c r="J2285" s="5" t="s">
        <v>4087</v>
      </c>
      <c r="K2285" s="5" t="s">
        <v>2276</v>
      </c>
      <c r="L2285" s="5" t="n">
        <f aca="false">IF(G2285="High",3,IF(G2285="Medium",2,1))</f>
        <v>3</v>
      </c>
    </row>
    <row r="2286" customFormat="false" ht="15" hidden="false" customHeight="true" outlineLevel="0" collapsed="false">
      <c r="A2286" s="5" t="s">
        <v>4564</v>
      </c>
      <c r="B2286" s="5" t="s">
        <v>1746</v>
      </c>
      <c r="C2286" s="5" t="s">
        <v>2259</v>
      </c>
      <c r="D2286" s="5" t="s">
        <v>2274</v>
      </c>
      <c r="E2286" s="5" t="s">
        <v>2225</v>
      </c>
      <c r="F2286" s="5" t="s">
        <v>59</v>
      </c>
      <c r="G2286" s="5" t="str">
        <f aca="false">INDEX(Risk_Matrix!$B$2:$D$4,MATCH(E2286,Risk_Matrix!$A$2:$A$4,0),MATCH(F2286,Risk_Matrix!$B$1:$D$1,0))</f>
        <v>Low</v>
      </c>
      <c r="H2286" s="12" t="n">
        <v>46064</v>
      </c>
      <c r="I2286" s="5" t="s">
        <v>2264</v>
      </c>
      <c r="J2286" s="5" t="s">
        <v>4087</v>
      </c>
      <c r="K2286" s="5" t="s">
        <v>2276</v>
      </c>
      <c r="L2286" s="5" t="n">
        <f aca="false">IF(G2286="High",3,IF(G2286="Medium",2,1))</f>
        <v>1</v>
      </c>
    </row>
    <row r="2287" customFormat="false" ht="15" hidden="false" customHeight="true" outlineLevel="0" collapsed="false">
      <c r="A2287" s="5" t="s">
        <v>4565</v>
      </c>
      <c r="B2287" s="5" t="s">
        <v>1746</v>
      </c>
      <c r="C2287" s="5" t="s">
        <v>2254</v>
      </c>
      <c r="D2287" s="5" t="s">
        <v>2299</v>
      </c>
      <c r="E2287" s="5" t="s">
        <v>59</v>
      </c>
      <c r="F2287" s="5" t="s">
        <v>2225</v>
      </c>
      <c r="G2287" s="5" t="str">
        <f aca="false">INDEX(Risk_Matrix!$B$2:$D$4,MATCH(E2287,Risk_Matrix!$A$2:$A$4,0),MATCH(F2287,Risk_Matrix!$B$1:$D$1,0))</f>
        <v>Low</v>
      </c>
      <c r="H2287" s="12" t="n">
        <v>46225</v>
      </c>
      <c r="I2287" s="5" t="s">
        <v>2241</v>
      </c>
      <c r="J2287" s="5" t="s">
        <v>2242</v>
      </c>
      <c r="K2287" s="5" t="s">
        <v>2283</v>
      </c>
      <c r="L2287" s="5" t="n">
        <f aca="false">IF(G2287="High",3,IF(G2287="Medium",2,1))</f>
        <v>1</v>
      </c>
    </row>
    <row r="2288" customFormat="false" ht="15" hidden="false" customHeight="true" outlineLevel="0" collapsed="false">
      <c r="A2288" s="5" t="s">
        <v>4566</v>
      </c>
      <c r="B2288" s="5" t="s">
        <v>1748</v>
      </c>
      <c r="C2288" s="5" t="s">
        <v>2239</v>
      </c>
      <c r="D2288" s="5" t="s">
        <v>2303</v>
      </c>
      <c r="E2288" s="5" t="s">
        <v>59</v>
      </c>
      <c r="F2288" s="5" t="s">
        <v>2225</v>
      </c>
      <c r="G2288" s="5" t="str">
        <f aca="false">INDEX(Risk_Matrix!$B$2:$D$4,MATCH(E2288,Risk_Matrix!$A$2:$A$4,0),MATCH(F2288,Risk_Matrix!$B$1:$D$1,0))</f>
        <v>Low</v>
      </c>
      <c r="H2288" s="12" t="n">
        <v>46081</v>
      </c>
      <c r="I2288" s="5" t="s">
        <v>2256</v>
      </c>
      <c r="J2288" s="5" t="s">
        <v>4081</v>
      </c>
      <c r="K2288" s="5" t="s">
        <v>2276</v>
      </c>
      <c r="L2288" s="5" t="n">
        <f aca="false">IF(G2288="High",3,IF(G2288="Medium",2,1))</f>
        <v>1</v>
      </c>
    </row>
    <row r="2289" customFormat="false" ht="15" hidden="false" customHeight="true" outlineLevel="0" collapsed="false">
      <c r="A2289" s="5" t="s">
        <v>4567</v>
      </c>
      <c r="B2289" s="5" t="s">
        <v>1748</v>
      </c>
      <c r="C2289" s="5" t="s">
        <v>2245</v>
      </c>
      <c r="D2289" s="5" t="s">
        <v>2280</v>
      </c>
      <c r="E2289" s="5" t="s">
        <v>59</v>
      </c>
      <c r="F2289" s="5" t="s">
        <v>59</v>
      </c>
      <c r="G2289" s="5" t="str">
        <f aca="false">INDEX(Risk_Matrix!$B$2:$D$4,MATCH(E2289,Risk_Matrix!$A$2:$A$4,0),MATCH(F2289,Risk_Matrix!$B$1:$D$1,0))</f>
        <v>Low</v>
      </c>
      <c r="H2289" s="12" t="n">
        <v>46091</v>
      </c>
      <c r="I2289" s="5" t="s">
        <v>2256</v>
      </c>
      <c r="J2289" s="5" t="s">
        <v>4081</v>
      </c>
      <c r="K2289" s="5" t="s">
        <v>2252</v>
      </c>
      <c r="L2289" s="5" t="n">
        <f aca="false">IF(G2289="High",3,IF(G2289="Medium",2,1))</f>
        <v>1</v>
      </c>
    </row>
    <row r="2290" customFormat="false" ht="15" hidden="false" customHeight="true" outlineLevel="0" collapsed="false">
      <c r="A2290" s="5" t="s">
        <v>4568</v>
      </c>
      <c r="B2290" s="5" t="s">
        <v>1748</v>
      </c>
      <c r="C2290" s="5" t="s">
        <v>2248</v>
      </c>
      <c r="D2290" s="5" t="s">
        <v>2322</v>
      </c>
      <c r="E2290" s="5" t="s">
        <v>59</v>
      </c>
      <c r="F2290" s="5" t="s">
        <v>59</v>
      </c>
      <c r="G2290" s="5" t="str">
        <f aca="false">INDEX(Risk_Matrix!$B$2:$D$4,MATCH(E2290,Risk_Matrix!$A$2:$A$4,0),MATCH(F2290,Risk_Matrix!$B$1:$D$1,0))</f>
        <v>Low</v>
      </c>
      <c r="H2290" s="12" t="n">
        <v>46130</v>
      </c>
      <c r="I2290" s="5" t="s">
        <v>2241</v>
      </c>
      <c r="J2290" s="5" t="s">
        <v>2242</v>
      </c>
      <c r="K2290" s="5" t="s">
        <v>2252</v>
      </c>
      <c r="L2290" s="5" t="n">
        <f aca="false">IF(G2290="High",3,IF(G2290="Medium",2,1))</f>
        <v>1</v>
      </c>
    </row>
    <row r="2291" customFormat="false" ht="15" hidden="false" customHeight="true" outlineLevel="0" collapsed="false">
      <c r="A2291" s="5" t="s">
        <v>4569</v>
      </c>
      <c r="B2291" s="5" t="s">
        <v>1748</v>
      </c>
      <c r="C2291" s="5" t="s">
        <v>2262</v>
      </c>
      <c r="D2291" s="5" t="s">
        <v>2311</v>
      </c>
      <c r="E2291" s="5" t="s">
        <v>2225</v>
      </c>
      <c r="F2291" s="5" t="s">
        <v>54</v>
      </c>
      <c r="G2291" s="5" t="str">
        <f aca="false">INDEX(Risk_Matrix!$B$2:$D$4,MATCH(E2291,Risk_Matrix!$A$2:$A$4,0),MATCH(F2291,Risk_Matrix!$B$1:$D$1,0))</f>
        <v>High</v>
      </c>
      <c r="H2291" s="12" t="n">
        <v>46161</v>
      </c>
      <c r="I2291" s="5" t="s">
        <v>2256</v>
      </c>
      <c r="J2291" s="5" t="s">
        <v>4081</v>
      </c>
      <c r="K2291" s="5" t="s">
        <v>2276</v>
      </c>
      <c r="L2291" s="5" t="n">
        <f aca="false">IF(G2291="High",3,IF(G2291="Medium",2,1))</f>
        <v>3</v>
      </c>
    </row>
    <row r="2292" customFormat="false" ht="15" hidden="false" customHeight="true" outlineLevel="0" collapsed="false">
      <c r="A2292" s="5" t="s">
        <v>4570</v>
      </c>
      <c r="B2292" s="5" t="s">
        <v>1748</v>
      </c>
      <c r="C2292" s="5" t="s">
        <v>2259</v>
      </c>
      <c r="D2292" s="5" t="s">
        <v>2260</v>
      </c>
      <c r="E2292" s="5" t="s">
        <v>54</v>
      </c>
      <c r="F2292" s="5" t="s">
        <v>2225</v>
      </c>
      <c r="G2292" s="5" t="str">
        <f aca="false">INDEX(Risk_Matrix!$B$2:$D$4,MATCH(E2292,Risk_Matrix!$A$2:$A$4,0),MATCH(F2292,Risk_Matrix!$B$1:$D$1,0))</f>
        <v>High</v>
      </c>
      <c r="H2292" s="12" t="n">
        <v>46050</v>
      </c>
      <c r="I2292" s="5" t="s">
        <v>2264</v>
      </c>
      <c r="J2292" s="5" t="s">
        <v>4087</v>
      </c>
      <c r="K2292" s="5" t="s">
        <v>2266</v>
      </c>
      <c r="L2292" s="5" t="n">
        <f aca="false">IF(G2292="High",3,IF(G2292="Medium",2,1))</f>
        <v>3</v>
      </c>
    </row>
    <row r="2293" customFormat="false" ht="15" hidden="false" customHeight="true" outlineLevel="0" collapsed="false">
      <c r="A2293" s="5" t="s">
        <v>4571</v>
      </c>
      <c r="B2293" s="5" t="s">
        <v>1748</v>
      </c>
      <c r="C2293" s="5" t="s">
        <v>2254</v>
      </c>
      <c r="D2293" s="5" t="s">
        <v>2255</v>
      </c>
      <c r="E2293" s="5" t="s">
        <v>2225</v>
      </c>
      <c r="F2293" s="5" t="s">
        <v>2225</v>
      </c>
      <c r="G2293" s="5" t="str">
        <f aca="false">INDEX(Risk_Matrix!$B$2:$D$4,MATCH(E2293,Risk_Matrix!$A$2:$A$4,0),MATCH(F2293,Risk_Matrix!$B$1:$D$1,0))</f>
        <v>Medium</v>
      </c>
      <c r="H2293" s="12" t="n">
        <v>46116</v>
      </c>
      <c r="I2293" s="5" t="s">
        <v>2264</v>
      </c>
      <c r="J2293" s="5" t="s">
        <v>4087</v>
      </c>
      <c r="K2293" s="5" t="s">
        <v>2243</v>
      </c>
      <c r="L2293" s="5" t="n">
        <f aca="false">IF(G2293="High",3,IF(G2293="Medium",2,1))</f>
        <v>2</v>
      </c>
    </row>
    <row r="2294" customFormat="false" ht="15" hidden="false" customHeight="true" outlineLevel="0" collapsed="false">
      <c r="A2294" s="5" t="s">
        <v>4572</v>
      </c>
      <c r="B2294" s="5" t="s">
        <v>1751</v>
      </c>
      <c r="C2294" s="5" t="s">
        <v>2239</v>
      </c>
      <c r="D2294" s="5" t="s">
        <v>2303</v>
      </c>
      <c r="E2294" s="5" t="s">
        <v>2225</v>
      </c>
      <c r="F2294" s="5" t="s">
        <v>2225</v>
      </c>
      <c r="G2294" s="5" t="str">
        <f aca="false">INDEX(Risk_Matrix!$B$2:$D$4,MATCH(E2294,Risk_Matrix!$A$2:$A$4,0),MATCH(F2294,Risk_Matrix!$B$1:$D$1,0))</f>
        <v>Medium</v>
      </c>
      <c r="H2294" s="12" t="n">
        <v>46117</v>
      </c>
      <c r="I2294" s="5" t="s">
        <v>2264</v>
      </c>
      <c r="J2294" s="5" t="s">
        <v>4087</v>
      </c>
      <c r="K2294" s="5" t="s">
        <v>2276</v>
      </c>
      <c r="L2294" s="5" t="n">
        <f aca="false">IF(G2294="High",3,IF(G2294="Medium",2,1))</f>
        <v>2</v>
      </c>
    </row>
    <row r="2295" customFormat="false" ht="15" hidden="false" customHeight="true" outlineLevel="0" collapsed="false">
      <c r="A2295" s="5" t="s">
        <v>4573</v>
      </c>
      <c r="B2295" s="5" t="s">
        <v>1751</v>
      </c>
      <c r="C2295" s="5" t="s">
        <v>2245</v>
      </c>
      <c r="D2295" s="5" t="s">
        <v>2269</v>
      </c>
      <c r="E2295" s="5" t="s">
        <v>59</v>
      </c>
      <c r="F2295" s="5" t="s">
        <v>54</v>
      </c>
      <c r="G2295" s="5" t="str">
        <f aca="false">INDEX(Risk_Matrix!$B$2:$D$4,MATCH(E2295,Risk_Matrix!$A$2:$A$4,0),MATCH(F2295,Risk_Matrix!$B$1:$D$1,0))</f>
        <v>Medium</v>
      </c>
      <c r="H2295" s="12" t="n">
        <v>46212</v>
      </c>
      <c r="I2295" s="5" t="s">
        <v>2264</v>
      </c>
      <c r="J2295" s="5" t="s">
        <v>4087</v>
      </c>
      <c r="K2295" s="5" t="s">
        <v>2266</v>
      </c>
      <c r="L2295" s="5" t="n">
        <f aca="false">IF(G2295="High",3,IF(G2295="Medium",2,1))</f>
        <v>2</v>
      </c>
    </row>
    <row r="2296" customFormat="false" ht="15" hidden="false" customHeight="true" outlineLevel="0" collapsed="false">
      <c r="A2296" s="5" t="s">
        <v>4574</v>
      </c>
      <c r="B2296" s="5" t="s">
        <v>1751</v>
      </c>
      <c r="C2296" s="5" t="s">
        <v>2248</v>
      </c>
      <c r="D2296" s="5" t="s">
        <v>2322</v>
      </c>
      <c r="E2296" s="5" t="s">
        <v>2225</v>
      </c>
      <c r="F2296" s="5" t="s">
        <v>54</v>
      </c>
      <c r="G2296" s="5" t="str">
        <f aca="false">INDEX(Risk_Matrix!$B$2:$D$4,MATCH(E2296,Risk_Matrix!$A$2:$A$4,0),MATCH(F2296,Risk_Matrix!$B$1:$D$1,0))</f>
        <v>High</v>
      </c>
      <c r="H2296" s="12" t="n">
        <v>46065</v>
      </c>
      <c r="I2296" s="5" t="s">
        <v>2250</v>
      </c>
      <c r="J2296" s="5" t="s">
        <v>2251</v>
      </c>
      <c r="K2296" s="5" t="s">
        <v>2266</v>
      </c>
      <c r="L2296" s="5" t="n">
        <f aca="false">IF(G2296="High",3,IF(G2296="Medium",2,1))</f>
        <v>3</v>
      </c>
    </row>
    <row r="2297" customFormat="false" ht="15" hidden="false" customHeight="true" outlineLevel="0" collapsed="false">
      <c r="A2297" s="5" t="s">
        <v>4575</v>
      </c>
      <c r="B2297" s="5" t="s">
        <v>1751</v>
      </c>
      <c r="C2297" s="5" t="s">
        <v>2262</v>
      </c>
      <c r="D2297" s="5" t="s">
        <v>2287</v>
      </c>
      <c r="E2297" s="5" t="s">
        <v>59</v>
      </c>
      <c r="F2297" s="5" t="s">
        <v>2225</v>
      </c>
      <c r="G2297" s="5" t="str">
        <f aca="false">INDEX(Risk_Matrix!$B$2:$D$4,MATCH(E2297,Risk_Matrix!$A$2:$A$4,0),MATCH(F2297,Risk_Matrix!$B$1:$D$1,0))</f>
        <v>Low</v>
      </c>
      <c r="H2297" s="12" t="n">
        <v>46229</v>
      </c>
      <c r="I2297" s="5" t="s">
        <v>2250</v>
      </c>
      <c r="J2297" s="5" t="s">
        <v>2251</v>
      </c>
      <c r="K2297" s="5" t="s">
        <v>2266</v>
      </c>
      <c r="L2297" s="5" t="n">
        <f aca="false">IF(G2297="High",3,IF(G2297="Medium",2,1))</f>
        <v>1</v>
      </c>
    </row>
    <row r="2298" customFormat="false" ht="15" hidden="false" customHeight="true" outlineLevel="0" collapsed="false">
      <c r="A2298" s="5" t="s">
        <v>4576</v>
      </c>
      <c r="B2298" s="5" t="s">
        <v>1751</v>
      </c>
      <c r="C2298" s="5" t="s">
        <v>2259</v>
      </c>
      <c r="D2298" s="5" t="s">
        <v>2285</v>
      </c>
      <c r="E2298" s="5" t="s">
        <v>2225</v>
      </c>
      <c r="F2298" s="5" t="s">
        <v>2225</v>
      </c>
      <c r="G2298" s="5" t="str">
        <f aca="false">INDEX(Risk_Matrix!$B$2:$D$4,MATCH(E2298,Risk_Matrix!$A$2:$A$4,0),MATCH(F2298,Risk_Matrix!$B$1:$D$1,0))</f>
        <v>Medium</v>
      </c>
      <c r="H2298" s="12" t="n">
        <v>46059</v>
      </c>
      <c r="I2298" s="5" t="s">
        <v>2241</v>
      </c>
      <c r="J2298" s="5" t="s">
        <v>2242</v>
      </c>
      <c r="K2298" s="5" t="s">
        <v>2276</v>
      </c>
      <c r="L2298" s="5" t="n">
        <f aca="false">IF(G2298="High",3,IF(G2298="Medium",2,1))</f>
        <v>2</v>
      </c>
    </row>
    <row r="2299" customFormat="false" ht="15" hidden="false" customHeight="true" outlineLevel="0" collapsed="false">
      <c r="A2299" s="5" t="s">
        <v>4577</v>
      </c>
      <c r="B2299" s="5" t="s">
        <v>1751</v>
      </c>
      <c r="C2299" s="5" t="s">
        <v>2254</v>
      </c>
      <c r="D2299" s="5" t="s">
        <v>2299</v>
      </c>
      <c r="E2299" s="5" t="s">
        <v>2225</v>
      </c>
      <c r="F2299" s="5" t="s">
        <v>54</v>
      </c>
      <c r="G2299" s="5" t="str">
        <f aca="false">INDEX(Risk_Matrix!$B$2:$D$4,MATCH(E2299,Risk_Matrix!$A$2:$A$4,0),MATCH(F2299,Risk_Matrix!$B$1:$D$1,0))</f>
        <v>High</v>
      </c>
      <c r="H2299" s="12" t="n">
        <v>46082</v>
      </c>
      <c r="I2299" s="5" t="s">
        <v>2241</v>
      </c>
      <c r="J2299" s="5" t="s">
        <v>2242</v>
      </c>
      <c r="K2299" s="5" t="s">
        <v>2266</v>
      </c>
      <c r="L2299" s="5" t="n">
        <f aca="false">IF(G2299="High",3,IF(G2299="Medium",2,1))</f>
        <v>3</v>
      </c>
    </row>
    <row r="2300" customFormat="false" ht="15" hidden="false" customHeight="true" outlineLevel="0" collapsed="false">
      <c r="A2300" s="5" t="s">
        <v>4578</v>
      </c>
      <c r="B2300" s="5" t="s">
        <v>1753</v>
      </c>
      <c r="C2300" s="5" t="s">
        <v>2239</v>
      </c>
      <c r="D2300" s="5" t="s">
        <v>2278</v>
      </c>
      <c r="E2300" s="5" t="s">
        <v>2225</v>
      </c>
      <c r="F2300" s="5" t="s">
        <v>54</v>
      </c>
      <c r="G2300" s="5" t="str">
        <f aca="false">INDEX(Risk_Matrix!$B$2:$D$4,MATCH(E2300,Risk_Matrix!$A$2:$A$4,0),MATCH(F2300,Risk_Matrix!$B$1:$D$1,0))</f>
        <v>High</v>
      </c>
      <c r="H2300" s="12" t="n">
        <v>46123</v>
      </c>
      <c r="I2300" s="5" t="s">
        <v>2264</v>
      </c>
      <c r="J2300" s="5" t="s">
        <v>4087</v>
      </c>
      <c r="K2300" s="5" t="s">
        <v>2283</v>
      </c>
      <c r="L2300" s="5" t="n">
        <f aca="false">IF(G2300="High",3,IF(G2300="Medium",2,1))</f>
        <v>3</v>
      </c>
    </row>
    <row r="2301" customFormat="false" ht="15" hidden="false" customHeight="true" outlineLevel="0" collapsed="false">
      <c r="A2301" s="5" t="s">
        <v>4579</v>
      </c>
      <c r="B2301" s="5" t="s">
        <v>1753</v>
      </c>
      <c r="C2301" s="5" t="s">
        <v>2245</v>
      </c>
      <c r="D2301" s="5" t="s">
        <v>2246</v>
      </c>
      <c r="E2301" s="5" t="s">
        <v>2225</v>
      </c>
      <c r="F2301" s="5" t="s">
        <v>59</v>
      </c>
      <c r="G2301" s="5" t="str">
        <f aca="false">INDEX(Risk_Matrix!$B$2:$D$4,MATCH(E2301,Risk_Matrix!$A$2:$A$4,0),MATCH(F2301,Risk_Matrix!$B$1:$D$1,0))</f>
        <v>Low</v>
      </c>
      <c r="H2301" s="12" t="n">
        <v>46030</v>
      </c>
      <c r="I2301" s="5" t="s">
        <v>2264</v>
      </c>
      <c r="J2301" s="5" t="s">
        <v>4087</v>
      </c>
      <c r="K2301" s="5" t="s">
        <v>2283</v>
      </c>
      <c r="L2301" s="5" t="n">
        <f aca="false">IF(G2301="High",3,IF(G2301="Medium",2,1))</f>
        <v>1</v>
      </c>
    </row>
    <row r="2302" customFormat="false" ht="15" hidden="false" customHeight="true" outlineLevel="0" collapsed="false">
      <c r="A2302" s="5" t="s">
        <v>4580</v>
      </c>
      <c r="B2302" s="5" t="s">
        <v>1753</v>
      </c>
      <c r="C2302" s="5" t="s">
        <v>2248</v>
      </c>
      <c r="D2302" s="5" t="s">
        <v>2306</v>
      </c>
      <c r="E2302" s="5" t="s">
        <v>2225</v>
      </c>
      <c r="F2302" s="5" t="s">
        <v>59</v>
      </c>
      <c r="G2302" s="5" t="str">
        <f aca="false">INDEX(Risk_Matrix!$B$2:$D$4,MATCH(E2302,Risk_Matrix!$A$2:$A$4,0),MATCH(F2302,Risk_Matrix!$B$1:$D$1,0))</f>
        <v>Low</v>
      </c>
      <c r="H2302" s="12" t="n">
        <v>46155</v>
      </c>
      <c r="I2302" s="5" t="s">
        <v>2250</v>
      </c>
      <c r="J2302" s="5" t="s">
        <v>2251</v>
      </c>
      <c r="K2302" s="5" t="s">
        <v>2252</v>
      </c>
      <c r="L2302" s="5" t="n">
        <f aca="false">IF(G2302="High",3,IF(G2302="Medium",2,1))</f>
        <v>1</v>
      </c>
    </row>
    <row r="2303" customFormat="false" ht="15" hidden="false" customHeight="true" outlineLevel="0" collapsed="false">
      <c r="A2303" s="5" t="s">
        <v>4581</v>
      </c>
      <c r="B2303" s="5" t="s">
        <v>1753</v>
      </c>
      <c r="C2303" s="5" t="s">
        <v>2262</v>
      </c>
      <c r="D2303" s="5" t="s">
        <v>2311</v>
      </c>
      <c r="E2303" s="5" t="s">
        <v>54</v>
      </c>
      <c r="F2303" s="5" t="s">
        <v>2225</v>
      </c>
      <c r="G2303" s="5" t="str">
        <f aca="false">INDEX(Risk_Matrix!$B$2:$D$4,MATCH(E2303,Risk_Matrix!$A$2:$A$4,0),MATCH(F2303,Risk_Matrix!$B$1:$D$1,0))</f>
        <v>High</v>
      </c>
      <c r="H2303" s="12" t="n">
        <v>46132</v>
      </c>
      <c r="I2303" s="5" t="s">
        <v>2256</v>
      </c>
      <c r="J2303" s="5" t="s">
        <v>4081</v>
      </c>
      <c r="K2303" s="5" t="s">
        <v>2276</v>
      </c>
      <c r="L2303" s="5" t="n">
        <f aca="false">IF(G2303="High",3,IF(G2303="Medium",2,1))</f>
        <v>3</v>
      </c>
    </row>
    <row r="2304" customFormat="false" ht="15" hidden="false" customHeight="true" outlineLevel="0" collapsed="false">
      <c r="A2304" s="5" t="s">
        <v>4582</v>
      </c>
      <c r="B2304" s="5" t="s">
        <v>1753</v>
      </c>
      <c r="C2304" s="5" t="s">
        <v>2259</v>
      </c>
      <c r="D2304" s="5" t="s">
        <v>2274</v>
      </c>
      <c r="E2304" s="5" t="s">
        <v>2225</v>
      </c>
      <c r="F2304" s="5" t="s">
        <v>54</v>
      </c>
      <c r="G2304" s="5" t="str">
        <f aca="false">INDEX(Risk_Matrix!$B$2:$D$4,MATCH(E2304,Risk_Matrix!$A$2:$A$4,0),MATCH(F2304,Risk_Matrix!$B$1:$D$1,0))</f>
        <v>High</v>
      </c>
      <c r="H2304" s="12" t="n">
        <v>46222</v>
      </c>
      <c r="I2304" s="5" t="s">
        <v>2256</v>
      </c>
      <c r="J2304" s="5" t="s">
        <v>4081</v>
      </c>
      <c r="K2304" s="5" t="s">
        <v>2283</v>
      </c>
      <c r="L2304" s="5" t="n">
        <f aca="false">IF(G2304="High",3,IF(G2304="Medium",2,1))</f>
        <v>3</v>
      </c>
    </row>
    <row r="2305" customFormat="false" ht="15" hidden="false" customHeight="true" outlineLevel="0" collapsed="false">
      <c r="A2305" s="5" t="s">
        <v>4583</v>
      </c>
      <c r="B2305" s="5" t="s">
        <v>1753</v>
      </c>
      <c r="C2305" s="5" t="s">
        <v>2254</v>
      </c>
      <c r="D2305" s="5" t="s">
        <v>2255</v>
      </c>
      <c r="E2305" s="5" t="s">
        <v>59</v>
      </c>
      <c r="F2305" s="5" t="s">
        <v>59</v>
      </c>
      <c r="G2305" s="5" t="str">
        <f aca="false">INDEX(Risk_Matrix!$B$2:$D$4,MATCH(E2305,Risk_Matrix!$A$2:$A$4,0),MATCH(F2305,Risk_Matrix!$B$1:$D$1,0))</f>
        <v>Low</v>
      </c>
      <c r="H2305" s="12" t="n">
        <v>46122</v>
      </c>
      <c r="I2305" s="5" t="s">
        <v>2256</v>
      </c>
      <c r="J2305" s="5" t="s">
        <v>4081</v>
      </c>
      <c r="K2305" s="5" t="s">
        <v>2276</v>
      </c>
      <c r="L2305" s="5" t="n">
        <f aca="false">IF(G2305="High",3,IF(G2305="Medium",2,1))</f>
        <v>1</v>
      </c>
    </row>
    <row r="2306" customFormat="false" ht="15" hidden="false" customHeight="true" outlineLevel="0" collapsed="false">
      <c r="A2306" s="5" t="s">
        <v>4584</v>
      </c>
      <c r="B2306" s="5" t="s">
        <v>1755</v>
      </c>
      <c r="C2306" s="5" t="s">
        <v>2239</v>
      </c>
      <c r="D2306" s="5" t="s">
        <v>2278</v>
      </c>
      <c r="E2306" s="5" t="s">
        <v>54</v>
      </c>
      <c r="F2306" s="5" t="s">
        <v>54</v>
      </c>
      <c r="G2306" s="5" t="str">
        <f aca="false">INDEX(Risk_Matrix!$B$2:$D$4,MATCH(E2306,Risk_Matrix!$A$2:$A$4,0),MATCH(F2306,Risk_Matrix!$B$1:$D$1,0))</f>
        <v>High</v>
      </c>
      <c r="H2306" s="12" t="n">
        <v>46138</v>
      </c>
      <c r="I2306" s="5" t="s">
        <v>2264</v>
      </c>
      <c r="J2306" s="5" t="s">
        <v>4087</v>
      </c>
      <c r="K2306" s="5" t="s">
        <v>2283</v>
      </c>
      <c r="L2306" s="5" t="n">
        <f aca="false">IF(G2306="High",3,IF(G2306="Medium",2,1))</f>
        <v>3</v>
      </c>
    </row>
    <row r="2307" customFormat="false" ht="15" hidden="false" customHeight="true" outlineLevel="0" collapsed="false">
      <c r="A2307" s="5" t="s">
        <v>4585</v>
      </c>
      <c r="B2307" s="5" t="s">
        <v>1755</v>
      </c>
      <c r="C2307" s="5" t="s">
        <v>2245</v>
      </c>
      <c r="D2307" s="5" t="s">
        <v>2269</v>
      </c>
      <c r="E2307" s="5" t="s">
        <v>2225</v>
      </c>
      <c r="F2307" s="5" t="s">
        <v>54</v>
      </c>
      <c r="G2307" s="5" t="str">
        <f aca="false">INDEX(Risk_Matrix!$B$2:$D$4,MATCH(E2307,Risk_Matrix!$A$2:$A$4,0),MATCH(F2307,Risk_Matrix!$B$1:$D$1,0))</f>
        <v>High</v>
      </c>
      <c r="H2307" s="12" t="n">
        <v>46206</v>
      </c>
      <c r="I2307" s="5" t="s">
        <v>2256</v>
      </c>
      <c r="J2307" s="5" t="s">
        <v>4081</v>
      </c>
      <c r="K2307" s="5" t="s">
        <v>2252</v>
      </c>
      <c r="L2307" s="5" t="n">
        <f aca="false">IF(G2307="High",3,IF(G2307="Medium",2,1))</f>
        <v>3</v>
      </c>
    </row>
    <row r="2308" customFormat="false" ht="15" hidden="false" customHeight="true" outlineLevel="0" collapsed="false">
      <c r="A2308" s="5" t="s">
        <v>4586</v>
      </c>
      <c r="B2308" s="5" t="s">
        <v>1755</v>
      </c>
      <c r="C2308" s="5" t="s">
        <v>2248</v>
      </c>
      <c r="D2308" s="5" t="s">
        <v>2271</v>
      </c>
      <c r="E2308" s="5" t="s">
        <v>59</v>
      </c>
      <c r="F2308" s="5" t="s">
        <v>59</v>
      </c>
      <c r="G2308" s="5" t="str">
        <f aca="false">INDEX(Risk_Matrix!$B$2:$D$4,MATCH(E2308,Risk_Matrix!$A$2:$A$4,0),MATCH(F2308,Risk_Matrix!$B$1:$D$1,0))</f>
        <v>Low</v>
      </c>
      <c r="H2308" s="12" t="n">
        <v>46184</v>
      </c>
      <c r="I2308" s="5" t="s">
        <v>2241</v>
      </c>
      <c r="J2308" s="5" t="s">
        <v>2242</v>
      </c>
      <c r="K2308" s="5" t="s">
        <v>2266</v>
      </c>
      <c r="L2308" s="5" t="n">
        <f aca="false">IF(G2308="High",3,IF(G2308="Medium",2,1))</f>
        <v>1</v>
      </c>
    </row>
    <row r="2309" customFormat="false" ht="15" hidden="false" customHeight="true" outlineLevel="0" collapsed="false">
      <c r="A2309" s="5" t="s">
        <v>4587</v>
      </c>
      <c r="B2309" s="5" t="s">
        <v>1755</v>
      </c>
      <c r="C2309" s="5" t="s">
        <v>2262</v>
      </c>
      <c r="D2309" s="5" t="s">
        <v>2287</v>
      </c>
      <c r="E2309" s="5" t="s">
        <v>59</v>
      </c>
      <c r="F2309" s="5" t="s">
        <v>2225</v>
      </c>
      <c r="G2309" s="5" t="str">
        <f aca="false">INDEX(Risk_Matrix!$B$2:$D$4,MATCH(E2309,Risk_Matrix!$A$2:$A$4,0),MATCH(F2309,Risk_Matrix!$B$1:$D$1,0))</f>
        <v>Low</v>
      </c>
      <c r="H2309" s="12" t="n">
        <v>46155</v>
      </c>
      <c r="I2309" s="5" t="s">
        <v>2241</v>
      </c>
      <c r="J2309" s="5" t="s">
        <v>2242</v>
      </c>
      <c r="K2309" s="5" t="s">
        <v>2276</v>
      </c>
      <c r="L2309" s="5" t="n">
        <f aca="false">IF(G2309="High",3,IF(G2309="Medium",2,1))</f>
        <v>1</v>
      </c>
    </row>
    <row r="2310" customFormat="false" ht="15" hidden="false" customHeight="true" outlineLevel="0" collapsed="false">
      <c r="A2310" s="5" t="s">
        <v>4588</v>
      </c>
      <c r="B2310" s="5" t="s">
        <v>1755</v>
      </c>
      <c r="C2310" s="5" t="s">
        <v>2259</v>
      </c>
      <c r="D2310" s="5" t="s">
        <v>2285</v>
      </c>
      <c r="E2310" s="5" t="s">
        <v>59</v>
      </c>
      <c r="F2310" s="5" t="s">
        <v>54</v>
      </c>
      <c r="G2310" s="5" t="str">
        <f aca="false">INDEX(Risk_Matrix!$B$2:$D$4,MATCH(E2310,Risk_Matrix!$A$2:$A$4,0),MATCH(F2310,Risk_Matrix!$B$1:$D$1,0))</f>
        <v>Medium</v>
      </c>
      <c r="H2310" s="12" t="n">
        <v>46081</v>
      </c>
      <c r="I2310" s="5" t="s">
        <v>2250</v>
      </c>
      <c r="J2310" s="5" t="s">
        <v>2251</v>
      </c>
      <c r="K2310" s="5" t="s">
        <v>2276</v>
      </c>
      <c r="L2310" s="5" t="n">
        <f aca="false">IF(G2310="High",3,IF(G2310="Medium",2,1))</f>
        <v>2</v>
      </c>
    </row>
    <row r="2311" customFormat="false" ht="15" hidden="false" customHeight="true" outlineLevel="0" collapsed="false">
      <c r="A2311" s="5" t="s">
        <v>4589</v>
      </c>
      <c r="B2311" s="5" t="s">
        <v>1755</v>
      </c>
      <c r="C2311" s="5" t="s">
        <v>2254</v>
      </c>
      <c r="D2311" s="5" t="s">
        <v>2308</v>
      </c>
      <c r="E2311" s="5" t="s">
        <v>2225</v>
      </c>
      <c r="F2311" s="5" t="s">
        <v>54</v>
      </c>
      <c r="G2311" s="5" t="str">
        <f aca="false">INDEX(Risk_Matrix!$B$2:$D$4,MATCH(E2311,Risk_Matrix!$A$2:$A$4,0),MATCH(F2311,Risk_Matrix!$B$1:$D$1,0))</f>
        <v>High</v>
      </c>
      <c r="H2311" s="12" t="n">
        <v>46077</v>
      </c>
      <c r="I2311" s="5" t="s">
        <v>2256</v>
      </c>
      <c r="J2311" s="5" t="s">
        <v>4081</v>
      </c>
      <c r="K2311" s="5" t="s">
        <v>2266</v>
      </c>
      <c r="L2311" s="5" t="n">
        <f aca="false">IF(G2311="High",3,IF(G2311="Medium",2,1))</f>
        <v>3</v>
      </c>
    </row>
    <row r="2312" customFormat="false" ht="15" hidden="false" customHeight="true" outlineLevel="0" collapsed="false">
      <c r="A2312" s="5" t="s">
        <v>4590</v>
      </c>
      <c r="B2312" s="5" t="s">
        <v>1757</v>
      </c>
      <c r="C2312" s="5" t="s">
        <v>2239</v>
      </c>
      <c r="D2312" s="5" t="s">
        <v>2303</v>
      </c>
      <c r="E2312" s="5" t="s">
        <v>59</v>
      </c>
      <c r="F2312" s="5" t="s">
        <v>2225</v>
      </c>
      <c r="G2312" s="5" t="str">
        <f aca="false">INDEX(Risk_Matrix!$B$2:$D$4,MATCH(E2312,Risk_Matrix!$A$2:$A$4,0),MATCH(F2312,Risk_Matrix!$B$1:$D$1,0))</f>
        <v>Low</v>
      </c>
      <c r="H2312" s="12" t="n">
        <v>46237</v>
      </c>
      <c r="I2312" s="5" t="s">
        <v>2256</v>
      </c>
      <c r="J2312" s="5" t="s">
        <v>4081</v>
      </c>
      <c r="K2312" s="5" t="s">
        <v>2276</v>
      </c>
      <c r="L2312" s="5" t="n">
        <f aca="false">IF(G2312="High",3,IF(G2312="Medium",2,1))</f>
        <v>1</v>
      </c>
    </row>
    <row r="2313" customFormat="false" ht="15" hidden="false" customHeight="true" outlineLevel="0" collapsed="false">
      <c r="A2313" s="5" t="s">
        <v>4591</v>
      </c>
      <c r="B2313" s="5" t="s">
        <v>1757</v>
      </c>
      <c r="C2313" s="5" t="s">
        <v>2245</v>
      </c>
      <c r="D2313" s="5" t="s">
        <v>2269</v>
      </c>
      <c r="E2313" s="5" t="s">
        <v>59</v>
      </c>
      <c r="F2313" s="5" t="s">
        <v>2225</v>
      </c>
      <c r="G2313" s="5" t="str">
        <f aca="false">INDEX(Risk_Matrix!$B$2:$D$4,MATCH(E2313,Risk_Matrix!$A$2:$A$4,0),MATCH(F2313,Risk_Matrix!$B$1:$D$1,0))</f>
        <v>Low</v>
      </c>
      <c r="H2313" s="12" t="n">
        <v>46099</v>
      </c>
      <c r="I2313" s="5" t="s">
        <v>2264</v>
      </c>
      <c r="J2313" s="5" t="s">
        <v>4087</v>
      </c>
      <c r="K2313" s="5" t="s">
        <v>2283</v>
      </c>
      <c r="L2313" s="5" t="n">
        <f aca="false">IF(G2313="High",3,IF(G2313="Medium",2,1))</f>
        <v>1</v>
      </c>
    </row>
    <row r="2314" customFormat="false" ht="15" hidden="false" customHeight="true" outlineLevel="0" collapsed="false">
      <c r="A2314" s="5" t="s">
        <v>4592</v>
      </c>
      <c r="B2314" s="5" t="s">
        <v>1757</v>
      </c>
      <c r="C2314" s="5" t="s">
        <v>2248</v>
      </c>
      <c r="D2314" s="5" t="s">
        <v>2306</v>
      </c>
      <c r="E2314" s="5" t="s">
        <v>54</v>
      </c>
      <c r="F2314" s="5" t="s">
        <v>2225</v>
      </c>
      <c r="G2314" s="5" t="str">
        <f aca="false">INDEX(Risk_Matrix!$B$2:$D$4,MATCH(E2314,Risk_Matrix!$A$2:$A$4,0),MATCH(F2314,Risk_Matrix!$B$1:$D$1,0))</f>
        <v>High</v>
      </c>
      <c r="H2314" s="12" t="n">
        <v>46199</v>
      </c>
      <c r="I2314" s="5" t="s">
        <v>2250</v>
      </c>
      <c r="J2314" s="5" t="s">
        <v>2251</v>
      </c>
      <c r="K2314" s="5" t="s">
        <v>2276</v>
      </c>
      <c r="L2314" s="5" t="n">
        <f aca="false">IF(G2314="High",3,IF(G2314="Medium",2,1))</f>
        <v>3</v>
      </c>
    </row>
    <row r="2315" customFormat="false" ht="15" hidden="false" customHeight="true" outlineLevel="0" collapsed="false">
      <c r="A2315" s="5" t="s">
        <v>4593</v>
      </c>
      <c r="B2315" s="5" t="s">
        <v>1757</v>
      </c>
      <c r="C2315" s="5" t="s">
        <v>2262</v>
      </c>
      <c r="D2315" s="5" t="s">
        <v>2311</v>
      </c>
      <c r="E2315" s="5" t="s">
        <v>59</v>
      </c>
      <c r="F2315" s="5" t="s">
        <v>2225</v>
      </c>
      <c r="G2315" s="5" t="str">
        <f aca="false">INDEX(Risk_Matrix!$B$2:$D$4,MATCH(E2315,Risk_Matrix!$A$2:$A$4,0),MATCH(F2315,Risk_Matrix!$B$1:$D$1,0))</f>
        <v>Low</v>
      </c>
      <c r="H2315" s="12" t="n">
        <v>46033</v>
      </c>
      <c r="I2315" s="5" t="s">
        <v>2241</v>
      </c>
      <c r="J2315" s="5" t="s">
        <v>2242</v>
      </c>
      <c r="K2315" s="5" t="s">
        <v>2266</v>
      </c>
      <c r="L2315" s="5" t="n">
        <f aca="false">IF(G2315="High",3,IF(G2315="Medium",2,1))</f>
        <v>1</v>
      </c>
    </row>
    <row r="2316" customFormat="false" ht="15" hidden="false" customHeight="true" outlineLevel="0" collapsed="false">
      <c r="A2316" s="5" t="s">
        <v>4594</v>
      </c>
      <c r="B2316" s="5" t="s">
        <v>1757</v>
      </c>
      <c r="C2316" s="5" t="s">
        <v>2259</v>
      </c>
      <c r="D2316" s="5" t="s">
        <v>2260</v>
      </c>
      <c r="E2316" s="5" t="s">
        <v>2225</v>
      </c>
      <c r="F2316" s="5" t="s">
        <v>54</v>
      </c>
      <c r="G2316" s="5" t="str">
        <f aca="false">INDEX(Risk_Matrix!$B$2:$D$4,MATCH(E2316,Risk_Matrix!$A$2:$A$4,0),MATCH(F2316,Risk_Matrix!$B$1:$D$1,0))</f>
        <v>High</v>
      </c>
      <c r="H2316" s="12" t="n">
        <v>46070</v>
      </c>
      <c r="I2316" s="5" t="s">
        <v>2250</v>
      </c>
      <c r="J2316" s="5" t="s">
        <v>2251</v>
      </c>
      <c r="K2316" s="5" t="s">
        <v>2252</v>
      </c>
      <c r="L2316" s="5" t="n">
        <f aca="false">IF(G2316="High",3,IF(G2316="Medium",2,1))</f>
        <v>3</v>
      </c>
    </row>
    <row r="2317" customFormat="false" ht="15" hidden="false" customHeight="true" outlineLevel="0" collapsed="false">
      <c r="A2317" s="5" t="s">
        <v>4595</v>
      </c>
      <c r="B2317" s="5" t="s">
        <v>1757</v>
      </c>
      <c r="C2317" s="5" t="s">
        <v>2254</v>
      </c>
      <c r="D2317" s="5" t="s">
        <v>2299</v>
      </c>
      <c r="E2317" s="5" t="s">
        <v>2225</v>
      </c>
      <c r="F2317" s="5" t="s">
        <v>59</v>
      </c>
      <c r="G2317" s="5" t="str">
        <f aca="false">INDEX(Risk_Matrix!$B$2:$D$4,MATCH(E2317,Risk_Matrix!$A$2:$A$4,0),MATCH(F2317,Risk_Matrix!$B$1:$D$1,0))</f>
        <v>Low</v>
      </c>
      <c r="H2317" s="12" t="n">
        <v>46184</v>
      </c>
      <c r="I2317" s="5" t="s">
        <v>2256</v>
      </c>
      <c r="J2317" s="5" t="s">
        <v>4081</v>
      </c>
      <c r="K2317" s="5" t="s">
        <v>2243</v>
      </c>
      <c r="L2317" s="5" t="n">
        <f aca="false">IF(G2317="High",3,IF(G2317="Medium",2,1))</f>
        <v>1</v>
      </c>
    </row>
    <row r="2318" customFormat="false" ht="15" hidden="false" customHeight="true" outlineLevel="0" collapsed="false">
      <c r="A2318" s="5" t="s">
        <v>4596</v>
      </c>
      <c r="B2318" s="5" t="s">
        <v>1760</v>
      </c>
      <c r="C2318" s="5" t="s">
        <v>2239</v>
      </c>
      <c r="D2318" s="5" t="s">
        <v>2303</v>
      </c>
      <c r="E2318" s="5" t="s">
        <v>59</v>
      </c>
      <c r="F2318" s="5" t="s">
        <v>54</v>
      </c>
      <c r="G2318" s="5" t="str">
        <f aca="false">INDEX(Risk_Matrix!$B$2:$D$4,MATCH(E2318,Risk_Matrix!$A$2:$A$4,0),MATCH(F2318,Risk_Matrix!$B$1:$D$1,0))</f>
        <v>Medium</v>
      </c>
      <c r="H2318" s="12" t="n">
        <v>46189</v>
      </c>
      <c r="I2318" s="5" t="s">
        <v>2256</v>
      </c>
      <c r="J2318" s="5" t="s">
        <v>4081</v>
      </c>
      <c r="K2318" s="5" t="s">
        <v>2243</v>
      </c>
      <c r="L2318" s="5" t="n">
        <f aca="false">IF(G2318="High",3,IF(G2318="Medium",2,1))</f>
        <v>2</v>
      </c>
    </row>
    <row r="2319" customFormat="false" ht="15" hidden="false" customHeight="true" outlineLevel="0" collapsed="false">
      <c r="A2319" s="5" t="s">
        <v>4597</v>
      </c>
      <c r="B2319" s="5" t="s">
        <v>1760</v>
      </c>
      <c r="C2319" s="5" t="s">
        <v>2245</v>
      </c>
      <c r="D2319" s="5" t="s">
        <v>2269</v>
      </c>
      <c r="E2319" s="5" t="s">
        <v>54</v>
      </c>
      <c r="F2319" s="5" t="s">
        <v>59</v>
      </c>
      <c r="G2319" s="5" t="str">
        <f aca="false">INDEX(Risk_Matrix!$B$2:$D$4,MATCH(E2319,Risk_Matrix!$A$2:$A$4,0),MATCH(F2319,Risk_Matrix!$B$1:$D$1,0))</f>
        <v>Medium</v>
      </c>
      <c r="H2319" s="12" t="n">
        <v>46159</v>
      </c>
      <c r="I2319" s="5" t="s">
        <v>2256</v>
      </c>
      <c r="J2319" s="5" t="s">
        <v>4081</v>
      </c>
      <c r="K2319" s="5" t="s">
        <v>2252</v>
      </c>
      <c r="L2319" s="5" t="n">
        <f aca="false">IF(G2319="High",3,IF(G2319="Medium",2,1))</f>
        <v>2</v>
      </c>
    </row>
    <row r="2320" customFormat="false" ht="15" hidden="false" customHeight="true" outlineLevel="0" collapsed="false">
      <c r="A2320" s="5" t="s">
        <v>4598</v>
      </c>
      <c r="B2320" s="5" t="s">
        <v>1760</v>
      </c>
      <c r="C2320" s="5" t="s">
        <v>2248</v>
      </c>
      <c r="D2320" s="5" t="s">
        <v>2322</v>
      </c>
      <c r="E2320" s="5" t="s">
        <v>2225</v>
      </c>
      <c r="F2320" s="5" t="s">
        <v>59</v>
      </c>
      <c r="G2320" s="5" t="str">
        <f aca="false">INDEX(Risk_Matrix!$B$2:$D$4,MATCH(E2320,Risk_Matrix!$A$2:$A$4,0),MATCH(F2320,Risk_Matrix!$B$1:$D$1,0))</f>
        <v>Low</v>
      </c>
      <c r="H2320" s="12" t="n">
        <v>46156</v>
      </c>
      <c r="I2320" s="5" t="s">
        <v>2241</v>
      </c>
      <c r="J2320" s="5" t="s">
        <v>2242</v>
      </c>
      <c r="K2320" s="5" t="s">
        <v>2243</v>
      </c>
      <c r="L2320" s="5" t="n">
        <f aca="false">IF(G2320="High",3,IF(G2320="Medium",2,1))</f>
        <v>1</v>
      </c>
    </row>
    <row r="2321" customFormat="false" ht="15" hidden="false" customHeight="true" outlineLevel="0" collapsed="false">
      <c r="A2321" s="5" t="s">
        <v>4599</v>
      </c>
      <c r="B2321" s="5" t="s">
        <v>1760</v>
      </c>
      <c r="C2321" s="5" t="s">
        <v>2262</v>
      </c>
      <c r="D2321" s="5" t="s">
        <v>2311</v>
      </c>
      <c r="E2321" s="5" t="s">
        <v>54</v>
      </c>
      <c r="F2321" s="5" t="s">
        <v>54</v>
      </c>
      <c r="G2321" s="5" t="str">
        <f aca="false">INDEX(Risk_Matrix!$B$2:$D$4,MATCH(E2321,Risk_Matrix!$A$2:$A$4,0),MATCH(F2321,Risk_Matrix!$B$1:$D$1,0))</f>
        <v>High</v>
      </c>
      <c r="H2321" s="12" t="n">
        <v>46168</v>
      </c>
      <c r="I2321" s="5" t="s">
        <v>2256</v>
      </c>
      <c r="J2321" s="5" t="s">
        <v>4081</v>
      </c>
      <c r="K2321" s="5" t="s">
        <v>2252</v>
      </c>
      <c r="L2321" s="5" t="n">
        <f aca="false">IF(G2321="High",3,IF(G2321="Medium",2,1))</f>
        <v>3</v>
      </c>
    </row>
    <row r="2322" customFormat="false" ht="15" hidden="false" customHeight="true" outlineLevel="0" collapsed="false">
      <c r="A2322" s="5" t="s">
        <v>4600</v>
      </c>
      <c r="B2322" s="5" t="s">
        <v>1760</v>
      </c>
      <c r="C2322" s="5" t="s">
        <v>2259</v>
      </c>
      <c r="D2322" s="5" t="s">
        <v>2260</v>
      </c>
      <c r="E2322" s="5" t="s">
        <v>2225</v>
      </c>
      <c r="F2322" s="5" t="s">
        <v>59</v>
      </c>
      <c r="G2322" s="5" t="str">
        <f aca="false">INDEX(Risk_Matrix!$B$2:$D$4,MATCH(E2322,Risk_Matrix!$A$2:$A$4,0),MATCH(F2322,Risk_Matrix!$B$1:$D$1,0))</f>
        <v>Low</v>
      </c>
      <c r="H2322" s="12" t="n">
        <v>46033</v>
      </c>
      <c r="I2322" s="5" t="s">
        <v>2241</v>
      </c>
      <c r="J2322" s="5" t="s">
        <v>2242</v>
      </c>
      <c r="K2322" s="5" t="s">
        <v>2266</v>
      </c>
      <c r="L2322" s="5" t="n">
        <f aca="false">IF(G2322="High",3,IF(G2322="Medium",2,1))</f>
        <v>1</v>
      </c>
    </row>
    <row r="2323" customFormat="false" ht="15" hidden="false" customHeight="true" outlineLevel="0" collapsed="false">
      <c r="A2323" s="5" t="s">
        <v>4601</v>
      </c>
      <c r="B2323" s="5" t="s">
        <v>1760</v>
      </c>
      <c r="C2323" s="5" t="s">
        <v>2254</v>
      </c>
      <c r="D2323" s="5" t="s">
        <v>2255</v>
      </c>
      <c r="E2323" s="5" t="s">
        <v>59</v>
      </c>
      <c r="F2323" s="5" t="s">
        <v>54</v>
      </c>
      <c r="G2323" s="5" t="str">
        <f aca="false">INDEX(Risk_Matrix!$B$2:$D$4,MATCH(E2323,Risk_Matrix!$A$2:$A$4,0),MATCH(F2323,Risk_Matrix!$B$1:$D$1,0))</f>
        <v>Medium</v>
      </c>
      <c r="H2323" s="12" t="n">
        <v>46185</v>
      </c>
      <c r="I2323" s="5" t="s">
        <v>2264</v>
      </c>
      <c r="J2323" s="5" t="s">
        <v>4087</v>
      </c>
      <c r="K2323" s="5" t="s">
        <v>2266</v>
      </c>
      <c r="L2323" s="5" t="n">
        <f aca="false">IF(G2323="High",3,IF(G2323="Medium",2,1))</f>
        <v>2</v>
      </c>
    </row>
    <row r="2324" customFormat="false" ht="15" hidden="false" customHeight="true" outlineLevel="0" collapsed="false">
      <c r="A2324" s="5" t="s">
        <v>4602</v>
      </c>
      <c r="B2324" s="5" t="s">
        <v>1762</v>
      </c>
      <c r="C2324" s="5" t="s">
        <v>2239</v>
      </c>
      <c r="D2324" s="5" t="s">
        <v>2240</v>
      </c>
      <c r="E2324" s="5" t="s">
        <v>54</v>
      </c>
      <c r="F2324" s="5" t="s">
        <v>2225</v>
      </c>
      <c r="G2324" s="5" t="str">
        <f aca="false">INDEX(Risk_Matrix!$B$2:$D$4,MATCH(E2324,Risk_Matrix!$A$2:$A$4,0),MATCH(F2324,Risk_Matrix!$B$1:$D$1,0))</f>
        <v>High</v>
      </c>
      <c r="H2324" s="12" t="n">
        <v>46143</v>
      </c>
      <c r="I2324" s="5" t="s">
        <v>2241</v>
      </c>
      <c r="J2324" s="5" t="s">
        <v>2242</v>
      </c>
      <c r="K2324" s="5" t="s">
        <v>2243</v>
      </c>
      <c r="L2324" s="5" t="n">
        <f aca="false">IF(G2324="High",3,IF(G2324="Medium",2,1))</f>
        <v>3</v>
      </c>
    </row>
    <row r="2325" customFormat="false" ht="15" hidden="false" customHeight="true" outlineLevel="0" collapsed="false">
      <c r="A2325" s="5" t="s">
        <v>4603</v>
      </c>
      <c r="B2325" s="5" t="s">
        <v>1762</v>
      </c>
      <c r="C2325" s="5" t="s">
        <v>2245</v>
      </c>
      <c r="D2325" s="5" t="s">
        <v>2320</v>
      </c>
      <c r="E2325" s="5" t="s">
        <v>59</v>
      </c>
      <c r="F2325" s="5" t="s">
        <v>59</v>
      </c>
      <c r="G2325" s="5" t="str">
        <f aca="false">INDEX(Risk_Matrix!$B$2:$D$4,MATCH(E2325,Risk_Matrix!$A$2:$A$4,0),MATCH(F2325,Risk_Matrix!$B$1:$D$1,0))</f>
        <v>Low</v>
      </c>
      <c r="H2325" s="12" t="n">
        <v>46076</v>
      </c>
      <c r="I2325" s="5" t="s">
        <v>2264</v>
      </c>
      <c r="J2325" s="5" t="s">
        <v>4087</v>
      </c>
      <c r="K2325" s="5" t="s">
        <v>2252</v>
      </c>
      <c r="L2325" s="5" t="n">
        <f aca="false">IF(G2325="High",3,IF(G2325="Medium",2,1))</f>
        <v>1</v>
      </c>
    </row>
    <row r="2326" customFormat="false" ht="15" hidden="false" customHeight="true" outlineLevel="0" collapsed="false">
      <c r="A2326" s="5" t="s">
        <v>4604</v>
      </c>
      <c r="B2326" s="5" t="s">
        <v>1762</v>
      </c>
      <c r="C2326" s="5" t="s">
        <v>2248</v>
      </c>
      <c r="D2326" s="5" t="s">
        <v>2322</v>
      </c>
      <c r="E2326" s="5" t="s">
        <v>54</v>
      </c>
      <c r="F2326" s="5" t="s">
        <v>2225</v>
      </c>
      <c r="G2326" s="5" t="str">
        <f aca="false">INDEX(Risk_Matrix!$B$2:$D$4,MATCH(E2326,Risk_Matrix!$A$2:$A$4,0),MATCH(F2326,Risk_Matrix!$B$1:$D$1,0))</f>
        <v>High</v>
      </c>
      <c r="H2326" s="12" t="n">
        <v>46097</v>
      </c>
      <c r="I2326" s="5" t="s">
        <v>2250</v>
      </c>
      <c r="J2326" s="5" t="s">
        <v>2251</v>
      </c>
      <c r="K2326" s="5" t="s">
        <v>2266</v>
      </c>
      <c r="L2326" s="5" t="n">
        <f aca="false">IF(G2326="High",3,IF(G2326="Medium",2,1))</f>
        <v>3</v>
      </c>
    </row>
    <row r="2327" customFormat="false" ht="15" hidden="false" customHeight="true" outlineLevel="0" collapsed="false">
      <c r="A2327" s="5" t="s">
        <v>4605</v>
      </c>
      <c r="B2327" s="5" t="s">
        <v>1762</v>
      </c>
      <c r="C2327" s="5" t="s">
        <v>2262</v>
      </c>
      <c r="D2327" s="5" t="s">
        <v>2311</v>
      </c>
      <c r="E2327" s="5" t="s">
        <v>59</v>
      </c>
      <c r="F2327" s="5" t="s">
        <v>54</v>
      </c>
      <c r="G2327" s="5" t="str">
        <f aca="false">INDEX(Risk_Matrix!$B$2:$D$4,MATCH(E2327,Risk_Matrix!$A$2:$A$4,0),MATCH(F2327,Risk_Matrix!$B$1:$D$1,0))</f>
        <v>Medium</v>
      </c>
      <c r="H2327" s="12" t="n">
        <v>46053</v>
      </c>
      <c r="I2327" s="5" t="s">
        <v>2241</v>
      </c>
      <c r="J2327" s="5" t="s">
        <v>2242</v>
      </c>
      <c r="K2327" s="5" t="s">
        <v>2283</v>
      </c>
      <c r="L2327" s="5" t="n">
        <f aca="false">IF(G2327="High",3,IF(G2327="Medium",2,1))</f>
        <v>2</v>
      </c>
    </row>
    <row r="2328" customFormat="false" ht="15" hidden="false" customHeight="true" outlineLevel="0" collapsed="false">
      <c r="A2328" s="5" t="s">
        <v>4606</v>
      </c>
      <c r="B2328" s="5" t="s">
        <v>1762</v>
      </c>
      <c r="C2328" s="5" t="s">
        <v>2259</v>
      </c>
      <c r="D2328" s="5" t="s">
        <v>2260</v>
      </c>
      <c r="E2328" s="5" t="s">
        <v>2225</v>
      </c>
      <c r="F2328" s="5" t="s">
        <v>54</v>
      </c>
      <c r="G2328" s="5" t="str">
        <f aca="false">INDEX(Risk_Matrix!$B$2:$D$4,MATCH(E2328,Risk_Matrix!$A$2:$A$4,0),MATCH(F2328,Risk_Matrix!$B$1:$D$1,0))</f>
        <v>High</v>
      </c>
      <c r="H2328" s="12" t="n">
        <v>46063</v>
      </c>
      <c r="I2328" s="5" t="s">
        <v>2241</v>
      </c>
      <c r="J2328" s="5" t="s">
        <v>2242</v>
      </c>
      <c r="K2328" s="5" t="s">
        <v>2266</v>
      </c>
      <c r="L2328" s="5" t="n">
        <f aca="false">IF(G2328="High",3,IF(G2328="Medium",2,1))</f>
        <v>3</v>
      </c>
    </row>
    <row r="2329" customFormat="false" ht="15" hidden="false" customHeight="true" outlineLevel="0" collapsed="false">
      <c r="A2329" s="5" t="s">
        <v>4607</v>
      </c>
      <c r="B2329" s="5" t="s">
        <v>1762</v>
      </c>
      <c r="C2329" s="5" t="s">
        <v>2254</v>
      </c>
      <c r="D2329" s="5" t="s">
        <v>2255</v>
      </c>
      <c r="E2329" s="5" t="s">
        <v>2225</v>
      </c>
      <c r="F2329" s="5" t="s">
        <v>59</v>
      </c>
      <c r="G2329" s="5" t="str">
        <f aca="false">INDEX(Risk_Matrix!$B$2:$D$4,MATCH(E2329,Risk_Matrix!$A$2:$A$4,0),MATCH(F2329,Risk_Matrix!$B$1:$D$1,0))</f>
        <v>Low</v>
      </c>
      <c r="H2329" s="12" t="n">
        <v>46153</v>
      </c>
      <c r="I2329" s="5" t="s">
        <v>2241</v>
      </c>
      <c r="J2329" s="5" t="s">
        <v>2242</v>
      </c>
      <c r="K2329" s="5" t="s">
        <v>2266</v>
      </c>
      <c r="L2329" s="5" t="n">
        <f aca="false">IF(G2329="High",3,IF(G2329="Medium",2,1))</f>
        <v>1</v>
      </c>
    </row>
    <row r="2330" customFormat="false" ht="15" hidden="false" customHeight="true" outlineLevel="0" collapsed="false">
      <c r="A2330" s="5" t="s">
        <v>4608</v>
      </c>
      <c r="B2330" s="5" t="s">
        <v>1764</v>
      </c>
      <c r="C2330" s="5" t="s">
        <v>2239</v>
      </c>
      <c r="D2330" s="5" t="s">
        <v>2295</v>
      </c>
      <c r="E2330" s="5" t="s">
        <v>59</v>
      </c>
      <c r="F2330" s="5" t="s">
        <v>2225</v>
      </c>
      <c r="G2330" s="5" t="str">
        <f aca="false">INDEX(Risk_Matrix!$B$2:$D$4,MATCH(E2330,Risk_Matrix!$A$2:$A$4,0),MATCH(F2330,Risk_Matrix!$B$1:$D$1,0))</f>
        <v>Low</v>
      </c>
      <c r="H2330" s="12" t="n">
        <v>46230</v>
      </c>
      <c r="I2330" s="5" t="s">
        <v>2241</v>
      </c>
      <c r="J2330" s="5" t="s">
        <v>2242</v>
      </c>
      <c r="K2330" s="5" t="s">
        <v>2276</v>
      </c>
      <c r="L2330" s="5" t="n">
        <f aca="false">IF(G2330="High",3,IF(G2330="Medium",2,1))</f>
        <v>1</v>
      </c>
    </row>
    <row r="2331" customFormat="false" ht="15" hidden="false" customHeight="true" outlineLevel="0" collapsed="false">
      <c r="A2331" s="5" t="s">
        <v>4609</v>
      </c>
      <c r="B2331" s="5" t="s">
        <v>1764</v>
      </c>
      <c r="C2331" s="5" t="s">
        <v>2245</v>
      </c>
      <c r="D2331" s="5" t="s">
        <v>2280</v>
      </c>
      <c r="E2331" s="5" t="s">
        <v>2225</v>
      </c>
      <c r="F2331" s="5" t="s">
        <v>59</v>
      </c>
      <c r="G2331" s="5" t="str">
        <f aca="false">INDEX(Risk_Matrix!$B$2:$D$4,MATCH(E2331,Risk_Matrix!$A$2:$A$4,0),MATCH(F2331,Risk_Matrix!$B$1:$D$1,0))</f>
        <v>Low</v>
      </c>
      <c r="H2331" s="12" t="n">
        <v>46080</v>
      </c>
      <c r="I2331" s="5" t="s">
        <v>2256</v>
      </c>
      <c r="J2331" s="5" t="s">
        <v>4081</v>
      </c>
      <c r="K2331" s="5" t="s">
        <v>2266</v>
      </c>
      <c r="L2331" s="5" t="n">
        <f aca="false">IF(G2331="High",3,IF(G2331="Medium",2,1))</f>
        <v>1</v>
      </c>
    </row>
    <row r="2332" customFormat="false" ht="15" hidden="false" customHeight="true" outlineLevel="0" collapsed="false">
      <c r="A2332" s="5" t="s">
        <v>4610</v>
      </c>
      <c r="B2332" s="5" t="s">
        <v>1764</v>
      </c>
      <c r="C2332" s="5" t="s">
        <v>2248</v>
      </c>
      <c r="D2332" s="5" t="s">
        <v>2249</v>
      </c>
      <c r="E2332" s="5" t="s">
        <v>2225</v>
      </c>
      <c r="F2332" s="5" t="s">
        <v>2225</v>
      </c>
      <c r="G2332" s="5" t="str">
        <f aca="false">INDEX(Risk_Matrix!$B$2:$D$4,MATCH(E2332,Risk_Matrix!$A$2:$A$4,0),MATCH(F2332,Risk_Matrix!$B$1:$D$1,0))</f>
        <v>Medium</v>
      </c>
      <c r="H2332" s="12" t="n">
        <v>46073</v>
      </c>
      <c r="I2332" s="5" t="s">
        <v>2256</v>
      </c>
      <c r="J2332" s="5" t="s">
        <v>4081</v>
      </c>
      <c r="K2332" s="5" t="s">
        <v>2243</v>
      </c>
      <c r="L2332" s="5" t="n">
        <f aca="false">IF(G2332="High",3,IF(G2332="Medium",2,1))</f>
        <v>2</v>
      </c>
    </row>
    <row r="2333" customFormat="false" ht="15" hidden="false" customHeight="true" outlineLevel="0" collapsed="false">
      <c r="A2333" s="5" t="s">
        <v>4611</v>
      </c>
      <c r="B2333" s="5" t="s">
        <v>1764</v>
      </c>
      <c r="C2333" s="5" t="s">
        <v>2262</v>
      </c>
      <c r="D2333" s="5" t="s">
        <v>2287</v>
      </c>
      <c r="E2333" s="5" t="s">
        <v>59</v>
      </c>
      <c r="F2333" s="5" t="s">
        <v>59</v>
      </c>
      <c r="G2333" s="5" t="str">
        <f aca="false">INDEX(Risk_Matrix!$B$2:$D$4,MATCH(E2333,Risk_Matrix!$A$2:$A$4,0),MATCH(F2333,Risk_Matrix!$B$1:$D$1,0))</f>
        <v>Low</v>
      </c>
      <c r="H2333" s="12" t="n">
        <v>46114</v>
      </c>
      <c r="I2333" s="5" t="s">
        <v>2241</v>
      </c>
      <c r="J2333" s="5" t="s">
        <v>2242</v>
      </c>
      <c r="K2333" s="5" t="s">
        <v>2266</v>
      </c>
      <c r="L2333" s="5" t="n">
        <f aca="false">IF(G2333="High",3,IF(G2333="Medium",2,1))</f>
        <v>1</v>
      </c>
    </row>
    <row r="2334" customFormat="false" ht="15" hidden="false" customHeight="true" outlineLevel="0" collapsed="false">
      <c r="A2334" s="5" t="s">
        <v>4612</v>
      </c>
      <c r="B2334" s="5" t="s">
        <v>1764</v>
      </c>
      <c r="C2334" s="5" t="s">
        <v>2259</v>
      </c>
      <c r="D2334" s="5" t="s">
        <v>2274</v>
      </c>
      <c r="E2334" s="5" t="s">
        <v>2225</v>
      </c>
      <c r="F2334" s="5" t="s">
        <v>54</v>
      </c>
      <c r="G2334" s="5" t="str">
        <f aca="false">INDEX(Risk_Matrix!$B$2:$D$4,MATCH(E2334,Risk_Matrix!$A$2:$A$4,0),MATCH(F2334,Risk_Matrix!$B$1:$D$1,0))</f>
        <v>High</v>
      </c>
      <c r="H2334" s="12" t="n">
        <v>46160</v>
      </c>
      <c r="I2334" s="5" t="s">
        <v>2241</v>
      </c>
      <c r="J2334" s="5" t="s">
        <v>2242</v>
      </c>
      <c r="K2334" s="5" t="s">
        <v>2243</v>
      </c>
      <c r="L2334" s="5" t="n">
        <f aca="false">IF(G2334="High",3,IF(G2334="Medium",2,1))</f>
        <v>3</v>
      </c>
    </row>
    <row r="2335" customFormat="false" ht="15" hidden="false" customHeight="true" outlineLevel="0" collapsed="false">
      <c r="A2335" s="5" t="s">
        <v>4613</v>
      </c>
      <c r="B2335" s="5" t="s">
        <v>1764</v>
      </c>
      <c r="C2335" s="5" t="s">
        <v>2254</v>
      </c>
      <c r="D2335" s="5" t="s">
        <v>2299</v>
      </c>
      <c r="E2335" s="5" t="s">
        <v>2225</v>
      </c>
      <c r="F2335" s="5" t="s">
        <v>59</v>
      </c>
      <c r="G2335" s="5" t="str">
        <f aca="false">INDEX(Risk_Matrix!$B$2:$D$4,MATCH(E2335,Risk_Matrix!$A$2:$A$4,0),MATCH(F2335,Risk_Matrix!$B$1:$D$1,0))</f>
        <v>Low</v>
      </c>
      <c r="H2335" s="12" t="n">
        <v>46034</v>
      </c>
      <c r="I2335" s="5" t="s">
        <v>2264</v>
      </c>
      <c r="J2335" s="5" t="s">
        <v>4087</v>
      </c>
      <c r="K2335" s="5" t="s">
        <v>2283</v>
      </c>
      <c r="L2335" s="5" t="n">
        <f aca="false">IF(G2335="High",3,IF(G2335="Medium",2,1))</f>
        <v>1</v>
      </c>
    </row>
    <row r="2336" customFormat="false" ht="15" hidden="false" customHeight="true" outlineLevel="0" collapsed="false">
      <c r="A2336" s="5" t="s">
        <v>4614</v>
      </c>
      <c r="B2336" s="5" t="s">
        <v>1766</v>
      </c>
      <c r="C2336" s="5" t="s">
        <v>2239</v>
      </c>
      <c r="D2336" s="5" t="s">
        <v>2240</v>
      </c>
      <c r="E2336" s="5" t="s">
        <v>54</v>
      </c>
      <c r="F2336" s="5" t="s">
        <v>54</v>
      </c>
      <c r="G2336" s="5" t="str">
        <f aca="false">INDEX(Risk_Matrix!$B$2:$D$4,MATCH(E2336,Risk_Matrix!$A$2:$A$4,0),MATCH(F2336,Risk_Matrix!$B$1:$D$1,0))</f>
        <v>High</v>
      </c>
      <c r="H2336" s="12" t="n">
        <v>46120</v>
      </c>
      <c r="I2336" s="5" t="s">
        <v>2264</v>
      </c>
      <c r="J2336" s="5" t="s">
        <v>4087</v>
      </c>
      <c r="K2336" s="5" t="s">
        <v>2243</v>
      </c>
      <c r="L2336" s="5" t="n">
        <f aca="false">IF(G2336="High",3,IF(G2336="Medium",2,1))</f>
        <v>3</v>
      </c>
    </row>
    <row r="2337" customFormat="false" ht="15" hidden="false" customHeight="true" outlineLevel="0" collapsed="false">
      <c r="A2337" s="5" t="s">
        <v>4615</v>
      </c>
      <c r="B2337" s="5" t="s">
        <v>1766</v>
      </c>
      <c r="C2337" s="5" t="s">
        <v>2245</v>
      </c>
      <c r="D2337" s="5" t="s">
        <v>2280</v>
      </c>
      <c r="E2337" s="5" t="s">
        <v>59</v>
      </c>
      <c r="F2337" s="5" t="s">
        <v>59</v>
      </c>
      <c r="G2337" s="5" t="str">
        <f aca="false">INDEX(Risk_Matrix!$B$2:$D$4,MATCH(E2337,Risk_Matrix!$A$2:$A$4,0),MATCH(F2337,Risk_Matrix!$B$1:$D$1,0))</f>
        <v>Low</v>
      </c>
      <c r="H2337" s="12" t="n">
        <v>46083</v>
      </c>
      <c r="I2337" s="5" t="s">
        <v>2250</v>
      </c>
      <c r="J2337" s="5" t="s">
        <v>2251</v>
      </c>
      <c r="K2337" s="5" t="s">
        <v>2243</v>
      </c>
      <c r="L2337" s="5" t="n">
        <f aca="false">IF(G2337="High",3,IF(G2337="Medium",2,1))</f>
        <v>1</v>
      </c>
    </row>
    <row r="2338" customFormat="false" ht="15" hidden="false" customHeight="true" outlineLevel="0" collapsed="false">
      <c r="A2338" s="5" t="s">
        <v>4616</v>
      </c>
      <c r="B2338" s="5" t="s">
        <v>1766</v>
      </c>
      <c r="C2338" s="5" t="s">
        <v>2248</v>
      </c>
      <c r="D2338" s="5" t="s">
        <v>2271</v>
      </c>
      <c r="E2338" s="5" t="s">
        <v>54</v>
      </c>
      <c r="F2338" s="5" t="s">
        <v>54</v>
      </c>
      <c r="G2338" s="5" t="str">
        <f aca="false">INDEX(Risk_Matrix!$B$2:$D$4,MATCH(E2338,Risk_Matrix!$A$2:$A$4,0),MATCH(F2338,Risk_Matrix!$B$1:$D$1,0))</f>
        <v>High</v>
      </c>
      <c r="H2338" s="12" t="n">
        <v>46097</v>
      </c>
      <c r="I2338" s="5" t="s">
        <v>2264</v>
      </c>
      <c r="J2338" s="5" t="s">
        <v>4087</v>
      </c>
      <c r="K2338" s="5" t="s">
        <v>2252</v>
      </c>
      <c r="L2338" s="5" t="n">
        <f aca="false">IF(G2338="High",3,IF(G2338="Medium",2,1))</f>
        <v>3</v>
      </c>
    </row>
    <row r="2339" customFormat="false" ht="15" hidden="false" customHeight="true" outlineLevel="0" collapsed="false">
      <c r="A2339" s="5" t="s">
        <v>4617</v>
      </c>
      <c r="B2339" s="5" t="s">
        <v>1766</v>
      </c>
      <c r="C2339" s="5" t="s">
        <v>2262</v>
      </c>
      <c r="D2339" s="5" t="s">
        <v>2287</v>
      </c>
      <c r="E2339" s="5" t="s">
        <v>59</v>
      </c>
      <c r="F2339" s="5" t="s">
        <v>59</v>
      </c>
      <c r="G2339" s="5" t="str">
        <f aca="false">INDEX(Risk_Matrix!$B$2:$D$4,MATCH(E2339,Risk_Matrix!$A$2:$A$4,0),MATCH(F2339,Risk_Matrix!$B$1:$D$1,0))</f>
        <v>Low</v>
      </c>
      <c r="H2339" s="12" t="n">
        <v>46193</v>
      </c>
      <c r="I2339" s="5" t="s">
        <v>2250</v>
      </c>
      <c r="J2339" s="5" t="s">
        <v>2251</v>
      </c>
      <c r="K2339" s="5" t="s">
        <v>2283</v>
      </c>
      <c r="L2339" s="5" t="n">
        <f aca="false">IF(G2339="High",3,IF(G2339="Medium",2,1))</f>
        <v>1</v>
      </c>
    </row>
    <row r="2340" customFormat="false" ht="15" hidden="false" customHeight="true" outlineLevel="0" collapsed="false">
      <c r="A2340" s="5" t="s">
        <v>4618</v>
      </c>
      <c r="B2340" s="5" t="s">
        <v>1766</v>
      </c>
      <c r="C2340" s="5" t="s">
        <v>2259</v>
      </c>
      <c r="D2340" s="5" t="s">
        <v>2274</v>
      </c>
      <c r="E2340" s="5" t="s">
        <v>2225</v>
      </c>
      <c r="F2340" s="5" t="s">
        <v>54</v>
      </c>
      <c r="G2340" s="5" t="str">
        <f aca="false">INDEX(Risk_Matrix!$B$2:$D$4,MATCH(E2340,Risk_Matrix!$A$2:$A$4,0),MATCH(F2340,Risk_Matrix!$B$1:$D$1,0))</f>
        <v>High</v>
      </c>
      <c r="H2340" s="12" t="n">
        <v>46158</v>
      </c>
      <c r="I2340" s="5" t="s">
        <v>2256</v>
      </c>
      <c r="J2340" s="5" t="s">
        <v>4081</v>
      </c>
      <c r="K2340" s="5" t="s">
        <v>2276</v>
      </c>
      <c r="L2340" s="5" t="n">
        <f aca="false">IF(G2340="High",3,IF(G2340="Medium",2,1))</f>
        <v>3</v>
      </c>
    </row>
    <row r="2341" customFormat="false" ht="15" hidden="false" customHeight="true" outlineLevel="0" collapsed="false">
      <c r="A2341" s="5" t="s">
        <v>4619</v>
      </c>
      <c r="B2341" s="5" t="s">
        <v>1766</v>
      </c>
      <c r="C2341" s="5" t="s">
        <v>2254</v>
      </c>
      <c r="D2341" s="5" t="s">
        <v>2255</v>
      </c>
      <c r="E2341" s="5" t="s">
        <v>59</v>
      </c>
      <c r="F2341" s="5" t="s">
        <v>2225</v>
      </c>
      <c r="G2341" s="5" t="str">
        <f aca="false">INDEX(Risk_Matrix!$B$2:$D$4,MATCH(E2341,Risk_Matrix!$A$2:$A$4,0),MATCH(F2341,Risk_Matrix!$B$1:$D$1,0))</f>
        <v>Low</v>
      </c>
      <c r="H2341" s="12" t="n">
        <v>46202</v>
      </c>
      <c r="I2341" s="5" t="s">
        <v>2264</v>
      </c>
      <c r="J2341" s="5" t="s">
        <v>4087</v>
      </c>
      <c r="K2341" s="5" t="s">
        <v>2243</v>
      </c>
      <c r="L2341" s="5" t="n">
        <f aca="false">IF(G2341="High",3,IF(G2341="Medium",2,1))</f>
        <v>1</v>
      </c>
    </row>
    <row r="2342" customFormat="false" ht="15" hidden="false" customHeight="true" outlineLevel="0" collapsed="false">
      <c r="A2342" s="5" t="s">
        <v>4620</v>
      </c>
      <c r="B2342" s="5" t="s">
        <v>1768</v>
      </c>
      <c r="C2342" s="5" t="s">
        <v>2239</v>
      </c>
      <c r="D2342" s="5" t="s">
        <v>2295</v>
      </c>
      <c r="E2342" s="5" t="s">
        <v>2225</v>
      </c>
      <c r="F2342" s="5" t="s">
        <v>59</v>
      </c>
      <c r="G2342" s="5" t="str">
        <f aca="false">INDEX(Risk_Matrix!$B$2:$D$4,MATCH(E2342,Risk_Matrix!$A$2:$A$4,0),MATCH(F2342,Risk_Matrix!$B$1:$D$1,0))</f>
        <v>Low</v>
      </c>
      <c r="H2342" s="12" t="n">
        <v>46230</v>
      </c>
      <c r="I2342" s="5" t="s">
        <v>2250</v>
      </c>
      <c r="J2342" s="5" t="s">
        <v>2251</v>
      </c>
      <c r="K2342" s="5" t="s">
        <v>2243</v>
      </c>
      <c r="L2342" s="5" t="n">
        <f aca="false">IF(G2342="High",3,IF(G2342="Medium",2,1))</f>
        <v>1</v>
      </c>
    </row>
    <row r="2343" customFormat="false" ht="15" hidden="false" customHeight="true" outlineLevel="0" collapsed="false">
      <c r="A2343" s="5" t="s">
        <v>4621</v>
      </c>
      <c r="B2343" s="5" t="s">
        <v>1768</v>
      </c>
      <c r="C2343" s="5" t="s">
        <v>2245</v>
      </c>
      <c r="D2343" s="5" t="s">
        <v>2246</v>
      </c>
      <c r="E2343" s="5" t="s">
        <v>54</v>
      </c>
      <c r="F2343" s="5" t="s">
        <v>2225</v>
      </c>
      <c r="G2343" s="5" t="str">
        <f aca="false">INDEX(Risk_Matrix!$B$2:$D$4,MATCH(E2343,Risk_Matrix!$A$2:$A$4,0),MATCH(F2343,Risk_Matrix!$B$1:$D$1,0))</f>
        <v>High</v>
      </c>
      <c r="H2343" s="12" t="n">
        <v>46135</v>
      </c>
      <c r="I2343" s="5" t="s">
        <v>2256</v>
      </c>
      <c r="J2343" s="5" t="s">
        <v>4081</v>
      </c>
      <c r="K2343" s="5" t="s">
        <v>2276</v>
      </c>
      <c r="L2343" s="5" t="n">
        <f aca="false">IF(G2343="High",3,IF(G2343="Medium",2,1))</f>
        <v>3</v>
      </c>
    </row>
    <row r="2344" customFormat="false" ht="15" hidden="false" customHeight="true" outlineLevel="0" collapsed="false">
      <c r="A2344" s="5" t="s">
        <v>4622</v>
      </c>
      <c r="B2344" s="5" t="s">
        <v>1768</v>
      </c>
      <c r="C2344" s="5" t="s">
        <v>2248</v>
      </c>
      <c r="D2344" s="5" t="s">
        <v>2306</v>
      </c>
      <c r="E2344" s="5" t="s">
        <v>2225</v>
      </c>
      <c r="F2344" s="5" t="s">
        <v>54</v>
      </c>
      <c r="G2344" s="5" t="str">
        <f aca="false">INDEX(Risk_Matrix!$B$2:$D$4,MATCH(E2344,Risk_Matrix!$A$2:$A$4,0),MATCH(F2344,Risk_Matrix!$B$1:$D$1,0))</f>
        <v>High</v>
      </c>
      <c r="H2344" s="12" t="n">
        <v>46125</v>
      </c>
      <c r="I2344" s="5" t="s">
        <v>2241</v>
      </c>
      <c r="J2344" s="5" t="s">
        <v>2242</v>
      </c>
      <c r="K2344" s="5" t="s">
        <v>2283</v>
      </c>
      <c r="L2344" s="5" t="n">
        <f aca="false">IF(G2344="High",3,IF(G2344="Medium",2,1))</f>
        <v>3</v>
      </c>
    </row>
    <row r="2345" customFormat="false" ht="15" hidden="false" customHeight="true" outlineLevel="0" collapsed="false">
      <c r="A2345" s="5" t="s">
        <v>4623</v>
      </c>
      <c r="B2345" s="5" t="s">
        <v>1768</v>
      </c>
      <c r="C2345" s="5" t="s">
        <v>2262</v>
      </c>
      <c r="D2345" s="5" t="s">
        <v>2287</v>
      </c>
      <c r="E2345" s="5" t="s">
        <v>59</v>
      </c>
      <c r="F2345" s="5" t="s">
        <v>54</v>
      </c>
      <c r="G2345" s="5" t="str">
        <f aca="false">INDEX(Risk_Matrix!$B$2:$D$4,MATCH(E2345,Risk_Matrix!$A$2:$A$4,0),MATCH(F2345,Risk_Matrix!$B$1:$D$1,0))</f>
        <v>Medium</v>
      </c>
      <c r="H2345" s="12" t="n">
        <v>46188</v>
      </c>
      <c r="I2345" s="5" t="s">
        <v>2250</v>
      </c>
      <c r="J2345" s="5" t="s">
        <v>2251</v>
      </c>
      <c r="K2345" s="5" t="s">
        <v>2252</v>
      </c>
      <c r="L2345" s="5" t="n">
        <f aca="false">IF(G2345="High",3,IF(G2345="Medium",2,1))</f>
        <v>2</v>
      </c>
    </row>
    <row r="2346" customFormat="false" ht="15" hidden="false" customHeight="true" outlineLevel="0" collapsed="false">
      <c r="A2346" s="5" t="s">
        <v>4624</v>
      </c>
      <c r="B2346" s="5" t="s">
        <v>1768</v>
      </c>
      <c r="C2346" s="5" t="s">
        <v>2259</v>
      </c>
      <c r="D2346" s="5" t="s">
        <v>2260</v>
      </c>
      <c r="E2346" s="5" t="s">
        <v>2225</v>
      </c>
      <c r="F2346" s="5" t="s">
        <v>59</v>
      </c>
      <c r="G2346" s="5" t="str">
        <f aca="false">INDEX(Risk_Matrix!$B$2:$D$4,MATCH(E2346,Risk_Matrix!$A$2:$A$4,0),MATCH(F2346,Risk_Matrix!$B$1:$D$1,0))</f>
        <v>Low</v>
      </c>
      <c r="H2346" s="12" t="n">
        <v>46091</v>
      </c>
      <c r="I2346" s="5" t="s">
        <v>2241</v>
      </c>
      <c r="J2346" s="5" t="s">
        <v>2242</v>
      </c>
      <c r="K2346" s="5" t="s">
        <v>2283</v>
      </c>
      <c r="L2346" s="5" t="n">
        <f aca="false">IF(G2346="High",3,IF(G2346="Medium",2,1))</f>
        <v>1</v>
      </c>
    </row>
    <row r="2347" customFormat="false" ht="15" hidden="false" customHeight="true" outlineLevel="0" collapsed="false">
      <c r="A2347" s="5" t="s">
        <v>4625</v>
      </c>
      <c r="B2347" s="5" t="s">
        <v>1768</v>
      </c>
      <c r="C2347" s="5" t="s">
        <v>2254</v>
      </c>
      <c r="D2347" s="5" t="s">
        <v>2299</v>
      </c>
      <c r="E2347" s="5" t="s">
        <v>2225</v>
      </c>
      <c r="F2347" s="5" t="s">
        <v>2225</v>
      </c>
      <c r="G2347" s="5" t="str">
        <f aca="false">INDEX(Risk_Matrix!$B$2:$D$4,MATCH(E2347,Risk_Matrix!$A$2:$A$4,0),MATCH(F2347,Risk_Matrix!$B$1:$D$1,0))</f>
        <v>Medium</v>
      </c>
      <c r="H2347" s="12" t="n">
        <v>46034</v>
      </c>
      <c r="I2347" s="5" t="s">
        <v>2250</v>
      </c>
      <c r="J2347" s="5" t="s">
        <v>2251</v>
      </c>
      <c r="K2347" s="5" t="s">
        <v>2276</v>
      </c>
      <c r="L2347" s="5" t="n">
        <f aca="false">IF(G2347="High",3,IF(G2347="Medium",2,1))</f>
        <v>2</v>
      </c>
    </row>
    <row r="2348" customFormat="false" ht="15" hidden="false" customHeight="true" outlineLevel="0" collapsed="false">
      <c r="A2348" s="5" t="s">
        <v>4626</v>
      </c>
      <c r="B2348" s="5" t="s">
        <v>1771</v>
      </c>
      <c r="C2348" s="5" t="s">
        <v>2239</v>
      </c>
      <c r="D2348" s="5" t="s">
        <v>2240</v>
      </c>
      <c r="E2348" s="5" t="s">
        <v>59</v>
      </c>
      <c r="F2348" s="5" t="s">
        <v>2225</v>
      </c>
      <c r="G2348" s="5" t="str">
        <f aca="false">INDEX(Risk_Matrix!$B$2:$D$4,MATCH(E2348,Risk_Matrix!$A$2:$A$4,0),MATCH(F2348,Risk_Matrix!$B$1:$D$1,0))</f>
        <v>Low</v>
      </c>
      <c r="H2348" s="12" t="n">
        <v>46118</v>
      </c>
      <c r="I2348" s="5" t="s">
        <v>2256</v>
      </c>
      <c r="J2348" s="5" t="s">
        <v>4081</v>
      </c>
      <c r="K2348" s="5" t="s">
        <v>2243</v>
      </c>
      <c r="L2348" s="5" t="n">
        <f aca="false">IF(G2348="High",3,IF(G2348="Medium",2,1))</f>
        <v>1</v>
      </c>
    </row>
    <row r="2349" customFormat="false" ht="15" hidden="false" customHeight="true" outlineLevel="0" collapsed="false">
      <c r="A2349" s="5" t="s">
        <v>4627</v>
      </c>
      <c r="B2349" s="5" t="s">
        <v>1771</v>
      </c>
      <c r="C2349" s="5" t="s">
        <v>2245</v>
      </c>
      <c r="D2349" s="5" t="s">
        <v>2246</v>
      </c>
      <c r="E2349" s="5" t="s">
        <v>59</v>
      </c>
      <c r="F2349" s="5" t="s">
        <v>59</v>
      </c>
      <c r="G2349" s="5" t="str">
        <f aca="false">INDEX(Risk_Matrix!$B$2:$D$4,MATCH(E2349,Risk_Matrix!$A$2:$A$4,0),MATCH(F2349,Risk_Matrix!$B$1:$D$1,0))</f>
        <v>Low</v>
      </c>
      <c r="H2349" s="12" t="n">
        <v>46064</v>
      </c>
      <c r="I2349" s="5" t="s">
        <v>2250</v>
      </c>
      <c r="J2349" s="5" t="s">
        <v>2251</v>
      </c>
      <c r="K2349" s="5" t="s">
        <v>2252</v>
      </c>
      <c r="L2349" s="5" t="n">
        <f aca="false">IF(G2349="High",3,IF(G2349="Medium",2,1))</f>
        <v>1</v>
      </c>
    </row>
    <row r="2350" customFormat="false" ht="15" hidden="false" customHeight="true" outlineLevel="0" collapsed="false">
      <c r="A2350" s="5" t="s">
        <v>4628</v>
      </c>
      <c r="B2350" s="5" t="s">
        <v>1771</v>
      </c>
      <c r="C2350" s="5" t="s">
        <v>2248</v>
      </c>
      <c r="D2350" s="5" t="s">
        <v>2306</v>
      </c>
      <c r="E2350" s="5" t="s">
        <v>59</v>
      </c>
      <c r="F2350" s="5" t="s">
        <v>59</v>
      </c>
      <c r="G2350" s="5" t="str">
        <f aca="false">INDEX(Risk_Matrix!$B$2:$D$4,MATCH(E2350,Risk_Matrix!$A$2:$A$4,0),MATCH(F2350,Risk_Matrix!$B$1:$D$1,0))</f>
        <v>Low</v>
      </c>
      <c r="H2350" s="12" t="n">
        <v>46210</v>
      </c>
      <c r="I2350" s="5" t="s">
        <v>2250</v>
      </c>
      <c r="J2350" s="5" t="s">
        <v>2251</v>
      </c>
      <c r="K2350" s="5" t="s">
        <v>2266</v>
      </c>
      <c r="L2350" s="5" t="n">
        <f aca="false">IF(G2350="High",3,IF(G2350="Medium",2,1))</f>
        <v>1</v>
      </c>
    </row>
    <row r="2351" customFormat="false" ht="15" hidden="false" customHeight="true" outlineLevel="0" collapsed="false">
      <c r="A2351" s="5" t="s">
        <v>4629</v>
      </c>
      <c r="B2351" s="5" t="s">
        <v>1771</v>
      </c>
      <c r="C2351" s="5" t="s">
        <v>2262</v>
      </c>
      <c r="D2351" s="5" t="s">
        <v>2287</v>
      </c>
      <c r="E2351" s="5" t="s">
        <v>59</v>
      </c>
      <c r="F2351" s="5" t="s">
        <v>2225</v>
      </c>
      <c r="G2351" s="5" t="str">
        <f aca="false">INDEX(Risk_Matrix!$B$2:$D$4,MATCH(E2351,Risk_Matrix!$A$2:$A$4,0),MATCH(F2351,Risk_Matrix!$B$1:$D$1,0))</f>
        <v>Low</v>
      </c>
      <c r="H2351" s="12" t="n">
        <v>46170</v>
      </c>
      <c r="I2351" s="5" t="s">
        <v>2250</v>
      </c>
      <c r="J2351" s="5" t="s">
        <v>2251</v>
      </c>
      <c r="K2351" s="5" t="s">
        <v>2243</v>
      </c>
      <c r="L2351" s="5" t="n">
        <f aca="false">IF(G2351="High",3,IF(G2351="Medium",2,1))</f>
        <v>1</v>
      </c>
    </row>
    <row r="2352" customFormat="false" ht="15" hidden="false" customHeight="true" outlineLevel="0" collapsed="false">
      <c r="A2352" s="5" t="s">
        <v>4630</v>
      </c>
      <c r="B2352" s="5" t="s">
        <v>1771</v>
      </c>
      <c r="C2352" s="5" t="s">
        <v>2259</v>
      </c>
      <c r="D2352" s="5" t="s">
        <v>2260</v>
      </c>
      <c r="E2352" s="5" t="s">
        <v>2225</v>
      </c>
      <c r="F2352" s="5" t="s">
        <v>2225</v>
      </c>
      <c r="G2352" s="5" t="str">
        <f aca="false">INDEX(Risk_Matrix!$B$2:$D$4,MATCH(E2352,Risk_Matrix!$A$2:$A$4,0),MATCH(F2352,Risk_Matrix!$B$1:$D$1,0))</f>
        <v>Medium</v>
      </c>
      <c r="H2352" s="12" t="n">
        <v>46082</v>
      </c>
      <c r="I2352" s="5" t="s">
        <v>2264</v>
      </c>
      <c r="J2352" s="5" t="s">
        <v>4087</v>
      </c>
      <c r="K2352" s="5" t="s">
        <v>2283</v>
      </c>
      <c r="L2352" s="5" t="n">
        <f aca="false">IF(G2352="High",3,IF(G2352="Medium",2,1))</f>
        <v>2</v>
      </c>
    </row>
    <row r="2353" customFormat="false" ht="15" hidden="false" customHeight="true" outlineLevel="0" collapsed="false">
      <c r="A2353" s="5" t="s">
        <v>4631</v>
      </c>
      <c r="B2353" s="5" t="s">
        <v>1771</v>
      </c>
      <c r="C2353" s="5" t="s">
        <v>2254</v>
      </c>
      <c r="D2353" s="5" t="s">
        <v>2308</v>
      </c>
      <c r="E2353" s="5" t="s">
        <v>54</v>
      </c>
      <c r="F2353" s="5" t="s">
        <v>2225</v>
      </c>
      <c r="G2353" s="5" t="str">
        <f aca="false">INDEX(Risk_Matrix!$B$2:$D$4,MATCH(E2353,Risk_Matrix!$A$2:$A$4,0),MATCH(F2353,Risk_Matrix!$B$1:$D$1,0))</f>
        <v>High</v>
      </c>
      <c r="H2353" s="12" t="n">
        <v>46192</v>
      </c>
      <c r="I2353" s="5" t="s">
        <v>2241</v>
      </c>
      <c r="J2353" s="5" t="s">
        <v>2242</v>
      </c>
      <c r="K2353" s="5" t="s">
        <v>2283</v>
      </c>
      <c r="L2353" s="5" t="n">
        <f aca="false">IF(G2353="High",3,IF(G2353="Medium",2,1))</f>
        <v>3</v>
      </c>
    </row>
    <row r="2354" customFormat="false" ht="15" hidden="false" customHeight="true" outlineLevel="0" collapsed="false">
      <c r="A2354" s="5" t="s">
        <v>4632</v>
      </c>
      <c r="B2354" s="5" t="s">
        <v>1774</v>
      </c>
      <c r="C2354" s="5" t="s">
        <v>2239</v>
      </c>
      <c r="D2354" s="5" t="s">
        <v>2303</v>
      </c>
      <c r="E2354" s="5" t="s">
        <v>54</v>
      </c>
      <c r="F2354" s="5" t="s">
        <v>2225</v>
      </c>
      <c r="G2354" s="5" t="str">
        <f aca="false">INDEX(Risk_Matrix!$B$2:$D$4,MATCH(E2354,Risk_Matrix!$A$2:$A$4,0),MATCH(F2354,Risk_Matrix!$B$1:$D$1,0))</f>
        <v>High</v>
      </c>
      <c r="H2354" s="12" t="n">
        <v>46077</v>
      </c>
      <c r="I2354" s="5" t="s">
        <v>2250</v>
      </c>
      <c r="J2354" s="5" t="s">
        <v>2251</v>
      </c>
      <c r="K2354" s="5" t="s">
        <v>2252</v>
      </c>
      <c r="L2354" s="5" t="n">
        <f aca="false">IF(G2354="High",3,IF(G2354="Medium",2,1))</f>
        <v>3</v>
      </c>
    </row>
    <row r="2355" customFormat="false" ht="15" hidden="false" customHeight="true" outlineLevel="0" collapsed="false">
      <c r="A2355" s="5" t="s">
        <v>4633</v>
      </c>
      <c r="B2355" s="5" t="s">
        <v>1774</v>
      </c>
      <c r="C2355" s="5" t="s">
        <v>2245</v>
      </c>
      <c r="D2355" s="5" t="s">
        <v>2246</v>
      </c>
      <c r="E2355" s="5" t="s">
        <v>59</v>
      </c>
      <c r="F2355" s="5" t="s">
        <v>2225</v>
      </c>
      <c r="G2355" s="5" t="str">
        <f aca="false">INDEX(Risk_Matrix!$B$2:$D$4,MATCH(E2355,Risk_Matrix!$A$2:$A$4,0),MATCH(F2355,Risk_Matrix!$B$1:$D$1,0))</f>
        <v>Low</v>
      </c>
      <c r="H2355" s="12" t="n">
        <v>46097</v>
      </c>
      <c r="I2355" s="5" t="s">
        <v>2256</v>
      </c>
      <c r="J2355" s="5" t="s">
        <v>4081</v>
      </c>
      <c r="K2355" s="5" t="s">
        <v>2266</v>
      </c>
      <c r="L2355" s="5" t="n">
        <f aca="false">IF(G2355="High",3,IF(G2355="Medium",2,1))</f>
        <v>1</v>
      </c>
    </row>
    <row r="2356" customFormat="false" ht="15" hidden="false" customHeight="true" outlineLevel="0" collapsed="false">
      <c r="A2356" s="5" t="s">
        <v>4634</v>
      </c>
      <c r="B2356" s="5" t="s">
        <v>1774</v>
      </c>
      <c r="C2356" s="5" t="s">
        <v>2248</v>
      </c>
      <c r="D2356" s="5" t="s">
        <v>2249</v>
      </c>
      <c r="E2356" s="5" t="s">
        <v>59</v>
      </c>
      <c r="F2356" s="5" t="s">
        <v>59</v>
      </c>
      <c r="G2356" s="5" t="str">
        <f aca="false">INDEX(Risk_Matrix!$B$2:$D$4,MATCH(E2356,Risk_Matrix!$A$2:$A$4,0),MATCH(F2356,Risk_Matrix!$B$1:$D$1,0))</f>
        <v>Low</v>
      </c>
      <c r="H2356" s="12" t="n">
        <v>46180</v>
      </c>
      <c r="I2356" s="5" t="s">
        <v>2256</v>
      </c>
      <c r="J2356" s="5" t="s">
        <v>4081</v>
      </c>
      <c r="K2356" s="5" t="s">
        <v>2243</v>
      </c>
      <c r="L2356" s="5" t="n">
        <f aca="false">IF(G2356="High",3,IF(G2356="Medium",2,1))</f>
        <v>1</v>
      </c>
    </row>
    <row r="2357" customFormat="false" ht="15" hidden="false" customHeight="true" outlineLevel="0" collapsed="false">
      <c r="A2357" s="5" t="s">
        <v>4635</v>
      </c>
      <c r="B2357" s="5" t="s">
        <v>1774</v>
      </c>
      <c r="C2357" s="5" t="s">
        <v>2262</v>
      </c>
      <c r="D2357" s="5" t="s">
        <v>2287</v>
      </c>
      <c r="E2357" s="5" t="s">
        <v>54</v>
      </c>
      <c r="F2357" s="5" t="s">
        <v>2225</v>
      </c>
      <c r="G2357" s="5" t="str">
        <f aca="false">INDEX(Risk_Matrix!$B$2:$D$4,MATCH(E2357,Risk_Matrix!$A$2:$A$4,0),MATCH(F2357,Risk_Matrix!$B$1:$D$1,0))</f>
        <v>High</v>
      </c>
      <c r="H2357" s="12" t="n">
        <v>46032</v>
      </c>
      <c r="I2357" s="5" t="s">
        <v>2264</v>
      </c>
      <c r="J2357" s="5" t="s">
        <v>4087</v>
      </c>
      <c r="K2357" s="5" t="s">
        <v>2283</v>
      </c>
      <c r="L2357" s="5" t="n">
        <f aca="false">IF(G2357="High",3,IF(G2357="Medium",2,1))</f>
        <v>3</v>
      </c>
    </row>
    <row r="2358" customFormat="false" ht="15" hidden="false" customHeight="true" outlineLevel="0" collapsed="false">
      <c r="A2358" s="5" t="s">
        <v>4636</v>
      </c>
      <c r="B2358" s="5" t="s">
        <v>1774</v>
      </c>
      <c r="C2358" s="5" t="s">
        <v>2259</v>
      </c>
      <c r="D2358" s="5" t="s">
        <v>2274</v>
      </c>
      <c r="E2358" s="5" t="s">
        <v>59</v>
      </c>
      <c r="F2358" s="5" t="s">
        <v>54</v>
      </c>
      <c r="G2358" s="5" t="str">
        <f aca="false">INDEX(Risk_Matrix!$B$2:$D$4,MATCH(E2358,Risk_Matrix!$A$2:$A$4,0),MATCH(F2358,Risk_Matrix!$B$1:$D$1,0))</f>
        <v>Medium</v>
      </c>
      <c r="H2358" s="12" t="n">
        <v>46099</v>
      </c>
      <c r="I2358" s="5" t="s">
        <v>2241</v>
      </c>
      <c r="J2358" s="5" t="s">
        <v>2242</v>
      </c>
      <c r="K2358" s="5" t="s">
        <v>2276</v>
      </c>
      <c r="L2358" s="5" t="n">
        <f aca="false">IF(G2358="High",3,IF(G2358="Medium",2,1))</f>
        <v>2</v>
      </c>
    </row>
    <row r="2359" customFormat="false" ht="15" hidden="false" customHeight="true" outlineLevel="0" collapsed="false">
      <c r="A2359" s="5" t="s">
        <v>4637</v>
      </c>
      <c r="B2359" s="5" t="s">
        <v>1774</v>
      </c>
      <c r="C2359" s="5" t="s">
        <v>2254</v>
      </c>
      <c r="D2359" s="5" t="s">
        <v>2308</v>
      </c>
      <c r="E2359" s="5" t="s">
        <v>2225</v>
      </c>
      <c r="F2359" s="5" t="s">
        <v>59</v>
      </c>
      <c r="G2359" s="5" t="str">
        <f aca="false">INDEX(Risk_Matrix!$B$2:$D$4,MATCH(E2359,Risk_Matrix!$A$2:$A$4,0),MATCH(F2359,Risk_Matrix!$B$1:$D$1,0))</f>
        <v>Low</v>
      </c>
      <c r="H2359" s="12" t="n">
        <v>46192</v>
      </c>
      <c r="I2359" s="5" t="s">
        <v>2241</v>
      </c>
      <c r="J2359" s="5" t="s">
        <v>2242</v>
      </c>
      <c r="K2359" s="5" t="s">
        <v>2252</v>
      </c>
      <c r="L2359" s="5" t="n">
        <f aca="false">IF(G2359="High",3,IF(G2359="Medium",2,1))</f>
        <v>1</v>
      </c>
    </row>
    <row r="2360" customFormat="false" ht="15" hidden="false" customHeight="true" outlineLevel="0" collapsed="false">
      <c r="A2360" s="5" t="s">
        <v>4638</v>
      </c>
      <c r="B2360" s="5" t="s">
        <v>1776</v>
      </c>
      <c r="C2360" s="5" t="s">
        <v>2239</v>
      </c>
      <c r="D2360" s="5" t="s">
        <v>2240</v>
      </c>
      <c r="E2360" s="5" t="s">
        <v>59</v>
      </c>
      <c r="F2360" s="5" t="s">
        <v>2225</v>
      </c>
      <c r="G2360" s="5" t="str">
        <f aca="false">INDEX(Risk_Matrix!$B$2:$D$4,MATCH(E2360,Risk_Matrix!$A$2:$A$4,0),MATCH(F2360,Risk_Matrix!$B$1:$D$1,0))</f>
        <v>Low</v>
      </c>
      <c r="H2360" s="12" t="n">
        <v>46212</v>
      </c>
      <c r="I2360" s="5" t="s">
        <v>2241</v>
      </c>
      <c r="J2360" s="5" t="s">
        <v>2242</v>
      </c>
      <c r="K2360" s="5" t="s">
        <v>2276</v>
      </c>
      <c r="L2360" s="5" t="n">
        <f aca="false">IF(G2360="High",3,IF(G2360="Medium",2,1))</f>
        <v>1</v>
      </c>
    </row>
    <row r="2361" customFormat="false" ht="15" hidden="false" customHeight="true" outlineLevel="0" collapsed="false">
      <c r="A2361" s="5" t="s">
        <v>4639</v>
      </c>
      <c r="B2361" s="5" t="s">
        <v>1776</v>
      </c>
      <c r="C2361" s="5" t="s">
        <v>2245</v>
      </c>
      <c r="D2361" s="5" t="s">
        <v>2320</v>
      </c>
      <c r="E2361" s="5" t="s">
        <v>2225</v>
      </c>
      <c r="F2361" s="5" t="s">
        <v>2225</v>
      </c>
      <c r="G2361" s="5" t="str">
        <f aca="false">INDEX(Risk_Matrix!$B$2:$D$4,MATCH(E2361,Risk_Matrix!$A$2:$A$4,0),MATCH(F2361,Risk_Matrix!$B$1:$D$1,0))</f>
        <v>Medium</v>
      </c>
      <c r="H2361" s="12" t="n">
        <v>46047</v>
      </c>
      <c r="I2361" s="5" t="s">
        <v>2250</v>
      </c>
      <c r="J2361" s="5" t="s">
        <v>2251</v>
      </c>
      <c r="K2361" s="5" t="s">
        <v>2276</v>
      </c>
      <c r="L2361" s="5" t="n">
        <f aca="false">IF(G2361="High",3,IF(G2361="Medium",2,1))</f>
        <v>2</v>
      </c>
    </row>
    <row r="2362" customFormat="false" ht="15" hidden="false" customHeight="true" outlineLevel="0" collapsed="false">
      <c r="A2362" s="5" t="s">
        <v>4640</v>
      </c>
      <c r="B2362" s="5" t="s">
        <v>1776</v>
      </c>
      <c r="C2362" s="5" t="s">
        <v>2248</v>
      </c>
      <c r="D2362" s="5" t="s">
        <v>2306</v>
      </c>
      <c r="E2362" s="5" t="s">
        <v>2225</v>
      </c>
      <c r="F2362" s="5" t="s">
        <v>54</v>
      </c>
      <c r="G2362" s="5" t="str">
        <f aca="false">INDEX(Risk_Matrix!$B$2:$D$4,MATCH(E2362,Risk_Matrix!$A$2:$A$4,0),MATCH(F2362,Risk_Matrix!$B$1:$D$1,0))</f>
        <v>High</v>
      </c>
      <c r="H2362" s="12" t="n">
        <v>46103</v>
      </c>
      <c r="I2362" s="5" t="s">
        <v>2241</v>
      </c>
      <c r="J2362" s="5" t="s">
        <v>2242</v>
      </c>
      <c r="K2362" s="5" t="s">
        <v>2276</v>
      </c>
      <c r="L2362" s="5" t="n">
        <f aca="false">IF(G2362="High",3,IF(G2362="Medium",2,1))</f>
        <v>3</v>
      </c>
    </row>
    <row r="2363" customFormat="false" ht="15" hidden="false" customHeight="true" outlineLevel="0" collapsed="false">
      <c r="A2363" s="5" t="s">
        <v>4641</v>
      </c>
      <c r="B2363" s="5" t="s">
        <v>1776</v>
      </c>
      <c r="C2363" s="5" t="s">
        <v>2262</v>
      </c>
      <c r="D2363" s="5" t="s">
        <v>2263</v>
      </c>
      <c r="E2363" s="5" t="s">
        <v>2225</v>
      </c>
      <c r="F2363" s="5" t="s">
        <v>2225</v>
      </c>
      <c r="G2363" s="5" t="str">
        <f aca="false">INDEX(Risk_Matrix!$B$2:$D$4,MATCH(E2363,Risk_Matrix!$A$2:$A$4,0),MATCH(F2363,Risk_Matrix!$B$1:$D$1,0))</f>
        <v>Medium</v>
      </c>
      <c r="H2363" s="12" t="n">
        <v>46185</v>
      </c>
      <c r="I2363" s="5" t="s">
        <v>2241</v>
      </c>
      <c r="J2363" s="5" t="s">
        <v>2242</v>
      </c>
      <c r="K2363" s="5" t="s">
        <v>2252</v>
      </c>
      <c r="L2363" s="5" t="n">
        <f aca="false">IF(G2363="High",3,IF(G2363="Medium",2,1))</f>
        <v>2</v>
      </c>
    </row>
    <row r="2364" customFormat="false" ht="15" hidden="false" customHeight="true" outlineLevel="0" collapsed="false">
      <c r="A2364" s="5" t="s">
        <v>4642</v>
      </c>
      <c r="B2364" s="5" t="s">
        <v>1776</v>
      </c>
      <c r="C2364" s="5" t="s">
        <v>2259</v>
      </c>
      <c r="D2364" s="5" t="s">
        <v>2260</v>
      </c>
      <c r="E2364" s="5" t="s">
        <v>59</v>
      </c>
      <c r="F2364" s="5" t="s">
        <v>59</v>
      </c>
      <c r="G2364" s="5" t="str">
        <f aca="false">INDEX(Risk_Matrix!$B$2:$D$4,MATCH(E2364,Risk_Matrix!$A$2:$A$4,0),MATCH(F2364,Risk_Matrix!$B$1:$D$1,0))</f>
        <v>Low</v>
      </c>
      <c r="H2364" s="12" t="n">
        <v>46062</v>
      </c>
      <c r="I2364" s="5" t="s">
        <v>2241</v>
      </c>
      <c r="J2364" s="5" t="s">
        <v>2242</v>
      </c>
      <c r="K2364" s="5" t="s">
        <v>2266</v>
      </c>
      <c r="L2364" s="5" t="n">
        <f aca="false">IF(G2364="High",3,IF(G2364="Medium",2,1))</f>
        <v>1</v>
      </c>
    </row>
    <row r="2365" customFormat="false" ht="15" hidden="false" customHeight="true" outlineLevel="0" collapsed="false">
      <c r="A2365" s="5" t="s">
        <v>4643</v>
      </c>
      <c r="B2365" s="5" t="s">
        <v>1776</v>
      </c>
      <c r="C2365" s="5" t="s">
        <v>2254</v>
      </c>
      <c r="D2365" s="5" t="s">
        <v>2308</v>
      </c>
      <c r="E2365" s="5" t="s">
        <v>2225</v>
      </c>
      <c r="F2365" s="5" t="s">
        <v>54</v>
      </c>
      <c r="G2365" s="5" t="str">
        <f aca="false">INDEX(Risk_Matrix!$B$2:$D$4,MATCH(E2365,Risk_Matrix!$A$2:$A$4,0),MATCH(F2365,Risk_Matrix!$B$1:$D$1,0))</f>
        <v>High</v>
      </c>
      <c r="H2365" s="12" t="n">
        <v>46070</v>
      </c>
      <c r="I2365" s="5" t="s">
        <v>2256</v>
      </c>
      <c r="J2365" s="5" t="s">
        <v>4081</v>
      </c>
      <c r="K2365" s="5" t="s">
        <v>2243</v>
      </c>
      <c r="L2365" s="5" t="n">
        <f aca="false">IF(G2365="High",3,IF(G2365="Medium",2,1))</f>
        <v>3</v>
      </c>
    </row>
    <row r="2366" customFormat="false" ht="15" hidden="false" customHeight="true" outlineLevel="0" collapsed="false">
      <c r="A2366" s="5" t="s">
        <v>4644</v>
      </c>
      <c r="B2366" s="5" t="s">
        <v>1778</v>
      </c>
      <c r="C2366" s="5" t="s">
        <v>2239</v>
      </c>
      <c r="D2366" s="5" t="s">
        <v>2240</v>
      </c>
      <c r="E2366" s="5" t="s">
        <v>59</v>
      </c>
      <c r="F2366" s="5" t="s">
        <v>54</v>
      </c>
      <c r="G2366" s="5" t="str">
        <f aca="false">INDEX(Risk_Matrix!$B$2:$D$4,MATCH(E2366,Risk_Matrix!$A$2:$A$4,0),MATCH(F2366,Risk_Matrix!$B$1:$D$1,0))</f>
        <v>Medium</v>
      </c>
      <c r="H2366" s="12" t="n">
        <v>46028</v>
      </c>
      <c r="I2366" s="5" t="s">
        <v>2250</v>
      </c>
      <c r="J2366" s="5" t="s">
        <v>2251</v>
      </c>
      <c r="K2366" s="5" t="s">
        <v>2283</v>
      </c>
      <c r="L2366" s="5" t="n">
        <f aca="false">IF(G2366="High",3,IF(G2366="Medium",2,1))</f>
        <v>2</v>
      </c>
    </row>
    <row r="2367" customFormat="false" ht="15" hidden="false" customHeight="true" outlineLevel="0" collapsed="false">
      <c r="A2367" s="5" t="s">
        <v>4645</v>
      </c>
      <c r="B2367" s="5" t="s">
        <v>1778</v>
      </c>
      <c r="C2367" s="5" t="s">
        <v>2245</v>
      </c>
      <c r="D2367" s="5" t="s">
        <v>2280</v>
      </c>
      <c r="E2367" s="5" t="s">
        <v>2225</v>
      </c>
      <c r="F2367" s="5" t="s">
        <v>59</v>
      </c>
      <c r="G2367" s="5" t="str">
        <f aca="false">INDEX(Risk_Matrix!$B$2:$D$4,MATCH(E2367,Risk_Matrix!$A$2:$A$4,0),MATCH(F2367,Risk_Matrix!$B$1:$D$1,0))</f>
        <v>Low</v>
      </c>
      <c r="H2367" s="12" t="n">
        <v>46104</v>
      </c>
      <c r="I2367" s="5" t="s">
        <v>2241</v>
      </c>
      <c r="J2367" s="5" t="s">
        <v>2242</v>
      </c>
      <c r="K2367" s="5" t="s">
        <v>2266</v>
      </c>
      <c r="L2367" s="5" t="n">
        <f aca="false">IF(G2367="High",3,IF(G2367="Medium",2,1))</f>
        <v>1</v>
      </c>
    </row>
    <row r="2368" customFormat="false" ht="15" hidden="false" customHeight="true" outlineLevel="0" collapsed="false">
      <c r="A2368" s="5" t="s">
        <v>4646</v>
      </c>
      <c r="B2368" s="5" t="s">
        <v>1778</v>
      </c>
      <c r="C2368" s="5" t="s">
        <v>2248</v>
      </c>
      <c r="D2368" s="5" t="s">
        <v>2271</v>
      </c>
      <c r="E2368" s="5" t="s">
        <v>2225</v>
      </c>
      <c r="F2368" s="5" t="s">
        <v>2225</v>
      </c>
      <c r="G2368" s="5" t="str">
        <f aca="false">INDEX(Risk_Matrix!$B$2:$D$4,MATCH(E2368,Risk_Matrix!$A$2:$A$4,0),MATCH(F2368,Risk_Matrix!$B$1:$D$1,0))</f>
        <v>Medium</v>
      </c>
      <c r="H2368" s="12" t="n">
        <v>46205</v>
      </c>
      <c r="I2368" s="5" t="s">
        <v>2256</v>
      </c>
      <c r="J2368" s="5" t="s">
        <v>4081</v>
      </c>
      <c r="K2368" s="5" t="s">
        <v>2252</v>
      </c>
      <c r="L2368" s="5" t="n">
        <f aca="false">IF(G2368="High",3,IF(G2368="Medium",2,1))</f>
        <v>2</v>
      </c>
    </row>
    <row r="2369" customFormat="false" ht="15" hidden="false" customHeight="true" outlineLevel="0" collapsed="false">
      <c r="A2369" s="5" t="s">
        <v>4647</v>
      </c>
      <c r="B2369" s="5" t="s">
        <v>1778</v>
      </c>
      <c r="C2369" s="5" t="s">
        <v>2262</v>
      </c>
      <c r="D2369" s="5" t="s">
        <v>2311</v>
      </c>
      <c r="E2369" s="5" t="s">
        <v>59</v>
      </c>
      <c r="F2369" s="5" t="s">
        <v>54</v>
      </c>
      <c r="G2369" s="5" t="str">
        <f aca="false">INDEX(Risk_Matrix!$B$2:$D$4,MATCH(E2369,Risk_Matrix!$A$2:$A$4,0),MATCH(F2369,Risk_Matrix!$B$1:$D$1,0))</f>
        <v>Medium</v>
      </c>
      <c r="H2369" s="12" t="n">
        <v>46059</v>
      </c>
      <c r="I2369" s="5" t="s">
        <v>2256</v>
      </c>
      <c r="J2369" s="5" t="s">
        <v>4081</v>
      </c>
      <c r="K2369" s="5" t="s">
        <v>2266</v>
      </c>
      <c r="L2369" s="5" t="n">
        <f aca="false">IF(G2369="High",3,IF(G2369="Medium",2,1))</f>
        <v>2</v>
      </c>
    </row>
    <row r="2370" customFormat="false" ht="15" hidden="false" customHeight="true" outlineLevel="0" collapsed="false">
      <c r="A2370" s="5" t="s">
        <v>4648</v>
      </c>
      <c r="B2370" s="5" t="s">
        <v>1778</v>
      </c>
      <c r="C2370" s="5" t="s">
        <v>2259</v>
      </c>
      <c r="D2370" s="5" t="s">
        <v>2274</v>
      </c>
      <c r="E2370" s="5" t="s">
        <v>59</v>
      </c>
      <c r="F2370" s="5" t="s">
        <v>54</v>
      </c>
      <c r="G2370" s="5" t="str">
        <f aca="false">INDEX(Risk_Matrix!$B$2:$D$4,MATCH(E2370,Risk_Matrix!$A$2:$A$4,0),MATCH(F2370,Risk_Matrix!$B$1:$D$1,0))</f>
        <v>Medium</v>
      </c>
      <c r="H2370" s="12" t="n">
        <v>46198</v>
      </c>
      <c r="I2370" s="5" t="s">
        <v>2256</v>
      </c>
      <c r="J2370" s="5" t="s">
        <v>4081</v>
      </c>
      <c r="K2370" s="5" t="s">
        <v>2276</v>
      </c>
      <c r="L2370" s="5" t="n">
        <f aca="false">IF(G2370="High",3,IF(G2370="Medium",2,1))</f>
        <v>2</v>
      </c>
    </row>
    <row r="2371" customFormat="false" ht="15" hidden="false" customHeight="true" outlineLevel="0" collapsed="false">
      <c r="A2371" s="5" t="s">
        <v>4649</v>
      </c>
      <c r="B2371" s="5" t="s">
        <v>1778</v>
      </c>
      <c r="C2371" s="5" t="s">
        <v>2254</v>
      </c>
      <c r="D2371" s="5" t="s">
        <v>2308</v>
      </c>
      <c r="E2371" s="5" t="s">
        <v>54</v>
      </c>
      <c r="F2371" s="5" t="s">
        <v>54</v>
      </c>
      <c r="G2371" s="5" t="str">
        <f aca="false">INDEX(Risk_Matrix!$B$2:$D$4,MATCH(E2371,Risk_Matrix!$A$2:$A$4,0),MATCH(F2371,Risk_Matrix!$B$1:$D$1,0))</f>
        <v>High</v>
      </c>
      <c r="H2371" s="12" t="n">
        <v>46149</v>
      </c>
      <c r="I2371" s="5" t="s">
        <v>2264</v>
      </c>
      <c r="J2371" s="5" t="s">
        <v>4087</v>
      </c>
      <c r="K2371" s="5" t="s">
        <v>2283</v>
      </c>
      <c r="L2371" s="5" t="n">
        <f aca="false">IF(G2371="High",3,IF(G2371="Medium",2,1))</f>
        <v>3</v>
      </c>
    </row>
    <row r="2372" customFormat="false" ht="15" hidden="false" customHeight="true" outlineLevel="0" collapsed="false">
      <c r="A2372" s="5" t="s">
        <v>4650</v>
      </c>
      <c r="B2372" s="5" t="s">
        <v>1780</v>
      </c>
      <c r="C2372" s="5" t="s">
        <v>2239</v>
      </c>
      <c r="D2372" s="5" t="s">
        <v>2303</v>
      </c>
      <c r="E2372" s="5" t="s">
        <v>2225</v>
      </c>
      <c r="F2372" s="5" t="s">
        <v>2225</v>
      </c>
      <c r="G2372" s="5" t="str">
        <f aca="false">INDEX(Risk_Matrix!$B$2:$D$4,MATCH(E2372,Risk_Matrix!$A$2:$A$4,0),MATCH(F2372,Risk_Matrix!$B$1:$D$1,0))</f>
        <v>Medium</v>
      </c>
      <c r="H2372" s="12" t="n">
        <v>46050</v>
      </c>
      <c r="I2372" s="5" t="s">
        <v>2256</v>
      </c>
      <c r="J2372" s="5" t="s">
        <v>4081</v>
      </c>
      <c r="K2372" s="5" t="s">
        <v>2243</v>
      </c>
      <c r="L2372" s="5" t="n">
        <f aca="false">IF(G2372="High",3,IF(G2372="Medium",2,1))</f>
        <v>2</v>
      </c>
    </row>
    <row r="2373" customFormat="false" ht="15" hidden="false" customHeight="true" outlineLevel="0" collapsed="false">
      <c r="A2373" s="5" t="s">
        <v>4651</v>
      </c>
      <c r="B2373" s="5" t="s">
        <v>1780</v>
      </c>
      <c r="C2373" s="5" t="s">
        <v>2245</v>
      </c>
      <c r="D2373" s="5" t="s">
        <v>2320</v>
      </c>
      <c r="E2373" s="5" t="s">
        <v>2225</v>
      </c>
      <c r="F2373" s="5" t="s">
        <v>54</v>
      </c>
      <c r="G2373" s="5" t="str">
        <f aca="false">INDEX(Risk_Matrix!$B$2:$D$4,MATCH(E2373,Risk_Matrix!$A$2:$A$4,0),MATCH(F2373,Risk_Matrix!$B$1:$D$1,0))</f>
        <v>High</v>
      </c>
      <c r="H2373" s="12" t="n">
        <v>46169</v>
      </c>
      <c r="I2373" s="5" t="s">
        <v>2241</v>
      </c>
      <c r="J2373" s="5" t="s">
        <v>2242</v>
      </c>
      <c r="K2373" s="5" t="s">
        <v>2252</v>
      </c>
      <c r="L2373" s="5" t="n">
        <f aca="false">IF(G2373="High",3,IF(G2373="Medium",2,1))</f>
        <v>3</v>
      </c>
    </row>
    <row r="2374" customFormat="false" ht="15" hidden="false" customHeight="true" outlineLevel="0" collapsed="false">
      <c r="A2374" s="5" t="s">
        <v>4652</v>
      </c>
      <c r="B2374" s="5" t="s">
        <v>1780</v>
      </c>
      <c r="C2374" s="5" t="s">
        <v>2248</v>
      </c>
      <c r="D2374" s="5" t="s">
        <v>2322</v>
      </c>
      <c r="E2374" s="5" t="s">
        <v>54</v>
      </c>
      <c r="F2374" s="5" t="s">
        <v>54</v>
      </c>
      <c r="G2374" s="5" t="str">
        <f aca="false">INDEX(Risk_Matrix!$B$2:$D$4,MATCH(E2374,Risk_Matrix!$A$2:$A$4,0),MATCH(F2374,Risk_Matrix!$B$1:$D$1,0))</f>
        <v>High</v>
      </c>
      <c r="H2374" s="12" t="n">
        <v>46046</v>
      </c>
      <c r="I2374" s="5" t="s">
        <v>2264</v>
      </c>
      <c r="J2374" s="5" t="s">
        <v>4087</v>
      </c>
      <c r="K2374" s="5" t="s">
        <v>2266</v>
      </c>
      <c r="L2374" s="5" t="n">
        <f aca="false">IF(G2374="High",3,IF(G2374="Medium",2,1))</f>
        <v>3</v>
      </c>
    </row>
    <row r="2375" customFormat="false" ht="15" hidden="false" customHeight="true" outlineLevel="0" collapsed="false">
      <c r="A2375" s="5" t="s">
        <v>4653</v>
      </c>
      <c r="B2375" s="5" t="s">
        <v>1780</v>
      </c>
      <c r="C2375" s="5" t="s">
        <v>2262</v>
      </c>
      <c r="D2375" s="5" t="s">
        <v>2287</v>
      </c>
      <c r="E2375" s="5" t="s">
        <v>59</v>
      </c>
      <c r="F2375" s="5" t="s">
        <v>59</v>
      </c>
      <c r="G2375" s="5" t="str">
        <f aca="false">INDEX(Risk_Matrix!$B$2:$D$4,MATCH(E2375,Risk_Matrix!$A$2:$A$4,0),MATCH(F2375,Risk_Matrix!$B$1:$D$1,0))</f>
        <v>Low</v>
      </c>
      <c r="H2375" s="12" t="n">
        <v>46146</v>
      </c>
      <c r="I2375" s="5" t="s">
        <v>2241</v>
      </c>
      <c r="J2375" s="5" t="s">
        <v>2242</v>
      </c>
      <c r="K2375" s="5" t="s">
        <v>2243</v>
      </c>
      <c r="L2375" s="5" t="n">
        <f aca="false">IF(G2375="High",3,IF(G2375="Medium",2,1))</f>
        <v>1</v>
      </c>
    </row>
    <row r="2376" customFormat="false" ht="15" hidden="false" customHeight="true" outlineLevel="0" collapsed="false">
      <c r="A2376" s="5" t="s">
        <v>4654</v>
      </c>
      <c r="B2376" s="5" t="s">
        <v>1780</v>
      </c>
      <c r="C2376" s="5" t="s">
        <v>2259</v>
      </c>
      <c r="D2376" s="5" t="s">
        <v>2274</v>
      </c>
      <c r="E2376" s="5" t="s">
        <v>59</v>
      </c>
      <c r="F2376" s="5" t="s">
        <v>2225</v>
      </c>
      <c r="G2376" s="5" t="str">
        <f aca="false">INDEX(Risk_Matrix!$B$2:$D$4,MATCH(E2376,Risk_Matrix!$A$2:$A$4,0),MATCH(F2376,Risk_Matrix!$B$1:$D$1,0))</f>
        <v>Low</v>
      </c>
      <c r="H2376" s="12" t="n">
        <v>46080</v>
      </c>
      <c r="I2376" s="5" t="s">
        <v>2241</v>
      </c>
      <c r="J2376" s="5" t="s">
        <v>2242</v>
      </c>
      <c r="K2376" s="5" t="s">
        <v>2252</v>
      </c>
      <c r="L2376" s="5" t="n">
        <f aca="false">IF(G2376="High",3,IF(G2376="Medium",2,1))</f>
        <v>1</v>
      </c>
    </row>
    <row r="2377" customFormat="false" ht="15" hidden="false" customHeight="true" outlineLevel="0" collapsed="false">
      <c r="A2377" s="5" t="s">
        <v>4655</v>
      </c>
      <c r="B2377" s="5" t="s">
        <v>1780</v>
      </c>
      <c r="C2377" s="5" t="s">
        <v>2254</v>
      </c>
      <c r="D2377" s="5" t="s">
        <v>2299</v>
      </c>
      <c r="E2377" s="5" t="s">
        <v>54</v>
      </c>
      <c r="F2377" s="5" t="s">
        <v>54</v>
      </c>
      <c r="G2377" s="5" t="str">
        <f aca="false">INDEX(Risk_Matrix!$B$2:$D$4,MATCH(E2377,Risk_Matrix!$A$2:$A$4,0),MATCH(F2377,Risk_Matrix!$B$1:$D$1,0))</f>
        <v>High</v>
      </c>
      <c r="H2377" s="12" t="n">
        <v>46208</v>
      </c>
      <c r="I2377" s="5" t="s">
        <v>2250</v>
      </c>
      <c r="J2377" s="5" t="s">
        <v>2251</v>
      </c>
      <c r="K2377" s="5" t="s">
        <v>2252</v>
      </c>
      <c r="L2377" s="5" t="n">
        <f aca="false">IF(G2377="High",3,IF(G2377="Medium",2,1))</f>
        <v>3</v>
      </c>
    </row>
    <row r="2378" customFormat="false" ht="15" hidden="false" customHeight="true" outlineLevel="0" collapsed="false">
      <c r="A2378" s="5" t="s">
        <v>4656</v>
      </c>
      <c r="B2378" s="5" t="s">
        <v>1782</v>
      </c>
      <c r="C2378" s="5" t="s">
        <v>2239</v>
      </c>
      <c r="D2378" s="5" t="s">
        <v>2303</v>
      </c>
      <c r="E2378" s="5" t="s">
        <v>54</v>
      </c>
      <c r="F2378" s="5" t="s">
        <v>59</v>
      </c>
      <c r="G2378" s="5" t="str">
        <f aca="false">INDEX(Risk_Matrix!$B$2:$D$4,MATCH(E2378,Risk_Matrix!$A$2:$A$4,0),MATCH(F2378,Risk_Matrix!$B$1:$D$1,0))</f>
        <v>Medium</v>
      </c>
      <c r="H2378" s="12" t="n">
        <v>46083</v>
      </c>
      <c r="I2378" s="5" t="s">
        <v>2241</v>
      </c>
      <c r="J2378" s="5" t="s">
        <v>2242</v>
      </c>
      <c r="K2378" s="5" t="s">
        <v>2243</v>
      </c>
      <c r="L2378" s="5" t="n">
        <f aca="false">IF(G2378="High",3,IF(G2378="Medium",2,1))</f>
        <v>2</v>
      </c>
    </row>
    <row r="2379" customFormat="false" ht="15" hidden="false" customHeight="true" outlineLevel="0" collapsed="false">
      <c r="A2379" s="5" t="s">
        <v>4657</v>
      </c>
      <c r="B2379" s="5" t="s">
        <v>1782</v>
      </c>
      <c r="C2379" s="5" t="s">
        <v>2245</v>
      </c>
      <c r="D2379" s="5" t="s">
        <v>2320</v>
      </c>
      <c r="E2379" s="5" t="s">
        <v>2225</v>
      </c>
      <c r="F2379" s="5" t="s">
        <v>2225</v>
      </c>
      <c r="G2379" s="5" t="str">
        <f aca="false">INDEX(Risk_Matrix!$B$2:$D$4,MATCH(E2379,Risk_Matrix!$A$2:$A$4,0),MATCH(F2379,Risk_Matrix!$B$1:$D$1,0))</f>
        <v>Medium</v>
      </c>
      <c r="H2379" s="12" t="n">
        <v>46075</v>
      </c>
      <c r="I2379" s="5" t="s">
        <v>2264</v>
      </c>
      <c r="J2379" s="5" t="s">
        <v>4087</v>
      </c>
      <c r="K2379" s="5" t="s">
        <v>2276</v>
      </c>
      <c r="L2379" s="5" t="n">
        <f aca="false">IF(G2379="High",3,IF(G2379="Medium",2,1))</f>
        <v>2</v>
      </c>
    </row>
    <row r="2380" customFormat="false" ht="15" hidden="false" customHeight="true" outlineLevel="0" collapsed="false">
      <c r="A2380" s="5" t="s">
        <v>4658</v>
      </c>
      <c r="B2380" s="5" t="s">
        <v>1782</v>
      </c>
      <c r="C2380" s="5" t="s">
        <v>2248</v>
      </c>
      <c r="D2380" s="5" t="s">
        <v>2271</v>
      </c>
      <c r="E2380" s="5" t="s">
        <v>2225</v>
      </c>
      <c r="F2380" s="5" t="s">
        <v>2225</v>
      </c>
      <c r="G2380" s="5" t="str">
        <f aca="false">INDEX(Risk_Matrix!$B$2:$D$4,MATCH(E2380,Risk_Matrix!$A$2:$A$4,0),MATCH(F2380,Risk_Matrix!$B$1:$D$1,0))</f>
        <v>Medium</v>
      </c>
      <c r="H2380" s="12" t="n">
        <v>46174</v>
      </c>
      <c r="I2380" s="5" t="s">
        <v>2264</v>
      </c>
      <c r="J2380" s="5" t="s">
        <v>4087</v>
      </c>
      <c r="K2380" s="5" t="s">
        <v>2252</v>
      </c>
      <c r="L2380" s="5" t="n">
        <f aca="false">IF(G2380="High",3,IF(G2380="Medium",2,1))</f>
        <v>2</v>
      </c>
    </row>
    <row r="2381" customFormat="false" ht="15" hidden="false" customHeight="true" outlineLevel="0" collapsed="false">
      <c r="A2381" s="5" t="s">
        <v>4659</v>
      </c>
      <c r="B2381" s="5" t="s">
        <v>1782</v>
      </c>
      <c r="C2381" s="5" t="s">
        <v>2262</v>
      </c>
      <c r="D2381" s="5" t="s">
        <v>2263</v>
      </c>
      <c r="E2381" s="5" t="s">
        <v>59</v>
      </c>
      <c r="F2381" s="5" t="s">
        <v>59</v>
      </c>
      <c r="G2381" s="5" t="str">
        <f aca="false">INDEX(Risk_Matrix!$B$2:$D$4,MATCH(E2381,Risk_Matrix!$A$2:$A$4,0),MATCH(F2381,Risk_Matrix!$B$1:$D$1,0))</f>
        <v>Low</v>
      </c>
      <c r="H2381" s="12" t="n">
        <v>46217</v>
      </c>
      <c r="I2381" s="5" t="s">
        <v>2256</v>
      </c>
      <c r="J2381" s="5" t="s">
        <v>4081</v>
      </c>
      <c r="K2381" s="5" t="s">
        <v>2266</v>
      </c>
      <c r="L2381" s="5" t="n">
        <f aca="false">IF(G2381="High",3,IF(G2381="Medium",2,1))</f>
        <v>1</v>
      </c>
    </row>
    <row r="2382" customFormat="false" ht="15" hidden="false" customHeight="true" outlineLevel="0" collapsed="false">
      <c r="A2382" s="5" t="s">
        <v>4660</v>
      </c>
      <c r="B2382" s="5" t="s">
        <v>1782</v>
      </c>
      <c r="C2382" s="5" t="s">
        <v>2259</v>
      </c>
      <c r="D2382" s="5" t="s">
        <v>2260</v>
      </c>
      <c r="E2382" s="5" t="s">
        <v>59</v>
      </c>
      <c r="F2382" s="5" t="s">
        <v>59</v>
      </c>
      <c r="G2382" s="5" t="str">
        <f aca="false">INDEX(Risk_Matrix!$B$2:$D$4,MATCH(E2382,Risk_Matrix!$A$2:$A$4,0),MATCH(F2382,Risk_Matrix!$B$1:$D$1,0))</f>
        <v>Low</v>
      </c>
      <c r="H2382" s="12" t="n">
        <v>46095</v>
      </c>
      <c r="I2382" s="5" t="s">
        <v>2256</v>
      </c>
      <c r="J2382" s="5" t="s">
        <v>4081</v>
      </c>
      <c r="K2382" s="5" t="s">
        <v>2243</v>
      </c>
      <c r="L2382" s="5" t="n">
        <f aca="false">IF(G2382="High",3,IF(G2382="Medium",2,1))</f>
        <v>1</v>
      </c>
    </row>
    <row r="2383" customFormat="false" ht="15" hidden="false" customHeight="true" outlineLevel="0" collapsed="false">
      <c r="A2383" s="5" t="s">
        <v>4661</v>
      </c>
      <c r="B2383" s="5" t="s">
        <v>1782</v>
      </c>
      <c r="C2383" s="5" t="s">
        <v>2254</v>
      </c>
      <c r="D2383" s="5" t="s">
        <v>2308</v>
      </c>
      <c r="E2383" s="5" t="s">
        <v>2225</v>
      </c>
      <c r="F2383" s="5" t="s">
        <v>54</v>
      </c>
      <c r="G2383" s="5" t="str">
        <f aca="false">INDEX(Risk_Matrix!$B$2:$D$4,MATCH(E2383,Risk_Matrix!$A$2:$A$4,0),MATCH(F2383,Risk_Matrix!$B$1:$D$1,0))</f>
        <v>High</v>
      </c>
      <c r="H2383" s="12" t="n">
        <v>46094</v>
      </c>
      <c r="I2383" s="5" t="s">
        <v>2256</v>
      </c>
      <c r="J2383" s="5" t="s">
        <v>4081</v>
      </c>
      <c r="K2383" s="5" t="s">
        <v>2252</v>
      </c>
      <c r="L2383" s="5" t="n">
        <f aca="false">IF(G2383="High",3,IF(G2383="Medium",2,1))</f>
        <v>3</v>
      </c>
    </row>
    <row r="2384" customFormat="false" ht="15" hidden="false" customHeight="true" outlineLevel="0" collapsed="false">
      <c r="A2384" s="5" t="s">
        <v>4662</v>
      </c>
      <c r="B2384" s="5" t="s">
        <v>1784</v>
      </c>
      <c r="C2384" s="5" t="s">
        <v>2239</v>
      </c>
      <c r="D2384" s="5" t="s">
        <v>2240</v>
      </c>
      <c r="E2384" s="5" t="s">
        <v>54</v>
      </c>
      <c r="F2384" s="5" t="s">
        <v>59</v>
      </c>
      <c r="G2384" s="5" t="str">
        <f aca="false">INDEX(Risk_Matrix!$B$2:$D$4,MATCH(E2384,Risk_Matrix!$A$2:$A$4,0),MATCH(F2384,Risk_Matrix!$B$1:$D$1,0))</f>
        <v>Medium</v>
      </c>
      <c r="H2384" s="12" t="n">
        <v>46081</v>
      </c>
      <c r="I2384" s="5" t="s">
        <v>2250</v>
      </c>
      <c r="J2384" s="5" t="s">
        <v>2251</v>
      </c>
      <c r="K2384" s="5" t="s">
        <v>2276</v>
      </c>
      <c r="L2384" s="5" t="n">
        <f aca="false">IF(G2384="High",3,IF(G2384="Medium",2,1))</f>
        <v>2</v>
      </c>
    </row>
    <row r="2385" customFormat="false" ht="15" hidden="false" customHeight="true" outlineLevel="0" collapsed="false">
      <c r="A2385" s="5" t="s">
        <v>4663</v>
      </c>
      <c r="B2385" s="5" t="s">
        <v>1784</v>
      </c>
      <c r="C2385" s="5" t="s">
        <v>2245</v>
      </c>
      <c r="D2385" s="5" t="s">
        <v>2246</v>
      </c>
      <c r="E2385" s="5" t="s">
        <v>2225</v>
      </c>
      <c r="F2385" s="5" t="s">
        <v>54</v>
      </c>
      <c r="G2385" s="5" t="str">
        <f aca="false">INDEX(Risk_Matrix!$B$2:$D$4,MATCH(E2385,Risk_Matrix!$A$2:$A$4,0),MATCH(F2385,Risk_Matrix!$B$1:$D$1,0))</f>
        <v>High</v>
      </c>
      <c r="H2385" s="12" t="n">
        <v>46112</v>
      </c>
      <c r="I2385" s="5" t="s">
        <v>2256</v>
      </c>
      <c r="J2385" s="5" t="s">
        <v>4081</v>
      </c>
      <c r="K2385" s="5" t="s">
        <v>2283</v>
      </c>
      <c r="L2385" s="5" t="n">
        <f aca="false">IF(G2385="High",3,IF(G2385="Medium",2,1))</f>
        <v>3</v>
      </c>
    </row>
    <row r="2386" customFormat="false" ht="15" hidden="false" customHeight="true" outlineLevel="0" collapsed="false">
      <c r="A2386" s="5" t="s">
        <v>4664</v>
      </c>
      <c r="B2386" s="5" t="s">
        <v>1784</v>
      </c>
      <c r="C2386" s="5" t="s">
        <v>2248</v>
      </c>
      <c r="D2386" s="5" t="s">
        <v>2271</v>
      </c>
      <c r="E2386" s="5" t="s">
        <v>2225</v>
      </c>
      <c r="F2386" s="5" t="s">
        <v>2225</v>
      </c>
      <c r="G2386" s="5" t="str">
        <f aca="false">INDEX(Risk_Matrix!$B$2:$D$4,MATCH(E2386,Risk_Matrix!$A$2:$A$4,0),MATCH(F2386,Risk_Matrix!$B$1:$D$1,0))</f>
        <v>Medium</v>
      </c>
      <c r="H2386" s="12" t="n">
        <v>46039</v>
      </c>
      <c r="I2386" s="5" t="s">
        <v>2250</v>
      </c>
      <c r="J2386" s="5" t="s">
        <v>2251</v>
      </c>
      <c r="K2386" s="5" t="s">
        <v>2266</v>
      </c>
      <c r="L2386" s="5" t="n">
        <f aca="false">IF(G2386="High",3,IF(G2386="Medium",2,1))</f>
        <v>2</v>
      </c>
    </row>
    <row r="2387" customFormat="false" ht="15" hidden="false" customHeight="true" outlineLevel="0" collapsed="false">
      <c r="A2387" s="5" t="s">
        <v>4665</v>
      </c>
      <c r="B2387" s="5" t="s">
        <v>1784</v>
      </c>
      <c r="C2387" s="5" t="s">
        <v>2262</v>
      </c>
      <c r="D2387" s="5" t="s">
        <v>2263</v>
      </c>
      <c r="E2387" s="5" t="s">
        <v>2225</v>
      </c>
      <c r="F2387" s="5" t="s">
        <v>54</v>
      </c>
      <c r="G2387" s="5" t="str">
        <f aca="false">INDEX(Risk_Matrix!$B$2:$D$4,MATCH(E2387,Risk_Matrix!$A$2:$A$4,0),MATCH(F2387,Risk_Matrix!$B$1:$D$1,0))</f>
        <v>High</v>
      </c>
      <c r="H2387" s="12" t="n">
        <v>46102</v>
      </c>
      <c r="I2387" s="5" t="s">
        <v>2256</v>
      </c>
      <c r="J2387" s="5" t="s">
        <v>4081</v>
      </c>
      <c r="K2387" s="5" t="s">
        <v>2243</v>
      </c>
      <c r="L2387" s="5" t="n">
        <f aca="false">IF(G2387="High",3,IF(G2387="Medium",2,1))</f>
        <v>3</v>
      </c>
    </row>
    <row r="2388" customFormat="false" ht="15" hidden="false" customHeight="true" outlineLevel="0" collapsed="false">
      <c r="A2388" s="5" t="s">
        <v>4666</v>
      </c>
      <c r="B2388" s="5" t="s">
        <v>1784</v>
      </c>
      <c r="C2388" s="5" t="s">
        <v>2259</v>
      </c>
      <c r="D2388" s="5" t="s">
        <v>2260</v>
      </c>
      <c r="E2388" s="5" t="s">
        <v>2225</v>
      </c>
      <c r="F2388" s="5" t="s">
        <v>59</v>
      </c>
      <c r="G2388" s="5" t="str">
        <f aca="false">INDEX(Risk_Matrix!$B$2:$D$4,MATCH(E2388,Risk_Matrix!$A$2:$A$4,0),MATCH(F2388,Risk_Matrix!$B$1:$D$1,0))</f>
        <v>Low</v>
      </c>
      <c r="H2388" s="12" t="n">
        <v>46182</v>
      </c>
      <c r="I2388" s="5" t="s">
        <v>2250</v>
      </c>
      <c r="J2388" s="5" t="s">
        <v>2251</v>
      </c>
      <c r="K2388" s="5" t="s">
        <v>2283</v>
      </c>
      <c r="L2388" s="5" t="n">
        <f aca="false">IF(G2388="High",3,IF(G2388="Medium",2,1))</f>
        <v>1</v>
      </c>
    </row>
    <row r="2389" customFormat="false" ht="15" hidden="false" customHeight="true" outlineLevel="0" collapsed="false">
      <c r="A2389" s="5" t="s">
        <v>4667</v>
      </c>
      <c r="B2389" s="5" t="s">
        <v>1784</v>
      </c>
      <c r="C2389" s="5" t="s">
        <v>2254</v>
      </c>
      <c r="D2389" s="5" t="s">
        <v>2255</v>
      </c>
      <c r="E2389" s="5" t="s">
        <v>54</v>
      </c>
      <c r="F2389" s="5" t="s">
        <v>2225</v>
      </c>
      <c r="G2389" s="5" t="str">
        <f aca="false">INDEX(Risk_Matrix!$B$2:$D$4,MATCH(E2389,Risk_Matrix!$A$2:$A$4,0),MATCH(F2389,Risk_Matrix!$B$1:$D$1,0))</f>
        <v>High</v>
      </c>
      <c r="H2389" s="12" t="n">
        <v>46192</v>
      </c>
      <c r="I2389" s="5" t="s">
        <v>2241</v>
      </c>
      <c r="J2389" s="5" t="s">
        <v>2242</v>
      </c>
      <c r="K2389" s="5" t="s">
        <v>2266</v>
      </c>
      <c r="L2389" s="5" t="n">
        <f aca="false">IF(G2389="High",3,IF(G2389="Medium",2,1))</f>
        <v>3</v>
      </c>
    </row>
    <row r="2390" customFormat="false" ht="15" hidden="false" customHeight="true" outlineLevel="0" collapsed="false">
      <c r="A2390" s="5" t="s">
        <v>4668</v>
      </c>
      <c r="B2390" s="5" t="s">
        <v>1786</v>
      </c>
      <c r="C2390" s="5" t="s">
        <v>2239</v>
      </c>
      <c r="D2390" s="5" t="s">
        <v>2278</v>
      </c>
      <c r="E2390" s="5" t="s">
        <v>59</v>
      </c>
      <c r="F2390" s="5" t="s">
        <v>59</v>
      </c>
      <c r="G2390" s="5" t="str">
        <f aca="false">INDEX(Risk_Matrix!$B$2:$D$4,MATCH(E2390,Risk_Matrix!$A$2:$A$4,0),MATCH(F2390,Risk_Matrix!$B$1:$D$1,0))</f>
        <v>Low</v>
      </c>
      <c r="H2390" s="12" t="n">
        <v>46036</v>
      </c>
      <c r="I2390" s="5" t="s">
        <v>2241</v>
      </c>
      <c r="J2390" s="5" t="s">
        <v>2242</v>
      </c>
      <c r="K2390" s="5" t="s">
        <v>2266</v>
      </c>
      <c r="L2390" s="5" t="n">
        <f aca="false">IF(G2390="High",3,IF(G2390="Medium",2,1))</f>
        <v>1</v>
      </c>
    </row>
    <row r="2391" customFormat="false" ht="15" hidden="false" customHeight="true" outlineLevel="0" collapsed="false">
      <c r="A2391" s="5" t="s">
        <v>4669</v>
      </c>
      <c r="B2391" s="5" t="s">
        <v>1786</v>
      </c>
      <c r="C2391" s="5" t="s">
        <v>2245</v>
      </c>
      <c r="D2391" s="5" t="s">
        <v>2320</v>
      </c>
      <c r="E2391" s="5" t="s">
        <v>59</v>
      </c>
      <c r="F2391" s="5" t="s">
        <v>59</v>
      </c>
      <c r="G2391" s="5" t="str">
        <f aca="false">INDEX(Risk_Matrix!$B$2:$D$4,MATCH(E2391,Risk_Matrix!$A$2:$A$4,0),MATCH(F2391,Risk_Matrix!$B$1:$D$1,0))</f>
        <v>Low</v>
      </c>
      <c r="H2391" s="12" t="n">
        <v>46084</v>
      </c>
      <c r="I2391" s="5" t="s">
        <v>2241</v>
      </c>
      <c r="J2391" s="5" t="s">
        <v>2242</v>
      </c>
      <c r="K2391" s="5" t="s">
        <v>2252</v>
      </c>
      <c r="L2391" s="5" t="n">
        <f aca="false">IF(G2391="High",3,IF(G2391="Medium",2,1))</f>
        <v>1</v>
      </c>
    </row>
    <row r="2392" customFormat="false" ht="15" hidden="false" customHeight="true" outlineLevel="0" collapsed="false">
      <c r="A2392" s="5" t="s">
        <v>4670</v>
      </c>
      <c r="B2392" s="5" t="s">
        <v>1786</v>
      </c>
      <c r="C2392" s="5" t="s">
        <v>2248</v>
      </c>
      <c r="D2392" s="5" t="s">
        <v>2249</v>
      </c>
      <c r="E2392" s="5" t="s">
        <v>2225</v>
      </c>
      <c r="F2392" s="5" t="s">
        <v>2225</v>
      </c>
      <c r="G2392" s="5" t="str">
        <f aca="false">INDEX(Risk_Matrix!$B$2:$D$4,MATCH(E2392,Risk_Matrix!$A$2:$A$4,0),MATCH(F2392,Risk_Matrix!$B$1:$D$1,0))</f>
        <v>Medium</v>
      </c>
      <c r="H2392" s="12" t="n">
        <v>46214</v>
      </c>
      <c r="I2392" s="5" t="s">
        <v>2241</v>
      </c>
      <c r="J2392" s="5" t="s">
        <v>2242</v>
      </c>
      <c r="K2392" s="5" t="s">
        <v>2243</v>
      </c>
      <c r="L2392" s="5" t="n">
        <f aca="false">IF(G2392="High",3,IF(G2392="Medium",2,1))</f>
        <v>2</v>
      </c>
    </row>
    <row r="2393" customFormat="false" ht="15" hidden="false" customHeight="true" outlineLevel="0" collapsed="false">
      <c r="A2393" s="5" t="s">
        <v>4671</v>
      </c>
      <c r="B2393" s="5" t="s">
        <v>1786</v>
      </c>
      <c r="C2393" s="5" t="s">
        <v>2262</v>
      </c>
      <c r="D2393" s="5" t="s">
        <v>2263</v>
      </c>
      <c r="E2393" s="5" t="s">
        <v>2225</v>
      </c>
      <c r="F2393" s="5" t="s">
        <v>2225</v>
      </c>
      <c r="G2393" s="5" t="str">
        <f aca="false">INDEX(Risk_Matrix!$B$2:$D$4,MATCH(E2393,Risk_Matrix!$A$2:$A$4,0),MATCH(F2393,Risk_Matrix!$B$1:$D$1,0))</f>
        <v>Medium</v>
      </c>
      <c r="H2393" s="12" t="n">
        <v>46228</v>
      </c>
      <c r="I2393" s="5" t="s">
        <v>2264</v>
      </c>
      <c r="J2393" s="5" t="s">
        <v>4087</v>
      </c>
      <c r="K2393" s="5" t="s">
        <v>2243</v>
      </c>
      <c r="L2393" s="5" t="n">
        <f aca="false">IF(G2393="High",3,IF(G2393="Medium",2,1))</f>
        <v>2</v>
      </c>
    </row>
    <row r="2394" customFormat="false" ht="15" hidden="false" customHeight="true" outlineLevel="0" collapsed="false">
      <c r="A2394" s="5" t="s">
        <v>4672</v>
      </c>
      <c r="B2394" s="5" t="s">
        <v>1786</v>
      </c>
      <c r="C2394" s="5" t="s">
        <v>2259</v>
      </c>
      <c r="D2394" s="5" t="s">
        <v>2260</v>
      </c>
      <c r="E2394" s="5" t="s">
        <v>2225</v>
      </c>
      <c r="F2394" s="5" t="s">
        <v>54</v>
      </c>
      <c r="G2394" s="5" t="str">
        <f aca="false">INDEX(Risk_Matrix!$B$2:$D$4,MATCH(E2394,Risk_Matrix!$A$2:$A$4,0),MATCH(F2394,Risk_Matrix!$B$1:$D$1,0))</f>
        <v>High</v>
      </c>
      <c r="H2394" s="12" t="n">
        <v>46100</v>
      </c>
      <c r="I2394" s="5" t="s">
        <v>2250</v>
      </c>
      <c r="J2394" s="5" t="s">
        <v>2251</v>
      </c>
      <c r="K2394" s="5" t="s">
        <v>2283</v>
      </c>
      <c r="L2394" s="5" t="n">
        <f aca="false">IF(G2394="High",3,IF(G2394="Medium",2,1))</f>
        <v>3</v>
      </c>
    </row>
    <row r="2395" customFormat="false" ht="15" hidden="false" customHeight="true" outlineLevel="0" collapsed="false">
      <c r="A2395" s="5" t="s">
        <v>4673</v>
      </c>
      <c r="B2395" s="5" t="s">
        <v>1786</v>
      </c>
      <c r="C2395" s="5" t="s">
        <v>2254</v>
      </c>
      <c r="D2395" s="5" t="s">
        <v>2299</v>
      </c>
      <c r="E2395" s="5" t="s">
        <v>59</v>
      </c>
      <c r="F2395" s="5" t="s">
        <v>59</v>
      </c>
      <c r="G2395" s="5" t="str">
        <f aca="false">INDEX(Risk_Matrix!$B$2:$D$4,MATCH(E2395,Risk_Matrix!$A$2:$A$4,0),MATCH(F2395,Risk_Matrix!$B$1:$D$1,0))</f>
        <v>Low</v>
      </c>
      <c r="H2395" s="12" t="n">
        <v>46206</v>
      </c>
      <c r="I2395" s="5" t="s">
        <v>2264</v>
      </c>
      <c r="J2395" s="5" t="s">
        <v>4087</v>
      </c>
      <c r="K2395" s="5" t="s">
        <v>2283</v>
      </c>
      <c r="L2395" s="5" t="n">
        <f aca="false">IF(G2395="High",3,IF(G2395="Medium",2,1))</f>
        <v>1</v>
      </c>
    </row>
    <row r="2396" customFormat="false" ht="15" hidden="false" customHeight="true" outlineLevel="0" collapsed="false">
      <c r="A2396" s="5" t="s">
        <v>4674</v>
      </c>
      <c r="B2396" s="5" t="s">
        <v>1788</v>
      </c>
      <c r="C2396" s="5" t="s">
        <v>2239</v>
      </c>
      <c r="D2396" s="5" t="s">
        <v>2303</v>
      </c>
      <c r="E2396" s="5" t="s">
        <v>54</v>
      </c>
      <c r="F2396" s="5" t="s">
        <v>2225</v>
      </c>
      <c r="G2396" s="5" t="str">
        <f aca="false">INDEX(Risk_Matrix!$B$2:$D$4,MATCH(E2396,Risk_Matrix!$A$2:$A$4,0),MATCH(F2396,Risk_Matrix!$B$1:$D$1,0))</f>
        <v>High</v>
      </c>
      <c r="H2396" s="12" t="n">
        <v>46107</v>
      </c>
      <c r="I2396" s="5" t="s">
        <v>2264</v>
      </c>
      <c r="J2396" s="5" t="s">
        <v>4087</v>
      </c>
      <c r="K2396" s="5" t="s">
        <v>2243</v>
      </c>
      <c r="L2396" s="5" t="n">
        <f aca="false">IF(G2396="High",3,IF(G2396="Medium",2,1))</f>
        <v>3</v>
      </c>
    </row>
    <row r="2397" customFormat="false" ht="15" hidden="false" customHeight="true" outlineLevel="0" collapsed="false">
      <c r="A2397" s="5" t="s">
        <v>4675</v>
      </c>
      <c r="B2397" s="5" t="s">
        <v>1788</v>
      </c>
      <c r="C2397" s="5" t="s">
        <v>2245</v>
      </c>
      <c r="D2397" s="5" t="s">
        <v>2280</v>
      </c>
      <c r="E2397" s="5" t="s">
        <v>59</v>
      </c>
      <c r="F2397" s="5" t="s">
        <v>59</v>
      </c>
      <c r="G2397" s="5" t="str">
        <f aca="false">INDEX(Risk_Matrix!$B$2:$D$4,MATCH(E2397,Risk_Matrix!$A$2:$A$4,0),MATCH(F2397,Risk_Matrix!$B$1:$D$1,0))</f>
        <v>Low</v>
      </c>
      <c r="H2397" s="12" t="n">
        <v>46063</v>
      </c>
      <c r="I2397" s="5" t="s">
        <v>2250</v>
      </c>
      <c r="J2397" s="5" t="s">
        <v>2251</v>
      </c>
      <c r="K2397" s="5" t="s">
        <v>2276</v>
      </c>
      <c r="L2397" s="5" t="n">
        <f aca="false">IF(G2397="High",3,IF(G2397="Medium",2,1))</f>
        <v>1</v>
      </c>
    </row>
    <row r="2398" customFormat="false" ht="15" hidden="false" customHeight="true" outlineLevel="0" collapsed="false">
      <c r="A2398" s="5" t="s">
        <v>4676</v>
      </c>
      <c r="B2398" s="5" t="s">
        <v>1788</v>
      </c>
      <c r="C2398" s="5" t="s">
        <v>2248</v>
      </c>
      <c r="D2398" s="5" t="s">
        <v>2271</v>
      </c>
      <c r="E2398" s="5" t="s">
        <v>54</v>
      </c>
      <c r="F2398" s="5" t="s">
        <v>2225</v>
      </c>
      <c r="G2398" s="5" t="str">
        <f aca="false">INDEX(Risk_Matrix!$B$2:$D$4,MATCH(E2398,Risk_Matrix!$A$2:$A$4,0),MATCH(F2398,Risk_Matrix!$B$1:$D$1,0))</f>
        <v>High</v>
      </c>
      <c r="H2398" s="12" t="n">
        <v>46032</v>
      </c>
      <c r="I2398" s="5" t="s">
        <v>2256</v>
      </c>
      <c r="J2398" s="5" t="s">
        <v>4081</v>
      </c>
      <c r="K2398" s="5" t="s">
        <v>2252</v>
      </c>
      <c r="L2398" s="5" t="n">
        <f aca="false">IF(G2398="High",3,IF(G2398="Medium",2,1))</f>
        <v>3</v>
      </c>
    </row>
    <row r="2399" customFormat="false" ht="15" hidden="false" customHeight="true" outlineLevel="0" collapsed="false">
      <c r="A2399" s="5" t="s">
        <v>4677</v>
      </c>
      <c r="B2399" s="5" t="s">
        <v>1788</v>
      </c>
      <c r="C2399" s="5" t="s">
        <v>2262</v>
      </c>
      <c r="D2399" s="5" t="s">
        <v>2311</v>
      </c>
      <c r="E2399" s="5" t="s">
        <v>2225</v>
      </c>
      <c r="F2399" s="5" t="s">
        <v>59</v>
      </c>
      <c r="G2399" s="5" t="str">
        <f aca="false">INDEX(Risk_Matrix!$B$2:$D$4,MATCH(E2399,Risk_Matrix!$A$2:$A$4,0),MATCH(F2399,Risk_Matrix!$B$1:$D$1,0))</f>
        <v>Low</v>
      </c>
      <c r="H2399" s="12" t="n">
        <v>46179</v>
      </c>
      <c r="I2399" s="5" t="s">
        <v>2264</v>
      </c>
      <c r="J2399" s="5" t="s">
        <v>4087</v>
      </c>
      <c r="K2399" s="5" t="s">
        <v>2266</v>
      </c>
      <c r="L2399" s="5" t="n">
        <f aca="false">IF(G2399="High",3,IF(G2399="Medium",2,1))</f>
        <v>1</v>
      </c>
    </row>
    <row r="2400" customFormat="false" ht="15" hidden="false" customHeight="true" outlineLevel="0" collapsed="false">
      <c r="A2400" s="5" t="s">
        <v>4678</v>
      </c>
      <c r="B2400" s="5" t="s">
        <v>1788</v>
      </c>
      <c r="C2400" s="5" t="s">
        <v>2259</v>
      </c>
      <c r="D2400" s="5" t="s">
        <v>2274</v>
      </c>
      <c r="E2400" s="5" t="s">
        <v>2225</v>
      </c>
      <c r="F2400" s="5" t="s">
        <v>54</v>
      </c>
      <c r="G2400" s="5" t="str">
        <f aca="false">INDEX(Risk_Matrix!$B$2:$D$4,MATCH(E2400,Risk_Matrix!$A$2:$A$4,0),MATCH(F2400,Risk_Matrix!$B$1:$D$1,0))</f>
        <v>High</v>
      </c>
      <c r="H2400" s="12" t="n">
        <v>46090</v>
      </c>
      <c r="I2400" s="5" t="s">
        <v>2241</v>
      </c>
      <c r="J2400" s="5" t="s">
        <v>2242</v>
      </c>
      <c r="K2400" s="5" t="s">
        <v>2276</v>
      </c>
      <c r="L2400" s="5" t="n">
        <f aca="false">IF(G2400="High",3,IF(G2400="Medium",2,1))</f>
        <v>3</v>
      </c>
    </row>
    <row r="2401" customFormat="false" ht="15" hidden="false" customHeight="true" outlineLevel="0" collapsed="false">
      <c r="A2401" s="5" t="s">
        <v>4679</v>
      </c>
      <c r="B2401" s="5" t="s">
        <v>1788</v>
      </c>
      <c r="C2401" s="5" t="s">
        <v>2254</v>
      </c>
      <c r="D2401" s="5" t="s">
        <v>2255</v>
      </c>
      <c r="E2401" s="5" t="s">
        <v>59</v>
      </c>
      <c r="F2401" s="5" t="s">
        <v>59</v>
      </c>
      <c r="G2401" s="5" t="str">
        <f aca="false">INDEX(Risk_Matrix!$B$2:$D$4,MATCH(E2401,Risk_Matrix!$A$2:$A$4,0),MATCH(F2401,Risk_Matrix!$B$1:$D$1,0))</f>
        <v>Low</v>
      </c>
      <c r="H2401" s="12" t="n">
        <v>46201</v>
      </c>
      <c r="I2401" s="5" t="s">
        <v>2241</v>
      </c>
      <c r="J2401" s="5" t="s">
        <v>2242</v>
      </c>
      <c r="K2401" s="5" t="s">
        <v>2283</v>
      </c>
      <c r="L2401" s="5" t="n">
        <f aca="false">IF(G2401="High",3,IF(G2401="Medium",2,1))</f>
        <v>1</v>
      </c>
    </row>
    <row r="2402" customFormat="false" ht="15" hidden="false" customHeight="true" outlineLevel="0" collapsed="false">
      <c r="A2402" s="5" t="s">
        <v>4680</v>
      </c>
      <c r="B2402" s="5" t="s">
        <v>1790</v>
      </c>
      <c r="C2402" s="5" t="s">
        <v>2239</v>
      </c>
      <c r="D2402" s="5" t="s">
        <v>2295</v>
      </c>
      <c r="E2402" s="5" t="s">
        <v>59</v>
      </c>
      <c r="F2402" s="5" t="s">
        <v>54</v>
      </c>
      <c r="G2402" s="5" t="str">
        <f aca="false">INDEX(Risk_Matrix!$B$2:$D$4,MATCH(E2402,Risk_Matrix!$A$2:$A$4,0),MATCH(F2402,Risk_Matrix!$B$1:$D$1,0))</f>
        <v>Medium</v>
      </c>
      <c r="H2402" s="12" t="n">
        <v>46225</v>
      </c>
      <c r="I2402" s="5" t="s">
        <v>2264</v>
      </c>
      <c r="J2402" s="5" t="s">
        <v>4087</v>
      </c>
      <c r="K2402" s="5" t="s">
        <v>2243</v>
      </c>
      <c r="L2402" s="5" t="n">
        <f aca="false">IF(G2402="High",3,IF(G2402="Medium",2,1))</f>
        <v>2</v>
      </c>
    </row>
    <row r="2403" customFormat="false" ht="15" hidden="false" customHeight="true" outlineLevel="0" collapsed="false">
      <c r="A2403" s="5" t="s">
        <v>4681</v>
      </c>
      <c r="B2403" s="5" t="s">
        <v>1790</v>
      </c>
      <c r="C2403" s="5" t="s">
        <v>2245</v>
      </c>
      <c r="D2403" s="5" t="s">
        <v>2280</v>
      </c>
      <c r="E2403" s="5" t="s">
        <v>59</v>
      </c>
      <c r="F2403" s="5" t="s">
        <v>2225</v>
      </c>
      <c r="G2403" s="5" t="str">
        <f aca="false">INDEX(Risk_Matrix!$B$2:$D$4,MATCH(E2403,Risk_Matrix!$A$2:$A$4,0),MATCH(F2403,Risk_Matrix!$B$1:$D$1,0))</f>
        <v>Low</v>
      </c>
      <c r="H2403" s="12" t="n">
        <v>46152</v>
      </c>
      <c r="I2403" s="5" t="s">
        <v>2250</v>
      </c>
      <c r="J2403" s="5" t="s">
        <v>2251</v>
      </c>
      <c r="K2403" s="5" t="s">
        <v>2276</v>
      </c>
      <c r="L2403" s="5" t="n">
        <f aca="false">IF(G2403="High",3,IF(G2403="Medium",2,1))</f>
        <v>1</v>
      </c>
    </row>
    <row r="2404" customFormat="false" ht="15" hidden="false" customHeight="true" outlineLevel="0" collapsed="false">
      <c r="A2404" s="5" t="s">
        <v>4682</v>
      </c>
      <c r="B2404" s="5" t="s">
        <v>1790</v>
      </c>
      <c r="C2404" s="5" t="s">
        <v>2248</v>
      </c>
      <c r="D2404" s="5" t="s">
        <v>2306</v>
      </c>
      <c r="E2404" s="5" t="s">
        <v>54</v>
      </c>
      <c r="F2404" s="5" t="s">
        <v>2225</v>
      </c>
      <c r="G2404" s="5" t="str">
        <f aca="false">INDEX(Risk_Matrix!$B$2:$D$4,MATCH(E2404,Risk_Matrix!$A$2:$A$4,0),MATCH(F2404,Risk_Matrix!$B$1:$D$1,0))</f>
        <v>High</v>
      </c>
      <c r="H2404" s="12" t="n">
        <v>46120</v>
      </c>
      <c r="I2404" s="5" t="s">
        <v>2256</v>
      </c>
      <c r="J2404" s="5" t="s">
        <v>4081</v>
      </c>
      <c r="K2404" s="5" t="s">
        <v>2252</v>
      </c>
      <c r="L2404" s="5" t="n">
        <f aca="false">IF(G2404="High",3,IF(G2404="Medium",2,1))</f>
        <v>3</v>
      </c>
    </row>
    <row r="2405" customFormat="false" ht="15" hidden="false" customHeight="true" outlineLevel="0" collapsed="false">
      <c r="A2405" s="5" t="s">
        <v>4683</v>
      </c>
      <c r="B2405" s="5" t="s">
        <v>1790</v>
      </c>
      <c r="C2405" s="5" t="s">
        <v>2262</v>
      </c>
      <c r="D2405" s="5" t="s">
        <v>2287</v>
      </c>
      <c r="E2405" s="5" t="s">
        <v>59</v>
      </c>
      <c r="F2405" s="5" t="s">
        <v>2225</v>
      </c>
      <c r="G2405" s="5" t="str">
        <f aca="false">INDEX(Risk_Matrix!$B$2:$D$4,MATCH(E2405,Risk_Matrix!$A$2:$A$4,0),MATCH(F2405,Risk_Matrix!$B$1:$D$1,0))</f>
        <v>Low</v>
      </c>
      <c r="H2405" s="12" t="n">
        <v>46159</v>
      </c>
      <c r="I2405" s="5" t="s">
        <v>2250</v>
      </c>
      <c r="J2405" s="5" t="s">
        <v>2251</v>
      </c>
      <c r="K2405" s="5" t="s">
        <v>2252</v>
      </c>
      <c r="L2405" s="5" t="n">
        <f aca="false">IF(G2405="High",3,IF(G2405="Medium",2,1))</f>
        <v>1</v>
      </c>
    </row>
    <row r="2406" customFormat="false" ht="15" hidden="false" customHeight="true" outlineLevel="0" collapsed="false">
      <c r="A2406" s="5" t="s">
        <v>4684</v>
      </c>
      <c r="B2406" s="5" t="s">
        <v>1790</v>
      </c>
      <c r="C2406" s="5" t="s">
        <v>2259</v>
      </c>
      <c r="D2406" s="5" t="s">
        <v>2285</v>
      </c>
      <c r="E2406" s="5" t="s">
        <v>54</v>
      </c>
      <c r="F2406" s="5" t="s">
        <v>2225</v>
      </c>
      <c r="G2406" s="5" t="str">
        <f aca="false">INDEX(Risk_Matrix!$B$2:$D$4,MATCH(E2406,Risk_Matrix!$A$2:$A$4,0),MATCH(F2406,Risk_Matrix!$B$1:$D$1,0))</f>
        <v>High</v>
      </c>
      <c r="H2406" s="12" t="n">
        <v>46202</v>
      </c>
      <c r="I2406" s="5" t="s">
        <v>2241</v>
      </c>
      <c r="J2406" s="5" t="s">
        <v>2242</v>
      </c>
      <c r="K2406" s="5" t="s">
        <v>2252</v>
      </c>
      <c r="L2406" s="5" t="n">
        <f aca="false">IF(G2406="High",3,IF(G2406="Medium",2,1))</f>
        <v>3</v>
      </c>
    </row>
    <row r="2407" customFormat="false" ht="15" hidden="false" customHeight="true" outlineLevel="0" collapsed="false">
      <c r="A2407" s="5" t="s">
        <v>4685</v>
      </c>
      <c r="B2407" s="5" t="s">
        <v>1790</v>
      </c>
      <c r="C2407" s="5" t="s">
        <v>2254</v>
      </c>
      <c r="D2407" s="5" t="s">
        <v>2299</v>
      </c>
      <c r="E2407" s="5" t="s">
        <v>54</v>
      </c>
      <c r="F2407" s="5" t="s">
        <v>54</v>
      </c>
      <c r="G2407" s="5" t="str">
        <f aca="false">INDEX(Risk_Matrix!$B$2:$D$4,MATCH(E2407,Risk_Matrix!$A$2:$A$4,0),MATCH(F2407,Risk_Matrix!$B$1:$D$1,0))</f>
        <v>High</v>
      </c>
      <c r="H2407" s="12" t="n">
        <v>46132</v>
      </c>
      <c r="I2407" s="5" t="s">
        <v>2241</v>
      </c>
      <c r="J2407" s="5" t="s">
        <v>2242</v>
      </c>
      <c r="K2407" s="5" t="s">
        <v>2243</v>
      </c>
      <c r="L2407" s="5" t="n">
        <f aca="false">IF(G2407="High",3,IF(G2407="Medium",2,1))</f>
        <v>3</v>
      </c>
    </row>
    <row r="2408" customFormat="false" ht="15" hidden="false" customHeight="true" outlineLevel="0" collapsed="false">
      <c r="A2408" s="5" t="s">
        <v>4686</v>
      </c>
      <c r="B2408" s="5" t="s">
        <v>1792</v>
      </c>
      <c r="C2408" s="5" t="s">
        <v>2239</v>
      </c>
      <c r="D2408" s="5" t="s">
        <v>2278</v>
      </c>
      <c r="E2408" s="5" t="s">
        <v>54</v>
      </c>
      <c r="F2408" s="5" t="s">
        <v>59</v>
      </c>
      <c r="G2408" s="5" t="str">
        <f aca="false">INDEX(Risk_Matrix!$B$2:$D$4,MATCH(E2408,Risk_Matrix!$A$2:$A$4,0),MATCH(F2408,Risk_Matrix!$B$1:$D$1,0))</f>
        <v>Medium</v>
      </c>
      <c r="H2408" s="12" t="n">
        <v>46034</v>
      </c>
      <c r="I2408" s="5" t="s">
        <v>2250</v>
      </c>
      <c r="J2408" s="5" t="s">
        <v>2251</v>
      </c>
      <c r="K2408" s="5" t="s">
        <v>2276</v>
      </c>
      <c r="L2408" s="5" t="n">
        <f aca="false">IF(G2408="High",3,IF(G2408="Medium",2,1))</f>
        <v>2</v>
      </c>
    </row>
    <row r="2409" customFormat="false" ht="15" hidden="false" customHeight="true" outlineLevel="0" collapsed="false">
      <c r="A2409" s="5" t="s">
        <v>4687</v>
      </c>
      <c r="B2409" s="5" t="s">
        <v>1792</v>
      </c>
      <c r="C2409" s="5" t="s">
        <v>2245</v>
      </c>
      <c r="D2409" s="5" t="s">
        <v>2246</v>
      </c>
      <c r="E2409" s="5" t="s">
        <v>54</v>
      </c>
      <c r="F2409" s="5" t="s">
        <v>54</v>
      </c>
      <c r="G2409" s="5" t="str">
        <f aca="false">INDEX(Risk_Matrix!$B$2:$D$4,MATCH(E2409,Risk_Matrix!$A$2:$A$4,0),MATCH(F2409,Risk_Matrix!$B$1:$D$1,0))</f>
        <v>High</v>
      </c>
      <c r="H2409" s="12" t="n">
        <v>46079</v>
      </c>
      <c r="I2409" s="5" t="s">
        <v>2256</v>
      </c>
      <c r="J2409" s="5" t="s">
        <v>4081</v>
      </c>
      <c r="K2409" s="5" t="s">
        <v>2252</v>
      </c>
      <c r="L2409" s="5" t="n">
        <f aca="false">IF(G2409="High",3,IF(G2409="Medium",2,1))</f>
        <v>3</v>
      </c>
    </row>
    <row r="2410" customFormat="false" ht="15" hidden="false" customHeight="true" outlineLevel="0" collapsed="false">
      <c r="A2410" s="5" t="s">
        <v>4688</v>
      </c>
      <c r="B2410" s="5" t="s">
        <v>1792</v>
      </c>
      <c r="C2410" s="5" t="s">
        <v>2248</v>
      </c>
      <c r="D2410" s="5" t="s">
        <v>2271</v>
      </c>
      <c r="E2410" s="5" t="s">
        <v>59</v>
      </c>
      <c r="F2410" s="5" t="s">
        <v>2225</v>
      </c>
      <c r="G2410" s="5" t="str">
        <f aca="false">INDEX(Risk_Matrix!$B$2:$D$4,MATCH(E2410,Risk_Matrix!$A$2:$A$4,0),MATCH(F2410,Risk_Matrix!$B$1:$D$1,0))</f>
        <v>Low</v>
      </c>
      <c r="H2410" s="12" t="n">
        <v>46187</v>
      </c>
      <c r="I2410" s="5" t="s">
        <v>2241</v>
      </c>
      <c r="J2410" s="5" t="s">
        <v>2242</v>
      </c>
      <c r="K2410" s="5" t="s">
        <v>2252</v>
      </c>
      <c r="L2410" s="5" t="n">
        <f aca="false">IF(G2410="High",3,IF(G2410="Medium",2,1))</f>
        <v>1</v>
      </c>
    </row>
    <row r="2411" customFormat="false" ht="15" hidden="false" customHeight="true" outlineLevel="0" collapsed="false">
      <c r="A2411" s="5" t="s">
        <v>4689</v>
      </c>
      <c r="B2411" s="5" t="s">
        <v>1792</v>
      </c>
      <c r="C2411" s="5" t="s">
        <v>2262</v>
      </c>
      <c r="D2411" s="5" t="s">
        <v>2263</v>
      </c>
      <c r="E2411" s="5" t="s">
        <v>54</v>
      </c>
      <c r="F2411" s="5" t="s">
        <v>2225</v>
      </c>
      <c r="G2411" s="5" t="str">
        <f aca="false">INDEX(Risk_Matrix!$B$2:$D$4,MATCH(E2411,Risk_Matrix!$A$2:$A$4,0),MATCH(F2411,Risk_Matrix!$B$1:$D$1,0))</f>
        <v>High</v>
      </c>
      <c r="H2411" s="12" t="n">
        <v>46200</v>
      </c>
      <c r="I2411" s="5" t="s">
        <v>2264</v>
      </c>
      <c r="J2411" s="5" t="s">
        <v>4087</v>
      </c>
      <c r="K2411" s="5" t="s">
        <v>2252</v>
      </c>
      <c r="L2411" s="5" t="n">
        <f aca="false">IF(G2411="High",3,IF(G2411="Medium",2,1))</f>
        <v>3</v>
      </c>
    </row>
    <row r="2412" customFormat="false" ht="15" hidden="false" customHeight="true" outlineLevel="0" collapsed="false">
      <c r="A2412" s="5" t="s">
        <v>4690</v>
      </c>
      <c r="B2412" s="5" t="s">
        <v>1792</v>
      </c>
      <c r="C2412" s="5" t="s">
        <v>2259</v>
      </c>
      <c r="D2412" s="5" t="s">
        <v>2274</v>
      </c>
      <c r="E2412" s="5" t="s">
        <v>2225</v>
      </c>
      <c r="F2412" s="5" t="s">
        <v>2225</v>
      </c>
      <c r="G2412" s="5" t="str">
        <f aca="false">INDEX(Risk_Matrix!$B$2:$D$4,MATCH(E2412,Risk_Matrix!$A$2:$A$4,0),MATCH(F2412,Risk_Matrix!$B$1:$D$1,0))</f>
        <v>Medium</v>
      </c>
      <c r="H2412" s="12" t="n">
        <v>46106</v>
      </c>
      <c r="I2412" s="5" t="s">
        <v>2256</v>
      </c>
      <c r="J2412" s="5" t="s">
        <v>4081</v>
      </c>
      <c r="K2412" s="5" t="s">
        <v>2252</v>
      </c>
      <c r="L2412" s="5" t="n">
        <f aca="false">IF(G2412="High",3,IF(G2412="Medium",2,1))</f>
        <v>2</v>
      </c>
    </row>
    <row r="2413" customFormat="false" ht="15" hidden="false" customHeight="true" outlineLevel="0" collapsed="false">
      <c r="A2413" s="5" t="s">
        <v>4691</v>
      </c>
      <c r="B2413" s="5" t="s">
        <v>1792</v>
      </c>
      <c r="C2413" s="5" t="s">
        <v>2254</v>
      </c>
      <c r="D2413" s="5" t="s">
        <v>2308</v>
      </c>
      <c r="E2413" s="5" t="s">
        <v>59</v>
      </c>
      <c r="F2413" s="5" t="s">
        <v>54</v>
      </c>
      <c r="G2413" s="5" t="str">
        <f aca="false">INDEX(Risk_Matrix!$B$2:$D$4,MATCH(E2413,Risk_Matrix!$A$2:$A$4,0),MATCH(F2413,Risk_Matrix!$B$1:$D$1,0))</f>
        <v>Medium</v>
      </c>
      <c r="H2413" s="12" t="n">
        <v>46058</v>
      </c>
      <c r="I2413" s="5" t="s">
        <v>2250</v>
      </c>
      <c r="J2413" s="5" t="s">
        <v>2251</v>
      </c>
      <c r="K2413" s="5" t="s">
        <v>2283</v>
      </c>
      <c r="L2413" s="5" t="n">
        <f aca="false">IF(G2413="High",3,IF(G2413="Medium",2,1))</f>
        <v>2</v>
      </c>
    </row>
    <row r="2414" customFormat="false" ht="15" hidden="false" customHeight="true" outlineLevel="0" collapsed="false">
      <c r="A2414" s="5" t="s">
        <v>4692</v>
      </c>
      <c r="B2414" s="5" t="s">
        <v>1794</v>
      </c>
      <c r="C2414" s="5" t="s">
        <v>2239</v>
      </c>
      <c r="D2414" s="5" t="s">
        <v>2303</v>
      </c>
      <c r="E2414" s="5" t="s">
        <v>2225</v>
      </c>
      <c r="F2414" s="5" t="s">
        <v>54</v>
      </c>
      <c r="G2414" s="5" t="str">
        <f aca="false">INDEX(Risk_Matrix!$B$2:$D$4,MATCH(E2414,Risk_Matrix!$A$2:$A$4,0),MATCH(F2414,Risk_Matrix!$B$1:$D$1,0))</f>
        <v>High</v>
      </c>
      <c r="H2414" s="12" t="n">
        <v>46055</v>
      </c>
      <c r="I2414" s="5" t="s">
        <v>2250</v>
      </c>
      <c r="J2414" s="5" t="s">
        <v>2251</v>
      </c>
      <c r="K2414" s="5" t="s">
        <v>2252</v>
      </c>
      <c r="L2414" s="5" t="n">
        <f aca="false">IF(G2414="High",3,IF(G2414="Medium",2,1))</f>
        <v>3</v>
      </c>
    </row>
    <row r="2415" customFormat="false" ht="15" hidden="false" customHeight="true" outlineLevel="0" collapsed="false">
      <c r="A2415" s="5" t="s">
        <v>4693</v>
      </c>
      <c r="B2415" s="5" t="s">
        <v>1794</v>
      </c>
      <c r="C2415" s="5" t="s">
        <v>2245</v>
      </c>
      <c r="D2415" s="5" t="s">
        <v>2280</v>
      </c>
      <c r="E2415" s="5" t="s">
        <v>2225</v>
      </c>
      <c r="F2415" s="5" t="s">
        <v>54</v>
      </c>
      <c r="G2415" s="5" t="str">
        <f aca="false">INDEX(Risk_Matrix!$B$2:$D$4,MATCH(E2415,Risk_Matrix!$A$2:$A$4,0),MATCH(F2415,Risk_Matrix!$B$1:$D$1,0))</f>
        <v>High</v>
      </c>
      <c r="H2415" s="12" t="n">
        <v>46201</v>
      </c>
      <c r="I2415" s="5" t="s">
        <v>2264</v>
      </c>
      <c r="J2415" s="5" t="s">
        <v>4087</v>
      </c>
      <c r="K2415" s="5" t="s">
        <v>2276</v>
      </c>
      <c r="L2415" s="5" t="n">
        <f aca="false">IF(G2415="High",3,IF(G2415="Medium",2,1))</f>
        <v>3</v>
      </c>
    </row>
    <row r="2416" customFormat="false" ht="15" hidden="false" customHeight="true" outlineLevel="0" collapsed="false">
      <c r="A2416" s="5" t="s">
        <v>4694</v>
      </c>
      <c r="B2416" s="5" t="s">
        <v>1794</v>
      </c>
      <c r="C2416" s="5" t="s">
        <v>2248</v>
      </c>
      <c r="D2416" s="5" t="s">
        <v>2322</v>
      </c>
      <c r="E2416" s="5" t="s">
        <v>54</v>
      </c>
      <c r="F2416" s="5" t="s">
        <v>2225</v>
      </c>
      <c r="G2416" s="5" t="str">
        <f aca="false">INDEX(Risk_Matrix!$B$2:$D$4,MATCH(E2416,Risk_Matrix!$A$2:$A$4,0),MATCH(F2416,Risk_Matrix!$B$1:$D$1,0))</f>
        <v>High</v>
      </c>
      <c r="H2416" s="12" t="n">
        <v>46151</v>
      </c>
      <c r="I2416" s="5" t="s">
        <v>2264</v>
      </c>
      <c r="J2416" s="5" t="s">
        <v>4087</v>
      </c>
      <c r="K2416" s="5" t="s">
        <v>2252</v>
      </c>
      <c r="L2416" s="5" t="n">
        <f aca="false">IF(G2416="High",3,IF(G2416="Medium",2,1))</f>
        <v>3</v>
      </c>
    </row>
    <row r="2417" customFormat="false" ht="15" hidden="false" customHeight="true" outlineLevel="0" collapsed="false">
      <c r="A2417" s="5" t="s">
        <v>4695</v>
      </c>
      <c r="B2417" s="5" t="s">
        <v>1794</v>
      </c>
      <c r="C2417" s="5" t="s">
        <v>2262</v>
      </c>
      <c r="D2417" s="5" t="s">
        <v>2287</v>
      </c>
      <c r="E2417" s="5" t="s">
        <v>59</v>
      </c>
      <c r="F2417" s="5" t="s">
        <v>2225</v>
      </c>
      <c r="G2417" s="5" t="str">
        <f aca="false">INDEX(Risk_Matrix!$B$2:$D$4,MATCH(E2417,Risk_Matrix!$A$2:$A$4,0),MATCH(F2417,Risk_Matrix!$B$1:$D$1,0))</f>
        <v>Low</v>
      </c>
      <c r="H2417" s="12" t="n">
        <v>46037</v>
      </c>
      <c r="I2417" s="5" t="s">
        <v>2241</v>
      </c>
      <c r="J2417" s="5" t="s">
        <v>2242</v>
      </c>
      <c r="K2417" s="5" t="s">
        <v>2276</v>
      </c>
      <c r="L2417" s="5" t="n">
        <f aca="false">IF(G2417="High",3,IF(G2417="Medium",2,1))</f>
        <v>1</v>
      </c>
    </row>
    <row r="2418" customFormat="false" ht="15" hidden="false" customHeight="true" outlineLevel="0" collapsed="false">
      <c r="A2418" s="5" t="s">
        <v>4696</v>
      </c>
      <c r="B2418" s="5" t="s">
        <v>1794</v>
      </c>
      <c r="C2418" s="5" t="s">
        <v>2259</v>
      </c>
      <c r="D2418" s="5" t="s">
        <v>2260</v>
      </c>
      <c r="E2418" s="5" t="s">
        <v>2225</v>
      </c>
      <c r="F2418" s="5" t="s">
        <v>54</v>
      </c>
      <c r="G2418" s="5" t="str">
        <f aca="false">INDEX(Risk_Matrix!$B$2:$D$4,MATCH(E2418,Risk_Matrix!$A$2:$A$4,0),MATCH(F2418,Risk_Matrix!$B$1:$D$1,0))</f>
        <v>High</v>
      </c>
      <c r="H2418" s="12" t="n">
        <v>46152</v>
      </c>
      <c r="I2418" s="5" t="s">
        <v>2241</v>
      </c>
      <c r="J2418" s="5" t="s">
        <v>2242</v>
      </c>
      <c r="K2418" s="5" t="s">
        <v>2266</v>
      </c>
      <c r="L2418" s="5" t="n">
        <f aca="false">IF(G2418="High",3,IF(G2418="Medium",2,1))</f>
        <v>3</v>
      </c>
    </row>
    <row r="2419" customFormat="false" ht="15" hidden="false" customHeight="true" outlineLevel="0" collapsed="false">
      <c r="A2419" s="5" t="s">
        <v>4697</v>
      </c>
      <c r="B2419" s="5" t="s">
        <v>1794</v>
      </c>
      <c r="C2419" s="5" t="s">
        <v>2254</v>
      </c>
      <c r="D2419" s="5" t="s">
        <v>2255</v>
      </c>
      <c r="E2419" s="5" t="s">
        <v>59</v>
      </c>
      <c r="F2419" s="5" t="s">
        <v>2225</v>
      </c>
      <c r="G2419" s="5" t="str">
        <f aca="false">INDEX(Risk_Matrix!$B$2:$D$4,MATCH(E2419,Risk_Matrix!$A$2:$A$4,0),MATCH(F2419,Risk_Matrix!$B$1:$D$1,0))</f>
        <v>Low</v>
      </c>
      <c r="H2419" s="12" t="n">
        <v>46039</v>
      </c>
      <c r="I2419" s="5" t="s">
        <v>2250</v>
      </c>
      <c r="J2419" s="5" t="s">
        <v>2251</v>
      </c>
      <c r="K2419" s="5" t="s">
        <v>2266</v>
      </c>
      <c r="L2419" s="5" t="n">
        <f aca="false">IF(G2419="High",3,IF(G2419="Medium",2,1))</f>
        <v>1</v>
      </c>
    </row>
    <row r="2420" customFormat="false" ht="15" hidden="false" customHeight="true" outlineLevel="0" collapsed="false">
      <c r="A2420" s="5" t="s">
        <v>4698</v>
      </c>
      <c r="B2420" s="5" t="s">
        <v>1796</v>
      </c>
      <c r="C2420" s="5" t="s">
        <v>2239</v>
      </c>
      <c r="D2420" s="5" t="s">
        <v>2295</v>
      </c>
      <c r="E2420" s="5" t="s">
        <v>59</v>
      </c>
      <c r="F2420" s="5" t="s">
        <v>2225</v>
      </c>
      <c r="G2420" s="5" t="str">
        <f aca="false">INDEX(Risk_Matrix!$B$2:$D$4,MATCH(E2420,Risk_Matrix!$A$2:$A$4,0),MATCH(F2420,Risk_Matrix!$B$1:$D$1,0))</f>
        <v>Low</v>
      </c>
      <c r="H2420" s="12" t="n">
        <v>46197</v>
      </c>
      <c r="I2420" s="5" t="s">
        <v>2250</v>
      </c>
      <c r="J2420" s="5" t="s">
        <v>2251</v>
      </c>
      <c r="K2420" s="5" t="s">
        <v>2283</v>
      </c>
      <c r="L2420" s="5" t="n">
        <f aca="false">IF(G2420="High",3,IF(G2420="Medium",2,1))</f>
        <v>1</v>
      </c>
    </row>
    <row r="2421" customFormat="false" ht="15" hidden="false" customHeight="true" outlineLevel="0" collapsed="false">
      <c r="A2421" s="5" t="s">
        <v>4699</v>
      </c>
      <c r="B2421" s="5" t="s">
        <v>1796</v>
      </c>
      <c r="C2421" s="5" t="s">
        <v>2245</v>
      </c>
      <c r="D2421" s="5" t="s">
        <v>2246</v>
      </c>
      <c r="E2421" s="5" t="s">
        <v>59</v>
      </c>
      <c r="F2421" s="5" t="s">
        <v>54</v>
      </c>
      <c r="G2421" s="5" t="str">
        <f aca="false">INDEX(Risk_Matrix!$B$2:$D$4,MATCH(E2421,Risk_Matrix!$A$2:$A$4,0),MATCH(F2421,Risk_Matrix!$B$1:$D$1,0))</f>
        <v>Medium</v>
      </c>
      <c r="H2421" s="12" t="n">
        <v>46214</v>
      </c>
      <c r="I2421" s="5" t="s">
        <v>2250</v>
      </c>
      <c r="J2421" s="5" t="s">
        <v>2251</v>
      </c>
      <c r="K2421" s="5" t="s">
        <v>2243</v>
      </c>
      <c r="L2421" s="5" t="n">
        <f aca="false">IF(G2421="High",3,IF(G2421="Medium",2,1))</f>
        <v>2</v>
      </c>
    </row>
    <row r="2422" customFormat="false" ht="15" hidden="false" customHeight="true" outlineLevel="0" collapsed="false">
      <c r="A2422" s="5" t="s">
        <v>4700</v>
      </c>
      <c r="B2422" s="5" t="s">
        <v>1796</v>
      </c>
      <c r="C2422" s="5" t="s">
        <v>2248</v>
      </c>
      <c r="D2422" s="5" t="s">
        <v>2322</v>
      </c>
      <c r="E2422" s="5" t="s">
        <v>2225</v>
      </c>
      <c r="F2422" s="5" t="s">
        <v>54</v>
      </c>
      <c r="G2422" s="5" t="str">
        <f aca="false">INDEX(Risk_Matrix!$B$2:$D$4,MATCH(E2422,Risk_Matrix!$A$2:$A$4,0),MATCH(F2422,Risk_Matrix!$B$1:$D$1,0))</f>
        <v>High</v>
      </c>
      <c r="H2422" s="12" t="n">
        <v>46083</v>
      </c>
      <c r="I2422" s="5" t="s">
        <v>2241</v>
      </c>
      <c r="J2422" s="5" t="s">
        <v>2242</v>
      </c>
      <c r="K2422" s="5" t="s">
        <v>2252</v>
      </c>
      <c r="L2422" s="5" t="n">
        <f aca="false">IF(G2422="High",3,IF(G2422="Medium",2,1))</f>
        <v>3</v>
      </c>
    </row>
    <row r="2423" customFormat="false" ht="15" hidden="false" customHeight="true" outlineLevel="0" collapsed="false">
      <c r="A2423" s="5" t="s">
        <v>4701</v>
      </c>
      <c r="B2423" s="5" t="s">
        <v>1796</v>
      </c>
      <c r="C2423" s="5" t="s">
        <v>2262</v>
      </c>
      <c r="D2423" s="5" t="s">
        <v>2311</v>
      </c>
      <c r="E2423" s="5" t="s">
        <v>2225</v>
      </c>
      <c r="F2423" s="5" t="s">
        <v>2225</v>
      </c>
      <c r="G2423" s="5" t="str">
        <f aca="false">INDEX(Risk_Matrix!$B$2:$D$4,MATCH(E2423,Risk_Matrix!$A$2:$A$4,0),MATCH(F2423,Risk_Matrix!$B$1:$D$1,0))</f>
        <v>Medium</v>
      </c>
      <c r="H2423" s="12" t="n">
        <v>46135</v>
      </c>
      <c r="I2423" s="5" t="s">
        <v>2264</v>
      </c>
      <c r="J2423" s="5" t="s">
        <v>4087</v>
      </c>
      <c r="K2423" s="5" t="s">
        <v>2276</v>
      </c>
      <c r="L2423" s="5" t="n">
        <f aca="false">IF(G2423="High",3,IF(G2423="Medium",2,1))</f>
        <v>2</v>
      </c>
    </row>
    <row r="2424" customFormat="false" ht="15" hidden="false" customHeight="true" outlineLevel="0" collapsed="false">
      <c r="A2424" s="5" t="s">
        <v>4702</v>
      </c>
      <c r="B2424" s="5" t="s">
        <v>1796</v>
      </c>
      <c r="C2424" s="5" t="s">
        <v>2259</v>
      </c>
      <c r="D2424" s="5" t="s">
        <v>2274</v>
      </c>
      <c r="E2424" s="5" t="s">
        <v>59</v>
      </c>
      <c r="F2424" s="5" t="s">
        <v>2225</v>
      </c>
      <c r="G2424" s="5" t="str">
        <f aca="false">INDEX(Risk_Matrix!$B$2:$D$4,MATCH(E2424,Risk_Matrix!$A$2:$A$4,0),MATCH(F2424,Risk_Matrix!$B$1:$D$1,0))</f>
        <v>Low</v>
      </c>
      <c r="H2424" s="12" t="n">
        <v>46106</v>
      </c>
      <c r="I2424" s="5" t="s">
        <v>2250</v>
      </c>
      <c r="J2424" s="5" t="s">
        <v>2251</v>
      </c>
      <c r="K2424" s="5" t="s">
        <v>2283</v>
      </c>
      <c r="L2424" s="5" t="n">
        <f aca="false">IF(G2424="High",3,IF(G2424="Medium",2,1))</f>
        <v>1</v>
      </c>
    </row>
    <row r="2425" customFormat="false" ht="15" hidden="false" customHeight="true" outlineLevel="0" collapsed="false">
      <c r="A2425" s="5" t="s">
        <v>4703</v>
      </c>
      <c r="B2425" s="5" t="s">
        <v>1796</v>
      </c>
      <c r="C2425" s="5" t="s">
        <v>2254</v>
      </c>
      <c r="D2425" s="5" t="s">
        <v>2308</v>
      </c>
      <c r="E2425" s="5" t="s">
        <v>54</v>
      </c>
      <c r="F2425" s="5" t="s">
        <v>2225</v>
      </c>
      <c r="G2425" s="5" t="str">
        <f aca="false">INDEX(Risk_Matrix!$B$2:$D$4,MATCH(E2425,Risk_Matrix!$A$2:$A$4,0),MATCH(F2425,Risk_Matrix!$B$1:$D$1,0))</f>
        <v>High</v>
      </c>
      <c r="H2425" s="12" t="n">
        <v>46062</v>
      </c>
      <c r="I2425" s="5" t="s">
        <v>2250</v>
      </c>
      <c r="J2425" s="5" t="s">
        <v>2251</v>
      </c>
      <c r="K2425" s="5" t="s">
        <v>2283</v>
      </c>
      <c r="L2425" s="5" t="n">
        <f aca="false">IF(G2425="High",3,IF(G2425="Medium",2,1))</f>
        <v>3</v>
      </c>
    </row>
    <row r="2426" customFormat="false" ht="15" hidden="false" customHeight="true" outlineLevel="0" collapsed="false">
      <c r="A2426" s="5" t="s">
        <v>4704</v>
      </c>
      <c r="B2426" s="5" t="s">
        <v>1798</v>
      </c>
      <c r="C2426" s="5" t="s">
        <v>2239</v>
      </c>
      <c r="D2426" s="5" t="s">
        <v>2278</v>
      </c>
      <c r="E2426" s="5" t="s">
        <v>2225</v>
      </c>
      <c r="F2426" s="5" t="s">
        <v>59</v>
      </c>
      <c r="G2426" s="5" t="str">
        <f aca="false">INDEX(Risk_Matrix!$B$2:$D$4,MATCH(E2426,Risk_Matrix!$A$2:$A$4,0),MATCH(F2426,Risk_Matrix!$B$1:$D$1,0))</f>
        <v>Low</v>
      </c>
      <c r="H2426" s="12" t="n">
        <v>46078</v>
      </c>
      <c r="I2426" s="5" t="s">
        <v>2256</v>
      </c>
      <c r="J2426" s="5" t="s">
        <v>4081</v>
      </c>
      <c r="K2426" s="5" t="s">
        <v>2283</v>
      </c>
      <c r="L2426" s="5" t="n">
        <f aca="false">IF(G2426="High",3,IF(G2426="Medium",2,1))</f>
        <v>1</v>
      </c>
    </row>
    <row r="2427" customFormat="false" ht="15" hidden="false" customHeight="true" outlineLevel="0" collapsed="false">
      <c r="A2427" s="5" t="s">
        <v>4705</v>
      </c>
      <c r="B2427" s="5" t="s">
        <v>1798</v>
      </c>
      <c r="C2427" s="5" t="s">
        <v>2245</v>
      </c>
      <c r="D2427" s="5" t="s">
        <v>2320</v>
      </c>
      <c r="E2427" s="5" t="s">
        <v>2225</v>
      </c>
      <c r="F2427" s="5" t="s">
        <v>59</v>
      </c>
      <c r="G2427" s="5" t="str">
        <f aca="false">INDEX(Risk_Matrix!$B$2:$D$4,MATCH(E2427,Risk_Matrix!$A$2:$A$4,0),MATCH(F2427,Risk_Matrix!$B$1:$D$1,0))</f>
        <v>Low</v>
      </c>
      <c r="H2427" s="12" t="n">
        <v>46187</v>
      </c>
      <c r="I2427" s="5" t="s">
        <v>2250</v>
      </c>
      <c r="J2427" s="5" t="s">
        <v>2251</v>
      </c>
      <c r="K2427" s="5" t="s">
        <v>2283</v>
      </c>
      <c r="L2427" s="5" t="n">
        <f aca="false">IF(G2427="High",3,IF(G2427="Medium",2,1))</f>
        <v>1</v>
      </c>
    </row>
    <row r="2428" customFormat="false" ht="15" hidden="false" customHeight="true" outlineLevel="0" collapsed="false">
      <c r="A2428" s="5" t="s">
        <v>4706</v>
      </c>
      <c r="B2428" s="5" t="s">
        <v>1798</v>
      </c>
      <c r="C2428" s="5" t="s">
        <v>2248</v>
      </c>
      <c r="D2428" s="5" t="s">
        <v>2249</v>
      </c>
      <c r="E2428" s="5" t="s">
        <v>54</v>
      </c>
      <c r="F2428" s="5" t="s">
        <v>59</v>
      </c>
      <c r="G2428" s="5" t="str">
        <f aca="false">INDEX(Risk_Matrix!$B$2:$D$4,MATCH(E2428,Risk_Matrix!$A$2:$A$4,0),MATCH(F2428,Risk_Matrix!$B$1:$D$1,0))</f>
        <v>Medium</v>
      </c>
      <c r="H2428" s="12" t="n">
        <v>46051</v>
      </c>
      <c r="I2428" s="5" t="s">
        <v>2256</v>
      </c>
      <c r="J2428" s="5" t="s">
        <v>4081</v>
      </c>
      <c r="K2428" s="5" t="s">
        <v>2276</v>
      </c>
      <c r="L2428" s="5" t="n">
        <f aca="false">IF(G2428="High",3,IF(G2428="Medium",2,1))</f>
        <v>2</v>
      </c>
    </row>
    <row r="2429" customFormat="false" ht="15" hidden="false" customHeight="true" outlineLevel="0" collapsed="false">
      <c r="A2429" s="5" t="s">
        <v>4707</v>
      </c>
      <c r="B2429" s="5" t="s">
        <v>1798</v>
      </c>
      <c r="C2429" s="5" t="s">
        <v>2262</v>
      </c>
      <c r="D2429" s="5" t="s">
        <v>2311</v>
      </c>
      <c r="E2429" s="5" t="s">
        <v>54</v>
      </c>
      <c r="F2429" s="5" t="s">
        <v>2225</v>
      </c>
      <c r="G2429" s="5" t="str">
        <f aca="false">INDEX(Risk_Matrix!$B$2:$D$4,MATCH(E2429,Risk_Matrix!$A$2:$A$4,0),MATCH(F2429,Risk_Matrix!$B$1:$D$1,0))</f>
        <v>High</v>
      </c>
      <c r="H2429" s="12" t="n">
        <v>46202</v>
      </c>
      <c r="I2429" s="5" t="s">
        <v>2250</v>
      </c>
      <c r="J2429" s="5" t="s">
        <v>2251</v>
      </c>
      <c r="K2429" s="5" t="s">
        <v>2283</v>
      </c>
      <c r="L2429" s="5" t="n">
        <f aca="false">IF(G2429="High",3,IF(G2429="Medium",2,1))</f>
        <v>3</v>
      </c>
    </row>
    <row r="2430" customFormat="false" ht="15" hidden="false" customHeight="true" outlineLevel="0" collapsed="false">
      <c r="A2430" s="5" t="s">
        <v>4708</v>
      </c>
      <c r="B2430" s="5" t="s">
        <v>1798</v>
      </c>
      <c r="C2430" s="5" t="s">
        <v>2259</v>
      </c>
      <c r="D2430" s="5" t="s">
        <v>2285</v>
      </c>
      <c r="E2430" s="5" t="s">
        <v>2225</v>
      </c>
      <c r="F2430" s="5" t="s">
        <v>2225</v>
      </c>
      <c r="G2430" s="5" t="str">
        <f aca="false">INDEX(Risk_Matrix!$B$2:$D$4,MATCH(E2430,Risk_Matrix!$A$2:$A$4,0),MATCH(F2430,Risk_Matrix!$B$1:$D$1,0))</f>
        <v>Medium</v>
      </c>
      <c r="H2430" s="12" t="n">
        <v>46146</v>
      </c>
      <c r="I2430" s="5" t="s">
        <v>2250</v>
      </c>
      <c r="J2430" s="5" t="s">
        <v>2251</v>
      </c>
      <c r="K2430" s="5" t="s">
        <v>2276</v>
      </c>
      <c r="L2430" s="5" t="n">
        <f aca="false">IF(G2430="High",3,IF(G2430="Medium",2,1))</f>
        <v>2</v>
      </c>
    </row>
    <row r="2431" customFormat="false" ht="15" hidden="false" customHeight="true" outlineLevel="0" collapsed="false">
      <c r="A2431" s="5" t="s">
        <v>4709</v>
      </c>
      <c r="B2431" s="5" t="s">
        <v>1798</v>
      </c>
      <c r="C2431" s="5" t="s">
        <v>2254</v>
      </c>
      <c r="D2431" s="5" t="s">
        <v>2255</v>
      </c>
      <c r="E2431" s="5" t="s">
        <v>2225</v>
      </c>
      <c r="F2431" s="5" t="s">
        <v>2225</v>
      </c>
      <c r="G2431" s="5" t="str">
        <f aca="false">INDEX(Risk_Matrix!$B$2:$D$4,MATCH(E2431,Risk_Matrix!$A$2:$A$4,0),MATCH(F2431,Risk_Matrix!$B$1:$D$1,0))</f>
        <v>Medium</v>
      </c>
      <c r="H2431" s="12" t="n">
        <v>46033</v>
      </c>
      <c r="I2431" s="5" t="s">
        <v>2241</v>
      </c>
      <c r="J2431" s="5" t="s">
        <v>2242</v>
      </c>
      <c r="K2431" s="5" t="s">
        <v>2283</v>
      </c>
      <c r="L2431" s="5" t="n">
        <f aca="false">IF(G2431="High",3,IF(G2431="Medium",2,1))</f>
        <v>2</v>
      </c>
    </row>
    <row r="2432" customFormat="false" ht="15" hidden="false" customHeight="true" outlineLevel="0" collapsed="false">
      <c r="A2432" s="5" t="s">
        <v>4710</v>
      </c>
      <c r="B2432" s="5" t="s">
        <v>1800</v>
      </c>
      <c r="C2432" s="5" t="s">
        <v>2239</v>
      </c>
      <c r="D2432" s="5" t="s">
        <v>2303</v>
      </c>
      <c r="E2432" s="5" t="s">
        <v>59</v>
      </c>
      <c r="F2432" s="5" t="s">
        <v>59</v>
      </c>
      <c r="G2432" s="5" t="str">
        <f aca="false">INDEX(Risk_Matrix!$B$2:$D$4,MATCH(E2432,Risk_Matrix!$A$2:$A$4,0),MATCH(F2432,Risk_Matrix!$B$1:$D$1,0))</f>
        <v>Low</v>
      </c>
      <c r="H2432" s="12" t="n">
        <v>46175</v>
      </c>
      <c r="I2432" s="5" t="s">
        <v>2250</v>
      </c>
      <c r="J2432" s="5" t="s">
        <v>2251</v>
      </c>
      <c r="K2432" s="5" t="s">
        <v>2243</v>
      </c>
      <c r="L2432" s="5" t="n">
        <f aca="false">IF(G2432="High",3,IF(G2432="Medium",2,1))</f>
        <v>1</v>
      </c>
    </row>
    <row r="2433" customFormat="false" ht="15" hidden="false" customHeight="true" outlineLevel="0" collapsed="false">
      <c r="A2433" s="5" t="s">
        <v>4711</v>
      </c>
      <c r="B2433" s="5" t="s">
        <v>1800</v>
      </c>
      <c r="C2433" s="5" t="s">
        <v>2245</v>
      </c>
      <c r="D2433" s="5" t="s">
        <v>2320</v>
      </c>
      <c r="E2433" s="5" t="s">
        <v>59</v>
      </c>
      <c r="F2433" s="5" t="s">
        <v>54</v>
      </c>
      <c r="G2433" s="5" t="str">
        <f aca="false">INDEX(Risk_Matrix!$B$2:$D$4,MATCH(E2433,Risk_Matrix!$A$2:$A$4,0),MATCH(F2433,Risk_Matrix!$B$1:$D$1,0))</f>
        <v>Medium</v>
      </c>
      <c r="H2433" s="12" t="n">
        <v>46220</v>
      </c>
      <c r="I2433" s="5" t="s">
        <v>2250</v>
      </c>
      <c r="J2433" s="5" t="s">
        <v>2251</v>
      </c>
      <c r="K2433" s="5" t="s">
        <v>2266</v>
      </c>
      <c r="L2433" s="5" t="n">
        <f aca="false">IF(G2433="High",3,IF(G2433="Medium",2,1))</f>
        <v>2</v>
      </c>
    </row>
    <row r="2434" customFormat="false" ht="15" hidden="false" customHeight="true" outlineLevel="0" collapsed="false">
      <c r="A2434" s="5" t="s">
        <v>4712</v>
      </c>
      <c r="B2434" s="5" t="s">
        <v>1800</v>
      </c>
      <c r="C2434" s="5" t="s">
        <v>2248</v>
      </c>
      <c r="D2434" s="5" t="s">
        <v>2249</v>
      </c>
      <c r="E2434" s="5" t="s">
        <v>59</v>
      </c>
      <c r="F2434" s="5" t="s">
        <v>2225</v>
      </c>
      <c r="G2434" s="5" t="str">
        <f aca="false">INDEX(Risk_Matrix!$B$2:$D$4,MATCH(E2434,Risk_Matrix!$A$2:$A$4,0),MATCH(F2434,Risk_Matrix!$B$1:$D$1,0))</f>
        <v>Low</v>
      </c>
      <c r="H2434" s="12" t="n">
        <v>46233</v>
      </c>
      <c r="I2434" s="5" t="s">
        <v>2241</v>
      </c>
      <c r="J2434" s="5" t="s">
        <v>2242</v>
      </c>
      <c r="K2434" s="5" t="s">
        <v>2276</v>
      </c>
      <c r="L2434" s="5" t="n">
        <f aca="false">IF(G2434="High",3,IF(G2434="Medium",2,1))</f>
        <v>1</v>
      </c>
    </row>
    <row r="2435" customFormat="false" ht="15" hidden="false" customHeight="true" outlineLevel="0" collapsed="false">
      <c r="A2435" s="5" t="s">
        <v>4713</v>
      </c>
      <c r="B2435" s="5" t="s">
        <v>1800</v>
      </c>
      <c r="C2435" s="5" t="s">
        <v>2262</v>
      </c>
      <c r="D2435" s="5" t="s">
        <v>2263</v>
      </c>
      <c r="E2435" s="5" t="s">
        <v>2225</v>
      </c>
      <c r="F2435" s="5" t="s">
        <v>59</v>
      </c>
      <c r="G2435" s="5" t="str">
        <f aca="false">INDEX(Risk_Matrix!$B$2:$D$4,MATCH(E2435,Risk_Matrix!$A$2:$A$4,0),MATCH(F2435,Risk_Matrix!$B$1:$D$1,0))</f>
        <v>Low</v>
      </c>
      <c r="H2435" s="12" t="n">
        <v>46096</v>
      </c>
      <c r="I2435" s="5" t="s">
        <v>2241</v>
      </c>
      <c r="J2435" s="5" t="s">
        <v>2242</v>
      </c>
      <c r="K2435" s="5" t="s">
        <v>2266</v>
      </c>
      <c r="L2435" s="5" t="n">
        <f aca="false">IF(G2435="High",3,IF(G2435="Medium",2,1))</f>
        <v>1</v>
      </c>
    </row>
    <row r="2436" customFormat="false" ht="15" hidden="false" customHeight="true" outlineLevel="0" collapsed="false">
      <c r="A2436" s="5" t="s">
        <v>4714</v>
      </c>
      <c r="B2436" s="5" t="s">
        <v>1800</v>
      </c>
      <c r="C2436" s="5" t="s">
        <v>2259</v>
      </c>
      <c r="D2436" s="5" t="s">
        <v>2285</v>
      </c>
      <c r="E2436" s="5" t="s">
        <v>59</v>
      </c>
      <c r="F2436" s="5" t="s">
        <v>2225</v>
      </c>
      <c r="G2436" s="5" t="str">
        <f aca="false">INDEX(Risk_Matrix!$B$2:$D$4,MATCH(E2436,Risk_Matrix!$A$2:$A$4,0),MATCH(F2436,Risk_Matrix!$B$1:$D$1,0))</f>
        <v>Low</v>
      </c>
      <c r="H2436" s="12" t="n">
        <v>46171</v>
      </c>
      <c r="I2436" s="5" t="s">
        <v>2241</v>
      </c>
      <c r="J2436" s="5" t="s">
        <v>2242</v>
      </c>
      <c r="K2436" s="5" t="s">
        <v>2252</v>
      </c>
      <c r="L2436" s="5" t="n">
        <f aca="false">IF(G2436="High",3,IF(G2436="Medium",2,1))</f>
        <v>1</v>
      </c>
    </row>
    <row r="2437" customFormat="false" ht="15" hidden="false" customHeight="true" outlineLevel="0" collapsed="false">
      <c r="A2437" s="5" t="s">
        <v>4715</v>
      </c>
      <c r="B2437" s="5" t="s">
        <v>1800</v>
      </c>
      <c r="C2437" s="5" t="s">
        <v>2254</v>
      </c>
      <c r="D2437" s="5" t="s">
        <v>2255</v>
      </c>
      <c r="E2437" s="5" t="s">
        <v>54</v>
      </c>
      <c r="F2437" s="5" t="s">
        <v>2225</v>
      </c>
      <c r="G2437" s="5" t="str">
        <f aca="false">INDEX(Risk_Matrix!$B$2:$D$4,MATCH(E2437,Risk_Matrix!$A$2:$A$4,0),MATCH(F2437,Risk_Matrix!$B$1:$D$1,0))</f>
        <v>High</v>
      </c>
      <c r="H2437" s="12" t="n">
        <v>46216</v>
      </c>
      <c r="I2437" s="5" t="s">
        <v>2241</v>
      </c>
      <c r="J2437" s="5" t="s">
        <v>2242</v>
      </c>
      <c r="K2437" s="5" t="s">
        <v>2266</v>
      </c>
      <c r="L2437" s="5" t="n">
        <f aca="false">IF(G2437="High",3,IF(G2437="Medium",2,1))</f>
        <v>3</v>
      </c>
    </row>
    <row r="2438" customFormat="false" ht="15" hidden="false" customHeight="true" outlineLevel="0" collapsed="false">
      <c r="A2438" s="5" t="s">
        <v>4716</v>
      </c>
      <c r="B2438" s="5" t="s">
        <v>1802</v>
      </c>
      <c r="C2438" s="5" t="s">
        <v>2239</v>
      </c>
      <c r="D2438" s="5" t="s">
        <v>2240</v>
      </c>
      <c r="E2438" s="5" t="s">
        <v>54</v>
      </c>
      <c r="F2438" s="5" t="s">
        <v>59</v>
      </c>
      <c r="G2438" s="5" t="str">
        <f aca="false">INDEX(Risk_Matrix!$B$2:$D$4,MATCH(E2438,Risk_Matrix!$A$2:$A$4,0),MATCH(F2438,Risk_Matrix!$B$1:$D$1,0))</f>
        <v>Medium</v>
      </c>
      <c r="H2438" s="12" t="n">
        <v>46216</v>
      </c>
      <c r="I2438" s="5" t="s">
        <v>2264</v>
      </c>
      <c r="J2438" s="5" t="s">
        <v>4087</v>
      </c>
      <c r="K2438" s="5" t="s">
        <v>2283</v>
      </c>
      <c r="L2438" s="5" t="n">
        <f aca="false">IF(G2438="High",3,IF(G2438="Medium",2,1))</f>
        <v>2</v>
      </c>
    </row>
    <row r="2439" customFormat="false" ht="15" hidden="false" customHeight="true" outlineLevel="0" collapsed="false">
      <c r="A2439" s="5" t="s">
        <v>4717</v>
      </c>
      <c r="B2439" s="5" t="s">
        <v>1802</v>
      </c>
      <c r="C2439" s="5" t="s">
        <v>2245</v>
      </c>
      <c r="D2439" s="5" t="s">
        <v>2269</v>
      </c>
      <c r="E2439" s="5" t="s">
        <v>59</v>
      </c>
      <c r="F2439" s="5" t="s">
        <v>59</v>
      </c>
      <c r="G2439" s="5" t="str">
        <f aca="false">INDEX(Risk_Matrix!$B$2:$D$4,MATCH(E2439,Risk_Matrix!$A$2:$A$4,0),MATCH(F2439,Risk_Matrix!$B$1:$D$1,0))</f>
        <v>Low</v>
      </c>
      <c r="H2439" s="12" t="n">
        <v>46187</v>
      </c>
      <c r="I2439" s="5" t="s">
        <v>2264</v>
      </c>
      <c r="J2439" s="5" t="s">
        <v>4087</v>
      </c>
      <c r="K2439" s="5" t="s">
        <v>2252</v>
      </c>
      <c r="L2439" s="5" t="n">
        <f aca="false">IF(G2439="High",3,IF(G2439="Medium",2,1))</f>
        <v>1</v>
      </c>
    </row>
    <row r="2440" customFormat="false" ht="15" hidden="false" customHeight="true" outlineLevel="0" collapsed="false">
      <c r="A2440" s="5" t="s">
        <v>4718</v>
      </c>
      <c r="B2440" s="5" t="s">
        <v>1802</v>
      </c>
      <c r="C2440" s="5" t="s">
        <v>2248</v>
      </c>
      <c r="D2440" s="5" t="s">
        <v>2306</v>
      </c>
      <c r="E2440" s="5" t="s">
        <v>54</v>
      </c>
      <c r="F2440" s="5" t="s">
        <v>59</v>
      </c>
      <c r="G2440" s="5" t="str">
        <f aca="false">INDEX(Risk_Matrix!$B$2:$D$4,MATCH(E2440,Risk_Matrix!$A$2:$A$4,0),MATCH(F2440,Risk_Matrix!$B$1:$D$1,0))</f>
        <v>Medium</v>
      </c>
      <c r="H2440" s="12" t="n">
        <v>46203</v>
      </c>
      <c r="I2440" s="5" t="s">
        <v>2256</v>
      </c>
      <c r="J2440" s="5" t="s">
        <v>4081</v>
      </c>
      <c r="K2440" s="5" t="s">
        <v>2283</v>
      </c>
      <c r="L2440" s="5" t="n">
        <f aca="false">IF(G2440="High",3,IF(G2440="Medium",2,1))</f>
        <v>2</v>
      </c>
    </row>
    <row r="2441" customFormat="false" ht="15" hidden="false" customHeight="true" outlineLevel="0" collapsed="false">
      <c r="A2441" s="5" t="s">
        <v>4719</v>
      </c>
      <c r="B2441" s="5" t="s">
        <v>1802</v>
      </c>
      <c r="C2441" s="5" t="s">
        <v>2262</v>
      </c>
      <c r="D2441" s="5" t="s">
        <v>2311</v>
      </c>
      <c r="E2441" s="5" t="s">
        <v>59</v>
      </c>
      <c r="F2441" s="5" t="s">
        <v>59</v>
      </c>
      <c r="G2441" s="5" t="str">
        <f aca="false">INDEX(Risk_Matrix!$B$2:$D$4,MATCH(E2441,Risk_Matrix!$A$2:$A$4,0),MATCH(F2441,Risk_Matrix!$B$1:$D$1,0))</f>
        <v>Low</v>
      </c>
      <c r="H2441" s="12" t="n">
        <v>46181</v>
      </c>
      <c r="I2441" s="5" t="s">
        <v>2241</v>
      </c>
      <c r="J2441" s="5" t="s">
        <v>2242</v>
      </c>
      <c r="K2441" s="5" t="s">
        <v>2243</v>
      </c>
      <c r="L2441" s="5" t="n">
        <f aca="false">IF(G2441="High",3,IF(G2441="Medium",2,1))</f>
        <v>1</v>
      </c>
    </row>
    <row r="2442" customFormat="false" ht="15" hidden="false" customHeight="true" outlineLevel="0" collapsed="false">
      <c r="A2442" s="5" t="s">
        <v>4720</v>
      </c>
      <c r="B2442" s="5" t="s">
        <v>1802</v>
      </c>
      <c r="C2442" s="5" t="s">
        <v>2259</v>
      </c>
      <c r="D2442" s="5" t="s">
        <v>2260</v>
      </c>
      <c r="E2442" s="5" t="s">
        <v>54</v>
      </c>
      <c r="F2442" s="5" t="s">
        <v>59</v>
      </c>
      <c r="G2442" s="5" t="str">
        <f aca="false">INDEX(Risk_Matrix!$B$2:$D$4,MATCH(E2442,Risk_Matrix!$A$2:$A$4,0),MATCH(F2442,Risk_Matrix!$B$1:$D$1,0))</f>
        <v>Medium</v>
      </c>
      <c r="H2442" s="12" t="n">
        <v>46053</v>
      </c>
      <c r="I2442" s="5" t="s">
        <v>2264</v>
      </c>
      <c r="J2442" s="5" t="s">
        <v>4087</v>
      </c>
      <c r="K2442" s="5" t="s">
        <v>2243</v>
      </c>
      <c r="L2442" s="5" t="n">
        <f aca="false">IF(G2442="High",3,IF(G2442="Medium",2,1))</f>
        <v>2</v>
      </c>
    </row>
    <row r="2443" customFormat="false" ht="15" hidden="false" customHeight="true" outlineLevel="0" collapsed="false">
      <c r="A2443" s="5" t="s">
        <v>4721</v>
      </c>
      <c r="B2443" s="5" t="s">
        <v>1802</v>
      </c>
      <c r="C2443" s="5" t="s">
        <v>2254</v>
      </c>
      <c r="D2443" s="5" t="s">
        <v>2255</v>
      </c>
      <c r="E2443" s="5" t="s">
        <v>59</v>
      </c>
      <c r="F2443" s="5" t="s">
        <v>54</v>
      </c>
      <c r="G2443" s="5" t="str">
        <f aca="false">INDEX(Risk_Matrix!$B$2:$D$4,MATCH(E2443,Risk_Matrix!$A$2:$A$4,0),MATCH(F2443,Risk_Matrix!$B$1:$D$1,0))</f>
        <v>Medium</v>
      </c>
      <c r="H2443" s="12" t="n">
        <v>46041</v>
      </c>
      <c r="I2443" s="5" t="s">
        <v>2256</v>
      </c>
      <c r="J2443" s="5" t="s">
        <v>4081</v>
      </c>
      <c r="K2443" s="5" t="s">
        <v>2276</v>
      </c>
      <c r="L2443" s="5" t="n">
        <f aca="false">IF(G2443="High",3,IF(G2443="Medium",2,1))</f>
        <v>2</v>
      </c>
    </row>
    <row r="2444" customFormat="false" ht="15" hidden="false" customHeight="true" outlineLevel="0" collapsed="false">
      <c r="A2444" s="5" t="s">
        <v>4722</v>
      </c>
      <c r="B2444" s="5" t="s">
        <v>1804</v>
      </c>
      <c r="C2444" s="5" t="s">
        <v>2239</v>
      </c>
      <c r="D2444" s="5" t="s">
        <v>2240</v>
      </c>
      <c r="E2444" s="5" t="s">
        <v>2225</v>
      </c>
      <c r="F2444" s="5" t="s">
        <v>2225</v>
      </c>
      <c r="G2444" s="5" t="str">
        <f aca="false">INDEX(Risk_Matrix!$B$2:$D$4,MATCH(E2444,Risk_Matrix!$A$2:$A$4,0),MATCH(F2444,Risk_Matrix!$B$1:$D$1,0))</f>
        <v>Medium</v>
      </c>
      <c r="H2444" s="12" t="n">
        <v>46236</v>
      </c>
      <c r="I2444" s="5" t="s">
        <v>2256</v>
      </c>
      <c r="J2444" s="5" t="s">
        <v>4081</v>
      </c>
      <c r="K2444" s="5" t="s">
        <v>2243</v>
      </c>
      <c r="L2444" s="5" t="n">
        <f aca="false">IF(G2444="High",3,IF(G2444="Medium",2,1))</f>
        <v>2</v>
      </c>
    </row>
    <row r="2445" customFormat="false" ht="15" hidden="false" customHeight="true" outlineLevel="0" collapsed="false">
      <c r="A2445" s="5" t="s">
        <v>4723</v>
      </c>
      <c r="B2445" s="5" t="s">
        <v>1804</v>
      </c>
      <c r="C2445" s="5" t="s">
        <v>2245</v>
      </c>
      <c r="D2445" s="5" t="s">
        <v>2246</v>
      </c>
      <c r="E2445" s="5" t="s">
        <v>54</v>
      </c>
      <c r="F2445" s="5" t="s">
        <v>2225</v>
      </c>
      <c r="G2445" s="5" t="str">
        <f aca="false">INDEX(Risk_Matrix!$B$2:$D$4,MATCH(E2445,Risk_Matrix!$A$2:$A$4,0),MATCH(F2445,Risk_Matrix!$B$1:$D$1,0))</f>
        <v>High</v>
      </c>
      <c r="H2445" s="12" t="n">
        <v>46058</v>
      </c>
      <c r="I2445" s="5" t="s">
        <v>2256</v>
      </c>
      <c r="J2445" s="5" t="s">
        <v>4081</v>
      </c>
      <c r="K2445" s="5" t="s">
        <v>2283</v>
      </c>
      <c r="L2445" s="5" t="n">
        <f aca="false">IF(G2445="High",3,IF(G2445="Medium",2,1))</f>
        <v>3</v>
      </c>
    </row>
    <row r="2446" customFormat="false" ht="15" hidden="false" customHeight="true" outlineLevel="0" collapsed="false">
      <c r="A2446" s="5" t="s">
        <v>4724</v>
      </c>
      <c r="B2446" s="5" t="s">
        <v>1804</v>
      </c>
      <c r="C2446" s="5" t="s">
        <v>2248</v>
      </c>
      <c r="D2446" s="5" t="s">
        <v>2249</v>
      </c>
      <c r="E2446" s="5" t="s">
        <v>59</v>
      </c>
      <c r="F2446" s="5" t="s">
        <v>54</v>
      </c>
      <c r="G2446" s="5" t="str">
        <f aca="false">INDEX(Risk_Matrix!$B$2:$D$4,MATCH(E2446,Risk_Matrix!$A$2:$A$4,0),MATCH(F2446,Risk_Matrix!$B$1:$D$1,0))</f>
        <v>Medium</v>
      </c>
      <c r="H2446" s="12" t="n">
        <v>46063</v>
      </c>
      <c r="I2446" s="5" t="s">
        <v>2241</v>
      </c>
      <c r="J2446" s="5" t="s">
        <v>2242</v>
      </c>
      <c r="K2446" s="5" t="s">
        <v>2243</v>
      </c>
      <c r="L2446" s="5" t="n">
        <f aca="false">IF(G2446="High",3,IF(G2446="Medium",2,1))</f>
        <v>2</v>
      </c>
    </row>
    <row r="2447" customFormat="false" ht="15" hidden="false" customHeight="true" outlineLevel="0" collapsed="false">
      <c r="A2447" s="5" t="s">
        <v>4725</v>
      </c>
      <c r="B2447" s="5" t="s">
        <v>1804</v>
      </c>
      <c r="C2447" s="5" t="s">
        <v>2262</v>
      </c>
      <c r="D2447" s="5" t="s">
        <v>2263</v>
      </c>
      <c r="E2447" s="5" t="s">
        <v>54</v>
      </c>
      <c r="F2447" s="5" t="s">
        <v>59</v>
      </c>
      <c r="G2447" s="5" t="str">
        <f aca="false">INDEX(Risk_Matrix!$B$2:$D$4,MATCH(E2447,Risk_Matrix!$A$2:$A$4,0),MATCH(F2447,Risk_Matrix!$B$1:$D$1,0))</f>
        <v>Medium</v>
      </c>
      <c r="H2447" s="12" t="n">
        <v>46216</v>
      </c>
      <c r="I2447" s="5" t="s">
        <v>2264</v>
      </c>
      <c r="J2447" s="5" t="s">
        <v>4087</v>
      </c>
      <c r="K2447" s="5" t="s">
        <v>2283</v>
      </c>
      <c r="L2447" s="5" t="n">
        <f aca="false">IF(G2447="High",3,IF(G2447="Medium",2,1))</f>
        <v>2</v>
      </c>
    </row>
    <row r="2448" customFormat="false" ht="15" hidden="false" customHeight="true" outlineLevel="0" collapsed="false">
      <c r="A2448" s="5" t="s">
        <v>4726</v>
      </c>
      <c r="B2448" s="5" t="s">
        <v>1804</v>
      </c>
      <c r="C2448" s="5" t="s">
        <v>2259</v>
      </c>
      <c r="D2448" s="5" t="s">
        <v>2285</v>
      </c>
      <c r="E2448" s="5" t="s">
        <v>54</v>
      </c>
      <c r="F2448" s="5" t="s">
        <v>59</v>
      </c>
      <c r="G2448" s="5" t="str">
        <f aca="false">INDEX(Risk_Matrix!$B$2:$D$4,MATCH(E2448,Risk_Matrix!$A$2:$A$4,0),MATCH(F2448,Risk_Matrix!$B$1:$D$1,0))</f>
        <v>Medium</v>
      </c>
      <c r="H2448" s="12" t="n">
        <v>46101</v>
      </c>
      <c r="I2448" s="5" t="s">
        <v>2256</v>
      </c>
      <c r="J2448" s="5" t="s">
        <v>4081</v>
      </c>
      <c r="K2448" s="5" t="s">
        <v>2276</v>
      </c>
      <c r="L2448" s="5" t="n">
        <f aca="false">IF(G2448="High",3,IF(G2448="Medium",2,1))</f>
        <v>2</v>
      </c>
    </row>
    <row r="2449" customFormat="false" ht="15" hidden="false" customHeight="true" outlineLevel="0" collapsed="false">
      <c r="A2449" s="5" t="s">
        <v>4727</v>
      </c>
      <c r="B2449" s="5" t="s">
        <v>1804</v>
      </c>
      <c r="C2449" s="5" t="s">
        <v>2254</v>
      </c>
      <c r="D2449" s="5" t="s">
        <v>2255</v>
      </c>
      <c r="E2449" s="5" t="s">
        <v>54</v>
      </c>
      <c r="F2449" s="5" t="s">
        <v>59</v>
      </c>
      <c r="G2449" s="5" t="str">
        <f aca="false">INDEX(Risk_Matrix!$B$2:$D$4,MATCH(E2449,Risk_Matrix!$A$2:$A$4,0),MATCH(F2449,Risk_Matrix!$B$1:$D$1,0))</f>
        <v>Medium</v>
      </c>
      <c r="H2449" s="12" t="n">
        <v>46197</v>
      </c>
      <c r="I2449" s="5" t="s">
        <v>2256</v>
      </c>
      <c r="J2449" s="5" t="s">
        <v>4081</v>
      </c>
      <c r="K2449" s="5" t="s">
        <v>2252</v>
      </c>
      <c r="L2449" s="5" t="n">
        <f aca="false">IF(G2449="High",3,IF(G2449="Medium",2,1))</f>
        <v>2</v>
      </c>
    </row>
    <row r="2450" customFormat="false" ht="15" hidden="false" customHeight="true" outlineLevel="0" collapsed="false">
      <c r="A2450" s="5" t="s">
        <v>4728</v>
      </c>
      <c r="B2450" s="5" t="s">
        <v>1806</v>
      </c>
      <c r="C2450" s="5" t="s">
        <v>2239</v>
      </c>
      <c r="D2450" s="5" t="s">
        <v>2295</v>
      </c>
      <c r="E2450" s="5" t="s">
        <v>2225</v>
      </c>
      <c r="F2450" s="5" t="s">
        <v>2225</v>
      </c>
      <c r="G2450" s="5" t="str">
        <f aca="false">INDEX(Risk_Matrix!$B$2:$D$4,MATCH(E2450,Risk_Matrix!$A$2:$A$4,0),MATCH(F2450,Risk_Matrix!$B$1:$D$1,0))</f>
        <v>Medium</v>
      </c>
      <c r="H2450" s="12" t="n">
        <v>46133</v>
      </c>
      <c r="I2450" s="5" t="s">
        <v>2241</v>
      </c>
      <c r="J2450" s="5" t="s">
        <v>2242</v>
      </c>
      <c r="K2450" s="5" t="s">
        <v>2276</v>
      </c>
      <c r="L2450" s="5" t="n">
        <f aca="false">IF(G2450="High",3,IF(G2450="Medium",2,1))</f>
        <v>2</v>
      </c>
    </row>
    <row r="2451" customFormat="false" ht="15" hidden="false" customHeight="true" outlineLevel="0" collapsed="false">
      <c r="A2451" s="5" t="s">
        <v>4729</v>
      </c>
      <c r="B2451" s="5" t="s">
        <v>1806</v>
      </c>
      <c r="C2451" s="5" t="s">
        <v>2245</v>
      </c>
      <c r="D2451" s="5" t="s">
        <v>2269</v>
      </c>
      <c r="E2451" s="5" t="s">
        <v>59</v>
      </c>
      <c r="F2451" s="5" t="s">
        <v>59</v>
      </c>
      <c r="G2451" s="5" t="str">
        <f aca="false">INDEX(Risk_Matrix!$B$2:$D$4,MATCH(E2451,Risk_Matrix!$A$2:$A$4,0),MATCH(F2451,Risk_Matrix!$B$1:$D$1,0))</f>
        <v>Low</v>
      </c>
      <c r="H2451" s="12" t="n">
        <v>46057</v>
      </c>
      <c r="I2451" s="5" t="s">
        <v>2250</v>
      </c>
      <c r="J2451" s="5" t="s">
        <v>2251</v>
      </c>
      <c r="K2451" s="5" t="s">
        <v>2276</v>
      </c>
      <c r="L2451" s="5" t="n">
        <f aca="false">IF(G2451="High",3,IF(G2451="Medium",2,1))</f>
        <v>1</v>
      </c>
    </row>
    <row r="2452" customFormat="false" ht="15" hidden="false" customHeight="true" outlineLevel="0" collapsed="false">
      <c r="A2452" s="5" t="s">
        <v>4730</v>
      </c>
      <c r="B2452" s="5" t="s">
        <v>1806</v>
      </c>
      <c r="C2452" s="5" t="s">
        <v>2248</v>
      </c>
      <c r="D2452" s="5" t="s">
        <v>2249</v>
      </c>
      <c r="E2452" s="5" t="s">
        <v>59</v>
      </c>
      <c r="F2452" s="5" t="s">
        <v>54</v>
      </c>
      <c r="G2452" s="5" t="str">
        <f aca="false">INDEX(Risk_Matrix!$B$2:$D$4,MATCH(E2452,Risk_Matrix!$A$2:$A$4,0),MATCH(F2452,Risk_Matrix!$B$1:$D$1,0))</f>
        <v>Medium</v>
      </c>
      <c r="H2452" s="12" t="n">
        <v>46192</v>
      </c>
      <c r="I2452" s="5" t="s">
        <v>2250</v>
      </c>
      <c r="J2452" s="5" t="s">
        <v>2251</v>
      </c>
      <c r="K2452" s="5" t="s">
        <v>2266</v>
      </c>
      <c r="L2452" s="5" t="n">
        <f aca="false">IF(G2452="High",3,IF(G2452="Medium",2,1))</f>
        <v>2</v>
      </c>
    </row>
    <row r="2453" customFormat="false" ht="15" hidden="false" customHeight="true" outlineLevel="0" collapsed="false">
      <c r="A2453" s="5" t="s">
        <v>4731</v>
      </c>
      <c r="B2453" s="5" t="s">
        <v>1806</v>
      </c>
      <c r="C2453" s="5" t="s">
        <v>2262</v>
      </c>
      <c r="D2453" s="5" t="s">
        <v>2263</v>
      </c>
      <c r="E2453" s="5" t="s">
        <v>54</v>
      </c>
      <c r="F2453" s="5" t="s">
        <v>54</v>
      </c>
      <c r="G2453" s="5" t="str">
        <f aca="false">INDEX(Risk_Matrix!$B$2:$D$4,MATCH(E2453,Risk_Matrix!$A$2:$A$4,0),MATCH(F2453,Risk_Matrix!$B$1:$D$1,0))</f>
        <v>High</v>
      </c>
      <c r="H2453" s="12" t="n">
        <v>46117</v>
      </c>
      <c r="I2453" s="5" t="s">
        <v>2256</v>
      </c>
      <c r="J2453" s="5" t="s">
        <v>4081</v>
      </c>
      <c r="K2453" s="5" t="s">
        <v>2266</v>
      </c>
      <c r="L2453" s="5" t="n">
        <f aca="false">IF(G2453="High",3,IF(G2453="Medium",2,1))</f>
        <v>3</v>
      </c>
    </row>
    <row r="2454" customFormat="false" ht="15" hidden="false" customHeight="true" outlineLevel="0" collapsed="false">
      <c r="A2454" s="5" t="s">
        <v>4732</v>
      </c>
      <c r="B2454" s="5" t="s">
        <v>1806</v>
      </c>
      <c r="C2454" s="5" t="s">
        <v>2259</v>
      </c>
      <c r="D2454" s="5" t="s">
        <v>2260</v>
      </c>
      <c r="E2454" s="5" t="s">
        <v>2225</v>
      </c>
      <c r="F2454" s="5" t="s">
        <v>54</v>
      </c>
      <c r="G2454" s="5" t="str">
        <f aca="false">INDEX(Risk_Matrix!$B$2:$D$4,MATCH(E2454,Risk_Matrix!$A$2:$A$4,0),MATCH(F2454,Risk_Matrix!$B$1:$D$1,0))</f>
        <v>High</v>
      </c>
      <c r="H2454" s="12" t="n">
        <v>46029</v>
      </c>
      <c r="I2454" s="5" t="s">
        <v>2256</v>
      </c>
      <c r="J2454" s="5" t="s">
        <v>4081</v>
      </c>
      <c r="K2454" s="5" t="s">
        <v>2252</v>
      </c>
      <c r="L2454" s="5" t="n">
        <f aca="false">IF(G2454="High",3,IF(G2454="Medium",2,1))</f>
        <v>3</v>
      </c>
    </row>
    <row r="2455" customFormat="false" ht="15" hidden="false" customHeight="true" outlineLevel="0" collapsed="false">
      <c r="A2455" s="5" t="s">
        <v>4733</v>
      </c>
      <c r="B2455" s="5" t="s">
        <v>1806</v>
      </c>
      <c r="C2455" s="5" t="s">
        <v>2254</v>
      </c>
      <c r="D2455" s="5" t="s">
        <v>2308</v>
      </c>
      <c r="E2455" s="5" t="s">
        <v>2225</v>
      </c>
      <c r="F2455" s="5" t="s">
        <v>54</v>
      </c>
      <c r="G2455" s="5" t="str">
        <f aca="false">INDEX(Risk_Matrix!$B$2:$D$4,MATCH(E2455,Risk_Matrix!$A$2:$A$4,0),MATCH(F2455,Risk_Matrix!$B$1:$D$1,0))</f>
        <v>High</v>
      </c>
      <c r="H2455" s="12" t="n">
        <v>46207</v>
      </c>
      <c r="I2455" s="5" t="s">
        <v>2264</v>
      </c>
      <c r="J2455" s="5" t="s">
        <v>4087</v>
      </c>
      <c r="K2455" s="5" t="s">
        <v>2252</v>
      </c>
      <c r="L2455" s="5" t="n">
        <f aca="false">IF(G2455="High",3,IF(G2455="Medium",2,1))</f>
        <v>3</v>
      </c>
    </row>
    <row r="2456" customFormat="false" ht="15" hidden="false" customHeight="true" outlineLevel="0" collapsed="false">
      <c r="A2456" s="5" t="s">
        <v>4734</v>
      </c>
      <c r="B2456" s="5" t="s">
        <v>1808</v>
      </c>
      <c r="C2456" s="5" t="s">
        <v>2239</v>
      </c>
      <c r="D2456" s="5" t="s">
        <v>2303</v>
      </c>
      <c r="E2456" s="5" t="s">
        <v>54</v>
      </c>
      <c r="F2456" s="5" t="s">
        <v>59</v>
      </c>
      <c r="G2456" s="5" t="str">
        <f aca="false">INDEX(Risk_Matrix!$B$2:$D$4,MATCH(E2456,Risk_Matrix!$A$2:$A$4,0),MATCH(F2456,Risk_Matrix!$B$1:$D$1,0))</f>
        <v>Medium</v>
      </c>
      <c r="H2456" s="12" t="n">
        <v>46117</v>
      </c>
      <c r="I2456" s="5" t="s">
        <v>2264</v>
      </c>
      <c r="J2456" s="5" t="s">
        <v>4087</v>
      </c>
      <c r="K2456" s="5" t="s">
        <v>2243</v>
      </c>
      <c r="L2456" s="5" t="n">
        <f aca="false">IF(G2456="High",3,IF(G2456="Medium",2,1))</f>
        <v>2</v>
      </c>
    </row>
    <row r="2457" customFormat="false" ht="15" hidden="false" customHeight="true" outlineLevel="0" collapsed="false">
      <c r="A2457" s="5" t="s">
        <v>4735</v>
      </c>
      <c r="B2457" s="5" t="s">
        <v>1808</v>
      </c>
      <c r="C2457" s="5" t="s">
        <v>2245</v>
      </c>
      <c r="D2457" s="5" t="s">
        <v>2320</v>
      </c>
      <c r="E2457" s="5" t="s">
        <v>2225</v>
      </c>
      <c r="F2457" s="5" t="s">
        <v>54</v>
      </c>
      <c r="G2457" s="5" t="str">
        <f aca="false">INDEX(Risk_Matrix!$B$2:$D$4,MATCH(E2457,Risk_Matrix!$A$2:$A$4,0),MATCH(F2457,Risk_Matrix!$B$1:$D$1,0))</f>
        <v>High</v>
      </c>
      <c r="H2457" s="12" t="n">
        <v>46227</v>
      </c>
      <c r="I2457" s="5" t="s">
        <v>2264</v>
      </c>
      <c r="J2457" s="5" t="s">
        <v>4087</v>
      </c>
      <c r="K2457" s="5" t="s">
        <v>2252</v>
      </c>
      <c r="L2457" s="5" t="n">
        <f aca="false">IF(G2457="High",3,IF(G2457="Medium",2,1))</f>
        <v>3</v>
      </c>
    </row>
    <row r="2458" customFormat="false" ht="15" hidden="false" customHeight="true" outlineLevel="0" collapsed="false">
      <c r="A2458" s="5" t="s">
        <v>4736</v>
      </c>
      <c r="B2458" s="5" t="s">
        <v>1808</v>
      </c>
      <c r="C2458" s="5" t="s">
        <v>2248</v>
      </c>
      <c r="D2458" s="5" t="s">
        <v>2306</v>
      </c>
      <c r="E2458" s="5" t="s">
        <v>2225</v>
      </c>
      <c r="F2458" s="5" t="s">
        <v>59</v>
      </c>
      <c r="G2458" s="5" t="str">
        <f aca="false">INDEX(Risk_Matrix!$B$2:$D$4,MATCH(E2458,Risk_Matrix!$A$2:$A$4,0),MATCH(F2458,Risk_Matrix!$B$1:$D$1,0))</f>
        <v>Low</v>
      </c>
      <c r="H2458" s="12" t="n">
        <v>46147</v>
      </c>
      <c r="I2458" s="5" t="s">
        <v>2256</v>
      </c>
      <c r="J2458" s="5" t="s">
        <v>4081</v>
      </c>
      <c r="K2458" s="5" t="s">
        <v>2276</v>
      </c>
      <c r="L2458" s="5" t="n">
        <f aca="false">IF(G2458="High",3,IF(G2458="Medium",2,1))</f>
        <v>1</v>
      </c>
    </row>
    <row r="2459" customFormat="false" ht="15" hidden="false" customHeight="true" outlineLevel="0" collapsed="false">
      <c r="A2459" s="5" t="s">
        <v>4737</v>
      </c>
      <c r="B2459" s="5" t="s">
        <v>1808</v>
      </c>
      <c r="C2459" s="5" t="s">
        <v>2262</v>
      </c>
      <c r="D2459" s="5" t="s">
        <v>2263</v>
      </c>
      <c r="E2459" s="5" t="s">
        <v>54</v>
      </c>
      <c r="F2459" s="5" t="s">
        <v>59</v>
      </c>
      <c r="G2459" s="5" t="str">
        <f aca="false">INDEX(Risk_Matrix!$B$2:$D$4,MATCH(E2459,Risk_Matrix!$A$2:$A$4,0),MATCH(F2459,Risk_Matrix!$B$1:$D$1,0))</f>
        <v>Medium</v>
      </c>
      <c r="H2459" s="12" t="n">
        <v>46205</v>
      </c>
      <c r="I2459" s="5" t="s">
        <v>2250</v>
      </c>
      <c r="J2459" s="5" t="s">
        <v>2251</v>
      </c>
      <c r="K2459" s="5" t="s">
        <v>2243</v>
      </c>
      <c r="L2459" s="5" t="n">
        <f aca="false">IF(G2459="High",3,IF(G2459="Medium",2,1))</f>
        <v>2</v>
      </c>
    </row>
    <row r="2460" customFormat="false" ht="15" hidden="false" customHeight="true" outlineLevel="0" collapsed="false">
      <c r="A2460" s="5" t="s">
        <v>4738</v>
      </c>
      <c r="B2460" s="5" t="s">
        <v>1808</v>
      </c>
      <c r="C2460" s="5" t="s">
        <v>2259</v>
      </c>
      <c r="D2460" s="5" t="s">
        <v>2274</v>
      </c>
      <c r="E2460" s="5" t="s">
        <v>54</v>
      </c>
      <c r="F2460" s="5" t="s">
        <v>54</v>
      </c>
      <c r="G2460" s="5" t="str">
        <f aca="false">INDEX(Risk_Matrix!$B$2:$D$4,MATCH(E2460,Risk_Matrix!$A$2:$A$4,0),MATCH(F2460,Risk_Matrix!$B$1:$D$1,0))</f>
        <v>High</v>
      </c>
      <c r="H2460" s="12" t="n">
        <v>46185</v>
      </c>
      <c r="I2460" s="5" t="s">
        <v>2250</v>
      </c>
      <c r="J2460" s="5" t="s">
        <v>2251</v>
      </c>
      <c r="K2460" s="5" t="s">
        <v>2283</v>
      </c>
      <c r="L2460" s="5" t="n">
        <f aca="false">IF(G2460="High",3,IF(G2460="Medium",2,1))</f>
        <v>3</v>
      </c>
    </row>
    <row r="2461" customFormat="false" ht="15" hidden="false" customHeight="true" outlineLevel="0" collapsed="false">
      <c r="A2461" s="5" t="s">
        <v>4739</v>
      </c>
      <c r="B2461" s="5" t="s">
        <v>1808</v>
      </c>
      <c r="C2461" s="5" t="s">
        <v>2254</v>
      </c>
      <c r="D2461" s="5" t="s">
        <v>2255</v>
      </c>
      <c r="E2461" s="5" t="s">
        <v>59</v>
      </c>
      <c r="F2461" s="5" t="s">
        <v>59</v>
      </c>
      <c r="G2461" s="5" t="str">
        <f aca="false">INDEX(Risk_Matrix!$B$2:$D$4,MATCH(E2461,Risk_Matrix!$A$2:$A$4,0),MATCH(F2461,Risk_Matrix!$B$1:$D$1,0))</f>
        <v>Low</v>
      </c>
      <c r="H2461" s="12" t="n">
        <v>46086</v>
      </c>
      <c r="I2461" s="5" t="s">
        <v>2241</v>
      </c>
      <c r="J2461" s="5" t="s">
        <v>2242</v>
      </c>
      <c r="K2461" s="5" t="s">
        <v>2243</v>
      </c>
      <c r="L2461" s="5" t="n">
        <f aca="false">IF(G2461="High",3,IF(G2461="Medium",2,1))</f>
        <v>1</v>
      </c>
    </row>
    <row r="2462" customFormat="false" ht="15" hidden="false" customHeight="true" outlineLevel="0" collapsed="false">
      <c r="A2462" s="5" t="s">
        <v>4740</v>
      </c>
      <c r="B2462" s="5" t="s">
        <v>1810</v>
      </c>
      <c r="C2462" s="5" t="s">
        <v>2239</v>
      </c>
      <c r="D2462" s="5" t="s">
        <v>2240</v>
      </c>
      <c r="E2462" s="5" t="s">
        <v>54</v>
      </c>
      <c r="F2462" s="5" t="s">
        <v>59</v>
      </c>
      <c r="G2462" s="5" t="str">
        <f aca="false">INDEX(Risk_Matrix!$B$2:$D$4,MATCH(E2462,Risk_Matrix!$A$2:$A$4,0),MATCH(F2462,Risk_Matrix!$B$1:$D$1,0))</f>
        <v>Medium</v>
      </c>
      <c r="H2462" s="12" t="n">
        <v>46109</v>
      </c>
      <c r="I2462" s="5" t="s">
        <v>2256</v>
      </c>
      <c r="J2462" s="5" t="s">
        <v>4081</v>
      </c>
      <c r="K2462" s="5" t="s">
        <v>2276</v>
      </c>
      <c r="L2462" s="5" t="n">
        <f aca="false">IF(G2462="High",3,IF(G2462="Medium",2,1))</f>
        <v>2</v>
      </c>
    </row>
    <row r="2463" customFormat="false" ht="15" hidden="false" customHeight="true" outlineLevel="0" collapsed="false">
      <c r="A2463" s="5" t="s">
        <v>4741</v>
      </c>
      <c r="B2463" s="5" t="s">
        <v>1810</v>
      </c>
      <c r="C2463" s="5" t="s">
        <v>2245</v>
      </c>
      <c r="D2463" s="5" t="s">
        <v>2246</v>
      </c>
      <c r="E2463" s="5" t="s">
        <v>54</v>
      </c>
      <c r="F2463" s="5" t="s">
        <v>59</v>
      </c>
      <c r="G2463" s="5" t="str">
        <f aca="false">INDEX(Risk_Matrix!$B$2:$D$4,MATCH(E2463,Risk_Matrix!$A$2:$A$4,0),MATCH(F2463,Risk_Matrix!$B$1:$D$1,0))</f>
        <v>Medium</v>
      </c>
      <c r="H2463" s="12" t="n">
        <v>46213</v>
      </c>
      <c r="I2463" s="5" t="s">
        <v>2241</v>
      </c>
      <c r="J2463" s="5" t="s">
        <v>2242</v>
      </c>
      <c r="K2463" s="5" t="s">
        <v>2243</v>
      </c>
      <c r="L2463" s="5" t="n">
        <f aca="false">IF(G2463="High",3,IF(G2463="Medium",2,1))</f>
        <v>2</v>
      </c>
    </row>
    <row r="2464" customFormat="false" ht="15" hidden="false" customHeight="true" outlineLevel="0" collapsed="false">
      <c r="A2464" s="5" t="s">
        <v>4742</v>
      </c>
      <c r="B2464" s="5" t="s">
        <v>1810</v>
      </c>
      <c r="C2464" s="5" t="s">
        <v>2248</v>
      </c>
      <c r="D2464" s="5" t="s">
        <v>2249</v>
      </c>
      <c r="E2464" s="5" t="s">
        <v>2225</v>
      </c>
      <c r="F2464" s="5" t="s">
        <v>59</v>
      </c>
      <c r="G2464" s="5" t="str">
        <f aca="false">INDEX(Risk_Matrix!$B$2:$D$4,MATCH(E2464,Risk_Matrix!$A$2:$A$4,0),MATCH(F2464,Risk_Matrix!$B$1:$D$1,0))</f>
        <v>Low</v>
      </c>
      <c r="H2464" s="12" t="n">
        <v>46091</v>
      </c>
      <c r="I2464" s="5" t="s">
        <v>2241</v>
      </c>
      <c r="J2464" s="5" t="s">
        <v>2242</v>
      </c>
      <c r="K2464" s="5" t="s">
        <v>2283</v>
      </c>
      <c r="L2464" s="5" t="n">
        <f aca="false">IF(G2464="High",3,IF(G2464="Medium",2,1))</f>
        <v>1</v>
      </c>
    </row>
    <row r="2465" customFormat="false" ht="15" hidden="false" customHeight="true" outlineLevel="0" collapsed="false">
      <c r="A2465" s="5" t="s">
        <v>4743</v>
      </c>
      <c r="B2465" s="5" t="s">
        <v>1810</v>
      </c>
      <c r="C2465" s="5" t="s">
        <v>2262</v>
      </c>
      <c r="D2465" s="5" t="s">
        <v>2311</v>
      </c>
      <c r="E2465" s="5" t="s">
        <v>59</v>
      </c>
      <c r="F2465" s="5" t="s">
        <v>54</v>
      </c>
      <c r="G2465" s="5" t="str">
        <f aca="false">INDEX(Risk_Matrix!$B$2:$D$4,MATCH(E2465,Risk_Matrix!$A$2:$A$4,0),MATCH(F2465,Risk_Matrix!$B$1:$D$1,0))</f>
        <v>Medium</v>
      </c>
      <c r="H2465" s="12" t="n">
        <v>46222</v>
      </c>
      <c r="I2465" s="5" t="s">
        <v>2241</v>
      </c>
      <c r="J2465" s="5" t="s">
        <v>2242</v>
      </c>
      <c r="K2465" s="5" t="s">
        <v>2276</v>
      </c>
      <c r="L2465" s="5" t="n">
        <f aca="false">IF(G2465="High",3,IF(G2465="Medium",2,1))</f>
        <v>2</v>
      </c>
    </row>
    <row r="2466" customFormat="false" ht="15" hidden="false" customHeight="true" outlineLevel="0" collapsed="false">
      <c r="A2466" s="5" t="s">
        <v>4744</v>
      </c>
      <c r="B2466" s="5" t="s">
        <v>1810</v>
      </c>
      <c r="C2466" s="5" t="s">
        <v>2259</v>
      </c>
      <c r="D2466" s="5" t="s">
        <v>2274</v>
      </c>
      <c r="E2466" s="5" t="s">
        <v>54</v>
      </c>
      <c r="F2466" s="5" t="s">
        <v>54</v>
      </c>
      <c r="G2466" s="5" t="str">
        <f aca="false">INDEX(Risk_Matrix!$B$2:$D$4,MATCH(E2466,Risk_Matrix!$A$2:$A$4,0),MATCH(F2466,Risk_Matrix!$B$1:$D$1,0))</f>
        <v>High</v>
      </c>
      <c r="H2466" s="12" t="n">
        <v>46109</v>
      </c>
      <c r="I2466" s="5" t="s">
        <v>2241</v>
      </c>
      <c r="J2466" s="5" t="s">
        <v>2242</v>
      </c>
      <c r="K2466" s="5" t="s">
        <v>2243</v>
      </c>
      <c r="L2466" s="5" t="n">
        <f aca="false">IF(G2466="High",3,IF(G2466="Medium",2,1))</f>
        <v>3</v>
      </c>
    </row>
    <row r="2467" customFormat="false" ht="15" hidden="false" customHeight="true" outlineLevel="0" collapsed="false">
      <c r="A2467" s="5" t="s">
        <v>4745</v>
      </c>
      <c r="B2467" s="5" t="s">
        <v>1810</v>
      </c>
      <c r="C2467" s="5" t="s">
        <v>2254</v>
      </c>
      <c r="D2467" s="5" t="s">
        <v>2308</v>
      </c>
      <c r="E2467" s="5" t="s">
        <v>54</v>
      </c>
      <c r="F2467" s="5" t="s">
        <v>2225</v>
      </c>
      <c r="G2467" s="5" t="str">
        <f aca="false">INDEX(Risk_Matrix!$B$2:$D$4,MATCH(E2467,Risk_Matrix!$A$2:$A$4,0),MATCH(F2467,Risk_Matrix!$B$1:$D$1,0))</f>
        <v>High</v>
      </c>
      <c r="H2467" s="12" t="n">
        <v>46190</v>
      </c>
      <c r="I2467" s="5" t="s">
        <v>2256</v>
      </c>
      <c r="J2467" s="5" t="s">
        <v>4081</v>
      </c>
      <c r="K2467" s="5" t="s">
        <v>2243</v>
      </c>
      <c r="L2467" s="5" t="n">
        <f aca="false">IF(G2467="High",3,IF(G2467="Medium",2,1))</f>
        <v>3</v>
      </c>
    </row>
    <row r="2468" customFormat="false" ht="15" hidden="false" customHeight="true" outlineLevel="0" collapsed="false">
      <c r="A2468" s="5" t="s">
        <v>4746</v>
      </c>
      <c r="B2468" s="5" t="s">
        <v>1812</v>
      </c>
      <c r="C2468" s="5" t="s">
        <v>2239</v>
      </c>
      <c r="D2468" s="5" t="s">
        <v>2278</v>
      </c>
      <c r="E2468" s="5" t="s">
        <v>59</v>
      </c>
      <c r="F2468" s="5" t="s">
        <v>2225</v>
      </c>
      <c r="G2468" s="5" t="str">
        <f aca="false">INDEX(Risk_Matrix!$B$2:$D$4,MATCH(E2468,Risk_Matrix!$A$2:$A$4,0),MATCH(F2468,Risk_Matrix!$B$1:$D$1,0))</f>
        <v>Low</v>
      </c>
      <c r="H2468" s="12" t="n">
        <v>46200</v>
      </c>
      <c r="I2468" s="5" t="s">
        <v>2256</v>
      </c>
      <c r="J2468" s="5" t="s">
        <v>4081</v>
      </c>
      <c r="K2468" s="5" t="s">
        <v>2276</v>
      </c>
      <c r="L2468" s="5" t="n">
        <f aca="false">IF(G2468="High",3,IF(G2468="Medium",2,1))</f>
        <v>1</v>
      </c>
    </row>
    <row r="2469" customFormat="false" ht="15" hidden="false" customHeight="true" outlineLevel="0" collapsed="false">
      <c r="A2469" s="5" t="s">
        <v>4747</v>
      </c>
      <c r="B2469" s="5" t="s">
        <v>1812</v>
      </c>
      <c r="C2469" s="5" t="s">
        <v>2245</v>
      </c>
      <c r="D2469" s="5" t="s">
        <v>2320</v>
      </c>
      <c r="E2469" s="5" t="s">
        <v>59</v>
      </c>
      <c r="F2469" s="5" t="s">
        <v>59</v>
      </c>
      <c r="G2469" s="5" t="str">
        <f aca="false">INDEX(Risk_Matrix!$B$2:$D$4,MATCH(E2469,Risk_Matrix!$A$2:$A$4,0),MATCH(F2469,Risk_Matrix!$B$1:$D$1,0))</f>
        <v>Low</v>
      </c>
      <c r="H2469" s="12" t="n">
        <v>46235</v>
      </c>
      <c r="I2469" s="5" t="s">
        <v>2264</v>
      </c>
      <c r="J2469" s="5" t="s">
        <v>4087</v>
      </c>
      <c r="K2469" s="5" t="s">
        <v>2276</v>
      </c>
      <c r="L2469" s="5" t="n">
        <f aca="false">IF(G2469="High",3,IF(G2469="Medium",2,1))</f>
        <v>1</v>
      </c>
    </row>
    <row r="2470" customFormat="false" ht="15" hidden="false" customHeight="true" outlineLevel="0" collapsed="false">
      <c r="A2470" s="5" t="s">
        <v>4748</v>
      </c>
      <c r="B2470" s="5" t="s">
        <v>1812</v>
      </c>
      <c r="C2470" s="5" t="s">
        <v>2248</v>
      </c>
      <c r="D2470" s="5" t="s">
        <v>2322</v>
      </c>
      <c r="E2470" s="5" t="s">
        <v>59</v>
      </c>
      <c r="F2470" s="5" t="s">
        <v>54</v>
      </c>
      <c r="G2470" s="5" t="str">
        <f aca="false">INDEX(Risk_Matrix!$B$2:$D$4,MATCH(E2470,Risk_Matrix!$A$2:$A$4,0),MATCH(F2470,Risk_Matrix!$B$1:$D$1,0))</f>
        <v>Medium</v>
      </c>
      <c r="H2470" s="12" t="n">
        <v>46079</v>
      </c>
      <c r="I2470" s="5" t="s">
        <v>2241</v>
      </c>
      <c r="J2470" s="5" t="s">
        <v>2242</v>
      </c>
      <c r="K2470" s="5" t="s">
        <v>2266</v>
      </c>
      <c r="L2470" s="5" t="n">
        <f aca="false">IF(G2470="High",3,IF(G2470="Medium",2,1))</f>
        <v>2</v>
      </c>
    </row>
    <row r="2471" customFormat="false" ht="15" hidden="false" customHeight="true" outlineLevel="0" collapsed="false">
      <c r="A2471" s="5" t="s">
        <v>4749</v>
      </c>
      <c r="B2471" s="5" t="s">
        <v>1812</v>
      </c>
      <c r="C2471" s="5" t="s">
        <v>2262</v>
      </c>
      <c r="D2471" s="5" t="s">
        <v>2311</v>
      </c>
      <c r="E2471" s="5" t="s">
        <v>59</v>
      </c>
      <c r="F2471" s="5" t="s">
        <v>59</v>
      </c>
      <c r="G2471" s="5" t="str">
        <f aca="false">INDEX(Risk_Matrix!$B$2:$D$4,MATCH(E2471,Risk_Matrix!$A$2:$A$4,0),MATCH(F2471,Risk_Matrix!$B$1:$D$1,0))</f>
        <v>Low</v>
      </c>
      <c r="H2471" s="12" t="n">
        <v>46172</v>
      </c>
      <c r="I2471" s="5" t="s">
        <v>2250</v>
      </c>
      <c r="J2471" s="5" t="s">
        <v>2251</v>
      </c>
      <c r="K2471" s="5" t="s">
        <v>2276</v>
      </c>
      <c r="L2471" s="5" t="n">
        <f aca="false">IF(G2471="High",3,IF(G2471="Medium",2,1))</f>
        <v>1</v>
      </c>
    </row>
    <row r="2472" customFormat="false" ht="15" hidden="false" customHeight="true" outlineLevel="0" collapsed="false">
      <c r="A2472" s="5" t="s">
        <v>4750</v>
      </c>
      <c r="B2472" s="5" t="s">
        <v>1812</v>
      </c>
      <c r="C2472" s="5" t="s">
        <v>2259</v>
      </c>
      <c r="D2472" s="5" t="s">
        <v>2285</v>
      </c>
      <c r="E2472" s="5" t="s">
        <v>59</v>
      </c>
      <c r="F2472" s="5" t="s">
        <v>2225</v>
      </c>
      <c r="G2472" s="5" t="str">
        <f aca="false">INDEX(Risk_Matrix!$B$2:$D$4,MATCH(E2472,Risk_Matrix!$A$2:$A$4,0),MATCH(F2472,Risk_Matrix!$B$1:$D$1,0))</f>
        <v>Low</v>
      </c>
      <c r="H2472" s="12" t="n">
        <v>46154</v>
      </c>
      <c r="I2472" s="5" t="s">
        <v>2264</v>
      </c>
      <c r="J2472" s="5" t="s">
        <v>4087</v>
      </c>
      <c r="K2472" s="5" t="s">
        <v>2283</v>
      </c>
      <c r="L2472" s="5" t="n">
        <f aca="false">IF(G2472="High",3,IF(G2472="Medium",2,1))</f>
        <v>1</v>
      </c>
    </row>
    <row r="2473" customFormat="false" ht="15" hidden="false" customHeight="true" outlineLevel="0" collapsed="false">
      <c r="A2473" s="5" t="s">
        <v>4751</v>
      </c>
      <c r="B2473" s="5" t="s">
        <v>1812</v>
      </c>
      <c r="C2473" s="5" t="s">
        <v>2254</v>
      </c>
      <c r="D2473" s="5" t="s">
        <v>2308</v>
      </c>
      <c r="E2473" s="5" t="s">
        <v>59</v>
      </c>
      <c r="F2473" s="5" t="s">
        <v>54</v>
      </c>
      <c r="G2473" s="5" t="str">
        <f aca="false">INDEX(Risk_Matrix!$B$2:$D$4,MATCH(E2473,Risk_Matrix!$A$2:$A$4,0),MATCH(F2473,Risk_Matrix!$B$1:$D$1,0))</f>
        <v>Medium</v>
      </c>
      <c r="H2473" s="12" t="n">
        <v>46117</v>
      </c>
      <c r="I2473" s="5" t="s">
        <v>2256</v>
      </c>
      <c r="J2473" s="5" t="s">
        <v>4081</v>
      </c>
      <c r="K2473" s="5" t="s">
        <v>2283</v>
      </c>
      <c r="L2473" s="5" t="n">
        <f aca="false">IF(G2473="High",3,IF(G2473="Medium",2,1))</f>
        <v>2</v>
      </c>
    </row>
    <row r="2474" customFormat="false" ht="15" hidden="false" customHeight="true" outlineLevel="0" collapsed="false">
      <c r="A2474" s="5" t="s">
        <v>4752</v>
      </c>
      <c r="B2474" s="5" t="s">
        <v>1814</v>
      </c>
      <c r="C2474" s="5" t="s">
        <v>2239</v>
      </c>
      <c r="D2474" s="5" t="s">
        <v>2295</v>
      </c>
      <c r="E2474" s="5" t="s">
        <v>54</v>
      </c>
      <c r="F2474" s="5" t="s">
        <v>54</v>
      </c>
      <c r="G2474" s="5" t="str">
        <f aca="false">INDEX(Risk_Matrix!$B$2:$D$4,MATCH(E2474,Risk_Matrix!$A$2:$A$4,0),MATCH(F2474,Risk_Matrix!$B$1:$D$1,0))</f>
        <v>High</v>
      </c>
      <c r="H2474" s="12" t="n">
        <v>46139</v>
      </c>
      <c r="I2474" s="5" t="s">
        <v>2264</v>
      </c>
      <c r="J2474" s="5" t="s">
        <v>4087</v>
      </c>
      <c r="K2474" s="5" t="s">
        <v>2266</v>
      </c>
      <c r="L2474" s="5" t="n">
        <f aca="false">IF(G2474="High",3,IF(G2474="Medium",2,1))</f>
        <v>3</v>
      </c>
    </row>
    <row r="2475" customFormat="false" ht="15" hidden="false" customHeight="true" outlineLevel="0" collapsed="false">
      <c r="A2475" s="5" t="s">
        <v>4753</v>
      </c>
      <c r="B2475" s="5" t="s">
        <v>1814</v>
      </c>
      <c r="C2475" s="5" t="s">
        <v>2245</v>
      </c>
      <c r="D2475" s="5" t="s">
        <v>2269</v>
      </c>
      <c r="E2475" s="5" t="s">
        <v>54</v>
      </c>
      <c r="F2475" s="5" t="s">
        <v>2225</v>
      </c>
      <c r="G2475" s="5" t="str">
        <f aca="false">INDEX(Risk_Matrix!$B$2:$D$4,MATCH(E2475,Risk_Matrix!$A$2:$A$4,0),MATCH(F2475,Risk_Matrix!$B$1:$D$1,0))</f>
        <v>High</v>
      </c>
      <c r="H2475" s="12" t="n">
        <v>46047</v>
      </c>
      <c r="I2475" s="5" t="s">
        <v>2241</v>
      </c>
      <c r="J2475" s="5" t="s">
        <v>2242</v>
      </c>
      <c r="K2475" s="5" t="s">
        <v>2283</v>
      </c>
      <c r="L2475" s="5" t="n">
        <f aca="false">IF(G2475="High",3,IF(G2475="Medium",2,1))</f>
        <v>3</v>
      </c>
    </row>
    <row r="2476" customFormat="false" ht="15" hidden="false" customHeight="true" outlineLevel="0" collapsed="false">
      <c r="A2476" s="5" t="s">
        <v>4754</v>
      </c>
      <c r="B2476" s="5" t="s">
        <v>1814</v>
      </c>
      <c r="C2476" s="5" t="s">
        <v>2248</v>
      </c>
      <c r="D2476" s="5" t="s">
        <v>2322</v>
      </c>
      <c r="E2476" s="5" t="s">
        <v>54</v>
      </c>
      <c r="F2476" s="5" t="s">
        <v>2225</v>
      </c>
      <c r="G2476" s="5" t="str">
        <f aca="false">INDEX(Risk_Matrix!$B$2:$D$4,MATCH(E2476,Risk_Matrix!$A$2:$A$4,0),MATCH(F2476,Risk_Matrix!$B$1:$D$1,0))</f>
        <v>High</v>
      </c>
      <c r="H2476" s="12" t="n">
        <v>46154</v>
      </c>
      <c r="I2476" s="5" t="s">
        <v>2241</v>
      </c>
      <c r="J2476" s="5" t="s">
        <v>2242</v>
      </c>
      <c r="K2476" s="5" t="s">
        <v>2266</v>
      </c>
      <c r="L2476" s="5" t="n">
        <f aca="false">IF(G2476="High",3,IF(G2476="Medium",2,1))</f>
        <v>3</v>
      </c>
    </row>
    <row r="2477" customFormat="false" ht="15" hidden="false" customHeight="true" outlineLevel="0" collapsed="false">
      <c r="A2477" s="5" t="s">
        <v>4755</v>
      </c>
      <c r="B2477" s="5" t="s">
        <v>1814</v>
      </c>
      <c r="C2477" s="5" t="s">
        <v>2262</v>
      </c>
      <c r="D2477" s="5" t="s">
        <v>2311</v>
      </c>
      <c r="E2477" s="5" t="s">
        <v>59</v>
      </c>
      <c r="F2477" s="5" t="s">
        <v>54</v>
      </c>
      <c r="G2477" s="5" t="str">
        <f aca="false">INDEX(Risk_Matrix!$B$2:$D$4,MATCH(E2477,Risk_Matrix!$A$2:$A$4,0),MATCH(F2477,Risk_Matrix!$B$1:$D$1,0))</f>
        <v>Medium</v>
      </c>
      <c r="H2477" s="12" t="n">
        <v>46084</v>
      </c>
      <c r="I2477" s="5" t="s">
        <v>2250</v>
      </c>
      <c r="J2477" s="5" t="s">
        <v>2251</v>
      </c>
      <c r="K2477" s="5" t="s">
        <v>2266</v>
      </c>
      <c r="L2477" s="5" t="n">
        <f aca="false">IF(G2477="High",3,IF(G2477="Medium",2,1))</f>
        <v>2</v>
      </c>
    </row>
    <row r="2478" customFormat="false" ht="15" hidden="false" customHeight="true" outlineLevel="0" collapsed="false">
      <c r="A2478" s="5" t="s">
        <v>4756</v>
      </c>
      <c r="B2478" s="5" t="s">
        <v>1814</v>
      </c>
      <c r="C2478" s="5" t="s">
        <v>2259</v>
      </c>
      <c r="D2478" s="5" t="s">
        <v>2274</v>
      </c>
      <c r="E2478" s="5" t="s">
        <v>2225</v>
      </c>
      <c r="F2478" s="5" t="s">
        <v>2225</v>
      </c>
      <c r="G2478" s="5" t="str">
        <f aca="false">INDEX(Risk_Matrix!$B$2:$D$4,MATCH(E2478,Risk_Matrix!$A$2:$A$4,0),MATCH(F2478,Risk_Matrix!$B$1:$D$1,0))</f>
        <v>Medium</v>
      </c>
      <c r="H2478" s="12" t="n">
        <v>46067</v>
      </c>
      <c r="I2478" s="5" t="s">
        <v>2250</v>
      </c>
      <c r="J2478" s="5" t="s">
        <v>2251</v>
      </c>
      <c r="K2478" s="5" t="s">
        <v>2266</v>
      </c>
      <c r="L2478" s="5" t="n">
        <f aca="false">IF(G2478="High",3,IF(G2478="Medium",2,1))</f>
        <v>2</v>
      </c>
    </row>
    <row r="2479" customFormat="false" ht="15" hidden="false" customHeight="true" outlineLevel="0" collapsed="false">
      <c r="A2479" s="5" t="s">
        <v>4757</v>
      </c>
      <c r="B2479" s="5" t="s">
        <v>1814</v>
      </c>
      <c r="C2479" s="5" t="s">
        <v>2254</v>
      </c>
      <c r="D2479" s="5" t="s">
        <v>2255</v>
      </c>
      <c r="E2479" s="5" t="s">
        <v>59</v>
      </c>
      <c r="F2479" s="5" t="s">
        <v>54</v>
      </c>
      <c r="G2479" s="5" t="str">
        <f aca="false">INDEX(Risk_Matrix!$B$2:$D$4,MATCH(E2479,Risk_Matrix!$A$2:$A$4,0),MATCH(F2479,Risk_Matrix!$B$1:$D$1,0))</f>
        <v>Medium</v>
      </c>
      <c r="H2479" s="12" t="n">
        <v>46183</v>
      </c>
      <c r="I2479" s="5" t="s">
        <v>2264</v>
      </c>
      <c r="J2479" s="5" t="s">
        <v>4087</v>
      </c>
      <c r="K2479" s="5" t="s">
        <v>2283</v>
      </c>
      <c r="L2479" s="5" t="n">
        <f aca="false">IF(G2479="High",3,IF(G2479="Medium",2,1))</f>
        <v>2</v>
      </c>
    </row>
    <row r="2480" customFormat="false" ht="15" hidden="false" customHeight="true" outlineLevel="0" collapsed="false">
      <c r="A2480" s="5" t="s">
        <v>4758</v>
      </c>
      <c r="B2480" s="5" t="s">
        <v>1816</v>
      </c>
      <c r="C2480" s="5" t="s">
        <v>2239</v>
      </c>
      <c r="D2480" s="5" t="s">
        <v>2295</v>
      </c>
      <c r="E2480" s="5" t="s">
        <v>2225</v>
      </c>
      <c r="F2480" s="5" t="s">
        <v>54</v>
      </c>
      <c r="G2480" s="5" t="str">
        <f aca="false">INDEX(Risk_Matrix!$B$2:$D$4,MATCH(E2480,Risk_Matrix!$A$2:$A$4,0),MATCH(F2480,Risk_Matrix!$B$1:$D$1,0))</f>
        <v>High</v>
      </c>
      <c r="H2480" s="12" t="n">
        <v>46205</v>
      </c>
      <c r="I2480" s="5" t="s">
        <v>2241</v>
      </c>
      <c r="J2480" s="5" t="s">
        <v>2242</v>
      </c>
      <c r="K2480" s="5" t="s">
        <v>2283</v>
      </c>
      <c r="L2480" s="5" t="n">
        <f aca="false">IF(G2480="High",3,IF(G2480="Medium",2,1))</f>
        <v>3</v>
      </c>
    </row>
    <row r="2481" customFormat="false" ht="15" hidden="false" customHeight="true" outlineLevel="0" collapsed="false">
      <c r="A2481" s="5" t="s">
        <v>4759</v>
      </c>
      <c r="B2481" s="5" t="s">
        <v>1816</v>
      </c>
      <c r="C2481" s="5" t="s">
        <v>2245</v>
      </c>
      <c r="D2481" s="5" t="s">
        <v>2280</v>
      </c>
      <c r="E2481" s="5" t="s">
        <v>54</v>
      </c>
      <c r="F2481" s="5" t="s">
        <v>2225</v>
      </c>
      <c r="G2481" s="5" t="str">
        <f aca="false">INDEX(Risk_Matrix!$B$2:$D$4,MATCH(E2481,Risk_Matrix!$A$2:$A$4,0),MATCH(F2481,Risk_Matrix!$B$1:$D$1,0))</f>
        <v>High</v>
      </c>
      <c r="H2481" s="12" t="n">
        <v>46035</v>
      </c>
      <c r="I2481" s="5" t="s">
        <v>2250</v>
      </c>
      <c r="J2481" s="5" t="s">
        <v>2251</v>
      </c>
      <c r="K2481" s="5" t="s">
        <v>2266</v>
      </c>
      <c r="L2481" s="5" t="n">
        <f aca="false">IF(G2481="High",3,IF(G2481="Medium",2,1))</f>
        <v>3</v>
      </c>
    </row>
    <row r="2482" customFormat="false" ht="15" hidden="false" customHeight="true" outlineLevel="0" collapsed="false">
      <c r="A2482" s="5" t="s">
        <v>4760</v>
      </c>
      <c r="B2482" s="5" t="s">
        <v>1816</v>
      </c>
      <c r="C2482" s="5" t="s">
        <v>2248</v>
      </c>
      <c r="D2482" s="5" t="s">
        <v>2306</v>
      </c>
      <c r="E2482" s="5" t="s">
        <v>2225</v>
      </c>
      <c r="F2482" s="5" t="s">
        <v>2225</v>
      </c>
      <c r="G2482" s="5" t="str">
        <f aca="false">INDEX(Risk_Matrix!$B$2:$D$4,MATCH(E2482,Risk_Matrix!$A$2:$A$4,0),MATCH(F2482,Risk_Matrix!$B$1:$D$1,0))</f>
        <v>Medium</v>
      </c>
      <c r="H2482" s="12" t="n">
        <v>46222</v>
      </c>
      <c r="I2482" s="5" t="s">
        <v>2264</v>
      </c>
      <c r="J2482" s="5" t="s">
        <v>4087</v>
      </c>
      <c r="K2482" s="5" t="s">
        <v>2252</v>
      </c>
      <c r="L2482" s="5" t="n">
        <f aca="false">IF(G2482="High",3,IF(G2482="Medium",2,1))</f>
        <v>2</v>
      </c>
    </row>
    <row r="2483" customFormat="false" ht="15" hidden="false" customHeight="true" outlineLevel="0" collapsed="false">
      <c r="A2483" s="5" t="s">
        <v>4761</v>
      </c>
      <c r="B2483" s="5" t="s">
        <v>1816</v>
      </c>
      <c r="C2483" s="5" t="s">
        <v>2262</v>
      </c>
      <c r="D2483" s="5" t="s">
        <v>2311</v>
      </c>
      <c r="E2483" s="5" t="s">
        <v>59</v>
      </c>
      <c r="F2483" s="5" t="s">
        <v>59</v>
      </c>
      <c r="G2483" s="5" t="str">
        <f aca="false">INDEX(Risk_Matrix!$B$2:$D$4,MATCH(E2483,Risk_Matrix!$A$2:$A$4,0),MATCH(F2483,Risk_Matrix!$B$1:$D$1,0))</f>
        <v>Low</v>
      </c>
      <c r="H2483" s="12" t="n">
        <v>46087</v>
      </c>
      <c r="I2483" s="5" t="s">
        <v>2250</v>
      </c>
      <c r="J2483" s="5" t="s">
        <v>2251</v>
      </c>
      <c r="K2483" s="5" t="s">
        <v>2266</v>
      </c>
      <c r="L2483" s="5" t="n">
        <f aca="false">IF(G2483="High",3,IF(G2483="Medium",2,1))</f>
        <v>1</v>
      </c>
    </row>
    <row r="2484" customFormat="false" ht="15" hidden="false" customHeight="true" outlineLevel="0" collapsed="false">
      <c r="A2484" s="5" t="s">
        <v>4762</v>
      </c>
      <c r="B2484" s="5" t="s">
        <v>1816</v>
      </c>
      <c r="C2484" s="5" t="s">
        <v>2259</v>
      </c>
      <c r="D2484" s="5" t="s">
        <v>2274</v>
      </c>
      <c r="E2484" s="5" t="s">
        <v>59</v>
      </c>
      <c r="F2484" s="5" t="s">
        <v>54</v>
      </c>
      <c r="G2484" s="5" t="str">
        <f aca="false">INDEX(Risk_Matrix!$B$2:$D$4,MATCH(E2484,Risk_Matrix!$A$2:$A$4,0),MATCH(F2484,Risk_Matrix!$B$1:$D$1,0))</f>
        <v>Medium</v>
      </c>
      <c r="H2484" s="12" t="n">
        <v>46045</v>
      </c>
      <c r="I2484" s="5" t="s">
        <v>2241</v>
      </c>
      <c r="J2484" s="5" t="s">
        <v>2242</v>
      </c>
      <c r="K2484" s="5" t="s">
        <v>2252</v>
      </c>
      <c r="L2484" s="5" t="n">
        <f aca="false">IF(G2484="High",3,IF(G2484="Medium",2,1))</f>
        <v>2</v>
      </c>
    </row>
    <row r="2485" customFormat="false" ht="15" hidden="false" customHeight="true" outlineLevel="0" collapsed="false">
      <c r="A2485" s="5" t="s">
        <v>4763</v>
      </c>
      <c r="B2485" s="5" t="s">
        <v>1816</v>
      </c>
      <c r="C2485" s="5" t="s">
        <v>2254</v>
      </c>
      <c r="D2485" s="5" t="s">
        <v>2255</v>
      </c>
      <c r="E2485" s="5" t="s">
        <v>54</v>
      </c>
      <c r="F2485" s="5" t="s">
        <v>54</v>
      </c>
      <c r="G2485" s="5" t="str">
        <f aca="false">INDEX(Risk_Matrix!$B$2:$D$4,MATCH(E2485,Risk_Matrix!$A$2:$A$4,0),MATCH(F2485,Risk_Matrix!$B$1:$D$1,0))</f>
        <v>High</v>
      </c>
      <c r="H2485" s="12" t="n">
        <v>46149</v>
      </c>
      <c r="I2485" s="5" t="s">
        <v>2241</v>
      </c>
      <c r="J2485" s="5" t="s">
        <v>2242</v>
      </c>
      <c r="K2485" s="5" t="s">
        <v>2283</v>
      </c>
      <c r="L2485" s="5" t="n">
        <f aca="false">IF(G2485="High",3,IF(G2485="Medium",2,1))</f>
        <v>3</v>
      </c>
    </row>
    <row r="2486" customFormat="false" ht="15" hidden="false" customHeight="true" outlineLevel="0" collapsed="false">
      <c r="A2486" s="5" t="s">
        <v>4764</v>
      </c>
      <c r="B2486" s="5" t="s">
        <v>1818</v>
      </c>
      <c r="C2486" s="5" t="s">
        <v>2239</v>
      </c>
      <c r="D2486" s="5" t="s">
        <v>2278</v>
      </c>
      <c r="E2486" s="5" t="s">
        <v>2225</v>
      </c>
      <c r="F2486" s="5" t="s">
        <v>54</v>
      </c>
      <c r="G2486" s="5" t="str">
        <f aca="false">INDEX(Risk_Matrix!$B$2:$D$4,MATCH(E2486,Risk_Matrix!$A$2:$A$4,0),MATCH(F2486,Risk_Matrix!$B$1:$D$1,0))</f>
        <v>High</v>
      </c>
      <c r="H2486" s="12" t="n">
        <v>46036</v>
      </c>
      <c r="I2486" s="5" t="s">
        <v>2241</v>
      </c>
      <c r="J2486" s="5" t="s">
        <v>2242</v>
      </c>
      <c r="K2486" s="5" t="s">
        <v>2266</v>
      </c>
      <c r="L2486" s="5" t="n">
        <f aca="false">IF(G2486="High",3,IF(G2486="Medium",2,1))</f>
        <v>3</v>
      </c>
    </row>
    <row r="2487" customFormat="false" ht="15" hidden="false" customHeight="true" outlineLevel="0" collapsed="false">
      <c r="A2487" s="5" t="s">
        <v>4765</v>
      </c>
      <c r="B2487" s="5" t="s">
        <v>1818</v>
      </c>
      <c r="C2487" s="5" t="s">
        <v>2245</v>
      </c>
      <c r="D2487" s="5" t="s">
        <v>2269</v>
      </c>
      <c r="E2487" s="5" t="s">
        <v>54</v>
      </c>
      <c r="F2487" s="5" t="s">
        <v>59</v>
      </c>
      <c r="G2487" s="5" t="str">
        <f aca="false">INDEX(Risk_Matrix!$B$2:$D$4,MATCH(E2487,Risk_Matrix!$A$2:$A$4,0),MATCH(F2487,Risk_Matrix!$B$1:$D$1,0))</f>
        <v>Medium</v>
      </c>
      <c r="H2487" s="12" t="n">
        <v>46149</v>
      </c>
      <c r="I2487" s="5" t="s">
        <v>2250</v>
      </c>
      <c r="J2487" s="5" t="s">
        <v>2251</v>
      </c>
      <c r="K2487" s="5" t="s">
        <v>2276</v>
      </c>
      <c r="L2487" s="5" t="n">
        <f aca="false">IF(G2487="High",3,IF(G2487="Medium",2,1))</f>
        <v>2</v>
      </c>
    </row>
    <row r="2488" customFormat="false" ht="15" hidden="false" customHeight="true" outlineLevel="0" collapsed="false">
      <c r="A2488" s="5" t="s">
        <v>4766</v>
      </c>
      <c r="B2488" s="5" t="s">
        <v>1818</v>
      </c>
      <c r="C2488" s="5" t="s">
        <v>2248</v>
      </c>
      <c r="D2488" s="5" t="s">
        <v>2306</v>
      </c>
      <c r="E2488" s="5" t="s">
        <v>59</v>
      </c>
      <c r="F2488" s="5" t="s">
        <v>59</v>
      </c>
      <c r="G2488" s="5" t="str">
        <f aca="false">INDEX(Risk_Matrix!$B$2:$D$4,MATCH(E2488,Risk_Matrix!$A$2:$A$4,0),MATCH(F2488,Risk_Matrix!$B$1:$D$1,0))</f>
        <v>Low</v>
      </c>
      <c r="H2488" s="12" t="n">
        <v>46225</v>
      </c>
      <c r="I2488" s="5" t="s">
        <v>2241</v>
      </c>
      <c r="J2488" s="5" t="s">
        <v>2242</v>
      </c>
      <c r="K2488" s="5" t="s">
        <v>2266</v>
      </c>
      <c r="L2488" s="5" t="n">
        <f aca="false">IF(G2488="High",3,IF(G2488="Medium",2,1))</f>
        <v>1</v>
      </c>
    </row>
    <row r="2489" customFormat="false" ht="15" hidden="false" customHeight="true" outlineLevel="0" collapsed="false">
      <c r="A2489" s="5" t="s">
        <v>4767</v>
      </c>
      <c r="B2489" s="5" t="s">
        <v>1818</v>
      </c>
      <c r="C2489" s="5" t="s">
        <v>2262</v>
      </c>
      <c r="D2489" s="5" t="s">
        <v>2311</v>
      </c>
      <c r="E2489" s="5" t="s">
        <v>54</v>
      </c>
      <c r="F2489" s="5" t="s">
        <v>54</v>
      </c>
      <c r="G2489" s="5" t="str">
        <f aca="false">INDEX(Risk_Matrix!$B$2:$D$4,MATCH(E2489,Risk_Matrix!$A$2:$A$4,0),MATCH(F2489,Risk_Matrix!$B$1:$D$1,0))</f>
        <v>High</v>
      </c>
      <c r="H2489" s="12" t="n">
        <v>46168</v>
      </c>
      <c r="I2489" s="5" t="s">
        <v>2256</v>
      </c>
      <c r="J2489" s="5" t="s">
        <v>4081</v>
      </c>
      <c r="K2489" s="5" t="s">
        <v>2266</v>
      </c>
      <c r="L2489" s="5" t="n">
        <f aca="false">IF(G2489="High",3,IF(G2489="Medium",2,1))</f>
        <v>3</v>
      </c>
    </row>
    <row r="2490" customFormat="false" ht="15" hidden="false" customHeight="true" outlineLevel="0" collapsed="false">
      <c r="A2490" s="5" t="s">
        <v>4768</v>
      </c>
      <c r="B2490" s="5" t="s">
        <v>1818</v>
      </c>
      <c r="C2490" s="5" t="s">
        <v>2259</v>
      </c>
      <c r="D2490" s="5" t="s">
        <v>2274</v>
      </c>
      <c r="E2490" s="5" t="s">
        <v>59</v>
      </c>
      <c r="F2490" s="5" t="s">
        <v>2225</v>
      </c>
      <c r="G2490" s="5" t="str">
        <f aca="false">INDEX(Risk_Matrix!$B$2:$D$4,MATCH(E2490,Risk_Matrix!$A$2:$A$4,0),MATCH(F2490,Risk_Matrix!$B$1:$D$1,0))</f>
        <v>Low</v>
      </c>
      <c r="H2490" s="12" t="n">
        <v>46137</v>
      </c>
      <c r="I2490" s="5" t="s">
        <v>2256</v>
      </c>
      <c r="J2490" s="5" t="s">
        <v>4081</v>
      </c>
      <c r="K2490" s="5" t="s">
        <v>2243</v>
      </c>
      <c r="L2490" s="5" t="n">
        <f aca="false">IF(G2490="High",3,IF(G2490="Medium",2,1))</f>
        <v>1</v>
      </c>
    </row>
    <row r="2491" customFormat="false" ht="15" hidden="false" customHeight="true" outlineLevel="0" collapsed="false">
      <c r="A2491" s="5" t="s">
        <v>4769</v>
      </c>
      <c r="B2491" s="5" t="s">
        <v>1818</v>
      </c>
      <c r="C2491" s="5" t="s">
        <v>2254</v>
      </c>
      <c r="D2491" s="5" t="s">
        <v>2299</v>
      </c>
      <c r="E2491" s="5" t="s">
        <v>2225</v>
      </c>
      <c r="F2491" s="5" t="s">
        <v>54</v>
      </c>
      <c r="G2491" s="5" t="str">
        <f aca="false">INDEX(Risk_Matrix!$B$2:$D$4,MATCH(E2491,Risk_Matrix!$A$2:$A$4,0),MATCH(F2491,Risk_Matrix!$B$1:$D$1,0))</f>
        <v>High</v>
      </c>
      <c r="H2491" s="12" t="n">
        <v>46139</v>
      </c>
      <c r="I2491" s="5" t="s">
        <v>2264</v>
      </c>
      <c r="J2491" s="5" t="s">
        <v>4087</v>
      </c>
      <c r="K2491" s="5" t="s">
        <v>2266</v>
      </c>
      <c r="L2491" s="5" t="n">
        <f aca="false">IF(G2491="High",3,IF(G2491="Medium",2,1))</f>
        <v>3</v>
      </c>
    </row>
    <row r="2492" customFormat="false" ht="15" hidden="false" customHeight="true" outlineLevel="0" collapsed="false">
      <c r="A2492" s="5" t="s">
        <v>4770</v>
      </c>
      <c r="B2492" s="5" t="s">
        <v>1820</v>
      </c>
      <c r="C2492" s="5" t="s">
        <v>2239</v>
      </c>
      <c r="D2492" s="5" t="s">
        <v>2240</v>
      </c>
      <c r="E2492" s="5" t="s">
        <v>54</v>
      </c>
      <c r="F2492" s="5" t="s">
        <v>2225</v>
      </c>
      <c r="G2492" s="5" t="str">
        <f aca="false">INDEX(Risk_Matrix!$B$2:$D$4,MATCH(E2492,Risk_Matrix!$A$2:$A$4,0),MATCH(F2492,Risk_Matrix!$B$1:$D$1,0))</f>
        <v>High</v>
      </c>
      <c r="H2492" s="12" t="n">
        <v>46114</v>
      </c>
      <c r="I2492" s="5" t="s">
        <v>2250</v>
      </c>
      <c r="J2492" s="5" t="s">
        <v>2251</v>
      </c>
      <c r="K2492" s="5" t="s">
        <v>2243</v>
      </c>
      <c r="L2492" s="5" t="n">
        <f aca="false">IF(G2492="High",3,IF(G2492="Medium",2,1))</f>
        <v>3</v>
      </c>
    </row>
    <row r="2493" customFormat="false" ht="15" hidden="false" customHeight="true" outlineLevel="0" collapsed="false">
      <c r="A2493" s="5" t="s">
        <v>4771</v>
      </c>
      <c r="B2493" s="5" t="s">
        <v>1820</v>
      </c>
      <c r="C2493" s="5" t="s">
        <v>2245</v>
      </c>
      <c r="D2493" s="5" t="s">
        <v>2269</v>
      </c>
      <c r="E2493" s="5" t="s">
        <v>59</v>
      </c>
      <c r="F2493" s="5" t="s">
        <v>59</v>
      </c>
      <c r="G2493" s="5" t="str">
        <f aca="false">INDEX(Risk_Matrix!$B$2:$D$4,MATCH(E2493,Risk_Matrix!$A$2:$A$4,0),MATCH(F2493,Risk_Matrix!$B$1:$D$1,0))</f>
        <v>Low</v>
      </c>
      <c r="H2493" s="12" t="n">
        <v>46177</v>
      </c>
      <c r="I2493" s="5" t="s">
        <v>2264</v>
      </c>
      <c r="J2493" s="5" t="s">
        <v>4087</v>
      </c>
      <c r="K2493" s="5" t="s">
        <v>2266</v>
      </c>
      <c r="L2493" s="5" t="n">
        <f aca="false">IF(G2493="High",3,IF(G2493="Medium",2,1))</f>
        <v>1</v>
      </c>
    </row>
    <row r="2494" customFormat="false" ht="15" hidden="false" customHeight="true" outlineLevel="0" collapsed="false">
      <c r="A2494" s="5" t="s">
        <v>4772</v>
      </c>
      <c r="B2494" s="5" t="s">
        <v>1820</v>
      </c>
      <c r="C2494" s="5" t="s">
        <v>2248</v>
      </c>
      <c r="D2494" s="5" t="s">
        <v>2271</v>
      </c>
      <c r="E2494" s="5" t="s">
        <v>59</v>
      </c>
      <c r="F2494" s="5" t="s">
        <v>2225</v>
      </c>
      <c r="G2494" s="5" t="str">
        <f aca="false">INDEX(Risk_Matrix!$B$2:$D$4,MATCH(E2494,Risk_Matrix!$A$2:$A$4,0),MATCH(F2494,Risk_Matrix!$B$1:$D$1,0))</f>
        <v>Low</v>
      </c>
      <c r="H2494" s="12" t="n">
        <v>46211</v>
      </c>
      <c r="I2494" s="5" t="s">
        <v>2241</v>
      </c>
      <c r="J2494" s="5" t="s">
        <v>2242</v>
      </c>
      <c r="K2494" s="5" t="s">
        <v>2266</v>
      </c>
      <c r="L2494" s="5" t="n">
        <f aca="false">IF(G2494="High",3,IF(G2494="Medium",2,1))</f>
        <v>1</v>
      </c>
    </row>
    <row r="2495" customFormat="false" ht="15" hidden="false" customHeight="true" outlineLevel="0" collapsed="false">
      <c r="A2495" s="5" t="s">
        <v>4773</v>
      </c>
      <c r="B2495" s="5" t="s">
        <v>1820</v>
      </c>
      <c r="C2495" s="5" t="s">
        <v>2262</v>
      </c>
      <c r="D2495" s="5" t="s">
        <v>2311</v>
      </c>
      <c r="E2495" s="5" t="s">
        <v>59</v>
      </c>
      <c r="F2495" s="5" t="s">
        <v>59</v>
      </c>
      <c r="G2495" s="5" t="str">
        <f aca="false">INDEX(Risk_Matrix!$B$2:$D$4,MATCH(E2495,Risk_Matrix!$A$2:$A$4,0),MATCH(F2495,Risk_Matrix!$B$1:$D$1,0))</f>
        <v>Low</v>
      </c>
      <c r="H2495" s="12" t="n">
        <v>46139</v>
      </c>
      <c r="I2495" s="5" t="s">
        <v>2241</v>
      </c>
      <c r="J2495" s="5" t="s">
        <v>2242</v>
      </c>
      <c r="K2495" s="5" t="s">
        <v>2243</v>
      </c>
      <c r="L2495" s="5" t="n">
        <f aca="false">IF(G2495="High",3,IF(G2495="Medium",2,1))</f>
        <v>1</v>
      </c>
    </row>
    <row r="2496" customFormat="false" ht="15" hidden="false" customHeight="true" outlineLevel="0" collapsed="false">
      <c r="A2496" s="5" t="s">
        <v>4774</v>
      </c>
      <c r="B2496" s="5" t="s">
        <v>1820</v>
      </c>
      <c r="C2496" s="5" t="s">
        <v>2259</v>
      </c>
      <c r="D2496" s="5" t="s">
        <v>2260</v>
      </c>
      <c r="E2496" s="5" t="s">
        <v>2225</v>
      </c>
      <c r="F2496" s="5" t="s">
        <v>59</v>
      </c>
      <c r="G2496" s="5" t="str">
        <f aca="false">INDEX(Risk_Matrix!$B$2:$D$4,MATCH(E2496,Risk_Matrix!$A$2:$A$4,0),MATCH(F2496,Risk_Matrix!$B$1:$D$1,0))</f>
        <v>Low</v>
      </c>
      <c r="H2496" s="12" t="n">
        <v>46181</v>
      </c>
      <c r="I2496" s="5" t="s">
        <v>2250</v>
      </c>
      <c r="J2496" s="5" t="s">
        <v>2251</v>
      </c>
      <c r="K2496" s="5" t="s">
        <v>2252</v>
      </c>
      <c r="L2496" s="5" t="n">
        <f aca="false">IF(G2496="High",3,IF(G2496="Medium",2,1))</f>
        <v>1</v>
      </c>
    </row>
    <row r="2497" customFormat="false" ht="15" hidden="false" customHeight="true" outlineLevel="0" collapsed="false">
      <c r="A2497" s="5" t="s">
        <v>4775</v>
      </c>
      <c r="B2497" s="5" t="s">
        <v>1820</v>
      </c>
      <c r="C2497" s="5" t="s">
        <v>2254</v>
      </c>
      <c r="D2497" s="5" t="s">
        <v>2299</v>
      </c>
      <c r="E2497" s="5" t="s">
        <v>59</v>
      </c>
      <c r="F2497" s="5" t="s">
        <v>2225</v>
      </c>
      <c r="G2497" s="5" t="str">
        <f aca="false">INDEX(Risk_Matrix!$B$2:$D$4,MATCH(E2497,Risk_Matrix!$A$2:$A$4,0),MATCH(F2497,Risk_Matrix!$B$1:$D$1,0))</f>
        <v>Low</v>
      </c>
      <c r="H2497" s="12" t="n">
        <v>46128</v>
      </c>
      <c r="I2497" s="5" t="s">
        <v>2264</v>
      </c>
      <c r="J2497" s="5" t="s">
        <v>4087</v>
      </c>
      <c r="K2497" s="5" t="s">
        <v>2283</v>
      </c>
      <c r="L2497" s="5" t="n">
        <f aca="false">IF(G2497="High",3,IF(G2497="Medium",2,1))</f>
        <v>1</v>
      </c>
    </row>
    <row r="2498" customFormat="false" ht="15" hidden="false" customHeight="true" outlineLevel="0" collapsed="false">
      <c r="A2498" s="5" t="s">
        <v>4776</v>
      </c>
      <c r="B2498" s="5" t="s">
        <v>1822</v>
      </c>
      <c r="C2498" s="5" t="s">
        <v>2239</v>
      </c>
      <c r="D2498" s="5" t="s">
        <v>2303</v>
      </c>
      <c r="E2498" s="5" t="s">
        <v>54</v>
      </c>
      <c r="F2498" s="5" t="s">
        <v>59</v>
      </c>
      <c r="G2498" s="5" t="str">
        <f aca="false">INDEX(Risk_Matrix!$B$2:$D$4,MATCH(E2498,Risk_Matrix!$A$2:$A$4,0),MATCH(F2498,Risk_Matrix!$B$1:$D$1,0))</f>
        <v>Medium</v>
      </c>
      <c r="H2498" s="12" t="n">
        <v>46091</v>
      </c>
      <c r="I2498" s="5" t="s">
        <v>2241</v>
      </c>
      <c r="J2498" s="5" t="s">
        <v>2242</v>
      </c>
      <c r="K2498" s="5" t="s">
        <v>2266</v>
      </c>
      <c r="L2498" s="5" t="n">
        <f aca="false">IF(G2498="High",3,IF(G2498="Medium",2,1))</f>
        <v>2</v>
      </c>
    </row>
    <row r="2499" customFormat="false" ht="15" hidden="false" customHeight="true" outlineLevel="0" collapsed="false">
      <c r="A2499" s="5" t="s">
        <v>4777</v>
      </c>
      <c r="B2499" s="5" t="s">
        <v>1822</v>
      </c>
      <c r="C2499" s="5" t="s">
        <v>2245</v>
      </c>
      <c r="D2499" s="5" t="s">
        <v>2246</v>
      </c>
      <c r="E2499" s="5" t="s">
        <v>2225</v>
      </c>
      <c r="F2499" s="5" t="s">
        <v>54</v>
      </c>
      <c r="G2499" s="5" t="str">
        <f aca="false">INDEX(Risk_Matrix!$B$2:$D$4,MATCH(E2499,Risk_Matrix!$A$2:$A$4,0),MATCH(F2499,Risk_Matrix!$B$1:$D$1,0))</f>
        <v>High</v>
      </c>
      <c r="H2499" s="12" t="n">
        <v>46140</v>
      </c>
      <c r="I2499" s="5" t="s">
        <v>2250</v>
      </c>
      <c r="J2499" s="5" t="s">
        <v>2251</v>
      </c>
      <c r="K2499" s="5" t="s">
        <v>2243</v>
      </c>
      <c r="L2499" s="5" t="n">
        <f aca="false">IF(G2499="High",3,IF(G2499="Medium",2,1))</f>
        <v>3</v>
      </c>
    </row>
    <row r="2500" customFormat="false" ht="15" hidden="false" customHeight="true" outlineLevel="0" collapsed="false">
      <c r="A2500" s="5" t="s">
        <v>4778</v>
      </c>
      <c r="B2500" s="5" t="s">
        <v>1822</v>
      </c>
      <c r="C2500" s="5" t="s">
        <v>2248</v>
      </c>
      <c r="D2500" s="5" t="s">
        <v>2306</v>
      </c>
      <c r="E2500" s="5" t="s">
        <v>2225</v>
      </c>
      <c r="F2500" s="5" t="s">
        <v>54</v>
      </c>
      <c r="G2500" s="5" t="str">
        <f aca="false">INDEX(Risk_Matrix!$B$2:$D$4,MATCH(E2500,Risk_Matrix!$A$2:$A$4,0),MATCH(F2500,Risk_Matrix!$B$1:$D$1,0))</f>
        <v>High</v>
      </c>
      <c r="H2500" s="12" t="n">
        <v>46161</v>
      </c>
      <c r="I2500" s="5" t="s">
        <v>2250</v>
      </c>
      <c r="J2500" s="5" t="s">
        <v>2251</v>
      </c>
      <c r="K2500" s="5" t="s">
        <v>2243</v>
      </c>
      <c r="L2500" s="5" t="n">
        <f aca="false">IF(G2500="High",3,IF(G2500="Medium",2,1))</f>
        <v>3</v>
      </c>
    </row>
    <row r="2501" customFormat="false" ht="15" hidden="false" customHeight="true" outlineLevel="0" collapsed="false">
      <c r="A2501" s="5" t="s">
        <v>4779</v>
      </c>
      <c r="B2501" s="5" t="s">
        <v>1822</v>
      </c>
      <c r="C2501" s="5" t="s">
        <v>2262</v>
      </c>
      <c r="D2501" s="5" t="s">
        <v>2287</v>
      </c>
      <c r="E2501" s="5" t="s">
        <v>2225</v>
      </c>
      <c r="F2501" s="5" t="s">
        <v>54</v>
      </c>
      <c r="G2501" s="5" t="str">
        <f aca="false">INDEX(Risk_Matrix!$B$2:$D$4,MATCH(E2501,Risk_Matrix!$A$2:$A$4,0),MATCH(F2501,Risk_Matrix!$B$1:$D$1,0))</f>
        <v>High</v>
      </c>
      <c r="H2501" s="12" t="n">
        <v>46115</v>
      </c>
      <c r="I2501" s="5" t="s">
        <v>2241</v>
      </c>
      <c r="J2501" s="5" t="s">
        <v>2242</v>
      </c>
      <c r="K2501" s="5" t="s">
        <v>2266</v>
      </c>
      <c r="L2501" s="5" t="n">
        <f aca="false">IF(G2501="High",3,IF(G2501="Medium",2,1))</f>
        <v>3</v>
      </c>
    </row>
    <row r="2502" customFormat="false" ht="15" hidden="false" customHeight="true" outlineLevel="0" collapsed="false">
      <c r="A2502" s="5" t="s">
        <v>4780</v>
      </c>
      <c r="B2502" s="5" t="s">
        <v>1822</v>
      </c>
      <c r="C2502" s="5" t="s">
        <v>2259</v>
      </c>
      <c r="D2502" s="5" t="s">
        <v>2274</v>
      </c>
      <c r="E2502" s="5" t="s">
        <v>54</v>
      </c>
      <c r="F2502" s="5" t="s">
        <v>54</v>
      </c>
      <c r="G2502" s="5" t="str">
        <f aca="false">INDEX(Risk_Matrix!$B$2:$D$4,MATCH(E2502,Risk_Matrix!$A$2:$A$4,0),MATCH(F2502,Risk_Matrix!$B$1:$D$1,0))</f>
        <v>High</v>
      </c>
      <c r="H2502" s="12" t="n">
        <v>46047</v>
      </c>
      <c r="I2502" s="5" t="s">
        <v>2256</v>
      </c>
      <c r="J2502" s="5" t="s">
        <v>4081</v>
      </c>
      <c r="K2502" s="5" t="s">
        <v>2252</v>
      </c>
      <c r="L2502" s="5" t="n">
        <f aca="false">IF(G2502="High",3,IF(G2502="Medium",2,1))</f>
        <v>3</v>
      </c>
    </row>
    <row r="2503" customFormat="false" ht="15" hidden="false" customHeight="true" outlineLevel="0" collapsed="false">
      <c r="A2503" s="5" t="s">
        <v>4781</v>
      </c>
      <c r="B2503" s="5" t="s">
        <v>1822</v>
      </c>
      <c r="C2503" s="5" t="s">
        <v>2254</v>
      </c>
      <c r="D2503" s="5" t="s">
        <v>2308</v>
      </c>
      <c r="E2503" s="5" t="s">
        <v>59</v>
      </c>
      <c r="F2503" s="5" t="s">
        <v>54</v>
      </c>
      <c r="G2503" s="5" t="str">
        <f aca="false">INDEX(Risk_Matrix!$B$2:$D$4,MATCH(E2503,Risk_Matrix!$A$2:$A$4,0),MATCH(F2503,Risk_Matrix!$B$1:$D$1,0))</f>
        <v>Medium</v>
      </c>
      <c r="H2503" s="12" t="n">
        <v>46216</v>
      </c>
      <c r="I2503" s="5" t="s">
        <v>2264</v>
      </c>
      <c r="J2503" s="5" t="s">
        <v>4087</v>
      </c>
      <c r="K2503" s="5" t="s">
        <v>2252</v>
      </c>
      <c r="L2503" s="5" t="n">
        <f aca="false">IF(G2503="High",3,IF(G2503="Medium",2,1))</f>
        <v>2</v>
      </c>
    </row>
    <row r="2504" customFormat="false" ht="15" hidden="false" customHeight="true" outlineLevel="0" collapsed="false">
      <c r="A2504" s="5" t="s">
        <v>4782</v>
      </c>
      <c r="B2504" s="5" t="s">
        <v>1824</v>
      </c>
      <c r="C2504" s="5" t="s">
        <v>2239</v>
      </c>
      <c r="D2504" s="5" t="s">
        <v>2278</v>
      </c>
      <c r="E2504" s="5" t="s">
        <v>59</v>
      </c>
      <c r="F2504" s="5" t="s">
        <v>2225</v>
      </c>
      <c r="G2504" s="5" t="str">
        <f aca="false">INDEX(Risk_Matrix!$B$2:$D$4,MATCH(E2504,Risk_Matrix!$A$2:$A$4,0),MATCH(F2504,Risk_Matrix!$B$1:$D$1,0))</f>
        <v>Low</v>
      </c>
      <c r="H2504" s="12" t="n">
        <v>46087</v>
      </c>
      <c r="I2504" s="5" t="s">
        <v>2264</v>
      </c>
      <c r="J2504" s="5" t="s">
        <v>4087</v>
      </c>
      <c r="K2504" s="5" t="s">
        <v>2266</v>
      </c>
      <c r="L2504" s="5" t="n">
        <f aca="false">IF(G2504="High",3,IF(G2504="Medium",2,1))</f>
        <v>1</v>
      </c>
    </row>
    <row r="2505" customFormat="false" ht="15" hidden="false" customHeight="true" outlineLevel="0" collapsed="false">
      <c r="A2505" s="5" t="s">
        <v>4783</v>
      </c>
      <c r="B2505" s="5" t="s">
        <v>1824</v>
      </c>
      <c r="C2505" s="5" t="s">
        <v>2245</v>
      </c>
      <c r="D2505" s="5" t="s">
        <v>2269</v>
      </c>
      <c r="E2505" s="5" t="s">
        <v>54</v>
      </c>
      <c r="F2505" s="5" t="s">
        <v>2225</v>
      </c>
      <c r="G2505" s="5" t="str">
        <f aca="false">INDEX(Risk_Matrix!$B$2:$D$4,MATCH(E2505,Risk_Matrix!$A$2:$A$4,0),MATCH(F2505,Risk_Matrix!$B$1:$D$1,0))</f>
        <v>High</v>
      </c>
      <c r="H2505" s="12" t="n">
        <v>46154</v>
      </c>
      <c r="I2505" s="5" t="s">
        <v>2241</v>
      </c>
      <c r="J2505" s="5" t="s">
        <v>2242</v>
      </c>
      <c r="K2505" s="5" t="s">
        <v>2266</v>
      </c>
      <c r="L2505" s="5" t="n">
        <f aca="false">IF(G2505="High",3,IF(G2505="Medium",2,1))</f>
        <v>3</v>
      </c>
    </row>
    <row r="2506" customFormat="false" ht="15" hidden="false" customHeight="true" outlineLevel="0" collapsed="false">
      <c r="A2506" s="5" t="s">
        <v>4784</v>
      </c>
      <c r="B2506" s="5" t="s">
        <v>1824</v>
      </c>
      <c r="C2506" s="5" t="s">
        <v>2248</v>
      </c>
      <c r="D2506" s="5" t="s">
        <v>2271</v>
      </c>
      <c r="E2506" s="5" t="s">
        <v>2225</v>
      </c>
      <c r="F2506" s="5" t="s">
        <v>2225</v>
      </c>
      <c r="G2506" s="5" t="str">
        <f aca="false">INDEX(Risk_Matrix!$B$2:$D$4,MATCH(E2506,Risk_Matrix!$A$2:$A$4,0),MATCH(F2506,Risk_Matrix!$B$1:$D$1,0))</f>
        <v>Medium</v>
      </c>
      <c r="H2506" s="12" t="n">
        <v>46048</v>
      </c>
      <c r="I2506" s="5" t="s">
        <v>2256</v>
      </c>
      <c r="J2506" s="5" t="s">
        <v>4081</v>
      </c>
      <c r="K2506" s="5" t="s">
        <v>2252</v>
      </c>
      <c r="L2506" s="5" t="n">
        <f aca="false">IF(G2506="High",3,IF(G2506="Medium",2,1))</f>
        <v>2</v>
      </c>
    </row>
    <row r="2507" customFormat="false" ht="15" hidden="false" customHeight="true" outlineLevel="0" collapsed="false">
      <c r="A2507" s="5" t="s">
        <v>4785</v>
      </c>
      <c r="B2507" s="5" t="s">
        <v>1824</v>
      </c>
      <c r="C2507" s="5" t="s">
        <v>2262</v>
      </c>
      <c r="D2507" s="5" t="s">
        <v>2311</v>
      </c>
      <c r="E2507" s="5" t="s">
        <v>2225</v>
      </c>
      <c r="F2507" s="5" t="s">
        <v>54</v>
      </c>
      <c r="G2507" s="5" t="str">
        <f aca="false">INDEX(Risk_Matrix!$B$2:$D$4,MATCH(E2507,Risk_Matrix!$A$2:$A$4,0),MATCH(F2507,Risk_Matrix!$B$1:$D$1,0))</f>
        <v>High</v>
      </c>
      <c r="H2507" s="12" t="n">
        <v>46031</v>
      </c>
      <c r="I2507" s="5" t="s">
        <v>2256</v>
      </c>
      <c r="J2507" s="5" t="s">
        <v>4081</v>
      </c>
      <c r="K2507" s="5" t="s">
        <v>2276</v>
      </c>
      <c r="L2507" s="5" t="n">
        <f aca="false">IF(G2507="High",3,IF(G2507="Medium",2,1))</f>
        <v>3</v>
      </c>
    </row>
    <row r="2508" customFormat="false" ht="15" hidden="false" customHeight="true" outlineLevel="0" collapsed="false">
      <c r="A2508" s="5" t="s">
        <v>4786</v>
      </c>
      <c r="B2508" s="5" t="s">
        <v>1824</v>
      </c>
      <c r="C2508" s="5" t="s">
        <v>2259</v>
      </c>
      <c r="D2508" s="5" t="s">
        <v>2274</v>
      </c>
      <c r="E2508" s="5" t="s">
        <v>2225</v>
      </c>
      <c r="F2508" s="5" t="s">
        <v>2225</v>
      </c>
      <c r="G2508" s="5" t="str">
        <f aca="false">INDEX(Risk_Matrix!$B$2:$D$4,MATCH(E2508,Risk_Matrix!$A$2:$A$4,0),MATCH(F2508,Risk_Matrix!$B$1:$D$1,0))</f>
        <v>Medium</v>
      </c>
      <c r="H2508" s="12" t="n">
        <v>46079</v>
      </c>
      <c r="I2508" s="5" t="s">
        <v>2241</v>
      </c>
      <c r="J2508" s="5" t="s">
        <v>2242</v>
      </c>
      <c r="K2508" s="5" t="s">
        <v>2243</v>
      </c>
      <c r="L2508" s="5" t="n">
        <f aca="false">IF(G2508="High",3,IF(G2508="Medium",2,1))</f>
        <v>2</v>
      </c>
    </row>
    <row r="2509" customFormat="false" ht="15" hidden="false" customHeight="true" outlineLevel="0" collapsed="false">
      <c r="A2509" s="5" t="s">
        <v>4787</v>
      </c>
      <c r="B2509" s="5" t="s">
        <v>1824</v>
      </c>
      <c r="C2509" s="5" t="s">
        <v>2254</v>
      </c>
      <c r="D2509" s="5" t="s">
        <v>2255</v>
      </c>
      <c r="E2509" s="5" t="s">
        <v>59</v>
      </c>
      <c r="F2509" s="5" t="s">
        <v>54</v>
      </c>
      <c r="G2509" s="5" t="str">
        <f aca="false">INDEX(Risk_Matrix!$B$2:$D$4,MATCH(E2509,Risk_Matrix!$A$2:$A$4,0),MATCH(F2509,Risk_Matrix!$B$1:$D$1,0))</f>
        <v>Medium</v>
      </c>
      <c r="H2509" s="12" t="n">
        <v>46040</v>
      </c>
      <c r="I2509" s="5" t="s">
        <v>2256</v>
      </c>
      <c r="J2509" s="5" t="s">
        <v>4081</v>
      </c>
      <c r="K2509" s="5" t="s">
        <v>2283</v>
      </c>
      <c r="L2509" s="5" t="n">
        <f aca="false">IF(G2509="High",3,IF(G2509="Medium",2,1))</f>
        <v>2</v>
      </c>
    </row>
    <row r="2510" customFormat="false" ht="15" hidden="false" customHeight="true" outlineLevel="0" collapsed="false">
      <c r="A2510" s="5" t="s">
        <v>4788</v>
      </c>
      <c r="B2510" s="5" t="s">
        <v>1827</v>
      </c>
      <c r="C2510" s="5" t="s">
        <v>2239</v>
      </c>
      <c r="D2510" s="5" t="s">
        <v>2295</v>
      </c>
      <c r="E2510" s="5" t="s">
        <v>59</v>
      </c>
      <c r="F2510" s="5" t="s">
        <v>54</v>
      </c>
      <c r="G2510" s="5" t="str">
        <f aca="false">INDEX(Risk_Matrix!$B$2:$D$4,MATCH(E2510,Risk_Matrix!$A$2:$A$4,0),MATCH(F2510,Risk_Matrix!$B$1:$D$1,0))</f>
        <v>Medium</v>
      </c>
      <c r="H2510" s="12" t="n">
        <v>46182</v>
      </c>
      <c r="I2510" s="5" t="s">
        <v>2250</v>
      </c>
      <c r="J2510" s="5" t="s">
        <v>2251</v>
      </c>
      <c r="K2510" s="5" t="s">
        <v>2266</v>
      </c>
      <c r="L2510" s="5" t="n">
        <f aca="false">IF(G2510="High",3,IF(G2510="Medium",2,1))</f>
        <v>2</v>
      </c>
    </row>
    <row r="2511" customFormat="false" ht="15" hidden="false" customHeight="true" outlineLevel="0" collapsed="false">
      <c r="A2511" s="5" t="s">
        <v>4789</v>
      </c>
      <c r="B2511" s="5" t="s">
        <v>1827</v>
      </c>
      <c r="C2511" s="5" t="s">
        <v>2245</v>
      </c>
      <c r="D2511" s="5" t="s">
        <v>2320</v>
      </c>
      <c r="E2511" s="5" t="s">
        <v>2225</v>
      </c>
      <c r="F2511" s="5" t="s">
        <v>54</v>
      </c>
      <c r="G2511" s="5" t="str">
        <f aca="false">INDEX(Risk_Matrix!$B$2:$D$4,MATCH(E2511,Risk_Matrix!$A$2:$A$4,0),MATCH(F2511,Risk_Matrix!$B$1:$D$1,0))</f>
        <v>High</v>
      </c>
      <c r="H2511" s="12" t="n">
        <v>46114</v>
      </c>
      <c r="I2511" s="5" t="s">
        <v>2264</v>
      </c>
      <c r="J2511" s="5" t="s">
        <v>4087</v>
      </c>
      <c r="K2511" s="5" t="s">
        <v>2266</v>
      </c>
      <c r="L2511" s="5" t="n">
        <f aca="false">IF(G2511="High",3,IF(G2511="Medium",2,1))</f>
        <v>3</v>
      </c>
    </row>
    <row r="2512" customFormat="false" ht="15" hidden="false" customHeight="true" outlineLevel="0" collapsed="false">
      <c r="A2512" s="5" t="s">
        <v>4790</v>
      </c>
      <c r="B2512" s="5" t="s">
        <v>1827</v>
      </c>
      <c r="C2512" s="5" t="s">
        <v>2248</v>
      </c>
      <c r="D2512" s="5" t="s">
        <v>2249</v>
      </c>
      <c r="E2512" s="5" t="s">
        <v>2225</v>
      </c>
      <c r="F2512" s="5" t="s">
        <v>54</v>
      </c>
      <c r="G2512" s="5" t="str">
        <f aca="false">INDEX(Risk_Matrix!$B$2:$D$4,MATCH(E2512,Risk_Matrix!$A$2:$A$4,0),MATCH(F2512,Risk_Matrix!$B$1:$D$1,0))</f>
        <v>High</v>
      </c>
      <c r="H2512" s="12" t="n">
        <v>46168</v>
      </c>
      <c r="I2512" s="5" t="s">
        <v>2241</v>
      </c>
      <c r="J2512" s="5" t="s">
        <v>2242</v>
      </c>
      <c r="K2512" s="5" t="s">
        <v>2266</v>
      </c>
      <c r="L2512" s="5" t="n">
        <f aca="false">IF(G2512="High",3,IF(G2512="Medium",2,1))</f>
        <v>3</v>
      </c>
    </row>
    <row r="2513" customFormat="false" ht="15" hidden="false" customHeight="true" outlineLevel="0" collapsed="false">
      <c r="A2513" s="5" t="s">
        <v>4791</v>
      </c>
      <c r="B2513" s="5" t="s">
        <v>1827</v>
      </c>
      <c r="C2513" s="5" t="s">
        <v>2262</v>
      </c>
      <c r="D2513" s="5" t="s">
        <v>2287</v>
      </c>
      <c r="E2513" s="5" t="s">
        <v>54</v>
      </c>
      <c r="F2513" s="5" t="s">
        <v>54</v>
      </c>
      <c r="G2513" s="5" t="str">
        <f aca="false">INDEX(Risk_Matrix!$B$2:$D$4,MATCH(E2513,Risk_Matrix!$A$2:$A$4,0),MATCH(F2513,Risk_Matrix!$B$1:$D$1,0))</f>
        <v>High</v>
      </c>
      <c r="H2513" s="12" t="n">
        <v>46145</v>
      </c>
      <c r="I2513" s="5" t="s">
        <v>2250</v>
      </c>
      <c r="J2513" s="5" t="s">
        <v>2251</v>
      </c>
      <c r="K2513" s="5" t="s">
        <v>2283</v>
      </c>
      <c r="L2513" s="5" t="n">
        <f aca="false">IF(G2513="High",3,IF(G2513="Medium",2,1))</f>
        <v>3</v>
      </c>
    </row>
    <row r="2514" customFormat="false" ht="15" hidden="false" customHeight="true" outlineLevel="0" collapsed="false">
      <c r="A2514" s="5" t="s">
        <v>4792</v>
      </c>
      <c r="B2514" s="5" t="s">
        <v>1827</v>
      </c>
      <c r="C2514" s="5" t="s">
        <v>2259</v>
      </c>
      <c r="D2514" s="5" t="s">
        <v>2274</v>
      </c>
      <c r="E2514" s="5" t="s">
        <v>54</v>
      </c>
      <c r="F2514" s="5" t="s">
        <v>54</v>
      </c>
      <c r="G2514" s="5" t="str">
        <f aca="false">INDEX(Risk_Matrix!$B$2:$D$4,MATCH(E2514,Risk_Matrix!$A$2:$A$4,0),MATCH(F2514,Risk_Matrix!$B$1:$D$1,0))</f>
        <v>High</v>
      </c>
      <c r="H2514" s="12" t="n">
        <v>46124</v>
      </c>
      <c r="I2514" s="5" t="s">
        <v>2250</v>
      </c>
      <c r="J2514" s="5" t="s">
        <v>2251</v>
      </c>
      <c r="K2514" s="5" t="s">
        <v>2243</v>
      </c>
      <c r="L2514" s="5" t="n">
        <f aca="false">IF(G2514="High",3,IF(G2514="Medium",2,1))</f>
        <v>3</v>
      </c>
    </row>
    <row r="2515" customFormat="false" ht="15" hidden="false" customHeight="true" outlineLevel="0" collapsed="false">
      <c r="A2515" s="5" t="s">
        <v>4793</v>
      </c>
      <c r="B2515" s="5" t="s">
        <v>1827</v>
      </c>
      <c r="C2515" s="5" t="s">
        <v>2254</v>
      </c>
      <c r="D2515" s="5" t="s">
        <v>2255</v>
      </c>
      <c r="E2515" s="5" t="s">
        <v>54</v>
      </c>
      <c r="F2515" s="5" t="s">
        <v>59</v>
      </c>
      <c r="G2515" s="5" t="str">
        <f aca="false">INDEX(Risk_Matrix!$B$2:$D$4,MATCH(E2515,Risk_Matrix!$A$2:$A$4,0),MATCH(F2515,Risk_Matrix!$B$1:$D$1,0))</f>
        <v>Medium</v>
      </c>
      <c r="H2515" s="12" t="n">
        <v>46098</v>
      </c>
      <c r="I2515" s="5" t="s">
        <v>2264</v>
      </c>
      <c r="J2515" s="5" t="s">
        <v>4087</v>
      </c>
      <c r="K2515" s="5" t="s">
        <v>2266</v>
      </c>
      <c r="L2515" s="5" t="n">
        <f aca="false">IF(G2515="High",3,IF(G2515="Medium",2,1))</f>
        <v>2</v>
      </c>
    </row>
    <row r="2516" customFormat="false" ht="15" hidden="false" customHeight="true" outlineLevel="0" collapsed="false">
      <c r="A2516" s="5" t="s">
        <v>4794</v>
      </c>
      <c r="B2516" s="5" t="s">
        <v>1829</v>
      </c>
      <c r="C2516" s="5" t="s">
        <v>2239</v>
      </c>
      <c r="D2516" s="5" t="s">
        <v>2295</v>
      </c>
      <c r="E2516" s="5" t="s">
        <v>59</v>
      </c>
      <c r="F2516" s="5" t="s">
        <v>59</v>
      </c>
      <c r="G2516" s="5" t="str">
        <f aca="false">INDEX(Risk_Matrix!$B$2:$D$4,MATCH(E2516,Risk_Matrix!$A$2:$A$4,0),MATCH(F2516,Risk_Matrix!$B$1:$D$1,0))</f>
        <v>Low</v>
      </c>
      <c r="H2516" s="12" t="n">
        <v>46173</v>
      </c>
      <c r="I2516" s="5" t="s">
        <v>2250</v>
      </c>
      <c r="J2516" s="5" t="s">
        <v>2251</v>
      </c>
      <c r="K2516" s="5" t="s">
        <v>2252</v>
      </c>
      <c r="L2516" s="5" t="n">
        <f aca="false">IF(G2516="High",3,IF(G2516="Medium",2,1))</f>
        <v>1</v>
      </c>
    </row>
    <row r="2517" customFormat="false" ht="15" hidden="false" customHeight="true" outlineLevel="0" collapsed="false">
      <c r="A2517" s="5" t="s">
        <v>4795</v>
      </c>
      <c r="B2517" s="5" t="s">
        <v>1829</v>
      </c>
      <c r="C2517" s="5" t="s">
        <v>2245</v>
      </c>
      <c r="D2517" s="5" t="s">
        <v>2269</v>
      </c>
      <c r="E2517" s="5" t="s">
        <v>59</v>
      </c>
      <c r="F2517" s="5" t="s">
        <v>54</v>
      </c>
      <c r="G2517" s="5" t="str">
        <f aca="false">INDEX(Risk_Matrix!$B$2:$D$4,MATCH(E2517,Risk_Matrix!$A$2:$A$4,0),MATCH(F2517,Risk_Matrix!$B$1:$D$1,0))</f>
        <v>Medium</v>
      </c>
      <c r="H2517" s="12" t="n">
        <v>46095</v>
      </c>
      <c r="I2517" s="5" t="s">
        <v>2250</v>
      </c>
      <c r="J2517" s="5" t="s">
        <v>2251</v>
      </c>
      <c r="K2517" s="5" t="s">
        <v>2252</v>
      </c>
      <c r="L2517" s="5" t="n">
        <f aca="false">IF(G2517="High",3,IF(G2517="Medium",2,1))</f>
        <v>2</v>
      </c>
    </row>
    <row r="2518" customFormat="false" ht="15" hidden="false" customHeight="true" outlineLevel="0" collapsed="false">
      <c r="A2518" s="5" t="s">
        <v>4796</v>
      </c>
      <c r="B2518" s="5" t="s">
        <v>1829</v>
      </c>
      <c r="C2518" s="5" t="s">
        <v>2248</v>
      </c>
      <c r="D2518" s="5" t="s">
        <v>2306</v>
      </c>
      <c r="E2518" s="5" t="s">
        <v>54</v>
      </c>
      <c r="F2518" s="5" t="s">
        <v>54</v>
      </c>
      <c r="G2518" s="5" t="str">
        <f aca="false">INDEX(Risk_Matrix!$B$2:$D$4,MATCH(E2518,Risk_Matrix!$A$2:$A$4,0),MATCH(F2518,Risk_Matrix!$B$1:$D$1,0))</f>
        <v>High</v>
      </c>
      <c r="H2518" s="12" t="n">
        <v>46105</v>
      </c>
      <c r="I2518" s="5" t="s">
        <v>2241</v>
      </c>
      <c r="J2518" s="5" t="s">
        <v>2242</v>
      </c>
      <c r="K2518" s="5" t="s">
        <v>2266</v>
      </c>
      <c r="L2518" s="5" t="n">
        <f aca="false">IF(G2518="High",3,IF(G2518="Medium",2,1))</f>
        <v>3</v>
      </c>
    </row>
    <row r="2519" customFormat="false" ht="15" hidden="false" customHeight="true" outlineLevel="0" collapsed="false">
      <c r="A2519" s="5" t="s">
        <v>4797</v>
      </c>
      <c r="B2519" s="5" t="s">
        <v>1829</v>
      </c>
      <c r="C2519" s="5" t="s">
        <v>2262</v>
      </c>
      <c r="D2519" s="5" t="s">
        <v>2263</v>
      </c>
      <c r="E2519" s="5" t="s">
        <v>54</v>
      </c>
      <c r="F2519" s="5" t="s">
        <v>2225</v>
      </c>
      <c r="G2519" s="5" t="str">
        <f aca="false">INDEX(Risk_Matrix!$B$2:$D$4,MATCH(E2519,Risk_Matrix!$A$2:$A$4,0),MATCH(F2519,Risk_Matrix!$B$1:$D$1,0))</f>
        <v>High</v>
      </c>
      <c r="H2519" s="12" t="n">
        <v>46140</v>
      </c>
      <c r="I2519" s="5" t="s">
        <v>2250</v>
      </c>
      <c r="J2519" s="5" t="s">
        <v>2251</v>
      </c>
      <c r="K2519" s="5" t="s">
        <v>2243</v>
      </c>
      <c r="L2519" s="5" t="n">
        <f aca="false">IF(G2519="High",3,IF(G2519="Medium",2,1))</f>
        <v>3</v>
      </c>
    </row>
    <row r="2520" customFormat="false" ht="15" hidden="false" customHeight="true" outlineLevel="0" collapsed="false">
      <c r="A2520" s="5" t="s">
        <v>4798</v>
      </c>
      <c r="B2520" s="5" t="s">
        <v>1829</v>
      </c>
      <c r="C2520" s="5" t="s">
        <v>2259</v>
      </c>
      <c r="D2520" s="5" t="s">
        <v>2274</v>
      </c>
      <c r="E2520" s="5" t="s">
        <v>59</v>
      </c>
      <c r="F2520" s="5" t="s">
        <v>2225</v>
      </c>
      <c r="G2520" s="5" t="str">
        <f aca="false">INDEX(Risk_Matrix!$B$2:$D$4,MATCH(E2520,Risk_Matrix!$A$2:$A$4,0),MATCH(F2520,Risk_Matrix!$B$1:$D$1,0))</f>
        <v>Low</v>
      </c>
      <c r="H2520" s="12" t="n">
        <v>46036</v>
      </c>
      <c r="I2520" s="5" t="s">
        <v>2241</v>
      </c>
      <c r="J2520" s="5" t="s">
        <v>2242</v>
      </c>
      <c r="K2520" s="5" t="s">
        <v>2276</v>
      </c>
      <c r="L2520" s="5" t="n">
        <f aca="false">IF(G2520="High",3,IF(G2520="Medium",2,1))</f>
        <v>1</v>
      </c>
    </row>
    <row r="2521" customFormat="false" ht="15" hidden="false" customHeight="true" outlineLevel="0" collapsed="false">
      <c r="A2521" s="5" t="s">
        <v>4799</v>
      </c>
      <c r="B2521" s="5" t="s">
        <v>1829</v>
      </c>
      <c r="C2521" s="5" t="s">
        <v>2254</v>
      </c>
      <c r="D2521" s="5" t="s">
        <v>2255</v>
      </c>
      <c r="E2521" s="5" t="s">
        <v>2225</v>
      </c>
      <c r="F2521" s="5" t="s">
        <v>54</v>
      </c>
      <c r="G2521" s="5" t="str">
        <f aca="false">INDEX(Risk_Matrix!$B$2:$D$4,MATCH(E2521,Risk_Matrix!$A$2:$A$4,0),MATCH(F2521,Risk_Matrix!$B$1:$D$1,0))</f>
        <v>High</v>
      </c>
      <c r="H2521" s="12" t="n">
        <v>46041</v>
      </c>
      <c r="I2521" s="5" t="s">
        <v>2264</v>
      </c>
      <c r="J2521" s="5" t="s">
        <v>4087</v>
      </c>
      <c r="K2521" s="5" t="s">
        <v>2276</v>
      </c>
      <c r="L2521" s="5" t="n">
        <f aca="false">IF(G2521="High",3,IF(G2521="Medium",2,1))</f>
        <v>3</v>
      </c>
    </row>
    <row r="2522" customFormat="false" ht="15" hidden="false" customHeight="true" outlineLevel="0" collapsed="false">
      <c r="A2522" s="5" t="s">
        <v>4800</v>
      </c>
      <c r="B2522" s="5" t="s">
        <v>1831</v>
      </c>
      <c r="C2522" s="5" t="s">
        <v>2239</v>
      </c>
      <c r="D2522" s="5" t="s">
        <v>2240</v>
      </c>
      <c r="E2522" s="5" t="s">
        <v>2225</v>
      </c>
      <c r="F2522" s="5" t="s">
        <v>54</v>
      </c>
      <c r="G2522" s="5" t="str">
        <f aca="false">INDEX(Risk_Matrix!$B$2:$D$4,MATCH(E2522,Risk_Matrix!$A$2:$A$4,0),MATCH(F2522,Risk_Matrix!$B$1:$D$1,0))</f>
        <v>High</v>
      </c>
      <c r="H2522" s="12" t="n">
        <v>46139</v>
      </c>
      <c r="I2522" s="5" t="s">
        <v>2250</v>
      </c>
      <c r="J2522" s="5" t="s">
        <v>2251</v>
      </c>
      <c r="K2522" s="5" t="s">
        <v>2266</v>
      </c>
      <c r="L2522" s="5" t="n">
        <f aca="false">IF(G2522="High",3,IF(G2522="Medium",2,1))</f>
        <v>3</v>
      </c>
    </row>
    <row r="2523" customFormat="false" ht="15" hidden="false" customHeight="true" outlineLevel="0" collapsed="false">
      <c r="A2523" s="5" t="s">
        <v>4801</v>
      </c>
      <c r="B2523" s="5" t="s">
        <v>1831</v>
      </c>
      <c r="C2523" s="5" t="s">
        <v>2245</v>
      </c>
      <c r="D2523" s="5" t="s">
        <v>2246</v>
      </c>
      <c r="E2523" s="5" t="s">
        <v>2225</v>
      </c>
      <c r="F2523" s="5" t="s">
        <v>2225</v>
      </c>
      <c r="G2523" s="5" t="str">
        <f aca="false">INDEX(Risk_Matrix!$B$2:$D$4,MATCH(E2523,Risk_Matrix!$A$2:$A$4,0),MATCH(F2523,Risk_Matrix!$B$1:$D$1,0))</f>
        <v>Medium</v>
      </c>
      <c r="H2523" s="12" t="n">
        <v>46059</v>
      </c>
      <c r="I2523" s="5" t="s">
        <v>2250</v>
      </c>
      <c r="J2523" s="5" t="s">
        <v>2251</v>
      </c>
      <c r="K2523" s="5" t="s">
        <v>2276</v>
      </c>
      <c r="L2523" s="5" t="n">
        <f aca="false">IF(G2523="High",3,IF(G2523="Medium",2,1))</f>
        <v>2</v>
      </c>
    </row>
    <row r="2524" customFormat="false" ht="15" hidden="false" customHeight="true" outlineLevel="0" collapsed="false">
      <c r="A2524" s="5" t="s">
        <v>4802</v>
      </c>
      <c r="B2524" s="5" t="s">
        <v>1831</v>
      </c>
      <c r="C2524" s="5" t="s">
        <v>2248</v>
      </c>
      <c r="D2524" s="5" t="s">
        <v>2322</v>
      </c>
      <c r="E2524" s="5" t="s">
        <v>54</v>
      </c>
      <c r="F2524" s="5" t="s">
        <v>59</v>
      </c>
      <c r="G2524" s="5" t="str">
        <f aca="false">INDEX(Risk_Matrix!$B$2:$D$4,MATCH(E2524,Risk_Matrix!$A$2:$A$4,0),MATCH(F2524,Risk_Matrix!$B$1:$D$1,0))</f>
        <v>Medium</v>
      </c>
      <c r="H2524" s="12" t="n">
        <v>46194</v>
      </c>
      <c r="I2524" s="5" t="s">
        <v>2264</v>
      </c>
      <c r="J2524" s="5" t="s">
        <v>4087</v>
      </c>
      <c r="K2524" s="5" t="s">
        <v>2283</v>
      </c>
      <c r="L2524" s="5" t="n">
        <f aca="false">IF(G2524="High",3,IF(G2524="Medium",2,1))</f>
        <v>2</v>
      </c>
    </row>
    <row r="2525" customFormat="false" ht="15" hidden="false" customHeight="true" outlineLevel="0" collapsed="false">
      <c r="A2525" s="5" t="s">
        <v>4803</v>
      </c>
      <c r="B2525" s="5" t="s">
        <v>1831</v>
      </c>
      <c r="C2525" s="5" t="s">
        <v>2262</v>
      </c>
      <c r="D2525" s="5" t="s">
        <v>2311</v>
      </c>
      <c r="E2525" s="5" t="s">
        <v>59</v>
      </c>
      <c r="F2525" s="5" t="s">
        <v>59</v>
      </c>
      <c r="G2525" s="5" t="str">
        <f aca="false">INDEX(Risk_Matrix!$B$2:$D$4,MATCH(E2525,Risk_Matrix!$A$2:$A$4,0),MATCH(F2525,Risk_Matrix!$B$1:$D$1,0))</f>
        <v>Low</v>
      </c>
      <c r="H2525" s="12" t="n">
        <v>46202</v>
      </c>
      <c r="I2525" s="5" t="s">
        <v>2241</v>
      </c>
      <c r="J2525" s="5" t="s">
        <v>2242</v>
      </c>
      <c r="K2525" s="5" t="s">
        <v>2243</v>
      </c>
      <c r="L2525" s="5" t="n">
        <f aca="false">IF(G2525="High",3,IF(G2525="Medium",2,1))</f>
        <v>1</v>
      </c>
    </row>
    <row r="2526" customFormat="false" ht="15" hidden="false" customHeight="true" outlineLevel="0" collapsed="false">
      <c r="A2526" s="5" t="s">
        <v>4804</v>
      </c>
      <c r="B2526" s="5" t="s">
        <v>1831</v>
      </c>
      <c r="C2526" s="5" t="s">
        <v>2259</v>
      </c>
      <c r="D2526" s="5" t="s">
        <v>2285</v>
      </c>
      <c r="E2526" s="5" t="s">
        <v>2225</v>
      </c>
      <c r="F2526" s="5" t="s">
        <v>54</v>
      </c>
      <c r="G2526" s="5" t="str">
        <f aca="false">INDEX(Risk_Matrix!$B$2:$D$4,MATCH(E2526,Risk_Matrix!$A$2:$A$4,0),MATCH(F2526,Risk_Matrix!$B$1:$D$1,0))</f>
        <v>High</v>
      </c>
      <c r="H2526" s="12" t="n">
        <v>46168</v>
      </c>
      <c r="I2526" s="5" t="s">
        <v>2250</v>
      </c>
      <c r="J2526" s="5" t="s">
        <v>2251</v>
      </c>
      <c r="K2526" s="5" t="s">
        <v>2266</v>
      </c>
      <c r="L2526" s="5" t="n">
        <f aca="false">IF(G2526="High",3,IF(G2526="Medium",2,1))</f>
        <v>3</v>
      </c>
    </row>
    <row r="2527" customFormat="false" ht="15" hidden="false" customHeight="true" outlineLevel="0" collapsed="false">
      <c r="A2527" s="5" t="s">
        <v>4805</v>
      </c>
      <c r="B2527" s="5" t="s">
        <v>1831</v>
      </c>
      <c r="C2527" s="5" t="s">
        <v>2254</v>
      </c>
      <c r="D2527" s="5" t="s">
        <v>2299</v>
      </c>
      <c r="E2527" s="5" t="s">
        <v>59</v>
      </c>
      <c r="F2527" s="5" t="s">
        <v>59</v>
      </c>
      <c r="G2527" s="5" t="str">
        <f aca="false">INDEX(Risk_Matrix!$B$2:$D$4,MATCH(E2527,Risk_Matrix!$A$2:$A$4,0),MATCH(F2527,Risk_Matrix!$B$1:$D$1,0))</f>
        <v>Low</v>
      </c>
      <c r="H2527" s="12" t="n">
        <v>46031</v>
      </c>
      <c r="I2527" s="5" t="s">
        <v>2250</v>
      </c>
      <c r="J2527" s="5" t="s">
        <v>2251</v>
      </c>
      <c r="K2527" s="5" t="s">
        <v>2252</v>
      </c>
      <c r="L2527" s="5" t="n">
        <f aca="false">IF(G2527="High",3,IF(G2527="Medium",2,1))</f>
        <v>1</v>
      </c>
    </row>
    <row r="2528" customFormat="false" ht="15" hidden="false" customHeight="true" outlineLevel="0" collapsed="false">
      <c r="A2528" s="5" t="s">
        <v>4806</v>
      </c>
      <c r="B2528" s="5" t="s">
        <v>1833</v>
      </c>
      <c r="C2528" s="5" t="s">
        <v>2239</v>
      </c>
      <c r="D2528" s="5" t="s">
        <v>2295</v>
      </c>
      <c r="E2528" s="5" t="s">
        <v>54</v>
      </c>
      <c r="F2528" s="5" t="s">
        <v>54</v>
      </c>
      <c r="G2528" s="5" t="str">
        <f aca="false">INDEX(Risk_Matrix!$B$2:$D$4,MATCH(E2528,Risk_Matrix!$A$2:$A$4,0),MATCH(F2528,Risk_Matrix!$B$1:$D$1,0))</f>
        <v>High</v>
      </c>
      <c r="H2528" s="12" t="n">
        <v>46087</v>
      </c>
      <c r="I2528" s="5" t="s">
        <v>2241</v>
      </c>
      <c r="J2528" s="5" t="s">
        <v>2242</v>
      </c>
      <c r="K2528" s="5" t="s">
        <v>2283</v>
      </c>
      <c r="L2528" s="5" t="n">
        <f aca="false">IF(G2528="High",3,IF(G2528="Medium",2,1))</f>
        <v>3</v>
      </c>
    </row>
    <row r="2529" customFormat="false" ht="15" hidden="false" customHeight="true" outlineLevel="0" collapsed="false">
      <c r="A2529" s="5" t="s">
        <v>4807</v>
      </c>
      <c r="B2529" s="5" t="s">
        <v>1833</v>
      </c>
      <c r="C2529" s="5" t="s">
        <v>2245</v>
      </c>
      <c r="D2529" s="5" t="s">
        <v>2320</v>
      </c>
      <c r="E2529" s="5" t="s">
        <v>59</v>
      </c>
      <c r="F2529" s="5" t="s">
        <v>59</v>
      </c>
      <c r="G2529" s="5" t="str">
        <f aca="false">INDEX(Risk_Matrix!$B$2:$D$4,MATCH(E2529,Risk_Matrix!$A$2:$A$4,0),MATCH(F2529,Risk_Matrix!$B$1:$D$1,0))</f>
        <v>Low</v>
      </c>
      <c r="H2529" s="12" t="n">
        <v>46157</v>
      </c>
      <c r="I2529" s="5" t="s">
        <v>2256</v>
      </c>
      <c r="J2529" s="5" t="s">
        <v>4081</v>
      </c>
      <c r="K2529" s="5" t="s">
        <v>2266</v>
      </c>
      <c r="L2529" s="5" t="n">
        <f aca="false">IF(G2529="High",3,IF(G2529="Medium",2,1))</f>
        <v>1</v>
      </c>
    </row>
    <row r="2530" customFormat="false" ht="15" hidden="false" customHeight="true" outlineLevel="0" collapsed="false">
      <c r="A2530" s="5" t="s">
        <v>4808</v>
      </c>
      <c r="B2530" s="5" t="s">
        <v>1833</v>
      </c>
      <c r="C2530" s="5" t="s">
        <v>2248</v>
      </c>
      <c r="D2530" s="5" t="s">
        <v>2271</v>
      </c>
      <c r="E2530" s="5" t="s">
        <v>59</v>
      </c>
      <c r="F2530" s="5" t="s">
        <v>59</v>
      </c>
      <c r="G2530" s="5" t="str">
        <f aca="false">INDEX(Risk_Matrix!$B$2:$D$4,MATCH(E2530,Risk_Matrix!$A$2:$A$4,0),MATCH(F2530,Risk_Matrix!$B$1:$D$1,0))</f>
        <v>Low</v>
      </c>
      <c r="H2530" s="12" t="n">
        <v>46122</v>
      </c>
      <c r="I2530" s="5" t="s">
        <v>2250</v>
      </c>
      <c r="J2530" s="5" t="s">
        <v>2251</v>
      </c>
      <c r="K2530" s="5" t="s">
        <v>2283</v>
      </c>
      <c r="L2530" s="5" t="n">
        <f aca="false">IF(G2530="High",3,IF(G2530="Medium",2,1))</f>
        <v>1</v>
      </c>
    </row>
    <row r="2531" customFormat="false" ht="15" hidden="false" customHeight="true" outlineLevel="0" collapsed="false">
      <c r="A2531" s="5" t="s">
        <v>4809</v>
      </c>
      <c r="B2531" s="5" t="s">
        <v>1833</v>
      </c>
      <c r="C2531" s="5" t="s">
        <v>2262</v>
      </c>
      <c r="D2531" s="5" t="s">
        <v>2263</v>
      </c>
      <c r="E2531" s="5" t="s">
        <v>2225</v>
      </c>
      <c r="F2531" s="5" t="s">
        <v>59</v>
      </c>
      <c r="G2531" s="5" t="str">
        <f aca="false">INDEX(Risk_Matrix!$B$2:$D$4,MATCH(E2531,Risk_Matrix!$A$2:$A$4,0),MATCH(F2531,Risk_Matrix!$B$1:$D$1,0))</f>
        <v>Low</v>
      </c>
      <c r="H2531" s="12" t="n">
        <v>46063</v>
      </c>
      <c r="I2531" s="5" t="s">
        <v>2256</v>
      </c>
      <c r="J2531" s="5" t="s">
        <v>4081</v>
      </c>
      <c r="K2531" s="5" t="s">
        <v>2252</v>
      </c>
      <c r="L2531" s="5" t="n">
        <f aca="false">IF(G2531="High",3,IF(G2531="Medium",2,1))</f>
        <v>1</v>
      </c>
    </row>
    <row r="2532" customFormat="false" ht="15" hidden="false" customHeight="true" outlineLevel="0" collapsed="false">
      <c r="A2532" s="5" t="s">
        <v>4810</v>
      </c>
      <c r="B2532" s="5" t="s">
        <v>1833</v>
      </c>
      <c r="C2532" s="5" t="s">
        <v>2259</v>
      </c>
      <c r="D2532" s="5" t="s">
        <v>2260</v>
      </c>
      <c r="E2532" s="5" t="s">
        <v>2225</v>
      </c>
      <c r="F2532" s="5" t="s">
        <v>54</v>
      </c>
      <c r="G2532" s="5" t="str">
        <f aca="false">INDEX(Risk_Matrix!$B$2:$D$4,MATCH(E2532,Risk_Matrix!$A$2:$A$4,0),MATCH(F2532,Risk_Matrix!$B$1:$D$1,0))</f>
        <v>High</v>
      </c>
      <c r="H2532" s="12" t="n">
        <v>46131</v>
      </c>
      <c r="I2532" s="5" t="s">
        <v>2250</v>
      </c>
      <c r="J2532" s="5" t="s">
        <v>2251</v>
      </c>
      <c r="K2532" s="5" t="s">
        <v>2252</v>
      </c>
      <c r="L2532" s="5" t="n">
        <f aca="false">IF(G2532="High",3,IF(G2532="Medium",2,1))</f>
        <v>3</v>
      </c>
    </row>
    <row r="2533" customFormat="false" ht="15" hidden="false" customHeight="true" outlineLevel="0" collapsed="false">
      <c r="A2533" s="5" t="s">
        <v>4811</v>
      </c>
      <c r="B2533" s="5" t="s">
        <v>1833</v>
      </c>
      <c r="C2533" s="5" t="s">
        <v>2254</v>
      </c>
      <c r="D2533" s="5" t="s">
        <v>2299</v>
      </c>
      <c r="E2533" s="5" t="s">
        <v>2225</v>
      </c>
      <c r="F2533" s="5" t="s">
        <v>2225</v>
      </c>
      <c r="G2533" s="5" t="str">
        <f aca="false">INDEX(Risk_Matrix!$B$2:$D$4,MATCH(E2533,Risk_Matrix!$A$2:$A$4,0),MATCH(F2533,Risk_Matrix!$B$1:$D$1,0))</f>
        <v>Medium</v>
      </c>
      <c r="H2533" s="12" t="n">
        <v>46034</v>
      </c>
      <c r="I2533" s="5" t="s">
        <v>2250</v>
      </c>
      <c r="J2533" s="5" t="s">
        <v>2251</v>
      </c>
      <c r="K2533" s="5" t="s">
        <v>2283</v>
      </c>
      <c r="L2533" s="5" t="n">
        <f aca="false">IF(G2533="High",3,IF(G2533="Medium",2,1))</f>
        <v>2</v>
      </c>
    </row>
    <row r="2534" customFormat="false" ht="15" hidden="false" customHeight="true" outlineLevel="0" collapsed="false">
      <c r="A2534" s="5" t="s">
        <v>4812</v>
      </c>
      <c r="B2534" s="5" t="s">
        <v>1835</v>
      </c>
      <c r="C2534" s="5" t="s">
        <v>2239</v>
      </c>
      <c r="D2534" s="5" t="s">
        <v>2278</v>
      </c>
      <c r="E2534" s="5" t="s">
        <v>2225</v>
      </c>
      <c r="F2534" s="5" t="s">
        <v>59</v>
      </c>
      <c r="G2534" s="5" t="str">
        <f aca="false">INDEX(Risk_Matrix!$B$2:$D$4,MATCH(E2534,Risk_Matrix!$A$2:$A$4,0),MATCH(F2534,Risk_Matrix!$B$1:$D$1,0))</f>
        <v>Low</v>
      </c>
      <c r="H2534" s="12" t="n">
        <v>46178</v>
      </c>
      <c r="I2534" s="5" t="s">
        <v>2250</v>
      </c>
      <c r="J2534" s="5" t="s">
        <v>2251</v>
      </c>
      <c r="K2534" s="5" t="s">
        <v>2243</v>
      </c>
      <c r="L2534" s="5" t="n">
        <f aca="false">IF(G2534="High",3,IF(G2534="Medium",2,1))</f>
        <v>1</v>
      </c>
    </row>
    <row r="2535" customFormat="false" ht="15" hidden="false" customHeight="true" outlineLevel="0" collapsed="false">
      <c r="A2535" s="5" t="s">
        <v>4813</v>
      </c>
      <c r="B2535" s="5" t="s">
        <v>1835</v>
      </c>
      <c r="C2535" s="5" t="s">
        <v>2245</v>
      </c>
      <c r="D2535" s="5" t="s">
        <v>2280</v>
      </c>
      <c r="E2535" s="5" t="s">
        <v>59</v>
      </c>
      <c r="F2535" s="5" t="s">
        <v>54</v>
      </c>
      <c r="G2535" s="5" t="str">
        <f aca="false">INDEX(Risk_Matrix!$B$2:$D$4,MATCH(E2535,Risk_Matrix!$A$2:$A$4,0),MATCH(F2535,Risk_Matrix!$B$1:$D$1,0))</f>
        <v>Medium</v>
      </c>
      <c r="H2535" s="12" t="n">
        <v>46157</v>
      </c>
      <c r="I2535" s="5" t="s">
        <v>2264</v>
      </c>
      <c r="J2535" s="5" t="s">
        <v>4087</v>
      </c>
      <c r="K2535" s="5" t="s">
        <v>2252</v>
      </c>
      <c r="L2535" s="5" t="n">
        <f aca="false">IF(G2535="High",3,IF(G2535="Medium",2,1))</f>
        <v>2</v>
      </c>
    </row>
    <row r="2536" customFormat="false" ht="15" hidden="false" customHeight="true" outlineLevel="0" collapsed="false">
      <c r="A2536" s="5" t="s">
        <v>4814</v>
      </c>
      <c r="B2536" s="5" t="s">
        <v>1835</v>
      </c>
      <c r="C2536" s="5" t="s">
        <v>2248</v>
      </c>
      <c r="D2536" s="5" t="s">
        <v>2306</v>
      </c>
      <c r="E2536" s="5" t="s">
        <v>59</v>
      </c>
      <c r="F2536" s="5" t="s">
        <v>2225</v>
      </c>
      <c r="G2536" s="5" t="str">
        <f aca="false">INDEX(Risk_Matrix!$B$2:$D$4,MATCH(E2536,Risk_Matrix!$A$2:$A$4,0),MATCH(F2536,Risk_Matrix!$B$1:$D$1,0))</f>
        <v>Low</v>
      </c>
      <c r="H2536" s="12" t="n">
        <v>46124</v>
      </c>
      <c r="I2536" s="5" t="s">
        <v>2241</v>
      </c>
      <c r="J2536" s="5" t="s">
        <v>2242</v>
      </c>
      <c r="K2536" s="5" t="s">
        <v>2243</v>
      </c>
      <c r="L2536" s="5" t="n">
        <f aca="false">IF(G2536="High",3,IF(G2536="Medium",2,1))</f>
        <v>1</v>
      </c>
    </row>
    <row r="2537" customFormat="false" ht="15" hidden="false" customHeight="true" outlineLevel="0" collapsed="false">
      <c r="A2537" s="5" t="s">
        <v>4815</v>
      </c>
      <c r="B2537" s="5" t="s">
        <v>1835</v>
      </c>
      <c r="C2537" s="5" t="s">
        <v>2262</v>
      </c>
      <c r="D2537" s="5" t="s">
        <v>2263</v>
      </c>
      <c r="E2537" s="5" t="s">
        <v>59</v>
      </c>
      <c r="F2537" s="5" t="s">
        <v>59</v>
      </c>
      <c r="G2537" s="5" t="str">
        <f aca="false">INDEX(Risk_Matrix!$B$2:$D$4,MATCH(E2537,Risk_Matrix!$A$2:$A$4,0),MATCH(F2537,Risk_Matrix!$B$1:$D$1,0))</f>
        <v>Low</v>
      </c>
      <c r="H2537" s="12" t="n">
        <v>46155</v>
      </c>
      <c r="I2537" s="5" t="s">
        <v>2264</v>
      </c>
      <c r="J2537" s="5" t="s">
        <v>4087</v>
      </c>
      <c r="K2537" s="5" t="s">
        <v>2283</v>
      </c>
      <c r="L2537" s="5" t="n">
        <f aca="false">IF(G2537="High",3,IF(G2537="Medium",2,1))</f>
        <v>1</v>
      </c>
    </row>
    <row r="2538" customFormat="false" ht="15" hidden="false" customHeight="true" outlineLevel="0" collapsed="false">
      <c r="A2538" s="5" t="s">
        <v>4816</v>
      </c>
      <c r="B2538" s="5" t="s">
        <v>1835</v>
      </c>
      <c r="C2538" s="5" t="s">
        <v>2259</v>
      </c>
      <c r="D2538" s="5" t="s">
        <v>2285</v>
      </c>
      <c r="E2538" s="5" t="s">
        <v>54</v>
      </c>
      <c r="F2538" s="5" t="s">
        <v>54</v>
      </c>
      <c r="G2538" s="5" t="str">
        <f aca="false">INDEX(Risk_Matrix!$B$2:$D$4,MATCH(E2538,Risk_Matrix!$A$2:$A$4,0),MATCH(F2538,Risk_Matrix!$B$1:$D$1,0))</f>
        <v>High</v>
      </c>
      <c r="H2538" s="12" t="n">
        <v>46214</v>
      </c>
      <c r="I2538" s="5" t="s">
        <v>2256</v>
      </c>
      <c r="J2538" s="5" t="s">
        <v>4081</v>
      </c>
      <c r="K2538" s="5" t="s">
        <v>2283</v>
      </c>
      <c r="L2538" s="5" t="n">
        <f aca="false">IF(G2538="High",3,IF(G2538="Medium",2,1))</f>
        <v>3</v>
      </c>
    </row>
    <row r="2539" customFormat="false" ht="15" hidden="false" customHeight="true" outlineLevel="0" collapsed="false">
      <c r="A2539" s="5" t="s">
        <v>4817</v>
      </c>
      <c r="B2539" s="5" t="s">
        <v>1835</v>
      </c>
      <c r="C2539" s="5" t="s">
        <v>2254</v>
      </c>
      <c r="D2539" s="5" t="s">
        <v>2308</v>
      </c>
      <c r="E2539" s="5" t="s">
        <v>54</v>
      </c>
      <c r="F2539" s="5" t="s">
        <v>59</v>
      </c>
      <c r="G2539" s="5" t="str">
        <f aca="false">INDEX(Risk_Matrix!$B$2:$D$4,MATCH(E2539,Risk_Matrix!$A$2:$A$4,0),MATCH(F2539,Risk_Matrix!$B$1:$D$1,0))</f>
        <v>Medium</v>
      </c>
      <c r="H2539" s="12" t="n">
        <v>46160</v>
      </c>
      <c r="I2539" s="5" t="s">
        <v>2256</v>
      </c>
      <c r="J2539" s="5" t="s">
        <v>4081</v>
      </c>
      <c r="K2539" s="5" t="s">
        <v>2283</v>
      </c>
      <c r="L2539" s="5" t="n">
        <f aca="false">IF(G2539="High",3,IF(G2539="Medium",2,1))</f>
        <v>2</v>
      </c>
    </row>
    <row r="2540" customFormat="false" ht="15" hidden="false" customHeight="true" outlineLevel="0" collapsed="false">
      <c r="A2540" s="5" t="s">
        <v>4818</v>
      </c>
      <c r="B2540" s="5" t="s">
        <v>1837</v>
      </c>
      <c r="C2540" s="5" t="s">
        <v>2239</v>
      </c>
      <c r="D2540" s="5" t="s">
        <v>2303</v>
      </c>
      <c r="E2540" s="5" t="s">
        <v>2225</v>
      </c>
      <c r="F2540" s="5" t="s">
        <v>2225</v>
      </c>
      <c r="G2540" s="5" t="str">
        <f aca="false">INDEX(Risk_Matrix!$B$2:$D$4,MATCH(E2540,Risk_Matrix!$A$2:$A$4,0),MATCH(F2540,Risk_Matrix!$B$1:$D$1,0))</f>
        <v>Medium</v>
      </c>
      <c r="H2540" s="12" t="n">
        <v>46102</v>
      </c>
      <c r="I2540" s="5" t="s">
        <v>2264</v>
      </c>
      <c r="J2540" s="5" t="s">
        <v>4087</v>
      </c>
      <c r="K2540" s="5" t="s">
        <v>2283</v>
      </c>
      <c r="L2540" s="5" t="n">
        <f aca="false">IF(G2540="High",3,IF(G2540="Medium",2,1))</f>
        <v>2</v>
      </c>
    </row>
    <row r="2541" customFormat="false" ht="15" hidden="false" customHeight="true" outlineLevel="0" collapsed="false">
      <c r="A2541" s="5" t="s">
        <v>4819</v>
      </c>
      <c r="B2541" s="5" t="s">
        <v>1837</v>
      </c>
      <c r="C2541" s="5" t="s">
        <v>2245</v>
      </c>
      <c r="D2541" s="5" t="s">
        <v>2246</v>
      </c>
      <c r="E2541" s="5" t="s">
        <v>2225</v>
      </c>
      <c r="F2541" s="5" t="s">
        <v>59</v>
      </c>
      <c r="G2541" s="5" t="str">
        <f aca="false">INDEX(Risk_Matrix!$B$2:$D$4,MATCH(E2541,Risk_Matrix!$A$2:$A$4,0),MATCH(F2541,Risk_Matrix!$B$1:$D$1,0))</f>
        <v>Low</v>
      </c>
      <c r="H2541" s="12" t="n">
        <v>46143</v>
      </c>
      <c r="I2541" s="5" t="s">
        <v>2250</v>
      </c>
      <c r="J2541" s="5" t="s">
        <v>2251</v>
      </c>
      <c r="K2541" s="5" t="s">
        <v>2243</v>
      </c>
      <c r="L2541" s="5" t="n">
        <f aca="false">IF(G2541="High",3,IF(G2541="Medium",2,1))</f>
        <v>1</v>
      </c>
    </row>
    <row r="2542" customFormat="false" ht="15" hidden="false" customHeight="true" outlineLevel="0" collapsed="false">
      <c r="A2542" s="5" t="s">
        <v>4820</v>
      </c>
      <c r="B2542" s="5" t="s">
        <v>1837</v>
      </c>
      <c r="C2542" s="5" t="s">
        <v>2248</v>
      </c>
      <c r="D2542" s="5" t="s">
        <v>2306</v>
      </c>
      <c r="E2542" s="5" t="s">
        <v>54</v>
      </c>
      <c r="F2542" s="5" t="s">
        <v>59</v>
      </c>
      <c r="G2542" s="5" t="str">
        <f aca="false">INDEX(Risk_Matrix!$B$2:$D$4,MATCH(E2542,Risk_Matrix!$A$2:$A$4,0),MATCH(F2542,Risk_Matrix!$B$1:$D$1,0))</f>
        <v>Medium</v>
      </c>
      <c r="H2542" s="12" t="n">
        <v>46214</v>
      </c>
      <c r="I2542" s="5" t="s">
        <v>2264</v>
      </c>
      <c r="J2542" s="5" t="s">
        <v>4087</v>
      </c>
      <c r="K2542" s="5" t="s">
        <v>2276</v>
      </c>
      <c r="L2542" s="5" t="n">
        <f aca="false">IF(G2542="High",3,IF(G2542="Medium",2,1))</f>
        <v>2</v>
      </c>
    </row>
    <row r="2543" customFormat="false" ht="15" hidden="false" customHeight="true" outlineLevel="0" collapsed="false">
      <c r="A2543" s="5" t="s">
        <v>4821</v>
      </c>
      <c r="B2543" s="5" t="s">
        <v>1837</v>
      </c>
      <c r="C2543" s="5" t="s">
        <v>2262</v>
      </c>
      <c r="D2543" s="5" t="s">
        <v>2287</v>
      </c>
      <c r="E2543" s="5" t="s">
        <v>2225</v>
      </c>
      <c r="F2543" s="5" t="s">
        <v>59</v>
      </c>
      <c r="G2543" s="5" t="str">
        <f aca="false">INDEX(Risk_Matrix!$B$2:$D$4,MATCH(E2543,Risk_Matrix!$A$2:$A$4,0),MATCH(F2543,Risk_Matrix!$B$1:$D$1,0))</f>
        <v>Low</v>
      </c>
      <c r="H2543" s="12" t="n">
        <v>46156</v>
      </c>
      <c r="I2543" s="5" t="s">
        <v>2250</v>
      </c>
      <c r="J2543" s="5" t="s">
        <v>2251</v>
      </c>
      <c r="K2543" s="5" t="s">
        <v>2283</v>
      </c>
      <c r="L2543" s="5" t="n">
        <f aca="false">IF(G2543="High",3,IF(G2543="Medium",2,1))</f>
        <v>1</v>
      </c>
    </row>
    <row r="2544" customFormat="false" ht="15" hidden="false" customHeight="true" outlineLevel="0" collapsed="false">
      <c r="A2544" s="5" t="s">
        <v>4822</v>
      </c>
      <c r="B2544" s="5" t="s">
        <v>1837</v>
      </c>
      <c r="C2544" s="5" t="s">
        <v>2259</v>
      </c>
      <c r="D2544" s="5" t="s">
        <v>2260</v>
      </c>
      <c r="E2544" s="5" t="s">
        <v>2225</v>
      </c>
      <c r="F2544" s="5" t="s">
        <v>54</v>
      </c>
      <c r="G2544" s="5" t="str">
        <f aca="false">INDEX(Risk_Matrix!$B$2:$D$4,MATCH(E2544,Risk_Matrix!$A$2:$A$4,0),MATCH(F2544,Risk_Matrix!$B$1:$D$1,0))</f>
        <v>High</v>
      </c>
      <c r="H2544" s="12" t="n">
        <v>46085</v>
      </c>
      <c r="I2544" s="5" t="s">
        <v>2256</v>
      </c>
      <c r="J2544" s="5" t="s">
        <v>4081</v>
      </c>
      <c r="K2544" s="5" t="s">
        <v>2283</v>
      </c>
      <c r="L2544" s="5" t="n">
        <f aca="false">IF(G2544="High",3,IF(G2544="Medium",2,1))</f>
        <v>3</v>
      </c>
    </row>
    <row r="2545" customFormat="false" ht="15" hidden="false" customHeight="true" outlineLevel="0" collapsed="false">
      <c r="A2545" s="5" t="s">
        <v>4823</v>
      </c>
      <c r="B2545" s="5" t="s">
        <v>1837</v>
      </c>
      <c r="C2545" s="5" t="s">
        <v>2254</v>
      </c>
      <c r="D2545" s="5" t="s">
        <v>2255</v>
      </c>
      <c r="E2545" s="5" t="s">
        <v>2225</v>
      </c>
      <c r="F2545" s="5" t="s">
        <v>59</v>
      </c>
      <c r="G2545" s="5" t="str">
        <f aca="false">INDEX(Risk_Matrix!$B$2:$D$4,MATCH(E2545,Risk_Matrix!$A$2:$A$4,0),MATCH(F2545,Risk_Matrix!$B$1:$D$1,0))</f>
        <v>Low</v>
      </c>
      <c r="H2545" s="12" t="n">
        <v>46089</v>
      </c>
      <c r="I2545" s="5" t="s">
        <v>2264</v>
      </c>
      <c r="J2545" s="5" t="s">
        <v>4087</v>
      </c>
      <c r="K2545" s="5" t="s">
        <v>2283</v>
      </c>
      <c r="L2545" s="5" t="n">
        <f aca="false">IF(G2545="High",3,IF(G2545="Medium",2,1))</f>
        <v>1</v>
      </c>
    </row>
    <row r="2546" customFormat="false" ht="15" hidden="false" customHeight="true" outlineLevel="0" collapsed="false">
      <c r="A2546" s="5" t="s">
        <v>4824</v>
      </c>
      <c r="B2546" s="5" t="s">
        <v>1839</v>
      </c>
      <c r="C2546" s="5" t="s">
        <v>2239</v>
      </c>
      <c r="D2546" s="5" t="s">
        <v>2303</v>
      </c>
      <c r="E2546" s="5" t="s">
        <v>54</v>
      </c>
      <c r="F2546" s="5" t="s">
        <v>54</v>
      </c>
      <c r="G2546" s="5" t="str">
        <f aca="false">INDEX(Risk_Matrix!$B$2:$D$4,MATCH(E2546,Risk_Matrix!$A$2:$A$4,0),MATCH(F2546,Risk_Matrix!$B$1:$D$1,0))</f>
        <v>High</v>
      </c>
      <c r="H2546" s="12" t="n">
        <v>46093</v>
      </c>
      <c r="I2546" s="5" t="s">
        <v>2264</v>
      </c>
      <c r="J2546" s="5" t="s">
        <v>4087</v>
      </c>
      <c r="K2546" s="5" t="s">
        <v>2283</v>
      </c>
      <c r="L2546" s="5" t="n">
        <f aca="false">IF(G2546="High",3,IF(G2546="Medium",2,1))</f>
        <v>3</v>
      </c>
    </row>
    <row r="2547" customFormat="false" ht="15" hidden="false" customHeight="true" outlineLevel="0" collapsed="false">
      <c r="A2547" s="5" t="s">
        <v>4825</v>
      </c>
      <c r="B2547" s="5" t="s">
        <v>1839</v>
      </c>
      <c r="C2547" s="5" t="s">
        <v>2245</v>
      </c>
      <c r="D2547" s="5" t="s">
        <v>2320</v>
      </c>
      <c r="E2547" s="5" t="s">
        <v>2225</v>
      </c>
      <c r="F2547" s="5" t="s">
        <v>2225</v>
      </c>
      <c r="G2547" s="5" t="str">
        <f aca="false">INDEX(Risk_Matrix!$B$2:$D$4,MATCH(E2547,Risk_Matrix!$A$2:$A$4,0),MATCH(F2547,Risk_Matrix!$B$1:$D$1,0))</f>
        <v>Medium</v>
      </c>
      <c r="H2547" s="12" t="n">
        <v>46131</v>
      </c>
      <c r="I2547" s="5" t="s">
        <v>2241</v>
      </c>
      <c r="J2547" s="5" t="s">
        <v>2242</v>
      </c>
      <c r="K2547" s="5" t="s">
        <v>2266</v>
      </c>
      <c r="L2547" s="5" t="n">
        <f aca="false">IF(G2547="High",3,IF(G2547="Medium",2,1))</f>
        <v>2</v>
      </c>
    </row>
    <row r="2548" customFormat="false" ht="15" hidden="false" customHeight="true" outlineLevel="0" collapsed="false">
      <c r="A2548" s="5" t="s">
        <v>4826</v>
      </c>
      <c r="B2548" s="5" t="s">
        <v>1839</v>
      </c>
      <c r="C2548" s="5" t="s">
        <v>2248</v>
      </c>
      <c r="D2548" s="5" t="s">
        <v>2249</v>
      </c>
      <c r="E2548" s="5" t="s">
        <v>54</v>
      </c>
      <c r="F2548" s="5" t="s">
        <v>59</v>
      </c>
      <c r="G2548" s="5" t="str">
        <f aca="false">INDEX(Risk_Matrix!$B$2:$D$4,MATCH(E2548,Risk_Matrix!$A$2:$A$4,0),MATCH(F2548,Risk_Matrix!$B$1:$D$1,0))</f>
        <v>Medium</v>
      </c>
      <c r="H2548" s="12" t="n">
        <v>46073</v>
      </c>
      <c r="I2548" s="5" t="s">
        <v>2256</v>
      </c>
      <c r="J2548" s="5" t="s">
        <v>4081</v>
      </c>
      <c r="K2548" s="5" t="s">
        <v>2243</v>
      </c>
      <c r="L2548" s="5" t="n">
        <f aca="false">IF(G2548="High",3,IF(G2548="Medium",2,1))</f>
        <v>2</v>
      </c>
    </row>
    <row r="2549" customFormat="false" ht="15" hidden="false" customHeight="true" outlineLevel="0" collapsed="false">
      <c r="A2549" s="5" t="s">
        <v>4827</v>
      </c>
      <c r="B2549" s="5" t="s">
        <v>1839</v>
      </c>
      <c r="C2549" s="5" t="s">
        <v>2262</v>
      </c>
      <c r="D2549" s="5" t="s">
        <v>2287</v>
      </c>
      <c r="E2549" s="5" t="s">
        <v>59</v>
      </c>
      <c r="F2549" s="5" t="s">
        <v>59</v>
      </c>
      <c r="G2549" s="5" t="str">
        <f aca="false">INDEX(Risk_Matrix!$B$2:$D$4,MATCH(E2549,Risk_Matrix!$A$2:$A$4,0),MATCH(F2549,Risk_Matrix!$B$1:$D$1,0))</f>
        <v>Low</v>
      </c>
      <c r="H2549" s="12" t="n">
        <v>46094</v>
      </c>
      <c r="I2549" s="5" t="s">
        <v>2241</v>
      </c>
      <c r="J2549" s="5" t="s">
        <v>2242</v>
      </c>
      <c r="K2549" s="5" t="s">
        <v>2276</v>
      </c>
      <c r="L2549" s="5" t="n">
        <f aca="false">IF(G2549="High",3,IF(G2549="Medium",2,1))</f>
        <v>1</v>
      </c>
    </row>
    <row r="2550" customFormat="false" ht="15" hidden="false" customHeight="true" outlineLevel="0" collapsed="false">
      <c r="A2550" s="5" t="s">
        <v>4828</v>
      </c>
      <c r="B2550" s="5" t="s">
        <v>1839</v>
      </c>
      <c r="C2550" s="5" t="s">
        <v>2259</v>
      </c>
      <c r="D2550" s="5" t="s">
        <v>2285</v>
      </c>
      <c r="E2550" s="5" t="s">
        <v>54</v>
      </c>
      <c r="F2550" s="5" t="s">
        <v>2225</v>
      </c>
      <c r="G2550" s="5" t="str">
        <f aca="false">INDEX(Risk_Matrix!$B$2:$D$4,MATCH(E2550,Risk_Matrix!$A$2:$A$4,0),MATCH(F2550,Risk_Matrix!$B$1:$D$1,0))</f>
        <v>High</v>
      </c>
      <c r="H2550" s="12" t="n">
        <v>46035</v>
      </c>
      <c r="I2550" s="5" t="s">
        <v>2241</v>
      </c>
      <c r="J2550" s="5" t="s">
        <v>2242</v>
      </c>
      <c r="K2550" s="5" t="s">
        <v>2243</v>
      </c>
      <c r="L2550" s="5" t="n">
        <f aca="false">IF(G2550="High",3,IF(G2550="Medium",2,1))</f>
        <v>3</v>
      </c>
    </row>
    <row r="2551" customFormat="false" ht="15" hidden="false" customHeight="true" outlineLevel="0" collapsed="false">
      <c r="A2551" s="5" t="s">
        <v>4829</v>
      </c>
      <c r="B2551" s="5" t="s">
        <v>1839</v>
      </c>
      <c r="C2551" s="5" t="s">
        <v>2254</v>
      </c>
      <c r="D2551" s="5" t="s">
        <v>2255</v>
      </c>
      <c r="E2551" s="5" t="s">
        <v>59</v>
      </c>
      <c r="F2551" s="5" t="s">
        <v>54</v>
      </c>
      <c r="G2551" s="5" t="str">
        <f aca="false">INDEX(Risk_Matrix!$B$2:$D$4,MATCH(E2551,Risk_Matrix!$A$2:$A$4,0),MATCH(F2551,Risk_Matrix!$B$1:$D$1,0))</f>
        <v>Medium</v>
      </c>
      <c r="H2551" s="12" t="n">
        <v>46060</v>
      </c>
      <c r="I2551" s="5" t="s">
        <v>2264</v>
      </c>
      <c r="J2551" s="5" t="s">
        <v>4087</v>
      </c>
      <c r="K2551" s="5" t="s">
        <v>2266</v>
      </c>
      <c r="L2551" s="5" t="n">
        <f aca="false">IF(G2551="High",3,IF(G2551="Medium",2,1))</f>
        <v>2</v>
      </c>
    </row>
    <row r="2552" customFormat="false" ht="15" hidden="false" customHeight="true" outlineLevel="0" collapsed="false">
      <c r="A2552" s="5" t="s">
        <v>4830</v>
      </c>
      <c r="B2552" s="5" t="s">
        <v>1841</v>
      </c>
      <c r="C2552" s="5" t="s">
        <v>2239</v>
      </c>
      <c r="D2552" s="5" t="s">
        <v>2303</v>
      </c>
      <c r="E2552" s="5" t="s">
        <v>2225</v>
      </c>
      <c r="F2552" s="5" t="s">
        <v>2225</v>
      </c>
      <c r="G2552" s="5" t="str">
        <f aca="false">INDEX(Risk_Matrix!$B$2:$D$4,MATCH(E2552,Risk_Matrix!$A$2:$A$4,0),MATCH(F2552,Risk_Matrix!$B$1:$D$1,0))</f>
        <v>Medium</v>
      </c>
      <c r="H2552" s="12" t="n">
        <v>46205</v>
      </c>
      <c r="I2552" s="5" t="s">
        <v>2264</v>
      </c>
      <c r="J2552" s="5" t="s">
        <v>4087</v>
      </c>
      <c r="K2552" s="5" t="s">
        <v>2276</v>
      </c>
      <c r="L2552" s="5" t="n">
        <f aca="false">IF(G2552="High",3,IF(G2552="Medium",2,1))</f>
        <v>2</v>
      </c>
    </row>
    <row r="2553" customFormat="false" ht="15" hidden="false" customHeight="true" outlineLevel="0" collapsed="false">
      <c r="A2553" s="5" t="s">
        <v>4831</v>
      </c>
      <c r="B2553" s="5" t="s">
        <v>1841</v>
      </c>
      <c r="C2553" s="5" t="s">
        <v>2245</v>
      </c>
      <c r="D2553" s="5" t="s">
        <v>2246</v>
      </c>
      <c r="E2553" s="5" t="s">
        <v>54</v>
      </c>
      <c r="F2553" s="5" t="s">
        <v>2225</v>
      </c>
      <c r="G2553" s="5" t="str">
        <f aca="false">INDEX(Risk_Matrix!$B$2:$D$4,MATCH(E2553,Risk_Matrix!$A$2:$A$4,0),MATCH(F2553,Risk_Matrix!$B$1:$D$1,0))</f>
        <v>High</v>
      </c>
      <c r="H2553" s="12" t="n">
        <v>46113</v>
      </c>
      <c r="I2553" s="5" t="s">
        <v>2241</v>
      </c>
      <c r="J2553" s="5" t="s">
        <v>2242</v>
      </c>
      <c r="K2553" s="5" t="s">
        <v>2252</v>
      </c>
      <c r="L2553" s="5" t="n">
        <f aca="false">IF(G2553="High",3,IF(G2553="Medium",2,1))</f>
        <v>3</v>
      </c>
    </row>
    <row r="2554" customFormat="false" ht="15" hidden="false" customHeight="true" outlineLevel="0" collapsed="false">
      <c r="A2554" s="5" t="s">
        <v>4832</v>
      </c>
      <c r="B2554" s="5" t="s">
        <v>1841</v>
      </c>
      <c r="C2554" s="5" t="s">
        <v>2248</v>
      </c>
      <c r="D2554" s="5" t="s">
        <v>2271</v>
      </c>
      <c r="E2554" s="5" t="s">
        <v>54</v>
      </c>
      <c r="F2554" s="5" t="s">
        <v>59</v>
      </c>
      <c r="G2554" s="5" t="str">
        <f aca="false">INDEX(Risk_Matrix!$B$2:$D$4,MATCH(E2554,Risk_Matrix!$A$2:$A$4,0),MATCH(F2554,Risk_Matrix!$B$1:$D$1,0))</f>
        <v>Medium</v>
      </c>
      <c r="H2554" s="12" t="n">
        <v>46141</v>
      </c>
      <c r="I2554" s="5" t="s">
        <v>2241</v>
      </c>
      <c r="J2554" s="5" t="s">
        <v>2242</v>
      </c>
      <c r="K2554" s="5" t="s">
        <v>2252</v>
      </c>
      <c r="L2554" s="5" t="n">
        <f aca="false">IF(G2554="High",3,IF(G2554="Medium",2,1))</f>
        <v>2</v>
      </c>
    </row>
    <row r="2555" customFormat="false" ht="15" hidden="false" customHeight="true" outlineLevel="0" collapsed="false">
      <c r="A2555" s="5" t="s">
        <v>4833</v>
      </c>
      <c r="B2555" s="5" t="s">
        <v>1841</v>
      </c>
      <c r="C2555" s="5" t="s">
        <v>2262</v>
      </c>
      <c r="D2555" s="5" t="s">
        <v>2287</v>
      </c>
      <c r="E2555" s="5" t="s">
        <v>54</v>
      </c>
      <c r="F2555" s="5" t="s">
        <v>2225</v>
      </c>
      <c r="G2555" s="5" t="str">
        <f aca="false">INDEX(Risk_Matrix!$B$2:$D$4,MATCH(E2555,Risk_Matrix!$A$2:$A$4,0),MATCH(F2555,Risk_Matrix!$B$1:$D$1,0))</f>
        <v>High</v>
      </c>
      <c r="H2555" s="12" t="n">
        <v>46220</v>
      </c>
      <c r="I2555" s="5" t="s">
        <v>2256</v>
      </c>
      <c r="J2555" s="5" t="s">
        <v>4081</v>
      </c>
      <c r="K2555" s="5" t="s">
        <v>2252</v>
      </c>
      <c r="L2555" s="5" t="n">
        <f aca="false">IF(G2555="High",3,IF(G2555="Medium",2,1))</f>
        <v>3</v>
      </c>
    </row>
    <row r="2556" customFormat="false" ht="15" hidden="false" customHeight="true" outlineLevel="0" collapsed="false">
      <c r="A2556" s="5" t="s">
        <v>4834</v>
      </c>
      <c r="B2556" s="5" t="s">
        <v>1841</v>
      </c>
      <c r="C2556" s="5" t="s">
        <v>2259</v>
      </c>
      <c r="D2556" s="5" t="s">
        <v>2274</v>
      </c>
      <c r="E2556" s="5" t="s">
        <v>54</v>
      </c>
      <c r="F2556" s="5" t="s">
        <v>59</v>
      </c>
      <c r="G2556" s="5" t="str">
        <f aca="false">INDEX(Risk_Matrix!$B$2:$D$4,MATCH(E2556,Risk_Matrix!$A$2:$A$4,0),MATCH(F2556,Risk_Matrix!$B$1:$D$1,0))</f>
        <v>Medium</v>
      </c>
      <c r="H2556" s="12" t="n">
        <v>46236</v>
      </c>
      <c r="I2556" s="5" t="s">
        <v>2264</v>
      </c>
      <c r="J2556" s="5" t="s">
        <v>4087</v>
      </c>
      <c r="K2556" s="5" t="s">
        <v>2283</v>
      </c>
      <c r="L2556" s="5" t="n">
        <f aca="false">IF(G2556="High",3,IF(G2556="Medium",2,1))</f>
        <v>2</v>
      </c>
    </row>
    <row r="2557" customFormat="false" ht="15" hidden="false" customHeight="true" outlineLevel="0" collapsed="false">
      <c r="A2557" s="5" t="s">
        <v>4835</v>
      </c>
      <c r="B2557" s="5" t="s">
        <v>1841</v>
      </c>
      <c r="C2557" s="5" t="s">
        <v>2254</v>
      </c>
      <c r="D2557" s="5" t="s">
        <v>2299</v>
      </c>
      <c r="E2557" s="5" t="s">
        <v>59</v>
      </c>
      <c r="F2557" s="5" t="s">
        <v>59</v>
      </c>
      <c r="G2557" s="5" t="str">
        <f aca="false">INDEX(Risk_Matrix!$B$2:$D$4,MATCH(E2557,Risk_Matrix!$A$2:$A$4,0),MATCH(F2557,Risk_Matrix!$B$1:$D$1,0))</f>
        <v>Low</v>
      </c>
      <c r="H2557" s="12" t="n">
        <v>46178</v>
      </c>
      <c r="I2557" s="5" t="s">
        <v>2241</v>
      </c>
      <c r="J2557" s="5" t="s">
        <v>2242</v>
      </c>
      <c r="K2557" s="5" t="s">
        <v>2283</v>
      </c>
      <c r="L2557" s="5" t="n">
        <f aca="false">IF(G2557="High",3,IF(G2557="Medium",2,1))</f>
        <v>1</v>
      </c>
    </row>
    <row r="2558" customFormat="false" ht="15" hidden="false" customHeight="true" outlineLevel="0" collapsed="false">
      <c r="A2558" s="5" t="s">
        <v>4836</v>
      </c>
      <c r="B2558" s="5" t="s">
        <v>1843</v>
      </c>
      <c r="C2558" s="5" t="s">
        <v>2239</v>
      </c>
      <c r="D2558" s="5" t="s">
        <v>2295</v>
      </c>
      <c r="E2558" s="5" t="s">
        <v>54</v>
      </c>
      <c r="F2558" s="5" t="s">
        <v>54</v>
      </c>
      <c r="G2558" s="5" t="str">
        <f aca="false">INDEX(Risk_Matrix!$B$2:$D$4,MATCH(E2558,Risk_Matrix!$A$2:$A$4,0),MATCH(F2558,Risk_Matrix!$B$1:$D$1,0))</f>
        <v>High</v>
      </c>
      <c r="H2558" s="12" t="n">
        <v>46109</v>
      </c>
      <c r="I2558" s="5" t="s">
        <v>2256</v>
      </c>
      <c r="J2558" s="5" t="s">
        <v>4081</v>
      </c>
      <c r="K2558" s="5" t="s">
        <v>2276</v>
      </c>
      <c r="L2558" s="5" t="n">
        <f aca="false">IF(G2558="High",3,IF(G2558="Medium",2,1))</f>
        <v>3</v>
      </c>
    </row>
    <row r="2559" customFormat="false" ht="15" hidden="false" customHeight="true" outlineLevel="0" collapsed="false">
      <c r="A2559" s="5" t="s">
        <v>4837</v>
      </c>
      <c r="B2559" s="5" t="s">
        <v>1843</v>
      </c>
      <c r="C2559" s="5" t="s">
        <v>2245</v>
      </c>
      <c r="D2559" s="5" t="s">
        <v>2269</v>
      </c>
      <c r="E2559" s="5" t="s">
        <v>59</v>
      </c>
      <c r="F2559" s="5" t="s">
        <v>54</v>
      </c>
      <c r="G2559" s="5" t="str">
        <f aca="false">INDEX(Risk_Matrix!$B$2:$D$4,MATCH(E2559,Risk_Matrix!$A$2:$A$4,0),MATCH(F2559,Risk_Matrix!$B$1:$D$1,0))</f>
        <v>Medium</v>
      </c>
      <c r="H2559" s="12" t="n">
        <v>46086</v>
      </c>
      <c r="I2559" s="5" t="s">
        <v>2250</v>
      </c>
      <c r="J2559" s="5" t="s">
        <v>2251</v>
      </c>
      <c r="K2559" s="5" t="s">
        <v>2266</v>
      </c>
      <c r="L2559" s="5" t="n">
        <f aca="false">IF(G2559="High",3,IF(G2559="Medium",2,1))</f>
        <v>2</v>
      </c>
    </row>
    <row r="2560" customFormat="false" ht="15" hidden="false" customHeight="true" outlineLevel="0" collapsed="false">
      <c r="A2560" s="5" t="s">
        <v>4838</v>
      </c>
      <c r="B2560" s="5" t="s">
        <v>1843</v>
      </c>
      <c r="C2560" s="5" t="s">
        <v>2248</v>
      </c>
      <c r="D2560" s="5" t="s">
        <v>2306</v>
      </c>
      <c r="E2560" s="5" t="s">
        <v>2225</v>
      </c>
      <c r="F2560" s="5" t="s">
        <v>2225</v>
      </c>
      <c r="G2560" s="5" t="str">
        <f aca="false">INDEX(Risk_Matrix!$B$2:$D$4,MATCH(E2560,Risk_Matrix!$A$2:$A$4,0),MATCH(F2560,Risk_Matrix!$B$1:$D$1,0))</f>
        <v>Medium</v>
      </c>
      <c r="H2560" s="12" t="n">
        <v>46159</v>
      </c>
      <c r="I2560" s="5" t="s">
        <v>2241</v>
      </c>
      <c r="J2560" s="5" t="s">
        <v>2242</v>
      </c>
      <c r="K2560" s="5" t="s">
        <v>2283</v>
      </c>
      <c r="L2560" s="5" t="n">
        <f aca="false">IF(G2560="High",3,IF(G2560="Medium",2,1))</f>
        <v>2</v>
      </c>
    </row>
    <row r="2561" customFormat="false" ht="15" hidden="false" customHeight="true" outlineLevel="0" collapsed="false">
      <c r="A2561" s="5" t="s">
        <v>4839</v>
      </c>
      <c r="B2561" s="5" t="s">
        <v>1843</v>
      </c>
      <c r="C2561" s="5" t="s">
        <v>2262</v>
      </c>
      <c r="D2561" s="5" t="s">
        <v>2263</v>
      </c>
      <c r="E2561" s="5" t="s">
        <v>54</v>
      </c>
      <c r="F2561" s="5" t="s">
        <v>54</v>
      </c>
      <c r="G2561" s="5" t="str">
        <f aca="false">INDEX(Risk_Matrix!$B$2:$D$4,MATCH(E2561,Risk_Matrix!$A$2:$A$4,0),MATCH(F2561,Risk_Matrix!$B$1:$D$1,0))</f>
        <v>High</v>
      </c>
      <c r="H2561" s="12" t="n">
        <v>46109</v>
      </c>
      <c r="I2561" s="5" t="s">
        <v>2256</v>
      </c>
      <c r="J2561" s="5" t="s">
        <v>4081</v>
      </c>
      <c r="K2561" s="5" t="s">
        <v>2252</v>
      </c>
      <c r="L2561" s="5" t="n">
        <f aca="false">IF(G2561="High",3,IF(G2561="Medium",2,1))</f>
        <v>3</v>
      </c>
    </row>
    <row r="2562" customFormat="false" ht="15" hidden="false" customHeight="true" outlineLevel="0" collapsed="false">
      <c r="A2562" s="5" t="s">
        <v>4840</v>
      </c>
      <c r="B2562" s="5" t="s">
        <v>1843</v>
      </c>
      <c r="C2562" s="5" t="s">
        <v>2259</v>
      </c>
      <c r="D2562" s="5" t="s">
        <v>2274</v>
      </c>
      <c r="E2562" s="5" t="s">
        <v>2225</v>
      </c>
      <c r="F2562" s="5" t="s">
        <v>59</v>
      </c>
      <c r="G2562" s="5" t="str">
        <f aca="false">INDEX(Risk_Matrix!$B$2:$D$4,MATCH(E2562,Risk_Matrix!$A$2:$A$4,0),MATCH(F2562,Risk_Matrix!$B$1:$D$1,0))</f>
        <v>Low</v>
      </c>
      <c r="H2562" s="12" t="n">
        <v>46235</v>
      </c>
      <c r="I2562" s="5" t="s">
        <v>2264</v>
      </c>
      <c r="J2562" s="5" t="s">
        <v>4087</v>
      </c>
      <c r="K2562" s="5" t="s">
        <v>2266</v>
      </c>
      <c r="L2562" s="5" t="n">
        <f aca="false">IF(G2562="High",3,IF(G2562="Medium",2,1))</f>
        <v>1</v>
      </c>
    </row>
    <row r="2563" customFormat="false" ht="15" hidden="false" customHeight="true" outlineLevel="0" collapsed="false">
      <c r="A2563" s="5" t="s">
        <v>4841</v>
      </c>
      <c r="B2563" s="5" t="s">
        <v>1843</v>
      </c>
      <c r="C2563" s="5" t="s">
        <v>2254</v>
      </c>
      <c r="D2563" s="5" t="s">
        <v>2299</v>
      </c>
      <c r="E2563" s="5" t="s">
        <v>54</v>
      </c>
      <c r="F2563" s="5" t="s">
        <v>59</v>
      </c>
      <c r="G2563" s="5" t="str">
        <f aca="false">INDEX(Risk_Matrix!$B$2:$D$4,MATCH(E2563,Risk_Matrix!$A$2:$A$4,0),MATCH(F2563,Risk_Matrix!$B$1:$D$1,0))</f>
        <v>Medium</v>
      </c>
      <c r="H2563" s="12" t="n">
        <v>46098</v>
      </c>
      <c r="I2563" s="5" t="s">
        <v>2256</v>
      </c>
      <c r="J2563" s="5" t="s">
        <v>4081</v>
      </c>
      <c r="K2563" s="5" t="s">
        <v>2283</v>
      </c>
      <c r="L2563" s="5" t="n">
        <f aca="false">IF(G2563="High",3,IF(G2563="Medium",2,1))</f>
        <v>2</v>
      </c>
    </row>
    <row r="2564" customFormat="false" ht="15" hidden="false" customHeight="true" outlineLevel="0" collapsed="false">
      <c r="A2564" s="5" t="s">
        <v>4842</v>
      </c>
      <c r="B2564" s="5" t="s">
        <v>1845</v>
      </c>
      <c r="C2564" s="5" t="s">
        <v>2239</v>
      </c>
      <c r="D2564" s="5" t="s">
        <v>2295</v>
      </c>
      <c r="E2564" s="5" t="s">
        <v>59</v>
      </c>
      <c r="F2564" s="5" t="s">
        <v>2225</v>
      </c>
      <c r="G2564" s="5" t="str">
        <f aca="false">INDEX(Risk_Matrix!$B$2:$D$4,MATCH(E2564,Risk_Matrix!$A$2:$A$4,0),MATCH(F2564,Risk_Matrix!$B$1:$D$1,0))</f>
        <v>Low</v>
      </c>
      <c r="H2564" s="12" t="n">
        <v>46057</v>
      </c>
      <c r="I2564" s="5" t="s">
        <v>2250</v>
      </c>
      <c r="J2564" s="5" t="s">
        <v>2251</v>
      </c>
      <c r="K2564" s="5" t="s">
        <v>2243</v>
      </c>
      <c r="L2564" s="5" t="n">
        <f aca="false">IF(G2564="High",3,IF(G2564="Medium",2,1))</f>
        <v>1</v>
      </c>
    </row>
    <row r="2565" customFormat="false" ht="15" hidden="false" customHeight="true" outlineLevel="0" collapsed="false">
      <c r="A2565" s="5" t="s">
        <v>4843</v>
      </c>
      <c r="B2565" s="5" t="s">
        <v>1845</v>
      </c>
      <c r="C2565" s="5" t="s">
        <v>2245</v>
      </c>
      <c r="D2565" s="5" t="s">
        <v>2320</v>
      </c>
      <c r="E2565" s="5" t="s">
        <v>2225</v>
      </c>
      <c r="F2565" s="5" t="s">
        <v>2225</v>
      </c>
      <c r="G2565" s="5" t="str">
        <f aca="false">INDEX(Risk_Matrix!$B$2:$D$4,MATCH(E2565,Risk_Matrix!$A$2:$A$4,0),MATCH(F2565,Risk_Matrix!$B$1:$D$1,0))</f>
        <v>Medium</v>
      </c>
      <c r="H2565" s="12" t="n">
        <v>46070</v>
      </c>
      <c r="I2565" s="5" t="s">
        <v>2256</v>
      </c>
      <c r="J2565" s="5" t="s">
        <v>4081</v>
      </c>
      <c r="K2565" s="5" t="s">
        <v>2243</v>
      </c>
      <c r="L2565" s="5" t="n">
        <f aca="false">IF(G2565="High",3,IF(G2565="Medium",2,1))</f>
        <v>2</v>
      </c>
    </row>
    <row r="2566" customFormat="false" ht="15" hidden="false" customHeight="true" outlineLevel="0" collapsed="false">
      <c r="A2566" s="5" t="s">
        <v>4844</v>
      </c>
      <c r="B2566" s="5" t="s">
        <v>1845</v>
      </c>
      <c r="C2566" s="5" t="s">
        <v>2248</v>
      </c>
      <c r="D2566" s="5" t="s">
        <v>2306</v>
      </c>
      <c r="E2566" s="5" t="s">
        <v>2225</v>
      </c>
      <c r="F2566" s="5" t="s">
        <v>54</v>
      </c>
      <c r="G2566" s="5" t="str">
        <f aca="false">INDEX(Risk_Matrix!$B$2:$D$4,MATCH(E2566,Risk_Matrix!$A$2:$A$4,0),MATCH(F2566,Risk_Matrix!$B$1:$D$1,0))</f>
        <v>High</v>
      </c>
      <c r="H2566" s="12" t="n">
        <v>46197</v>
      </c>
      <c r="I2566" s="5" t="s">
        <v>2241</v>
      </c>
      <c r="J2566" s="5" t="s">
        <v>2242</v>
      </c>
      <c r="K2566" s="5" t="s">
        <v>2243</v>
      </c>
      <c r="L2566" s="5" t="n">
        <f aca="false">IF(G2566="High",3,IF(G2566="Medium",2,1))</f>
        <v>3</v>
      </c>
    </row>
    <row r="2567" customFormat="false" ht="15" hidden="false" customHeight="true" outlineLevel="0" collapsed="false">
      <c r="A2567" s="5" t="s">
        <v>4845</v>
      </c>
      <c r="B2567" s="5" t="s">
        <v>1845</v>
      </c>
      <c r="C2567" s="5" t="s">
        <v>2262</v>
      </c>
      <c r="D2567" s="5" t="s">
        <v>2287</v>
      </c>
      <c r="E2567" s="5" t="s">
        <v>59</v>
      </c>
      <c r="F2567" s="5" t="s">
        <v>59</v>
      </c>
      <c r="G2567" s="5" t="str">
        <f aca="false">INDEX(Risk_Matrix!$B$2:$D$4,MATCH(E2567,Risk_Matrix!$A$2:$A$4,0),MATCH(F2567,Risk_Matrix!$B$1:$D$1,0))</f>
        <v>Low</v>
      </c>
      <c r="H2567" s="12" t="n">
        <v>46157</v>
      </c>
      <c r="I2567" s="5" t="s">
        <v>2264</v>
      </c>
      <c r="J2567" s="5" t="s">
        <v>4087</v>
      </c>
      <c r="K2567" s="5" t="s">
        <v>2283</v>
      </c>
      <c r="L2567" s="5" t="n">
        <f aca="false">IF(G2567="High",3,IF(G2567="Medium",2,1))</f>
        <v>1</v>
      </c>
    </row>
    <row r="2568" customFormat="false" ht="15" hidden="false" customHeight="true" outlineLevel="0" collapsed="false">
      <c r="A2568" s="5" t="s">
        <v>4846</v>
      </c>
      <c r="B2568" s="5" t="s">
        <v>1845</v>
      </c>
      <c r="C2568" s="5" t="s">
        <v>2259</v>
      </c>
      <c r="D2568" s="5" t="s">
        <v>2260</v>
      </c>
      <c r="E2568" s="5" t="s">
        <v>59</v>
      </c>
      <c r="F2568" s="5" t="s">
        <v>54</v>
      </c>
      <c r="G2568" s="5" t="str">
        <f aca="false">INDEX(Risk_Matrix!$B$2:$D$4,MATCH(E2568,Risk_Matrix!$A$2:$A$4,0),MATCH(F2568,Risk_Matrix!$B$1:$D$1,0))</f>
        <v>Medium</v>
      </c>
      <c r="H2568" s="12" t="n">
        <v>46164</v>
      </c>
      <c r="I2568" s="5" t="s">
        <v>2241</v>
      </c>
      <c r="J2568" s="5" t="s">
        <v>2242</v>
      </c>
      <c r="K2568" s="5" t="s">
        <v>2283</v>
      </c>
      <c r="L2568" s="5" t="n">
        <f aca="false">IF(G2568="High",3,IF(G2568="Medium",2,1))</f>
        <v>2</v>
      </c>
    </row>
    <row r="2569" customFormat="false" ht="15" hidden="false" customHeight="true" outlineLevel="0" collapsed="false">
      <c r="A2569" s="5" t="s">
        <v>4847</v>
      </c>
      <c r="B2569" s="5" t="s">
        <v>1845</v>
      </c>
      <c r="C2569" s="5" t="s">
        <v>2254</v>
      </c>
      <c r="D2569" s="5" t="s">
        <v>2308</v>
      </c>
      <c r="E2569" s="5" t="s">
        <v>59</v>
      </c>
      <c r="F2569" s="5" t="s">
        <v>2225</v>
      </c>
      <c r="G2569" s="5" t="str">
        <f aca="false">INDEX(Risk_Matrix!$B$2:$D$4,MATCH(E2569,Risk_Matrix!$A$2:$A$4,0),MATCH(F2569,Risk_Matrix!$B$1:$D$1,0))</f>
        <v>Low</v>
      </c>
      <c r="H2569" s="12" t="n">
        <v>46079</v>
      </c>
      <c r="I2569" s="5" t="s">
        <v>2241</v>
      </c>
      <c r="J2569" s="5" t="s">
        <v>2242</v>
      </c>
      <c r="K2569" s="5" t="s">
        <v>2252</v>
      </c>
      <c r="L2569" s="5" t="n">
        <f aca="false">IF(G2569="High",3,IF(G2569="Medium",2,1))</f>
        <v>1</v>
      </c>
    </row>
    <row r="2570" customFormat="false" ht="15" hidden="false" customHeight="true" outlineLevel="0" collapsed="false">
      <c r="A2570" s="5" t="s">
        <v>4848</v>
      </c>
      <c r="B2570" s="5" t="s">
        <v>1847</v>
      </c>
      <c r="C2570" s="5" t="s">
        <v>2239</v>
      </c>
      <c r="D2570" s="5" t="s">
        <v>2295</v>
      </c>
      <c r="E2570" s="5" t="s">
        <v>54</v>
      </c>
      <c r="F2570" s="5" t="s">
        <v>2225</v>
      </c>
      <c r="G2570" s="5" t="str">
        <f aca="false">INDEX(Risk_Matrix!$B$2:$D$4,MATCH(E2570,Risk_Matrix!$A$2:$A$4,0),MATCH(F2570,Risk_Matrix!$B$1:$D$1,0))</f>
        <v>High</v>
      </c>
      <c r="H2570" s="12" t="n">
        <v>46059</v>
      </c>
      <c r="I2570" s="5" t="s">
        <v>2256</v>
      </c>
      <c r="J2570" s="5" t="s">
        <v>4081</v>
      </c>
      <c r="K2570" s="5" t="s">
        <v>2283</v>
      </c>
      <c r="L2570" s="5" t="n">
        <f aca="false">IF(G2570="High",3,IF(G2570="Medium",2,1))</f>
        <v>3</v>
      </c>
    </row>
    <row r="2571" customFormat="false" ht="15" hidden="false" customHeight="true" outlineLevel="0" collapsed="false">
      <c r="A2571" s="5" t="s">
        <v>4849</v>
      </c>
      <c r="B2571" s="5" t="s">
        <v>1847</v>
      </c>
      <c r="C2571" s="5" t="s">
        <v>2245</v>
      </c>
      <c r="D2571" s="5" t="s">
        <v>2269</v>
      </c>
      <c r="E2571" s="5" t="s">
        <v>2225</v>
      </c>
      <c r="F2571" s="5" t="s">
        <v>59</v>
      </c>
      <c r="G2571" s="5" t="str">
        <f aca="false">INDEX(Risk_Matrix!$B$2:$D$4,MATCH(E2571,Risk_Matrix!$A$2:$A$4,0),MATCH(F2571,Risk_Matrix!$B$1:$D$1,0))</f>
        <v>Low</v>
      </c>
      <c r="H2571" s="12" t="n">
        <v>46137</v>
      </c>
      <c r="I2571" s="5" t="s">
        <v>2241</v>
      </c>
      <c r="J2571" s="5" t="s">
        <v>2242</v>
      </c>
      <c r="K2571" s="5" t="s">
        <v>2276</v>
      </c>
      <c r="L2571" s="5" t="n">
        <f aca="false">IF(G2571="High",3,IF(G2571="Medium",2,1))</f>
        <v>1</v>
      </c>
    </row>
    <row r="2572" customFormat="false" ht="15" hidden="false" customHeight="true" outlineLevel="0" collapsed="false">
      <c r="A2572" s="5" t="s">
        <v>4850</v>
      </c>
      <c r="B2572" s="5" t="s">
        <v>1847</v>
      </c>
      <c r="C2572" s="5" t="s">
        <v>2248</v>
      </c>
      <c r="D2572" s="5" t="s">
        <v>2249</v>
      </c>
      <c r="E2572" s="5" t="s">
        <v>2225</v>
      </c>
      <c r="F2572" s="5" t="s">
        <v>59</v>
      </c>
      <c r="G2572" s="5" t="str">
        <f aca="false">INDEX(Risk_Matrix!$B$2:$D$4,MATCH(E2572,Risk_Matrix!$A$2:$A$4,0),MATCH(F2572,Risk_Matrix!$B$1:$D$1,0))</f>
        <v>Low</v>
      </c>
      <c r="H2572" s="12" t="n">
        <v>46214</v>
      </c>
      <c r="I2572" s="5" t="s">
        <v>2264</v>
      </c>
      <c r="J2572" s="5" t="s">
        <v>4087</v>
      </c>
      <c r="K2572" s="5" t="s">
        <v>2252</v>
      </c>
      <c r="L2572" s="5" t="n">
        <f aca="false">IF(G2572="High",3,IF(G2572="Medium",2,1))</f>
        <v>1</v>
      </c>
    </row>
    <row r="2573" customFormat="false" ht="15" hidden="false" customHeight="true" outlineLevel="0" collapsed="false">
      <c r="A2573" s="5" t="s">
        <v>4851</v>
      </c>
      <c r="B2573" s="5" t="s">
        <v>1847</v>
      </c>
      <c r="C2573" s="5" t="s">
        <v>2262</v>
      </c>
      <c r="D2573" s="5" t="s">
        <v>2263</v>
      </c>
      <c r="E2573" s="5" t="s">
        <v>59</v>
      </c>
      <c r="F2573" s="5" t="s">
        <v>2225</v>
      </c>
      <c r="G2573" s="5" t="str">
        <f aca="false">INDEX(Risk_Matrix!$B$2:$D$4,MATCH(E2573,Risk_Matrix!$A$2:$A$4,0),MATCH(F2573,Risk_Matrix!$B$1:$D$1,0))</f>
        <v>Low</v>
      </c>
      <c r="H2573" s="12" t="n">
        <v>46213</v>
      </c>
      <c r="I2573" s="5" t="s">
        <v>2241</v>
      </c>
      <c r="J2573" s="5" t="s">
        <v>2242</v>
      </c>
      <c r="K2573" s="5" t="s">
        <v>2243</v>
      </c>
      <c r="L2573" s="5" t="n">
        <f aca="false">IF(G2573="High",3,IF(G2573="Medium",2,1))</f>
        <v>1</v>
      </c>
    </row>
    <row r="2574" customFormat="false" ht="15" hidden="false" customHeight="true" outlineLevel="0" collapsed="false">
      <c r="A2574" s="5" t="s">
        <v>4852</v>
      </c>
      <c r="B2574" s="5" t="s">
        <v>1847</v>
      </c>
      <c r="C2574" s="5" t="s">
        <v>2259</v>
      </c>
      <c r="D2574" s="5" t="s">
        <v>2260</v>
      </c>
      <c r="E2574" s="5" t="s">
        <v>2225</v>
      </c>
      <c r="F2574" s="5" t="s">
        <v>59</v>
      </c>
      <c r="G2574" s="5" t="str">
        <f aca="false">INDEX(Risk_Matrix!$B$2:$D$4,MATCH(E2574,Risk_Matrix!$A$2:$A$4,0),MATCH(F2574,Risk_Matrix!$B$1:$D$1,0))</f>
        <v>Low</v>
      </c>
      <c r="H2574" s="12" t="n">
        <v>46143</v>
      </c>
      <c r="I2574" s="5" t="s">
        <v>2250</v>
      </c>
      <c r="J2574" s="5" t="s">
        <v>2251</v>
      </c>
      <c r="K2574" s="5" t="s">
        <v>2252</v>
      </c>
      <c r="L2574" s="5" t="n">
        <f aca="false">IF(G2574="High",3,IF(G2574="Medium",2,1))</f>
        <v>1</v>
      </c>
    </row>
    <row r="2575" customFormat="false" ht="15" hidden="false" customHeight="true" outlineLevel="0" collapsed="false">
      <c r="A2575" s="5" t="s">
        <v>4853</v>
      </c>
      <c r="B2575" s="5" t="s">
        <v>1847</v>
      </c>
      <c r="C2575" s="5" t="s">
        <v>2254</v>
      </c>
      <c r="D2575" s="5" t="s">
        <v>2299</v>
      </c>
      <c r="E2575" s="5" t="s">
        <v>54</v>
      </c>
      <c r="F2575" s="5" t="s">
        <v>54</v>
      </c>
      <c r="G2575" s="5" t="str">
        <f aca="false">INDEX(Risk_Matrix!$B$2:$D$4,MATCH(E2575,Risk_Matrix!$A$2:$A$4,0),MATCH(F2575,Risk_Matrix!$B$1:$D$1,0))</f>
        <v>High</v>
      </c>
      <c r="H2575" s="12" t="n">
        <v>46036</v>
      </c>
      <c r="I2575" s="5" t="s">
        <v>2241</v>
      </c>
      <c r="J2575" s="5" t="s">
        <v>2242</v>
      </c>
      <c r="K2575" s="5" t="s">
        <v>2252</v>
      </c>
      <c r="L2575" s="5" t="n">
        <f aca="false">IF(G2575="High",3,IF(G2575="Medium",2,1))</f>
        <v>3</v>
      </c>
    </row>
    <row r="2576" customFormat="false" ht="15" hidden="false" customHeight="true" outlineLevel="0" collapsed="false">
      <c r="A2576" s="5" t="s">
        <v>4854</v>
      </c>
      <c r="B2576" s="5" t="s">
        <v>1849</v>
      </c>
      <c r="C2576" s="5" t="s">
        <v>2239</v>
      </c>
      <c r="D2576" s="5" t="s">
        <v>2303</v>
      </c>
      <c r="E2576" s="5" t="s">
        <v>59</v>
      </c>
      <c r="F2576" s="5" t="s">
        <v>54</v>
      </c>
      <c r="G2576" s="5" t="str">
        <f aca="false">INDEX(Risk_Matrix!$B$2:$D$4,MATCH(E2576,Risk_Matrix!$A$2:$A$4,0),MATCH(F2576,Risk_Matrix!$B$1:$D$1,0))</f>
        <v>Medium</v>
      </c>
      <c r="H2576" s="12" t="n">
        <v>46169</v>
      </c>
      <c r="I2576" s="5" t="s">
        <v>2250</v>
      </c>
      <c r="J2576" s="5" t="s">
        <v>2251</v>
      </c>
      <c r="K2576" s="5" t="s">
        <v>2243</v>
      </c>
      <c r="L2576" s="5" t="n">
        <f aca="false">IF(G2576="High",3,IF(G2576="Medium",2,1))</f>
        <v>2</v>
      </c>
    </row>
    <row r="2577" customFormat="false" ht="15" hidden="false" customHeight="true" outlineLevel="0" collapsed="false">
      <c r="A2577" s="5" t="s">
        <v>4855</v>
      </c>
      <c r="B2577" s="5" t="s">
        <v>1849</v>
      </c>
      <c r="C2577" s="5" t="s">
        <v>2245</v>
      </c>
      <c r="D2577" s="5" t="s">
        <v>2280</v>
      </c>
      <c r="E2577" s="5" t="s">
        <v>54</v>
      </c>
      <c r="F2577" s="5" t="s">
        <v>54</v>
      </c>
      <c r="G2577" s="5" t="str">
        <f aca="false">INDEX(Risk_Matrix!$B$2:$D$4,MATCH(E2577,Risk_Matrix!$A$2:$A$4,0),MATCH(F2577,Risk_Matrix!$B$1:$D$1,0))</f>
        <v>High</v>
      </c>
      <c r="H2577" s="12" t="n">
        <v>46062</v>
      </c>
      <c r="I2577" s="5" t="s">
        <v>2241</v>
      </c>
      <c r="J2577" s="5" t="s">
        <v>2242</v>
      </c>
      <c r="K2577" s="5" t="s">
        <v>2243</v>
      </c>
      <c r="L2577" s="5" t="n">
        <f aca="false">IF(G2577="High",3,IF(G2577="Medium",2,1))</f>
        <v>3</v>
      </c>
    </row>
    <row r="2578" customFormat="false" ht="15" hidden="false" customHeight="true" outlineLevel="0" collapsed="false">
      <c r="A2578" s="5" t="s">
        <v>4856</v>
      </c>
      <c r="B2578" s="5" t="s">
        <v>1849</v>
      </c>
      <c r="C2578" s="5" t="s">
        <v>2248</v>
      </c>
      <c r="D2578" s="5" t="s">
        <v>2249</v>
      </c>
      <c r="E2578" s="5" t="s">
        <v>59</v>
      </c>
      <c r="F2578" s="5" t="s">
        <v>54</v>
      </c>
      <c r="G2578" s="5" t="str">
        <f aca="false">INDEX(Risk_Matrix!$B$2:$D$4,MATCH(E2578,Risk_Matrix!$A$2:$A$4,0),MATCH(F2578,Risk_Matrix!$B$1:$D$1,0))</f>
        <v>Medium</v>
      </c>
      <c r="H2578" s="12" t="n">
        <v>46147</v>
      </c>
      <c r="I2578" s="5" t="s">
        <v>2264</v>
      </c>
      <c r="J2578" s="5" t="s">
        <v>4087</v>
      </c>
      <c r="K2578" s="5" t="s">
        <v>2252</v>
      </c>
      <c r="L2578" s="5" t="n">
        <f aca="false">IF(G2578="High",3,IF(G2578="Medium",2,1))</f>
        <v>2</v>
      </c>
    </row>
    <row r="2579" customFormat="false" ht="15" hidden="false" customHeight="true" outlineLevel="0" collapsed="false">
      <c r="A2579" s="5" t="s">
        <v>4857</v>
      </c>
      <c r="B2579" s="5" t="s">
        <v>1849</v>
      </c>
      <c r="C2579" s="5" t="s">
        <v>2262</v>
      </c>
      <c r="D2579" s="5" t="s">
        <v>2311</v>
      </c>
      <c r="E2579" s="5" t="s">
        <v>2225</v>
      </c>
      <c r="F2579" s="5" t="s">
        <v>59</v>
      </c>
      <c r="G2579" s="5" t="str">
        <f aca="false">INDEX(Risk_Matrix!$B$2:$D$4,MATCH(E2579,Risk_Matrix!$A$2:$A$4,0),MATCH(F2579,Risk_Matrix!$B$1:$D$1,0))</f>
        <v>Low</v>
      </c>
      <c r="H2579" s="12" t="n">
        <v>46060</v>
      </c>
      <c r="I2579" s="5" t="s">
        <v>2256</v>
      </c>
      <c r="J2579" s="5" t="s">
        <v>4081</v>
      </c>
      <c r="K2579" s="5" t="s">
        <v>2252</v>
      </c>
      <c r="L2579" s="5" t="n">
        <f aca="false">IF(G2579="High",3,IF(G2579="Medium",2,1))</f>
        <v>1</v>
      </c>
    </row>
    <row r="2580" customFormat="false" ht="15" hidden="false" customHeight="true" outlineLevel="0" collapsed="false">
      <c r="A2580" s="5" t="s">
        <v>4858</v>
      </c>
      <c r="B2580" s="5" t="s">
        <v>1849</v>
      </c>
      <c r="C2580" s="5" t="s">
        <v>2259</v>
      </c>
      <c r="D2580" s="5" t="s">
        <v>2260</v>
      </c>
      <c r="E2580" s="5" t="s">
        <v>54</v>
      </c>
      <c r="F2580" s="5" t="s">
        <v>59</v>
      </c>
      <c r="G2580" s="5" t="str">
        <f aca="false">INDEX(Risk_Matrix!$B$2:$D$4,MATCH(E2580,Risk_Matrix!$A$2:$A$4,0),MATCH(F2580,Risk_Matrix!$B$1:$D$1,0))</f>
        <v>Medium</v>
      </c>
      <c r="H2580" s="12" t="n">
        <v>46138</v>
      </c>
      <c r="I2580" s="5" t="s">
        <v>2264</v>
      </c>
      <c r="J2580" s="5" t="s">
        <v>4087</v>
      </c>
      <c r="K2580" s="5" t="s">
        <v>2266</v>
      </c>
      <c r="L2580" s="5" t="n">
        <f aca="false">IF(G2580="High",3,IF(G2580="Medium",2,1))</f>
        <v>2</v>
      </c>
    </row>
    <row r="2581" customFormat="false" ht="15" hidden="false" customHeight="true" outlineLevel="0" collapsed="false">
      <c r="A2581" s="5" t="s">
        <v>4859</v>
      </c>
      <c r="B2581" s="5" t="s">
        <v>1849</v>
      </c>
      <c r="C2581" s="5" t="s">
        <v>2254</v>
      </c>
      <c r="D2581" s="5" t="s">
        <v>2308</v>
      </c>
      <c r="E2581" s="5" t="s">
        <v>2225</v>
      </c>
      <c r="F2581" s="5" t="s">
        <v>54</v>
      </c>
      <c r="G2581" s="5" t="str">
        <f aca="false">INDEX(Risk_Matrix!$B$2:$D$4,MATCH(E2581,Risk_Matrix!$A$2:$A$4,0),MATCH(F2581,Risk_Matrix!$B$1:$D$1,0))</f>
        <v>High</v>
      </c>
      <c r="H2581" s="12" t="n">
        <v>46036</v>
      </c>
      <c r="I2581" s="5" t="s">
        <v>2264</v>
      </c>
      <c r="J2581" s="5" t="s">
        <v>4087</v>
      </c>
      <c r="K2581" s="5" t="s">
        <v>2243</v>
      </c>
      <c r="L2581" s="5" t="n">
        <f aca="false">IF(G2581="High",3,IF(G2581="Medium",2,1))</f>
        <v>3</v>
      </c>
    </row>
    <row r="2582" customFormat="false" ht="15" hidden="false" customHeight="true" outlineLevel="0" collapsed="false">
      <c r="A2582" s="5" t="s">
        <v>4860</v>
      </c>
      <c r="B2582" s="5" t="s">
        <v>1851</v>
      </c>
      <c r="C2582" s="5" t="s">
        <v>2239</v>
      </c>
      <c r="D2582" s="5" t="s">
        <v>2303</v>
      </c>
      <c r="E2582" s="5" t="s">
        <v>54</v>
      </c>
      <c r="F2582" s="5" t="s">
        <v>2225</v>
      </c>
      <c r="G2582" s="5" t="str">
        <f aca="false">INDEX(Risk_Matrix!$B$2:$D$4,MATCH(E2582,Risk_Matrix!$A$2:$A$4,0),MATCH(F2582,Risk_Matrix!$B$1:$D$1,0))</f>
        <v>High</v>
      </c>
      <c r="H2582" s="12" t="n">
        <v>46087</v>
      </c>
      <c r="I2582" s="5" t="s">
        <v>2256</v>
      </c>
      <c r="J2582" s="5" t="s">
        <v>4081</v>
      </c>
      <c r="K2582" s="5" t="s">
        <v>2283</v>
      </c>
      <c r="L2582" s="5" t="n">
        <f aca="false">IF(G2582="High",3,IF(G2582="Medium",2,1))</f>
        <v>3</v>
      </c>
    </row>
    <row r="2583" customFormat="false" ht="15" hidden="false" customHeight="true" outlineLevel="0" collapsed="false">
      <c r="A2583" s="5" t="s">
        <v>4861</v>
      </c>
      <c r="B2583" s="5" t="s">
        <v>1851</v>
      </c>
      <c r="C2583" s="5" t="s">
        <v>2245</v>
      </c>
      <c r="D2583" s="5" t="s">
        <v>2320</v>
      </c>
      <c r="E2583" s="5" t="s">
        <v>2225</v>
      </c>
      <c r="F2583" s="5" t="s">
        <v>54</v>
      </c>
      <c r="G2583" s="5" t="str">
        <f aca="false">INDEX(Risk_Matrix!$B$2:$D$4,MATCH(E2583,Risk_Matrix!$A$2:$A$4,0),MATCH(F2583,Risk_Matrix!$B$1:$D$1,0))</f>
        <v>High</v>
      </c>
      <c r="H2583" s="12" t="n">
        <v>46086</v>
      </c>
      <c r="I2583" s="5" t="s">
        <v>2264</v>
      </c>
      <c r="J2583" s="5" t="s">
        <v>4087</v>
      </c>
      <c r="K2583" s="5" t="s">
        <v>2252</v>
      </c>
      <c r="L2583" s="5" t="n">
        <f aca="false">IF(G2583="High",3,IF(G2583="Medium",2,1))</f>
        <v>3</v>
      </c>
    </row>
    <row r="2584" customFormat="false" ht="15" hidden="false" customHeight="true" outlineLevel="0" collapsed="false">
      <c r="A2584" s="5" t="s">
        <v>4862</v>
      </c>
      <c r="B2584" s="5" t="s">
        <v>1851</v>
      </c>
      <c r="C2584" s="5" t="s">
        <v>2248</v>
      </c>
      <c r="D2584" s="5" t="s">
        <v>2306</v>
      </c>
      <c r="E2584" s="5" t="s">
        <v>54</v>
      </c>
      <c r="F2584" s="5" t="s">
        <v>2225</v>
      </c>
      <c r="G2584" s="5" t="str">
        <f aca="false">INDEX(Risk_Matrix!$B$2:$D$4,MATCH(E2584,Risk_Matrix!$A$2:$A$4,0),MATCH(F2584,Risk_Matrix!$B$1:$D$1,0))</f>
        <v>High</v>
      </c>
      <c r="H2584" s="12" t="n">
        <v>46180</v>
      </c>
      <c r="I2584" s="5" t="s">
        <v>2256</v>
      </c>
      <c r="J2584" s="5" t="s">
        <v>4081</v>
      </c>
      <c r="K2584" s="5" t="s">
        <v>2276</v>
      </c>
      <c r="L2584" s="5" t="n">
        <f aca="false">IF(G2584="High",3,IF(G2584="Medium",2,1))</f>
        <v>3</v>
      </c>
    </row>
    <row r="2585" customFormat="false" ht="15" hidden="false" customHeight="true" outlineLevel="0" collapsed="false">
      <c r="A2585" s="5" t="s">
        <v>4863</v>
      </c>
      <c r="B2585" s="5" t="s">
        <v>1851</v>
      </c>
      <c r="C2585" s="5" t="s">
        <v>2262</v>
      </c>
      <c r="D2585" s="5" t="s">
        <v>2287</v>
      </c>
      <c r="E2585" s="5" t="s">
        <v>54</v>
      </c>
      <c r="F2585" s="5" t="s">
        <v>2225</v>
      </c>
      <c r="G2585" s="5" t="str">
        <f aca="false">INDEX(Risk_Matrix!$B$2:$D$4,MATCH(E2585,Risk_Matrix!$A$2:$A$4,0),MATCH(F2585,Risk_Matrix!$B$1:$D$1,0))</f>
        <v>High</v>
      </c>
      <c r="H2585" s="12" t="n">
        <v>46083</v>
      </c>
      <c r="I2585" s="5" t="s">
        <v>2250</v>
      </c>
      <c r="J2585" s="5" t="s">
        <v>2251</v>
      </c>
      <c r="K2585" s="5" t="s">
        <v>2266</v>
      </c>
      <c r="L2585" s="5" t="n">
        <f aca="false">IF(G2585="High",3,IF(G2585="Medium",2,1))</f>
        <v>3</v>
      </c>
    </row>
    <row r="2586" customFormat="false" ht="15" hidden="false" customHeight="true" outlineLevel="0" collapsed="false">
      <c r="A2586" s="5" t="s">
        <v>4864</v>
      </c>
      <c r="B2586" s="5" t="s">
        <v>1851</v>
      </c>
      <c r="C2586" s="5" t="s">
        <v>2259</v>
      </c>
      <c r="D2586" s="5" t="s">
        <v>2260</v>
      </c>
      <c r="E2586" s="5" t="s">
        <v>2225</v>
      </c>
      <c r="F2586" s="5" t="s">
        <v>2225</v>
      </c>
      <c r="G2586" s="5" t="str">
        <f aca="false">INDEX(Risk_Matrix!$B$2:$D$4,MATCH(E2586,Risk_Matrix!$A$2:$A$4,0),MATCH(F2586,Risk_Matrix!$B$1:$D$1,0))</f>
        <v>Medium</v>
      </c>
      <c r="H2586" s="12" t="n">
        <v>46090</v>
      </c>
      <c r="I2586" s="5" t="s">
        <v>2256</v>
      </c>
      <c r="J2586" s="5" t="s">
        <v>4081</v>
      </c>
      <c r="K2586" s="5" t="s">
        <v>2252</v>
      </c>
      <c r="L2586" s="5" t="n">
        <f aca="false">IF(G2586="High",3,IF(G2586="Medium",2,1))</f>
        <v>2</v>
      </c>
    </row>
    <row r="2587" customFormat="false" ht="15" hidden="false" customHeight="true" outlineLevel="0" collapsed="false">
      <c r="A2587" s="5" t="s">
        <v>4865</v>
      </c>
      <c r="B2587" s="5" t="s">
        <v>1851</v>
      </c>
      <c r="C2587" s="5" t="s">
        <v>2254</v>
      </c>
      <c r="D2587" s="5" t="s">
        <v>2299</v>
      </c>
      <c r="E2587" s="5" t="s">
        <v>2225</v>
      </c>
      <c r="F2587" s="5" t="s">
        <v>59</v>
      </c>
      <c r="G2587" s="5" t="str">
        <f aca="false">INDEX(Risk_Matrix!$B$2:$D$4,MATCH(E2587,Risk_Matrix!$A$2:$A$4,0),MATCH(F2587,Risk_Matrix!$B$1:$D$1,0))</f>
        <v>Low</v>
      </c>
      <c r="H2587" s="12" t="n">
        <v>46108</v>
      </c>
      <c r="I2587" s="5" t="s">
        <v>2264</v>
      </c>
      <c r="J2587" s="5" t="s">
        <v>4087</v>
      </c>
      <c r="K2587" s="5" t="s">
        <v>2276</v>
      </c>
      <c r="L2587" s="5" t="n">
        <f aca="false">IF(G2587="High",3,IF(G2587="Medium",2,1))</f>
        <v>1</v>
      </c>
    </row>
    <row r="2588" customFormat="false" ht="15" hidden="false" customHeight="true" outlineLevel="0" collapsed="false">
      <c r="A2588" s="5" t="s">
        <v>4866</v>
      </c>
      <c r="B2588" s="5" t="s">
        <v>1854</v>
      </c>
      <c r="C2588" s="5" t="s">
        <v>2239</v>
      </c>
      <c r="D2588" s="5" t="s">
        <v>2240</v>
      </c>
      <c r="E2588" s="5" t="s">
        <v>2225</v>
      </c>
      <c r="F2588" s="5" t="s">
        <v>54</v>
      </c>
      <c r="G2588" s="5" t="str">
        <f aca="false">INDEX(Risk_Matrix!$B$2:$D$4,MATCH(E2588,Risk_Matrix!$A$2:$A$4,0),MATCH(F2588,Risk_Matrix!$B$1:$D$1,0))</f>
        <v>High</v>
      </c>
      <c r="H2588" s="12" t="n">
        <v>46225</v>
      </c>
      <c r="I2588" s="5" t="s">
        <v>2256</v>
      </c>
      <c r="J2588" s="5" t="s">
        <v>4081</v>
      </c>
      <c r="K2588" s="5" t="s">
        <v>2243</v>
      </c>
      <c r="L2588" s="5" t="n">
        <f aca="false">IF(G2588="High",3,IF(G2588="Medium",2,1))</f>
        <v>3</v>
      </c>
    </row>
    <row r="2589" customFormat="false" ht="15" hidden="false" customHeight="true" outlineLevel="0" collapsed="false">
      <c r="A2589" s="5" t="s">
        <v>4867</v>
      </c>
      <c r="B2589" s="5" t="s">
        <v>1854</v>
      </c>
      <c r="C2589" s="5" t="s">
        <v>2245</v>
      </c>
      <c r="D2589" s="5" t="s">
        <v>2269</v>
      </c>
      <c r="E2589" s="5" t="s">
        <v>2225</v>
      </c>
      <c r="F2589" s="5" t="s">
        <v>54</v>
      </c>
      <c r="G2589" s="5" t="str">
        <f aca="false">INDEX(Risk_Matrix!$B$2:$D$4,MATCH(E2589,Risk_Matrix!$A$2:$A$4,0),MATCH(F2589,Risk_Matrix!$B$1:$D$1,0))</f>
        <v>High</v>
      </c>
      <c r="H2589" s="12" t="n">
        <v>46034</v>
      </c>
      <c r="I2589" s="5" t="s">
        <v>2256</v>
      </c>
      <c r="J2589" s="5" t="s">
        <v>4081</v>
      </c>
      <c r="K2589" s="5" t="s">
        <v>2243</v>
      </c>
      <c r="L2589" s="5" t="n">
        <f aca="false">IF(G2589="High",3,IF(G2589="Medium",2,1))</f>
        <v>3</v>
      </c>
    </row>
    <row r="2590" customFormat="false" ht="15" hidden="false" customHeight="true" outlineLevel="0" collapsed="false">
      <c r="A2590" s="5" t="s">
        <v>4868</v>
      </c>
      <c r="B2590" s="5" t="s">
        <v>1854</v>
      </c>
      <c r="C2590" s="5" t="s">
        <v>2248</v>
      </c>
      <c r="D2590" s="5" t="s">
        <v>2306</v>
      </c>
      <c r="E2590" s="5" t="s">
        <v>2225</v>
      </c>
      <c r="F2590" s="5" t="s">
        <v>54</v>
      </c>
      <c r="G2590" s="5" t="str">
        <f aca="false">INDEX(Risk_Matrix!$B$2:$D$4,MATCH(E2590,Risk_Matrix!$A$2:$A$4,0),MATCH(F2590,Risk_Matrix!$B$1:$D$1,0))</f>
        <v>High</v>
      </c>
      <c r="H2590" s="12" t="n">
        <v>46042</v>
      </c>
      <c r="I2590" s="5" t="s">
        <v>2264</v>
      </c>
      <c r="J2590" s="5" t="s">
        <v>4087</v>
      </c>
      <c r="K2590" s="5" t="s">
        <v>2276</v>
      </c>
      <c r="L2590" s="5" t="n">
        <f aca="false">IF(G2590="High",3,IF(G2590="Medium",2,1))</f>
        <v>3</v>
      </c>
    </row>
    <row r="2591" customFormat="false" ht="15" hidden="false" customHeight="true" outlineLevel="0" collapsed="false">
      <c r="A2591" s="5" t="s">
        <v>4869</v>
      </c>
      <c r="B2591" s="5" t="s">
        <v>1854</v>
      </c>
      <c r="C2591" s="5" t="s">
        <v>2262</v>
      </c>
      <c r="D2591" s="5" t="s">
        <v>2263</v>
      </c>
      <c r="E2591" s="5" t="s">
        <v>2225</v>
      </c>
      <c r="F2591" s="5" t="s">
        <v>2225</v>
      </c>
      <c r="G2591" s="5" t="str">
        <f aca="false">INDEX(Risk_Matrix!$B$2:$D$4,MATCH(E2591,Risk_Matrix!$A$2:$A$4,0),MATCH(F2591,Risk_Matrix!$B$1:$D$1,0))</f>
        <v>Medium</v>
      </c>
      <c r="H2591" s="12" t="n">
        <v>46127</v>
      </c>
      <c r="I2591" s="5" t="s">
        <v>2250</v>
      </c>
      <c r="J2591" s="5" t="s">
        <v>2251</v>
      </c>
      <c r="K2591" s="5" t="s">
        <v>2276</v>
      </c>
      <c r="L2591" s="5" t="n">
        <f aca="false">IF(G2591="High",3,IF(G2591="Medium",2,1))</f>
        <v>2</v>
      </c>
    </row>
    <row r="2592" customFormat="false" ht="15" hidden="false" customHeight="true" outlineLevel="0" collapsed="false">
      <c r="A2592" s="5" t="s">
        <v>4870</v>
      </c>
      <c r="B2592" s="5" t="s">
        <v>1854</v>
      </c>
      <c r="C2592" s="5" t="s">
        <v>2259</v>
      </c>
      <c r="D2592" s="5" t="s">
        <v>2274</v>
      </c>
      <c r="E2592" s="5" t="s">
        <v>2225</v>
      </c>
      <c r="F2592" s="5" t="s">
        <v>2225</v>
      </c>
      <c r="G2592" s="5" t="str">
        <f aca="false">INDEX(Risk_Matrix!$B$2:$D$4,MATCH(E2592,Risk_Matrix!$A$2:$A$4,0),MATCH(F2592,Risk_Matrix!$B$1:$D$1,0))</f>
        <v>Medium</v>
      </c>
      <c r="H2592" s="12" t="n">
        <v>46095</v>
      </c>
      <c r="I2592" s="5" t="s">
        <v>2250</v>
      </c>
      <c r="J2592" s="5" t="s">
        <v>2251</v>
      </c>
      <c r="K2592" s="5" t="s">
        <v>2266</v>
      </c>
      <c r="L2592" s="5" t="n">
        <f aca="false">IF(G2592="High",3,IF(G2592="Medium",2,1))</f>
        <v>2</v>
      </c>
    </row>
    <row r="2593" customFormat="false" ht="15" hidden="false" customHeight="true" outlineLevel="0" collapsed="false">
      <c r="A2593" s="5" t="s">
        <v>4871</v>
      </c>
      <c r="B2593" s="5" t="s">
        <v>1854</v>
      </c>
      <c r="C2593" s="5" t="s">
        <v>2254</v>
      </c>
      <c r="D2593" s="5" t="s">
        <v>2255</v>
      </c>
      <c r="E2593" s="5" t="s">
        <v>54</v>
      </c>
      <c r="F2593" s="5" t="s">
        <v>59</v>
      </c>
      <c r="G2593" s="5" t="str">
        <f aca="false">INDEX(Risk_Matrix!$B$2:$D$4,MATCH(E2593,Risk_Matrix!$A$2:$A$4,0),MATCH(F2593,Risk_Matrix!$B$1:$D$1,0))</f>
        <v>Medium</v>
      </c>
      <c r="H2593" s="12" t="n">
        <v>46105</v>
      </c>
      <c r="I2593" s="5" t="s">
        <v>2250</v>
      </c>
      <c r="J2593" s="5" t="s">
        <v>2251</v>
      </c>
      <c r="K2593" s="5" t="s">
        <v>2266</v>
      </c>
      <c r="L2593" s="5" t="n">
        <f aca="false">IF(G2593="High",3,IF(G2593="Medium",2,1))</f>
        <v>2</v>
      </c>
    </row>
    <row r="2594" customFormat="false" ht="15" hidden="false" customHeight="true" outlineLevel="0" collapsed="false">
      <c r="A2594" s="5" t="s">
        <v>4872</v>
      </c>
      <c r="B2594" s="5" t="s">
        <v>1856</v>
      </c>
      <c r="C2594" s="5" t="s">
        <v>2239</v>
      </c>
      <c r="D2594" s="5" t="s">
        <v>2303</v>
      </c>
      <c r="E2594" s="5" t="s">
        <v>2225</v>
      </c>
      <c r="F2594" s="5" t="s">
        <v>59</v>
      </c>
      <c r="G2594" s="5" t="str">
        <f aca="false">INDEX(Risk_Matrix!$B$2:$D$4,MATCH(E2594,Risk_Matrix!$A$2:$A$4,0),MATCH(F2594,Risk_Matrix!$B$1:$D$1,0))</f>
        <v>Low</v>
      </c>
      <c r="H2594" s="12" t="n">
        <v>46079</v>
      </c>
      <c r="I2594" s="5" t="s">
        <v>2264</v>
      </c>
      <c r="J2594" s="5" t="s">
        <v>4087</v>
      </c>
      <c r="K2594" s="5" t="s">
        <v>2283</v>
      </c>
      <c r="L2594" s="5" t="n">
        <f aca="false">IF(G2594="High",3,IF(G2594="Medium",2,1))</f>
        <v>1</v>
      </c>
    </row>
    <row r="2595" customFormat="false" ht="15" hidden="false" customHeight="true" outlineLevel="0" collapsed="false">
      <c r="A2595" s="5" t="s">
        <v>4873</v>
      </c>
      <c r="B2595" s="5" t="s">
        <v>1856</v>
      </c>
      <c r="C2595" s="5" t="s">
        <v>2245</v>
      </c>
      <c r="D2595" s="5" t="s">
        <v>2280</v>
      </c>
      <c r="E2595" s="5" t="s">
        <v>54</v>
      </c>
      <c r="F2595" s="5" t="s">
        <v>54</v>
      </c>
      <c r="G2595" s="5" t="str">
        <f aca="false">INDEX(Risk_Matrix!$B$2:$D$4,MATCH(E2595,Risk_Matrix!$A$2:$A$4,0),MATCH(F2595,Risk_Matrix!$B$1:$D$1,0))</f>
        <v>High</v>
      </c>
      <c r="H2595" s="12" t="n">
        <v>46181</v>
      </c>
      <c r="I2595" s="5" t="s">
        <v>2250</v>
      </c>
      <c r="J2595" s="5" t="s">
        <v>2251</v>
      </c>
      <c r="K2595" s="5" t="s">
        <v>2243</v>
      </c>
      <c r="L2595" s="5" t="n">
        <f aca="false">IF(G2595="High",3,IF(G2595="Medium",2,1))</f>
        <v>3</v>
      </c>
    </row>
    <row r="2596" customFormat="false" ht="15" hidden="false" customHeight="true" outlineLevel="0" collapsed="false">
      <c r="A2596" s="5" t="s">
        <v>4874</v>
      </c>
      <c r="B2596" s="5" t="s">
        <v>1856</v>
      </c>
      <c r="C2596" s="5" t="s">
        <v>2248</v>
      </c>
      <c r="D2596" s="5" t="s">
        <v>2271</v>
      </c>
      <c r="E2596" s="5" t="s">
        <v>54</v>
      </c>
      <c r="F2596" s="5" t="s">
        <v>59</v>
      </c>
      <c r="G2596" s="5" t="str">
        <f aca="false">INDEX(Risk_Matrix!$B$2:$D$4,MATCH(E2596,Risk_Matrix!$A$2:$A$4,0),MATCH(F2596,Risk_Matrix!$B$1:$D$1,0))</f>
        <v>Medium</v>
      </c>
      <c r="H2596" s="12" t="n">
        <v>46226</v>
      </c>
      <c r="I2596" s="5" t="s">
        <v>2256</v>
      </c>
      <c r="J2596" s="5" t="s">
        <v>4081</v>
      </c>
      <c r="K2596" s="5" t="s">
        <v>2266</v>
      </c>
      <c r="L2596" s="5" t="n">
        <f aca="false">IF(G2596="High",3,IF(G2596="Medium",2,1))</f>
        <v>2</v>
      </c>
    </row>
    <row r="2597" customFormat="false" ht="15" hidden="false" customHeight="true" outlineLevel="0" collapsed="false">
      <c r="A2597" s="5" t="s">
        <v>4875</v>
      </c>
      <c r="B2597" s="5" t="s">
        <v>1856</v>
      </c>
      <c r="C2597" s="5" t="s">
        <v>2262</v>
      </c>
      <c r="D2597" s="5" t="s">
        <v>2263</v>
      </c>
      <c r="E2597" s="5" t="s">
        <v>2225</v>
      </c>
      <c r="F2597" s="5" t="s">
        <v>2225</v>
      </c>
      <c r="G2597" s="5" t="str">
        <f aca="false">INDEX(Risk_Matrix!$B$2:$D$4,MATCH(E2597,Risk_Matrix!$A$2:$A$4,0),MATCH(F2597,Risk_Matrix!$B$1:$D$1,0))</f>
        <v>Medium</v>
      </c>
      <c r="H2597" s="12" t="n">
        <v>46159</v>
      </c>
      <c r="I2597" s="5" t="s">
        <v>2241</v>
      </c>
      <c r="J2597" s="5" t="s">
        <v>2242</v>
      </c>
      <c r="K2597" s="5" t="s">
        <v>2266</v>
      </c>
      <c r="L2597" s="5" t="n">
        <f aca="false">IF(G2597="High",3,IF(G2597="Medium",2,1))</f>
        <v>2</v>
      </c>
    </row>
    <row r="2598" customFormat="false" ht="15" hidden="false" customHeight="true" outlineLevel="0" collapsed="false">
      <c r="A2598" s="5" t="s">
        <v>4876</v>
      </c>
      <c r="B2598" s="5" t="s">
        <v>1856</v>
      </c>
      <c r="C2598" s="5" t="s">
        <v>2259</v>
      </c>
      <c r="D2598" s="5" t="s">
        <v>2260</v>
      </c>
      <c r="E2598" s="5" t="s">
        <v>2225</v>
      </c>
      <c r="F2598" s="5" t="s">
        <v>54</v>
      </c>
      <c r="G2598" s="5" t="str">
        <f aca="false">INDEX(Risk_Matrix!$B$2:$D$4,MATCH(E2598,Risk_Matrix!$A$2:$A$4,0),MATCH(F2598,Risk_Matrix!$B$1:$D$1,0))</f>
        <v>High</v>
      </c>
      <c r="H2598" s="12" t="n">
        <v>46164</v>
      </c>
      <c r="I2598" s="5" t="s">
        <v>2264</v>
      </c>
      <c r="J2598" s="5" t="s">
        <v>4087</v>
      </c>
      <c r="K2598" s="5" t="s">
        <v>2243</v>
      </c>
      <c r="L2598" s="5" t="n">
        <f aca="false">IF(G2598="High",3,IF(G2598="Medium",2,1))</f>
        <v>3</v>
      </c>
    </row>
    <row r="2599" customFormat="false" ht="15" hidden="false" customHeight="true" outlineLevel="0" collapsed="false">
      <c r="A2599" s="5" t="s">
        <v>4877</v>
      </c>
      <c r="B2599" s="5" t="s">
        <v>1856</v>
      </c>
      <c r="C2599" s="5" t="s">
        <v>2254</v>
      </c>
      <c r="D2599" s="5" t="s">
        <v>2255</v>
      </c>
      <c r="E2599" s="5" t="s">
        <v>54</v>
      </c>
      <c r="F2599" s="5" t="s">
        <v>59</v>
      </c>
      <c r="G2599" s="5" t="str">
        <f aca="false">INDEX(Risk_Matrix!$B$2:$D$4,MATCH(E2599,Risk_Matrix!$A$2:$A$4,0),MATCH(F2599,Risk_Matrix!$B$1:$D$1,0))</f>
        <v>Medium</v>
      </c>
      <c r="H2599" s="12" t="n">
        <v>46122</v>
      </c>
      <c r="I2599" s="5" t="s">
        <v>2250</v>
      </c>
      <c r="J2599" s="5" t="s">
        <v>2251</v>
      </c>
      <c r="K2599" s="5" t="s">
        <v>2243</v>
      </c>
      <c r="L2599" s="5" t="n">
        <f aca="false">IF(G2599="High",3,IF(G2599="Medium",2,1))</f>
        <v>2</v>
      </c>
    </row>
    <row r="2600" customFormat="false" ht="15" hidden="false" customHeight="true" outlineLevel="0" collapsed="false">
      <c r="A2600" s="5" t="s">
        <v>4878</v>
      </c>
      <c r="B2600" s="5" t="s">
        <v>1858</v>
      </c>
      <c r="C2600" s="5" t="s">
        <v>2239</v>
      </c>
      <c r="D2600" s="5" t="s">
        <v>2295</v>
      </c>
      <c r="E2600" s="5" t="s">
        <v>2225</v>
      </c>
      <c r="F2600" s="5" t="s">
        <v>59</v>
      </c>
      <c r="G2600" s="5" t="str">
        <f aca="false">INDEX(Risk_Matrix!$B$2:$D$4,MATCH(E2600,Risk_Matrix!$A$2:$A$4,0),MATCH(F2600,Risk_Matrix!$B$1:$D$1,0))</f>
        <v>Low</v>
      </c>
      <c r="H2600" s="12" t="n">
        <v>46036</v>
      </c>
      <c r="I2600" s="5" t="s">
        <v>2264</v>
      </c>
      <c r="J2600" s="5" t="s">
        <v>4087</v>
      </c>
      <c r="K2600" s="5" t="s">
        <v>2266</v>
      </c>
      <c r="L2600" s="5" t="n">
        <f aca="false">IF(G2600="High",3,IF(G2600="Medium",2,1))</f>
        <v>1</v>
      </c>
    </row>
    <row r="2601" customFormat="false" ht="15" hidden="false" customHeight="true" outlineLevel="0" collapsed="false">
      <c r="A2601" s="5" t="s">
        <v>4879</v>
      </c>
      <c r="B2601" s="5" t="s">
        <v>1858</v>
      </c>
      <c r="C2601" s="5" t="s">
        <v>2245</v>
      </c>
      <c r="D2601" s="5" t="s">
        <v>2280</v>
      </c>
      <c r="E2601" s="5" t="s">
        <v>54</v>
      </c>
      <c r="F2601" s="5" t="s">
        <v>59</v>
      </c>
      <c r="G2601" s="5" t="str">
        <f aca="false">INDEX(Risk_Matrix!$B$2:$D$4,MATCH(E2601,Risk_Matrix!$A$2:$A$4,0),MATCH(F2601,Risk_Matrix!$B$1:$D$1,0))</f>
        <v>Medium</v>
      </c>
      <c r="H2601" s="12" t="n">
        <v>46037</v>
      </c>
      <c r="I2601" s="5" t="s">
        <v>2256</v>
      </c>
      <c r="J2601" s="5" t="s">
        <v>4081</v>
      </c>
      <c r="K2601" s="5" t="s">
        <v>2276</v>
      </c>
      <c r="L2601" s="5" t="n">
        <f aca="false">IF(G2601="High",3,IF(G2601="Medium",2,1))</f>
        <v>2</v>
      </c>
    </row>
    <row r="2602" customFormat="false" ht="15" hidden="false" customHeight="true" outlineLevel="0" collapsed="false">
      <c r="A2602" s="5" t="s">
        <v>4880</v>
      </c>
      <c r="B2602" s="5" t="s">
        <v>1858</v>
      </c>
      <c r="C2602" s="5" t="s">
        <v>2248</v>
      </c>
      <c r="D2602" s="5" t="s">
        <v>2322</v>
      </c>
      <c r="E2602" s="5" t="s">
        <v>2225</v>
      </c>
      <c r="F2602" s="5" t="s">
        <v>2225</v>
      </c>
      <c r="G2602" s="5" t="str">
        <f aca="false">INDEX(Risk_Matrix!$B$2:$D$4,MATCH(E2602,Risk_Matrix!$A$2:$A$4,0),MATCH(F2602,Risk_Matrix!$B$1:$D$1,0))</f>
        <v>Medium</v>
      </c>
      <c r="H2602" s="12" t="n">
        <v>46188</v>
      </c>
      <c r="I2602" s="5" t="s">
        <v>2241</v>
      </c>
      <c r="J2602" s="5" t="s">
        <v>2242</v>
      </c>
      <c r="K2602" s="5" t="s">
        <v>2243</v>
      </c>
      <c r="L2602" s="5" t="n">
        <f aca="false">IF(G2602="High",3,IF(G2602="Medium",2,1))</f>
        <v>2</v>
      </c>
    </row>
    <row r="2603" customFormat="false" ht="15" hidden="false" customHeight="true" outlineLevel="0" collapsed="false">
      <c r="A2603" s="5" t="s">
        <v>4881</v>
      </c>
      <c r="B2603" s="5" t="s">
        <v>1858</v>
      </c>
      <c r="C2603" s="5" t="s">
        <v>2262</v>
      </c>
      <c r="D2603" s="5" t="s">
        <v>2263</v>
      </c>
      <c r="E2603" s="5" t="s">
        <v>59</v>
      </c>
      <c r="F2603" s="5" t="s">
        <v>59</v>
      </c>
      <c r="G2603" s="5" t="str">
        <f aca="false">INDEX(Risk_Matrix!$B$2:$D$4,MATCH(E2603,Risk_Matrix!$A$2:$A$4,0),MATCH(F2603,Risk_Matrix!$B$1:$D$1,0))</f>
        <v>Low</v>
      </c>
      <c r="H2603" s="12" t="n">
        <v>46235</v>
      </c>
      <c r="I2603" s="5" t="s">
        <v>2250</v>
      </c>
      <c r="J2603" s="5" t="s">
        <v>2251</v>
      </c>
      <c r="K2603" s="5" t="s">
        <v>2266</v>
      </c>
      <c r="L2603" s="5" t="n">
        <f aca="false">IF(G2603="High",3,IF(G2603="Medium",2,1))</f>
        <v>1</v>
      </c>
    </row>
    <row r="2604" customFormat="false" ht="15" hidden="false" customHeight="true" outlineLevel="0" collapsed="false">
      <c r="A2604" s="5" t="s">
        <v>4882</v>
      </c>
      <c r="B2604" s="5" t="s">
        <v>1858</v>
      </c>
      <c r="C2604" s="5" t="s">
        <v>2259</v>
      </c>
      <c r="D2604" s="5" t="s">
        <v>2274</v>
      </c>
      <c r="E2604" s="5" t="s">
        <v>54</v>
      </c>
      <c r="F2604" s="5" t="s">
        <v>2225</v>
      </c>
      <c r="G2604" s="5" t="str">
        <f aca="false">INDEX(Risk_Matrix!$B$2:$D$4,MATCH(E2604,Risk_Matrix!$A$2:$A$4,0),MATCH(F2604,Risk_Matrix!$B$1:$D$1,0))</f>
        <v>High</v>
      </c>
      <c r="H2604" s="12" t="n">
        <v>46048</v>
      </c>
      <c r="I2604" s="5" t="s">
        <v>2264</v>
      </c>
      <c r="J2604" s="5" t="s">
        <v>4087</v>
      </c>
      <c r="K2604" s="5" t="s">
        <v>2252</v>
      </c>
      <c r="L2604" s="5" t="n">
        <f aca="false">IF(G2604="High",3,IF(G2604="Medium",2,1))</f>
        <v>3</v>
      </c>
    </row>
    <row r="2605" customFormat="false" ht="15" hidden="false" customHeight="true" outlineLevel="0" collapsed="false">
      <c r="A2605" s="5" t="s">
        <v>4883</v>
      </c>
      <c r="B2605" s="5" t="s">
        <v>1858</v>
      </c>
      <c r="C2605" s="5" t="s">
        <v>2254</v>
      </c>
      <c r="D2605" s="5" t="s">
        <v>2308</v>
      </c>
      <c r="E2605" s="5" t="s">
        <v>59</v>
      </c>
      <c r="F2605" s="5" t="s">
        <v>54</v>
      </c>
      <c r="G2605" s="5" t="str">
        <f aca="false">INDEX(Risk_Matrix!$B$2:$D$4,MATCH(E2605,Risk_Matrix!$A$2:$A$4,0),MATCH(F2605,Risk_Matrix!$B$1:$D$1,0))</f>
        <v>Medium</v>
      </c>
      <c r="H2605" s="12" t="n">
        <v>46030</v>
      </c>
      <c r="I2605" s="5" t="s">
        <v>2256</v>
      </c>
      <c r="J2605" s="5" t="s">
        <v>4081</v>
      </c>
      <c r="K2605" s="5" t="s">
        <v>2266</v>
      </c>
      <c r="L2605" s="5" t="n">
        <f aca="false">IF(G2605="High",3,IF(G2605="Medium",2,1))</f>
        <v>2</v>
      </c>
    </row>
    <row r="2606" customFormat="false" ht="15" hidden="false" customHeight="true" outlineLevel="0" collapsed="false">
      <c r="A2606" s="5" t="s">
        <v>4884</v>
      </c>
      <c r="B2606" s="5" t="s">
        <v>1860</v>
      </c>
      <c r="C2606" s="5" t="s">
        <v>2239</v>
      </c>
      <c r="D2606" s="5" t="s">
        <v>2278</v>
      </c>
      <c r="E2606" s="5" t="s">
        <v>59</v>
      </c>
      <c r="F2606" s="5" t="s">
        <v>54</v>
      </c>
      <c r="G2606" s="5" t="str">
        <f aca="false">INDEX(Risk_Matrix!$B$2:$D$4,MATCH(E2606,Risk_Matrix!$A$2:$A$4,0),MATCH(F2606,Risk_Matrix!$B$1:$D$1,0))</f>
        <v>Medium</v>
      </c>
      <c r="H2606" s="12" t="n">
        <v>46182</v>
      </c>
      <c r="I2606" s="5" t="s">
        <v>2256</v>
      </c>
      <c r="J2606" s="5" t="s">
        <v>4081</v>
      </c>
      <c r="K2606" s="5" t="s">
        <v>2243</v>
      </c>
      <c r="L2606" s="5" t="n">
        <f aca="false">IF(G2606="High",3,IF(G2606="Medium",2,1))</f>
        <v>2</v>
      </c>
    </row>
    <row r="2607" customFormat="false" ht="15" hidden="false" customHeight="true" outlineLevel="0" collapsed="false">
      <c r="A2607" s="5" t="s">
        <v>4885</v>
      </c>
      <c r="B2607" s="5" t="s">
        <v>1860</v>
      </c>
      <c r="C2607" s="5" t="s">
        <v>2245</v>
      </c>
      <c r="D2607" s="5" t="s">
        <v>2320</v>
      </c>
      <c r="E2607" s="5" t="s">
        <v>2225</v>
      </c>
      <c r="F2607" s="5" t="s">
        <v>2225</v>
      </c>
      <c r="G2607" s="5" t="str">
        <f aca="false">INDEX(Risk_Matrix!$B$2:$D$4,MATCH(E2607,Risk_Matrix!$A$2:$A$4,0),MATCH(F2607,Risk_Matrix!$B$1:$D$1,0))</f>
        <v>Medium</v>
      </c>
      <c r="H2607" s="12" t="n">
        <v>46097</v>
      </c>
      <c r="I2607" s="5" t="s">
        <v>2241</v>
      </c>
      <c r="J2607" s="5" t="s">
        <v>2242</v>
      </c>
      <c r="K2607" s="5" t="s">
        <v>2252</v>
      </c>
      <c r="L2607" s="5" t="n">
        <f aca="false">IF(G2607="High",3,IF(G2607="Medium",2,1))</f>
        <v>2</v>
      </c>
    </row>
    <row r="2608" customFormat="false" ht="15" hidden="false" customHeight="true" outlineLevel="0" collapsed="false">
      <c r="A2608" s="5" t="s">
        <v>4886</v>
      </c>
      <c r="B2608" s="5" t="s">
        <v>1860</v>
      </c>
      <c r="C2608" s="5" t="s">
        <v>2248</v>
      </c>
      <c r="D2608" s="5" t="s">
        <v>2249</v>
      </c>
      <c r="E2608" s="5" t="s">
        <v>59</v>
      </c>
      <c r="F2608" s="5" t="s">
        <v>59</v>
      </c>
      <c r="G2608" s="5" t="str">
        <f aca="false">INDEX(Risk_Matrix!$B$2:$D$4,MATCH(E2608,Risk_Matrix!$A$2:$A$4,0),MATCH(F2608,Risk_Matrix!$B$1:$D$1,0))</f>
        <v>Low</v>
      </c>
      <c r="H2608" s="12" t="n">
        <v>46147</v>
      </c>
      <c r="I2608" s="5" t="s">
        <v>2250</v>
      </c>
      <c r="J2608" s="5" t="s">
        <v>2251</v>
      </c>
      <c r="K2608" s="5" t="s">
        <v>2283</v>
      </c>
      <c r="L2608" s="5" t="n">
        <f aca="false">IF(G2608="High",3,IF(G2608="Medium",2,1))</f>
        <v>1</v>
      </c>
    </row>
    <row r="2609" customFormat="false" ht="15" hidden="false" customHeight="true" outlineLevel="0" collapsed="false">
      <c r="A2609" s="5" t="s">
        <v>4887</v>
      </c>
      <c r="B2609" s="5" t="s">
        <v>1860</v>
      </c>
      <c r="C2609" s="5" t="s">
        <v>2262</v>
      </c>
      <c r="D2609" s="5" t="s">
        <v>2287</v>
      </c>
      <c r="E2609" s="5" t="s">
        <v>2225</v>
      </c>
      <c r="F2609" s="5" t="s">
        <v>2225</v>
      </c>
      <c r="G2609" s="5" t="str">
        <f aca="false">INDEX(Risk_Matrix!$B$2:$D$4,MATCH(E2609,Risk_Matrix!$A$2:$A$4,0),MATCH(F2609,Risk_Matrix!$B$1:$D$1,0))</f>
        <v>Medium</v>
      </c>
      <c r="H2609" s="12" t="n">
        <v>46131</v>
      </c>
      <c r="I2609" s="5" t="s">
        <v>2241</v>
      </c>
      <c r="J2609" s="5" t="s">
        <v>2242</v>
      </c>
      <c r="K2609" s="5" t="s">
        <v>2243</v>
      </c>
      <c r="L2609" s="5" t="n">
        <f aca="false">IF(G2609="High",3,IF(G2609="Medium",2,1))</f>
        <v>2</v>
      </c>
    </row>
    <row r="2610" customFormat="false" ht="15" hidden="false" customHeight="true" outlineLevel="0" collapsed="false">
      <c r="A2610" s="5" t="s">
        <v>4888</v>
      </c>
      <c r="B2610" s="5" t="s">
        <v>1860</v>
      </c>
      <c r="C2610" s="5" t="s">
        <v>2259</v>
      </c>
      <c r="D2610" s="5" t="s">
        <v>2285</v>
      </c>
      <c r="E2610" s="5" t="s">
        <v>2225</v>
      </c>
      <c r="F2610" s="5" t="s">
        <v>2225</v>
      </c>
      <c r="G2610" s="5" t="str">
        <f aca="false">INDEX(Risk_Matrix!$B$2:$D$4,MATCH(E2610,Risk_Matrix!$A$2:$A$4,0),MATCH(F2610,Risk_Matrix!$B$1:$D$1,0))</f>
        <v>Medium</v>
      </c>
      <c r="H2610" s="12" t="n">
        <v>46156</v>
      </c>
      <c r="I2610" s="5" t="s">
        <v>2250</v>
      </c>
      <c r="J2610" s="5" t="s">
        <v>2251</v>
      </c>
      <c r="K2610" s="5" t="s">
        <v>2283</v>
      </c>
      <c r="L2610" s="5" t="n">
        <f aca="false">IF(G2610="High",3,IF(G2610="Medium",2,1))</f>
        <v>2</v>
      </c>
    </row>
    <row r="2611" customFormat="false" ht="15" hidden="false" customHeight="true" outlineLevel="0" collapsed="false">
      <c r="A2611" s="5" t="s">
        <v>4889</v>
      </c>
      <c r="B2611" s="5" t="s">
        <v>1860</v>
      </c>
      <c r="C2611" s="5" t="s">
        <v>2254</v>
      </c>
      <c r="D2611" s="5" t="s">
        <v>2308</v>
      </c>
      <c r="E2611" s="5" t="s">
        <v>2225</v>
      </c>
      <c r="F2611" s="5" t="s">
        <v>59</v>
      </c>
      <c r="G2611" s="5" t="str">
        <f aca="false">INDEX(Risk_Matrix!$B$2:$D$4,MATCH(E2611,Risk_Matrix!$A$2:$A$4,0),MATCH(F2611,Risk_Matrix!$B$1:$D$1,0))</f>
        <v>Low</v>
      </c>
      <c r="H2611" s="12" t="n">
        <v>46122</v>
      </c>
      <c r="I2611" s="5" t="s">
        <v>2256</v>
      </c>
      <c r="J2611" s="5" t="s">
        <v>4081</v>
      </c>
      <c r="K2611" s="5" t="s">
        <v>2276</v>
      </c>
      <c r="L2611" s="5" t="n">
        <f aca="false">IF(G2611="High",3,IF(G2611="Medium",2,1))</f>
        <v>1</v>
      </c>
    </row>
    <row r="2612" customFormat="false" ht="15" hidden="false" customHeight="true" outlineLevel="0" collapsed="false">
      <c r="A2612" s="5" t="s">
        <v>4890</v>
      </c>
      <c r="B2612" s="5" t="s">
        <v>1862</v>
      </c>
      <c r="C2612" s="5" t="s">
        <v>2239</v>
      </c>
      <c r="D2612" s="5" t="s">
        <v>2240</v>
      </c>
      <c r="E2612" s="5" t="s">
        <v>2225</v>
      </c>
      <c r="F2612" s="5" t="s">
        <v>59</v>
      </c>
      <c r="G2612" s="5" t="str">
        <f aca="false">INDEX(Risk_Matrix!$B$2:$D$4,MATCH(E2612,Risk_Matrix!$A$2:$A$4,0),MATCH(F2612,Risk_Matrix!$B$1:$D$1,0))</f>
        <v>Low</v>
      </c>
      <c r="H2612" s="12" t="n">
        <v>46224</v>
      </c>
      <c r="I2612" s="5" t="s">
        <v>2241</v>
      </c>
      <c r="J2612" s="5" t="s">
        <v>2242</v>
      </c>
      <c r="K2612" s="5" t="s">
        <v>2276</v>
      </c>
      <c r="L2612" s="5" t="n">
        <f aca="false">IF(G2612="High",3,IF(G2612="Medium",2,1))</f>
        <v>1</v>
      </c>
    </row>
    <row r="2613" customFormat="false" ht="15" hidden="false" customHeight="true" outlineLevel="0" collapsed="false">
      <c r="A2613" s="5" t="s">
        <v>4891</v>
      </c>
      <c r="B2613" s="5" t="s">
        <v>1862</v>
      </c>
      <c r="C2613" s="5" t="s">
        <v>2245</v>
      </c>
      <c r="D2613" s="5" t="s">
        <v>2246</v>
      </c>
      <c r="E2613" s="5" t="s">
        <v>2225</v>
      </c>
      <c r="F2613" s="5" t="s">
        <v>2225</v>
      </c>
      <c r="G2613" s="5" t="str">
        <f aca="false">INDEX(Risk_Matrix!$B$2:$D$4,MATCH(E2613,Risk_Matrix!$A$2:$A$4,0),MATCH(F2613,Risk_Matrix!$B$1:$D$1,0))</f>
        <v>Medium</v>
      </c>
      <c r="H2613" s="12" t="n">
        <v>46054</v>
      </c>
      <c r="I2613" s="5" t="s">
        <v>2256</v>
      </c>
      <c r="J2613" s="5" t="s">
        <v>4081</v>
      </c>
      <c r="K2613" s="5" t="s">
        <v>2283</v>
      </c>
      <c r="L2613" s="5" t="n">
        <f aca="false">IF(G2613="High",3,IF(G2613="Medium",2,1))</f>
        <v>2</v>
      </c>
    </row>
    <row r="2614" customFormat="false" ht="15" hidden="false" customHeight="true" outlineLevel="0" collapsed="false">
      <c r="A2614" s="5" t="s">
        <v>4892</v>
      </c>
      <c r="B2614" s="5" t="s">
        <v>1862</v>
      </c>
      <c r="C2614" s="5" t="s">
        <v>2248</v>
      </c>
      <c r="D2614" s="5" t="s">
        <v>2306</v>
      </c>
      <c r="E2614" s="5" t="s">
        <v>2225</v>
      </c>
      <c r="F2614" s="5" t="s">
        <v>59</v>
      </c>
      <c r="G2614" s="5" t="str">
        <f aca="false">INDEX(Risk_Matrix!$B$2:$D$4,MATCH(E2614,Risk_Matrix!$A$2:$A$4,0),MATCH(F2614,Risk_Matrix!$B$1:$D$1,0))</f>
        <v>Low</v>
      </c>
      <c r="H2614" s="12" t="n">
        <v>46170</v>
      </c>
      <c r="I2614" s="5" t="s">
        <v>2241</v>
      </c>
      <c r="J2614" s="5" t="s">
        <v>2242</v>
      </c>
      <c r="K2614" s="5" t="s">
        <v>2266</v>
      </c>
      <c r="L2614" s="5" t="n">
        <f aca="false">IF(G2614="High",3,IF(G2614="Medium",2,1))</f>
        <v>1</v>
      </c>
    </row>
    <row r="2615" customFormat="false" ht="15" hidden="false" customHeight="true" outlineLevel="0" collapsed="false">
      <c r="A2615" s="5" t="s">
        <v>4893</v>
      </c>
      <c r="B2615" s="5" t="s">
        <v>1862</v>
      </c>
      <c r="C2615" s="5" t="s">
        <v>2262</v>
      </c>
      <c r="D2615" s="5" t="s">
        <v>2311</v>
      </c>
      <c r="E2615" s="5" t="s">
        <v>59</v>
      </c>
      <c r="F2615" s="5" t="s">
        <v>2225</v>
      </c>
      <c r="G2615" s="5" t="str">
        <f aca="false">INDEX(Risk_Matrix!$B$2:$D$4,MATCH(E2615,Risk_Matrix!$A$2:$A$4,0),MATCH(F2615,Risk_Matrix!$B$1:$D$1,0))</f>
        <v>Low</v>
      </c>
      <c r="H2615" s="12" t="n">
        <v>46063</v>
      </c>
      <c r="I2615" s="5" t="s">
        <v>2264</v>
      </c>
      <c r="J2615" s="5" t="s">
        <v>4087</v>
      </c>
      <c r="K2615" s="5" t="s">
        <v>2266</v>
      </c>
      <c r="L2615" s="5" t="n">
        <f aca="false">IF(G2615="High",3,IF(G2615="Medium",2,1))</f>
        <v>1</v>
      </c>
    </row>
    <row r="2616" customFormat="false" ht="15" hidden="false" customHeight="true" outlineLevel="0" collapsed="false">
      <c r="A2616" s="5" t="s">
        <v>4894</v>
      </c>
      <c r="B2616" s="5" t="s">
        <v>1862</v>
      </c>
      <c r="C2616" s="5" t="s">
        <v>2259</v>
      </c>
      <c r="D2616" s="5" t="s">
        <v>2274</v>
      </c>
      <c r="E2616" s="5" t="s">
        <v>54</v>
      </c>
      <c r="F2616" s="5" t="s">
        <v>2225</v>
      </c>
      <c r="G2616" s="5" t="str">
        <f aca="false">INDEX(Risk_Matrix!$B$2:$D$4,MATCH(E2616,Risk_Matrix!$A$2:$A$4,0),MATCH(F2616,Risk_Matrix!$B$1:$D$1,0))</f>
        <v>High</v>
      </c>
      <c r="H2616" s="12" t="n">
        <v>46223</v>
      </c>
      <c r="I2616" s="5" t="s">
        <v>2264</v>
      </c>
      <c r="J2616" s="5" t="s">
        <v>4087</v>
      </c>
      <c r="K2616" s="5" t="s">
        <v>2266</v>
      </c>
      <c r="L2616" s="5" t="n">
        <f aca="false">IF(G2616="High",3,IF(G2616="Medium",2,1))</f>
        <v>3</v>
      </c>
    </row>
    <row r="2617" customFormat="false" ht="15" hidden="false" customHeight="true" outlineLevel="0" collapsed="false">
      <c r="A2617" s="5" t="s">
        <v>4895</v>
      </c>
      <c r="B2617" s="5" t="s">
        <v>1862</v>
      </c>
      <c r="C2617" s="5" t="s">
        <v>2254</v>
      </c>
      <c r="D2617" s="5" t="s">
        <v>2255</v>
      </c>
      <c r="E2617" s="5" t="s">
        <v>2225</v>
      </c>
      <c r="F2617" s="5" t="s">
        <v>2225</v>
      </c>
      <c r="G2617" s="5" t="str">
        <f aca="false">INDEX(Risk_Matrix!$B$2:$D$4,MATCH(E2617,Risk_Matrix!$A$2:$A$4,0),MATCH(F2617,Risk_Matrix!$B$1:$D$1,0))</f>
        <v>Medium</v>
      </c>
      <c r="H2617" s="12" t="n">
        <v>46065</v>
      </c>
      <c r="I2617" s="5" t="s">
        <v>2250</v>
      </c>
      <c r="J2617" s="5" t="s">
        <v>2251</v>
      </c>
      <c r="K2617" s="5" t="s">
        <v>2252</v>
      </c>
      <c r="L2617" s="5" t="n">
        <f aca="false">IF(G2617="High",3,IF(G2617="Medium",2,1))</f>
        <v>2</v>
      </c>
    </row>
    <row r="2618" customFormat="false" ht="15" hidden="false" customHeight="true" outlineLevel="0" collapsed="false">
      <c r="A2618" s="5" t="s">
        <v>4896</v>
      </c>
      <c r="B2618" s="5" t="s">
        <v>1864</v>
      </c>
      <c r="C2618" s="5" t="s">
        <v>2239</v>
      </c>
      <c r="D2618" s="5" t="s">
        <v>2240</v>
      </c>
      <c r="E2618" s="5" t="s">
        <v>2225</v>
      </c>
      <c r="F2618" s="5" t="s">
        <v>54</v>
      </c>
      <c r="G2618" s="5" t="str">
        <f aca="false">INDEX(Risk_Matrix!$B$2:$D$4,MATCH(E2618,Risk_Matrix!$A$2:$A$4,0),MATCH(F2618,Risk_Matrix!$B$1:$D$1,0))</f>
        <v>High</v>
      </c>
      <c r="H2618" s="12" t="n">
        <v>46095</v>
      </c>
      <c r="I2618" s="5" t="s">
        <v>2256</v>
      </c>
      <c r="J2618" s="5" t="s">
        <v>4081</v>
      </c>
      <c r="K2618" s="5" t="s">
        <v>2266</v>
      </c>
      <c r="L2618" s="5" t="n">
        <f aca="false">IF(G2618="High",3,IF(G2618="Medium",2,1))</f>
        <v>3</v>
      </c>
    </row>
    <row r="2619" customFormat="false" ht="15" hidden="false" customHeight="true" outlineLevel="0" collapsed="false">
      <c r="A2619" s="5" t="s">
        <v>4897</v>
      </c>
      <c r="B2619" s="5" t="s">
        <v>1864</v>
      </c>
      <c r="C2619" s="5" t="s">
        <v>2245</v>
      </c>
      <c r="D2619" s="5" t="s">
        <v>2246</v>
      </c>
      <c r="E2619" s="5" t="s">
        <v>54</v>
      </c>
      <c r="F2619" s="5" t="s">
        <v>2225</v>
      </c>
      <c r="G2619" s="5" t="str">
        <f aca="false">INDEX(Risk_Matrix!$B$2:$D$4,MATCH(E2619,Risk_Matrix!$A$2:$A$4,0),MATCH(F2619,Risk_Matrix!$B$1:$D$1,0))</f>
        <v>High</v>
      </c>
      <c r="H2619" s="12" t="n">
        <v>46193</v>
      </c>
      <c r="I2619" s="5" t="s">
        <v>2256</v>
      </c>
      <c r="J2619" s="5" t="s">
        <v>4081</v>
      </c>
      <c r="K2619" s="5" t="s">
        <v>2252</v>
      </c>
      <c r="L2619" s="5" t="n">
        <f aca="false">IF(G2619="High",3,IF(G2619="Medium",2,1))</f>
        <v>3</v>
      </c>
    </row>
    <row r="2620" customFormat="false" ht="15" hidden="false" customHeight="true" outlineLevel="0" collapsed="false">
      <c r="A2620" s="5" t="s">
        <v>4898</v>
      </c>
      <c r="B2620" s="5" t="s">
        <v>1864</v>
      </c>
      <c r="C2620" s="5" t="s">
        <v>2248</v>
      </c>
      <c r="D2620" s="5" t="s">
        <v>2322</v>
      </c>
      <c r="E2620" s="5" t="s">
        <v>2225</v>
      </c>
      <c r="F2620" s="5" t="s">
        <v>2225</v>
      </c>
      <c r="G2620" s="5" t="str">
        <f aca="false">INDEX(Risk_Matrix!$B$2:$D$4,MATCH(E2620,Risk_Matrix!$A$2:$A$4,0),MATCH(F2620,Risk_Matrix!$B$1:$D$1,0))</f>
        <v>Medium</v>
      </c>
      <c r="H2620" s="12" t="n">
        <v>46169</v>
      </c>
      <c r="I2620" s="5" t="s">
        <v>2256</v>
      </c>
      <c r="J2620" s="5" t="s">
        <v>4081</v>
      </c>
      <c r="K2620" s="5" t="s">
        <v>2283</v>
      </c>
      <c r="L2620" s="5" t="n">
        <f aca="false">IF(G2620="High",3,IF(G2620="Medium",2,1))</f>
        <v>2</v>
      </c>
    </row>
    <row r="2621" customFormat="false" ht="15" hidden="false" customHeight="true" outlineLevel="0" collapsed="false">
      <c r="A2621" s="5" t="s">
        <v>4899</v>
      </c>
      <c r="B2621" s="5" t="s">
        <v>1864</v>
      </c>
      <c r="C2621" s="5" t="s">
        <v>2262</v>
      </c>
      <c r="D2621" s="5" t="s">
        <v>2263</v>
      </c>
      <c r="E2621" s="5" t="s">
        <v>54</v>
      </c>
      <c r="F2621" s="5" t="s">
        <v>59</v>
      </c>
      <c r="G2621" s="5" t="str">
        <f aca="false">INDEX(Risk_Matrix!$B$2:$D$4,MATCH(E2621,Risk_Matrix!$A$2:$A$4,0),MATCH(F2621,Risk_Matrix!$B$1:$D$1,0))</f>
        <v>Medium</v>
      </c>
      <c r="H2621" s="12" t="n">
        <v>46206</v>
      </c>
      <c r="I2621" s="5" t="s">
        <v>2241</v>
      </c>
      <c r="J2621" s="5" t="s">
        <v>2242</v>
      </c>
      <c r="K2621" s="5" t="s">
        <v>2276</v>
      </c>
      <c r="L2621" s="5" t="n">
        <f aca="false">IF(G2621="High",3,IF(G2621="Medium",2,1))</f>
        <v>2</v>
      </c>
    </row>
    <row r="2622" customFormat="false" ht="15" hidden="false" customHeight="true" outlineLevel="0" collapsed="false">
      <c r="A2622" s="5" t="s">
        <v>4900</v>
      </c>
      <c r="B2622" s="5" t="s">
        <v>1864</v>
      </c>
      <c r="C2622" s="5" t="s">
        <v>2259</v>
      </c>
      <c r="D2622" s="5" t="s">
        <v>2260</v>
      </c>
      <c r="E2622" s="5" t="s">
        <v>2225</v>
      </c>
      <c r="F2622" s="5" t="s">
        <v>59</v>
      </c>
      <c r="G2622" s="5" t="str">
        <f aca="false">INDEX(Risk_Matrix!$B$2:$D$4,MATCH(E2622,Risk_Matrix!$A$2:$A$4,0),MATCH(F2622,Risk_Matrix!$B$1:$D$1,0))</f>
        <v>Low</v>
      </c>
      <c r="H2622" s="12" t="n">
        <v>46160</v>
      </c>
      <c r="I2622" s="5" t="s">
        <v>2241</v>
      </c>
      <c r="J2622" s="5" t="s">
        <v>2242</v>
      </c>
      <c r="K2622" s="5" t="s">
        <v>2243</v>
      </c>
      <c r="L2622" s="5" t="n">
        <f aca="false">IF(G2622="High",3,IF(G2622="Medium",2,1))</f>
        <v>1</v>
      </c>
    </row>
    <row r="2623" customFormat="false" ht="15" hidden="false" customHeight="true" outlineLevel="0" collapsed="false">
      <c r="A2623" s="5" t="s">
        <v>4901</v>
      </c>
      <c r="B2623" s="5" t="s">
        <v>1864</v>
      </c>
      <c r="C2623" s="5" t="s">
        <v>2254</v>
      </c>
      <c r="D2623" s="5" t="s">
        <v>2299</v>
      </c>
      <c r="E2623" s="5" t="s">
        <v>59</v>
      </c>
      <c r="F2623" s="5" t="s">
        <v>59</v>
      </c>
      <c r="G2623" s="5" t="str">
        <f aca="false">INDEX(Risk_Matrix!$B$2:$D$4,MATCH(E2623,Risk_Matrix!$A$2:$A$4,0),MATCH(F2623,Risk_Matrix!$B$1:$D$1,0))</f>
        <v>Low</v>
      </c>
      <c r="H2623" s="12" t="n">
        <v>46056</v>
      </c>
      <c r="I2623" s="5" t="s">
        <v>2264</v>
      </c>
      <c r="J2623" s="5" t="s">
        <v>4087</v>
      </c>
      <c r="K2623" s="5" t="s">
        <v>2276</v>
      </c>
      <c r="L2623" s="5" t="n">
        <f aca="false">IF(G2623="High",3,IF(G2623="Medium",2,1))</f>
        <v>1</v>
      </c>
    </row>
    <row r="2624" customFormat="false" ht="15" hidden="false" customHeight="true" outlineLevel="0" collapsed="false">
      <c r="A2624" s="5" t="s">
        <v>4902</v>
      </c>
      <c r="B2624" s="5" t="s">
        <v>1866</v>
      </c>
      <c r="C2624" s="5" t="s">
        <v>2239</v>
      </c>
      <c r="D2624" s="5" t="s">
        <v>2240</v>
      </c>
      <c r="E2624" s="5" t="s">
        <v>2225</v>
      </c>
      <c r="F2624" s="5" t="s">
        <v>2225</v>
      </c>
      <c r="G2624" s="5" t="str">
        <f aca="false">INDEX(Risk_Matrix!$B$2:$D$4,MATCH(E2624,Risk_Matrix!$A$2:$A$4,0),MATCH(F2624,Risk_Matrix!$B$1:$D$1,0))</f>
        <v>Medium</v>
      </c>
      <c r="H2624" s="12" t="n">
        <v>46151</v>
      </c>
      <c r="I2624" s="5" t="s">
        <v>2264</v>
      </c>
      <c r="J2624" s="5" t="s">
        <v>4087</v>
      </c>
      <c r="K2624" s="5" t="s">
        <v>2283</v>
      </c>
      <c r="L2624" s="5" t="n">
        <f aca="false">IF(G2624="High",3,IF(G2624="Medium",2,1))</f>
        <v>2</v>
      </c>
    </row>
    <row r="2625" customFormat="false" ht="15" hidden="false" customHeight="true" outlineLevel="0" collapsed="false">
      <c r="A2625" s="5" t="s">
        <v>4903</v>
      </c>
      <c r="B2625" s="5" t="s">
        <v>1866</v>
      </c>
      <c r="C2625" s="5" t="s">
        <v>2245</v>
      </c>
      <c r="D2625" s="5" t="s">
        <v>2246</v>
      </c>
      <c r="E2625" s="5" t="s">
        <v>54</v>
      </c>
      <c r="F2625" s="5" t="s">
        <v>54</v>
      </c>
      <c r="G2625" s="5" t="str">
        <f aca="false">INDEX(Risk_Matrix!$B$2:$D$4,MATCH(E2625,Risk_Matrix!$A$2:$A$4,0),MATCH(F2625,Risk_Matrix!$B$1:$D$1,0))</f>
        <v>High</v>
      </c>
      <c r="H2625" s="12" t="n">
        <v>46029</v>
      </c>
      <c r="I2625" s="5" t="s">
        <v>2256</v>
      </c>
      <c r="J2625" s="5" t="s">
        <v>4081</v>
      </c>
      <c r="K2625" s="5" t="s">
        <v>2276</v>
      </c>
      <c r="L2625" s="5" t="n">
        <f aca="false">IF(G2625="High",3,IF(G2625="Medium",2,1))</f>
        <v>3</v>
      </c>
    </row>
    <row r="2626" customFormat="false" ht="15" hidden="false" customHeight="true" outlineLevel="0" collapsed="false">
      <c r="A2626" s="5" t="s">
        <v>4904</v>
      </c>
      <c r="B2626" s="5" t="s">
        <v>1866</v>
      </c>
      <c r="C2626" s="5" t="s">
        <v>2248</v>
      </c>
      <c r="D2626" s="5" t="s">
        <v>2306</v>
      </c>
      <c r="E2626" s="5" t="s">
        <v>59</v>
      </c>
      <c r="F2626" s="5" t="s">
        <v>2225</v>
      </c>
      <c r="G2626" s="5" t="str">
        <f aca="false">INDEX(Risk_Matrix!$B$2:$D$4,MATCH(E2626,Risk_Matrix!$A$2:$A$4,0),MATCH(F2626,Risk_Matrix!$B$1:$D$1,0))</f>
        <v>Low</v>
      </c>
      <c r="H2626" s="12" t="n">
        <v>46160</v>
      </c>
      <c r="I2626" s="5" t="s">
        <v>2250</v>
      </c>
      <c r="J2626" s="5" t="s">
        <v>2251</v>
      </c>
      <c r="K2626" s="5" t="s">
        <v>2252</v>
      </c>
      <c r="L2626" s="5" t="n">
        <f aca="false">IF(G2626="High",3,IF(G2626="Medium",2,1))</f>
        <v>1</v>
      </c>
    </row>
    <row r="2627" customFormat="false" ht="15" hidden="false" customHeight="true" outlineLevel="0" collapsed="false">
      <c r="A2627" s="5" t="s">
        <v>4905</v>
      </c>
      <c r="B2627" s="5" t="s">
        <v>1866</v>
      </c>
      <c r="C2627" s="5" t="s">
        <v>2262</v>
      </c>
      <c r="D2627" s="5" t="s">
        <v>2287</v>
      </c>
      <c r="E2627" s="5" t="s">
        <v>54</v>
      </c>
      <c r="F2627" s="5" t="s">
        <v>2225</v>
      </c>
      <c r="G2627" s="5" t="str">
        <f aca="false">INDEX(Risk_Matrix!$B$2:$D$4,MATCH(E2627,Risk_Matrix!$A$2:$A$4,0),MATCH(F2627,Risk_Matrix!$B$1:$D$1,0))</f>
        <v>High</v>
      </c>
      <c r="H2627" s="12" t="n">
        <v>46101</v>
      </c>
      <c r="I2627" s="5" t="s">
        <v>2264</v>
      </c>
      <c r="J2627" s="5" t="s">
        <v>4087</v>
      </c>
      <c r="K2627" s="5" t="s">
        <v>2243</v>
      </c>
      <c r="L2627" s="5" t="n">
        <f aca="false">IF(G2627="High",3,IF(G2627="Medium",2,1))</f>
        <v>3</v>
      </c>
    </row>
    <row r="2628" customFormat="false" ht="15" hidden="false" customHeight="true" outlineLevel="0" collapsed="false">
      <c r="A2628" s="5" t="s">
        <v>4906</v>
      </c>
      <c r="B2628" s="5" t="s">
        <v>1866</v>
      </c>
      <c r="C2628" s="5" t="s">
        <v>2259</v>
      </c>
      <c r="D2628" s="5" t="s">
        <v>2285</v>
      </c>
      <c r="E2628" s="5" t="s">
        <v>54</v>
      </c>
      <c r="F2628" s="5" t="s">
        <v>59</v>
      </c>
      <c r="G2628" s="5" t="str">
        <f aca="false">INDEX(Risk_Matrix!$B$2:$D$4,MATCH(E2628,Risk_Matrix!$A$2:$A$4,0),MATCH(F2628,Risk_Matrix!$B$1:$D$1,0))</f>
        <v>Medium</v>
      </c>
      <c r="H2628" s="12" t="n">
        <v>46181</v>
      </c>
      <c r="I2628" s="5" t="s">
        <v>2250</v>
      </c>
      <c r="J2628" s="5" t="s">
        <v>2251</v>
      </c>
      <c r="K2628" s="5" t="s">
        <v>2283</v>
      </c>
      <c r="L2628" s="5" t="n">
        <f aca="false">IF(G2628="High",3,IF(G2628="Medium",2,1))</f>
        <v>2</v>
      </c>
    </row>
    <row r="2629" customFormat="false" ht="15" hidden="false" customHeight="true" outlineLevel="0" collapsed="false">
      <c r="A2629" s="5" t="s">
        <v>4907</v>
      </c>
      <c r="B2629" s="5" t="s">
        <v>1866</v>
      </c>
      <c r="C2629" s="5" t="s">
        <v>2254</v>
      </c>
      <c r="D2629" s="5" t="s">
        <v>2255</v>
      </c>
      <c r="E2629" s="5" t="s">
        <v>2225</v>
      </c>
      <c r="F2629" s="5" t="s">
        <v>2225</v>
      </c>
      <c r="G2629" s="5" t="str">
        <f aca="false">INDEX(Risk_Matrix!$B$2:$D$4,MATCH(E2629,Risk_Matrix!$A$2:$A$4,0),MATCH(F2629,Risk_Matrix!$B$1:$D$1,0))</f>
        <v>Medium</v>
      </c>
      <c r="H2629" s="12" t="n">
        <v>46218</v>
      </c>
      <c r="I2629" s="5" t="s">
        <v>2264</v>
      </c>
      <c r="J2629" s="5" t="s">
        <v>4087</v>
      </c>
      <c r="K2629" s="5" t="s">
        <v>2252</v>
      </c>
      <c r="L2629" s="5" t="n">
        <f aca="false">IF(G2629="High",3,IF(G2629="Medium",2,1))</f>
        <v>2</v>
      </c>
    </row>
    <row r="2630" customFormat="false" ht="15" hidden="false" customHeight="true" outlineLevel="0" collapsed="false">
      <c r="A2630" s="5" t="s">
        <v>4908</v>
      </c>
      <c r="B2630" s="5" t="s">
        <v>1868</v>
      </c>
      <c r="C2630" s="5" t="s">
        <v>2239</v>
      </c>
      <c r="D2630" s="5" t="s">
        <v>2278</v>
      </c>
      <c r="E2630" s="5" t="s">
        <v>59</v>
      </c>
      <c r="F2630" s="5" t="s">
        <v>54</v>
      </c>
      <c r="G2630" s="5" t="str">
        <f aca="false">INDEX(Risk_Matrix!$B$2:$D$4,MATCH(E2630,Risk_Matrix!$A$2:$A$4,0),MATCH(F2630,Risk_Matrix!$B$1:$D$1,0))</f>
        <v>Medium</v>
      </c>
      <c r="H2630" s="12" t="n">
        <v>46108</v>
      </c>
      <c r="I2630" s="5" t="s">
        <v>2256</v>
      </c>
      <c r="J2630" s="5" t="s">
        <v>4081</v>
      </c>
      <c r="K2630" s="5" t="s">
        <v>2266</v>
      </c>
      <c r="L2630" s="5" t="n">
        <f aca="false">IF(G2630="High",3,IF(G2630="Medium",2,1))</f>
        <v>2</v>
      </c>
    </row>
    <row r="2631" customFormat="false" ht="15" hidden="false" customHeight="true" outlineLevel="0" collapsed="false">
      <c r="A2631" s="5" t="s">
        <v>4909</v>
      </c>
      <c r="B2631" s="5" t="s">
        <v>1868</v>
      </c>
      <c r="C2631" s="5" t="s">
        <v>2245</v>
      </c>
      <c r="D2631" s="5" t="s">
        <v>2269</v>
      </c>
      <c r="E2631" s="5" t="s">
        <v>59</v>
      </c>
      <c r="F2631" s="5" t="s">
        <v>59</v>
      </c>
      <c r="G2631" s="5" t="str">
        <f aca="false">INDEX(Risk_Matrix!$B$2:$D$4,MATCH(E2631,Risk_Matrix!$A$2:$A$4,0),MATCH(F2631,Risk_Matrix!$B$1:$D$1,0))</f>
        <v>Low</v>
      </c>
      <c r="H2631" s="12" t="n">
        <v>46028</v>
      </c>
      <c r="I2631" s="5" t="s">
        <v>2256</v>
      </c>
      <c r="J2631" s="5" t="s">
        <v>4081</v>
      </c>
      <c r="K2631" s="5" t="s">
        <v>2266</v>
      </c>
      <c r="L2631" s="5" t="n">
        <f aca="false">IF(G2631="High",3,IF(G2631="Medium",2,1))</f>
        <v>1</v>
      </c>
    </row>
    <row r="2632" customFormat="false" ht="15" hidden="false" customHeight="true" outlineLevel="0" collapsed="false">
      <c r="A2632" s="5" t="s">
        <v>4910</v>
      </c>
      <c r="B2632" s="5" t="s">
        <v>1868</v>
      </c>
      <c r="C2632" s="5" t="s">
        <v>2248</v>
      </c>
      <c r="D2632" s="5" t="s">
        <v>2306</v>
      </c>
      <c r="E2632" s="5" t="s">
        <v>54</v>
      </c>
      <c r="F2632" s="5" t="s">
        <v>59</v>
      </c>
      <c r="G2632" s="5" t="str">
        <f aca="false">INDEX(Risk_Matrix!$B$2:$D$4,MATCH(E2632,Risk_Matrix!$A$2:$A$4,0),MATCH(F2632,Risk_Matrix!$B$1:$D$1,0))</f>
        <v>Medium</v>
      </c>
      <c r="H2632" s="12" t="n">
        <v>46164</v>
      </c>
      <c r="I2632" s="5" t="s">
        <v>2264</v>
      </c>
      <c r="J2632" s="5" t="s">
        <v>4087</v>
      </c>
      <c r="K2632" s="5" t="s">
        <v>2266</v>
      </c>
      <c r="L2632" s="5" t="n">
        <f aca="false">IF(G2632="High",3,IF(G2632="Medium",2,1))</f>
        <v>2</v>
      </c>
    </row>
    <row r="2633" customFormat="false" ht="15" hidden="false" customHeight="true" outlineLevel="0" collapsed="false">
      <c r="A2633" s="5" t="s">
        <v>4911</v>
      </c>
      <c r="B2633" s="5" t="s">
        <v>1868</v>
      </c>
      <c r="C2633" s="5" t="s">
        <v>2262</v>
      </c>
      <c r="D2633" s="5" t="s">
        <v>2287</v>
      </c>
      <c r="E2633" s="5" t="s">
        <v>2225</v>
      </c>
      <c r="F2633" s="5" t="s">
        <v>59</v>
      </c>
      <c r="G2633" s="5" t="str">
        <f aca="false">INDEX(Risk_Matrix!$B$2:$D$4,MATCH(E2633,Risk_Matrix!$A$2:$A$4,0),MATCH(F2633,Risk_Matrix!$B$1:$D$1,0))</f>
        <v>Low</v>
      </c>
      <c r="H2633" s="12" t="n">
        <v>46146</v>
      </c>
      <c r="I2633" s="5" t="s">
        <v>2241</v>
      </c>
      <c r="J2633" s="5" t="s">
        <v>2242</v>
      </c>
      <c r="K2633" s="5" t="s">
        <v>2283</v>
      </c>
      <c r="L2633" s="5" t="n">
        <f aca="false">IF(G2633="High",3,IF(G2633="Medium",2,1))</f>
        <v>1</v>
      </c>
    </row>
    <row r="2634" customFormat="false" ht="15" hidden="false" customHeight="true" outlineLevel="0" collapsed="false">
      <c r="A2634" s="5" t="s">
        <v>4912</v>
      </c>
      <c r="B2634" s="5" t="s">
        <v>1868</v>
      </c>
      <c r="C2634" s="5" t="s">
        <v>2259</v>
      </c>
      <c r="D2634" s="5" t="s">
        <v>2285</v>
      </c>
      <c r="E2634" s="5" t="s">
        <v>59</v>
      </c>
      <c r="F2634" s="5" t="s">
        <v>59</v>
      </c>
      <c r="G2634" s="5" t="str">
        <f aca="false">INDEX(Risk_Matrix!$B$2:$D$4,MATCH(E2634,Risk_Matrix!$A$2:$A$4,0),MATCH(F2634,Risk_Matrix!$B$1:$D$1,0))</f>
        <v>Low</v>
      </c>
      <c r="H2634" s="12" t="n">
        <v>46084</v>
      </c>
      <c r="I2634" s="5" t="s">
        <v>2250</v>
      </c>
      <c r="J2634" s="5" t="s">
        <v>2251</v>
      </c>
      <c r="K2634" s="5" t="s">
        <v>2283</v>
      </c>
      <c r="L2634" s="5" t="n">
        <f aca="false">IF(G2634="High",3,IF(G2634="Medium",2,1))</f>
        <v>1</v>
      </c>
    </row>
    <row r="2635" customFormat="false" ht="15" hidden="false" customHeight="true" outlineLevel="0" collapsed="false">
      <c r="A2635" s="5" t="s">
        <v>4913</v>
      </c>
      <c r="B2635" s="5" t="s">
        <v>1868</v>
      </c>
      <c r="C2635" s="5" t="s">
        <v>2254</v>
      </c>
      <c r="D2635" s="5" t="s">
        <v>2255</v>
      </c>
      <c r="E2635" s="5" t="s">
        <v>54</v>
      </c>
      <c r="F2635" s="5" t="s">
        <v>59</v>
      </c>
      <c r="G2635" s="5" t="str">
        <f aca="false">INDEX(Risk_Matrix!$B$2:$D$4,MATCH(E2635,Risk_Matrix!$A$2:$A$4,0),MATCH(F2635,Risk_Matrix!$B$1:$D$1,0))</f>
        <v>Medium</v>
      </c>
      <c r="H2635" s="12" t="n">
        <v>46099</v>
      </c>
      <c r="I2635" s="5" t="s">
        <v>2264</v>
      </c>
      <c r="J2635" s="5" t="s">
        <v>4087</v>
      </c>
      <c r="K2635" s="5" t="s">
        <v>2252</v>
      </c>
      <c r="L2635" s="5" t="n">
        <f aca="false">IF(G2635="High",3,IF(G2635="Medium",2,1))</f>
        <v>2</v>
      </c>
    </row>
    <row r="2636" customFormat="false" ht="15" hidden="false" customHeight="true" outlineLevel="0" collapsed="false">
      <c r="A2636" s="5" t="s">
        <v>4914</v>
      </c>
      <c r="B2636" s="5" t="s">
        <v>1870</v>
      </c>
      <c r="C2636" s="5" t="s">
        <v>2239</v>
      </c>
      <c r="D2636" s="5" t="s">
        <v>2303</v>
      </c>
      <c r="E2636" s="5" t="s">
        <v>54</v>
      </c>
      <c r="F2636" s="5" t="s">
        <v>54</v>
      </c>
      <c r="G2636" s="5" t="str">
        <f aca="false">INDEX(Risk_Matrix!$B$2:$D$4,MATCH(E2636,Risk_Matrix!$A$2:$A$4,0),MATCH(F2636,Risk_Matrix!$B$1:$D$1,0))</f>
        <v>High</v>
      </c>
      <c r="H2636" s="12" t="n">
        <v>46186</v>
      </c>
      <c r="I2636" s="5" t="s">
        <v>2250</v>
      </c>
      <c r="J2636" s="5" t="s">
        <v>2251</v>
      </c>
      <c r="K2636" s="5" t="s">
        <v>2252</v>
      </c>
      <c r="L2636" s="5" t="n">
        <f aca="false">IF(G2636="High",3,IF(G2636="Medium",2,1))</f>
        <v>3</v>
      </c>
    </row>
    <row r="2637" customFormat="false" ht="15" hidden="false" customHeight="true" outlineLevel="0" collapsed="false">
      <c r="A2637" s="5" t="s">
        <v>4915</v>
      </c>
      <c r="B2637" s="5" t="s">
        <v>1870</v>
      </c>
      <c r="C2637" s="5" t="s">
        <v>2245</v>
      </c>
      <c r="D2637" s="5" t="s">
        <v>2269</v>
      </c>
      <c r="E2637" s="5" t="s">
        <v>2225</v>
      </c>
      <c r="F2637" s="5" t="s">
        <v>54</v>
      </c>
      <c r="G2637" s="5" t="str">
        <f aca="false">INDEX(Risk_Matrix!$B$2:$D$4,MATCH(E2637,Risk_Matrix!$A$2:$A$4,0),MATCH(F2637,Risk_Matrix!$B$1:$D$1,0))</f>
        <v>High</v>
      </c>
      <c r="H2637" s="12" t="n">
        <v>46178</v>
      </c>
      <c r="I2637" s="5" t="s">
        <v>2264</v>
      </c>
      <c r="J2637" s="5" t="s">
        <v>4087</v>
      </c>
      <c r="K2637" s="5" t="s">
        <v>2266</v>
      </c>
      <c r="L2637" s="5" t="n">
        <f aca="false">IF(G2637="High",3,IF(G2637="Medium",2,1))</f>
        <v>3</v>
      </c>
    </row>
    <row r="2638" customFormat="false" ht="15" hidden="false" customHeight="true" outlineLevel="0" collapsed="false">
      <c r="A2638" s="5" t="s">
        <v>4916</v>
      </c>
      <c r="B2638" s="5" t="s">
        <v>1870</v>
      </c>
      <c r="C2638" s="5" t="s">
        <v>2248</v>
      </c>
      <c r="D2638" s="5" t="s">
        <v>2322</v>
      </c>
      <c r="E2638" s="5" t="s">
        <v>59</v>
      </c>
      <c r="F2638" s="5" t="s">
        <v>54</v>
      </c>
      <c r="G2638" s="5" t="str">
        <f aca="false">INDEX(Risk_Matrix!$B$2:$D$4,MATCH(E2638,Risk_Matrix!$A$2:$A$4,0),MATCH(F2638,Risk_Matrix!$B$1:$D$1,0))</f>
        <v>Medium</v>
      </c>
      <c r="H2638" s="12" t="n">
        <v>46072</v>
      </c>
      <c r="I2638" s="5" t="s">
        <v>2264</v>
      </c>
      <c r="J2638" s="5" t="s">
        <v>4087</v>
      </c>
      <c r="K2638" s="5" t="s">
        <v>2252</v>
      </c>
      <c r="L2638" s="5" t="n">
        <f aca="false">IF(G2638="High",3,IF(G2638="Medium",2,1))</f>
        <v>2</v>
      </c>
    </row>
    <row r="2639" customFormat="false" ht="15" hidden="false" customHeight="true" outlineLevel="0" collapsed="false">
      <c r="A2639" s="5" t="s">
        <v>4917</v>
      </c>
      <c r="B2639" s="5" t="s">
        <v>1870</v>
      </c>
      <c r="C2639" s="5" t="s">
        <v>2262</v>
      </c>
      <c r="D2639" s="5" t="s">
        <v>2287</v>
      </c>
      <c r="E2639" s="5" t="s">
        <v>54</v>
      </c>
      <c r="F2639" s="5" t="s">
        <v>59</v>
      </c>
      <c r="G2639" s="5" t="str">
        <f aca="false">INDEX(Risk_Matrix!$B$2:$D$4,MATCH(E2639,Risk_Matrix!$A$2:$A$4,0),MATCH(F2639,Risk_Matrix!$B$1:$D$1,0))</f>
        <v>Medium</v>
      </c>
      <c r="H2639" s="12" t="n">
        <v>46177</v>
      </c>
      <c r="I2639" s="5" t="s">
        <v>2264</v>
      </c>
      <c r="J2639" s="5" t="s">
        <v>4087</v>
      </c>
      <c r="K2639" s="5" t="s">
        <v>2283</v>
      </c>
      <c r="L2639" s="5" t="n">
        <f aca="false">IF(G2639="High",3,IF(G2639="Medium",2,1))</f>
        <v>2</v>
      </c>
    </row>
    <row r="2640" customFormat="false" ht="15" hidden="false" customHeight="true" outlineLevel="0" collapsed="false">
      <c r="A2640" s="5" t="s">
        <v>4918</v>
      </c>
      <c r="B2640" s="5" t="s">
        <v>1870</v>
      </c>
      <c r="C2640" s="5" t="s">
        <v>2259</v>
      </c>
      <c r="D2640" s="5" t="s">
        <v>2285</v>
      </c>
      <c r="E2640" s="5" t="s">
        <v>2225</v>
      </c>
      <c r="F2640" s="5" t="s">
        <v>2225</v>
      </c>
      <c r="G2640" s="5" t="str">
        <f aca="false">INDEX(Risk_Matrix!$B$2:$D$4,MATCH(E2640,Risk_Matrix!$A$2:$A$4,0),MATCH(F2640,Risk_Matrix!$B$1:$D$1,0))</f>
        <v>Medium</v>
      </c>
      <c r="H2640" s="12" t="n">
        <v>46198</v>
      </c>
      <c r="I2640" s="5" t="s">
        <v>2250</v>
      </c>
      <c r="J2640" s="5" t="s">
        <v>2251</v>
      </c>
      <c r="K2640" s="5" t="s">
        <v>2283</v>
      </c>
      <c r="L2640" s="5" t="n">
        <f aca="false">IF(G2640="High",3,IF(G2640="Medium",2,1))</f>
        <v>2</v>
      </c>
    </row>
    <row r="2641" customFormat="false" ht="15" hidden="false" customHeight="true" outlineLevel="0" collapsed="false">
      <c r="A2641" s="5" t="s">
        <v>4919</v>
      </c>
      <c r="B2641" s="5" t="s">
        <v>1870</v>
      </c>
      <c r="C2641" s="5" t="s">
        <v>2254</v>
      </c>
      <c r="D2641" s="5" t="s">
        <v>2255</v>
      </c>
      <c r="E2641" s="5" t="s">
        <v>59</v>
      </c>
      <c r="F2641" s="5" t="s">
        <v>59</v>
      </c>
      <c r="G2641" s="5" t="str">
        <f aca="false">INDEX(Risk_Matrix!$B$2:$D$4,MATCH(E2641,Risk_Matrix!$A$2:$A$4,0),MATCH(F2641,Risk_Matrix!$B$1:$D$1,0))</f>
        <v>Low</v>
      </c>
      <c r="H2641" s="12" t="n">
        <v>46082</v>
      </c>
      <c r="I2641" s="5" t="s">
        <v>2241</v>
      </c>
      <c r="J2641" s="5" t="s">
        <v>2242</v>
      </c>
      <c r="K2641" s="5" t="s">
        <v>2243</v>
      </c>
      <c r="L2641" s="5" t="n">
        <f aca="false">IF(G2641="High",3,IF(G2641="Medium",2,1))</f>
        <v>1</v>
      </c>
    </row>
    <row r="2642" customFormat="false" ht="15" hidden="false" customHeight="true" outlineLevel="0" collapsed="false">
      <c r="A2642" s="5" t="s">
        <v>4920</v>
      </c>
      <c r="B2642" s="5" t="s">
        <v>1872</v>
      </c>
      <c r="C2642" s="5" t="s">
        <v>2239</v>
      </c>
      <c r="D2642" s="5" t="s">
        <v>2240</v>
      </c>
      <c r="E2642" s="5" t="s">
        <v>54</v>
      </c>
      <c r="F2642" s="5" t="s">
        <v>59</v>
      </c>
      <c r="G2642" s="5" t="str">
        <f aca="false">INDEX(Risk_Matrix!$B$2:$D$4,MATCH(E2642,Risk_Matrix!$A$2:$A$4,0),MATCH(F2642,Risk_Matrix!$B$1:$D$1,0))</f>
        <v>Medium</v>
      </c>
      <c r="H2642" s="12" t="n">
        <v>46148</v>
      </c>
      <c r="I2642" s="5" t="s">
        <v>2264</v>
      </c>
      <c r="J2642" s="5" t="s">
        <v>4087</v>
      </c>
      <c r="K2642" s="5" t="s">
        <v>2243</v>
      </c>
      <c r="L2642" s="5" t="n">
        <f aca="false">IF(G2642="High",3,IF(G2642="Medium",2,1))</f>
        <v>2</v>
      </c>
    </row>
    <row r="2643" customFormat="false" ht="15" hidden="false" customHeight="true" outlineLevel="0" collapsed="false">
      <c r="A2643" s="5" t="s">
        <v>4921</v>
      </c>
      <c r="B2643" s="5" t="s">
        <v>1872</v>
      </c>
      <c r="C2643" s="5" t="s">
        <v>2245</v>
      </c>
      <c r="D2643" s="5" t="s">
        <v>2280</v>
      </c>
      <c r="E2643" s="5" t="s">
        <v>2225</v>
      </c>
      <c r="F2643" s="5" t="s">
        <v>59</v>
      </c>
      <c r="G2643" s="5" t="str">
        <f aca="false">INDEX(Risk_Matrix!$B$2:$D$4,MATCH(E2643,Risk_Matrix!$A$2:$A$4,0),MATCH(F2643,Risk_Matrix!$B$1:$D$1,0))</f>
        <v>Low</v>
      </c>
      <c r="H2643" s="12" t="n">
        <v>46157</v>
      </c>
      <c r="I2643" s="5" t="s">
        <v>2241</v>
      </c>
      <c r="J2643" s="5" t="s">
        <v>2242</v>
      </c>
      <c r="K2643" s="5" t="s">
        <v>2243</v>
      </c>
      <c r="L2643" s="5" t="n">
        <f aca="false">IF(G2643="High",3,IF(G2643="Medium",2,1))</f>
        <v>1</v>
      </c>
    </row>
    <row r="2644" customFormat="false" ht="15" hidden="false" customHeight="true" outlineLevel="0" collapsed="false">
      <c r="A2644" s="5" t="s">
        <v>4922</v>
      </c>
      <c r="B2644" s="5" t="s">
        <v>1872</v>
      </c>
      <c r="C2644" s="5" t="s">
        <v>2248</v>
      </c>
      <c r="D2644" s="5" t="s">
        <v>2249</v>
      </c>
      <c r="E2644" s="5" t="s">
        <v>2225</v>
      </c>
      <c r="F2644" s="5" t="s">
        <v>54</v>
      </c>
      <c r="G2644" s="5" t="str">
        <f aca="false">INDEX(Risk_Matrix!$B$2:$D$4,MATCH(E2644,Risk_Matrix!$A$2:$A$4,0),MATCH(F2644,Risk_Matrix!$B$1:$D$1,0))</f>
        <v>High</v>
      </c>
      <c r="H2644" s="12" t="n">
        <v>46104</v>
      </c>
      <c r="I2644" s="5" t="s">
        <v>2256</v>
      </c>
      <c r="J2644" s="5" t="s">
        <v>4081</v>
      </c>
      <c r="K2644" s="5" t="s">
        <v>2252</v>
      </c>
      <c r="L2644" s="5" t="n">
        <f aca="false">IF(G2644="High",3,IF(G2644="Medium",2,1))</f>
        <v>3</v>
      </c>
    </row>
    <row r="2645" customFormat="false" ht="15" hidden="false" customHeight="true" outlineLevel="0" collapsed="false">
      <c r="A2645" s="5" t="s">
        <v>4923</v>
      </c>
      <c r="B2645" s="5" t="s">
        <v>1872</v>
      </c>
      <c r="C2645" s="5" t="s">
        <v>2262</v>
      </c>
      <c r="D2645" s="5" t="s">
        <v>2263</v>
      </c>
      <c r="E2645" s="5" t="s">
        <v>59</v>
      </c>
      <c r="F2645" s="5" t="s">
        <v>59</v>
      </c>
      <c r="G2645" s="5" t="str">
        <f aca="false">INDEX(Risk_Matrix!$B$2:$D$4,MATCH(E2645,Risk_Matrix!$A$2:$A$4,0),MATCH(F2645,Risk_Matrix!$B$1:$D$1,0))</f>
        <v>Low</v>
      </c>
      <c r="H2645" s="12" t="n">
        <v>46225</v>
      </c>
      <c r="I2645" s="5" t="s">
        <v>2256</v>
      </c>
      <c r="J2645" s="5" t="s">
        <v>4081</v>
      </c>
      <c r="K2645" s="5" t="s">
        <v>2276</v>
      </c>
      <c r="L2645" s="5" t="n">
        <f aca="false">IF(G2645="High",3,IF(G2645="Medium",2,1))</f>
        <v>1</v>
      </c>
    </row>
    <row r="2646" customFormat="false" ht="15" hidden="false" customHeight="true" outlineLevel="0" collapsed="false">
      <c r="A2646" s="5" t="s">
        <v>4924</v>
      </c>
      <c r="B2646" s="5" t="s">
        <v>1872</v>
      </c>
      <c r="C2646" s="5" t="s">
        <v>2259</v>
      </c>
      <c r="D2646" s="5" t="s">
        <v>2274</v>
      </c>
      <c r="E2646" s="5" t="s">
        <v>54</v>
      </c>
      <c r="F2646" s="5" t="s">
        <v>2225</v>
      </c>
      <c r="G2646" s="5" t="str">
        <f aca="false">INDEX(Risk_Matrix!$B$2:$D$4,MATCH(E2646,Risk_Matrix!$A$2:$A$4,0),MATCH(F2646,Risk_Matrix!$B$1:$D$1,0))</f>
        <v>High</v>
      </c>
      <c r="H2646" s="12" t="n">
        <v>46160</v>
      </c>
      <c r="I2646" s="5" t="s">
        <v>2250</v>
      </c>
      <c r="J2646" s="5" t="s">
        <v>2251</v>
      </c>
      <c r="K2646" s="5" t="s">
        <v>2252</v>
      </c>
      <c r="L2646" s="5" t="n">
        <f aca="false">IF(G2646="High",3,IF(G2646="Medium",2,1))</f>
        <v>3</v>
      </c>
    </row>
    <row r="2647" customFormat="false" ht="15" hidden="false" customHeight="true" outlineLevel="0" collapsed="false">
      <c r="A2647" s="5" t="s">
        <v>4925</v>
      </c>
      <c r="B2647" s="5" t="s">
        <v>1872</v>
      </c>
      <c r="C2647" s="5" t="s">
        <v>2254</v>
      </c>
      <c r="D2647" s="5" t="s">
        <v>2255</v>
      </c>
      <c r="E2647" s="5" t="s">
        <v>54</v>
      </c>
      <c r="F2647" s="5" t="s">
        <v>59</v>
      </c>
      <c r="G2647" s="5" t="str">
        <f aca="false">INDEX(Risk_Matrix!$B$2:$D$4,MATCH(E2647,Risk_Matrix!$A$2:$A$4,0),MATCH(F2647,Risk_Matrix!$B$1:$D$1,0))</f>
        <v>Medium</v>
      </c>
      <c r="H2647" s="12" t="n">
        <v>46189</v>
      </c>
      <c r="I2647" s="5" t="s">
        <v>2264</v>
      </c>
      <c r="J2647" s="5" t="s">
        <v>4087</v>
      </c>
      <c r="K2647" s="5" t="s">
        <v>2243</v>
      </c>
      <c r="L2647" s="5" t="n">
        <f aca="false">IF(G2647="High",3,IF(G2647="Medium",2,1))</f>
        <v>2</v>
      </c>
    </row>
    <row r="2648" customFormat="false" ht="15" hidden="false" customHeight="true" outlineLevel="0" collapsed="false">
      <c r="A2648" s="5" t="s">
        <v>4926</v>
      </c>
      <c r="B2648" s="5" t="s">
        <v>1874</v>
      </c>
      <c r="C2648" s="5" t="s">
        <v>2239</v>
      </c>
      <c r="D2648" s="5" t="s">
        <v>2295</v>
      </c>
      <c r="E2648" s="5" t="s">
        <v>54</v>
      </c>
      <c r="F2648" s="5" t="s">
        <v>59</v>
      </c>
      <c r="G2648" s="5" t="str">
        <f aca="false">INDEX(Risk_Matrix!$B$2:$D$4,MATCH(E2648,Risk_Matrix!$A$2:$A$4,0),MATCH(F2648,Risk_Matrix!$B$1:$D$1,0))</f>
        <v>Medium</v>
      </c>
      <c r="H2648" s="12" t="n">
        <v>46140</v>
      </c>
      <c r="I2648" s="5" t="s">
        <v>2256</v>
      </c>
      <c r="J2648" s="5" t="s">
        <v>4081</v>
      </c>
      <c r="K2648" s="5" t="s">
        <v>2283</v>
      </c>
      <c r="L2648" s="5" t="n">
        <f aca="false">IF(G2648="High",3,IF(G2648="Medium",2,1))</f>
        <v>2</v>
      </c>
    </row>
    <row r="2649" customFormat="false" ht="15" hidden="false" customHeight="true" outlineLevel="0" collapsed="false">
      <c r="A2649" s="5" t="s">
        <v>4927</v>
      </c>
      <c r="B2649" s="5" t="s">
        <v>1874</v>
      </c>
      <c r="C2649" s="5" t="s">
        <v>2245</v>
      </c>
      <c r="D2649" s="5" t="s">
        <v>2269</v>
      </c>
      <c r="E2649" s="5" t="s">
        <v>54</v>
      </c>
      <c r="F2649" s="5" t="s">
        <v>2225</v>
      </c>
      <c r="G2649" s="5" t="str">
        <f aca="false">INDEX(Risk_Matrix!$B$2:$D$4,MATCH(E2649,Risk_Matrix!$A$2:$A$4,0),MATCH(F2649,Risk_Matrix!$B$1:$D$1,0))</f>
        <v>High</v>
      </c>
      <c r="H2649" s="12" t="n">
        <v>46138</v>
      </c>
      <c r="I2649" s="5" t="s">
        <v>2241</v>
      </c>
      <c r="J2649" s="5" t="s">
        <v>2242</v>
      </c>
      <c r="K2649" s="5" t="s">
        <v>2283</v>
      </c>
      <c r="L2649" s="5" t="n">
        <f aca="false">IF(G2649="High",3,IF(G2649="Medium",2,1))</f>
        <v>3</v>
      </c>
    </row>
    <row r="2650" customFormat="false" ht="15" hidden="false" customHeight="true" outlineLevel="0" collapsed="false">
      <c r="A2650" s="5" t="s">
        <v>4928</v>
      </c>
      <c r="B2650" s="5" t="s">
        <v>1874</v>
      </c>
      <c r="C2650" s="5" t="s">
        <v>2248</v>
      </c>
      <c r="D2650" s="5" t="s">
        <v>2306</v>
      </c>
      <c r="E2650" s="5" t="s">
        <v>59</v>
      </c>
      <c r="F2650" s="5" t="s">
        <v>59</v>
      </c>
      <c r="G2650" s="5" t="str">
        <f aca="false">INDEX(Risk_Matrix!$B$2:$D$4,MATCH(E2650,Risk_Matrix!$A$2:$A$4,0),MATCH(F2650,Risk_Matrix!$B$1:$D$1,0))</f>
        <v>Low</v>
      </c>
      <c r="H2650" s="12" t="n">
        <v>46224</v>
      </c>
      <c r="I2650" s="5" t="s">
        <v>2250</v>
      </c>
      <c r="J2650" s="5" t="s">
        <v>2251</v>
      </c>
      <c r="K2650" s="5" t="s">
        <v>2276</v>
      </c>
      <c r="L2650" s="5" t="n">
        <f aca="false">IF(G2650="High",3,IF(G2650="Medium",2,1))</f>
        <v>1</v>
      </c>
    </row>
    <row r="2651" customFormat="false" ht="15" hidden="false" customHeight="true" outlineLevel="0" collapsed="false">
      <c r="A2651" s="5" t="s">
        <v>4929</v>
      </c>
      <c r="B2651" s="5" t="s">
        <v>1874</v>
      </c>
      <c r="C2651" s="5" t="s">
        <v>2262</v>
      </c>
      <c r="D2651" s="5" t="s">
        <v>2263</v>
      </c>
      <c r="E2651" s="5" t="s">
        <v>2225</v>
      </c>
      <c r="F2651" s="5" t="s">
        <v>54</v>
      </c>
      <c r="G2651" s="5" t="str">
        <f aca="false">INDEX(Risk_Matrix!$B$2:$D$4,MATCH(E2651,Risk_Matrix!$A$2:$A$4,0),MATCH(F2651,Risk_Matrix!$B$1:$D$1,0))</f>
        <v>High</v>
      </c>
      <c r="H2651" s="12" t="n">
        <v>46184</v>
      </c>
      <c r="I2651" s="5" t="s">
        <v>2256</v>
      </c>
      <c r="J2651" s="5" t="s">
        <v>4081</v>
      </c>
      <c r="K2651" s="5" t="s">
        <v>2243</v>
      </c>
      <c r="L2651" s="5" t="n">
        <f aca="false">IF(G2651="High",3,IF(G2651="Medium",2,1))</f>
        <v>3</v>
      </c>
    </row>
    <row r="2652" customFormat="false" ht="15" hidden="false" customHeight="true" outlineLevel="0" collapsed="false">
      <c r="A2652" s="5" t="s">
        <v>4930</v>
      </c>
      <c r="B2652" s="5" t="s">
        <v>1874</v>
      </c>
      <c r="C2652" s="5" t="s">
        <v>2259</v>
      </c>
      <c r="D2652" s="5" t="s">
        <v>2285</v>
      </c>
      <c r="E2652" s="5" t="s">
        <v>59</v>
      </c>
      <c r="F2652" s="5" t="s">
        <v>2225</v>
      </c>
      <c r="G2652" s="5" t="str">
        <f aca="false">INDEX(Risk_Matrix!$B$2:$D$4,MATCH(E2652,Risk_Matrix!$A$2:$A$4,0),MATCH(F2652,Risk_Matrix!$B$1:$D$1,0))</f>
        <v>Low</v>
      </c>
      <c r="H2652" s="12" t="n">
        <v>46218</v>
      </c>
      <c r="I2652" s="5" t="s">
        <v>2250</v>
      </c>
      <c r="J2652" s="5" t="s">
        <v>2251</v>
      </c>
      <c r="K2652" s="5" t="s">
        <v>2243</v>
      </c>
      <c r="L2652" s="5" t="n">
        <f aca="false">IF(G2652="High",3,IF(G2652="Medium",2,1))</f>
        <v>1</v>
      </c>
    </row>
    <row r="2653" customFormat="false" ht="15" hidden="false" customHeight="true" outlineLevel="0" collapsed="false">
      <c r="A2653" s="5" t="s">
        <v>4931</v>
      </c>
      <c r="B2653" s="5" t="s">
        <v>1874</v>
      </c>
      <c r="C2653" s="5" t="s">
        <v>2254</v>
      </c>
      <c r="D2653" s="5" t="s">
        <v>2308</v>
      </c>
      <c r="E2653" s="5" t="s">
        <v>59</v>
      </c>
      <c r="F2653" s="5" t="s">
        <v>2225</v>
      </c>
      <c r="G2653" s="5" t="str">
        <f aca="false">INDEX(Risk_Matrix!$B$2:$D$4,MATCH(E2653,Risk_Matrix!$A$2:$A$4,0),MATCH(F2653,Risk_Matrix!$B$1:$D$1,0))</f>
        <v>Low</v>
      </c>
      <c r="H2653" s="12" t="n">
        <v>46076</v>
      </c>
      <c r="I2653" s="5" t="s">
        <v>2250</v>
      </c>
      <c r="J2653" s="5" t="s">
        <v>2251</v>
      </c>
      <c r="K2653" s="5" t="s">
        <v>2283</v>
      </c>
      <c r="L2653" s="5" t="n">
        <f aca="false">IF(G2653="High",3,IF(G2653="Medium",2,1))</f>
        <v>1</v>
      </c>
    </row>
    <row r="2654" customFormat="false" ht="15" hidden="false" customHeight="true" outlineLevel="0" collapsed="false">
      <c r="A2654" s="5" t="s">
        <v>4932</v>
      </c>
      <c r="B2654" s="5" t="s">
        <v>1876</v>
      </c>
      <c r="C2654" s="5" t="s">
        <v>2239</v>
      </c>
      <c r="D2654" s="5" t="s">
        <v>2240</v>
      </c>
      <c r="E2654" s="5" t="s">
        <v>54</v>
      </c>
      <c r="F2654" s="5" t="s">
        <v>2225</v>
      </c>
      <c r="G2654" s="5" t="str">
        <f aca="false">INDEX(Risk_Matrix!$B$2:$D$4,MATCH(E2654,Risk_Matrix!$A$2:$A$4,0),MATCH(F2654,Risk_Matrix!$B$1:$D$1,0))</f>
        <v>High</v>
      </c>
      <c r="H2654" s="12" t="n">
        <v>46121</v>
      </c>
      <c r="I2654" s="5" t="s">
        <v>2250</v>
      </c>
      <c r="J2654" s="5" t="s">
        <v>2251</v>
      </c>
      <c r="K2654" s="5" t="s">
        <v>2266</v>
      </c>
      <c r="L2654" s="5" t="n">
        <f aca="false">IF(G2654="High",3,IF(G2654="Medium",2,1))</f>
        <v>3</v>
      </c>
    </row>
    <row r="2655" customFormat="false" ht="15" hidden="false" customHeight="true" outlineLevel="0" collapsed="false">
      <c r="A2655" s="5" t="s">
        <v>4933</v>
      </c>
      <c r="B2655" s="5" t="s">
        <v>1876</v>
      </c>
      <c r="C2655" s="5" t="s">
        <v>2245</v>
      </c>
      <c r="D2655" s="5" t="s">
        <v>2320</v>
      </c>
      <c r="E2655" s="5" t="s">
        <v>54</v>
      </c>
      <c r="F2655" s="5" t="s">
        <v>59</v>
      </c>
      <c r="G2655" s="5" t="str">
        <f aca="false">INDEX(Risk_Matrix!$B$2:$D$4,MATCH(E2655,Risk_Matrix!$A$2:$A$4,0),MATCH(F2655,Risk_Matrix!$B$1:$D$1,0))</f>
        <v>Medium</v>
      </c>
      <c r="H2655" s="12" t="n">
        <v>46192</v>
      </c>
      <c r="I2655" s="5" t="s">
        <v>2250</v>
      </c>
      <c r="J2655" s="5" t="s">
        <v>2251</v>
      </c>
      <c r="K2655" s="5" t="s">
        <v>2266</v>
      </c>
      <c r="L2655" s="5" t="n">
        <f aca="false">IF(G2655="High",3,IF(G2655="Medium",2,1))</f>
        <v>2</v>
      </c>
    </row>
    <row r="2656" customFormat="false" ht="15" hidden="false" customHeight="true" outlineLevel="0" collapsed="false">
      <c r="A2656" s="5" t="s">
        <v>4934</v>
      </c>
      <c r="B2656" s="5" t="s">
        <v>1876</v>
      </c>
      <c r="C2656" s="5" t="s">
        <v>2248</v>
      </c>
      <c r="D2656" s="5" t="s">
        <v>2306</v>
      </c>
      <c r="E2656" s="5" t="s">
        <v>54</v>
      </c>
      <c r="F2656" s="5" t="s">
        <v>2225</v>
      </c>
      <c r="G2656" s="5" t="str">
        <f aca="false">INDEX(Risk_Matrix!$B$2:$D$4,MATCH(E2656,Risk_Matrix!$A$2:$A$4,0),MATCH(F2656,Risk_Matrix!$B$1:$D$1,0))</f>
        <v>High</v>
      </c>
      <c r="H2656" s="12" t="n">
        <v>46205</v>
      </c>
      <c r="I2656" s="5" t="s">
        <v>2256</v>
      </c>
      <c r="J2656" s="5" t="s">
        <v>4081</v>
      </c>
      <c r="K2656" s="5" t="s">
        <v>2266</v>
      </c>
      <c r="L2656" s="5" t="n">
        <f aca="false">IF(G2656="High",3,IF(G2656="Medium",2,1))</f>
        <v>3</v>
      </c>
    </row>
    <row r="2657" customFormat="false" ht="15" hidden="false" customHeight="true" outlineLevel="0" collapsed="false">
      <c r="A2657" s="5" t="s">
        <v>4935</v>
      </c>
      <c r="B2657" s="5" t="s">
        <v>1876</v>
      </c>
      <c r="C2657" s="5" t="s">
        <v>2262</v>
      </c>
      <c r="D2657" s="5" t="s">
        <v>2263</v>
      </c>
      <c r="E2657" s="5" t="s">
        <v>2225</v>
      </c>
      <c r="F2657" s="5" t="s">
        <v>2225</v>
      </c>
      <c r="G2657" s="5" t="str">
        <f aca="false">INDEX(Risk_Matrix!$B$2:$D$4,MATCH(E2657,Risk_Matrix!$A$2:$A$4,0),MATCH(F2657,Risk_Matrix!$B$1:$D$1,0))</f>
        <v>Medium</v>
      </c>
      <c r="H2657" s="12" t="n">
        <v>46237</v>
      </c>
      <c r="I2657" s="5" t="s">
        <v>2241</v>
      </c>
      <c r="J2657" s="5" t="s">
        <v>2242</v>
      </c>
      <c r="K2657" s="5" t="s">
        <v>2283</v>
      </c>
      <c r="L2657" s="5" t="n">
        <f aca="false">IF(G2657="High",3,IF(G2657="Medium",2,1))</f>
        <v>2</v>
      </c>
    </row>
    <row r="2658" customFormat="false" ht="15" hidden="false" customHeight="true" outlineLevel="0" collapsed="false">
      <c r="A2658" s="5" t="s">
        <v>4936</v>
      </c>
      <c r="B2658" s="5" t="s">
        <v>1876</v>
      </c>
      <c r="C2658" s="5" t="s">
        <v>2259</v>
      </c>
      <c r="D2658" s="5" t="s">
        <v>2260</v>
      </c>
      <c r="E2658" s="5" t="s">
        <v>54</v>
      </c>
      <c r="F2658" s="5" t="s">
        <v>2225</v>
      </c>
      <c r="G2658" s="5" t="str">
        <f aca="false">INDEX(Risk_Matrix!$B$2:$D$4,MATCH(E2658,Risk_Matrix!$A$2:$A$4,0),MATCH(F2658,Risk_Matrix!$B$1:$D$1,0))</f>
        <v>High</v>
      </c>
      <c r="H2658" s="12" t="n">
        <v>46071</v>
      </c>
      <c r="I2658" s="5" t="s">
        <v>2256</v>
      </c>
      <c r="J2658" s="5" t="s">
        <v>4081</v>
      </c>
      <c r="K2658" s="5" t="s">
        <v>2276</v>
      </c>
      <c r="L2658" s="5" t="n">
        <f aca="false">IF(G2658="High",3,IF(G2658="Medium",2,1))</f>
        <v>3</v>
      </c>
    </row>
    <row r="2659" customFormat="false" ht="15" hidden="false" customHeight="true" outlineLevel="0" collapsed="false">
      <c r="A2659" s="5" t="s">
        <v>4937</v>
      </c>
      <c r="B2659" s="5" t="s">
        <v>1876</v>
      </c>
      <c r="C2659" s="5" t="s">
        <v>2254</v>
      </c>
      <c r="D2659" s="5" t="s">
        <v>2255</v>
      </c>
      <c r="E2659" s="5" t="s">
        <v>54</v>
      </c>
      <c r="F2659" s="5" t="s">
        <v>54</v>
      </c>
      <c r="G2659" s="5" t="str">
        <f aca="false">INDEX(Risk_Matrix!$B$2:$D$4,MATCH(E2659,Risk_Matrix!$A$2:$A$4,0),MATCH(F2659,Risk_Matrix!$B$1:$D$1,0))</f>
        <v>High</v>
      </c>
      <c r="H2659" s="12" t="n">
        <v>46121</v>
      </c>
      <c r="I2659" s="5" t="s">
        <v>2241</v>
      </c>
      <c r="J2659" s="5" t="s">
        <v>2242</v>
      </c>
      <c r="K2659" s="5" t="s">
        <v>2266</v>
      </c>
      <c r="L2659" s="5" t="n">
        <f aca="false">IF(G2659="High",3,IF(G2659="Medium",2,1))</f>
        <v>3</v>
      </c>
    </row>
    <row r="2660" customFormat="false" ht="15" hidden="false" customHeight="true" outlineLevel="0" collapsed="false">
      <c r="A2660" s="5" t="s">
        <v>4938</v>
      </c>
      <c r="B2660" s="5" t="s">
        <v>1878</v>
      </c>
      <c r="C2660" s="5" t="s">
        <v>2239</v>
      </c>
      <c r="D2660" s="5" t="s">
        <v>2240</v>
      </c>
      <c r="E2660" s="5" t="s">
        <v>54</v>
      </c>
      <c r="F2660" s="5" t="s">
        <v>54</v>
      </c>
      <c r="G2660" s="5" t="str">
        <f aca="false">INDEX(Risk_Matrix!$B$2:$D$4,MATCH(E2660,Risk_Matrix!$A$2:$A$4,0),MATCH(F2660,Risk_Matrix!$B$1:$D$1,0))</f>
        <v>High</v>
      </c>
      <c r="H2660" s="12" t="n">
        <v>46060</v>
      </c>
      <c r="I2660" s="5" t="s">
        <v>2264</v>
      </c>
      <c r="J2660" s="5" t="s">
        <v>4087</v>
      </c>
      <c r="K2660" s="5" t="s">
        <v>2243</v>
      </c>
      <c r="L2660" s="5" t="n">
        <f aca="false">IF(G2660="High",3,IF(G2660="Medium",2,1))</f>
        <v>3</v>
      </c>
    </row>
    <row r="2661" customFormat="false" ht="15" hidden="false" customHeight="true" outlineLevel="0" collapsed="false">
      <c r="A2661" s="5" t="s">
        <v>4939</v>
      </c>
      <c r="B2661" s="5" t="s">
        <v>1878</v>
      </c>
      <c r="C2661" s="5" t="s">
        <v>2245</v>
      </c>
      <c r="D2661" s="5" t="s">
        <v>2280</v>
      </c>
      <c r="E2661" s="5" t="s">
        <v>2225</v>
      </c>
      <c r="F2661" s="5" t="s">
        <v>59</v>
      </c>
      <c r="G2661" s="5" t="str">
        <f aca="false">INDEX(Risk_Matrix!$B$2:$D$4,MATCH(E2661,Risk_Matrix!$A$2:$A$4,0),MATCH(F2661,Risk_Matrix!$B$1:$D$1,0))</f>
        <v>Low</v>
      </c>
      <c r="H2661" s="12" t="n">
        <v>46190</v>
      </c>
      <c r="I2661" s="5" t="s">
        <v>2241</v>
      </c>
      <c r="J2661" s="5" t="s">
        <v>2242</v>
      </c>
      <c r="K2661" s="5" t="s">
        <v>2276</v>
      </c>
      <c r="L2661" s="5" t="n">
        <f aca="false">IF(G2661="High",3,IF(G2661="Medium",2,1))</f>
        <v>1</v>
      </c>
    </row>
    <row r="2662" customFormat="false" ht="15" hidden="false" customHeight="true" outlineLevel="0" collapsed="false">
      <c r="A2662" s="5" t="s">
        <v>4940</v>
      </c>
      <c r="B2662" s="5" t="s">
        <v>1878</v>
      </c>
      <c r="C2662" s="5" t="s">
        <v>2248</v>
      </c>
      <c r="D2662" s="5" t="s">
        <v>2271</v>
      </c>
      <c r="E2662" s="5" t="s">
        <v>2225</v>
      </c>
      <c r="F2662" s="5" t="s">
        <v>59</v>
      </c>
      <c r="G2662" s="5" t="str">
        <f aca="false">INDEX(Risk_Matrix!$B$2:$D$4,MATCH(E2662,Risk_Matrix!$A$2:$A$4,0),MATCH(F2662,Risk_Matrix!$B$1:$D$1,0))</f>
        <v>Low</v>
      </c>
      <c r="H2662" s="12" t="n">
        <v>46194</v>
      </c>
      <c r="I2662" s="5" t="s">
        <v>2250</v>
      </c>
      <c r="J2662" s="5" t="s">
        <v>2251</v>
      </c>
      <c r="K2662" s="5" t="s">
        <v>2243</v>
      </c>
      <c r="L2662" s="5" t="n">
        <f aca="false">IF(G2662="High",3,IF(G2662="Medium",2,1))</f>
        <v>1</v>
      </c>
    </row>
    <row r="2663" customFormat="false" ht="15" hidden="false" customHeight="true" outlineLevel="0" collapsed="false">
      <c r="A2663" s="5" t="s">
        <v>4941</v>
      </c>
      <c r="B2663" s="5" t="s">
        <v>1878</v>
      </c>
      <c r="C2663" s="5" t="s">
        <v>2262</v>
      </c>
      <c r="D2663" s="5" t="s">
        <v>2263</v>
      </c>
      <c r="E2663" s="5" t="s">
        <v>54</v>
      </c>
      <c r="F2663" s="5" t="s">
        <v>59</v>
      </c>
      <c r="G2663" s="5" t="str">
        <f aca="false">INDEX(Risk_Matrix!$B$2:$D$4,MATCH(E2663,Risk_Matrix!$A$2:$A$4,0),MATCH(F2663,Risk_Matrix!$B$1:$D$1,0))</f>
        <v>Medium</v>
      </c>
      <c r="H2663" s="12" t="n">
        <v>46208</v>
      </c>
      <c r="I2663" s="5" t="s">
        <v>2250</v>
      </c>
      <c r="J2663" s="5" t="s">
        <v>2251</v>
      </c>
      <c r="K2663" s="5" t="s">
        <v>2252</v>
      </c>
      <c r="L2663" s="5" t="n">
        <f aca="false">IF(G2663="High",3,IF(G2663="Medium",2,1))</f>
        <v>2</v>
      </c>
    </row>
    <row r="2664" customFormat="false" ht="15" hidden="false" customHeight="true" outlineLevel="0" collapsed="false">
      <c r="A2664" s="5" t="s">
        <v>4942</v>
      </c>
      <c r="B2664" s="5" t="s">
        <v>1878</v>
      </c>
      <c r="C2664" s="5" t="s">
        <v>2259</v>
      </c>
      <c r="D2664" s="5" t="s">
        <v>2260</v>
      </c>
      <c r="E2664" s="5" t="s">
        <v>54</v>
      </c>
      <c r="F2664" s="5" t="s">
        <v>54</v>
      </c>
      <c r="G2664" s="5" t="str">
        <f aca="false">INDEX(Risk_Matrix!$B$2:$D$4,MATCH(E2664,Risk_Matrix!$A$2:$A$4,0),MATCH(F2664,Risk_Matrix!$B$1:$D$1,0))</f>
        <v>High</v>
      </c>
      <c r="H2664" s="12" t="n">
        <v>46030</v>
      </c>
      <c r="I2664" s="5" t="s">
        <v>2250</v>
      </c>
      <c r="J2664" s="5" t="s">
        <v>2251</v>
      </c>
      <c r="K2664" s="5" t="s">
        <v>2283</v>
      </c>
      <c r="L2664" s="5" t="n">
        <f aca="false">IF(G2664="High",3,IF(G2664="Medium",2,1))</f>
        <v>3</v>
      </c>
    </row>
    <row r="2665" customFormat="false" ht="15" hidden="false" customHeight="true" outlineLevel="0" collapsed="false">
      <c r="A2665" s="5" t="s">
        <v>4943</v>
      </c>
      <c r="B2665" s="5" t="s">
        <v>1878</v>
      </c>
      <c r="C2665" s="5" t="s">
        <v>2254</v>
      </c>
      <c r="D2665" s="5" t="s">
        <v>2299</v>
      </c>
      <c r="E2665" s="5" t="s">
        <v>2225</v>
      </c>
      <c r="F2665" s="5" t="s">
        <v>2225</v>
      </c>
      <c r="G2665" s="5" t="str">
        <f aca="false">INDEX(Risk_Matrix!$B$2:$D$4,MATCH(E2665,Risk_Matrix!$A$2:$A$4,0),MATCH(F2665,Risk_Matrix!$B$1:$D$1,0))</f>
        <v>Medium</v>
      </c>
      <c r="H2665" s="12" t="n">
        <v>46076</v>
      </c>
      <c r="I2665" s="5" t="s">
        <v>2241</v>
      </c>
      <c r="J2665" s="5" t="s">
        <v>2242</v>
      </c>
      <c r="K2665" s="5" t="s">
        <v>2266</v>
      </c>
      <c r="L2665" s="5" t="n">
        <f aca="false">IF(G2665="High",3,IF(G2665="Medium",2,1))</f>
        <v>2</v>
      </c>
    </row>
    <row r="2666" customFormat="false" ht="15" hidden="false" customHeight="true" outlineLevel="0" collapsed="false">
      <c r="A2666" s="5" t="s">
        <v>4944</v>
      </c>
      <c r="B2666" s="5" t="s">
        <v>1880</v>
      </c>
      <c r="C2666" s="5" t="s">
        <v>2239</v>
      </c>
      <c r="D2666" s="5" t="s">
        <v>2278</v>
      </c>
      <c r="E2666" s="5" t="s">
        <v>54</v>
      </c>
      <c r="F2666" s="5" t="s">
        <v>2225</v>
      </c>
      <c r="G2666" s="5" t="str">
        <f aca="false">INDEX(Risk_Matrix!$B$2:$D$4,MATCH(E2666,Risk_Matrix!$A$2:$A$4,0),MATCH(F2666,Risk_Matrix!$B$1:$D$1,0))</f>
        <v>High</v>
      </c>
      <c r="H2666" s="12" t="n">
        <v>46140</v>
      </c>
      <c r="I2666" s="5" t="s">
        <v>2241</v>
      </c>
      <c r="J2666" s="5" t="s">
        <v>2242</v>
      </c>
      <c r="K2666" s="5" t="s">
        <v>2243</v>
      </c>
      <c r="L2666" s="5" t="n">
        <f aca="false">IF(G2666="High",3,IF(G2666="Medium",2,1))</f>
        <v>3</v>
      </c>
    </row>
    <row r="2667" customFormat="false" ht="15" hidden="false" customHeight="true" outlineLevel="0" collapsed="false">
      <c r="A2667" s="5" t="s">
        <v>4945</v>
      </c>
      <c r="B2667" s="5" t="s">
        <v>1880</v>
      </c>
      <c r="C2667" s="5" t="s">
        <v>2245</v>
      </c>
      <c r="D2667" s="5" t="s">
        <v>2280</v>
      </c>
      <c r="E2667" s="5" t="s">
        <v>2225</v>
      </c>
      <c r="F2667" s="5" t="s">
        <v>54</v>
      </c>
      <c r="G2667" s="5" t="str">
        <f aca="false">INDEX(Risk_Matrix!$B$2:$D$4,MATCH(E2667,Risk_Matrix!$A$2:$A$4,0),MATCH(F2667,Risk_Matrix!$B$1:$D$1,0))</f>
        <v>High</v>
      </c>
      <c r="H2667" s="12" t="n">
        <v>46131</v>
      </c>
      <c r="I2667" s="5" t="s">
        <v>2264</v>
      </c>
      <c r="J2667" s="5" t="s">
        <v>4087</v>
      </c>
      <c r="K2667" s="5" t="s">
        <v>2283</v>
      </c>
      <c r="L2667" s="5" t="n">
        <f aca="false">IF(G2667="High",3,IF(G2667="Medium",2,1))</f>
        <v>3</v>
      </c>
    </row>
    <row r="2668" customFormat="false" ht="15" hidden="false" customHeight="true" outlineLevel="0" collapsed="false">
      <c r="A2668" s="5" t="s">
        <v>4946</v>
      </c>
      <c r="B2668" s="5" t="s">
        <v>1880</v>
      </c>
      <c r="C2668" s="5" t="s">
        <v>2248</v>
      </c>
      <c r="D2668" s="5" t="s">
        <v>2322</v>
      </c>
      <c r="E2668" s="5" t="s">
        <v>54</v>
      </c>
      <c r="F2668" s="5" t="s">
        <v>54</v>
      </c>
      <c r="G2668" s="5" t="str">
        <f aca="false">INDEX(Risk_Matrix!$B$2:$D$4,MATCH(E2668,Risk_Matrix!$A$2:$A$4,0),MATCH(F2668,Risk_Matrix!$B$1:$D$1,0))</f>
        <v>High</v>
      </c>
      <c r="H2668" s="12" t="n">
        <v>46097</v>
      </c>
      <c r="I2668" s="5" t="s">
        <v>2241</v>
      </c>
      <c r="J2668" s="5" t="s">
        <v>2242</v>
      </c>
      <c r="K2668" s="5" t="s">
        <v>2252</v>
      </c>
      <c r="L2668" s="5" t="n">
        <f aca="false">IF(G2668="High",3,IF(G2668="Medium",2,1))</f>
        <v>3</v>
      </c>
    </row>
    <row r="2669" customFormat="false" ht="15" hidden="false" customHeight="true" outlineLevel="0" collapsed="false">
      <c r="A2669" s="5" t="s">
        <v>4947</v>
      </c>
      <c r="B2669" s="5" t="s">
        <v>1880</v>
      </c>
      <c r="C2669" s="5" t="s">
        <v>2262</v>
      </c>
      <c r="D2669" s="5" t="s">
        <v>2263</v>
      </c>
      <c r="E2669" s="5" t="s">
        <v>2225</v>
      </c>
      <c r="F2669" s="5" t="s">
        <v>59</v>
      </c>
      <c r="G2669" s="5" t="str">
        <f aca="false">INDEX(Risk_Matrix!$B$2:$D$4,MATCH(E2669,Risk_Matrix!$A$2:$A$4,0),MATCH(F2669,Risk_Matrix!$B$1:$D$1,0))</f>
        <v>Low</v>
      </c>
      <c r="H2669" s="12" t="n">
        <v>46172</v>
      </c>
      <c r="I2669" s="5" t="s">
        <v>2250</v>
      </c>
      <c r="J2669" s="5" t="s">
        <v>2251</v>
      </c>
      <c r="K2669" s="5" t="s">
        <v>2276</v>
      </c>
      <c r="L2669" s="5" t="n">
        <f aca="false">IF(G2669="High",3,IF(G2669="Medium",2,1))</f>
        <v>1</v>
      </c>
    </row>
    <row r="2670" customFormat="false" ht="15" hidden="false" customHeight="true" outlineLevel="0" collapsed="false">
      <c r="A2670" s="5" t="s">
        <v>4948</v>
      </c>
      <c r="B2670" s="5" t="s">
        <v>1880</v>
      </c>
      <c r="C2670" s="5" t="s">
        <v>2259</v>
      </c>
      <c r="D2670" s="5" t="s">
        <v>2285</v>
      </c>
      <c r="E2670" s="5" t="s">
        <v>59</v>
      </c>
      <c r="F2670" s="5" t="s">
        <v>54</v>
      </c>
      <c r="G2670" s="5" t="str">
        <f aca="false">INDEX(Risk_Matrix!$B$2:$D$4,MATCH(E2670,Risk_Matrix!$A$2:$A$4,0),MATCH(F2670,Risk_Matrix!$B$1:$D$1,0))</f>
        <v>Medium</v>
      </c>
      <c r="H2670" s="12" t="n">
        <v>46056</v>
      </c>
      <c r="I2670" s="5" t="s">
        <v>2256</v>
      </c>
      <c r="J2670" s="5" t="s">
        <v>4081</v>
      </c>
      <c r="K2670" s="5" t="s">
        <v>2266</v>
      </c>
      <c r="L2670" s="5" t="n">
        <f aca="false">IF(G2670="High",3,IF(G2670="Medium",2,1))</f>
        <v>2</v>
      </c>
    </row>
    <row r="2671" customFormat="false" ht="15" hidden="false" customHeight="true" outlineLevel="0" collapsed="false">
      <c r="A2671" s="5" t="s">
        <v>4949</v>
      </c>
      <c r="B2671" s="5" t="s">
        <v>1880</v>
      </c>
      <c r="C2671" s="5" t="s">
        <v>2254</v>
      </c>
      <c r="D2671" s="5" t="s">
        <v>2308</v>
      </c>
      <c r="E2671" s="5" t="s">
        <v>59</v>
      </c>
      <c r="F2671" s="5" t="s">
        <v>54</v>
      </c>
      <c r="G2671" s="5" t="str">
        <f aca="false">INDEX(Risk_Matrix!$B$2:$D$4,MATCH(E2671,Risk_Matrix!$A$2:$A$4,0),MATCH(F2671,Risk_Matrix!$B$1:$D$1,0))</f>
        <v>Medium</v>
      </c>
      <c r="H2671" s="12" t="n">
        <v>46108</v>
      </c>
      <c r="I2671" s="5" t="s">
        <v>2241</v>
      </c>
      <c r="J2671" s="5" t="s">
        <v>2242</v>
      </c>
      <c r="K2671" s="5" t="s">
        <v>2243</v>
      </c>
      <c r="L2671" s="5" t="n">
        <f aca="false">IF(G2671="High",3,IF(G2671="Medium",2,1))</f>
        <v>2</v>
      </c>
    </row>
    <row r="2672" customFormat="false" ht="15" hidden="false" customHeight="true" outlineLevel="0" collapsed="false">
      <c r="A2672" s="5" t="s">
        <v>4950</v>
      </c>
      <c r="B2672" s="5" t="s">
        <v>1882</v>
      </c>
      <c r="C2672" s="5" t="s">
        <v>2239</v>
      </c>
      <c r="D2672" s="5" t="s">
        <v>2240</v>
      </c>
      <c r="E2672" s="5" t="s">
        <v>59</v>
      </c>
      <c r="F2672" s="5" t="s">
        <v>59</v>
      </c>
      <c r="G2672" s="5" t="str">
        <f aca="false">INDEX(Risk_Matrix!$B$2:$D$4,MATCH(E2672,Risk_Matrix!$A$2:$A$4,0),MATCH(F2672,Risk_Matrix!$B$1:$D$1,0))</f>
        <v>Low</v>
      </c>
      <c r="H2672" s="12" t="n">
        <v>46144</v>
      </c>
      <c r="I2672" s="5" t="s">
        <v>2264</v>
      </c>
      <c r="J2672" s="5" t="s">
        <v>4087</v>
      </c>
      <c r="K2672" s="5" t="s">
        <v>2252</v>
      </c>
      <c r="L2672" s="5" t="n">
        <f aca="false">IF(G2672="High",3,IF(G2672="Medium",2,1))</f>
        <v>1</v>
      </c>
    </row>
    <row r="2673" customFormat="false" ht="15" hidden="false" customHeight="true" outlineLevel="0" collapsed="false">
      <c r="A2673" s="5" t="s">
        <v>4951</v>
      </c>
      <c r="B2673" s="5" t="s">
        <v>1882</v>
      </c>
      <c r="C2673" s="5" t="s">
        <v>2245</v>
      </c>
      <c r="D2673" s="5" t="s">
        <v>2280</v>
      </c>
      <c r="E2673" s="5" t="s">
        <v>54</v>
      </c>
      <c r="F2673" s="5" t="s">
        <v>59</v>
      </c>
      <c r="G2673" s="5" t="str">
        <f aca="false">INDEX(Risk_Matrix!$B$2:$D$4,MATCH(E2673,Risk_Matrix!$A$2:$A$4,0),MATCH(F2673,Risk_Matrix!$B$1:$D$1,0))</f>
        <v>Medium</v>
      </c>
      <c r="H2673" s="12" t="n">
        <v>46218</v>
      </c>
      <c r="I2673" s="5" t="s">
        <v>2250</v>
      </c>
      <c r="J2673" s="5" t="s">
        <v>2251</v>
      </c>
      <c r="K2673" s="5" t="s">
        <v>2243</v>
      </c>
      <c r="L2673" s="5" t="n">
        <f aca="false">IF(G2673="High",3,IF(G2673="Medium",2,1))</f>
        <v>2</v>
      </c>
    </row>
    <row r="2674" customFormat="false" ht="15" hidden="false" customHeight="true" outlineLevel="0" collapsed="false">
      <c r="A2674" s="5" t="s">
        <v>4952</v>
      </c>
      <c r="B2674" s="5" t="s">
        <v>1882</v>
      </c>
      <c r="C2674" s="5" t="s">
        <v>2248</v>
      </c>
      <c r="D2674" s="5" t="s">
        <v>2322</v>
      </c>
      <c r="E2674" s="5" t="s">
        <v>2225</v>
      </c>
      <c r="F2674" s="5" t="s">
        <v>59</v>
      </c>
      <c r="G2674" s="5" t="str">
        <f aca="false">INDEX(Risk_Matrix!$B$2:$D$4,MATCH(E2674,Risk_Matrix!$A$2:$A$4,0),MATCH(F2674,Risk_Matrix!$B$1:$D$1,0))</f>
        <v>Low</v>
      </c>
      <c r="H2674" s="12" t="n">
        <v>46072</v>
      </c>
      <c r="I2674" s="5" t="s">
        <v>2256</v>
      </c>
      <c r="J2674" s="5" t="s">
        <v>4081</v>
      </c>
      <c r="K2674" s="5" t="s">
        <v>2252</v>
      </c>
      <c r="L2674" s="5" t="n">
        <f aca="false">IF(G2674="High",3,IF(G2674="Medium",2,1))</f>
        <v>1</v>
      </c>
    </row>
    <row r="2675" customFormat="false" ht="15" hidden="false" customHeight="true" outlineLevel="0" collapsed="false">
      <c r="A2675" s="5" t="s">
        <v>4953</v>
      </c>
      <c r="B2675" s="5" t="s">
        <v>1882</v>
      </c>
      <c r="C2675" s="5" t="s">
        <v>2262</v>
      </c>
      <c r="D2675" s="5" t="s">
        <v>2287</v>
      </c>
      <c r="E2675" s="5" t="s">
        <v>59</v>
      </c>
      <c r="F2675" s="5" t="s">
        <v>54</v>
      </c>
      <c r="G2675" s="5" t="str">
        <f aca="false">INDEX(Risk_Matrix!$B$2:$D$4,MATCH(E2675,Risk_Matrix!$A$2:$A$4,0),MATCH(F2675,Risk_Matrix!$B$1:$D$1,0))</f>
        <v>Medium</v>
      </c>
      <c r="H2675" s="12" t="n">
        <v>46084</v>
      </c>
      <c r="I2675" s="5" t="s">
        <v>2250</v>
      </c>
      <c r="J2675" s="5" t="s">
        <v>2251</v>
      </c>
      <c r="K2675" s="5" t="s">
        <v>2276</v>
      </c>
      <c r="L2675" s="5" t="n">
        <f aca="false">IF(G2675="High",3,IF(G2675="Medium",2,1))</f>
        <v>2</v>
      </c>
    </row>
    <row r="2676" customFormat="false" ht="15" hidden="false" customHeight="true" outlineLevel="0" collapsed="false">
      <c r="A2676" s="5" t="s">
        <v>4954</v>
      </c>
      <c r="B2676" s="5" t="s">
        <v>1882</v>
      </c>
      <c r="C2676" s="5" t="s">
        <v>2259</v>
      </c>
      <c r="D2676" s="5" t="s">
        <v>2260</v>
      </c>
      <c r="E2676" s="5" t="s">
        <v>2225</v>
      </c>
      <c r="F2676" s="5" t="s">
        <v>59</v>
      </c>
      <c r="G2676" s="5" t="str">
        <f aca="false">INDEX(Risk_Matrix!$B$2:$D$4,MATCH(E2676,Risk_Matrix!$A$2:$A$4,0),MATCH(F2676,Risk_Matrix!$B$1:$D$1,0))</f>
        <v>Low</v>
      </c>
      <c r="H2676" s="12" t="n">
        <v>46093</v>
      </c>
      <c r="I2676" s="5" t="s">
        <v>2264</v>
      </c>
      <c r="J2676" s="5" t="s">
        <v>4087</v>
      </c>
      <c r="K2676" s="5" t="s">
        <v>2252</v>
      </c>
      <c r="L2676" s="5" t="n">
        <f aca="false">IF(G2676="High",3,IF(G2676="Medium",2,1))</f>
        <v>1</v>
      </c>
    </row>
    <row r="2677" customFormat="false" ht="15" hidden="false" customHeight="true" outlineLevel="0" collapsed="false">
      <c r="A2677" s="5" t="s">
        <v>4955</v>
      </c>
      <c r="B2677" s="5" t="s">
        <v>1882</v>
      </c>
      <c r="C2677" s="5" t="s">
        <v>2254</v>
      </c>
      <c r="D2677" s="5" t="s">
        <v>2299</v>
      </c>
      <c r="E2677" s="5" t="s">
        <v>2225</v>
      </c>
      <c r="F2677" s="5" t="s">
        <v>2225</v>
      </c>
      <c r="G2677" s="5" t="str">
        <f aca="false">INDEX(Risk_Matrix!$B$2:$D$4,MATCH(E2677,Risk_Matrix!$A$2:$A$4,0),MATCH(F2677,Risk_Matrix!$B$1:$D$1,0))</f>
        <v>Medium</v>
      </c>
      <c r="H2677" s="12" t="n">
        <v>46117</v>
      </c>
      <c r="I2677" s="5" t="s">
        <v>2241</v>
      </c>
      <c r="J2677" s="5" t="s">
        <v>2242</v>
      </c>
      <c r="K2677" s="5" t="s">
        <v>2276</v>
      </c>
      <c r="L2677" s="5" t="n">
        <f aca="false">IF(G2677="High",3,IF(G2677="Medium",2,1))</f>
        <v>2</v>
      </c>
    </row>
    <row r="2678" customFormat="false" ht="15" hidden="false" customHeight="true" outlineLevel="0" collapsed="false">
      <c r="A2678" s="5" t="s">
        <v>4956</v>
      </c>
      <c r="B2678" s="5" t="s">
        <v>1884</v>
      </c>
      <c r="C2678" s="5" t="s">
        <v>2239</v>
      </c>
      <c r="D2678" s="5" t="s">
        <v>2295</v>
      </c>
      <c r="E2678" s="5" t="s">
        <v>2225</v>
      </c>
      <c r="F2678" s="5" t="s">
        <v>54</v>
      </c>
      <c r="G2678" s="5" t="str">
        <f aca="false">INDEX(Risk_Matrix!$B$2:$D$4,MATCH(E2678,Risk_Matrix!$A$2:$A$4,0),MATCH(F2678,Risk_Matrix!$B$1:$D$1,0))</f>
        <v>High</v>
      </c>
      <c r="H2678" s="12" t="n">
        <v>46036</v>
      </c>
      <c r="I2678" s="5" t="s">
        <v>2256</v>
      </c>
      <c r="J2678" s="5" t="s">
        <v>4081</v>
      </c>
      <c r="K2678" s="5" t="s">
        <v>2243</v>
      </c>
      <c r="L2678" s="5" t="n">
        <f aca="false">IF(G2678="High",3,IF(G2678="Medium",2,1))</f>
        <v>3</v>
      </c>
    </row>
    <row r="2679" customFormat="false" ht="15" hidden="false" customHeight="true" outlineLevel="0" collapsed="false">
      <c r="A2679" s="5" t="s">
        <v>4957</v>
      </c>
      <c r="B2679" s="5" t="s">
        <v>1884</v>
      </c>
      <c r="C2679" s="5" t="s">
        <v>2245</v>
      </c>
      <c r="D2679" s="5" t="s">
        <v>2269</v>
      </c>
      <c r="E2679" s="5" t="s">
        <v>59</v>
      </c>
      <c r="F2679" s="5" t="s">
        <v>54</v>
      </c>
      <c r="G2679" s="5" t="str">
        <f aca="false">INDEX(Risk_Matrix!$B$2:$D$4,MATCH(E2679,Risk_Matrix!$A$2:$A$4,0),MATCH(F2679,Risk_Matrix!$B$1:$D$1,0))</f>
        <v>Medium</v>
      </c>
      <c r="H2679" s="12" t="n">
        <v>46115</v>
      </c>
      <c r="I2679" s="5" t="s">
        <v>2264</v>
      </c>
      <c r="J2679" s="5" t="s">
        <v>4087</v>
      </c>
      <c r="K2679" s="5" t="s">
        <v>2276</v>
      </c>
      <c r="L2679" s="5" t="n">
        <f aca="false">IF(G2679="High",3,IF(G2679="Medium",2,1))</f>
        <v>2</v>
      </c>
    </row>
    <row r="2680" customFormat="false" ht="15" hidden="false" customHeight="true" outlineLevel="0" collapsed="false">
      <c r="A2680" s="5" t="s">
        <v>4958</v>
      </c>
      <c r="B2680" s="5" t="s">
        <v>1884</v>
      </c>
      <c r="C2680" s="5" t="s">
        <v>2248</v>
      </c>
      <c r="D2680" s="5" t="s">
        <v>2306</v>
      </c>
      <c r="E2680" s="5" t="s">
        <v>59</v>
      </c>
      <c r="F2680" s="5" t="s">
        <v>2225</v>
      </c>
      <c r="G2680" s="5" t="str">
        <f aca="false">INDEX(Risk_Matrix!$B$2:$D$4,MATCH(E2680,Risk_Matrix!$A$2:$A$4,0),MATCH(F2680,Risk_Matrix!$B$1:$D$1,0))</f>
        <v>Low</v>
      </c>
      <c r="H2680" s="12" t="n">
        <v>46158</v>
      </c>
      <c r="I2680" s="5" t="s">
        <v>2250</v>
      </c>
      <c r="J2680" s="5" t="s">
        <v>2251</v>
      </c>
      <c r="K2680" s="5" t="s">
        <v>2266</v>
      </c>
      <c r="L2680" s="5" t="n">
        <f aca="false">IF(G2680="High",3,IF(G2680="Medium",2,1))</f>
        <v>1</v>
      </c>
    </row>
    <row r="2681" customFormat="false" ht="15" hidden="false" customHeight="true" outlineLevel="0" collapsed="false">
      <c r="A2681" s="5" t="s">
        <v>4959</v>
      </c>
      <c r="B2681" s="5" t="s">
        <v>1884</v>
      </c>
      <c r="C2681" s="5" t="s">
        <v>2262</v>
      </c>
      <c r="D2681" s="5" t="s">
        <v>2311</v>
      </c>
      <c r="E2681" s="5" t="s">
        <v>2225</v>
      </c>
      <c r="F2681" s="5" t="s">
        <v>59</v>
      </c>
      <c r="G2681" s="5" t="str">
        <f aca="false">INDEX(Risk_Matrix!$B$2:$D$4,MATCH(E2681,Risk_Matrix!$A$2:$A$4,0),MATCH(F2681,Risk_Matrix!$B$1:$D$1,0))</f>
        <v>Low</v>
      </c>
      <c r="H2681" s="12" t="n">
        <v>46035</v>
      </c>
      <c r="I2681" s="5" t="s">
        <v>2256</v>
      </c>
      <c r="J2681" s="5" t="s">
        <v>4081</v>
      </c>
      <c r="K2681" s="5" t="s">
        <v>2252</v>
      </c>
      <c r="L2681" s="5" t="n">
        <f aca="false">IF(G2681="High",3,IF(G2681="Medium",2,1))</f>
        <v>1</v>
      </c>
    </row>
    <row r="2682" customFormat="false" ht="15" hidden="false" customHeight="true" outlineLevel="0" collapsed="false">
      <c r="A2682" s="5" t="s">
        <v>4960</v>
      </c>
      <c r="B2682" s="5" t="s">
        <v>1884</v>
      </c>
      <c r="C2682" s="5" t="s">
        <v>2259</v>
      </c>
      <c r="D2682" s="5" t="s">
        <v>2260</v>
      </c>
      <c r="E2682" s="5" t="s">
        <v>54</v>
      </c>
      <c r="F2682" s="5" t="s">
        <v>54</v>
      </c>
      <c r="G2682" s="5" t="str">
        <f aca="false">INDEX(Risk_Matrix!$B$2:$D$4,MATCH(E2682,Risk_Matrix!$A$2:$A$4,0),MATCH(F2682,Risk_Matrix!$B$1:$D$1,0))</f>
        <v>High</v>
      </c>
      <c r="H2682" s="12" t="n">
        <v>46062</v>
      </c>
      <c r="I2682" s="5" t="s">
        <v>2264</v>
      </c>
      <c r="J2682" s="5" t="s">
        <v>4087</v>
      </c>
      <c r="K2682" s="5" t="s">
        <v>2276</v>
      </c>
      <c r="L2682" s="5" t="n">
        <f aca="false">IF(G2682="High",3,IF(G2682="Medium",2,1))</f>
        <v>3</v>
      </c>
    </row>
    <row r="2683" customFormat="false" ht="15" hidden="false" customHeight="true" outlineLevel="0" collapsed="false">
      <c r="A2683" s="5" t="s">
        <v>4961</v>
      </c>
      <c r="B2683" s="5" t="s">
        <v>1884</v>
      </c>
      <c r="C2683" s="5" t="s">
        <v>2254</v>
      </c>
      <c r="D2683" s="5" t="s">
        <v>2255</v>
      </c>
      <c r="E2683" s="5" t="s">
        <v>54</v>
      </c>
      <c r="F2683" s="5" t="s">
        <v>2225</v>
      </c>
      <c r="G2683" s="5" t="str">
        <f aca="false">INDEX(Risk_Matrix!$B$2:$D$4,MATCH(E2683,Risk_Matrix!$A$2:$A$4,0),MATCH(F2683,Risk_Matrix!$B$1:$D$1,0))</f>
        <v>High</v>
      </c>
      <c r="H2683" s="12" t="n">
        <v>46123</v>
      </c>
      <c r="I2683" s="5" t="s">
        <v>2250</v>
      </c>
      <c r="J2683" s="5" t="s">
        <v>2251</v>
      </c>
      <c r="K2683" s="5" t="s">
        <v>2283</v>
      </c>
      <c r="L2683" s="5" t="n">
        <f aca="false">IF(G2683="High",3,IF(G2683="Medium",2,1))</f>
        <v>3</v>
      </c>
    </row>
    <row r="2684" customFormat="false" ht="15" hidden="false" customHeight="true" outlineLevel="0" collapsed="false">
      <c r="A2684" s="5" t="s">
        <v>4962</v>
      </c>
      <c r="B2684" s="5" t="s">
        <v>1886</v>
      </c>
      <c r="C2684" s="5" t="s">
        <v>2239</v>
      </c>
      <c r="D2684" s="5" t="s">
        <v>2240</v>
      </c>
      <c r="E2684" s="5" t="s">
        <v>2225</v>
      </c>
      <c r="F2684" s="5" t="s">
        <v>54</v>
      </c>
      <c r="G2684" s="5" t="str">
        <f aca="false">INDEX(Risk_Matrix!$B$2:$D$4,MATCH(E2684,Risk_Matrix!$A$2:$A$4,0),MATCH(F2684,Risk_Matrix!$B$1:$D$1,0))</f>
        <v>High</v>
      </c>
      <c r="H2684" s="12" t="n">
        <v>46029</v>
      </c>
      <c r="I2684" s="5" t="s">
        <v>2241</v>
      </c>
      <c r="J2684" s="5" t="s">
        <v>2242</v>
      </c>
      <c r="K2684" s="5" t="s">
        <v>2252</v>
      </c>
      <c r="L2684" s="5" t="n">
        <f aca="false">IF(G2684="High",3,IF(G2684="Medium",2,1))</f>
        <v>3</v>
      </c>
    </row>
    <row r="2685" customFormat="false" ht="15" hidden="false" customHeight="true" outlineLevel="0" collapsed="false">
      <c r="A2685" s="5" t="s">
        <v>4963</v>
      </c>
      <c r="B2685" s="5" t="s">
        <v>1886</v>
      </c>
      <c r="C2685" s="5" t="s">
        <v>2245</v>
      </c>
      <c r="D2685" s="5" t="s">
        <v>2246</v>
      </c>
      <c r="E2685" s="5" t="s">
        <v>2225</v>
      </c>
      <c r="F2685" s="5" t="s">
        <v>2225</v>
      </c>
      <c r="G2685" s="5" t="str">
        <f aca="false">INDEX(Risk_Matrix!$B$2:$D$4,MATCH(E2685,Risk_Matrix!$A$2:$A$4,0),MATCH(F2685,Risk_Matrix!$B$1:$D$1,0))</f>
        <v>Medium</v>
      </c>
      <c r="H2685" s="12" t="n">
        <v>46192</v>
      </c>
      <c r="I2685" s="5" t="s">
        <v>2250</v>
      </c>
      <c r="J2685" s="5" t="s">
        <v>2251</v>
      </c>
      <c r="K2685" s="5" t="s">
        <v>2252</v>
      </c>
      <c r="L2685" s="5" t="n">
        <f aca="false">IF(G2685="High",3,IF(G2685="Medium",2,1))</f>
        <v>2</v>
      </c>
    </row>
    <row r="2686" customFormat="false" ht="15" hidden="false" customHeight="true" outlineLevel="0" collapsed="false">
      <c r="A2686" s="5" t="s">
        <v>4964</v>
      </c>
      <c r="B2686" s="5" t="s">
        <v>1886</v>
      </c>
      <c r="C2686" s="5" t="s">
        <v>2248</v>
      </c>
      <c r="D2686" s="5" t="s">
        <v>2271</v>
      </c>
      <c r="E2686" s="5" t="s">
        <v>59</v>
      </c>
      <c r="F2686" s="5" t="s">
        <v>2225</v>
      </c>
      <c r="G2686" s="5" t="str">
        <f aca="false">INDEX(Risk_Matrix!$B$2:$D$4,MATCH(E2686,Risk_Matrix!$A$2:$A$4,0),MATCH(F2686,Risk_Matrix!$B$1:$D$1,0))</f>
        <v>Low</v>
      </c>
      <c r="H2686" s="12" t="n">
        <v>46146</v>
      </c>
      <c r="I2686" s="5" t="s">
        <v>2250</v>
      </c>
      <c r="J2686" s="5" t="s">
        <v>2251</v>
      </c>
      <c r="K2686" s="5" t="s">
        <v>2243</v>
      </c>
      <c r="L2686" s="5" t="n">
        <f aca="false">IF(G2686="High",3,IF(G2686="Medium",2,1))</f>
        <v>1</v>
      </c>
    </row>
    <row r="2687" customFormat="false" ht="15" hidden="false" customHeight="true" outlineLevel="0" collapsed="false">
      <c r="A2687" s="5" t="s">
        <v>4965</v>
      </c>
      <c r="B2687" s="5" t="s">
        <v>1886</v>
      </c>
      <c r="C2687" s="5" t="s">
        <v>2262</v>
      </c>
      <c r="D2687" s="5" t="s">
        <v>2263</v>
      </c>
      <c r="E2687" s="5" t="s">
        <v>59</v>
      </c>
      <c r="F2687" s="5" t="s">
        <v>59</v>
      </c>
      <c r="G2687" s="5" t="str">
        <f aca="false">INDEX(Risk_Matrix!$B$2:$D$4,MATCH(E2687,Risk_Matrix!$A$2:$A$4,0),MATCH(F2687,Risk_Matrix!$B$1:$D$1,0))</f>
        <v>Low</v>
      </c>
      <c r="H2687" s="12" t="n">
        <v>46143</v>
      </c>
      <c r="I2687" s="5" t="s">
        <v>2256</v>
      </c>
      <c r="J2687" s="5" t="s">
        <v>4081</v>
      </c>
      <c r="K2687" s="5" t="s">
        <v>2283</v>
      </c>
      <c r="L2687" s="5" t="n">
        <f aca="false">IF(G2687="High",3,IF(G2687="Medium",2,1))</f>
        <v>1</v>
      </c>
    </row>
    <row r="2688" customFormat="false" ht="15" hidden="false" customHeight="true" outlineLevel="0" collapsed="false">
      <c r="A2688" s="5" t="s">
        <v>4966</v>
      </c>
      <c r="B2688" s="5" t="s">
        <v>1886</v>
      </c>
      <c r="C2688" s="5" t="s">
        <v>2259</v>
      </c>
      <c r="D2688" s="5" t="s">
        <v>2285</v>
      </c>
      <c r="E2688" s="5" t="s">
        <v>54</v>
      </c>
      <c r="F2688" s="5" t="s">
        <v>54</v>
      </c>
      <c r="G2688" s="5" t="str">
        <f aca="false">INDEX(Risk_Matrix!$B$2:$D$4,MATCH(E2688,Risk_Matrix!$A$2:$A$4,0),MATCH(F2688,Risk_Matrix!$B$1:$D$1,0))</f>
        <v>High</v>
      </c>
      <c r="H2688" s="12" t="n">
        <v>46148</v>
      </c>
      <c r="I2688" s="5" t="s">
        <v>2256</v>
      </c>
      <c r="J2688" s="5" t="s">
        <v>4081</v>
      </c>
      <c r="K2688" s="5" t="s">
        <v>2276</v>
      </c>
      <c r="L2688" s="5" t="n">
        <f aca="false">IF(G2688="High",3,IF(G2688="Medium",2,1))</f>
        <v>3</v>
      </c>
    </row>
    <row r="2689" customFormat="false" ht="15" hidden="false" customHeight="true" outlineLevel="0" collapsed="false">
      <c r="A2689" s="5" t="s">
        <v>4967</v>
      </c>
      <c r="B2689" s="5" t="s">
        <v>1886</v>
      </c>
      <c r="C2689" s="5" t="s">
        <v>2254</v>
      </c>
      <c r="D2689" s="5" t="s">
        <v>2308</v>
      </c>
      <c r="E2689" s="5" t="s">
        <v>2225</v>
      </c>
      <c r="F2689" s="5" t="s">
        <v>54</v>
      </c>
      <c r="G2689" s="5" t="str">
        <f aca="false">INDEX(Risk_Matrix!$B$2:$D$4,MATCH(E2689,Risk_Matrix!$A$2:$A$4,0),MATCH(F2689,Risk_Matrix!$B$1:$D$1,0))</f>
        <v>High</v>
      </c>
      <c r="H2689" s="12" t="n">
        <v>46113</v>
      </c>
      <c r="I2689" s="5" t="s">
        <v>2250</v>
      </c>
      <c r="J2689" s="5" t="s">
        <v>2251</v>
      </c>
      <c r="K2689" s="5" t="s">
        <v>2283</v>
      </c>
      <c r="L2689" s="5" t="n">
        <f aca="false">IF(G2689="High",3,IF(G2689="Medium",2,1))</f>
        <v>3</v>
      </c>
    </row>
    <row r="2690" customFormat="false" ht="15" hidden="false" customHeight="true" outlineLevel="0" collapsed="false">
      <c r="A2690" s="5" t="s">
        <v>4968</v>
      </c>
      <c r="B2690" s="5" t="s">
        <v>1888</v>
      </c>
      <c r="C2690" s="5" t="s">
        <v>2239</v>
      </c>
      <c r="D2690" s="5" t="s">
        <v>2303</v>
      </c>
      <c r="E2690" s="5" t="s">
        <v>54</v>
      </c>
      <c r="F2690" s="5" t="s">
        <v>2225</v>
      </c>
      <c r="G2690" s="5" t="str">
        <f aca="false">INDEX(Risk_Matrix!$B$2:$D$4,MATCH(E2690,Risk_Matrix!$A$2:$A$4,0),MATCH(F2690,Risk_Matrix!$B$1:$D$1,0))</f>
        <v>High</v>
      </c>
      <c r="H2690" s="12" t="n">
        <v>46086</v>
      </c>
      <c r="I2690" s="5" t="s">
        <v>2250</v>
      </c>
      <c r="J2690" s="5" t="s">
        <v>2251</v>
      </c>
      <c r="K2690" s="5" t="s">
        <v>2266</v>
      </c>
      <c r="L2690" s="5" t="n">
        <f aca="false">IF(G2690="High",3,IF(G2690="Medium",2,1))</f>
        <v>3</v>
      </c>
    </row>
    <row r="2691" customFormat="false" ht="15" hidden="false" customHeight="true" outlineLevel="0" collapsed="false">
      <c r="A2691" s="5" t="s">
        <v>4969</v>
      </c>
      <c r="B2691" s="5" t="s">
        <v>1888</v>
      </c>
      <c r="C2691" s="5" t="s">
        <v>2245</v>
      </c>
      <c r="D2691" s="5" t="s">
        <v>2280</v>
      </c>
      <c r="E2691" s="5" t="s">
        <v>2225</v>
      </c>
      <c r="F2691" s="5" t="s">
        <v>2225</v>
      </c>
      <c r="G2691" s="5" t="str">
        <f aca="false">INDEX(Risk_Matrix!$B$2:$D$4,MATCH(E2691,Risk_Matrix!$A$2:$A$4,0),MATCH(F2691,Risk_Matrix!$B$1:$D$1,0))</f>
        <v>Medium</v>
      </c>
      <c r="H2691" s="12" t="n">
        <v>46129</v>
      </c>
      <c r="I2691" s="5" t="s">
        <v>2250</v>
      </c>
      <c r="J2691" s="5" t="s">
        <v>2251</v>
      </c>
      <c r="K2691" s="5" t="s">
        <v>2283</v>
      </c>
      <c r="L2691" s="5" t="n">
        <f aca="false">IF(G2691="High",3,IF(G2691="Medium",2,1))</f>
        <v>2</v>
      </c>
    </row>
    <row r="2692" customFormat="false" ht="15" hidden="false" customHeight="true" outlineLevel="0" collapsed="false">
      <c r="A2692" s="5" t="s">
        <v>4970</v>
      </c>
      <c r="B2692" s="5" t="s">
        <v>1888</v>
      </c>
      <c r="C2692" s="5" t="s">
        <v>2248</v>
      </c>
      <c r="D2692" s="5" t="s">
        <v>2271</v>
      </c>
      <c r="E2692" s="5" t="s">
        <v>59</v>
      </c>
      <c r="F2692" s="5" t="s">
        <v>54</v>
      </c>
      <c r="G2692" s="5" t="str">
        <f aca="false">INDEX(Risk_Matrix!$B$2:$D$4,MATCH(E2692,Risk_Matrix!$A$2:$A$4,0),MATCH(F2692,Risk_Matrix!$B$1:$D$1,0))</f>
        <v>Medium</v>
      </c>
      <c r="H2692" s="12" t="n">
        <v>46179</v>
      </c>
      <c r="I2692" s="5" t="s">
        <v>2264</v>
      </c>
      <c r="J2692" s="5" t="s">
        <v>4087</v>
      </c>
      <c r="K2692" s="5" t="s">
        <v>2252</v>
      </c>
      <c r="L2692" s="5" t="n">
        <f aca="false">IF(G2692="High",3,IF(G2692="Medium",2,1))</f>
        <v>2</v>
      </c>
    </row>
    <row r="2693" customFormat="false" ht="15" hidden="false" customHeight="true" outlineLevel="0" collapsed="false">
      <c r="A2693" s="5" t="s">
        <v>4971</v>
      </c>
      <c r="B2693" s="5" t="s">
        <v>1888</v>
      </c>
      <c r="C2693" s="5" t="s">
        <v>2262</v>
      </c>
      <c r="D2693" s="5" t="s">
        <v>2263</v>
      </c>
      <c r="E2693" s="5" t="s">
        <v>54</v>
      </c>
      <c r="F2693" s="5" t="s">
        <v>59</v>
      </c>
      <c r="G2693" s="5" t="str">
        <f aca="false">INDEX(Risk_Matrix!$B$2:$D$4,MATCH(E2693,Risk_Matrix!$A$2:$A$4,0),MATCH(F2693,Risk_Matrix!$B$1:$D$1,0))</f>
        <v>Medium</v>
      </c>
      <c r="H2693" s="12" t="n">
        <v>46196</v>
      </c>
      <c r="I2693" s="5" t="s">
        <v>2264</v>
      </c>
      <c r="J2693" s="5" t="s">
        <v>4087</v>
      </c>
      <c r="K2693" s="5" t="s">
        <v>2243</v>
      </c>
      <c r="L2693" s="5" t="n">
        <f aca="false">IF(G2693="High",3,IF(G2693="Medium",2,1))</f>
        <v>2</v>
      </c>
    </row>
    <row r="2694" customFormat="false" ht="15" hidden="false" customHeight="true" outlineLevel="0" collapsed="false">
      <c r="A2694" s="5" t="s">
        <v>4972</v>
      </c>
      <c r="B2694" s="5" t="s">
        <v>1888</v>
      </c>
      <c r="C2694" s="5" t="s">
        <v>2259</v>
      </c>
      <c r="D2694" s="5" t="s">
        <v>2274</v>
      </c>
      <c r="E2694" s="5" t="s">
        <v>59</v>
      </c>
      <c r="F2694" s="5" t="s">
        <v>59</v>
      </c>
      <c r="G2694" s="5" t="str">
        <f aca="false">INDEX(Risk_Matrix!$B$2:$D$4,MATCH(E2694,Risk_Matrix!$A$2:$A$4,0),MATCH(F2694,Risk_Matrix!$B$1:$D$1,0))</f>
        <v>Low</v>
      </c>
      <c r="H2694" s="12" t="n">
        <v>46232</v>
      </c>
      <c r="I2694" s="5" t="s">
        <v>2250</v>
      </c>
      <c r="J2694" s="5" t="s">
        <v>2251</v>
      </c>
      <c r="K2694" s="5" t="s">
        <v>2243</v>
      </c>
      <c r="L2694" s="5" t="n">
        <f aca="false">IF(G2694="High",3,IF(G2694="Medium",2,1))</f>
        <v>1</v>
      </c>
    </row>
    <row r="2695" customFormat="false" ht="15" hidden="false" customHeight="true" outlineLevel="0" collapsed="false">
      <c r="A2695" s="5" t="s">
        <v>4973</v>
      </c>
      <c r="B2695" s="5" t="s">
        <v>1888</v>
      </c>
      <c r="C2695" s="5" t="s">
        <v>2254</v>
      </c>
      <c r="D2695" s="5" t="s">
        <v>2255</v>
      </c>
      <c r="E2695" s="5" t="s">
        <v>2225</v>
      </c>
      <c r="F2695" s="5" t="s">
        <v>2225</v>
      </c>
      <c r="G2695" s="5" t="str">
        <f aca="false">INDEX(Risk_Matrix!$B$2:$D$4,MATCH(E2695,Risk_Matrix!$A$2:$A$4,0),MATCH(F2695,Risk_Matrix!$B$1:$D$1,0))</f>
        <v>Medium</v>
      </c>
      <c r="H2695" s="12" t="n">
        <v>46027</v>
      </c>
      <c r="I2695" s="5" t="s">
        <v>2264</v>
      </c>
      <c r="J2695" s="5" t="s">
        <v>4087</v>
      </c>
      <c r="K2695" s="5" t="s">
        <v>2276</v>
      </c>
      <c r="L2695" s="5" t="n">
        <f aca="false">IF(G2695="High",3,IF(G2695="Medium",2,1))</f>
        <v>2</v>
      </c>
    </row>
    <row r="2696" customFormat="false" ht="15" hidden="false" customHeight="true" outlineLevel="0" collapsed="false">
      <c r="A2696" s="5" t="s">
        <v>4974</v>
      </c>
      <c r="B2696" s="5" t="s">
        <v>1890</v>
      </c>
      <c r="C2696" s="5" t="s">
        <v>2239</v>
      </c>
      <c r="D2696" s="5" t="s">
        <v>2278</v>
      </c>
      <c r="E2696" s="5" t="s">
        <v>59</v>
      </c>
      <c r="F2696" s="5" t="s">
        <v>59</v>
      </c>
      <c r="G2696" s="5" t="str">
        <f aca="false">INDEX(Risk_Matrix!$B$2:$D$4,MATCH(E2696,Risk_Matrix!$A$2:$A$4,0),MATCH(F2696,Risk_Matrix!$B$1:$D$1,0))</f>
        <v>Low</v>
      </c>
      <c r="H2696" s="12" t="n">
        <v>46047</v>
      </c>
      <c r="I2696" s="5" t="s">
        <v>2250</v>
      </c>
      <c r="J2696" s="5" t="s">
        <v>2251</v>
      </c>
      <c r="K2696" s="5" t="s">
        <v>2252</v>
      </c>
      <c r="L2696" s="5" t="n">
        <f aca="false">IF(G2696="High",3,IF(G2696="Medium",2,1))</f>
        <v>1</v>
      </c>
    </row>
    <row r="2697" customFormat="false" ht="15" hidden="false" customHeight="true" outlineLevel="0" collapsed="false">
      <c r="A2697" s="5" t="s">
        <v>4975</v>
      </c>
      <c r="B2697" s="5" t="s">
        <v>1890</v>
      </c>
      <c r="C2697" s="5" t="s">
        <v>2245</v>
      </c>
      <c r="D2697" s="5" t="s">
        <v>2246</v>
      </c>
      <c r="E2697" s="5" t="s">
        <v>59</v>
      </c>
      <c r="F2697" s="5" t="s">
        <v>59</v>
      </c>
      <c r="G2697" s="5" t="str">
        <f aca="false">INDEX(Risk_Matrix!$B$2:$D$4,MATCH(E2697,Risk_Matrix!$A$2:$A$4,0),MATCH(F2697,Risk_Matrix!$B$1:$D$1,0))</f>
        <v>Low</v>
      </c>
      <c r="H2697" s="12" t="n">
        <v>46212</v>
      </c>
      <c r="I2697" s="5" t="s">
        <v>2256</v>
      </c>
      <c r="J2697" s="5" t="s">
        <v>4081</v>
      </c>
      <c r="K2697" s="5" t="s">
        <v>2266</v>
      </c>
      <c r="L2697" s="5" t="n">
        <f aca="false">IF(G2697="High",3,IF(G2697="Medium",2,1))</f>
        <v>1</v>
      </c>
    </row>
    <row r="2698" customFormat="false" ht="15" hidden="false" customHeight="true" outlineLevel="0" collapsed="false">
      <c r="A2698" s="5" t="s">
        <v>4976</v>
      </c>
      <c r="B2698" s="5" t="s">
        <v>1890</v>
      </c>
      <c r="C2698" s="5" t="s">
        <v>2248</v>
      </c>
      <c r="D2698" s="5" t="s">
        <v>2322</v>
      </c>
      <c r="E2698" s="5" t="s">
        <v>59</v>
      </c>
      <c r="F2698" s="5" t="s">
        <v>54</v>
      </c>
      <c r="G2698" s="5" t="str">
        <f aca="false">INDEX(Risk_Matrix!$B$2:$D$4,MATCH(E2698,Risk_Matrix!$A$2:$A$4,0),MATCH(F2698,Risk_Matrix!$B$1:$D$1,0))</f>
        <v>Medium</v>
      </c>
      <c r="H2698" s="12" t="n">
        <v>46149</v>
      </c>
      <c r="I2698" s="5" t="s">
        <v>2250</v>
      </c>
      <c r="J2698" s="5" t="s">
        <v>2251</v>
      </c>
      <c r="K2698" s="5" t="s">
        <v>2266</v>
      </c>
      <c r="L2698" s="5" t="n">
        <f aca="false">IF(G2698="High",3,IF(G2698="Medium",2,1))</f>
        <v>2</v>
      </c>
    </row>
    <row r="2699" customFormat="false" ht="15" hidden="false" customHeight="true" outlineLevel="0" collapsed="false">
      <c r="A2699" s="5" t="s">
        <v>4977</v>
      </c>
      <c r="B2699" s="5" t="s">
        <v>1890</v>
      </c>
      <c r="C2699" s="5" t="s">
        <v>2262</v>
      </c>
      <c r="D2699" s="5" t="s">
        <v>2311</v>
      </c>
      <c r="E2699" s="5" t="s">
        <v>2225</v>
      </c>
      <c r="F2699" s="5" t="s">
        <v>59</v>
      </c>
      <c r="G2699" s="5" t="str">
        <f aca="false">INDEX(Risk_Matrix!$B$2:$D$4,MATCH(E2699,Risk_Matrix!$A$2:$A$4,0),MATCH(F2699,Risk_Matrix!$B$1:$D$1,0))</f>
        <v>Low</v>
      </c>
      <c r="H2699" s="12" t="n">
        <v>46202</v>
      </c>
      <c r="I2699" s="5" t="s">
        <v>2256</v>
      </c>
      <c r="J2699" s="5" t="s">
        <v>4081</v>
      </c>
      <c r="K2699" s="5" t="s">
        <v>2283</v>
      </c>
      <c r="L2699" s="5" t="n">
        <f aca="false">IF(G2699="High",3,IF(G2699="Medium",2,1))</f>
        <v>1</v>
      </c>
    </row>
    <row r="2700" customFormat="false" ht="15" hidden="false" customHeight="true" outlineLevel="0" collapsed="false">
      <c r="A2700" s="5" t="s">
        <v>4978</v>
      </c>
      <c r="B2700" s="5" t="s">
        <v>1890</v>
      </c>
      <c r="C2700" s="5" t="s">
        <v>2259</v>
      </c>
      <c r="D2700" s="5" t="s">
        <v>2274</v>
      </c>
      <c r="E2700" s="5" t="s">
        <v>54</v>
      </c>
      <c r="F2700" s="5" t="s">
        <v>59</v>
      </c>
      <c r="G2700" s="5" t="str">
        <f aca="false">INDEX(Risk_Matrix!$B$2:$D$4,MATCH(E2700,Risk_Matrix!$A$2:$A$4,0),MATCH(F2700,Risk_Matrix!$B$1:$D$1,0))</f>
        <v>Medium</v>
      </c>
      <c r="H2700" s="12" t="n">
        <v>46145</v>
      </c>
      <c r="I2700" s="5" t="s">
        <v>2256</v>
      </c>
      <c r="J2700" s="5" t="s">
        <v>4081</v>
      </c>
      <c r="K2700" s="5" t="s">
        <v>2276</v>
      </c>
      <c r="L2700" s="5" t="n">
        <f aca="false">IF(G2700="High",3,IF(G2700="Medium",2,1))</f>
        <v>2</v>
      </c>
    </row>
    <row r="2701" customFormat="false" ht="15" hidden="false" customHeight="true" outlineLevel="0" collapsed="false">
      <c r="A2701" s="5" t="s">
        <v>4979</v>
      </c>
      <c r="B2701" s="5" t="s">
        <v>1890</v>
      </c>
      <c r="C2701" s="5" t="s">
        <v>2254</v>
      </c>
      <c r="D2701" s="5" t="s">
        <v>2299</v>
      </c>
      <c r="E2701" s="5" t="s">
        <v>59</v>
      </c>
      <c r="F2701" s="5" t="s">
        <v>59</v>
      </c>
      <c r="G2701" s="5" t="str">
        <f aca="false">INDEX(Risk_Matrix!$B$2:$D$4,MATCH(E2701,Risk_Matrix!$A$2:$A$4,0),MATCH(F2701,Risk_Matrix!$B$1:$D$1,0))</f>
        <v>Low</v>
      </c>
      <c r="H2701" s="12" t="n">
        <v>46108</v>
      </c>
      <c r="I2701" s="5" t="s">
        <v>2256</v>
      </c>
      <c r="J2701" s="5" t="s">
        <v>4081</v>
      </c>
      <c r="K2701" s="5" t="s">
        <v>2243</v>
      </c>
      <c r="L2701" s="5" t="n">
        <f aca="false">IF(G2701="High",3,IF(G2701="Medium",2,1))</f>
        <v>1</v>
      </c>
    </row>
    <row r="2702" customFormat="false" ht="15" hidden="false" customHeight="true" outlineLevel="0" collapsed="false">
      <c r="A2702" s="5" t="s">
        <v>4980</v>
      </c>
      <c r="B2702" s="5" t="s">
        <v>1892</v>
      </c>
      <c r="C2702" s="5" t="s">
        <v>2239</v>
      </c>
      <c r="D2702" s="5" t="s">
        <v>2278</v>
      </c>
      <c r="E2702" s="5" t="s">
        <v>2225</v>
      </c>
      <c r="F2702" s="5" t="s">
        <v>2225</v>
      </c>
      <c r="G2702" s="5" t="str">
        <f aca="false">INDEX(Risk_Matrix!$B$2:$D$4,MATCH(E2702,Risk_Matrix!$A$2:$A$4,0),MATCH(F2702,Risk_Matrix!$B$1:$D$1,0))</f>
        <v>Medium</v>
      </c>
      <c r="H2702" s="12" t="n">
        <v>46179</v>
      </c>
      <c r="I2702" s="5" t="s">
        <v>2250</v>
      </c>
      <c r="J2702" s="5" t="s">
        <v>2251</v>
      </c>
      <c r="K2702" s="5" t="s">
        <v>2276</v>
      </c>
      <c r="L2702" s="5" t="n">
        <f aca="false">IF(G2702="High",3,IF(G2702="Medium",2,1))</f>
        <v>2</v>
      </c>
    </row>
    <row r="2703" customFormat="false" ht="15" hidden="false" customHeight="true" outlineLevel="0" collapsed="false">
      <c r="A2703" s="5" t="s">
        <v>4981</v>
      </c>
      <c r="B2703" s="5" t="s">
        <v>1892</v>
      </c>
      <c r="C2703" s="5" t="s">
        <v>2245</v>
      </c>
      <c r="D2703" s="5" t="s">
        <v>2269</v>
      </c>
      <c r="E2703" s="5" t="s">
        <v>54</v>
      </c>
      <c r="F2703" s="5" t="s">
        <v>59</v>
      </c>
      <c r="G2703" s="5" t="str">
        <f aca="false">INDEX(Risk_Matrix!$B$2:$D$4,MATCH(E2703,Risk_Matrix!$A$2:$A$4,0),MATCH(F2703,Risk_Matrix!$B$1:$D$1,0))</f>
        <v>Medium</v>
      </c>
      <c r="H2703" s="12" t="n">
        <v>46198</v>
      </c>
      <c r="I2703" s="5" t="s">
        <v>2250</v>
      </c>
      <c r="J2703" s="5" t="s">
        <v>2251</v>
      </c>
      <c r="K2703" s="5" t="s">
        <v>2276</v>
      </c>
      <c r="L2703" s="5" t="n">
        <f aca="false">IF(G2703="High",3,IF(G2703="Medium",2,1))</f>
        <v>2</v>
      </c>
    </row>
    <row r="2704" customFormat="false" ht="15" hidden="false" customHeight="true" outlineLevel="0" collapsed="false">
      <c r="A2704" s="5" t="s">
        <v>4982</v>
      </c>
      <c r="B2704" s="5" t="s">
        <v>1892</v>
      </c>
      <c r="C2704" s="5" t="s">
        <v>2248</v>
      </c>
      <c r="D2704" s="5" t="s">
        <v>2271</v>
      </c>
      <c r="E2704" s="5" t="s">
        <v>59</v>
      </c>
      <c r="F2704" s="5" t="s">
        <v>54</v>
      </c>
      <c r="G2704" s="5" t="str">
        <f aca="false">INDEX(Risk_Matrix!$B$2:$D$4,MATCH(E2704,Risk_Matrix!$A$2:$A$4,0),MATCH(F2704,Risk_Matrix!$B$1:$D$1,0))</f>
        <v>Medium</v>
      </c>
      <c r="H2704" s="12" t="n">
        <v>46121</v>
      </c>
      <c r="I2704" s="5" t="s">
        <v>2264</v>
      </c>
      <c r="J2704" s="5" t="s">
        <v>4087</v>
      </c>
      <c r="K2704" s="5" t="s">
        <v>2243</v>
      </c>
      <c r="L2704" s="5" t="n">
        <f aca="false">IF(G2704="High",3,IF(G2704="Medium",2,1))</f>
        <v>2</v>
      </c>
    </row>
    <row r="2705" customFormat="false" ht="15" hidden="false" customHeight="true" outlineLevel="0" collapsed="false">
      <c r="A2705" s="5" t="s">
        <v>4983</v>
      </c>
      <c r="B2705" s="5" t="s">
        <v>1892</v>
      </c>
      <c r="C2705" s="5" t="s">
        <v>2262</v>
      </c>
      <c r="D2705" s="5" t="s">
        <v>2287</v>
      </c>
      <c r="E2705" s="5" t="s">
        <v>2225</v>
      </c>
      <c r="F2705" s="5" t="s">
        <v>54</v>
      </c>
      <c r="G2705" s="5" t="str">
        <f aca="false">INDEX(Risk_Matrix!$B$2:$D$4,MATCH(E2705,Risk_Matrix!$A$2:$A$4,0),MATCH(F2705,Risk_Matrix!$B$1:$D$1,0))</f>
        <v>High</v>
      </c>
      <c r="H2705" s="12" t="n">
        <v>46180</v>
      </c>
      <c r="I2705" s="5" t="s">
        <v>2241</v>
      </c>
      <c r="J2705" s="5" t="s">
        <v>2242</v>
      </c>
      <c r="K2705" s="5" t="s">
        <v>2283</v>
      </c>
      <c r="L2705" s="5" t="n">
        <f aca="false">IF(G2705="High",3,IF(G2705="Medium",2,1))</f>
        <v>3</v>
      </c>
    </row>
    <row r="2706" customFormat="false" ht="15" hidden="false" customHeight="true" outlineLevel="0" collapsed="false">
      <c r="A2706" s="5" t="s">
        <v>4984</v>
      </c>
      <c r="B2706" s="5" t="s">
        <v>1892</v>
      </c>
      <c r="C2706" s="5" t="s">
        <v>2259</v>
      </c>
      <c r="D2706" s="5" t="s">
        <v>2274</v>
      </c>
      <c r="E2706" s="5" t="s">
        <v>59</v>
      </c>
      <c r="F2706" s="5" t="s">
        <v>54</v>
      </c>
      <c r="G2706" s="5" t="str">
        <f aca="false">INDEX(Risk_Matrix!$B$2:$D$4,MATCH(E2706,Risk_Matrix!$A$2:$A$4,0),MATCH(F2706,Risk_Matrix!$B$1:$D$1,0))</f>
        <v>Medium</v>
      </c>
      <c r="H2706" s="12" t="n">
        <v>46154</v>
      </c>
      <c r="I2706" s="5" t="s">
        <v>2264</v>
      </c>
      <c r="J2706" s="5" t="s">
        <v>4087</v>
      </c>
      <c r="K2706" s="5" t="s">
        <v>2243</v>
      </c>
      <c r="L2706" s="5" t="n">
        <f aca="false">IF(G2706="High",3,IF(G2706="Medium",2,1))</f>
        <v>2</v>
      </c>
    </row>
    <row r="2707" customFormat="false" ht="15" hidden="false" customHeight="true" outlineLevel="0" collapsed="false">
      <c r="A2707" s="5" t="s">
        <v>4985</v>
      </c>
      <c r="B2707" s="5" t="s">
        <v>1892</v>
      </c>
      <c r="C2707" s="5" t="s">
        <v>2254</v>
      </c>
      <c r="D2707" s="5" t="s">
        <v>2308</v>
      </c>
      <c r="E2707" s="5" t="s">
        <v>59</v>
      </c>
      <c r="F2707" s="5" t="s">
        <v>59</v>
      </c>
      <c r="G2707" s="5" t="str">
        <f aca="false">INDEX(Risk_Matrix!$B$2:$D$4,MATCH(E2707,Risk_Matrix!$A$2:$A$4,0),MATCH(F2707,Risk_Matrix!$B$1:$D$1,0))</f>
        <v>Low</v>
      </c>
      <c r="H2707" s="12" t="n">
        <v>46050</v>
      </c>
      <c r="I2707" s="5" t="s">
        <v>2250</v>
      </c>
      <c r="J2707" s="5" t="s">
        <v>2251</v>
      </c>
      <c r="K2707" s="5" t="s">
        <v>2276</v>
      </c>
      <c r="L2707" s="5" t="n">
        <f aca="false">IF(G2707="High",3,IF(G2707="Medium",2,1))</f>
        <v>1</v>
      </c>
    </row>
    <row r="2708" customFormat="false" ht="15" hidden="false" customHeight="true" outlineLevel="0" collapsed="false">
      <c r="A2708" s="5" t="s">
        <v>4986</v>
      </c>
      <c r="B2708" s="5" t="s">
        <v>1894</v>
      </c>
      <c r="C2708" s="5" t="s">
        <v>2239</v>
      </c>
      <c r="D2708" s="5" t="s">
        <v>2295</v>
      </c>
      <c r="E2708" s="5" t="s">
        <v>2225</v>
      </c>
      <c r="F2708" s="5" t="s">
        <v>54</v>
      </c>
      <c r="G2708" s="5" t="str">
        <f aca="false">INDEX(Risk_Matrix!$B$2:$D$4,MATCH(E2708,Risk_Matrix!$A$2:$A$4,0),MATCH(F2708,Risk_Matrix!$B$1:$D$1,0))</f>
        <v>High</v>
      </c>
      <c r="H2708" s="12" t="n">
        <v>46065</v>
      </c>
      <c r="I2708" s="5" t="s">
        <v>2264</v>
      </c>
      <c r="J2708" s="5" t="s">
        <v>4087</v>
      </c>
      <c r="K2708" s="5" t="s">
        <v>2276</v>
      </c>
      <c r="L2708" s="5" t="n">
        <f aca="false">IF(G2708="High",3,IF(G2708="Medium",2,1))</f>
        <v>3</v>
      </c>
    </row>
    <row r="2709" customFormat="false" ht="15" hidden="false" customHeight="true" outlineLevel="0" collapsed="false">
      <c r="A2709" s="5" t="s">
        <v>4987</v>
      </c>
      <c r="B2709" s="5" t="s">
        <v>1894</v>
      </c>
      <c r="C2709" s="5" t="s">
        <v>2245</v>
      </c>
      <c r="D2709" s="5" t="s">
        <v>2320</v>
      </c>
      <c r="E2709" s="5" t="s">
        <v>2225</v>
      </c>
      <c r="F2709" s="5" t="s">
        <v>2225</v>
      </c>
      <c r="G2709" s="5" t="str">
        <f aca="false">INDEX(Risk_Matrix!$B$2:$D$4,MATCH(E2709,Risk_Matrix!$A$2:$A$4,0),MATCH(F2709,Risk_Matrix!$B$1:$D$1,0))</f>
        <v>Medium</v>
      </c>
      <c r="H2709" s="12" t="n">
        <v>46093</v>
      </c>
      <c r="I2709" s="5" t="s">
        <v>2256</v>
      </c>
      <c r="J2709" s="5" t="s">
        <v>4081</v>
      </c>
      <c r="K2709" s="5" t="s">
        <v>2266</v>
      </c>
      <c r="L2709" s="5" t="n">
        <f aca="false">IF(G2709="High",3,IF(G2709="Medium",2,1))</f>
        <v>2</v>
      </c>
    </row>
    <row r="2710" customFormat="false" ht="15" hidden="false" customHeight="true" outlineLevel="0" collapsed="false">
      <c r="A2710" s="5" t="s">
        <v>4988</v>
      </c>
      <c r="B2710" s="5" t="s">
        <v>1894</v>
      </c>
      <c r="C2710" s="5" t="s">
        <v>2248</v>
      </c>
      <c r="D2710" s="5" t="s">
        <v>2249</v>
      </c>
      <c r="E2710" s="5" t="s">
        <v>59</v>
      </c>
      <c r="F2710" s="5" t="s">
        <v>59</v>
      </c>
      <c r="G2710" s="5" t="str">
        <f aca="false">INDEX(Risk_Matrix!$B$2:$D$4,MATCH(E2710,Risk_Matrix!$A$2:$A$4,0),MATCH(F2710,Risk_Matrix!$B$1:$D$1,0))</f>
        <v>Low</v>
      </c>
      <c r="H2710" s="12" t="n">
        <v>46054</v>
      </c>
      <c r="I2710" s="5" t="s">
        <v>2256</v>
      </c>
      <c r="J2710" s="5" t="s">
        <v>4081</v>
      </c>
      <c r="K2710" s="5" t="s">
        <v>2283</v>
      </c>
      <c r="L2710" s="5" t="n">
        <f aca="false">IF(G2710="High",3,IF(G2710="Medium",2,1))</f>
        <v>1</v>
      </c>
    </row>
    <row r="2711" customFormat="false" ht="15" hidden="false" customHeight="true" outlineLevel="0" collapsed="false">
      <c r="A2711" s="5" t="s">
        <v>4989</v>
      </c>
      <c r="B2711" s="5" t="s">
        <v>1894</v>
      </c>
      <c r="C2711" s="5" t="s">
        <v>2262</v>
      </c>
      <c r="D2711" s="5" t="s">
        <v>2287</v>
      </c>
      <c r="E2711" s="5" t="s">
        <v>59</v>
      </c>
      <c r="F2711" s="5" t="s">
        <v>2225</v>
      </c>
      <c r="G2711" s="5" t="str">
        <f aca="false">INDEX(Risk_Matrix!$B$2:$D$4,MATCH(E2711,Risk_Matrix!$A$2:$A$4,0),MATCH(F2711,Risk_Matrix!$B$1:$D$1,0))</f>
        <v>Low</v>
      </c>
      <c r="H2711" s="12" t="n">
        <v>46232</v>
      </c>
      <c r="I2711" s="5" t="s">
        <v>2241</v>
      </c>
      <c r="J2711" s="5" t="s">
        <v>2242</v>
      </c>
      <c r="K2711" s="5" t="s">
        <v>2276</v>
      </c>
      <c r="L2711" s="5" t="n">
        <f aca="false">IF(G2711="High",3,IF(G2711="Medium",2,1))</f>
        <v>1</v>
      </c>
    </row>
    <row r="2712" customFormat="false" ht="15" hidden="false" customHeight="true" outlineLevel="0" collapsed="false">
      <c r="A2712" s="5" t="s">
        <v>4990</v>
      </c>
      <c r="B2712" s="5" t="s">
        <v>1894</v>
      </c>
      <c r="C2712" s="5" t="s">
        <v>2259</v>
      </c>
      <c r="D2712" s="5" t="s">
        <v>2260</v>
      </c>
      <c r="E2712" s="5" t="s">
        <v>59</v>
      </c>
      <c r="F2712" s="5" t="s">
        <v>2225</v>
      </c>
      <c r="G2712" s="5" t="str">
        <f aca="false">INDEX(Risk_Matrix!$B$2:$D$4,MATCH(E2712,Risk_Matrix!$A$2:$A$4,0),MATCH(F2712,Risk_Matrix!$B$1:$D$1,0))</f>
        <v>Low</v>
      </c>
      <c r="H2712" s="12" t="n">
        <v>46156</v>
      </c>
      <c r="I2712" s="5" t="s">
        <v>2264</v>
      </c>
      <c r="J2712" s="5" t="s">
        <v>4087</v>
      </c>
      <c r="K2712" s="5" t="s">
        <v>2283</v>
      </c>
      <c r="L2712" s="5" t="n">
        <f aca="false">IF(G2712="High",3,IF(G2712="Medium",2,1))</f>
        <v>1</v>
      </c>
    </row>
    <row r="2713" customFormat="false" ht="15" hidden="false" customHeight="true" outlineLevel="0" collapsed="false">
      <c r="A2713" s="5" t="s">
        <v>4991</v>
      </c>
      <c r="B2713" s="5" t="s">
        <v>1894</v>
      </c>
      <c r="C2713" s="5" t="s">
        <v>2254</v>
      </c>
      <c r="D2713" s="5" t="s">
        <v>2255</v>
      </c>
      <c r="E2713" s="5" t="s">
        <v>54</v>
      </c>
      <c r="F2713" s="5" t="s">
        <v>2225</v>
      </c>
      <c r="G2713" s="5" t="str">
        <f aca="false">INDEX(Risk_Matrix!$B$2:$D$4,MATCH(E2713,Risk_Matrix!$A$2:$A$4,0),MATCH(F2713,Risk_Matrix!$B$1:$D$1,0))</f>
        <v>High</v>
      </c>
      <c r="H2713" s="12" t="n">
        <v>46194</v>
      </c>
      <c r="I2713" s="5" t="s">
        <v>2241</v>
      </c>
      <c r="J2713" s="5" t="s">
        <v>2242</v>
      </c>
      <c r="K2713" s="5" t="s">
        <v>2276</v>
      </c>
      <c r="L2713" s="5" t="n">
        <f aca="false">IF(G2713="High",3,IF(G2713="Medium",2,1))</f>
        <v>3</v>
      </c>
    </row>
    <row r="2714" customFormat="false" ht="15" hidden="false" customHeight="true" outlineLevel="0" collapsed="false">
      <c r="A2714" s="5" t="s">
        <v>4992</v>
      </c>
      <c r="B2714" s="5" t="s">
        <v>1896</v>
      </c>
      <c r="C2714" s="5" t="s">
        <v>2239</v>
      </c>
      <c r="D2714" s="5" t="s">
        <v>2303</v>
      </c>
      <c r="E2714" s="5" t="s">
        <v>2225</v>
      </c>
      <c r="F2714" s="5" t="s">
        <v>59</v>
      </c>
      <c r="G2714" s="5" t="str">
        <f aca="false">INDEX(Risk_Matrix!$B$2:$D$4,MATCH(E2714,Risk_Matrix!$A$2:$A$4,0),MATCH(F2714,Risk_Matrix!$B$1:$D$1,0))</f>
        <v>Low</v>
      </c>
      <c r="H2714" s="12" t="n">
        <v>46093</v>
      </c>
      <c r="I2714" s="5" t="s">
        <v>2250</v>
      </c>
      <c r="J2714" s="5" t="s">
        <v>2251</v>
      </c>
      <c r="K2714" s="5" t="s">
        <v>2276</v>
      </c>
      <c r="L2714" s="5" t="n">
        <f aca="false">IF(G2714="High",3,IF(G2714="Medium",2,1))</f>
        <v>1</v>
      </c>
    </row>
    <row r="2715" customFormat="false" ht="15" hidden="false" customHeight="true" outlineLevel="0" collapsed="false">
      <c r="A2715" s="5" t="s">
        <v>4993</v>
      </c>
      <c r="B2715" s="5" t="s">
        <v>1896</v>
      </c>
      <c r="C2715" s="5" t="s">
        <v>2245</v>
      </c>
      <c r="D2715" s="5" t="s">
        <v>2280</v>
      </c>
      <c r="E2715" s="5" t="s">
        <v>54</v>
      </c>
      <c r="F2715" s="5" t="s">
        <v>2225</v>
      </c>
      <c r="G2715" s="5" t="str">
        <f aca="false">INDEX(Risk_Matrix!$B$2:$D$4,MATCH(E2715,Risk_Matrix!$A$2:$A$4,0),MATCH(F2715,Risk_Matrix!$B$1:$D$1,0))</f>
        <v>High</v>
      </c>
      <c r="H2715" s="12" t="n">
        <v>46209</v>
      </c>
      <c r="I2715" s="5" t="s">
        <v>2250</v>
      </c>
      <c r="J2715" s="5" t="s">
        <v>2251</v>
      </c>
      <c r="K2715" s="5" t="s">
        <v>2276</v>
      </c>
      <c r="L2715" s="5" t="n">
        <f aca="false">IF(G2715="High",3,IF(G2715="Medium",2,1))</f>
        <v>3</v>
      </c>
    </row>
    <row r="2716" customFormat="false" ht="15" hidden="false" customHeight="true" outlineLevel="0" collapsed="false">
      <c r="A2716" s="5" t="s">
        <v>4994</v>
      </c>
      <c r="B2716" s="5" t="s">
        <v>1896</v>
      </c>
      <c r="C2716" s="5" t="s">
        <v>2248</v>
      </c>
      <c r="D2716" s="5" t="s">
        <v>2306</v>
      </c>
      <c r="E2716" s="5" t="s">
        <v>54</v>
      </c>
      <c r="F2716" s="5" t="s">
        <v>2225</v>
      </c>
      <c r="G2716" s="5" t="str">
        <f aca="false">INDEX(Risk_Matrix!$B$2:$D$4,MATCH(E2716,Risk_Matrix!$A$2:$A$4,0),MATCH(F2716,Risk_Matrix!$B$1:$D$1,0))</f>
        <v>High</v>
      </c>
      <c r="H2716" s="12" t="n">
        <v>46135</v>
      </c>
      <c r="I2716" s="5" t="s">
        <v>2241</v>
      </c>
      <c r="J2716" s="5" t="s">
        <v>2242</v>
      </c>
      <c r="K2716" s="5" t="s">
        <v>2243</v>
      </c>
      <c r="L2716" s="5" t="n">
        <f aca="false">IF(G2716="High",3,IF(G2716="Medium",2,1))</f>
        <v>3</v>
      </c>
    </row>
    <row r="2717" customFormat="false" ht="15" hidden="false" customHeight="true" outlineLevel="0" collapsed="false">
      <c r="A2717" s="5" t="s">
        <v>4995</v>
      </c>
      <c r="B2717" s="5" t="s">
        <v>1896</v>
      </c>
      <c r="C2717" s="5" t="s">
        <v>2262</v>
      </c>
      <c r="D2717" s="5" t="s">
        <v>2263</v>
      </c>
      <c r="E2717" s="5" t="s">
        <v>2225</v>
      </c>
      <c r="F2717" s="5" t="s">
        <v>54</v>
      </c>
      <c r="G2717" s="5" t="str">
        <f aca="false">INDEX(Risk_Matrix!$B$2:$D$4,MATCH(E2717,Risk_Matrix!$A$2:$A$4,0),MATCH(F2717,Risk_Matrix!$B$1:$D$1,0))</f>
        <v>High</v>
      </c>
      <c r="H2717" s="12" t="n">
        <v>46028</v>
      </c>
      <c r="I2717" s="5" t="s">
        <v>2241</v>
      </c>
      <c r="J2717" s="5" t="s">
        <v>2242</v>
      </c>
      <c r="K2717" s="5" t="s">
        <v>2243</v>
      </c>
      <c r="L2717" s="5" t="n">
        <f aca="false">IF(G2717="High",3,IF(G2717="Medium",2,1))</f>
        <v>3</v>
      </c>
    </row>
    <row r="2718" customFormat="false" ht="15" hidden="false" customHeight="true" outlineLevel="0" collapsed="false">
      <c r="A2718" s="5" t="s">
        <v>4996</v>
      </c>
      <c r="B2718" s="5" t="s">
        <v>1896</v>
      </c>
      <c r="C2718" s="5" t="s">
        <v>2259</v>
      </c>
      <c r="D2718" s="5" t="s">
        <v>2274</v>
      </c>
      <c r="E2718" s="5" t="s">
        <v>54</v>
      </c>
      <c r="F2718" s="5" t="s">
        <v>54</v>
      </c>
      <c r="G2718" s="5" t="str">
        <f aca="false">INDEX(Risk_Matrix!$B$2:$D$4,MATCH(E2718,Risk_Matrix!$A$2:$A$4,0),MATCH(F2718,Risk_Matrix!$B$1:$D$1,0))</f>
        <v>High</v>
      </c>
      <c r="H2718" s="12" t="n">
        <v>46158</v>
      </c>
      <c r="I2718" s="5" t="s">
        <v>2250</v>
      </c>
      <c r="J2718" s="5" t="s">
        <v>2251</v>
      </c>
      <c r="K2718" s="5" t="s">
        <v>2243</v>
      </c>
      <c r="L2718" s="5" t="n">
        <f aca="false">IF(G2718="High",3,IF(G2718="Medium",2,1))</f>
        <v>3</v>
      </c>
    </row>
    <row r="2719" customFormat="false" ht="15" hidden="false" customHeight="true" outlineLevel="0" collapsed="false">
      <c r="A2719" s="5" t="s">
        <v>4997</v>
      </c>
      <c r="B2719" s="5" t="s">
        <v>1896</v>
      </c>
      <c r="C2719" s="5" t="s">
        <v>2254</v>
      </c>
      <c r="D2719" s="5" t="s">
        <v>2299</v>
      </c>
      <c r="E2719" s="5" t="s">
        <v>54</v>
      </c>
      <c r="F2719" s="5" t="s">
        <v>2225</v>
      </c>
      <c r="G2719" s="5" t="str">
        <f aca="false">INDEX(Risk_Matrix!$B$2:$D$4,MATCH(E2719,Risk_Matrix!$A$2:$A$4,0),MATCH(F2719,Risk_Matrix!$B$1:$D$1,0))</f>
        <v>High</v>
      </c>
      <c r="H2719" s="12" t="n">
        <v>46145</v>
      </c>
      <c r="I2719" s="5" t="s">
        <v>2256</v>
      </c>
      <c r="J2719" s="5" t="s">
        <v>4081</v>
      </c>
      <c r="K2719" s="5" t="s">
        <v>2266</v>
      </c>
      <c r="L2719" s="5" t="n">
        <f aca="false">IF(G2719="High",3,IF(G2719="Medium",2,1))</f>
        <v>3</v>
      </c>
    </row>
    <row r="2720" customFormat="false" ht="15" hidden="false" customHeight="true" outlineLevel="0" collapsed="false">
      <c r="A2720" s="5" t="s">
        <v>4998</v>
      </c>
      <c r="B2720" s="5" t="s">
        <v>1899</v>
      </c>
      <c r="C2720" s="5" t="s">
        <v>2239</v>
      </c>
      <c r="D2720" s="5" t="s">
        <v>2295</v>
      </c>
      <c r="E2720" s="5" t="s">
        <v>59</v>
      </c>
      <c r="F2720" s="5" t="s">
        <v>59</v>
      </c>
      <c r="G2720" s="5" t="str">
        <f aca="false">INDEX(Risk_Matrix!$B$2:$D$4,MATCH(E2720,Risk_Matrix!$A$2:$A$4,0),MATCH(F2720,Risk_Matrix!$B$1:$D$1,0))</f>
        <v>Low</v>
      </c>
      <c r="H2720" s="12" t="n">
        <v>46120</v>
      </c>
      <c r="I2720" s="5" t="s">
        <v>2256</v>
      </c>
      <c r="J2720" s="5" t="s">
        <v>4081</v>
      </c>
      <c r="K2720" s="5" t="s">
        <v>2276</v>
      </c>
      <c r="L2720" s="5" t="n">
        <f aca="false">IF(G2720="High",3,IF(G2720="Medium",2,1))</f>
        <v>1</v>
      </c>
    </row>
    <row r="2721" customFormat="false" ht="15" hidden="false" customHeight="true" outlineLevel="0" collapsed="false">
      <c r="A2721" s="5" t="s">
        <v>4999</v>
      </c>
      <c r="B2721" s="5" t="s">
        <v>1899</v>
      </c>
      <c r="C2721" s="5" t="s">
        <v>2245</v>
      </c>
      <c r="D2721" s="5" t="s">
        <v>2280</v>
      </c>
      <c r="E2721" s="5" t="s">
        <v>54</v>
      </c>
      <c r="F2721" s="5" t="s">
        <v>54</v>
      </c>
      <c r="G2721" s="5" t="str">
        <f aca="false">INDEX(Risk_Matrix!$B$2:$D$4,MATCH(E2721,Risk_Matrix!$A$2:$A$4,0),MATCH(F2721,Risk_Matrix!$B$1:$D$1,0))</f>
        <v>High</v>
      </c>
      <c r="H2721" s="12" t="n">
        <v>46135</v>
      </c>
      <c r="I2721" s="5" t="s">
        <v>2250</v>
      </c>
      <c r="J2721" s="5" t="s">
        <v>2251</v>
      </c>
      <c r="K2721" s="5" t="s">
        <v>2252</v>
      </c>
      <c r="L2721" s="5" t="n">
        <f aca="false">IF(G2721="High",3,IF(G2721="Medium",2,1))</f>
        <v>3</v>
      </c>
    </row>
    <row r="2722" customFormat="false" ht="15" hidden="false" customHeight="true" outlineLevel="0" collapsed="false">
      <c r="A2722" s="5" t="s">
        <v>5000</v>
      </c>
      <c r="B2722" s="5" t="s">
        <v>1899</v>
      </c>
      <c r="C2722" s="5" t="s">
        <v>2248</v>
      </c>
      <c r="D2722" s="5" t="s">
        <v>2306</v>
      </c>
      <c r="E2722" s="5" t="s">
        <v>54</v>
      </c>
      <c r="F2722" s="5" t="s">
        <v>2225</v>
      </c>
      <c r="G2722" s="5" t="str">
        <f aca="false">INDEX(Risk_Matrix!$B$2:$D$4,MATCH(E2722,Risk_Matrix!$A$2:$A$4,0),MATCH(F2722,Risk_Matrix!$B$1:$D$1,0))</f>
        <v>High</v>
      </c>
      <c r="H2722" s="12" t="n">
        <v>46095</v>
      </c>
      <c r="I2722" s="5" t="s">
        <v>2241</v>
      </c>
      <c r="J2722" s="5" t="s">
        <v>2242</v>
      </c>
      <c r="K2722" s="5" t="s">
        <v>2283</v>
      </c>
      <c r="L2722" s="5" t="n">
        <f aca="false">IF(G2722="High",3,IF(G2722="Medium",2,1))</f>
        <v>3</v>
      </c>
    </row>
    <row r="2723" customFormat="false" ht="15" hidden="false" customHeight="true" outlineLevel="0" collapsed="false">
      <c r="A2723" s="5" t="s">
        <v>5001</v>
      </c>
      <c r="B2723" s="5" t="s">
        <v>1899</v>
      </c>
      <c r="C2723" s="5" t="s">
        <v>2262</v>
      </c>
      <c r="D2723" s="5" t="s">
        <v>2311</v>
      </c>
      <c r="E2723" s="5" t="s">
        <v>2225</v>
      </c>
      <c r="F2723" s="5" t="s">
        <v>2225</v>
      </c>
      <c r="G2723" s="5" t="str">
        <f aca="false">INDEX(Risk_Matrix!$B$2:$D$4,MATCH(E2723,Risk_Matrix!$A$2:$A$4,0),MATCH(F2723,Risk_Matrix!$B$1:$D$1,0))</f>
        <v>Medium</v>
      </c>
      <c r="H2723" s="12" t="n">
        <v>46141</v>
      </c>
      <c r="I2723" s="5" t="s">
        <v>2256</v>
      </c>
      <c r="J2723" s="5" t="s">
        <v>4081</v>
      </c>
      <c r="K2723" s="5" t="s">
        <v>2266</v>
      </c>
      <c r="L2723" s="5" t="n">
        <f aca="false">IF(G2723="High",3,IF(G2723="Medium",2,1))</f>
        <v>2</v>
      </c>
    </row>
    <row r="2724" customFormat="false" ht="15" hidden="false" customHeight="true" outlineLevel="0" collapsed="false">
      <c r="A2724" s="5" t="s">
        <v>5002</v>
      </c>
      <c r="B2724" s="5" t="s">
        <v>1899</v>
      </c>
      <c r="C2724" s="5" t="s">
        <v>2259</v>
      </c>
      <c r="D2724" s="5" t="s">
        <v>2274</v>
      </c>
      <c r="E2724" s="5" t="s">
        <v>2225</v>
      </c>
      <c r="F2724" s="5" t="s">
        <v>54</v>
      </c>
      <c r="G2724" s="5" t="str">
        <f aca="false">INDEX(Risk_Matrix!$B$2:$D$4,MATCH(E2724,Risk_Matrix!$A$2:$A$4,0),MATCH(F2724,Risk_Matrix!$B$1:$D$1,0))</f>
        <v>High</v>
      </c>
      <c r="H2724" s="12" t="n">
        <v>46055</v>
      </c>
      <c r="I2724" s="5" t="s">
        <v>2241</v>
      </c>
      <c r="J2724" s="5" t="s">
        <v>2242</v>
      </c>
      <c r="K2724" s="5" t="s">
        <v>2283</v>
      </c>
      <c r="L2724" s="5" t="n">
        <f aca="false">IF(G2724="High",3,IF(G2724="Medium",2,1))</f>
        <v>3</v>
      </c>
    </row>
    <row r="2725" customFormat="false" ht="15" hidden="false" customHeight="true" outlineLevel="0" collapsed="false">
      <c r="A2725" s="5" t="s">
        <v>5003</v>
      </c>
      <c r="B2725" s="5" t="s">
        <v>1899</v>
      </c>
      <c r="C2725" s="5" t="s">
        <v>2254</v>
      </c>
      <c r="D2725" s="5" t="s">
        <v>2255</v>
      </c>
      <c r="E2725" s="5" t="s">
        <v>54</v>
      </c>
      <c r="F2725" s="5" t="s">
        <v>59</v>
      </c>
      <c r="G2725" s="5" t="str">
        <f aca="false">INDEX(Risk_Matrix!$B$2:$D$4,MATCH(E2725,Risk_Matrix!$A$2:$A$4,0),MATCH(F2725,Risk_Matrix!$B$1:$D$1,0))</f>
        <v>Medium</v>
      </c>
      <c r="H2725" s="12" t="n">
        <v>46071</v>
      </c>
      <c r="I2725" s="5" t="s">
        <v>2256</v>
      </c>
      <c r="J2725" s="5" t="s">
        <v>4081</v>
      </c>
      <c r="K2725" s="5" t="s">
        <v>2243</v>
      </c>
      <c r="L2725" s="5" t="n">
        <f aca="false">IF(G2725="High",3,IF(G2725="Medium",2,1))</f>
        <v>2</v>
      </c>
    </row>
    <row r="2726" customFormat="false" ht="15" hidden="false" customHeight="true" outlineLevel="0" collapsed="false">
      <c r="A2726" s="5" t="s">
        <v>5004</v>
      </c>
      <c r="B2726" s="5" t="s">
        <v>1901</v>
      </c>
      <c r="C2726" s="5" t="s">
        <v>2239</v>
      </c>
      <c r="D2726" s="5" t="s">
        <v>2240</v>
      </c>
      <c r="E2726" s="5" t="s">
        <v>54</v>
      </c>
      <c r="F2726" s="5" t="s">
        <v>59</v>
      </c>
      <c r="G2726" s="5" t="str">
        <f aca="false">INDEX(Risk_Matrix!$B$2:$D$4,MATCH(E2726,Risk_Matrix!$A$2:$A$4,0),MATCH(F2726,Risk_Matrix!$B$1:$D$1,0))</f>
        <v>Medium</v>
      </c>
      <c r="H2726" s="12" t="n">
        <v>46189</v>
      </c>
      <c r="I2726" s="5" t="s">
        <v>2264</v>
      </c>
      <c r="J2726" s="5" t="s">
        <v>4087</v>
      </c>
      <c r="K2726" s="5" t="s">
        <v>2243</v>
      </c>
      <c r="L2726" s="5" t="n">
        <f aca="false">IF(G2726="High",3,IF(G2726="Medium",2,1))</f>
        <v>2</v>
      </c>
    </row>
    <row r="2727" customFormat="false" ht="15" hidden="false" customHeight="true" outlineLevel="0" collapsed="false">
      <c r="A2727" s="5" t="s">
        <v>5005</v>
      </c>
      <c r="B2727" s="5" t="s">
        <v>1901</v>
      </c>
      <c r="C2727" s="5" t="s">
        <v>2245</v>
      </c>
      <c r="D2727" s="5" t="s">
        <v>2269</v>
      </c>
      <c r="E2727" s="5" t="s">
        <v>2225</v>
      </c>
      <c r="F2727" s="5" t="s">
        <v>2225</v>
      </c>
      <c r="G2727" s="5" t="str">
        <f aca="false">INDEX(Risk_Matrix!$B$2:$D$4,MATCH(E2727,Risk_Matrix!$A$2:$A$4,0),MATCH(F2727,Risk_Matrix!$B$1:$D$1,0))</f>
        <v>Medium</v>
      </c>
      <c r="H2727" s="12" t="n">
        <v>46203</v>
      </c>
      <c r="I2727" s="5" t="s">
        <v>2250</v>
      </c>
      <c r="J2727" s="5" t="s">
        <v>2251</v>
      </c>
      <c r="K2727" s="5" t="s">
        <v>2276</v>
      </c>
      <c r="L2727" s="5" t="n">
        <f aca="false">IF(G2727="High",3,IF(G2727="Medium",2,1))</f>
        <v>2</v>
      </c>
    </row>
    <row r="2728" customFormat="false" ht="15" hidden="false" customHeight="true" outlineLevel="0" collapsed="false">
      <c r="A2728" s="5" t="s">
        <v>5006</v>
      </c>
      <c r="B2728" s="5" t="s">
        <v>1901</v>
      </c>
      <c r="C2728" s="5" t="s">
        <v>2248</v>
      </c>
      <c r="D2728" s="5" t="s">
        <v>2322</v>
      </c>
      <c r="E2728" s="5" t="s">
        <v>54</v>
      </c>
      <c r="F2728" s="5" t="s">
        <v>54</v>
      </c>
      <c r="G2728" s="5" t="str">
        <f aca="false">INDEX(Risk_Matrix!$B$2:$D$4,MATCH(E2728,Risk_Matrix!$A$2:$A$4,0),MATCH(F2728,Risk_Matrix!$B$1:$D$1,0))</f>
        <v>High</v>
      </c>
      <c r="H2728" s="12" t="n">
        <v>46046</v>
      </c>
      <c r="I2728" s="5" t="s">
        <v>2256</v>
      </c>
      <c r="J2728" s="5" t="s">
        <v>4081</v>
      </c>
      <c r="K2728" s="5" t="s">
        <v>2266</v>
      </c>
      <c r="L2728" s="5" t="n">
        <f aca="false">IF(G2728="High",3,IF(G2728="Medium",2,1))</f>
        <v>3</v>
      </c>
    </row>
    <row r="2729" customFormat="false" ht="15" hidden="false" customHeight="true" outlineLevel="0" collapsed="false">
      <c r="A2729" s="5" t="s">
        <v>5007</v>
      </c>
      <c r="B2729" s="5" t="s">
        <v>1901</v>
      </c>
      <c r="C2729" s="5" t="s">
        <v>2262</v>
      </c>
      <c r="D2729" s="5" t="s">
        <v>2287</v>
      </c>
      <c r="E2729" s="5" t="s">
        <v>2225</v>
      </c>
      <c r="F2729" s="5" t="s">
        <v>59</v>
      </c>
      <c r="G2729" s="5" t="str">
        <f aca="false">INDEX(Risk_Matrix!$B$2:$D$4,MATCH(E2729,Risk_Matrix!$A$2:$A$4,0),MATCH(F2729,Risk_Matrix!$B$1:$D$1,0))</f>
        <v>Low</v>
      </c>
      <c r="H2729" s="12" t="n">
        <v>46212</v>
      </c>
      <c r="I2729" s="5" t="s">
        <v>2264</v>
      </c>
      <c r="J2729" s="5" t="s">
        <v>4087</v>
      </c>
      <c r="K2729" s="5" t="s">
        <v>2283</v>
      </c>
      <c r="L2729" s="5" t="n">
        <f aca="false">IF(G2729="High",3,IF(G2729="Medium",2,1))</f>
        <v>1</v>
      </c>
    </row>
    <row r="2730" customFormat="false" ht="15" hidden="false" customHeight="true" outlineLevel="0" collapsed="false">
      <c r="A2730" s="5" t="s">
        <v>5008</v>
      </c>
      <c r="B2730" s="5" t="s">
        <v>1901</v>
      </c>
      <c r="C2730" s="5" t="s">
        <v>2259</v>
      </c>
      <c r="D2730" s="5" t="s">
        <v>2285</v>
      </c>
      <c r="E2730" s="5" t="s">
        <v>59</v>
      </c>
      <c r="F2730" s="5" t="s">
        <v>2225</v>
      </c>
      <c r="G2730" s="5" t="str">
        <f aca="false">INDEX(Risk_Matrix!$B$2:$D$4,MATCH(E2730,Risk_Matrix!$A$2:$A$4,0),MATCH(F2730,Risk_Matrix!$B$1:$D$1,0))</f>
        <v>Low</v>
      </c>
      <c r="H2730" s="12" t="n">
        <v>46190</v>
      </c>
      <c r="I2730" s="5" t="s">
        <v>2241</v>
      </c>
      <c r="J2730" s="5" t="s">
        <v>2242</v>
      </c>
      <c r="K2730" s="5" t="s">
        <v>2252</v>
      </c>
      <c r="L2730" s="5" t="n">
        <f aca="false">IF(G2730="High",3,IF(G2730="Medium",2,1))</f>
        <v>1</v>
      </c>
    </row>
    <row r="2731" customFormat="false" ht="15" hidden="false" customHeight="true" outlineLevel="0" collapsed="false">
      <c r="A2731" s="5" t="s">
        <v>5009</v>
      </c>
      <c r="B2731" s="5" t="s">
        <v>1901</v>
      </c>
      <c r="C2731" s="5" t="s">
        <v>2254</v>
      </c>
      <c r="D2731" s="5" t="s">
        <v>2299</v>
      </c>
      <c r="E2731" s="5" t="s">
        <v>2225</v>
      </c>
      <c r="F2731" s="5" t="s">
        <v>2225</v>
      </c>
      <c r="G2731" s="5" t="str">
        <f aca="false">INDEX(Risk_Matrix!$B$2:$D$4,MATCH(E2731,Risk_Matrix!$A$2:$A$4,0),MATCH(F2731,Risk_Matrix!$B$1:$D$1,0))</f>
        <v>Medium</v>
      </c>
      <c r="H2731" s="12" t="n">
        <v>46074</v>
      </c>
      <c r="I2731" s="5" t="s">
        <v>2256</v>
      </c>
      <c r="J2731" s="5" t="s">
        <v>4081</v>
      </c>
      <c r="K2731" s="5" t="s">
        <v>2266</v>
      </c>
      <c r="L2731" s="5" t="n">
        <f aca="false">IF(G2731="High",3,IF(G2731="Medium",2,1))</f>
        <v>2</v>
      </c>
    </row>
    <row r="2732" customFormat="false" ht="15" hidden="false" customHeight="true" outlineLevel="0" collapsed="false">
      <c r="A2732" s="5" t="s">
        <v>5010</v>
      </c>
      <c r="B2732" s="5" t="s">
        <v>1903</v>
      </c>
      <c r="C2732" s="5" t="s">
        <v>2239</v>
      </c>
      <c r="D2732" s="5" t="s">
        <v>2295</v>
      </c>
      <c r="E2732" s="5" t="s">
        <v>54</v>
      </c>
      <c r="F2732" s="5" t="s">
        <v>54</v>
      </c>
      <c r="G2732" s="5" t="str">
        <f aca="false">INDEX(Risk_Matrix!$B$2:$D$4,MATCH(E2732,Risk_Matrix!$A$2:$A$4,0),MATCH(F2732,Risk_Matrix!$B$1:$D$1,0))</f>
        <v>High</v>
      </c>
      <c r="H2732" s="12" t="n">
        <v>46056</v>
      </c>
      <c r="I2732" s="5" t="s">
        <v>2241</v>
      </c>
      <c r="J2732" s="5" t="s">
        <v>2242</v>
      </c>
      <c r="K2732" s="5" t="s">
        <v>2276</v>
      </c>
      <c r="L2732" s="5" t="n">
        <f aca="false">IF(G2732="High",3,IF(G2732="Medium",2,1))</f>
        <v>3</v>
      </c>
    </row>
    <row r="2733" customFormat="false" ht="15" hidden="false" customHeight="true" outlineLevel="0" collapsed="false">
      <c r="A2733" s="5" t="s">
        <v>5011</v>
      </c>
      <c r="B2733" s="5" t="s">
        <v>1903</v>
      </c>
      <c r="C2733" s="5" t="s">
        <v>2245</v>
      </c>
      <c r="D2733" s="5" t="s">
        <v>2246</v>
      </c>
      <c r="E2733" s="5" t="s">
        <v>54</v>
      </c>
      <c r="F2733" s="5" t="s">
        <v>2225</v>
      </c>
      <c r="G2733" s="5" t="str">
        <f aca="false">INDEX(Risk_Matrix!$B$2:$D$4,MATCH(E2733,Risk_Matrix!$A$2:$A$4,0),MATCH(F2733,Risk_Matrix!$B$1:$D$1,0))</f>
        <v>High</v>
      </c>
      <c r="H2733" s="12" t="n">
        <v>46158</v>
      </c>
      <c r="I2733" s="5" t="s">
        <v>2250</v>
      </c>
      <c r="J2733" s="5" t="s">
        <v>2251</v>
      </c>
      <c r="K2733" s="5" t="s">
        <v>2283</v>
      </c>
      <c r="L2733" s="5" t="n">
        <f aca="false">IF(G2733="High",3,IF(G2733="Medium",2,1))</f>
        <v>3</v>
      </c>
    </row>
    <row r="2734" customFormat="false" ht="15" hidden="false" customHeight="true" outlineLevel="0" collapsed="false">
      <c r="A2734" s="5" t="s">
        <v>5012</v>
      </c>
      <c r="B2734" s="5" t="s">
        <v>1903</v>
      </c>
      <c r="C2734" s="5" t="s">
        <v>2248</v>
      </c>
      <c r="D2734" s="5" t="s">
        <v>2322</v>
      </c>
      <c r="E2734" s="5" t="s">
        <v>54</v>
      </c>
      <c r="F2734" s="5" t="s">
        <v>59</v>
      </c>
      <c r="G2734" s="5" t="str">
        <f aca="false">INDEX(Risk_Matrix!$B$2:$D$4,MATCH(E2734,Risk_Matrix!$A$2:$A$4,0),MATCH(F2734,Risk_Matrix!$B$1:$D$1,0))</f>
        <v>Medium</v>
      </c>
      <c r="H2734" s="12" t="n">
        <v>46148</v>
      </c>
      <c r="I2734" s="5" t="s">
        <v>2250</v>
      </c>
      <c r="J2734" s="5" t="s">
        <v>2251</v>
      </c>
      <c r="K2734" s="5" t="s">
        <v>2283</v>
      </c>
      <c r="L2734" s="5" t="n">
        <f aca="false">IF(G2734="High",3,IF(G2734="Medium",2,1))</f>
        <v>2</v>
      </c>
    </row>
    <row r="2735" customFormat="false" ht="15" hidden="false" customHeight="true" outlineLevel="0" collapsed="false">
      <c r="A2735" s="5" t="s">
        <v>5013</v>
      </c>
      <c r="B2735" s="5" t="s">
        <v>1903</v>
      </c>
      <c r="C2735" s="5" t="s">
        <v>2262</v>
      </c>
      <c r="D2735" s="5" t="s">
        <v>2311</v>
      </c>
      <c r="E2735" s="5" t="s">
        <v>2225</v>
      </c>
      <c r="F2735" s="5" t="s">
        <v>2225</v>
      </c>
      <c r="G2735" s="5" t="str">
        <f aca="false">INDEX(Risk_Matrix!$B$2:$D$4,MATCH(E2735,Risk_Matrix!$A$2:$A$4,0),MATCH(F2735,Risk_Matrix!$B$1:$D$1,0))</f>
        <v>Medium</v>
      </c>
      <c r="H2735" s="12" t="n">
        <v>46155</v>
      </c>
      <c r="I2735" s="5" t="s">
        <v>2264</v>
      </c>
      <c r="J2735" s="5" t="s">
        <v>4087</v>
      </c>
      <c r="K2735" s="5" t="s">
        <v>2252</v>
      </c>
      <c r="L2735" s="5" t="n">
        <f aca="false">IF(G2735="High",3,IF(G2735="Medium",2,1))</f>
        <v>2</v>
      </c>
    </row>
    <row r="2736" customFormat="false" ht="15" hidden="false" customHeight="true" outlineLevel="0" collapsed="false">
      <c r="A2736" s="5" t="s">
        <v>5014</v>
      </c>
      <c r="B2736" s="5" t="s">
        <v>1903</v>
      </c>
      <c r="C2736" s="5" t="s">
        <v>2259</v>
      </c>
      <c r="D2736" s="5" t="s">
        <v>2285</v>
      </c>
      <c r="E2736" s="5" t="s">
        <v>59</v>
      </c>
      <c r="F2736" s="5" t="s">
        <v>54</v>
      </c>
      <c r="G2736" s="5" t="str">
        <f aca="false">INDEX(Risk_Matrix!$B$2:$D$4,MATCH(E2736,Risk_Matrix!$A$2:$A$4,0),MATCH(F2736,Risk_Matrix!$B$1:$D$1,0))</f>
        <v>Medium</v>
      </c>
      <c r="H2736" s="12" t="n">
        <v>46200</v>
      </c>
      <c r="I2736" s="5" t="s">
        <v>2256</v>
      </c>
      <c r="J2736" s="5" t="s">
        <v>4081</v>
      </c>
      <c r="K2736" s="5" t="s">
        <v>2243</v>
      </c>
      <c r="L2736" s="5" t="n">
        <f aca="false">IF(G2736="High",3,IF(G2736="Medium",2,1))</f>
        <v>2</v>
      </c>
    </row>
    <row r="2737" customFormat="false" ht="15" hidden="false" customHeight="true" outlineLevel="0" collapsed="false">
      <c r="A2737" s="5" t="s">
        <v>5015</v>
      </c>
      <c r="B2737" s="5" t="s">
        <v>1903</v>
      </c>
      <c r="C2737" s="5" t="s">
        <v>2254</v>
      </c>
      <c r="D2737" s="5" t="s">
        <v>2255</v>
      </c>
      <c r="E2737" s="5" t="s">
        <v>2225</v>
      </c>
      <c r="F2737" s="5" t="s">
        <v>59</v>
      </c>
      <c r="G2737" s="5" t="str">
        <f aca="false">INDEX(Risk_Matrix!$B$2:$D$4,MATCH(E2737,Risk_Matrix!$A$2:$A$4,0),MATCH(F2737,Risk_Matrix!$B$1:$D$1,0))</f>
        <v>Low</v>
      </c>
      <c r="H2737" s="12" t="n">
        <v>46031</v>
      </c>
      <c r="I2737" s="5" t="s">
        <v>2256</v>
      </c>
      <c r="J2737" s="5" t="s">
        <v>4081</v>
      </c>
      <c r="K2737" s="5" t="s">
        <v>2243</v>
      </c>
      <c r="L2737" s="5" t="n">
        <f aca="false">IF(G2737="High",3,IF(G2737="Medium",2,1))</f>
        <v>1</v>
      </c>
    </row>
    <row r="2738" customFormat="false" ht="15" hidden="false" customHeight="true" outlineLevel="0" collapsed="false">
      <c r="A2738" s="5" t="s">
        <v>5016</v>
      </c>
      <c r="B2738" s="5" t="s">
        <v>1905</v>
      </c>
      <c r="C2738" s="5" t="s">
        <v>2239</v>
      </c>
      <c r="D2738" s="5" t="s">
        <v>2303</v>
      </c>
      <c r="E2738" s="5" t="s">
        <v>54</v>
      </c>
      <c r="F2738" s="5" t="s">
        <v>59</v>
      </c>
      <c r="G2738" s="5" t="str">
        <f aca="false">INDEX(Risk_Matrix!$B$2:$D$4,MATCH(E2738,Risk_Matrix!$A$2:$A$4,0),MATCH(F2738,Risk_Matrix!$B$1:$D$1,0))</f>
        <v>Medium</v>
      </c>
      <c r="H2738" s="12" t="n">
        <v>46145</v>
      </c>
      <c r="I2738" s="5" t="s">
        <v>2250</v>
      </c>
      <c r="J2738" s="5" t="s">
        <v>2251</v>
      </c>
      <c r="K2738" s="5" t="s">
        <v>2252</v>
      </c>
      <c r="L2738" s="5" t="n">
        <f aca="false">IF(G2738="High",3,IF(G2738="Medium",2,1))</f>
        <v>2</v>
      </c>
    </row>
    <row r="2739" customFormat="false" ht="15" hidden="false" customHeight="true" outlineLevel="0" collapsed="false">
      <c r="A2739" s="5" t="s">
        <v>5017</v>
      </c>
      <c r="B2739" s="5" t="s">
        <v>1905</v>
      </c>
      <c r="C2739" s="5" t="s">
        <v>2245</v>
      </c>
      <c r="D2739" s="5" t="s">
        <v>2320</v>
      </c>
      <c r="E2739" s="5" t="s">
        <v>59</v>
      </c>
      <c r="F2739" s="5" t="s">
        <v>59</v>
      </c>
      <c r="G2739" s="5" t="str">
        <f aca="false">INDEX(Risk_Matrix!$B$2:$D$4,MATCH(E2739,Risk_Matrix!$A$2:$A$4,0),MATCH(F2739,Risk_Matrix!$B$1:$D$1,0))</f>
        <v>Low</v>
      </c>
      <c r="H2739" s="12" t="n">
        <v>46208</v>
      </c>
      <c r="I2739" s="5" t="s">
        <v>2264</v>
      </c>
      <c r="J2739" s="5" t="s">
        <v>4087</v>
      </c>
      <c r="K2739" s="5" t="s">
        <v>2266</v>
      </c>
      <c r="L2739" s="5" t="n">
        <f aca="false">IF(G2739="High",3,IF(G2739="Medium",2,1))</f>
        <v>1</v>
      </c>
    </row>
    <row r="2740" customFormat="false" ht="15" hidden="false" customHeight="true" outlineLevel="0" collapsed="false">
      <c r="A2740" s="5" t="s">
        <v>5018</v>
      </c>
      <c r="B2740" s="5" t="s">
        <v>1905</v>
      </c>
      <c r="C2740" s="5" t="s">
        <v>2248</v>
      </c>
      <c r="D2740" s="5" t="s">
        <v>2306</v>
      </c>
      <c r="E2740" s="5" t="s">
        <v>59</v>
      </c>
      <c r="F2740" s="5" t="s">
        <v>59</v>
      </c>
      <c r="G2740" s="5" t="str">
        <f aca="false">INDEX(Risk_Matrix!$B$2:$D$4,MATCH(E2740,Risk_Matrix!$A$2:$A$4,0),MATCH(F2740,Risk_Matrix!$B$1:$D$1,0))</f>
        <v>Low</v>
      </c>
      <c r="H2740" s="12" t="n">
        <v>46144</v>
      </c>
      <c r="I2740" s="5" t="s">
        <v>2250</v>
      </c>
      <c r="J2740" s="5" t="s">
        <v>2251</v>
      </c>
      <c r="K2740" s="5" t="s">
        <v>2283</v>
      </c>
      <c r="L2740" s="5" t="n">
        <f aca="false">IF(G2740="High",3,IF(G2740="Medium",2,1))</f>
        <v>1</v>
      </c>
    </row>
    <row r="2741" customFormat="false" ht="15" hidden="false" customHeight="true" outlineLevel="0" collapsed="false">
      <c r="A2741" s="5" t="s">
        <v>5019</v>
      </c>
      <c r="B2741" s="5" t="s">
        <v>1905</v>
      </c>
      <c r="C2741" s="5" t="s">
        <v>2262</v>
      </c>
      <c r="D2741" s="5" t="s">
        <v>2263</v>
      </c>
      <c r="E2741" s="5" t="s">
        <v>2225</v>
      </c>
      <c r="F2741" s="5" t="s">
        <v>54</v>
      </c>
      <c r="G2741" s="5" t="str">
        <f aca="false">INDEX(Risk_Matrix!$B$2:$D$4,MATCH(E2741,Risk_Matrix!$A$2:$A$4,0),MATCH(F2741,Risk_Matrix!$B$1:$D$1,0))</f>
        <v>High</v>
      </c>
      <c r="H2741" s="12" t="n">
        <v>46126</v>
      </c>
      <c r="I2741" s="5" t="s">
        <v>2250</v>
      </c>
      <c r="J2741" s="5" t="s">
        <v>2251</v>
      </c>
      <c r="K2741" s="5" t="s">
        <v>2283</v>
      </c>
      <c r="L2741" s="5" t="n">
        <f aca="false">IF(G2741="High",3,IF(G2741="Medium",2,1))</f>
        <v>3</v>
      </c>
    </row>
    <row r="2742" customFormat="false" ht="15" hidden="false" customHeight="true" outlineLevel="0" collapsed="false">
      <c r="A2742" s="5" t="s">
        <v>5020</v>
      </c>
      <c r="B2742" s="5" t="s">
        <v>1905</v>
      </c>
      <c r="C2742" s="5" t="s">
        <v>2259</v>
      </c>
      <c r="D2742" s="5" t="s">
        <v>2274</v>
      </c>
      <c r="E2742" s="5" t="s">
        <v>54</v>
      </c>
      <c r="F2742" s="5" t="s">
        <v>59</v>
      </c>
      <c r="G2742" s="5" t="str">
        <f aca="false">INDEX(Risk_Matrix!$B$2:$D$4,MATCH(E2742,Risk_Matrix!$A$2:$A$4,0),MATCH(F2742,Risk_Matrix!$B$1:$D$1,0))</f>
        <v>Medium</v>
      </c>
      <c r="H2742" s="12" t="n">
        <v>46108</v>
      </c>
      <c r="I2742" s="5" t="s">
        <v>2250</v>
      </c>
      <c r="J2742" s="5" t="s">
        <v>2251</v>
      </c>
      <c r="K2742" s="5" t="s">
        <v>2252</v>
      </c>
      <c r="L2742" s="5" t="n">
        <f aca="false">IF(G2742="High",3,IF(G2742="Medium",2,1))</f>
        <v>2</v>
      </c>
    </row>
    <row r="2743" customFormat="false" ht="15" hidden="false" customHeight="true" outlineLevel="0" collapsed="false">
      <c r="A2743" s="5" t="s">
        <v>5021</v>
      </c>
      <c r="B2743" s="5" t="s">
        <v>1905</v>
      </c>
      <c r="C2743" s="5" t="s">
        <v>2254</v>
      </c>
      <c r="D2743" s="5" t="s">
        <v>2255</v>
      </c>
      <c r="E2743" s="5" t="s">
        <v>2225</v>
      </c>
      <c r="F2743" s="5" t="s">
        <v>59</v>
      </c>
      <c r="G2743" s="5" t="str">
        <f aca="false">INDEX(Risk_Matrix!$B$2:$D$4,MATCH(E2743,Risk_Matrix!$A$2:$A$4,0),MATCH(F2743,Risk_Matrix!$B$1:$D$1,0))</f>
        <v>Low</v>
      </c>
      <c r="H2743" s="12" t="n">
        <v>46080</v>
      </c>
      <c r="I2743" s="5" t="s">
        <v>2256</v>
      </c>
      <c r="J2743" s="5" t="s">
        <v>4081</v>
      </c>
      <c r="K2743" s="5" t="s">
        <v>2276</v>
      </c>
      <c r="L2743" s="5" t="n">
        <f aca="false">IF(G2743="High",3,IF(G2743="Medium",2,1))</f>
        <v>1</v>
      </c>
    </row>
    <row r="2744" customFormat="false" ht="15" hidden="false" customHeight="true" outlineLevel="0" collapsed="false">
      <c r="A2744" s="5" t="s">
        <v>5022</v>
      </c>
      <c r="B2744" s="5" t="s">
        <v>1907</v>
      </c>
      <c r="C2744" s="5" t="s">
        <v>2239</v>
      </c>
      <c r="D2744" s="5" t="s">
        <v>2278</v>
      </c>
      <c r="E2744" s="5" t="s">
        <v>54</v>
      </c>
      <c r="F2744" s="5" t="s">
        <v>2225</v>
      </c>
      <c r="G2744" s="5" t="str">
        <f aca="false">INDEX(Risk_Matrix!$B$2:$D$4,MATCH(E2744,Risk_Matrix!$A$2:$A$4,0),MATCH(F2744,Risk_Matrix!$B$1:$D$1,0))</f>
        <v>High</v>
      </c>
      <c r="H2744" s="12" t="n">
        <v>46035</v>
      </c>
      <c r="I2744" s="5" t="s">
        <v>2250</v>
      </c>
      <c r="J2744" s="5" t="s">
        <v>2251</v>
      </c>
      <c r="K2744" s="5" t="s">
        <v>2276</v>
      </c>
      <c r="L2744" s="5" t="n">
        <f aca="false">IF(G2744="High",3,IF(G2744="Medium",2,1))</f>
        <v>3</v>
      </c>
    </row>
    <row r="2745" customFormat="false" ht="15" hidden="false" customHeight="true" outlineLevel="0" collapsed="false">
      <c r="A2745" s="5" t="s">
        <v>5023</v>
      </c>
      <c r="B2745" s="5" t="s">
        <v>1907</v>
      </c>
      <c r="C2745" s="5" t="s">
        <v>2245</v>
      </c>
      <c r="D2745" s="5" t="s">
        <v>2280</v>
      </c>
      <c r="E2745" s="5" t="s">
        <v>54</v>
      </c>
      <c r="F2745" s="5" t="s">
        <v>2225</v>
      </c>
      <c r="G2745" s="5" t="str">
        <f aca="false">INDEX(Risk_Matrix!$B$2:$D$4,MATCH(E2745,Risk_Matrix!$A$2:$A$4,0),MATCH(F2745,Risk_Matrix!$B$1:$D$1,0))</f>
        <v>High</v>
      </c>
      <c r="H2745" s="12" t="n">
        <v>46080</v>
      </c>
      <c r="I2745" s="5" t="s">
        <v>2250</v>
      </c>
      <c r="J2745" s="5" t="s">
        <v>2251</v>
      </c>
      <c r="K2745" s="5" t="s">
        <v>2266</v>
      </c>
      <c r="L2745" s="5" t="n">
        <f aca="false">IF(G2745="High",3,IF(G2745="Medium",2,1))</f>
        <v>3</v>
      </c>
    </row>
    <row r="2746" customFormat="false" ht="15" hidden="false" customHeight="true" outlineLevel="0" collapsed="false">
      <c r="A2746" s="5" t="s">
        <v>5024</v>
      </c>
      <c r="B2746" s="5" t="s">
        <v>1907</v>
      </c>
      <c r="C2746" s="5" t="s">
        <v>2248</v>
      </c>
      <c r="D2746" s="5" t="s">
        <v>2306</v>
      </c>
      <c r="E2746" s="5" t="s">
        <v>2225</v>
      </c>
      <c r="F2746" s="5" t="s">
        <v>2225</v>
      </c>
      <c r="G2746" s="5" t="str">
        <f aca="false">INDEX(Risk_Matrix!$B$2:$D$4,MATCH(E2746,Risk_Matrix!$A$2:$A$4,0),MATCH(F2746,Risk_Matrix!$B$1:$D$1,0))</f>
        <v>Medium</v>
      </c>
      <c r="H2746" s="12" t="n">
        <v>46199</v>
      </c>
      <c r="I2746" s="5" t="s">
        <v>2250</v>
      </c>
      <c r="J2746" s="5" t="s">
        <v>2251</v>
      </c>
      <c r="K2746" s="5" t="s">
        <v>2276</v>
      </c>
      <c r="L2746" s="5" t="n">
        <f aca="false">IF(G2746="High",3,IF(G2746="Medium",2,1))</f>
        <v>2</v>
      </c>
    </row>
    <row r="2747" customFormat="false" ht="15" hidden="false" customHeight="true" outlineLevel="0" collapsed="false">
      <c r="A2747" s="5" t="s">
        <v>5025</v>
      </c>
      <c r="B2747" s="5" t="s">
        <v>1907</v>
      </c>
      <c r="C2747" s="5" t="s">
        <v>2262</v>
      </c>
      <c r="D2747" s="5" t="s">
        <v>2287</v>
      </c>
      <c r="E2747" s="5" t="s">
        <v>59</v>
      </c>
      <c r="F2747" s="5" t="s">
        <v>59</v>
      </c>
      <c r="G2747" s="5" t="str">
        <f aca="false">INDEX(Risk_Matrix!$B$2:$D$4,MATCH(E2747,Risk_Matrix!$A$2:$A$4,0),MATCH(F2747,Risk_Matrix!$B$1:$D$1,0))</f>
        <v>Low</v>
      </c>
      <c r="H2747" s="12" t="n">
        <v>46117</v>
      </c>
      <c r="I2747" s="5" t="s">
        <v>2264</v>
      </c>
      <c r="J2747" s="5" t="s">
        <v>4087</v>
      </c>
      <c r="K2747" s="5" t="s">
        <v>2283</v>
      </c>
      <c r="L2747" s="5" t="n">
        <f aca="false">IF(G2747="High",3,IF(G2747="Medium",2,1))</f>
        <v>1</v>
      </c>
    </row>
    <row r="2748" customFormat="false" ht="15" hidden="false" customHeight="true" outlineLevel="0" collapsed="false">
      <c r="A2748" s="5" t="s">
        <v>5026</v>
      </c>
      <c r="B2748" s="5" t="s">
        <v>1907</v>
      </c>
      <c r="C2748" s="5" t="s">
        <v>2259</v>
      </c>
      <c r="D2748" s="5" t="s">
        <v>2285</v>
      </c>
      <c r="E2748" s="5" t="s">
        <v>2225</v>
      </c>
      <c r="F2748" s="5" t="s">
        <v>2225</v>
      </c>
      <c r="G2748" s="5" t="str">
        <f aca="false">INDEX(Risk_Matrix!$B$2:$D$4,MATCH(E2748,Risk_Matrix!$A$2:$A$4,0),MATCH(F2748,Risk_Matrix!$B$1:$D$1,0))</f>
        <v>Medium</v>
      </c>
      <c r="H2748" s="12" t="n">
        <v>46169</v>
      </c>
      <c r="I2748" s="5" t="s">
        <v>2241</v>
      </c>
      <c r="J2748" s="5" t="s">
        <v>2242</v>
      </c>
      <c r="K2748" s="5" t="s">
        <v>2252</v>
      </c>
      <c r="L2748" s="5" t="n">
        <f aca="false">IF(G2748="High",3,IF(G2748="Medium",2,1))</f>
        <v>2</v>
      </c>
    </row>
    <row r="2749" customFormat="false" ht="15" hidden="false" customHeight="true" outlineLevel="0" collapsed="false">
      <c r="A2749" s="5" t="s">
        <v>5027</v>
      </c>
      <c r="B2749" s="5" t="s">
        <v>1907</v>
      </c>
      <c r="C2749" s="5" t="s">
        <v>2254</v>
      </c>
      <c r="D2749" s="5" t="s">
        <v>2299</v>
      </c>
      <c r="E2749" s="5" t="s">
        <v>2225</v>
      </c>
      <c r="F2749" s="5" t="s">
        <v>59</v>
      </c>
      <c r="G2749" s="5" t="str">
        <f aca="false">INDEX(Risk_Matrix!$B$2:$D$4,MATCH(E2749,Risk_Matrix!$A$2:$A$4,0),MATCH(F2749,Risk_Matrix!$B$1:$D$1,0))</f>
        <v>Low</v>
      </c>
      <c r="H2749" s="12" t="n">
        <v>46060</v>
      </c>
      <c r="I2749" s="5" t="s">
        <v>2256</v>
      </c>
      <c r="J2749" s="5" t="s">
        <v>4081</v>
      </c>
      <c r="K2749" s="5" t="s">
        <v>2283</v>
      </c>
      <c r="L2749" s="5" t="n">
        <f aca="false">IF(G2749="High",3,IF(G2749="Medium",2,1))</f>
        <v>1</v>
      </c>
    </row>
    <row r="2750" customFormat="false" ht="15" hidden="false" customHeight="true" outlineLevel="0" collapsed="false">
      <c r="A2750" s="5" t="s">
        <v>5028</v>
      </c>
      <c r="B2750" s="5" t="s">
        <v>1909</v>
      </c>
      <c r="C2750" s="5" t="s">
        <v>2239</v>
      </c>
      <c r="D2750" s="5" t="s">
        <v>2303</v>
      </c>
      <c r="E2750" s="5" t="s">
        <v>54</v>
      </c>
      <c r="F2750" s="5" t="s">
        <v>59</v>
      </c>
      <c r="G2750" s="5" t="str">
        <f aca="false">INDEX(Risk_Matrix!$B$2:$D$4,MATCH(E2750,Risk_Matrix!$A$2:$A$4,0),MATCH(F2750,Risk_Matrix!$B$1:$D$1,0))</f>
        <v>Medium</v>
      </c>
      <c r="H2750" s="12" t="n">
        <v>46082</v>
      </c>
      <c r="I2750" s="5" t="s">
        <v>2241</v>
      </c>
      <c r="J2750" s="5" t="s">
        <v>2242</v>
      </c>
      <c r="K2750" s="5" t="s">
        <v>2276</v>
      </c>
      <c r="L2750" s="5" t="n">
        <f aca="false">IF(G2750="High",3,IF(G2750="Medium",2,1))</f>
        <v>2</v>
      </c>
    </row>
    <row r="2751" customFormat="false" ht="15" hidden="false" customHeight="true" outlineLevel="0" collapsed="false">
      <c r="A2751" s="5" t="s">
        <v>5029</v>
      </c>
      <c r="B2751" s="5" t="s">
        <v>1909</v>
      </c>
      <c r="C2751" s="5" t="s">
        <v>2245</v>
      </c>
      <c r="D2751" s="5" t="s">
        <v>2246</v>
      </c>
      <c r="E2751" s="5" t="s">
        <v>59</v>
      </c>
      <c r="F2751" s="5" t="s">
        <v>54</v>
      </c>
      <c r="G2751" s="5" t="str">
        <f aca="false">INDEX(Risk_Matrix!$B$2:$D$4,MATCH(E2751,Risk_Matrix!$A$2:$A$4,0),MATCH(F2751,Risk_Matrix!$B$1:$D$1,0))</f>
        <v>Medium</v>
      </c>
      <c r="H2751" s="12" t="n">
        <v>46067</v>
      </c>
      <c r="I2751" s="5" t="s">
        <v>2250</v>
      </c>
      <c r="J2751" s="5" t="s">
        <v>2251</v>
      </c>
      <c r="K2751" s="5" t="s">
        <v>2243</v>
      </c>
      <c r="L2751" s="5" t="n">
        <f aca="false">IF(G2751="High",3,IF(G2751="Medium",2,1))</f>
        <v>2</v>
      </c>
    </row>
    <row r="2752" customFormat="false" ht="15" hidden="false" customHeight="true" outlineLevel="0" collapsed="false">
      <c r="A2752" s="5" t="s">
        <v>5030</v>
      </c>
      <c r="B2752" s="5" t="s">
        <v>1909</v>
      </c>
      <c r="C2752" s="5" t="s">
        <v>2248</v>
      </c>
      <c r="D2752" s="5" t="s">
        <v>2249</v>
      </c>
      <c r="E2752" s="5" t="s">
        <v>54</v>
      </c>
      <c r="F2752" s="5" t="s">
        <v>2225</v>
      </c>
      <c r="G2752" s="5" t="str">
        <f aca="false">INDEX(Risk_Matrix!$B$2:$D$4,MATCH(E2752,Risk_Matrix!$A$2:$A$4,0),MATCH(F2752,Risk_Matrix!$B$1:$D$1,0))</f>
        <v>High</v>
      </c>
      <c r="H2752" s="12" t="n">
        <v>46134</v>
      </c>
      <c r="I2752" s="5" t="s">
        <v>2250</v>
      </c>
      <c r="J2752" s="5" t="s">
        <v>2251</v>
      </c>
      <c r="K2752" s="5" t="s">
        <v>2243</v>
      </c>
      <c r="L2752" s="5" t="n">
        <f aca="false">IF(G2752="High",3,IF(G2752="Medium",2,1))</f>
        <v>3</v>
      </c>
    </row>
    <row r="2753" customFormat="false" ht="15" hidden="false" customHeight="true" outlineLevel="0" collapsed="false">
      <c r="A2753" s="5" t="s">
        <v>5031</v>
      </c>
      <c r="B2753" s="5" t="s">
        <v>1909</v>
      </c>
      <c r="C2753" s="5" t="s">
        <v>2262</v>
      </c>
      <c r="D2753" s="5" t="s">
        <v>2263</v>
      </c>
      <c r="E2753" s="5" t="s">
        <v>2225</v>
      </c>
      <c r="F2753" s="5" t="s">
        <v>2225</v>
      </c>
      <c r="G2753" s="5" t="str">
        <f aca="false">INDEX(Risk_Matrix!$B$2:$D$4,MATCH(E2753,Risk_Matrix!$A$2:$A$4,0),MATCH(F2753,Risk_Matrix!$B$1:$D$1,0))</f>
        <v>Medium</v>
      </c>
      <c r="H2753" s="12" t="n">
        <v>46197</v>
      </c>
      <c r="I2753" s="5" t="s">
        <v>2250</v>
      </c>
      <c r="J2753" s="5" t="s">
        <v>2251</v>
      </c>
      <c r="K2753" s="5" t="s">
        <v>2266</v>
      </c>
      <c r="L2753" s="5" t="n">
        <f aca="false">IF(G2753="High",3,IF(G2753="Medium",2,1))</f>
        <v>2</v>
      </c>
    </row>
    <row r="2754" customFormat="false" ht="15" hidden="false" customHeight="true" outlineLevel="0" collapsed="false">
      <c r="A2754" s="5" t="s">
        <v>5032</v>
      </c>
      <c r="B2754" s="5" t="s">
        <v>1909</v>
      </c>
      <c r="C2754" s="5" t="s">
        <v>2259</v>
      </c>
      <c r="D2754" s="5" t="s">
        <v>2285</v>
      </c>
      <c r="E2754" s="5" t="s">
        <v>54</v>
      </c>
      <c r="F2754" s="5" t="s">
        <v>54</v>
      </c>
      <c r="G2754" s="5" t="str">
        <f aca="false">INDEX(Risk_Matrix!$B$2:$D$4,MATCH(E2754,Risk_Matrix!$A$2:$A$4,0),MATCH(F2754,Risk_Matrix!$B$1:$D$1,0))</f>
        <v>High</v>
      </c>
      <c r="H2754" s="12" t="n">
        <v>46164</v>
      </c>
      <c r="I2754" s="5" t="s">
        <v>2250</v>
      </c>
      <c r="J2754" s="5" t="s">
        <v>2251</v>
      </c>
      <c r="K2754" s="5" t="s">
        <v>2283</v>
      </c>
      <c r="L2754" s="5" t="n">
        <f aca="false">IF(G2754="High",3,IF(G2754="Medium",2,1))</f>
        <v>3</v>
      </c>
    </row>
    <row r="2755" customFormat="false" ht="15" hidden="false" customHeight="true" outlineLevel="0" collapsed="false">
      <c r="A2755" s="5" t="s">
        <v>5033</v>
      </c>
      <c r="B2755" s="5" t="s">
        <v>1909</v>
      </c>
      <c r="C2755" s="5" t="s">
        <v>2254</v>
      </c>
      <c r="D2755" s="5" t="s">
        <v>2299</v>
      </c>
      <c r="E2755" s="5" t="s">
        <v>2225</v>
      </c>
      <c r="F2755" s="5" t="s">
        <v>59</v>
      </c>
      <c r="G2755" s="5" t="str">
        <f aca="false">INDEX(Risk_Matrix!$B$2:$D$4,MATCH(E2755,Risk_Matrix!$A$2:$A$4,0),MATCH(F2755,Risk_Matrix!$B$1:$D$1,0))</f>
        <v>Low</v>
      </c>
      <c r="H2755" s="12" t="n">
        <v>46220</v>
      </c>
      <c r="I2755" s="5" t="s">
        <v>2256</v>
      </c>
      <c r="J2755" s="5" t="s">
        <v>4081</v>
      </c>
      <c r="K2755" s="5" t="s">
        <v>2276</v>
      </c>
      <c r="L2755" s="5" t="n">
        <f aca="false">IF(G2755="High",3,IF(G2755="Medium",2,1))</f>
        <v>1</v>
      </c>
    </row>
    <row r="2756" customFormat="false" ht="15" hidden="false" customHeight="true" outlineLevel="0" collapsed="false">
      <c r="A2756" s="5" t="s">
        <v>5034</v>
      </c>
      <c r="B2756" s="5" t="s">
        <v>1911</v>
      </c>
      <c r="C2756" s="5" t="s">
        <v>2239</v>
      </c>
      <c r="D2756" s="5" t="s">
        <v>2303</v>
      </c>
      <c r="E2756" s="5" t="s">
        <v>2225</v>
      </c>
      <c r="F2756" s="5" t="s">
        <v>2225</v>
      </c>
      <c r="G2756" s="5" t="str">
        <f aca="false">INDEX(Risk_Matrix!$B$2:$D$4,MATCH(E2756,Risk_Matrix!$A$2:$A$4,0),MATCH(F2756,Risk_Matrix!$B$1:$D$1,0))</f>
        <v>Medium</v>
      </c>
      <c r="H2756" s="12" t="n">
        <v>46129</v>
      </c>
      <c r="I2756" s="5" t="s">
        <v>2264</v>
      </c>
      <c r="J2756" s="5" t="s">
        <v>4087</v>
      </c>
      <c r="K2756" s="5" t="s">
        <v>2243</v>
      </c>
      <c r="L2756" s="5" t="n">
        <f aca="false">IF(G2756="High",3,IF(G2756="Medium",2,1))</f>
        <v>2</v>
      </c>
    </row>
    <row r="2757" customFormat="false" ht="15" hidden="false" customHeight="true" outlineLevel="0" collapsed="false">
      <c r="A2757" s="5" t="s">
        <v>5035</v>
      </c>
      <c r="B2757" s="5" t="s">
        <v>1911</v>
      </c>
      <c r="C2757" s="5" t="s">
        <v>2245</v>
      </c>
      <c r="D2757" s="5" t="s">
        <v>2320</v>
      </c>
      <c r="E2757" s="5" t="s">
        <v>59</v>
      </c>
      <c r="F2757" s="5" t="s">
        <v>54</v>
      </c>
      <c r="G2757" s="5" t="str">
        <f aca="false">INDEX(Risk_Matrix!$B$2:$D$4,MATCH(E2757,Risk_Matrix!$A$2:$A$4,0),MATCH(F2757,Risk_Matrix!$B$1:$D$1,0))</f>
        <v>Medium</v>
      </c>
      <c r="H2757" s="12" t="n">
        <v>46194</v>
      </c>
      <c r="I2757" s="5" t="s">
        <v>2250</v>
      </c>
      <c r="J2757" s="5" t="s">
        <v>2251</v>
      </c>
      <c r="K2757" s="5" t="s">
        <v>2276</v>
      </c>
      <c r="L2757" s="5" t="n">
        <f aca="false">IF(G2757="High",3,IF(G2757="Medium",2,1))</f>
        <v>2</v>
      </c>
    </row>
    <row r="2758" customFormat="false" ht="15" hidden="false" customHeight="true" outlineLevel="0" collapsed="false">
      <c r="A2758" s="5" t="s">
        <v>5036</v>
      </c>
      <c r="B2758" s="5" t="s">
        <v>1911</v>
      </c>
      <c r="C2758" s="5" t="s">
        <v>2248</v>
      </c>
      <c r="D2758" s="5" t="s">
        <v>2322</v>
      </c>
      <c r="E2758" s="5" t="s">
        <v>54</v>
      </c>
      <c r="F2758" s="5" t="s">
        <v>59</v>
      </c>
      <c r="G2758" s="5" t="str">
        <f aca="false">INDEX(Risk_Matrix!$B$2:$D$4,MATCH(E2758,Risk_Matrix!$A$2:$A$4,0),MATCH(F2758,Risk_Matrix!$B$1:$D$1,0))</f>
        <v>Medium</v>
      </c>
      <c r="H2758" s="12" t="n">
        <v>46194</v>
      </c>
      <c r="I2758" s="5" t="s">
        <v>2256</v>
      </c>
      <c r="J2758" s="5" t="s">
        <v>4081</v>
      </c>
      <c r="K2758" s="5" t="s">
        <v>2283</v>
      </c>
      <c r="L2758" s="5" t="n">
        <f aca="false">IF(G2758="High",3,IF(G2758="Medium",2,1))</f>
        <v>2</v>
      </c>
    </row>
    <row r="2759" customFormat="false" ht="15" hidden="false" customHeight="true" outlineLevel="0" collapsed="false">
      <c r="A2759" s="5" t="s">
        <v>5037</v>
      </c>
      <c r="B2759" s="5" t="s">
        <v>1911</v>
      </c>
      <c r="C2759" s="5" t="s">
        <v>2262</v>
      </c>
      <c r="D2759" s="5" t="s">
        <v>2287</v>
      </c>
      <c r="E2759" s="5" t="s">
        <v>2225</v>
      </c>
      <c r="F2759" s="5" t="s">
        <v>2225</v>
      </c>
      <c r="G2759" s="5" t="str">
        <f aca="false">INDEX(Risk_Matrix!$B$2:$D$4,MATCH(E2759,Risk_Matrix!$A$2:$A$4,0),MATCH(F2759,Risk_Matrix!$B$1:$D$1,0))</f>
        <v>Medium</v>
      </c>
      <c r="H2759" s="12" t="n">
        <v>46185</v>
      </c>
      <c r="I2759" s="5" t="s">
        <v>2264</v>
      </c>
      <c r="J2759" s="5" t="s">
        <v>4087</v>
      </c>
      <c r="K2759" s="5" t="s">
        <v>2266</v>
      </c>
      <c r="L2759" s="5" t="n">
        <f aca="false">IF(G2759="High",3,IF(G2759="Medium",2,1))</f>
        <v>2</v>
      </c>
    </row>
    <row r="2760" customFormat="false" ht="15" hidden="false" customHeight="true" outlineLevel="0" collapsed="false">
      <c r="A2760" s="5" t="s">
        <v>5038</v>
      </c>
      <c r="B2760" s="5" t="s">
        <v>1911</v>
      </c>
      <c r="C2760" s="5" t="s">
        <v>2259</v>
      </c>
      <c r="D2760" s="5" t="s">
        <v>2260</v>
      </c>
      <c r="E2760" s="5" t="s">
        <v>59</v>
      </c>
      <c r="F2760" s="5" t="s">
        <v>54</v>
      </c>
      <c r="G2760" s="5" t="str">
        <f aca="false">INDEX(Risk_Matrix!$B$2:$D$4,MATCH(E2760,Risk_Matrix!$A$2:$A$4,0),MATCH(F2760,Risk_Matrix!$B$1:$D$1,0))</f>
        <v>Medium</v>
      </c>
      <c r="H2760" s="12" t="n">
        <v>46173</v>
      </c>
      <c r="I2760" s="5" t="s">
        <v>2241</v>
      </c>
      <c r="J2760" s="5" t="s">
        <v>2242</v>
      </c>
      <c r="K2760" s="5" t="s">
        <v>2283</v>
      </c>
      <c r="L2760" s="5" t="n">
        <f aca="false">IF(G2760="High",3,IF(G2760="Medium",2,1))</f>
        <v>2</v>
      </c>
    </row>
    <row r="2761" customFormat="false" ht="15" hidden="false" customHeight="true" outlineLevel="0" collapsed="false">
      <c r="A2761" s="5" t="s">
        <v>5039</v>
      </c>
      <c r="B2761" s="5" t="s">
        <v>1911</v>
      </c>
      <c r="C2761" s="5" t="s">
        <v>2254</v>
      </c>
      <c r="D2761" s="5" t="s">
        <v>2299</v>
      </c>
      <c r="E2761" s="5" t="s">
        <v>2225</v>
      </c>
      <c r="F2761" s="5" t="s">
        <v>59</v>
      </c>
      <c r="G2761" s="5" t="str">
        <f aca="false">INDEX(Risk_Matrix!$B$2:$D$4,MATCH(E2761,Risk_Matrix!$A$2:$A$4,0),MATCH(F2761,Risk_Matrix!$B$1:$D$1,0))</f>
        <v>Low</v>
      </c>
      <c r="H2761" s="12" t="n">
        <v>46090</v>
      </c>
      <c r="I2761" s="5" t="s">
        <v>2250</v>
      </c>
      <c r="J2761" s="5" t="s">
        <v>2251</v>
      </c>
      <c r="K2761" s="5" t="s">
        <v>2283</v>
      </c>
      <c r="L2761" s="5" t="n">
        <f aca="false">IF(G2761="High",3,IF(G2761="Medium",2,1))</f>
        <v>1</v>
      </c>
    </row>
    <row r="2762" customFormat="false" ht="15" hidden="false" customHeight="true" outlineLevel="0" collapsed="false">
      <c r="A2762" s="5" t="s">
        <v>5040</v>
      </c>
      <c r="B2762" s="5" t="s">
        <v>1913</v>
      </c>
      <c r="C2762" s="5" t="s">
        <v>2239</v>
      </c>
      <c r="D2762" s="5" t="s">
        <v>2278</v>
      </c>
      <c r="E2762" s="5" t="s">
        <v>54</v>
      </c>
      <c r="F2762" s="5" t="s">
        <v>54</v>
      </c>
      <c r="G2762" s="5" t="str">
        <f aca="false">INDEX(Risk_Matrix!$B$2:$D$4,MATCH(E2762,Risk_Matrix!$A$2:$A$4,0),MATCH(F2762,Risk_Matrix!$B$1:$D$1,0))</f>
        <v>High</v>
      </c>
      <c r="H2762" s="12" t="n">
        <v>46121</v>
      </c>
      <c r="I2762" s="5" t="s">
        <v>2256</v>
      </c>
      <c r="J2762" s="5" t="s">
        <v>4081</v>
      </c>
      <c r="K2762" s="5" t="s">
        <v>2266</v>
      </c>
      <c r="L2762" s="5" t="n">
        <f aca="false">IF(G2762="High",3,IF(G2762="Medium",2,1))</f>
        <v>3</v>
      </c>
    </row>
    <row r="2763" customFormat="false" ht="15" hidden="false" customHeight="true" outlineLevel="0" collapsed="false">
      <c r="A2763" s="5" t="s">
        <v>5041</v>
      </c>
      <c r="B2763" s="5" t="s">
        <v>1913</v>
      </c>
      <c r="C2763" s="5" t="s">
        <v>2245</v>
      </c>
      <c r="D2763" s="5" t="s">
        <v>2280</v>
      </c>
      <c r="E2763" s="5" t="s">
        <v>54</v>
      </c>
      <c r="F2763" s="5" t="s">
        <v>54</v>
      </c>
      <c r="G2763" s="5" t="str">
        <f aca="false">INDEX(Risk_Matrix!$B$2:$D$4,MATCH(E2763,Risk_Matrix!$A$2:$A$4,0),MATCH(F2763,Risk_Matrix!$B$1:$D$1,0))</f>
        <v>High</v>
      </c>
      <c r="H2763" s="12" t="n">
        <v>46157</v>
      </c>
      <c r="I2763" s="5" t="s">
        <v>2256</v>
      </c>
      <c r="J2763" s="5" t="s">
        <v>4081</v>
      </c>
      <c r="K2763" s="5" t="s">
        <v>2283</v>
      </c>
      <c r="L2763" s="5" t="n">
        <f aca="false">IF(G2763="High",3,IF(G2763="Medium",2,1))</f>
        <v>3</v>
      </c>
    </row>
    <row r="2764" customFormat="false" ht="15" hidden="false" customHeight="true" outlineLevel="0" collapsed="false">
      <c r="A2764" s="5" t="s">
        <v>5042</v>
      </c>
      <c r="B2764" s="5" t="s">
        <v>1913</v>
      </c>
      <c r="C2764" s="5" t="s">
        <v>2248</v>
      </c>
      <c r="D2764" s="5" t="s">
        <v>2322</v>
      </c>
      <c r="E2764" s="5" t="s">
        <v>59</v>
      </c>
      <c r="F2764" s="5" t="s">
        <v>2225</v>
      </c>
      <c r="G2764" s="5" t="str">
        <f aca="false">INDEX(Risk_Matrix!$B$2:$D$4,MATCH(E2764,Risk_Matrix!$A$2:$A$4,0),MATCH(F2764,Risk_Matrix!$B$1:$D$1,0))</f>
        <v>Low</v>
      </c>
      <c r="H2764" s="12" t="n">
        <v>46071</v>
      </c>
      <c r="I2764" s="5" t="s">
        <v>2250</v>
      </c>
      <c r="J2764" s="5" t="s">
        <v>2251</v>
      </c>
      <c r="K2764" s="5" t="s">
        <v>2243</v>
      </c>
      <c r="L2764" s="5" t="n">
        <f aca="false">IF(G2764="High",3,IF(G2764="Medium",2,1))</f>
        <v>1</v>
      </c>
    </row>
    <row r="2765" customFormat="false" ht="15" hidden="false" customHeight="true" outlineLevel="0" collapsed="false">
      <c r="A2765" s="5" t="s">
        <v>5043</v>
      </c>
      <c r="B2765" s="5" t="s">
        <v>1913</v>
      </c>
      <c r="C2765" s="5" t="s">
        <v>2262</v>
      </c>
      <c r="D2765" s="5" t="s">
        <v>2287</v>
      </c>
      <c r="E2765" s="5" t="s">
        <v>54</v>
      </c>
      <c r="F2765" s="5" t="s">
        <v>59</v>
      </c>
      <c r="G2765" s="5" t="str">
        <f aca="false">INDEX(Risk_Matrix!$B$2:$D$4,MATCH(E2765,Risk_Matrix!$A$2:$A$4,0),MATCH(F2765,Risk_Matrix!$B$1:$D$1,0))</f>
        <v>Medium</v>
      </c>
      <c r="H2765" s="12" t="n">
        <v>46102</v>
      </c>
      <c r="I2765" s="5" t="s">
        <v>2250</v>
      </c>
      <c r="J2765" s="5" t="s">
        <v>2251</v>
      </c>
      <c r="K2765" s="5" t="s">
        <v>2243</v>
      </c>
      <c r="L2765" s="5" t="n">
        <f aca="false">IF(G2765="High",3,IF(G2765="Medium",2,1))</f>
        <v>2</v>
      </c>
    </row>
    <row r="2766" customFormat="false" ht="15" hidden="false" customHeight="true" outlineLevel="0" collapsed="false">
      <c r="A2766" s="5" t="s">
        <v>5044</v>
      </c>
      <c r="B2766" s="5" t="s">
        <v>1913</v>
      </c>
      <c r="C2766" s="5" t="s">
        <v>2259</v>
      </c>
      <c r="D2766" s="5" t="s">
        <v>2260</v>
      </c>
      <c r="E2766" s="5" t="s">
        <v>59</v>
      </c>
      <c r="F2766" s="5" t="s">
        <v>59</v>
      </c>
      <c r="G2766" s="5" t="str">
        <f aca="false">INDEX(Risk_Matrix!$B$2:$D$4,MATCH(E2766,Risk_Matrix!$A$2:$A$4,0),MATCH(F2766,Risk_Matrix!$B$1:$D$1,0))</f>
        <v>Low</v>
      </c>
      <c r="H2766" s="12" t="n">
        <v>46089</v>
      </c>
      <c r="I2766" s="5" t="s">
        <v>2256</v>
      </c>
      <c r="J2766" s="5" t="s">
        <v>4081</v>
      </c>
      <c r="K2766" s="5" t="s">
        <v>2276</v>
      </c>
      <c r="L2766" s="5" t="n">
        <f aca="false">IF(G2766="High",3,IF(G2766="Medium",2,1))</f>
        <v>1</v>
      </c>
    </row>
    <row r="2767" customFormat="false" ht="15" hidden="false" customHeight="true" outlineLevel="0" collapsed="false">
      <c r="A2767" s="5" t="s">
        <v>5045</v>
      </c>
      <c r="B2767" s="5" t="s">
        <v>1913</v>
      </c>
      <c r="C2767" s="5" t="s">
        <v>2254</v>
      </c>
      <c r="D2767" s="5" t="s">
        <v>2299</v>
      </c>
      <c r="E2767" s="5" t="s">
        <v>54</v>
      </c>
      <c r="F2767" s="5" t="s">
        <v>2225</v>
      </c>
      <c r="G2767" s="5" t="str">
        <f aca="false">INDEX(Risk_Matrix!$B$2:$D$4,MATCH(E2767,Risk_Matrix!$A$2:$A$4,0),MATCH(F2767,Risk_Matrix!$B$1:$D$1,0))</f>
        <v>High</v>
      </c>
      <c r="H2767" s="12" t="n">
        <v>46145</v>
      </c>
      <c r="I2767" s="5" t="s">
        <v>2264</v>
      </c>
      <c r="J2767" s="5" t="s">
        <v>4087</v>
      </c>
      <c r="K2767" s="5" t="s">
        <v>2243</v>
      </c>
      <c r="L2767" s="5" t="n">
        <f aca="false">IF(G2767="High",3,IF(G2767="Medium",2,1))</f>
        <v>3</v>
      </c>
    </row>
    <row r="2768" customFormat="false" ht="15" hidden="false" customHeight="true" outlineLevel="0" collapsed="false">
      <c r="A2768" s="5" t="s">
        <v>5046</v>
      </c>
      <c r="B2768" s="5" t="s">
        <v>1915</v>
      </c>
      <c r="C2768" s="5" t="s">
        <v>2239</v>
      </c>
      <c r="D2768" s="5" t="s">
        <v>2240</v>
      </c>
      <c r="E2768" s="5" t="s">
        <v>54</v>
      </c>
      <c r="F2768" s="5" t="s">
        <v>2225</v>
      </c>
      <c r="G2768" s="5" t="str">
        <f aca="false">INDEX(Risk_Matrix!$B$2:$D$4,MATCH(E2768,Risk_Matrix!$A$2:$A$4,0),MATCH(F2768,Risk_Matrix!$B$1:$D$1,0))</f>
        <v>High</v>
      </c>
      <c r="H2768" s="12" t="n">
        <v>46145</v>
      </c>
      <c r="I2768" s="5" t="s">
        <v>2264</v>
      </c>
      <c r="J2768" s="5" t="s">
        <v>4087</v>
      </c>
      <c r="K2768" s="5" t="s">
        <v>2243</v>
      </c>
      <c r="L2768" s="5" t="n">
        <f aca="false">IF(G2768="High",3,IF(G2768="Medium",2,1))</f>
        <v>3</v>
      </c>
    </row>
    <row r="2769" customFormat="false" ht="15" hidden="false" customHeight="true" outlineLevel="0" collapsed="false">
      <c r="A2769" s="5" t="s">
        <v>5047</v>
      </c>
      <c r="B2769" s="5" t="s">
        <v>1915</v>
      </c>
      <c r="C2769" s="5" t="s">
        <v>2245</v>
      </c>
      <c r="D2769" s="5" t="s">
        <v>2280</v>
      </c>
      <c r="E2769" s="5" t="s">
        <v>59</v>
      </c>
      <c r="F2769" s="5" t="s">
        <v>54</v>
      </c>
      <c r="G2769" s="5" t="str">
        <f aca="false">INDEX(Risk_Matrix!$B$2:$D$4,MATCH(E2769,Risk_Matrix!$A$2:$A$4,0),MATCH(F2769,Risk_Matrix!$B$1:$D$1,0))</f>
        <v>Medium</v>
      </c>
      <c r="H2769" s="12" t="n">
        <v>46160</v>
      </c>
      <c r="I2769" s="5" t="s">
        <v>2241</v>
      </c>
      <c r="J2769" s="5" t="s">
        <v>2242</v>
      </c>
      <c r="K2769" s="5" t="s">
        <v>2276</v>
      </c>
      <c r="L2769" s="5" t="n">
        <f aca="false">IF(G2769="High",3,IF(G2769="Medium",2,1))</f>
        <v>2</v>
      </c>
    </row>
    <row r="2770" customFormat="false" ht="15" hidden="false" customHeight="true" outlineLevel="0" collapsed="false">
      <c r="A2770" s="5" t="s">
        <v>5048</v>
      </c>
      <c r="B2770" s="5" t="s">
        <v>1915</v>
      </c>
      <c r="C2770" s="5" t="s">
        <v>2248</v>
      </c>
      <c r="D2770" s="5" t="s">
        <v>2249</v>
      </c>
      <c r="E2770" s="5" t="s">
        <v>2225</v>
      </c>
      <c r="F2770" s="5" t="s">
        <v>59</v>
      </c>
      <c r="G2770" s="5" t="str">
        <f aca="false">INDEX(Risk_Matrix!$B$2:$D$4,MATCH(E2770,Risk_Matrix!$A$2:$A$4,0),MATCH(F2770,Risk_Matrix!$B$1:$D$1,0))</f>
        <v>Low</v>
      </c>
      <c r="H2770" s="12" t="n">
        <v>46210</v>
      </c>
      <c r="I2770" s="5" t="s">
        <v>2256</v>
      </c>
      <c r="J2770" s="5" t="s">
        <v>4081</v>
      </c>
      <c r="K2770" s="5" t="s">
        <v>2252</v>
      </c>
      <c r="L2770" s="5" t="n">
        <f aca="false">IF(G2770="High",3,IF(G2770="Medium",2,1))</f>
        <v>1</v>
      </c>
    </row>
    <row r="2771" customFormat="false" ht="15" hidden="false" customHeight="true" outlineLevel="0" collapsed="false">
      <c r="A2771" s="5" t="s">
        <v>5049</v>
      </c>
      <c r="B2771" s="5" t="s">
        <v>1915</v>
      </c>
      <c r="C2771" s="5" t="s">
        <v>2262</v>
      </c>
      <c r="D2771" s="5" t="s">
        <v>2263</v>
      </c>
      <c r="E2771" s="5" t="s">
        <v>59</v>
      </c>
      <c r="F2771" s="5" t="s">
        <v>54</v>
      </c>
      <c r="G2771" s="5" t="str">
        <f aca="false">INDEX(Risk_Matrix!$B$2:$D$4,MATCH(E2771,Risk_Matrix!$A$2:$A$4,0),MATCH(F2771,Risk_Matrix!$B$1:$D$1,0))</f>
        <v>Medium</v>
      </c>
      <c r="H2771" s="12" t="n">
        <v>46150</v>
      </c>
      <c r="I2771" s="5" t="s">
        <v>2241</v>
      </c>
      <c r="J2771" s="5" t="s">
        <v>2242</v>
      </c>
      <c r="K2771" s="5" t="s">
        <v>2276</v>
      </c>
      <c r="L2771" s="5" t="n">
        <f aca="false">IF(G2771="High",3,IF(G2771="Medium",2,1))</f>
        <v>2</v>
      </c>
    </row>
    <row r="2772" customFormat="false" ht="15" hidden="false" customHeight="true" outlineLevel="0" collapsed="false">
      <c r="A2772" s="5" t="s">
        <v>5050</v>
      </c>
      <c r="B2772" s="5" t="s">
        <v>1915</v>
      </c>
      <c r="C2772" s="5" t="s">
        <v>2259</v>
      </c>
      <c r="D2772" s="5" t="s">
        <v>2285</v>
      </c>
      <c r="E2772" s="5" t="s">
        <v>59</v>
      </c>
      <c r="F2772" s="5" t="s">
        <v>2225</v>
      </c>
      <c r="G2772" s="5" t="str">
        <f aca="false">INDEX(Risk_Matrix!$B$2:$D$4,MATCH(E2772,Risk_Matrix!$A$2:$A$4,0),MATCH(F2772,Risk_Matrix!$B$1:$D$1,0))</f>
        <v>Low</v>
      </c>
      <c r="H2772" s="12" t="n">
        <v>46120</v>
      </c>
      <c r="I2772" s="5" t="s">
        <v>2256</v>
      </c>
      <c r="J2772" s="5" t="s">
        <v>4081</v>
      </c>
      <c r="K2772" s="5" t="s">
        <v>2266</v>
      </c>
      <c r="L2772" s="5" t="n">
        <f aca="false">IF(G2772="High",3,IF(G2772="Medium",2,1))</f>
        <v>1</v>
      </c>
    </row>
    <row r="2773" customFormat="false" ht="15" hidden="false" customHeight="true" outlineLevel="0" collapsed="false">
      <c r="A2773" s="5" t="s">
        <v>5051</v>
      </c>
      <c r="B2773" s="5" t="s">
        <v>1915</v>
      </c>
      <c r="C2773" s="5" t="s">
        <v>2254</v>
      </c>
      <c r="D2773" s="5" t="s">
        <v>2255</v>
      </c>
      <c r="E2773" s="5" t="s">
        <v>54</v>
      </c>
      <c r="F2773" s="5" t="s">
        <v>54</v>
      </c>
      <c r="G2773" s="5" t="str">
        <f aca="false">INDEX(Risk_Matrix!$B$2:$D$4,MATCH(E2773,Risk_Matrix!$A$2:$A$4,0),MATCH(F2773,Risk_Matrix!$B$1:$D$1,0))</f>
        <v>High</v>
      </c>
      <c r="H2773" s="12" t="n">
        <v>46228</v>
      </c>
      <c r="I2773" s="5" t="s">
        <v>2256</v>
      </c>
      <c r="J2773" s="5" t="s">
        <v>4081</v>
      </c>
      <c r="K2773" s="5" t="s">
        <v>2276</v>
      </c>
      <c r="L2773" s="5" t="n">
        <f aca="false">IF(G2773="High",3,IF(G2773="Medium",2,1))</f>
        <v>3</v>
      </c>
    </row>
    <row r="2774" customFormat="false" ht="15" hidden="false" customHeight="true" outlineLevel="0" collapsed="false">
      <c r="A2774" s="5" t="s">
        <v>5052</v>
      </c>
      <c r="B2774" s="5" t="s">
        <v>1917</v>
      </c>
      <c r="C2774" s="5" t="s">
        <v>2239</v>
      </c>
      <c r="D2774" s="5" t="s">
        <v>2240</v>
      </c>
      <c r="E2774" s="5" t="s">
        <v>59</v>
      </c>
      <c r="F2774" s="5" t="s">
        <v>59</v>
      </c>
      <c r="G2774" s="5" t="str">
        <f aca="false">INDEX(Risk_Matrix!$B$2:$D$4,MATCH(E2774,Risk_Matrix!$A$2:$A$4,0),MATCH(F2774,Risk_Matrix!$B$1:$D$1,0))</f>
        <v>Low</v>
      </c>
      <c r="H2774" s="12" t="n">
        <v>46219</v>
      </c>
      <c r="I2774" s="5" t="s">
        <v>2250</v>
      </c>
      <c r="J2774" s="5" t="s">
        <v>2251</v>
      </c>
      <c r="K2774" s="5" t="s">
        <v>2283</v>
      </c>
      <c r="L2774" s="5" t="n">
        <f aca="false">IF(G2774="High",3,IF(G2774="Medium",2,1))</f>
        <v>1</v>
      </c>
    </row>
    <row r="2775" customFormat="false" ht="15" hidden="false" customHeight="true" outlineLevel="0" collapsed="false">
      <c r="A2775" s="5" t="s">
        <v>5053</v>
      </c>
      <c r="B2775" s="5" t="s">
        <v>1917</v>
      </c>
      <c r="C2775" s="5" t="s">
        <v>2245</v>
      </c>
      <c r="D2775" s="5" t="s">
        <v>2280</v>
      </c>
      <c r="E2775" s="5" t="s">
        <v>54</v>
      </c>
      <c r="F2775" s="5" t="s">
        <v>59</v>
      </c>
      <c r="G2775" s="5" t="str">
        <f aca="false">INDEX(Risk_Matrix!$B$2:$D$4,MATCH(E2775,Risk_Matrix!$A$2:$A$4,0),MATCH(F2775,Risk_Matrix!$B$1:$D$1,0))</f>
        <v>Medium</v>
      </c>
      <c r="H2775" s="12" t="n">
        <v>46195</v>
      </c>
      <c r="I2775" s="5" t="s">
        <v>2250</v>
      </c>
      <c r="J2775" s="5" t="s">
        <v>2251</v>
      </c>
      <c r="K2775" s="5" t="s">
        <v>2276</v>
      </c>
      <c r="L2775" s="5" t="n">
        <f aca="false">IF(G2775="High",3,IF(G2775="Medium",2,1))</f>
        <v>2</v>
      </c>
    </row>
    <row r="2776" customFormat="false" ht="15" hidden="false" customHeight="true" outlineLevel="0" collapsed="false">
      <c r="A2776" s="5" t="s">
        <v>5054</v>
      </c>
      <c r="B2776" s="5" t="s">
        <v>1917</v>
      </c>
      <c r="C2776" s="5" t="s">
        <v>2248</v>
      </c>
      <c r="D2776" s="5" t="s">
        <v>2306</v>
      </c>
      <c r="E2776" s="5" t="s">
        <v>59</v>
      </c>
      <c r="F2776" s="5" t="s">
        <v>59</v>
      </c>
      <c r="G2776" s="5" t="str">
        <f aca="false">INDEX(Risk_Matrix!$B$2:$D$4,MATCH(E2776,Risk_Matrix!$A$2:$A$4,0),MATCH(F2776,Risk_Matrix!$B$1:$D$1,0))</f>
        <v>Low</v>
      </c>
      <c r="H2776" s="12" t="n">
        <v>46094</v>
      </c>
      <c r="I2776" s="5" t="s">
        <v>2256</v>
      </c>
      <c r="J2776" s="5" t="s">
        <v>4081</v>
      </c>
      <c r="K2776" s="5" t="s">
        <v>2243</v>
      </c>
      <c r="L2776" s="5" t="n">
        <f aca="false">IF(G2776="High",3,IF(G2776="Medium",2,1))</f>
        <v>1</v>
      </c>
    </row>
    <row r="2777" customFormat="false" ht="15" hidden="false" customHeight="true" outlineLevel="0" collapsed="false">
      <c r="A2777" s="5" t="s">
        <v>5055</v>
      </c>
      <c r="B2777" s="5" t="s">
        <v>1917</v>
      </c>
      <c r="C2777" s="5" t="s">
        <v>2262</v>
      </c>
      <c r="D2777" s="5" t="s">
        <v>2311</v>
      </c>
      <c r="E2777" s="5" t="s">
        <v>2225</v>
      </c>
      <c r="F2777" s="5" t="s">
        <v>54</v>
      </c>
      <c r="G2777" s="5" t="str">
        <f aca="false">INDEX(Risk_Matrix!$B$2:$D$4,MATCH(E2777,Risk_Matrix!$A$2:$A$4,0),MATCH(F2777,Risk_Matrix!$B$1:$D$1,0))</f>
        <v>High</v>
      </c>
      <c r="H2777" s="12" t="n">
        <v>46208</v>
      </c>
      <c r="I2777" s="5" t="s">
        <v>2241</v>
      </c>
      <c r="J2777" s="5" t="s">
        <v>2242</v>
      </c>
      <c r="K2777" s="5" t="s">
        <v>2276</v>
      </c>
      <c r="L2777" s="5" t="n">
        <f aca="false">IF(G2777="High",3,IF(G2777="Medium",2,1))</f>
        <v>3</v>
      </c>
    </row>
    <row r="2778" customFormat="false" ht="15" hidden="false" customHeight="true" outlineLevel="0" collapsed="false">
      <c r="A2778" s="5" t="s">
        <v>5056</v>
      </c>
      <c r="B2778" s="5" t="s">
        <v>1917</v>
      </c>
      <c r="C2778" s="5" t="s">
        <v>2259</v>
      </c>
      <c r="D2778" s="5" t="s">
        <v>2274</v>
      </c>
      <c r="E2778" s="5" t="s">
        <v>59</v>
      </c>
      <c r="F2778" s="5" t="s">
        <v>2225</v>
      </c>
      <c r="G2778" s="5" t="str">
        <f aca="false">INDEX(Risk_Matrix!$B$2:$D$4,MATCH(E2778,Risk_Matrix!$A$2:$A$4,0),MATCH(F2778,Risk_Matrix!$B$1:$D$1,0))</f>
        <v>Low</v>
      </c>
      <c r="H2778" s="12" t="n">
        <v>46203</v>
      </c>
      <c r="I2778" s="5" t="s">
        <v>2250</v>
      </c>
      <c r="J2778" s="5" t="s">
        <v>2251</v>
      </c>
      <c r="K2778" s="5" t="s">
        <v>2252</v>
      </c>
      <c r="L2778" s="5" t="n">
        <f aca="false">IF(G2778="High",3,IF(G2778="Medium",2,1))</f>
        <v>1</v>
      </c>
    </row>
    <row r="2779" customFormat="false" ht="15" hidden="false" customHeight="true" outlineLevel="0" collapsed="false">
      <c r="A2779" s="5" t="s">
        <v>5057</v>
      </c>
      <c r="B2779" s="5" t="s">
        <v>1917</v>
      </c>
      <c r="C2779" s="5" t="s">
        <v>2254</v>
      </c>
      <c r="D2779" s="5" t="s">
        <v>2255</v>
      </c>
      <c r="E2779" s="5" t="s">
        <v>2225</v>
      </c>
      <c r="F2779" s="5" t="s">
        <v>2225</v>
      </c>
      <c r="G2779" s="5" t="str">
        <f aca="false">INDEX(Risk_Matrix!$B$2:$D$4,MATCH(E2779,Risk_Matrix!$A$2:$A$4,0),MATCH(F2779,Risk_Matrix!$B$1:$D$1,0))</f>
        <v>Medium</v>
      </c>
      <c r="H2779" s="12" t="n">
        <v>46097</v>
      </c>
      <c r="I2779" s="5" t="s">
        <v>2250</v>
      </c>
      <c r="J2779" s="5" t="s">
        <v>2251</v>
      </c>
      <c r="K2779" s="5" t="s">
        <v>2283</v>
      </c>
      <c r="L2779" s="5" t="n">
        <f aca="false">IF(G2779="High",3,IF(G2779="Medium",2,1))</f>
        <v>2</v>
      </c>
    </row>
    <row r="2780" customFormat="false" ht="15" hidden="false" customHeight="true" outlineLevel="0" collapsed="false">
      <c r="A2780" s="5" t="s">
        <v>5058</v>
      </c>
      <c r="B2780" s="5" t="s">
        <v>1919</v>
      </c>
      <c r="C2780" s="5" t="s">
        <v>2239</v>
      </c>
      <c r="D2780" s="5" t="s">
        <v>2240</v>
      </c>
      <c r="E2780" s="5" t="s">
        <v>59</v>
      </c>
      <c r="F2780" s="5" t="s">
        <v>59</v>
      </c>
      <c r="G2780" s="5" t="str">
        <f aca="false">INDEX(Risk_Matrix!$B$2:$D$4,MATCH(E2780,Risk_Matrix!$A$2:$A$4,0),MATCH(F2780,Risk_Matrix!$B$1:$D$1,0))</f>
        <v>Low</v>
      </c>
      <c r="H2780" s="12" t="n">
        <v>46083</v>
      </c>
      <c r="I2780" s="5" t="s">
        <v>2250</v>
      </c>
      <c r="J2780" s="5" t="s">
        <v>2251</v>
      </c>
      <c r="K2780" s="5" t="s">
        <v>2266</v>
      </c>
      <c r="L2780" s="5" t="n">
        <f aca="false">IF(G2780="High",3,IF(G2780="Medium",2,1))</f>
        <v>1</v>
      </c>
    </row>
    <row r="2781" customFormat="false" ht="15" hidden="false" customHeight="true" outlineLevel="0" collapsed="false">
      <c r="A2781" s="5" t="s">
        <v>5059</v>
      </c>
      <c r="B2781" s="5" t="s">
        <v>1919</v>
      </c>
      <c r="C2781" s="5" t="s">
        <v>2245</v>
      </c>
      <c r="D2781" s="5" t="s">
        <v>2320</v>
      </c>
      <c r="E2781" s="5" t="s">
        <v>54</v>
      </c>
      <c r="F2781" s="5" t="s">
        <v>2225</v>
      </c>
      <c r="G2781" s="5" t="str">
        <f aca="false">INDEX(Risk_Matrix!$B$2:$D$4,MATCH(E2781,Risk_Matrix!$A$2:$A$4,0),MATCH(F2781,Risk_Matrix!$B$1:$D$1,0))</f>
        <v>High</v>
      </c>
      <c r="H2781" s="12" t="n">
        <v>46210</v>
      </c>
      <c r="I2781" s="5" t="s">
        <v>2250</v>
      </c>
      <c r="J2781" s="5" t="s">
        <v>2251</v>
      </c>
      <c r="K2781" s="5" t="s">
        <v>2252</v>
      </c>
      <c r="L2781" s="5" t="n">
        <f aca="false">IF(G2781="High",3,IF(G2781="Medium",2,1))</f>
        <v>3</v>
      </c>
    </row>
    <row r="2782" customFormat="false" ht="15" hidden="false" customHeight="true" outlineLevel="0" collapsed="false">
      <c r="A2782" s="5" t="s">
        <v>5060</v>
      </c>
      <c r="B2782" s="5" t="s">
        <v>1919</v>
      </c>
      <c r="C2782" s="5" t="s">
        <v>2248</v>
      </c>
      <c r="D2782" s="5" t="s">
        <v>2322</v>
      </c>
      <c r="E2782" s="5" t="s">
        <v>54</v>
      </c>
      <c r="F2782" s="5" t="s">
        <v>54</v>
      </c>
      <c r="G2782" s="5" t="str">
        <f aca="false">INDEX(Risk_Matrix!$B$2:$D$4,MATCH(E2782,Risk_Matrix!$A$2:$A$4,0),MATCH(F2782,Risk_Matrix!$B$1:$D$1,0))</f>
        <v>High</v>
      </c>
      <c r="H2782" s="12" t="n">
        <v>46209</v>
      </c>
      <c r="I2782" s="5" t="s">
        <v>2250</v>
      </c>
      <c r="J2782" s="5" t="s">
        <v>2251</v>
      </c>
      <c r="K2782" s="5" t="s">
        <v>2276</v>
      </c>
      <c r="L2782" s="5" t="n">
        <f aca="false">IF(G2782="High",3,IF(G2782="Medium",2,1))</f>
        <v>3</v>
      </c>
    </row>
    <row r="2783" customFormat="false" ht="15" hidden="false" customHeight="true" outlineLevel="0" collapsed="false">
      <c r="A2783" s="5" t="s">
        <v>5061</v>
      </c>
      <c r="B2783" s="5" t="s">
        <v>1919</v>
      </c>
      <c r="C2783" s="5" t="s">
        <v>2262</v>
      </c>
      <c r="D2783" s="5" t="s">
        <v>2287</v>
      </c>
      <c r="E2783" s="5" t="s">
        <v>54</v>
      </c>
      <c r="F2783" s="5" t="s">
        <v>2225</v>
      </c>
      <c r="G2783" s="5" t="str">
        <f aca="false">INDEX(Risk_Matrix!$B$2:$D$4,MATCH(E2783,Risk_Matrix!$A$2:$A$4,0),MATCH(F2783,Risk_Matrix!$B$1:$D$1,0))</f>
        <v>High</v>
      </c>
      <c r="H2783" s="12" t="n">
        <v>46064</v>
      </c>
      <c r="I2783" s="5" t="s">
        <v>2264</v>
      </c>
      <c r="J2783" s="5" t="s">
        <v>4087</v>
      </c>
      <c r="K2783" s="5" t="s">
        <v>2243</v>
      </c>
      <c r="L2783" s="5" t="n">
        <f aca="false">IF(G2783="High",3,IF(G2783="Medium",2,1))</f>
        <v>3</v>
      </c>
    </row>
    <row r="2784" customFormat="false" ht="15" hidden="false" customHeight="true" outlineLevel="0" collapsed="false">
      <c r="A2784" s="5" t="s">
        <v>5062</v>
      </c>
      <c r="B2784" s="5" t="s">
        <v>1919</v>
      </c>
      <c r="C2784" s="5" t="s">
        <v>2259</v>
      </c>
      <c r="D2784" s="5" t="s">
        <v>2285</v>
      </c>
      <c r="E2784" s="5" t="s">
        <v>2225</v>
      </c>
      <c r="F2784" s="5" t="s">
        <v>2225</v>
      </c>
      <c r="G2784" s="5" t="str">
        <f aca="false">INDEX(Risk_Matrix!$B$2:$D$4,MATCH(E2784,Risk_Matrix!$A$2:$A$4,0),MATCH(F2784,Risk_Matrix!$B$1:$D$1,0))</f>
        <v>Medium</v>
      </c>
      <c r="H2784" s="12" t="n">
        <v>46034</v>
      </c>
      <c r="I2784" s="5" t="s">
        <v>2250</v>
      </c>
      <c r="J2784" s="5" t="s">
        <v>2251</v>
      </c>
      <c r="K2784" s="5" t="s">
        <v>2243</v>
      </c>
      <c r="L2784" s="5" t="n">
        <f aca="false">IF(G2784="High",3,IF(G2784="Medium",2,1))</f>
        <v>2</v>
      </c>
    </row>
    <row r="2785" customFormat="false" ht="15" hidden="false" customHeight="true" outlineLevel="0" collapsed="false">
      <c r="A2785" s="5" t="s">
        <v>5063</v>
      </c>
      <c r="B2785" s="5" t="s">
        <v>1919</v>
      </c>
      <c r="C2785" s="5" t="s">
        <v>2254</v>
      </c>
      <c r="D2785" s="5" t="s">
        <v>2308</v>
      </c>
      <c r="E2785" s="5" t="s">
        <v>54</v>
      </c>
      <c r="F2785" s="5" t="s">
        <v>2225</v>
      </c>
      <c r="G2785" s="5" t="str">
        <f aca="false">INDEX(Risk_Matrix!$B$2:$D$4,MATCH(E2785,Risk_Matrix!$A$2:$A$4,0),MATCH(F2785,Risk_Matrix!$B$1:$D$1,0))</f>
        <v>High</v>
      </c>
      <c r="H2785" s="12" t="n">
        <v>46030</v>
      </c>
      <c r="I2785" s="5" t="s">
        <v>2264</v>
      </c>
      <c r="J2785" s="5" t="s">
        <v>4087</v>
      </c>
      <c r="K2785" s="5" t="s">
        <v>2283</v>
      </c>
      <c r="L2785" s="5" t="n">
        <f aca="false">IF(G2785="High",3,IF(G2785="Medium",2,1))</f>
        <v>3</v>
      </c>
    </row>
    <row r="2786" customFormat="false" ht="15" hidden="false" customHeight="true" outlineLevel="0" collapsed="false">
      <c r="A2786" s="5" t="s">
        <v>5064</v>
      </c>
      <c r="B2786" s="5" t="s">
        <v>1921</v>
      </c>
      <c r="C2786" s="5" t="s">
        <v>2239</v>
      </c>
      <c r="D2786" s="5" t="s">
        <v>2295</v>
      </c>
      <c r="E2786" s="5" t="s">
        <v>2225</v>
      </c>
      <c r="F2786" s="5" t="s">
        <v>54</v>
      </c>
      <c r="G2786" s="5" t="str">
        <f aca="false">INDEX(Risk_Matrix!$B$2:$D$4,MATCH(E2786,Risk_Matrix!$A$2:$A$4,0),MATCH(F2786,Risk_Matrix!$B$1:$D$1,0))</f>
        <v>High</v>
      </c>
      <c r="H2786" s="12" t="n">
        <v>46185</v>
      </c>
      <c r="I2786" s="5" t="s">
        <v>2256</v>
      </c>
      <c r="J2786" s="5" t="s">
        <v>4081</v>
      </c>
      <c r="K2786" s="5" t="s">
        <v>2276</v>
      </c>
      <c r="L2786" s="5" t="n">
        <f aca="false">IF(G2786="High",3,IF(G2786="Medium",2,1))</f>
        <v>3</v>
      </c>
    </row>
    <row r="2787" customFormat="false" ht="15" hidden="false" customHeight="true" outlineLevel="0" collapsed="false">
      <c r="A2787" s="5" t="s">
        <v>5065</v>
      </c>
      <c r="B2787" s="5" t="s">
        <v>1921</v>
      </c>
      <c r="C2787" s="5" t="s">
        <v>2245</v>
      </c>
      <c r="D2787" s="5" t="s">
        <v>2246</v>
      </c>
      <c r="E2787" s="5" t="s">
        <v>2225</v>
      </c>
      <c r="F2787" s="5" t="s">
        <v>54</v>
      </c>
      <c r="G2787" s="5" t="str">
        <f aca="false">INDEX(Risk_Matrix!$B$2:$D$4,MATCH(E2787,Risk_Matrix!$A$2:$A$4,0),MATCH(F2787,Risk_Matrix!$B$1:$D$1,0))</f>
        <v>High</v>
      </c>
      <c r="H2787" s="12" t="n">
        <v>46155</v>
      </c>
      <c r="I2787" s="5" t="s">
        <v>2264</v>
      </c>
      <c r="J2787" s="5" t="s">
        <v>4087</v>
      </c>
      <c r="K2787" s="5" t="s">
        <v>2283</v>
      </c>
      <c r="L2787" s="5" t="n">
        <f aca="false">IF(G2787="High",3,IF(G2787="Medium",2,1))</f>
        <v>3</v>
      </c>
    </row>
    <row r="2788" customFormat="false" ht="15" hidden="false" customHeight="true" outlineLevel="0" collapsed="false">
      <c r="A2788" s="5" t="s">
        <v>5066</v>
      </c>
      <c r="B2788" s="5" t="s">
        <v>1921</v>
      </c>
      <c r="C2788" s="5" t="s">
        <v>2248</v>
      </c>
      <c r="D2788" s="5" t="s">
        <v>2306</v>
      </c>
      <c r="E2788" s="5" t="s">
        <v>54</v>
      </c>
      <c r="F2788" s="5" t="s">
        <v>2225</v>
      </c>
      <c r="G2788" s="5" t="str">
        <f aca="false">INDEX(Risk_Matrix!$B$2:$D$4,MATCH(E2788,Risk_Matrix!$A$2:$A$4,0),MATCH(F2788,Risk_Matrix!$B$1:$D$1,0))</f>
        <v>High</v>
      </c>
      <c r="H2788" s="12" t="n">
        <v>46192</v>
      </c>
      <c r="I2788" s="5" t="s">
        <v>2256</v>
      </c>
      <c r="J2788" s="5" t="s">
        <v>4081</v>
      </c>
      <c r="K2788" s="5" t="s">
        <v>2276</v>
      </c>
      <c r="L2788" s="5" t="n">
        <f aca="false">IF(G2788="High",3,IF(G2788="Medium",2,1))</f>
        <v>3</v>
      </c>
    </row>
    <row r="2789" customFormat="false" ht="15" hidden="false" customHeight="true" outlineLevel="0" collapsed="false">
      <c r="A2789" s="5" t="s">
        <v>5067</v>
      </c>
      <c r="B2789" s="5" t="s">
        <v>1921</v>
      </c>
      <c r="C2789" s="5" t="s">
        <v>2262</v>
      </c>
      <c r="D2789" s="5" t="s">
        <v>2311</v>
      </c>
      <c r="E2789" s="5" t="s">
        <v>54</v>
      </c>
      <c r="F2789" s="5" t="s">
        <v>2225</v>
      </c>
      <c r="G2789" s="5" t="str">
        <f aca="false">INDEX(Risk_Matrix!$B$2:$D$4,MATCH(E2789,Risk_Matrix!$A$2:$A$4,0),MATCH(F2789,Risk_Matrix!$B$1:$D$1,0))</f>
        <v>High</v>
      </c>
      <c r="H2789" s="12" t="n">
        <v>46124</v>
      </c>
      <c r="I2789" s="5" t="s">
        <v>2264</v>
      </c>
      <c r="J2789" s="5" t="s">
        <v>4087</v>
      </c>
      <c r="K2789" s="5" t="s">
        <v>2276</v>
      </c>
      <c r="L2789" s="5" t="n">
        <f aca="false">IF(G2789="High",3,IF(G2789="Medium",2,1))</f>
        <v>3</v>
      </c>
    </row>
    <row r="2790" customFormat="false" ht="15" hidden="false" customHeight="true" outlineLevel="0" collapsed="false">
      <c r="A2790" s="5" t="s">
        <v>5068</v>
      </c>
      <c r="B2790" s="5" t="s">
        <v>1921</v>
      </c>
      <c r="C2790" s="5" t="s">
        <v>2259</v>
      </c>
      <c r="D2790" s="5" t="s">
        <v>2260</v>
      </c>
      <c r="E2790" s="5" t="s">
        <v>54</v>
      </c>
      <c r="F2790" s="5" t="s">
        <v>59</v>
      </c>
      <c r="G2790" s="5" t="str">
        <f aca="false">INDEX(Risk_Matrix!$B$2:$D$4,MATCH(E2790,Risk_Matrix!$A$2:$A$4,0),MATCH(F2790,Risk_Matrix!$B$1:$D$1,0))</f>
        <v>Medium</v>
      </c>
      <c r="H2790" s="12" t="n">
        <v>46106</v>
      </c>
      <c r="I2790" s="5" t="s">
        <v>2250</v>
      </c>
      <c r="J2790" s="5" t="s">
        <v>2251</v>
      </c>
      <c r="K2790" s="5" t="s">
        <v>2243</v>
      </c>
      <c r="L2790" s="5" t="n">
        <f aca="false">IF(G2790="High",3,IF(G2790="Medium",2,1))</f>
        <v>2</v>
      </c>
    </row>
    <row r="2791" customFormat="false" ht="15" hidden="false" customHeight="true" outlineLevel="0" collapsed="false">
      <c r="A2791" s="5" t="s">
        <v>5069</v>
      </c>
      <c r="B2791" s="5" t="s">
        <v>1921</v>
      </c>
      <c r="C2791" s="5" t="s">
        <v>2254</v>
      </c>
      <c r="D2791" s="5" t="s">
        <v>2308</v>
      </c>
      <c r="E2791" s="5" t="s">
        <v>59</v>
      </c>
      <c r="F2791" s="5" t="s">
        <v>59</v>
      </c>
      <c r="G2791" s="5" t="str">
        <f aca="false">INDEX(Risk_Matrix!$B$2:$D$4,MATCH(E2791,Risk_Matrix!$A$2:$A$4,0),MATCH(F2791,Risk_Matrix!$B$1:$D$1,0))</f>
        <v>Low</v>
      </c>
      <c r="H2791" s="12" t="n">
        <v>46226</v>
      </c>
      <c r="I2791" s="5" t="s">
        <v>2250</v>
      </c>
      <c r="J2791" s="5" t="s">
        <v>2251</v>
      </c>
      <c r="K2791" s="5" t="s">
        <v>2283</v>
      </c>
      <c r="L2791" s="5" t="n">
        <f aca="false">IF(G2791="High",3,IF(G2791="Medium",2,1))</f>
        <v>1</v>
      </c>
    </row>
    <row r="2792" customFormat="false" ht="15" hidden="false" customHeight="true" outlineLevel="0" collapsed="false">
      <c r="A2792" s="5" t="s">
        <v>5070</v>
      </c>
      <c r="B2792" s="5" t="s">
        <v>1923</v>
      </c>
      <c r="C2792" s="5" t="s">
        <v>2239</v>
      </c>
      <c r="D2792" s="5" t="s">
        <v>2240</v>
      </c>
      <c r="E2792" s="5" t="s">
        <v>54</v>
      </c>
      <c r="F2792" s="5" t="s">
        <v>59</v>
      </c>
      <c r="G2792" s="5" t="str">
        <f aca="false">INDEX(Risk_Matrix!$B$2:$D$4,MATCH(E2792,Risk_Matrix!$A$2:$A$4,0),MATCH(F2792,Risk_Matrix!$B$1:$D$1,0))</f>
        <v>Medium</v>
      </c>
      <c r="H2792" s="12" t="n">
        <v>46144</v>
      </c>
      <c r="I2792" s="5" t="s">
        <v>2250</v>
      </c>
      <c r="J2792" s="5" t="s">
        <v>2251</v>
      </c>
      <c r="K2792" s="5" t="s">
        <v>2276</v>
      </c>
      <c r="L2792" s="5" t="n">
        <f aca="false">IF(G2792="High",3,IF(G2792="Medium",2,1))</f>
        <v>2</v>
      </c>
    </row>
    <row r="2793" customFormat="false" ht="15" hidden="false" customHeight="true" outlineLevel="0" collapsed="false">
      <c r="A2793" s="5" t="s">
        <v>5071</v>
      </c>
      <c r="B2793" s="5" t="s">
        <v>1923</v>
      </c>
      <c r="C2793" s="5" t="s">
        <v>2245</v>
      </c>
      <c r="D2793" s="5" t="s">
        <v>2280</v>
      </c>
      <c r="E2793" s="5" t="s">
        <v>54</v>
      </c>
      <c r="F2793" s="5" t="s">
        <v>54</v>
      </c>
      <c r="G2793" s="5" t="str">
        <f aca="false">INDEX(Risk_Matrix!$B$2:$D$4,MATCH(E2793,Risk_Matrix!$A$2:$A$4,0),MATCH(F2793,Risk_Matrix!$B$1:$D$1,0))</f>
        <v>High</v>
      </c>
      <c r="H2793" s="12" t="n">
        <v>46120</v>
      </c>
      <c r="I2793" s="5" t="s">
        <v>2264</v>
      </c>
      <c r="J2793" s="5" t="s">
        <v>4087</v>
      </c>
      <c r="K2793" s="5" t="s">
        <v>2243</v>
      </c>
      <c r="L2793" s="5" t="n">
        <f aca="false">IF(G2793="High",3,IF(G2793="Medium",2,1))</f>
        <v>3</v>
      </c>
    </row>
    <row r="2794" customFormat="false" ht="15" hidden="false" customHeight="true" outlineLevel="0" collapsed="false">
      <c r="A2794" s="5" t="s">
        <v>5072</v>
      </c>
      <c r="B2794" s="5" t="s">
        <v>1923</v>
      </c>
      <c r="C2794" s="5" t="s">
        <v>2248</v>
      </c>
      <c r="D2794" s="5" t="s">
        <v>2271</v>
      </c>
      <c r="E2794" s="5" t="s">
        <v>2225</v>
      </c>
      <c r="F2794" s="5" t="s">
        <v>54</v>
      </c>
      <c r="G2794" s="5" t="str">
        <f aca="false">INDEX(Risk_Matrix!$B$2:$D$4,MATCH(E2794,Risk_Matrix!$A$2:$A$4,0),MATCH(F2794,Risk_Matrix!$B$1:$D$1,0))</f>
        <v>High</v>
      </c>
      <c r="H2794" s="12" t="n">
        <v>46156</v>
      </c>
      <c r="I2794" s="5" t="s">
        <v>2241</v>
      </c>
      <c r="J2794" s="5" t="s">
        <v>2242</v>
      </c>
      <c r="K2794" s="5" t="s">
        <v>2252</v>
      </c>
      <c r="L2794" s="5" t="n">
        <f aca="false">IF(G2794="High",3,IF(G2794="Medium",2,1))</f>
        <v>3</v>
      </c>
    </row>
    <row r="2795" customFormat="false" ht="15" hidden="false" customHeight="true" outlineLevel="0" collapsed="false">
      <c r="A2795" s="5" t="s">
        <v>5073</v>
      </c>
      <c r="B2795" s="5" t="s">
        <v>1923</v>
      </c>
      <c r="C2795" s="5" t="s">
        <v>2262</v>
      </c>
      <c r="D2795" s="5" t="s">
        <v>2311</v>
      </c>
      <c r="E2795" s="5" t="s">
        <v>2225</v>
      </c>
      <c r="F2795" s="5" t="s">
        <v>54</v>
      </c>
      <c r="G2795" s="5" t="str">
        <f aca="false">INDEX(Risk_Matrix!$B$2:$D$4,MATCH(E2795,Risk_Matrix!$A$2:$A$4,0),MATCH(F2795,Risk_Matrix!$B$1:$D$1,0))</f>
        <v>High</v>
      </c>
      <c r="H2795" s="12" t="n">
        <v>46141</v>
      </c>
      <c r="I2795" s="5" t="s">
        <v>2241</v>
      </c>
      <c r="J2795" s="5" t="s">
        <v>2242</v>
      </c>
      <c r="K2795" s="5" t="s">
        <v>2266</v>
      </c>
      <c r="L2795" s="5" t="n">
        <f aca="false">IF(G2795="High",3,IF(G2795="Medium",2,1))</f>
        <v>3</v>
      </c>
    </row>
    <row r="2796" customFormat="false" ht="15" hidden="false" customHeight="true" outlineLevel="0" collapsed="false">
      <c r="A2796" s="5" t="s">
        <v>5074</v>
      </c>
      <c r="B2796" s="5" t="s">
        <v>1923</v>
      </c>
      <c r="C2796" s="5" t="s">
        <v>2259</v>
      </c>
      <c r="D2796" s="5" t="s">
        <v>2285</v>
      </c>
      <c r="E2796" s="5" t="s">
        <v>54</v>
      </c>
      <c r="F2796" s="5" t="s">
        <v>59</v>
      </c>
      <c r="G2796" s="5" t="str">
        <f aca="false">INDEX(Risk_Matrix!$B$2:$D$4,MATCH(E2796,Risk_Matrix!$A$2:$A$4,0),MATCH(F2796,Risk_Matrix!$B$1:$D$1,0))</f>
        <v>Medium</v>
      </c>
      <c r="H2796" s="12" t="n">
        <v>46231</v>
      </c>
      <c r="I2796" s="5" t="s">
        <v>2264</v>
      </c>
      <c r="J2796" s="5" t="s">
        <v>4087</v>
      </c>
      <c r="K2796" s="5" t="s">
        <v>2252</v>
      </c>
      <c r="L2796" s="5" t="n">
        <f aca="false">IF(G2796="High",3,IF(G2796="Medium",2,1))</f>
        <v>2</v>
      </c>
    </row>
    <row r="2797" customFormat="false" ht="15" hidden="false" customHeight="true" outlineLevel="0" collapsed="false">
      <c r="A2797" s="5" t="s">
        <v>5075</v>
      </c>
      <c r="B2797" s="5" t="s">
        <v>1923</v>
      </c>
      <c r="C2797" s="5" t="s">
        <v>2254</v>
      </c>
      <c r="D2797" s="5" t="s">
        <v>2299</v>
      </c>
      <c r="E2797" s="5" t="s">
        <v>59</v>
      </c>
      <c r="F2797" s="5" t="s">
        <v>54</v>
      </c>
      <c r="G2797" s="5" t="str">
        <f aca="false">INDEX(Risk_Matrix!$B$2:$D$4,MATCH(E2797,Risk_Matrix!$A$2:$A$4,0),MATCH(F2797,Risk_Matrix!$B$1:$D$1,0))</f>
        <v>Medium</v>
      </c>
      <c r="H2797" s="12" t="n">
        <v>46203</v>
      </c>
      <c r="I2797" s="5" t="s">
        <v>2264</v>
      </c>
      <c r="J2797" s="5" t="s">
        <v>4087</v>
      </c>
      <c r="K2797" s="5" t="s">
        <v>2243</v>
      </c>
      <c r="L2797" s="5" t="n">
        <f aca="false">IF(G2797="High",3,IF(G2797="Medium",2,1))</f>
        <v>2</v>
      </c>
    </row>
    <row r="2798" customFormat="false" ht="15" hidden="false" customHeight="true" outlineLevel="0" collapsed="false">
      <c r="A2798" s="5" t="s">
        <v>5076</v>
      </c>
      <c r="B2798" s="5" t="s">
        <v>1925</v>
      </c>
      <c r="C2798" s="5" t="s">
        <v>2239</v>
      </c>
      <c r="D2798" s="5" t="s">
        <v>2303</v>
      </c>
      <c r="E2798" s="5" t="s">
        <v>59</v>
      </c>
      <c r="F2798" s="5" t="s">
        <v>59</v>
      </c>
      <c r="G2798" s="5" t="str">
        <f aca="false">INDEX(Risk_Matrix!$B$2:$D$4,MATCH(E2798,Risk_Matrix!$A$2:$A$4,0),MATCH(F2798,Risk_Matrix!$B$1:$D$1,0))</f>
        <v>Low</v>
      </c>
      <c r="H2798" s="12" t="n">
        <v>46098</v>
      </c>
      <c r="I2798" s="5" t="s">
        <v>2250</v>
      </c>
      <c r="J2798" s="5" t="s">
        <v>2251</v>
      </c>
      <c r="K2798" s="5" t="s">
        <v>2283</v>
      </c>
      <c r="L2798" s="5" t="n">
        <f aca="false">IF(G2798="High",3,IF(G2798="Medium",2,1))</f>
        <v>1</v>
      </c>
    </row>
    <row r="2799" customFormat="false" ht="15" hidden="false" customHeight="true" outlineLevel="0" collapsed="false">
      <c r="A2799" s="5" t="s">
        <v>5077</v>
      </c>
      <c r="B2799" s="5" t="s">
        <v>1925</v>
      </c>
      <c r="C2799" s="5" t="s">
        <v>2245</v>
      </c>
      <c r="D2799" s="5" t="s">
        <v>2280</v>
      </c>
      <c r="E2799" s="5" t="s">
        <v>54</v>
      </c>
      <c r="F2799" s="5" t="s">
        <v>59</v>
      </c>
      <c r="G2799" s="5" t="str">
        <f aca="false">INDEX(Risk_Matrix!$B$2:$D$4,MATCH(E2799,Risk_Matrix!$A$2:$A$4,0),MATCH(F2799,Risk_Matrix!$B$1:$D$1,0))</f>
        <v>Medium</v>
      </c>
      <c r="H2799" s="12" t="n">
        <v>46160</v>
      </c>
      <c r="I2799" s="5" t="s">
        <v>2241</v>
      </c>
      <c r="J2799" s="5" t="s">
        <v>2242</v>
      </c>
      <c r="K2799" s="5" t="s">
        <v>2243</v>
      </c>
      <c r="L2799" s="5" t="n">
        <f aca="false">IF(G2799="High",3,IF(G2799="Medium",2,1))</f>
        <v>2</v>
      </c>
    </row>
    <row r="2800" customFormat="false" ht="15" hidden="false" customHeight="true" outlineLevel="0" collapsed="false">
      <c r="A2800" s="5" t="s">
        <v>5078</v>
      </c>
      <c r="B2800" s="5" t="s">
        <v>1925</v>
      </c>
      <c r="C2800" s="5" t="s">
        <v>2248</v>
      </c>
      <c r="D2800" s="5" t="s">
        <v>2306</v>
      </c>
      <c r="E2800" s="5" t="s">
        <v>59</v>
      </c>
      <c r="F2800" s="5" t="s">
        <v>59</v>
      </c>
      <c r="G2800" s="5" t="str">
        <f aca="false">INDEX(Risk_Matrix!$B$2:$D$4,MATCH(E2800,Risk_Matrix!$A$2:$A$4,0),MATCH(F2800,Risk_Matrix!$B$1:$D$1,0))</f>
        <v>Low</v>
      </c>
      <c r="H2800" s="12" t="n">
        <v>46176</v>
      </c>
      <c r="I2800" s="5" t="s">
        <v>2264</v>
      </c>
      <c r="J2800" s="5" t="s">
        <v>4087</v>
      </c>
      <c r="K2800" s="5" t="s">
        <v>2243</v>
      </c>
      <c r="L2800" s="5" t="n">
        <f aca="false">IF(G2800="High",3,IF(G2800="Medium",2,1))</f>
        <v>1</v>
      </c>
    </row>
    <row r="2801" customFormat="false" ht="15" hidden="false" customHeight="true" outlineLevel="0" collapsed="false">
      <c r="A2801" s="5" t="s">
        <v>5079</v>
      </c>
      <c r="B2801" s="5" t="s">
        <v>1925</v>
      </c>
      <c r="C2801" s="5" t="s">
        <v>2262</v>
      </c>
      <c r="D2801" s="5" t="s">
        <v>2263</v>
      </c>
      <c r="E2801" s="5" t="s">
        <v>2225</v>
      </c>
      <c r="F2801" s="5" t="s">
        <v>2225</v>
      </c>
      <c r="G2801" s="5" t="str">
        <f aca="false">INDEX(Risk_Matrix!$B$2:$D$4,MATCH(E2801,Risk_Matrix!$A$2:$A$4,0),MATCH(F2801,Risk_Matrix!$B$1:$D$1,0))</f>
        <v>Medium</v>
      </c>
      <c r="H2801" s="12" t="n">
        <v>46227</v>
      </c>
      <c r="I2801" s="5" t="s">
        <v>2241</v>
      </c>
      <c r="J2801" s="5" t="s">
        <v>2242</v>
      </c>
      <c r="K2801" s="5" t="s">
        <v>2283</v>
      </c>
      <c r="L2801" s="5" t="n">
        <f aca="false">IF(G2801="High",3,IF(G2801="Medium",2,1))</f>
        <v>2</v>
      </c>
    </row>
    <row r="2802" customFormat="false" ht="15" hidden="false" customHeight="true" outlineLevel="0" collapsed="false">
      <c r="A2802" s="5" t="s">
        <v>5080</v>
      </c>
      <c r="B2802" s="5" t="s">
        <v>1925</v>
      </c>
      <c r="C2802" s="5" t="s">
        <v>2259</v>
      </c>
      <c r="D2802" s="5" t="s">
        <v>2260</v>
      </c>
      <c r="E2802" s="5" t="s">
        <v>2225</v>
      </c>
      <c r="F2802" s="5" t="s">
        <v>54</v>
      </c>
      <c r="G2802" s="5" t="str">
        <f aca="false">INDEX(Risk_Matrix!$B$2:$D$4,MATCH(E2802,Risk_Matrix!$A$2:$A$4,0),MATCH(F2802,Risk_Matrix!$B$1:$D$1,0))</f>
        <v>High</v>
      </c>
      <c r="H2802" s="12" t="n">
        <v>46149</v>
      </c>
      <c r="I2802" s="5" t="s">
        <v>2241</v>
      </c>
      <c r="J2802" s="5" t="s">
        <v>2242</v>
      </c>
      <c r="K2802" s="5" t="s">
        <v>2243</v>
      </c>
      <c r="L2802" s="5" t="n">
        <f aca="false">IF(G2802="High",3,IF(G2802="Medium",2,1))</f>
        <v>3</v>
      </c>
    </row>
    <row r="2803" customFormat="false" ht="15" hidden="false" customHeight="true" outlineLevel="0" collapsed="false">
      <c r="A2803" s="5" t="s">
        <v>5081</v>
      </c>
      <c r="B2803" s="5" t="s">
        <v>1925</v>
      </c>
      <c r="C2803" s="5" t="s">
        <v>2254</v>
      </c>
      <c r="D2803" s="5" t="s">
        <v>2308</v>
      </c>
      <c r="E2803" s="5" t="s">
        <v>2225</v>
      </c>
      <c r="F2803" s="5" t="s">
        <v>59</v>
      </c>
      <c r="G2803" s="5" t="str">
        <f aca="false">INDEX(Risk_Matrix!$B$2:$D$4,MATCH(E2803,Risk_Matrix!$A$2:$A$4,0),MATCH(F2803,Risk_Matrix!$B$1:$D$1,0))</f>
        <v>Low</v>
      </c>
      <c r="H2803" s="12" t="n">
        <v>46052</v>
      </c>
      <c r="I2803" s="5" t="s">
        <v>2256</v>
      </c>
      <c r="J2803" s="5" t="s">
        <v>4081</v>
      </c>
      <c r="K2803" s="5" t="s">
        <v>2243</v>
      </c>
      <c r="L2803" s="5" t="n">
        <f aca="false">IF(G2803="High",3,IF(G2803="Medium",2,1))</f>
        <v>1</v>
      </c>
    </row>
    <row r="2804" customFormat="false" ht="15" hidden="false" customHeight="true" outlineLevel="0" collapsed="false">
      <c r="A2804" s="5" t="s">
        <v>5082</v>
      </c>
      <c r="B2804" s="5" t="s">
        <v>1928</v>
      </c>
      <c r="C2804" s="5" t="s">
        <v>2239</v>
      </c>
      <c r="D2804" s="5" t="s">
        <v>2278</v>
      </c>
      <c r="E2804" s="5" t="s">
        <v>54</v>
      </c>
      <c r="F2804" s="5" t="s">
        <v>2225</v>
      </c>
      <c r="G2804" s="5" t="str">
        <f aca="false">INDEX(Risk_Matrix!$B$2:$D$4,MATCH(E2804,Risk_Matrix!$A$2:$A$4,0),MATCH(F2804,Risk_Matrix!$B$1:$D$1,0))</f>
        <v>High</v>
      </c>
      <c r="H2804" s="12" t="n">
        <v>46029</v>
      </c>
      <c r="I2804" s="5" t="s">
        <v>2250</v>
      </c>
      <c r="J2804" s="5" t="s">
        <v>2251</v>
      </c>
      <c r="K2804" s="5" t="s">
        <v>2283</v>
      </c>
      <c r="L2804" s="5" t="n">
        <f aca="false">IF(G2804="High",3,IF(G2804="Medium",2,1))</f>
        <v>3</v>
      </c>
    </row>
    <row r="2805" customFormat="false" ht="15" hidden="false" customHeight="true" outlineLevel="0" collapsed="false">
      <c r="A2805" s="5" t="s">
        <v>5083</v>
      </c>
      <c r="B2805" s="5" t="s">
        <v>1928</v>
      </c>
      <c r="C2805" s="5" t="s">
        <v>2245</v>
      </c>
      <c r="D2805" s="5" t="s">
        <v>2269</v>
      </c>
      <c r="E2805" s="5" t="s">
        <v>59</v>
      </c>
      <c r="F2805" s="5" t="s">
        <v>54</v>
      </c>
      <c r="G2805" s="5" t="str">
        <f aca="false">INDEX(Risk_Matrix!$B$2:$D$4,MATCH(E2805,Risk_Matrix!$A$2:$A$4,0),MATCH(F2805,Risk_Matrix!$B$1:$D$1,0))</f>
        <v>Medium</v>
      </c>
      <c r="H2805" s="12" t="n">
        <v>46177</v>
      </c>
      <c r="I2805" s="5" t="s">
        <v>2256</v>
      </c>
      <c r="J2805" s="5" t="s">
        <v>4081</v>
      </c>
      <c r="K2805" s="5" t="s">
        <v>2243</v>
      </c>
      <c r="L2805" s="5" t="n">
        <f aca="false">IF(G2805="High",3,IF(G2805="Medium",2,1))</f>
        <v>2</v>
      </c>
    </row>
    <row r="2806" customFormat="false" ht="15" hidden="false" customHeight="true" outlineLevel="0" collapsed="false">
      <c r="A2806" s="5" t="s">
        <v>5084</v>
      </c>
      <c r="B2806" s="5" t="s">
        <v>1928</v>
      </c>
      <c r="C2806" s="5" t="s">
        <v>2248</v>
      </c>
      <c r="D2806" s="5" t="s">
        <v>2249</v>
      </c>
      <c r="E2806" s="5" t="s">
        <v>59</v>
      </c>
      <c r="F2806" s="5" t="s">
        <v>2225</v>
      </c>
      <c r="G2806" s="5" t="str">
        <f aca="false">INDEX(Risk_Matrix!$B$2:$D$4,MATCH(E2806,Risk_Matrix!$A$2:$A$4,0),MATCH(F2806,Risk_Matrix!$B$1:$D$1,0))</f>
        <v>Low</v>
      </c>
      <c r="H2806" s="12" t="n">
        <v>46096</v>
      </c>
      <c r="I2806" s="5" t="s">
        <v>2256</v>
      </c>
      <c r="J2806" s="5" t="s">
        <v>4081</v>
      </c>
      <c r="K2806" s="5" t="s">
        <v>2283</v>
      </c>
      <c r="L2806" s="5" t="n">
        <f aca="false">IF(G2806="High",3,IF(G2806="Medium",2,1))</f>
        <v>1</v>
      </c>
    </row>
    <row r="2807" customFormat="false" ht="15" hidden="false" customHeight="true" outlineLevel="0" collapsed="false">
      <c r="A2807" s="5" t="s">
        <v>5085</v>
      </c>
      <c r="B2807" s="5" t="s">
        <v>1928</v>
      </c>
      <c r="C2807" s="5" t="s">
        <v>2262</v>
      </c>
      <c r="D2807" s="5" t="s">
        <v>2287</v>
      </c>
      <c r="E2807" s="5" t="s">
        <v>54</v>
      </c>
      <c r="F2807" s="5" t="s">
        <v>59</v>
      </c>
      <c r="G2807" s="5" t="str">
        <f aca="false">INDEX(Risk_Matrix!$B$2:$D$4,MATCH(E2807,Risk_Matrix!$A$2:$A$4,0),MATCH(F2807,Risk_Matrix!$B$1:$D$1,0))</f>
        <v>Medium</v>
      </c>
      <c r="H2807" s="12" t="n">
        <v>46150</v>
      </c>
      <c r="I2807" s="5" t="s">
        <v>2250</v>
      </c>
      <c r="J2807" s="5" t="s">
        <v>2251</v>
      </c>
      <c r="K2807" s="5" t="s">
        <v>2283</v>
      </c>
      <c r="L2807" s="5" t="n">
        <f aca="false">IF(G2807="High",3,IF(G2807="Medium",2,1))</f>
        <v>2</v>
      </c>
    </row>
    <row r="2808" customFormat="false" ht="15" hidden="false" customHeight="true" outlineLevel="0" collapsed="false">
      <c r="A2808" s="5" t="s">
        <v>5086</v>
      </c>
      <c r="B2808" s="5" t="s">
        <v>1928</v>
      </c>
      <c r="C2808" s="5" t="s">
        <v>2259</v>
      </c>
      <c r="D2808" s="5" t="s">
        <v>2285</v>
      </c>
      <c r="E2808" s="5" t="s">
        <v>2225</v>
      </c>
      <c r="F2808" s="5" t="s">
        <v>54</v>
      </c>
      <c r="G2808" s="5" t="str">
        <f aca="false">INDEX(Risk_Matrix!$B$2:$D$4,MATCH(E2808,Risk_Matrix!$A$2:$A$4,0),MATCH(F2808,Risk_Matrix!$B$1:$D$1,0))</f>
        <v>High</v>
      </c>
      <c r="H2808" s="12" t="n">
        <v>46163</v>
      </c>
      <c r="I2808" s="5" t="s">
        <v>2250</v>
      </c>
      <c r="J2808" s="5" t="s">
        <v>2251</v>
      </c>
      <c r="K2808" s="5" t="s">
        <v>2252</v>
      </c>
      <c r="L2808" s="5" t="n">
        <f aca="false">IF(G2808="High",3,IF(G2808="Medium",2,1))</f>
        <v>3</v>
      </c>
    </row>
    <row r="2809" customFormat="false" ht="15" hidden="false" customHeight="true" outlineLevel="0" collapsed="false">
      <c r="A2809" s="5" t="s">
        <v>5087</v>
      </c>
      <c r="B2809" s="5" t="s">
        <v>1928</v>
      </c>
      <c r="C2809" s="5" t="s">
        <v>2254</v>
      </c>
      <c r="D2809" s="5" t="s">
        <v>2308</v>
      </c>
      <c r="E2809" s="5" t="s">
        <v>2225</v>
      </c>
      <c r="F2809" s="5" t="s">
        <v>2225</v>
      </c>
      <c r="G2809" s="5" t="str">
        <f aca="false">INDEX(Risk_Matrix!$B$2:$D$4,MATCH(E2809,Risk_Matrix!$A$2:$A$4,0),MATCH(F2809,Risk_Matrix!$B$1:$D$1,0))</f>
        <v>Medium</v>
      </c>
      <c r="H2809" s="12" t="n">
        <v>46055</v>
      </c>
      <c r="I2809" s="5" t="s">
        <v>2250</v>
      </c>
      <c r="J2809" s="5" t="s">
        <v>2251</v>
      </c>
      <c r="K2809" s="5" t="s">
        <v>2276</v>
      </c>
      <c r="L2809" s="5" t="n">
        <f aca="false">IF(G2809="High",3,IF(G2809="Medium",2,1))</f>
        <v>2</v>
      </c>
    </row>
    <row r="2810" customFormat="false" ht="15" hidden="false" customHeight="true" outlineLevel="0" collapsed="false">
      <c r="A2810" s="5" t="s">
        <v>5088</v>
      </c>
      <c r="B2810" s="5" t="s">
        <v>1930</v>
      </c>
      <c r="C2810" s="5" t="s">
        <v>2239</v>
      </c>
      <c r="D2810" s="5" t="s">
        <v>2278</v>
      </c>
      <c r="E2810" s="5" t="s">
        <v>2225</v>
      </c>
      <c r="F2810" s="5" t="s">
        <v>59</v>
      </c>
      <c r="G2810" s="5" t="str">
        <f aca="false">INDEX(Risk_Matrix!$B$2:$D$4,MATCH(E2810,Risk_Matrix!$A$2:$A$4,0),MATCH(F2810,Risk_Matrix!$B$1:$D$1,0))</f>
        <v>Low</v>
      </c>
      <c r="H2810" s="12" t="n">
        <v>46147</v>
      </c>
      <c r="I2810" s="5" t="s">
        <v>2250</v>
      </c>
      <c r="J2810" s="5" t="s">
        <v>2251</v>
      </c>
      <c r="K2810" s="5" t="s">
        <v>2283</v>
      </c>
      <c r="L2810" s="5" t="n">
        <f aca="false">IF(G2810="High",3,IF(G2810="Medium",2,1))</f>
        <v>1</v>
      </c>
    </row>
    <row r="2811" customFormat="false" ht="15" hidden="false" customHeight="true" outlineLevel="0" collapsed="false">
      <c r="A2811" s="5" t="s">
        <v>5089</v>
      </c>
      <c r="B2811" s="5" t="s">
        <v>1930</v>
      </c>
      <c r="C2811" s="5" t="s">
        <v>2245</v>
      </c>
      <c r="D2811" s="5" t="s">
        <v>2269</v>
      </c>
      <c r="E2811" s="5" t="s">
        <v>59</v>
      </c>
      <c r="F2811" s="5" t="s">
        <v>59</v>
      </c>
      <c r="G2811" s="5" t="str">
        <f aca="false">INDEX(Risk_Matrix!$B$2:$D$4,MATCH(E2811,Risk_Matrix!$A$2:$A$4,0),MATCH(F2811,Risk_Matrix!$B$1:$D$1,0))</f>
        <v>Low</v>
      </c>
      <c r="H2811" s="12" t="n">
        <v>46199</v>
      </c>
      <c r="I2811" s="5" t="s">
        <v>2241</v>
      </c>
      <c r="J2811" s="5" t="s">
        <v>2242</v>
      </c>
      <c r="K2811" s="5" t="s">
        <v>2276</v>
      </c>
      <c r="L2811" s="5" t="n">
        <f aca="false">IF(G2811="High",3,IF(G2811="Medium",2,1))</f>
        <v>1</v>
      </c>
    </row>
    <row r="2812" customFormat="false" ht="15" hidden="false" customHeight="true" outlineLevel="0" collapsed="false">
      <c r="A2812" s="5" t="s">
        <v>5090</v>
      </c>
      <c r="B2812" s="5" t="s">
        <v>1930</v>
      </c>
      <c r="C2812" s="5" t="s">
        <v>2248</v>
      </c>
      <c r="D2812" s="5" t="s">
        <v>2306</v>
      </c>
      <c r="E2812" s="5" t="s">
        <v>59</v>
      </c>
      <c r="F2812" s="5" t="s">
        <v>2225</v>
      </c>
      <c r="G2812" s="5" t="str">
        <f aca="false">INDEX(Risk_Matrix!$B$2:$D$4,MATCH(E2812,Risk_Matrix!$A$2:$A$4,0),MATCH(F2812,Risk_Matrix!$B$1:$D$1,0))</f>
        <v>Low</v>
      </c>
      <c r="H2812" s="12" t="n">
        <v>46237</v>
      </c>
      <c r="I2812" s="5" t="s">
        <v>2250</v>
      </c>
      <c r="J2812" s="5" t="s">
        <v>2251</v>
      </c>
      <c r="K2812" s="5" t="s">
        <v>2283</v>
      </c>
      <c r="L2812" s="5" t="n">
        <f aca="false">IF(G2812="High",3,IF(G2812="Medium",2,1))</f>
        <v>1</v>
      </c>
    </row>
    <row r="2813" customFormat="false" ht="15" hidden="false" customHeight="true" outlineLevel="0" collapsed="false">
      <c r="A2813" s="5" t="s">
        <v>5091</v>
      </c>
      <c r="B2813" s="5" t="s">
        <v>1930</v>
      </c>
      <c r="C2813" s="5" t="s">
        <v>2262</v>
      </c>
      <c r="D2813" s="5" t="s">
        <v>2311</v>
      </c>
      <c r="E2813" s="5" t="s">
        <v>59</v>
      </c>
      <c r="F2813" s="5" t="s">
        <v>59</v>
      </c>
      <c r="G2813" s="5" t="str">
        <f aca="false">INDEX(Risk_Matrix!$B$2:$D$4,MATCH(E2813,Risk_Matrix!$A$2:$A$4,0),MATCH(F2813,Risk_Matrix!$B$1:$D$1,0))</f>
        <v>Low</v>
      </c>
      <c r="H2813" s="12" t="n">
        <v>46105</v>
      </c>
      <c r="I2813" s="5" t="s">
        <v>2264</v>
      </c>
      <c r="J2813" s="5" t="s">
        <v>4087</v>
      </c>
      <c r="K2813" s="5" t="s">
        <v>2243</v>
      </c>
      <c r="L2813" s="5" t="n">
        <f aca="false">IF(G2813="High",3,IF(G2813="Medium",2,1))</f>
        <v>1</v>
      </c>
    </row>
    <row r="2814" customFormat="false" ht="15" hidden="false" customHeight="true" outlineLevel="0" collapsed="false">
      <c r="A2814" s="5" t="s">
        <v>5092</v>
      </c>
      <c r="B2814" s="5" t="s">
        <v>1930</v>
      </c>
      <c r="C2814" s="5" t="s">
        <v>2259</v>
      </c>
      <c r="D2814" s="5" t="s">
        <v>2285</v>
      </c>
      <c r="E2814" s="5" t="s">
        <v>2225</v>
      </c>
      <c r="F2814" s="5" t="s">
        <v>2225</v>
      </c>
      <c r="G2814" s="5" t="str">
        <f aca="false">INDEX(Risk_Matrix!$B$2:$D$4,MATCH(E2814,Risk_Matrix!$A$2:$A$4,0),MATCH(F2814,Risk_Matrix!$B$1:$D$1,0))</f>
        <v>Medium</v>
      </c>
      <c r="H2814" s="12" t="n">
        <v>46202</v>
      </c>
      <c r="I2814" s="5" t="s">
        <v>2256</v>
      </c>
      <c r="J2814" s="5" t="s">
        <v>4081</v>
      </c>
      <c r="K2814" s="5" t="s">
        <v>2266</v>
      </c>
      <c r="L2814" s="5" t="n">
        <f aca="false">IF(G2814="High",3,IF(G2814="Medium",2,1))</f>
        <v>2</v>
      </c>
    </row>
    <row r="2815" customFormat="false" ht="15" hidden="false" customHeight="true" outlineLevel="0" collapsed="false">
      <c r="A2815" s="5" t="s">
        <v>5093</v>
      </c>
      <c r="B2815" s="5" t="s">
        <v>1930</v>
      </c>
      <c r="C2815" s="5" t="s">
        <v>2254</v>
      </c>
      <c r="D2815" s="5" t="s">
        <v>2255</v>
      </c>
      <c r="E2815" s="5" t="s">
        <v>54</v>
      </c>
      <c r="F2815" s="5" t="s">
        <v>59</v>
      </c>
      <c r="G2815" s="5" t="str">
        <f aca="false">INDEX(Risk_Matrix!$B$2:$D$4,MATCH(E2815,Risk_Matrix!$A$2:$A$4,0),MATCH(F2815,Risk_Matrix!$B$1:$D$1,0))</f>
        <v>Medium</v>
      </c>
      <c r="H2815" s="12" t="n">
        <v>46067</v>
      </c>
      <c r="I2815" s="5" t="s">
        <v>2264</v>
      </c>
      <c r="J2815" s="5" t="s">
        <v>4087</v>
      </c>
      <c r="K2815" s="5" t="s">
        <v>2252</v>
      </c>
      <c r="L2815" s="5" t="n">
        <f aca="false">IF(G2815="High",3,IF(G2815="Medium",2,1))</f>
        <v>2</v>
      </c>
    </row>
    <row r="2816" customFormat="false" ht="15" hidden="false" customHeight="true" outlineLevel="0" collapsed="false">
      <c r="A2816" s="5" t="s">
        <v>5094</v>
      </c>
      <c r="B2816" s="5" t="s">
        <v>1932</v>
      </c>
      <c r="C2816" s="5" t="s">
        <v>2239</v>
      </c>
      <c r="D2816" s="5" t="s">
        <v>2278</v>
      </c>
      <c r="E2816" s="5" t="s">
        <v>2225</v>
      </c>
      <c r="F2816" s="5" t="s">
        <v>59</v>
      </c>
      <c r="G2816" s="5" t="str">
        <f aca="false">INDEX(Risk_Matrix!$B$2:$D$4,MATCH(E2816,Risk_Matrix!$A$2:$A$4,0),MATCH(F2816,Risk_Matrix!$B$1:$D$1,0))</f>
        <v>Low</v>
      </c>
      <c r="H2816" s="12" t="n">
        <v>46196</v>
      </c>
      <c r="I2816" s="5" t="s">
        <v>2264</v>
      </c>
      <c r="J2816" s="5" t="s">
        <v>4087</v>
      </c>
      <c r="K2816" s="5" t="s">
        <v>2283</v>
      </c>
      <c r="L2816" s="5" t="n">
        <f aca="false">IF(G2816="High",3,IF(G2816="Medium",2,1))</f>
        <v>1</v>
      </c>
    </row>
    <row r="2817" customFormat="false" ht="15" hidden="false" customHeight="true" outlineLevel="0" collapsed="false">
      <c r="A2817" s="5" t="s">
        <v>5095</v>
      </c>
      <c r="B2817" s="5" t="s">
        <v>1932</v>
      </c>
      <c r="C2817" s="5" t="s">
        <v>2245</v>
      </c>
      <c r="D2817" s="5" t="s">
        <v>2246</v>
      </c>
      <c r="E2817" s="5" t="s">
        <v>2225</v>
      </c>
      <c r="F2817" s="5" t="s">
        <v>54</v>
      </c>
      <c r="G2817" s="5" t="str">
        <f aca="false">INDEX(Risk_Matrix!$B$2:$D$4,MATCH(E2817,Risk_Matrix!$A$2:$A$4,0),MATCH(F2817,Risk_Matrix!$B$1:$D$1,0))</f>
        <v>High</v>
      </c>
      <c r="H2817" s="12" t="n">
        <v>46228</v>
      </c>
      <c r="I2817" s="5" t="s">
        <v>2256</v>
      </c>
      <c r="J2817" s="5" t="s">
        <v>4081</v>
      </c>
      <c r="K2817" s="5" t="s">
        <v>2283</v>
      </c>
      <c r="L2817" s="5" t="n">
        <f aca="false">IF(G2817="High",3,IF(G2817="Medium",2,1))</f>
        <v>3</v>
      </c>
    </row>
    <row r="2818" customFormat="false" ht="15" hidden="false" customHeight="true" outlineLevel="0" collapsed="false">
      <c r="A2818" s="5" t="s">
        <v>5096</v>
      </c>
      <c r="B2818" s="5" t="s">
        <v>1932</v>
      </c>
      <c r="C2818" s="5" t="s">
        <v>2248</v>
      </c>
      <c r="D2818" s="5" t="s">
        <v>2249</v>
      </c>
      <c r="E2818" s="5" t="s">
        <v>54</v>
      </c>
      <c r="F2818" s="5" t="s">
        <v>2225</v>
      </c>
      <c r="G2818" s="5" t="str">
        <f aca="false">INDEX(Risk_Matrix!$B$2:$D$4,MATCH(E2818,Risk_Matrix!$A$2:$A$4,0),MATCH(F2818,Risk_Matrix!$B$1:$D$1,0))</f>
        <v>High</v>
      </c>
      <c r="H2818" s="12" t="n">
        <v>46147</v>
      </c>
      <c r="I2818" s="5" t="s">
        <v>2264</v>
      </c>
      <c r="J2818" s="5" t="s">
        <v>4087</v>
      </c>
      <c r="K2818" s="5" t="s">
        <v>2252</v>
      </c>
      <c r="L2818" s="5" t="n">
        <f aca="false">IF(G2818="High",3,IF(G2818="Medium",2,1))</f>
        <v>3</v>
      </c>
    </row>
    <row r="2819" customFormat="false" ht="15" hidden="false" customHeight="true" outlineLevel="0" collapsed="false">
      <c r="A2819" s="5" t="s">
        <v>5097</v>
      </c>
      <c r="B2819" s="5" t="s">
        <v>1932</v>
      </c>
      <c r="C2819" s="5" t="s">
        <v>2262</v>
      </c>
      <c r="D2819" s="5" t="s">
        <v>2287</v>
      </c>
      <c r="E2819" s="5" t="s">
        <v>2225</v>
      </c>
      <c r="F2819" s="5" t="s">
        <v>59</v>
      </c>
      <c r="G2819" s="5" t="str">
        <f aca="false">INDEX(Risk_Matrix!$B$2:$D$4,MATCH(E2819,Risk_Matrix!$A$2:$A$4,0),MATCH(F2819,Risk_Matrix!$B$1:$D$1,0))</f>
        <v>Low</v>
      </c>
      <c r="H2819" s="12" t="n">
        <v>46213</v>
      </c>
      <c r="I2819" s="5" t="s">
        <v>2250</v>
      </c>
      <c r="J2819" s="5" t="s">
        <v>2251</v>
      </c>
      <c r="K2819" s="5" t="s">
        <v>2252</v>
      </c>
      <c r="L2819" s="5" t="n">
        <f aca="false">IF(G2819="High",3,IF(G2819="Medium",2,1))</f>
        <v>1</v>
      </c>
    </row>
    <row r="2820" customFormat="false" ht="15" hidden="false" customHeight="true" outlineLevel="0" collapsed="false">
      <c r="A2820" s="5" t="s">
        <v>5098</v>
      </c>
      <c r="B2820" s="5" t="s">
        <v>1932</v>
      </c>
      <c r="C2820" s="5" t="s">
        <v>2259</v>
      </c>
      <c r="D2820" s="5" t="s">
        <v>2274</v>
      </c>
      <c r="E2820" s="5" t="s">
        <v>54</v>
      </c>
      <c r="F2820" s="5" t="s">
        <v>2225</v>
      </c>
      <c r="G2820" s="5" t="str">
        <f aca="false">INDEX(Risk_Matrix!$B$2:$D$4,MATCH(E2820,Risk_Matrix!$A$2:$A$4,0),MATCH(F2820,Risk_Matrix!$B$1:$D$1,0))</f>
        <v>High</v>
      </c>
      <c r="H2820" s="12" t="n">
        <v>46135</v>
      </c>
      <c r="I2820" s="5" t="s">
        <v>2256</v>
      </c>
      <c r="J2820" s="5" t="s">
        <v>4081</v>
      </c>
      <c r="K2820" s="5" t="s">
        <v>2252</v>
      </c>
      <c r="L2820" s="5" t="n">
        <f aca="false">IF(G2820="High",3,IF(G2820="Medium",2,1))</f>
        <v>3</v>
      </c>
    </row>
    <row r="2821" customFormat="false" ht="15" hidden="false" customHeight="true" outlineLevel="0" collapsed="false">
      <c r="A2821" s="5" t="s">
        <v>5099</v>
      </c>
      <c r="B2821" s="5" t="s">
        <v>1932</v>
      </c>
      <c r="C2821" s="5" t="s">
        <v>2254</v>
      </c>
      <c r="D2821" s="5" t="s">
        <v>2299</v>
      </c>
      <c r="E2821" s="5" t="s">
        <v>2225</v>
      </c>
      <c r="F2821" s="5" t="s">
        <v>2225</v>
      </c>
      <c r="G2821" s="5" t="str">
        <f aca="false">INDEX(Risk_Matrix!$B$2:$D$4,MATCH(E2821,Risk_Matrix!$A$2:$A$4,0),MATCH(F2821,Risk_Matrix!$B$1:$D$1,0))</f>
        <v>Medium</v>
      </c>
      <c r="H2821" s="12" t="n">
        <v>46041</v>
      </c>
      <c r="I2821" s="5" t="s">
        <v>2241</v>
      </c>
      <c r="J2821" s="5" t="s">
        <v>2242</v>
      </c>
      <c r="K2821" s="5" t="s">
        <v>2276</v>
      </c>
      <c r="L2821" s="5" t="n">
        <f aca="false">IF(G2821="High",3,IF(G2821="Medium",2,1))</f>
        <v>2</v>
      </c>
    </row>
    <row r="2822" customFormat="false" ht="15" hidden="false" customHeight="true" outlineLevel="0" collapsed="false">
      <c r="A2822" s="5" t="s">
        <v>5100</v>
      </c>
      <c r="B2822" s="5" t="s">
        <v>1934</v>
      </c>
      <c r="C2822" s="5" t="s">
        <v>2239</v>
      </c>
      <c r="D2822" s="5" t="s">
        <v>2303</v>
      </c>
      <c r="E2822" s="5" t="s">
        <v>2225</v>
      </c>
      <c r="F2822" s="5" t="s">
        <v>54</v>
      </c>
      <c r="G2822" s="5" t="str">
        <f aca="false">INDEX(Risk_Matrix!$B$2:$D$4,MATCH(E2822,Risk_Matrix!$A$2:$A$4,0),MATCH(F2822,Risk_Matrix!$B$1:$D$1,0))</f>
        <v>High</v>
      </c>
      <c r="H2822" s="12" t="n">
        <v>46223</v>
      </c>
      <c r="I2822" s="5" t="s">
        <v>2264</v>
      </c>
      <c r="J2822" s="5" t="s">
        <v>4087</v>
      </c>
      <c r="K2822" s="5" t="s">
        <v>2276</v>
      </c>
      <c r="L2822" s="5" t="n">
        <f aca="false">IF(G2822="High",3,IF(G2822="Medium",2,1))</f>
        <v>3</v>
      </c>
    </row>
    <row r="2823" customFormat="false" ht="15" hidden="false" customHeight="true" outlineLevel="0" collapsed="false">
      <c r="A2823" s="5" t="s">
        <v>5101</v>
      </c>
      <c r="B2823" s="5" t="s">
        <v>1934</v>
      </c>
      <c r="C2823" s="5" t="s">
        <v>2245</v>
      </c>
      <c r="D2823" s="5" t="s">
        <v>2320</v>
      </c>
      <c r="E2823" s="5" t="s">
        <v>59</v>
      </c>
      <c r="F2823" s="5" t="s">
        <v>54</v>
      </c>
      <c r="G2823" s="5" t="str">
        <f aca="false">INDEX(Risk_Matrix!$B$2:$D$4,MATCH(E2823,Risk_Matrix!$A$2:$A$4,0),MATCH(F2823,Risk_Matrix!$B$1:$D$1,0))</f>
        <v>Medium</v>
      </c>
      <c r="H2823" s="12" t="n">
        <v>46196</v>
      </c>
      <c r="I2823" s="5" t="s">
        <v>2264</v>
      </c>
      <c r="J2823" s="5" t="s">
        <v>4087</v>
      </c>
      <c r="K2823" s="5" t="s">
        <v>2243</v>
      </c>
      <c r="L2823" s="5" t="n">
        <f aca="false">IF(G2823="High",3,IF(G2823="Medium",2,1))</f>
        <v>2</v>
      </c>
    </row>
    <row r="2824" customFormat="false" ht="15" hidden="false" customHeight="true" outlineLevel="0" collapsed="false">
      <c r="A2824" s="5" t="s">
        <v>5102</v>
      </c>
      <c r="B2824" s="5" t="s">
        <v>1934</v>
      </c>
      <c r="C2824" s="5" t="s">
        <v>2248</v>
      </c>
      <c r="D2824" s="5" t="s">
        <v>2306</v>
      </c>
      <c r="E2824" s="5" t="s">
        <v>2225</v>
      </c>
      <c r="F2824" s="5" t="s">
        <v>2225</v>
      </c>
      <c r="G2824" s="5" t="str">
        <f aca="false">INDEX(Risk_Matrix!$B$2:$D$4,MATCH(E2824,Risk_Matrix!$A$2:$A$4,0),MATCH(F2824,Risk_Matrix!$B$1:$D$1,0))</f>
        <v>Medium</v>
      </c>
      <c r="H2824" s="12" t="n">
        <v>46136</v>
      </c>
      <c r="I2824" s="5" t="s">
        <v>2241</v>
      </c>
      <c r="J2824" s="5" t="s">
        <v>2242</v>
      </c>
      <c r="K2824" s="5" t="s">
        <v>2252</v>
      </c>
      <c r="L2824" s="5" t="n">
        <f aca="false">IF(G2824="High",3,IF(G2824="Medium",2,1))</f>
        <v>2</v>
      </c>
    </row>
    <row r="2825" customFormat="false" ht="15" hidden="false" customHeight="true" outlineLevel="0" collapsed="false">
      <c r="A2825" s="5" t="s">
        <v>5103</v>
      </c>
      <c r="B2825" s="5" t="s">
        <v>1934</v>
      </c>
      <c r="C2825" s="5" t="s">
        <v>2262</v>
      </c>
      <c r="D2825" s="5" t="s">
        <v>2287</v>
      </c>
      <c r="E2825" s="5" t="s">
        <v>2225</v>
      </c>
      <c r="F2825" s="5" t="s">
        <v>54</v>
      </c>
      <c r="G2825" s="5" t="str">
        <f aca="false">INDEX(Risk_Matrix!$B$2:$D$4,MATCH(E2825,Risk_Matrix!$A$2:$A$4,0),MATCH(F2825,Risk_Matrix!$B$1:$D$1,0))</f>
        <v>High</v>
      </c>
      <c r="H2825" s="12" t="n">
        <v>46185</v>
      </c>
      <c r="I2825" s="5" t="s">
        <v>2264</v>
      </c>
      <c r="J2825" s="5" t="s">
        <v>4087</v>
      </c>
      <c r="K2825" s="5" t="s">
        <v>2243</v>
      </c>
      <c r="L2825" s="5" t="n">
        <f aca="false">IF(G2825="High",3,IF(G2825="Medium",2,1))</f>
        <v>3</v>
      </c>
    </row>
    <row r="2826" customFormat="false" ht="15" hidden="false" customHeight="true" outlineLevel="0" collapsed="false">
      <c r="A2826" s="5" t="s">
        <v>5104</v>
      </c>
      <c r="B2826" s="5" t="s">
        <v>1934</v>
      </c>
      <c r="C2826" s="5" t="s">
        <v>2259</v>
      </c>
      <c r="D2826" s="5" t="s">
        <v>2285</v>
      </c>
      <c r="E2826" s="5" t="s">
        <v>2225</v>
      </c>
      <c r="F2826" s="5" t="s">
        <v>2225</v>
      </c>
      <c r="G2826" s="5" t="str">
        <f aca="false">INDEX(Risk_Matrix!$B$2:$D$4,MATCH(E2826,Risk_Matrix!$A$2:$A$4,0),MATCH(F2826,Risk_Matrix!$B$1:$D$1,0))</f>
        <v>Medium</v>
      </c>
      <c r="H2826" s="12" t="n">
        <v>46089</v>
      </c>
      <c r="I2826" s="5" t="s">
        <v>2241</v>
      </c>
      <c r="J2826" s="5" t="s">
        <v>2242</v>
      </c>
      <c r="K2826" s="5" t="s">
        <v>2266</v>
      </c>
      <c r="L2826" s="5" t="n">
        <f aca="false">IF(G2826="High",3,IF(G2826="Medium",2,1))</f>
        <v>2</v>
      </c>
    </row>
    <row r="2827" customFormat="false" ht="15" hidden="false" customHeight="true" outlineLevel="0" collapsed="false">
      <c r="A2827" s="5" t="s">
        <v>5105</v>
      </c>
      <c r="B2827" s="5" t="s">
        <v>1934</v>
      </c>
      <c r="C2827" s="5" t="s">
        <v>2254</v>
      </c>
      <c r="D2827" s="5" t="s">
        <v>2308</v>
      </c>
      <c r="E2827" s="5" t="s">
        <v>2225</v>
      </c>
      <c r="F2827" s="5" t="s">
        <v>54</v>
      </c>
      <c r="G2827" s="5" t="str">
        <f aca="false">INDEX(Risk_Matrix!$B$2:$D$4,MATCH(E2827,Risk_Matrix!$A$2:$A$4,0),MATCH(F2827,Risk_Matrix!$B$1:$D$1,0))</f>
        <v>High</v>
      </c>
      <c r="H2827" s="12" t="n">
        <v>46147</v>
      </c>
      <c r="I2827" s="5" t="s">
        <v>2256</v>
      </c>
      <c r="J2827" s="5" t="s">
        <v>4081</v>
      </c>
      <c r="K2827" s="5" t="s">
        <v>2283</v>
      </c>
      <c r="L2827" s="5" t="n">
        <f aca="false">IF(G2827="High",3,IF(G2827="Medium",2,1))</f>
        <v>3</v>
      </c>
    </row>
    <row r="2828" customFormat="false" ht="15" hidden="false" customHeight="true" outlineLevel="0" collapsed="false">
      <c r="A2828" s="5" t="s">
        <v>5106</v>
      </c>
      <c r="B2828" s="5" t="s">
        <v>1936</v>
      </c>
      <c r="C2828" s="5" t="s">
        <v>2239</v>
      </c>
      <c r="D2828" s="5" t="s">
        <v>2240</v>
      </c>
      <c r="E2828" s="5" t="s">
        <v>54</v>
      </c>
      <c r="F2828" s="5" t="s">
        <v>2225</v>
      </c>
      <c r="G2828" s="5" t="str">
        <f aca="false">INDEX(Risk_Matrix!$B$2:$D$4,MATCH(E2828,Risk_Matrix!$A$2:$A$4,0),MATCH(F2828,Risk_Matrix!$B$1:$D$1,0))</f>
        <v>High</v>
      </c>
      <c r="H2828" s="12" t="n">
        <v>46098</v>
      </c>
      <c r="I2828" s="5" t="s">
        <v>2256</v>
      </c>
      <c r="J2828" s="5" t="s">
        <v>4081</v>
      </c>
      <c r="K2828" s="5" t="s">
        <v>2243</v>
      </c>
      <c r="L2828" s="5" t="n">
        <f aca="false">IF(G2828="High",3,IF(G2828="Medium",2,1))</f>
        <v>3</v>
      </c>
    </row>
    <row r="2829" customFormat="false" ht="15" hidden="false" customHeight="true" outlineLevel="0" collapsed="false">
      <c r="A2829" s="5" t="s">
        <v>5107</v>
      </c>
      <c r="B2829" s="5" t="s">
        <v>1936</v>
      </c>
      <c r="C2829" s="5" t="s">
        <v>2245</v>
      </c>
      <c r="D2829" s="5" t="s">
        <v>2269</v>
      </c>
      <c r="E2829" s="5" t="s">
        <v>59</v>
      </c>
      <c r="F2829" s="5" t="s">
        <v>59</v>
      </c>
      <c r="G2829" s="5" t="str">
        <f aca="false">INDEX(Risk_Matrix!$B$2:$D$4,MATCH(E2829,Risk_Matrix!$A$2:$A$4,0),MATCH(F2829,Risk_Matrix!$B$1:$D$1,0))</f>
        <v>Low</v>
      </c>
      <c r="H2829" s="12" t="n">
        <v>46097</v>
      </c>
      <c r="I2829" s="5" t="s">
        <v>2241</v>
      </c>
      <c r="J2829" s="5" t="s">
        <v>2242</v>
      </c>
      <c r="K2829" s="5" t="s">
        <v>2252</v>
      </c>
      <c r="L2829" s="5" t="n">
        <f aca="false">IF(G2829="High",3,IF(G2829="Medium",2,1))</f>
        <v>1</v>
      </c>
    </row>
    <row r="2830" customFormat="false" ht="15" hidden="false" customHeight="true" outlineLevel="0" collapsed="false">
      <c r="A2830" s="5" t="s">
        <v>5108</v>
      </c>
      <c r="B2830" s="5" t="s">
        <v>1936</v>
      </c>
      <c r="C2830" s="5" t="s">
        <v>2248</v>
      </c>
      <c r="D2830" s="5" t="s">
        <v>2306</v>
      </c>
      <c r="E2830" s="5" t="s">
        <v>2225</v>
      </c>
      <c r="F2830" s="5" t="s">
        <v>2225</v>
      </c>
      <c r="G2830" s="5" t="str">
        <f aca="false">INDEX(Risk_Matrix!$B$2:$D$4,MATCH(E2830,Risk_Matrix!$A$2:$A$4,0),MATCH(F2830,Risk_Matrix!$B$1:$D$1,0))</f>
        <v>Medium</v>
      </c>
      <c r="H2830" s="12" t="n">
        <v>46061</v>
      </c>
      <c r="I2830" s="5" t="s">
        <v>2241</v>
      </c>
      <c r="J2830" s="5" t="s">
        <v>2242</v>
      </c>
      <c r="K2830" s="5" t="s">
        <v>2276</v>
      </c>
      <c r="L2830" s="5" t="n">
        <f aca="false">IF(G2830="High",3,IF(G2830="Medium",2,1))</f>
        <v>2</v>
      </c>
    </row>
    <row r="2831" customFormat="false" ht="15" hidden="false" customHeight="true" outlineLevel="0" collapsed="false">
      <c r="A2831" s="5" t="s">
        <v>5109</v>
      </c>
      <c r="B2831" s="5" t="s">
        <v>1936</v>
      </c>
      <c r="C2831" s="5" t="s">
        <v>2262</v>
      </c>
      <c r="D2831" s="5" t="s">
        <v>2263</v>
      </c>
      <c r="E2831" s="5" t="s">
        <v>59</v>
      </c>
      <c r="F2831" s="5" t="s">
        <v>2225</v>
      </c>
      <c r="G2831" s="5" t="str">
        <f aca="false">INDEX(Risk_Matrix!$B$2:$D$4,MATCH(E2831,Risk_Matrix!$A$2:$A$4,0),MATCH(F2831,Risk_Matrix!$B$1:$D$1,0))</f>
        <v>Low</v>
      </c>
      <c r="H2831" s="12" t="n">
        <v>46065</v>
      </c>
      <c r="I2831" s="5" t="s">
        <v>2256</v>
      </c>
      <c r="J2831" s="5" t="s">
        <v>4081</v>
      </c>
      <c r="K2831" s="5" t="s">
        <v>2243</v>
      </c>
      <c r="L2831" s="5" t="n">
        <f aca="false">IF(G2831="High",3,IF(G2831="Medium",2,1))</f>
        <v>1</v>
      </c>
    </row>
    <row r="2832" customFormat="false" ht="15" hidden="false" customHeight="true" outlineLevel="0" collapsed="false">
      <c r="A2832" s="5" t="s">
        <v>5110</v>
      </c>
      <c r="B2832" s="5" t="s">
        <v>1936</v>
      </c>
      <c r="C2832" s="5" t="s">
        <v>2259</v>
      </c>
      <c r="D2832" s="5" t="s">
        <v>2285</v>
      </c>
      <c r="E2832" s="5" t="s">
        <v>2225</v>
      </c>
      <c r="F2832" s="5" t="s">
        <v>54</v>
      </c>
      <c r="G2832" s="5" t="str">
        <f aca="false">INDEX(Risk_Matrix!$B$2:$D$4,MATCH(E2832,Risk_Matrix!$A$2:$A$4,0),MATCH(F2832,Risk_Matrix!$B$1:$D$1,0))</f>
        <v>High</v>
      </c>
      <c r="H2832" s="12" t="n">
        <v>46049</v>
      </c>
      <c r="I2832" s="5" t="s">
        <v>2264</v>
      </c>
      <c r="J2832" s="5" t="s">
        <v>4087</v>
      </c>
      <c r="K2832" s="5" t="s">
        <v>2283</v>
      </c>
      <c r="L2832" s="5" t="n">
        <f aca="false">IF(G2832="High",3,IF(G2832="Medium",2,1))</f>
        <v>3</v>
      </c>
    </row>
    <row r="2833" customFormat="false" ht="15" hidden="false" customHeight="true" outlineLevel="0" collapsed="false">
      <c r="A2833" s="5" t="s">
        <v>5111</v>
      </c>
      <c r="B2833" s="5" t="s">
        <v>1936</v>
      </c>
      <c r="C2833" s="5" t="s">
        <v>2254</v>
      </c>
      <c r="D2833" s="5" t="s">
        <v>2255</v>
      </c>
      <c r="E2833" s="5" t="s">
        <v>59</v>
      </c>
      <c r="F2833" s="5" t="s">
        <v>2225</v>
      </c>
      <c r="G2833" s="5" t="str">
        <f aca="false">INDEX(Risk_Matrix!$B$2:$D$4,MATCH(E2833,Risk_Matrix!$A$2:$A$4,0),MATCH(F2833,Risk_Matrix!$B$1:$D$1,0))</f>
        <v>Low</v>
      </c>
      <c r="H2833" s="12" t="n">
        <v>46162</v>
      </c>
      <c r="I2833" s="5" t="s">
        <v>2250</v>
      </c>
      <c r="J2833" s="5" t="s">
        <v>2251</v>
      </c>
      <c r="K2833" s="5" t="s">
        <v>2283</v>
      </c>
      <c r="L2833" s="5" t="n">
        <f aca="false">IF(G2833="High",3,IF(G2833="Medium",2,1))</f>
        <v>1</v>
      </c>
    </row>
    <row r="2834" customFormat="false" ht="15" hidden="false" customHeight="true" outlineLevel="0" collapsed="false">
      <c r="A2834" s="5" t="s">
        <v>5112</v>
      </c>
      <c r="B2834" s="5" t="s">
        <v>1938</v>
      </c>
      <c r="C2834" s="5" t="s">
        <v>2239</v>
      </c>
      <c r="D2834" s="5" t="s">
        <v>2295</v>
      </c>
      <c r="E2834" s="5" t="s">
        <v>54</v>
      </c>
      <c r="F2834" s="5" t="s">
        <v>59</v>
      </c>
      <c r="G2834" s="5" t="str">
        <f aca="false">INDEX(Risk_Matrix!$B$2:$D$4,MATCH(E2834,Risk_Matrix!$A$2:$A$4,0),MATCH(F2834,Risk_Matrix!$B$1:$D$1,0))</f>
        <v>Medium</v>
      </c>
      <c r="H2834" s="12" t="n">
        <v>46228</v>
      </c>
      <c r="I2834" s="5" t="s">
        <v>2264</v>
      </c>
      <c r="J2834" s="5" t="s">
        <v>4087</v>
      </c>
      <c r="K2834" s="5" t="s">
        <v>2266</v>
      </c>
      <c r="L2834" s="5" t="n">
        <f aca="false">IF(G2834="High",3,IF(G2834="Medium",2,1))</f>
        <v>2</v>
      </c>
    </row>
    <row r="2835" customFormat="false" ht="15" hidden="false" customHeight="true" outlineLevel="0" collapsed="false">
      <c r="A2835" s="5" t="s">
        <v>5113</v>
      </c>
      <c r="B2835" s="5" t="s">
        <v>1938</v>
      </c>
      <c r="C2835" s="5" t="s">
        <v>2245</v>
      </c>
      <c r="D2835" s="5" t="s">
        <v>2320</v>
      </c>
      <c r="E2835" s="5" t="s">
        <v>2225</v>
      </c>
      <c r="F2835" s="5" t="s">
        <v>2225</v>
      </c>
      <c r="G2835" s="5" t="str">
        <f aca="false">INDEX(Risk_Matrix!$B$2:$D$4,MATCH(E2835,Risk_Matrix!$A$2:$A$4,0),MATCH(F2835,Risk_Matrix!$B$1:$D$1,0))</f>
        <v>Medium</v>
      </c>
      <c r="H2835" s="12" t="n">
        <v>46109</v>
      </c>
      <c r="I2835" s="5" t="s">
        <v>2264</v>
      </c>
      <c r="J2835" s="5" t="s">
        <v>4087</v>
      </c>
      <c r="K2835" s="5" t="s">
        <v>2243</v>
      </c>
      <c r="L2835" s="5" t="n">
        <f aca="false">IF(G2835="High",3,IF(G2835="Medium",2,1))</f>
        <v>2</v>
      </c>
    </row>
    <row r="2836" customFormat="false" ht="15" hidden="false" customHeight="true" outlineLevel="0" collapsed="false">
      <c r="A2836" s="5" t="s">
        <v>5114</v>
      </c>
      <c r="B2836" s="5" t="s">
        <v>1938</v>
      </c>
      <c r="C2836" s="5" t="s">
        <v>2248</v>
      </c>
      <c r="D2836" s="5" t="s">
        <v>2249</v>
      </c>
      <c r="E2836" s="5" t="s">
        <v>59</v>
      </c>
      <c r="F2836" s="5" t="s">
        <v>2225</v>
      </c>
      <c r="G2836" s="5" t="str">
        <f aca="false">INDEX(Risk_Matrix!$B$2:$D$4,MATCH(E2836,Risk_Matrix!$A$2:$A$4,0),MATCH(F2836,Risk_Matrix!$B$1:$D$1,0))</f>
        <v>Low</v>
      </c>
      <c r="H2836" s="12" t="n">
        <v>46077</v>
      </c>
      <c r="I2836" s="5" t="s">
        <v>2250</v>
      </c>
      <c r="J2836" s="5" t="s">
        <v>2251</v>
      </c>
      <c r="K2836" s="5" t="s">
        <v>2252</v>
      </c>
      <c r="L2836" s="5" t="n">
        <f aca="false">IF(G2836="High",3,IF(G2836="Medium",2,1))</f>
        <v>1</v>
      </c>
    </row>
    <row r="2837" customFormat="false" ht="15" hidden="false" customHeight="true" outlineLevel="0" collapsed="false">
      <c r="A2837" s="5" t="s">
        <v>5115</v>
      </c>
      <c r="B2837" s="5" t="s">
        <v>1938</v>
      </c>
      <c r="C2837" s="5" t="s">
        <v>2262</v>
      </c>
      <c r="D2837" s="5" t="s">
        <v>2263</v>
      </c>
      <c r="E2837" s="5" t="s">
        <v>54</v>
      </c>
      <c r="F2837" s="5" t="s">
        <v>2225</v>
      </c>
      <c r="G2837" s="5" t="str">
        <f aca="false">INDEX(Risk_Matrix!$B$2:$D$4,MATCH(E2837,Risk_Matrix!$A$2:$A$4,0),MATCH(F2837,Risk_Matrix!$B$1:$D$1,0))</f>
        <v>High</v>
      </c>
      <c r="H2837" s="12" t="n">
        <v>46218</v>
      </c>
      <c r="I2837" s="5" t="s">
        <v>2250</v>
      </c>
      <c r="J2837" s="5" t="s">
        <v>2251</v>
      </c>
      <c r="K2837" s="5" t="s">
        <v>2283</v>
      </c>
      <c r="L2837" s="5" t="n">
        <f aca="false">IF(G2837="High",3,IF(G2837="Medium",2,1))</f>
        <v>3</v>
      </c>
    </row>
    <row r="2838" customFormat="false" ht="15" hidden="false" customHeight="true" outlineLevel="0" collapsed="false">
      <c r="A2838" s="5" t="s">
        <v>5116</v>
      </c>
      <c r="B2838" s="5" t="s">
        <v>1938</v>
      </c>
      <c r="C2838" s="5" t="s">
        <v>2259</v>
      </c>
      <c r="D2838" s="5" t="s">
        <v>2260</v>
      </c>
      <c r="E2838" s="5" t="s">
        <v>59</v>
      </c>
      <c r="F2838" s="5" t="s">
        <v>59</v>
      </c>
      <c r="G2838" s="5" t="str">
        <f aca="false">INDEX(Risk_Matrix!$B$2:$D$4,MATCH(E2838,Risk_Matrix!$A$2:$A$4,0),MATCH(F2838,Risk_Matrix!$B$1:$D$1,0))</f>
        <v>Low</v>
      </c>
      <c r="H2838" s="12" t="n">
        <v>46128</v>
      </c>
      <c r="I2838" s="5" t="s">
        <v>2256</v>
      </c>
      <c r="J2838" s="5" t="s">
        <v>4081</v>
      </c>
      <c r="K2838" s="5" t="s">
        <v>2276</v>
      </c>
      <c r="L2838" s="5" t="n">
        <f aca="false">IF(G2838="High",3,IF(G2838="Medium",2,1))</f>
        <v>1</v>
      </c>
    </row>
    <row r="2839" customFormat="false" ht="15" hidden="false" customHeight="true" outlineLevel="0" collapsed="false">
      <c r="A2839" s="5" t="s">
        <v>5117</v>
      </c>
      <c r="B2839" s="5" t="s">
        <v>1938</v>
      </c>
      <c r="C2839" s="5" t="s">
        <v>2254</v>
      </c>
      <c r="D2839" s="5" t="s">
        <v>2255</v>
      </c>
      <c r="E2839" s="5" t="s">
        <v>59</v>
      </c>
      <c r="F2839" s="5" t="s">
        <v>54</v>
      </c>
      <c r="G2839" s="5" t="str">
        <f aca="false">INDEX(Risk_Matrix!$B$2:$D$4,MATCH(E2839,Risk_Matrix!$A$2:$A$4,0),MATCH(F2839,Risk_Matrix!$B$1:$D$1,0))</f>
        <v>Medium</v>
      </c>
      <c r="H2839" s="12" t="n">
        <v>46122</v>
      </c>
      <c r="I2839" s="5" t="s">
        <v>2241</v>
      </c>
      <c r="J2839" s="5" t="s">
        <v>2242</v>
      </c>
      <c r="K2839" s="5" t="s">
        <v>2283</v>
      </c>
      <c r="L2839" s="5" t="n">
        <f aca="false">IF(G2839="High",3,IF(G2839="Medium",2,1))</f>
        <v>2</v>
      </c>
    </row>
    <row r="2840" customFormat="false" ht="15" hidden="false" customHeight="true" outlineLevel="0" collapsed="false">
      <c r="A2840" s="5" t="s">
        <v>5118</v>
      </c>
      <c r="B2840" s="5" t="s">
        <v>1940</v>
      </c>
      <c r="C2840" s="5" t="s">
        <v>2239</v>
      </c>
      <c r="D2840" s="5" t="s">
        <v>2240</v>
      </c>
      <c r="E2840" s="5" t="s">
        <v>54</v>
      </c>
      <c r="F2840" s="5" t="s">
        <v>2225</v>
      </c>
      <c r="G2840" s="5" t="str">
        <f aca="false">INDEX(Risk_Matrix!$B$2:$D$4,MATCH(E2840,Risk_Matrix!$A$2:$A$4,0),MATCH(F2840,Risk_Matrix!$B$1:$D$1,0))</f>
        <v>High</v>
      </c>
      <c r="H2840" s="12" t="n">
        <v>46231</v>
      </c>
      <c r="I2840" s="5" t="s">
        <v>2241</v>
      </c>
      <c r="J2840" s="5" t="s">
        <v>2242</v>
      </c>
      <c r="K2840" s="5" t="s">
        <v>2283</v>
      </c>
      <c r="L2840" s="5" t="n">
        <f aca="false">IF(G2840="High",3,IF(G2840="Medium",2,1))</f>
        <v>3</v>
      </c>
    </row>
    <row r="2841" customFormat="false" ht="15" hidden="false" customHeight="true" outlineLevel="0" collapsed="false">
      <c r="A2841" s="5" t="s">
        <v>5119</v>
      </c>
      <c r="B2841" s="5" t="s">
        <v>1940</v>
      </c>
      <c r="C2841" s="5" t="s">
        <v>2245</v>
      </c>
      <c r="D2841" s="5" t="s">
        <v>2320</v>
      </c>
      <c r="E2841" s="5" t="s">
        <v>54</v>
      </c>
      <c r="F2841" s="5" t="s">
        <v>2225</v>
      </c>
      <c r="G2841" s="5" t="str">
        <f aca="false">INDEX(Risk_Matrix!$B$2:$D$4,MATCH(E2841,Risk_Matrix!$A$2:$A$4,0),MATCH(F2841,Risk_Matrix!$B$1:$D$1,0))</f>
        <v>High</v>
      </c>
      <c r="H2841" s="12" t="n">
        <v>46112</v>
      </c>
      <c r="I2841" s="5" t="s">
        <v>2250</v>
      </c>
      <c r="J2841" s="5" t="s">
        <v>2251</v>
      </c>
      <c r="K2841" s="5" t="s">
        <v>2283</v>
      </c>
      <c r="L2841" s="5" t="n">
        <f aca="false">IF(G2841="High",3,IF(G2841="Medium",2,1))</f>
        <v>3</v>
      </c>
    </row>
    <row r="2842" customFormat="false" ht="15" hidden="false" customHeight="true" outlineLevel="0" collapsed="false">
      <c r="A2842" s="5" t="s">
        <v>5120</v>
      </c>
      <c r="B2842" s="5" t="s">
        <v>1940</v>
      </c>
      <c r="C2842" s="5" t="s">
        <v>2248</v>
      </c>
      <c r="D2842" s="5" t="s">
        <v>2271</v>
      </c>
      <c r="E2842" s="5" t="s">
        <v>54</v>
      </c>
      <c r="F2842" s="5" t="s">
        <v>59</v>
      </c>
      <c r="G2842" s="5" t="str">
        <f aca="false">INDEX(Risk_Matrix!$B$2:$D$4,MATCH(E2842,Risk_Matrix!$A$2:$A$4,0),MATCH(F2842,Risk_Matrix!$B$1:$D$1,0))</f>
        <v>Medium</v>
      </c>
      <c r="H2842" s="12" t="n">
        <v>46226</v>
      </c>
      <c r="I2842" s="5" t="s">
        <v>2241</v>
      </c>
      <c r="J2842" s="5" t="s">
        <v>2242</v>
      </c>
      <c r="K2842" s="5" t="s">
        <v>2283</v>
      </c>
      <c r="L2842" s="5" t="n">
        <f aca="false">IF(G2842="High",3,IF(G2842="Medium",2,1))</f>
        <v>2</v>
      </c>
    </row>
    <row r="2843" customFormat="false" ht="15" hidden="false" customHeight="true" outlineLevel="0" collapsed="false">
      <c r="A2843" s="5" t="s">
        <v>5121</v>
      </c>
      <c r="B2843" s="5" t="s">
        <v>1940</v>
      </c>
      <c r="C2843" s="5" t="s">
        <v>2262</v>
      </c>
      <c r="D2843" s="5" t="s">
        <v>2311</v>
      </c>
      <c r="E2843" s="5" t="s">
        <v>54</v>
      </c>
      <c r="F2843" s="5" t="s">
        <v>59</v>
      </c>
      <c r="G2843" s="5" t="str">
        <f aca="false">INDEX(Risk_Matrix!$B$2:$D$4,MATCH(E2843,Risk_Matrix!$A$2:$A$4,0),MATCH(F2843,Risk_Matrix!$B$1:$D$1,0))</f>
        <v>Medium</v>
      </c>
      <c r="H2843" s="12" t="n">
        <v>46146</v>
      </c>
      <c r="I2843" s="5" t="s">
        <v>2241</v>
      </c>
      <c r="J2843" s="5" t="s">
        <v>2242</v>
      </c>
      <c r="K2843" s="5" t="s">
        <v>2283</v>
      </c>
      <c r="L2843" s="5" t="n">
        <f aca="false">IF(G2843="High",3,IF(G2843="Medium",2,1))</f>
        <v>2</v>
      </c>
    </row>
    <row r="2844" customFormat="false" ht="15" hidden="false" customHeight="true" outlineLevel="0" collapsed="false">
      <c r="A2844" s="5" t="s">
        <v>5122</v>
      </c>
      <c r="B2844" s="5" t="s">
        <v>1940</v>
      </c>
      <c r="C2844" s="5" t="s">
        <v>2259</v>
      </c>
      <c r="D2844" s="5" t="s">
        <v>2285</v>
      </c>
      <c r="E2844" s="5" t="s">
        <v>54</v>
      </c>
      <c r="F2844" s="5" t="s">
        <v>59</v>
      </c>
      <c r="G2844" s="5" t="str">
        <f aca="false">INDEX(Risk_Matrix!$B$2:$D$4,MATCH(E2844,Risk_Matrix!$A$2:$A$4,0),MATCH(F2844,Risk_Matrix!$B$1:$D$1,0))</f>
        <v>Medium</v>
      </c>
      <c r="H2844" s="12" t="n">
        <v>46236</v>
      </c>
      <c r="I2844" s="5" t="s">
        <v>2241</v>
      </c>
      <c r="J2844" s="5" t="s">
        <v>2242</v>
      </c>
      <c r="K2844" s="5" t="s">
        <v>2276</v>
      </c>
      <c r="L2844" s="5" t="n">
        <f aca="false">IF(G2844="High",3,IF(G2844="Medium",2,1))</f>
        <v>2</v>
      </c>
    </row>
    <row r="2845" customFormat="false" ht="15" hidden="false" customHeight="true" outlineLevel="0" collapsed="false">
      <c r="A2845" s="5" t="s">
        <v>5123</v>
      </c>
      <c r="B2845" s="5" t="s">
        <v>1940</v>
      </c>
      <c r="C2845" s="5" t="s">
        <v>2254</v>
      </c>
      <c r="D2845" s="5" t="s">
        <v>2255</v>
      </c>
      <c r="E2845" s="5" t="s">
        <v>2225</v>
      </c>
      <c r="F2845" s="5" t="s">
        <v>2225</v>
      </c>
      <c r="G2845" s="5" t="str">
        <f aca="false">INDEX(Risk_Matrix!$B$2:$D$4,MATCH(E2845,Risk_Matrix!$A$2:$A$4,0),MATCH(F2845,Risk_Matrix!$B$1:$D$1,0))</f>
        <v>Medium</v>
      </c>
      <c r="H2845" s="12" t="n">
        <v>46045</v>
      </c>
      <c r="I2845" s="5" t="s">
        <v>2264</v>
      </c>
      <c r="J2845" s="5" t="s">
        <v>4087</v>
      </c>
      <c r="K2845" s="5" t="s">
        <v>2252</v>
      </c>
      <c r="L2845" s="5" t="n">
        <f aca="false">IF(G2845="High",3,IF(G2845="Medium",2,1))</f>
        <v>2</v>
      </c>
    </row>
    <row r="2846" customFormat="false" ht="15" hidden="false" customHeight="true" outlineLevel="0" collapsed="false">
      <c r="A2846" s="5" t="s">
        <v>5124</v>
      </c>
      <c r="B2846" s="5" t="s">
        <v>1942</v>
      </c>
      <c r="C2846" s="5" t="s">
        <v>2239</v>
      </c>
      <c r="D2846" s="5" t="s">
        <v>2278</v>
      </c>
      <c r="E2846" s="5" t="s">
        <v>54</v>
      </c>
      <c r="F2846" s="5" t="s">
        <v>54</v>
      </c>
      <c r="G2846" s="5" t="str">
        <f aca="false">INDEX(Risk_Matrix!$B$2:$D$4,MATCH(E2846,Risk_Matrix!$A$2:$A$4,0),MATCH(F2846,Risk_Matrix!$B$1:$D$1,0))</f>
        <v>High</v>
      </c>
      <c r="H2846" s="12" t="n">
        <v>46162</v>
      </c>
      <c r="I2846" s="5" t="s">
        <v>2250</v>
      </c>
      <c r="J2846" s="5" t="s">
        <v>2251</v>
      </c>
      <c r="K2846" s="5" t="s">
        <v>2276</v>
      </c>
      <c r="L2846" s="5" t="n">
        <f aca="false">IF(G2846="High",3,IF(G2846="Medium",2,1))</f>
        <v>3</v>
      </c>
    </row>
    <row r="2847" customFormat="false" ht="15" hidden="false" customHeight="true" outlineLevel="0" collapsed="false">
      <c r="A2847" s="5" t="s">
        <v>5125</v>
      </c>
      <c r="B2847" s="5" t="s">
        <v>1942</v>
      </c>
      <c r="C2847" s="5" t="s">
        <v>2245</v>
      </c>
      <c r="D2847" s="5" t="s">
        <v>2269</v>
      </c>
      <c r="E2847" s="5" t="s">
        <v>59</v>
      </c>
      <c r="F2847" s="5" t="s">
        <v>2225</v>
      </c>
      <c r="G2847" s="5" t="str">
        <f aca="false">INDEX(Risk_Matrix!$B$2:$D$4,MATCH(E2847,Risk_Matrix!$A$2:$A$4,0),MATCH(F2847,Risk_Matrix!$B$1:$D$1,0))</f>
        <v>Low</v>
      </c>
      <c r="H2847" s="12" t="n">
        <v>46186</v>
      </c>
      <c r="I2847" s="5" t="s">
        <v>2250</v>
      </c>
      <c r="J2847" s="5" t="s">
        <v>2251</v>
      </c>
      <c r="K2847" s="5" t="s">
        <v>2266</v>
      </c>
      <c r="L2847" s="5" t="n">
        <f aca="false">IF(G2847="High",3,IF(G2847="Medium",2,1))</f>
        <v>1</v>
      </c>
    </row>
    <row r="2848" customFormat="false" ht="15" hidden="false" customHeight="true" outlineLevel="0" collapsed="false">
      <c r="A2848" s="5" t="s">
        <v>5126</v>
      </c>
      <c r="B2848" s="5" t="s">
        <v>1942</v>
      </c>
      <c r="C2848" s="5" t="s">
        <v>2248</v>
      </c>
      <c r="D2848" s="5" t="s">
        <v>2249</v>
      </c>
      <c r="E2848" s="5" t="s">
        <v>59</v>
      </c>
      <c r="F2848" s="5" t="s">
        <v>59</v>
      </c>
      <c r="G2848" s="5" t="str">
        <f aca="false">INDEX(Risk_Matrix!$B$2:$D$4,MATCH(E2848,Risk_Matrix!$A$2:$A$4,0),MATCH(F2848,Risk_Matrix!$B$1:$D$1,0))</f>
        <v>Low</v>
      </c>
      <c r="H2848" s="12" t="n">
        <v>46136</v>
      </c>
      <c r="I2848" s="5" t="s">
        <v>2264</v>
      </c>
      <c r="J2848" s="5" t="s">
        <v>4087</v>
      </c>
      <c r="K2848" s="5" t="s">
        <v>2252</v>
      </c>
      <c r="L2848" s="5" t="n">
        <f aca="false">IF(G2848="High",3,IF(G2848="Medium",2,1))</f>
        <v>1</v>
      </c>
    </row>
    <row r="2849" customFormat="false" ht="15" hidden="false" customHeight="true" outlineLevel="0" collapsed="false">
      <c r="A2849" s="5" t="s">
        <v>5127</v>
      </c>
      <c r="B2849" s="5" t="s">
        <v>1942</v>
      </c>
      <c r="C2849" s="5" t="s">
        <v>2262</v>
      </c>
      <c r="D2849" s="5" t="s">
        <v>2311</v>
      </c>
      <c r="E2849" s="5" t="s">
        <v>2225</v>
      </c>
      <c r="F2849" s="5" t="s">
        <v>59</v>
      </c>
      <c r="G2849" s="5" t="str">
        <f aca="false">INDEX(Risk_Matrix!$B$2:$D$4,MATCH(E2849,Risk_Matrix!$A$2:$A$4,0),MATCH(F2849,Risk_Matrix!$B$1:$D$1,0))</f>
        <v>Low</v>
      </c>
      <c r="H2849" s="12" t="n">
        <v>46144</v>
      </c>
      <c r="I2849" s="5" t="s">
        <v>2250</v>
      </c>
      <c r="J2849" s="5" t="s">
        <v>2251</v>
      </c>
      <c r="K2849" s="5" t="s">
        <v>2283</v>
      </c>
      <c r="L2849" s="5" t="n">
        <f aca="false">IF(G2849="High",3,IF(G2849="Medium",2,1))</f>
        <v>1</v>
      </c>
    </row>
    <row r="2850" customFormat="false" ht="15" hidden="false" customHeight="true" outlineLevel="0" collapsed="false">
      <c r="A2850" s="5" t="s">
        <v>5128</v>
      </c>
      <c r="B2850" s="5" t="s">
        <v>1942</v>
      </c>
      <c r="C2850" s="5" t="s">
        <v>2259</v>
      </c>
      <c r="D2850" s="5" t="s">
        <v>2285</v>
      </c>
      <c r="E2850" s="5" t="s">
        <v>54</v>
      </c>
      <c r="F2850" s="5" t="s">
        <v>59</v>
      </c>
      <c r="G2850" s="5" t="str">
        <f aca="false">INDEX(Risk_Matrix!$B$2:$D$4,MATCH(E2850,Risk_Matrix!$A$2:$A$4,0),MATCH(F2850,Risk_Matrix!$B$1:$D$1,0))</f>
        <v>Medium</v>
      </c>
      <c r="H2850" s="12" t="n">
        <v>46066</v>
      </c>
      <c r="I2850" s="5" t="s">
        <v>2250</v>
      </c>
      <c r="J2850" s="5" t="s">
        <v>2251</v>
      </c>
      <c r="K2850" s="5" t="s">
        <v>2283</v>
      </c>
      <c r="L2850" s="5" t="n">
        <f aca="false">IF(G2850="High",3,IF(G2850="Medium",2,1))</f>
        <v>2</v>
      </c>
    </row>
    <row r="2851" customFormat="false" ht="15" hidden="false" customHeight="true" outlineLevel="0" collapsed="false">
      <c r="A2851" s="5" t="s">
        <v>5129</v>
      </c>
      <c r="B2851" s="5" t="s">
        <v>1942</v>
      </c>
      <c r="C2851" s="5" t="s">
        <v>2254</v>
      </c>
      <c r="D2851" s="5" t="s">
        <v>2308</v>
      </c>
      <c r="E2851" s="5" t="s">
        <v>59</v>
      </c>
      <c r="F2851" s="5" t="s">
        <v>59</v>
      </c>
      <c r="G2851" s="5" t="str">
        <f aca="false">INDEX(Risk_Matrix!$B$2:$D$4,MATCH(E2851,Risk_Matrix!$A$2:$A$4,0),MATCH(F2851,Risk_Matrix!$B$1:$D$1,0))</f>
        <v>Low</v>
      </c>
      <c r="H2851" s="12" t="n">
        <v>46052</v>
      </c>
      <c r="I2851" s="5" t="s">
        <v>2250</v>
      </c>
      <c r="J2851" s="5" t="s">
        <v>2251</v>
      </c>
      <c r="K2851" s="5" t="s">
        <v>2243</v>
      </c>
      <c r="L2851" s="5" t="n">
        <f aca="false">IF(G2851="High",3,IF(G2851="Medium",2,1))</f>
        <v>1</v>
      </c>
    </row>
    <row r="2852" customFormat="false" ht="15" hidden="false" customHeight="true" outlineLevel="0" collapsed="false">
      <c r="A2852" s="5" t="s">
        <v>5130</v>
      </c>
      <c r="B2852" s="5" t="s">
        <v>1944</v>
      </c>
      <c r="C2852" s="5" t="s">
        <v>2239</v>
      </c>
      <c r="D2852" s="5" t="s">
        <v>2240</v>
      </c>
      <c r="E2852" s="5" t="s">
        <v>54</v>
      </c>
      <c r="F2852" s="5" t="s">
        <v>54</v>
      </c>
      <c r="G2852" s="5" t="str">
        <f aca="false">INDEX(Risk_Matrix!$B$2:$D$4,MATCH(E2852,Risk_Matrix!$A$2:$A$4,0),MATCH(F2852,Risk_Matrix!$B$1:$D$1,0))</f>
        <v>High</v>
      </c>
      <c r="H2852" s="12" t="n">
        <v>46165</v>
      </c>
      <c r="I2852" s="5" t="s">
        <v>2241</v>
      </c>
      <c r="J2852" s="5" t="s">
        <v>2242</v>
      </c>
      <c r="K2852" s="5" t="s">
        <v>2243</v>
      </c>
      <c r="L2852" s="5" t="n">
        <f aca="false">IF(G2852="High",3,IF(G2852="Medium",2,1))</f>
        <v>3</v>
      </c>
    </row>
    <row r="2853" customFormat="false" ht="15" hidden="false" customHeight="true" outlineLevel="0" collapsed="false">
      <c r="A2853" s="5" t="s">
        <v>5131</v>
      </c>
      <c r="B2853" s="5" t="s">
        <v>1944</v>
      </c>
      <c r="C2853" s="5" t="s">
        <v>2245</v>
      </c>
      <c r="D2853" s="5" t="s">
        <v>2320</v>
      </c>
      <c r="E2853" s="5" t="s">
        <v>59</v>
      </c>
      <c r="F2853" s="5" t="s">
        <v>2225</v>
      </c>
      <c r="G2853" s="5" t="str">
        <f aca="false">INDEX(Risk_Matrix!$B$2:$D$4,MATCH(E2853,Risk_Matrix!$A$2:$A$4,0),MATCH(F2853,Risk_Matrix!$B$1:$D$1,0))</f>
        <v>Low</v>
      </c>
      <c r="H2853" s="12" t="n">
        <v>46195</v>
      </c>
      <c r="I2853" s="5" t="s">
        <v>2250</v>
      </c>
      <c r="J2853" s="5" t="s">
        <v>2251</v>
      </c>
      <c r="K2853" s="5" t="s">
        <v>2243</v>
      </c>
      <c r="L2853" s="5" t="n">
        <f aca="false">IF(G2853="High",3,IF(G2853="Medium",2,1))</f>
        <v>1</v>
      </c>
    </row>
    <row r="2854" customFormat="false" ht="15" hidden="false" customHeight="true" outlineLevel="0" collapsed="false">
      <c r="A2854" s="5" t="s">
        <v>5132</v>
      </c>
      <c r="B2854" s="5" t="s">
        <v>1944</v>
      </c>
      <c r="C2854" s="5" t="s">
        <v>2248</v>
      </c>
      <c r="D2854" s="5" t="s">
        <v>2322</v>
      </c>
      <c r="E2854" s="5" t="s">
        <v>59</v>
      </c>
      <c r="F2854" s="5" t="s">
        <v>2225</v>
      </c>
      <c r="G2854" s="5" t="str">
        <f aca="false">INDEX(Risk_Matrix!$B$2:$D$4,MATCH(E2854,Risk_Matrix!$A$2:$A$4,0),MATCH(F2854,Risk_Matrix!$B$1:$D$1,0))</f>
        <v>Low</v>
      </c>
      <c r="H2854" s="12" t="n">
        <v>46096</v>
      </c>
      <c r="I2854" s="5" t="s">
        <v>2264</v>
      </c>
      <c r="J2854" s="5" t="s">
        <v>4087</v>
      </c>
      <c r="K2854" s="5" t="s">
        <v>2276</v>
      </c>
      <c r="L2854" s="5" t="n">
        <f aca="false">IF(G2854="High",3,IF(G2854="Medium",2,1))</f>
        <v>1</v>
      </c>
    </row>
    <row r="2855" customFormat="false" ht="15" hidden="false" customHeight="true" outlineLevel="0" collapsed="false">
      <c r="A2855" s="5" t="s">
        <v>5133</v>
      </c>
      <c r="B2855" s="5" t="s">
        <v>1944</v>
      </c>
      <c r="C2855" s="5" t="s">
        <v>2262</v>
      </c>
      <c r="D2855" s="5" t="s">
        <v>2311</v>
      </c>
      <c r="E2855" s="5" t="s">
        <v>59</v>
      </c>
      <c r="F2855" s="5" t="s">
        <v>2225</v>
      </c>
      <c r="G2855" s="5" t="str">
        <f aca="false">INDEX(Risk_Matrix!$B$2:$D$4,MATCH(E2855,Risk_Matrix!$A$2:$A$4,0),MATCH(F2855,Risk_Matrix!$B$1:$D$1,0))</f>
        <v>Low</v>
      </c>
      <c r="H2855" s="12" t="n">
        <v>46139</v>
      </c>
      <c r="I2855" s="5" t="s">
        <v>2241</v>
      </c>
      <c r="J2855" s="5" t="s">
        <v>2242</v>
      </c>
      <c r="K2855" s="5" t="s">
        <v>2243</v>
      </c>
      <c r="L2855" s="5" t="n">
        <f aca="false">IF(G2855="High",3,IF(G2855="Medium",2,1))</f>
        <v>1</v>
      </c>
    </row>
    <row r="2856" customFormat="false" ht="15" hidden="false" customHeight="true" outlineLevel="0" collapsed="false">
      <c r="A2856" s="5" t="s">
        <v>5134</v>
      </c>
      <c r="B2856" s="5" t="s">
        <v>1944</v>
      </c>
      <c r="C2856" s="5" t="s">
        <v>2259</v>
      </c>
      <c r="D2856" s="5" t="s">
        <v>2260</v>
      </c>
      <c r="E2856" s="5" t="s">
        <v>2225</v>
      </c>
      <c r="F2856" s="5" t="s">
        <v>59</v>
      </c>
      <c r="G2856" s="5" t="str">
        <f aca="false">INDEX(Risk_Matrix!$B$2:$D$4,MATCH(E2856,Risk_Matrix!$A$2:$A$4,0),MATCH(F2856,Risk_Matrix!$B$1:$D$1,0))</f>
        <v>Low</v>
      </c>
      <c r="H2856" s="12" t="n">
        <v>46124</v>
      </c>
      <c r="I2856" s="5" t="s">
        <v>2256</v>
      </c>
      <c r="J2856" s="5" t="s">
        <v>4081</v>
      </c>
      <c r="K2856" s="5" t="s">
        <v>2243</v>
      </c>
      <c r="L2856" s="5" t="n">
        <f aca="false">IF(G2856="High",3,IF(G2856="Medium",2,1))</f>
        <v>1</v>
      </c>
    </row>
    <row r="2857" customFormat="false" ht="15" hidden="false" customHeight="true" outlineLevel="0" collapsed="false">
      <c r="A2857" s="5" t="s">
        <v>5135</v>
      </c>
      <c r="B2857" s="5" t="s">
        <v>1944</v>
      </c>
      <c r="C2857" s="5" t="s">
        <v>2254</v>
      </c>
      <c r="D2857" s="5" t="s">
        <v>2308</v>
      </c>
      <c r="E2857" s="5" t="s">
        <v>2225</v>
      </c>
      <c r="F2857" s="5" t="s">
        <v>2225</v>
      </c>
      <c r="G2857" s="5" t="str">
        <f aca="false">INDEX(Risk_Matrix!$B$2:$D$4,MATCH(E2857,Risk_Matrix!$A$2:$A$4,0),MATCH(F2857,Risk_Matrix!$B$1:$D$1,0))</f>
        <v>Medium</v>
      </c>
      <c r="H2857" s="12" t="n">
        <v>46079</v>
      </c>
      <c r="I2857" s="5" t="s">
        <v>2256</v>
      </c>
      <c r="J2857" s="5" t="s">
        <v>4081</v>
      </c>
      <c r="K2857" s="5" t="s">
        <v>2243</v>
      </c>
      <c r="L2857" s="5" t="n">
        <f aca="false">IF(G2857="High",3,IF(G2857="Medium",2,1))</f>
        <v>2</v>
      </c>
    </row>
    <row r="2858" customFormat="false" ht="15" hidden="false" customHeight="true" outlineLevel="0" collapsed="false">
      <c r="A2858" s="5" t="s">
        <v>5136</v>
      </c>
      <c r="B2858" s="5" t="s">
        <v>1946</v>
      </c>
      <c r="C2858" s="5" t="s">
        <v>2239</v>
      </c>
      <c r="D2858" s="5" t="s">
        <v>2303</v>
      </c>
      <c r="E2858" s="5" t="s">
        <v>54</v>
      </c>
      <c r="F2858" s="5" t="s">
        <v>59</v>
      </c>
      <c r="G2858" s="5" t="str">
        <f aca="false">INDEX(Risk_Matrix!$B$2:$D$4,MATCH(E2858,Risk_Matrix!$A$2:$A$4,0),MATCH(F2858,Risk_Matrix!$B$1:$D$1,0))</f>
        <v>Medium</v>
      </c>
      <c r="H2858" s="12" t="n">
        <v>46156</v>
      </c>
      <c r="I2858" s="5" t="s">
        <v>2241</v>
      </c>
      <c r="J2858" s="5" t="s">
        <v>2242</v>
      </c>
      <c r="K2858" s="5" t="s">
        <v>2243</v>
      </c>
      <c r="L2858" s="5" t="n">
        <f aca="false">IF(G2858="High",3,IF(G2858="Medium",2,1))</f>
        <v>2</v>
      </c>
    </row>
    <row r="2859" customFormat="false" ht="15" hidden="false" customHeight="true" outlineLevel="0" collapsed="false">
      <c r="A2859" s="5" t="s">
        <v>5137</v>
      </c>
      <c r="B2859" s="5" t="s">
        <v>1946</v>
      </c>
      <c r="C2859" s="5" t="s">
        <v>2245</v>
      </c>
      <c r="D2859" s="5" t="s">
        <v>2280</v>
      </c>
      <c r="E2859" s="5" t="s">
        <v>59</v>
      </c>
      <c r="F2859" s="5" t="s">
        <v>59</v>
      </c>
      <c r="G2859" s="5" t="str">
        <f aca="false">INDEX(Risk_Matrix!$B$2:$D$4,MATCH(E2859,Risk_Matrix!$A$2:$A$4,0),MATCH(F2859,Risk_Matrix!$B$1:$D$1,0))</f>
        <v>Low</v>
      </c>
      <c r="H2859" s="12" t="n">
        <v>46216</v>
      </c>
      <c r="I2859" s="5" t="s">
        <v>2241</v>
      </c>
      <c r="J2859" s="5" t="s">
        <v>2242</v>
      </c>
      <c r="K2859" s="5" t="s">
        <v>2276</v>
      </c>
      <c r="L2859" s="5" t="n">
        <f aca="false">IF(G2859="High",3,IF(G2859="Medium",2,1))</f>
        <v>1</v>
      </c>
    </row>
    <row r="2860" customFormat="false" ht="15" hidden="false" customHeight="true" outlineLevel="0" collapsed="false">
      <c r="A2860" s="5" t="s">
        <v>5138</v>
      </c>
      <c r="B2860" s="5" t="s">
        <v>1946</v>
      </c>
      <c r="C2860" s="5" t="s">
        <v>2248</v>
      </c>
      <c r="D2860" s="5" t="s">
        <v>2306</v>
      </c>
      <c r="E2860" s="5" t="s">
        <v>54</v>
      </c>
      <c r="F2860" s="5" t="s">
        <v>2225</v>
      </c>
      <c r="G2860" s="5" t="str">
        <f aca="false">INDEX(Risk_Matrix!$B$2:$D$4,MATCH(E2860,Risk_Matrix!$A$2:$A$4,0),MATCH(F2860,Risk_Matrix!$B$1:$D$1,0))</f>
        <v>High</v>
      </c>
      <c r="H2860" s="12" t="n">
        <v>46080</v>
      </c>
      <c r="I2860" s="5" t="s">
        <v>2256</v>
      </c>
      <c r="J2860" s="5" t="s">
        <v>4081</v>
      </c>
      <c r="K2860" s="5" t="s">
        <v>2243</v>
      </c>
      <c r="L2860" s="5" t="n">
        <f aca="false">IF(G2860="High",3,IF(G2860="Medium",2,1))</f>
        <v>3</v>
      </c>
    </row>
    <row r="2861" customFormat="false" ht="15" hidden="false" customHeight="true" outlineLevel="0" collapsed="false">
      <c r="A2861" s="5" t="s">
        <v>5139</v>
      </c>
      <c r="B2861" s="5" t="s">
        <v>1946</v>
      </c>
      <c r="C2861" s="5" t="s">
        <v>2262</v>
      </c>
      <c r="D2861" s="5" t="s">
        <v>2311</v>
      </c>
      <c r="E2861" s="5" t="s">
        <v>54</v>
      </c>
      <c r="F2861" s="5" t="s">
        <v>2225</v>
      </c>
      <c r="G2861" s="5" t="str">
        <f aca="false">INDEX(Risk_Matrix!$B$2:$D$4,MATCH(E2861,Risk_Matrix!$A$2:$A$4,0),MATCH(F2861,Risk_Matrix!$B$1:$D$1,0))</f>
        <v>High</v>
      </c>
      <c r="H2861" s="12" t="n">
        <v>46157</v>
      </c>
      <c r="I2861" s="5" t="s">
        <v>2256</v>
      </c>
      <c r="J2861" s="5" t="s">
        <v>4081</v>
      </c>
      <c r="K2861" s="5" t="s">
        <v>2252</v>
      </c>
      <c r="L2861" s="5" t="n">
        <f aca="false">IF(G2861="High",3,IF(G2861="Medium",2,1))</f>
        <v>3</v>
      </c>
    </row>
    <row r="2862" customFormat="false" ht="15" hidden="false" customHeight="true" outlineLevel="0" collapsed="false">
      <c r="A2862" s="5" t="s">
        <v>5140</v>
      </c>
      <c r="B2862" s="5" t="s">
        <v>1946</v>
      </c>
      <c r="C2862" s="5" t="s">
        <v>2259</v>
      </c>
      <c r="D2862" s="5" t="s">
        <v>2260</v>
      </c>
      <c r="E2862" s="5" t="s">
        <v>2225</v>
      </c>
      <c r="F2862" s="5" t="s">
        <v>59</v>
      </c>
      <c r="G2862" s="5" t="str">
        <f aca="false">INDEX(Risk_Matrix!$B$2:$D$4,MATCH(E2862,Risk_Matrix!$A$2:$A$4,0),MATCH(F2862,Risk_Matrix!$B$1:$D$1,0))</f>
        <v>Low</v>
      </c>
      <c r="H2862" s="12" t="n">
        <v>46232</v>
      </c>
      <c r="I2862" s="5" t="s">
        <v>2241</v>
      </c>
      <c r="J2862" s="5" t="s">
        <v>2242</v>
      </c>
      <c r="K2862" s="5" t="s">
        <v>2276</v>
      </c>
      <c r="L2862" s="5" t="n">
        <f aca="false">IF(G2862="High",3,IF(G2862="Medium",2,1))</f>
        <v>1</v>
      </c>
    </row>
    <row r="2863" customFormat="false" ht="15" hidden="false" customHeight="true" outlineLevel="0" collapsed="false">
      <c r="A2863" s="5" t="s">
        <v>5141</v>
      </c>
      <c r="B2863" s="5" t="s">
        <v>1946</v>
      </c>
      <c r="C2863" s="5" t="s">
        <v>2254</v>
      </c>
      <c r="D2863" s="5" t="s">
        <v>2255</v>
      </c>
      <c r="E2863" s="5" t="s">
        <v>2225</v>
      </c>
      <c r="F2863" s="5" t="s">
        <v>59</v>
      </c>
      <c r="G2863" s="5" t="str">
        <f aca="false">INDEX(Risk_Matrix!$B$2:$D$4,MATCH(E2863,Risk_Matrix!$A$2:$A$4,0),MATCH(F2863,Risk_Matrix!$B$1:$D$1,0))</f>
        <v>Low</v>
      </c>
      <c r="H2863" s="12" t="n">
        <v>46106</v>
      </c>
      <c r="I2863" s="5" t="s">
        <v>2250</v>
      </c>
      <c r="J2863" s="5" t="s">
        <v>2251</v>
      </c>
      <c r="K2863" s="5" t="s">
        <v>2252</v>
      </c>
      <c r="L2863" s="5" t="n">
        <f aca="false">IF(G2863="High",3,IF(G2863="Medium",2,1))</f>
        <v>1</v>
      </c>
    </row>
    <row r="2864" customFormat="false" ht="15" hidden="false" customHeight="true" outlineLevel="0" collapsed="false">
      <c r="A2864" s="5" t="s">
        <v>5142</v>
      </c>
      <c r="B2864" s="5" t="s">
        <v>1948</v>
      </c>
      <c r="C2864" s="5" t="s">
        <v>2239</v>
      </c>
      <c r="D2864" s="5" t="s">
        <v>2240</v>
      </c>
      <c r="E2864" s="5" t="s">
        <v>2225</v>
      </c>
      <c r="F2864" s="5" t="s">
        <v>54</v>
      </c>
      <c r="G2864" s="5" t="str">
        <f aca="false">INDEX(Risk_Matrix!$B$2:$D$4,MATCH(E2864,Risk_Matrix!$A$2:$A$4,0),MATCH(F2864,Risk_Matrix!$B$1:$D$1,0))</f>
        <v>High</v>
      </c>
      <c r="H2864" s="12" t="n">
        <v>46206</v>
      </c>
      <c r="I2864" s="5" t="s">
        <v>2250</v>
      </c>
      <c r="J2864" s="5" t="s">
        <v>2251</v>
      </c>
      <c r="K2864" s="5" t="s">
        <v>2243</v>
      </c>
      <c r="L2864" s="5" t="n">
        <f aca="false">IF(G2864="High",3,IF(G2864="Medium",2,1))</f>
        <v>3</v>
      </c>
    </row>
    <row r="2865" customFormat="false" ht="15" hidden="false" customHeight="true" outlineLevel="0" collapsed="false">
      <c r="A2865" s="5" t="s">
        <v>5143</v>
      </c>
      <c r="B2865" s="5" t="s">
        <v>1948</v>
      </c>
      <c r="C2865" s="5" t="s">
        <v>2245</v>
      </c>
      <c r="D2865" s="5" t="s">
        <v>2280</v>
      </c>
      <c r="E2865" s="5" t="s">
        <v>54</v>
      </c>
      <c r="F2865" s="5" t="s">
        <v>54</v>
      </c>
      <c r="G2865" s="5" t="str">
        <f aca="false">INDEX(Risk_Matrix!$B$2:$D$4,MATCH(E2865,Risk_Matrix!$A$2:$A$4,0),MATCH(F2865,Risk_Matrix!$B$1:$D$1,0))</f>
        <v>High</v>
      </c>
      <c r="H2865" s="12" t="n">
        <v>46031</v>
      </c>
      <c r="I2865" s="5" t="s">
        <v>2256</v>
      </c>
      <c r="J2865" s="5" t="s">
        <v>4081</v>
      </c>
      <c r="K2865" s="5" t="s">
        <v>2276</v>
      </c>
      <c r="L2865" s="5" t="n">
        <f aca="false">IF(G2865="High",3,IF(G2865="Medium",2,1))</f>
        <v>3</v>
      </c>
    </row>
    <row r="2866" customFormat="false" ht="15" hidden="false" customHeight="true" outlineLevel="0" collapsed="false">
      <c r="A2866" s="5" t="s">
        <v>5144</v>
      </c>
      <c r="B2866" s="5" t="s">
        <v>1948</v>
      </c>
      <c r="C2866" s="5" t="s">
        <v>2248</v>
      </c>
      <c r="D2866" s="5" t="s">
        <v>2306</v>
      </c>
      <c r="E2866" s="5" t="s">
        <v>54</v>
      </c>
      <c r="F2866" s="5" t="s">
        <v>54</v>
      </c>
      <c r="G2866" s="5" t="str">
        <f aca="false">INDEX(Risk_Matrix!$B$2:$D$4,MATCH(E2866,Risk_Matrix!$A$2:$A$4,0),MATCH(F2866,Risk_Matrix!$B$1:$D$1,0))</f>
        <v>High</v>
      </c>
      <c r="H2866" s="12" t="n">
        <v>46063</v>
      </c>
      <c r="I2866" s="5" t="s">
        <v>2250</v>
      </c>
      <c r="J2866" s="5" t="s">
        <v>2251</v>
      </c>
      <c r="K2866" s="5" t="s">
        <v>2266</v>
      </c>
      <c r="L2866" s="5" t="n">
        <f aca="false">IF(G2866="High",3,IF(G2866="Medium",2,1))</f>
        <v>3</v>
      </c>
    </row>
    <row r="2867" customFormat="false" ht="15" hidden="false" customHeight="true" outlineLevel="0" collapsed="false">
      <c r="A2867" s="5" t="s">
        <v>5145</v>
      </c>
      <c r="B2867" s="5" t="s">
        <v>1948</v>
      </c>
      <c r="C2867" s="5" t="s">
        <v>2262</v>
      </c>
      <c r="D2867" s="5" t="s">
        <v>2311</v>
      </c>
      <c r="E2867" s="5" t="s">
        <v>59</v>
      </c>
      <c r="F2867" s="5" t="s">
        <v>54</v>
      </c>
      <c r="G2867" s="5" t="str">
        <f aca="false">INDEX(Risk_Matrix!$B$2:$D$4,MATCH(E2867,Risk_Matrix!$A$2:$A$4,0),MATCH(F2867,Risk_Matrix!$B$1:$D$1,0))</f>
        <v>Medium</v>
      </c>
      <c r="H2867" s="12" t="n">
        <v>46159</v>
      </c>
      <c r="I2867" s="5" t="s">
        <v>2241</v>
      </c>
      <c r="J2867" s="5" t="s">
        <v>2242</v>
      </c>
      <c r="K2867" s="5" t="s">
        <v>2243</v>
      </c>
      <c r="L2867" s="5" t="n">
        <f aca="false">IF(G2867="High",3,IF(G2867="Medium",2,1))</f>
        <v>2</v>
      </c>
    </row>
    <row r="2868" customFormat="false" ht="15" hidden="false" customHeight="true" outlineLevel="0" collapsed="false">
      <c r="A2868" s="5" t="s">
        <v>5146</v>
      </c>
      <c r="B2868" s="5" t="s">
        <v>1948</v>
      </c>
      <c r="C2868" s="5" t="s">
        <v>2259</v>
      </c>
      <c r="D2868" s="5" t="s">
        <v>2260</v>
      </c>
      <c r="E2868" s="5" t="s">
        <v>59</v>
      </c>
      <c r="F2868" s="5" t="s">
        <v>54</v>
      </c>
      <c r="G2868" s="5" t="str">
        <f aca="false">INDEX(Risk_Matrix!$B$2:$D$4,MATCH(E2868,Risk_Matrix!$A$2:$A$4,0),MATCH(F2868,Risk_Matrix!$B$1:$D$1,0))</f>
        <v>Medium</v>
      </c>
      <c r="H2868" s="12" t="n">
        <v>46042</v>
      </c>
      <c r="I2868" s="5" t="s">
        <v>2256</v>
      </c>
      <c r="J2868" s="5" t="s">
        <v>4081</v>
      </c>
      <c r="K2868" s="5" t="s">
        <v>2266</v>
      </c>
      <c r="L2868" s="5" t="n">
        <f aca="false">IF(G2868="High",3,IF(G2868="Medium",2,1))</f>
        <v>2</v>
      </c>
    </row>
    <row r="2869" customFormat="false" ht="15" hidden="false" customHeight="true" outlineLevel="0" collapsed="false">
      <c r="A2869" s="5" t="s">
        <v>5147</v>
      </c>
      <c r="B2869" s="5" t="s">
        <v>1948</v>
      </c>
      <c r="C2869" s="5" t="s">
        <v>2254</v>
      </c>
      <c r="D2869" s="5" t="s">
        <v>2299</v>
      </c>
      <c r="E2869" s="5" t="s">
        <v>59</v>
      </c>
      <c r="F2869" s="5" t="s">
        <v>54</v>
      </c>
      <c r="G2869" s="5" t="str">
        <f aca="false">INDEX(Risk_Matrix!$B$2:$D$4,MATCH(E2869,Risk_Matrix!$A$2:$A$4,0),MATCH(F2869,Risk_Matrix!$B$1:$D$1,0))</f>
        <v>Medium</v>
      </c>
      <c r="H2869" s="12" t="n">
        <v>46185</v>
      </c>
      <c r="I2869" s="5" t="s">
        <v>2250</v>
      </c>
      <c r="J2869" s="5" t="s">
        <v>2251</v>
      </c>
      <c r="K2869" s="5" t="s">
        <v>2252</v>
      </c>
      <c r="L2869" s="5" t="n">
        <f aca="false">IF(G2869="High",3,IF(G2869="Medium",2,1))</f>
        <v>2</v>
      </c>
    </row>
    <row r="2870" customFormat="false" ht="15" hidden="false" customHeight="true" outlineLevel="0" collapsed="false">
      <c r="A2870" s="5" t="s">
        <v>5148</v>
      </c>
      <c r="B2870" s="5" t="s">
        <v>1950</v>
      </c>
      <c r="C2870" s="5" t="s">
        <v>2239</v>
      </c>
      <c r="D2870" s="5" t="s">
        <v>2303</v>
      </c>
      <c r="E2870" s="5" t="s">
        <v>59</v>
      </c>
      <c r="F2870" s="5" t="s">
        <v>2225</v>
      </c>
      <c r="G2870" s="5" t="str">
        <f aca="false">INDEX(Risk_Matrix!$B$2:$D$4,MATCH(E2870,Risk_Matrix!$A$2:$A$4,0),MATCH(F2870,Risk_Matrix!$B$1:$D$1,0))</f>
        <v>Low</v>
      </c>
      <c r="H2870" s="12" t="n">
        <v>46159</v>
      </c>
      <c r="I2870" s="5" t="s">
        <v>2264</v>
      </c>
      <c r="J2870" s="5" t="s">
        <v>4087</v>
      </c>
      <c r="K2870" s="5" t="s">
        <v>2243</v>
      </c>
      <c r="L2870" s="5" t="n">
        <f aca="false">IF(G2870="High",3,IF(G2870="Medium",2,1))</f>
        <v>1</v>
      </c>
    </row>
    <row r="2871" customFormat="false" ht="15" hidden="false" customHeight="true" outlineLevel="0" collapsed="false">
      <c r="A2871" s="5" t="s">
        <v>5149</v>
      </c>
      <c r="B2871" s="5" t="s">
        <v>1950</v>
      </c>
      <c r="C2871" s="5" t="s">
        <v>2245</v>
      </c>
      <c r="D2871" s="5" t="s">
        <v>2246</v>
      </c>
      <c r="E2871" s="5" t="s">
        <v>54</v>
      </c>
      <c r="F2871" s="5" t="s">
        <v>54</v>
      </c>
      <c r="G2871" s="5" t="str">
        <f aca="false">INDEX(Risk_Matrix!$B$2:$D$4,MATCH(E2871,Risk_Matrix!$A$2:$A$4,0),MATCH(F2871,Risk_Matrix!$B$1:$D$1,0))</f>
        <v>High</v>
      </c>
      <c r="H2871" s="12" t="n">
        <v>46055</v>
      </c>
      <c r="I2871" s="5" t="s">
        <v>2264</v>
      </c>
      <c r="J2871" s="5" t="s">
        <v>4087</v>
      </c>
      <c r="K2871" s="5" t="s">
        <v>2252</v>
      </c>
      <c r="L2871" s="5" t="n">
        <f aca="false">IF(G2871="High",3,IF(G2871="Medium",2,1))</f>
        <v>3</v>
      </c>
    </row>
    <row r="2872" customFormat="false" ht="15" hidden="false" customHeight="true" outlineLevel="0" collapsed="false">
      <c r="A2872" s="5" t="s">
        <v>5150</v>
      </c>
      <c r="B2872" s="5" t="s">
        <v>1950</v>
      </c>
      <c r="C2872" s="5" t="s">
        <v>2248</v>
      </c>
      <c r="D2872" s="5" t="s">
        <v>2322</v>
      </c>
      <c r="E2872" s="5" t="s">
        <v>59</v>
      </c>
      <c r="F2872" s="5" t="s">
        <v>2225</v>
      </c>
      <c r="G2872" s="5" t="str">
        <f aca="false">INDEX(Risk_Matrix!$B$2:$D$4,MATCH(E2872,Risk_Matrix!$A$2:$A$4,0),MATCH(F2872,Risk_Matrix!$B$1:$D$1,0))</f>
        <v>Low</v>
      </c>
      <c r="H2872" s="12" t="n">
        <v>46130</v>
      </c>
      <c r="I2872" s="5" t="s">
        <v>2264</v>
      </c>
      <c r="J2872" s="5" t="s">
        <v>4087</v>
      </c>
      <c r="K2872" s="5" t="s">
        <v>2252</v>
      </c>
      <c r="L2872" s="5" t="n">
        <f aca="false">IF(G2872="High",3,IF(G2872="Medium",2,1))</f>
        <v>1</v>
      </c>
    </row>
    <row r="2873" customFormat="false" ht="15" hidden="false" customHeight="true" outlineLevel="0" collapsed="false">
      <c r="A2873" s="5" t="s">
        <v>5151</v>
      </c>
      <c r="B2873" s="5" t="s">
        <v>1950</v>
      </c>
      <c r="C2873" s="5" t="s">
        <v>2262</v>
      </c>
      <c r="D2873" s="5" t="s">
        <v>2263</v>
      </c>
      <c r="E2873" s="5" t="s">
        <v>2225</v>
      </c>
      <c r="F2873" s="5" t="s">
        <v>2225</v>
      </c>
      <c r="G2873" s="5" t="str">
        <f aca="false">INDEX(Risk_Matrix!$B$2:$D$4,MATCH(E2873,Risk_Matrix!$A$2:$A$4,0),MATCH(F2873,Risk_Matrix!$B$1:$D$1,0))</f>
        <v>Medium</v>
      </c>
      <c r="H2873" s="12" t="n">
        <v>46227</v>
      </c>
      <c r="I2873" s="5" t="s">
        <v>2250</v>
      </c>
      <c r="J2873" s="5" t="s">
        <v>2251</v>
      </c>
      <c r="K2873" s="5" t="s">
        <v>2266</v>
      </c>
      <c r="L2873" s="5" t="n">
        <f aca="false">IF(G2873="High",3,IF(G2873="Medium",2,1))</f>
        <v>2</v>
      </c>
    </row>
    <row r="2874" customFormat="false" ht="15" hidden="false" customHeight="true" outlineLevel="0" collapsed="false">
      <c r="A2874" s="5" t="s">
        <v>5152</v>
      </c>
      <c r="B2874" s="5" t="s">
        <v>1950</v>
      </c>
      <c r="C2874" s="5" t="s">
        <v>2259</v>
      </c>
      <c r="D2874" s="5" t="s">
        <v>2260</v>
      </c>
      <c r="E2874" s="5" t="s">
        <v>2225</v>
      </c>
      <c r="F2874" s="5" t="s">
        <v>59</v>
      </c>
      <c r="G2874" s="5" t="str">
        <f aca="false">INDEX(Risk_Matrix!$B$2:$D$4,MATCH(E2874,Risk_Matrix!$A$2:$A$4,0),MATCH(F2874,Risk_Matrix!$B$1:$D$1,0))</f>
        <v>Low</v>
      </c>
      <c r="H2874" s="12" t="n">
        <v>46215</v>
      </c>
      <c r="I2874" s="5" t="s">
        <v>2256</v>
      </c>
      <c r="J2874" s="5" t="s">
        <v>4081</v>
      </c>
      <c r="K2874" s="5" t="s">
        <v>2266</v>
      </c>
      <c r="L2874" s="5" t="n">
        <f aca="false">IF(G2874="High",3,IF(G2874="Medium",2,1))</f>
        <v>1</v>
      </c>
    </row>
    <row r="2875" customFormat="false" ht="15" hidden="false" customHeight="true" outlineLevel="0" collapsed="false">
      <c r="A2875" s="5" t="s">
        <v>5153</v>
      </c>
      <c r="B2875" s="5" t="s">
        <v>1950</v>
      </c>
      <c r="C2875" s="5" t="s">
        <v>2254</v>
      </c>
      <c r="D2875" s="5" t="s">
        <v>2308</v>
      </c>
      <c r="E2875" s="5" t="s">
        <v>2225</v>
      </c>
      <c r="F2875" s="5" t="s">
        <v>59</v>
      </c>
      <c r="G2875" s="5" t="str">
        <f aca="false">INDEX(Risk_Matrix!$B$2:$D$4,MATCH(E2875,Risk_Matrix!$A$2:$A$4,0),MATCH(F2875,Risk_Matrix!$B$1:$D$1,0))</f>
        <v>Low</v>
      </c>
      <c r="H2875" s="12" t="n">
        <v>46211</v>
      </c>
      <c r="I2875" s="5" t="s">
        <v>2256</v>
      </c>
      <c r="J2875" s="5" t="s">
        <v>4081</v>
      </c>
      <c r="K2875" s="5" t="s">
        <v>2283</v>
      </c>
      <c r="L2875" s="5" t="n">
        <f aca="false">IF(G2875="High",3,IF(G2875="Medium",2,1))</f>
        <v>1</v>
      </c>
    </row>
    <row r="2876" customFormat="false" ht="15" hidden="false" customHeight="true" outlineLevel="0" collapsed="false">
      <c r="A2876" s="5" t="s">
        <v>5154</v>
      </c>
      <c r="B2876" s="5" t="s">
        <v>1952</v>
      </c>
      <c r="C2876" s="5" t="s">
        <v>2239</v>
      </c>
      <c r="D2876" s="5" t="s">
        <v>2278</v>
      </c>
      <c r="E2876" s="5" t="s">
        <v>59</v>
      </c>
      <c r="F2876" s="5" t="s">
        <v>59</v>
      </c>
      <c r="G2876" s="5" t="str">
        <f aca="false">INDEX(Risk_Matrix!$B$2:$D$4,MATCH(E2876,Risk_Matrix!$A$2:$A$4,0),MATCH(F2876,Risk_Matrix!$B$1:$D$1,0))</f>
        <v>Low</v>
      </c>
      <c r="H2876" s="12" t="n">
        <v>46084</v>
      </c>
      <c r="I2876" s="5" t="s">
        <v>2241</v>
      </c>
      <c r="J2876" s="5" t="s">
        <v>2242</v>
      </c>
      <c r="K2876" s="5" t="s">
        <v>2252</v>
      </c>
      <c r="L2876" s="5" t="n">
        <f aca="false">IF(G2876="High",3,IF(G2876="Medium",2,1))</f>
        <v>1</v>
      </c>
    </row>
    <row r="2877" customFormat="false" ht="15" hidden="false" customHeight="true" outlineLevel="0" collapsed="false">
      <c r="A2877" s="5" t="s">
        <v>5155</v>
      </c>
      <c r="B2877" s="5" t="s">
        <v>1952</v>
      </c>
      <c r="C2877" s="5" t="s">
        <v>2245</v>
      </c>
      <c r="D2877" s="5" t="s">
        <v>2280</v>
      </c>
      <c r="E2877" s="5" t="s">
        <v>2225</v>
      </c>
      <c r="F2877" s="5" t="s">
        <v>59</v>
      </c>
      <c r="G2877" s="5" t="str">
        <f aca="false">INDEX(Risk_Matrix!$B$2:$D$4,MATCH(E2877,Risk_Matrix!$A$2:$A$4,0),MATCH(F2877,Risk_Matrix!$B$1:$D$1,0))</f>
        <v>Low</v>
      </c>
      <c r="H2877" s="12" t="n">
        <v>46145</v>
      </c>
      <c r="I2877" s="5" t="s">
        <v>2241</v>
      </c>
      <c r="J2877" s="5" t="s">
        <v>2242</v>
      </c>
      <c r="K2877" s="5" t="s">
        <v>2276</v>
      </c>
      <c r="L2877" s="5" t="n">
        <f aca="false">IF(G2877="High",3,IF(G2877="Medium",2,1))</f>
        <v>1</v>
      </c>
    </row>
    <row r="2878" customFormat="false" ht="15" hidden="false" customHeight="true" outlineLevel="0" collapsed="false">
      <c r="A2878" s="5" t="s">
        <v>5156</v>
      </c>
      <c r="B2878" s="5" t="s">
        <v>1952</v>
      </c>
      <c r="C2878" s="5" t="s">
        <v>2248</v>
      </c>
      <c r="D2878" s="5" t="s">
        <v>2249</v>
      </c>
      <c r="E2878" s="5" t="s">
        <v>54</v>
      </c>
      <c r="F2878" s="5" t="s">
        <v>2225</v>
      </c>
      <c r="G2878" s="5" t="str">
        <f aca="false">INDEX(Risk_Matrix!$B$2:$D$4,MATCH(E2878,Risk_Matrix!$A$2:$A$4,0),MATCH(F2878,Risk_Matrix!$B$1:$D$1,0))</f>
        <v>High</v>
      </c>
      <c r="H2878" s="12" t="n">
        <v>46234</v>
      </c>
      <c r="I2878" s="5" t="s">
        <v>2264</v>
      </c>
      <c r="J2878" s="5" t="s">
        <v>4087</v>
      </c>
      <c r="K2878" s="5" t="s">
        <v>2283</v>
      </c>
      <c r="L2878" s="5" t="n">
        <f aca="false">IF(G2878="High",3,IF(G2878="Medium",2,1))</f>
        <v>3</v>
      </c>
    </row>
    <row r="2879" customFormat="false" ht="15" hidden="false" customHeight="true" outlineLevel="0" collapsed="false">
      <c r="A2879" s="5" t="s">
        <v>5157</v>
      </c>
      <c r="B2879" s="5" t="s">
        <v>1952</v>
      </c>
      <c r="C2879" s="5" t="s">
        <v>2262</v>
      </c>
      <c r="D2879" s="5" t="s">
        <v>2263</v>
      </c>
      <c r="E2879" s="5" t="s">
        <v>59</v>
      </c>
      <c r="F2879" s="5" t="s">
        <v>2225</v>
      </c>
      <c r="G2879" s="5" t="str">
        <f aca="false">INDEX(Risk_Matrix!$B$2:$D$4,MATCH(E2879,Risk_Matrix!$A$2:$A$4,0),MATCH(F2879,Risk_Matrix!$B$1:$D$1,0))</f>
        <v>Low</v>
      </c>
      <c r="H2879" s="12" t="n">
        <v>46092</v>
      </c>
      <c r="I2879" s="5" t="s">
        <v>2256</v>
      </c>
      <c r="J2879" s="5" t="s">
        <v>4081</v>
      </c>
      <c r="K2879" s="5" t="s">
        <v>2276</v>
      </c>
      <c r="L2879" s="5" t="n">
        <f aca="false">IF(G2879="High",3,IF(G2879="Medium",2,1))</f>
        <v>1</v>
      </c>
    </row>
    <row r="2880" customFormat="false" ht="15" hidden="false" customHeight="true" outlineLevel="0" collapsed="false">
      <c r="A2880" s="5" t="s">
        <v>5158</v>
      </c>
      <c r="B2880" s="5" t="s">
        <v>1952</v>
      </c>
      <c r="C2880" s="5" t="s">
        <v>2259</v>
      </c>
      <c r="D2880" s="5" t="s">
        <v>2260</v>
      </c>
      <c r="E2880" s="5" t="s">
        <v>2225</v>
      </c>
      <c r="F2880" s="5" t="s">
        <v>54</v>
      </c>
      <c r="G2880" s="5" t="str">
        <f aca="false">INDEX(Risk_Matrix!$B$2:$D$4,MATCH(E2880,Risk_Matrix!$A$2:$A$4,0),MATCH(F2880,Risk_Matrix!$B$1:$D$1,0))</f>
        <v>High</v>
      </c>
      <c r="H2880" s="12" t="n">
        <v>46198</v>
      </c>
      <c r="I2880" s="5" t="s">
        <v>2250</v>
      </c>
      <c r="J2880" s="5" t="s">
        <v>2251</v>
      </c>
      <c r="K2880" s="5" t="s">
        <v>2283</v>
      </c>
      <c r="L2880" s="5" t="n">
        <f aca="false">IF(G2880="High",3,IF(G2880="Medium",2,1))</f>
        <v>3</v>
      </c>
    </row>
    <row r="2881" customFormat="false" ht="15" hidden="false" customHeight="true" outlineLevel="0" collapsed="false">
      <c r="A2881" s="5" t="s">
        <v>5159</v>
      </c>
      <c r="B2881" s="5" t="s">
        <v>1952</v>
      </c>
      <c r="C2881" s="5" t="s">
        <v>2254</v>
      </c>
      <c r="D2881" s="5" t="s">
        <v>2299</v>
      </c>
      <c r="E2881" s="5" t="s">
        <v>59</v>
      </c>
      <c r="F2881" s="5" t="s">
        <v>2225</v>
      </c>
      <c r="G2881" s="5" t="str">
        <f aca="false">INDEX(Risk_Matrix!$B$2:$D$4,MATCH(E2881,Risk_Matrix!$A$2:$A$4,0),MATCH(F2881,Risk_Matrix!$B$1:$D$1,0))</f>
        <v>Low</v>
      </c>
      <c r="H2881" s="12" t="n">
        <v>46077</v>
      </c>
      <c r="I2881" s="5" t="s">
        <v>2256</v>
      </c>
      <c r="J2881" s="5" t="s">
        <v>4081</v>
      </c>
      <c r="K2881" s="5" t="s">
        <v>2283</v>
      </c>
      <c r="L2881" s="5" t="n">
        <f aca="false">IF(G2881="High",3,IF(G2881="Medium",2,1))</f>
        <v>1</v>
      </c>
    </row>
    <row r="2882" customFormat="false" ht="15" hidden="false" customHeight="true" outlineLevel="0" collapsed="false">
      <c r="A2882" s="5" t="s">
        <v>5160</v>
      </c>
      <c r="B2882" s="5" t="s">
        <v>1954</v>
      </c>
      <c r="C2882" s="5" t="s">
        <v>2239</v>
      </c>
      <c r="D2882" s="5" t="s">
        <v>2278</v>
      </c>
      <c r="E2882" s="5" t="s">
        <v>59</v>
      </c>
      <c r="F2882" s="5" t="s">
        <v>54</v>
      </c>
      <c r="G2882" s="5" t="str">
        <f aca="false">INDEX(Risk_Matrix!$B$2:$D$4,MATCH(E2882,Risk_Matrix!$A$2:$A$4,0),MATCH(F2882,Risk_Matrix!$B$1:$D$1,0))</f>
        <v>Medium</v>
      </c>
      <c r="H2882" s="12" t="n">
        <v>46084</v>
      </c>
      <c r="I2882" s="5" t="s">
        <v>2264</v>
      </c>
      <c r="J2882" s="5" t="s">
        <v>4087</v>
      </c>
      <c r="K2882" s="5" t="s">
        <v>2243</v>
      </c>
      <c r="L2882" s="5" t="n">
        <f aca="false">IF(G2882="High",3,IF(G2882="Medium",2,1))</f>
        <v>2</v>
      </c>
    </row>
    <row r="2883" customFormat="false" ht="15" hidden="false" customHeight="true" outlineLevel="0" collapsed="false">
      <c r="A2883" s="5" t="s">
        <v>5161</v>
      </c>
      <c r="B2883" s="5" t="s">
        <v>1954</v>
      </c>
      <c r="C2883" s="5" t="s">
        <v>2245</v>
      </c>
      <c r="D2883" s="5" t="s">
        <v>2280</v>
      </c>
      <c r="E2883" s="5" t="s">
        <v>54</v>
      </c>
      <c r="F2883" s="5" t="s">
        <v>59</v>
      </c>
      <c r="G2883" s="5" t="str">
        <f aca="false">INDEX(Risk_Matrix!$B$2:$D$4,MATCH(E2883,Risk_Matrix!$A$2:$A$4,0),MATCH(F2883,Risk_Matrix!$B$1:$D$1,0))</f>
        <v>Medium</v>
      </c>
      <c r="H2883" s="12" t="n">
        <v>46184</v>
      </c>
      <c r="I2883" s="5" t="s">
        <v>2256</v>
      </c>
      <c r="J2883" s="5" t="s">
        <v>4081</v>
      </c>
      <c r="K2883" s="5" t="s">
        <v>2252</v>
      </c>
      <c r="L2883" s="5" t="n">
        <f aca="false">IF(G2883="High",3,IF(G2883="Medium",2,1))</f>
        <v>2</v>
      </c>
    </row>
    <row r="2884" customFormat="false" ht="15" hidden="false" customHeight="true" outlineLevel="0" collapsed="false">
      <c r="A2884" s="5" t="s">
        <v>5162</v>
      </c>
      <c r="B2884" s="5" t="s">
        <v>1954</v>
      </c>
      <c r="C2884" s="5" t="s">
        <v>2248</v>
      </c>
      <c r="D2884" s="5" t="s">
        <v>2271</v>
      </c>
      <c r="E2884" s="5" t="s">
        <v>59</v>
      </c>
      <c r="F2884" s="5" t="s">
        <v>59</v>
      </c>
      <c r="G2884" s="5" t="str">
        <f aca="false">INDEX(Risk_Matrix!$B$2:$D$4,MATCH(E2884,Risk_Matrix!$A$2:$A$4,0),MATCH(F2884,Risk_Matrix!$B$1:$D$1,0))</f>
        <v>Low</v>
      </c>
      <c r="H2884" s="12" t="n">
        <v>46213</v>
      </c>
      <c r="I2884" s="5" t="s">
        <v>2250</v>
      </c>
      <c r="J2884" s="5" t="s">
        <v>2251</v>
      </c>
      <c r="K2884" s="5" t="s">
        <v>2243</v>
      </c>
      <c r="L2884" s="5" t="n">
        <f aca="false">IF(G2884="High",3,IF(G2884="Medium",2,1))</f>
        <v>1</v>
      </c>
    </row>
    <row r="2885" customFormat="false" ht="15" hidden="false" customHeight="true" outlineLevel="0" collapsed="false">
      <c r="A2885" s="5" t="s">
        <v>5163</v>
      </c>
      <c r="B2885" s="5" t="s">
        <v>1954</v>
      </c>
      <c r="C2885" s="5" t="s">
        <v>2262</v>
      </c>
      <c r="D2885" s="5" t="s">
        <v>2263</v>
      </c>
      <c r="E2885" s="5" t="s">
        <v>2225</v>
      </c>
      <c r="F2885" s="5" t="s">
        <v>2225</v>
      </c>
      <c r="G2885" s="5" t="str">
        <f aca="false">INDEX(Risk_Matrix!$B$2:$D$4,MATCH(E2885,Risk_Matrix!$A$2:$A$4,0),MATCH(F2885,Risk_Matrix!$B$1:$D$1,0))</f>
        <v>Medium</v>
      </c>
      <c r="H2885" s="12" t="n">
        <v>46160</v>
      </c>
      <c r="I2885" s="5" t="s">
        <v>2256</v>
      </c>
      <c r="J2885" s="5" t="s">
        <v>4081</v>
      </c>
      <c r="K2885" s="5" t="s">
        <v>2283</v>
      </c>
      <c r="L2885" s="5" t="n">
        <f aca="false">IF(G2885="High",3,IF(G2885="Medium",2,1))</f>
        <v>2</v>
      </c>
    </row>
    <row r="2886" customFormat="false" ht="15" hidden="false" customHeight="true" outlineLevel="0" collapsed="false">
      <c r="A2886" s="5" t="s">
        <v>5164</v>
      </c>
      <c r="B2886" s="5" t="s">
        <v>1954</v>
      </c>
      <c r="C2886" s="5" t="s">
        <v>2259</v>
      </c>
      <c r="D2886" s="5" t="s">
        <v>2285</v>
      </c>
      <c r="E2886" s="5" t="s">
        <v>54</v>
      </c>
      <c r="F2886" s="5" t="s">
        <v>2225</v>
      </c>
      <c r="G2886" s="5" t="str">
        <f aca="false">INDEX(Risk_Matrix!$B$2:$D$4,MATCH(E2886,Risk_Matrix!$A$2:$A$4,0),MATCH(F2886,Risk_Matrix!$B$1:$D$1,0))</f>
        <v>High</v>
      </c>
      <c r="H2886" s="12" t="n">
        <v>46135</v>
      </c>
      <c r="I2886" s="5" t="s">
        <v>2264</v>
      </c>
      <c r="J2886" s="5" t="s">
        <v>4087</v>
      </c>
      <c r="K2886" s="5" t="s">
        <v>2252</v>
      </c>
      <c r="L2886" s="5" t="n">
        <f aca="false">IF(G2886="High",3,IF(G2886="Medium",2,1))</f>
        <v>3</v>
      </c>
    </row>
    <row r="2887" customFormat="false" ht="15" hidden="false" customHeight="true" outlineLevel="0" collapsed="false">
      <c r="A2887" s="5" t="s">
        <v>5165</v>
      </c>
      <c r="B2887" s="5" t="s">
        <v>1954</v>
      </c>
      <c r="C2887" s="5" t="s">
        <v>2254</v>
      </c>
      <c r="D2887" s="5" t="s">
        <v>2255</v>
      </c>
      <c r="E2887" s="5" t="s">
        <v>54</v>
      </c>
      <c r="F2887" s="5" t="s">
        <v>59</v>
      </c>
      <c r="G2887" s="5" t="str">
        <f aca="false">INDEX(Risk_Matrix!$B$2:$D$4,MATCH(E2887,Risk_Matrix!$A$2:$A$4,0),MATCH(F2887,Risk_Matrix!$B$1:$D$1,0))</f>
        <v>Medium</v>
      </c>
      <c r="H2887" s="12" t="n">
        <v>46188</v>
      </c>
      <c r="I2887" s="5" t="s">
        <v>2241</v>
      </c>
      <c r="J2887" s="5" t="s">
        <v>2242</v>
      </c>
      <c r="K2887" s="5" t="s">
        <v>2276</v>
      </c>
      <c r="L2887" s="5" t="n">
        <f aca="false">IF(G2887="High",3,IF(G2887="Medium",2,1))</f>
        <v>2</v>
      </c>
    </row>
    <row r="2888" customFormat="false" ht="15" hidden="false" customHeight="true" outlineLevel="0" collapsed="false">
      <c r="A2888" s="5" t="s">
        <v>5166</v>
      </c>
      <c r="B2888" s="5" t="s">
        <v>1956</v>
      </c>
      <c r="C2888" s="5" t="s">
        <v>2239</v>
      </c>
      <c r="D2888" s="5" t="s">
        <v>2240</v>
      </c>
      <c r="E2888" s="5" t="s">
        <v>59</v>
      </c>
      <c r="F2888" s="5" t="s">
        <v>59</v>
      </c>
      <c r="G2888" s="5" t="str">
        <f aca="false">INDEX(Risk_Matrix!$B$2:$D$4,MATCH(E2888,Risk_Matrix!$A$2:$A$4,0),MATCH(F2888,Risk_Matrix!$B$1:$D$1,0))</f>
        <v>Low</v>
      </c>
      <c r="H2888" s="12" t="n">
        <v>46189</v>
      </c>
      <c r="I2888" s="5" t="s">
        <v>2241</v>
      </c>
      <c r="J2888" s="5" t="s">
        <v>2242</v>
      </c>
      <c r="K2888" s="5" t="s">
        <v>2243</v>
      </c>
      <c r="L2888" s="5" t="n">
        <f aca="false">IF(G2888="High",3,IF(G2888="Medium",2,1))</f>
        <v>1</v>
      </c>
    </row>
    <row r="2889" customFormat="false" ht="15" hidden="false" customHeight="true" outlineLevel="0" collapsed="false">
      <c r="A2889" s="5" t="s">
        <v>5167</v>
      </c>
      <c r="B2889" s="5" t="s">
        <v>1956</v>
      </c>
      <c r="C2889" s="5" t="s">
        <v>2245</v>
      </c>
      <c r="D2889" s="5" t="s">
        <v>2280</v>
      </c>
      <c r="E2889" s="5" t="s">
        <v>59</v>
      </c>
      <c r="F2889" s="5" t="s">
        <v>59</v>
      </c>
      <c r="G2889" s="5" t="str">
        <f aca="false">INDEX(Risk_Matrix!$B$2:$D$4,MATCH(E2889,Risk_Matrix!$A$2:$A$4,0),MATCH(F2889,Risk_Matrix!$B$1:$D$1,0))</f>
        <v>Low</v>
      </c>
      <c r="H2889" s="12" t="n">
        <v>46029</v>
      </c>
      <c r="I2889" s="5" t="s">
        <v>2256</v>
      </c>
      <c r="J2889" s="5" t="s">
        <v>4081</v>
      </c>
      <c r="K2889" s="5" t="s">
        <v>2252</v>
      </c>
      <c r="L2889" s="5" t="n">
        <f aca="false">IF(G2889="High",3,IF(G2889="Medium",2,1))</f>
        <v>1</v>
      </c>
    </row>
    <row r="2890" customFormat="false" ht="15" hidden="false" customHeight="true" outlineLevel="0" collapsed="false">
      <c r="A2890" s="5" t="s">
        <v>5168</v>
      </c>
      <c r="B2890" s="5" t="s">
        <v>1956</v>
      </c>
      <c r="C2890" s="5" t="s">
        <v>2248</v>
      </c>
      <c r="D2890" s="5" t="s">
        <v>2249</v>
      </c>
      <c r="E2890" s="5" t="s">
        <v>2225</v>
      </c>
      <c r="F2890" s="5" t="s">
        <v>2225</v>
      </c>
      <c r="G2890" s="5" t="str">
        <f aca="false">INDEX(Risk_Matrix!$B$2:$D$4,MATCH(E2890,Risk_Matrix!$A$2:$A$4,0),MATCH(F2890,Risk_Matrix!$B$1:$D$1,0))</f>
        <v>Medium</v>
      </c>
      <c r="H2890" s="12" t="n">
        <v>46130</v>
      </c>
      <c r="I2890" s="5" t="s">
        <v>2264</v>
      </c>
      <c r="J2890" s="5" t="s">
        <v>4087</v>
      </c>
      <c r="K2890" s="5" t="s">
        <v>2283</v>
      </c>
      <c r="L2890" s="5" t="n">
        <f aca="false">IF(G2890="High",3,IF(G2890="Medium",2,1))</f>
        <v>2</v>
      </c>
    </row>
    <row r="2891" customFormat="false" ht="15" hidden="false" customHeight="true" outlineLevel="0" collapsed="false">
      <c r="A2891" s="5" t="s">
        <v>5169</v>
      </c>
      <c r="B2891" s="5" t="s">
        <v>1956</v>
      </c>
      <c r="C2891" s="5" t="s">
        <v>2262</v>
      </c>
      <c r="D2891" s="5" t="s">
        <v>2287</v>
      </c>
      <c r="E2891" s="5" t="s">
        <v>59</v>
      </c>
      <c r="F2891" s="5" t="s">
        <v>2225</v>
      </c>
      <c r="G2891" s="5" t="str">
        <f aca="false">INDEX(Risk_Matrix!$B$2:$D$4,MATCH(E2891,Risk_Matrix!$A$2:$A$4,0),MATCH(F2891,Risk_Matrix!$B$1:$D$1,0))</f>
        <v>Low</v>
      </c>
      <c r="H2891" s="12" t="n">
        <v>46139</v>
      </c>
      <c r="I2891" s="5" t="s">
        <v>2250</v>
      </c>
      <c r="J2891" s="5" t="s">
        <v>2251</v>
      </c>
      <c r="K2891" s="5" t="s">
        <v>2283</v>
      </c>
      <c r="L2891" s="5" t="n">
        <f aca="false">IF(G2891="High",3,IF(G2891="Medium",2,1))</f>
        <v>1</v>
      </c>
    </row>
    <row r="2892" customFormat="false" ht="15" hidden="false" customHeight="true" outlineLevel="0" collapsed="false">
      <c r="A2892" s="5" t="s">
        <v>5170</v>
      </c>
      <c r="B2892" s="5" t="s">
        <v>1956</v>
      </c>
      <c r="C2892" s="5" t="s">
        <v>2259</v>
      </c>
      <c r="D2892" s="5" t="s">
        <v>2260</v>
      </c>
      <c r="E2892" s="5" t="s">
        <v>54</v>
      </c>
      <c r="F2892" s="5" t="s">
        <v>2225</v>
      </c>
      <c r="G2892" s="5" t="str">
        <f aca="false">INDEX(Risk_Matrix!$B$2:$D$4,MATCH(E2892,Risk_Matrix!$A$2:$A$4,0),MATCH(F2892,Risk_Matrix!$B$1:$D$1,0))</f>
        <v>High</v>
      </c>
      <c r="H2892" s="12" t="n">
        <v>46074</v>
      </c>
      <c r="I2892" s="5" t="s">
        <v>2250</v>
      </c>
      <c r="J2892" s="5" t="s">
        <v>2251</v>
      </c>
      <c r="K2892" s="5" t="s">
        <v>2252</v>
      </c>
      <c r="L2892" s="5" t="n">
        <f aca="false">IF(G2892="High",3,IF(G2892="Medium",2,1))</f>
        <v>3</v>
      </c>
    </row>
    <row r="2893" customFormat="false" ht="15" hidden="false" customHeight="true" outlineLevel="0" collapsed="false">
      <c r="A2893" s="5" t="s">
        <v>5171</v>
      </c>
      <c r="B2893" s="5" t="s">
        <v>1956</v>
      </c>
      <c r="C2893" s="5" t="s">
        <v>2254</v>
      </c>
      <c r="D2893" s="5" t="s">
        <v>2255</v>
      </c>
      <c r="E2893" s="5" t="s">
        <v>2225</v>
      </c>
      <c r="F2893" s="5" t="s">
        <v>2225</v>
      </c>
      <c r="G2893" s="5" t="str">
        <f aca="false">INDEX(Risk_Matrix!$B$2:$D$4,MATCH(E2893,Risk_Matrix!$A$2:$A$4,0),MATCH(F2893,Risk_Matrix!$B$1:$D$1,0))</f>
        <v>Medium</v>
      </c>
      <c r="H2893" s="12" t="n">
        <v>46198</v>
      </c>
      <c r="I2893" s="5" t="s">
        <v>2256</v>
      </c>
      <c r="J2893" s="5" t="s">
        <v>4081</v>
      </c>
      <c r="K2893" s="5" t="s">
        <v>2266</v>
      </c>
      <c r="L2893" s="5" t="n">
        <f aca="false">IF(G2893="High",3,IF(G2893="Medium",2,1))</f>
        <v>2</v>
      </c>
    </row>
    <row r="2894" customFormat="false" ht="15" hidden="false" customHeight="true" outlineLevel="0" collapsed="false">
      <c r="A2894" s="5" t="s">
        <v>5172</v>
      </c>
      <c r="B2894" s="5" t="s">
        <v>1958</v>
      </c>
      <c r="C2894" s="5" t="s">
        <v>2239</v>
      </c>
      <c r="D2894" s="5" t="s">
        <v>2295</v>
      </c>
      <c r="E2894" s="5" t="s">
        <v>54</v>
      </c>
      <c r="F2894" s="5" t="s">
        <v>2225</v>
      </c>
      <c r="G2894" s="5" t="str">
        <f aca="false">INDEX(Risk_Matrix!$B$2:$D$4,MATCH(E2894,Risk_Matrix!$A$2:$A$4,0),MATCH(F2894,Risk_Matrix!$B$1:$D$1,0))</f>
        <v>High</v>
      </c>
      <c r="H2894" s="12" t="n">
        <v>46136</v>
      </c>
      <c r="I2894" s="5" t="s">
        <v>2241</v>
      </c>
      <c r="J2894" s="5" t="s">
        <v>2242</v>
      </c>
      <c r="K2894" s="5" t="s">
        <v>2252</v>
      </c>
      <c r="L2894" s="5" t="n">
        <f aca="false">IF(G2894="High",3,IF(G2894="Medium",2,1))</f>
        <v>3</v>
      </c>
    </row>
    <row r="2895" customFormat="false" ht="15" hidden="false" customHeight="true" outlineLevel="0" collapsed="false">
      <c r="A2895" s="5" t="s">
        <v>5173</v>
      </c>
      <c r="B2895" s="5" t="s">
        <v>1958</v>
      </c>
      <c r="C2895" s="5" t="s">
        <v>2245</v>
      </c>
      <c r="D2895" s="5" t="s">
        <v>2280</v>
      </c>
      <c r="E2895" s="5" t="s">
        <v>54</v>
      </c>
      <c r="F2895" s="5" t="s">
        <v>59</v>
      </c>
      <c r="G2895" s="5" t="str">
        <f aca="false">INDEX(Risk_Matrix!$B$2:$D$4,MATCH(E2895,Risk_Matrix!$A$2:$A$4,0),MATCH(F2895,Risk_Matrix!$B$1:$D$1,0))</f>
        <v>Medium</v>
      </c>
      <c r="H2895" s="12" t="n">
        <v>46144</v>
      </c>
      <c r="I2895" s="5" t="s">
        <v>2241</v>
      </c>
      <c r="J2895" s="5" t="s">
        <v>2242</v>
      </c>
      <c r="K2895" s="5" t="s">
        <v>2243</v>
      </c>
      <c r="L2895" s="5" t="n">
        <f aca="false">IF(G2895="High",3,IF(G2895="Medium",2,1))</f>
        <v>2</v>
      </c>
    </row>
    <row r="2896" customFormat="false" ht="15" hidden="false" customHeight="true" outlineLevel="0" collapsed="false">
      <c r="A2896" s="5" t="s">
        <v>5174</v>
      </c>
      <c r="B2896" s="5" t="s">
        <v>1958</v>
      </c>
      <c r="C2896" s="5" t="s">
        <v>2248</v>
      </c>
      <c r="D2896" s="5" t="s">
        <v>2271</v>
      </c>
      <c r="E2896" s="5" t="s">
        <v>59</v>
      </c>
      <c r="F2896" s="5" t="s">
        <v>54</v>
      </c>
      <c r="G2896" s="5" t="str">
        <f aca="false">INDEX(Risk_Matrix!$B$2:$D$4,MATCH(E2896,Risk_Matrix!$A$2:$A$4,0),MATCH(F2896,Risk_Matrix!$B$1:$D$1,0))</f>
        <v>Medium</v>
      </c>
      <c r="H2896" s="12" t="n">
        <v>46115</v>
      </c>
      <c r="I2896" s="5" t="s">
        <v>2250</v>
      </c>
      <c r="J2896" s="5" t="s">
        <v>2251</v>
      </c>
      <c r="K2896" s="5" t="s">
        <v>2243</v>
      </c>
      <c r="L2896" s="5" t="n">
        <f aca="false">IF(G2896="High",3,IF(G2896="Medium",2,1))</f>
        <v>2</v>
      </c>
    </row>
    <row r="2897" customFormat="false" ht="15" hidden="false" customHeight="true" outlineLevel="0" collapsed="false">
      <c r="A2897" s="5" t="s">
        <v>5175</v>
      </c>
      <c r="B2897" s="5" t="s">
        <v>1958</v>
      </c>
      <c r="C2897" s="5" t="s">
        <v>2262</v>
      </c>
      <c r="D2897" s="5" t="s">
        <v>2287</v>
      </c>
      <c r="E2897" s="5" t="s">
        <v>2225</v>
      </c>
      <c r="F2897" s="5" t="s">
        <v>2225</v>
      </c>
      <c r="G2897" s="5" t="str">
        <f aca="false">INDEX(Risk_Matrix!$B$2:$D$4,MATCH(E2897,Risk_Matrix!$A$2:$A$4,0),MATCH(F2897,Risk_Matrix!$B$1:$D$1,0))</f>
        <v>Medium</v>
      </c>
      <c r="H2897" s="12" t="n">
        <v>46073</v>
      </c>
      <c r="I2897" s="5" t="s">
        <v>2241</v>
      </c>
      <c r="J2897" s="5" t="s">
        <v>2242</v>
      </c>
      <c r="K2897" s="5" t="s">
        <v>2283</v>
      </c>
      <c r="L2897" s="5" t="n">
        <f aca="false">IF(G2897="High",3,IF(G2897="Medium",2,1))</f>
        <v>2</v>
      </c>
    </row>
    <row r="2898" customFormat="false" ht="15" hidden="false" customHeight="true" outlineLevel="0" collapsed="false">
      <c r="A2898" s="5" t="s">
        <v>5176</v>
      </c>
      <c r="B2898" s="5" t="s">
        <v>1958</v>
      </c>
      <c r="C2898" s="5" t="s">
        <v>2259</v>
      </c>
      <c r="D2898" s="5" t="s">
        <v>2274</v>
      </c>
      <c r="E2898" s="5" t="s">
        <v>54</v>
      </c>
      <c r="F2898" s="5" t="s">
        <v>59</v>
      </c>
      <c r="G2898" s="5" t="str">
        <f aca="false">INDEX(Risk_Matrix!$B$2:$D$4,MATCH(E2898,Risk_Matrix!$A$2:$A$4,0),MATCH(F2898,Risk_Matrix!$B$1:$D$1,0))</f>
        <v>Medium</v>
      </c>
      <c r="H2898" s="12" t="n">
        <v>46225</v>
      </c>
      <c r="I2898" s="5" t="s">
        <v>2264</v>
      </c>
      <c r="J2898" s="5" t="s">
        <v>4087</v>
      </c>
      <c r="K2898" s="5" t="s">
        <v>2243</v>
      </c>
      <c r="L2898" s="5" t="n">
        <f aca="false">IF(G2898="High",3,IF(G2898="Medium",2,1))</f>
        <v>2</v>
      </c>
    </row>
    <row r="2899" customFormat="false" ht="15" hidden="false" customHeight="true" outlineLevel="0" collapsed="false">
      <c r="A2899" s="5" t="s">
        <v>5177</v>
      </c>
      <c r="B2899" s="5" t="s">
        <v>1958</v>
      </c>
      <c r="C2899" s="5" t="s">
        <v>2254</v>
      </c>
      <c r="D2899" s="5" t="s">
        <v>2308</v>
      </c>
      <c r="E2899" s="5" t="s">
        <v>59</v>
      </c>
      <c r="F2899" s="5" t="s">
        <v>54</v>
      </c>
      <c r="G2899" s="5" t="str">
        <f aca="false">INDEX(Risk_Matrix!$B$2:$D$4,MATCH(E2899,Risk_Matrix!$A$2:$A$4,0),MATCH(F2899,Risk_Matrix!$B$1:$D$1,0))</f>
        <v>Medium</v>
      </c>
      <c r="H2899" s="12" t="n">
        <v>46180</v>
      </c>
      <c r="I2899" s="5" t="s">
        <v>2250</v>
      </c>
      <c r="J2899" s="5" t="s">
        <v>2251</v>
      </c>
      <c r="K2899" s="5" t="s">
        <v>2283</v>
      </c>
      <c r="L2899" s="5" t="n">
        <f aca="false">IF(G2899="High",3,IF(G2899="Medium",2,1))</f>
        <v>2</v>
      </c>
    </row>
    <row r="2900" customFormat="false" ht="15" hidden="false" customHeight="true" outlineLevel="0" collapsed="false">
      <c r="A2900" s="5" t="s">
        <v>5178</v>
      </c>
      <c r="B2900" s="5" t="s">
        <v>1960</v>
      </c>
      <c r="C2900" s="5" t="s">
        <v>2239</v>
      </c>
      <c r="D2900" s="5" t="s">
        <v>2278</v>
      </c>
      <c r="E2900" s="5" t="s">
        <v>54</v>
      </c>
      <c r="F2900" s="5" t="s">
        <v>54</v>
      </c>
      <c r="G2900" s="5" t="str">
        <f aca="false">INDEX(Risk_Matrix!$B$2:$D$4,MATCH(E2900,Risk_Matrix!$A$2:$A$4,0),MATCH(F2900,Risk_Matrix!$B$1:$D$1,0))</f>
        <v>High</v>
      </c>
      <c r="H2900" s="12" t="n">
        <v>46119</v>
      </c>
      <c r="I2900" s="5" t="s">
        <v>2241</v>
      </c>
      <c r="J2900" s="5" t="s">
        <v>2242</v>
      </c>
      <c r="K2900" s="5" t="s">
        <v>2283</v>
      </c>
      <c r="L2900" s="5" t="n">
        <f aca="false">IF(G2900="High",3,IF(G2900="Medium",2,1))</f>
        <v>3</v>
      </c>
    </row>
    <row r="2901" customFormat="false" ht="15" hidden="false" customHeight="true" outlineLevel="0" collapsed="false">
      <c r="A2901" s="5" t="s">
        <v>5179</v>
      </c>
      <c r="B2901" s="5" t="s">
        <v>1960</v>
      </c>
      <c r="C2901" s="5" t="s">
        <v>2245</v>
      </c>
      <c r="D2901" s="5" t="s">
        <v>2246</v>
      </c>
      <c r="E2901" s="5" t="s">
        <v>54</v>
      </c>
      <c r="F2901" s="5" t="s">
        <v>54</v>
      </c>
      <c r="G2901" s="5" t="str">
        <f aca="false">INDEX(Risk_Matrix!$B$2:$D$4,MATCH(E2901,Risk_Matrix!$A$2:$A$4,0),MATCH(F2901,Risk_Matrix!$B$1:$D$1,0))</f>
        <v>High</v>
      </c>
      <c r="H2901" s="12" t="n">
        <v>46067</v>
      </c>
      <c r="I2901" s="5" t="s">
        <v>2264</v>
      </c>
      <c r="J2901" s="5" t="s">
        <v>4087</v>
      </c>
      <c r="K2901" s="5" t="s">
        <v>2252</v>
      </c>
      <c r="L2901" s="5" t="n">
        <f aca="false">IF(G2901="High",3,IF(G2901="Medium",2,1))</f>
        <v>3</v>
      </c>
    </row>
    <row r="2902" customFormat="false" ht="15" hidden="false" customHeight="true" outlineLevel="0" collapsed="false">
      <c r="A2902" s="5" t="s">
        <v>5180</v>
      </c>
      <c r="B2902" s="5" t="s">
        <v>1960</v>
      </c>
      <c r="C2902" s="5" t="s">
        <v>2248</v>
      </c>
      <c r="D2902" s="5" t="s">
        <v>2271</v>
      </c>
      <c r="E2902" s="5" t="s">
        <v>54</v>
      </c>
      <c r="F2902" s="5" t="s">
        <v>59</v>
      </c>
      <c r="G2902" s="5" t="str">
        <f aca="false">INDEX(Risk_Matrix!$B$2:$D$4,MATCH(E2902,Risk_Matrix!$A$2:$A$4,0),MATCH(F2902,Risk_Matrix!$B$1:$D$1,0))</f>
        <v>Medium</v>
      </c>
      <c r="H2902" s="12" t="n">
        <v>46165</v>
      </c>
      <c r="I2902" s="5" t="s">
        <v>2264</v>
      </c>
      <c r="J2902" s="5" t="s">
        <v>4087</v>
      </c>
      <c r="K2902" s="5" t="s">
        <v>2243</v>
      </c>
      <c r="L2902" s="5" t="n">
        <f aca="false">IF(G2902="High",3,IF(G2902="Medium",2,1))</f>
        <v>2</v>
      </c>
    </row>
    <row r="2903" customFormat="false" ht="15" hidden="false" customHeight="true" outlineLevel="0" collapsed="false">
      <c r="A2903" s="5" t="s">
        <v>5181</v>
      </c>
      <c r="B2903" s="5" t="s">
        <v>1960</v>
      </c>
      <c r="C2903" s="5" t="s">
        <v>2262</v>
      </c>
      <c r="D2903" s="5" t="s">
        <v>2263</v>
      </c>
      <c r="E2903" s="5" t="s">
        <v>2225</v>
      </c>
      <c r="F2903" s="5" t="s">
        <v>59</v>
      </c>
      <c r="G2903" s="5" t="str">
        <f aca="false">INDEX(Risk_Matrix!$B$2:$D$4,MATCH(E2903,Risk_Matrix!$A$2:$A$4,0),MATCH(F2903,Risk_Matrix!$B$1:$D$1,0))</f>
        <v>Low</v>
      </c>
      <c r="H2903" s="12" t="n">
        <v>46129</v>
      </c>
      <c r="I2903" s="5" t="s">
        <v>2250</v>
      </c>
      <c r="J2903" s="5" t="s">
        <v>2251</v>
      </c>
      <c r="K2903" s="5" t="s">
        <v>2266</v>
      </c>
      <c r="L2903" s="5" t="n">
        <f aca="false">IF(G2903="High",3,IF(G2903="Medium",2,1))</f>
        <v>1</v>
      </c>
    </row>
    <row r="2904" customFormat="false" ht="15" hidden="false" customHeight="true" outlineLevel="0" collapsed="false">
      <c r="A2904" s="5" t="s">
        <v>5182</v>
      </c>
      <c r="B2904" s="5" t="s">
        <v>1960</v>
      </c>
      <c r="C2904" s="5" t="s">
        <v>2259</v>
      </c>
      <c r="D2904" s="5" t="s">
        <v>2274</v>
      </c>
      <c r="E2904" s="5" t="s">
        <v>2225</v>
      </c>
      <c r="F2904" s="5" t="s">
        <v>54</v>
      </c>
      <c r="G2904" s="5" t="str">
        <f aca="false">INDEX(Risk_Matrix!$B$2:$D$4,MATCH(E2904,Risk_Matrix!$A$2:$A$4,0),MATCH(F2904,Risk_Matrix!$B$1:$D$1,0))</f>
        <v>High</v>
      </c>
      <c r="H2904" s="12" t="n">
        <v>46146</v>
      </c>
      <c r="I2904" s="5" t="s">
        <v>2256</v>
      </c>
      <c r="J2904" s="5" t="s">
        <v>4081</v>
      </c>
      <c r="K2904" s="5" t="s">
        <v>2276</v>
      </c>
      <c r="L2904" s="5" t="n">
        <f aca="false">IF(G2904="High",3,IF(G2904="Medium",2,1))</f>
        <v>3</v>
      </c>
    </row>
    <row r="2905" customFormat="false" ht="15" hidden="false" customHeight="true" outlineLevel="0" collapsed="false">
      <c r="A2905" s="5" t="s">
        <v>5183</v>
      </c>
      <c r="B2905" s="5" t="s">
        <v>1960</v>
      </c>
      <c r="C2905" s="5" t="s">
        <v>2254</v>
      </c>
      <c r="D2905" s="5" t="s">
        <v>2255</v>
      </c>
      <c r="E2905" s="5" t="s">
        <v>59</v>
      </c>
      <c r="F2905" s="5" t="s">
        <v>54</v>
      </c>
      <c r="G2905" s="5" t="str">
        <f aca="false">INDEX(Risk_Matrix!$B$2:$D$4,MATCH(E2905,Risk_Matrix!$A$2:$A$4,0),MATCH(F2905,Risk_Matrix!$B$1:$D$1,0))</f>
        <v>Medium</v>
      </c>
      <c r="H2905" s="12" t="n">
        <v>46046</v>
      </c>
      <c r="I2905" s="5" t="s">
        <v>2250</v>
      </c>
      <c r="J2905" s="5" t="s">
        <v>2251</v>
      </c>
      <c r="K2905" s="5" t="s">
        <v>2266</v>
      </c>
      <c r="L2905" s="5" t="n">
        <f aca="false">IF(G2905="High",3,IF(G2905="Medium",2,1))</f>
        <v>2</v>
      </c>
    </row>
    <row r="2906" customFormat="false" ht="15" hidden="false" customHeight="true" outlineLevel="0" collapsed="false">
      <c r="A2906" s="5" t="s">
        <v>5184</v>
      </c>
      <c r="B2906" s="5" t="s">
        <v>1962</v>
      </c>
      <c r="C2906" s="5" t="s">
        <v>2239</v>
      </c>
      <c r="D2906" s="5" t="s">
        <v>2295</v>
      </c>
      <c r="E2906" s="5" t="s">
        <v>54</v>
      </c>
      <c r="F2906" s="5" t="s">
        <v>54</v>
      </c>
      <c r="G2906" s="5" t="str">
        <f aca="false">INDEX(Risk_Matrix!$B$2:$D$4,MATCH(E2906,Risk_Matrix!$A$2:$A$4,0),MATCH(F2906,Risk_Matrix!$B$1:$D$1,0))</f>
        <v>High</v>
      </c>
      <c r="H2906" s="12" t="n">
        <v>46214</v>
      </c>
      <c r="I2906" s="5" t="s">
        <v>2250</v>
      </c>
      <c r="J2906" s="5" t="s">
        <v>2251</v>
      </c>
      <c r="K2906" s="5" t="s">
        <v>2243</v>
      </c>
      <c r="L2906" s="5" t="n">
        <f aca="false">IF(G2906="High",3,IF(G2906="Medium",2,1))</f>
        <v>3</v>
      </c>
    </row>
    <row r="2907" customFormat="false" ht="15" hidden="false" customHeight="true" outlineLevel="0" collapsed="false">
      <c r="A2907" s="5" t="s">
        <v>5185</v>
      </c>
      <c r="B2907" s="5" t="s">
        <v>1962</v>
      </c>
      <c r="C2907" s="5" t="s">
        <v>2245</v>
      </c>
      <c r="D2907" s="5" t="s">
        <v>2280</v>
      </c>
      <c r="E2907" s="5" t="s">
        <v>59</v>
      </c>
      <c r="F2907" s="5" t="s">
        <v>2225</v>
      </c>
      <c r="G2907" s="5" t="str">
        <f aca="false">INDEX(Risk_Matrix!$B$2:$D$4,MATCH(E2907,Risk_Matrix!$A$2:$A$4,0),MATCH(F2907,Risk_Matrix!$B$1:$D$1,0))</f>
        <v>Low</v>
      </c>
      <c r="H2907" s="12" t="n">
        <v>46150</v>
      </c>
      <c r="I2907" s="5" t="s">
        <v>2264</v>
      </c>
      <c r="J2907" s="5" t="s">
        <v>4087</v>
      </c>
      <c r="K2907" s="5" t="s">
        <v>2243</v>
      </c>
      <c r="L2907" s="5" t="n">
        <f aca="false">IF(G2907="High",3,IF(G2907="Medium",2,1))</f>
        <v>1</v>
      </c>
    </row>
    <row r="2908" customFormat="false" ht="15" hidden="false" customHeight="true" outlineLevel="0" collapsed="false">
      <c r="A2908" s="5" t="s">
        <v>5186</v>
      </c>
      <c r="B2908" s="5" t="s">
        <v>1962</v>
      </c>
      <c r="C2908" s="5" t="s">
        <v>2248</v>
      </c>
      <c r="D2908" s="5" t="s">
        <v>2322</v>
      </c>
      <c r="E2908" s="5" t="s">
        <v>59</v>
      </c>
      <c r="F2908" s="5" t="s">
        <v>2225</v>
      </c>
      <c r="G2908" s="5" t="str">
        <f aca="false">INDEX(Risk_Matrix!$B$2:$D$4,MATCH(E2908,Risk_Matrix!$A$2:$A$4,0),MATCH(F2908,Risk_Matrix!$B$1:$D$1,0))</f>
        <v>Low</v>
      </c>
      <c r="H2908" s="12" t="n">
        <v>46127</v>
      </c>
      <c r="I2908" s="5" t="s">
        <v>2264</v>
      </c>
      <c r="J2908" s="5" t="s">
        <v>4087</v>
      </c>
      <c r="K2908" s="5" t="s">
        <v>2276</v>
      </c>
      <c r="L2908" s="5" t="n">
        <f aca="false">IF(G2908="High",3,IF(G2908="Medium",2,1))</f>
        <v>1</v>
      </c>
    </row>
    <row r="2909" customFormat="false" ht="15" hidden="false" customHeight="true" outlineLevel="0" collapsed="false">
      <c r="A2909" s="5" t="s">
        <v>5187</v>
      </c>
      <c r="B2909" s="5" t="s">
        <v>1962</v>
      </c>
      <c r="C2909" s="5" t="s">
        <v>2262</v>
      </c>
      <c r="D2909" s="5" t="s">
        <v>2263</v>
      </c>
      <c r="E2909" s="5" t="s">
        <v>59</v>
      </c>
      <c r="F2909" s="5" t="s">
        <v>59</v>
      </c>
      <c r="G2909" s="5" t="str">
        <f aca="false">INDEX(Risk_Matrix!$B$2:$D$4,MATCH(E2909,Risk_Matrix!$A$2:$A$4,0),MATCH(F2909,Risk_Matrix!$B$1:$D$1,0))</f>
        <v>Low</v>
      </c>
      <c r="H2909" s="12" t="n">
        <v>46084</v>
      </c>
      <c r="I2909" s="5" t="s">
        <v>2250</v>
      </c>
      <c r="J2909" s="5" t="s">
        <v>2251</v>
      </c>
      <c r="K2909" s="5" t="s">
        <v>2266</v>
      </c>
      <c r="L2909" s="5" t="n">
        <f aca="false">IF(G2909="High",3,IF(G2909="Medium",2,1))</f>
        <v>1</v>
      </c>
    </row>
    <row r="2910" customFormat="false" ht="15" hidden="false" customHeight="true" outlineLevel="0" collapsed="false">
      <c r="A2910" s="5" t="s">
        <v>5188</v>
      </c>
      <c r="B2910" s="5" t="s">
        <v>1962</v>
      </c>
      <c r="C2910" s="5" t="s">
        <v>2259</v>
      </c>
      <c r="D2910" s="5" t="s">
        <v>2274</v>
      </c>
      <c r="E2910" s="5" t="s">
        <v>59</v>
      </c>
      <c r="F2910" s="5" t="s">
        <v>2225</v>
      </c>
      <c r="G2910" s="5" t="str">
        <f aca="false">INDEX(Risk_Matrix!$B$2:$D$4,MATCH(E2910,Risk_Matrix!$A$2:$A$4,0),MATCH(F2910,Risk_Matrix!$B$1:$D$1,0))</f>
        <v>Low</v>
      </c>
      <c r="H2910" s="12" t="n">
        <v>46199</v>
      </c>
      <c r="I2910" s="5" t="s">
        <v>2241</v>
      </c>
      <c r="J2910" s="5" t="s">
        <v>2242</v>
      </c>
      <c r="K2910" s="5" t="s">
        <v>2283</v>
      </c>
      <c r="L2910" s="5" t="n">
        <f aca="false">IF(G2910="High",3,IF(G2910="Medium",2,1))</f>
        <v>1</v>
      </c>
    </row>
    <row r="2911" customFormat="false" ht="15" hidden="false" customHeight="true" outlineLevel="0" collapsed="false">
      <c r="A2911" s="5" t="s">
        <v>5189</v>
      </c>
      <c r="B2911" s="5" t="s">
        <v>1962</v>
      </c>
      <c r="C2911" s="5" t="s">
        <v>2254</v>
      </c>
      <c r="D2911" s="5" t="s">
        <v>2308</v>
      </c>
      <c r="E2911" s="5" t="s">
        <v>59</v>
      </c>
      <c r="F2911" s="5" t="s">
        <v>2225</v>
      </c>
      <c r="G2911" s="5" t="str">
        <f aca="false">INDEX(Risk_Matrix!$B$2:$D$4,MATCH(E2911,Risk_Matrix!$A$2:$A$4,0),MATCH(F2911,Risk_Matrix!$B$1:$D$1,0))</f>
        <v>Low</v>
      </c>
      <c r="H2911" s="12" t="n">
        <v>46221</v>
      </c>
      <c r="I2911" s="5" t="s">
        <v>2264</v>
      </c>
      <c r="J2911" s="5" t="s">
        <v>4087</v>
      </c>
      <c r="K2911" s="5" t="s">
        <v>2252</v>
      </c>
      <c r="L2911" s="5" t="n">
        <f aca="false">IF(G2911="High",3,IF(G2911="Medium",2,1))</f>
        <v>1</v>
      </c>
    </row>
    <row r="2912" customFormat="false" ht="15" hidden="false" customHeight="true" outlineLevel="0" collapsed="false">
      <c r="A2912" s="5" t="s">
        <v>5190</v>
      </c>
      <c r="B2912" s="5" t="s">
        <v>1964</v>
      </c>
      <c r="C2912" s="5" t="s">
        <v>2239</v>
      </c>
      <c r="D2912" s="5" t="s">
        <v>2295</v>
      </c>
      <c r="E2912" s="5" t="s">
        <v>59</v>
      </c>
      <c r="F2912" s="5" t="s">
        <v>54</v>
      </c>
      <c r="G2912" s="5" t="str">
        <f aca="false">INDEX(Risk_Matrix!$B$2:$D$4,MATCH(E2912,Risk_Matrix!$A$2:$A$4,0),MATCH(F2912,Risk_Matrix!$B$1:$D$1,0))</f>
        <v>Medium</v>
      </c>
      <c r="H2912" s="12" t="n">
        <v>46106</v>
      </c>
      <c r="I2912" s="5" t="s">
        <v>2241</v>
      </c>
      <c r="J2912" s="5" t="s">
        <v>2242</v>
      </c>
      <c r="K2912" s="5" t="s">
        <v>2283</v>
      </c>
      <c r="L2912" s="5" t="n">
        <f aca="false">IF(G2912="High",3,IF(G2912="Medium",2,1))</f>
        <v>2</v>
      </c>
    </row>
    <row r="2913" customFormat="false" ht="15" hidden="false" customHeight="true" outlineLevel="0" collapsed="false">
      <c r="A2913" s="5" t="s">
        <v>5191</v>
      </c>
      <c r="B2913" s="5" t="s">
        <v>1964</v>
      </c>
      <c r="C2913" s="5" t="s">
        <v>2245</v>
      </c>
      <c r="D2913" s="5" t="s">
        <v>2280</v>
      </c>
      <c r="E2913" s="5" t="s">
        <v>54</v>
      </c>
      <c r="F2913" s="5" t="s">
        <v>54</v>
      </c>
      <c r="G2913" s="5" t="str">
        <f aca="false">INDEX(Risk_Matrix!$B$2:$D$4,MATCH(E2913,Risk_Matrix!$A$2:$A$4,0),MATCH(F2913,Risk_Matrix!$B$1:$D$1,0))</f>
        <v>High</v>
      </c>
      <c r="H2913" s="12" t="n">
        <v>46196</v>
      </c>
      <c r="I2913" s="5" t="s">
        <v>2256</v>
      </c>
      <c r="J2913" s="5" t="s">
        <v>4081</v>
      </c>
      <c r="K2913" s="5" t="s">
        <v>2243</v>
      </c>
      <c r="L2913" s="5" t="n">
        <f aca="false">IF(G2913="High",3,IF(G2913="Medium",2,1))</f>
        <v>3</v>
      </c>
    </row>
    <row r="2914" customFormat="false" ht="15" hidden="false" customHeight="true" outlineLevel="0" collapsed="false">
      <c r="A2914" s="5" t="s">
        <v>5192</v>
      </c>
      <c r="B2914" s="5" t="s">
        <v>1964</v>
      </c>
      <c r="C2914" s="5" t="s">
        <v>2248</v>
      </c>
      <c r="D2914" s="5" t="s">
        <v>2249</v>
      </c>
      <c r="E2914" s="5" t="s">
        <v>2225</v>
      </c>
      <c r="F2914" s="5" t="s">
        <v>59</v>
      </c>
      <c r="G2914" s="5" t="str">
        <f aca="false">INDEX(Risk_Matrix!$B$2:$D$4,MATCH(E2914,Risk_Matrix!$A$2:$A$4,0),MATCH(F2914,Risk_Matrix!$B$1:$D$1,0))</f>
        <v>Low</v>
      </c>
      <c r="H2914" s="12" t="n">
        <v>46045</v>
      </c>
      <c r="I2914" s="5" t="s">
        <v>2256</v>
      </c>
      <c r="J2914" s="5" t="s">
        <v>4081</v>
      </c>
      <c r="K2914" s="5" t="s">
        <v>2243</v>
      </c>
      <c r="L2914" s="5" t="n">
        <f aca="false">IF(G2914="High",3,IF(G2914="Medium",2,1))</f>
        <v>1</v>
      </c>
    </row>
    <row r="2915" customFormat="false" ht="15" hidden="false" customHeight="true" outlineLevel="0" collapsed="false">
      <c r="A2915" s="5" t="s">
        <v>5193</v>
      </c>
      <c r="B2915" s="5" t="s">
        <v>1964</v>
      </c>
      <c r="C2915" s="5" t="s">
        <v>2262</v>
      </c>
      <c r="D2915" s="5" t="s">
        <v>2263</v>
      </c>
      <c r="E2915" s="5" t="s">
        <v>2225</v>
      </c>
      <c r="F2915" s="5" t="s">
        <v>2225</v>
      </c>
      <c r="G2915" s="5" t="str">
        <f aca="false">INDEX(Risk_Matrix!$B$2:$D$4,MATCH(E2915,Risk_Matrix!$A$2:$A$4,0),MATCH(F2915,Risk_Matrix!$B$1:$D$1,0))</f>
        <v>Medium</v>
      </c>
      <c r="H2915" s="12" t="n">
        <v>46092</v>
      </c>
      <c r="I2915" s="5" t="s">
        <v>2241</v>
      </c>
      <c r="J2915" s="5" t="s">
        <v>2242</v>
      </c>
      <c r="K2915" s="5" t="s">
        <v>2276</v>
      </c>
      <c r="L2915" s="5" t="n">
        <f aca="false">IF(G2915="High",3,IF(G2915="Medium",2,1))</f>
        <v>2</v>
      </c>
    </row>
    <row r="2916" customFormat="false" ht="15" hidden="false" customHeight="true" outlineLevel="0" collapsed="false">
      <c r="A2916" s="5" t="s">
        <v>5194</v>
      </c>
      <c r="B2916" s="5" t="s">
        <v>1964</v>
      </c>
      <c r="C2916" s="5" t="s">
        <v>2259</v>
      </c>
      <c r="D2916" s="5" t="s">
        <v>2260</v>
      </c>
      <c r="E2916" s="5" t="s">
        <v>54</v>
      </c>
      <c r="F2916" s="5" t="s">
        <v>2225</v>
      </c>
      <c r="G2916" s="5" t="str">
        <f aca="false">INDEX(Risk_Matrix!$B$2:$D$4,MATCH(E2916,Risk_Matrix!$A$2:$A$4,0),MATCH(F2916,Risk_Matrix!$B$1:$D$1,0))</f>
        <v>High</v>
      </c>
      <c r="H2916" s="12" t="n">
        <v>46070</v>
      </c>
      <c r="I2916" s="5" t="s">
        <v>2256</v>
      </c>
      <c r="J2916" s="5" t="s">
        <v>4081</v>
      </c>
      <c r="K2916" s="5" t="s">
        <v>2283</v>
      </c>
      <c r="L2916" s="5" t="n">
        <f aca="false">IF(G2916="High",3,IF(G2916="Medium",2,1))</f>
        <v>3</v>
      </c>
    </row>
    <row r="2917" customFormat="false" ht="15" hidden="false" customHeight="true" outlineLevel="0" collapsed="false">
      <c r="A2917" s="5" t="s">
        <v>5195</v>
      </c>
      <c r="B2917" s="5" t="s">
        <v>1964</v>
      </c>
      <c r="C2917" s="5" t="s">
        <v>2254</v>
      </c>
      <c r="D2917" s="5" t="s">
        <v>2299</v>
      </c>
      <c r="E2917" s="5" t="s">
        <v>54</v>
      </c>
      <c r="F2917" s="5" t="s">
        <v>2225</v>
      </c>
      <c r="G2917" s="5" t="str">
        <f aca="false">INDEX(Risk_Matrix!$B$2:$D$4,MATCH(E2917,Risk_Matrix!$A$2:$A$4,0),MATCH(F2917,Risk_Matrix!$B$1:$D$1,0))</f>
        <v>High</v>
      </c>
      <c r="H2917" s="12" t="n">
        <v>46160</v>
      </c>
      <c r="I2917" s="5" t="s">
        <v>2250</v>
      </c>
      <c r="J2917" s="5" t="s">
        <v>2251</v>
      </c>
      <c r="K2917" s="5" t="s">
        <v>2243</v>
      </c>
      <c r="L2917" s="5" t="n">
        <f aca="false">IF(G2917="High",3,IF(G2917="Medium",2,1))</f>
        <v>3</v>
      </c>
    </row>
    <row r="2918" customFormat="false" ht="15" hidden="false" customHeight="true" outlineLevel="0" collapsed="false">
      <c r="A2918" s="5" t="s">
        <v>5196</v>
      </c>
      <c r="B2918" s="5" t="s">
        <v>1966</v>
      </c>
      <c r="C2918" s="5" t="s">
        <v>2239</v>
      </c>
      <c r="D2918" s="5" t="s">
        <v>2240</v>
      </c>
      <c r="E2918" s="5" t="s">
        <v>59</v>
      </c>
      <c r="F2918" s="5" t="s">
        <v>54</v>
      </c>
      <c r="G2918" s="5" t="str">
        <f aca="false">INDEX(Risk_Matrix!$B$2:$D$4,MATCH(E2918,Risk_Matrix!$A$2:$A$4,0),MATCH(F2918,Risk_Matrix!$B$1:$D$1,0))</f>
        <v>Medium</v>
      </c>
      <c r="H2918" s="12" t="n">
        <v>46197</v>
      </c>
      <c r="I2918" s="5" t="s">
        <v>2250</v>
      </c>
      <c r="J2918" s="5" t="s">
        <v>2251</v>
      </c>
      <c r="K2918" s="5" t="s">
        <v>2243</v>
      </c>
      <c r="L2918" s="5" t="n">
        <f aca="false">IF(G2918="High",3,IF(G2918="Medium",2,1))</f>
        <v>2</v>
      </c>
    </row>
    <row r="2919" customFormat="false" ht="15" hidden="false" customHeight="true" outlineLevel="0" collapsed="false">
      <c r="A2919" s="5" t="s">
        <v>5197</v>
      </c>
      <c r="B2919" s="5" t="s">
        <v>1966</v>
      </c>
      <c r="C2919" s="5" t="s">
        <v>2245</v>
      </c>
      <c r="D2919" s="5" t="s">
        <v>2269</v>
      </c>
      <c r="E2919" s="5" t="s">
        <v>54</v>
      </c>
      <c r="F2919" s="5" t="s">
        <v>2225</v>
      </c>
      <c r="G2919" s="5" t="str">
        <f aca="false">INDEX(Risk_Matrix!$B$2:$D$4,MATCH(E2919,Risk_Matrix!$A$2:$A$4,0),MATCH(F2919,Risk_Matrix!$B$1:$D$1,0))</f>
        <v>High</v>
      </c>
      <c r="H2919" s="12" t="n">
        <v>46190</v>
      </c>
      <c r="I2919" s="5" t="s">
        <v>2256</v>
      </c>
      <c r="J2919" s="5" t="s">
        <v>4081</v>
      </c>
      <c r="K2919" s="5" t="s">
        <v>2266</v>
      </c>
      <c r="L2919" s="5" t="n">
        <f aca="false">IF(G2919="High",3,IF(G2919="Medium",2,1))</f>
        <v>3</v>
      </c>
    </row>
    <row r="2920" customFormat="false" ht="15" hidden="false" customHeight="true" outlineLevel="0" collapsed="false">
      <c r="A2920" s="5" t="s">
        <v>5198</v>
      </c>
      <c r="B2920" s="5" t="s">
        <v>1966</v>
      </c>
      <c r="C2920" s="5" t="s">
        <v>2248</v>
      </c>
      <c r="D2920" s="5" t="s">
        <v>2271</v>
      </c>
      <c r="E2920" s="5" t="s">
        <v>2225</v>
      </c>
      <c r="F2920" s="5" t="s">
        <v>54</v>
      </c>
      <c r="G2920" s="5" t="str">
        <f aca="false">INDEX(Risk_Matrix!$B$2:$D$4,MATCH(E2920,Risk_Matrix!$A$2:$A$4,0),MATCH(F2920,Risk_Matrix!$B$1:$D$1,0))</f>
        <v>High</v>
      </c>
      <c r="H2920" s="12" t="n">
        <v>46190</v>
      </c>
      <c r="I2920" s="5" t="s">
        <v>2250</v>
      </c>
      <c r="J2920" s="5" t="s">
        <v>2251</v>
      </c>
      <c r="K2920" s="5" t="s">
        <v>2252</v>
      </c>
      <c r="L2920" s="5" t="n">
        <f aca="false">IF(G2920="High",3,IF(G2920="Medium",2,1))</f>
        <v>3</v>
      </c>
    </row>
    <row r="2921" customFormat="false" ht="15" hidden="false" customHeight="true" outlineLevel="0" collapsed="false">
      <c r="A2921" s="5" t="s">
        <v>5199</v>
      </c>
      <c r="B2921" s="5" t="s">
        <v>1966</v>
      </c>
      <c r="C2921" s="5" t="s">
        <v>2262</v>
      </c>
      <c r="D2921" s="5" t="s">
        <v>2263</v>
      </c>
      <c r="E2921" s="5" t="s">
        <v>2225</v>
      </c>
      <c r="F2921" s="5" t="s">
        <v>2225</v>
      </c>
      <c r="G2921" s="5" t="str">
        <f aca="false">INDEX(Risk_Matrix!$B$2:$D$4,MATCH(E2921,Risk_Matrix!$A$2:$A$4,0),MATCH(F2921,Risk_Matrix!$B$1:$D$1,0))</f>
        <v>Medium</v>
      </c>
      <c r="H2921" s="12" t="n">
        <v>46048</v>
      </c>
      <c r="I2921" s="5" t="s">
        <v>2250</v>
      </c>
      <c r="J2921" s="5" t="s">
        <v>2251</v>
      </c>
      <c r="K2921" s="5" t="s">
        <v>2252</v>
      </c>
      <c r="L2921" s="5" t="n">
        <f aca="false">IF(G2921="High",3,IF(G2921="Medium",2,1))</f>
        <v>2</v>
      </c>
    </row>
    <row r="2922" customFormat="false" ht="15" hidden="false" customHeight="true" outlineLevel="0" collapsed="false">
      <c r="A2922" s="5" t="s">
        <v>5200</v>
      </c>
      <c r="B2922" s="5" t="s">
        <v>1966</v>
      </c>
      <c r="C2922" s="5" t="s">
        <v>2259</v>
      </c>
      <c r="D2922" s="5" t="s">
        <v>2260</v>
      </c>
      <c r="E2922" s="5" t="s">
        <v>59</v>
      </c>
      <c r="F2922" s="5" t="s">
        <v>54</v>
      </c>
      <c r="G2922" s="5" t="str">
        <f aca="false">INDEX(Risk_Matrix!$B$2:$D$4,MATCH(E2922,Risk_Matrix!$A$2:$A$4,0),MATCH(F2922,Risk_Matrix!$B$1:$D$1,0))</f>
        <v>Medium</v>
      </c>
      <c r="H2922" s="12" t="n">
        <v>46176</v>
      </c>
      <c r="I2922" s="5" t="s">
        <v>2256</v>
      </c>
      <c r="J2922" s="5" t="s">
        <v>4081</v>
      </c>
      <c r="K2922" s="5" t="s">
        <v>2243</v>
      </c>
      <c r="L2922" s="5" t="n">
        <f aca="false">IF(G2922="High",3,IF(G2922="Medium",2,1))</f>
        <v>2</v>
      </c>
    </row>
    <row r="2923" customFormat="false" ht="15" hidden="false" customHeight="true" outlineLevel="0" collapsed="false">
      <c r="A2923" s="5" t="s">
        <v>5201</v>
      </c>
      <c r="B2923" s="5" t="s">
        <v>1966</v>
      </c>
      <c r="C2923" s="5" t="s">
        <v>2254</v>
      </c>
      <c r="D2923" s="5" t="s">
        <v>2255</v>
      </c>
      <c r="E2923" s="5" t="s">
        <v>59</v>
      </c>
      <c r="F2923" s="5" t="s">
        <v>54</v>
      </c>
      <c r="G2923" s="5" t="str">
        <f aca="false">INDEX(Risk_Matrix!$B$2:$D$4,MATCH(E2923,Risk_Matrix!$A$2:$A$4,0),MATCH(F2923,Risk_Matrix!$B$1:$D$1,0))</f>
        <v>Medium</v>
      </c>
      <c r="H2923" s="12" t="n">
        <v>46053</v>
      </c>
      <c r="I2923" s="5" t="s">
        <v>2256</v>
      </c>
      <c r="J2923" s="5" t="s">
        <v>4081</v>
      </c>
      <c r="K2923" s="5" t="s">
        <v>2252</v>
      </c>
      <c r="L2923" s="5" t="n">
        <f aca="false">IF(G2923="High",3,IF(G2923="Medium",2,1))</f>
        <v>2</v>
      </c>
    </row>
    <row r="2924" customFormat="false" ht="15" hidden="false" customHeight="true" outlineLevel="0" collapsed="false">
      <c r="A2924" s="5" t="s">
        <v>5202</v>
      </c>
      <c r="B2924" s="5" t="s">
        <v>1968</v>
      </c>
      <c r="C2924" s="5" t="s">
        <v>2239</v>
      </c>
      <c r="D2924" s="5" t="s">
        <v>2303</v>
      </c>
      <c r="E2924" s="5" t="s">
        <v>54</v>
      </c>
      <c r="F2924" s="5" t="s">
        <v>54</v>
      </c>
      <c r="G2924" s="5" t="str">
        <f aca="false">INDEX(Risk_Matrix!$B$2:$D$4,MATCH(E2924,Risk_Matrix!$A$2:$A$4,0),MATCH(F2924,Risk_Matrix!$B$1:$D$1,0))</f>
        <v>High</v>
      </c>
      <c r="H2924" s="12" t="n">
        <v>46159</v>
      </c>
      <c r="I2924" s="5" t="s">
        <v>2256</v>
      </c>
      <c r="J2924" s="5" t="s">
        <v>4081</v>
      </c>
      <c r="K2924" s="5" t="s">
        <v>2283</v>
      </c>
      <c r="L2924" s="5" t="n">
        <f aca="false">IF(G2924="High",3,IF(G2924="Medium",2,1))</f>
        <v>3</v>
      </c>
    </row>
    <row r="2925" customFormat="false" ht="15" hidden="false" customHeight="true" outlineLevel="0" collapsed="false">
      <c r="A2925" s="5" t="s">
        <v>5203</v>
      </c>
      <c r="B2925" s="5" t="s">
        <v>1968</v>
      </c>
      <c r="C2925" s="5" t="s">
        <v>2245</v>
      </c>
      <c r="D2925" s="5" t="s">
        <v>2269</v>
      </c>
      <c r="E2925" s="5" t="s">
        <v>59</v>
      </c>
      <c r="F2925" s="5" t="s">
        <v>54</v>
      </c>
      <c r="G2925" s="5" t="str">
        <f aca="false">INDEX(Risk_Matrix!$B$2:$D$4,MATCH(E2925,Risk_Matrix!$A$2:$A$4,0),MATCH(F2925,Risk_Matrix!$B$1:$D$1,0))</f>
        <v>Medium</v>
      </c>
      <c r="H2925" s="12" t="n">
        <v>46230</v>
      </c>
      <c r="I2925" s="5" t="s">
        <v>2241</v>
      </c>
      <c r="J2925" s="5" t="s">
        <v>2242</v>
      </c>
      <c r="K2925" s="5" t="s">
        <v>2283</v>
      </c>
      <c r="L2925" s="5" t="n">
        <f aca="false">IF(G2925="High",3,IF(G2925="Medium",2,1))</f>
        <v>2</v>
      </c>
    </row>
    <row r="2926" customFormat="false" ht="15" hidden="false" customHeight="true" outlineLevel="0" collapsed="false">
      <c r="A2926" s="5" t="s">
        <v>5204</v>
      </c>
      <c r="B2926" s="5" t="s">
        <v>1968</v>
      </c>
      <c r="C2926" s="5" t="s">
        <v>2248</v>
      </c>
      <c r="D2926" s="5" t="s">
        <v>2271</v>
      </c>
      <c r="E2926" s="5" t="s">
        <v>54</v>
      </c>
      <c r="F2926" s="5" t="s">
        <v>59</v>
      </c>
      <c r="G2926" s="5" t="str">
        <f aca="false">INDEX(Risk_Matrix!$B$2:$D$4,MATCH(E2926,Risk_Matrix!$A$2:$A$4,0),MATCH(F2926,Risk_Matrix!$B$1:$D$1,0))</f>
        <v>Medium</v>
      </c>
      <c r="H2926" s="12" t="n">
        <v>46119</v>
      </c>
      <c r="I2926" s="5" t="s">
        <v>2241</v>
      </c>
      <c r="J2926" s="5" t="s">
        <v>2242</v>
      </c>
      <c r="K2926" s="5" t="s">
        <v>2243</v>
      </c>
      <c r="L2926" s="5" t="n">
        <f aca="false">IF(G2926="High",3,IF(G2926="Medium",2,1))</f>
        <v>2</v>
      </c>
    </row>
    <row r="2927" customFormat="false" ht="15" hidden="false" customHeight="true" outlineLevel="0" collapsed="false">
      <c r="A2927" s="5" t="s">
        <v>5205</v>
      </c>
      <c r="B2927" s="5" t="s">
        <v>1968</v>
      </c>
      <c r="C2927" s="5" t="s">
        <v>2262</v>
      </c>
      <c r="D2927" s="5" t="s">
        <v>2263</v>
      </c>
      <c r="E2927" s="5" t="s">
        <v>54</v>
      </c>
      <c r="F2927" s="5" t="s">
        <v>54</v>
      </c>
      <c r="G2927" s="5" t="str">
        <f aca="false">INDEX(Risk_Matrix!$B$2:$D$4,MATCH(E2927,Risk_Matrix!$A$2:$A$4,0),MATCH(F2927,Risk_Matrix!$B$1:$D$1,0))</f>
        <v>High</v>
      </c>
      <c r="H2927" s="12" t="n">
        <v>46210</v>
      </c>
      <c r="I2927" s="5" t="s">
        <v>2256</v>
      </c>
      <c r="J2927" s="5" t="s">
        <v>4081</v>
      </c>
      <c r="K2927" s="5" t="s">
        <v>2276</v>
      </c>
      <c r="L2927" s="5" t="n">
        <f aca="false">IF(G2927="High",3,IF(G2927="Medium",2,1))</f>
        <v>3</v>
      </c>
    </row>
    <row r="2928" customFormat="false" ht="15" hidden="false" customHeight="true" outlineLevel="0" collapsed="false">
      <c r="A2928" s="5" t="s">
        <v>5206</v>
      </c>
      <c r="B2928" s="5" t="s">
        <v>1968</v>
      </c>
      <c r="C2928" s="5" t="s">
        <v>2259</v>
      </c>
      <c r="D2928" s="5" t="s">
        <v>2285</v>
      </c>
      <c r="E2928" s="5" t="s">
        <v>59</v>
      </c>
      <c r="F2928" s="5" t="s">
        <v>2225</v>
      </c>
      <c r="G2928" s="5" t="str">
        <f aca="false">INDEX(Risk_Matrix!$B$2:$D$4,MATCH(E2928,Risk_Matrix!$A$2:$A$4,0),MATCH(F2928,Risk_Matrix!$B$1:$D$1,0))</f>
        <v>Low</v>
      </c>
      <c r="H2928" s="12" t="n">
        <v>46173</v>
      </c>
      <c r="I2928" s="5" t="s">
        <v>2256</v>
      </c>
      <c r="J2928" s="5" t="s">
        <v>4081</v>
      </c>
      <c r="K2928" s="5" t="s">
        <v>2276</v>
      </c>
      <c r="L2928" s="5" t="n">
        <f aca="false">IF(G2928="High",3,IF(G2928="Medium",2,1))</f>
        <v>1</v>
      </c>
    </row>
    <row r="2929" customFormat="false" ht="15" hidden="false" customHeight="true" outlineLevel="0" collapsed="false">
      <c r="A2929" s="5" t="s">
        <v>5207</v>
      </c>
      <c r="B2929" s="5" t="s">
        <v>1968</v>
      </c>
      <c r="C2929" s="5" t="s">
        <v>2254</v>
      </c>
      <c r="D2929" s="5" t="s">
        <v>2299</v>
      </c>
      <c r="E2929" s="5" t="s">
        <v>59</v>
      </c>
      <c r="F2929" s="5" t="s">
        <v>2225</v>
      </c>
      <c r="G2929" s="5" t="str">
        <f aca="false">INDEX(Risk_Matrix!$B$2:$D$4,MATCH(E2929,Risk_Matrix!$A$2:$A$4,0),MATCH(F2929,Risk_Matrix!$B$1:$D$1,0))</f>
        <v>Low</v>
      </c>
      <c r="H2929" s="12" t="n">
        <v>46082</v>
      </c>
      <c r="I2929" s="5" t="s">
        <v>2256</v>
      </c>
      <c r="J2929" s="5" t="s">
        <v>4081</v>
      </c>
      <c r="K2929" s="5" t="s">
        <v>2266</v>
      </c>
      <c r="L2929" s="5" t="n">
        <f aca="false">IF(G2929="High",3,IF(G2929="Medium",2,1))</f>
        <v>1</v>
      </c>
    </row>
    <row r="2930" customFormat="false" ht="15" hidden="false" customHeight="true" outlineLevel="0" collapsed="false">
      <c r="A2930" s="5" t="s">
        <v>5208</v>
      </c>
      <c r="B2930" s="5" t="s">
        <v>1970</v>
      </c>
      <c r="C2930" s="5" t="s">
        <v>2239</v>
      </c>
      <c r="D2930" s="5" t="s">
        <v>2278</v>
      </c>
      <c r="E2930" s="5" t="s">
        <v>59</v>
      </c>
      <c r="F2930" s="5" t="s">
        <v>54</v>
      </c>
      <c r="G2930" s="5" t="str">
        <f aca="false">INDEX(Risk_Matrix!$B$2:$D$4,MATCH(E2930,Risk_Matrix!$A$2:$A$4,0),MATCH(F2930,Risk_Matrix!$B$1:$D$1,0))</f>
        <v>Medium</v>
      </c>
      <c r="H2930" s="12" t="n">
        <v>46101</v>
      </c>
      <c r="I2930" s="5" t="s">
        <v>2250</v>
      </c>
      <c r="J2930" s="5" t="s">
        <v>2251</v>
      </c>
      <c r="K2930" s="5" t="s">
        <v>2266</v>
      </c>
      <c r="L2930" s="5" t="n">
        <f aca="false">IF(G2930="High",3,IF(G2930="Medium",2,1))</f>
        <v>2</v>
      </c>
    </row>
    <row r="2931" customFormat="false" ht="15" hidden="false" customHeight="true" outlineLevel="0" collapsed="false">
      <c r="A2931" s="5" t="s">
        <v>5209</v>
      </c>
      <c r="B2931" s="5" t="s">
        <v>1970</v>
      </c>
      <c r="C2931" s="5" t="s">
        <v>2245</v>
      </c>
      <c r="D2931" s="5" t="s">
        <v>2269</v>
      </c>
      <c r="E2931" s="5" t="s">
        <v>59</v>
      </c>
      <c r="F2931" s="5" t="s">
        <v>54</v>
      </c>
      <c r="G2931" s="5" t="str">
        <f aca="false">INDEX(Risk_Matrix!$B$2:$D$4,MATCH(E2931,Risk_Matrix!$A$2:$A$4,0),MATCH(F2931,Risk_Matrix!$B$1:$D$1,0))</f>
        <v>Medium</v>
      </c>
      <c r="H2931" s="12" t="n">
        <v>46118</v>
      </c>
      <c r="I2931" s="5" t="s">
        <v>2256</v>
      </c>
      <c r="J2931" s="5" t="s">
        <v>4081</v>
      </c>
      <c r="K2931" s="5" t="s">
        <v>2252</v>
      </c>
      <c r="L2931" s="5" t="n">
        <f aca="false">IF(G2931="High",3,IF(G2931="Medium",2,1))</f>
        <v>2</v>
      </c>
    </row>
    <row r="2932" customFormat="false" ht="15" hidden="false" customHeight="true" outlineLevel="0" collapsed="false">
      <c r="A2932" s="5" t="s">
        <v>5210</v>
      </c>
      <c r="B2932" s="5" t="s">
        <v>1970</v>
      </c>
      <c r="C2932" s="5" t="s">
        <v>2248</v>
      </c>
      <c r="D2932" s="5" t="s">
        <v>2306</v>
      </c>
      <c r="E2932" s="5" t="s">
        <v>2225</v>
      </c>
      <c r="F2932" s="5" t="s">
        <v>59</v>
      </c>
      <c r="G2932" s="5" t="str">
        <f aca="false">INDEX(Risk_Matrix!$B$2:$D$4,MATCH(E2932,Risk_Matrix!$A$2:$A$4,0),MATCH(F2932,Risk_Matrix!$B$1:$D$1,0))</f>
        <v>Low</v>
      </c>
      <c r="H2932" s="12" t="n">
        <v>46227</v>
      </c>
      <c r="I2932" s="5" t="s">
        <v>2250</v>
      </c>
      <c r="J2932" s="5" t="s">
        <v>2251</v>
      </c>
      <c r="K2932" s="5" t="s">
        <v>2276</v>
      </c>
      <c r="L2932" s="5" t="n">
        <f aca="false">IF(G2932="High",3,IF(G2932="Medium",2,1))</f>
        <v>1</v>
      </c>
    </row>
    <row r="2933" customFormat="false" ht="15" hidden="false" customHeight="true" outlineLevel="0" collapsed="false">
      <c r="A2933" s="5" t="s">
        <v>5211</v>
      </c>
      <c r="B2933" s="5" t="s">
        <v>1970</v>
      </c>
      <c r="C2933" s="5" t="s">
        <v>2262</v>
      </c>
      <c r="D2933" s="5" t="s">
        <v>2311</v>
      </c>
      <c r="E2933" s="5" t="s">
        <v>2225</v>
      </c>
      <c r="F2933" s="5" t="s">
        <v>2225</v>
      </c>
      <c r="G2933" s="5" t="str">
        <f aca="false">INDEX(Risk_Matrix!$B$2:$D$4,MATCH(E2933,Risk_Matrix!$A$2:$A$4,0),MATCH(F2933,Risk_Matrix!$B$1:$D$1,0))</f>
        <v>Medium</v>
      </c>
      <c r="H2933" s="12" t="n">
        <v>46080</v>
      </c>
      <c r="I2933" s="5" t="s">
        <v>2250</v>
      </c>
      <c r="J2933" s="5" t="s">
        <v>2251</v>
      </c>
      <c r="K2933" s="5" t="s">
        <v>2243</v>
      </c>
      <c r="L2933" s="5" t="n">
        <f aca="false">IF(G2933="High",3,IF(G2933="Medium",2,1))</f>
        <v>2</v>
      </c>
    </row>
    <row r="2934" customFormat="false" ht="15" hidden="false" customHeight="true" outlineLevel="0" collapsed="false">
      <c r="A2934" s="5" t="s">
        <v>5212</v>
      </c>
      <c r="B2934" s="5" t="s">
        <v>1970</v>
      </c>
      <c r="C2934" s="5" t="s">
        <v>2259</v>
      </c>
      <c r="D2934" s="5" t="s">
        <v>2285</v>
      </c>
      <c r="E2934" s="5" t="s">
        <v>54</v>
      </c>
      <c r="F2934" s="5" t="s">
        <v>54</v>
      </c>
      <c r="G2934" s="5" t="str">
        <f aca="false">INDEX(Risk_Matrix!$B$2:$D$4,MATCH(E2934,Risk_Matrix!$A$2:$A$4,0),MATCH(F2934,Risk_Matrix!$B$1:$D$1,0))</f>
        <v>High</v>
      </c>
      <c r="H2934" s="12" t="n">
        <v>46219</v>
      </c>
      <c r="I2934" s="5" t="s">
        <v>2250</v>
      </c>
      <c r="J2934" s="5" t="s">
        <v>2251</v>
      </c>
      <c r="K2934" s="5" t="s">
        <v>2276</v>
      </c>
      <c r="L2934" s="5" t="n">
        <f aca="false">IF(G2934="High",3,IF(G2934="Medium",2,1))</f>
        <v>3</v>
      </c>
    </row>
    <row r="2935" customFormat="false" ht="15" hidden="false" customHeight="true" outlineLevel="0" collapsed="false">
      <c r="A2935" s="5" t="s">
        <v>5213</v>
      </c>
      <c r="B2935" s="5" t="s">
        <v>1970</v>
      </c>
      <c r="C2935" s="5" t="s">
        <v>2254</v>
      </c>
      <c r="D2935" s="5" t="s">
        <v>2255</v>
      </c>
      <c r="E2935" s="5" t="s">
        <v>59</v>
      </c>
      <c r="F2935" s="5" t="s">
        <v>2225</v>
      </c>
      <c r="G2935" s="5" t="str">
        <f aca="false">INDEX(Risk_Matrix!$B$2:$D$4,MATCH(E2935,Risk_Matrix!$A$2:$A$4,0),MATCH(F2935,Risk_Matrix!$B$1:$D$1,0))</f>
        <v>Low</v>
      </c>
      <c r="H2935" s="12" t="n">
        <v>46117</v>
      </c>
      <c r="I2935" s="5" t="s">
        <v>2241</v>
      </c>
      <c r="J2935" s="5" t="s">
        <v>2242</v>
      </c>
      <c r="K2935" s="5" t="s">
        <v>2252</v>
      </c>
      <c r="L2935" s="5" t="n">
        <f aca="false">IF(G2935="High",3,IF(G2935="Medium",2,1))</f>
        <v>1</v>
      </c>
    </row>
    <row r="2936" customFormat="false" ht="15" hidden="false" customHeight="true" outlineLevel="0" collapsed="false">
      <c r="A2936" s="5" t="s">
        <v>5214</v>
      </c>
      <c r="B2936" s="5" t="s">
        <v>1972</v>
      </c>
      <c r="C2936" s="5" t="s">
        <v>2239</v>
      </c>
      <c r="D2936" s="5" t="s">
        <v>2278</v>
      </c>
      <c r="E2936" s="5" t="s">
        <v>2225</v>
      </c>
      <c r="F2936" s="5" t="s">
        <v>2225</v>
      </c>
      <c r="G2936" s="5" t="str">
        <f aca="false">INDEX(Risk_Matrix!$B$2:$D$4,MATCH(E2936,Risk_Matrix!$A$2:$A$4,0),MATCH(F2936,Risk_Matrix!$B$1:$D$1,0))</f>
        <v>Medium</v>
      </c>
      <c r="H2936" s="12" t="n">
        <v>46190</v>
      </c>
      <c r="I2936" s="5" t="s">
        <v>2241</v>
      </c>
      <c r="J2936" s="5" t="s">
        <v>2242</v>
      </c>
      <c r="K2936" s="5" t="s">
        <v>2266</v>
      </c>
      <c r="L2936" s="5" t="n">
        <f aca="false">IF(G2936="High",3,IF(G2936="Medium",2,1))</f>
        <v>2</v>
      </c>
    </row>
    <row r="2937" customFormat="false" ht="15" hidden="false" customHeight="true" outlineLevel="0" collapsed="false">
      <c r="A2937" s="5" t="s">
        <v>5215</v>
      </c>
      <c r="B2937" s="5" t="s">
        <v>1972</v>
      </c>
      <c r="C2937" s="5" t="s">
        <v>2245</v>
      </c>
      <c r="D2937" s="5" t="s">
        <v>2269</v>
      </c>
      <c r="E2937" s="5" t="s">
        <v>2225</v>
      </c>
      <c r="F2937" s="5" t="s">
        <v>54</v>
      </c>
      <c r="G2937" s="5" t="str">
        <f aca="false">INDEX(Risk_Matrix!$B$2:$D$4,MATCH(E2937,Risk_Matrix!$A$2:$A$4,0),MATCH(F2937,Risk_Matrix!$B$1:$D$1,0))</f>
        <v>High</v>
      </c>
      <c r="H2937" s="12" t="n">
        <v>46220</v>
      </c>
      <c r="I2937" s="5" t="s">
        <v>2256</v>
      </c>
      <c r="J2937" s="5" t="s">
        <v>4081</v>
      </c>
      <c r="K2937" s="5" t="s">
        <v>2243</v>
      </c>
      <c r="L2937" s="5" t="n">
        <f aca="false">IF(G2937="High",3,IF(G2937="Medium",2,1))</f>
        <v>3</v>
      </c>
    </row>
    <row r="2938" customFormat="false" ht="15" hidden="false" customHeight="true" outlineLevel="0" collapsed="false">
      <c r="A2938" s="5" t="s">
        <v>5216</v>
      </c>
      <c r="B2938" s="5" t="s">
        <v>1972</v>
      </c>
      <c r="C2938" s="5" t="s">
        <v>2248</v>
      </c>
      <c r="D2938" s="5" t="s">
        <v>2249</v>
      </c>
      <c r="E2938" s="5" t="s">
        <v>59</v>
      </c>
      <c r="F2938" s="5" t="s">
        <v>2225</v>
      </c>
      <c r="G2938" s="5" t="str">
        <f aca="false">INDEX(Risk_Matrix!$B$2:$D$4,MATCH(E2938,Risk_Matrix!$A$2:$A$4,0),MATCH(F2938,Risk_Matrix!$B$1:$D$1,0))</f>
        <v>Low</v>
      </c>
      <c r="H2938" s="12" t="n">
        <v>46113</v>
      </c>
      <c r="I2938" s="5" t="s">
        <v>2256</v>
      </c>
      <c r="J2938" s="5" t="s">
        <v>4081</v>
      </c>
      <c r="K2938" s="5" t="s">
        <v>2252</v>
      </c>
      <c r="L2938" s="5" t="n">
        <f aca="false">IF(G2938="High",3,IF(G2938="Medium",2,1))</f>
        <v>1</v>
      </c>
    </row>
    <row r="2939" customFormat="false" ht="15" hidden="false" customHeight="true" outlineLevel="0" collapsed="false">
      <c r="A2939" s="5" t="s">
        <v>5217</v>
      </c>
      <c r="B2939" s="5" t="s">
        <v>1972</v>
      </c>
      <c r="C2939" s="5" t="s">
        <v>2262</v>
      </c>
      <c r="D2939" s="5" t="s">
        <v>2287</v>
      </c>
      <c r="E2939" s="5" t="s">
        <v>2225</v>
      </c>
      <c r="F2939" s="5" t="s">
        <v>59</v>
      </c>
      <c r="G2939" s="5" t="str">
        <f aca="false">INDEX(Risk_Matrix!$B$2:$D$4,MATCH(E2939,Risk_Matrix!$A$2:$A$4,0),MATCH(F2939,Risk_Matrix!$B$1:$D$1,0))</f>
        <v>Low</v>
      </c>
      <c r="H2939" s="12" t="n">
        <v>46031</v>
      </c>
      <c r="I2939" s="5" t="s">
        <v>2264</v>
      </c>
      <c r="J2939" s="5" t="s">
        <v>4087</v>
      </c>
      <c r="K2939" s="5" t="s">
        <v>2252</v>
      </c>
      <c r="L2939" s="5" t="n">
        <f aca="false">IF(G2939="High",3,IF(G2939="Medium",2,1))</f>
        <v>1</v>
      </c>
    </row>
    <row r="2940" customFormat="false" ht="15" hidden="false" customHeight="true" outlineLevel="0" collapsed="false">
      <c r="A2940" s="5" t="s">
        <v>5218</v>
      </c>
      <c r="B2940" s="5" t="s">
        <v>1972</v>
      </c>
      <c r="C2940" s="5" t="s">
        <v>2259</v>
      </c>
      <c r="D2940" s="5" t="s">
        <v>2260</v>
      </c>
      <c r="E2940" s="5" t="s">
        <v>59</v>
      </c>
      <c r="F2940" s="5" t="s">
        <v>54</v>
      </c>
      <c r="G2940" s="5" t="str">
        <f aca="false">INDEX(Risk_Matrix!$B$2:$D$4,MATCH(E2940,Risk_Matrix!$A$2:$A$4,0),MATCH(F2940,Risk_Matrix!$B$1:$D$1,0))</f>
        <v>Medium</v>
      </c>
      <c r="H2940" s="12" t="n">
        <v>46206</v>
      </c>
      <c r="I2940" s="5" t="s">
        <v>2250</v>
      </c>
      <c r="J2940" s="5" t="s">
        <v>2251</v>
      </c>
      <c r="K2940" s="5" t="s">
        <v>2283</v>
      </c>
      <c r="L2940" s="5" t="n">
        <f aca="false">IF(G2940="High",3,IF(G2940="Medium",2,1))</f>
        <v>2</v>
      </c>
    </row>
    <row r="2941" customFormat="false" ht="15" hidden="false" customHeight="true" outlineLevel="0" collapsed="false">
      <c r="A2941" s="5" t="s">
        <v>5219</v>
      </c>
      <c r="B2941" s="5" t="s">
        <v>1972</v>
      </c>
      <c r="C2941" s="5" t="s">
        <v>2254</v>
      </c>
      <c r="D2941" s="5" t="s">
        <v>2299</v>
      </c>
      <c r="E2941" s="5" t="s">
        <v>54</v>
      </c>
      <c r="F2941" s="5" t="s">
        <v>2225</v>
      </c>
      <c r="G2941" s="5" t="str">
        <f aca="false">INDEX(Risk_Matrix!$B$2:$D$4,MATCH(E2941,Risk_Matrix!$A$2:$A$4,0),MATCH(F2941,Risk_Matrix!$B$1:$D$1,0))</f>
        <v>High</v>
      </c>
      <c r="H2941" s="12" t="n">
        <v>46185</v>
      </c>
      <c r="I2941" s="5" t="s">
        <v>2264</v>
      </c>
      <c r="J2941" s="5" t="s">
        <v>4087</v>
      </c>
      <c r="K2941" s="5" t="s">
        <v>2276</v>
      </c>
      <c r="L2941" s="5" t="n">
        <f aca="false">IF(G2941="High",3,IF(G2941="Medium",2,1))</f>
        <v>3</v>
      </c>
    </row>
    <row r="2942" customFormat="false" ht="15" hidden="false" customHeight="true" outlineLevel="0" collapsed="false">
      <c r="A2942" s="5" t="s">
        <v>5220</v>
      </c>
      <c r="B2942" s="5" t="s">
        <v>1974</v>
      </c>
      <c r="C2942" s="5" t="s">
        <v>2239</v>
      </c>
      <c r="D2942" s="5" t="s">
        <v>2240</v>
      </c>
      <c r="E2942" s="5" t="s">
        <v>59</v>
      </c>
      <c r="F2942" s="5" t="s">
        <v>59</v>
      </c>
      <c r="G2942" s="5" t="str">
        <f aca="false">INDEX(Risk_Matrix!$B$2:$D$4,MATCH(E2942,Risk_Matrix!$A$2:$A$4,0),MATCH(F2942,Risk_Matrix!$B$1:$D$1,0))</f>
        <v>Low</v>
      </c>
      <c r="H2942" s="12" t="n">
        <v>46196</v>
      </c>
      <c r="I2942" s="5" t="s">
        <v>2241</v>
      </c>
      <c r="J2942" s="5" t="s">
        <v>2242</v>
      </c>
      <c r="K2942" s="5" t="s">
        <v>2283</v>
      </c>
      <c r="L2942" s="5" t="n">
        <f aca="false">IF(G2942="High",3,IF(G2942="Medium",2,1))</f>
        <v>1</v>
      </c>
    </row>
    <row r="2943" customFormat="false" ht="15" hidden="false" customHeight="true" outlineLevel="0" collapsed="false">
      <c r="A2943" s="5" t="s">
        <v>5221</v>
      </c>
      <c r="B2943" s="5" t="s">
        <v>1974</v>
      </c>
      <c r="C2943" s="5" t="s">
        <v>2245</v>
      </c>
      <c r="D2943" s="5" t="s">
        <v>2269</v>
      </c>
      <c r="E2943" s="5" t="s">
        <v>2225</v>
      </c>
      <c r="F2943" s="5" t="s">
        <v>59</v>
      </c>
      <c r="G2943" s="5" t="str">
        <f aca="false">INDEX(Risk_Matrix!$B$2:$D$4,MATCH(E2943,Risk_Matrix!$A$2:$A$4,0),MATCH(F2943,Risk_Matrix!$B$1:$D$1,0))</f>
        <v>Low</v>
      </c>
      <c r="H2943" s="12" t="n">
        <v>46117</v>
      </c>
      <c r="I2943" s="5" t="s">
        <v>2250</v>
      </c>
      <c r="J2943" s="5" t="s">
        <v>2251</v>
      </c>
      <c r="K2943" s="5" t="s">
        <v>2283</v>
      </c>
      <c r="L2943" s="5" t="n">
        <f aca="false">IF(G2943="High",3,IF(G2943="Medium",2,1))</f>
        <v>1</v>
      </c>
    </row>
    <row r="2944" customFormat="false" ht="15" hidden="false" customHeight="true" outlineLevel="0" collapsed="false">
      <c r="A2944" s="5" t="s">
        <v>5222</v>
      </c>
      <c r="B2944" s="5" t="s">
        <v>1974</v>
      </c>
      <c r="C2944" s="5" t="s">
        <v>2248</v>
      </c>
      <c r="D2944" s="5" t="s">
        <v>2249</v>
      </c>
      <c r="E2944" s="5" t="s">
        <v>59</v>
      </c>
      <c r="F2944" s="5" t="s">
        <v>2225</v>
      </c>
      <c r="G2944" s="5" t="str">
        <f aca="false">INDEX(Risk_Matrix!$B$2:$D$4,MATCH(E2944,Risk_Matrix!$A$2:$A$4,0),MATCH(F2944,Risk_Matrix!$B$1:$D$1,0))</f>
        <v>Low</v>
      </c>
      <c r="H2944" s="12" t="n">
        <v>46184</v>
      </c>
      <c r="I2944" s="5" t="s">
        <v>2241</v>
      </c>
      <c r="J2944" s="5" t="s">
        <v>2242</v>
      </c>
      <c r="K2944" s="5" t="s">
        <v>2252</v>
      </c>
      <c r="L2944" s="5" t="n">
        <f aca="false">IF(G2944="High",3,IF(G2944="Medium",2,1))</f>
        <v>1</v>
      </c>
    </row>
    <row r="2945" customFormat="false" ht="15" hidden="false" customHeight="true" outlineLevel="0" collapsed="false">
      <c r="A2945" s="5" t="s">
        <v>5223</v>
      </c>
      <c r="B2945" s="5" t="s">
        <v>1974</v>
      </c>
      <c r="C2945" s="5" t="s">
        <v>2262</v>
      </c>
      <c r="D2945" s="5" t="s">
        <v>2263</v>
      </c>
      <c r="E2945" s="5" t="s">
        <v>59</v>
      </c>
      <c r="F2945" s="5" t="s">
        <v>2225</v>
      </c>
      <c r="G2945" s="5" t="str">
        <f aca="false">INDEX(Risk_Matrix!$B$2:$D$4,MATCH(E2945,Risk_Matrix!$A$2:$A$4,0),MATCH(F2945,Risk_Matrix!$B$1:$D$1,0))</f>
        <v>Low</v>
      </c>
      <c r="H2945" s="12" t="n">
        <v>46037</v>
      </c>
      <c r="I2945" s="5" t="s">
        <v>2264</v>
      </c>
      <c r="J2945" s="5" t="s">
        <v>4087</v>
      </c>
      <c r="K2945" s="5" t="s">
        <v>2276</v>
      </c>
      <c r="L2945" s="5" t="n">
        <f aca="false">IF(G2945="High",3,IF(G2945="Medium",2,1))</f>
        <v>1</v>
      </c>
    </row>
    <row r="2946" customFormat="false" ht="15" hidden="false" customHeight="true" outlineLevel="0" collapsed="false">
      <c r="A2946" s="5" t="s">
        <v>5224</v>
      </c>
      <c r="B2946" s="5" t="s">
        <v>1974</v>
      </c>
      <c r="C2946" s="5" t="s">
        <v>2259</v>
      </c>
      <c r="D2946" s="5" t="s">
        <v>2260</v>
      </c>
      <c r="E2946" s="5" t="s">
        <v>54</v>
      </c>
      <c r="F2946" s="5" t="s">
        <v>59</v>
      </c>
      <c r="G2946" s="5" t="str">
        <f aca="false">INDEX(Risk_Matrix!$B$2:$D$4,MATCH(E2946,Risk_Matrix!$A$2:$A$4,0),MATCH(F2946,Risk_Matrix!$B$1:$D$1,0))</f>
        <v>Medium</v>
      </c>
      <c r="H2946" s="12" t="n">
        <v>46153</v>
      </c>
      <c r="I2946" s="5" t="s">
        <v>2250</v>
      </c>
      <c r="J2946" s="5" t="s">
        <v>2251</v>
      </c>
      <c r="K2946" s="5" t="s">
        <v>2266</v>
      </c>
      <c r="L2946" s="5" t="n">
        <f aca="false">IF(G2946="High",3,IF(G2946="Medium",2,1))</f>
        <v>2</v>
      </c>
    </row>
    <row r="2947" customFormat="false" ht="15" hidden="false" customHeight="true" outlineLevel="0" collapsed="false">
      <c r="A2947" s="5" t="s">
        <v>5225</v>
      </c>
      <c r="B2947" s="5" t="s">
        <v>1974</v>
      </c>
      <c r="C2947" s="5" t="s">
        <v>2254</v>
      </c>
      <c r="D2947" s="5" t="s">
        <v>2308</v>
      </c>
      <c r="E2947" s="5" t="s">
        <v>54</v>
      </c>
      <c r="F2947" s="5" t="s">
        <v>59</v>
      </c>
      <c r="G2947" s="5" t="str">
        <f aca="false">INDEX(Risk_Matrix!$B$2:$D$4,MATCH(E2947,Risk_Matrix!$A$2:$A$4,0),MATCH(F2947,Risk_Matrix!$B$1:$D$1,0))</f>
        <v>Medium</v>
      </c>
      <c r="H2947" s="12" t="n">
        <v>46139</v>
      </c>
      <c r="I2947" s="5" t="s">
        <v>2264</v>
      </c>
      <c r="J2947" s="5" t="s">
        <v>4087</v>
      </c>
      <c r="K2947" s="5" t="s">
        <v>2243</v>
      </c>
      <c r="L2947" s="5" t="n">
        <f aca="false">IF(G2947="High",3,IF(G2947="Medium",2,1))</f>
        <v>2</v>
      </c>
    </row>
    <row r="2948" customFormat="false" ht="15" hidden="false" customHeight="true" outlineLevel="0" collapsed="false">
      <c r="A2948" s="5" t="s">
        <v>5226</v>
      </c>
      <c r="B2948" s="5" t="s">
        <v>1976</v>
      </c>
      <c r="C2948" s="5" t="s">
        <v>2239</v>
      </c>
      <c r="D2948" s="5" t="s">
        <v>2278</v>
      </c>
      <c r="E2948" s="5" t="s">
        <v>59</v>
      </c>
      <c r="F2948" s="5" t="s">
        <v>59</v>
      </c>
      <c r="G2948" s="5" t="str">
        <f aca="false">INDEX(Risk_Matrix!$B$2:$D$4,MATCH(E2948,Risk_Matrix!$A$2:$A$4,0),MATCH(F2948,Risk_Matrix!$B$1:$D$1,0))</f>
        <v>Low</v>
      </c>
      <c r="H2948" s="12" t="n">
        <v>46032</v>
      </c>
      <c r="I2948" s="5" t="s">
        <v>2250</v>
      </c>
      <c r="J2948" s="5" t="s">
        <v>2251</v>
      </c>
      <c r="K2948" s="5" t="s">
        <v>2243</v>
      </c>
      <c r="L2948" s="5" t="n">
        <f aca="false">IF(G2948="High",3,IF(G2948="Medium",2,1))</f>
        <v>1</v>
      </c>
    </row>
    <row r="2949" customFormat="false" ht="15" hidden="false" customHeight="true" outlineLevel="0" collapsed="false">
      <c r="A2949" s="5" t="s">
        <v>5227</v>
      </c>
      <c r="B2949" s="5" t="s">
        <v>1976</v>
      </c>
      <c r="C2949" s="5" t="s">
        <v>2245</v>
      </c>
      <c r="D2949" s="5" t="s">
        <v>2269</v>
      </c>
      <c r="E2949" s="5" t="s">
        <v>2225</v>
      </c>
      <c r="F2949" s="5" t="s">
        <v>2225</v>
      </c>
      <c r="G2949" s="5" t="str">
        <f aca="false">INDEX(Risk_Matrix!$B$2:$D$4,MATCH(E2949,Risk_Matrix!$A$2:$A$4,0),MATCH(F2949,Risk_Matrix!$B$1:$D$1,0))</f>
        <v>Medium</v>
      </c>
      <c r="H2949" s="12" t="n">
        <v>46074</v>
      </c>
      <c r="I2949" s="5" t="s">
        <v>2264</v>
      </c>
      <c r="J2949" s="5" t="s">
        <v>4087</v>
      </c>
      <c r="K2949" s="5" t="s">
        <v>2276</v>
      </c>
      <c r="L2949" s="5" t="n">
        <f aca="false">IF(G2949="High",3,IF(G2949="Medium",2,1))</f>
        <v>2</v>
      </c>
    </row>
    <row r="2950" customFormat="false" ht="15" hidden="false" customHeight="true" outlineLevel="0" collapsed="false">
      <c r="A2950" s="5" t="s">
        <v>5228</v>
      </c>
      <c r="B2950" s="5" t="s">
        <v>1976</v>
      </c>
      <c r="C2950" s="5" t="s">
        <v>2248</v>
      </c>
      <c r="D2950" s="5" t="s">
        <v>2249</v>
      </c>
      <c r="E2950" s="5" t="s">
        <v>54</v>
      </c>
      <c r="F2950" s="5" t="s">
        <v>54</v>
      </c>
      <c r="G2950" s="5" t="str">
        <f aca="false">INDEX(Risk_Matrix!$B$2:$D$4,MATCH(E2950,Risk_Matrix!$A$2:$A$4,0),MATCH(F2950,Risk_Matrix!$B$1:$D$1,0))</f>
        <v>High</v>
      </c>
      <c r="H2950" s="12" t="n">
        <v>46207</v>
      </c>
      <c r="I2950" s="5" t="s">
        <v>2256</v>
      </c>
      <c r="J2950" s="5" t="s">
        <v>4081</v>
      </c>
      <c r="K2950" s="5" t="s">
        <v>2252</v>
      </c>
      <c r="L2950" s="5" t="n">
        <f aca="false">IF(G2950="High",3,IF(G2950="Medium",2,1))</f>
        <v>3</v>
      </c>
    </row>
    <row r="2951" customFormat="false" ht="15" hidden="false" customHeight="true" outlineLevel="0" collapsed="false">
      <c r="A2951" s="5" t="s">
        <v>5229</v>
      </c>
      <c r="B2951" s="5" t="s">
        <v>1976</v>
      </c>
      <c r="C2951" s="5" t="s">
        <v>2262</v>
      </c>
      <c r="D2951" s="5" t="s">
        <v>2287</v>
      </c>
      <c r="E2951" s="5" t="s">
        <v>2225</v>
      </c>
      <c r="F2951" s="5" t="s">
        <v>2225</v>
      </c>
      <c r="G2951" s="5" t="str">
        <f aca="false">INDEX(Risk_Matrix!$B$2:$D$4,MATCH(E2951,Risk_Matrix!$A$2:$A$4,0),MATCH(F2951,Risk_Matrix!$B$1:$D$1,0))</f>
        <v>Medium</v>
      </c>
      <c r="H2951" s="12" t="n">
        <v>46087</v>
      </c>
      <c r="I2951" s="5" t="s">
        <v>2250</v>
      </c>
      <c r="J2951" s="5" t="s">
        <v>2251</v>
      </c>
      <c r="K2951" s="5" t="s">
        <v>2252</v>
      </c>
      <c r="L2951" s="5" t="n">
        <f aca="false">IF(G2951="High",3,IF(G2951="Medium",2,1))</f>
        <v>2</v>
      </c>
    </row>
    <row r="2952" customFormat="false" ht="15" hidden="false" customHeight="true" outlineLevel="0" collapsed="false">
      <c r="A2952" s="5" t="s">
        <v>5230</v>
      </c>
      <c r="B2952" s="5" t="s">
        <v>1976</v>
      </c>
      <c r="C2952" s="5" t="s">
        <v>2259</v>
      </c>
      <c r="D2952" s="5" t="s">
        <v>2274</v>
      </c>
      <c r="E2952" s="5" t="s">
        <v>54</v>
      </c>
      <c r="F2952" s="5" t="s">
        <v>2225</v>
      </c>
      <c r="G2952" s="5" t="str">
        <f aca="false">INDEX(Risk_Matrix!$B$2:$D$4,MATCH(E2952,Risk_Matrix!$A$2:$A$4,0),MATCH(F2952,Risk_Matrix!$B$1:$D$1,0))</f>
        <v>High</v>
      </c>
      <c r="H2952" s="12" t="n">
        <v>46109</v>
      </c>
      <c r="I2952" s="5" t="s">
        <v>2241</v>
      </c>
      <c r="J2952" s="5" t="s">
        <v>2242</v>
      </c>
      <c r="K2952" s="5" t="s">
        <v>2243</v>
      </c>
      <c r="L2952" s="5" t="n">
        <f aca="false">IF(G2952="High",3,IF(G2952="Medium",2,1))</f>
        <v>3</v>
      </c>
    </row>
    <row r="2953" customFormat="false" ht="15" hidden="false" customHeight="true" outlineLevel="0" collapsed="false">
      <c r="A2953" s="5" t="s">
        <v>5231</v>
      </c>
      <c r="B2953" s="5" t="s">
        <v>1976</v>
      </c>
      <c r="C2953" s="5" t="s">
        <v>2254</v>
      </c>
      <c r="D2953" s="5" t="s">
        <v>2299</v>
      </c>
      <c r="E2953" s="5" t="s">
        <v>59</v>
      </c>
      <c r="F2953" s="5" t="s">
        <v>54</v>
      </c>
      <c r="G2953" s="5" t="str">
        <f aca="false">INDEX(Risk_Matrix!$B$2:$D$4,MATCH(E2953,Risk_Matrix!$A$2:$A$4,0),MATCH(F2953,Risk_Matrix!$B$1:$D$1,0))</f>
        <v>Medium</v>
      </c>
      <c r="H2953" s="12" t="n">
        <v>46227</v>
      </c>
      <c r="I2953" s="5" t="s">
        <v>2264</v>
      </c>
      <c r="J2953" s="5" t="s">
        <v>4087</v>
      </c>
      <c r="K2953" s="5" t="s">
        <v>2266</v>
      </c>
      <c r="L2953" s="5" t="n">
        <f aca="false">IF(G2953="High",3,IF(G2953="Medium",2,1))</f>
        <v>2</v>
      </c>
    </row>
    <row r="2954" customFormat="false" ht="15" hidden="false" customHeight="true" outlineLevel="0" collapsed="false">
      <c r="A2954" s="5" t="s">
        <v>5232</v>
      </c>
      <c r="B2954" s="5" t="s">
        <v>1978</v>
      </c>
      <c r="C2954" s="5" t="s">
        <v>2239</v>
      </c>
      <c r="D2954" s="5" t="s">
        <v>2303</v>
      </c>
      <c r="E2954" s="5" t="s">
        <v>54</v>
      </c>
      <c r="F2954" s="5" t="s">
        <v>2225</v>
      </c>
      <c r="G2954" s="5" t="str">
        <f aca="false">INDEX(Risk_Matrix!$B$2:$D$4,MATCH(E2954,Risk_Matrix!$A$2:$A$4,0),MATCH(F2954,Risk_Matrix!$B$1:$D$1,0))</f>
        <v>High</v>
      </c>
      <c r="H2954" s="12" t="n">
        <v>46085</v>
      </c>
      <c r="I2954" s="5" t="s">
        <v>2241</v>
      </c>
      <c r="J2954" s="5" t="s">
        <v>2242</v>
      </c>
      <c r="K2954" s="5" t="s">
        <v>2283</v>
      </c>
      <c r="L2954" s="5" t="n">
        <f aca="false">IF(G2954="High",3,IF(G2954="Medium",2,1))</f>
        <v>3</v>
      </c>
    </row>
    <row r="2955" customFormat="false" ht="15" hidden="false" customHeight="true" outlineLevel="0" collapsed="false">
      <c r="A2955" s="5" t="s">
        <v>5233</v>
      </c>
      <c r="B2955" s="5" t="s">
        <v>1978</v>
      </c>
      <c r="C2955" s="5" t="s">
        <v>2245</v>
      </c>
      <c r="D2955" s="5" t="s">
        <v>2320</v>
      </c>
      <c r="E2955" s="5" t="s">
        <v>54</v>
      </c>
      <c r="F2955" s="5" t="s">
        <v>54</v>
      </c>
      <c r="G2955" s="5" t="str">
        <f aca="false">INDEX(Risk_Matrix!$B$2:$D$4,MATCH(E2955,Risk_Matrix!$A$2:$A$4,0),MATCH(F2955,Risk_Matrix!$B$1:$D$1,0))</f>
        <v>High</v>
      </c>
      <c r="H2955" s="12" t="n">
        <v>46095</v>
      </c>
      <c r="I2955" s="5" t="s">
        <v>2264</v>
      </c>
      <c r="J2955" s="5" t="s">
        <v>4087</v>
      </c>
      <c r="K2955" s="5" t="s">
        <v>2276</v>
      </c>
      <c r="L2955" s="5" t="n">
        <f aca="false">IF(G2955="High",3,IF(G2955="Medium",2,1))</f>
        <v>3</v>
      </c>
    </row>
    <row r="2956" customFormat="false" ht="15" hidden="false" customHeight="true" outlineLevel="0" collapsed="false">
      <c r="A2956" s="5" t="s">
        <v>5234</v>
      </c>
      <c r="B2956" s="5" t="s">
        <v>1978</v>
      </c>
      <c r="C2956" s="5" t="s">
        <v>2248</v>
      </c>
      <c r="D2956" s="5" t="s">
        <v>2271</v>
      </c>
      <c r="E2956" s="5" t="s">
        <v>2225</v>
      </c>
      <c r="F2956" s="5" t="s">
        <v>54</v>
      </c>
      <c r="G2956" s="5" t="str">
        <f aca="false">INDEX(Risk_Matrix!$B$2:$D$4,MATCH(E2956,Risk_Matrix!$A$2:$A$4,0),MATCH(F2956,Risk_Matrix!$B$1:$D$1,0))</f>
        <v>High</v>
      </c>
      <c r="H2956" s="12" t="n">
        <v>46178</v>
      </c>
      <c r="I2956" s="5" t="s">
        <v>2256</v>
      </c>
      <c r="J2956" s="5" t="s">
        <v>4081</v>
      </c>
      <c r="K2956" s="5" t="s">
        <v>2276</v>
      </c>
      <c r="L2956" s="5" t="n">
        <f aca="false">IF(G2956="High",3,IF(G2956="Medium",2,1))</f>
        <v>3</v>
      </c>
    </row>
    <row r="2957" customFormat="false" ht="15" hidden="false" customHeight="true" outlineLevel="0" collapsed="false">
      <c r="A2957" s="5" t="s">
        <v>5235</v>
      </c>
      <c r="B2957" s="5" t="s">
        <v>1978</v>
      </c>
      <c r="C2957" s="5" t="s">
        <v>2262</v>
      </c>
      <c r="D2957" s="5" t="s">
        <v>2287</v>
      </c>
      <c r="E2957" s="5" t="s">
        <v>59</v>
      </c>
      <c r="F2957" s="5" t="s">
        <v>59</v>
      </c>
      <c r="G2957" s="5" t="str">
        <f aca="false">INDEX(Risk_Matrix!$B$2:$D$4,MATCH(E2957,Risk_Matrix!$A$2:$A$4,0),MATCH(F2957,Risk_Matrix!$B$1:$D$1,0))</f>
        <v>Low</v>
      </c>
      <c r="H2957" s="12" t="n">
        <v>46141</v>
      </c>
      <c r="I2957" s="5" t="s">
        <v>2241</v>
      </c>
      <c r="J2957" s="5" t="s">
        <v>2242</v>
      </c>
      <c r="K2957" s="5" t="s">
        <v>2283</v>
      </c>
      <c r="L2957" s="5" t="n">
        <f aca="false">IF(G2957="High",3,IF(G2957="Medium",2,1))</f>
        <v>1</v>
      </c>
    </row>
    <row r="2958" customFormat="false" ht="15" hidden="false" customHeight="true" outlineLevel="0" collapsed="false">
      <c r="A2958" s="5" t="s">
        <v>5236</v>
      </c>
      <c r="B2958" s="5" t="s">
        <v>1978</v>
      </c>
      <c r="C2958" s="5" t="s">
        <v>2259</v>
      </c>
      <c r="D2958" s="5" t="s">
        <v>2285</v>
      </c>
      <c r="E2958" s="5" t="s">
        <v>54</v>
      </c>
      <c r="F2958" s="5" t="s">
        <v>59</v>
      </c>
      <c r="G2958" s="5" t="str">
        <f aca="false">INDEX(Risk_Matrix!$B$2:$D$4,MATCH(E2958,Risk_Matrix!$A$2:$A$4,0),MATCH(F2958,Risk_Matrix!$B$1:$D$1,0))</f>
        <v>Medium</v>
      </c>
      <c r="H2958" s="12" t="n">
        <v>46207</v>
      </c>
      <c r="I2958" s="5" t="s">
        <v>2250</v>
      </c>
      <c r="J2958" s="5" t="s">
        <v>2251</v>
      </c>
      <c r="K2958" s="5" t="s">
        <v>2276</v>
      </c>
      <c r="L2958" s="5" t="n">
        <f aca="false">IF(G2958="High",3,IF(G2958="Medium",2,1))</f>
        <v>2</v>
      </c>
    </row>
    <row r="2959" customFormat="false" ht="15" hidden="false" customHeight="true" outlineLevel="0" collapsed="false">
      <c r="A2959" s="5" t="s">
        <v>5237</v>
      </c>
      <c r="B2959" s="5" t="s">
        <v>1978</v>
      </c>
      <c r="C2959" s="5" t="s">
        <v>2254</v>
      </c>
      <c r="D2959" s="5" t="s">
        <v>2308</v>
      </c>
      <c r="E2959" s="5" t="s">
        <v>59</v>
      </c>
      <c r="F2959" s="5" t="s">
        <v>54</v>
      </c>
      <c r="G2959" s="5" t="str">
        <f aca="false">INDEX(Risk_Matrix!$B$2:$D$4,MATCH(E2959,Risk_Matrix!$A$2:$A$4,0),MATCH(F2959,Risk_Matrix!$B$1:$D$1,0))</f>
        <v>Medium</v>
      </c>
      <c r="H2959" s="12" t="n">
        <v>46211</v>
      </c>
      <c r="I2959" s="5" t="s">
        <v>2250</v>
      </c>
      <c r="J2959" s="5" t="s">
        <v>2251</v>
      </c>
      <c r="K2959" s="5" t="s">
        <v>2266</v>
      </c>
      <c r="L2959" s="5" t="n">
        <f aca="false">IF(G2959="High",3,IF(G2959="Medium",2,1))</f>
        <v>2</v>
      </c>
    </row>
    <row r="2960" customFormat="false" ht="15" hidden="false" customHeight="true" outlineLevel="0" collapsed="false">
      <c r="A2960" s="5" t="s">
        <v>5238</v>
      </c>
      <c r="B2960" s="5" t="s">
        <v>1980</v>
      </c>
      <c r="C2960" s="5" t="s">
        <v>2239</v>
      </c>
      <c r="D2960" s="5" t="s">
        <v>2295</v>
      </c>
      <c r="E2960" s="5" t="s">
        <v>54</v>
      </c>
      <c r="F2960" s="5" t="s">
        <v>2225</v>
      </c>
      <c r="G2960" s="5" t="str">
        <f aca="false">INDEX(Risk_Matrix!$B$2:$D$4,MATCH(E2960,Risk_Matrix!$A$2:$A$4,0),MATCH(F2960,Risk_Matrix!$B$1:$D$1,0))</f>
        <v>High</v>
      </c>
      <c r="H2960" s="12" t="n">
        <v>46152</v>
      </c>
      <c r="I2960" s="5" t="s">
        <v>2241</v>
      </c>
      <c r="J2960" s="5" t="s">
        <v>2242</v>
      </c>
      <c r="K2960" s="5" t="s">
        <v>2283</v>
      </c>
      <c r="L2960" s="5" t="n">
        <f aca="false">IF(G2960="High",3,IF(G2960="Medium",2,1))</f>
        <v>3</v>
      </c>
    </row>
    <row r="2961" customFormat="false" ht="15" hidden="false" customHeight="true" outlineLevel="0" collapsed="false">
      <c r="A2961" s="5" t="s">
        <v>5239</v>
      </c>
      <c r="B2961" s="5" t="s">
        <v>1980</v>
      </c>
      <c r="C2961" s="5" t="s">
        <v>2245</v>
      </c>
      <c r="D2961" s="5" t="s">
        <v>2269</v>
      </c>
      <c r="E2961" s="5" t="s">
        <v>54</v>
      </c>
      <c r="F2961" s="5" t="s">
        <v>59</v>
      </c>
      <c r="G2961" s="5" t="str">
        <f aca="false">INDEX(Risk_Matrix!$B$2:$D$4,MATCH(E2961,Risk_Matrix!$A$2:$A$4,0),MATCH(F2961,Risk_Matrix!$B$1:$D$1,0))</f>
        <v>Medium</v>
      </c>
      <c r="H2961" s="12" t="n">
        <v>46196</v>
      </c>
      <c r="I2961" s="5" t="s">
        <v>2256</v>
      </c>
      <c r="J2961" s="5" t="s">
        <v>4081</v>
      </c>
      <c r="K2961" s="5" t="s">
        <v>2243</v>
      </c>
      <c r="L2961" s="5" t="n">
        <f aca="false">IF(G2961="High",3,IF(G2961="Medium",2,1))</f>
        <v>2</v>
      </c>
    </row>
    <row r="2962" customFormat="false" ht="15" hidden="false" customHeight="true" outlineLevel="0" collapsed="false">
      <c r="A2962" s="5" t="s">
        <v>5240</v>
      </c>
      <c r="B2962" s="5" t="s">
        <v>1980</v>
      </c>
      <c r="C2962" s="5" t="s">
        <v>2248</v>
      </c>
      <c r="D2962" s="5" t="s">
        <v>2249</v>
      </c>
      <c r="E2962" s="5" t="s">
        <v>2225</v>
      </c>
      <c r="F2962" s="5" t="s">
        <v>54</v>
      </c>
      <c r="G2962" s="5" t="str">
        <f aca="false">INDEX(Risk_Matrix!$B$2:$D$4,MATCH(E2962,Risk_Matrix!$A$2:$A$4,0),MATCH(F2962,Risk_Matrix!$B$1:$D$1,0))</f>
        <v>High</v>
      </c>
      <c r="H2962" s="12" t="n">
        <v>46086</v>
      </c>
      <c r="I2962" s="5" t="s">
        <v>2250</v>
      </c>
      <c r="J2962" s="5" t="s">
        <v>2251</v>
      </c>
      <c r="K2962" s="5" t="s">
        <v>2252</v>
      </c>
      <c r="L2962" s="5" t="n">
        <f aca="false">IF(G2962="High",3,IF(G2962="Medium",2,1))</f>
        <v>3</v>
      </c>
    </row>
    <row r="2963" customFormat="false" ht="15" hidden="false" customHeight="true" outlineLevel="0" collapsed="false">
      <c r="A2963" s="5" t="s">
        <v>5241</v>
      </c>
      <c r="B2963" s="5" t="s">
        <v>1980</v>
      </c>
      <c r="C2963" s="5" t="s">
        <v>2262</v>
      </c>
      <c r="D2963" s="5" t="s">
        <v>2263</v>
      </c>
      <c r="E2963" s="5" t="s">
        <v>54</v>
      </c>
      <c r="F2963" s="5" t="s">
        <v>2225</v>
      </c>
      <c r="G2963" s="5" t="str">
        <f aca="false">INDEX(Risk_Matrix!$B$2:$D$4,MATCH(E2963,Risk_Matrix!$A$2:$A$4,0),MATCH(F2963,Risk_Matrix!$B$1:$D$1,0))</f>
        <v>High</v>
      </c>
      <c r="H2963" s="12" t="n">
        <v>46201</v>
      </c>
      <c r="I2963" s="5" t="s">
        <v>2264</v>
      </c>
      <c r="J2963" s="5" t="s">
        <v>4087</v>
      </c>
      <c r="K2963" s="5" t="s">
        <v>2283</v>
      </c>
      <c r="L2963" s="5" t="n">
        <f aca="false">IF(G2963="High",3,IF(G2963="Medium",2,1))</f>
        <v>3</v>
      </c>
    </row>
    <row r="2964" customFormat="false" ht="15" hidden="false" customHeight="true" outlineLevel="0" collapsed="false">
      <c r="A2964" s="5" t="s">
        <v>5242</v>
      </c>
      <c r="B2964" s="5" t="s">
        <v>1980</v>
      </c>
      <c r="C2964" s="5" t="s">
        <v>2259</v>
      </c>
      <c r="D2964" s="5" t="s">
        <v>2285</v>
      </c>
      <c r="E2964" s="5" t="s">
        <v>2225</v>
      </c>
      <c r="F2964" s="5" t="s">
        <v>59</v>
      </c>
      <c r="G2964" s="5" t="str">
        <f aca="false">INDEX(Risk_Matrix!$B$2:$D$4,MATCH(E2964,Risk_Matrix!$A$2:$A$4,0),MATCH(F2964,Risk_Matrix!$B$1:$D$1,0))</f>
        <v>Low</v>
      </c>
      <c r="H2964" s="12" t="n">
        <v>46177</v>
      </c>
      <c r="I2964" s="5" t="s">
        <v>2241</v>
      </c>
      <c r="J2964" s="5" t="s">
        <v>2242</v>
      </c>
      <c r="K2964" s="5" t="s">
        <v>2252</v>
      </c>
      <c r="L2964" s="5" t="n">
        <f aca="false">IF(G2964="High",3,IF(G2964="Medium",2,1))</f>
        <v>1</v>
      </c>
    </row>
    <row r="2965" customFormat="false" ht="15" hidden="false" customHeight="true" outlineLevel="0" collapsed="false">
      <c r="A2965" s="5" t="s">
        <v>5243</v>
      </c>
      <c r="B2965" s="5" t="s">
        <v>1980</v>
      </c>
      <c r="C2965" s="5" t="s">
        <v>2254</v>
      </c>
      <c r="D2965" s="5" t="s">
        <v>2308</v>
      </c>
      <c r="E2965" s="5" t="s">
        <v>59</v>
      </c>
      <c r="F2965" s="5" t="s">
        <v>54</v>
      </c>
      <c r="G2965" s="5" t="str">
        <f aca="false">INDEX(Risk_Matrix!$B$2:$D$4,MATCH(E2965,Risk_Matrix!$A$2:$A$4,0),MATCH(F2965,Risk_Matrix!$B$1:$D$1,0))</f>
        <v>Medium</v>
      </c>
      <c r="H2965" s="12" t="n">
        <v>46132</v>
      </c>
      <c r="I2965" s="5" t="s">
        <v>2241</v>
      </c>
      <c r="J2965" s="5" t="s">
        <v>2242</v>
      </c>
      <c r="K2965" s="5" t="s">
        <v>2283</v>
      </c>
      <c r="L2965" s="5" t="n">
        <f aca="false">IF(G2965="High",3,IF(G2965="Medium",2,1))</f>
        <v>2</v>
      </c>
    </row>
    <row r="2966" customFormat="false" ht="15" hidden="false" customHeight="true" outlineLevel="0" collapsed="false">
      <c r="A2966" s="5" t="s">
        <v>5244</v>
      </c>
      <c r="B2966" s="5" t="s">
        <v>1982</v>
      </c>
      <c r="C2966" s="5" t="s">
        <v>2239</v>
      </c>
      <c r="D2966" s="5" t="s">
        <v>2278</v>
      </c>
      <c r="E2966" s="5" t="s">
        <v>54</v>
      </c>
      <c r="F2966" s="5" t="s">
        <v>59</v>
      </c>
      <c r="G2966" s="5" t="str">
        <f aca="false">INDEX(Risk_Matrix!$B$2:$D$4,MATCH(E2966,Risk_Matrix!$A$2:$A$4,0),MATCH(F2966,Risk_Matrix!$B$1:$D$1,0))</f>
        <v>Medium</v>
      </c>
      <c r="H2966" s="12" t="n">
        <v>46225</v>
      </c>
      <c r="I2966" s="5" t="s">
        <v>2264</v>
      </c>
      <c r="J2966" s="5" t="s">
        <v>4087</v>
      </c>
      <c r="K2966" s="5" t="s">
        <v>2283</v>
      </c>
      <c r="L2966" s="5" t="n">
        <f aca="false">IF(G2966="High",3,IF(G2966="Medium",2,1))</f>
        <v>2</v>
      </c>
    </row>
    <row r="2967" customFormat="false" ht="15" hidden="false" customHeight="true" outlineLevel="0" collapsed="false">
      <c r="A2967" s="5" t="s">
        <v>5245</v>
      </c>
      <c r="B2967" s="5" t="s">
        <v>1982</v>
      </c>
      <c r="C2967" s="5" t="s">
        <v>2245</v>
      </c>
      <c r="D2967" s="5" t="s">
        <v>2246</v>
      </c>
      <c r="E2967" s="5" t="s">
        <v>59</v>
      </c>
      <c r="F2967" s="5" t="s">
        <v>59</v>
      </c>
      <c r="G2967" s="5" t="str">
        <f aca="false">INDEX(Risk_Matrix!$B$2:$D$4,MATCH(E2967,Risk_Matrix!$A$2:$A$4,0),MATCH(F2967,Risk_Matrix!$B$1:$D$1,0))</f>
        <v>Low</v>
      </c>
      <c r="H2967" s="12" t="n">
        <v>46111</v>
      </c>
      <c r="I2967" s="5" t="s">
        <v>2256</v>
      </c>
      <c r="J2967" s="5" t="s">
        <v>4081</v>
      </c>
      <c r="K2967" s="5" t="s">
        <v>2266</v>
      </c>
      <c r="L2967" s="5" t="n">
        <f aca="false">IF(G2967="High",3,IF(G2967="Medium",2,1))</f>
        <v>1</v>
      </c>
    </row>
    <row r="2968" customFormat="false" ht="15" hidden="false" customHeight="true" outlineLevel="0" collapsed="false">
      <c r="A2968" s="5" t="s">
        <v>5246</v>
      </c>
      <c r="B2968" s="5" t="s">
        <v>1982</v>
      </c>
      <c r="C2968" s="5" t="s">
        <v>2248</v>
      </c>
      <c r="D2968" s="5" t="s">
        <v>2271</v>
      </c>
      <c r="E2968" s="5" t="s">
        <v>59</v>
      </c>
      <c r="F2968" s="5" t="s">
        <v>2225</v>
      </c>
      <c r="G2968" s="5" t="str">
        <f aca="false">INDEX(Risk_Matrix!$B$2:$D$4,MATCH(E2968,Risk_Matrix!$A$2:$A$4,0),MATCH(F2968,Risk_Matrix!$B$1:$D$1,0))</f>
        <v>Low</v>
      </c>
      <c r="H2968" s="12" t="n">
        <v>46124</v>
      </c>
      <c r="I2968" s="5" t="s">
        <v>2256</v>
      </c>
      <c r="J2968" s="5" t="s">
        <v>4081</v>
      </c>
      <c r="K2968" s="5" t="s">
        <v>2276</v>
      </c>
      <c r="L2968" s="5" t="n">
        <f aca="false">IF(G2968="High",3,IF(G2968="Medium",2,1))</f>
        <v>1</v>
      </c>
    </row>
    <row r="2969" customFormat="false" ht="15" hidden="false" customHeight="true" outlineLevel="0" collapsed="false">
      <c r="A2969" s="5" t="s">
        <v>5247</v>
      </c>
      <c r="B2969" s="5" t="s">
        <v>1982</v>
      </c>
      <c r="C2969" s="5" t="s">
        <v>2262</v>
      </c>
      <c r="D2969" s="5" t="s">
        <v>2263</v>
      </c>
      <c r="E2969" s="5" t="s">
        <v>2225</v>
      </c>
      <c r="F2969" s="5" t="s">
        <v>59</v>
      </c>
      <c r="G2969" s="5" t="str">
        <f aca="false">INDEX(Risk_Matrix!$B$2:$D$4,MATCH(E2969,Risk_Matrix!$A$2:$A$4,0),MATCH(F2969,Risk_Matrix!$B$1:$D$1,0))</f>
        <v>Low</v>
      </c>
      <c r="H2969" s="12" t="n">
        <v>46051</v>
      </c>
      <c r="I2969" s="5" t="s">
        <v>2250</v>
      </c>
      <c r="J2969" s="5" t="s">
        <v>2251</v>
      </c>
      <c r="K2969" s="5" t="s">
        <v>2243</v>
      </c>
      <c r="L2969" s="5" t="n">
        <f aca="false">IF(G2969="High",3,IF(G2969="Medium",2,1))</f>
        <v>1</v>
      </c>
    </row>
    <row r="2970" customFormat="false" ht="15" hidden="false" customHeight="true" outlineLevel="0" collapsed="false">
      <c r="A2970" s="5" t="s">
        <v>5248</v>
      </c>
      <c r="B2970" s="5" t="s">
        <v>1982</v>
      </c>
      <c r="C2970" s="5" t="s">
        <v>2259</v>
      </c>
      <c r="D2970" s="5" t="s">
        <v>2274</v>
      </c>
      <c r="E2970" s="5" t="s">
        <v>2225</v>
      </c>
      <c r="F2970" s="5" t="s">
        <v>59</v>
      </c>
      <c r="G2970" s="5" t="str">
        <f aca="false">INDEX(Risk_Matrix!$B$2:$D$4,MATCH(E2970,Risk_Matrix!$A$2:$A$4,0),MATCH(F2970,Risk_Matrix!$B$1:$D$1,0))</f>
        <v>Low</v>
      </c>
      <c r="H2970" s="12" t="n">
        <v>46154</v>
      </c>
      <c r="I2970" s="5" t="s">
        <v>2256</v>
      </c>
      <c r="J2970" s="5" t="s">
        <v>4081</v>
      </c>
      <c r="K2970" s="5" t="s">
        <v>2252</v>
      </c>
      <c r="L2970" s="5" t="n">
        <f aca="false">IF(G2970="High",3,IF(G2970="Medium",2,1))</f>
        <v>1</v>
      </c>
    </row>
    <row r="2971" customFormat="false" ht="15" hidden="false" customHeight="true" outlineLevel="0" collapsed="false">
      <c r="A2971" s="5" t="s">
        <v>5249</v>
      </c>
      <c r="B2971" s="5" t="s">
        <v>1982</v>
      </c>
      <c r="C2971" s="5" t="s">
        <v>2254</v>
      </c>
      <c r="D2971" s="5" t="s">
        <v>2308</v>
      </c>
      <c r="E2971" s="5" t="s">
        <v>59</v>
      </c>
      <c r="F2971" s="5" t="s">
        <v>2225</v>
      </c>
      <c r="G2971" s="5" t="str">
        <f aca="false">INDEX(Risk_Matrix!$B$2:$D$4,MATCH(E2971,Risk_Matrix!$A$2:$A$4,0),MATCH(F2971,Risk_Matrix!$B$1:$D$1,0))</f>
        <v>Low</v>
      </c>
      <c r="H2971" s="12" t="n">
        <v>46085</v>
      </c>
      <c r="I2971" s="5" t="s">
        <v>2256</v>
      </c>
      <c r="J2971" s="5" t="s">
        <v>4081</v>
      </c>
      <c r="K2971" s="5" t="s">
        <v>2243</v>
      </c>
      <c r="L2971" s="5" t="n">
        <f aca="false">IF(G2971="High",3,IF(G2971="Medium",2,1))</f>
        <v>1</v>
      </c>
    </row>
    <row r="2972" customFormat="false" ht="15" hidden="false" customHeight="true" outlineLevel="0" collapsed="false">
      <c r="A2972" s="5" t="s">
        <v>5250</v>
      </c>
      <c r="B2972" s="5" t="s">
        <v>1984</v>
      </c>
      <c r="C2972" s="5" t="s">
        <v>2239</v>
      </c>
      <c r="D2972" s="5" t="s">
        <v>2295</v>
      </c>
      <c r="E2972" s="5" t="s">
        <v>54</v>
      </c>
      <c r="F2972" s="5" t="s">
        <v>54</v>
      </c>
      <c r="G2972" s="5" t="str">
        <f aca="false">INDEX(Risk_Matrix!$B$2:$D$4,MATCH(E2972,Risk_Matrix!$A$2:$A$4,0),MATCH(F2972,Risk_Matrix!$B$1:$D$1,0))</f>
        <v>High</v>
      </c>
      <c r="H2972" s="12" t="n">
        <v>46142</v>
      </c>
      <c r="I2972" s="5" t="s">
        <v>2241</v>
      </c>
      <c r="J2972" s="5" t="s">
        <v>2242</v>
      </c>
      <c r="K2972" s="5" t="s">
        <v>2252</v>
      </c>
      <c r="L2972" s="5" t="n">
        <f aca="false">IF(G2972="High",3,IF(G2972="Medium",2,1))</f>
        <v>3</v>
      </c>
    </row>
    <row r="2973" customFormat="false" ht="15" hidden="false" customHeight="true" outlineLevel="0" collapsed="false">
      <c r="A2973" s="5" t="s">
        <v>5251</v>
      </c>
      <c r="B2973" s="5" t="s">
        <v>1984</v>
      </c>
      <c r="C2973" s="5" t="s">
        <v>2245</v>
      </c>
      <c r="D2973" s="5" t="s">
        <v>2280</v>
      </c>
      <c r="E2973" s="5" t="s">
        <v>54</v>
      </c>
      <c r="F2973" s="5" t="s">
        <v>2225</v>
      </c>
      <c r="G2973" s="5" t="str">
        <f aca="false">INDEX(Risk_Matrix!$B$2:$D$4,MATCH(E2973,Risk_Matrix!$A$2:$A$4,0),MATCH(F2973,Risk_Matrix!$B$1:$D$1,0))</f>
        <v>High</v>
      </c>
      <c r="H2973" s="12" t="n">
        <v>46042</v>
      </c>
      <c r="I2973" s="5" t="s">
        <v>2241</v>
      </c>
      <c r="J2973" s="5" t="s">
        <v>2242</v>
      </c>
      <c r="K2973" s="5" t="s">
        <v>2283</v>
      </c>
      <c r="L2973" s="5" t="n">
        <f aca="false">IF(G2973="High",3,IF(G2973="Medium",2,1))</f>
        <v>3</v>
      </c>
    </row>
    <row r="2974" customFormat="false" ht="15" hidden="false" customHeight="true" outlineLevel="0" collapsed="false">
      <c r="A2974" s="5" t="s">
        <v>5252</v>
      </c>
      <c r="B2974" s="5" t="s">
        <v>1984</v>
      </c>
      <c r="C2974" s="5" t="s">
        <v>2248</v>
      </c>
      <c r="D2974" s="5" t="s">
        <v>2271</v>
      </c>
      <c r="E2974" s="5" t="s">
        <v>54</v>
      </c>
      <c r="F2974" s="5" t="s">
        <v>2225</v>
      </c>
      <c r="G2974" s="5" t="str">
        <f aca="false">INDEX(Risk_Matrix!$B$2:$D$4,MATCH(E2974,Risk_Matrix!$A$2:$A$4,0),MATCH(F2974,Risk_Matrix!$B$1:$D$1,0))</f>
        <v>High</v>
      </c>
      <c r="H2974" s="12" t="n">
        <v>46027</v>
      </c>
      <c r="I2974" s="5" t="s">
        <v>2241</v>
      </c>
      <c r="J2974" s="5" t="s">
        <v>2242</v>
      </c>
      <c r="K2974" s="5" t="s">
        <v>2243</v>
      </c>
      <c r="L2974" s="5" t="n">
        <f aca="false">IF(G2974="High",3,IF(G2974="Medium",2,1))</f>
        <v>3</v>
      </c>
    </row>
    <row r="2975" customFormat="false" ht="15" hidden="false" customHeight="true" outlineLevel="0" collapsed="false">
      <c r="A2975" s="5" t="s">
        <v>5253</v>
      </c>
      <c r="B2975" s="5" t="s">
        <v>1984</v>
      </c>
      <c r="C2975" s="5" t="s">
        <v>2262</v>
      </c>
      <c r="D2975" s="5" t="s">
        <v>2263</v>
      </c>
      <c r="E2975" s="5" t="s">
        <v>59</v>
      </c>
      <c r="F2975" s="5" t="s">
        <v>59</v>
      </c>
      <c r="G2975" s="5" t="str">
        <f aca="false">INDEX(Risk_Matrix!$B$2:$D$4,MATCH(E2975,Risk_Matrix!$A$2:$A$4,0),MATCH(F2975,Risk_Matrix!$B$1:$D$1,0))</f>
        <v>Low</v>
      </c>
      <c r="H2975" s="12" t="n">
        <v>46105</v>
      </c>
      <c r="I2975" s="5" t="s">
        <v>2250</v>
      </c>
      <c r="J2975" s="5" t="s">
        <v>2251</v>
      </c>
      <c r="K2975" s="5" t="s">
        <v>2276</v>
      </c>
      <c r="L2975" s="5" t="n">
        <f aca="false">IF(G2975="High",3,IF(G2975="Medium",2,1))</f>
        <v>1</v>
      </c>
    </row>
    <row r="2976" customFormat="false" ht="15" hidden="false" customHeight="true" outlineLevel="0" collapsed="false">
      <c r="A2976" s="5" t="s">
        <v>5254</v>
      </c>
      <c r="B2976" s="5" t="s">
        <v>1984</v>
      </c>
      <c r="C2976" s="5" t="s">
        <v>2259</v>
      </c>
      <c r="D2976" s="5" t="s">
        <v>2260</v>
      </c>
      <c r="E2976" s="5" t="s">
        <v>54</v>
      </c>
      <c r="F2976" s="5" t="s">
        <v>54</v>
      </c>
      <c r="G2976" s="5" t="str">
        <f aca="false">INDEX(Risk_Matrix!$B$2:$D$4,MATCH(E2976,Risk_Matrix!$A$2:$A$4,0),MATCH(F2976,Risk_Matrix!$B$1:$D$1,0))</f>
        <v>High</v>
      </c>
      <c r="H2976" s="12" t="n">
        <v>46071</v>
      </c>
      <c r="I2976" s="5" t="s">
        <v>2250</v>
      </c>
      <c r="J2976" s="5" t="s">
        <v>2251</v>
      </c>
      <c r="K2976" s="5" t="s">
        <v>2266</v>
      </c>
      <c r="L2976" s="5" t="n">
        <f aca="false">IF(G2976="High",3,IF(G2976="Medium",2,1))</f>
        <v>3</v>
      </c>
    </row>
    <row r="2977" customFormat="false" ht="15" hidden="false" customHeight="true" outlineLevel="0" collapsed="false">
      <c r="A2977" s="5" t="s">
        <v>5255</v>
      </c>
      <c r="B2977" s="5" t="s">
        <v>1984</v>
      </c>
      <c r="C2977" s="5" t="s">
        <v>2254</v>
      </c>
      <c r="D2977" s="5" t="s">
        <v>2308</v>
      </c>
      <c r="E2977" s="5" t="s">
        <v>54</v>
      </c>
      <c r="F2977" s="5" t="s">
        <v>54</v>
      </c>
      <c r="G2977" s="5" t="str">
        <f aca="false">INDEX(Risk_Matrix!$B$2:$D$4,MATCH(E2977,Risk_Matrix!$A$2:$A$4,0),MATCH(F2977,Risk_Matrix!$B$1:$D$1,0))</f>
        <v>High</v>
      </c>
      <c r="H2977" s="12" t="n">
        <v>46164</v>
      </c>
      <c r="I2977" s="5" t="s">
        <v>2256</v>
      </c>
      <c r="J2977" s="5" t="s">
        <v>4081</v>
      </c>
      <c r="K2977" s="5" t="s">
        <v>2243</v>
      </c>
      <c r="L2977" s="5" t="n">
        <f aca="false">IF(G2977="High",3,IF(G2977="Medium",2,1))</f>
        <v>3</v>
      </c>
    </row>
    <row r="2978" customFormat="false" ht="15" hidden="false" customHeight="true" outlineLevel="0" collapsed="false">
      <c r="A2978" s="5" t="s">
        <v>5256</v>
      </c>
      <c r="B2978" s="5" t="s">
        <v>1986</v>
      </c>
      <c r="C2978" s="5" t="s">
        <v>2239</v>
      </c>
      <c r="D2978" s="5" t="s">
        <v>2278</v>
      </c>
      <c r="E2978" s="5" t="s">
        <v>2225</v>
      </c>
      <c r="F2978" s="5" t="s">
        <v>59</v>
      </c>
      <c r="G2978" s="5" t="str">
        <f aca="false">INDEX(Risk_Matrix!$B$2:$D$4,MATCH(E2978,Risk_Matrix!$A$2:$A$4,0),MATCH(F2978,Risk_Matrix!$B$1:$D$1,0))</f>
        <v>Low</v>
      </c>
      <c r="H2978" s="12" t="n">
        <v>46122</v>
      </c>
      <c r="I2978" s="5" t="s">
        <v>2264</v>
      </c>
      <c r="J2978" s="5" t="s">
        <v>4087</v>
      </c>
      <c r="K2978" s="5" t="s">
        <v>2283</v>
      </c>
      <c r="L2978" s="5" t="n">
        <f aca="false">IF(G2978="High",3,IF(G2978="Medium",2,1))</f>
        <v>1</v>
      </c>
    </row>
    <row r="2979" customFormat="false" ht="15" hidden="false" customHeight="true" outlineLevel="0" collapsed="false">
      <c r="A2979" s="5" t="s">
        <v>5257</v>
      </c>
      <c r="B2979" s="5" t="s">
        <v>1986</v>
      </c>
      <c r="C2979" s="5" t="s">
        <v>2245</v>
      </c>
      <c r="D2979" s="5" t="s">
        <v>2246</v>
      </c>
      <c r="E2979" s="5" t="s">
        <v>2225</v>
      </c>
      <c r="F2979" s="5" t="s">
        <v>54</v>
      </c>
      <c r="G2979" s="5" t="str">
        <f aca="false">INDEX(Risk_Matrix!$B$2:$D$4,MATCH(E2979,Risk_Matrix!$A$2:$A$4,0),MATCH(F2979,Risk_Matrix!$B$1:$D$1,0))</f>
        <v>High</v>
      </c>
      <c r="H2979" s="12" t="n">
        <v>46065</v>
      </c>
      <c r="I2979" s="5" t="s">
        <v>2264</v>
      </c>
      <c r="J2979" s="5" t="s">
        <v>4087</v>
      </c>
      <c r="K2979" s="5" t="s">
        <v>2283</v>
      </c>
      <c r="L2979" s="5" t="n">
        <f aca="false">IF(G2979="High",3,IF(G2979="Medium",2,1))</f>
        <v>3</v>
      </c>
    </row>
    <row r="2980" customFormat="false" ht="15" hidden="false" customHeight="true" outlineLevel="0" collapsed="false">
      <c r="A2980" s="5" t="s">
        <v>5258</v>
      </c>
      <c r="B2980" s="5" t="s">
        <v>1986</v>
      </c>
      <c r="C2980" s="5" t="s">
        <v>2248</v>
      </c>
      <c r="D2980" s="5" t="s">
        <v>2249</v>
      </c>
      <c r="E2980" s="5" t="s">
        <v>59</v>
      </c>
      <c r="F2980" s="5" t="s">
        <v>54</v>
      </c>
      <c r="G2980" s="5" t="str">
        <f aca="false">INDEX(Risk_Matrix!$B$2:$D$4,MATCH(E2980,Risk_Matrix!$A$2:$A$4,0),MATCH(F2980,Risk_Matrix!$B$1:$D$1,0))</f>
        <v>Medium</v>
      </c>
      <c r="H2980" s="12" t="n">
        <v>46230</v>
      </c>
      <c r="I2980" s="5" t="s">
        <v>2241</v>
      </c>
      <c r="J2980" s="5" t="s">
        <v>2242</v>
      </c>
      <c r="K2980" s="5" t="s">
        <v>2283</v>
      </c>
      <c r="L2980" s="5" t="n">
        <f aca="false">IF(G2980="High",3,IF(G2980="Medium",2,1))</f>
        <v>2</v>
      </c>
    </row>
    <row r="2981" customFormat="false" ht="15" hidden="false" customHeight="true" outlineLevel="0" collapsed="false">
      <c r="A2981" s="5" t="s">
        <v>5259</v>
      </c>
      <c r="B2981" s="5" t="s">
        <v>1986</v>
      </c>
      <c r="C2981" s="5" t="s">
        <v>2262</v>
      </c>
      <c r="D2981" s="5" t="s">
        <v>2311</v>
      </c>
      <c r="E2981" s="5" t="s">
        <v>2225</v>
      </c>
      <c r="F2981" s="5" t="s">
        <v>2225</v>
      </c>
      <c r="G2981" s="5" t="str">
        <f aca="false">INDEX(Risk_Matrix!$B$2:$D$4,MATCH(E2981,Risk_Matrix!$A$2:$A$4,0),MATCH(F2981,Risk_Matrix!$B$1:$D$1,0))</f>
        <v>Medium</v>
      </c>
      <c r="H2981" s="12" t="n">
        <v>46201</v>
      </c>
      <c r="I2981" s="5" t="s">
        <v>2241</v>
      </c>
      <c r="J2981" s="5" t="s">
        <v>2242</v>
      </c>
      <c r="K2981" s="5" t="s">
        <v>2252</v>
      </c>
      <c r="L2981" s="5" t="n">
        <f aca="false">IF(G2981="High",3,IF(G2981="Medium",2,1))</f>
        <v>2</v>
      </c>
    </row>
    <row r="2982" customFormat="false" ht="15" hidden="false" customHeight="true" outlineLevel="0" collapsed="false">
      <c r="A2982" s="5" t="s">
        <v>5260</v>
      </c>
      <c r="B2982" s="5" t="s">
        <v>1986</v>
      </c>
      <c r="C2982" s="5" t="s">
        <v>2259</v>
      </c>
      <c r="D2982" s="5" t="s">
        <v>2260</v>
      </c>
      <c r="E2982" s="5" t="s">
        <v>54</v>
      </c>
      <c r="F2982" s="5" t="s">
        <v>54</v>
      </c>
      <c r="G2982" s="5" t="str">
        <f aca="false">INDEX(Risk_Matrix!$B$2:$D$4,MATCH(E2982,Risk_Matrix!$A$2:$A$4,0),MATCH(F2982,Risk_Matrix!$B$1:$D$1,0))</f>
        <v>High</v>
      </c>
      <c r="H2982" s="12" t="n">
        <v>46154</v>
      </c>
      <c r="I2982" s="5" t="s">
        <v>2264</v>
      </c>
      <c r="J2982" s="5" t="s">
        <v>4087</v>
      </c>
      <c r="K2982" s="5" t="s">
        <v>2266</v>
      </c>
      <c r="L2982" s="5" t="n">
        <f aca="false">IF(G2982="High",3,IF(G2982="Medium",2,1))</f>
        <v>3</v>
      </c>
    </row>
    <row r="2983" customFormat="false" ht="15" hidden="false" customHeight="true" outlineLevel="0" collapsed="false">
      <c r="A2983" s="5" t="s">
        <v>5261</v>
      </c>
      <c r="B2983" s="5" t="s">
        <v>1986</v>
      </c>
      <c r="C2983" s="5" t="s">
        <v>2254</v>
      </c>
      <c r="D2983" s="5" t="s">
        <v>2308</v>
      </c>
      <c r="E2983" s="5" t="s">
        <v>54</v>
      </c>
      <c r="F2983" s="5" t="s">
        <v>59</v>
      </c>
      <c r="G2983" s="5" t="str">
        <f aca="false">INDEX(Risk_Matrix!$B$2:$D$4,MATCH(E2983,Risk_Matrix!$A$2:$A$4,0),MATCH(F2983,Risk_Matrix!$B$1:$D$1,0))</f>
        <v>Medium</v>
      </c>
      <c r="H2983" s="12" t="n">
        <v>46195</v>
      </c>
      <c r="I2983" s="5" t="s">
        <v>2250</v>
      </c>
      <c r="J2983" s="5" t="s">
        <v>2251</v>
      </c>
      <c r="K2983" s="5" t="s">
        <v>2276</v>
      </c>
      <c r="L2983" s="5" t="n">
        <f aca="false">IF(G2983="High",3,IF(G2983="Medium",2,1))</f>
        <v>2</v>
      </c>
    </row>
    <row r="2984" customFormat="false" ht="15" hidden="false" customHeight="true" outlineLevel="0" collapsed="false">
      <c r="A2984" s="5" t="s">
        <v>5262</v>
      </c>
      <c r="B2984" s="5" t="s">
        <v>1988</v>
      </c>
      <c r="C2984" s="5" t="s">
        <v>2239</v>
      </c>
      <c r="D2984" s="5" t="s">
        <v>2303</v>
      </c>
      <c r="E2984" s="5" t="s">
        <v>2225</v>
      </c>
      <c r="F2984" s="5" t="s">
        <v>59</v>
      </c>
      <c r="G2984" s="5" t="str">
        <f aca="false">INDEX(Risk_Matrix!$B$2:$D$4,MATCH(E2984,Risk_Matrix!$A$2:$A$4,0),MATCH(F2984,Risk_Matrix!$B$1:$D$1,0))</f>
        <v>Low</v>
      </c>
      <c r="H2984" s="12" t="n">
        <v>46090</v>
      </c>
      <c r="I2984" s="5" t="s">
        <v>2241</v>
      </c>
      <c r="J2984" s="5" t="s">
        <v>2242</v>
      </c>
      <c r="K2984" s="5" t="s">
        <v>2252</v>
      </c>
      <c r="L2984" s="5" t="n">
        <f aca="false">IF(G2984="High",3,IF(G2984="Medium",2,1))</f>
        <v>1</v>
      </c>
    </row>
    <row r="2985" customFormat="false" ht="15" hidden="false" customHeight="true" outlineLevel="0" collapsed="false">
      <c r="A2985" s="5" t="s">
        <v>5263</v>
      </c>
      <c r="B2985" s="5" t="s">
        <v>1988</v>
      </c>
      <c r="C2985" s="5" t="s">
        <v>2245</v>
      </c>
      <c r="D2985" s="5" t="s">
        <v>2320</v>
      </c>
      <c r="E2985" s="5" t="s">
        <v>59</v>
      </c>
      <c r="F2985" s="5" t="s">
        <v>59</v>
      </c>
      <c r="G2985" s="5" t="str">
        <f aca="false">INDEX(Risk_Matrix!$B$2:$D$4,MATCH(E2985,Risk_Matrix!$A$2:$A$4,0),MATCH(F2985,Risk_Matrix!$B$1:$D$1,0))</f>
        <v>Low</v>
      </c>
      <c r="H2985" s="12" t="n">
        <v>46230</v>
      </c>
      <c r="I2985" s="5" t="s">
        <v>2256</v>
      </c>
      <c r="J2985" s="5" t="s">
        <v>4081</v>
      </c>
      <c r="K2985" s="5" t="s">
        <v>2243</v>
      </c>
      <c r="L2985" s="5" t="n">
        <f aca="false">IF(G2985="High",3,IF(G2985="Medium",2,1))</f>
        <v>1</v>
      </c>
    </row>
    <row r="2986" customFormat="false" ht="15" hidden="false" customHeight="true" outlineLevel="0" collapsed="false">
      <c r="A2986" s="5" t="s">
        <v>5264</v>
      </c>
      <c r="B2986" s="5" t="s">
        <v>1988</v>
      </c>
      <c r="C2986" s="5" t="s">
        <v>2248</v>
      </c>
      <c r="D2986" s="5" t="s">
        <v>2249</v>
      </c>
      <c r="E2986" s="5" t="s">
        <v>59</v>
      </c>
      <c r="F2986" s="5" t="s">
        <v>2225</v>
      </c>
      <c r="G2986" s="5" t="str">
        <f aca="false">INDEX(Risk_Matrix!$B$2:$D$4,MATCH(E2986,Risk_Matrix!$A$2:$A$4,0),MATCH(F2986,Risk_Matrix!$B$1:$D$1,0))</f>
        <v>Low</v>
      </c>
      <c r="H2986" s="12" t="n">
        <v>46234</v>
      </c>
      <c r="I2986" s="5" t="s">
        <v>2241</v>
      </c>
      <c r="J2986" s="5" t="s">
        <v>2242</v>
      </c>
      <c r="K2986" s="5" t="s">
        <v>2276</v>
      </c>
      <c r="L2986" s="5" t="n">
        <f aca="false">IF(G2986="High",3,IF(G2986="Medium",2,1))</f>
        <v>1</v>
      </c>
    </row>
    <row r="2987" customFormat="false" ht="15" hidden="false" customHeight="true" outlineLevel="0" collapsed="false">
      <c r="A2987" s="5" t="s">
        <v>5265</v>
      </c>
      <c r="B2987" s="5" t="s">
        <v>1988</v>
      </c>
      <c r="C2987" s="5" t="s">
        <v>2262</v>
      </c>
      <c r="D2987" s="5" t="s">
        <v>2263</v>
      </c>
      <c r="E2987" s="5" t="s">
        <v>54</v>
      </c>
      <c r="F2987" s="5" t="s">
        <v>54</v>
      </c>
      <c r="G2987" s="5" t="str">
        <f aca="false">INDEX(Risk_Matrix!$B$2:$D$4,MATCH(E2987,Risk_Matrix!$A$2:$A$4,0),MATCH(F2987,Risk_Matrix!$B$1:$D$1,0))</f>
        <v>High</v>
      </c>
      <c r="H2987" s="12" t="n">
        <v>46050</v>
      </c>
      <c r="I2987" s="5" t="s">
        <v>2241</v>
      </c>
      <c r="J2987" s="5" t="s">
        <v>2242</v>
      </c>
      <c r="K2987" s="5" t="s">
        <v>2283</v>
      </c>
      <c r="L2987" s="5" t="n">
        <f aca="false">IF(G2987="High",3,IF(G2987="Medium",2,1))</f>
        <v>3</v>
      </c>
    </row>
    <row r="2988" customFormat="false" ht="15" hidden="false" customHeight="true" outlineLevel="0" collapsed="false">
      <c r="A2988" s="5" t="s">
        <v>5266</v>
      </c>
      <c r="B2988" s="5" t="s">
        <v>1988</v>
      </c>
      <c r="C2988" s="5" t="s">
        <v>2259</v>
      </c>
      <c r="D2988" s="5" t="s">
        <v>2285</v>
      </c>
      <c r="E2988" s="5" t="s">
        <v>54</v>
      </c>
      <c r="F2988" s="5" t="s">
        <v>2225</v>
      </c>
      <c r="G2988" s="5" t="str">
        <f aca="false">INDEX(Risk_Matrix!$B$2:$D$4,MATCH(E2988,Risk_Matrix!$A$2:$A$4,0),MATCH(F2988,Risk_Matrix!$B$1:$D$1,0))</f>
        <v>High</v>
      </c>
      <c r="H2988" s="12" t="n">
        <v>46191</v>
      </c>
      <c r="I2988" s="5" t="s">
        <v>2256</v>
      </c>
      <c r="J2988" s="5" t="s">
        <v>4081</v>
      </c>
      <c r="K2988" s="5" t="s">
        <v>2283</v>
      </c>
      <c r="L2988" s="5" t="n">
        <f aca="false">IF(G2988="High",3,IF(G2988="Medium",2,1))</f>
        <v>3</v>
      </c>
    </row>
    <row r="2989" customFormat="false" ht="15" hidden="false" customHeight="true" outlineLevel="0" collapsed="false">
      <c r="A2989" s="5" t="s">
        <v>5267</v>
      </c>
      <c r="B2989" s="5" t="s">
        <v>1988</v>
      </c>
      <c r="C2989" s="5" t="s">
        <v>2254</v>
      </c>
      <c r="D2989" s="5" t="s">
        <v>2308</v>
      </c>
      <c r="E2989" s="5" t="s">
        <v>2225</v>
      </c>
      <c r="F2989" s="5" t="s">
        <v>2225</v>
      </c>
      <c r="G2989" s="5" t="str">
        <f aca="false">INDEX(Risk_Matrix!$B$2:$D$4,MATCH(E2989,Risk_Matrix!$A$2:$A$4,0),MATCH(F2989,Risk_Matrix!$B$1:$D$1,0))</f>
        <v>Medium</v>
      </c>
      <c r="H2989" s="12" t="n">
        <v>46222</v>
      </c>
      <c r="I2989" s="5" t="s">
        <v>2264</v>
      </c>
      <c r="J2989" s="5" t="s">
        <v>4087</v>
      </c>
      <c r="K2989" s="5" t="s">
        <v>2276</v>
      </c>
      <c r="L2989" s="5" t="n">
        <f aca="false">IF(G2989="High",3,IF(G2989="Medium",2,1))</f>
        <v>2</v>
      </c>
    </row>
    <row r="2990" customFormat="false" ht="15" hidden="false" customHeight="true" outlineLevel="0" collapsed="false">
      <c r="A2990" s="5" t="s">
        <v>5268</v>
      </c>
      <c r="B2990" s="5" t="s">
        <v>1990</v>
      </c>
      <c r="C2990" s="5" t="s">
        <v>2239</v>
      </c>
      <c r="D2990" s="5" t="s">
        <v>2278</v>
      </c>
      <c r="E2990" s="5" t="s">
        <v>2225</v>
      </c>
      <c r="F2990" s="5" t="s">
        <v>54</v>
      </c>
      <c r="G2990" s="5" t="str">
        <f aca="false">INDEX(Risk_Matrix!$B$2:$D$4,MATCH(E2990,Risk_Matrix!$A$2:$A$4,0),MATCH(F2990,Risk_Matrix!$B$1:$D$1,0))</f>
        <v>High</v>
      </c>
      <c r="H2990" s="12" t="n">
        <v>46138</v>
      </c>
      <c r="I2990" s="5" t="s">
        <v>2256</v>
      </c>
      <c r="J2990" s="5" t="s">
        <v>4081</v>
      </c>
      <c r="K2990" s="5" t="s">
        <v>2276</v>
      </c>
      <c r="L2990" s="5" t="n">
        <f aca="false">IF(G2990="High",3,IF(G2990="Medium",2,1))</f>
        <v>3</v>
      </c>
    </row>
    <row r="2991" customFormat="false" ht="15" hidden="false" customHeight="true" outlineLevel="0" collapsed="false">
      <c r="A2991" s="5" t="s">
        <v>5269</v>
      </c>
      <c r="B2991" s="5" t="s">
        <v>1990</v>
      </c>
      <c r="C2991" s="5" t="s">
        <v>2245</v>
      </c>
      <c r="D2991" s="5" t="s">
        <v>2269</v>
      </c>
      <c r="E2991" s="5" t="s">
        <v>59</v>
      </c>
      <c r="F2991" s="5" t="s">
        <v>2225</v>
      </c>
      <c r="G2991" s="5" t="str">
        <f aca="false">INDEX(Risk_Matrix!$B$2:$D$4,MATCH(E2991,Risk_Matrix!$A$2:$A$4,0),MATCH(F2991,Risk_Matrix!$B$1:$D$1,0))</f>
        <v>Low</v>
      </c>
      <c r="H2991" s="12" t="n">
        <v>46053</v>
      </c>
      <c r="I2991" s="5" t="s">
        <v>2241</v>
      </c>
      <c r="J2991" s="5" t="s">
        <v>2242</v>
      </c>
      <c r="K2991" s="5" t="s">
        <v>2276</v>
      </c>
      <c r="L2991" s="5" t="n">
        <f aca="false">IF(G2991="High",3,IF(G2991="Medium",2,1))</f>
        <v>1</v>
      </c>
    </row>
    <row r="2992" customFormat="false" ht="15" hidden="false" customHeight="true" outlineLevel="0" collapsed="false">
      <c r="A2992" s="5" t="s">
        <v>5270</v>
      </c>
      <c r="B2992" s="5" t="s">
        <v>1990</v>
      </c>
      <c r="C2992" s="5" t="s">
        <v>2248</v>
      </c>
      <c r="D2992" s="5" t="s">
        <v>2306</v>
      </c>
      <c r="E2992" s="5" t="s">
        <v>54</v>
      </c>
      <c r="F2992" s="5" t="s">
        <v>2225</v>
      </c>
      <c r="G2992" s="5" t="str">
        <f aca="false">INDEX(Risk_Matrix!$B$2:$D$4,MATCH(E2992,Risk_Matrix!$A$2:$A$4,0),MATCH(F2992,Risk_Matrix!$B$1:$D$1,0))</f>
        <v>High</v>
      </c>
      <c r="H2992" s="12" t="n">
        <v>46154</v>
      </c>
      <c r="I2992" s="5" t="s">
        <v>2256</v>
      </c>
      <c r="J2992" s="5" t="s">
        <v>4081</v>
      </c>
      <c r="K2992" s="5" t="s">
        <v>2252</v>
      </c>
      <c r="L2992" s="5" t="n">
        <f aca="false">IF(G2992="High",3,IF(G2992="Medium",2,1))</f>
        <v>3</v>
      </c>
    </row>
    <row r="2993" customFormat="false" ht="15" hidden="false" customHeight="true" outlineLevel="0" collapsed="false">
      <c r="A2993" s="5" t="s">
        <v>5271</v>
      </c>
      <c r="B2993" s="5" t="s">
        <v>1990</v>
      </c>
      <c r="C2993" s="5" t="s">
        <v>2262</v>
      </c>
      <c r="D2993" s="5" t="s">
        <v>2287</v>
      </c>
      <c r="E2993" s="5" t="s">
        <v>54</v>
      </c>
      <c r="F2993" s="5" t="s">
        <v>54</v>
      </c>
      <c r="G2993" s="5" t="str">
        <f aca="false">INDEX(Risk_Matrix!$B$2:$D$4,MATCH(E2993,Risk_Matrix!$A$2:$A$4,0),MATCH(F2993,Risk_Matrix!$B$1:$D$1,0))</f>
        <v>High</v>
      </c>
      <c r="H2993" s="12" t="n">
        <v>46037</v>
      </c>
      <c r="I2993" s="5" t="s">
        <v>2241</v>
      </c>
      <c r="J2993" s="5" t="s">
        <v>2242</v>
      </c>
      <c r="K2993" s="5" t="s">
        <v>2283</v>
      </c>
      <c r="L2993" s="5" t="n">
        <f aca="false">IF(G2993="High",3,IF(G2993="Medium",2,1))</f>
        <v>3</v>
      </c>
    </row>
    <row r="2994" customFormat="false" ht="15" hidden="false" customHeight="true" outlineLevel="0" collapsed="false">
      <c r="A2994" s="5" t="s">
        <v>5272</v>
      </c>
      <c r="B2994" s="5" t="s">
        <v>1990</v>
      </c>
      <c r="C2994" s="5" t="s">
        <v>2259</v>
      </c>
      <c r="D2994" s="5" t="s">
        <v>2260</v>
      </c>
      <c r="E2994" s="5" t="s">
        <v>59</v>
      </c>
      <c r="F2994" s="5" t="s">
        <v>2225</v>
      </c>
      <c r="G2994" s="5" t="str">
        <f aca="false">INDEX(Risk_Matrix!$B$2:$D$4,MATCH(E2994,Risk_Matrix!$A$2:$A$4,0),MATCH(F2994,Risk_Matrix!$B$1:$D$1,0))</f>
        <v>Low</v>
      </c>
      <c r="H2994" s="12" t="n">
        <v>46216</v>
      </c>
      <c r="I2994" s="5" t="s">
        <v>2264</v>
      </c>
      <c r="J2994" s="5" t="s">
        <v>4087</v>
      </c>
      <c r="K2994" s="5" t="s">
        <v>2252</v>
      </c>
      <c r="L2994" s="5" t="n">
        <f aca="false">IF(G2994="High",3,IF(G2994="Medium",2,1))</f>
        <v>1</v>
      </c>
    </row>
    <row r="2995" customFormat="false" ht="15" hidden="false" customHeight="true" outlineLevel="0" collapsed="false">
      <c r="A2995" s="5" t="s">
        <v>5273</v>
      </c>
      <c r="B2995" s="5" t="s">
        <v>1990</v>
      </c>
      <c r="C2995" s="5" t="s">
        <v>2254</v>
      </c>
      <c r="D2995" s="5" t="s">
        <v>2308</v>
      </c>
      <c r="E2995" s="5" t="s">
        <v>54</v>
      </c>
      <c r="F2995" s="5" t="s">
        <v>59</v>
      </c>
      <c r="G2995" s="5" t="str">
        <f aca="false">INDEX(Risk_Matrix!$B$2:$D$4,MATCH(E2995,Risk_Matrix!$A$2:$A$4,0),MATCH(F2995,Risk_Matrix!$B$1:$D$1,0))</f>
        <v>Medium</v>
      </c>
      <c r="H2995" s="12" t="n">
        <v>46125</v>
      </c>
      <c r="I2995" s="5" t="s">
        <v>2241</v>
      </c>
      <c r="J2995" s="5" t="s">
        <v>2242</v>
      </c>
      <c r="K2995" s="5" t="s">
        <v>2252</v>
      </c>
      <c r="L2995" s="5" t="n">
        <f aca="false">IF(G2995="High",3,IF(G2995="Medium",2,1))</f>
        <v>2</v>
      </c>
    </row>
    <row r="2996" customFormat="false" ht="15" hidden="false" customHeight="true" outlineLevel="0" collapsed="false">
      <c r="A2996" s="5" t="s">
        <v>5274</v>
      </c>
      <c r="B2996" s="5" t="s">
        <v>1992</v>
      </c>
      <c r="C2996" s="5" t="s">
        <v>2239</v>
      </c>
      <c r="D2996" s="5" t="s">
        <v>2278</v>
      </c>
      <c r="E2996" s="5" t="s">
        <v>2225</v>
      </c>
      <c r="F2996" s="5" t="s">
        <v>54</v>
      </c>
      <c r="G2996" s="5" t="str">
        <f aca="false">INDEX(Risk_Matrix!$B$2:$D$4,MATCH(E2996,Risk_Matrix!$A$2:$A$4,0),MATCH(F2996,Risk_Matrix!$B$1:$D$1,0))</f>
        <v>High</v>
      </c>
      <c r="H2996" s="12" t="n">
        <v>46216</v>
      </c>
      <c r="I2996" s="5" t="s">
        <v>2241</v>
      </c>
      <c r="J2996" s="5" t="s">
        <v>2242</v>
      </c>
      <c r="K2996" s="5" t="s">
        <v>2276</v>
      </c>
      <c r="L2996" s="5" t="n">
        <f aca="false">IF(G2996="High",3,IF(G2996="Medium",2,1))</f>
        <v>3</v>
      </c>
    </row>
    <row r="2997" customFormat="false" ht="15" hidden="false" customHeight="true" outlineLevel="0" collapsed="false">
      <c r="A2997" s="5" t="s">
        <v>5275</v>
      </c>
      <c r="B2997" s="5" t="s">
        <v>1992</v>
      </c>
      <c r="C2997" s="5" t="s">
        <v>2245</v>
      </c>
      <c r="D2997" s="5" t="s">
        <v>2246</v>
      </c>
      <c r="E2997" s="5" t="s">
        <v>54</v>
      </c>
      <c r="F2997" s="5" t="s">
        <v>2225</v>
      </c>
      <c r="G2997" s="5" t="str">
        <f aca="false">INDEX(Risk_Matrix!$B$2:$D$4,MATCH(E2997,Risk_Matrix!$A$2:$A$4,0),MATCH(F2997,Risk_Matrix!$B$1:$D$1,0))</f>
        <v>High</v>
      </c>
      <c r="H2997" s="12" t="n">
        <v>46052</v>
      </c>
      <c r="I2997" s="5" t="s">
        <v>2241</v>
      </c>
      <c r="J2997" s="5" t="s">
        <v>2242</v>
      </c>
      <c r="K2997" s="5" t="s">
        <v>2243</v>
      </c>
      <c r="L2997" s="5" t="n">
        <f aca="false">IF(G2997="High",3,IF(G2997="Medium",2,1))</f>
        <v>3</v>
      </c>
    </row>
    <row r="2998" customFormat="false" ht="15" hidden="false" customHeight="true" outlineLevel="0" collapsed="false">
      <c r="A2998" s="5" t="s">
        <v>5276</v>
      </c>
      <c r="B2998" s="5" t="s">
        <v>1992</v>
      </c>
      <c r="C2998" s="5" t="s">
        <v>2248</v>
      </c>
      <c r="D2998" s="5" t="s">
        <v>2249</v>
      </c>
      <c r="E2998" s="5" t="s">
        <v>59</v>
      </c>
      <c r="F2998" s="5" t="s">
        <v>59</v>
      </c>
      <c r="G2998" s="5" t="str">
        <f aca="false">INDEX(Risk_Matrix!$B$2:$D$4,MATCH(E2998,Risk_Matrix!$A$2:$A$4,0),MATCH(F2998,Risk_Matrix!$B$1:$D$1,0))</f>
        <v>Low</v>
      </c>
      <c r="H2998" s="12" t="n">
        <v>46209</v>
      </c>
      <c r="I2998" s="5" t="s">
        <v>2250</v>
      </c>
      <c r="J2998" s="5" t="s">
        <v>2251</v>
      </c>
      <c r="K2998" s="5" t="s">
        <v>2266</v>
      </c>
      <c r="L2998" s="5" t="n">
        <f aca="false">IF(G2998="High",3,IF(G2998="Medium",2,1))</f>
        <v>1</v>
      </c>
    </row>
    <row r="2999" customFormat="false" ht="15" hidden="false" customHeight="true" outlineLevel="0" collapsed="false">
      <c r="A2999" s="5" t="s">
        <v>5277</v>
      </c>
      <c r="B2999" s="5" t="s">
        <v>1992</v>
      </c>
      <c r="C2999" s="5" t="s">
        <v>2262</v>
      </c>
      <c r="D2999" s="5" t="s">
        <v>2311</v>
      </c>
      <c r="E2999" s="5" t="s">
        <v>2225</v>
      </c>
      <c r="F2999" s="5" t="s">
        <v>59</v>
      </c>
      <c r="G2999" s="5" t="str">
        <f aca="false">INDEX(Risk_Matrix!$B$2:$D$4,MATCH(E2999,Risk_Matrix!$A$2:$A$4,0),MATCH(F2999,Risk_Matrix!$B$1:$D$1,0))</f>
        <v>Low</v>
      </c>
      <c r="H2999" s="12" t="n">
        <v>46124</v>
      </c>
      <c r="I2999" s="5" t="s">
        <v>2241</v>
      </c>
      <c r="J2999" s="5" t="s">
        <v>2242</v>
      </c>
      <c r="K2999" s="5" t="s">
        <v>2266</v>
      </c>
      <c r="L2999" s="5" t="n">
        <f aca="false">IF(G2999="High",3,IF(G2999="Medium",2,1))</f>
        <v>1</v>
      </c>
    </row>
    <row r="3000" customFormat="false" ht="15" hidden="false" customHeight="true" outlineLevel="0" collapsed="false">
      <c r="A3000" s="5" t="s">
        <v>5278</v>
      </c>
      <c r="B3000" s="5" t="s">
        <v>1992</v>
      </c>
      <c r="C3000" s="5" t="s">
        <v>2259</v>
      </c>
      <c r="D3000" s="5" t="s">
        <v>2260</v>
      </c>
      <c r="E3000" s="5" t="s">
        <v>54</v>
      </c>
      <c r="F3000" s="5" t="s">
        <v>59</v>
      </c>
      <c r="G3000" s="5" t="str">
        <f aca="false">INDEX(Risk_Matrix!$B$2:$D$4,MATCH(E3000,Risk_Matrix!$A$2:$A$4,0),MATCH(F3000,Risk_Matrix!$B$1:$D$1,0))</f>
        <v>Medium</v>
      </c>
      <c r="H3000" s="12" t="n">
        <v>46088</v>
      </c>
      <c r="I3000" s="5" t="s">
        <v>2250</v>
      </c>
      <c r="J3000" s="5" t="s">
        <v>2251</v>
      </c>
      <c r="K3000" s="5" t="s">
        <v>2266</v>
      </c>
      <c r="L3000" s="5" t="n">
        <f aca="false">IF(G3000="High",3,IF(G3000="Medium",2,1))</f>
        <v>2</v>
      </c>
    </row>
    <row r="3001" customFormat="false" ht="15" hidden="false" customHeight="true" outlineLevel="0" collapsed="false">
      <c r="A3001" s="5" t="s">
        <v>5279</v>
      </c>
      <c r="B3001" s="5" t="s">
        <v>1992</v>
      </c>
      <c r="C3001" s="5" t="s">
        <v>2254</v>
      </c>
      <c r="D3001" s="5" t="s">
        <v>2299</v>
      </c>
      <c r="E3001" s="5" t="s">
        <v>2225</v>
      </c>
      <c r="F3001" s="5" t="s">
        <v>59</v>
      </c>
      <c r="G3001" s="5" t="str">
        <f aca="false">INDEX(Risk_Matrix!$B$2:$D$4,MATCH(E3001,Risk_Matrix!$A$2:$A$4,0),MATCH(F3001,Risk_Matrix!$B$1:$D$1,0))</f>
        <v>Low</v>
      </c>
      <c r="H3001" s="12" t="n">
        <v>46122</v>
      </c>
      <c r="I3001" s="5" t="s">
        <v>2256</v>
      </c>
      <c r="J3001" s="5" t="s">
        <v>4081</v>
      </c>
      <c r="K3001" s="5" t="s">
        <v>2243</v>
      </c>
      <c r="L3001" s="5" t="n">
        <f aca="false">IF(G3001="High",3,IF(G3001="Medium",2,1))</f>
        <v>1</v>
      </c>
    </row>
    <row r="3002" customFormat="false" ht="15" hidden="false" customHeight="true" outlineLevel="0" collapsed="false">
      <c r="A3002" s="5" t="s">
        <v>5280</v>
      </c>
      <c r="B3002" s="5" t="s">
        <v>1994</v>
      </c>
      <c r="C3002" s="5" t="s">
        <v>2239</v>
      </c>
      <c r="D3002" s="5" t="s">
        <v>2303</v>
      </c>
      <c r="E3002" s="5" t="s">
        <v>59</v>
      </c>
      <c r="F3002" s="5" t="s">
        <v>59</v>
      </c>
      <c r="G3002" s="5" t="str">
        <f aca="false">INDEX(Risk_Matrix!$B$2:$D$4,MATCH(E3002,Risk_Matrix!$A$2:$A$4,0),MATCH(F3002,Risk_Matrix!$B$1:$D$1,0))</f>
        <v>Low</v>
      </c>
      <c r="H3002" s="12" t="n">
        <v>46090</v>
      </c>
      <c r="I3002" s="5" t="s">
        <v>2264</v>
      </c>
      <c r="J3002" s="5" t="s">
        <v>4087</v>
      </c>
      <c r="K3002" s="5" t="s">
        <v>2283</v>
      </c>
      <c r="L3002" s="5" t="n">
        <f aca="false">IF(G3002="High",3,IF(G3002="Medium",2,1))</f>
        <v>1</v>
      </c>
    </row>
    <row r="3003" customFormat="false" ht="15" hidden="false" customHeight="true" outlineLevel="0" collapsed="false">
      <c r="A3003" s="5" t="s">
        <v>5281</v>
      </c>
      <c r="B3003" s="5" t="s">
        <v>1994</v>
      </c>
      <c r="C3003" s="5" t="s">
        <v>2245</v>
      </c>
      <c r="D3003" s="5" t="s">
        <v>2320</v>
      </c>
      <c r="E3003" s="5" t="s">
        <v>2225</v>
      </c>
      <c r="F3003" s="5" t="s">
        <v>54</v>
      </c>
      <c r="G3003" s="5" t="str">
        <f aca="false">INDEX(Risk_Matrix!$B$2:$D$4,MATCH(E3003,Risk_Matrix!$A$2:$A$4,0),MATCH(F3003,Risk_Matrix!$B$1:$D$1,0))</f>
        <v>High</v>
      </c>
      <c r="H3003" s="12" t="n">
        <v>46194</v>
      </c>
      <c r="I3003" s="5" t="s">
        <v>2250</v>
      </c>
      <c r="J3003" s="5" t="s">
        <v>2251</v>
      </c>
      <c r="K3003" s="5" t="s">
        <v>2243</v>
      </c>
      <c r="L3003" s="5" t="n">
        <f aca="false">IF(G3003="High",3,IF(G3003="Medium",2,1))</f>
        <v>3</v>
      </c>
    </row>
    <row r="3004" customFormat="false" ht="15" hidden="false" customHeight="true" outlineLevel="0" collapsed="false">
      <c r="A3004" s="5" t="s">
        <v>5282</v>
      </c>
      <c r="B3004" s="5" t="s">
        <v>1994</v>
      </c>
      <c r="C3004" s="5" t="s">
        <v>2248</v>
      </c>
      <c r="D3004" s="5" t="s">
        <v>2306</v>
      </c>
      <c r="E3004" s="5" t="s">
        <v>2225</v>
      </c>
      <c r="F3004" s="5" t="s">
        <v>54</v>
      </c>
      <c r="G3004" s="5" t="str">
        <f aca="false">INDEX(Risk_Matrix!$B$2:$D$4,MATCH(E3004,Risk_Matrix!$A$2:$A$4,0),MATCH(F3004,Risk_Matrix!$B$1:$D$1,0))</f>
        <v>High</v>
      </c>
      <c r="H3004" s="12" t="n">
        <v>46237</v>
      </c>
      <c r="I3004" s="5" t="s">
        <v>2241</v>
      </c>
      <c r="J3004" s="5" t="s">
        <v>2242</v>
      </c>
      <c r="K3004" s="5" t="s">
        <v>2276</v>
      </c>
      <c r="L3004" s="5" t="n">
        <f aca="false">IF(G3004="High",3,IF(G3004="Medium",2,1))</f>
        <v>3</v>
      </c>
    </row>
    <row r="3005" customFormat="false" ht="15" hidden="false" customHeight="true" outlineLevel="0" collapsed="false">
      <c r="A3005" s="5" t="s">
        <v>5283</v>
      </c>
      <c r="B3005" s="5" t="s">
        <v>1994</v>
      </c>
      <c r="C3005" s="5" t="s">
        <v>2262</v>
      </c>
      <c r="D3005" s="5" t="s">
        <v>2287</v>
      </c>
      <c r="E3005" s="5" t="s">
        <v>2225</v>
      </c>
      <c r="F3005" s="5" t="s">
        <v>2225</v>
      </c>
      <c r="G3005" s="5" t="str">
        <f aca="false">INDEX(Risk_Matrix!$B$2:$D$4,MATCH(E3005,Risk_Matrix!$A$2:$A$4,0),MATCH(F3005,Risk_Matrix!$B$1:$D$1,0))</f>
        <v>Medium</v>
      </c>
      <c r="H3005" s="12" t="n">
        <v>46091</v>
      </c>
      <c r="I3005" s="5" t="s">
        <v>2264</v>
      </c>
      <c r="J3005" s="5" t="s">
        <v>4087</v>
      </c>
      <c r="K3005" s="5" t="s">
        <v>2276</v>
      </c>
      <c r="L3005" s="5" t="n">
        <f aca="false">IF(G3005="High",3,IF(G3005="Medium",2,1))</f>
        <v>2</v>
      </c>
    </row>
    <row r="3006" customFormat="false" ht="15" hidden="false" customHeight="true" outlineLevel="0" collapsed="false">
      <c r="A3006" s="5" t="s">
        <v>5284</v>
      </c>
      <c r="B3006" s="5" t="s">
        <v>1994</v>
      </c>
      <c r="C3006" s="5" t="s">
        <v>2259</v>
      </c>
      <c r="D3006" s="5" t="s">
        <v>2285</v>
      </c>
      <c r="E3006" s="5" t="s">
        <v>59</v>
      </c>
      <c r="F3006" s="5" t="s">
        <v>54</v>
      </c>
      <c r="G3006" s="5" t="str">
        <f aca="false">INDEX(Risk_Matrix!$B$2:$D$4,MATCH(E3006,Risk_Matrix!$A$2:$A$4,0),MATCH(F3006,Risk_Matrix!$B$1:$D$1,0))</f>
        <v>Medium</v>
      </c>
      <c r="H3006" s="12" t="n">
        <v>46205</v>
      </c>
      <c r="I3006" s="5" t="s">
        <v>2256</v>
      </c>
      <c r="J3006" s="5" t="s">
        <v>4081</v>
      </c>
      <c r="K3006" s="5" t="s">
        <v>2266</v>
      </c>
      <c r="L3006" s="5" t="n">
        <f aca="false">IF(G3006="High",3,IF(G3006="Medium",2,1))</f>
        <v>2</v>
      </c>
    </row>
    <row r="3007" customFormat="false" ht="15" hidden="false" customHeight="true" outlineLevel="0" collapsed="false">
      <c r="A3007" s="5" t="s">
        <v>5285</v>
      </c>
      <c r="B3007" s="5" t="s">
        <v>1994</v>
      </c>
      <c r="C3007" s="5" t="s">
        <v>2254</v>
      </c>
      <c r="D3007" s="5" t="s">
        <v>2255</v>
      </c>
      <c r="E3007" s="5" t="s">
        <v>59</v>
      </c>
      <c r="F3007" s="5" t="s">
        <v>54</v>
      </c>
      <c r="G3007" s="5" t="str">
        <f aca="false">INDEX(Risk_Matrix!$B$2:$D$4,MATCH(E3007,Risk_Matrix!$A$2:$A$4,0),MATCH(F3007,Risk_Matrix!$B$1:$D$1,0))</f>
        <v>Medium</v>
      </c>
      <c r="H3007" s="12" t="n">
        <v>46190</v>
      </c>
      <c r="I3007" s="5" t="s">
        <v>2264</v>
      </c>
      <c r="J3007" s="5" t="s">
        <v>4087</v>
      </c>
      <c r="K3007" s="5" t="s">
        <v>2266</v>
      </c>
      <c r="L3007" s="5" t="n">
        <f aca="false">IF(G3007="High",3,IF(G3007="Medium",2,1))</f>
        <v>2</v>
      </c>
    </row>
    <row r="3008" customFormat="false" ht="15" hidden="false" customHeight="true" outlineLevel="0" collapsed="false">
      <c r="A3008" s="5" t="s">
        <v>5286</v>
      </c>
      <c r="B3008" s="5" t="s">
        <v>1996</v>
      </c>
      <c r="C3008" s="5" t="s">
        <v>2239</v>
      </c>
      <c r="D3008" s="5" t="s">
        <v>2240</v>
      </c>
      <c r="E3008" s="5" t="s">
        <v>59</v>
      </c>
      <c r="F3008" s="5" t="s">
        <v>59</v>
      </c>
      <c r="G3008" s="5" t="str">
        <f aca="false">INDEX(Risk_Matrix!$B$2:$D$4,MATCH(E3008,Risk_Matrix!$A$2:$A$4,0),MATCH(F3008,Risk_Matrix!$B$1:$D$1,0))</f>
        <v>Low</v>
      </c>
      <c r="H3008" s="12" t="n">
        <v>46073</v>
      </c>
      <c r="I3008" s="5" t="s">
        <v>2256</v>
      </c>
      <c r="J3008" s="5" t="s">
        <v>4081</v>
      </c>
      <c r="K3008" s="5" t="s">
        <v>2266</v>
      </c>
      <c r="L3008" s="5" t="n">
        <f aca="false">IF(G3008="High",3,IF(G3008="Medium",2,1))</f>
        <v>1</v>
      </c>
    </row>
    <row r="3009" customFormat="false" ht="15" hidden="false" customHeight="true" outlineLevel="0" collapsed="false">
      <c r="A3009" s="5" t="s">
        <v>5287</v>
      </c>
      <c r="B3009" s="5" t="s">
        <v>1996</v>
      </c>
      <c r="C3009" s="5" t="s">
        <v>2245</v>
      </c>
      <c r="D3009" s="5" t="s">
        <v>2320</v>
      </c>
      <c r="E3009" s="5" t="s">
        <v>59</v>
      </c>
      <c r="F3009" s="5" t="s">
        <v>54</v>
      </c>
      <c r="G3009" s="5" t="str">
        <f aca="false">INDEX(Risk_Matrix!$B$2:$D$4,MATCH(E3009,Risk_Matrix!$A$2:$A$4,0),MATCH(F3009,Risk_Matrix!$B$1:$D$1,0))</f>
        <v>Medium</v>
      </c>
      <c r="H3009" s="12" t="n">
        <v>46099</v>
      </c>
      <c r="I3009" s="5" t="s">
        <v>2250</v>
      </c>
      <c r="J3009" s="5" t="s">
        <v>2251</v>
      </c>
      <c r="K3009" s="5" t="s">
        <v>2276</v>
      </c>
      <c r="L3009" s="5" t="n">
        <f aca="false">IF(G3009="High",3,IF(G3009="Medium",2,1))</f>
        <v>2</v>
      </c>
    </row>
    <row r="3010" customFormat="false" ht="15" hidden="false" customHeight="true" outlineLevel="0" collapsed="false">
      <c r="A3010" s="5" t="s">
        <v>5288</v>
      </c>
      <c r="B3010" s="5" t="s">
        <v>1996</v>
      </c>
      <c r="C3010" s="5" t="s">
        <v>2248</v>
      </c>
      <c r="D3010" s="5" t="s">
        <v>2306</v>
      </c>
      <c r="E3010" s="5" t="s">
        <v>2225</v>
      </c>
      <c r="F3010" s="5" t="s">
        <v>54</v>
      </c>
      <c r="G3010" s="5" t="str">
        <f aca="false">INDEX(Risk_Matrix!$B$2:$D$4,MATCH(E3010,Risk_Matrix!$A$2:$A$4,0),MATCH(F3010,Risk_Matrix!$B$1:$D$1,0))</f>
        <v>High</v>
      </c>
      <c r="H3010" s="12" t="n">
        <v>46221</v>
      </c>
      <c r="I3010" s="5" t="s">
        <v>2250</v>
      </c>
      <c r="J3010" s="5" t="s">
        <v>2251</v>
      </c>
      <c r="K3010" s="5" t="s">
        <v>2266</v>
      </c>
      <c r="L3010" s="5" t="n">
        <f aca="false">IF(G3010="High",3,IF(G3010="Medium",2,1))</f>
        <v>3</v>
      </c>
    </row>
    <row r="3011" customFormat="false" ht="15" hidden="false" customHeight="true" outlineLevel="0" collapsed="false">
      <c r="A3011" s="5" t="s">
        <v>5289</v>
      </c>
      <c r="B3011" s="5" t="s">
        <v>1996</v>
      </c>
      <c r="C3011" s="5" t="s">
        <v>2262</v>
      </c>
      <c r="D3011" s="5" t="s">
        <v>2311</v>
      </c>
      <c r="E3011" s="5" t="s">
        <v>2225</v>
      </c>
      <c r="F3011" s="5" t="s">
        <v>59</v>
      </c>
      <c r="G3011" s="5" t="str">
        <f aca="false">INDEX(Risk_Matrix!$B$2:$D$4,MATCH(E3011,Risk_Matrix!$A$2:$A$4,0),MATCH(F3011,Risk_Matrix!$B$1:$D$1,0))</f>
        <v>Low</v>
      </c>
      <c r="H3011" s="12" t="n">
        <v>46154</v>
      </c>
      <c r="I3011" s="5" t="s">
        <v>2241</v>
      </c>
      <c r="J3011" s="5" t="s">
        <v>2242</v>
      </c>
      <c r="K3011" s="5" t="s">
        <v>2283</v>
      </c>
      <c r="L3011" s="5" t="n">
        <f aca="false">IF(G3011="High",3,IF(G3011="Medium",2,1))</f>
        <v>1</v>
      </c>
    </row>
    <row r="3012" customFormat="false" ht="15" hidden="false" customHeight="true" outlineLevel="0" collapsed="false">
      <c r="A3012" s="5" t="s">
        <v>5290</v>
      </c>
      <c r="B3012" s="5" t="s">
        <v>1996</v>
      </c>
      <c r="C3012" s="5" t="s">
        <v>2259</v>
      </c>
      <c r="D3012" s="5" t="s">
        <v>2260</v>
      </c>
      <c r="E3012" s="5" t="s">
        <v>59</v>
      </c>
      <c r="F3012" s="5" t="s">
        <v>54</v>
      </c>
      <c r="G3012" s="5" t="str">
        <f aca="false">INDEX(Risk_Matrix!$B$2:$D$4,MATCH(E3012,Risk_Matrix!$A$2:$A$4,0),MATCH(F3012,Risk_Matrix!$B$1:$D$1,0))</f>
        <v>Medium</v>
      </c>
      <c r="H3012" s="12" t="n">
        <v>46149</v>
      </c>
      <c r="I3012" s="5" t="s">
        <v>2241</v>
      </c>
      <c r="J3012" s="5" t="s">
        <v>2242</v>
      </c>
      <c r="K3012" s="5" t="s">
        <v>2276</v>
      </c>
      <c r="L3012" s="5" t="n">
        <f aca="false">IF(G3012="High",3,IF(G3012="Medium",2,1))</f>
        <v>2</v>
      </c>
    </row>
    <row r="3013" customFormat="false" ht="15" hidden="false" customHeight="true" outlineLevel="0" collapsed="false">
      <c r="A3013" s="5" t="s">
        <v>5291</v>
      </c>
      <c r="B3013" s="5" t="s">
        <v>1996</v>
      </c>
      <c r="C3013" s="5" t="s">
        <v>2254</v>
      </c>
      <c r="D3013" s="5" t="s">
        <v>2308</v>
      </c>
      <c r="E3013" s="5" t="s">
        <v>59</v>
      </c>
      <c r="F3013" s="5" t="s">
        <v>59</v>
      </c>
      <c r="G3013" s="5" t="str">
        <f aca="false">INDEX(Risk_Matrix!$B$2:$D$4,MATCH(E3013,Risk_Matrix!$A$2:$A$4,0),MATCH(F3013,Risk_Matrix!$B$1:$D$1,0))</f>
        <v>Low</v>
      </c>
      <c r="H3013" s="12" t="n">
        <v>46074</v>
      </c>
      <c r="I3013" s="5" t="s">
        <v>2241</v>
      </c>
      <c r="J3013" s="5" t="s">
        <v>2242</v>
      </c>
      <c r="K3013" s="5" t="s">
        <v>2276</v>
      </c>
      <c r="L3013" s="5" t="n">
        <f aca="false">IF(G3013="High",3,IF(G3013="Medium",2,1))</f>
        <v>1</v>
      </c>
    </row>
    <row r="3014" customFormat="false" ht="15" hidden="false" customHeight="true" outlineLevel="0" collapsed="false">
      <c r="A3014" s="5" t="s">
        <v>5292</v>
      </c>
      <c r="B3014" s="5" t="s">
        <v>1998</v>
      </c>
      <c r="C3014" s="5" t="s">
        <v>2239</v>
      </c>
      <c r="D3014" s="5" t="s">
        <v>2240</v>
      </c>
      <c r="E3014" s="5" t="s">
        <v>54</v>
      </c>
      <c r="F3014" s="5" t="s">
        <v>59</v>
      </c>
      <c r="G3014" s="5" t="str">
        <f aca="false">INDEX(Risk_Matrix!$B$2:$D$4,MATCH(E3014,Risk_Matrix!$A$2:$A$4,0),MATCH(F3014,Risk_Matrix!$B$1:$D$1,0))</f>
        <v>Medium</v>
      </c>
      <c r="H3014" s="12" t="n">
        <v>46184</v>
      </c>
      <c r="I3014" s="5" t="s">
        <v>2264</v>
      </c>
      <c r="J3014" s="5" t="s">
        <v>4087</v>
      </c>
      <c r="K3014" s="5" t="s">
        <v>2276</v>
      </c>
      <c r="L3014" s="5" t="n">
        <f aca="false">IF(G3014="High",3,IF(G3014="Medium",2,1))</f>
        <v>2</v>
      </c>
    </row>
    <row r="3015" customFormat="false" ht="15" hidden="false" customHeight="true" outlineLevel="0" collapsed="false">
      <c r="A3015" s="5" t="s">
        <v>5293</v>
      </c>
      <c r="B3015" s="5" t="s">
        <v>1998</v>
      </c>
      <c r="C3015" s="5" t="s">
        <v>2245</v>
      </c>
      <c r="D3015" s="5" t="s">
        <v>2320</v>
      </c>
      <c r="E3015" s="5" t="s">
        <v>2225</v>
      </c>
      <c r="F3015" s="5" t="s">
        <v>54</v>
      </c>
      <c r="G3015" s="5" t="str">
        <f aca="false">INDEX(Risk_Matrix!$B$2:$D$4,MATCH(E3015,Risk_Matrix!$A$2:$A$4,0),MATCH(F3015,Risk_Matrix!$B$1:$D$1,0))</f>
        <v>High</v>
      </c>
      <c r="H3015" s="12" t="n">
        <v>46179</v>
      </c>
      <c r="I3015" s="5" t="s">
        <v>2264</v>
      </c>
      <c r="J3015" s="5" t="s">
        <v>4087</v>
      </c>
      <c r="K3015" s="5" t="s">
        <v>2276</v>
      </c>
      <c r="L3015" s="5" t="n">
        <f aca="false">IF(G3015="High",3,IF(G3015="Medium",2,1))</f>
        <v>3</v>
      </c>
    </row>
    <row r="3016" customFormat="false" ht="15" hidden="false" customHeight="true" outlineLevel="0" collapsed="false">
      <c r="A3016" s="5" t="s">
        <v>5294</v>
      </c>
      <c r="B3016" s="5" t="s">
        <v>1998</v>
      </c>
      <c r="C3016" s="5" t="s">
        <v>2248</v>
      </c>
      <c r="D3016" s="5" t="s">
        <v>2271</v>
      </c>
      <c r="E3016" s="5" t="s">
        <v>54</v>
      </c>
      <c r="F3016" s="5" t="s">
        <v>54</v>
      </c>
      <c r="G3016" s="5" t="str">
        <f aca="false">INDEX(Risk_Matrix!$B$2:$D$4,MATCH(E3016,Risk_Matrix!$A$2:$A$4,0),MATCH(F3016,Risk_Matrix!$B$1:$D$1,0))</f>
        <v>High</v>
      </c>
      <c r="H3016" s="12" t="n">
        <v>46212</v>
      </c>
      <c r="I3016" s="5" t="s">
        <v>2264</v>
      </c>
      <c r="J3016" s="5" t="s">
        <v>4087</v>
      </c>
      <c r="K3016" s="5" t="s">
        <v>2243</v>
      </c>
      <c r="L3016" s="5" t="n">
        <f aca="false">IF(G3016="High",3,IF(G3016="Medium",2,1))</f>
        <v>3</v>
      </c>
    </row>
    <row r="3017" customFormat="false" ht="15" hidden="false" customHeight="true" outlineLevel="0" collapsed="false">
      <c r="A3017" s="5" t="s">
        <v>5295</v>
      </c>
      <c r="B3017" s="5" t="s">
        <v>1998</v>
      </c>
      <c r="C3017" s="5" t="s">
        <v>2262</v>
      </c>
      <c r="D3017" s="5" t="s">
        <v>2287</v>
      </c>
      <c r="E3017" s="5" t="s">
        <v>59</v>
      </c>
      <c r="F3017" s="5" t="s">
        <v>54</v>
      </c>
      <c r="G3017" s="5" t="str">
        <f aca="false">INDEX(Risk_Matrix!$B$2:$D$4,MATCH(E3017,Risk_Matrix!$A$2:$A$4,0),MATCH(F3017,Risk_Matrix!$B$1:$D$1,0))</f>
        <v>Medium</v>
      </c>
      <c r="H3017" s="12" t="n">
        <v>46114</v>
      </c>
      <c r="I3017" s="5" t="s">
        <v>2241</v>
      </c>
      <c r="J3017" s="5" t="s">
        <v>2242</v>
      </c>
      <c r="K3017" s="5" t="s">
        <v>2243</v>
      </c>
      <c r="L3017" s="5" t="n">
        <f aca="false">IF(G3017="High",3,IF(G3017="Medium",2,1))</f>
        <v>2</v>
      </c>
    </row>
    <row r="3018" customFormat="false" ht="15" hidden="false" customHeight="true" outlineLevel="0" collapsed="false">
      <c r="A3018" s="5" t="s">
        <v>5296</v>
      </c>
      <c r="B3018" s="5" t="s">
        <v>1998</v>
      </c>
      <c r="C3018" s="5" t="s">
        <v>2259</v>
      </c>
      <c r="D3018" s="5" t="s">
        <v>2274</v>
      </c>
      <c r="E3018" s="5" t="s">
        <v>59</v>
      </c>
      <c r="F3018" s="5" t="s">
        <v>2225</v>
      </c>
      <c r="G3018" s="5" t="str">
        <f aca="false">INDEX(Risk_Matrix!$B$2:$D$4,MATCH(E3018,Risk_Matrix!$A$2:$A$4,0),MATCH(F3018,Risk_Matrix!$B$1:$D$1,0))</f>
        <v>Low</v>
      </c>
      <c r="H3018" s="12" t="n">
        <v>46191</v>
      </c>
      <c r="I3018" s="5" t="s">
        <v>2256</v>
      </c>
      <c r="J3018" s="5" t="s">
        <v>4081</v>
      </c>
      <c r="K3018" s="5" t="s">
        <v>2243</v>
      </c>
      <c r="L3018" s="5" t="n">
        <f aca="false">IF(G3018="High",3,IF(G3018="Medium",2,1))</f>
        <v>1</v>
      </c>
    </row>
    <row r="3019" customFormat="false" ht="15" hidden="false" customHeight="true" outlineLevel="0" collapsed="false">
      <c r="A3019" s="5" t="s">
        <v>5297</v>
      </c>
      <c r="B3019" s="5" t="s">
        <v>1998</v>
      </c>
      <c r="C3019" s="5" t="s">
        <v>2254</v>
      </c>
      <c r="D3019" s="5" t="s">
        <v>2308</v>
      </c>
      <c r="E3019" s="5" t="s">
        <v>2225</v>
      </c>
      <c r="F3019" s="5" t="s">
        <v>2225</v>
      </c>
      <c r="G3019" s="5" t="str">
        <f aca="false">INDEX(Risk_Matrix!$B$2:$D$4,MATCH(E3019,Risk_Matrix!$A$2:$A$4,0),MATCH(F3019,Risk_Matrix!$B$1:$D$1,0))</f>
        <v>Medium</v>
      </c>
      <c r="H3019" s="12" t="n">
        <v>46156</v>
      </c>
      <c r="I3019" s="5" t="s">
        <v>2264</v>
      </c>
      <c r="J3019" s="5" t="s">
        <v>4087</v>
      </c>
      <c r="K3019" s="5" t="s">
        <v>2252</v>
      </c>
      <c r="L3019" s="5" t="n">
        <f aca="false">IF(G3019="High",3,IF(G3019="Medium",2,1))</f>
        <v>2</v>
      </c>
    </row>
    <row r="3020" customFormat="false" ht="15" hidden="false" customHeight="true" outlineLevel="0" collapsed="false">
      <c r="A3020" s="5" t="s">
        <v>5298</v>
      </c>
      <c r="B3020" s="5" t="s">
        <v>2000</v>
      </c>
      <c r="C3020" s="5" t="s">
        <v>2239</v>
      </c>
      <c r="D3020" s="5" t="s">
        <v>2240</v>
      </c>
      <c r="E3020" s="5" t="s">
        <v>59</v>
      </c>
      <c r="F3020" s="5" t="s">
        <v>59</v>
      </c>
      <c r="G3020" s="5" t="str">
        <f aca="false">INDEX(Risk_Matrix!$B$2:$D$4,MATCH(E3020,Risk_Matrix!$A$2:$A$4,0),MATCH(F3020,Risk_Matrix!$B$1:$D$1,0))</f>
        <v>Low</v>
      </c>
      <c r="H3020" s="12" t="n">
        <v>46195</v>
      </c>
      <c r="I3020" s="5" t="s">
        <v>2264</v>
      </c>
      <c r="J3020" s="5" t="s">
        <v>4087</v>
      </c>
      <c r="K3020" s="5" t="s">
        <v>2252</v>
      </c>
      <c r="L3020" s="5" t="n">
        <f aca="false">IF(G3020="High",3,IF(G3020="Medium",2,1))</f>
        <v>1</v>
      </c>
    </row>
    <row r="3021" customFormat="false" ht="15" hidden="false" customHeight="true" outlineLevel="0" collapsed="false">
      <c r="A3021" s="5" t="s">
        <v>5299</v>
      </c>
      <c r="B3021" s="5" t="s">
        <v>2000</v>
      </c>
      <c r="C3021" s="5" t="s">
        <v>2245</v>
      </c>
      <c r="D3021" s="5" t="s">
        <v>2269</v>
      </c>
      <c r="E3021" s="5" t="s">
        <v>59</v>
      </c>
      <c r="F3021" s="5" t="s">
        <v>2225</v>
      </c>
      <c r="G3021" s="5" t="str">
        <f aca="false">INDEX(Risk_Matrix!$B$2:$D$4,MATCH(E3021,Risk_Matrix!$A$2:$A$4,0),MATCH(F3021,Risk_Matrix!$B$1:$D$1,0))</f>
        <v>Low</v>
      </c>
      <c r="H3021" s="12" t="n">
        <v>46181</v>
      </c>
      <c r="I3021" s="5" t="s">
        <v>2241</v>
      </c>
      <c r="J3021" s="5" t="s">
        <v>2242</v>
      </c>
      <c r="K3021" s="5" t="s">
        <v>2243</v>
      </c>
      <c r="L3021" s="5" t="n">
        <f aca="false">IF(G3021="High",3,IF(G3021="Medium",2,1))</f>
        <v>1</v>
      </c>
    </row>
    <row r="3022" customFormat="false" ht="15" hidden="false" customHeight="true" outlineLevel="0" collapsed="false">
      <c r="A3022" s="5" t="s">
        <v>5300</v>
      </c>
      <c r="B3022" s="5" t="s">
        <v>2000</v>
      </c>
      <c r="C3022" s="5" t="s">
        <v>2248</v>
      </c>
      <c r="D3022" s="5" t="s">
        <v>2306</v>
      </c>
      <c r="E3022" s="5" t="s">
        <v>54</v>
      </c>
      <c r="F3022" s="5" t="s">
        <v>59</v>
      </c>
      <c r="G3022" s="5" t="str">
        <f aca="false">INDEX(Risk_Matrix!$B$2:$D$4,MATCH(E3022,Risk_Matrix!$A$2:$A$4,0),MATCH(F3022,Risk_Matrix!$B$1:$D$1,0))</f>
        <v>Medium</v>
      </c>
      <c r="H3022" s="12" t="n">
        <v>46108</v>
      </c>
      <c r="I3022" s="5" t="s">
        <v>2264</v>
      </c>
      <c r="J3022" s="5" t="s">
        <v>4087</v>
      </c>
      <c r="K3022" s="5" t="s">
        <v>2283</v>
      </c>
      <c r="L3022" s="5" t="n">
        <f aca="false">IF(G3022="High",3,IF(G3022="Medium",2,1))</f>
        <v>2</v>
      </c>
    </row>
    <row r="3023" customFormat="false" ht="15" hidden="false" customHeight="true" outlineLevel="0" collapsed="false">
      <c r="A3023" s="5" t="s">
        <v>5301</v>
      </c>
      <c r="B3023" s="5" t="s">
        <v>2000</v>
      </c>
      <c r="C3023" s="5" t="s">
        <v>2262</v>
      </c>
      <c r="D3023" s="5" t="s">
        <v>2311</v>
      </c>
      <c r="E3023" s="5" t="s">
        <v>59</v>
      </c>
      <c r="F3023" s="5" t="s">
        <v>54</v>
      </c>
      <c r="G3023" s="5" t="str">
        <f aca="false">INDEX(Risk_Matrix!$B$2:$D$4,MATCH(E3023,Risk_Matrix!$A$2:$A$4,0),MATCH(F3023,Risk_Matrix!$B$1:$D$1,0))</f>
        <v>Medium</v>
      </c>
      <c r="H3023" s="12" t="n">
        <v>46159</v>
      </c>
      <c r="I3023" s="5" t="s">
        <v>2241</v>
      </c>
      <c r="J3023" s="5" t="s">
        <v>2242</v>
      </c>
      <c r="K3023" s="5" t="s">
        <v>2276</v>
      </c>
      <c r="L3023" s="5" t="n">
        <f aca="false">IF(G3023="High",3,IF(G3023="Medium",2,1))</f>
        <v>2</v>
      </c>
    </row>
    <row r="3024" customFormat="false" ht="15" hidden="false" customHeight="true" outlineLevel="0" collapsed="false">
      <c r="A3024" s="5" t="s">
        <v>5302</v>
      </c>
      <c r="B3024" s="5" t="s">
        <v>2000</v>
      </c>
      <c r="C3024" s="5" t="s">
        <v>2259</v>
      </c>
      <c r="D3024" s="5" t="s">
        <v>2285</v>
      </c>
      <c r="E3024" s="5" t="s">
        <v>59</v>
      </c>
      <c r="F3024" s="5" t="s">
        <v>54</v>
      </c>
      <c r="G3024" s="5" t="str">
        <f aca="false">INDEX(Risk_Matrix!$B$2:$D$4,MATCH(E3024,Risk_Matrix!$A$2:$A$4,0),MATCH(F3024,Risk_Matrix!$B$1:$D$1,0))</f>
        <v>Medium</v>
      </c>
      <c r="H3024" s="12" t="n">
        <v>46121</v>
      </c>
      <c r="I3024" s="5" t="s">
        <v>2264</v>
      </c>
      <c r="J3024" s="5" t="s">
        <v>4087</v>
      </c>
      <c r="K3024" s="5" t="s">
        <v>2252</v>
      </c>
      <c r="L3024" s="5" t="n">
        <f aca="false">IF(G3024="High",3,IF(G3024="Medium",2,1))</f>
        <v>2</v>
      </c>
    </row>
    <row r="3025" customFormat="false" ht="15" hidden="false" customHeight="true" outlineLevel="0" collapsed="false">
      <c r="A3025" s="5" t="s">
        <v>5303</v>
      </c>
      <c r="B3025" s="5" t="s">
        <v>2000</v>
      </c>
      <c r="C3025" s="5" t="s">
        <v>2254</v>
      </c>
      <c r="D3025" s="5" t="s">
        <v>2308</v>
      </c>
      <c r="E3025" s="5" t="s">
        <v>59</v>
      </c>
      <c r="F3025" s="5" t="s">
        <v>59</v>
      </c>
      <c r="G3025" s="5" t="str">
        <f aca="false">INDEX(Risk_Matrix!$B$2:$D$4,MATCH(E3025,Risk_Matrix!$A$2:$A$4,0),MATCH(F3025,Risk_Matrix!$B$1:$D$1,0))</f>
        <v>Low</v>
      </c>
      <c r="H3025" s="12" t="n">
        <v>46124</v>
      </c>
      <c r="I3025" s="5" t="s">
        <v>2264</v>
      </c>
      <c r="J3025" s="5" t="s">
        <v>4087</v>
      </c>
      <c r="K3025" s="5" t="s">
        <v>2266</v>
      </c>
      <c r="L3025" s="5" t="n">
        <f aca="false">IF(G3025="High",3,IF(G3025="Medium",2,1))</f>
        <v>1</v>
      </c>
    </row>
    <row r="3026" customFormat="false" ht="15" hidden="false" customHeight="true" outlineLevel="0" collapsed="false">
      <c r="A3026" s="5" t="s">
        <v>5304</v>
      </c>
      <c r="B3026" s="5" t="s">
        <v>2002</v>
      </c>
      <c r="C3026" s="5" t="s">
        <v>2239</v>
      </c>
      <c r="D3026" s="5" t="s">
        <v>2240</v>
      </c>
      <c r="E3026" s="5" t="s">
        <v>54</v>
      </c>
      <c r="F3026" s="5" t="s">
        <v>59</v>
      </c>
      <c r="G3026" s="5" t="str">
        <f aca="false">INDEX(Risk_Matrix!$B$2:$D$4,MATCH(E3026,Risk_Matrix!$A$2:$A$4,0),MATCH(F3026,Risk_Matrix!$B$1:$D$1,0))</f>
        <v>Medium</v>
      </c>
      <c r="H3026" s="12" t="n">
        <v>46057</v>
      </c>
      <c r="I3026" s="5" t="s">
        <v>2256</v>
      </c>
      <c r="J3026" s="5" t="s">
        <v>4081</v>
      </c>
      <c r="K3026" s="5" t="s">
        <v>2283</v>
      </c>
      <c r="L3026" s="5" t="n">
        <f aca="false">IF(G3026="High",3,IF(G3026="Medium",2,1))</f>
        <v>2</v>
      </c>
    </row>
    <row r="3027" customFormat="false" ht="15" hidden="false" customHeight="true" outlineLevel="0" collapsed="false">
      <c r="A3027" s="5" t="s">
        <v>5305</v>
      </c>
      <c r="B3027" s="5" t="s">
        <v>2002</v>
      </c>
      <c r="C3027" s="5" t="s">
        <v>2245</v>
      </c>
      <c r="D3027" s="5" t="s">
        <v>2246</v>
      </c>
      <c r="E3027" s="5" t="s">
        <v>54</v>
      </c>
      <c r="F3027" s="5" t="s">
        <v>59</v>
      </c>
      <c r="G3027" s="5" t="str">
        <f aca="false">INDEX(Risk_Matrix!$B$2:$D$4,MATCH(E3027,Risk_Matrix!$A$2:$A$4,0),MATCH(F3027,Risk_Matrix!$B$1:$D$1,0))</f>
        <v>Medium</v>
      </c>
      <c r="H3027" s="12" t="n">
        <v>46193</v>
      </c>
      <c r="I3027" s="5" t="s">
        <v>2241</v>
      </c>
      <c r="J3027" s="5" t="s">
        <v>2242</v>
      </c>
      <c r="K3027" s="5" t="s">
        <v>2266</v>
      </c>
      <c r="L3027" s="5" t="n">
        <f aca="false">IF(G3027="High",3,IF(G3027="Medium",2,1))</f>
        <v>2</v>
      </c>
    </row>
    <row r="3028" customFormat="false" ht="15" hidden="false" customHeight="true" outlineLevel="0" collapsed="false">
      <c r="A3028" s="5" t="s">
        <v>5306</v>
      </c>
      <c r="B3028" s="5" t="s">
        <v>2002</v>
      </c>
      <c r="C3028" s="5" t="s">
        <v>2248</v>
      </c>
      <c r="D3028" s="5" t="s">
        <v>2249</v>
      </c>
      <c r="E3028" s="5" t="s">
        <v>54</v>
      </c>
      <c r="F3028" s="5" t="s">
        <v>54</v>
      </c>
      <c r="G3028" s="5" t="str">
        <f aca="false">INDEX(Risk_Matrix!$B$2:$D$4,MATCH(E3028,Risk_Matrix!$A$2:$A$4,0),MATCH(F3028,Risk_Matrix!$B$1:$D$1,0))</f>
        <v>High</v>
      </c>
      <c r="H3028" s="12" t="n">
        <v>46202</v>
      </c>
      <c r="I3028" s="5" t="s">
        <v>2256</v>
      </c>
      <c r="J3028" s="5" t="s">
        <v>4081</v>
      </c>
      <c r="K3028" s="5" t="s">
        <v>2252</v>
      </c>
      <c r="L3028" s="5" t="n">
        <f aca="false">IF(G3028="High",3,IF(G3028="Medium",2,1))</f>
        <v>3</v>
      </c>
    </row>
    <row r="3029" customFormat="false" ht="15" hidden="false" customHeight="true" outlineLevel="0" collapsed="false">
      <c r="A3029" s="5" t="s">
        <v>5307</v>
      </c>
      <c r="B3029" s="5" t="s">
        <v>2002</v>
      </c>
      <c r="C3029" s="5" t="s">
        <v>2262</v>
      </c>
      <c r="D3029" s="5" t="s">
        <v>2263</v>
      </c>
      <c r="E3029" s="5" t="s">
        <v>2225</v>
      </c>
      <c r="F3029" s="5" t="s">
        <v>2225</v>
      </c>
      <c r="G3029" s="5" t="str">
        <f aca="false">INDEX(Risk_Matrix!$B$2:$D$4,MATCH(E3029,Risk_Matrix!$A$2:$A$4,0),MATCH(F3029,Risk_Matrix!$B$1:$D$1,0))</f>
        <v>Medium</v>
      </c>
      <c r="H3029" s="12" t="n">
        <v>46183</v>
      </c>
      <c r="I3029" s="5" t="s">
        <v>2264</v>
      </c>
      <c r="J3029" s="5" t="s">
        <v>4087</v>
      </c>
      <c r="K3029" s="5" t="s">
        <v>2276</v>
      </c>
      <c r="L3029" s="5" t="n">
        <f aca="false">IF(G3029="High",3,IF(G3029="Medium",2,1))</f>
        <v>2</v>
      </c>
    </row>
    <row r="3030" customFormat="false" ht="15" hidden="false" customHeight="true" outlineLevel="0" collapsed="false">
      <c r="A3030" s="5" t="s">
        <v>5308</v>
      </c>
      <c r="B3030" s="5" t="s">
        <v>2002</v>
      </c>
      <c r="C3030" s="5" t="s">
        <v>2259</v>
      </c>
      <c r="D3030" s="5" t="s">
        <v>2274</v>
      </c>
      <c r="E3030" s="5" t="s">
        <v>2225</v>
      </c>
      <c r="F3030" s="5" t="s">
        <v>54</v>
      </c>
      <c r="G3030" s="5" t="str">
        <f aca="false">INDEX(Risk_Matrix!$B$2:$D$4,MATCH(E3030,Risk_Matrix!$A$2:$A$4,0),MATCH(F3030,Risk_Matrix!$B$1:$D$1,0))</f>
        <v>High</v>
      </c>
      <c r="H3030" s="12" t="n">
        <v>46066</v>
      </c>
      <c r="I3030" s="5" t="s">
        <v>2256</v>
      </c>
      <c r="J3030" s="5" t="s">
        <v>4081</v>
      </c>
      <c r="K3030" s="5" t="s">
        <v>2276</v>
      </c>
      <c r="L3030" s="5" t="n">
        <f aca="false">IF(G3030="High",3,IF(G3030="Medium",2,1))</f>
        <v>3</v>
      </c>
    </row>
    <row r="3031" customFormat="false" ht="15" hidden="false" customHeight="true" outlineLevel="0" collapsed="false">
      <c r="A3031" s="5" t="s">
        <v>5309</v>
      </c>
      <c r="B3031" s="5" t="s">
        <v>2002</v>
      </c>
      <c r="C3031" s="5" t="s">
        <v>2254</v>
      </c>
      <c r="D3031" s="5" t="s">
        <v>2255</v>
      </c>
      <c r="E3031" s="5" t="s">
        <v>54</v>
      </c>
      <c r="F3031" s="5" t="s">
        <v>2225</v>
      </c>
      <c r="G3031" s="5" t="str">
        <f aca="false">INDEX(Risk_Matrix!$B$2:$D$4,MATCH(E3031,Risk_Matrix!$A$2:$A$4,0),MATCH(F3031,Risk_Matrix!$B$1:$D$1,0))</f>
        <v>High</v>
      </c>
      <c r="H3031" s="12" t="n">
        <v>46100</v>
      </c>
      <c r="I3031" s="5" t="s">
        <v>2264</v>
      </c>
      <c r="J3031" s="5" t="s">
        <v>4087</v>
      </c>
      <c r="K3031" s="5" t="s">
        <v>2243</v>
      </c>
      <c r="L3031" s="5" t="n">
        <f aca="false">IF(G3031="High",3,IF(G3031="Medium",2,1))</f>
        <v>3</v>
      </c>
    </row>
    <row r="3032" customFormat="false" ht="15" hidden="false" customHeight="true" outlineLevel="0" collapsed="false">
      <c r="A3032" s="5" t="s">
        <v>5310</v>
      </c>
      <c r="B3032" s="5" t="s">
        <v>2004</v>
      </c>
      <c r="C3032" s="5" t="s">
        <v>2239</v>
      </c>
      <c r="D3032" s="5" t="s">
        <v>2278</v>
      </c>
      <c r="E3032" s="5" t="s">
        <v>2225</v>
      </c>
      <c r="F3032" s="5" t="s">
        <v>2225</v>
      </c>
      <c r="G3032" s="5" t="str">
        <f aca="false">INDEX(Risk_Matrix!$B$2:$D$4,MATCH(E3032,Risk_Matrix!$A$2:$A$4,0),MATCH(F3032,Risk_Matrix!$B$1:$D$1,0))</f>
        <v>Medium</v>
      </c>
      <c r="H3032" s="12" t="n">
        <v>46216</v>
      </c>
      <c r="I3032" s="5" t="s">
        <v>2264</v>
      </c>
      <c r="J3032" s="5" t="s">
        <v>4087</v>
      </c>
      <c r="K3032" s="5" t="s">
        <v>2252</v>
      </c>
      <c r="L3032" s="5" t="n">
        <f aca="false">IF(G3032="High",3,IF(G3032="Medium",2,1))</f>
        <v>2</v>
      </c>
    </row>
    <row r="3033" customFormat="false" ht="15" hidden="false" customHeight="true" outlineLevel="0" collapsed="false">
      <c r="A3033" s="5" t="s">
        <v>5311</v>
      </c>
      <c r="B3033" s="5" t="s">
        <v>2004</v>
      </c>
      <c r="C3033" s="5" t="s">
        <v>2245</v>
      </c>
      <c r="D3033" s="5" t="s">
        <v>2280</v>
      </c>
      <c r="E3033" s="5" t="s">
        <v>2225</v>
      </c>
      <c r="F3033" s="5" t="s">
        <v>2225</v>
      </c>
      <c r="G3033" s="5" t="str">
        <f aca="false">INDEX(Risk_Matrix!$B$2:$D$4,MATCH(E3033,Risk_Matrix!$A$2:$A$4,0),MATCH(F3033,Risk_Matrix!$B$1:$D$1,0))</f>
        <v>Medium</v>
      </c>
      <c r="H3033" s="12" t="n">
        <v>46144</v>
      </c>
      <c r="I3033" s="5" t="s">
        <v>2264</v>
      </c>
      <c r="J3033" s="5" t="s">
        <v>4087</v>
      </c>
      <c r="K3033" s="5" t="s">
        <v>2266</v>
      </c>
      <c r="L3033" s="5" t="n">
        <f aca="false">IF(G3033="High",3,IF(G3033="Medium",2,1))</f>
        <v>2</v>
      </c>
    </row>
    <row r="3034" customFormat="false" ht="15" hidden="false" customHeight="true" outlineLevel="0" collapsed="false">
      <c r="A3034" s="5" t="s">
        <v>5312</v>
      </c>
      <c r="B3034" s="5" t="s">
        <v>2004</v>
      </c>
      <c r="C3034" s="5" t="s">
        <v>2248</v>
      </c>
      <c r="D3034" s="5" t="s">
        <v>2249</v>
      </c>
      <c r="E3034" s="5" t="s">
        <v>54</v>
      </c>
      <c r="F3034" s="5" t="s">
        <v>54</v>
      </c>
      <c r="G3034" s="5" t="str">
        <f aca="false">INDEX(Risk_Matrix!$B$2:$D$4,MATCH(E3034,Risk_Matrix!$A$2:$A$4,0),MATCH(F3034,Risk_Matrix!$B$1:$D$1,0))</f>
        <v>High</v>
      </c>
      <c r="H3034" s="12" t="n">
        <v>46059</v>
      </c>
      <c r="I3034" s="5" t="s">
        <v>2264</v>
      </c>
      <c r="J3034" s="5" t="s">
        <v>4087</v>
      </c>
      <c r="K3034" s="5" t="s">
        <v>2276</v>
      </c>
      <c r="L3034" s="5" t="n">
        <f aca="false">IF(G3034="High",3,IF(G3034="Medium",2,1))</f>
        <v>3</v>
      </c>
    </row>
    <row r="3035" customFormat="false" ht="15" hidden="false" customHeight="true" outlineLevel="0" collapsed="false">
      <c r="A3035" s="5" t="s">
        <v>5313</v>
      </c>
      <c r="B3035" s="5" t="s">
        <v>2004</v>
      </c>
      <c r="C3035" s="5" t="s">
        <v>2262</v>
      </c>
      <c r="D3035" s="5" t="s">
        <v>2263</v>
      </c>
      <c r="E3035" s="5" t="s">
        <v>2225</v>
      </c>
      <c r="F3035" s="5" t="s">
        <v>59</v>
      </c>
      <c r="G3035" s="5" t="str">
        <f aca="false">INDEX(Risk_Matrix!$B$2:$D$4,MATCH(E3035,Risk_Matrix!$A$2:$A$4,0),MATCH(F3035,Risk_Matrix!$B$1:$D$1,0))</f>
        <v>Low</v>
      </c>
      <c r="H3035" s="12" t="n">
        <v>46133</v>
      </c>
      <c r="I3035" s="5" t="s">
        <v>2256</v>
      </c>
      <c r="J3035" s="5" t="s">
        <v>4081</v>
      </c>
      <c r="K3035" s="5" t="s">
        <v>2276</v>
      </c>
      <c r="L3035" s="5" t="n">
        <f aca="false">IF(G3035="High",3,IF(G3035="Medium",2,1))</f>
        <v>1</v>
      </c>
    </row>
    <row r="3036" customFormat="false" ht="15" hidden="false" customHeight="true" outlineLevel="0" collapsed="false">
      <c r="A3036" s="5" t="s">
        <v>5314</v>
      </c>
      <c r="B3036" s="5" t="s">
        <v>2004</v>
      </c>
      <c r="C3036" s="5" t="s">
        <v>2259</v>
      </c>
      <c r="D3036" s="5" t="s">
        <v>2274</v>
      </c>
      <c r="E3036" s="5" t="s">
        <v>54</v>
      </c>
      <c r="F3036" s="5" t="s">
        <v>2225</v>
      </c>
      <c r="G3036" s="5" t="str">
        <f aca="false">INDEX(Risk_Matrix!$B$2:$D$4,MATCH(E3036,Risk_Matrix!$A$2:$A$4,0),MATCH(F3036,Risk_Matrix!$B$1:$D$1,0))</f>
        <v>High</v>
      </c>
      <c r="H3036" s="12" t="n">
        <v>46145</v>
      </c>
      <c r="I3036" s="5" t="s">
        <v>2256</v>
      </c>
      <c r="J3036" s="5" t="s">
        <v>4081</v>
      </c>
      <c r="K3036" s="5" t="s">
        <v>2276</v>
      </c>
      <c r="L3036" s="5" t="n">
        <f aca="false">IF(G3036="High",3,IF(G3036="Medium",2,1))</f>
        <v>3</v>
      </c>
    </row>
    <row r="3037" customFormat="false" ht="15" hidden="false" customHeight="true" outlineLevel="0" collapsed="false">
      <c r="A3037" s="5" t="s">
        <v>5315</v>
      </c>
      <c r="B3037" s="5" t="s">
        <v>2004</v>
      </c>
      <c r="C3037" s="5" t="s">
        <v>2254</v>
      </c>
      <c r="D3037" s="5" t="s">
        <v>2255</v>
      </c>
      <c r="E3037" s="5" t="s">
        <v>2225</v>
      </c>
      <c r="F3037" s="5" t="s">
        <v>2225</v>
      </c>
      <c r="G3037" s="5" t="str">
        <f aca="false">INDEX(Risk_Matrix!$B$2:$D$4,MATCH(E3037,Risk_Matrix!$A$2:$A$4,0),MATCH(F3037,Risk_Matrix!$B$1:$D$1,0))</f>
        <v>Medium</v>
      </c>
      <c r="H3037" s="12" t="n">
        <v>46212</v>
      </c>
      <c r="I3037" s="5" t="s">
        <v>2256</v>
      </c>
      <c r="J3037" s="5" t="s">
        <v>4081</v>
      </c>
      <c r="K3037" s="5" t="s">
        <v>2243</v>
      </c>
      <c r="L3037" s="5" t="n">
        <f aca="false">IF(G3037="High",3,IF(G3037="Medium",2,1))</f>
        <v>2</v>
      </c>
    </row>
    <row r="3038" customFormat="false" ht="15" hidden="false" customHeight="true" outlineLevel="0" collapsed="false">
      <c r="A3038" s="5" t="s">
        <v>5316</v>
      </c>
      <c r="B3038" s="5" t="s">
        <v>2006</v>
      </c>
      <c r="C3038" s="5" t="s">
        <v>2239</v>
      </c>
      <c r="D3038" s="5" t="s">
        <v>2278</v>
      </c>
      <c r="E3038" s="5" t="s">
        <v>59</v>
      </c>
      <c r="F3038" s="5" t="s">
        <v>59</v>
      </c>
      <c r="G3038" s="5" t="str">
        <f aca="false">INDEX(Risk_Matrix!$B$2:$D$4,MATCH(E3038,Risk_Matrix!$A$2:$A$4,0),MATCH(F3038,Risk_Matrix!$B$1:$D$1,0))</f>
        <v>Low</v>
      </c>
      <c r="H3038" s="12" t="n">
        <v>46076</v>
      </c>
      <c r="I3038" s="5" t="s">
        <v>2264</v>
      </c>
      <c r="J3038" s="5" t="s">
        <v>4087</v>
      </c>
      <c r="K3038" s="5" t="s">
        <v>2283</v>
      </c>
      <c r="L3038" s="5" t="n">
        <f aca="false">IF(G3038="High",3,IF(G3038="Medium",2,1))</f>
        <v>1</v>
      </c>
    </row>
    <row r="3039" customFormat="false" ht="15" hidden="false" customHeight="true" outlineLevel="0" collapsed="false">
      <c r="A3039" s="5" t="s">
        <v>5317</v>
      </c>
      <c r="B3039" s="5" t="s">
        <v>2006</v>
      </c>
      <c r="C3039" s="5" t="s">
        <v>2245</v>
      </c>
      <c r="D3039" s="5" t="s">
        <v>2320</v>
      </c>
      <c r="E3039" s="5" t="s">
        <v>2225</v>
      </c>
      <c r="F3039" s="5" t="s">
        <v>54</v>
      </c>
      <c r="G3039" s="5" t="str">
        <f aca="false">INDEX(Risk_Matrix!$B$2:$D$4,MATCH(E3039,Risk_Matrix!$A$2:$A$4,0),MATCH(F3039,Risk_Matrix!$B$1:$D$1,0))</f>
        <v>High</v>
      </c>
      <c r="H3039" s="12" t="n">
        <v>46191</v>
      </c>
      <c r="I3039" s="5" t="s">
        <v>2256</v>
      </c>
      <c r="J3039" s="5" t="s">
        <v>4081</v>
      </c>
      <c r="K3039" s="5" t="s">
        <v>2252</v>
      </c>
      <c r="L3039" s="5" t="n">
        <f aca="false">IF(G3039="High",3,IF(G3039="Medium",2,1))</f>
        <v>3</v>
      </c>
    </row>
    <row r="3040" customFormat="false" ht="15" hidden="false" customHeight="true" outlineLevel="0" collapsed="false">
      <c r="A3040" s="5" t="s">
        <v>5318</v>
      </c>
      <c r="B3040" s="5" t="s">
        <v>2006</v>
      </c>
      <c r="C3040" s="5" t="s">
        <v>2248</v>
      </c>
      <c r="D3040" s="5" t="s">
        <v>2306</v>
      </c>
      <c r="E3040" s="5" t="s">
        <v>59</v>
      </c>
      <c r="F3040" s="5" t="s">
        <v>2225</v>
      </c>
      <c r="G3040" s="5" t="str">
        <f aca="false">INDEX(Risk_Matrix!$B$2:$D$4,MATCH(E3040,Risk_Matrix!$A$2:$A$4,0),MATCH(F3040,Risk_Matrix!$B$1:$D$1,0))</f>
        <v>Low</v>
      </c>
      <c r="H3040" s="12" t="n">
        <v>46054</v>
      </c>
      <c r="I3040" s="5" t="s">
        <v>2264</v>
      </c>
      <c r="J3040" s="5" t="s">
        <v>4087</v>
      </c>
      <c r="K3040" s="5" t="s">
        <v>2276</v>
      </c>
      <c r="L3040" s="5" t="n">
        <f aca="false">IF(G3040="High",3,IF(G3040="Medium",2,1))</f>
        <v>1</v>
      </c>
    </row>
    <row r="3041" customFormat="false" ht="15" hidden="false" customHeight="true" outlineLevel="0" collapsed="false">
      <c r="A3041" s="5" t="s">
        <v>5319</v>
      </c>
      <c r="B3041" s="5" t="s">
        <v>2006</v>
      </c>
      <c r="C3041" s="5" t="s">
        <v>2262</v>
      </c>
      <c r="D3041" s="5" t="s">
        <v>2263</v>
      </c>
      <c r="E3041" s="5" t="s">
        <v>54</v>
      </c>
      <c r="F3041" s="5" t="s">
        <v>2225</v>
      </c>
      <c r="G3041" s="5" t="str">
        <f aca="false">INDEX(Risk_Matrix!$B$2:$D$4,MATCH(E3041,Risk_Matrix!$A$2:$A$4,0),MATCH(F3041,Risk_Matrix!$B$1:$D$1,0))</f>
        <v>High</v>
      </c>
      <c r="H3041" s="12" t="n">
        <v>46132</v>
      </c>
      <c r="I3041" s="5" t="s">
        <v>2250</v>
      </c>
      <c r="J3041" s="5" t="s">
        <v>2251</v>
      </c>
      <c r="K3041" s="5" t="s">
        <v>2283</v>
      </c>
      <c r="L3041" s="5" t="n">
        <f aca="false">IF(G3041="High",3,IF(G3041="Medium",2,1))</f>
        <v>3</v>
      </c>
    </row>
    <row r="3042" customFormat="false" ht="15" hidden="false" customHeight="true" outlineLevel="0" collapsed="false">
      <c r="A3042" s="5" t="s">
        <v>5320</v>
      </c>
      <c r="B3042" s="5" t="s">
        <v>2006</v>
      </c>
      <c r="C3042" s="5" t="s">
        <v>2259</v>
      </c>
      <c r="D3042" s="5" t="s">
        <v>2260</v>
      </c>
      <c r="E3042" s="5" t="s">
        <v>59</v>
      </c>
      <c r="F3042" s="5" t="s">
        <v>59</v>
      </c>
      <c r="G3042" s="5" t="str">
        <f aca="false">INDEX(Risk_Matrix!$B$2:$D$4,MATCH(E3042,Risk_Matrix!$A$2:$A$4,0),MATCH(F3042,Risk_Matrix!$B$1:$D$1,0))</f>
        <v>Low</v>
      </c>
      <c r="H3042" s="12" t="n">
        <v>46067</v>
      </c>
      <c r="I3042" s="5" t="s">
        <v>2250</v>
      </c>
      <c r="J3042" s="5" t="s">
        <v>2251</v>
      </c>
      <c r="K3042" s="5" t="s">
        <v>2283</v>
      </c>
      <c r="L3042" s="5" t="n">
        <f aca="false">IF(G3042="High",3,IF(G3042="Medium",2,1))</f>
        <v>1</v>
      </c>
    </row>
    <row r="3043" customFormat="false" ht="15" hidden="false" customHeight="true" outlineLevel="0" collapsed="false">
      <c r="A3043" s="5" t="s">
        <v>5321</v>
      </c>
      <c r="B3043" s="5" t="s">
        <v>2006</v>
      </c>
      <c r="C3043" s="5" t="s">
        <v>2254</v>
      </c>
      <c r="D3043" s="5" t="s">
        <v>2299</v>
      </c>
      <c r="E3043" s="5" t="s">
        <v>2225</v>
      </c>
      <c r="F3043" s="5" t="s">
        <v>54</v>
      </c>
      <c r="G3043" s="5" t="str">
        <f aca="false">INDEX(Risk_Matrix!$B$2:$D$4,MATCH(E3043,Risk_Matrix!$A$2:$A$4,0),MATCH(F3043,Risk_Matrix!$B$1:$D$1,0))</f>
        <v>High</v>
      </c>
      <c r="H3043" s="12" t="n">
        <v>46140</v>
      </c>
      <c r="I3043" s="5" t="s">
        <v>2256</v>
      </c>
      <c r="J3043" s="5" t="s">
        <v>4081</v>
      </c>
      <c r="K3043" s="5" t="s">
        <v>2243</v>
      </c>
      <c r="L3043" s="5" t="n">
        <f aca="false">IF(G3043="High",3,IF(G3043="Medium",2,1))</f>
        <v>3</v>
      </c>
    </row>
    <row r="3044" customFormat="false" ht="15" hidden="false" customHeight="true" outlineLevel="0" collapsed="false">
      <c r="A3044" s="5" t="s">
        <v>5322</v>
      </c>
      <c r="B3044" s="5" t="s">
        <v>2008</v>
      </c>
      <c r="C3044" s="5" t="s">
        <v>2239</v>
      </c>
      <c r="D3044" s="5" t="s">
        <v>2240</v>
      </c>
      <c r="E3044" s="5" t="s">
        <v>54</v>
      </c>
      <c r="F3044" s="5" t="s">
        <v>59</v>
      </c>
      <c r="G3044" s="5" t="str">
        <f aca="false">INDEX(Risk_Matrix!$B$2:$D$4,MATCH(E3044,Risk_Matrix!$A$2:$A$4,0),MATCH(F3044,Risk_Matrix!$B$1:$D$1,0))</f>
        <v>Medium</v>
      </c>
      <c r="H3044" s="12" t="n">
        <v>46197</v>
      </c>
      <c r="I3044" s="5" t="s">
        <v>2256</v>
      </c>
      <c r="J3044" s="5" t="s">
        <v>4081</v>
      </c>
      <c r="K3044" s="5" t="s">
        <v>2283</v>
      </c>
      <c r="L3044" s="5" t="n">
        <f aca="false">IF(G3044="High",3,IF(G3044="Medium",2,1))</f>
        <v>2</v>
      </c>
    </row>
    <row r="3045" customFormat="false" ht="15" hidden="false" customHeight="true" outlineLevel="0" collapsed="false">
      <c r="A3045" s="5" t="s">
        <v>5323</v>
      </c>
      <c r="B3045" s="5" t="s">
        <v>2008</v>
      </c>
      <c r="C3045" s="5" t="s">
        <v>2245</v>
      </c>
      <c r="D3045" s="5" t="s">
        <v>2246</v>
      </c>
      <c r="E3045" s="5" t="s">
        <v>2225</v>
      </c>
      <c r="F3045" s="5" t="s">
        <v>54</v>
      </c>
      <c r="G3045" s="5" t="str">
        <f aca="false">INDEX(Risk_Matrix!$B$2:$D$4,MATCH(E3045,Risk_Matrix!$A$2:$A$4,0),MATCH(F3045,Risk_Matrix!$B$1:$D$1,0))</f>
        <v>High</v>
      </c>
      <c r="H3045" s="12" t="n">
        <v>46174</v>
      </c>
      <c r="I3045" s="5" t="s">
        <v>2264</v>
      </c>
      <c r="J3045" s="5" t="s">
        <v>4087</v>
      </c>
      <c r="K3045" s="5" t="s">
        <v>2276</v>
      </c>
      <c r="L3045" s="5" t="n">
        <f aca="false">IF(G3045="High",3,IF(G3045="Medium",2,1))</f>
        <v>3</v>
      </c>
    </row>
    <row r="3046" customFormat="false" ht="15" hidden="false" customHeight="true" outlineLevel="0" collapsed="false">
      <c r="A3046" s="5" t="s">
        <v>5324</v>
      </c>
      <c r="B3046" s="5" t="s">
        <v>2008</v>
      </c>
      <c r="C3046" s="5" t="s">
        <v>2248</v>
      </c>
      <c r="D3046" s="5" t="s">
        <v>2322</v>
      </c>
      <c r="E3046" s="5" t="s">
        <v>59</v>
      </c>
      <c r="F3046" s="5" t="s">
        <v>2225</v>
      </c>
      <c r="G3046" s="5" t="str">
        <f aca="false">INDEX(Risk_Matrix!$B$2:$D$4,MATCH(E3046,Risk_Matrix!$A$2:$A$4,0),MATCH(F3046,Risk_Matrix!$B$1:$D$1,0))</f>
        <v>Low</v>
      </c>
      <c r="H3046" s="12" t="n">
        <v>46089</v>
      </c>
      <c r="I3046" s="5" t="s">
        <v>2250</v>
      </c>
      <c r="J3046" s="5" t="s">
        <v>2251</v>
      </c>
      <c r="K3046" s="5" t="s">
        <v>2276</v>
      </c>
      <c r="L3046" s="5" t="n">
        <f aca="false">IF(G3046="High",3,IF(G3046="Medium",2,1))</f>
        <v>1</v>
      </c>
    </row>
    <row r="3047" customFormat="false" ht="15" hidden="false" customHeight="true" outlineLevel="0" collapsed="false">
      <c r="A3047" s="5" t="s">
        <v>5325</v>
      </c>
      <c r="B3047" s="5" t="s">
        <v>2008</v>
      </c>
      <c r="C3047" s="5" t="s">
        <v>2262</v>
      </c>
      <c r="D3047" s="5" t="s">
        <v>2263</v>
      </c>
      <c r="E3047" s="5" t="s">
        <v>59</v>
      </c>
      <c r="F3047" s="5" t="s">
        <v>2225</v>
      </c>
      <c r="G3047" s="5" t="str">
        <f aca="false">INDEX(Risk_Matrix!$B$2:$D$4,MATCH(E3047,Risk_Matrix!$A$2:$A$4,0),MATCH(F3047,Risk_Matrix!$B$1:$D$1,0))</f>
        <v>Low</v>
      </c>
      <c r="H3047" s="12" t="n">
        <v>46222</v>
      </c>
      <c r="I3047" s="5" t="s">
        <v>2250</v>
      </c>
      <c r="J3047" s="5" t="s">
        <v>2251</v>
      </c>
      <c r="K3047" s="5" t="s">
        <v>2283</v>
      </c>
      <c r="L3047" s="5" t="n">
        <f aca="false">IF(G3047="High",3,IF(G3047="Medium",2,1))</f>
        <v>1</v>
      </c>
    </row>
    <row r="3048" customFormat="false" ht="15" hidden="false" customHeight="true" outlineLevel="0" collapsed="false">
      <c r="A3048" s="5" t="s">
        <v>5326</v>
      </c>
      <c r="B3048" s="5" t="s">
        <v>2008</v>
      </c>
      <c r="C3048" s="5" t="s">
        <v>2259</v>
      </c>
      <c r="D3048" s="5" t="s">
        <v>2285</v>
      </c>
      <c r="E3048" s="5" t="s">
        <v>54</v>
      </c>
      <c r="F3048" s="5" t="s">
        <v>54</v>
      </c>
      <c r="G3048" s="5" t="str">
        <f aca="false">INDEX(Risk_Matrix!$B$2:$D$4,MATCH(E3048,Risk_Matrix!$A$2:$A$4,0),MATCH(F3048,Risk_Matrix!$B$1:$D$1,0))</f>
        <v>High</v>
      </c>
      <c r="H3048" s="12" t="n">
        <v>46228</v>
      </c>
      <c r="I3048" s="5" t="s">
        <v>2241</v>
      </c>
      <c r="J3048" s="5" t="s">
        <v>2242</v>
      </c>
      <c r="K3048" s="5" t="s">
        <v>2266</v>
      </c>
      <c r="L3048" s="5" t="n">
        <f aca="false">IF(G3048="High",3,IF(G3048="Medium",2,1))</f>
        <v>3</v>
      </c>
    </row>
    <row r="3049" customFormat="false" ht="15" hidden="false" customHeight="true" outlineLevel="0" collapsed="false">
      <c r="A3049" s="5" t="s">
        <v>5327</v>
      </c>
      <c r="B3049" s="5" t="s">
        <v>2008</v>
      </c>
      <c r="C3049" s="5" t="s">
        <v>2254</v>
      </c>
      <c r="D3049" s="5" t="s">
        <v>2308</v>
      </c>
      <c r="E3049" s="5" t="s">
        <v>59</v>
      </c>
      <c r="F3049" s="5" t="s">
        <v>59</v>
      </c>
      <c r="G3049" s="5" t="str">
        <f aca="false">INDEX(Risk_Matrix!$B$2:$D$4,MATCH(E3049,Risk_Matrix!$A$2:$A$4,0),MATCH(F3049,Risk_Matrix!$B$1:$D$1,0))</f>
        <v>Low</v>
      </c>
      <c r="H3049" s="12" t="n">
        <v>46111</v>
      </c>
      <c r="I3049" s="5" t="s">
        <v>2241</v>
      </c>
      <c r="J3049" s="5" t="s">
        <v>2242</v>
      </c>
      <c r="K3049" s="5" t="s">
        <v>2266</v>
      </c>
      <c r="L3049" s="5" t="n">
        <f aca="false">IF(G3049="High",3,IF(G3049="Medium",2,1))</f>
        <v>1</v>
      </c>
    </row>
    <row r="3050" customFormat="false" ht="15" hidden="false" customHeight="true" outlineLevel="0" collapsed="false">
      <c r="A3050" s="5" t="s">
        <v>5328</v>
      </c>
      <c r="B3050" s="5" t="s">
        <v>2010</v>
      </c>
      <c r="C3050" s="5" t="s">
        <v>2239</v>
      </c>
      <c r="D3050" s="5" t="s">
        <v>2240</v>
      </c>
      <c r="E3050" s="5" t="s">
        <v>2225</v>
      </c>
      <c r="F3050" s="5" t="s">
        <v>2225</v>
      </c>
      <c r="G3050" s="5" t="str">
        <f aca="false">INDEX(Risk_Matrix!$B$2:$D$4,MATCH(E3050,Risk_Matrix!$A$2:$A$4,0),MATCH(F3050,Risk_Matrix!$B$1:$D$1,0))</f>
        <v>Medium</v>
      </c>
      <c r="H3050" s="12" t="n">
        <v>46081</v>
      </c>
      <c r="I3050" s="5" t="s">
        <v>2264</v>
      </c>
      <c r="J3050" s="5" t="s">
        <v>4087</v>
      </c>
      <c r="K3050" s="5" t="s">
        <v>2243</v>
      </c>
      <c r="L3050" s="5" t="n">
        <f aca="false">IF(G3050="High",3,IF(G3050="Medium",2,1))</f>
        <v>2</v>
      </c>
    </row>
    <row r="3051" customFormat="false" ht="15" hidden="false" customHeight="true" outlineLevel="0" collapsed="false">
      <c r="A3051" s="5" t="s">
        <v>5329</v>
      </c>
      <c r="B3051" s="5" t="s">
        <v>2010</v>
      </c>
      <c r="C3051" s="5" t="s">
        <v>2245</v>
      </c>
      <c r="D3051" s="5" t="s">
        <v>2320</v>
      </c>
      <c r="E3051" s="5" t="s">
        <v>59</v>
      </c>
      <c r="F3051" s="5" t="s">
        <v>2225</v>
      </c>
      <c r="G3051" s="5" t="str">
        <f aca="false">INDEX(Risk_Matrix!$B$2:$D$4,MATCH(E3051,Risk_Matrix!$A$2:$A$4,0),MATCH(F3051,Risk_Matrix!$B$1:$D$1,0))</f>
        <v>Low</v>
      </c>
      <c r="H3051" s="12" t="n">
        <v>46141</v>
      </c>
      <c r="I3051" s="5" t="s">
        <v>2250</v>
      </c>
      <c r="J3051" s="5" t="s">
        <v>2251</v>
      </c>
      <c r="K3051" s="5" t="s">
        <v>2283</v>
      </c>
      <c r="L3051" s="5" t="n">
        <f aca="false">IF(G3051="High",3,IF(G3051="Medium",2,1))</f>
        <v>1</v>
      </c>
    </row>
    <row r="3052" customFormat="false" ht="15" hidden="false" customHeight="true" outlineLevel="0" collapsed="false">
      <c r="A3052" s="5" t="s">
        <v>5330</v>
      </c>
      <c r="B3052" s="5" t="s">
        <v>2010</v>
      </c>
      <c r="C3052" s="5" t="s">
        <v>2248</v>
      </c>
      <c r="D3052" s="5" t="s">
        <v>2249</v>
      </c>
      <c r="E3052" s="5" t="s">
        <v>2225</v>
      </c>
      <c r="F3052" s="5" t="s">
        <v>54</v>
      </c>
      <c r="G3052" s="5" t="str">
        <f aca="false">INDEX(Risk_Matrix!$B$2:$D$4,MATCH(E3052,Risk_Matrix!$A$2:$A$4,0),MATCH(F3052,Risk_Matrix!$B$1:$D$1,0))</f>
        <v>High</v>
      </c>
      <c r="H3052" s="12" t="n">
        <v>46104</v>
      </c>
      <c r="I3052" s="5" t="s">
        <v>2264</v>
      </c>
      <c r="J3052" s="5" t="s">
        <v>4087</v>
      </c>
      <c r="K3052" s="5" t="s">
        <v>2252</v>
      </c>
      <c r="L3052" s="5" t="n">
        <f aca="false">IF(G3052="High",3,IF(G3052="Medium",2,1))</f>
        <v>3</v>
      </c>
    </row>
    <row r="3053" customFormat="false" ht="15" hidden="false" customHeight="true" outlineLevel="0" collapsed="false">
      <c r="A3053" s="5" t="s">
        <v>5331</v>
      </c>
      <c r="B3053" s="5" t="s">
        <v>2010</v>
      </c>
      <c r="C3053" s="5" t="s">
        <v>2262</v>
      </c>
      <c r="D3053" s="5" t="s">
        <v>2311</v>
      </c>
      <c r="E3053" s="5" t="s">
        <v>54</v>
      </c>
      <c r="F3053" s="5" t="s">
        <v>59</v>
      </c>
      <c r="G3053" s="5" t="str">
        <f aca="false">INDEX(Risk_Matrix!$B$2:$D$4,MATCH(E3053,Risk_Matrix!$A$2:$A$4,0),MATCH(F3053,Risk_Matrix!$B$1:$D$1,0))</f>
        <v>Medium</v>
      </c>
      <c r="H3053" s="12" t="n">
        <v>46133</v>
      </c>
      <c r="I3053" s="5" t="s">
        <v>2264</v>
      </c>
      <c r="J3053" s="5" t="s">
        <v>4087</v>
      </c>
      <c r="K3053" s="5" t="s">
        <v>2243</v>
      </c>
      <c r="L3053" s="5" t="n">
        <f aca="false">IF(G3053="High",3,IF(G3053="Medium",2,1))</f>
        <v>2</v>
      </c>
    </row>
    <row r="3054" customFormat="false" ht="15" hidden="false" customHeight="true" outlineLevel="0" collapsed="false">
      <c r="A3054" s="5" t="s">
        <v>5332</v>
      </c>
      <c r="B3054" s="5" t="s">
        <v>2010</v>
      </c>
      <c r="C3054" s="5" t="s">
        <v>2259</v>
      </c>
      <c r="D3054" s="5" t="s">
        <v>2260</v>
      </c>
      <c r="E3054" s="5" t="s">
        <v>54</v>
      </c>
      <c r="F3054" s="5" t="s">
        <v>54</v>
      </c>
      <c r="G3054" s="5" t="str">
        <f aca="false">INDEX(Risk_Matrix!$B$2:$D$4,MATCH(E3054,Risk_Matrix!$A$2:$A$4,0),MATCH(F3054,Risk_Matrix!$B$1:$D$1,0))</f>
        <v>High</v>
      </c>
      <c r="H3054" s="12" t="n">
        <v>46170</v>
      </c>
      <c r="I3054" s="5" t="s">
        <v>2256</v>
      </c>
      <c r="J3054" s="5" t="s">
        <v>4081</v>
      </c>
      <c r="K3054" s="5" t="s">
        <v>2243</v>
      </c>
      <c r="L3054" s="5" t="n">
        <f aca="false">IF(G3054="High",3,IF(G3054="Medium",2,1))</f>
        <v>3</v>
      </c>
    </row>
    <row r="3055" customFormat="false" ht="15" hidden="false" customHeight="true" outlineLevel="0" collapsed="false">
      <c r="A3055" s="5" t="s">
        <v>5333</v>
      </c>
      <c r="B3055" s="5" t="s">
        <v>2010</v>
      </c>
      <c r="C3055" s="5" t="s">
        <v>2254</v>
      </c>
      <c r="D3055" s="5" t="s">
        <v>2299</v>
      </c>
      <c r="E3055" s="5" t="s">
        <v>54</v>
      </c>
      <c r="F3055" s="5" t="s">
        <v>2225</v>
      </c>
      <c r="G3055" s="5" t="str">
        <f aca="false">INDEX(Risk_Matrix!$B$2:$D$4,MATCH(E3055,Risk_Matrix!$A$2:$A$4,0),MATCH(F3055,Risk_Matrix!$B$1:$D$1,0))</f>
        <v>High</v>
      </c>
      <c r="H3055" s="12" t="n">
        <v>46056</v>
      </c>
      <c r="I3055" s="5" t="s">
        <v>2250</v>
      </c>
      <c r="J3055" s="5" t="s">
        <v>2251</v>
      </c>
      <c r="K3055" s="5" t="s">
        <v>2243</v>
      </c>
      <c r="L3055" s="5" t="n">
        <f aca="false">IF(G3055="High",3,IF(G3055="Medium",2,1))</f>
        <v>3</v>
      </c>
    </row>
    <row r="3056" customFormat="false" ht="15" hidden="false" customHeight="true" outlineLevel="0" collapsed="false">
      <c r="A3056" s="5" t="s">
        <v>5334</v>
      </c>
      <c r="B3056" s="5" t="s">
        <v>2012</v>
      </c>
      <c r="C3056" s="5" t="s">
        <v>2239</v>
      </c>
      <c r="D3056" s="5" t="s">
        <v>2278</v>
      </c>
      <c r="E3056" s="5" t="s">
        <v>2225</v>
      </c>
      <c r="F3056" s="5" t="s">
        <v>59</v>
      </c>
      <c r="G3056" s="5" t="str">
        <f aca="false">INDEX(Risk_Matrix!$B$2:$D$4,MATCH(E3056,Risk_Matrix!$A$2:$A$4,0),MATCH(F3056,Risk_Matrix!$B$1:$D$1,0))</f>
        <v>Low</v>
      </c>
      <c r="H3056" s="12" t="n">
        <v>46124</v>
      </c>
      <c r="I3056" s="5" t="s">
        <v>2241</v>
      </c>
      <c r="J3056" s="5" t="s">
        <v>2242</v>
      </c>
      <c r="K3056" s="5" t="s">
        <v>2243</v>
      </c>
      <c r="L3056" s="5" t="n">
        <f aca="false">IF(G3056="High",3,IF(G3056="Medium",2,1))</f>
        <v>1</v>
      </c>
    </row>
    <row r="3057" customFormat="false" ht="15" hidden="false" customHeight="true" outlineLevel="0" collapsed="false">
      <c r="A3057" s="5" t="s">
        <v>5335</v>
      </c>
      <c r="B3057" s="5" t="s">
        <v>2012</v>
      </c>
      <c r="C3057" s="5" t="s">
        <v>2245</v>
      </c>
      <c r="D3057" s="5" t="s">
        <v>2269</v>
      </c>
      <c r="E3057" s="5" t="s">
        <v>2225</v>
      </c>
      <c r="F3057" s="5" t="s">
        <v>2225</v>
      </c>
      <c r="G3057" s="5" t="str">
        <f aca="false">INDEX(Risk_Matrix!$B$2:$D$4,MATCH(E3057,Risk_Matrix!$A$2:$A$4,0),MATCH(F3057,Risk_Matrix!$B$1:$D$1,0))</f>
        <v>Medium</v>
      </c>
      <c r="H3057" s="12" t="n">
        <v>46177</v>
      </c>
      <c r="I3057" s="5" t="s">
        <v>2264</v>
      </c>
      <c r="J3057" s="5" t="s">
        <v>4087</v>
      </c>
      <c r="K3057" s="5" t="s">
        <v>2266</v>
      </c>
      <c r="L3057" s="5" t="n">
        <f aca="false">IF(G3057="High",3,IF(G3057="Medium",2,1))</f>
        <v>2</v>
      </c>
    </row>
    <row r="3058" customFormat="false" ht="15" hidden="false" customHeight="true" outlineLevel="0" collapsed="false">
      <c r="A3058" s="5" t="s">
        <v>5336</v>
      </c>
      <c r="B3058" s="5" t="s">
        <v>2012</v>
      </c>
      <c r="C3058" s="5" t="s">
        <v>2248</v>
      </c>
      <c r="D3058" s="5" t="s">
        <v>2306</v>
      </c>
      <c r="E3058" s="5" t="s">
        <v>2225</v>
      </c>
      <c r="F3058" s="5" t="s">
        <v>54</v>
      </c>
      <c r="G3058" s="5" t="str">
        <f aca="false">INDEX(Risk_Matrix!$B$2:$D$4,MATCH(E3058,Risk_Matrix!$A$2:$A$4,0),MATCH(F3058,Risk_Matrix!$B$1:$D$1,0))</f>
        <v>High</v>
      </c>
      <c r="H3058" s="12" t="n">
        <v>46032</v>
      </c>
      <c r="I3058" s="5" t="s">
        <v>2264</v>
      </c>
      <c r="J3058" s="5" t="s">
        <v>4087</v>
      </c>
      <c r="K3058" s="5" t="s">
        <v>2276</v>
      </c>
      <c r="L3058" s="5" t="n">
        <f aca="false">IF(G3058="High",3,IF(G3058="Medium",2,1))</f>
        <v>3</v>
      </c>
    </row>
    <row r="3059" customFormat="false" ht="15" hidden="false" customHeight="true" outlineLevel="0" collapsed="false">
      <c r="A3059" s="5" t="s">
        <v>5337</v>
      </c>
      <c r="B3059" s="5" t="s">
        <v>2012</v>
      </c>
      <c r="C3059" s="5" t="s">
        <v>2262</v>
      </c>
      <c r="D3059" s="5" t="s">
        <v>2287</v>
      </c>
      <c r="E3059" s="5" t="s">
        <v>54</v>
      </c>
      <c r="F3059" s="5" t="s">
        <v>54</v>
      </c>
      <c r="G3059" s="5" t="str">
        <f aca="false">INDEX(Risk_Matrix!$B$2:$D$4,MATCH(E3059,Risk_Matrix!$A$2:$A$4,0),MATCH(F3059,Risk_Matrix!$B$1:$D$1,0))</f>
        <v>High</v>
      </c>
      <c r="H3059" s="12" t="n">
        <v>46048</v>
      </c>
      <c r="I3059" s="5" t="s">
        <v>2250</v>
      </c>
      <c r="J3059" s="5" t="s">
        <v>2251</v>
      </c>
      <c r="K3059" s="5" t="s">
        <v>2252</v>
      </c>
      <c r="L3059" s="5" t="n">
        <f aca="false">IF(G3059="High",3,IF(G3059="Medium",2,1))</f>
        <v>3</v>
      </c>
    </row>
    <row r="3060" customFormat="false" ht="15" hidden="false" customHeight="true" outlineLevel="0" collapsed="false">
      <c r="A3060" s="5" t="s">
        <v>5338</v>
      </c>
      <c r="B3060" s="5" t="s">
        <v>2012</v>
      </c>
      <c r="C3060" s="5" t="s">
        <v>2259</v>
      </c>
      <c r="D3060" s="5" t="s">
        <v>2274</v>
      </c>
      <c r="E3060" s="5" t="s">
        <v>59</v>
      </c>
      <c r="F3060" s="5" t="s">
        <v>59</v>
      </c>
      <c r="G3060" s="5" t="str">
        <f aca="false">INDEX(Risk_Matrix!$B$2:$D$4,MATCH(E3060,Risk_Matrix!$A$2:$A$4,0),MATCH(F3060,Risk_Matrix!$B$1:$D$1,0))</f>
        <v>Low</v>
      </c>
      <c r="H3060" s="12" t="n">
        <v>46103</v>
      </c>
      <c r="I3060" s="5" t="s">
        <v>2264</v>
      </c>
      <c r="J3060" s="5" t="s">
        <v>4087</v>
      </c>
      <c r="K3060" s="5" t="s">
        <v>2283</v>
      </c>
      <c r="L3060" s="5" t="n">
        <f aca="false">IF(G3060="High",3,IF(G3060="Medium",2,1))</f>
        <v>1</v>
      </c>
    </row>
    <row r="3061" customFormat="false" ht="15" hidden="false" customHeight="true" outlineLevel="0" collapsed="false">
      <c r="A3061" s="5" t="s">
        <v>5339</v>
      </c>
      <c r="B3061" s="5" t="s">
        <v>2012</v>
      </c>
      <c r="C3061" s="5" t="s">
        <v>2254</v>
      </c>
      <c r="D3061" s="5" t="s">
        <v>2299</v>
      </c>
      <c r="E3061" s="5" t="s">
        <v>2225</v>
      </c>
      <c r="F3061" s="5" t="s">
        <v>59</v>
      </c>
      <c r="G3061" s="5" t="str">
        <f aca="false">INDEX(Risk_Matrix!$B$2:$D$4,MATCH(E3061,Risk_Matrix!$A$2:$A$4,0),MATCH(F3061,Risk_Matrix!$B$1:$D$1,0))</f>
        <v>Low</v>
      </c>
      <c r="H3061" s="12" t="n">
        <v>46189</v>
      </c>
      <c r="I3061" s="5" t="s">
        <v>2241</v>
      </c>
      <c r="J3061" s="5" t="s">
        <v>2242</v>
      </c>
      <c r="K3061" s="5" t="s">
        <v>2243</v>
      </c>
      <c r="L3061" s="5" t="n">
        <f aca="false">IF(G3061="High",3,IF(G3061="Medium",2,1))</f>
        <v>1</v>
      </c>
    </row>
    <row r="3062" customFormat="false" ht="15" hidden="false" customHeight="true" outlineLevel="0" collapsed="false">
      <c r="A3062" s="5" t="s">
        <v>5340</v>
      </c>
      <c r="B3062" s="5" t="s">
        <v>2014</v>
      </c>
      <c r="C3062" s="5" t="s">
        <v>2239</v>
      </c>
      <c r="D3062" s="5" t="s">
        <v>2295</v>
      </c>
      <c r="E3062" s="5" t="s">
        <v>2225</v>
      </c>
      <c r="F3062" s="5" t="s">
        <v>54</v>
      </c>
      <c r="G3062" s="5" t="str">
        <f aca="false">INDEX(Risk_Matrix!$B$2:$D$4,MATCH(E3062,Risk_Matrix!$A$2:$A$4,0),MATCH(F3062,Risk_Matrix!$B$1:$D$1,0))</f>
        <v>High</v>
      </c>
      <c r="H3062" s="12" t="n">
        <v>46181</v>
      </c>
      <c r="I3062" s="5" t="s">
        <v>2241</v>
      </c>
      <c r="J3062" s="5" t="s">
        <v>2242</v>
      </c>
      <c r="K3062" s="5" t="s">
        <v>2252</v>
      </c>
      <c r="L3062" s="5" t="n">
        <f aca="false">IF(G3062="High",3,IF(G3062="Medium",2,1))</f>
        <v>3</v>
      </c>
    </row>
    <row r="3063" customFormat="false" ht="15" hidden="false" customHeight="true" outlineLevel="0" collapsed="false">
      <c r="A3063" s="5" t="s">
        <v>5341</v>
      </c>
      <c r="B3063" s="5" t="s">
        <v>2014</v>
      </c>
      <c r="C3063" s="5" t="s">
        <v>2245</v>
      </c>
      <c r="D3063" s="5" t="s">
        <v>2269</v>
      </c>
      <c r="E3063" s="5" t="s">
        <v>59</v>
      </c>
      <c r="F3063" s="5" t="s">
        <v>54</v>
      </c>
      <c r="G3063" s="5" t="str">
        <f aca="false">INDEX(Risk_Matrix!$B$2:$D$4,MATCH(E3063,Risk_Matrix!$A$2:$A$4,0),MATCH(F3063,Risk_Matrix!$B$1:$D$1,0))</f>
        <v>Medium</v>
      </c>
      <c r="H3063" s="12" t="n">
        <v>46120</v>
      </c>
      <c r="I3063" s="5" t="s">
        <v>2256</v>
      </c>
      <c r="J3063" s="5" t="s">
        <v>4081</v>
      </c>
      <c r="K3063" s="5" t="s">
        <v>2243</v>
      </c>
      <c r="L3063" s="5" t="n">
        <f aca="false">IF(G3063="High",3,IF(G3063="Medium",2,1))</f>
        <v>2</v>
      </c>
    </row>
    <row r="3064" customFormat="false" ht="15" hidden="false" customHeight="true" outlineLevel="0" collapsed="false">
      <c r="A3064" s="5" t="s">
        <v>5342</v>
      </c>
      <c r="B3064" s="5" t="s">
        <v>2014</v>
      </c>
      <c r="C3064" s="5" t="s">
        <v>2248</v>
      </c>
      <c r="D3064" s="5" t="s">
        <v>2306</v>
      </c>
      <c r="E3064" s="5" t="s">
        <v>59</v>
      </c>
      <c r="F3064" s="5" t="s">
        <v>54</v>
      </c>
      <c r="G3064" s="5" t="str">
        <f aca="false">INDEX(Risk_Matrix!$B$2:$D$4,MATCH(E3064,Risk_Matrix!$A$2:$A$4,0),MATCH(F3064,Risk_Matrix!$B$1:$D$1,0))</f>
        <v>Medium</v>
      </c>
      <c r="H3064" s="12" t="n">
        <v>46033</v>
      </c>
      <c r="I3064" s="5" t="s">
        <v>2250</v>
      </c>
      <c r="J3064" s="5" t="s">
        <v>2251</v>
      </c>
      <c r="K3064" s="5" t="s">
        <v>2283</v>
      </c>
      <c r="L3064" s="5" t="n">
        <f aca="false">IF(G3064="High",3,IF(G3064="Medium",2,1))</f>
        <v>2</v>
      </c>
    </row>
    <row r="3065" customFormat="false" ht="15" hidden="false" customHeight="true" outlineLevel="0" collapsed="false">
      <c r="A3065" s="5" t="s">
        <v>5343</v>
      </c>
      <c r="B3065" s="5" t="s">
        <v>2014</v>
      </c>
      <c r="C3065" s="5" t="s">
        <v>2262</v>
      </c>
      <c r="D3065" s="5" t="s">
        <v>2287</v>
      </c>
      <c r="E3065" s="5" t="s">
        <v>2225</v>
      </c>
      <c r="F3065" s="5" t="s">
        <v>59</v>
      </c>
      <c r="G3065" s="5" t="str">
        <f aca="false">INDEX(Risk_Matrix!$B$2:$D$4,MATCH(E3065,Risk_Matrix!$A$2:$A$4,0),MATCH(F3065,Risk_Matrix!$B$1:$D$1,0))</f>
        <v>Low</v>
      </c>
      <c r="H3065" s="12" t="n">
        <v>46206</v>
      </c>
      <c r="I3065" s="5" t="s">
        <v>2241</v>
      </c>
      <c r="J3065" s="5" t="s">
        <v>2242</v>
      </c>
      <c r="K3065" s="5" t="s">
        <v>2243</v>
      </c>
      <c r="L3065" s="5" t="n">
        <f aca="false">IF(G3065="High",3,IF(G3065="Medium",2,1))</f>
        <v>1</v>
      </c>
    </row>
    <row r="3066" customFormat="false" ht="15" hidden="false" customHeight="true" outlineLevel="0" collapsed="false">
      <c r="A3066" s="5" t="s">
        <v>5344</v>
      </c>
      <c r="B3066" s="5" t="s">
        <v>2014</v>
      </c>
      <c r="C3066" s="5" t="s">
        <v>2259</v>
      </c>
      <c r="D3066" s="5" t="s">
        <v>2274</v>
      </c>
      <c r="E3066" s="5" t="s">
        <v>2225</v>
      </c>
      <c r="F3066" s="5" t="s">
        <v>2225</v>
      </c>
      <c r="G3066" s="5" t="str">
        <f aca="false">INDEX(Risk_Matrix!$B$2:$D$4,MATCH(E3066,Risk_Matrix!$A$2:$A$4,0),MATCH(F3066,Risk_Matrix!$B$1:$D$1,0))</f>
        <v>Medium</v>
      </c>
      <c r="H3066" s="12" t="n">
        <v>46037</v>
      </c>
      <c r="I3066" s="5" t="s">
        <v>2256</v>
      </c>
      <c r="J3066" s="5" t="s">
        <v>4081</v>
      </c>
      <c r="K3066" s="5" t="s">
        <v>2252</v>
      </c>
      <c r="L3066" s="5" t="n">
        <f aca="false">IF(G3066="High",3,IF(G3066="Medium",2,1))</f>
        <v>2</v>
      </c>
    </row>
    <row r="3067" customFormat="false" ht="15" hidden="false" customHeight="true" outlineLevel="0" collapsed="false">
      <c r="A3067" s="5" t="s">
        <v>5345</v>
      </c>
      <c r="B3067" s="5" t="s">
        <v>2014</v>
      </c>
      <c r="C3067" s="5" t="s">
        <v>2254</v>
      </c>
      <c r="D3067" s="5" t="s">
        <v>2255</v>
      </c>
      <c r="E3067" s="5" t="s">
        <v>54</v>
      </c>
      <c r="F3067" s="5" t="s">
        <v>54</v>
      </c>
      <c r="G3067" s="5" t="str">
        <f aca="false">INDEX(Risk_Matrix!$B$2:$D$4,MATCH(E3067,Risk_Matrix!$A$2:$A$4,0),MATCH(F3067,Risk_Matrix!$B$1:$D$1,0))</f>
        <v>High</v>
      </c>
      <c r="H3067" s="12" t="n">
        <v>46112</v>
      </c>
      <c r="I3067" s="5" t="s">
        <v>2256</v>
      </c>
      <c r="J3067" s="5" t="s">
        <v>4081</v>
      </c>
      <c r="K3067" s="5" t="s">
        <v>2266</v>
      </c>
      <c r="L3067" s="5" t="n">
        <f aca="false">IF(G3067="High",3,IF(G3067="Medium",2,1))</f>
        <v>3</v>
      </c>
    </row>
    <row r="3068" customFormat="false" ht="15" hidden="false" customHeight="true" outlineLevel="0" collapsed="false">
      <c r="A3068" s="5" t="s">
        <v>5346</v>
      </c>
      <c r="B3068" s="5" t="s">
        <v>2016</v>
      </c>
      <c r="C3068" s="5" t="s">
        <v>2239</v>
      </c>
      <c r="D3068" s="5" t="s">
        <v>2240</v>
      </c>
      <c r="E3068" s="5" t="s">
        <v>59</v>
      </c>
      <c r="F3068" s="5" t="s">
        <v>54</v>
      </c>
      <c r="G3068" s="5" t="str">
        <f aca="false">INDEX(Risk_Matrix!$B$2:$D$4,MATCH(E3068,Risk_Matrix!$A$2:$A$4,0),MATCH(F3068,Risk_Matrix!$B$1:$D$1,0))</f>
        <v>Medium</v>
      </c>
      <c r="H3068" s="12" t="n">
        <v>46031</v>
      </c>
      <c r="I3068" s="5" t="s">
        <v>2241</v>
      </c>
      <c r="J3068" s="5" t="s">
        <v>2242</v>
      </c>
      <c r="K3068" s="5" t="s">
        <v>2283</v>
      </c>
      <c r="L3068" s="5" t="n">
        <f aca="false">IF(G3068="High",3,IF(G3068="Medium",2,1))</f>
        <v>2</v>
      </c>
    </row>
    <row r="3069" customFormat="false" ht="15" hidden="false" customHeight="true" outlineLevel="0" collapsed="false">
      <c r="A3069" s="5" t="s">
        <v>5347</v>
      </c>
      <c r="B3069" s="5" t="s">
        <v>2016</v>
      </c>
      <c r="C3069" s="5" t="s">
        <v>2245</v>
      </c>
      <c r="D3069" s="5" t="s">
        <v>2320</v>
      </c>
      <c r="E3069" s="5" t="s">
        <v>2225</v>
      </c>
      <c r="F3069" s="5" t="s">
        <v>59</v>
      </c>
      <c r="G3069" s="5" t="str">
        <f aca="false">INDEX(Risk_Matrix!$B$2:$D$4,MATCH(E3069,Risk_Matrix!$A$2:$A$4,0),MATCH(F3069,Risk_Matrix!$B$1:$D$1,0))</f>
        <v>Low</v>
      </c>
      <c r="H3069" s="12" t="n">
        <v>46126</v>
      </c>
      <c r="I3069" s="5" t="s">
        <v>2256</v>
      </c>
      <c r="J3069" s="5" t="s">
        <v>4081</v>
      </c>
      <c r="K3069" s="5" t="s">
        <v>2276</v>
      </c>
      <c r="L3069" s="5" t="n">
        <f aca="false">IF(G3069="High",3,IF(G3069="Medium",2,1))</f>
        <v>1</v>
      </c>
    </row>
    <row r="3070" customFormat="false" ht="15" hidden="false" customHeight="true" outlineLevel="0" collapsed="false">
      <c r="A3070" s="5" t="s">
        <v>5348</v>
      </c>
      <c r="B3070" s="5" t="s">
        <v>2016</v>
      </c>
      <c r="C3070" s="5" t="s">
        <v>2248</v>
      </c>
      <c r="D3070" s="5" t="s">
        <v>2271</v>
      </c>
      <c r="E3070" s="5" t="s">
        <v>54</v>
      </c>
      <c r="F3070" s="5" t="s">
        <v>54</v>
      </c>
      <c r="G3070" s="5" t="str">
        <f aca="false">INDEX(Risk_Matrix!$B$2:$D$4,MATCH(E3070,Risk_Matrix!$A$2:$A$4,0),MATCH(F3070,Risk_Matrix!$B$1:$D$1,0))</f>
        <v>High</v>
      </c>
      <c r="H3070" s="12" t="n">
        <v>46112</v>
      </c>
      <c r="I3070" s="5" t="s">
        <v>2250</v>
      </c>
      <c r="J3070" s="5" t="s">
        <v>2251</v>
      </c>
      <c r="K3070" s="5" t="s">
        <v>2276</v>
      </c>
      <c r="L3070" s="5" t="n">
        <f aca="false">IF(G3070="High",3,IF(G3070="Medium",2,1))</f>
        <v>3</v>
      </c>
    </row>
    <row r="3071" customFormat="false" ht="15" hidden="false" customHeight="true" outlineLevel="0" collapsed="false">
      <c r="A3071" s="5" t="s">
        <v>5349</v>
      </c>
      <c r="B3071" s="5" t="s">
        <v>2016</v>
      </c>
      <c r="C3071" s="5" t="s">
        <v>2262</v>
      </c>
      <c r="D3071" s="5" t="s">
        <v>2287</v>
      </c>
      <c r="E3071" s="5" t="s">
        <v>54</v>
      </c>
      <c r="F3071" s="5" t="s">
        <v>2225</v>
      </c>
      <c r="G3071" s="5" t="str">
        <f aca="false">INDEX(Risk_Matrix!$B$2:$D$4,MATCH(E3071,Risk_Matrix!$A$2:$A$4,0),MATCH(F3071,Risk_Matrix!$B$1:$D$1,0))</f>
        <v>High</v>
      </c>
      <c r="H3071" s="12" t="n">
        <v>46060</v>
      </c>
      <c r="I3071" s="5" t="s">
        <v>2256</v>
      </c>
      <c r="J3071" s="5" t="s">
        <v>4081</v>
      </c>
      <c r="K3071" s="5" t="s">
        <v>2252</v>
      </c>
      <c r="L3071" s="5" t="n">
        <f aca="false">IF(G3071="High",3,IF(G3071="Medium",2,1))</f>
        <v>3</v>
      </c>
    </row>
    <row r="3072" customFormat="false" ht="15" hidden="false" customHeight="true" outlineLevel="0" collapsed="false">
      <c r="A3072" s="5" t="s">
        <v>5350</v>
      </c>
      <c r="B3072" s="5" t="s">
        <v>2016</v>
      </c>
      <c r="C3072" s="5" t="s">
        <v>2259</v>
      </c>
      <c r="D3072" s="5" t="s">
        <v>2274</v>
      </c>
      <c r="E3072" s="5" t="s">
        <v>54</v>
      </c>
      <c r="F3072" s="5" t="s">
        <v>2225</v>
      </c>
      <c r="G3072" s="5" t="str">
        <f aca="false">INDEX(Risk_Matrix!$B$2:$D$4,MATCH(E3072,Risk_Matrix!$A$2:$A$4,0),MATCH(F3072,Risk_Matrix!$B$1:$D$1,0))</f>
        <v>High</v>
      </c>
      <c r="H3072" s="12" t="n">
        <v>46099</v>
      </c>
      <c r="I3072" s="5" t="s">
        <v>2264</v>
      </c>
      <c r="J3072" s="5" t="s">
        <v>4087</v>
      </c>
      <c r="K3072" s="5" t="s">
        <v>2276</v>
      </c>
      <c r="L3072" s="5" t="n">
        <f aca="false">IF(G3072="High",3,IF(G3072="Medium",2,1))</f>
        <v>3</v>
      </c>
    </row>
    <row r="3073" customFormat="false" ht="15" hidden="false" customHeight="true" outlineLevel="0" collapsed="false">
      <c r="A3073" s="5" t="s">
        <v>5351</v>
      </c>
      <c r="B3073" s="5" t="s">
        <v>2016</v>
      </c>
      <c r="C3073" s="5" t="s">
        <v>2254</v>
      </c>
      <c r="D3073" s="5" t="s">
        <v>2255</v>
      </c>
      <c r="E3073" s="5" t="s">
        <v>59</v>
      </c>
      <c r="F3073" s="5" t="s">
        <v>2225</v>
      </c>
      <c r="G3073" s="5" t="str">
        <f aca="false">INDEX(Risk_Matrix!$B$2:$D$4,MATCH(E3073,Risk_Matrix!$A$2:$A$4,0),MATCH(F3073,Risk_Matrix!$B$1:$D$1,0))</f>
        <v>Low</v>
      </c>
      <c r="H3073" s="12" t="n">
        <v>46157</v>
      </c>
      <c r="I3073" s="5" t="s">
        <v>2241</v>
      </c>
      <c r="J3073" s="5" t="s">
        <v>2242</v>
      </c>
      <c r="K3073" s="5" t="s">
        <v>2252</v>
      </c>
      <c r="L3073" s="5" t="n">
        <f aca="false">IF(G3073="High",3,IF(G3073="Medium",2,1))</f>
        <v>1</v>
      </c>
    </row>
    <row r="3074" customFormat="false" ht="15" hidden="false" customHeight="true" outlineLevel="0" collapsed="false">
      <c r="A3074" s="5" t="s">
        <v>5352</v>
      </c>
      <c r="B3074" s="5" t="s">
        <v>2018</v>
      </c>
      <c r="C3074" s="5" t="s">
        <v>2239</v>
      </c>
      <c r="D3074" s="5" t="s">
        <v>2240</v>
      </c>
      <c r="E3074" s="5" t="s">
        <v>59</v>
      </c>
      <c r="F3074" s="5" t="s">
        <v>59</v>
      </c>
      <c r="G3074" s="5" t="str">
        <f aca="false">INDEX(Risk_Matrix!$B$2:$D$4,MATCH(E3074,Risk_Matrix!$A$2:$A$4,0),MATCH(F3074,Risk_Matrix!$B$1:$D$1,0))</f>
        <v>Low</v>
      </c>
      <c r="H3074" s="12" t="n">
        <v>46046</v>
      </c>
      <c r="I3074" s="5" t="s">
        <v>2241</v>
      </c>
      <c r="J3074" s="5" t="s">
        <v>2242</v>
      </c>
      <c r="K3074" s="5" t="s">
        <v>2243</v>
      </c>
      <c r="L3074" s="5" t="n">
        <f aca="false">IF(G3074="High",3,IF(G3074="Medium",2,1))</f>
        <v>1</v>
      </c>
    </row>
    <row r="3075" customFormat="false" ht="15" hidden="false" customHeight="true" outlineLevel="0" collapsed="false">
      <c r="A3075" s="5" t="s">
        <v>5353</v>
      </c>
      <c r="B3075" s="5" t="s">
        <v>2018</v>
      </c>
      <c r="C3075" s="5" t="s">
        <v>2245</v>
      </c>
      <c r="D3075" s="5" t="s">
        <v>2246</v>
      </c>
      <c r="E3075" s="5" t="s">
        <v>2225</v>
      </c>
      <c r="F3075" s="5" t="s">
        <v>59</v>
      </c>
      <c r="G3075" s="5" t="str">
        <f aca="false">INDEX(Risk_Matrix!$B$2:$D$4,MATCH(E3075,Risk_Matrix!$A$2:$A$4,0),MATCH(F3075,Risk_Matrix!$B$1:$D$1,0))</f>
        <v>Low</v>
      </c>
      <c r="H3075" s="12" t="n">
        <v>46232</v>
      </c>
      <c r="I3075" s="5" t="s">
        <v>2264</v>
      </c>
      <c r="J3075" s="5" t="s">
        <v>4087</v>
      </c>
      <c r="K3075" s="5" t="s">
        <v>2283</v>
      </c>
      <c r="L3075" s="5" t="n">
        <f aca="false">IF(G3075="High",3,IF(G3075="Medium",2,1))</f>
        <v>1</v>
      </c>
    </row>
    <row r="3076" customFormat="false" ht="15" hidden="false" customHeight="true" outlineLevel="0" collapsed="false">
      <c r="A3076" s="5" t="s">
        <v>5354</v>
      </c>
      <c r="B3076" s="5" t="s">
        <v>2018</v>
      </c>
      <c r="C3076" s="5" t="s">
        <v>2248</v>
      </c>
      <c r="D3076" s="5" t="s">
        <v>2322</v>
      </c>
      <c r="E3076" s="5" t="s">
        <v>59</v>
      </c>
      <c r="F3076" s="5" t="s">
        <v>59</v>
      </c>
      <c r="G3076" s="5" t="str">
        <f aca="false">INDEX(Risk_Matrix!$B$2:$D$4,MATCH(E3076,Risk_Matrix!$A$2:$A$4,0),MATCH(F3076,Risk_Matrix!$B$1:$D$1,0))</f>
        <v>Low</v>
      </c>
      <c r="H3076" s="12" t="n">
        <v>46215</v>
      </c>
      <c r="I3076" s="5" t="s">
        <v>2241</v>
      </c>
      <c r="J3076" s="5" t="s">
        <v>2242</v>
      </c>
      <c r="K3076" s="5" t="s">
        <v>2266</v>
      </c>
      <c r="L3076" s="5" t="n">
        <f aca="false">IF(G3076="High",3,IF(G3076="Medium",2,1))</f>
        <v>1</v>
      </c>
    </row>
    <row r="3077" customFormat="false" ht="15" hidden="false" customHeight="true" outlineLevel="0" collapsed="false">
      <c r="A3077" s="5" t="s">
        <v>5355</v>
      </c>
      <c r="B3077" s="5" t="s">
        <v>2018</v>
      </c>
      <c r="C3077" s="5" t="s">
        <v>2262</v>
      </c>
      <c r="D3077" s="5" t="s">
        <v>2287</v>
      </c>
      <c r="E3077" s="5" t="s">
        <v>54</v>
      </c>
      <c r="F3077" s="5" t="s">
        <v>59</v>
      </c>
      <c r="G3077" s="5" t="str">
        <f aca="false">INDEX(Risk_Matrix!$B$2:$D$4,MATCH(E3077,Risk_Matrix!$A$2:$A$4,0),MATCH(F3077,Risk_Matrix!$B$1:$D$1,0))</f>
        <v>Medium</v>
      </c>
      <c r="H3077" s="12" t="n">
        <v>46187</v>
      </c>
      <c r="I3077" s="5" t="s">
        <v>2264</v>
      </c>
      <c r="J3077" s="5" t="s">
        <v>4087</v>
      </c>
      <c r="K3077" s="5" t="s">
        <v>2283</v>
      </c>
      <c r="L3077" s="5" t="n">
        <f aca="false">IF(G3077="High",3,IF(G3077="Medium",2,1))</f>
        <v>2</v>
      </c>
    </row>
    <row r="3078" customFormat="false" ht="15" hidden="false" customHeight="true" outlineLevel="0" collapsed="false">
      <c r="A3078" s="5" t="s">
        <v>5356</v>
      </c>
      <c r="B3078" s="5" t="s">
        <v>2018</v>
      </c>
      <c r="C3078" s="5" t="s">
        <v>2259</v>
      </c>
      <c r="D3078" s="5" t="s">
        <v>2274</v>
      </c>
      <c r="E3078" s="5" t="s">
        <v>54</v>
      </c>
      <c r="F3078" s="5" t="s">
        <v>2225</v>
      </c>
      <c r="G3078" s="5" t="str">
        <f aca="false">INDEX(Risk_Matrix!$B$2:$D$4,MATCH(E3078,Risk_Matrix!$A$2:$A$4,0),MATCH(F3078,Risk_Matrix!$B$1:$D$1,0))</f>
        <v>High</v>
      </c>
      <c r="H3078" s="12" t="n">
        <v>46058</v>
      </c>
      <c r="I3078" s="5" t="s">
        <v>2241</v>
      </c>
      <c r="J3078" s="5" t="s">
        <v>2242</v>
      </c>
      <c r="K3078" s="5" t="s">
        <v>2283</v>
      </c>
      <c r="L3078" s="5" t="n">
        <f aca="false">IF(G3078="High",3,IF(G3078="Medium",2,1))</f>
        <v>3</v>
      </c>
    </row>
    <row r="3079" customFormat="false" ht="15" hidden="false" customHeight="true" outlineLevel="0" collapsed="false">
      <c r="A3079" s="5" t="s">
        <v>5357</v>
      </c>
      <c r="B3079" s="5" t="s">
        <v>2018</v>
      </c>
      <c r="C3079" s="5" t="s">
        <v>2254</v>
      </c>
      <c r="D3079" s="5" t="s">
        <v>2308</v>
      </c>
      <c r="E3079" s="5" t="s">
        <v>54</v>
      </c>
      <c r="F3079" s="5" t="s">
        <v>59</v>
      </c>
      <c r="G3079" s="5" t="str">
        <f aca="false">INDEX(Risk_Matrix!$B$2:$D$4,MATCH(E3079,Risk_Matrix!$A$2:$A$4,0),MATCH(F3079,Risk_Matrix!$B$1:$D$1,0))</f>
        <v>Medium</v>
      </c>
      <c r="H3079" s="12" t="n">
        <v>46074</v>
      </c>
      <c r="I3079" s="5" t="s">
        <v>2264</v>
      </c>
      <c r="J3079" s="5" t="s">
        <v>4087</v>
      </c>
      <c r="K3079" s="5" t="s">
        <v>2266</v>
      </c>
      <c r="L3079" s="5" t="n">
        <f aca="false">IF(G3079="High",3,IF(G3079="Medium",2,1))</f>
        <v>2</v>
      </c>
    </row>
    <row r="3080" customFormat="false" ht="15" hidden="false" customHeight="true" outlineLevel="0" collapsed="false">
      <c r="A3080" s="5" t="s">
        <v>5358</v>
      </c>
      <c r="B3080" s="5" t="s">
        <v>2020</v>
      </c>
      <c r="C3080" s="5" t="s">
        <v>2239</v>
      </c>
      <c r="D3080" s="5" t="s">
        <v>2240</v>
      </c>
      <c r="E3080" s="5" t="s">
        <v>54</v>
      </c>
      <c r="F3080" s="5" t="s">
        <v>59</v>
      </c>
      <c r="G3080" s="5" t="str">
        <f aca="false">INDEX(Risk_Matrix!$B$2:$D$4,MATCH(E3080,Risk_Matrix!$A$2:$A$4,0),MATCH(F3080,Risk_Matrix!$B$1:$D$1,0))</f>
        <v>Medium</v>
      </c>
      <c r="H3080" s="12" t="n">
        <v>46229</v>
      </c>
      <c r="I3080" s="5" t="s">
        <v>2241</v>
      </c>
      <c r="J3080" s="5" t="s">
        <v>2242</v>
      </c>
      <c r="K3080" s="5" t="s">
        <v>2276</v>
      </c>
      <c r="L3080" s="5" t="n">
        <f aca="false">IF(G3080="High",3,IF(G3080="Medium",2,1))</f>
        <v>2</v>
      </c>
    </row>
    <row r="3081" customFormat="false" ht="15" hidden="false" customHeight="true" outlineLevel="0" collapsed="false">
      <c r="A3081" s="5" t="s">
        <v>5359</v>
      </c>
      <c r="B3081" s="5" t="s">
        <v>2020</v>
      </c>
      <c r="C3081" s="5" t="s">
        <v>2245</v>
      </c>
      <c r="D3081" s="5" t="s">
        <v>2246</v>
      </c>
      <c r="E3081" s="5" t="s">
        <v>59</v>
      </c>
      <c r="F3081" s="5" t="s">
        <v>59</v>
      </c>
      <c r="G3081" s="5" t="str">
        <f aca="false">INDEX(Risk_Matrix!$B$2:$D$4,MATCH(E3081,Risk_Matrix!$A$2:$A$4,0),MATCH(F3081,Risk_Matrix!$B$1:$D$1,0))</f>
        <v>Low</v>
      </c>
      <c r="H3081" s="12" t="n">
        <v>46109</v>
      </c>
      <c r="I3081" s="5" t="s">
        <v>2241</v>
      </c>
      <c r="J3081" s="5" t="s">
        <v>2242</v>
      </c>
      <c r="K3081" s="5" t="s">
        <v>2276</v>
      </c>
      <c r="L3081" s="5" t="n">
        <f aca="false">IF(G3081="High",3,IF(G3081="Medium",2,1))</f>
        <v>1</v>
      </c>
    </row>
    <row r="3082" customFormat="false" ht="15" hidden="false" customHeight="true" outlineLevel="0" collapsed="false">
      <c r="A3082" s="5" t="s">
        <v>5360</v>
      </c>
      <c r="B3082" s="5" t="s">
        <v>2020</v>
      </c>
      <c r="C3082" s="5" t="s">
        <v>2248</v>
      </c>
      <c r="D3082" s="5" t="s">
        <v>2322</v>
      </c>
      <c r="E3082" s="5" t="s">
        <v>2225</v>
      </c>
      <c r="F3082" s="5" t="s">
        <v>59</v>
      </c>
      <c r="G3082" s="5" t="str">
        <f aca="false">INDEX(Risk_Matrix!$B$2:$D$4,MATCH(E3082,Risk_Matrix!$A$2:$A$4,0),MATCH(F3082,Risk_Matrix!$B$1:$D$1,0))</f>
        <v>Low</v>
      </c>
      <c r="H3082" s="12" t="n">
        <v>46207</v>
      </c>
      <c r="I3082" s="5" t="s">
        <v>2256</v>
      </c>
      <c r="J3082" s="5" t="s">
        <v>4081</v>
      </c>
      <c r="K3082" s="5" t="s">
        <v>2283</v>
      </c>
      <c r="L3082" s="5" t="n">
        <f aca="false">IF(G3082="High",3,IF(G3082="Medium",2,1))</f>
        <v>1</v>
      </c>
    </row>
    <row r="3083" customFormat="false" ht="15" hidden="false" customHeight="true" outlineLevel="0" collapsed="false">
      <c r="A3083" s="5" t="s">
        <v>5361</v>
      </c>
      <c r="B3083" s="5" t="s">
        <v>2020</v>
      </c>
      <c r="C3083" s="5" t="s">
        <v>2262</v>
      </c>
      <c r="D3083" s="5" t="s">
        <v>2311</v>
      </c>
      <c r="E3083" s="5" t="s">
        <v>2225</v>
      </c>
      <c r="F3083" s="5" t="s">
        <v>2225</v>
      </c>
      <c r="G3083" s="5" t="str">
        <f aca="false">INDEX(Risk_Matrix!$B$2:$D$4,MATCH(E3083,Risk_Matrix!$A$2:$A$4,0),MATCH(F3083,Risk_Matrix!$B$1:$D$1,0))</f>
        <v>Medium</v>
      </c>
      <c r="H3083" s="12" t="n">
        <v>46074</v>
      </c>
      <c r="I3083" s="5" t="s">
        <v>2241</v>
      </c>
      <c r="J3083" s="5" t="s">
        <v>2242</v>
      </c>
      <c r="K3083" s="5" t="s">
        <v>2276</v>
      </c>
      <c r="L3083" s="5" t="n">
        <f aca="false">IF(G3083="High",3,IF(G3083="Medium",2,1))</f>
        <v>2</v>
      </c>
    </row>
    <row r="3084" customFormat="false" ht="15" hidden="false" customHeight="true" outlineLevel="0" collapsed="false">
      <c r="A3084" s="5" t="s">
        <v>5362</v>
      </c>
      <c r="B3084" s="5" t="s">
        <v>2020</v>
      </c>
      <c r="C3084" s="5" t="s">
        <v>2259</v>
      </c>
      <c r="D3084" s="5" t="s">
        <v>2285</v>
      </c>
      <c r="E3084" s="5" t="s">
        <v>59</v>
      </c>
      <c r="F3084" s="5" t="s">
        <v>59</v>
      </c>
      <c r="G3084" s="5" t="str">
        <f aca="false">INDEX(Risk_Matrix!$B$2:$D$4,MATCH(E3084,Risk_Matrix!$A$2:$A$4,0),MATCH(F3084,Risk_Matrix!$B$1:$D$1,0))</f>
        <v>Low</v>
      </c>
      <c r="H3084" s="12" t="n">
        <v>46094</v>
      </c>
      <c r="I3084" s="5" t="s">
        <v>2264</v>
      </c>
      <c r="J3084" s="5" t="s">
        <v>4087</v>
      </c>
      <c r="K3084" s="5" t="s">
        <v>2243</v>
      </c>
      <c r="L3084" s="5" t="n">
        <f aca="false">IF(G3084="High",3,IF(G3084="Medium",2,1))</f>
        <v>1</v>
      </c>
    </row>
    <row r="3085" customFormat="false" ht="15" hidden="false" customHeight="true" outlineLevel="0" collapsed="false">
      <c r="A3085" s="5" t="s">
        <v>5363</v>
      </c>
      <c r="B3085" s="5" t="s">
        <v>2020</v>
      </c>
      <c r="C3085" s="5" t="s">
        <v>2254</v>
      </c>
      <c r="D3085" s="5" t="s">
        <v>2308</v>
      </c>
      <c r="E3085" s="5" t="s">
        <v>54</v>
      </c>
      <c r="F3085" s="5" t="s">
        <v>54</v>
      </c>
      <c r="G3085" s="5" t="str">
        <f aca="false">INDEX(Risk_Matrix!$B$2:$D$4,MATCH(E3085,Risk_Matrix!$A$2:$A$4,0),MATCH(F3085,Risk_Matrix!$B$1:$D$1,0))</f>
        <v>High</v>
      </c>
      <c r="H3085" s="12" t="n">
        <v>46206</v>
      </c>
      <c r="I3085" s="5" t="s">
        <v>2264</v>
      </c>
      <c r="J3085" s="5" t="s">
        <v>4087</v>
      </c>
      <c r="K3085" s="5" t="s">
        <v>2266</v>
      </c>
      <c r="L3085" s="5" t="n">
        <f aca="false">IF(G3085="High",3,IF(G3085="Medium",2,1))</f>
        <v>3</v>
      </c>
    </row>
    <row r="3086" customFormat="false" ht="15" hidden="false" customHeight="true" outlineLevel="0" collapsed="false">
      <c r="A3086" s="5" t="s">
        <v>5364</v>
      </c>
      <c r="B3086" s="5" t="s">
        <v>2022</v>
      </c>
      <c r="C3086" s="5" t="s">
        <v>2239</v>
      </c>
      <c r="D3086" s="5" t="s">
        <v>2240</v>
      </c>
      <c r="E3086" s="5" t="s">
        <v>59</v>
      </c>
      <c r="F3086" s="5" t="s">
        <v>59</v>
      </c>
      <c r="G3086" s="5" t="str">
        <f aca="false">INDEX(Risk_Matrix!$B$2:$D$4,MATCH(E3086,Risk_Matrix!$A$2:$A$4,0),MATCH(F3086,Risk_Matrix!$B$1:$D$1,0))</f>
        <v>Low</v>
      </c>
      <c r="H3086" s="12" t="n">
        <v>46068</v>
      </c>
      <c r="I3086" s="5" t="s">
        <v>2250</v>
      </c>
      <c r="J3086" s="5" t="s">
        <v>2251</v>
      </c>
      <c r="K3086" s="5" t="s">
        <v>2243</v>
      </c>
      <c r="L3086" s="5" t="n">
        <f aca="false">IF(G3086="High",3,IF(G3086="Medium",2,1))</f>
        <v>1</v>
      </c>
    </row>
    <row r="3087" customFormat="false" ht="15" hidden="false" customHeight="true" outlineLevel="0" collapsed="false">
      <c r="A3087" s="5" t="s">
        <v>5365</v>
      </c>
      <c r="B3087" s="5" t="s">
        <v>2022</v>
      </c>
      <c r="C3087" s="5" t="s">
        <v>2245</v>
      </c>
      <c r="D3087" s="5" t="s">
        <v>2269</v>
      </c>
      <c r="E3087" s="5" t="s">
        <v>54</v>
      </c>
      <c r="F3087" s="5" t="s">
        <v>54</v>
      </c>
      <c r="G3087" s="5" t="str">
        <f aca="false">INDEX(Risk_Matrix!$B$2:$D$4,MATCH(E3087,Risk_Matrix!$A$2:$A$4,0),MATCH(F3087,Risk_Matrix!$B$1:$D$1,0))</f>
        <v>High</v>
      </c>
      <c r="H3087" s="12" t="n">
        <v>46132</v>
      </c>
      <c r="I3087" s="5" t="s">
        <v>2250</v>
      </c>
      <c r="J3087" s="5" t="s">
        <v>2251</v>
      </c>
      <c r="K3087" s="5" t="s">
        <v>2283</v>
      </c>
      <c r="L3087" s="5" t="n">
        <f aca="false">IF(G3087="High",3,IF(G3087="Medium",2,1))</f>
        <v>3</v>
      </c>
    </row>
    <row r="3088" customFormat="false" ht="15" hidden="false" customHeight="true" outlineLevel="0" collapsed="false">
      <c r="A3088" s="5" t="s">
        <v>5366</v>
      </c>
      <c r="B3088" s="5" t="s">
        <v>2022</v>
      </c>
      <c r="C3088" s="5" t="s">
        <v>2248</v>
      </c>
      <c r="D3088" s="5" t="s">
        <v>2306</v>
      </c>
      <c r="E3088" s="5" t="s">
        <v>59</v>
      </c>
      <c r="F3088" s="5" t="s">
        <v>2225</v>
      </c>
      <c r="G3088" s="5" t="str">
        <f aca="false">INDEX(Risk_Matrix!$B$2:$D$4,MATCH(E3088,Risk_Matrix!$A$2:$A$4,0),MATCH(F3088,Risk_Matrix!$B$1:$D$1,0))</f>
        <v>Low</v>
      </c>
      <c r="H3088" s="12" t="n">
        <v>46215</v>
      </c>
      <c r="I3088" s="5" t="s">
        <v>2250</v>
      </c>
      <c r="J3088" s="5" t="s">
        <v>2251</v>
      </c>
      <c r="K3088" s="5" t="s">
        <v>2252</v>
      </c>
      <c r="L3088" s="5" t="n">
        <f aca="false">IF(G3088="High",3,IF(G3088="Medium",2,1))</f>
        <v>1</v>
      </c>
    </row>
    <row r="3089" customFormat="false" ht="15" hidden="false" customHeight="true" outlineLevel="0" collapsed="false">
      <c r="A3089" s="5" t="s">
        <v>5367</v>
      </c>
      <c r="B3089" s="5" t="s">
        <v>2022</v>
      </c>
      <c r="C3089" s="5" t="s">
        <v>2262</v>
      </c>
      <c r="D3089" s="5" t="s">
        <v>2311</v>
      </c>
      <c r="E3089" s="5" t="s">
        <v>54</v>
      </c>
      <c r="F3089" s="5" t="s">
        <v>59</v>
      </c>
      <c r="G3089" s="5" t="str">
        <f aca="false">INDEX(Risk_Matrix!$B$2:$D$4,MATCH(E3089,Risk_Matrix!$A$2:$A$4,0),MATCH(F3089,Risk_Matrix!$B$1:$D$1,0))</f>
        <v>Medium</v>
      </c>
      <c r="H3089" s="12" t="n">
        <v>46220</v>
      </c>
      <c r="I3089" s="5" t="s">
        <v>2250</v>
      </c>
      <c r="J3089" s="5" t="s">
        <v>2251</v>
      </c>
      <c r="K3089" s="5" t="s">
        <v>2252</v>
      </c>
      <c r="L3089" s="5" t="n">
        <f aca="false">IF(G3089="High",3,IF(G3089="Medium",2,1))</f>
        <v>2</v>
      </c>
    </row>
    <row r="3090" customFormat="false" ht="15" hidden="false" customHeight="true" outlineLevel="0" collapsed="false">
      <c r="A3090" s="5" t="s">
        <v>5368</v>
      </c>
      <c r="B3090" s="5" t="s">
        <v>2022</v>
      </c>
      <c r="C3090" s="5" t="s">
        <v>2259</v>
      </c>
      <c r="D3090" s="5" t="s">
        <v>2260</v>
      </c>
      <c r="E3090" s="5" t="s">
        <v>59</v>
      </c>
      <c r="F3090" s="5" t="s">
        <v>59</v>
      </c>
      <c r="G3090" s="5" t="str">
        <f aca="false">INDEX(Risk_Matrix!$B$2:$D$4,MATCH(E3090,Risk_Matrix!$A$2:$A$4,0),MATCH(F3090,Risk_Matrix!$B$1:$D$1,0))</f>
        <v>Low</v>
      </c>
      <c r="H3090" s="12" t="n">
        <v>46115</v>
      </c>
      <c r="I3090" s="5" t="s">
        <v>2241</v>
      </c>
      <c r="J3090" s="5" t="s">
        <v>2242</v>
      </c>
      <c r="K3090" s="5" t="s">
        <v>2276</v>
      </c>
      <c r="L3090" s="5" t="n">
        <f aca="false">IF(G3090="High",3,IF(G3090="Medium",2,1))</f>
        <v>1</v>
      </c>
    </row>
    <row r="3091" customFormat="false" ht="15" hidden="false" customHeight="true" outlineLevel="0" collapsed="false">
      <c r="A3091" s="5" t="s">
        <v>5369</v>
      </c>
      <c r="B3091" s="5" t="s">
        <v>2022</v>
      </c>
      <c r="C3091" s="5" t="s">
        <v>2254</v>
      </c>
      <c r="D3091" s="5" t="s">
        <v>2299</v>
      </c>
      <c r="E3091" s="5" t="s">
        <v>59</v>
      </c>
      <c r="F3091" s="5" t="s">
        <v>54</v>
      </c>
      <c r="G3091" s="5" t="str">
        <f aca="false">INDEX(Risk_Matrix!$B$2:$D$4,MATCH(E3091,Risk_Matrix!$A$2:$A$4,0),MATCH(F3091,Risk_Matrix!$B$1:$D$1,0))</f>
        <v>Medium</v>
      </c>
      <c r="H3091" s="12" t="n">
        <v>46199</v>
      </c>
      <c r="I3091" s="5" t="s">
        <v>2256</v>
      </c>
      <c r="J3091" s="5" t="s">
        <v>4081</v>
      </c>
      <c r="K3091" s="5" t="s">
        <v>2266</v>
      </c>
      <c r="L3091" s="5" t="n">
        <f aca="false">IF(G3091="High",3,IF(G3091="Medium",2,1))</f>
        <v>2</v>
      </c>
    </row>
    <row r="3092" customFormat="false" ht="15" hidden="false" customHeight="true" outlineLevel="0" collapsed="false">
      <c r="A3092" s="5" t="s">
        <v>5370</v>
      </c>
      <c r="B3092" s="5" t="s">
        <v>2024</v>
      </c>
      <c r="C3092" s="5" t="s">
        <v>2239</v>
      </c>
      <c r="D3092" s="5" t="s">
        <v>2303</v>
      </c>
      <c r="E3092" s="5" t="s">
        <v>59</v>
      </c>
      <c r="F3092" s="5" t="s">
        <v>54</v>
      </c>
      <c r="G3092" s="5" t="str">
        <f aca="false">INDEX(Risk_Matrix!$B$2:$D$4,MATCH(E3092,Risk_Matrix!$A$2:$A$4,0),MATCH(F3092,Risk_Matrix!$B$1:$D$1,0))</f>
        <v>Medium</v>
      </c>
      <c r="H3092" s="12" t="n">
        <v>46177</v>
      </c>
      <c r="I3092" s="5" t="s">
        <v>2241</v>
      </c>
      <c r="J3092" s="5" t="s">
        <v>2242</v>
      </c>
      <c r="K3092" s="5" t="s">
        <v>2252</v>
      </c>
      <c r="L3092" s="5" t="n">
        <f aca="false">IF(G3092="High",3,IF(G3092="Medium",2,1))</f>
        <v>2</v>
      </c>
    </row>
    <row r="3093" customFormat="false" ht="15" hidden="false" customHeight="true" outlineLevel="0" collapsed="false">
      <c r="A3093" s="5" t="s">
        <v>5371</v>
      </c>
      <c r="B3093" s="5" t="s">
        <v>2024</v>
      </c>
      <c r="C3093" s="5" t="s">
        <v>2245</v>
      </c>
      <c r="D3093" s="5" t="s">
        <v>2320</v>
      </c>
      <c r="E3093" s="5" t="s">
        <v>54</v>
      </c>
      <c r="F3093" s="5" t="s">
        <v>54</v>
      </c>
      <c r="G3093" s="5" t="str">
        <f aca="false">INDEX(Risk_Matrix!$B$2:$D$4,MATCH(E3093,Risk_Matrix!$A$2:$A$4,0),MATCH(F3093,Risk_Matrix!$B$1:$D$1,0))</f>
        <v>High</v>
      </c>
      <c r="H3093" s="12" t="n">
        <v>46094</v>
      </c>
      <c r="I3093" s="5" t="s">
        <v>2241</v>
      </c>
      <c r="J3093" s="5" t="s">
        <v>2242</v>
      </c>
      <c r="K3093" s="5" t="s">
        <v>2283</v>
      </c>
      <c r="L3093" s="5" t="n">
        <f aca="false">IF(G3093="High",3,IF(G3093="Medium",2,1))</f>
        <v>3</v>
      </c>
    </row>
    <row r="3094" customFormat="false" ht="15" hidden="false" customHeight="true" outlineLevel="0" collapsed="false">
      <c r="A3094" s="5" t="s">
        <v>5372</v>
      </c>
      <c r="B3094" s="5" t="s">
        <v>2024</v>
      </c>
      <c r="C3094" s="5" t="s">
        <v>2248</v>
      </c>
      <c r="D3094" s="5" t="s">
        <v>2306</v>
      </c>
      <c r="E3094" s="5" t="s">
        <v>2225</v>
      </c>
      <c r="F3094" s="5" t="s">
        <v>2225</v>
      </c>
      <c r="G3094" s="5" t="str">
        <f aca="false">INDEX(Risk_Matrix!$B$2:$D$4,MATCH(E3094,Risk_Matrix!$A$2:$A$4,0),MATCH(F3094,Risk_Matrix!$B$1:$D$1,0))</f>
        <v>Medium</v>
      </c>
      <c r="H3094" s="12" t="n">
        <v>46154</v>
      </c>
      <c r="I3094" s="5" t="s">
        <v>2256</v>
      </c>
      <c r="J3094" s="5" t="s">
        <v>4081</v>
      </c>
      <c r="K3094" s="5" t="s">
        <v>2252</v>
      </c>
      <c r="L3094" s="5" t="n">
        <f aca="false">IF(G3094="High",3,IF(G3094="Medium",2,1))</f>
        <v>2</v>
      </c>
    </row>
    <row r="3095" customFormat="false" ht="15" hidden="false" customHeight="true" outlineLevel="0" collapsed="false">
      <c r="A3095" s="5" t="s">
        <v>5373</v>
      </c>
      <c r="B3095" s="5" t="s">
        <v>2024</v>
      </c>
      <c r="C3095" s="5" t="s">
        <v>2262</v>
      </c>
      <c r="D3095" s="5" t="s">
        <v>2287</v>
      </c>
      <c r="E3095" s="5" t="s">
        <v>2225</v>
      </c>
      <c r="F3095" s="5" t="s">
        <v>2225</v>
      </c>
      <c r="G3095" s="5" t="str">
        <f aca="false">INDEX(Risk_Matrix!$B$2:$D$4,MATCH(E3095,Risk_Matrix!$A$2:$A$4,0),MATCH(F3095,Risk_Matrix!$B$1:$D$1,0))</f>
        <v>Medium</v>
      </c>
      <c r="H3095" s="12" t="n">
        <v>46177</v>
      </c>
      <c r="I3095" s="5" t="s">
        <v>2264</v>
      </c>
      <c r="J3095" s="5" t="s">
        <v>4087</v>
      </c>
      <c r="K3095" s="5" t="s">
        <v>2243</v>
      </c>
      <c r="L3095" s="5" t="n">
        <f aca="false">IF(G3095="High",3,IF(G3095="Medium",2,1))</f>
        <v>2</v>
      </c>
    </row>
    <row r="3096" customFormat="false" ht="15" hidden="false" customHeight="true" outlineLevel="0" collapsed="false">
      <c r="A3096" s="5" t="s">
        <v>5374</v>
      </c>
      <c r="B3096" s="5" t="s">
        <v>2024</v>
      </c>
      <c r="C3096" s="5" t="s">
        <v>2259</v>
      </c>
      <c r="D3096" s="5" t="s">
        <v>2260</v>
      </c>
      <c r="E3096" s="5" t="s">
        <v>59</v>
      </c>
      <c r="F3096" s="5" t="s">
        <v>54</v>
      </c>
      <c r="G3096" s="5" t="str">
        <f aca="false">INDEX(Risk_Matrix!$B$2:$D$4,MATCH(E3096,Risk_Matrix!$A$2:$A$4,0),MATCH(F3096,Risk_Matrix!$B$1:$D$1,0))</f>
        <v>Medium</v>
      </c>
      <c r="H3096" s="12" t="n">
        <v>46146</v>
      </c>
      <c r="I3096" s="5" t="s">
        <v>2250</v>
      </c>
      <c r="J3096" s="5" t="s">
        <v>2251</v>
      </c>
      <c r="K3096" s="5" t="s">
        <v>2276</v>
      </c>
      <c r="L3096" s="5" t="n">
        <f aca="false">IF(G3096="High",3,IF(G3096="Medium",2,1))</f>
        <v>2</v>
      </c>
    </row>
    <row r="3097" customFormat="false" ht="15" hidden="false" customHeight="true" outlineLevel="0" collapsed="false">
      <c r="A3097" s="5" t="s">
        <v>5375</v>
      </c>
      <c r="B3097" s="5" t="s">
        <v>2024</v>
      </c>
      <c r="C3097" s="5" t="s">
        <v>2254</v>
      </c>
      <c r="D3097" s="5" t="s">
        <v>2255</v>
      </c>
      <c r="E3097" s="5" t="s">
        <v>2225</v>
      </c>
      <c r="F3097" s="5" t="s">
        <v>2225</v>
      </c>
      <c r="G3097" s="5" t="str">
        <f aca="false">INDEX(Risk_Matrix!$B$2:$D$4,MATCH(E3097,Risk_Matrix!$A$2:$A$4,0),MATCH(F3097,Risk_Matrix!$B$1:$D$1,0))</f>
        <v>Medium</v>
      </c>
      <c r="H3097" s="12" t="n">
        <v>46142</v>
      </c>
      <c r="I3097" s="5" t="s">
        <v>2256</v>
      </c>
      <c r="J3097" s="5" t="s">
        <v>4081</v>
      </c>
      <c r="K3097" s="5" t="s">
        <v>2276</v>
      </c>
      <c r="L3097" s="5" t="n">
        <f aca="false">IF(G3097="High",3,IF(G3097="Medium",2,1))</f>
        <v>2</v>
      </c>
    </row>
    <row r="3098" customFormat="false" ht="15" hidden="false" customHeight="true" outlineLevel="0" collapsed="false">
      <c r="A3098" s="5" t="s">
        <v>5376</v>
      </c>
      <c r="B3098" s="5" t="s">
        <v>2026</v>
      </c>
      <c r="C3098" s="5" t="s">
        <v>2239</v>
      </c>
      <c r="D3098" s="5" t="s">
        <v>2278</v>
      </c>
      <c r="E3098" s="5" t="s">
        <v>59</v>
      </c>
      <c r="F3098" s="5" t="s">
        <v>54</v>
      </c>
      <c r="G3098" s="5" t="str">
        <f aca="false">INDEX(Risk_Matrix!$B$2:$D$4,MATCH(E3098,Risk_Matrix!$A$2:$A$4,0),MATCH(F3098,Risk_Matrix!$B$1:$D$1,0))</f>
        <v>Medium</v>
      </c>
      <c r="H3098" s="12" t="n">
        <v>46033</v>
      </c>
      <c r="I3098" s="5" t="s">
        <v>2256</v>
      </c>
      <c r="J3098" s="5" t="s">
        <v>4081</v>
      </c>
      <c r="K3098" s="5" t="s">
        <v>2276</v>
      </c>
      <c r="L3098" s="5" t="n">
        <f aca="false">IF(G3098="High",3,IF(G3098="Medium",2,1))</f>
        <v>2</v>
      </c>
    </row>
    <row r="3099" customFormat="false" ht="15" hidden="false" customHeight="true" outlineLevel="0" collapsed="false">
      <c r="A3099" s="5" t="s">
        <v>5377</v>
      </c>
      <c r="B3099" s="5" t="s">
        <v>2026</v>
      </c>
      <c r="C3099" s="5" t="s">
        <v>2245</v>
      </c>
      <c r="D3099" s="5" t="s">
        <v>2246</v>
      </c>
      <c r="E3099" s="5" t="s">
        <v>2225</v>
      </c>
      <c r="F3099" s="5" t="s">
        <v>2225</v>
      </c>
      <c r="G3099" s="5" t="str">
        <f aca="false">INDEX(Risk_Matrix!$B$2:$D$4,MATCH(E3099,Risk_Matrix!$A$2:$A$4,0),MATCH(F3099,Risk_Matrix!$B$1:$D$1,0))</f>
        <v>Medium</v>
      </c>
      <c r="H3099" s="12" t="n">
        <v>46120</v>
      </c>
      <c r="I3099" s="5" t="s">
        <v>2264</v>
      </c>
      <c r="J3099" s="5" t="s">
        <v>4087</v>
      </c>
      <c r="K3099" s="5" t="s">
        <v>2276</v>
      </c>
      <c r="L3099" s="5" t="n">
        <f aca="false">IF(G3099="High",3,IF(G3099="Medium",2,1))</f>
        <v>2</v>
      </c>
    </row>
    <row r="3100" customFormat="false" ht="15" hidden="false" customHeight="true" outlineLevel="0" collapsed="false">
      <c r="A3100" s="5" t="s">
        <v>5378</v>
      </c>
      <c r="B3100" s="5" t="s">
        <v>2026</v>
      </c>
      <c r="C3100" s="5" t="s">
        <v>2248</v>
      </c>
      <c r="D3100" s="5" t="s">
        <v>2271</v>
      </c>
      <c r="E3100" s="5" t="s">
        <v>2225</v>
      </c>
      <c r="F3100" s="5" t="s">
        <v>54</v>
      </c>
      <c r="G3100" s="5" t="str">
        <f aca="false">INDEX(Risk_Matrix!$B$2:$D$4,MATCH(E3100,Risk_Matrix!$A$2:$A$4,0),MATCH(F3100,Risk_Matrix!$B$1:$D$1,0))</f>
        <v>High</v>
      </c>
      <c r="H3100" s="12" t="n">
        <v>46178</v>
      </c>
      <c r="I3100" s="5" t="s">
        <v>2264</v>
      </c>
      <c r="J3100" s="5" t="s">
        <v>4087</v>
      </c>
      <c r="K3100" s="5" t="s">
        <v>2243</v>
      </c>
      <c r="L3100" s="5" t="n">
        <f aca="false">IF(G3100="High",3,IF(G3100="Medium",2,1))</f>
        <v>3</v>
      </c>
    </row>
    <row r="3101" customFormat="false" ht="15" hidden="false" customHeight="true" outlineLevel="0" collapsed="false">
      <c r="A3101" s="5" t="s">
        <v>5379</v>
      </c>
      <c r="B3101" s="5" t="s">
        <v>2026</v>
      </c>
      <c r="C3101" s="5" t="s">
        <v>2262</v>
      </c>
      <c r="D3101" s="5" t="s">
        <v>2311</v>
      </c>
      <c r="E3101" s="5" t="s">
        <v>59</v>
      </c>
      <c r="F3101" s="5" t="s">
        <v>59</v>
      </c>
      <c r="G3101" s="5" t="str">
        <f aca="false">INDEX(Risk_Matrix!$B$2:$D$4,MATCH(E3101,Risk_Matrix!$A$2:$A$4,0),MATCH(F3101,Risk_Matrix!$B$1:$D$1,0))</f>
        <v>Low</v>
      </c>
      <c r="H3101" s="12" t="n">
        <v>46147</v>
      </c>
      <c r="I3101" s="5" t="s">
        <v>2241</v>
      </c>
      <c r="J3101" s="5" t="s">
        <v>2242</v>
      </c>
      <c r="K3101" s="5" t="s">
        <v>2276</v>
      </c>
      <c r="L3101" s="5" t="n">
        <f aca="false">IF(G3101="High",3,IF(G3101="Medium",2,1))</f>
        <v>1</v>
      </c>
    </row>
    <row r="3102" customFormat="false" ht="15" hidden="false" customHeight="true" outlineLevel="0" collapsed="false">
      <c r="A3102" s="5" t="s">
        <v>5380</v>
      </c>
      <c r="B3102" s="5" t="s">
        <v>2026</v>
      </c>
      <c r="C3102" s="5" t="s">
        <v>2259</v>
      </c>
      <c r="D3102" s="5" t="s">
        <v>2260</v>
      </c>
      <c r="E3102" s="5" t="s">
        <v>2225</v>
      </c>
      <c r="F3102" s="5" t="s">
        <v>2225</v>
      </c>
      <c r="G3102" s="5" t="str">
        <f aca="false">INDEX(Risk_Matrix!$B$2:$D$4,MATCH(E3102,Risk_Matrix!$A$2:$A$4,0),MATCH(F3102,Risk_Matrix!$B$1:$D$1,0))</f>
        <v>Medium</v>
      </c>
      <c r="H3102" s="12" t="n">
        <v>46154</v>
      </c>
      <c r="I3102" s="5" t="s">
        <v>2264</v>
      </c>
      <c r="J3102" s="5" t="s">
        <v>4087</v>
      </c>
      <c r="K3102" s="5" t="s">
        <v>2266</v>
      </c>
      <c r="L3102" s="5" t="n">
        <f aca="false">IF(G3102="High",3,IF(G3102="Medium",2,1))</f>
        <v>2</v>
      </c>
    </row>
    <row r="3103" customFormat="false" ht="15" hidden="false" customHeight="true" outlineLevel="0" collapsed="false">
      <c r="A3103" s="5" t="s">
        <v>5381</v>
      </c>
      <c r="B3103" s="5" t="s">
        <v>2026</v>
      </c>
      <c r="C3103" s="5" t="s">
        <v>2254</v>
      </c>
      <c r="D3103" s="5" t="s">
        <v>2255</v>
      </c>
      <c r="E3103" s="5" t="s">
        <v>59</v>
      </c>
      <c r="F3103" s="5" t="s">
        <v>2225</v>
      </c>
      <c r="G3103" s="5" t="str">
        <f aca="false">INDEX(Risk_Matrix!$B$2:$D$4,MATCH(E3103,Risk_Matrix!$A$2:$A$4,0),MATCH(F3103,Risk_Matrix!$B$1:$D$1,0))</f>
        <v>Low</v>
      </c>
      <c r="H3103" s="12" t="n">
        <v>46075</v>
      </c>
      <c r="I3103" s="5" t="s">
        <v>2250</v>
      </c>
      <c r="J3103" s="5" t="s">
        <v>2251</v>
      </c>
      <c r="K3103" s="5" t="s">
        <v>2243</v>
      </c>
      <c r="L3103" s="5" t="n">
        <f aca="false">IF(G3103="High",3,IF(G3103="Medium",2,1))</f>
        <v>1</v>
      </c>
    </row>
    <row r="3104" customFormat="false" ht="15" hidden="false" customHeight="true" outlineLevel="0" collapsed="false">
      <c r="A3104" s="5" t="s">
        <v>5382</v>
      </c>
      <c r="B3104" s="5" t="s">
        <v>2028</v>
      </c>
      <c r="C3104" s="5" t="s">
        <v>2239</v>
      </c>
      <c r="D3104" s="5" t="s">
        <v>2303</v>
      </c>
      <c r="E3104" s="5" t="s">
        <v>54</v>
      </c>
      <c r="F3104" s="5" t="s">
        <v>54</v>
      </c>
      <c r="G3104" s="5" t="str">
        <f aca="false">INDEX(Risk_Matrix!$B$2:$D$4,MATCH(E3104,Risk_Matrix!$A$2:$A$4,0),MATCH(F3104,Risk_Matrix!$B$1:$D$1,0))</f>
        <v>High</v>
      </c>
      <c r="H3104" s="12" t="n">
        <v>46138</v>
      </c>
      <c r="I3104" s="5" t="s">
        <v>2256</v>
      </c>
      <c r="J3104" s="5" t="s">
        <v>4081</v>
      </c>
      <c r="K3104" s="5" t="s">
        <v>2276</v>
      </c>
      <c r="L3104" s="5" t="n">
        <f aca="false">IF(G3104="High",3,IF(G3104="Medium",2,1))</f>
        <v>3</v>
      </c>
    </row>
    <row r="3105" customFormat="false" ht="15" hidden="false" customHeight="true" outlineLevel="0" collapsed="false">
      <c r="A3105" s="5" t="s">
        <v>5383</v>
      </c>
      <c r="B3105" s="5" t="s">
        <v>2028</v>
      </c>
      <c r="C3105" s="5" t="s">
        <v>2245</v>
      </c>
      <c r="D3105" s="5" t="s">
        <v>2246</v>
      </c>
      <c r="E3105" s="5" t="s">
        <v>2225</v>
      </c>
      <c r="F3105" s="5" t="s">
        <v>54</v>
      </c>
      <c r="G3105" s="5" t="str">
        <f aca="false">INDEX(Risk_Matrix!$B$2:$D$4,MATCH(E3105,Risk_Matrix!$A$2:$A$4,0),MATCH(F3105,Risk_Matrix!$B$1:$D$1,0))</f>
        <v>High</v>
      </c>
      <c r="H3105" s="12" t="n">
        <v>46054</v>
      </c>
      <c r="I3105" s="5" t="s">
        <v>2241</v>
      </c>
      <c r="J3105" s="5" t="s">
        <v>2242</v>
      </c>
      <c r="K3105" s="5" t="s">
        <v>2252</v>
      </c>
      <c r="L3105" s="5" t="n">
        <f aca="false">IF(G3105="High",3,IF(G3105="Medium",2,1))</f>
        <v>3</v>
      </c>
    </row>
    <row r="3106" customFormat="false" ht="15" hidden="false" customHeight="true" outlineLevel="0" collapsed="false">
      <c r="A3106" s="5" t="s">
        <v>5384</v>
      </c>
      <c r="B3106" s="5" t="s">
        <v>2028</v>
      </c>
      <c r="C3106" s="5" t="s">
        <v>2248</v>
      </c>
      <c r="D3106" s="5" t="s">
        <v>2271</v>
      </c>
      <c r="E3106" s="5" t="s">
        <v>2225</v>
      </c>
      <c r="F3106" s="5" t="s">
        <v>54</v>
      </c>
      <c r="G3106" s="5" t="str">
        <f aca="false">INDEX(Risk_Matrix!$B$2:$D$4,MATCH(E3106,Risk_Matrix!$A$2:$A$4,0),MATCH(F3106,Risk_Matrix!$B$1:$D$1,0))</f>
        <v>High</v>
      </c>
      <c r="H3106" s="12" t="n">
        <v>46101</v>
      </c>
      <c r="I3106" s="5" t="s">
        <v>2256</v>
      </c>
      <c r="J3106" s="5" t="s">
        <v>4081</v>
      </c>
      <c r="K3106" s="5" t="s">
        <v>2283</v>
      </c>
      <c r="L3106" s="5" t="n">
        <f aca="false">IF(G3106="High",3,IF(G3106="Medium",2,1))</f>
        <v>3</v>
      </c>
    </row>
    <row r="3107" customFormat="false" ht="15" hidden="false" customHeight="true" outlineLevel="0" collapsed="false">
      <c r="A3107" s="5" t="s">
        <v>5385</v>
      </c>
      <c r="B3107" s="5" t="s">
        <v>2028</v>
      </c>
      <c r="C3107" s="5" t="s">
        <v>2262</v>
      </c>
      <c r="D3107" s="5" t="s">
        <v>2311</v>
      </c>
      <c r="E3107" s="5" t="s">
        <v>59</v>
      </c>
      <c r="F3107" s="5" t="s">
        <v>54</v>
      </c>
      <c r="G3107" s="5" t="str">
        <f aca="false">INDEX(Risk_Matrix!$B$2:$D$4,MATCH(E3107,Risk_Matrix!$A$2:$A$4,0),MATCH(F3107,Risk_Matrix!$B$1:$D$1,0))</f>
        <v>Medium</v>
      </c>
      <c r="H3107" s="12" t="n">
        <v>46133</v>
      </c>
      <c r="I3107" s="5" t="s">
        <v>2256</v>
      </c>
      <c r="J3107" s="5" t="s">
        <v>4081</v>
      </c>
      <c r="K3107" s="5" t="s">
        <v>2243</v>
      </c>
      <c r="L3107" s="5" t="n">
        <f aca="false">IF(G3107="High",3,IF(G3107="Medium",2,1))</f>
        <v>2</v>
      </c>
    </row>
    <row r="3108" customFormat="false" ht="15" hidden="false" customHeight="true" outlineLevel="0" collapsed="false">
      <c r="A3108" s="5" t="s">
        <v>5386</v>
      </c>
      <c r="B3108" s="5" t="s">
        <v>2028</v>
      </c>
      <c r="C3108" s="5" t="s">
        <v>2259</v>
      </c>
      <c r="D3108" s="5" t="s">
        <v>2274</v>
      </c>
      <c r="E3108" s="5" t="s">
        <v>59</v>
      </c>
      <c r="F3108" s="5" t="s">
        <v>2225</v>
      </c>
      <c r="G3108" s="5" t="str">
        <f aca="false">INDEX(Risk_Matrix!$B$2:$D$4,MATCH(E3108,Risk_Matrix!$A$2:$A$4,0),MATCH(F3108,Risk_Matrix!$B$1:$D$1,0))</f>
        <v>Low</v>
      </c>
      <c r="H3108" s="12" t="n">
        <v>46188</v>
      </c>
      <c r="I3108" s="5" t="s">
        <v>2264</v>
      </c>
      <c r="J3108" s="5" t="s">
        <v>4087</v>
      </c>
      <c r="K3108" s="5" t="s">
        <v>2252</v>
      </c>
      <c r="L3108" s="5" t="n">
        <f aca="false">IF(G3108="High",3,IF(G3108="Medium",2,1))</f>
        <v>1</v>
      </c>
    </row>
    <row r="3109" customFormat="false" ht="15" hidden="false" customHeight="true" outlineLevel="0" collapsed="false">
      <c r="A3109" s="5" t="s">
        <v>5387</v>
      </c>
      <c r="B3109" s="5" t="s">
        <v>2028</v>
      </c>
      <c r="C3109" s="5" t="s">
        <v>2254</v>
      </c>
      <c r="D3109" s="5" t="s">
        <v>2255</v>
      </c>
      <c r="E3109" s="5" t="s">
        <v>54</v>
      </c>
      <c r="F3109" s="5" t="s">
        <v>54</v>
      </c>
      <c r="G3109" s="5" t="str">
        <f aca="false">INDEX(Risk_Matrix!$B$2:$D$4,MATCH(E3109,Risk_Matrix!$A$2:$A$4,0),MATCH(F3109,Risk_Matrix!$B$1:$D$1,0))</f>
        <v>High</v>
      </c>
      <c r="H3109" s="12" t="n">
        <v>46058</v>
      </c>
      <c r="I3109" s="5" t="s">
        <v>2256</v>
      </c>
      <c r="J3109" s="5" t="s">
        <v>4081</v>
      </c>
      <c r="K3109" s="5" t="s">
        <v>2283</v>
      </c>
      <c r="L3109" s="5" t="n">
        <f aca="false">IF(G3109="High",3,IF(G3109="Medium",2,1))</f>
        <v>3</v>
      </c>
    </row>
    <row r="3110" customFormat="false" ht="15" hidden="false" customHeight="true" outlineLevel="0" collapsed="false">
      <c r="A3110" s="5" t="s">
        <v>5388</v>
      </c>
      <c r="B3110" s="5" t="s">
        <v>2030</v>
      </c>
      <c r="C3110" s="5" t="s">
        <v>2239</v>
      </c>
      <c r="D3110" s="5" t="s">
        <v>2278</v>
      </c>
      <c r="E3110" s="5" t="s">
        <v>54</v>
      </c>
      <c r="F3110" s="5" t="s">
        <v>2225</v>
      </c>
      <c r="G3110" s="5" t="str">
        <f aca="false">INDEX(Risk_Matrix!$B$2:$D$4,MATCH(E3110,Risk_Matrix!$A$2:$A$4,0),MATCH(F3110,Risk_Matrix!$B$1:$D$1,0))</f>
        <v>High</v>
      </c>
      <c r="H3110" s="12" t="n">
        <v>46233</v>
      </c>
      <c r="I3110" s="5" t="s">
        <v>2250</v>
      </c>
      <c r="J3110" s="5" t="s">
        <v>2251</v>
      </c>
      <c r="K3110" s="5" t="s">
        <v>2252</v>
      </c>
      <c r="L3110" s="5" t="n">
        <f aca="false">IF(G3110="High",3,IF(G3110="Medium",2,1))</f>
        <v>3</v>
      </c>
    </row>
    <row r="3111" customFormat="false" ht="15" hidden="false" customHeight="true" outlineLevel="0" collapsed="false">
      <c r="A3111" s="5" t="s">
        <v>5389</v>
      </c>
      <c r="B3111" s="5" t="s">
        <v>2030</v>
      </c>
      <c r="C3111" s="5" t="s">
        <v>2245</v>
      </c>
      <c r="D3111" s="5" t="s">
        <v>2246</v>
      </c>
      <c r="E3111" s="5" t="s">
        <v>2225</v>
      </c>
      <c r="F3111" s="5" t="s">
        <v>54</v>
      </c>
      <c r="G3111" s="5" t="str">
        <f aca="false">INDEX(Risk_Matrix!$B$2:$D$4,MATCH(E3111,Risk_Matrix!$A$2:$A$4,0),MATCH(F3111,Risk_Matrix!$B$1:$D$1,0))</f>
        <v>High</v>
      </c>
      <c r="H3111" s="12" t="n">
        <v>46031</v>
      </c>
      <c r="I3111" s="5" t="s">
        <v>2256</v>
      </c>
      <c r="J3111" s="5" t="s">
        <v>4081</v>
      </c>
      <c r="K3111" s="5" t="s">
        <v>2266</v>
      </c>
      <c r="L3111" s="5" t="n">
        <f aca="false">IF(G3111="High",3,IF(G3111="Medium",2,1))</f>
        <v>3</v>
      </c>
    </row>
    <row r="3112" customFormat="false" ht="15" hidden="false" customHeight="true" outlineLevel="0" collapsed="false">
      <c r="A3112" s="5" t="s">
        <v>5390</v>
      </c>
      <c r="B3112" s="5" t="s">
        <v>2030</v>
      </c>
      <c r="C3112" s="5" t="s">
        <v>2248</v>
      </c>
      <c r="D3112" s="5" t="s">
        <v>2249</v>
      </c>
      <c r="E3112" s="5" t="s">
        <v>2225</v>
      </c>
      <c r="F3112" s="5" t="s">
        <v>2225</v>
      </c>
      <c r="G3112" s="5" t="str">
        <f aca="false">INDEX(Risk_Matrix!$B$2:$D$4,MATCH(E3112,Risk_Matrix!$A$2:$A$4,0),MATCH(F3112,Risk_Matrix!$B$1:$D$1,0))</f>
        <v>Medium</v>
      </c>
      <c r="H3112" s="12" t="n">
        <v>46110</v>
      </c>
      <c r="I3112" s="5" t="s">
        <v>2264</v>
      </c>
      <c r="J3112" s="5" t="s">
        <v>4087</v>
      </c>
      <c r="K3112" s="5" t="s">
        <v>2243</v>
      </c>
      <c r="L3112" s="5" t="n">
        <f aca="false">IF(G3112="High",3,IF(G3112="Medium",2,1))</f>
        <v>2</v>
      </c>
    </row>
    <row r="3113" customFormat="false" ht="15" hidden="false" customHeight="true" outlineLevel="0" collapsed="false">
      <c r="A3113" s="5" t="s">
        <v>5391</v>
      </c>
      <c r="B3113" s="5" t="s">
        <v>2030</v>
      </c>
      <c r="C3113" s="5" t="s">
        <v>2262</v>
      </c>
      <c r="D3113" s="5" t="s">
        <v>2263</v>
      </c>
      <c r="E3113" s="5" t="s">
        <v>59</v>
      </c>
      <c r="F3113" s="5" t="s">
        <v>2225</v>
      </c>
      <c r="G3113" s="5" t="str">
        <f aca="false">INDEX(Risk_Matrix!$B$2:$D$4,MATCH(E3113,Risk_Matrix!$A$2:$A$4,0),MATCH(F3113,Risk_Matrix!$B$1:$D$1,0))</f>
        <v>Low</v>
      </c>
      <c r="H3113" s="12" t="n">
        <v>46169</v>
      </c>
      <c r="I3113" s="5" t="s">
        <v>2256</v>
      </c>
      <c r="J3113" s="5" t="s">
        <v>4081</v>
      </c>
      <c r="K3113" s="5" t="s">
        <v>2252</v>
      </c>
      <c r="L3113" s="5" t="n">
        <f aca="false">IF(G3113="High",3,IF(G3113="Medium",2,1))</f>
        <v>1</v>
      </c>
    </row>
    <row r="3114" customFormat="false" ht="15" hidden="false" customHeight="true" outlineLevel="0" collapsed="false">
      <c r="A3114" s="5" t="s">
        <v>5392</v>
      </c>
      <c r="B3114" s="5" t="s">
        <v>2030</v>
      </c>
      <c r="C3114" s="5" t="s">
        <v>2259</v>
      </c>
      <c r="D3114" s="5" t="s">
        <v>2274</v>
      </c>
      <c r="E3114" s="5" t="s">
        <v>54</v>
      </c>
      <c r="F3114" s="5" t="s">
        <v>2225</v>
      </c>
      <c r="G3114" s="5" t="str">
        <f aca="false">INDEX(Risk_Matrix!$B$2:$D$4,MATCH(E3114,Risk_Matrix!$A$2:$A$4,0),MATCH(F3114,Risk_Matrix!$B$1:$D$1,0))</f>
        <v>High</v>
      </c>
      <c r="H3114" s="12" t="n">
        <v>46109</v>
      </c>
      <c r="I3114" s="5" t="s">
        <v>2264</v>
      </c>
      <c r="J3114" s="5" t="s">
        <v>4087</v>
      </c>
      <c r="K3114" s="5" t="s">
        <v>2243</v>
      </c>
      <c r="L3114" s="5" t="n">
        <f aca="false">IF(G3114="High",3,IF(G3114="Medium",2,1))</f>
        <v>3</v>
      </c>
    </row>
    <row r="3115" customFormat="false" ht="15" hidden="false" customHeight="true" outlineLevel="0" collapsed="false">
      <c r="A3115" s="5" t="s">
        <v>5393</v>
      </c>
      <c r="B3115" s="5" t="s">
        <v>2030</v>
      </c>
      <c r="C3115" s="5" t="s">
        <v>2254</v>
      </c>
      <c r="D3115" s="5" t="s">
        <v>2299</v>
      </c>
      <c r="E3115" s="5" t="s">
        <v>54</v>
      </c>
      <c r="F3115" s="5" t="s">
        <v>59</v>
      </c>
      <c r="G3115" s="5" t="str">
        <f aca="false">INDEX(Risk_Matrix!$B$2:$D$4,MATCH(E3115,Risk_Matrix!$A$2:$A$4,0),MATCH(F3115,Risk_Matrix!$B$1:$D$1,0))</f>
        <v>Medium</v>
      </c>
      <c r="H3115" s="12" t="n">
        <v>46152</v>
      </c>
      <c r="I3115" s="5" t="s">
        <v>2264</v>
      </c>
      <c r="J3115" s="5" t="s">
        <v>4087</v>
      </c>
      <c r="K3115" s="5" t="s">
        <v>2243</v>
      </c>
      <c r="L3115" s="5" t="n">
        <f aca="false">IF(G3115="High",3,IF(G3115="Medium",2,1))</f>
        <v>2</v>
      </c>
    </row>
    <row r="3116" customFormat="false" ht="15" hidden="false" customHeight="true" outlineLevel="0" collapsed="false">
      <c r="A3116" s="5" t="s">
        <v>5394</v>
      </c>
      <c r="B3116" s="5" t="s">
        <v>2032</v>
      </c>
      <c r="C3116" s="5" t="s">
        <v>2239</v>
      </c>
      <c r="D3116" s="5" t="s">
        <v>2303</v>
      </c>
      <c r="E3116" s="5" t="s">
        <v>59</v>
      </c>
      <c r="F3116" s="5" t="s">
        <v>2225</v>
      </c>
      <c r="G3116" s="5" t="str">
        <f aca="false">INDEX(Risk_Matrix!$B$2:$D$4,MATCH(E3116,Risk_Matrix!$A$2:$A$4,0),MATCH(F3116,Risk_Matrix!$B$1:$D$1,0))</f>
        <v>Low</v>
      </c>
      <c r="H3116" s="12" t="n">
        <v>46219</v>
      </c>
      <c r="I3116" s="5" t="s">
        <v>2241</v>
      </c>
      <c r="J3116" s="5" t="s">
        <v>2242</v>
      </c>
      <c r="K3116" s="5" t="s">
        <v>2276</v>
      </c>
      <c r="L3116" s="5" t="n">
        <f aca="false">IF(G3116="High",3,IF(G3116="Medium",2,1))</f>
        <v>1</v>
      </c>
    </row>
    <row r="3117" customFormat="false" ht="15" hidden="false" customHeight="true" outlineLevel="0" collapsed="false">
      <c r="A3117" s="5" t="s">
        <v>5395</v>
      </c>
      <c r="B3117" s="5" t="s">
        <v>2032</v>
      </c>
      <c r="C3117" s="5" t="s">
        <v>2245</v>
      </c>
      <c r="D3117" s="5" t="s">
        <v>2246</v>
      </c>
      <c r="E3117" s="5" t="s">
        <v>54</v>
      </c>
      <c r="F3117" s="5" t="s">
        <v>2225</v>
      </c>
      <c r="G3117" s="5" t="str">
        <f aca="false">INDEX(Risk_Matrix!$B$2:$D$4,MATCH(E3117,Risk_Matrix!$A$2:$A$4,0),MATCH(F3117,Risk_Matrix!$B$1:$D$1,0))</f>
        <v>High</v>
      </c>
      <c r="H3117" s="12" t="n">
        <v>46152</v>
      </c>
      <c r="I3117" s="5" t="s">
        <v>2241</v>
      </c>
      <c r="J3117" s="5" t="s">
        <v>2242</v>
      </c>
      <c r="K3117" s="5" t="s">
        <v>2283</v>
      </c>
      <c r="L3117" s="5" t="n">
        <f aca="false">IF(G3117="High",3,IF(G3117="Medium",2,1))</f>
        <v>3</v>
      </c>
    </row>
    <row r="3118" customFormat="false" ht="15" hidden="false" customHeight="true" outlineLevel="0" collapsed="false">
      <c r="A3118" s="5" t="s">
        <v>5396</v>
      </c>
      <c r="B3118" s="5" t="s">
        <v>2032</v>
      </c>
      <c r="C3118" s="5" t="s">
        <v>2248</v>
      </c>
      <c r="D3118" s="5" t="s">
        <v>2249</v>
      </c>
      <c r="E3118" s="5" t="s">
        <v>54</v>
      </c>
      <c r="F3118" s="5" t="s">
        <v>54</v>
      </c>
      <c r="G3118" s="5" t="str">
        <f aca="false">INDEX(Risk_Matrix!$B$2:$D$4,MATCH(E3118,Risk_Matrix!$A$2:$A$4,0),MATCH(F3118,Risk_Matrix!$B$1:$D$1,0))</f>
        <v>High</v>
      </c>
      <c r="H3118" s="12" t="n">
        <v>46142</v>
      </c>
      <c r="I3118" s="5" t="s">
        <v>2250</v>
      </c>
      <c r="J3118" s="5" t="s">
        <v>2251</v>
      </c>
      <c r="K3118" s="5" t="s">
        <v>2266</v>
      </c>
      <c r="L3118" s="5" t="n">
        <f aca="false">IF(G3118="High",3,IF(G3118="Medium",2,1))</f>
        <v>3</v>
      </c>
    </row>
    <row r="3119" customFormat="false" ht="15" hidden="false" customHeight="true" outlineLevel="0" collapsed="false">
      <c r="A3119" s="5" t="s">
        <v>5397</v>
      </c>
      <c r="B3119" s="5" t="s">
        <v>2032</v>
      </c>
      <c r="C3119" s="5" t="s">
        <v>2262</v>
      </c>
      <c r="D3119" s="5" t="s">
        <v>2287</v>
      </c>
      <c r="E3119" s="5" t="s">
        <v>59</v>
      </c>
      <c r="F3119" s="5" t="s">
        <v>2225</v>
      </c>
      <c r="G3119" s="5" t="str">
        <f aca="false">INDEX(Risk_Matrix!$B$2:$D$4,MATCH(E3119,Risk_Matrix!$A$2:$A$4,0),MATCH(F3119,Risk_Matrix!$B$1:$D$1,0))</f>
        <v>Low</v>
      </c>
      <c r="H3119" s="12" t="n">
        <v>46226</v>
      </c>
      <c r="I3119" s="5" t="s">
        <v>2264</v>
      </c>
      <c r="J3119" s="5" t="s">
        <v>4087</v>
      </c>
      <c r="K3119" s="5" t="s">
        <v>2252</v>
      </c>
      <c r="L3119" s="5" t="n">
        <f aca="false">IF(G3119="High",3,IF(G3119="Medium",2,1))</f>
        <v>1</v>
      </c>
    </row>
    <row r="3120" customFormat="false" ht="15" hidden="false" customHeight="true" outlineLevel="0" collapsed="false">
      <c r="A3120" s="5" t="s">
        <v>5398</v>
      </c>
      <c r="B3120" s="5" t="s">
        <v>2032</v>
      </c>
      <c r="C3120" s="5" t="s">
        <v>2259</v>
      </c>
      <c r="D3120" s="5" t="s">
        <v>2260</v>
      </c>
      <c r="E3120" s="5" t="s">
        <v>2225</v>
      </c>
      <c r="F3120" s="5" t="s">
        <v>59</v>
      </c>
      <c r="G3120" s="5" t="str">
        <f aca="false">INDEX(Risk_Matrix!$B$2:$D$4,MATCH(E3120,Risk_Matrix!$A$2:$A$4,0),MATCH(F3120,Risk_Matrix!$B$1:$D$1,0))</f>
        <v>Low</v>
      </c>
      <c r="H3120" s="12" t="n">
        <v>46110</v>
      </c>
      <c r="I3120" s="5" t="s">
        <v>2264</v>
      </c>
      <c r="J3120" s="5" t="s">
        <v>4087</v>
      </c>
      <c r="K3120" s="5" t="s">
        <v>2266</v>
      </c>
      <c r="L3120" s="5" t="n">
        <f aca="false">IF(G3120="High",3,IF(G3120="Medium",2,1))</f>
        <v>1</v>
      </c>
    </row>
    <row r="3121" customFormat="false" ht="15" hidden="false" customHeight="true" outlineLevel="0" collapsed="false">
      <c r="A3121" s="5" t="s">
        <v>5399</v>
      </c>
      <c r="B3121" s="5" t="s">
        <v>2032</v>
      </c>
      <c r="C3121" s="5" t="s">
        <v>2254</v>
      </c>
      <c r="D3121" s="5" t="s">
        <v>2255</v>
      </c>
      <c r="E3121" s="5" t="s">
        <v>54</v>
      </c>
      <c r="F3121" s="5" t="s">
        <v>2225</v>
      </c>
      <c r="G3121" s="5" t="str">
        <f aca="false">INDEX(Risk_Matrix!$B$2:$D$4,MATCH(E3121,Risk_Matrix!$A$2:$A$4,0),MATCH(F3121,Risk_Matrix!$B$1:$D$1,0))</f>
        <v>High</v>
      </c>
      <c r="H3121" s="12" t="n">
        <v>46108</v>
      </c>
      <c r="I3121" s="5" t="s">
        <v>2264</v>
      </c>
      <c r="J3121" s="5" t="s">
        <v>4087</v>
      </c>
      <c r="K3121" s="5" t="s">
        <v>2252</v>
      </c>
      <c r="L3121" s="5" t="n">
        <f aca="false">IF(G3121="High",3,IF(G3121="Medium",2,1))</f>
        <v>3</v>
      </c>
    </row>
    <row r="3122" customFormat="false" ht="15" hidden="false" customHeight="true" outlineLevel="0" collapsed="false">
      <c r="A3122" s="5" t="s">
        <v>5400</v>
      </c>
      <c r="B3122" s="5" t="s">
        <v>2034</v>
      </c>
      <c r="C3122" s="5" t="s">
        <v>2239</v>
      </c>
      <c r="D3122" s="5" t="s">
        <v>2303</v>
      </c>
      <c r="E3122" s="5" t="s">
        <v>2225</v>
      </c>
      <c r="F3122" s="5" t="s">
        <v>54</v>
      </c>
      <c r="G3122" s="5" t="str">
        <f aca="false">INDEX(Risk_Matrix!$B$2:$D$4,MATCH(E3122,Risk_Matrix!$A$2:$A$4,0),MATCH(F3122,Risk_Matrix!$B$1:$D$1,0))</f>
        <v>High</v>
      </c>
      <c r="H3122" s="12" t="n">
        <v>46179</v>
      </c>
      <c r="I3122" s="5" t="s">
        <v>2264</v>
      </c>
      <c r="J3122" s="5" t="s">
        <v>4087</v>
      </c>
      <c r="K3122" s="5" t="s">
        <v>2243</v>
      </c>
      <c r="L3122" s="5" t="n">
        <f aca="false">IF(G3122="High",3,IF(G3122="Medium",2,1))</f>
        <v>3</v>
      </c>
    </row>
    <row r="3123" customFormat="false" ht="15" hidden="false" customHeight="true" outlineLevel="0" collapsed="false">
      <c r="A3123" s="5" t="s">
        <v>5401</v>
      </c>
      <c r="B3123" s="5" t="s">
        <v>2034</v>
      </c>
      <c r="C3123" s="5" t="s">
        <v>2245</v>
      </c>
      <c r="D3123" s="5" t="s">
        <v>2280</v>
      </c>
      <c r="E3123" s="5" t="s">
        <v>2225</v>
      </c>
      <c r="F3123" s="5" t="s">
        <v>54</v>
      </c>
      <c r="G3123" s="5" t="str">
        <f aca="false">INDEX(Risk_Matrix!$B$2:$D$4,MATCH(E3123,Risk_Matrix!$A$2:$A$4,0),MATCH(F3123,Risk_Matrix!$B$1:$D$1,0))</f>
        <v>High</v>
      </c>
      <c r="H3123" s="12" t="n">
        <v>46161</v>
      </c>
      <c r="I3123" s="5" t="s">
        <v>2241</v>
      </c>
      <c r="J3123" s="5" t="s">
        <v>2242</v>
      </c>
      <c r="K3123" s="5" t="s">
        <v>2243</v>
      </c>
      <c r="L3123" s="5" t="n">
        <f aca="false">IF(G3123="High",3,IF(G3123="Medium",2,1))</f>
        <v>3</v>
      </c>
    </row>
    <row r="3124" customFormat="false" ht="15" hidden="false" customHeight="true" outlineLevel="0" collapsed="false">
      <c r="A3124" s="5" t="s">
        <v>5402</v>
      </c>
      <c r="B3124" s="5" t="s">
        <v>2034</v>
      </c>
      <c r="C3124" s="5" t="s">
        <v>2248</v>
      </c>
      <c r="D3124" s="5" t="s">
        <v>2306</v>
      </c>
      <c r="E3124" s="5" t="s">
        <v>59</v>
      </c>
      <c r="F3124" s="5" t="s">
        <v>2225</v>
      </c>
      <c r="G3124" s="5" t="str">
        <f aca="false">INDEX(Risk_Matrix!$B$2:$D$4,MATCH(E3124,Risk_Matrix!$A$2:$A$4,0),MATCH(F3124,Risk_Matrix!$B$1:$D$1,0))</f>
        <v>Low</v>
      </c>
      <c r="H3124" s="12" t="n">
        <v>46103</v>
      </c>
      <c r="I3124" s="5" t="s">
        <v>2256</v>
      </c>
      <c r="J3124" s="5" t="s">
        <v>4081</v>
      </c>
      <c r="K3124" s="5" t="s">
        <v>2266</v>
      </c>
      <c r="L3124" s="5" t="n">
        <f aca="false">IF(G3124="High",3,IF(G3124="Medium",2,1))</f>
        <v>1</v>
      </c>
    </row>
    <row r="3125" customFormat="false" ht="15" hidden="false" customHeight="true" outlineLevel="0" collapsed="false">
      <c r="A3125" s="5" t="s">
        <v>5403</v>
      </c>
      <c r="B3125" s="5" t="s">
        <v>2034</v>
      </c>
      <c r="C3125" s="5" t="s">
        <v>2262</v>
      </c>
      <c r="D3125" s="5" t="s">
        <v>2287</v>
      </c>
      <c r="E3125" s="5" t="s">
        <v>59</v>
      </c>
      <c r="F3125" s="5" t="s">
        <v>59</v>
      </c>
      <c r="G3125" s="5" t="str">
        <f aca="false">INDEX(Risk_Matrix!$B$2:$D$4,MATCH(E3125,Risk_Matrix!$A$2:$A$4,0),MATCH(F3125,Risk_Matrix!$B$1:$D$1,0))</f>
        <v>Low</v>
      </c>
      <c r="H3125" s="12" t="n">
        <v>46034</v>
      </c>
      <c r="I3125" s="5" t="s">
        <v>2250</v>
      </c>
      <c r="J3125" s="5" t="s">
        <v>2251</v>
      </c>
      <c r="K3125" s="5" t="s">
        <v>2266</v>
      </c>
      <c r="L3125" s="5" t="n">
        <f aca="false">IF(G3125="High",3,IF(G3125="Medium",2,1))</f>
        <v>1</v>
      </c>
    </row>
    <row r="3126" customFormat="false" ht="15" hidden="false" customHeight="true" outlineLevel="0" collapsed="false">
      <c r="A3126" s="5" t="s">
        <v>5404</v>
      </c>
      <c r="B3126" s="5" t="s">
        <v>2034</v>
      </c>
      <c r="C3126" s="5" t="s">
        <v>2259</v>
      </c>
      <c r="D3126" s="5" t="s">
        <v>2285</v>
      </c>
      <c r="E3126" s="5" t="s">
        <v>54</v>
      </c>
      <c r="F3126" s="5" t="s">
        <v>2225</v>
      </c>
      <c r="G3126" s="5" t="str">
        <f aca="false">INDEX(Risk_Matrix!$B$2:$D$4,MATCH(E3126,Risk_Matrix!$A$2:$A$4,0),MATCH(F3126,Risk_Matrix!$B$1:$D$1,0))</f>
        <v>High</v>
      </c>
      <c r="H3126" s="12" t="n">
        <v>46146</v>
      </c>
      <c r="I3126" s="5" t="s">
        <v>2241</v>
      </c>
      <c r="J3126" s="5" t="s">
        <v>2242</v>
      </c>
      <c r="K3126" s="5" t="s">
        <v>2252</v>
      </c>
      <c r="L3126" s="5" t="n">
        <f aca="false">IF(G3126="High",3,IF(G3126="Medium",2,1))</f>
        <v>3</v>
      </c>
    </row>
    <row r="3127" customFormat="false" ht="15" hidden="false" customHeight="true" outlineLevel="0" collapsed="false">
      <c r="A3127" s="5" t="s">
        <v>5405</v>
      </c>
      <c r="B3127" s="5" t="s">
        <v>2034</v>
      </c>
      <c r="C3127" s="5" t="s">
        <v>2254</v>
      </c>
      <c r="D3127" s="5" t="s">
        <v>2308</v>
      </c>
      <c r="E3127" s="5" t="s">
        <v>2225</v>
      </c>
      <c r="F3127" s="5" t="s">
        <v>54</v>
      </c>
      <c r="G3127" s="5" t="str">
        <f aca="false">INDEX(Risk_Matrix!$B$2:$D$4,MATCH(E3127,Risk_Matrix!$A$2:$A$4,0),MATCH(F3127,Risk_Matrix!$B$1:$D$1,0))</f>
        <v>High</v>
      </c>
      <c r="H3127" s="12" t="n">
        <v>46067</v>
      </c>
      <c r="I3127" s="5" t="s">
        <v>2256</v>
      </c>
      <c r="J3127" s="5" t="s">
        <v>4081</v>
      </c>
      <c r="K3127" s="5" t="s">
        <v>2283</v>
      </c>
      <c r="L3127" s="5" t="n">
        <f aca="false">IF(G3127="High",3,IF(G3127="Medium",2,1))</f>
        <v>3</v>
      </c>
    </row>
    <row r="3128" customFormat="false" ht="15" hidden="false" customHeight="true" outlineLevel="0" collapsed="false">
      <c r="A3128" s="5" t="s">
        <v>5406</v>
      </c>
      <c r="B3128" s="5" t="s">
        <v>2036</v>
      </c>
      <c r="C3128" s="5" t="s">
        <v>2239</v>
      </c>
      <c r="D3128" s="5" t="s">
        <v>2303</v>
      </c>
      <c r="E3128" s="5" t="s">
        <v>2225</v>
      </c>
      <c r="F3128" s="5" t="s">
        <v>59</v>
      </c>
      <c r="G3128" s="5" t="str">
        <f aca="false">INDEX(Risk_Matrix!$B$2:$D$4,MATCH(E3128,Risk_Matrix!$A$2:$A$4,0),MATCH(F3128,Risk_Matrix!$B$1:$D$1,0))</f>
        <v>Low</v>
      </c>
      <c r="H3128" s="12" t="n">
        <v>46097</v>
      </c>
      <c r="I3128" s="5" t="s">
        <v>2250</v>
      </c>
      <c r="J3128" s="5" t="s">
        <v>2251</v>
      </c>
      <c r="K3128" s="5" t="s">
        <v>2276</v>
      </c>
      <c r="L3128" s="5" t="n">
        <f aca="false">IF(G3128="High",3,IF(G3128="Medium",2,1))</f>
        <v>1</v>
      </c>
    </row>
    <row r="3129" customFormat="false" ht="15" hidden="false" customHeight="true" outlineLevel="0" collapsed="false">
      <c r="A3129" s="5" t="s">
        <v>5407</v>
      </c>
      <c r="B3129" s="5" t="s">
        <v>2036</v>
      </c>
      <c r="C3129" s="5" t="s">
        <v>2245</v>
      </c>
      <c r="D3129" s="5" t="s">
        <v>2246</v>
      </c>
      <c r="E3129" s="5" t="s">
        <v>54</v>
      </c>
      <c r="F3129" s="5" t="s">
        <v>54</v>
      </c>
      <c r="G3129" s="5" t="str">
        <f aca="false">INDEX(Risk_Matrix!$B$2:$D$4,MATCH(E3129,Risk_Matrix!$A$2:$A$4,0),MATCH(F3129,Risk_Matrix!$B$1:$D$1,0))</f>
        <v>High</v>
      </c>
      <c r="H3129" s="12" t="n">
        <v>46068</v>
      </c>
      <c r="I3129" s="5" t="s">
        <v>2256</v>
      </c>
      <c r="J3129" s="5" t="s">
        <v>4081</v>
      </c>
      <c r="K3129" s="5" t="s">
        <v>2252</v>
      </c>
      <c r="L3129" s="5" t="n">
        <f aca="false">IF(G3129="High",3,IF(G3129="Medium",2,1))</f>
        <v>3</v>
      </c>
    </row>
    <row r="3130" customFormat="false" ht="15" hidden="false" customHeight="true" outlineLevel="0" collapsed="false">
      <c r="A3130" s="5" t="s">
        <v>5408</v>
      </c>
      <c r="B3130" s="5" t="s">
        <v>2036</v>
      </c>
      <c r="C3130" s="5" t="s">
        <v>2248</v>
      </c>
      <c r="D3130" s="5" t="s">
        <v>2322</v>
      </c>
      <c r="E3130" s="5" t="s">
        <v>2225</v>
      </c>
      <c r="F3130" s="5" t="s">
        <v>59</v>
      </c>
      <c r="G3130" s="5" t="str">
        <f aca="false">INDEX(Risk_Matrix!$B$2:$D$4,MATCH(E3130,Risk_Matrix!$A$2:$A$4,0),MATCH(F3130,Risk_Matrix!$B$1:$D$1,0))</f>
        <v>Low</v>
      </c>
      <c r="H3130" s="12" t="n">
        <v>46110</v>
      </c>
      <c r="I3130" s="5" t="s">
        <v>2241</v>
      </c>
      <c r="J3130" s="5" t="s">
        <v>2242</v>
      </c>
      <c r="K3130" s="5" t="s">
        <v>2266</v>
      </c>
      <c r="L3130" s="5" t="n">
        <f aca="false">IF(G3130="High",3,IF(G3130="Medium",2,1))</f>
        <v>1</v>
      </c>
    </row>
    <row r="3131" customFormat="false" ht="15" hidden="false" customHeight="true" outlineLevel="0" collapsed="false">
      <c r="A3131" s="5" t="s">
        <v>5409</v>
      </c>
      <c r="B3131" s="5" t="s">
        <v>2036</v>
      </c>
      <c r="C3131" s="5" t="s">
        <v>2262</v>
      </c>
      <c r="D3131" s="5" t="s">
        <v>2263</v>
      </c>
      <c r="E3131" s="5" t="s">
        <v>2225</v>
      </c>
      <c r="F3131" s="5" t="s">
        <v>2225</v>
      </c>
      <c r="G3131" s="5" t="str">
        <f aca="false">INDEX(Risk_Matrix!$B$2:$D$4,MATCH(E3131,Risk_Matrix!$A$2:$A$4,0),MATCH(F3131,Risk_Matrix!$B$1:$D$1,0))</f>
        <v>Medium</v>
      </c>
      <c r="H3131" s="12" t="n">
        <v>46211</v>
      </c>
      <c r="I3131" s="5" t="s">
        <v>2264</v>
      </c>
      <c r="J3131" s="5" t="s">
        <v>4087</v>
      </c>
      <c r="K3131" s="5" t="s">
        <v>2252</v>
      </c>
      <c r="L3131" s="5" t="n">
        <f aca="false">IF(G3131="High",3,IF(G3131="Medium",2,1))</f>
        <v>2</v>
      </c>
    </row>
    <row r="3132" customFormat="false" ht="15" hidden="false" customHeight="true" outlineLevel="0" collapsed="false">
      <c r="A3132" s="5" t="s">
        <v>5410</v>
      </c>
      <c r="B3132" s="5" t="s">
        <v>2036</v>
      </c>
      <c r="C3132" s="5" t="s">
        <v>2259</v>
      </c>
      <c r="D3132" s="5" t="s">
        <v>2274</v>
      </c>
      <c r="E3132" s="5" t="s">
        <v>54</v>
      </c>
      <c r="F3132" s="5" t="s">
        <v>59</v>
      </c>
      <c r="G3132" s="5" t="str">
        <f aca="false">INDEX(Risk_Matrix!$B$2:$D$4,MATCH(E3132,Risk_Matrix!$A$2:$A$4,0),MATCH(F3132,Risk_Matrix!$B$1:$D$1,0))</f>
        <v>Medium</v>
      </c>
      <c r="H3132" s="12" t="n">
        <v>46128</v>
      </c>
      <c r="I3132" s="5" t="s">
        <v>2256</v>
      </c>
      <c r="J3132" s="5" t="s">
        <v>4081</v>
      </c>
      <c r="K3132" s="5" t="s">
        <v>2252</v>
      </c>
      <c r="L3132" s="5" t="n">
        <f aca="false">IF(G3132="High",3,IF(G3132="Medium",2,1))</f>
        <v>2</v>
      </c>
    </row>
    <row r="3133" customFormat="false" ht="15" hidden="false" customHeight="true" outlineLevel="0" collapsed="false">
      <c r="A3133" s="5" t="s">
        <v>5411</v>
      </c>
      <c r="B3133" s="5" t="s">
        <v>2036</v>
      </c>
      <c r="C3133" s="5" t="s">
        <v>2254</v>
      </c>
      <c r="D3133" s="5" t="s">
        <v>2308</v>
      </c>
      <c r="E3133" s="5" t="s">
        <v>2225</v>
      </c>
      <c r="F3133" s="5" t="s">
        <v>54</v>
      </c>
      <c r="G3133" s="5" t="str">
        <f aca="false">INDEX(Risk_Matrix!$B$2:$D$4,MATCH(E3133,Risk_Matrix!$A$2:$A$4,0),MATCH(F3133,Risk_Matrix!$B$1:$D$1,0))</f>
        <v>High</v>
      </c>
      <c r="H3133" s="12" t="n">
        <v>46109</v>
      </c>
      <c r="I3133" s="5" t="s">
        <v>2241</v>
      </c>
      <c r="J3133" s="5" t="s">
        <v>2242</v>
      </c>
      <c r="K3133" s="5" t="s">
        <v>2252</v>
      </c>
      <c r="L3133" s="5" t="n">
        <f aca="false">IF(G3133="High",3,IF(G3133="Medium",2,1))</f>
        <v>3</v>
      </c>
    </row>
    <row r="3134" customFormat="false" ht="15" hidden="false" customHeight="true" outlineLevel="0" collapsed="false">
      <c r="A3134" s="5" t="s">
        <v>5412</v>
      </c>
      <c r="B3134" s="5" t="s">
        <v>2038</v>
      </c>
      <c r="C3134" s="5" t="s">
        <v>2239</v>
      </c>
      <c r="D3134" s="5" t="s">
        <v>2240</v>
      </c>
      <c r="E3134" s="5" t="s">
        <v>54</v>
      </c>
      <c r="F3134" s="5" t="s">
        <v>59</v>
      </c>
      <c r="G3134" s="5" t="str">
        <f aca="false">INDEX(Risk_Matrix!$B$2:$D$4,MATCH(E3134,Risk_Matrix!$A$2:$A$4,0),MATCH(F3134,Risk_Matrix!$B$1:$D$1,0))</f>
        <v>Medium</v>
      </c>
      <c r="H3134" s="12" t="n">
        <v>46043</v>
      </c>
      <c r="I3134" s="5" t="s">
        <v>2264</v>
      </c>
      <c r="J3134" s="5" t="s">
        <v>4087</v>
      </c>
      <c r="K3134" s="5" t="s">
        <v>2276</v>
      </c>
      <c r="L3134" s="5" t="n">
        <f aca="false">IF(G3134="High",3,IF(G3134="Medium",2,1))</f>
        <v>2</v>
      </c>
    </row>
    <row r="3135" customFormat="false" ht="15" hidden="false" customHeight="true" outlineLevel="0" collapsed="false">
      <c r="A3135" s="5" t="s">
        <v>5413</v>
      </c>
      <c r="B3135" s="5" t="s">
        <v>2038</v>
      </c>
      <c r="C3135" s="5" t="s">
        <v>2245</v>
      </c>
      <c r="D3135" s="5" t="s">
        <v>2280</v>
      </c>
      <c r="E3135" s="5" t="s">
        <v>59</v>
      </c>
      <c r="F3135" s="5" t="s">
        <v>59</v>
      </c>
      <c r="G3135" s="5" t="str">
        <f aca="false">INDEX(Risk_Matrix!$B$2:$D$4,MATCH(E3135,Risk_Matrix!$A$2:$A$4,0),MATCH(F3135,Risk_Matrix!$B$1:$D$1,0))</f>
        <v>Low</v>
      </c>
      <c r="H3135" s="12" t="n">
        <v>46068</v>
      </c>
      <c r="I3135" s="5" t="s">
        <v>2241</v>
      </c>
      <c r="J3135" s="5" t="s">
        <v>2242</v>
      </c>
      <c r="K3135" s="5" t="s">
        <v>2283</v>
      </c>
      <c r="L3135" s="5" t="n">
        <f aca="false">IF(G3135="High",3,IF(G3135="Medium",2,1))</f>
        <v>1</v>
      </c>
    </row>
    <row r="3136" customFormat="false" ht="15" hidden="false" customHeight="true" outlineLevel="0" collapsed="false">
      <c r="A3136" s="5" t="s">
        <v>5414</v>
      </c>
      <c r="B3136" s="5" t="s">
        <v>2038</v>
      </c>
      <c r="C3136" s="5" t="s">
        <v>2248</v>
      </c>
      <c r="D3136" s="5" t="s">
        <v>2322</v>
      </c>
      <c r="E3136" s="5" t="s">
        <v>59</v>
      </c>
      <c r="F3136" s="5" t="s">
        <v>2225</v>
      </c>
      <c r="G3136" s="5" t="str">
        <f aca="false">INDEX(Risk_Matrix!$B$2:$D$4,MATCH(E3136,Risk_Matrix!$A$2:$A$4,0),MATCH(F3136,Risk_Matrix!$B$1:$D$1,0))</f>
        <v>Low</v>
      </c>
      <c r="H3136" s="12" t="n">
        <v>46047</v>
      </c>
      <c r="I3136" s="5" t="s">
        <v>2250</v>
      </c>
      <c r="J3136" s="5" t="s">
        <v>2251</v>
      </c>
      <c r="K3136" s="5" t="s">
        <v>2252</v>
      </c>
      <c r="L3136" s="5" t="n">
        <f aca="false">IF(G3136="High",3,IF(G3136="Medium",2,1))</f>
        <v>1</v>
      </c>
    </row>
    <row r="3137" customFormat="false" ht="15" hidden="false" customHeight="true" outlineLevel="0" collapsed="false">
      <c r="A3137" s="5" t="s">
        <v>5415</v>
      </c>
      <c r="B3137" s="5" t="s">
        <v>2038</v>
      </c>
      <c r="C3137" s="5" t="s">
        <v>2262</v>
      </c>
      <c r="D3137" s="5" t="s">
        <v>2287</v>
      </c>
      <c r="E3137" s="5" t="s">
        <v>2225</v>
      </c>
      <c r="F3137" s="5" t="s">
        <v>59</v>
      </c>
      <c r="G3137" s="5" t="str">
        <f aca="false">INDEX(Risk_Matrix!$B$2:$D$4,MATCH(E3137,Risk_Matrix!$A$2:$A$4,0),MATCH(F3137,Risk_Matrix!$B$1:$D$1,0))</f>
        <v>Low</v>
      </c>
      <c r="H3137" s="12" t="n">
        <v>46166</v>
      </c>
      <c r="I3137" s="5" t="s">
        <v>2256</v>
      </c>
      <c r="J3137" s="5" t="s">
        <v>4081</v>
      </c>
      <c r="K3137" s="5" t="s">
        <v>2276</v>
      </c>
      <c r="L3137" s="5" t="n">
        <f aca="false">IF(G3137="High",3,IF(G3137="Medium",2,1))</f>
        <v>1</v>
      </c>
    </row>
    <row r="3138" customFormat="false" ht="15" hidden="false" customHeight="true" outlineLevel="0" collapsed="false">
      <c r="A3138" s="5" t="s">
        <v>5416</v>
      </c>
      <c r="B3138" s="5" t="s">
        <v>2038</v>
      </c>
      <c r="C3138" s="5" t="s">
        <v>2259</v>
      </c>
      <c r="D3138" s="5" t="s">
        <v>2260</v>
      </c>
      <c r="E3138" s="5" t="s">
        <v>54</v>
      </c>
      <c r="F3138" s="5" t="s">
        <v>2225</v>
      </c>
      <c r="G3138" s="5" t="str">
        <f aca="false">INDEX(Risk_Matrix!$B$2:$D$4,MATCH(E3138,Risk_Matrix!$A$2:$A$4,0),MATCH(F3138,Risk_Matrix!$B$1:$D$1,0))</f>
        <v>High</v>
      </c>
      <c r="H3138" s="12" t="n">
        <v>46167</v>
      </c>
      <c r="I3138" s="5" t="s">
        <v>2256</v>
      </c>
      <c r="J3138" s="5" t="s">
        <v>4081</v>
      </c>
      <c r="K3138" s="5" t="s">
        <v>2243</v>
      </c>
      <c r="L3138" s="5" t="n">
        <f aca="false">IF(G3138="High",3,IF(G3138="Medium",2,1))</f>
        <v>3</v>
      </c>
    </row>
    <row r="3139" customFormat="false" ht="15" hidden="false" customHeight="true" outlineLevel="0" collapsed="false">
      <c r="A3139" s="5" t="s">
        <v>5417</v>
      </c>
      <c r="B3139" s="5" t="s">
        <v>2038</v>
      </c>
      <c r="C3139" s="5" t="s">
        <v>2254</v>
      </c>
      <c r="D3139" s="5" t="s">
        <v>2308</v>
      </c>
      <c r="E3139" s="5" t="s">
        <v>59</v>
      </c>
      <c r="F3139" s="5" t="s">
        <v>2225</v>
      </c>
      <c r="G3139" s="5" t="str">
        <f aca="false">INDEX(Risk_Matrix!$B$2:$D$4,MATCH(E3139,Risk_Matrix!$A$2:$A$4,0),MATCH(F3139,Risk_Matrix!$B$1:$D$1,0))</f>
        <v>Low</v>
      </c>
      <c r="H3139" s="12" t="n">
        <v>46222</v>
      </c>
      <c r="I3139" s="5" t="s">
        <v>2264</v>
      </c>
      <c r="J3139" s="5" t="s">
        <v>4087</v>
      </c>
      <c r="K3139" s="5" t="s">
        <v>2266</v>
      </c>
      <c r="L3139" s="5" t="n">
        <f aca="false">IF(G3139="High",3,IF(G3139="Medium",2,1))</f>
        <v>1</v>
      </c>
    </row>
    <row r="3140" customFormat="false" ht="15" hidden="false" customHeight="true" outlineLevel="0" collapsed="false">
      <c r="A3140" s="5" t="s">
        <v>5418</v>
      </c>
      <c r="B3140" s="5" t="s">
        <v>2040</v>
      </c>
      <c r="C3140" s="5" t="s">
        <v>2239</v>
      </c>
      <c r="D3140" s="5" t="s">
        <v>2295</v>
      </c>
      <c r="E3140" s="5" t="s">
        <v>59</v>
      </c>
      <c r="F3140" s="5" t="s">
        <v>59</v>
      </c>
      <c r="G3140" s="5" t="str">
        <f aca="false">INDEX(Risk_Matrix!$B$2:$D$4,MATCH(E3140,Risk_Matrix!$A$2:$A$4,0),MATCH(F3140,Risk_Matrix!$B$1:$D$1,0))</f>
        <v>Low</v>
      </c>
      <c r="H3140" s="12" t="n">
        <v>46033</v>
      </c>
      <c r="I3140" s="5" t="s">
        <v>2241</v>
      </c>
      <c r="J3140" s="5" t="s">
        <v>2242</v>
      </c>
      <c r="K3140" s="5" t="s">
        <v>2283</v>
      </c>
      <c r="L3140" s="5" t="n">
        <f aca="false">IF(G3140="High",3,IF(G3140="Medium",2,1))</f>
        <v>1</v>
      </c>
    </row>
    <row r="3141" customFormat="false" ht="15" hidden="false" customHeight="true" outlineLevel="0" collapsed="false">
      <c r="A3141" s="5" t="s">
        <v>5419</v>
      </c>
      <c r="B3141" s="5" t="s">
        <v>2040</v>
      </c>
      <c r="C3141" s="5" t="s">
        <v>2245</v>
      </c>
      <c r="D3141" s="5" t="s">
        <v>2280</v>
      </c>
      <c r="E3141" s="5" t="s">
        <v>54</v>
      </c>
      <c r="F3141" s="5" t="s">
        <v>54</v>
      </c>
      <c r="G3141" s="5" t="str">
        <f aca="false">INDEX(Risk_Matrix!$B$2:$D$4,MATCH(E3141,Risk_Matrix!$A$2:$A$4,0),MATCH(F3141,Risk_Matrix!$B$1:$D$1,0))</f>
        <v>High</v>
      </c>
      <c r="H3141" s="12" t="n">
        <v>46037</v>
      </c>
      <c r="I3141" s="5" t="s">
        <v>2264</v>
      </c>
      <c r="J3141" s="5" t="s">
        <v>4087</v>
      </c>
      <c r="K3141" s="5" t="s">
        <v>2276</v>
      </c>
      <c r="L3141" s="5" t="n">
        <f aca="false">IF(G3141="High",3,IF(G3141="Medium",2,1))</f>
        <v>3</v>
      </c>
    </row>
    <row r="3142" customFormat="false" ht="15" hidden="false" customHeight="true" outlineLevel="0" collapsed="false">
      <c r="A3142" s="5" t="s">
        <v>5420</v>
      </c>
      <c r="B3142" s="5" t="s">
        <v>2040</v>
      </c>
      <c r="C3142" s="5" t="s">
        <v>2248</v>
      </c>
      <c r="D3142" s="5" t="s">
        <v>2271</v>
      </c>
      <c r="E3142" s="5" t="s">
        <v>59</v>
      </c>
      <c r="F3142" s="5" t="s">
        <v>59</v>
      </c>
      <c r="G3142" s="5" t="str">
        <f aca="false">INDEX(Risk_Matrix!$B$2:$D$4,MATCH(E3142,Risk_Matrix!$A$2:$A$4,0),MATCH(F3142,Risk_Matrix!$B$1:$D$1,0))</f>
        <v>Low</v>
      </c>
      <c r="H3142" s="12" t="n">
        <v>46155</v>
      </c>
      <c r="I3142" s="5" t="s">
        <v>2264</v>
      </c>
      <c r="J3142" s="5" t="s">
        <v>4087</v>
      </c>
      <c r="K3142" s="5" t="s">
        <v>2243</v>
      </c>
      <c r="L3142" s="5" t="n">
        <f aca="false">IF(G3142="High",3,IF(G3142="Medium",2,1))</f>
        <v>1</v>
      </c>
    </row>
    <row r="3143" customFormat="false" ht="15" hidden="false" customHeight="true" outlineLevel="0" collapsed="false">
      <c r="A3143" s="5" t="s">
        <v>5421</v>
      </c>
      <c r="B3143" s="5" t="s">
        <v>2040</v>
      </c>
      <c r="C3143" s="5" t="s">
        <v>2262</v>
      </c>
      <c r="D3143" s="5" t="s">
        <v>2287</v>
      </c>
      <c r="E3143" s="5" t="s">
        <v>2225</v>
      </c>
      <c r="F3143" s="5" t="s">
        <v>2225</v>
      </c>
      <c r="G3143" s="5" t="str">
        <f aca="false">INDEX(Risk_Matrix!$B$2:$D$4,MATCH(E3143,Risk_Matrix!$A$2:$A$4,0),MATCH(F3143,Risk_Matrix!$B$1:$D$1,0))</f>
        <v>Medium</v>
      </c>
      <c r="H3143" s="12" t="n">
        <v>46157</v>
      </c>
      <c r="I3143" s="5" t="s">
        <v>2256</v>
      </c>
      <c r="J3143" s="5" t="s">
        <v>4081</v>
      </c>
      <c r="K3143" s="5" t="s">
        <v>2266</v>
      </c>
      <c r="L3143" s="5" t="n">
        <f aca="false">IF(G3143="High",3,IF(G3143="Medium",2,1))</f>
        <v>2</v>
      </c>
    </row>
    <row r="3144" customFormat="false" ht="15" hidden="false" customHeight="true" outlineLevel="0" collapsed="false">
      <c r="A3144" s="5" t="s">
        <v>5422</v>
      </c>
      <c r="B3144" s="5" t="s">
        <v>2040</v>
      </c>
      <c r="C3144" s="5" t="s">
        <v>2259</v>
      </c>
      <c r="D3144" s="5" t="s">
        <v>2274</v>
      </c>
      <c r="E3144" s="5" t="s">
        <v>2225</v>
      </c>
      <c r="F3144" s="5" t="s">
        <v>59</v>
      </c>
      <c r="G3144" s="5" t="str">
        <f aca="false">INDEX(Risk_Matrix!$B$2:$D$4,MATCH(E3144,Risk_Matrix!$A$2:$A$4,0),MATCH(F3144,Risk_Matrix!$B$1:$D$1,0))</f>
        <v>Low</v>
      </c>
      <c r="H3144" s="12" t="n">
        <v>46044</v>
      </c>
      <c r="I3144" s="5" t="s">
        <v>2256</v>
      </c>
      <c r="J3144" s="5" t="s">
        <v>4081</v>
      </c>
      <c r="K3144" s="5" t="s">
        <v>2283</v>
      </c>
      <c r="L3144" s="5" t="n">
        <f aca="false">IF(G3144="High",3,IF(G3144="Medium",2,1))</f>
        <v>1</v>
      </c>
    </row>
    <row r="3145" customFormat="false" ht="15" hidden="false" customHeight="true" outlineLevel="0" collapsed="false">
      <c r="A3145" s="5" t="s">
        <v>5423</v>
      </c>
      <c r="B3145" s="5" t="s">
        <v>2040</v>
      </c>
      <c r="C3145" s="5" t="s">
        <v>2254</v>
      </c>
      <c r="D3145" s="5" t="s">
        <v>2308</v>
      </c>
      <c r="E3145" s="5" t="s">
        <v>59</v>
      </c>
      <c r="F3145" s="5" t="s">
        <v>54</v>
      </c>
      <c r="G3145" s="5" t="str">
        <f aca="false">INDEX(Risk_Matrix!$B$2:$D$4,MATCH(E3145,Risk_Matrix!$A$2:$A$4,0),MATCH(F3145,Risk_Matrix!$B$1:$D$1,0))</f>
        <v>Medium</v>
      </c>
      <c r="H3145" s="12" t="n">
        <v>46085</v>
      </c>
      <c r="I3145" s="5" t="s">
        <v>2241</v>
      </c>
      <c r="J3145" s="5" t="s">
        <v>2242</v>
      </c>
      <c r="K3145" s="5" t="s">
        <v>2243</v>
      </c>
      <c r="L3145" s="5" t="n">
        <f aca="false">IF(G3145="High",3,IF(G3145="Medium",2,1))</f>
        <v>2</v>
      </c>
    </row>
    <row r="3146" customFormat="false" ht="15" hidden="false" customHeight="true" outlineLevel="0" collapsed="false">
      <c r="A3146" s="5" t="s">
        <v>5424</v>
      </c>
      <c r="B3146" s="5" t="s">
        <v>2042</v>
      </c>
      <c r="C3146" s="5" t="s">
        <v>2239</v>
      </c>
      <c r="D3146" s="5" t="s">
        <v>2303</v>
      </c>
      <c r="E3146" s="5" t="s">
        <v>59</v>
      </c>
      <c r="F3146" s="5" t="s">
        <v>2225</v>
      </c>
      <c r="G3146" s="5" t="str">
        <f aca="false">INDEX(Risk_Matrix!$B$2:$D$4,MATCH(E3146,Risk_Matrix!$A$2:$A$4,0),MATCH(F3146,Risk_Matrix!$B$1:$D$1,0))</f>
        <v>Low</v>
      </c>
      <c r="H3146" s="12" t="n">
        <v>46121</v>
      </c>
      <c r="I3146" s="5" t="s">
        <v>2241</v>
      </c>
      <c r="J3146" s="5" t="s">
        <v>2242</v>
      </c>
      <c r="K3146" s="5" t="s">
        <v>2283</v>
      </c>
      <c r="L3146" s="5" t="n">
        <f aca="false">IF(G3146="High",3,IF(G3146="Medium",2,1))</f>
        <v>1</v>
      </c>
    </row>
    <row r="3147" customFormat="false" ht="15" hidden="false" customHeight="true" outlineLevel="0" collapsed="false">
      <c r="A3147" s="5" t="s">
        <v>5425</v>
      </c>
      <c r="B3147" s="5" t="s">
        <v>2042</v>
      </c>
      <c r="C3147" s="5" t="s">
        <v>2245</v>
      </c>
      <c r="D3147" s="5" t="s">
        <v>2246</v>
      </c>
      <c r="E3147" s="5" t="s">
        <v>2225</v>
      </c>
      <c r="F3147" s="5" t="s">
        <v>59</v>
      </c>
      <c r="G3147" s="5" t="str">
        <f aca="false">INDEX(Risk_Matrix!$B$2:$D$4,MATCH(E3147,Risk_Matrix!$A$2:$A$4,0),MATCH(F3147,Risk_Matrix!$B$1:$D$1,0))</f>
        <v>Low</v>
      </c>
      <c r="H3147" s="12" t="n">
        <v>46028</v>
      </c>
      <c r="I3147" s="5" t="s">
        <v>2264</v>
      </c>
      <c r="J3147" s="5" t="s">
        <v>4087</v>
      </c>
      <c r="K3147" s="5" t="s">
        <v>2283</v>
      </c>
      <c r="L3147" s="5" t="n">
        <f aca="false">IF(G3147="High",3,IF(G3147="Medium",2,1))</f>
        <v>1</v>
      </c>
    </row>
    <row r="3148" customFormat="false" ht="15" hidden="false" customHeight="true" outlineLevel="0" collapsed="false">
      <c r="A3148" s="5" t="s">
        <v>5426</v>
      </c>
      <c r="B3148" s="5" t="s">
        <v>2042</v>
      </c>
      <c r="C3148" s="5" t="s">
        <v>2248</v>
      </c>
      <c r="D3148" s="5" t="s">
        <v>2306</v>
      </c>
      <c r="E3148" s="5" t="s">
        <v>2225</v>
      </c>
      <c r="F3148" s="5" t="s">
        <v>54</v>
      </c>
      <c r="G3148" s="5" t="str">
        <f aca="false">INDEX(Risk_Matrix!$B$2:$D$4,MATCH(E3148,Risk_Matrix!$A$2:$A$4,0),MATCH(F3148,Risk_Matrix!$B$1:$D$1,0))</f>
        <v>High</v>
      </c>
      <c r="H3148" s="12" t="n">
        <v>46126</v>
      </c>
      <c r="I3148" s="5" t="s">
        <v>2250</v>
      </c>
      <c r="J3148" s="5" t="s">
        <v>2251</v>
      </c>
      <c r="K3148" s="5" t="s">
        <v>2283</v>
      </c>
      <c r="L3148" s="5" t="n">
        <f aca="false">IF(G3148="High",3,IF(G3148="Medium",2,1))</f>
        <v>3</v>
      </c>
    </row>
    <row r="3149" customFormat="false" ht="15" hidden="false" customHeight="true" outlineLevel="0" collapsed="false">
      <c r="A3149" s="5" t="s">
        <v>5427</v>
      </c>
      <c r="B3149" s="5" t="s">
        <v>2042</v>
      </c>
      <c r="C3149" s="5" t="s">
        <v>2262</v>
      </c>
      <c r="D3149" s="5" t="s">
        <v>2311</v>
      </c>
      <c r="E3149" s="5" t="s">
        <v>59</v>
      </c>
      <c r="F3149" s="5" t="s">
        <v>54</v>
      </c>
      <c r="G3149" s="5" t="str">
        <f aca="false">INDEX(Risk_Matrix!$B$2:$D$4,MATCH(E3149,Risk_Matrix!$A$2:$A$4,0),MATCH(F3149,Risk_Matrix!$B$1:$D$1,0))</f>
        <v>Medium</v>
      </c>
      <c r="H3149" s="12" t="n">
        <v>46077</v>
      </c>
      <c r="I3149" s="5" t="s">
        <v>2250</v>
      </c>
      <c r="J3149" s="5" t="s">
        <v>2251</v>
      </c>
      <c r="K3149" s="5" t="s">
        <v>2252</v>
      </c>
      <c r="L3149" s="5" t="n">
        <f aca="false">IF(G3149="High",3,IF(G3149="Medium",2,1))</f>
        <v>2</v>
      </c>
    </row>
    <row r="3150" customFormat="false" ht="15" hidden="false" customHeight="true" outlineLevel="0" collapsed="false">
      <c r="A3150" s="5" t="s">
        <v>5428</v>
      </c>
      <c r="B3150" s="5" t="s">
        <v>2042</v>
      </c>
      <c r="C3150" s="5" t="s">
        <v>2259</v>
      </c>
      <c r="D3150" s="5" t="s">
        <v>2274</v>
      </c>
      <c r="E3150" s="5" t="s">
        <v>2225</v>
      </c>
      <c r="F3150" s="5" t="s">
        <v>2225</v>
      </c>
      <c r="G3150" s="5" t="str">
        <f aca="false">INDEX(Risk_Matrix!$B$2:$D$4,MATCH(E3150,Risk_Matrix!$A$2:$A$4,0),MATCH(F3150,Risk_Matrix!$B$1:$D$1,0))</f>
        <v>Medium</v>
      </c>
      <c r="H3150" s="12" t="n">
        <v>46142</v>
      </c>
      <c r="I3150" s="5" t="s">
        <v>2241</v>
      </c>
      <c r="J3150" s="5" t="s">
        <v>2242</v>
      </c>
      <c r="K3150" s="5" t="s">
        <v>2252</v>
      </c>
      <c r="L3150" s="5" t="n">
        <f aca="false">IF(G3150="High",3,IF(G3150="Medium",2,1))</f>
        <v>2</v>
      </c>
    </row>
    <row r="3151" customFormat="false" ht="15" hidden="false" customHeight="true" outlineLevel="0" collapsed="false">
      <c r="A3151" s="5" t="s">
        <v>5429</v>
      </c>
      <c r="B3151" s="5" t="s">
        <v>2042</v>
      </c>
      <c r="C3151" s="5" t="s">
        <v>2254</v>
      </c>
      <c r="D3151" s="5" t="s">
        <v>2308</v>
      </c>
      <c r="E3151" s="5" t="s">
        <v>2225</v>
      </c>
      <c r="F3151" s="5" t="s">
        <v>54</v>
      </c>
      <c r="G3151" s="5" t="str">
        <f aca="false">INDEX(Risk_Matrix!$B$2:$D$4,MATCH(E3151,Risk_Matrix!$A$2:$A$4,0),MATCH(F3151,Risk_Matrix!$B$1:$D$1,0))</f>
        <v>High</v>
      </c>
      <c r="H3151" s="12" t="n">
        <v>46074</v>
      </c>
      <c r="I3151" s="5" t="s">
        <v>2256</v>
      </c>
      <c r="J3151" s="5" t="s">
        <v>4081</v>
      </c>
      <c r="K3151" s="5" t="s">
        <v>2243</v>
      </c>
      <c r="L3151" s="5" t="n">
        <f aca="false">IF(G3151="High",3,IF(G3151="Medium",2,1))</f>
        <v>3</v>
      </c>
    </row>
    <row r="3152" customFormat="false" ht="15" hidden="false" customHeight="true" outlineLevel="0" collapsed="false">
      <c r="A3152" s="5" t="s">
        <v>5430</v>
      </c>
      <c r="B3152" s="5" t="s">
        <v>2044</v>
      </c>
      <c r="C3152" s="5" t="s">
        <v>2239</v>
      </c>
      <c r="D3152" s="5" t="s">
        <v>2240</v>
      </c>
      <c r="E3152" s="5" t="s">
        <v>59</v>
      </c>
      <c r="F3152" s="5" t="s">
        <v>2225</v>
      </c>
      <c r="G3152" s="5" t="str">
        <f aca="false">INDEX(Risk_Matrix!$B$2:$D$4,MATCH(E3152,Risk_Matrix!$A$2:$A$4,0),MATCH(F3152,Risk_Matrix!$B$1:$D$1,0))</f>
        <v>Low</v>
      </c>
      <c r="H3152" s="12" t="n">
        <v>46078</v>
      </c>
      <c r="I3152" s="5" t="s">
        <v>2241</v>
      </c>
      <c r="J3152" s="5" t="s">
        <v>2242</v>
      </c>
      <c r="K3152" s="5" t="s">
        <v>2243</v>
      </c>
      <c r="L3152" s="5" t="n">
        <f aca="false">IF(G3152="High",3,IF(G3152="Medium",2,1))</f>
        <v>1</v>
      </c>
    </row>
    <row r="3153" customFormat="false" ht="15" hidden="false" customHeight="true" outlineLevel="0" collapsed="false">
      <c r="A3153" s="5" t="s">
        <v>5431</v>
      </c>
      <c r="B3153" s="5" t="s">
        <v>2044</v>
      </c>
      <c r="C3153" s="5" t="s">
        <v>2245</v>
      </c>
      <c r="D3153" s="5" t="s">
        <v>2320</v>
      </c>
      <c r="E3153" s="5" t="s">
        <v>54</v>
      </c>
      <c r="F3153" s="5" t="s">
        <v>54</v>
      </c>
      <c r="G3153" s="5" t="str">
        <f aca="false">INDEX(Risk_Matrix!$B$2:$D$4,MATCH(E3153,Risk_Matrix!$A$2:$A$4,0),MATCH(F3153,Risk_Matrix!$B$1:$D$1,0))</f>
        <v>High</v>
      </c>
      <c r="H3153" s="12" t="n">
        <v>46236</v>
      </c>
      <c r="I3153" s="5" t="s">
        <v>2264</v>
      </c>
      <c r="J3153" s="5" t="s">
        <v>4087</v>
      </c>
      <c r="K3153" s="5" t="s">
        <v>2283</v>
      </c>
      <c r="L3153" s="5" t="n">
        <f aca="false">IF(G3153="High",3,IF(G3153="Medium",2,1))</f>
        <v>3</v>
      </c>
    </row>
    <row r="3154" customFormat="false" ht="15" hidden="false" customHeight="true" outlineLevel="0" collapsed="false">
      <c r="A3154" s="5" t="s">
        <v>5432</v>
      </c>
      <c r="B3154" s="5" t="s">
        <v>2044</v>
      </c>
      <c r="C3154" s="5" t="s">
        <v>2248</v>
      </c>
      <c r="D3154" s="5" t="s">
        <v>2306</v>
      </c>
      <c r="E3154" s="5" t="s">
        <v>2225</v>
      </c>
      <c r="F3154" s="5" t="s">
        <v>2225</v>
      </c>
      <c r="G3154" s="5" t="str">
        <f aca="false">INDEX(Risk_Matrix!$B$2:$D$4,MATCH(E3154,Risk_Matrix!$A$2:$A$4,0),MATCH(F3154,Risk_Matrix!$B$1:$D$1,0))</f>
        <v>Medium</v>
      </c>
      <c r="H3154" s="12" t="n">
        <v>46172</v>
      </c>
      <c r="I3154" s="5" t="s">
        <v>2241</v>
      </c>
      <c r="J3154" s="5" t="s">
        <v>2242</v>
      </c>
      <c r="K3154" s="5" t="s">
        <v>2243</v>
      </c>
      <c r="L3154" s="5" t="n">
        <f aca="false">IF(G3154="High",3,IF(G3154="Medium",2,1))</f>
        <v>2</v>
      </c>
    </row>
    <row r="3155" customFormat="false" ht="15" hidden="false" customHeight="true" outlineLevel="0" collapsed="false">
      <c r="A3155" s="5" t="s">
        <v>5433</v>
      </c>
      <c r="B3155" s="5" t="s">
        <v>2044</v>
      </c>
      <c r="C3155" s="5" t="s">
        <v>2262</v>
      </c>
      <c r="D3155" s="5" t="s">
        <v>2287</v>
      </c>
      <c r="E3155" s="5" t="s">
        <v>59</v>
      </c>
      <c r="F3155" s="5" t="s">
        <v>54</v>
      </c>
      <c r="G3155" s="5" t="str">
        <f aca="false">INDEX(Risk_Matrix!$B$2:$D$4,MATCH(E3155,Risk_Matrix!$A$2:$A$4,0),MATCH(F3155,Risk_Matrix!$B$1:$D$1,0))</f>
        <v>Medium</v>
      </c>
      <c r="H3155" s="12" t="n">
        <v>46030</v>
      </c>
      <c r="I3155" s="5" t="s">
        <v>2241</v>
      </c>
      <c r="J3155" s="5" t="s">
        <v>2242</v>
      </c>
      <c r="K3155" s="5" t="s">
        <v>2252</v>
      </c>
      <c r="L3155" s="5" t="n">
        <f aca="false">IF(G3155="High",3,IF(G3155="Medium",2,1))</f>
        <v>2</v>
      </c>
    </row>
    <row r="3156" customFormat="false" ht="15" hidden="false" customHeight="true" outlineLevel="0" collapsed="false">
      <c r="A3156" s="5" t="s">
        <v>5434</v>
      </c>
      <c r="B3156" s="5" t="s">
        <v>2044</v>
      </c>
      <c r="C3156" s="5" t="s">
        <v>2259</v>
      </c>
      <c r="D3156" s="5" t="s">
        <v>2260</v>
      </c>
      <c r="E3156" s="5" t="s">
        <v>59</v>
      </c>
      <c r="F3156" s="5" t="s">
        <v>2225</v>
      </c>
      <c r="G3156" s="5" t="str">
        <f aca="false">INDEX(Risk_Matrix!$B$2:$D$4,MATCH(E3156,Risk_Matrix!$A$2:$A$4,0),MATCH(F3156,Risk_Matrix!$B$1:$D$1,0))</f>
        <v>Low</v>
      </c>
      <c r="H3156" s="12" t="n">
        <v>46211</v>
      </c>
      <c r="I3156" s="5" t="s">
        <v>2264</v>
      </c>
      <c r="J3156" s="5" t="s">
        <v>4087</v>
      </c>
      <c r="K3156" s="5" t="s">
        <v>2276</v>
      </c>
      <c r="L3156" s="5" t="n">
        <f aca="false">IF(G3156="High",3,IF(G3156="Medium",2,1))</f>
        <v>1</v>
      </c>
    </row>
    <row r="3157" customFormat="false" ht="15" hidden="false" customHeight="true" outlineLevel="0" collapsed="false">
      <c r="A3157" s="5" t="s">
        <v>5435</v>
      </c>
      <c r="B3157" s="5" t="s">
        <v>2044</v>
      </c>
      <c r="C3157" s="5" t="s">
        <v>2254</v>
      </c>
      <c r="D3157" s="5" t="s">
        <v>2255</v>
      </c>
      <c r="E3157" s="5" t="s">
        <v>54</v>
      </c>
      <c r="F3157" s="5" t="s">
        <v>2225</v>
      </c>
      <c r="G3157" s="5" t="str">
        <f aca="false">INDEX(Risk_Matrix!$B$2:$D$4,MATCH(E3157,Risk_Matrix!$A$2:$A$4,0),MATCH(F3157,Risk_Matrix!$B$1:$D$1,0))</f>
        <v>High</v>
      </c>
      <c r="H3157" s="12" t="n">
        <v>46181</v>
      </c>
      <c r="I3157" s="5" t="s">
        <v>2256</v>
      </c>
      <c r="J3157" s="5" t="s">
        <v>4081</v>
      </c>
      <c r="K3157" s="5" t="s">
        <v>2276</v>
      </c>
      <c r="L3157" s="5" t="n">
        <f aca="false">IF(G3157="High",3,IF(G3157="Medium",2,1))</f>
        <v>3</v>
      </c>
    </row>
    <row r="3158" customFormat="false" ht="15" hidden="false" customHeight="true" outlineLevel="0" collapsed="false">
      <c r="A3158" s="5" t="s">
        <v>5436</v>
      </c>
      <c r="B3158" s="5" t="s">
        <v>2046</v>
      </c>
      <c r="C3158" s="5" t="s">
        <v>2239</v>
      </c>
      <c r="D3158" s="5" t="s">
        <v>2278</v>
      </c>
      <c r="E3158" s="5" t="s">
        <v>2225</v>
      </c>
      <c r="F3158" s="5" t="s">
        <v>2225</v>
      </c>
      <c r="G3158" s="5" t="str">
        <f aca="false">INDEX(Risk_Matrix!$B$2:$D$4,MATCH(E3158,Risk_Matrix!$A$2:$A$4,0),MATCH(F3158,Risk_Matrix!$B$1:$D$1,0))</f>
        <v>Medium</v>
      </c>
      <c r="H3158" s="12" t="n">
        <v>46046</v>
      </c>
      <c r="I3158" s="5" t="s">
        <v>2250</v>
      </c>
      <c r="J3158" s="5" t="s">
        <v>2251</v>
      </c>
      <c r="K3158" s="5" t="s">
        <v>2243</v>
      </c>
      <c r="L3158" s="5" t="n">
        <f aca="false">IF(G3158="High",3,IF(G3158="Medium",2,1))</f>
        <v>2</v>
      </c>
    </row>
    <row r="3159" customFormat="false" ht="15" hidden="false" customHeight="true" outlineLevel="0" collapsed="false">
      <c r="A3159" s="5" t="s">
        <v>5437</v>
      </c>
      <c r="B3159" s="5" t="s">
        <v>2046</v>
      </c>
      <c r="C3159" s="5" t="s">
        <v>2245</v>
      </c>
      <c r="D3159" s="5" t="s">
        <v>2280</v>
      </c>
      <c r="E3159" s="5" t="s">
        <v>59</v>
      </c>
      <c r="F3159" s="5" t="s">
        <v>59</v>
      </c>
      <c r="G3159" s="5" t="str">
        <f aca="false">INDEX(Risk_Matrix!$B$2:$D$4,MATCH(E3159,Risk_Matrix!$A$2:$A$4,0),MATCH(F3159,Risk_Matrix!$B$1:$D$1,0))</f>
        <v>Low</v>
      </c>
      <c r="H3159" s="12" t="n">
        <v>46097</v>
      </c>
      <c r="I3159" s="5" t="s">
        <v>2241</v>
      </c>
      <c r="J3159" s="5" t="s">
        <v>2242</v>
      </c>
      <c r="K3159" s="5" t="s">
        <v>2266</v>
      </c>
      <c r="L3159" s="5" t="n">
        <f aca="false">IF(G3159="High",3,IF(G3159="Medium",2,1))</f>
        <v>1</v>
      </c>
    </row>
    <row r="3160" customFormat="false" ht="15" hidden="false" customHeight="true" outlineLevel="0" collapsed="false">
      <c r="A3160" s="5" t="s">
        <v>5438</v>
      </c>
      <c r="B3160" s="5" t="s">
        <v>2046</v>
      </c>
      <c r="C3160" s="5" t="s">
        <v>2248</v>
      </c>
      <c r="D3160" s="5" t="s">
        <v>2271</v>
      </c>
      <c r="E3160" s="5" t="s">
        <v>2225</v>
      </c>
      <c r="F3160" s="5" t="s">
        <v>2225</v>
      </c>
      <c r="G3160" s="5" t="str">
        <f aca="false">INDEX(Risk_Matrix!$B$2:$D$4,MATCH(E3160,Risk_Matrix!$A$2:$A$4,0),MATCH(F3160,Risk_Matrix!$B$1:$D$1,0))</f>
        <v>Medium</v>
      </c>
      <c r="H3160" s="12" t="n">
        <v>46067</v>
      </c>
      <c r="I3160" s="5" t="s">
        <v>2256</v>
      </c>
      <c r="J3160" s="5" t="s">
        <v>4081</v>
      </c>
      <c r="K3160" s="5" t="s">
        <v>2283</v>
      </c>
      <c r="L3160" s="5" t="n">
        <f aca="false">IF(G3160="High",3,IF(G3160="Medium",2,1))</f>
        <v>2</v>
      </c>
    </row>
    <row r="3161" customFormat="false" ht="15" hidden="false" customHeight="true" outlineLevel="0" collapsed="false">
      <c r="A3161" s="5" t="s">
        <v>5439</v>
      </c>
      <c r="B3161" s="5" t="s">
        <v>2046</v>
      </c>
      <c r="C3161" s="5" t="s">
        <v>2262</v>
      </c>
      <c r="D3161" s="5" t="s">
        <v>2311</v>
      </c>
      <c r="E3161" s="5" t="s">
        <v>59</v>
      </c>
      <c r="F3161" s="5" t="s">
        <v>2225</v>
      </c>
      <c r="G3161" s="5" t="str">
        <f aca="false">INDEX(Risk_Matrix!$B$2:$D$4,MATCH(E3161,Risk_Matrix!$A$2:$A$4,0),MATCH(F3161,Risk_Matrix!$B$1:$D$1,0))</f>
        <v>Low</v>
      </c>
      <c r="H3161" s="12" t="n">
        <v>46135</v>
      </c>
      <c r="I3161" s="5" t="s">
        <v>2264</v>
      </c>
      <c r="J3161" s="5" t="s">
        <v>4087</v>
      </c>
      <c r="K3161" s="5" t="s">
        <v>2243</v>
      </c>
      <c r="L3161" s="5" t="n">
        <f aca="false">IF(G3161="High",3,IF(G3161="Medium",2,1))</f>
        <v>1</v>
      </c>
    </row>
    <row r="3162" customFormat="false" ht="15" hidden="false" customHeight="true" outlineLevel="0" collapsed="false">
      <c r="A3162" s="5" t="s">
        <v>5440</v>
      </c>
      <c r="B3162" s="5" t="s">
        <v>2046</v>
      </c>
      <c r="C3162" s="5" t="s">
        <v>2259</v>
      </c>
      <c r="D3162" s="5" t="s">
        <v>2285</v>
      </c>
      <c r="E3162" s="5" t="s">
        <v>2225</v>
      </c>
      <c r="F3162" s="5" t="s">
        <v>59</v>
      </c>
      <c r="G3162" s="5" t="str">
        <f aca="false">INDEX(Risk_Matrix!$B$2:$D$4,MATCH(E3162,Risk_Matrix!$A$2:$A$4,0),MATCH(F3162,Risk_Matrix!$B$1:$D$1,0))</f>
        <v>Low</v>
      </c>
      <c r="H3162" s="12" t="n">
        <v>46194</v>
      </c>
      <c r="I3162" s="5" t="s">
        <v>2250</v>
      </c>
      <c r="J3162" s="5" t="s">
        <v>2251</v>
      </c>
      <c r="K3162" s="5" t="s">
        <v>2276</v>
      </c>
      <c r="L3162" s="5" t="n">
        <f aca="false">IF(G3162="High",3,IF(G3162="Medium",2,1))</f>
        <v>1</v>
      </c>
    </row>
    <row r="3163" customFormat="false" ht="15" hidden="false" customHeight="true" outlineLevel="0" collapsed="false">
      <c r="A3163" s="5" t="s">
        <v>5441</v>
      </c>
      <c r="B3163" s="5" t="s">
        <v>2046</v>
      </c>
      <c r="C3163" s="5" t="s">
        <v>2254</v>
      </c>
      <c r="D3163" s="5" t="s">
        <v>2308</v>
      </c>
      <c r="E3163" s="5" t="s">
        <v>2225</v>
      </c>
      <c r="F3163" s="5" t="s">
        <v>59</v>
      </c>
      <c r="G3163" s="5" t="str">
        <f aca="false">INDEX(Risk_Matrix!$B$2:$D$4,MATCH(E3163,Risk_Matrix!$A$2:$A$4,0),MATCH(F3163,Risk_Matrix!$B$1:$D$1,0))</f>
        <v>Low</v>
      </c>
      <c r="H3163" s="12" t="n">
        <v>46063</v>
      </c>
      <c r="I3163" s="5" t="s">
        <v>2241</v>
      </c>
      <c r="J3163" s="5" t="s">
        <v>2242</v>
      </c>
      <c r="K3163" s="5" t="s">
        <v>2252</v>
      </c>
      <c r="L3163" s="5" t="n">
        <f aca="false">IF(G3163="High",3,IF(G3163="Medium",2,1))</f>
        <v>1</v>
      </c>
    </row>
    <row r="3164" customFormat="false" ht="15" hidden="false" customHeight="true" outlineLevel="0" collapsed="false">
      <c r="A3164" s="5" t="s">
        <v>5442</v>
      </c>
      <c r="B3164" s="5" t="s">
        <v>2048</v>
      </c>
      <c r="C3164" s="5" t="s">
        <v>2239</v>
      </c>
      <c r="D3164" s="5" t="s">
        <v>2295</v>
      </c>
      <c r="E3164" s="5" t="s">
        <v>2225</v>
      </c>
      <c r="F3164" s="5" t="s">
        <v>59</v>
      </c>
      <c r="G3164" s="5" t="str">
        <f aca="false">INDEX(Risk_Matrix!$B$2:$D$4,MATCH(E3164,Risk_Matrix!$A$2:$A$4,0),MATCH(F3164,Risk_Matrix!$B$1:$D$1,0))</f>
        <v>Low</v>
      </c>
      <c r="H3164" s="12" t="n">
        <v>46148</v>
      </c>
      <c r="I3164" s="5" t="s">
        <v>2241</v>
      </c>
      <c r="J3164" s="5" t="s">
        <v>2242</v>
      </c>
      <c r="K3164" s="5" t="s">
        <v>2266</v>
      </c>
      <c r="L3164" s="5" t="n">
        <f aca="false">IF(G3164="High",3,IF(G3164="Medium",2,1))</f>
        <v>1</v>
      </c>
    </row>
    <row r="3165" customFormat="false" ht="15" hidden="false" customHeight="true" outlineLevel="0" collapsed="false">
      <c r="A3165" s="5" t="s">
        <v>5443</v>
      </c>
      <c r="B3165" s="5" t="s">
        <v>2048</v>
      </c>
      <c r="C3165" s="5" t="s">
        <v>2245</v>
      </c>
      <c r="D3165" s="5" t="s">
        <v>2246</v>
      </c>
      <c r="E3165" s="5" t="s">
        <v>59</v>
      </c>
      <c r="F3165" s="5" t="s">
        <v>59</v>
      </c>
      <c r="G3165" s="5" t="str">
        <f aca="false">INDEX(Risk_Matrix!$B$2:$D$4,MATCH(E3165,Risk_Matrix!$A$2:$A$4,0),MATCH(F3165,Risk_Matrix!$B$1:$D$1,0))</f>
        <v>Low</v>
      </c>
      <c r="H3165" s="12" t="n">
        <v>46143</v>
      </c>
      <c r="I3165" s="5" t="s">
        <v>2241</v>
      </c>
      <c r="J3165" s="5" t="s">
        <v>2242</v>
      </c>
      <c r="K3165" s="5" t="s">
        <v>2243</v>
      </c>
      <c r="L3165" s="5" t="n">
        <f aca="false">IF(G3165="High",3,IF(G3165="Medium",2,1))</f>
        <v>1</v>
      </c>
    </row>
    <row r="3166" customFormat="false" ht="15" hidden="false" customHeight="true" outlineLevel="0" collapsed="false">
      <c r="A3166" s="5" t="s">
        <v>5444</v>
      </c>
      <c r="B3166" s="5" t="s">
        <v>2048</v>
      </c>
      <c r="C3166" s="5" t="s">
        <v>2248</v>
      </c>
      <c r="D3166" s="5" t="s">
        <v>2306</v>
      </c>
      <c r="E3166" s="5" t="s">
        <v>2225</v>
      </c>
      <c r="F3166" s="5" t="s">
        <v>59</v>
      </c>
      <c r="G3166" s="5" t="str">
        <f aca="false">INDEX(Risk_Matrix!$B$2:$D$4,MATCH(E3166,Risk_Matrix!$A$2:$A$4,0),MATCH(F3166,Risk_Matrix!$B$1:$D$1,0))</f>
        <v>Low</v>
      </c>
      <c r="H3166" s="12" t="n">
        <v>46214</v>
      </c>
      <c r="I3166" s="5" t="s">
        <v>2256</v>
      </c>
      <c r="J3166" s="5" t="s">
        <v>4081</v>
      </c>
      <c r="K3166" s="5" t="s">
        <v>2266</v>
      </c>
      <c r="L3166" s="5" t="n">
        <f aca="false">IF(G3166="High",3,IF(G3166="Medium",2,1))</f>
        <v>1</v>
      </c>
    </row>
    <row r="3167" customFormat="false" ht="15" hidden="false" customHeight="true" outlineLevel="0" collapsed="false">
      <c r="A3167" s="5" t="s">
        <v>5445</v>
      </c>
      <c r="B3167" s="5" t="s">
        <v>2048</v>
      </c>
      <c r="C3167" s="5" t="s">
        <v>2262</v>
      </c>
      <c r="D3167" s="5" t="s">
        <v>2263</v>
      </c>
      <c r="E3167" s="5" t="s">
        <v>59</v>
      </c>
      <c r="F3167" s="5" t="s">
        <v>59</v>
      </c>
      <c r="G3167" s="5" t="str">
        <f aca="false">INDEX(Risk_Matrix!$B$2:$D$4,MATCH(E3167,Risk_Matrix!$A$2:$A$4,0),MATCH(F3167,Risk_Matrix!$B$1:$D$1,0))</f>
        <v>Low</v>
      </c>
      <c r="H3167" s="12" t="n">
        <v>46200</v>
      </c>
      <c r="I3167" s="5" t="s">
        <v>2241</v>
      </c>
      <c r="J3167" s="5" t="s">
        <v>2242</v>
      </c>
      <c r="K3167" s="5" t="s">
        <v>2276</v>
      </c>
      <c r="L3167" s="5" t="n">
        <f aca="false">IF(G3167="High",3,IF(G3167="Medium",2,1))</f>
        <v>1</v>
      </c>
    </row>
    <row r="3168" customFormat="false" ht="15" hidden="false" customHeight="true" outlineLevel="0" collapsed="false">
      <c r="A3168" s="5" t="s">
        <v>5446</v>
      </c>
      <c r="B3168" s="5" t="s">
        <v>2048</v>
      </c>
      <c r="C3168" s="5" t="s">
        <v>2259</v>
      </c>
      <c r="D3168" s="5" t="s">
        <v>2274</v>
      </c>
      <c r="E3168" s="5" t="s">
        <v>59</v>
      </c>
      <c r="F3168" s="5" t="s">
        <v>59</v>
      </c>
      <c r="G3168" s="5" t="str">
        <f aca="false">INDEX(Risk_Matrix!$B$2:$D$4,MATCH(E3168,Risk_Matrix!$A$2:$A$4,0),MATCH(F3168,Risk_Matrix!$B$1:$D$1,0))</f>
        <v>Low</v>
      </c>
      <c r="H3168" s="12" t="n">
        <v>46146</v>
      </c>
      <c r="I3168" s="5" t="s">
        <v>2256</v>
      </c>
      <c r="J3168" s="5" t="s">
        <v>4081</v>
      </c>
      <c r="K3168" s="5" t="s">
        <v>2276</v>
      </c>
      <c r="L3168" s="5" t="n">
        <f aca="false">IF(G3168="High",3,IF(G3168="Medium",2,1))</f>
        <v>1</v>
      </c>
    </row>
    <row r="3169" customFormat="false" ht="15" hidden="false" customHeight="true" outlineLevel="0" collapsed="false">
      <c r="A3169" s="5" t="s">
        <v>5447</v>
      </c>
      <c r="B3169" s="5" t="s">
        <v>2048</v>
      </c>
      <c r="C3169" s="5" t="s">
        <v>2254</v>
      </c>
      <c r="D3169" s="5" t="s">
        <v>2255</v>
      </c>
      <c r="E3169" s="5" t="s">
        <v>59</v>
      </c>
      <c r="F3169" s="5" t="s">
        <v>59</v>
      </c>
      <c r="G3169" s="5" t="str">
        <f aca="false">INDEX(Risk_Matrix!$B$2:$D$4,MATCH(E3169,Risk_Matrix!$A$2:$A$4,0),MATCH(F3169,Risk_Matrix!$B$1:$D$1,0))</f>
        <v>Low</v>
      </c>
      <c r="H3169" s="12" t="n">
        <v>46224</v>
      </c>
      <c r="I3169" s="5" t="s">
        <v>2241</v>
      </c>
      <c r="J3169" s="5" t="s">
        <v>2242</v>
      </c>
      <c r="K3169" s="5" t="s">
        <v>2266</v>
      </c>
      <c r="L3169" s="5" t="n">
        <f aca="false">IF(G3169="High",3,IF(G3169="Medium",2,1))</f>
        <v>1</v>
      </c>
    </row>
    <row r="3170" customFormat="false" ht="15" hidden="false" customHeight="true" outlineLevel="0" collapsed="false">
      <c r="A3170" s="5" t="s">
        <v>5448</v>
      </c>
      <c r="B3170" s="5" t="s">
        <v>2050</v>
      </c>
      <c r="C3170" s="5" t="s">
        <v>2239</v>
      </c>
      <c r="D3170" s="5" t="s">
        <v>2295</v>
      </c>
      <c r="E3170" s="5" t="s">
        <v>54</v>
      </c>
      <c r="F3170" s="5" t="s">
        <v>2225</v>
      </c>
      <c r="G3170" s="5" t="str">
        <f aca="false">INDEX(Risk_Matrix!$B$2:$D$4,MATCH(E3170,Risk_Matrix!$A$2:$A$4,0),MATCH(F3170,Risk_Matrix!$B$1:$D$1,0))</f>
        <v>High</v>
      </c>
      <c r="H3170" s="12" t="n">
        <v>46232</v>
      </c>
      <c r="I3170" s="5" t="s">
        <v>2256</v>
      </c>
      <c r="J3170" s="5" t="s">
        <v>4081</v>
      </c>
      <c r="K3170" s="5" t="s">
        <v>2243</v>
      </c>
      <c r="L3170" s="5" t="n">
        <f aca="false">IF(G3170="High",3,IF(G3170="Medium",2,1))</f>
        <v>3</v>
      </c>
    </row>
    <row r="3171" customFormat="false" ht="15" hidden="false" customHeight="true" outlineLevel="0" collapsed="false">
      <c r="A3171" s="5" t="s">
        <v>5449</v>
      </c>
      <c r="B3171" s="5" t="s">
        <v>2050</v>
      </c>
      <c r="C3171" s="5" t="s">
        <v>2245</v>
      </c>
      <c r="D3171" s="5" t="s">
        <v>2320</v>
      </c>
      <c r="E3171" s="5" t="s">
        <v>59</v>
      </c>
      <c r="F3171" s="5" t="s">
        <v>54</v>
      </c>
      <c r="G3171" s="5" t="str">
        <f aca="false">INDEX(Risk_Matrix!$B$2:$D$4,MATCH(E3171,Risk_Matrix!$A$2:$A$4,0),MATCH(F3171,Risk_Matrix!$B$1:$D$1,0))</f>
        <v>Medium</v>
      </c>
      <c r="H3171" s="12" t="n">
        <v>46087</v>
      </c>
      <c r="I3171" s="5" t="s">
        <v>2250</v>
      </c>
      <c r="J3171" s="5" t="s">
        <v>2251</v>
      </c>
      <c r="K3171" s="5" t="s">
        <v>2243</v>
      </c>
      <c r="L3171" s="5" t="n">
        <f aca="false">IF(G3171="High",3,IF(G3171="Medium",2,1))</f>
        <v>2</v>
      </c>
    </row>
    <row r="3172" customFormat="false" ht="15" hidden="false" customHeight="true" outlineLevel="0" collapsed="false">
      <c r="A3172" s="5" t="s">
        <v>5450</v>
      </c>
      <c r="B3172" s="5" t="s">
        <v>2050</v>
      </c>
      <c r="C3172" s="5" t="s">
        <v>2248</v>
      </c>
      <c r="D3172" s="5" t="s">
        <v>2249</v>
      </c>
      <c r="E3172" s="5" t="s">
        <v>59</v>
      </c>
      <c r="F3172" s="5" t="s">
        <v>54</v>
      </c>
      <c r="G3172" s="5" t="str">
        <f aca="false">INDEX(Risk_Matrix!$B$2:$D$4,MATCH(E3172,Risk_Matrix!$A$2:$A$4,0),MATCH(F3172,Risk_Matrix!$B$1:$D$1,0))</f>
        <v>Medium</v>
      </c>
      <c r="H3172" s="12" t="n">
        <v>46138</v>
      </c>
      <c r="I3172" s="5" t="s">
        <v>2241</v>
      </c>
      <c r="J3172" s="5" t="s">
        <v>2242</v>
      </c>
      <c r="K3172" s="5" t="s">
        <v>2283</v>
      </c>
      <c r="L3172" s="5" t="n">
        <f aca="false">IF(G3172="High",3,IF(G3172="Medium",2,1))</f>
        <v>2</v>
      </c>
    </row>
    <row r="3173" customFormat="false" ht="15" hidden="false" customHeight="true" outlineLevel="0" collapsed="false">
      <c r="A3173" s="5" t="s">
        <v>5451</v>
      </c>
      <c r="B3173" s="5" t="s">
        <v>2050</v>
      </c>
      <c r="C3173" s="5" t="s">
        <v>2262</v>
      </c>
      <c r="D3173" s="5" t="s">
        <v>2263</v>
      </c>
      <c r="E3173" s="5" t="s">
        <v>54</v>
      </c>
      <c r="F3173" s="5" t="s">
        <v>2225</v>
      </c>
      <c r="G3173" s="5" t="str">
        <f aca="false">INDEX(Risk_Matrix!$B$2:$D$4,MATCH(E3173,Risk_Matrix!$A$2:$A$4,0),MATCH(F3173,Risk_Matrix!$B$1:$D$1,0))</f>
        <v>High</v>
      </c>
      <c r="H3173" s="12" t="n">
        <v>46100</v>
      </c>
      <c r="I3173" s="5" t="s">
        <v>2264</v>
      </c>
      <c r="J3173" s="5" t="s">
        <v>4087</v>
      </c>
      <c r="K3173" s="5" t="s">
        <v>2266</v>
      </c>
      <c r="L3173" s="5" t="n">
        <f aca="false">IF(G3173="High",3,IF(G3173="Medium",2,1))</f>
        <v>3</v>
      </c>
    </row>
    <row r="3174" customFormat="false" ht="15" hidden="false" customHeight="true" outlineLevel="0" collapsed="false">
      <c r="A3174" s="5" t="s">
        <v>5452</v>
      </c>
      <c r="B3174" s="5" t="s">
        <v>2050</v>
      </c>
      <c r="C3174" s="5" t="s">
        <v>2259</v>
      </c>
      <c r="D3174" s="5" t="s">
        <v>2274</v>
      </c>
      <c r="E3174" s="5" t="s">
        <v>59</v>
      </c>
      <c r="F3174" s="5" t="s">
        <v>54</v>
      </c>
      <c r="G3174" s="5" t="str">
        <f aca="false">INDEX(Risk_Matrix!$B$2:$D$4,MATCH(E3174,Risk_Matrix!$A$2:$A$4,0),MATCH(F3174,Risk_Matrix!$B$1:$D$1,0))</f>
        <v>Medium</v>
      </c>
      <c r="H3174" s="12" t="n">
        <v>46237</v>
      </c>
      <c r="I3174" s="5" t="s">
        <v>2250</v>
      </c>
      <c r="J3174" s="5" t="s">
        <v>2251</v>
      </c>
      <c r="K3174" s="5" t="s">
        <v>2276</v>
      </c>
      <c r="L3174" s="5" t="n">
        <f aca="false">IF(G3174="High",3,IF(G3174="Medium",2,1))</f>
        <v>2</v>
      </c>
    </row>
    <row r="3175" customFormat="false" ht="15" hidden="false" customHeight="true" outlineLevel="0" collapsed="false">
      <c r="A3175" s="5" t="s">
        <v>5453</v>
      </c>
      <c r="B3175" s="5" t="s">
        <v>2050</v>
      </c>
      <c r="C3175" s="5" t="s">
        <v>2254</v>
      </c>
      <c r="D3175" s="5" t="s">
        <v>2255</v>
      </c>
      <c r="E3175" s="5" t="s">
        <v>54</v>
      </c>
      <c r="F3175" s="5" t="s">
        <v>59</v>
      </c>
      <c r="G3175" s="5" t="str">
        <f aca="false">INDEX(Risk_Matrix!$B$2:$D$4,MATCH(E3175,Risk_Matrix!$A$2:$A$4,0),MATCH(F3175,Risk_Matrix!$B$1:$D$1,0))</f>
        <v>Medium</v>
      </c>
      <c r="H3175" s="12" t="n">
        <v>46212</v>
      </c>
      <c r="I3175" s="5" t="s">
        <v>2250</v>
      </c>
      <c r="J3175" s="5" t="s">
        <v>2251</v>
      </c>
      <c r="K3175" s="5" t="s">
        <v>2252</v>
      </c>
      <c r="L3175" s="5" t="n">
        <f aca="false">IF(G3175="High",3,IF(G3175="Medium",2,1))</f>
        <v>2</v>
      </c>
    </row>
    <row r="3176" customFormat="false" ht="15" hidden="false" customHeight="true" outlineLevel="0" collapsed="false">
      <c r="A3176" s="5" t="s">
        <v>5454</v>
      </c>
      <c r="B3176" s="5" t="s">
        <v>2052</v>
      </c>
      <c r="C3176" s="5" t="s">
        <v>2239</v>
      </c>
      <c r="D3176" s="5" t="s">
        <v>2278</v>
      </c>
      <c r="E3176" s="5" t="s">
        <v>2225</v>
      </c>
      <c r="F3176" s="5" t="s">
        <v>54</v>
      </c>
      <c r="G3176" s="5" t="str">
        <f aca="false">INDEX(Risk_Matrix!$B$2:$D$4,MATCH(E3176,Risk_Matrix!$A$2:$A$4,0),MATCH(F3176,Risk_Matrix!$B$1:$D$1,0))</f>
        <v>High</v>
      </c>
      <c r="H3176" s="12" t="n">
        <v>46071</v>
      </c>
      <c r="I3176" s="5" t="s">
        <v>2250</v>
      </c>
      <c r="J3176" s="5" t="s">
        <v>2251</v>
      </c>
      <c r="K3176" s="5" t="s">
        <v>2276</v>
      </c>
      <c r="L3176" s="5" t="n">
        <f aca="false">IF(G3176="High",3,IF(G3176="Medium",2,1))</f>
        <v>3</v>
      </c>
    </row>
    <row r="3177" customFormat="false" ht="15" hidden="false" customHeight="true" outlineLevel="0" collapsed="false">
      <c r="A3177" s="5" t="s">
        <v>5455</v>
      </c>
      <c r="B3177" s="5" t="s">
        <v>2052</v>
      </c>
      <c r="C3177" s="5" t="s">
        <v>2245</v>
      </c>
      <c r="D3177" s="5" t="s">
        <v>2269</v>
      </c>
      <c r="E3177" s="5" t="s">
        <v>2225</v>
      </c>
      <c r="F3177" s="5" t="s">
        <v>2225</v>
      </c>
      <c r="G3177" s="5" t="str">
        <f aca="false">INDEX(Risk_Matrix!$B$2:$D$4,MATCH(E3177,Risk_Matrix!$A$2:$A$4,0),MATCH(F3177,Risk_Matrix!$B$1:$D$1,0))</f>
        <v>Medium</v>
      </c>
      <c r="H3177" s="12" t="n">
        <v>46064</v>
      </c>
      <c r="I3177" s="5" t="s">
        <v>2250</v>
      </c>
      <c r="J3177" s="5" t="s">
        <v>2251</v>
      </c>
      <c r="K3177" s="5" t="s">
        <v>2252</v>
      </c>
      <c r="L3177" s="5" t="n">
        <f aca="false">IF(G3177="High",3,IF(G3177="Medium",2,1))</f>
        <v>2</v>
      </c>
    </row>
    <row r="3178" customFormat="false" ht="15" hidden="false" customHeight="true" outlineLevel="0" collapsed="false">
      <c r="A3178" s="5" t="s">
        <v>5456</v>
      </c>
      <c r="B3178" s="5" t="s">
        <v>2052</v>
      </c>
      <c r="C3178" s="5" t="s">
        <v>2248</v>
      </c>
      <c r="D3178" s="5" t="s">
        <v>2249</v>
      </c>
      <c r="E3178" s="5" t="s">
        <v>54</v>
      </c>
      <c r="F3178" s="5" t="s">
        <v>54</v>
      </c>
      <c r="G3178" s="5" t="str">
        <f aca="false">INDEX(Risk_Matrix!$B$2:$D$4,MATCH(E3178,Risk_Matrix!$A$2:$A$4,0),MATCH(F3178,Risk_Matrix!$B$1:$D$1,0))</f>
        <v>High</v>
      </c>
      <c r="H3178" s="12" t="n">
        <v>46137</v>
      </c>
      <c r="I3178" s="5" t="s">
        <v>2256</v>
      </c>
      <c r="J3178" s="5" t="s">
        <v>4081</v>
      </c>
      <c r="K3178" s="5" t="s">
        <v>2252</v>
      </c>
      <c r="L3178" s="5" t="n">
        <f aca="false">IF(G3178="High",3,IF(G3178="Medium",2,1))</f>
        <v>3</v>
      </c>
    </row>
    <row r="3179" customFormat="false" ht="15" hidden="false" customHeight="true" outlineLevel="0" collapsed="false">
      <c r="A3179" s="5" t="s">
        <v>5457</v>
      </c>
      <c r="B3179" s="5" t="s">
        <v>2052</v>
      </c>
      <c r="C3179" s="5" t="s">
        <v>2262</v>
      </c>
      <c r="D3179" s="5" t="s">
        <v>2311</v>
      </c>
      <c r="E3179" s="5" t="s">
        <v>54</v>
      </c>
      <c r="F3179" s="5" t="s">
        <v>2225</v>
      </c>
      <c r="G3179" s="5" t="str">
        <f aca="false">INDEX(Risk_Matrix!$B$2:$D$4,MATCH(E3179,Risk_Matrix!$A$2:$A$4,0),MATCH(F3179,Risk_Matrix!$B$1:$D$1,0))</f>
        <v>High</v>
      </c>
      <c r="H3179" s="12" t="n">
        <v>46118</v>
      </c>
      <c r="I3179" s="5" t="s">
        <v>2264</v>
      </c>
      <c r="J3179" s="5" t="s">
        <v>4087</v>
      </c>
      <c r="K3179" s="5" t="s">
        <v>2252</v>
      </c>
      <c r="L3179" s="5" t="n">
        <f aca="false">IF(G3179="High",3,IF(G3179="Medium",2,1))</f>
        <v>3</v>
      </c>
    </row>
    <row r="3180" customFormat="false" ht="15" hidden="false" customHeight="true" outlineLevel="0" collapsed="false">
      <c r="A3180" s="5" t="s">
        <v>5458</v>
      </c>
      <c r="B3180" s="5" t="s">
        <v>2052</v>
      </c>
      <c r="C3180" s="5" t="s">
        <v>2259</v>
      </c>
      <c r="D3180" s="5" t="s">
        <v>2285</v>
      </c>
      <c r="E3180" s="5" t="s">
        <v>2225</v>
      </c>
      <c r="F3180" s="5" t="s">
        <v>2225</v>
      </c>
      <c r="G3180" s="5" t="str">
        <f aca="false">INDEX(Risk_Matrix!$B$2:$D$4,MATCH(E3180,Risk_Matrix!$A$2:$A$4,0),MATCH(F3180,Risk_Matrix!$B$1:$D$1,0))</f>
        <v>Medium</v>
      </c>
      <c r="H3180" s="12" t="n">
        <v>46114</v>
      </c>
      <c r="I3180" s="5" t="s">
        <v>2264</v>
      </c>
      <c r="J3180" s="5" t="s">
        <v>4087</v>
      </c>
      <c r="K3180" s="5" t="s">
        <v>2266</v>
      </c>
      <c r="L3180" s="5" t="n">
        <f aca="false">IF(G3180="High",3,IF(G3180="Medium",2,1))</f>
        <v>2</v>
      </c>
    </row>
    <row r="3181" customFormat="false" ht="15" hidden="false" customHeight="true" outlineLevel="0" collapsed="false">
      <c r="A3181" s="5" t="s">
        <v>5459</v>
      </c>
      <c r="B3181" s="5" t="s">
        <v>2052</v>
      </c>
      <c r="C3181" s="5" t="s">
        <v>2254</v>
      </c>
      <c r="D3181" s="5" t="s">
        <v>2299</v>
      </c>
      <c r="E3181" s="5" t="s">
        <v>54</v>
      </c>
      <c r="F3181" s="5" t="s">
        <v>59</v>
      </c>
      <c r="G3181" s="5" t="str">
        <f aca="false">INDEX(Risk_Matrix!$B$2:$D$4,MATCH(E3181,Risk_Matrix!$A$2:$A$4,0),MATCH(F3181,Risk_Matrix!$B$1:$D$1,0))</f>
        <v>Medium</v>
      </c>
      <c r="H3181" s="12" t="n">
        <v>46188</v>
      </c>
      <c r="I3181" s="5" t="s">
        <v>2250</v>
      </c>
      <c r="J3181" s="5" t="s">
        <v>2251</v>
      </c>
      <c r="K3181" s="5" t="s">
        <v>2283</v>
      </c>
      <c r="L3181" s="5" t="n">
        <f aca="false">IF(G3181="High",3,IF(G3181="Medium",2,1))</f>
        <v>2</v>
      </c>
    </row>
    <row r="3182" customFormat="false" ht="15" hidden="false" customHeight="true" outlineLevel="0" collapsed="false">
      <c r="A3182" s="5" t="s">
        <v>5460</v>
      </c>
      <c r="B3182" s="5" t="s">
        <v>2054</v>
      </c>
      <c r="C3182" s="5" t="s">
        <v>2239</v>
      </c>
      <c r="D3182" s="5" t="s">
        <v>2278</v>
      </c>
      <c r="E3182" s="5" t="s">
        <v>54</v>
      </c>
      <c r="F3182" s="5" t="s">
        <v>59</v>
      </c>
      <c r="G3182" s="5" t="str">
        <f aca="false">INDEX(Risk_Matrix!$B$2:$D$4,MATCH(E3182,Risk_Matrix!$A$2:$A$4,0),MATCH(F3182,Risk_Matrix!$B$1:$D$1,0))</f>
        <v>Medium</v>
      </c>
      <c r="H3182" s="12" t="n">
        <v>46047</v>
      </c>
      <c r="I3182" s="5" t="s">
        <v>2264</v>
      </c>
      <c r="J3182" s="5" t="s">
        <v>4087</v>
      </c>
      <c r="K3182" s="5" t="s">
        <v>2276</v>
      </c>
      <c r="L3182" s="5" t="n">
        <f aca="false">IF(G3182="High",3,IF(G3182="Medium",2,1))</f>
        <v>2</v>
      </c>
    </row>
    <row r="3183" customFormat="false" ht="15" hidden="false" customHeight="true" outlineLevel="0" collapsed="false">
      <c r="A3183" s="5" t="s">
        <v>5461</v>
      </c>
      <c r="B3183" s="5" t="s">
        <v>2054</v>
      </c>
      <c r="C3183" s="5" t="s">
        <v>2245</v>
      </c>
      <c r="D3183" s="5" t="s">
        <v>2269</v>
      </c>
      <c r="E3183" s="5" t="s">
        <v>59</v>
      </c>
      <c r="F3183" s="5" t="s">
        <v>54</v>
      </c>
      <c r="G3183" s="5" t="str">
        <f aca="false">INDEX(Risk_Matrix!$B$2:$D$4,MATCH(E3183,Risk_Matrix!$A$2:$A$4,0),MATCH(F3183,Risk_Matrix!$B$1:$D$1,0))</f>
        <v>Medium</v>
      </c>
      <c r="H3183" s="12" t="n">
        <v>46053</v>
      </c>
      <c r="I3183" s="5" t="s">
        <v>2241</v>
      </c>
      <c r="J3183" s="5" t="s">
        <v>2242</v>
      </c>
      <c r="K3183" s="5" t="s">
        <v>2283</v>
      </c>
      <c r="L3183" s="5" t="n">
        <f aca="false">IF(G3183="High",3,IF(G3183="Medium",2,1))</f>
        <v>2</v>
      </c>
    </row>
    <row r="3184" customFormat="false" ht="15" hidden="false" customHeight="true" outlineLevel="0" collapsed="false">
      <c r="A3184" s="5" t="s">
        <v>5462</v>
      </c>
      <c r="B3184" s="5" t="s">
        <v>2054</v>
      </c>
      <c r="C3184" s="5" t="s">
        <v>2248</v>
      </c>
      <c r="D3184" s="5" t="s">
        <v>2271</v>
      </c>
      <c r="E3184" s="5" t="s">
        <v>2225</v>
      </c>
      <c r="F3184" s="5" t="s">
        <v>54</v>
      </c>
      <c r="G3184" s="5" t="str">
        <f aca="false">INDEX(Risk_Matrix!$B$2:$D$4,MATCH(E3184,Risk_Matrix!$A$2:$A$4,0),MATCH(F3184,Risk_Matrix!$B$1:$D$1,0))</f>
        <v>High</v>
      </c>
      <c r="H3184" s="12" t="n">
        <v>46202</v>
      </c>
      <c r="I3184" s="5" t="s">
        <v>2264</v>
      </c>
      <c r="J3184" s="5" t="s">
        <v>4087</v>
      </c>
      <c r="K3184" s="5" t="s">
        <v>2243</v>
      </c>
      <c r="L3184" s="5" t="n">
        <f aca="false">IF(G3184="High",3,IF(G3184="Medium",2,1))</f>
        <v>3</v>
      </c>
    </row>
    <row r="3185" customFormat="false" ht="15" hidden="false" customHeight="true" outlineLevel="0" collapsed="false">
      <c r="A3185" s="5" t="s">
        <v>5463</v>
      </c>
      <c r="B3185" s="5" t="s">
        <v>2054</v>
      </c>
      <c r="C3185" s="5" t="s">
        <v>2262</v>
      </c>
      <c r="D3185" s="5" t="s">
        <v>2263</v>
      </c>
      <c r="E3185" s="5" t="s">
        <v>2225</v>
      </c>
      <c r="F3185" s="5" t="s">
        <v>2225</v>
      </c>
      <c r="G3185" s="5" t="str">
        <f aca="false">INDEX(Risk_Matrix!$B$2:$D$4,MATCH(E3185,Risk_Matrix!$A$2:$A$4,0),MATCH(F3185,Risk_Matrix!$B$1:$D$1,0))</f>
        <v>Medium</v>
      </c>
      <c r="H3185" s="12" t="n">
        <v>46214</v>
      </c>
      <c r="I3185" s="5" t="s">
        <v>2241</v>
      </c>
      <c r="J3185" s="5" t="s">
        <v>2242</v>
      </c>
      <c r="K3185" s="5" t="s">
        <v>2252</v>
      </c>
      <c r="L3185" s="5" t="n">
        <f aca="false">IF(G3185="High",3,IF(G3185="Medium",2,1))</f>
        <v>2</v>
      </c>
    </row>
    <row r="3186" customFormat="false" ht="15" hidden="false" customHeight="true" outlineLevel="0" collapsed="false">
      <c r="A3186" s="5" t="s">
        <v>5464</v>
      </c>
      <c r="B3186" s="5" t="s">
        <v>2054</v>
      </c>
      <c r="C3186" s="5" t="s">
        <v>2259</v>
      </c>
      <c r="D3186" s="5" t="s">
        <v>2274</v>
      </c>
      <c r="E3186" s="5" t="s">
        <v>54</v>
      </c>
      <c r="F3186" s="5" t="s">
        <v>2225</v>
      </c>
      <c r="G3186" s="5" t="str">
        <f aca="false">INDEX(Risk_Matrix!$B$2:$D$4,MATCH(E3186,Risk_Matrix!$A$2:$A$4,0),MATCH(F3186,Risk_Matrix!$B$1:$D$1,0))</f>
        <v>High</v>
      </c>
      <c r="H3186" s="12" t="n">
        <v>46174</v>
      </c>
      <c r="I3186" s="5" t="s">
        <v>2256</v>
      </c>
      <c r="J3186" s="5" t="s">
        <v>4081</v>
      </c>
      <c r="K3186" s="5" t="s">
        <v>2243</v>
      </c>
      <c r="L3186" s="5" t="n">
        <f aca="false">IF(G3186="High",3,IF(G3186="Medium",2,1))</f>
        <v>3</v>
      </c>
    </row>
    <row r="3187" customFormat="false" ht="15" hidden="false" customHeight="true" outlineLevel="0" collapsed="false">
      <c r="A3187" s="5" t="s">
        <v>5465</v>
      </c>
      <c r="B3187" s="5" t="s">
        <v>2054</v>
      </c>
      <c r="C3187" s="5" t="s">
        <v>2254</v>
      </c>
      <c r="D3187" s="5" t="s">
        <v>2255</v>
      </c>
      <c r="E3187" s="5" t="s">
        <v>54</v>
      </c>
      <c r="F3187" s="5" t="s">
        <v>2225</v>
      </c>
      <c r="G3187" s="5" t="str">
        <f aca="false">INDEX(Risk_Matrix!$B$2:$D$4,MATCH(E3187,Risk_Matrix!$A$2:$A$4,0),MATCH(F3187,Risk_Matrix!$B$1:$D$1,0))</f>
        <v>High</v>
      </c>
      <c r="H3187" s="12" t="n">
        <v>46190</v>
      </c>
      <c r="I3187" s="5" t="s">
        <v>2241</v>
      </c>
      <c r="J3187" s="5" t="s">
        <v>2242</v>
      </c>
      <c r="K3187" s="5" t="s">
        <v>2243</v>
      </c>
      <c r="L3187" s="5" t="n">
        <f aca="false">IF(G3187="High",3,IF(G3187="Medium",2,1))</f>
        <v>3</v>
      </c>
    </row>
    <row r="3188" customFormat="false" ht="15" hidden="false" customHeight="true" outlineLevel="0" collapsed="false">
      <c r="A3188" s="5" t="s">
        <v>5466</v>
      </c>
      <c r="B3188" s="5" t="s">
        <v>2056</v>
      </c>
      <c r="C3188" s="5" t="s">
        <v>2239</v>
      </c>
      <c r="D3188" s="5" t="s">
        <v>2303</v>
      </c>
      <c r="E3188" s="5" t="s">
        <v>59</v>
      </c>
      <c r="F3188" s="5" t="s">
        <v>54</v>
      </c>
      <c r="G3188" s="5" t="str">
        <f aca="false">INDEX(Risk_Matrix!$B$2:$D$4,MATCH(E3188,Risk_Matrix!$A$2:$A$4,0),MATCH(F3188,Risk_Matrix!$B$1:$D$1,0))</f>
        <v>Medium</v>
      </c>
      <c r="H3188" s="12" t="n">
        <v>46230</v>
      </c>
      <c r="I3188" s="5" t="s">
        <v>2264</v>
      </c>
      <c r="J3188" s="5" t="s">
        <v>4087</v>
      </c>
      <c r="K3188" s="5" t="s">
        <v>2266</v>
      </c>
      <c r="L3188" s="5" t="n">
        <f aca="false">IF(G3188="High",3,IF(G3188="Medium",2,1))</f>
        <v>2</v>
      </c>
    </row>
    <row r="3189" customFormat="false" ht="15" hidden="false" customHeight="true" outlineLevel="0" collapsed="false">
      <c r="A3189" s="5" t="s">
        <v>5467</v>
      </c>
      <c r="B3189" s="5" t="s">
        <v>2056</v>
      </c>
      <c r="C3189" s="5" t="s">
        <v>2245</v>
      </c>
      <c r="D3189" s="5" t="s">
        <v>2280</v>
      </c>
      <c r="E3189" s="5" t="s">
        <v>2225</v>
      </c>
      <c r="F3189" s="5" t="s">
        <v>59</v>
      </c>
      <c r="G3189" s="5" t="str">
        <f aca="false">INDEX(Risk_Matrix!$B$2:$D$4,MATCH(E3189,Risk_Matrix!$A$2:$A$4,0),MATCH(F3189,Risk_Matrix!$B$1:$D$1,0))</f>
        <v>Low</v>
      </c>
      <c r="H3189" s="12" t="n">
        <v>46088</v>
      </c>
      <c r="I3189" s="5" t="s">
        <v>2241</v>
      </c>
      <c r="J3189" s="5" t="s">
        <v>2242</v>
      </c>
      <c r="K3189" s="5" t="s">
        <v>2252</v>
      </c>
      <c r="L3189" s="5" t="n">
        <f aca="false">IF(G3189="High",3,IF(G3189="Medium",2,1))</f>
        <v>1</v>
      </c>
    </row>
    <row r="3190" customFormat="false" ht="15" hidden="false" customHeight="true" outlineLevel="0" collapsed="false">
      <c r="A3190" s="5" t="s">
        <v>5468</v>
      </c>
      <c r="B3190" s="5" t="s">
        <v>2056</v>
      </c>
      <c r="C3190" s="5" t="s">
        <v>2248</v>
      </c>
      <c r="D3190" s="5" t="s">
        <v>2249</v>
      </c>
      <c r="E3190" s="5" t="s">
        <v>2225</v>
      </c>
      <c r="F3190" s="5" t="s">
        <v>59</v>
      </c>
      <c r="G3190" s="5" t="str">
        <f aca="false">INDEX(Risk_Matrix!$B$2:$D$4,MATCH(E3190,Risk_Matrix!$A$2:$A$4,0),MATCH(F3190,Risk_Matrix!$B$1:$D$1,0))</f>
        <v>Low</v>
      </c>
      <c r="H3190" s="12" t="n">
        <v>46033</v>
      </c>
      <c r="I3190" s="5" t="s">
        <v>2241</v>
      </c>
      <c r="J3190" s="5" t="s">
        <v>2242</v>
      </c>
      <c r="K3190" s="5" t="s">
        <v>2243</v>
      </c>
      <c r="L3190" s="5" t="n">
        <f aca="false">IF(G3190="High",3,IF(G3190="Medium",2,1))</f>
        <v>1</v>
      </c>
    </row>
    <row r="3191" customFormat="false" ht="15" hidden="false" customHeight="true" outlineLevel="0" collapsed="false">
      <c r="A3191" s="5" t="s">
        <v>5469</v>
      </c>
      <c r="B3191" s="5" t="s">
        <v>2056</v>
      </c>
      <c r="C3191" s="5" t="s">
        <v>2262</v>
      </c>
      <c r="D3191" s="5" t="s">
        <v>2311</v>
      </c>
      <c r="E3191" s="5" t="s">
        <v>59</v>
      </c>
      <c r="F3191" s="5" t="s">
        <v>2225</v>
      </c>
      <c r="G3191" s="5" t="str">
        <f aca="false">INDEX(Risk_Matrix!$B$2:$D$4,MATCH(E3191,Risk_Matrix!$A$2:$A$4,0),MATCH(F3191,Risk_Matrix!$B$1:$D$1,0))</f>
        <v>Low</v>
      </c>
      <c r="H3191" s="12" t="n">
        <v>46074</v>
      </c>
      <c r="I3191" s="5" t="s">
        <v>2241</v>
      </c>
      <c r="J3191" s="5" t="s">
        <v>2242</v>
      </c>
      <c r="K3191" s="5" t="s">
        <v>2243</v>
      </c>
      <c r="L3191" s="5" t="n">
        <f aca="false">IF(G3191="High",3,IF(G3191="Medium",2,1))</f>
        <v>1</v>
      </c>
    </row>
    <row r="3192" customFormat="false" ht="15" hidden="false" customHeight="true" outlineLevel="0" collapsed="false">
      <c r="A3192" s="5" t="s">
        <v>5470</v>
      </c>
      <c r="B3192" s="5" t="s">
        <v>2056</v>
      </c>
      <c r="C3192" s="5" t="s">
        <v>2259</v>
      </c>
      <c r="D3192" s="5" t="s">
        <v>2285</v>
      </c>
      <c r="E3192" s="5" t="s">
        <v>59</v>
      </c>
      <c r="F3192" s="5" t="s">
        <v>59</v>
      </c>
      <c r="G3192" s="5" t="str">
        <f aca="false">INDEX(Risk_Matrix!$B$2:$D$4,MATCH(E3192,Risk_Matrix!$A$2:$A$4,0),MATCH(F3192,Risk_Matrix!$B$1:$D$1,0))</f>
        <v>Low</v>
      </c>
      <c r="H3192" s="12" t="n">
        <v>46057</v>
      </c>
      <c r="I3192" s="5" t="s">
        <v>2250</v>
      </c>
      <c r="J3192" s="5" t="s">
        <v>2251</v>
      </c>
      <c r="K3192" s="5" t="s">
        <v>2276</v>
      </c>
      <c r="L3192" s="5" t="n">
        <f aca="false">IF(G3192="High",3,IF(G3192="Medium",2,1))</f>
        <v>1</v>
      </c>
    </row>
    <row r="3193" customFormat="false" ht="15" hidden="false" customHeight="true" outlineLevel="0" collapsed="false">
      <c r="A3193" s="5" t="s">
        <v>5471</v>
      </c>
      <c r="B3193" s="5" t="s">
        <v>2056</v>
      </c>
      <c r="C3193" s="5" t="s">
        <v>2254</v>
      </c>
      <c r="D3193" s="5" t="s">
        <v>2255</v>
      </c>
      <c r="E3193" s="5" t="s">
        <v>2225</v>
      </c>
      <c r="F3193" s="5" t="s">
        <v>54</v>
      </c>
      <c r="G3193" s="5" t="str">
        <f aca="false">INDEX(Risk_Matrix!$B$2:$D$4,MATCH(E3193,Risk_Matrix!$A$2:$A$4,0),MATCH(F3193,Risk_Matrix!$B$1:$D$1,0))</f>
        <v>High</v>
      </c>
      <c r="H3193" s="12" t="n">
        <v>46205</v>
      </c>
      <c r="I3193" s="5" t="s">
        <v>2256</v>
      </c>
      <c r="J3193" s="5" t="s">
        <v>4081</v>
      </c>
      <c r="K3193" s="5" t="s">
        <v>2266</v>
      </c>
      <c r="L3193" s="5" t="n">
        <f aca="false">IF(G3193="High",3,IF(G3193="Medium",2,1))</f>
        <v>3</v>
      </c>
    </row>
    <row r="3194" customFormat="false" ht="15" hidden="false" customHeight="true" outlineLevel="0" collapsed="false">
      <c r="A3194" s="5" t="s">
        <v>5472</v>
      </c>
      <c r="B3194" s="5" t="s">
        <v>2058</v>
      </c>
      <c r="C3194" s="5" t="s">
        <v>2239</v>
      </c>
      <c r="D3194" s="5" t="s">
        <v>2295</v>
      </c>
      <c r="E3194" s="5" t="s">
        <v>2225</v>
      </c>
      <c r="F3194" s="5" t="s">
        <v>2225</v>
      </c>
      <c r="G3194" s="5" t="str">
        <f aca="false">INDEX(Risk_Matrix!$B$2:$D$4,MATCH(E3194,Risk_Matrix!$A$2:$A$4,0),MATCH(F3194,Risk_Matrix!$B$1:$D$1,0))</f>
        <v>Medium</v>
      </c>
      <c r="H3194" s="12" t="n">
        <v>46104</v>
      </c>
      <c r="I3194" s="5" t="s">
        <v>2250</v>
      </c>
      <c r="J3194" s="5" t="s">
        <v>2251</v>
      </c>
      <c r="K3194" s="5" t="s">
        <v>2243</v>
      </c>
      <c r="L3194" s="5" t="n">
        <f aca="false">IF(G3194="High",3,IF(G3194="Medium",2,1))</f>
        <v>2</v>
      </c>
    </row>
    <row r="3195" customFormat="false" ht="15" hidden="false" customHeight="true" outlineLevel="0" collapsed="false">
      <c r="A3195" s="5" t="s">
        <v>5473</v>
      </c>
      <c r="B3195" s="5" t="s">
        <v>2058</v>
      </c>
      <c r="C3195" s="5" t="s">
        <v>2245</v>
      </c>
      <c r="D3195" s="5" t="s">
        <v>2269</v>
      </c>
      <c r="E3195" s="5" t="s">
        <v>54</v>
      </c>
      <c r="F3195" s="5" t="s">
        <v>54</v>
      </c>
      <c r="G3195" s="5" t="str">
        <f aca="false">INDEX(Risk_Matrix!$B$2:$D$4,MATCH(E3195,Risk_Matrix!$A$2:$A$4,0),MATCH(F3195,Risk_Matrix!$B$1:$D$1,0))</f>
        <v>High</v>
      </c>
      <c r="H3195" s="12" t="n">
        <v>46178</v>
      </c>
      <c r="I3195" s="5" t="s">
        <v>2256</v>
      </c>
      <c r="J3195" s="5" t="s">
        <v>4081</v>
      </c>
      <c r="K3195" s="5" t="s">
        <v>2283</v>
      </c>
      <c r="L3195" s="5" t="n">
        <f aca="false">IF(G3195="High",3,IF(G3195="Medium",2,1))</f>
        <v>3</v>
      </c>
    </row>
    <row r="3196" customFormat="false" ht="15" hidden="false" customHeight="true" outlineLevel="0" collapsed="false">
      <c r="A3196" s="5" t="s">
        <v>5474</v>
      </c>
      <c r="B3196" s="5" t="s">
        <v>2058</v>
      </c>
      <c r="C3196" s="5" t="s">
        <v>2248</v>
      </c>
      <c r="D3196" s="5" t="s">
        <v>2271</v>
      </c>
      <c r="E3196" s="5" t="s">
        <v>54</v>
      </c>
      <c r="F3196" s="5" t="s">
        <v>2225</v>
      </c>
      <c r="G3196" s="5" t="str">
        <f aca="false">INDEX(Risk_Matrix!$B$2:$D$4,MATCH(E3196,Risk_Matrix!$A$2:$A$4,0),MATCH(F3196,Risk_Matrix!$B$1:$D$1,0))</f>
        <v>High</v>
      </c>
      <c r="H3196" s="12" t="n">
        <v>46108</v>
      </c>
      <c r="I3196" s="5" t="s">
        <v>2241</v>
      </c>
      <c r="J3196" s="5" t="s">
        <v>2242</v>
      </c>
      <c r="K3196" s="5" t="s">
        <v>2276</v>
      </c>
      <c r="L3196" s="5" t="n">
        <f aca="false">IF(G3196="High",3,IF(G3196="Medium",2,1))</f>
        <v>3</v>
      </c>
    </row>
    <row r="3197" customFormat="false" ht="15" hidden="false" customHeight="true" outlineLevel="0" collapsed="false">
      <c r="A3197" s="5" t="s">
        <v>5475</v>
      </c>
      <c r="B3197" s="5" t="s">
        <v>2058</v>
      </c>
      <c r="C3197" s="5" t="s">
        <v>2262</v>
      </c>
      <c r="D3197" s="5" t="s">
        <v>2287</v>
      </c>
      <c r="E3197" s="5" t="s">
        <v>59</v>
      </c>
      <c r="F3197" s="5" t="s">
        <v>2225</v>
      </c>
      <c r="G3197" s="5" t="str">
        <f aca="false">INDEX(Risk_Matrix!$B$2:$D$4,MATCH(E3197,Risk_Matrix!$A$2:$A$4,0),MATCH(F3197,Risk_Matrix!$B$1:$D$1,0))</f>
        <v>Low</v>
      </c>
      <c r="H3197" s="12" t="n">
        <v>46219</v>
      </c>
      <c r="I3197" s="5" t="s">
        <v>2256</v>
      </c>
      <c r="J3197" s="5" t="s">
        <v>4081</v>
      </c>
      <c r="K3197" s="5" t="s">
        <v>2276</v>
      </c>
      <c r="L3197" s="5" t="n">
        <f aca="false">IF(G3197="High",3,IF(G3197="Medium",2,1))</f>
        <v>1</v>
      </c>
    </row>
    <row r="3198" customFormat="false" ht="15" hidden="false" customHeight="true" outlineLevel="0" collapsed="false">
      <c r="A3198" s="5" t="s">
        <v>5476</v>
      </c>
      <c r="B3198" s="5" t="s">
        <v>2058</v>
      </c>
      <c r="C3198" s="5" t="s">
        <v>2259</v>
      </c>
      <c r="D3198" s="5" t="s">
        <v>2285</v>
      </c>
      <c r="E3198" s="5" t="s">
        <v>59</v>
      </c>
      <c r="F3198" s="5" t="s">
        <v>2225</v>
      </c>
      <c r="G3198" s="5" t="str">
        <f aca="false">INDEX(Risk_Matrix!$B$2:$D$4,MATCH(E3198,Risk_Matrix!$A$2:$A$4,0),MATCH(F3198,Risk_Matrix!$B$1:$D$1,0))</f>
        <v>Low</v>
      </c>
      <c r="H3198" s="12" t="n">
        <v>46033</v>
      </c>
      <c r="I3198" s="5" t="s">
        <v>2250</v>
      </c>
      <c r="J3198" s="5" t="s">
        <v>2251</v>
      </c>
      <c r="K3198" s="5" t="s">
        <v>2276</v>
      </c>
      <c r="L3198" s="5" t="n">
        <f aca="false">IF(G3198="High",3,IF(G3198="Medium",2,1))</f>
        <v>1</v>
      </c>
    </row>
    <row r="3199" customFormat="false" ht="15" hidden="false" customHeight="true" outlineLevel="0" collapsed="false">
      <c r="A3199" s="5" t="s">
        <v>5477</v>
      </c>
      <c r="B3199" s="5" t="s">
        <v>2058</v>
      </c>
      <c r="C3199" s="5" t="s">
        <v>2254</v>
      </c>
      <c r="D3199" s="5" t="s">
        <v>2255</v>
      </c>
      <c r="E3199" s="5" t="s">
        <v>59</v>
      </c>
      <c r="F3199" s="5" t="s">
        <v>2225</v>
      </c>
      <c r="G3199" s="5" t="str">
        <f aca="false">INDEX(Risk_Matrix!$B$2:$D$4,MATCH(E3199,Risk_Matrix!$A$2:$A$4,0),MATCH(F3199,Risk_Matrix!$B$1:$D$1,0))</f>
        <v>Low</v>
      </c>
      <c r="H3199" s="12" t="n">
        <v>46091</v>
      </c>
      <c r="I3199" s="5" t="s">
        <v>2241</v>
      </c>
      <c r="J3199" s="5" t="s">
        <v>2242</v>
      </c>
      <c r="K3199" s="5" t="s">
        <v>2276</v>
      </c>
      <c r="L3199" s="5" t="n">
        <f aca="false">IF(G3199="High",3,IF(G3199="Medium",2,1))</f>
        <v>1</v>
      </c>
    </row>
    <row r="3200" customFormat="false" ht="15" hidden="false" customHeight="true" outlineLevel="0" collapsed="false">
      <c r="A3200" s="5" t="s">
        <v>5478</v>
      </c>
      <c r="B3200" s="5" t="s">
        <v>2060</v>
      </c>
      <c r="C3200" s="5" t="s">
        <v>2239</v>
      </c>
      <c r="D3200" s="5" t="s">
        <v>2240</v>
      </c>
      <c r="E3200" s="5" t="s">
        <v>59</v>
      </c>
      <c r="F3200" s="5" t="s">
        <v>59</v>
      </c>
      <c r="G3200" s="5" t="str">
        <f aca="false">INDEX(Risk_Matrix!$B$2:$D$4,MATCH(E3200,Risk_Matrix!$A$2:$A$4,0),MATCH(F3200,Risk_Matrix!$B$1:$D$1,0))</f>
        <v>Low</v>
      </c>
      <c r="H3200" s="12" t="n">
        <v>46124</v>
      </c>
      <c r="I3200" s="5" t="s">
        <v>2241</v>
      </c>
      <c r="J3200" s="5" t="s">
        <v>2242</v>
      </c>
      <c r="K3200" s="5" t="s">
        <v>2276</v>
      </c>
      <c r="L3200" s="5" t="n">
        <f aca="false">IF(G3200="High",3,IF(G3200="Medium",2,1))</f>
        <v>1</v>
      </c>
    </row>
    <row r="3201" customFormat="false" ht="15" hidden="false" customHeight="true" outlineLevel="0" collapsed="false">
      <c r="A3201" s="5" t="s">
        <v>5479</v>
      </c>
      <c r="B3201" s="5" t="s">
        <v>2060</v>
      </c>
      <c r="C3201" s="5" t="s">
        <v>2245</v>
      </c>
      <c r="D3201" s="5" t="s">
        <v>2320</v>
      </c>
      <c r="E3201" s="5" t="s">
        <v>59</v>
      </c>
      <c r="F3201" s="5" t="s">
        <v>54</v>
      </c>
      <c r="G3201" s="5" t="str">
        <f aca="false">INDEX(Risk_Matrix!$B$2:$D$4,MATCH(E3201,Risk_Matrix!$A$2:$A$4,0),MATCH(F3201,Risk_Matrix!$B$1:$D$1,0))</f>
        <v>Medium</v>
      </c>
      <c r="H3201" s="12" t="n">
        <v>46109</v>
      </c>
      <c r="I3201" s="5" t="s">
        <v>2256</v>
      </c>
      <c r="J3201" s="5" t="s">
        <v>4081</v>
      </c>
      <c r="K3201" s="5" t="s">
        <v>2266</v>
      </c>
      <c r="L3201" s="5" t="n">
        <f aca="false">IF(G3201="High",3,IF(G3201="Medium",2,1))</f>
        <v>2</v>
      </c>
    </row>
    <row r="3202" customFormat="false" ht="15" hidden="false" customHeight="true" outlineLevel="0" collapsed="false">
      <c r="A3202" s="5" t="s">
        <v>5480</v>
      </c>
      <c r="B3202" s="5" t="s">
        <v>2060</v>
      </c>
      <c r="C3202" s="5" t="s">
        <v>2248</v>
      </c>
      <c r="D3202" s="5" t="s">
        <v>2306</v>
      </c>
      <c r="E3202" s="5" t="s">
        <v>54</v>
      </c>
      <c r="F3202" s="5" t="s">
        <v>54</v>
      </c>
      <c r="G3202" s="5" t="str">
        <f aca="false">INDEX(Risk_Matrix!$B$2:$D$4,MATCH(E3202,Risk_Matrix!$A$2:$A$4,0),MATCH(F3202,Risk_Matrix!$B$1:$D$1,0))</f>
        <v>High</v>
      </c>
      <c r="H3202" s="12" t="n">
        <v>46184</v>
      </c>
      <c r="I3202" s="5" t="s">
        <v>2256</v>
      </c>
      <c r="J3202" s="5" t="s">
        <v>4081</v>
      </c>
      <c r="K3202" s="5" t="s">
        <v>2243</v>
      </c>
      <c r="L3202" s="5" t="n">
        <f aca="false">IF(G3202="High",3,IF(G3202="Medium",2,1))</f>
        <v>3</v>
      </c>
    </row>
    <row r="3203" customFormat="false" ht="15" hidden="false" customHeight="true" outlineLevel="0" collapsed="false">
      <c r="A3203" s="5" t="s">
        <v>5481</v>
      </c>
      <c r="B3203" s="5" t="s">
        <v>2060</v>
      </c>
      <c r="C3203" s="5" t="s">
        <v>2262</v>
      </c>
      <c r="D3203" s="5" t="s">
        <v>2287</v>
      </c>
      <c r="E3203" s="5" t="s">
        <v>59</v>
      </c>
      <c r="F3203" s="5" t="s">
        <v>59</v>
      </c>
      <c r="G3203" s="5" t="str">
        <f aca="false">INDEX(Risk_Matrix!$B$2:$D$4,MATCH(E3203,Risk_Matrix!$A$2:$A$4,0),MATCH(F3203,Risk_Matrix!$B$1:$D$1,0))</f>
        <v>Low</v>
      </c>
      <c r="H3203" s="12" t="n">
        <v>46199</v>
      </c>
      <c r="I3203" s="5" t="s">
        <v>2264</v>
      </c>
      <c r="J3203" s="5" t="s">
        <v>4087</v>
      </c>
      <c r="K3203" s="5" t="s">
        <v>2283</v>
      </c>
      <c r="L3203" s="5" t="n">
        <f aca="false">IF(G3203="High",3,IF(G3203="Medium",2,1))</f>
        <v>1</v>
      </c>
    </row>
    <row r="3204" customFormat="false" ht="15" hidden="false" customHeight="true" outlineLevel="0" collapsed="false">
      <c r="A3204" s="5" t="s">
        <v>5482</v>
      </c>
      <c r="B3204" s="5" t="s">
        <v>2060</v>
      </c>
      <c r="C3204" s="5" t="s">
        <v>2259</v>
      </c>
      <c r="D3204" s="5" t="s">
        <v>2260</v>
      </c>
      <c r="E3204" s="5" t="s">
        <v>54</v>
      </c>
      <c r="F3204" s="5" t="s">
        <v>2225</v>
      </c>
      <c r="G3204" s="5" t="str">
        <f aca="false">INDEX(Risk_Matrix!$B$2:$D$4,MATCH(E3204,Risk_Matrix!$A$2:$A$4,0),MATCH(F3204,Risk_Matrix!$B$1:$D$1,0))</f>
        <v>High</v>
      </c>
      <c r="H3204" s="12" t="n">
        <v>46073</v>
      </c>
      <c r="I3204" s="5" t="s">
        <v>2241</v>
      </c>
      <c r="J3204" s="5" t="s">
        <v>2242</v>
      </c>
      <c r="K3204" s="5" t="s">
        <v>2283</v>
      </c>
      <c r="L3204" s="5" t="n">
        <f aca="false">IF(G3204="High",3,IF(G3204="Medium",2,1))</f>
        <v>3</v>
      </c>
    </row>
    <row r="3205" customFormat="false" ht="15" hidden="false" customHeight="true" outlineLevel="0" collapsed="false">
      <c r="A3205" s="5" t="s">
        <v>5483</v>
      </c>
      <c r="B3205" s="5" t="s">
        <v>2060</v>
      </c>
      <c r="C3205" s="5" t="s">
        <v>2254</v>
      </c>
      <c r="D3205" s="5" t="s">
        <v>2255</v>
      </c>
      <c r="E3205" s="5" t="s">
        <v>2225</v>
      </c>
      <c r="F3205" s="5" t="s">
        <v>54</v>
      </c>
      <c r="G3205" s="5" t="str">
        <f aca="false">INDEX(Risk_Matrix!$B$2:$D$4,MATCH(E3205,Risk_Matrix!$A$2:$A$4,0),MATCH(F3205,Risk_Matrix!$B$1:$D$1,0))</f>
        <v>High</v>
      </c>
      <c r="H3205" s="12" t="n">
        <v>46194</v>
      </c>
      <c r="I3205" s="5" t="s">
        <v>2256</v>
      </c>
      <c r="J3205" s="5" t="s">
        <v>4081</v>
      </c>
      <c r="K3205" s="5" t="s">
        <v>2283</v>
      </c>
      <c r="L3205" s="5" t="n">
        <f aca="false">IF(G3205="High",3,IF(G3205="Medium",2,1))</f>
        <v>3</v>
      </c>
    </row>
    <row r="3206" customFormat="false" ht="15" hidden="false" customHeight="true" outlineLevel="0" collapsed="false">
      <c r="A3206" s="5" t="s">
        <v>5484</v>
      </c>
      <c r="B3206" s="5" t="s">
        <v>2062</v>
      </c>
      <c r="C3206" s="5" t="s">
        <v>2239</v>
      </c>
      <c r="D3206" s="5" t="s">
        <v>2240</v>
      </c>
      <c r="E3206" s="5" t="s">
        <v>2225</v>
      </c>
      <c r="F3206" s="5" t="s">
        <v>54</v>
      </c>
      <c r="G3206" s="5" t="str">
        <f aca="false">INDEX(Risk_Matrix!$B$2:$D$4,MATCH(E3206,Risk_Matrix!$A$2:$A$4,0),MATCH(F3206,Risk_Matrix!$B$1:$D$1,0))</f>
        <v>High</v>
      </c>
      <c r="H3206" s="12" t="n">
        <v>46152</v>
      </c>
      <c r="I3206" s="5" t="s">
        <v>2241</v>
      </c>
      <c r="J3206" s="5" t="s">
        <v>2242</v>
      </c>
      <c r="K3206" s="5" t="s">
        <v>2283</v>
      </c>
      <c r="L3206" s="5" t="n">
        <f aca="false">IF(G3206="High",3,IF(G3206="Medium",2,1))</f>
        <v>3</v>
      </c>
    </row>
    <row r="3207" customFormat="false" ht="15" hidden="false" customHeight="true" outlineLevel="0" collapsed="false">
      <c r="A3207" s="5" t="s">
        <v>5485</v>
      </c>
      <c r="B3207" s="5" t="s">
        <v>2062</v>
      </c>
      <c r="C3207" s="5" t="s">
        <v>2245</v>
      </c>
      <c r="D3207" s="5" t="s">
        <v>2246</v>
      </c>
      <c r="E3207" s="5" t="s">
        <v>2225</v>
      </c>
      <c r="F3207" s="5" t="s">
        <v>2225</v>
      </c>
      <c r="G3207" s="5" t="str">
        <f aca="false">INDEX(Risk_Matrix!$B$2:$D$4,MATCH(E3207,Risk_Matrix!$A$2:$A$4,0),MATCH(F3207,Risk_Matrix!$B$1:$D$1,0))</f>
        <v>Medium</v>
      </c>
      <c r="H3207" s="12" t="n">
        <v>46101</v>
      </c>
      <c r="I3207" s="5" t="s">
        <v>2264</v>
      </c>
      <c r="J3207" s="5" t="s">
        <v>4087</v>
      </c>
      <c r="K3207" s="5" t="s">
        <v>2266</v>
      </c>
      <c r="L3207" s="5" t="n">
        <f aca="false">IF(G3207="High",3,IF(G3207="Medium",2,1))</f>
        <v>2</v>
      </c>
    </row>
    <row r="3208" customFormat="false" ht="15" hidden="false" customHeight="true" outlineLevel="0" collapsed="false">
      <c r="A3208" s="5" t="s">
        <v>5486</v>
      </c>
      <c r="B3208" s="5" t="s">
        <v>2062</v>
      </c>
      <c r="C3208" s="5" t="s">
        <v>2248</v>
      </c>
      <c r="D3208" s="5" t="s">
        <v>2306</v>
      </c>
      <c r="E3208" s="5" t="s">
        <v>2225</v>
      </c>
      <c r="F3208" s="5" t="s">
        <v>59</v>
      </c>
      <c r="G3208" s="5" t="str">
        <f aca="false">INDEX(Risk_Matrix!$B$2:$D$4,MATCH(E3208,Risk_Matrix!$A$2:$A$4,0),MATCH(F3208,Risk_Matrix!$B$1:$D$1,0))</f>
        <v>Low</v>
      </c>
      <c r="H3208" s="12" t="n">
        <v>46077</v>
      </c>
      <c r="I3208" s="5" t="s">
        <v>2264</v>
      </c>
      <c r="J3208" s="5" t="s">
        <v>4087</v>
      </c>
      <c r="K3208" s="5" t="s">
        <v>2266</v>
      </c>
      <c r="L3208" s="5" t="n">
        <f aca="false">IF(G3208="High",3,IF(G3208="Medium",2,1))</f>
        <v>1</v>
      </c>
    </row>
    <row r="3209" customFormat="false" ht="15" hidden="false" customHeight="true" outlineLevel="0" collapsed="false">
      <c r="A3209" s="5" t="s">
        <v>5487</v>
      </c>
      <c r="B3209" s="5" t="s">
        <v>2062</v>
      </c>
      <c r="C3209" s="5" t="s">
        <v>2262</v>
      </c>
      <c r="D3209" s="5" t="s">
        <v>2287</v>
      </c>
      <c r="E3209" s="5" t="s">
        <v>2225</v>
      </c>
      <c r="F3209" s="5" t="s">
        <v>59</v>
      </c>
      <c r="G3209" s="5" t="str">
        <f aca="false">INDEX(Risk_Matrix!$B$2:$D$4,MATCH(E3209,Risk_Matrix!$A$2:$A$4,0),MATCH(F3209,Risk_Matrix!$B$1:$D$1,0))</f>
        <v>Low</v>
      </c>
      <c r="H3209" s="12" t="n">
        <v>46225</v>
      </c>
      <c r="I3209" s="5" t="s">
        <v>2241</v>
      </c>
      <c r="J3209" s="5" t="s">
        <v>2242</v>
      </c>
      <c r="K3209" s="5" t="s">
        <v>2276</v>
      </c>
      <c r="L3209" s="5" t="n">
        <f aca="false">IF(G3209="High",3,IF(G3209="Medium",2,1))</f>
        <v>1</v>
      </c>
    </row>
    <row r="3210" customFormat="false" ht="15" hidden="false" customHeight="true" outlineLevel="0" collapsed="false">
      <c r="A3210" s="5" t="s">
        <v>5488</v>
      </c>
      <c r="B3210" s="5" t="s">
        <v>2062</v>
      </c>
      <c r="C3210" s="5" t="s">
        <v>2259</v>
      </c>
      <c r="D3210" s="5" t="s">
        <v>2285</v>
      </c>
      <c r="E3210" s="5" t="s">
        <v>54</v>
      </c>
      <c r="F3210" s="5" t="s">
        <v>59</v>
      </c>
      <c r="G3210" s="5" t="str">
        <f aca="false">INDEX(Risk_Matrix!$B$2:$D$4,MATCH(E3210,Risk_Matrix!$A$2:$A$4,0),MATCH(F3210,Risk_Matrix!$B$1:$D$1,0))</f>
        <v>Medium</v>
      </c>
      <c r="H3210" s="12" t="n">
        <v>46104</v>
      </c>
      <c r="I3210" s="5" t="s">
        <v>2256</v>
      </c>
      <c r="J3210" s="5" t="s">
        <v>4081</v>
      </c>
      <c r="K3210" s="5" t="s">
        <v>2266</v>
      </c>
      <c r="L3210" s="5" t="n">
        <f aca="false">IF(G3210="High",3,IF(G3210="Medium",2,1))</f>
        <v>2</v>
      </c>
    </row>
    <row r="3211" customFormat="false" ht="15" hidden="false" customHeight="true" outlineLevel="0" collapsed="false">
      <c r="A3211" s="5" t="s">
        <v>5489</v>
      </c>
      <c r="B3211" s="5" t="s">
        <v>2062</v>
      </c>
      <c r="C3211" s="5" t="s">
        <v>2254</v>
      </c>
      <c r="D3211" s="5" t="s">
        <v>2308</v>
      </c>
      <c r="E3211" s="5" t="s">
        <v>59</v>
      </c>
      <c r="F3211" s="5" t="s">
        <v>2225</v>
      </c>
      <c r="G3211" s="5" t="str">
        <f aca="false">INDEX(Risk_Matrix!$B$2:$D$4,MATCH(E3211,Risk_Matrix!$A$2:$A$4,0),MATCH(F3211,Risk_Matrix!$B$1:$D$1,0))</f>
        <v>Low</v>
      </c>
      <c r="H3211" s="12" t="n">
        <v>46209</v>
      </c>
      <c r="I3211" s="5" t="s">
        <v>2256</v>
      </c>
      <c r="J3211" s="5" t="s">
        <v>4081</v>
      </c>
      <c r="K3211" s="5" t="s">
        <v>2243</v>
      </c>
      <c r="L3211" s="5" t="n">
        <f aca="false">IF(G3211="High",3,IF(G3211="Medium",2,1))</f>
        <v>1</v>
      </c>
    </row>
    <row r="3212" customFormat="false" ht="15" hidden="false" customHeight="true" outlineLevel="0" collapsed="false">
      <c r="A3212" s="5" t="s">
        <v>5490</v>
      </c>
      <c r="B3212" s="5" t="s">
        <v>2064</v>
      </c>
      <c r="C3212" s="5" t="s">
        <v>2239</v>
      </c>
      <c r="D3212" s="5" t="s">
        <v>2303</v>
      </c>
      <c r="E3212" s="5" t="s">
        <v>54</v>
      </c>
      <c r="F3212" s="5" t="s">
        <v>59</v>
      </c>
      <c r="G3212" s="5" t="str">
        <f aca="false">INDEX(Risk_Matrix!$B$2:$D$4,MATCH(E3212,Risk_Matrix!$A$2:$A$4,0),MATCH(F3212,Risk_Matrix!$B$1:$D$1,0))</f>
        <v>Medium</v>
      </c>
      <c r="H3212" s="12" t="n">
        <v>46062</v>
      </c>
      <c r="I3212" s="5" t="s">
        <v>2241</v>
      </c>
      <c r="J3212" s="5" t="s">
        <v>2242</v>
      </c>
      <c r="K3212" s="5" t="s">
        <v>2243</v>
      </c>
      <c r="L3212" s="5" t="n">
        <f aca="false">IF(G3212="High",3,IF(G3212="Medium",2,1))</f>
        <v>2</v>
      </c>
    </row>
    <row r="3213" customFormat="false" ht="15" hidden="false" customHeight="true" outlineLevel="0" collapsed="false">
      <c r="A3213" s="5" t="s">
        <v>5491</v>
      </c>
      <c r="B3213" s="5" t="s">
        <v>2064</v>
      </c>
      <c r="C3213" s="5" t="s">
        <v>2245</v>
      </c>
      <c r="D3213" s="5" t="s">
        <v>2246</v>
      </c>
      <c r="E3213" s="5" t="s">
        <v>54</v>
      </c>
      <c r="F3213" s="5" t="s">
        <v>54</v>
      </c>
      <c r="G3213" s="5" t="str">
        <f aca="false">INDEX(Risk_Matrix!$B$2:$D$4,MATCH(E3213,Risk_Matrix!$A$2:$A$4,0),MATCH(F3213,Risk_Matrix!$B$1:$D$1,0))</f>
        <v>High</v>
      </c>
      <c r="H3213" s="12" t="n">
        <v>46154</v>
      </c>
      <c r="I3213" s="5" t="s">
        <v>2241</v>
      </c>
      <c r="J3213" s="5" t="s">
        <v>2242</v>
      </c>
      <c r="K3213" s="5" t="s">
        <v>2276</v>
      </c>
      <c r="L3213" s="5" t="n">
        <f aca="false">IF(G3213="High",3,IF(G3213="Medium",2,1))</f>
        <v>3</v>
      </c>
    </row>
    <row r="3214" customFormat="false" ht="15" hidden="false" customHeight="true" outlineLevel="0" collapsed="false">
      <c r="A3214" s="5" t="s">
        <v>5492</v>
      </c>
      <c r="B3214" s="5" t="s">
        <v>2064</v>
      </c>
      <c r="C3214" s="5" t="s">
        <v>2248</v>
      </c>
      <c r="D3214" s="5" t="s">
        <v>2306</v>
      </c>
      <c r="E3214" s="5" t="s">
        <v>54</v>
      </c>
      <c r="F3214" s="5" t="s">
        <v>2225</v>
      </c>
      <c r="G3214" s="5" t="str">
        <f aca="false">INDEX(Risk_Matrix!$B$2:$D$4,MATCH(E3214,Risk_Matrix!$A$2:$A$4,0),MATCH(F3214,Risk_Matrix!$B$1:$D$1,0))</f>
        <v>High</v>
      </c>
      <c r="H3214" s="12" t="n">
        <v>46204</v>
      </c>
      <c r="I3214" s="5" t="s">
        <v>2241</v>
      </c>
      <c r="J3214" s="5" t="s">
        <v>2242</v>
      </c>
      <c r="K3214" s="5" t="s">
        <v>2283</v>
      </c>
      <c r="L3214" s="5" t="n">
        <f aca="false">IF(G3214="High",3,IF(G3214="Medium",2,1))</f>
        <v>3</v>
      </c>
    </row>
    <row r="3215" customFormat="false" ht="15" hidden="false" customHeight="true" outlineLevel="0" collapsed="false">
      <c r="A3215" s="5" t="s">
        <v>5493</v>
      </c>
      <c r="B3215" s="5" t="s">
        <v>2064</v>
      </c>
      <c r="C3215" s="5" t="s">
        <v>2262</v>
      </c>
      <c r="D3215" s="5" t="s">
        <v>2287</v>
      </c>
      <c r="E3215" s="5" t="s">
        <v>54</v>
      </c>
      <c r="F3215" s="5" t="s">
        <v>54</v>
      </c>
      <c r="G3215" s="5" t="str">
        <f aca="false">INDEX(Risk_Matrix!$B$2:$D$4,MATCH(E3215,Risk_Matrix!$A$2:$A$4,0),MATCH(F3215,Risk_Matrix!$B$1:$D$1,0))</f>
        <v>High</v>
      </c>
      <c r="H3215" s="12" t="n">
        <v>46148</v>
      </c>
      <c r="I3215" s="5" t="s">
        <v>2241</v>
      </c>
      <c r="J3215" s="5" t="s">
        <v>2242</v>
      </c>
      <c r="K3215" s="5" t="s">
        <v>2276</v>
      </c>
      <c r="L3215" s="5" t="n">
        <f aca="false">IF(G3215="High",3,IF(G3215="Medium",2,1))</f>
        <v>3</v>
      </c>
    </row>
    <row r="3216" customFormat="false" ht="15" hidden="false" customHeight="true" outlineLevel="0" collapsed="false">
      <c r="A3216" s="5" t="s">
        <v>5494</v>
      </c>
      <c r="B3216" s="5" t="s">
        <v>2064</v>
      </c>
      <c r="C3216" s="5" t="s">
        <v>2259</v>
      </c>
      <c r="D3216" s="5" t="s">
        <v>2260</v>
      </c>
      <c r="E3216" s="5" t="s">
        <v>2225</v>
      </c>
      <c r="F3216" s="5" t="s">
        <v>2225</v>
      </c>
      <c r="G3216" s="5" t="str">
        <f aca="false">INDEX(Risk_Matrix!$B$2:$D$4,MATCH(E3216,Risk_Matrix!$A$2:$A$4,0),MATCH(F3216,Risk_Matrix!$B$1:$D$1,0))</f>
        <v>Medium</v>
      </c>
      <c r="H3216" s="12" t="n">
        <v>46043</v>
      </c>
      <c r="I3216" s="5" t="s">
        <v>2256</v>
      </c>
      <c r="J3216" s="5" t="s">
        <v>4081</v>
      </c>
      <c r="K3216" s="5" t="s">
        <v>2266</v>
      </c>
      <c r="L3216" s="5" t="n">
        <f aca="false">IF(G3216="High",3,IF(G3216="Medium",2,1))</f>
        <v>2</v>
      </c>
    </row>
    <row r="3217" customFormat="false" ht="15" hidden="false" customHeight="true" outlineLevel="0" collapsed="false">
      <c r="A3217" s="5" t="s">
        <v>5495</v>
      </c>
      <c r="B3217" s="5" t="s">
        <v>2064</v>
      </c>
      <c r="C3217" s="5" t="s">
        <v>2254</v>
      </c>
      <c r="D3217" s="5" t="s">
        <v>2308</v>
      </c>
      <c r="E3217" s="5" t="s">
        <v>2225</v>
      </c>
      <c r="F3217" s="5" t="s">
        <v>54</v>
      </c>
      <c r="G3217" s="5" t="str">
        <f aca="false">INDEX(Risk_Matrix!$B$2:$D$4,MATCH(E3217,Risk_Matrix!$A$2:$A$4,0),MATCH(F3217,Risk_Matrix!$B$1:$D$1,0))</f>
        <v>High</v>
      </c>
      <c r="H3217" s="12" t="n">
        <v>46129</v>
      </c>
      <c r="I3217" s="5" t="s">
        <v>2250</v>
      </c>
      <c r="J3217" s="5" t="s">
        <v>2251</v>
      </c>
      <c r="K3217" s="5" t="s">
        <v>2276</v>
      </c>
      <c r="L3217" s="5" t="n">
        <f aca="false">IF(G3217="High",3,IF(G3217="Medium",2,1))</f>
        <v>3</v>
      </c>
    </row>
    <row r="3218" customFormat="false" ht="15" hidden="false" customHeight="true" outlineLevel="0" collapsed="false">
      <c r="A3218" s="5" t="s">
        <v>5496</v>
      </c>
      <c r="B3218" s="5" t="s">
        <v>2066</v>
      </c>
      <c r="C3218" s="5" t="s">
        <v>2239</v>
      </c>
      <c r="D3218" s="5" t="s">
        <v>2278</v>
      </c>
      <c r="E3218" s="5" t="s">
        <v>59</v>
      </c>
      <c r="F3218" s="5" t="s">
        <v>59</v>
      </c>
      <c r="G3218" s="5" t="str">
        <f aca="false">INDEX(Risk_Matrix!$B$2:$D$4,MATCH(E3218,Risk_Matrix!$A$2:$A$4,0),MATCH(F3218,Risk_Matrix!$B$1:$D$1,0))</f>
        <v>Low</v>
      </c>
      <c r="H3218" s="12" t="n">
        <v>46049</v>
      </c>
      <c r="I3218" s="5" t="s">
        <v>2241</v>
      </c>
      <c r="J3218" s="5" t="s">
        <v>2242</v>
      </c>
      <c r="K3218" s="5" t="s">
        <v>2243</v>
      </c>
      <c r="L3218" s="5" t="n">
        <f aca="false">IF(G3218="High",3,IF(G3218="Medium",2,1))</f>
        <v>1</v>
      </c>
    </row>
    <row r="3219" customFormat="false" ht="15" hidden="false" customHeight="true" outlineLevel="0" collapsed="false">
      <c r="A3219" s="5" t="s">
        <v>5497</v>
      </c>
      <c r="B3219" s="5" t="s">
        <v>2066</v>
      </c>
      <c r="C3219" s="5" t="s">
        <v>2245</v>
      </c>
      <c r="D3219" s="5" t="s">
        <v>2246</v>
      </c>
      <c r="E3219" s="5" t="s">
        <v>54</v>
      </c>
      <c r="F3219" s="5" t="s">
        <v>59</v>
      </c>
      <c r="G3219" s="5" t="str">
        <f aca="false">INDEX(Risk_Matrix!$B$2:$D$4,MATCH(E3219,Risk_Matrix!$A$2:$A$4,0),MATCH(F3219,Risk_Matrix!$B$1:$D$1,0))</f>
        <v>Medium</v>
      </c>
      <c r="H3219" s="12" t="n">
        <v>46122</v>
      </c>
      <c r="I3219" s="5" t="s">
        <v>2256</v>
      </c>
      <c r="J3219" s="5" t="s">
        <v>4081</v>
      </c>
      <c r="K3219" s="5" t="s">
        <v>2283</v>
      </c>
      <c r="L3219" s="5" t="n">
        <f aca="false">IF(G3219="High",3,IF(G3219="Medium",2,1))</f>
        <v>2</v>
      </c>
    </row>
    <row r="3220" customFormat="false" ht="15" hidden="false" customHeight="true" outlineLevel="0" collapsed="false">
      <c r="A3220" s="5" t="s">
        <v>5498</v>
      </c>
      <c r="B3220" s="5" t="s">
        <v>2066</v>
      </c>
      <c r="C3220" s="5" t="s">
        <v>2248</v>
      </c>
      <c r="D3220" s="5" t="s">
        <v>2306</v>
      </c>
      <c r="E3220" s="5" t="s">
        <v>2225</v>
      </c>
      <c r="F3220" s="5" t="s">
        <v>59</v>
      </c>
      <c r="G3220" s="5" t="str">
        <f aca="false">INDEX(Risk_Matrix!$B$2:$D$4,MATCH(E3220,Risk_Matrix!$A$2:$A$4,0),MATCH(F3220,Risk_Matrix!$B$1:$D$1,0))</f>
        <v>Low</v>
      </c>
      <c r="H3220" s="12" t="n">
        <v>46132</v>
      </c>
      <c r="I3220" s="5" t="s">
        <v>2264</v>
      </c>
      <c r="J3220" s="5" t="s">
        <v>4087</v>
      </c>
      <c r="K3220" s="5" t="s">
        <v>2283</v>
      </c>
      <c r="L3220" s="5" t="n">
        <f aca="false">IF(G3220="High",3,IF(G3220="Medium",2,1))</f>
        <v>1</v>
      </c>
    </row>
    <row r="3221" customFormat="false" ht="15" hidden="false" customHeight="true" outlineLevel="0" collapsed="false">
      <c r="A3221" s="5" t="s">
        <v>5499</v>
      </c>
      <c r="B3221" s="5" t="s">
        <v>2066</v>
      </c>
      <c r="C3221" s="5" t="s">
        <v>2262</v>
      </c>
      <c r="D3221" s="5" t="s">
        <v>2311</v>
      </c>
      <c r="E3221" s="5" t="s">
        <v>54</v>
      </c>
      <c r="F3221" s="5" t="s">
        <v>59</v>
      </c>
      <c r="G3221" s="5" t="str">
        <f aca="false">INDEX(Risk_Matrix!$B$2:$D$4,MATCH(E3221,Risk_Matrix!$A$2:$A$4,0),MATCH(F3221,Risk_Matrix!$B$1:$D$1,0))</f>
        <v>Medium</v>
      </c>
      <c r="H3221" s="12" t="n">
        <v>46064</v>
      </c>
      <c r="I3221" s="5" t="s">
        <v>2264</v>
      </c>
      <c r="J3221" s="5" t="s">
        <v>4087</v>
      </c>
      <c r="K3221" s="5" t="s">
        <v>2243</v>
      </c>
      <c r="L3221" s="5" t="n">
        <f aca="false">IF(G3221="High",3,IF(G3221="Medium",2,1))</f>
        <v>2</v>
      </c>
    </row>
    <row r="3222" customFormat="false" ht="15" hidden="false" customHeight="true" outlineLevel="0" collapsed="false">
      <c r="A3222" s="5" t="s">
        <v>5500</v>
      </c>
      <c r="B3222" s="5" t="s">
        <v>2066</v>
      </c>
      <c r="C3222" s="5" t="s">
        <v>2259</v>
      </c>
      <c r="D3222" s="5" t="s">
        <v>2274</v>
      </c>
      <c r="E3222" s="5" t="s">
        <v>59</v>
      </c>
      <c r="F3222" s="5" t="s">
        <v>54</v>
      </c>
      <c r="G3222" s="5" t="str">
        <f aca="false">INDEX(Risk_Matrix!$B$2:$D$4,MATCH(E3222,Risk_Matrix!$A$2:$A$4,0),MATCH(F3222,Risk_Matrix!$B$1:$D$1,0))</f>
        <v>Medium</v>
      </c>
      <c r="H3222" s="12" t="n">
        <v>46122</v>
      </c>
      <c r="I3222" s="5" t="s">
        <v>2256</v>
      </c>
      <c r="J3222" s="5" t="s">
        <v>4081</v>
      </c>
      <c r="K3222" s="5" t="s">
        <v>2266</v>
      </c>
      <c r="L3222" s="5" t="n">
        <f aca="false">IF(G3222="High",3,IF(G3222="Medium",2,1))</f>
        <v>2</v>
      </c>
    </row>
    <row r="3223" customFormat="false" ht="15" hidden="false" customHeight="true" outlineLevel="0" collapsed="false">
      <c r="A3223" s="5" t="s">
        <v>5501</v>
      </c>
      <c r="B3223" s="5" t="s">
        <v>2066</v>
      </c>
      <c r="C3223" s="5" t="s">
        <v>2254</v>
      </c>
      <c r="D3223" s="5" t="s">
        <v>2308</v>
      </c>
      <c r="E3223" s="5" t="s">
        <v>54</v>
      </c>
      <c r="F3223" s="5" t="s">
        <v>59</v>
      </c>
      <c r="G3223" s="5" t="str">
        <f aca="false">INDEX(Risk_Matrix!$B$2:$D$4,MATCH(E3223,Risk_Matrix!$A$2:$A$4,0),MATCH(F3223,Risk_Matrix!$B$1:$D$1,0))</f>
        <v>Medium</v>
      </c>
      <c r="H3223" s="12" t="n">
        <v>46197</v>
      </c>
      <c r="I3223" s="5" t="s">
        <v>2241</v>
      </c>
      <c r="J3223" s="5" t="s">
        <v>2242</v>
      </c>
      <c r="K3223" s="5" t="s">
        <v>2283</v>
      </c>
      <c r="L3223" s="5" t="n">
        <f aca="false">IF(G3223="High",3,IF(G3223="Medium",2,1))</f>
        <v>2</v>
      </c>
    </row>
    <row r="3224" customFormat="false" ht="15" hidden="false" customHeight="true" outlineLevel="0" collapsed="false">
      <c r="A3224" s="5" t="s">
        <v>5502</v>
      </c>
      <c r="B3224" s="5" t="s">
        <v>2068</v>
      </c>
      <c r="C3224" s="5" t="s">
        <v>2239</v>
      </c>
      <c r="D3224" s="5" t="s">
        <v>2295</v>
      </c>
      <c r="E3224" s="5" t="s">
        <v>54</v>
      </c>
      <c r="F3224" s="5" t="s">
        <v>54</v>
      </c>
      <c r="G3224" s="5" t="str">
        <f aca="false">INDEX(Risk_Matrix!$B$2:$D$4,MATCH(E3224,Risk_Matrix!$A$2:$A$4,0),MATCH(F3224,Risk_Matrix!$B$1:$D$1,0))</f>
        <v>High</v>
      </c>
      <c r="H3224" s="12" t="n">
        <v>46234</v>
      </c>
      <c r="I3224" s="5" t="s">
        <v>2241</v>
      </c>
      <c r="J3224" s="5" t="s">
        <v>2242</v>
      </c>
      <c r="K3224" s="5" t="s">
        <v>2252</v>
      </c>
      <c r="L3224" s="5" t="n">
        <f aca="false">IF(G3224="High",3,IF(G3224="Medium",2,1))</f>
        <v>3</v>
      </c>
    </row>
    <row r="3225" customFormat="false" ht="15" hidden="false" customHeight="true" outlineLevel="0" collapsed="false">
      <c r="A3225" s="5" t="s">
        <v>5503</v>
      </c>
      <c r="B3225" s="5" t="s">
        <v>2068</v>
      </c>
      <c r="C3225" s="5" t="s">
        <v>2245</v>
      </c>
      <c r="D3225" s="5" t="s">
        <v>2246</v>
      </c>
      <c r="E3225" s="5" t="s">
        <v>2225</v>
      </c>
      <c r="F3225" s="5" t="s">
        <v>59</v>
      </c>
      <c r="G3225" s="5" t="str">
        <f aca="false">INDEX(Risk_Matrix!$B$2:$D$4,MATCH(E3225,Risk_Matrix!$A$2:$A$4,0),MATCH(F3225,Risk_Matrix!$B$1:$D$1,0))</f>
        <v>Low</v>
      </c>
      <c r="H3225" s="12" t="n">
        <v>46075</v>
      </c>
      <c r="I3225" s="5" t="s">
        <v>2256</v>
      </c>
      <c r="J3225" s="5" t="s">
        <v>4081</v>
      </c>
      <c r="K3225" s="5" t="s">
        <v>2243</v>
      </c>
      <c r="L3225" s="5" t="n">
        <f aca="false">IF(G3225="High",3,IF(G3225="Medium",2,1))</f>
        <v>1</v>
      </c>
    </row>
    <row r="3226" customFormat="false" ht="15" hidden="false" customHeight="true" outlineLevel="0" collapsed="false">
      <c r="A3226" s="5" t="s">
        <v>5504</v>
      </c>
      <c r="B3226" s="5" t="s">
        <v>2068</v>
      </c>
      <c r="C3226" s="5" t="s">
        <v>2248</v>
      </c>
      <c r="D3226" s="5" t="s">
        <v>2249</v>
      </c>
      <c r="E3226" s="5" t="s">
        <v>2225</v>
      </c>
      <c r="F3226" s="5" t="s">
        <v>2225</v>
      </c>
      <c r="G3226" s="5" t="str">
        <f aca="false">INDEX(Risk_Matrix!$B$2:$D$4,MATCH(E3226,Risk_Matrix!$A$2:$A$4,0),MATCH(F3226,Risk_Matrix!$B$1:$D$1,0))</f>
        <v>Medium</v>
      </c>
      <c r="H3226" s="12" t="n">
        <v>46071</v>
      </c>
      <c r="I3226" s="5" t="s">
        <v>2264</v>
      </c>
      <c r="J3226" s="5" t="s">
        <v>4087</v>
      </c>
      <c r="K3226" s="5" t="s">
        <v>2266</v>
      </c>
      <c r="L3226" s="5" t="n">
        <f aca="false">IF(G3226="High",3,IF(G3226="Medium",2,1))</f>
        <v>2</v>
      </c>
    </row>
    <row r="3227" customFormat="false" ht="15" hidden="false" customHeight="true" outlineLevel="0" collapsed="false">
      <c r="A3227" s="5" t="s">
        <v>5505</v>
      </c>
      <c r="B3227" s="5" t="s">
        <v>2068</v>
      </c>
      <c r="C3227" s="5" t="s">
        <v>2262</v>
      </c>
      <c r="D3227" s="5" t="s">
        <v>2287</v>
      </c>
      <c r="E3227" s="5" t="s">
        <v>54</v>
      </c>
      <c r="F3227" s="5" t="s">
        <v>54</v>
      </c>
      <c r="G3227" s="5" t="str">
        <f aca="false">INDEX(Risk_Matrix!$B$2:$D$4,MATCH(E3227,Risk_Matrix!$A$2:$A$4,0),MATCH(F3227,Risk_Matrix!$B$1:$D$1,0))</f>
        <v>High</v>
      </c>
      <c r="H3227" s="12" t="n">
        <v>46197</v>
      </c>
      <c r="I3227" s="5" t="s">
        <v>2241</v>
      </c>
      <c r="J3227" s="5" t="s">
        <v>2242</v>
      </c>
      <c r="K3227" s="5" t="s">
        <v>2243</v>
      </c>
      <c r="L3227" s="5" t="n">
        <f aca="false">IF(G3227="High",3,IF(G3227="Medium",2,1))</f>
        <v>3</v>
      </c>
    </row>
    <row r="3228" customFormat="false" ht="15" hidden="false" customHeight="true" outlineLevel="0" collapsed="false">
      <c r="A3228" s="5" t="s">
        <v>5506</v>
      </c>
      <c r="B3228" s="5" t="s">
        <v>2068</v>
      </c>
      <c r="C3228" s="5" t="s">
        <v>2259</v>
      </c>
      <c r="D3228" s="5" t="s">
        <v>2260</v>
      </c>
      <c r="E3228" s="5" t="s">
        <v>54</v>
      </c>
      <c r="F3228" s="5" t="s">
        <v>59</v>
      </c>
      <c r="G3228" s="5" t="str">
        <f aca="false">INDEX(Risk_Matrix!$B$2:$D$4,MATCH(E3228,Risk_Matrix!$A$2:$A$4,0),MATCH(F3228,Risk_Matrix!$B$1:$D$1,0))</f>
        <v>Medium</v>
      </c>
      <c r="H3228" s="12" t="n">
        <v>46158</v>
      </c>
      <c r="I3228" s="5" t="s">
        <v>2241</v>
      </c>
      <c r="J3228" s="5" t="s">
        <v>2242</v>
      </c>
      <c r="K3228" s="5" t="s">
        <v>2276</v>
      </c>
      <c r="L3228" s="5" t="n">
        <f aca="false">IF(G3228="High",3,IF(G3228="Medium",2,1))</f>
        <v>2</v>
      </c>
    </row>
    <row r="3229" customFormat="false" ht="15" hidden="false" customHeight="true" outlineLevel="0" collapsed="false">
      <c r="A3229" s="5" t="s">
        <v>5507</v>
      </c>
      <c r="B3229" s="5" t="s">
        <v>2068</v>
      </c>
      <c r="C3229" s="5" t="s">
        <v>2254</v>
      </c>
      <c r="D3229" s="5" t="s">
        <v>2308</v>
      </c>
      <c r="E3229" s="5" t="s">
        <v>54</v>
      </c>
      <c r="F3229" s="5" t="s">
        <v>59</v>
      </c>
      <c r="G3229" s="5" t="str">
        <f aca="false">INDEX(Risk_Matrix!$B$2:$D$4,MATCH(E3229,Risk_Matrix!$A$2:$A$4,0),MATCH(F3229,Risk_Matrix!$B$1:$D$1,0))</f>
        <v>Medium</v>
      </c>
      <c r="H3229" s="12" t="n">
        <v>46187</v>
      </c>
      <c r="I3229" s="5" t="s">
        <v>2264</v>
      </c>
      <c r="J3229" s="5" t="s">
        <v>4087</v>
      </c>
      <c r="K3229" s="5" t="s">
        <v>2276</v>
      </c>
      <c r="L3229" s="5" t="n">
        <f aca="false">IF(G3229="High",3,IF(G3229="Medium",2,1))</f>
        <v>2</v>
      </c>
    </row>
    <row r="3230" customFormat="false" ht="15" hidden="false" customHeight="true" outlineLevel="0" collapsed="false">
      <c r="A3230" s="5" t="s">
        <v>5508</v>
      </c>
      <c r="B3230" s="5" t="s">
        <v>2070</v>
      </c>
      <c r="C3230" s="5" t="s">
        <v>2239</v>
      </c>
      <c r="D3230" s="5" t="s">
        <v>2295</v>
      </c>
      <c r="E3230" s="5" t="s">
        <v>59</v>
      </c>
      <c r="F3230" s="5" t="s">
        <v>2225</v>
      </c>
      <c r="G3230" s="5" t="str">
        <f aca="false">INDEX(Risk_Matrix!$B$2:$D$4,MATCH(E3230,Risk_Matrix!$A$2:$A$4,0),MATCH(F3230,Risk_Matrix!$B$1:$D$1,0))</f>
        <v>Low</v>
      </c>
      <c r="H3230" s="12" t="n">
        <v>46219</v>
      </c>
      <c r="I3230" s="5" t="s">
        <v>2256</v>
      </c>
      <c r="J3230" s="5" t="s">
        <v>4081</v>
      </c>
      <c r="K3230" s="5" t="s">
        <v>2266</v>
      </c>
      <c r="L3230" s="5" t="n">
        <f aca="false">IF(G3230="High",3,IF(G3230="Medium",2,1))</f>
        <v>1</v>
      </c>
    </row>
    <row r="3231" customFormat="false" ht="15" hidden="false" customHeight="true" outlineLevel="0" collapsed="false">
      <c r="A3231" s="5" t="s">
        <v>5509</v>
      </c>
      <c r="B3231" s="5" t="s">
        <v>2070</v>
      </c>
      <c r="C3231" s="5" t="s">
        <v>2245</v>
      </c>
      <c r="D3231" s="5" t="s">
        <v>2269</v>
      </c>
      <c r="E3231" s="5" t="s">
        <v>59</v>
      </c>
      <c r="F3231" s="5" t="s">
        <v>2225</v>
      </c>
      <c r="G3231" s="5" t="str">
        <f aca="false">INDEX(Risk_Matrix!$B$2:$D$4,MATCH(E3231,Risk_Matrix!$A$2:$A$4,0),MATCH(F3231,Risk_Matrix!$B$1:$D$1,0))</f>
        <v>Low</v>
      </c>
      <c r="H3231" s="12" t="n">
        <v>46076</v>
      </c>
      <c r="I3231" s="5" t="s">
        <v>2256</v>
      </c>
      <c r="J3231" s="5" t="s">
        <v>4081</v>
      </c>
      <c r="K3231" s="5" t="s">
        <v>2266</v>
      </c>
      <c r="L3231" s="5" t="n">
        <f aca="false">IF(G3231="High",3,IF(G3231="Medium",2,1))</f>
        <v>1</v>
      </c>
    </row>
    <row r="3232" customFormat="false" ht="15" hidden="false" customHeight="true" outlineLevel="0" collapsed="false">
      <c r="A3232" s="5" t="s">
        <v>5510</v>
      </c>
      <c r="B3232" s="5" t="s">
        <v>2070</v>
      </c>
      <c r="C3232" s="5" t="s">
        <v>2248</v>
      </c>
      <c r="D3232" s="5" t="s">
        <v>2306</v>
      </c>
      <c r="E3232" s="5" t="s">
        <v>2225</v>
      </c>
      <c r="F3232" s="5" t="s">
        <v>2225</v>
      </c>
      <c r="G3232" s="5" t="str">
        <f aca="false">INDEX(Risk_Matrix!$B$2:$D$4,MATCH(E3232,Risk_Matrix!$A$2:$A$4,0),MATCH(F3232,Risk_Matrix!$B$1:$D$1,0))</f>
        <v>Medium</v>
      </c>
      <c r="H3232" s="12" t="n">
        <v>46149</v>
      </c>
      <c r="I3232" s="5" t="s">
        <v>2264</v>
      </c>
      <c r="J3232" s="5" t="s">
        <v>4087</v>
      </c>
      <c r="K3232" s="5" t="s">
        <v>2243</v>
      </c>
      <c r="L3232" s="5" t="n">
        <f aca="false">IF(G3232="High",3,IF(G3232="Medium",2,1))</f>
        <v>2</v>
      </c>
    </row>
    <row r="3233" customFormat="false" ht="15" hidden="false" customHeight="true" outlineLevel="0" collapsed="false">
      <c r="A3233" s="5" t="s">
        <v>5511</v>
      </c>
      <c r="B3233" s="5" t="s">
        <v>2070</v>
      </c>
      <c r="C3233" s="5" t="s">
        <v>2262</v>
      </c>
      <c r="D3233" s="5" t="s">
        <v>2263</v>
      </c>
      <c r="E3233" s="5" t="s">
        <v>54</v>
      </c>
      <c r="F3233" s="5" t="s">
        <v>2225</v>
      </c>
      <c r="G3233" s="5" t="str">
        <f aca="false">INDEX(Risk_Matrix!$B$2:$D$4,MATCH(E3233,Risk_Matrix!$A$2:$A$4,0),MATCH(F3233,Risk_Matrix!$B$1:$D$1,0))</f>
        <v>High</v>
      </c>
      <c r="H3233" s="12" t="n">
        <v>46180</v>
      </c>
      <c r="I3233" s="5" t="s">
        <v>2264</v>
      </c>
      <c r="J3233" s="5" t="s">
        <v>4087</v>
      </c>
      <c r="K3233" s="5" t="s">
        <v>2243</v>
      </c>
      <c r="L3233" s="5" t="n">
        <f aca="false">IF(G3233="High",3,IF(G3233="Medium",2,1))</f>
        <v>3</v>
      </c>
    </row>
    <row r="3234" customFormat="false" ht="15" hidden="false" customHeight="true" outlineLevel="0" collapsed="false">
      <c r="A3234" s="5" t="s">
        <v>5512</v>
      </c>
      <c r="B3234" s="5" t="s">
        <v>2070</v>
      </c>
      <c r="C3234" s="5" t="s">
        <v>2259</v>
      </c>
      <c r="D3234" s="5" t="s">
        <v>2285</v>
      </c>
      <c r="E3234" s="5" t="s">
        <v>2225</v>
      </c>
      <c r="F3234" s="5" t="s">
        <v>2225</v>
      </c>
      <c r="G3234" s="5" t="str">
        <f aca="false">INDEX(Risk_Matrix!$B$2:$D$4,MATCH(E3234,Risk_Matrix!$A$2:$A$4,0),MATCH(F3234,Risk_Matrix!$B$1:$D$1,0))</f>
        <v>Medium</v>
      </c>
      <c r="H3234" s="12" t="n">
        <v>46180</v>
      </c>
      <c r="I3234" s="5" t="s">
        <v>2241</v>
      </c>
      <c r="J3234" s="5" t="s">
        <v>2242</v>
      </c>
      <c r="K3234" s="5" t="s">
        <v>2276</v>
      </c>
      <c r="L3234" s="5" t="n">
        <f aca="false">IF(G3234="High",3,IF(G3234="Medium",2,1))</f>
        <v>2</v>
      </c>
    </row>
    <row r="3235" customFormat="false" ht="15" hidden="false" customHeight="true" outlineLevel="0" collapsed="false">
      <c r="A3235" s="5" t="s">
        <v>5513</v>
      </c>
      <c r="B3235" s="5" t="s">
        <v>2070</v>
      </c>
      <c r="C3235" s="5" t="s">
        <v>2254</v>
      </c>
      <c r="D3235" s="5" t="s">
        <v>2308</v>
      </c>
      <c r="E3235" s="5" t="s">
        <v>2225</v>
      </c>
      <c r="F3235" s="5" t="s">
        <v>59</v>
      </c>
      <c r="G3235" s="5" t="str">
        <f aca="false">INDEX(Risk_Matrix!$B$2:$D$4,MATCH(E3235,Risk_Matrix!$A$2:$A$4,0),MATCH(F3235,Risk_Matrix!$B$1:$D$1,0))</f>
        <v>Low</v>
      </c>
      <c r="H3235" s="12" t="n">
        <v>46224</v>
      </c>
      <c r="I3235" s="5" t="s">
        <v>2241</v>
      </c>
      <c r="J3235" s="5" t="s">
        <v>2242</v>
      </c>
      <c r="K3235" s="5" t="s">
        <v>2243</v>
      </c>
      <c r="L3235" s="5" t="n">
        <f aca="false">IF(G3235="High",3,IF(G3235="Medium",2,1))</f>
        <v>1</v>
      </c>
    </row>
    <row r="3236" customFormat="false" ht="15" hidden="false" customHeight="true" outlineLevel="0" collapsed="false">
      <c r="A3236" s="5" t="s">
        <v>5514</v>
      </c>
      <c r="B3236" s="5" t="s">
        <v>2072</v>
      </c>
      <c r="C3236" s="5" t="s">
        <v>2239</v>
      </c>
      <c r="D3236" s="5" t="s">
        <v>2240</v>
      </c>
      <c r="E3236" s="5" t="s">
        <v>2225</v>
      </c>
      <c r="F3236" s="5" t="s">
        <v>2225</v>
      </c>
      <c r="G3236" s="5" t="str">
        <f aca="false">INDEX(Risk_Matrix!$B$2:$D$4,MATCH(E3236,Risk_Matrix!$A$2:$A$4,0),MATCH(F3236,Risk_Matrix!$B$1:$D$1,0))</f>
        <v>Medium</v>
      </c>
      <c r="H3236" s="12" t="n">
        <v>46145</v>
      </c>
      <c r="I3236" s="5" t="s">
        <v>2256</v>
      </c>
      <c r="J3236" s="5" t="s">
        <v>4081</v>
      </c>
      <c r="K3236" s="5" t="s">
        <v>2252</v>
      </c>
      <c r="L3236" s="5" t="n">
        <f aca="false">IF(G3236="High",3,IF(G3236="Medium",2,1))</f>
        <v>2</v>
      </c>
    </row>
    <row r="3237" customFormat="false" ht="15" hidden="false" customHeight="true" outlineLevel="0" collapsed="false">
      <c r="A3237" s="5" t="s">
        <v>5515</v>
      </c>
      <c r="B3237" s="5" t="s">
        <v>2072</v>
      </c>
      <c r="C3237" s="5" t="s">
        <v>2245</v>
      </c>
      <c r="D3237" s="5" t="s">
        <v>2320</v>
      </c>
      <c r="E3237" s="5" t="s">
        <v>2225</v>
      </c>
      <c r="F3237" s="5" t="s">
        <v>54</v>
      </c>
      <c r="G3237" s="5" t="str">
        <f aca="false">INDEX(Risk_Matrix!$B$2:$D$4,MATCH(E3237,Risk_Matrix!$A$2:$A$4,0),MATCH(F3237,Risk_Matrix!$B$1:$D$1,0))</f>
        <v>High</v>
      </c>
      <c r="H3237" s="12" t="n">
        <v>46147</v>
      </c>
      <c r="I3237" s="5" t="s">
        <v>2250</v>
      </c>
      <c r="J3237" s="5" t="s">
        <v>2251</v>
      </c>
      <c r="K3237" s="5" t="s">
        <v>2252</v>
      </c>
      <c r="L3237" s="5" t="n">
        <f aca="false">IF(G3237="High",3,IF(G3237="Medium",2,1))</f>
        <v>3</v>
      </c>
    </row>
    <row r="3238" customFormat="false" ht="15" hidden="false" customHeight="true" outlineLevel="0" collapsed="false">
      <c r="A3238" s="5" t="s">
        <v>5516</v>
      </c>
      <c r="B3238" s="5" t="s">
        <v>2072</v>
      </c>
      <c r="C3238" s="5" t="s">
        <v>2248</v>
      </c>
      <c r="D3238" s="5" t="s">
        <v>2249</v>
      </c>
      <c r="E3238" s="5" t="s">
        <v>2225</v>
      </c>
      <c r="F3238" s="5" t="s">
        <v>54</v>
      </c>
      <c r="G3238" s="5" t="str">
        <f aca="false">INDEX(Risk_Matrix!$B$2:$D$4,MATCH(E3238,Risk_Matrix!$A$2:$A$4,0),MATCH(F3238,Risk_Matrix!$B$1:$D$1,0))</f>
        <v>High</v>
      </c>
      <c r="H3238" s="12" t="n">
        <v>46113</v>
      </c>
      <c r="I3238" s="5" t="s">
        <v>2264</v>
      </c>
      <c r="J3238" s="5" t="s">
        <v>4087</v>
      </c>
      <c r="K3238" s="5" t="s">
        <v>2276</v>
      </c>
      <c r="L3238" s="5" t="n">
        <f aca="false">IF(G3238="High",3,IF(G3238="Medium",2,1))</f>
        <v>3</v>
      </c>
    </row>
    <row r="3239" customFormat="false" ht="15" hidden="false" customHeight="true" outlineLevel="0" collapsed="false">
      <c r="A3239" s="5" t="s">
        <v>5517</v>
      </c>
      <c r="B3239" s="5" t="s">
        <v>2072</v>
      </c>
      <c r="C3239" s="5" t="s">
        <v>2262</v>
      </c>
      <c r="D3239" s="5" t="s">
        <v>2311</v>
      </c>
      <c r="E3239" s="5" t="s">
        <v>54</v>
      </c>
      <c r="F3239" s="5" t="s">
        <v>2225</v>
      </c>
      <c r="G3239" s="5" t="str">
        <f aca="false">INDEX(Risk_Matrix!$B$2:$D$4,MATCH(E3239,Risk_Matrix!$A$2:$A$4,0),MATCH(F3239,Risk_Matrix!$B$1:$D$1,0))</f>
        <v>High</v>
      </c>
      <c r="H3239" s="12" t="n">
        <v>46159</v>
      </c>
      <c r="I3239" s="5" t="s">
        <v>2250</v>
      </c>
      <c r="J3239" s="5" t="s">
        <v>2251</v>
      </c>
      <c r="K3239" s="5" t="s">
        <v>2283</v>
      </c>
      <c r="L3239" s="5" t="n">
        <f aca="false">IF(G3239="High",3,IF(G3239="Medium",2,1))</f>
        <v>3</v>
      </c>
    </row>
    <row r="3240" customFormat="false" ht="15" hidden="false" customHeight="true" outlineLevel="0" collapsed="false">
      <c r="A3240" s="5" t="s">
        <v>5518</v>
      </c>
      <c r="B3240" s="5" t="s">
        <v>2072</v>
      </c>
      <c r="C3240" s="5" t="s">
        <v>2259</v>
      </c>
      <c r="D3240" s="5" t="s">
        <v>2285</v>
      </c>
      <c r="E3240" s="5" t="s">
        <v>54</v>
      </c>
      <c r="F3240" s="5" t="s">
        <v>59</v>
      </c>
      <c r="G3240" s="5" t="str">
        <f aca="false">INDEX(Risk_Matrix!$B$2:$D$4,MATCH(E3240,Risk_Matrix!$A$2:$A$4,0),MATCH(F3240,Risk_Matrix!$B$1:$D$1,0))</f>
        <v>Medium</v>
      </c>
      <c r="H3240" s="12" t="n">
        <v>46096</v>
      </c>
      <c r="I3240" s="5" t="s">
        <v>2250</v>
      </c>
      <c r="J3240" s="5" t="s">
        <v>2251</v>
      </c>
      <c r="K3240" s="5" t="s">
        <v>2252</v>
      </c>
      <c r="L3240" s="5" t="n">
        <f aca="false">IF(G3240="High",3,IF(G3240="Medium",2,1))</f>
        <v>2</v>
      </c>
    </row>
    <row r="3241" customFormat="false" ht="15" hidden="false" customHeight="true" outlineLevel="0" collapsed="false">
      <c r="A3241" s="5" t="s">
        <v>5519</v>
      </c>
      <c r="B3241" s="5" t="s">
        <v>2072</v>
      </c>
      <c r="C3241" s="5" t="s">
        <v>2254</v>
      </c>
      <c r="D3241" s="5" t="s">
        <v>2255</v>
      </c>
      <c r="E3241" s="5" t="s">
        <v>54</v>
      </c>
      <c r="F3241" s="5" t="s">
        <v>54</v>
      </c>
      <c r="G3241" s="5" t="str">
        <f aca="false">INDEX(Risk_Matrix!$B$2:$D$4,MATCH(E3241,Risk_Matrix!$A$2:$A$4,0),MATCH(F3241,Risk_Matrix!$B$1:$D$1,0))</f>
        <v>High</v>
      </c>
      <c r="H3241" s="12" t="n">
        <v>46109</v>
      </c>
      <c r="I3241" s="5" t="s">
        <v>2264</v>
      </c>
      <c r="J3241" s="5" t="s">
        <v>4087</v>
      </c>
      <c r="K3241" s="5" t="s">
        <v>2252</v>
      </c>
      <c r="L3241" s="5" t="n">
        <f aca="false">IF(G3241="High",3,IF(G3241="Medium",2,1))</f>
        <v>3</v>
      </c>
    </row>
    <row r="3242" customFormat="false" ht="15" hidden="false" customHeight="true" outlineLevel="0" collapsed="false">
      <c r="A3242" s="5" t="s">
        <v>5520</v>
      </c>
      <c r="B3242" s="5" t="s">
        <v>2074</v>
      </c>
      <c r="C3242" s="5" t="s">
        <v>2239</v>
      </c>
      <c r="D3242" s="5" t="s">
        <v>2278</v>
      </c>
      <c r="E3242" s="5" t="s">
        <v>54</v>
      </c>
      <c r="F3242" s="5" t="s">
        <v>59</v>
      </c>
      <c r="G3242" s="5" t="str">
        <f aca="false">INDEX(Risk_Matrix!$B$2:$D$4,MATCH(E3242,Risk_Matrix!$A$2:$A$4,0),MATCH(F3242,Risk_Matrix!$B$1:$D$1,0))</f>
        <v>Medium</v>
      </c>
      <c r="H3242" s="12" t="n">
        <v>46076</v>
      </c>
      <c r="I3242" s="5" t="s">
        <v>2250</v>
      </c>
      <c r="J3242" s="5" t="s">
        <v>2251</v>
      </c>
      <c r="K3242" s="5" t="s">
        <v>2252</v>
      </c>
      <c r="L3242" s="5" t="n">
        <f aca="false">IF(G3242="High",3,IF(G3242="Medium",2,1))</f>
        <v>2</v>
      </c>
    </row>
    <row r="3243" customFormat="false" ht="15" hidden="false" customHeight="true" outlineLevel="0" collapsed="false">
      <c r="A3243" s="5" t="s">
        <v>5521</v>
      </c>
      <c r="B3243" s="5" t="s">
        <v>2074</v>
      </c>
      <c r="C3243" s="5" t="s">
        <v>2245</v>
      </c>
      <c r="D3243" s="5" t="s">
        <v>2320</v>
      </c>
      <c r="E3243" s="5" t="s">
        <v>54</v>
      </c>
      <c r="F3243" s="5" t="s">
        <v>54</v>
      </c>
      <c r="G3243" s="5" t="str">
        <f aca="false">INDEX(Risk_Matrix!$B$2:$D$4,MATCH(E3243,Risk_Matrix!$A$2:$A$4,0),MATCH(F3243,Risk_Matrix!$B$1:$D$1,0))</f>
        <v>High</v>
      </c>
      <c r="H3243" s="12" t="n">
        <v>46094</v>
      </c>
      <c r="I3243" s="5" t="s">
        <v>2256</v>
      </c>
      <c r="J3243" s="5" t="s">
        <v>4081</v>
      </c>
      <c r="K3243" s="5" t="s">
        <v>2252</v>
      </c>
      <c r="L3243" s="5" t="n">
        <f aca="false">IF(G3243="High",3,IF(G3243="Medium",2,1))</f>
        <v>3</v>
      </c>
    </row>
    <row r="3244" customFormat="false" ht="15" hidden="false" customHeight="true" outlineLevel="0" collapsed="false">
      <c r="A3244" s="5" t="s">
        <v>5522</v>
      </c>
      <c r="B3244" s="5" t="s">
        <v>2074</v>
      </c>
      <c r="C3244" s="5" t="s">
        <v>2248</v>
      </c>
      <c r="D3244" s="5" t="s">
        <v>2249</v>
      </c>
      <c r="E3244" s="5" t="s">
        <v>54</v>
      </c>
      <c r="F3244" s="5" t="s">
        <v>54</v>
      </c>
      <c r="G3244" s="5" t="str">
        <f aca="false">INDEX(Risk_Matrix!$B$2:$D$4,MATCH(E3244,Risk_Matrix!$A$2:$A$4,0),MATCH(F3244,Risk_Matrix!$B$1:$D$1,0))</f>
        <v>High</v>
      </c>
      <c r="H3244" s="12" t="n">
        <v>46228</v>
      </c>
      <c r="I3244" s="5" t="s">
        <v>2264</v>
      </c>
      <c r="J3244" s="5" t="s">
        <v>4087</v>
      </c>
      <c r="K3244" s="5" t="s">
        <v>2283</v>
      </c>
      <c r="L3244" s="5" t="n">
        <f aca="false">IF(G3244="High",3,IF(G3244="Medium",2,1))</f>
        <v>3</v>
      </c>
    </row>
    <row r="3245" customFormat="false" ht="15" hidden="false" customHeight="true" outlineLevel="0" collapsed="false">
      <c r="A3245" s="5" t="s">
        <v>5523</v>
      </c>
      <c r="B3245" s="5" t="s">
        <v>2074</v>
      </c>
      <c r="C3245" s="5" t="s">
        <v>2262</v>
      </c>
      <c r="D3245" s="5" t="s">
        <v>2311</v>
      </c>
      <c r="E3245" s="5" t="s">
        <v>54</v>
      </c>
      <c r="F3245" s="5" t="s">
        <v>2225</v>
      </c>
      <c r="G3245" s="5" t="str">
        <f aca="false">INDEX(Risk_Matrix!$B$2:$D$4,MATCH(E3245,Risk_Matrix!$A$2:$A$4,0),MATCH(F3245,Risk_Matrix!$B$1:$D$1,0))</f>
        <v>High</v>
      </c>
      <c r="H3245" s="12" t="n">
        <v>46209</v>
      </c>
      <c r="I3245" s="5" t="s">
        <v>2264</v>
      </c>
      <c r="J3245" s="5" t="s">
        <v>4087</v>
      </c>
      <c r="K3245" s="5" t="s">
        <v>2252</v>
      </c>
      <c r="L3245" s="5" t="n">
        <f aca="false">IF(G3245="High",3,IF(G3245="Medium",2,1))</f>
        <v>3</v>
      </c>
    </row>
    <row r="3246" customFormat="false" ht="15" hidden="false" customHeight="true" outlineLevel="0" collapsed="false">
      <c r="A3246" s="5" t="s">
        <v>5524</v>
      </c>
      <c r="B3246" s="5" t="s">
        <v>2074</v>
      </c>
      <c r="C3246" s="5" t="s">
        <v>2259</v>
      </c>
      <c r="D3246" s="5" t="s">
        <v>2285</v>
      </c>
      <c r="E3246" s="5" t="s">
        <v>54</v>
      </c>
      <c r="F3246" s="5" t="s">
        <v>2225</v>
      </c>
      <c r="G3246" s="5" t="str">
        <f aca="false">INDEX(Risk_Matrix!$B$2:$D$4,MATCH(E3246,Risk_Matrix!$A$2:$A$4,0),MATCH(F3246,Risk_Matrix!$B$1:$D$1,0))</f>
        <v>High</v>
      </c>
      <c r="H3246" s="12" t="n">
        <v>46175</v>
      </c>
      <c r="I3246" s="5" t="s">
        <v>2264</v>
      </c>
      <c r="J3246" s="5" t="s">
        <v>4087</v>
      </c>
      <c r="K3246" s="5" t="s">
        <v>2276</v>
      </c>
      <c r="L3246" s="5" t="n">
        <f aca="false">IF(G3246="High",3,IF(G3246="Medium",2,1))</f>
        <v>3</v>
      </c>
    </row>
    <row r="3247" customFormat="false" ht="15" hidden="false" customHeight="true" outlineLevel="0" collapsed="false">
      <c r="A3247" s="5" t="s">
        <v>5525</v>
      </c>
      <c r="B3247" s="5" t="s">
        <v>2074</v>
      </c>
      <c r="C3247" s="5" t="s">
        <v>2254</v>
      </c>
      <c r="D3247" s="5" t="s">
        <v>2299</v>
      </c>
      <c r="E3247" s="5" t="s">
        <v>59</v>
      </c>
      <c r="F3247" s="5" t="s">
        <v>59</v>
      </c>
      <c r="G3247" s="5" t="str">
        <f aca="false">INDEX(Risk_Matrix!$B$2:$D$4,MATCH(E3247,Risk_Matrix!$A$2:$A$4,0),MATCH(F3247,Risk_Matrix!$B$1:$D$1,0))</f>
        <v>Low</v>
      </c>
      <c r="H3247" s="12" t="n">
        <v>46079</v>
      </c>
      <c r="I3247" s="5" t="s">
        <v>2250</v>
      </c>
      <c r="J3247" s="5" t="s">
        <v>2251</v>
      </c>
      <c r="K3247" s="5" t="s">
        <v>2243</v>
      </c>
      <c r="L3247" s="5" t="n">
        <f aca="false">IF(G3247="High",3,IF(G3247="Medium",2,1))</f>
        <v>1</v>
      </c>
    </row>
    <row r="3248" customFormat="false" ht="15" hidden="false" customHeight="true" outlineLevel="0" collapsed="false">
      <c r="A3248" s="5" t="s">
        <v>5526</v>
      </c>
      <c r="B3248" s="5" t="s">
        <v>2076</v>
      </c>
      <c r="C3248" s="5" t="s">
        <v>2239</v>
      </c>
      <c r="D3248" s="5" t="s">
        <v>2295</v>
      </c>
      <c r="E3248" s="5" t="s">
        <v>59</v>
      </c>
      <c r="F3248" s="5" t="s">
        <v>54</v>
      </c>
      <c r="G3248" s="5" t="str">
        <f aca="false">INDEX(Risk_Matrix!$B$2:$D$4,MATCH(E3248,Risk_Matrix!$A$2:$A$4,0),MATCH(F3248,Risk_Matrix!$B$1:$D$1,0))</f>
        <v>Medium</v>
      </c>
      <c r="H3248" s="12" t="n">
        <v>46089</v>
      </c>
      <c r="I3248" s="5" t="s">
        <v>2256</v>
      </c>
      <c r="J3248" s="5" t="s">
        <v>4081</v>
      </c>
      <c r="K3248" s="5" t="s">
        <v>2252</v>
      </c>
      <c r="L3248" s="5" t="n">
        <f aca="false">IF(G3248="High",3,IF(G3248="Medium",2,1))</f>
        <v>2</v>
      </c>
    </row>
    <row r="3249" customFormat="false" ht="15" hidden="false" customHeight="true" outlineLevel="0" collapsed="false">
      <c r="A3249" s="5" t="s">
        <v>5527</v>
      </c>
      <c r="B3249" s="5" t="s">
        <v>2076</v>
      </c>
      <c r="C3249" s="5" t="s">
        <v>2245</v>
      </c>
      <c r="D3249" s="5" t="s">
        <v>2269</v>
      </c>
      <c r="E3249" s="5" t="s">
        <v>2225</v>
      </c>
      <c r="F3249" s="5" t="s">
        <v>54</v>
      </c>
      <c r="G3249" s="5" t="str">
        <f aca="false">INDEX(Risk_Matrix!$B$2:$D$4,MATCH(E3249,Risk_Matrix!$A$2:$A$4,0),MATCH(F3249,Risk_Matrix!$B$1:$D$1,0))</f>
        <v>High</v>
      </c>
      <c r="H3249" s="12" t="n">
        <v>46144</v>
      </c>
      <c r="I3249" s="5" t="s">
        <v>2250</v>
      </c>
      <c r="J3249" s="5" t="s">
        <v>2251</v>
      </c>
      <c r="K3249" s="5" t="s">
        <v>2283</v>
      </c>
      <c r="L3249" s="5" t="n">
        <f aca="false">IF(G3249="High",3,IF(G3249="Medium",2,1))</f>
        <v>3</v>
      </c>
    </row>
    <row r="3250" customFormat="false" ht="15" hidden="false" customHeight="true" outlineLevel="0" collapsed="false">
      <c r="A3250" s="5" t="s">
        <v>5528</v>
      </c>
      <c r="B3250" s="5" t="s">
        <v>2076</v>
      </c>
      <c r="C3250" s="5" t="s">
        <v>2248</v>
      </c>
      <c r="D3250" s="5" t="s">
        <v>2306</v>
      </c>
      <c r="E3250" s="5" t="s">
        <v>59</v>
      </c>
      <c r="F3250" s="5" t="s">
        <v>2225</v>
      </c>
      <c r="G3250" s="5" t="str">
        <f aca="false">INDEX(Risk_Matrix!$B$2:$D$4,MATCH(E3250,Risk_Matrix!$A$2:$A$4,0),MATCH(F3250,Risk_Matrix!$B$1:$D$1,0))</f>
        <v>Low</v>
      </c>
      <c r="H3250" s="12" t="n">
        <v>46058</v>
      </c>
      <c r="I3250" s="5" t="s">
        <v>2241</v>
      </c>
      <c r="J3250" s="5" t="s">
        <v>2242</v>
      </c>
      <c r="K3250" s="5" t="s">
        <v>2252</v>
      </c>
      <c r="L3250" s="5" t="n">
        <f aca="false">IF(G3250="High",3,IF(G3250="Medium",2,1))</f>
        <v>1</v>
      </c>
    </row>
    <row r="3251" customFormat="false" ht="15" hidden="false" customHeight="true" outlineLevel="0" collapsed="false">
      <c r="A3251" s="5" t="s">
        <v>5529</v>
      </c>
      <c r="B3251" s="5" t="s">
        <v>2076</v>
      </c>
      <c r="C3251" s="5" t="s">
        <v>2262</v>
      </c>
      <c r="D3251" s="5" t="s">
        <v>2287</v>
      </c>
      <c r="E3251" s="5" t="s">
        <v>54</v>
      </c>
      <c r="F3251" s="5" t="s">
        <v>2225</v>
      </c>
      <c r="G3251" s="5" t="str">
        <f aca="false">INDEX(Risk_Matrix!$B$2:$D$4,MATCH(E3251,Risk_Matrix!$A$2:$A$4,0),MATCH(F3251,Risk_Matrix!$B$1:$D$1,0))</f>
        <v>High</v>
      </c>
      <c r="H3251" s="12" t="n">
        <v>46075</v>
      </c>
      <c r="I3251" s="5" t="s">
        <v>2241</v>
      </c>
      <c r="J3251" s="5" t="s">
        <v>2242</v>
      </c>
      <c r="K3251" s="5" t="s">
        <v>2266</v>
      </c>
      <c r="L3251" s="5" t="n">
        <f aca="false">IF(G3251="High",3,IF(G3251="Medium",2,1))</f>
        <v>3</v>
      </c>
    </row>
    <row r="3252" customFormat="false" ht="15" hidden="false" customHeight="true" outlineLevel="0" collapsed="false">
      <c r="A3252" s="5" t="s">
        <v>5530</v>
      </c>
      <c r="B3252" s="5" t="s">
        <v>2076</v>
      </c>
      <c r="C3252" s="5" t="s">
        <v>2259</v>
      </c>
      <c r="D3252" s="5" t="s">
        <v>2274</v>
      </c>
      <c r="E3252" s="5" t="s">
        <v>2225</v>
      </c>
      <c r="F3252" s="5" t="s">
        <v>2225</v>
      </c>
      <c r="G3252" s="5" t="str">
        <f aca="false">INDEX(Risk_Matrix!$B$2:$D$4,MATCH(E3252,Risk_Matrix!$A$2:$A$4,0),MATCH(F3252,Risk_Matrix!$B$1:$D$1,0))</f>
        <v>Medium</v>
      </c>
      <c r="H3252" s="12" t="n">
        <v>46172</v>
      </c>
      <c r="I3252" s="5" t="s">
        <v>2250</v>
      </c>
      <c r="J3252" s="5" t="s">
        <v>2251</v>
      </c>
      <c r="K3252" s="5" t="s">
        <v>2283</v>
      </c>
      <c r="L3252" s="5" t="n">
        <f aca="false">IF(G3252="High",3,IF(G3252="Medium",2,1))</f>
        <v>2</v>
      </c>
    </row>
    <row r="3253" customFormat="false" ht="15" hidden="false" customHeight="true" outlineLevel="0" collapsed="false">
      <c r="A3253" s="5" t="s">
        <v>5531</v>
      </c>
      <c r="B3253" s="5" t="s">
        <v>2076</v>
      </c>
      <c r="C3253" s="5" t="s">
        <v>2254</v>
      </c>
      <c r="D3253" s="5" t="s">
        <v>2255</v>
      </c>
      <c r="E3253" s="5" t="s">
        <v>59</v>
      </c>
      <c r="F3253" s="5" t="s">
        <v>2225</v>
      </c>
      <c r="G3253" s="5" t="str">
        <f aca="false">INDEX(Risk_Matrix!$B$2:$D$4,MATCH(E3253,Risk_Matrix!$A$2:$A$4,0),MATCH(F3253,Risk_Matrix!$B$1:$D$1,0))</f>
        <v>Low</v>
      </c>
      <c r="H3253" s="12" t="n">
        <v>46187</v>
      </c>
      <c r="I3253" s="5" t="s">
        <v>2241</v>
      </c>
      <c r="J3253" s="5" t="s">
        <v>2242</v>
      </c>
      <c r="K3253" s="5" t="s">
        <v>2276</v>
      </c>
      <c r="L3253" s="5" t="n">
        <f aca="false">IF(G3253="High",3,IF(G3253="Medium",2,1))</f>
        <v>1</v>
      </c>
    </row>
    <row r="3254" customFormat="false" ht="15" hidden="false" customHeight="true" outlineLevel="0" collapsed="false">
      <c r="A3254" s="5" t="s">
        <v>5532</v>
      </c>
      <c r="B3254" s="5" t="s">
        <v>2078</v>
      </c>
      <c r="C3254" s="5" t="s">
        <v>2239</v>
      </c>
      <c r="D3254" s="5" t="s">
        <v>2303</v>
      </c>
      <c r="E3254" s="5" t="s">
        <v>54</v>
      </c>
      <c r="F3254" s="5" t="s">
        <v>59</v>
      </c>
      <c r="G3254" s="5" t="str">
        <f aca="false">INDEX(Risk_Matrix!$B$2:$D$4,MATCH(E3254,Risk_Matrix!$A$2:$A$4,0),MATCH(F3254,Risk_Matrix!$B$1:$D$1,0))</f>
        <v>Medium</v>
      </c>
      <c r="H3254" s="12" t="n">
        <v>46126</v>
      </c>
      <c r="I3254" s="5" t="s">
        <v>2256</v>
      </c>
      <c r="J3254" s="5" t="s">
        <v>4081</v>
      </c>
      <c r="K3254" s="5" t="s">
        <v>2276</v>
      </c>
      <c r="L3254" s="5" t="n">
        <f aca="false">IF(G3254="High",3,IF(G3254="Medium",2,1))</f>
        <v>2</v>
      </c>
    </row>
    <row r="3255" customFormat="false" ht="15" hidden="false" customHeight="true" outlineLevel="0" collapsed="false">
      <c r="A3255" s="5" t="s">
        <v>5533</v>
      </c>
      <c r="B3255" s="5" t="s">
        <v>2078</v>
      </c>
      <c r="C3255" s="5" t="s">
        <v>2245</v>
      </c>
      <c r="D3255" s="5" t="s">
        <v>2320</v>
      </c>
      <c r="E3255" s="5" t="s">
        <v>59</v>
      </c>
      <c r="F3255" s="5" t="s">
        <v>59</v>
      </c>
      <c r="G3255" s="5" t="str">
        <f aca="false">INDEX(Risk_Matrix!$B$2:$D$4,MATCH(E3255,Risk_Matrix!$A$2:$A$4,0),MATCH(F3255,Risk_Matrix!$B$1:$D$1,0))</f>
        <v>Low</v>
      </c>
      <c r="H3255" s="12" t="n">
        <v>46119</v>
      </c>
      <c r="I3255" s="5" t="s">
        <v>2264</v>
      </c>
      <c r="J3255" s="5" t="s">
        <v>4087</v>
      </c>
      <c r="K3255" s="5" t="s">
        <v>2266</v>
      </c>
      <c r="L3255" s="5" t="n">
        <f aca="false">IF(G3255="High",3,IF(G3255="Medium",2,1))</f>
        <v>1</v>
      </c>
    </row>
    <row r="3256" customFormat="false" ht="15" hidden="false" customHeight="true" outlineLevel="0" collapsed="false">
      <c r="A3256" s="5" t="s">
        <v>5534</v>
      </c>
      <c r="B3256" s="5" t="s">
        <v>2078</v>
      </c>
      <c r="C3256" s="5" t="s">
        <v>2248</v>
      </c>
      <c r="D3256" s="5" t="s">
        <v>2271</v>
      </c>
      <c r="E3256" s="5" t="s">
        <v>59</v>
      </c>
      <c r="F3256" s="5" t="s">
        <v>59</v>
      </c>
      <c r="G3256" s="5" t="str">
        <f aca="false">INDEX(Risk_Matrix!$B$2:$D$4,MATCH(E3256,Risk_Matrix!$A$2:$A$4,0),MATCH(F3256,Risk_Matrix!$B$1:$D$1,0))</f>
        <v>Low</v>
      </c>
      <c r="H3256" s="12" t="n">
        <v>46167</v>
      </c>
      <c r="I3256" s="5" t="s">
        <v>2250</v>
      </c>
      <c r="J3256" s="5" t="s">
        <v>2251</v>
      </c>
      <c r="K3256" s="5" t="s">
        <v>2266</v>
      </c>
      <c r="L3256" s="5" t="n">
        <f aca="false">IF(G3256="High",3,IF(G3256="Medium",2,1))</f>
        <v>1</v>
      </c>
    </row>
    <row r="3257" customFormat="false" ht="15" hidden="false" customHeight="true" outlineLevel="0" collapsed="false">
      <c r="A3257" s="5" t="s">
        <v>5535</v>
      </c>
      <c r="B3257" s="5" t="s">
        <v>2078</v>
      </c>
      <c r="C3257" s="5" t="s">
        <v>2262</v>
      </c>
      <c r="D3257" s="5" t="s">
        <v>2263</v>
      </c>
      <c r="E3257" s="5" t="s">
        <v>2225</v>
      </c>
      <c r="F3257" s="5" t="s">
        <v>59</v>
      </c>
      <c r="G3257" s="5" t="str">
        <f aca="false">INDEX(Risk_Matrix!$B$2:$D$4,MATCH(E3257,Risk_Matrix!$A$2:$A$4,0),MATCH(F3257,Risk_Matrix!$B$1:$D$1,0))</f>
        <v>Low</v>
      </c>
      <c r="H3257" s="12" t="n">
        <v>46079</v>
      </c>
      <c r="I3257" s="5" t="s">
        <v>2241</v>
      </c>
      <c r="J3257" s="5" t="s">
        <v>2242</v>
      </c>
      <c r="K3257" s="5" t="s">
        <v>2276</v>
      </c>
      <c r="L3257" s="5" t="n">
        <f aca="false">IF(G3257="High",3,IF(G3257="Medium",2,1))</f>
        <v>1</v>
      </c>
    </row>
    <row r="3258" customFormat="false" ht="15" hidden="false" customHeight="true" outlineLevel="0" collapsed="false">
      <c r="A3258" s="5" t="s">
        <v>5536</v>
      </c>
      <c r="B3258" s="5" t="s">
        <v>2078</v>
      </c>
      <c r="C3258" s="5" t="s">
        <v>2259</v>
      </c>
      <c r="D3258" s="5" t="s">
        <v>2260</v>
      </c>
      <c r="E3258" s="5" t="s">
        <v>54</v>
      </c>
      <c r="F3258" s="5" t="s">
        <v>54</v>
      </c>
      <c r="G3258" s="5" t="str">
        <f aca="false">INDEX(Risk_Matrix!$B$2:$D$4,MATCH(E3258,Risk_Matrix!$A$2:$A$4,0),MATCH(F3258,Risk_Matrix!$B$1:$D$1,0))</f>
        <v>High</v>
      </c>
      <c r="H3258" s="12" t="n">
        <v>46055</v>
      </c>
      <c r="I3258" s="5" t="s">
        <v>2241</v>
      </c>
      <c r="J3258" s="5" t="s">
        <v>2242</v>
      </c>
      <c r="K3258" s="5" t="s">
        <v>2266</v>
      </c>
      <c r="L3258" s="5" t="n">
        <f aca="false">IF(G3258="High",3,IF(G3258="Medium",2,1))</f>
        <v>3</v>
      </c>
    </row>
    <row r="3259" customFormat="false" ht="15" hidden="false" customHeight="true" outlineLevel="0" collapsed="false">
      <c r="A3259" s="5" t="s">
        <v>5537</v>
      </c>
      <c r="B3259" s="5" t="s">
        <v>2078</v>
      </c>
      <c r="C3259" s="5" t="s">
        <v>2254</v>
      </c>
      <c r="D3259" s="5" t="s">
        <v>2255</v>
      </c>
      <c r="E3259" s="5" t="s">
        <v>54</v>
      </c>
      <c r="F3259" s="5" t="s">
        <v>54</v>
      </c>
      <c r="G3259" s="5" t="str">
        <f aca="false">INDEX(Risk_Matrix!$B$2:$D$4,MATCH(E3259,Risk_Matrix!$A$2:$A$4,0),MATCH(F3259,Risk_Matrix!$B$1:$D$1,0))</f>
        <v>High</v>
      </c>
      <c r="H3259" s="12" t="n">
        <v>46137</v>
      </c>
      <c r="I3259" s="5" t="s">
        <v>2250</v>
      </c>
      <c r="J3259" s="5" t="s">
        <v>2251</v>
      </c>
      <c r="K3259" s="5" t="s">
        <v>2252</v>
      </c>
      <c r="L3259" s="5" t="n">
        <f aca="false">IF(G3259="High",3,IF(G3259="Medium",2,1))</f>
        <v>3</v>
      </c>
    </row>
    <row r="3260" customFormat="false" ht="15" hidden="false" customHeight="true" outlineLevel="0" collapsed="false">
      <c r="A3260" s="5" t="s">
        <v>5538</v>
      </c>
      <c r="B3260" s="5" t="s">
        <v>2080</v>
      </c>
      <c r="C3260" s="5" t="s">
        <v>2239</v>
      </c>
      <c r="D3260" s="5" t="s">
        <v>2278</v>
      </c>
      <c r="E3260" s="5" t="s">
        <v>59</v>
      </c>
      <c r="F3260" s="5" t="s">
        <v>59</v>
      </c>
      <c r="G3260" s="5" t="str">
        <f aca="false">INDEX(Risk_Matrix!$B$2:$D$4,MATCH(E3260,Risk_Matrix!$A$2:$A$4,0),MATCH(F3260,Risk_Matrix!$B$1:$D$1,0))</f>
        <v>Low</v>
      </c>
      <c r="H3260" s="12" t="n">
        <v>46117</v>
      </c>
      <c r="I3260" s="5" t="s">
        <v>2250</v>
      </c>
      <c r="J3260" s="5" t="s">
        <v>2251</v>
      </c>
      <c r="K3260" s="5" t="s">
        <v>2283</v>
      </c>
      <c r="L3260" s="5" t="n">
        <f aca="false">IF(G3260="High",3,IF(G3260="Medium",2,1))</f>
        <v>1</v>
      </c>
    </row>
    <row r="3261" customFormat="false" ht="15" hidden="false" customHeight="true" outlineLevel="0" collapsed="false">
      <c r="A3261" s="5" t="s">
        <v>5539</v>
      </c>
      <c r="B3261" s="5" t="s">
        <v>2080</v>
      </c>
      <c r="C3261" s="5" t="s">
        <v>2245</v>
      </c>
      <c r="D3261" s="5" t="s">
        <v>2246</v>
      </c>
      <c r="E3261" s="5" t="s">
        <v>59</v>
      </c>
      <c r="F3261" s="5" t="s">
        <v>59</v>
      </c>
      <c r="G3261" s="5" t="str">
        <f aca="false">INDEX(Risk_Matrix!$B$2:$D$4,MATCH(E3261,Risk_Matrix!$A$2:$A$4,0),MATCH(F3261,Risk_Matrix!$B$1:$D$1,0))</f>
        <v>Low</v>
      </c>
      <c r="H3261" s="12" t="n">
        <v>46070</v>
      </c>
      <c r="I3261" s="5" t="s">
        <v>2250</v>
      </c>
      <c r="J3261" s="5" t="s">
        <v>2251</v>
      </c>
      <c r="K3261" s="5" t="s">
        <v>2243</v>
      </c>
      <c r="L3261" s="5" t="n">
        <f aca="false">IF(G3261="High",3,IF(G3261="Medium",2,1))</f>
        <v>1</v>
      </c>
    </row>
    <row r="3262" customFormat="false" ht="15" hidden="false" customHeight="true" outlineLevel="0" collapsed="false">
      <c r="A3262" s="5" t="s">
        <v>5540</v>
      </c>
      <c r="B3262" s="5" t="s">
        <v>2080</v>
      </c>
      <c r="C3262" s="5" t="s">
        <v>2248</v>
      </c>
      <c r="D3262" s="5" t="s">
        <v>2249</v>
      </c>
      <c r="E3262" s="5" t="s">
        <v>59</v>
      </c>
      <c r="F3262" s="5" t="s">
        <v>54</v>
      </c>
      <c r="G3262" s="5" t="str">
        <f aca="false">INDEX(Risk_Matrix!$B$2:$D$4,MATCH(E3262,Risk_Matrix!$A$2:$A$4,0),MATCH(F3262,Risk_Matrix!$B$1:$D$1,0))</f>
        <v>Medium</v>
      </c>
      <c r="H3262" s="12" t="n">
        <v>46050</v>
      </c>
      <c r="I3262" s="5" t="s">
        <v>2241</v>
      </c>
      <c r="J3262" s="5" t="s">
        <v>2242</v>
      </c>
      <c r="K3262" s="5" t="s">
        <v>2243</v>
      </c>
      <c r="L3262" s="5" t="n">
        <f aca="false">IF(G3262="High",3,IF(G3262="Medium",2,1))</f>
        <v>2</v>
      </c>
    </row>
    <row r="3263" customFormat="false" ht="15" hidden="false" customHeight="true" outlineLevel="0" collapsed="false">
      <c r="A3263" s="5" t="s">
        <v>5541</v>
      </c>
      <c r="B3263" s="5" t="s">
        <v>2080</v>
      </c>
      <c r="C3263" s="5" t="s">
        <v>2262</v>
      </c>
      <c r="D3263" s="5" t="s">
        <v>2263</v>
      </c>
      <c r="E3263" s="5" t="s">
        <v>54</v>
      </c>
      <c r="F3263" s="5" t="s">
        <v>54</v>
      </c>
      <c r="G3263" s="5" t="str">
        <f aca="false">INDEX(Risk_Matrix!$B$2:$D$4,MATCH(E3263,Risk_Matrix!$A$2:$A$4,0),MATCH(F3263,Risk_Matrix!$B$1:$D$1,0))</f>
        <v>High</v>
      </c>
      <c r="H3263" s="12" t="n">
        <v>46058</v>
      </c>
      <c r="I3263" s="5" t="s">
        <v>2250</v>
      </c>
      <c r="J3263" s="5" t="s">
        <v>2251</v>
      </c>
      <c r="K3263" s="5" t="s">
        <v>2276</v>
      </c>
      <c r="L3263" s="5" t="n">
        <f aca="false">IF(G3263="High",3,IF(G3263="Medium",2,1))</f>
        <v>3</v>
      </c>
    </row>
    <row r="3264" customFormat="false" ht="15" hidden="false" customHeight="true" outlineLevel="0" collapsed="false">
      <c r="A3264" s="5" t="s">
        <v>5542</v>
      </c>
      <c r="B3264" s="5" t="s">
        <v>2080</v>
      </c>
      <c r="C3264" s="5" t="s">
        <v>2259</v>
      </c>
      <c r="D3264" s="5" t="s">
        <v>2260</v>
      </c>
      <c r="E3264" s="5" t="s">
        <v>59</v>
      </c>
      <c r="F3264" s="5" t="s">
        <v>2225</v>
      </c>
      <c r="G3264" s="5" t="str">
        <f aca="false">INDEX(Risk_Matrix!$B$2:$D$4,MATCH(E3264,Risk_Matrix!$A$2:$A$4,0),MATCH(F3264,Risk_Matrix!$B$1:$D$1,0))</f>
        <v>Low</v>
      </c>
      <c r="H3264" s="12" t="n">
        <v>46144</v>
      </c>
      <c r="I3264" s="5" t="s">
        <v>2264</v>
      </c>
      <c r="J3264" s="5" t="s">
        <v>4087</v>
      </c>
      <c r="K3264" s="5" t="s">
        <v>2243</v>
      </c>
      <c r="L3264" s="5" t="n">
        <f aca="false">IF(G3264="High",3,IF(G3264="Medium",2,1))</f>
        <v>1</v>
      </c>
    </row>
    <row r="3265" customFormat="false" ht="15" hidden="false" customHeight="true" outlineLevel="0" collapsed="false">
      <c r="A3265" s="5" t="s">
        <v>5543</v>
      </c>
      <c r="B3265" s="5" t="s">
        <v>2080</v>
      </c>
      <c r="C3265" s="5" t="s">
        <v>2254</v>
      </c>
      <c r="D3265" s="5" t="s">
        <v>2299</v>
      </c>
      <c r="E3265" s="5" t="s">
        <v>59</v>
      </c>
      <c r="F3265" s="5" t="s">
        <v>59</v>
      </c>
      <c r="G3265" s="5" t="str">
        <f aca="false">INDEX(Risk_Matrix!$B$2:$D$4,MATCH(E3265,Risk_Matrix!$A$2:$A$4,0),MATCH(F3265,Risk_Matrix!$B$1:$D$1,0))</f>
        <v>Low</v>
      </c>
      <c r="H3265" s="12" t="n">
        <v>46054</v>
      </c>
      <c r="I3265" s="5" t="s">
        <v>2264</v>
      </c>
      <c r="J3265" s="5" t="s">
        <v>4087</v>
      </c>
      <c r="K3265" s="5" t="s">
        <v>2252</v>
      </c>
      <c r="L3265" s="5" t="n">
        <f aca="false">IF(G3265="High",3,IF(G3265="Medium",2,1))</f>
        <v>1</v>
      </c>
    </row>
    <row r="3266" customFormat="false" ht="15" hidden="false" customHeight="true" outlineLevel="0" collapsed="false">
      <c r="A3266" s="5" t="s">
        <v>5544</v>
      </c>
      <c r="B3266" s="5" t="s">
        <v>2082</v>
      </c>
      <c r="C3266" s="5" t="s">
        <v>2239</v>
      </c>
      <c r="D3266" s="5" t="s">
        <v>2240</v>
      </c>
      <c r="E3266" s="5" t="s">
        <v>59</v>
      </c>
      <c r="F3266" s="5" t="s">
        <v>54</v>
      </c>
      <c r="G3266" s="5" t="str">
        <f aca="false">INDEX(Risk_Matrix!$B$2:$D$4,MATCH(E3266,Risk_Matrix!$A$2:$A$4,0),MATCH(F3266,Risk_Matrix!$B$1:$D$1,0))</f>
        <v>Medium</v>
      </c>
      <c r="H3266" s="12" t="n">
        <v>46175</v>
      </c>
      <c r="I3266" s="5" t="s">
        <v>2250</v>
      </c>
      <c r="J3266" s="5" t="s">
        <v>2251</v>
      </c>
      <c r="K3266" s="5" t="s">
        <v>2276</v>
      </c>
      <c r="L3266" s="5" t="n">
        <f aca="false">IF(G3266="High",3,IF(G3266="Medium",2,1))</f>
        <v>2</v>
      </c>
    </row>
    <row r="3267" customFormat="false" ht="15" hidden="false" customHeight="true" outlineLevel="0" collapsed="false">
      <c r="A3267" s="5" t="s">
        <v>5545</v>
      </c>
      <c r="B3267" s="5" t="s">
        <v>2082</v>
      </c>
      <c r="C3267" s="5" t="s">
        <v>2245</v>
      </c>
      <c r="D3267" s="5" t="s">
        <v>2269</v>
      </c>
      <c r="E3267" s="5" t="s">
        <v>2225</v>
      </c>
      <c r="F3267" s="5" t="s">
        <v>59</v>
      </c>
      <c r="G3267" s="5" t="str">
        <f aca="false">INDEX(Risk_Matrix!$B$2:$D$4,MATCH(E3267,Risk_Matrix!$A$2:$A$4,0),MATCH(F3267,Risk_Matrix!$B$1:$D$1,0))</f>
        <v>Low</v>
      </c>
      <c r="H3267" s="12" t="n">
        <v>46047</v>
      </c>
      <c r="I3267" s="5" t="s">
        <v>2264</v>
      </c>
      <c r="J3267" s="5" t="s">
        <v>4087</v>
      </c>
      <c r="K3267" s="5" t="s">
        <v>2266</v>
      </c>
      <c r="L3267" s="5" t="n">
        <f aca="false">IF(G3267="High",3,IF(G3267="Medium",2,1))</f>
        <v>1</v>
      </c>
    </row>
    <row r="3268" customFormat="false" ht="15" hidden="false" customHeight="true" outlineLevel="0" collapsed="false">
      <c r="A3268" s="5" t="s">
        <v>5546</v>
      </c>
      <c r="B3268" s="5" t="s">
        <v>2082</v>
      </c>
      <c r="C3268" s="5" t="s">
        <v>2248</v>
      </c>
      <c r="D3268" s="5" t="s">
        <v>2249</v>
      </c>
      <c r="E3268" s="5" t="s">
        <v>54</v>
      </c>
      <c r="F3268" s="5" t="s">
        <v>2225</v>
      </c>
      <c r="G3268" s="5" t="str">
        <f aca="false">INDEX(Risk_Matrix!$B$2:$D$4,MATCH(E3268,Risk_Matrix!$A$2:$A$4,0),MATCH(F3268,Risk_Matrix!$B$1:$D$1,0))</f>
        <v>High</v>
      </c>
      <c r="H3268" s="12" t="n">
        <v>46216</v>
      </c>
      <c r="I3268" s="5" t="s">
        <v>2256</v>
      </c>
      <c r="J3268" s="5" t="s">
        <v>4081</v>
      </c>
      <c r="K3268" s="5" t="s">
        <v>2243</v>
      </c>
      <c r="L3268" s="5" t="n">
        <f aca="false">IF(G3268="High",3,IF(G3268="Medium",2,1))</f>
        <v>3</v>
      </c>
    </row>
    <row r="3269" customFormat="false" ht="15" hidden="false" customHeight="true" outlineLevel="0" collapsed="false">
      <c r="A3269" s="5" t="s">
        <v>5547</v>
      </c>
      <c r="B3269" s="5" t="s">
        <v>2082</v>
      </c>
      <c r="C3269" s="5" t="s">
        <v>2262</v>
      </c>
      <c r="D3269" s="5" t="s">
        <v>2287</v>
      </c>
      <c r="E3269" s="5" t="s">
        <v>54</v>
      </c>
      <c r="F3269" s="5" t="s">
        <v>2225</v>
      </c>
      <c r="G3269" s="5" t="str">
        <f aca="false">INDEX(Risk_Matrix!$B$2:$D$4,MATCH(E3269,Risk_Matrix!$A$2:$A$4,0),MATCH(F3269,Risk_Matrix!$B$1:$D$1,0))</f>
        <v>High</v>
      </c>
      <c r="H3269" s="12" t="n">
        <v>46222</v>
      </c>
      <c r="I3269" s="5" t="s">
        <v>2241</v>
      </c>
      <c r="J3269" s="5" t="s">
        <v>2242</v>
      </c>
      <c r="K3269" s="5" t="s">
        <v>2283</v>
      </c>
      <c r="L3269" s="5" t="n">
        <f aca="false">IF(G3269="High",3,IF(G3269="Medium",2,1))</f>
        <v>3</v>
      </c>
    </row>
    <row r="3270" customFormat="false" ht="15" hidden="false" customHeight="true" outlineLevel="0" collapsed="false">
      <c r="A3270" s="5" t="s">
        <v>5548</v>
      </c>
      <c r="B3270" s="5" t="s">
        <v>2082</v>
      </c>
      <c r="C3270" s="5" t="s">
        <v>2259</v>
      </c>
      <c r="D3270" s="5" t="s">
        <v>2274</v>
      </c>
      <c r="E3270" s="5" t="s">
        <v>59</v>
      </c>
      <c r="F3270" s="5" t="s">
        <v>54</v>
      </c>
      <c r="G3270" s="5" t="str">
        <f aca="false">INDEX(Risk_Matrix!$B$2:$D$4,MATCH(E3270,Risk_Matrix!$A$2:$A$4,0),MATCH(F3270,Risk_Matrix!$B$1:$D$1,0))</f>
        <v>Medium</v>
      </c>
      <c r="H3270" s="12" t="n">
        <v>46229</v>
      </c>
      <c r="I3270" s="5" t="s">
        <v>2256</v>
      </c>
      <c r="J3270" s="5" t="s">
        <v>4081</v>
      </c>
      <c r="K3270" s="5" t="s">
        <v>2276</v>
      </c>
      <c r="L3270" s="5" t="n">
        <f aca="false">IF(G3270="High",3,IF(G3270="Medium",2,1))</f>
        <v>2</v>
      </c>
    </row>
    <row r="3271" customFormat="false" ht="15" hidden="false" customHeight="true" outlineLevel="0" collapsed="false">
      <c r="A3271" s="5" t="s">
        <v>5549</v>
      </c>
      <c r="B3271" s="5" t="s">
        <v>2082</v>
      </c>
      <c r="C3271" s="5" t="s">
        <v>2254</v>
      </c>
      <c r="D3271" s="5" t="s">
        <v>2299</v>
      </c>
      <c r="E3271" s="5" t="s">
        <v>2225</v>
      </c>
      <c r="F3271" s="5" t="s">
        <v>2225</v>
      </c>
      <c r="G3271" s="5" t="str">
        <f aca="false">INDEX(Risk_Matrix!$B$2:$D$4,MATCH(E3271,Risk_Matrix!$A$2:$A$4,0),MATCH(F3271,Risk_Matrix!$B$1:$D$1,0))</f>
        <v>Medium</v>
      </c>
      <c r="H3271" s="12" t="n">
        <v>46156</v>
      </c>
      <c r="I3271" s="5" t="s">
        <v>2241</v>
      </c>
      <c r="J3271" s="5" t="s">
        <v>2242</v>
      </c>
      <c r="K3271" s="5" t="s">
        <v>2276</v>
      </c>
      <c r="L3271" s="5" t="n">
        <f aca="false">IF(G3271="High",3,IF(G3271="Medium",2,1))</f>
        <v>2</v>
      </c>
    </row>
    <row r="3272" customFormat="false" ht="15" hidden="false" customHeight="true" outlineLevel="0" collapsed="false">
      <c r="A3272" s="5" t="s">
        <v>5550</v>
      </c>
      <c r="B3272" s="5" t="s">
        <v>2084</v>
      </c>
      <c r="C3272" s="5" t="s">
        <v>2239</v>
      </c>
      <c r="D3272" s="5" t="s">
        <v>2303</v>
      </c>
      <c r="E3272" s="5" t="s">
        <v>2225</v>
      </c>
      <c r="F3272" s="5" t="s">
        <v>54</v>
      </c>
      <c r="G3272" s="5" t="str">
        <f aca="false">INDEX(Risk_Matrix!$B$2:$D$4,MATCH(E3272,Risk_Matrix!$A$2:$A$4,0),MATCH(F3272,Risk_Matrix!$B$1:$D$1,0))</f>
        <v>High</v>
      </c>
      <c r="H3272" s="12" t="n">
        <v>46063</v>
      </c>
      <c r="I3272" s="5" t="s">
        <v>2264</v>
      </c>
      <c r="J3272" s="5" t="s">
        <v>4087</v>
      </c>
      <c r="K3272" s="5" t="s">
        <v>2252</v>
      </c>
      <c r="L3272" s="5" t="n">
        <f aca="false">IF(G3272="High",3,IF(G3272="Medium",2,1))</f>
        <v>3</v>
      </c>
    </row>
    <row r="3273" customFormat="false" ht="15" hidden="false" customHeight="true" outlineLevel="0" collapsed="false">
      <c r="A3273" s="5" t="s">
        <v>5551</v>
      </c>
      <c r="B3273" s="5" t="s">
        <v>2084</v>
      </c>
      <c r="C3273" s="5" t="s">
        <v>2245</v>
      </c>
      <c r="D3273" s="5" t="s">
        <v>2280</v>
      </c>
      <c r="E3273" s="5" t="s">
        <v>54</v>
      </c>
      <c r="F3273" s="5" t="s">
        <v>54</v>
      </c>
      <c r="G3273" s="5" t="str">
        <f aca="false">INDEX(Risk_Matrix!$B$2:$D$4,MATCH(E3273,Risk_Matrix!$A$2:$A$4,0),MATCH(F3273,Risk_Matrix!$B$1:$D$1,0))</f>
        <v>High</v>
      </c>
      <c r="H3273" s="12" t="n">
        <v>46228</v>
      </c>
      <c r="I3273" s="5" t="s">
        <v>2256</v>
      </c>
      <c r="J3273" s="5" t="s">
        <v>4081</v>
      </c>
      <c r="K3273" s="5" t="s">
        <v>2243</v>
      </c>
      <c r="L3273" s="5" t="n">
        <f aca="false">IF(G3273="High",3,IF(G3273="Medium",2,1))</f>
        <v>3</v>
      </c>
    </row>
    <row r="3274" customFormat="false" ht="15" hidden="false" customHeight="true" outlineLevel="0" collapsed="false">
      <c r="A3274" s="5" t="s">
        <v>5552</v>
      </c>
      <c r="B3274" s="5" t="s">
        <v>2084</v>
      </c>
      <c r="C3274" s="5" t="s">
        <v>2248</v>
      </c>
      <c r="D3274" s="5" t="s">
        <v>2249</v>
      </c>
      <c r="E3274" s="5" t="s">
        <v>59</v>
      </c>
      <c r="F3274" s="5" t="s">
        <v>59</v>
      </c>
      <c r="G3274" s="5" t="str">
        <f aca="false">INDEX(Risk_Matrix!$B$2:$D$4,MATCH(E3274,Risk_Matrix!$A$2:$A$4,0),MATCH(F3274,Risk_Matrix!$B$1:$D$1,0))</f>
        <v>Low</v>
      </c>
      <c r="H3274" s="12" t="n">
        <v>46130</v>
      </c>
      <c r="I3274" s="5" t="s">
        <v>2250</v>
      </c>
      <c r="J3274" s="5" t="s">
        <v>2251</v>
      </c>
      <c r="K3274" s="5" t="s">
        <v>2252</v>
      </c>
      <c r="L3274" s="5" t="n">
        <f aca="false">IF(G3274="High",3,IF(G3274="Medium",2,1))</f>
        <v>1</v>
      </c>
    </row>
    <row r="3275" customFormat="false" ht="15" hidden="false" customHeight="true" outlineLevel="0" collapsed="false">
      <c r="A3275" s="5" t="s">
        <v>5553</v>
      </c>
      <c r="B3275" s="5" t="s">
        <v>2084</v>
      </c>
      <c r="C3275" s="5" t="s">
        <v>2262</v>
      </c>
      <c r="D3275" s="5" t="s">
        <v>2287</v>
      </c>
      <c r="E3275" s="5" t="s">
        <v>59</v>
      </c>
      <c r="F3275" s="5" t="s">
        <v>54</v>
      </c>
      <c r="G3275" s="5" t="str">
        <f aca="false">INDEX(Risk_Matrix!$B$2:$D$4,MATCH(E3275,Risk_Matrix!$A$2:$A$4,0),MATCH(F3275,Risk_Matrix!$B$1:$D$1,0))</f>
        <v>Medium</v>
      </c>
      <c r="H3275" s="12" t="n">
        <v>46124</v>
      </c>
      <c r="I3275" s="5" t="s">
        <v>2250</v>
      </c>
      <c r="J3275" s="5" t="s">
        <v>2251</v>
      </c>
      <c r="K3275" s="5" t="s">
        <v>2243</v>
      </c>
      <c r="L3275" s="5" t="n">
        <f aca="false">IF(G3275="High",3,IF(G3275="Medium",2,1))</f>
        <v>2</v>
      </c>
    </row>
    <row r="3276" customFormat="false" ht="15" hidden="false" customHeight="true" outlineLevel="0" collapsed="false">
      <c r="A3276" s="5" t="s">
        <v>5554</v>
      </c>
      <c r="B3276" s="5" t="s">
        <v>2084</v>
      </c>
      <c r="C3276" s="5" t="s">
        <v>2259</v>
      </c>
      <c r="D3276" s="5" t="s">
        <v>2285</v>
      </c>
      <c r="E3276" s="5" t="s">
        <v>2225</v>
      </c>
      <c r="F3276" s="5" t="s">
        <v>59</v>
      </c>
      <c r="G3276" s="5" t="str">
        <f aca="false">INDEX(Risk_Matrix!$B$2:$D$4,MATCH(E3276,Risk_Matrix!$A$2:$A$4,0),MATCH(F3276,Risk_Matrix!$B$1:$D$1,0))</f>
        <v>Low</v>
      </c>
      <c r="H3276" s="12" t="n">
        <v>46142</v>
      </c>
      <c r="I3276" s="5" t="s">
        <v>2264</v>
      </c>
      <c r="J3276" s="5" t="s">
        <v>4087</v>
      </c>
      <c r="K3276" s="5" t="s">
        <v>2266</v>
      </c>
      <c r="L3276" s="5" t="n">
        <f aca="false">IF(G3276="High",3,IF(G3276="Medium",2,1))</f>
        <v>1</v>
      </c>
    </row>
    <row r="3277" customFormat="false" ht="15" hidden="false" customHeight="true" outlineLevel="0" collapsed="false">
      <c r="A3277" s="5" t="s">
        <v>5555</v>
      </c>
      <c r="B3277" s="5" t="s">
        <v>2084</v>
      </c>
      <c r="C3277" s="5" t="s">
        <v>2254</v>
      </c>
      <c r="D3277" s="5" t="s">
        <v>2299</v>
      </c>
      <c r="E3277" s="5" t="s">
        <v>59</v>
      </c>
      <c r="F3277" s="5" t="s">
        <v>2225</v>
      </c>
      <c r="G3277" s="5" t="str">
        <f aca="false">INDEX(Risk_Matrix!$B$2:$D$4,MATCH(E3277,Risk_Matrix!$A$2:$A$4,0),MATCH(F3277,Risk_Matrix!$B$1:$D$1,0))</f>
        <v>Low</v>
      </c>
      <c r="H3277" s="12" t="n">
        <v>46124</v>
      </c>
      <c r="I3277" s="5" t="s">
        <v>2250</v>
      </c>
      <c r="J3277" s="5" t="s">
        <v>2251</v>
      </c>
      <c r="K3277" s="5" t="s">
        <v>2252</v>
      </c>
      <c r="L3277" s="5" t="n">
        <f aca="false">IF(G3277="High",3,IF(G3277="Medium",2,1))</f>
        <v>1</v>
      </c>
    </row>
    <row r="3278" customFormat="false" ht="15" hidden="false" customHeight="true" outlineLevel="0" collapsed="false">
      <c r="A3278" s="5" t="s">
        <v>5556</v>
      </c>
      <c r="B3278" s="5" t="s">
        <v>2086</v>
      </c>
      <c r="C3278" s="5" t="s">
        <v>2239</v>
      </c>
      <c r="D3278" s="5" t="s">
        <v>2240</v>
      </c>
      <c r="E3278" s="5" t="s">
        <v>2225</v>
      </c>
      <c r="F3278" s="5" t="s">
        <v>2225</v>
      </c>
      <c r="G3278" s="5" t="str">
        <f aca="false">INDEX(Risk_Matrix!$B$2:$D$4,MATCH(E3278,Risk_Matrix!$A$2:$A$4,0),MATCH(F3278,Risk_Matrix!$B$1:$D$1,0))</f>
        <v>Medium</v>
      </c>
      <c r="H3278" s="12" t="n">
        <v>46049</v>
      </c>
      <c r="I3278" s="5" t="s">
        <v>2256</v>
      </c>
      <c r="J3278" s="5" t="s">
        <v>4081</v>
      </c>
      <c r="K3278" s="5" t="s">
        <v>2276</v>
      </c>
      <c r="L3278" s="5" t="n">
        <f aca="false">IF(G3278="High",3,IF(G3278="Medium",2,1))</f>
        <v>2</v>
      </c>
    </row>
    <row r="3279" customFormat="false" ht="15" hidden="false" customHeight="true" outlineLevel="0" collapsed="false">
      <c r="A3279" s="5" t="s">
        <v>5557</v>
      </c>
      <c r="B3279" s="5" t="s">
        <v>2086</v>
      </c>
      <c r="C3279" s="5" t="s">
        <v>2245</v>
      </c>
      <c r="D3279" s="5" t="s">
        <v>2269</v>
      </c>
      <c r="E3279" s="5" t="s">
        <v>2225</v>
      </c>
      <c r="F3279" s="5" t="s">
        <v>2225</v>
      </c>
      <c r="G3279" s="5" t="str">
        <f aca="false">INDEX(Risk_Matrix!$B$2:$D$4,MATCH(E3279,Risk_Matrix!$A$2:$A$4,0),MATCH(F3279,Risk_Matrix!$B$1:$D$1,0))</f>
        <v>Medium</v>
      </c>
      <c r="H3279" s="12" t="n">
        <v>46120</v>
      </c>
      <c r="I3279" s="5" t="s">
        <v>2264</v>
      </c>
      <c r="J3279" s="5" t="s">
        <v>4087</v>
      </c>
      <c r="K3279" s="5" t="s">
        <v>2252</v>
      </c>
      <c r="L3279" s="5" t="n">
        <f aca="false">IF(G3279="High",3,IF(G3279="Medium",2,1))</f>
        <v>2</v>
      </c>
    </row>
    <row r="3280" customFormat="false" ht="15" hidden="false" customHeight="true" outlineLevel="0" collapsed="false">
      <c r="A3280" s="5" t="s">
        <v>5558</v>
      </c>
      <c r="B3280" s="5" t="s">
        <v>2086</v>
      </c>
      <c r="C3280" s="5" t="s">
        <v>2248</v>
      </c>
      <c r="D3280" s="5" t="s">
        <v>2306</v>
      </c>
      <c r="E3280" s="5" t="s">
        <v>2225</v>
      </c>
      <c r="F3280" s="5" t="s">
        <v>59</v>
      </c>
      <c r="G3280" s="5" t="str">
        <f aca="false">INDEX(Risk_Matrix!$B$2:$D$4,MATCH(E3280,Risk_Matrix!$A$2:$A$4,0),MATCH(F3280,Risk_Matrix!$B$1:$D$1,0))</f>
        <v>Low</v>
      </c>
      <c r="H3280" s="12" t="n">
        <v>46176</v>
      </c>
      <c r="I3280" s="5" t="s">
        <v>2264</v>
      </c>
      <c r="J3280" s="5" t="s">
        <v>4087</v>
      </c>
      <c r="K3280" s="5" t="s">
        <v>2243</v>
      </c>
      <c r="L3280" s="5" t="n">
        <f aca="false">IF(G3280="High",3,IF(G3280="Medium",2,1))</f>
        <v>1</v>
      </c>
    </row>
    <row r="3281" customFormat="false" ht="15" hidden="false" customHeight="true" outlineLevel="0" collapsed="false">
      <c r="A3281" s="5" t="s">
        <v>5559</v>
      </c>
      <c r="B3281" s="5" t="s">
        <v>2086</v>
      </c>
      <c r="C3281" s="5" t="s">
        <v>2262</v>
      </c>
      <c r="D3281" s="5" t="s">
        <v>2263</v>
      </c>
      <c r="E3281" s="5" t="s">
        <v>54</v>
      </c>
      <c r="F3281" s="5" t="s">
        <v>54</v>
      </c>
      <c r="G3281" s="5" t="str">
        <f aca="false">INDEX(Risk_Matrix!$B$2:$D$4,MATCH(E3281,Risk_Matrix!$A$2:$A$4,0),MATCH(F3281,Risk_Matrix!$B$1:$D$1,0))</f>
        <v>High</v>
      </c>
      <c r="H3281" s="12" t="n">
        <v>46124</v>
      </c>
      <c r="I3281" s="5" t="s">
        <v>2264</v>
      </c>
      <c r="J3281" s="5" t="s">
        <v>4087</v>
      </c>
      <c r="K3281" s="5" t="s">
        <v>2266</v>
      </c>
      <c r="L3281" s="5" t="n">
        <f aca="false">IF(G3281="High",3,IF(G3281="Medium",2,1))</f>
        <v>3</v>
      </c>
    </row>
    <row r="3282" customFormat="false" ht="15" hidden="false" customHeight="true" outlineLevel="0" collapsed="false">
      <c r="A3282" s="5" t="s">
        <v>5560</v>
      </c>
      <c r="B3282" s="5" t="s">
        <v>2086</v>
      </c>
      <c r="C3282" s="5" t="s">
        <v>2259</v>
      </c>
      <c r="D3282" s="5" t="s">
        <v>2274</v>
      </c>
      <c r="E3282" s="5" t="s">
        <v>59</v>
      </c>
      <c r="F3282" s="5" t="s">
        <v>59</v>
      </c>
      <c r="G3282" s="5" t="str">
        <f aca="false">INDEX(Risk_Matrix!$B$2:$D$4,MATCH(E3282,Risk_Matrix!$A$2:$A$4,0),MATCH(F3282,Risk_Matrix!$B$1:$D$1,0))</f>
        <v>Low</v>
      </c>
      <c r="H3282" s="12" t="n">
        <v>46050</v>
      </c>
      <c r="I3282" s="5" t="s">
        <v>2241</v>
      </c>
      <c r="J3282" s="5" t="s">
        <v>2242</v>
      </c>
      <c r="K3282" s="5" t="s">
        <v>2243</v>
      </c>
      <c r="L3282" s="5" t="n">
        <f aca="false">IF(G3282="High",3,IF(G3282="Medium",2,1))</f>
        <v>1</v>
      </c>
    </row>
    <row r="3283" customFormat="false" ht="15" hidden="false" customHeight="true" outlineLevel="0" collapsed="false">
      <c r="A3283" s="5" t="s">
        <v>5561</v>
      </c>
      <c r="B3283" s="5" t="s">
        <v>2086</v>
      </c>
      <c r="C3283" s="5" t="s">
        <v>2254</v>
      </c>
      <c r="D3283" s="5" t="s">
        <v>2299</v>
      </c>
      <c r="E3283" s="5" t="s">
        <v>54</v>
      </c>
      <c r="F3283" s="5" t="s">
        <v>54</v>
      </c>
      <c r="G3283" s="5" t="str">
        <f aca="false">INDEX(Risk_Matrix!$B$2:$D$4,MATCH(E3283,Risk_Matrix!$A$2:$A$4,0),MATCH(F3283,Risk_Matrix!$B$1:$D$1,0))</f>
        <v>High</v>
      </c>
      <c r="H3283" s="12" t="n">
        <v>46047</v>
      </c>
      <c r="I3283" s="5" t="s">
        <v>2241</v>
      </c>
      <c r="J3283" s="5" t="s">
        <v>2242</v>
      </c>
      <c r="K3283" s="5" t="s">
        <v>2252</v>
      </c>
      <c r="L3283" s="5" t="n">
        <f aca="false">IF(G3283="High",3,IF(G3283="Medium",2,1))</f>
        <v>3</v>
      </c>
    </row>
    <row r="3284" customFormat="false" ht="15" hidden="false" customHeight="true" outlineLevel="0" collapsed="false">
      <c r="A3284" s="5" t="s">
        <v>5562</v>
      </c>
      <c r="B3284" s="5" t="s">
        <v>2088</v>
      </c>
      <c r="C3284" s="5" t="s">
        <v>2239</v>
      </c>
      <c r="D3284" s="5" t="s">
        <v>2295</v>
      </c>
      <c r="E3284" s="5" t="s">
        <v>2225</v>
      </c>
      <c r="F3284" s="5" t="s">
        <v>59</v>
      </c>
      <c r="G3284" s="5" t="str">
        <f aca="false">INDEX(Risk_Matrix!$B$2:$D$4,MATCH(E3284,Risk_Matrix!$A$2:$A$4,0),MATCH(F3284,Risk_Matrix!$B$1:$D$1,0))</f>
        <v>Low</v>
      </c>
      <c r="H3284" s="12" t="n">
        <v>46138</v>
      </c>
      <c r="I3284" s="5" t="s">
        <v>2250</v>
      </c>
      <c r="J3284" s="5" t="s">
        <v>2251</v>
      </c>
      <c r="K3284" s="5" t="s">
        <v>2243</v>
      </c>
      <c r="L3284" s="5" t="n">
        <f aca="false">IF(G3284="High",3,IF(G3284="Medium",2,1))</f>
        <v>1</v>
      </c>
    </row>
    <row r="3285" customFormat="false" ht="15" hidden="false" customHeight="true" outlineLevel="0" collapsed="false">
      <c r="A3285" s="5" t="s">
        <v>5563</v>
      </c>
      <c r="B3285" s="5" t="s">
        <v>2088</v>
      </c>
      <c r="C3285" s="5" t="s">
        <v>2245</v>
      </c>
      <c r="D3285" s="5" t="s">
        <v>2320</v>
      </c>
      <c r="E3285" s="5" t="s">
        <v>59</v>
      </c>
      <c r="F3285" s="5" t="s">
        <v>59</v>
      </c>
      <c r="G3285" s="5" t="str">
        <f aca="false">INDEX(Risk_Matrix!$B$2:$D$4,MATCH(E3285,Risk_Matrix!$A$2:$A$4,0),MATCH(F3285,Risk_Matrix!$B$1:$D$1,0))</f>
        <v>Low</v>
      </c>
      <c r="H3285" s="12" t="n">
        <v>46069</v>
      </c>
      <c r="I3285" s="5" t="s">
        <v>2256</v>
      </c>
      <c r="J3285" s="5" t="s">
        <v>4081</v>
      </c>
      <c r="K3285" s="5" t="s">
        <v>2252</v>
      </c>
      <c r="L3285" s="5" t="n">
        <f aca="false">IF(G3285="High",3,IF(G3285="Medium",2,1))</f>
        <v>1</v>
      </c>
    </row>
    <row r="3286" customFormat="false" ht="15" hidden="false" customHeight="true" outlineLevel="0" collapsed="false">
      <c r="A3286" s="5" t="s">
        <v>5564</v>
      </c>
      <c r="B3286" s="5" t="s">
        <v>2088</v>
      </c>
      <c r="C3286" s="5" t="s">
        <v>2248</v>
      </c>
      <c r="D3286" s="5" t="s">
        <v>2271</v>
      </c>
      <c r="E3286" s="5" t="s">
        <v>59</v>
      </c>
      <c r="F3286" s="5" t="s">
        <v>59</v>
      </c>
      <c r="G3286" s="5" t="str">
        <f aca="false">INDEX(Risk_Matrix!$B$2:$D$4,MATCH(E3286,Risk_Matrix!$A$2:$A$4,0),MATCH(F3286,Risk_Matrix!$B$1:$D$1,0))</f>
        <v>Low</v>
      </c>
      <c r="H3286" s="12" t="n">
        <v>46194</v>
      </c>
      <c r="I3286" s="5" t="s">
        <v>2241</v>
      </c>
      <c r="J3286" s="5" t="s">
        <v>2242</v>
      </c>
      <c r="K3286" s="5" t="s">
        <v>2283</v>
      </c>
      <c r="L3286" s="5" t="n">
        <f aca="false">IF(G3286="High",3,IF(G3286="Medium",2,1))</f>
        <v>1</v>
      </c>
    </row>
    <row r="3287" customFormat="false" ht="15" hidden="false" customHeight="true" outlineLevel="0" collapsed="false">
      <c r="A3287" s="5" t="s">
        <v>5565</v>
      </c>
      <c r="B3287" s="5" t="s">
        <v>2088</v>
      </c>
      <c r="C3287" s="5" t="s">
        <v>2262</v>
      </c>
      <c r="D3287" s="5" t="s">
        <v>2263</v>
      </c>
      <c r="E3287" s="5" t="s">
        <v>59</v>
      </c>
      <c r="F3287" s="5" t="s">
        <v>2225</v>
      </c>
      <c r="G3287" s="5" t="str">
        <f aca="false">INDEX(Risk_Matrix!$B$2:$D$4,MATCH(E3287,Risk_Matrix!$A$2:$A$4,0),MATCH(F3287,Risk_Matrix!$B$1:$D$1,0))</f>
        <v>Low</v>
      </c>
      <c r="H3287" s="12" t="n">
        <v>46069</v>
      </c>
      <c r="I3287" s="5" t="s">
        <v>2256</v>
      </c>
      <c r="J3287" s="5" t="s">
        <v>4081</v>
      </c>
      <c r="K3287" s="5" t="s">
        <v>2276</v>
      </c>
      <c r="L3287" s="5" t="n">
        <f aca="false">IF(G3287="High",3,IF(G3287="Medium",2,1))</f>
        <v>1</v>
      </c>
    </row>
    <row r="3288" customFormat="false" ht="15" hidden="false" customHeight="true" outlineLevel="0" collapsed="false">
      <c r="A3288" s="5" t="s">
        <v>5566</v>
      </c>
      <c r="B3288" s="5" t="s">
        <v>2088</v>
      </c>
      <c r="C3288" s="5" t="s">
        <v>2259</v>
      </c>
      <c r="D3288" s="5" t="s">
        <v>2260</v>
      </c>
      <c r="E3288" s="5" t="s">
        <v>59</v>
      </c>
      <c r="F3288" s="5" t="s">
        <v>59</v>
      </c>
      <c r="G3288" s="5" t="str">
        <f aca="false">INDEX(Risk_Matrix!$B$2:$D$4,MATCH(E3288,Risk_Matrix!$A$2:$A$4,0),MATCH(F3288,Risk_Matrix!$B$1:$D$1,0))</f>
        <v>Low</v>
      </c>
      <c r="H3288" s="12" t="n">
        <v>46224</v>
      </c>
      <c r="I3288" s="5" t="s">
        <v>2241</v>
      </c>
      <c r="J3288" s="5" t="s">
        <v>2242</v>
      </c>
      <c r="K3288" s="5" t="s">
        <v>2266</v>
      </c>
      <c r="L3288" s="5" t="n">
        <f aca="false">IF(G3288="High",3,IF(G3288="Medium",2,1))</f>
        <v>1</v>
      </c>
    </row>
    <row r="3289" customFormat="false" ht="15" hidden="false" customHeight="true" outlineLevel="0" collapsed="false">
      <c r="A3289" s="5" t="s">
        <v>5567</v>
      </c>
      <c r="B3289" s="5" t="s">
        <v>2088</v>
      </c>
      <c r="C3289" s="5" t="s">
        <v>2254</v>
      </c>
      <c r="D3289" s="5" t="s">
        <v>2308</v>
      </c>
      <c r="E3289" s="5" t="s">
        <v>2225</v>
      </c>
      <c r="F3289" s="5" t="s">
        <v>59</v>
      </c>
      <c r="G3289" s="5" t="str">
        <f aca="false">INDEX(Risk_Matrix!$B$2:$D$4,MATCH(E3289,Risk_Matrix!$A$2:$A$4,0),MATCH(F3289,Risk_Matrix!$B$1:$D$1,0))</f>
        <v>Low</v>
      </c>
      <c r="H3289" s="12" t="n">
        <v>46168</v>
      </c>
      <c r="I3289" s="5" t="s">
        <v>2241</v>
      </c>
      <c r="J3289" s="5" t="s">
        <v>2242</v>
      </c>
      <c r="K3289" s="5" t="s">
        <v>2276</v>
      </c>
      <c r="L3289" s="5" t="n">
        <f aca="false">IF(G3289="High",3,IF(G3289="Medium",2,1))</f>
        <v>1</v>
      </c>
    </row>
    <row r="3290" customFormat="false" ht="15" hidden="false" customHeight="true" outlineLevel="0" collapsed="false">
      <c r="A3290" s="5" t="s">
        <v>5568</v>
      </c>
      <c r="B3290" s="5" t="s">
        <v>2090</v>
      </c>
      <c r="C3290" s="5" t="s">
        <v>2239</v>
      </c>
      <c r="D3290" s="5" t="s">
        <v>2295</v>
      </c>
      <c r="E3290" s="5" t="s">
        <v>54</v>
      </c>
      <c r="F3290" s="5" t="s">
        <v>59</v>
      </c>
      <c r="G3290" s="5" t="str">
        <f aca="false">INDEX(Risk_Matrix!$B$2:$D$4,MATCH(E3290,Risk_Matrix!$A$2:$A$4,0),MATCH(F3290,Risk_Matrix!$B$1:$D$1,0))</f>
        <v>Medium</v>
      </c>
      <c r="H3290" s="12" t="n">
        <v>46074</v>
      </c>
      <c r="I3290" s="5" t="s">
        <v>2264</v>
      </c>
      <c r="J3290" s="5" t="s">
        <v>4087</v>
      </c>
      <c r="K3290" s="5" t="s">
        <v>2283</v>
      </c>
      <c r="L3290" s="5" t="n">
        <f aca="false">IF(G3290="High",3,IF(G3290="Medium",2,1))</f>
        <v>2</v>
      </c>
    </row>
    <row r="3291" customFormat="false" ht="15" hidden="false" customHeight="true" outlineLevel="0" collapsed="false">
      <c r="A3291" s="5" t="s">
        <v>5569</v>
      </c>
      <c r="B3291" s="5" t="s">
        <v>2090</v>
      </c>
      <c r="C3291" s="5" t="s">
        <v>2245</v>
      </c>
      <c r="D3291" s="5" t="s">
        <v>2246</v>
      </c>
      <c r="E3291" s="5" t="s">
        <v>59</v>
      </c>
      <c r="F3291" s="5" t="s">
        <v>2225</v>
      </c>
      <c r="G3291" s="5" t="str">
        <f aca="false">INDEX(Risk_Matrix!$B$2:$D$4,MATCH(E3291,Risk_Matrix!$A$2:$A$4,0),MATCH(F3291,Risk_Matrix!$B$1:$D$1,0))</f>
        <v>Low</v>
      </c>
      <c r="H3291" s="12" t="n">
        <v>46158</v>
      </c>
      <c r="I3291" s="5" t="s">
        <v>2264</v>
      </c>
      <c r="J3291" s="5" t="s">
        <v>4087</v>
      </c>
      <c r="K3291" s="5" t="s">
        <v>2252</v>
      </c>
      <c r="L3291" s="5" t="n">
        <f aca="false">IF(G3291="High",3,IF(G3291="Medium",2,1))</f>
        <v>1</v>
      </c>
    </row>
    <row r="3292" customFormat="false" ht="15" hidden="false" customHeight="true" outlineLevel="0" collapsed="false">
      <c r="A3292" s="5" t="s">
        <v>5570</v>
      </c>
      <c r="B3292" s="5" t="s">
        <v>2090</v>
      </c>
      <c r="C3292" s="5" t="s">
        <v>2248</v>
      </c>
      <c r="D3292" s="5" t="s">
        <v>2271</v>
      </c>
      <c r="E3292" s="5" t="s">
        <v>54</v>
      </c>
      <c r="F3292" s="5" t="s">
        <v>54</v>
      </c>
      <c r="G3292" s="5" t="str">
        <f aca="false">INDEX(Risk_Matrix!$B$2:$D$4,MATCH(E3292,Risk_Matrix!$A$2:$A$4,0),MATCH(F3292,Risk_Matrix!$B$1:$D$1,0))</f>
        <v>High</v>
      </c>
      <c r="H3292" s="12" t="n">
        <v>46061</v>
      </c>
      <c r="I3292" s="5" t="s">
        <v>2241</v>
      </c>
      <c r="J3292" s="5" t="s">
        <v>2242</v>
      </c>
      <c r="K3292" s="5" t="s">
        <v>2276</v>
      </c>
      <c r="L3292" s="5" t="n">
        <f aca="false">IF(G3292="High",3,IF(G3292="Medium",2,1))</f>
        <v>3</v>
      </c>
    </row>
    <row r="3293" customFormat="false" ht="15" hidden="false" customHeight="true" outlineLevel="0" collapsed="false">
      <c r="A3293" s="5" t="s">
        <v>5571</v>
      </c>
      <c r="B3293" s="5" t="s">
        <v>2090</v>
      </c>
      <c r="C3293" s="5" t="s">
        <v>2262</v>
      </c>
      <c r="D3293" s="5" t="s">
        <v>2311</v>
      </c>
      <c r="E3293" s="5" t="s">
        <v>59</v>
      </c>
      <c r="F3293" s="5" t="s">
        <v>2225</v>
      </c>
      <c r="G3293" s="5" t="str">
        <f aca="false">INDEX(Risk_Matrix!$B$2:$D$4,MATCH(E3293,Risk_Matrix!$A$2:$A$4,0),MATCH(F3293,Risk_Matrix!$B$1:$D$1,0))</f>
        <v>Low</v>
      </c>
      <c r="H3293" s="12" t="n">
        <v>46088</v>
      </c>
      <c r="I3293" s="5" t="s">
        <v>2264</v>
      </c>
      <c r="J3293" s="5" t="s">
        <v>4087</v>
      </c>
      <c r="K3293" s="5" t="s">
        <v>2243</v>
      </c>
      <c r="L3293" s="5" t="n">
        <f aca="false">IF(G3293="High",3,IF(G3293="Medium",2,1))</f>
        <v>1</v>
      </c>
    </row>
    <row r="3294" customFormat="false" ht="15" hidden="false" customHeight="true" outlineLevel="0" collapsed="false">
      <c r="A3294" s="5" t="s">
        <v>5572</v>
      </c>
      <c r="B3294" s="5" t="s">
        <v>2090</v>
      </c>
      <c r="C3294" s="5" t="s">
        <v>2259</v>
      </c>
      <c r="D3294" s="5" t="s">
        <v>2285</v>
      </c>
      <c r="E3294" s="5" t="s">
        <v>2225</v>
      </c>
      <c r="F3294" s="5" t="s">
        <v>54</v>
      </c>
      <c r="G3294" s="5" t="str">
        <f aca="false">INDEX(Risk_Matrix!$B$2:$D$4,MATCH(E3294,Risk_Matrix!$A$2:$A$4,0),MATCH(F3294,Risk_Matrix!$B$1:$D$1,0))</f>
        <v>High</v>
      </c>
      <c r="H3294" s="12" t="n">
        <v>46089</v>
      </c>
      <c r="I3294" s="5" t="s">
        <v>2250</v>
      </c>
      <c r="J3294" s="5" t="s">
        <v>2251</v>
      </c>
      <c r="K3294" s="5" t="s">
        <v>2276</v>
      </c>
      <c r="L3294" s="5" t="n">
        <f aca="false">IF(G3294="High",3,IF(G3294="Medium",2,1))</f>
        <v>3</v>
      </c>
    </row>
    <row r="3295" customFormat="false" ht="15" hidden="false" customHeight="true" outlineLevel="0" collapsed="false">
      <c r="A3295" s="5" t="s">
        <v>5573</v>
      </c>
      <c r="B3295" s="5" t="s">
        <v>2090</v>
      </c>
      <c r="C3295" s="5" t="s">
        <v>2254</v>
      </c>
      <c r="D3295" s="5" t="s">
        <v>2255</v>
      </c>
      <c r="E3295" s="5" t="s">
        <v>59</v>
      </c>
      <c r="F3295" s="5" t="s">
        <v>54</v>
      </c>
      <c r="G3295" s="5" t="str">
        <f aca="false">INDEX(Risk_Matrix!$B$2:$D$4,MATCH(E3295,Risk_Matrix!$A$2:$A$4,0),MATCH(F3295,Risk_Matrix!$B$1:$D$1,0))</f>
        <v>Medium</v>
      </c>
      <c r="H3295" s="12" t="n">
        <v>46068</v>
      </c>
      <c r="I3295" s="5" t="s">
        <v>2241</v>
      </c>
      <c r="J3295" s="5" t="s">
        <v>2242</v>
      </c>
      <c r="K3295" s="5" t="s">
        <v>2243</v>
      </c>
      <c r="L3295" s="5" t="n">
        <f aca="false">IF(G3295="High",3,IF(G3295="Medium",2,1))</f>
        <v>2</v>
      </c>
    </row>
    <row r="3296" customFormat="false" ht="15" hidden="false" customHeight="true" outlineLevel="0" collapsed="false">
      <c r="A3296" s="5" t="s">
        <v>5574</v>
      </c>
      <c r="B3296" s="5" t="s">
        <v>2092</v>
      </c>
      <c r="C3296" s="5" t="s">
        <v>2239</v>
      </c>
      <c r="D3296" s="5" t="s">
        <v>2240</v>
      </c>
      <c r="E3296" s="5" t="s">
        <v>59</v>
      </c>
      <c r="F3296" s="5" t="s">
        <v>2225</v>
      </c>
      <c r="G3296" s="5" t="str">
        <f aca="false">INDEX(Risk_Matrix!$B$2:$D$4,MATCH(E3296,Risk_Matrix!$A$2:$A$4,0),MATCH(F3296,Risk_Matrix!$B$1:$D$1,0))</f>
        <v>Low</v>
      </c>
      <c r="H3296" s="12" t="n">
        <v>46100</v>
      </c>
      <c r="I3296" s="5" t="s">
        <v>2264</v>
      </c>
      <c r="J3296" s="5" t="s">
        <v>4087</v>
      </c>
      <c r="K3296" s="5" t="s">
        <v>2266</v>
      </c>
      <c r="L3296" s="5" t="n">
        <f aca="false">IF(G3296="High",3,IF(G3296="Medium",2,1))</f>
        <v>1</v>
      </c>
    </row>
    <row r="3297" customFormat="false" ht="15" hidden="false" customHeight="true" outlineLevel="0" collapsed="false">
      <c r="A3297" s="5" t="s">
        <v>5575</v>
      </c>
      <c r="B3297" s="5" t="s">
        <v>2092</v>
      </c>
      <c r="C3297" s="5" t="s">
        <v>2245</v>
      </c>
      <c r="D3297" s="5" t="s">
        <v>2269</v>
      </c>
      <c r="E3297" s="5" t="s">
        <v>54</v>
      </c>
      <c r="F3297" s="5" t="s">
        <v>2225</v>
      </c>
      <c r="G3297" s="5" t="str">
        <f aca="false">INDEX(Risk_Matrix!$B$2:$D$4,MATCH(E3297,Risk_Matrix!$A$2:$A$4,0),MATCH(F3297,Risk_Matrix!$B$1:$D$1,0))</f>
        <v>High</v>
      </c>
      <c r="H3297" s="12" t="n">
        <v>46165</v>
      </c>
      <c r="I3297" s="5" t="s">
        <v>2256</v>
      </c>
      <c r="J3297" s="5" t="s">
        <v>4081</v>
      </c>
      <c r="K3297" s="5" t="s">
        <v>2283</v>
      </c>
      <c r="L3297" s="5" t="n">
        <f aca="false">IF(G3297="High",3,IF(G3297="Medium",2,1))</f>
        <v>3</v>
      </c>
    </row>
    <row r="3298" customFormat="false" ht="15" hidden="false" customHeight="true" outlineLevel="0" collapsed="false">
      <c r="A3298" s="5" t="s">
        <v>5576</v>
      </c>
      <c r="B3298" s="5" t="s">
        <v>2092</v>
      </c>
      <c r="C3298" s="5" t="s">
        <v>2248</v>
      </c>
      <c r="D3298" s="5" t="s">
        <v>2249</v>
      </c>
      <c r="E3298" s="5" t="s">
        <v>54</v>
      </c>
      <c r="F3298" s="5" t="s">
        <v>2225</v>
      </c>
      <c r="G3298" s="5" t="str">
        <f aca="false">INDEX(Risk_Matrix!$B$2:$D$4,MATCH(E3298,Risk_Matrix!$A$2:$A$4,0),MATCH(F3298,Risk_Matrix!$B$1:$D$1,0))</f>
        <v>High</v>
      </c>
      <c r="H3298" s="12" t="n">
        <v>46174</v>
      </c>
      <c r="I3298" s="5" t="s">
        <v>2250</v>
      </c>
      <c r="J3298" s="5" t="s">
        <v>2251</v>
      </c>
      <c r="K3298" s="5" t="s">
        <v>2283</v>
      </c>
      <c r="L3298" s="5" t="n">
        <f aca="false">IF(G3298="High",3,IF(G3298="Medium",2,1))</f>
        <v>3</v>
      </c>
    </row>
    <row r="3299" customFormat="false" ht="15" hidden="false" customHeight="true" outlineLevel="0" collapsed="false">
      <c r="A3299" s="5" t="s">
        <v>5577</v>
      </c>
      <c r="B3299" s="5" t="s">
        <v>2092</v>
      </c>
      <c r="C3299" s="5" t="s">
        <v>2262</v>
      </c>
      <c r="D3299" s="5" t="s">
        <v>2263</v>
      </c>
      <c r="E3299" s="5" t="s">
        <v>54</v>
      </c>
      <c r="F3299" s="5" t="s">
        <v>2225</v>
      </c>
      <c r="G3299" s="5" t="str">
        <f aca="false">INDEX(Risk_Matrix!$B$2:$D$4,MATCH(E3299,Risk_Matrix!$A$2:$A$4,0),MATCH(F3299,Risk_Matrix!$B$1:$D$1,0))</f>
        <v>High</v>
      </c>
      <c r="H3299" s="12" t="n">
        <v>46131</v>
      </c>
      <c r="I3299" s="5" t="s">
        <v>2250</v>
      </c>
      <c r="J3299" s="5" t="s">
        <v>2251</v>
      </c>
      <c r="K3299" s="5" t="s">
        <v>2283</v>
      </c>
      <c r="L3299" s="5" t="n">
        <f aca="false">IF(G3299="High",3,IF(G3299="Medium",2,1))</f>
        <v>3</v>
      </c>
    </row>
    <row r="3300" customFormat="false" ht="15" hidden="false" customHeight="true" outlineLevel="0" collapsed="false">
      <c r="A3300" s="5" t="s">
        <v>5578</v>
      </c>
      <c r="B3300" s="5" t="s">
        <v>2092</v>
      </c>
      <c r="C3300" s="5" t="s">
        <v>2259</v>
      </c>
      <c r="D3300" s="5" t="s">
        <v>2260</v>
      </c>
      <c r="E3300" s="5" t="s">
        <v>54</v>
      </c>
      <c r="F3300" s="5" t="s">
        <v>2225</v>
      </c>
      <c r="G3300" s="5" t="str">
        <f aca="false">INDEX(Risk_Matrix!$B$2:$D$4,MATCH(E3300,Risk_Matrix!$A$2:$A$4,0),MATCH(F3300,Risk_Matrix!$B$1:$D$1,0))</f>
        <v>High</v>
      </c>
      <c r="H3300" s="12" t="n">
        <v>46079</v>
      </c>
      <c r="I3300" s="5" t="s">
        <v>2264</v>
      </c>
      <c r="J3300" s="5" t="s">
        <v>4087</v>
      </c>
      <c r="K3300" s="5" t="s">
        <v>2266</v>
      </c>
      <c r="L3300" s="5" t="n">
        <f aca="false">IF(G3300="High",3,IF(G3300="Medium",2,1))</f>
        <v>3</v>
      </c>
    </row>
    <row r="3301" customFormat="false" ht="15" hidden="false" customHeight="true" outlineLevel="0" collapsed="false">
      <c r="A3301" s="5" t="s">
        <v>5579</v>
      </c>
      <c r="B3301" s="5" t="s">
        <v>2092</v>
      </c>
      <c r="C3301" s="5" t="s">
        <v>2254</v>
      </c>
      <c r="D3301" s="5" t="s">
        <v>2308</v>
      </c>
      <c r="E3301" s="5" t="s">
        <v>54</v>
      </c>
      <c r="F3301" s="5" t="s">
        <v>2225</v>
      </c>
      <c r="G3301" s="5" t="str">
        <f aca="false">INDEX(Risk_Matrix!$B$2:$D$4,MATCH(E3301,Risk_Matrix!$A$2:$A$4,0),MATCH(F3301,Risk_Matrix!$B$1:$D$1,0))</f>
        <v>High</v>
      </c>
      <c r="H3301" s="12" t="n">
        <v>46181</v>
      </c>
      <c r="I3301" s="5" t="s">
        <v>2250</v>
      </c>
      <c r="J3301" s="5" t="s">
        <v>2251</v>
      </c>
      <c r="K3301" s="5" t="s">
        <v>2266</v>
      </c>
      <c r="L3301" s="5" t="n">
        <f aca="false">IF(G3301="High",3,IF(G3301="Medium",2,1))</f>
        <v>3</v>
      </c>
    </row>
    <row r="3302" customFormat="false" ht="15" hidden="false" customHeight="true" outlineLevel="0" collapsed="false">
      <c r="A3302" s="5" t="s">
        <v>5580</v>
      </c>
      <c r="B3302" s="5" t="s">
        <v>2094</v>
      </c>
      <c r="C3302" s="5" t="s">
        <v>2239</v>
      </c>
      <c r="D3302" s="5" t="s">
        <v>2303</v>
      </c>
      <c r="E3302" s="5" t="s">
        <v>2225</v>
      </c>
      <c r="F3302" s="5" t="s">
        <v>2225</v>
      </c>
      <c r="G3302" s="5" t="str">
        <f aca="false">INDEX(Risk_Matrix!$B$2:$D$4,MATCH(E3302,Risk_Matrix!$A$2:$A$4,0),MATCH(F3302,Risk_Matrix!$B$1:$D$1,0))</f>
        <v>Medium</v>
      </c>
      <c r="H3302" s="12" t="n">
        <v>46033</v>
      </c>
      <c r="I3302" s="5" t="s">
        <v>2250</v>
      </c>
      <c r="J3302" s="5" t="s">
        <v>2251</v>
      </c>
      <c r="K3302" s="5" t="s">
        <v>2252</v>
      </c>
      <c r="L3302" s="5" t="n">
        <f aca="false">IF(G3302="High",3,IF(G3302="Medium",2,1))</f>
        <v>2</v>
      </c>
    </row>
    <row r="3303" customFormat="false" ht="15" hidden="false" customHeight="true" outlineLevel="0" collapsed="false">
      <c r="A3303" s="5" t="s">
        <v>5581</v>
      </c>
      <c r="B3303" s="5" t="s">
        <v>2094</v>
      </c>
      <c r="C3303" s="5" t="s">
        <v>2245</v>
      </c>
      <c r="D3303" s="5" t="s">
        <v>2320</v>
      </c>
      <c r="E3303" s="5" t="s">
        <v>2225</v>
      </c>
      <c r="F3303" s="5" t="s">
        <v>59</v>
      </c>
      <c r="G3303" s="5" t="str">
        <f aca="false">INDEX(Risk_Matrix!$B$2:$D$4,MATCH(E3303,Risk_Matrix!$A$2:$A$4,0),MATCH(F3303,Risk_Matrix!$B$1:$D$1,0))</f>
        <v>Low</v>
      </c>
      <c r="H3303" s="12" t="n">
        <v>46138</v>
      </c>
      <c r="I3303" s="5" t="s">
        <v>2241</v>
      </c>
      <c r="J3303" s="5" t="s">
        <v>2242</v>
      </c>
      <c r="K3303" s="5" t="s">
        <v>2243</v>
      </c>
      <c r="L3303" s="5" t="n">
        <f aca="false">IF(G3303="High",3,IF(G3303="Medium",2,1))</f>
        <v>1</v>
      </c>
    </row>
    <row r="3304" customFormat="false" ht="15" hidden="false" customHeight="true" outlineLevel="0" collapsed="false">
      <c r="A3304" s="5" t="s">
        <v>5582</v>
      </c>
      <c r="B3304" s="5" t="s">
        <v>2094</v>
      </c>
      <c r="C3304" s="5" t="s">
        <v>2248</v>
      </c>
      <c r="D3304" s="5" t="s">
        <v>2322</v>
      </c>
      <c r="E3304" s="5" t="s">
        <v>2225</v>
      </c>
      <c r="F3304" s="5" t="s">
        <v>54</v>
      </c>
      <c r="G3304" s="5" t="str">
        <f aca="false">INDEX(Risk_Matrix!$B$2:$D$4,MATCH(E3304,Risk_Matrix!$A$2:$A$4,0),MATCH(F3304,Risk_Matrix!$B$1:$D$1,0))</f>
        <v>High</v>
      </c>
      <c r="H3304" s="12" t="n">
        <v>46128</v>
      </c>
      <c r="I3304" s="5" t="s">
        <v>2264</v>
      </c>
      <c r="J3304" s="5" t="s">
        <v>4087</v>
      </c>
      <c r="K3304" s="5" t="s">
        <v>2252</v>
      </c>
      <c r="L3304" s="5" t="n">
        <f aca="false">IF(G3304="High",3,IF(G3304="Medium",2,1))</f>
        <v>3</v>
      </c>
    </row>
    <row r="3305" customFormat="false" ht="15" hidden="false" customHeight="true" outlineLevel="0" collapsed="false">
      <c r="A3305" s="5" t="s">
        <v>5583</v>
      </c>
      <c r="B3305" s="5" t="s">
        <v>2094</v>
      </c>
      <c r="C3305" s="5" t="s">
        <v>2262</v>
      </c>
      <c r="D3305" s="5" t="s">
        <v>2311</v>
      </c>
      <c r="E3305" s="5" t="s">
        <v>59</v>
      </c>
      <c r="F3305" s="5" t="s">
        <v>59</v>
      </c>
      <c r="G3305" s="5" t="str">
        <f aca="false">INDEX(Risk_Matrix!$B$2:$D$4,MATCH(E3305,Risk_Matrix!$A$2:$A$4,0),MATCH(F3305,Risk_Matrix!$B$1:$D$1,0))</f>
        <v>Low</v>
      </c>
      <c r="H3305" s="12" t="n">
        <v>46091</v>
      </c>
      <c r="I3305" s="5" t="s">
        <v>2264</v>
      </c>
      <c r="J3305" s="5" t="s">
        <v>4087</v>
      </c>
      <c r="K3305" s="5" t="s">
        <v>2276</v>
      </c>
      <c r="L3305" s="5" t="n">
        <f aca="false">IF(G3305="High",3,IF(G3305="Medium",2,1))</f>
        <v>1</v>
      </c>
    </row>
    <row r="3306" customFormat="false" ht="15" hidden="false" customHeight="true" outlineLevel="0" collapsed="false">
      <c r="A3306" s="5" t="s">
        <v>5584</v>
      </c>
      <c r="B3306" s="5" t="s">
        <v>2094</v>
      </c>
      <c r="C3306" s="5" t="s">
        <v>2259</v>
      </c>
      <c r="D3306" s="5" t="s">
        <v>2274</v>
      </c>
      <c r="E3306" s="5" t="s">
        <v>2225</v>
      </c>
      <c r="F3306" s="5" t="s">
        <v>2225</v>
      </c>
      <c r="G3306" s="5" t="str">
        <f aca="false">INDEX(Risk_Matrix!$B$2:$D$4,MATCH(E3306,Risk_Matrix!$A$2:$A$4,0),MATCH(F3306,Risk_Matrix!$B$1:$D$1,0))</f>
        <v>Medium</v>
      </c>
      <c r="H3306" s="12" t="n">
        <v>46079</v>
      </c>
      <c r="I3306" s="5" t="s">
        <v>2256</v>
      </c>
      <c r="J3306" s="5" t="s">
        <v>4081</v>
      </c>
      <c r="K3306" s="5" t="s">
        <v>2252</v>
      </c>
      <c r="L3306" s="5" t="n">
        <f aca="false">IF(G3306="High",3,IF(G3306="Medium",2,1))</f>
        <v>2</v>
      </c>
    </row>
    <row r="3307" customFormat="false" ht="15" hidden="false" customHeight="true" outlineLevel="0" collapsed="false">
      <c r="A3307" s="5" t="s">
        <v>5585</v>
      </c>
      <c r="B3307" s="5" t="s">
        <v>2094</v>
      </c>
      <c r="C3307" s="5" t="s">
        <v>2254</v>
      </c>
      <c r="D3307" s="5" t="s">
        <v>2255</v>
      </c>
      <c r="E3307" s="5" t="s">
        <v>59</v>
      </c>
      <c r="F3307" s="5" t="s">
        <v>2225</v>
      </c>
      <c r="G3307" s="5" t="str">
        <f aca="false">INDEX(Risk_Matrix!$B$2:$D$4,MATCH(E3307,Risk_Matrix!$A$2:$A$4,0),MATCH(F3307,Risk_Matrix!$B$1:$D$1,0))</f>
        <v>Low</v>
      </c>
      <c r="H3307" s="12" t="n">
        <v>46064</v>
      </c>
      <c r="I3307" s="5" t="s">
        <v>2241</v>
      </c>
      <c r="J3307" s="5" t="s">
        <v>2242</v>
      </c>
      <c r="K3307" s="5" t="s">
        <v>2243</v>
      </c>
      <c r="L3307" s="5" t="n">
        <f aca="false">IF(G3307="High",3,IF(G3307="Medium",2,1))</f>
        <v>1</v>
      </c>
    </row>
    <row r="3308" customFormat="false" ht="15" hidden="false" customHeight="true" outlineLevel="0" collapsed="false">
      <c r="A3308" s="5" t="s">
        <v>5586</v>
      </c>
      <c r="B3308" s="5" t="s">
        <v>2096</v>
      </c>
      <c r="C3308" s="5" t="s">
        <v>2239</v>
      </c>
      <c r="D3308" s="5" t="s">
        <v>2240</v>
      </c>
      <c r="E3308" s="5" t="s">
        <v>2225</v>
      </c>
      <c r="F3308" s="5" t="s">
        <v>2225</v>
      </c>
      <c r="G3308" s="5" t="str">
        <f aca="false">INDEX(Risk_Matrix!$B$2:$D$4,MATCH(E3308,Risk_Matrix!$A$2:$A$4,0),MATCH(F3308,Risk_Matrix!$B$1:$D$1,0))</f>
        <v>Medium</v>
      </c>
      <c r="H3308" s="12" t="n">
        <v>46146</v>
      </c>
      <c r="I3308" s="5" t="s">
        <v>2241</v>
      </c>
      <c r="J3308" s="5" t="s">
        <v>2242</v>
      </c>
      <c r="K3308" s="5" t="s">
        <v>2252</v>
      </c>
      <c r="L3308" s="5" t="n">
        <f aca="false">IF(G3308="High",3,IF(G3308="Medium",2,1))</f>
        <v>2</v>
      </c>
    </row>
    <row r="3309" customFormat="false" ht="15" hidden="false" customHeight="true" outlineLevel="0" collapsed="false">
      <c r="A3309" s="5" t="s">
        <v>5587</v>
      </c>
      <c r="B3309" s="5" t="s">
        <v>2096</v>
      </c>
      <c r="C3309" s="5" t="s">
        <v>2245</v>
      </c>
      <c r="D3309" s="5" t="s">
        <v>2269</v>
      </c>
      <c r="E3309" s="5" t="s">
        <v>54</v>
      </c>
      <c r="F3309" s="5" t="s">
        <v>2225</v>
      </c>
      <c r="G3309" s="5" t="str">
        <f aca="false">INDEX(Risk_Matrix!$B$2:$D$4,MATCH(E3309,Risk_Matrix!$A$2:$A$4,0),MATCH(F3309,Risk_Matrix!$B$1:$D$1,0))</f>
        <v>High</v>
      </c>
      <c r="H3309" s="12" t="n">
        <v>46102</v>
      </c>
      <c r="I3309" s="5" t="s">
        <v>2241</v>
      </c>
      <c r="J3309" s="5" t="s">
        <v>2242</v>
      </c>
      <c r="K3309" s="5" t="s">
        <v>2283</v>
      </c>
      <c r="L3309" s="5" t="n">
        <f aca="false">IF(G3309="High",3,IF(G3309="Medium",2,1))</f>
        <v>3</v>
      </c>
    </row>
    <row r="3310" customFormat="false" ht="15" hidden="false" customHeight="true" outlineLevel="0" collapsed="false">
      <c r="A3310" s="5" t="s">
        <v>5588</v>
      </c>
      <c r="B3310" s="5" t="s">
        <v>2096</v>
      </c>
      <c r="C3310" s="5" t="s">
        <v>2248</v>
      </c>
      <c r="D3310" s="5" t="s">
        <v>2306</v>
      </c>
      <c r="E3310" s="5" t="s">
        <v>54</v>
      </c>
      <c r="F3310" s="5" t="s">
        <v>54</v>
      </c>
      <c r="G3310" s="5" t="str">
        <f aca="false">INDEX(Risk_Matrix!$B$2:$D$4,MATCH(E3310,Risk_Matrix!$A$2:$A$4,0),MATCH(F3310,Risk_Matrix!$B$1:$D$1,0))</f>
        <v>High</v>
      </c>
      <c r="H3310" s="12" t="n">
        <v>46149</v>
      </c>
      <c r="I3310" s="5" t="s">
        <v>2256</v>
      </c>
      <c r="J3310" s="5" t="s">
        <v>4081</v>
      </c>
      <c r="K3310" s="5" t="s">
        <v>2266</v>
      </c>
      <c r="L3310" s="5" t="n">
        <f aca="false">IF(G3310="High",3,IF(G3310="Medium",2,1))</f>
        <v>3</v>
      </c>
    </row>
    <row r="3311" customFormat="false" ht="15" hidden="false" customHeight="true" outlineLevel="0" collapsed="false">
      <c r="A3311" s="5" t="s">
        <v>5589</v>
      </c>
      <c r="B3311" s="5" t="s">
        <v>2096</v>
      </c>
      <c r="C3311" s="5" t="s">
        <v>2262</v>
      </c>
      <c r="D3311" s="5" t="s">
        <v>2311</v>
      </c>
      <c r="E3311" s="5" t="s">
        <v>2225</v>
      </c>
      <c r="F3311" s="5" t="s">
        <v>2225</v>
      </c>
      <c r="G3311" s="5" t="str">
        <f aca="false">INDEX(Risk_Matrix!$B$2:$D$4,MATCH(E3311,Risk_Matrix!$A$2:$A$4,0),MATCH(F3311,Risk_Matrix!$B$1:$D$1,0))</f>
        <v>Medium</v>
      </c>
      <c r="H3311" s="12" t="n">
        <v>46156</v>
      </c>
      <c r="I3311" s="5" t="s">
        <v>2264</v>
      </c>
      <c r="J3311" s="5" t="s">
        <v>4087</v>
      </c>
      <c r="K3311" s="5" t="s">
        <v>2252</v>
      </c>
      <c r="L3311" s="5" t="n">
        <f aca="false">IF(G3311="High",3,IF(G3311="Medium",2,1))</f>
        <v>2</v>
      </c>
    </row>
    <row r="3312" customFormat="false" ht="15" hidden="false" customHeight="true" outlineLevel="0" collapsed="false">
      <c r="A3312" s="5" t="s">
        <v>5590</v>
      </c>
      <c r="B3312" s="5" t="s">
        <v>2096</v>
      </c>
      <c r="C3312" s="5" t="s">
        <v>2259</v>
      </c>
      <c r="D3312" s="5" t="s">
        <v>2260</v>
      </c>
      <c r="E3312" s="5" t="s">
        <v>59</v>
      </c>
      <c r="F3312" s="5" t="s">
        <v>59</v>
      </c>
      <c r="G3312" s="5" t="str">
        <f aca="false">INDEX(Risk_Matrix!$B$2:$D$4,MATCH(E3312,Risk_Matrix!$A$2:$A$4,0),MATCH(F3312,Risk_Matrix!$B$1:$D$1,0))</f>
        <v>Low</v>
      </c>
      <c r="H3312" s="12" t="n">
        <v>46096</v>
      </c>
      <c r="I3312" s="5" t="s">
        <v>2264</v>
      </c>
      <c r="J3312" s="5" t="s">
        <v>4087</v>
      </c>
      <c r="K3312" s="5" t="s">
        <v>2283</v>
      </c>
      <c r="L3312" s="5" t="n">
        <f aca="false">IF(G3312="High",3,IF(G3312="Medium",2,1))</f>
        <v>1</v>
      </c>
    </row>
    <row r="3313" customFormat="false" ht="15" hidden="false" customHeight="true" outlineLevel="0" collapsed="false">
      <c r="A3313" s="5" t="s">
        <v>5591</v>
      </c>
      <c r="B3313" s="5" t="s">
        <v>2096</v>
      </c>
      <c r="C3313" s="5" t="s">
        <v>2254</v>
      </c>
      <c r="D3313" s="5" t="s">
        <v>2308</v>
      </c>
      <c r="E3313" s="5" t="s">
        <v>59</v>
      </c>
      <c r="F3313" s="5" t="s">
        <v>54</v>
      </c>
      <c r="G3313" s="5" t="str">
        <f aca="false">INDEX(Risk_Matrix!$B$2:$D$4,MATCH(E3313,Risk_Matrix!$A$2:$A$4,0),MATCH(F3313,Risk_Matrix!$B$1:$D$1,0))</f>
        <v>Medium</v>
      </c>
      <c r="H3313" s="12" t="n">
        <v>46122</v>
      </c>
      <c r="I3313" s="5" t="s">
        <v>2264</v>
      </c>
      <c r="J3313" s="5" t="s">
        <v>4087</v>
      </c>
      <c r="K3313" s="5" t="s">
        <v>2283</v>
      </c>
      <c r="L3313" s="5" t="n">
        <f aca="false">IF(G3313="High",3,IF(G3313="Medium",2,1))</f>
        <v>2</v>
      </c>
    </row>
    <row r="3314" customFormat="false" ht="15" hidden="false" customHeight="true" outlineLevel="0" collapsed="false">
      <c r="A3314" s="5" t="s">
        <v>5592</v>
      </c>
      <c r="B3314" s="5" t="s">
        <v>2098</v>
      </c>
      <c r="C3314" s="5" t="s">
        <v>2239</v>
      </c>
      <c r="D3314" s="5" t="s">
        <v>2240</v>
      </c>
      <c r="E3314" s="5" t="s">
        <v>2225</v>
      </c>
      <c r="F3314" s="5" t="s">
        <v>2225</v>
      </c>
      <c r="G3314" s="5" t="str">
        <f aca="false">INDEX(Risk_Matrix!$B$2:$D$4,MATCH(E3314,Risk_Matrix!$A$2:$A$4,0),MATCH(F3314,Risk_Matrix!$B$1:$D$1,0))</f>
        <v>Medium</v>
      </c>
      <c r="H3314" s="12" t="n">
        <v>46144</v>
      </c>
      <c r="I3314" s="5" t="s">
        <v>2250</v>
      </c>
      <c r="J3314" s="5" t="s">
        <v>2251</v>
      </c>
      <c r="K3314" s="5" t="s">
        <v>2283</v>
      </c>
      <c r="L3314" s="5" t="n">
        <f aca="false">IF(G3314="High",3,IF(G3314="Medium",2,1))</f>
        <v>2</v>
      </c>
    </row>
    <row r="3315" customFormat="false" ht="15" hidden="false" customHeight="true" outlineLevel="0" collapsed="false">
      <c r="A3315" s="5" t="s">
        <v>5593</v>
      </c>
      <c r="B3315" s="5" t="s">
        <v>2098</v>
      </c>
      <c r="C3315" s="5" t="s">
        <v>2245</v>
      </c>
      <c r="D3315" s="5" t="s">
        <v>2320</v>
      </c>
      <c r="E3315" s="5" t="s">
        <v>54</v>
      </c>
      <c r="F3315" s="5" t="s">
        <v>2225</v>
      </c>
      <c r="G3315" s="5" t="str">
        <f aca="false">INDEX(Risk_Matrix!$B$2:$D$4,MATCH(E3315,Risk_Matrix!$A$2:$A$4,0),MATCH(F3315,Risk_Matrix!$B$1:$D$1,0))</f>
        <v>High</v>
      </c>
      <c r="H3315" s="12" t="n">
        <v>46040</v>
      </c>
      <c r="I3315" s="5" t="s">
        <v>2250</v>
      </c>
      <c r="J3315" s="5" t="s">
        <v>2251</v>
      </c>
      <c r="K3315" s="5" t="s">
        <v>2252</v>
      </c>
      <c r="L3315" s="5" t="n">
        <f aca="false">IF(G3315="High",3,IF(G3315="Medium",2,1))</f>
        <v>3</v>
      </c>
    </row>
    <row r="3316" customFormat="false" ht="15" hidden="false" customHeight="true" outlineLevel="0" collapsed="false">
      <c r="A3316" s="5" t="s">
        <v>5594</v>
      </c>
      <c r="B3316" s="5" t="s">
        <v>2098</v>
      </c>
      <c r="C3316" s="5" t="s">
        <v>2248</v>
      </c>
      <c r="D3316" s="5" t="s">
        <v>2271</v>
      </c>
      <c r="E3316" s="5" t="s">
        <v>2225</v>
      </c>
      <c r="F3316" s="5" t="s">
        <v>2225</v>
      </c>
      <c r="G3316" s="5" t="str">
        <f aca="false">INDEX(Risk_Matrix!$B$2:$D$4,MATCH(E3316,Risk_Matrix!$A$2:$A$4,0),MATCH(F3316,Risk_Matrix!$B$1:$D$1,0))</f>
        <v>Medium</v>
      </c>
      <c r="H3316" s="12" t="n">
        <v>46036</v>
      </c>
      <c r="I3316" s="5" t="s">
        <v>2256</v>
      </c>
      <c r="J3316" s="5" t="s">
        <v>4081</v>
      </c>
      <c r="K3316" s="5" t="s">
        <v>2283</v>
      </c>
      <c r="L3316" s="5" t="n">
        <f aca="false">IF(G3316="High",3,IF(G3316="Medium",2,1))</f>
        <v>2</v>
      </c>
    </row>
    <row r="3317" customFormat="false" ht="15" hidden="false" customHeight="true" outlineLevel="0" collapsed="false">
      <c r="A3317" s="5" t="s">
        <v>5595</v>
      </c>
      <c r="B3317" s="5" t="s">
        <v>2098</v>
      </c>
      <c r="C3317" s="5" t="s">
        <v>2262</v>
      </c>
      <c r="D3317" s="5" t="s">
        <v>2263</v>
      </c>
      <c r="E3317" s="5" t="s">
        <v>54</v>
      </c>
      <c r="F3317" s="5" t="s">
        <v>54</v>
      </c>
      <c r="G3317" s="5" t="str">
        <f aca="false">INDEX(Risk_Matrix!$B$2:$D$4,MATCH(E3317,Risk_Matrix!$A$2:$A$4,0),MATCH(F3317,Risk_Matrix!$B$1:$D$1,0))</f>
        <v>High</v>
      </c>
      <c r="H3317" s="12" t="n">
        <v>46123</v>
      </c>
      <c r="I3317" s="5" t="s">
        <v>2241</v>
      </c>
      <c r="J3317" s="5" t="s">
        <v>2242</v>
      </c>
      <c r="K3317" s="5" t="s">
        <v>2243</v>
      </c>
      <c r="L3317" s="5" t="n">
        <f aca="false">IF(G3317="High",3,IF(G3317="Medium",2,1))</f>
        <v>3</v>
      </c>
    </row>
    <row r="3318" customFormat="false" ht="15" hidden="false" customHeight="true" outlineLevel="0" collapsed="false">
      <c r="A3318" s="5" t="s">
        <v>5596</v>
      </c>
      <c r="B3318" s="5" t="s">
        <v>2098</v>
      </c>
      <c r="C3318" s="5" t="s">
        <v>2259</v>
      </c>
      <c r="D3318" s="5" t="s">
        <v>2274</v>
      </c>
      <c r="E3318" s="5" t="s">
        <v>54</v>
      </c>
      <c r="F3318" s="5" t="s">
        <v>54</v>
      </c>
      <c r="G3318" s="5" t="str">
        <f aca="false">INDEX(Risk_Matrix!$B$2:$D$4,MATCH(E3318,Risk_Matrix!$A$2:$A$4,0),MATCH(F3318,Risk_Matrix!$B$1:$D$1,0))</f>
        <v>High</v>
      </c>
      <c r="H3318" s="12" t="n">
        <v>46063</v>
      </c>
      <c r="I3318" s="5" t="s">
        <v>2256</v>
      </c>
      <c r="J3318" s="5" t="s">
        <v>4081</v>
      </c>
      <c r="K3318" s="5" t="s">
        <v>2252</v>
      </c>
      <c r="L3318" s="5" t="n">
        <f aca="false">IF(G3318="High",3,IF(G3318="Medium",2,1))</f>
        <v>3</v>
      </c>
    </row>
    <row r="3319" customFormat="false" ht="15" hidden="false" customHeight="true" outlineLevel="0" collapsed="false">
      <c r="A3319" s="5" t="s">
        <v>5597</v>
      </c>
      <c r="B3319" s="5" t="s">
        <v>2098</v>
      </c>
      <c r="C3319" s="5" t="s">
        <v>2254</v>
      </c>
      <c r="D3319" s="5" t="s">
        <v>2308</v>
      </c>
      <c r="E3319" s="5" t="s">
        <v>59</v>
      </c>
      <c r="F3319" s="5" t="s">
        <v>59</v>
      </c>
      <c r="G3319" s="5" t="str">
        <f aca="false">INDEX(Risk_Matrix!$B$2:$D$4,MATCH(E3319,Risk_Matrix!$A$2:$A$4,0),MATCH(F3319,Risk_Matrix!$B$1:$D$1,0))</f>
        <v>Low</v>
      </c>
      <c r="H3319" s="12" t="n">
        <v>46127</v>
      </c>
      <c r="I3319" s="5" t="s">
        <v>2256</v>
      </c>
      <c r="J3319" s="5" t="s">
        <v>4081</v>
      </c>
      <c r="K3319" s="5" t="s">
        <v>2252</v>
      </c>
      <c r="L3319" s="5" t="n">
        <f aca="false">IF(G3319="High",3,IF(G3319="Medium",2,1))</f>
        <v>1</v>
      </c>
    </row>
    <row r="3320" customFormat="false" ht="15" hidden="false" customHeight="true" outlineLevel="0" collapsed="false">
      <c r="A3320" s="5" t="s">
        <v>5598</v>
      </c>
      <c r="B3320" s="5" t="s">
        <v>2100</v>
      </c>
      <c r="C3320" s="5" t="s">
        <v>2239</v>
      </c>
      <c r="D3320" s="5" t="s">
        <v>2278</v>
      </c>
      <c r="E3320" s="5" t="s">
        <v>59</v>
      </c>
      <c r="F3320" s="5" t="s">
        <v>59</v>
      </c>
      <c r="G3320" s="5" t="str">
        <f aca="false">INDEX(Risk_Matrix!$B$2:$D$4,MATCH(E3320,Risk_Matrix!$A$2:$A$4,0),MATCH(F3320,Risk_Matrix!$B$1:$D$1,0))</f>
        <v>Low</v>
      </c>
      <c r="H3320" s="12" t="n">
        <v>46061</v>
      </c>
      <c r="I3320" s="5" t="s">
        <v>2250</v>
      </c>
      <c r="J3320" s="5" t="s">
        <v>2251</v>
      </c>
      <c r="K3320" s="5" t="s">
        <v>2266</v>
      </c>
      <c r="L3320" s="5" t="n">
        <f aca="false">IF(G3320="High",3,IF(G3320="Medium",2,1))</f>
        <v>1</v>
      </c>
    </row>
    <row r="3321" customFormat="false" ht="15" hidden="false" customHeight="true" outlineLevel="0" collapsed="false">
      <c r="A3321" s="5" t="s">
        <v>5599</v>
      </c>
      <c r="B3321" s="5" t="s">
        <v>2100</v>
      </c>
      <c r="C3321" s="5" t="s">
        <v>2245</v>
      </c>
      <c r="D3321" s="5" t="s">
        <v>2246</v>
      </c>
      <c r="E3321" s="5" t="s">
        <v>2225</v>
      </c>
      <c r="F3321" s="5" t="s">
        <v>54</v>
      </c>
      <c r="G3321" s="5" t="str">
        <f aca="false">INDEX(Risk_Matrix!$B$2:$D$4,MATCH(E3321,Risk_Matrix!$A$2:$A$4,0),MATCH(F3321,Risk_Matrix!$B$1:$D$1,0))</f>
        <v>High</v>
      </c>
      <c r="H3321" s="12" t="n">
        <v>46231</v>
      </c>
      <c r="I3321" s="5" t="s">
        <v>2264</v>
      </c>
      <c r="J3321" s="5" t="s">
        <v>4087</v>
      </c>
      <c r="K3321" s="5" t="s">
        <v>2276</v>
      </c>
      <c r="L3321" s="5" t="n">
        <f aca="false">IF(G3321="High",3,IF(G3321="Medium",2,1))</f>
        <v>3</v>
      </c>
    </row>
    <row r="3322" customFormat="false" ht="15" hidden="false" customHeight="true" outlineLevel="0" collapsed="false">
      <c r="A3322" s="5" t="s">
        <v>5600</v>
      </c>
      <c r="B3322" s="5" t="s">
        <v>2100</v>
      </c>
      <c r="C3322" s="5" t="s">
        <v>2248</v>
      </c>
      <c r="D3322" s="5" t="s">
        <v>2322</v>
      </c>
      <c r="E3322" s="5" t="s">
        <v>2225</v>
      </c>
      <c r="F3322" s="5" t="s">
        <v>54</v>
      </c>
      <c r="G3322" s="5" t="str">
        <f aca="false">INDEX(Risk_Matrix!$B$2:$D$4,MATCH(E3322,Risk_Matrix!$A$2:$A$4,0),MATCH(F3322,Risk_Matrix!$B$1:$D$1,0))</f>
        <v>High</v>
      </c>
      <c r="H3322" s="12" t="n">
        <v>46027</v>
      </c>
      <c r="I3322" s="5" t="s">
        <v>2250</v>
      </c>
      <c r="J3322" s="5" t="s">
        <v>2251</v>
      </c>
      <c r="K3322" s="5" t="s">
        <v>2243</v>
      </c>
      <c r="L3322" s="5" t="n">
        <f aca="false">IF(G3322="High",3,IF(G3322="Medium",2,1))</f>
        <v>3</v>
      </c>
    </row>
    <row r="3323" customFormat="false" ht="15" hidden="false" customHeight="true" outlineLevel="0" collapsed="false">
      <c r="A3323" s="5" t="s">
        <v>5601</v>
      </c>
      <c r="B3323" s="5" t="s">
        <v>2100</v>
      </c>
      <c r="C3323" s="5" t="s">
        <v>2262</v>
      </c>
      <c r="D3323" s="5" t="s">
        <v>2311</v>
      </c>
      <c r="E3323" s="5" t="s">
        <v>59</v>
      </c>
      <c r="F3323" s="5" t="s">
        <v>59</v>
      </c>
      <c r="G3323" s="5" t="str">
        <f aca="false">INDEX(Risk_Matrix!$B$2:$D$4,MATCH(E3323,Risk_Matrix!$A$2:$A$4,0),MATCH(F3323,Risk_Matrix!$B$1:$D$1,0))</f>
        <v>Low</v>
      </c>
      <c r="H3323" s="12" t="n">
        <v>46228</v>
      </c>
      <c r="I3323" s="5" t="s">
        <v>2250</v>
      </c>
      <c r="J3323" s="5" t="s">
        <v>2251</v>
      </c>
      <c r="K3323" s="5" t="s">
        <v>2276</v>
      </c>
      <c r="L3323" s="5" t="n">
        <f aca="false">IF(G3323="High",3,IF(G3323="Medium",2,1))</f>
        <v>1</v>
      </c>
    </row>
    <row r="3324" customFormat="false" ht="15" hidden="false" customHeight="true" outlineLevel="0" collapsed="false">
      <c r="A3324" s="5" t="s">
        <v>5602</v>
      </c>
      <c r="B3324" s="5" t="s">
        <v>2100</v>
      </c>
      <c r="C3324" s="5" t="s">
        <v>2259</v>
      </c>
      <c r="D3324" s="5" t="s">
        <v>2260</v>
      </c>
      <c r="E3324" s="5" t="s">
        <v>59</v>
      </c>
      <c r="F3324" s="5" t="s">
        <v>2225</v>
      </c>
      <c r="G3324" s="5" t="str">
        <f aca="false">INDEX(Risk_Matrix!$B$2:$D$4,MATCH(E3324,Risk_Matrix!$A$2:$A$4,0),MATCH(F3324,Risk_Matrix!$B$1:$D$1,0))</f>
        <v>Low</v>
      </c>
      <c r="H3324" s="12" t="n">
        <v>46056</v>
      </c>
      <c r="I3324" s="5" t="s">
        <v>2264</v>
      </c>
      <c r="J3324" s="5" t="s">
        <v>4087</v>
      </c>
      <c r="K3324" s="5" t="s">
        <v>2276</v>
      </c>
      <c r="L3324" s="5" t="n">
        <f aca="false">IF(G3324="High",3,IF(G3324="Medium",2,1))</f>
        <v>1</v>
      </c>
    </row>
    <row r="3325" customFormat="false" ht="15" hidden="false" customHeight="true" outlineLevel="0" collapsed="false">
      <c r="A3325" s="5" t="s">
        <v>5603</v>
      </c>
      <c r="B3325" s="5" t="s">
        <v>2100</v>
      </c>
      <c r="C3325" s="5" t="s">
        <v>2254</v>
      </c>
      <c r="D3325" s="5" t="s">
        <v>2308</v>
      </c>
      <c r="E3325" s="5" t="s">
        <v>54</v>
      </c>
      <c r="F3325" s="5" t="s">
        <v>2225</v>
      </c>
      <c r="G3325" s="5" t="str">
        <f aca="false">INDEX(Risk_Matrix!$B$2:$D$4,MATCH(E3325,Risk_Matrix!$A$2:$A$4,0),MATCH(F3325,Risk_Matrix!$B$1:$D$1,0))</f>
        <v>High</v>
      </c>
      <c r="H3325" s="12" t="n">
        <v>46213</v>
      </c>
      <c r="I3325" s="5" t="s">
        <v>2250</v>
      </c>
      <c r="J3325" s="5" t="s">
        <v>2251</v>
      </c>
      <c r="K3325" s="5" t="s">
        <v>2283</v>
      </c>
      <c r="L3325" s="5" t="n">
        <f aca="false">IF(G3325="High",3,IF(G3325="Medium",2,1))</f>
        <v>3</v>
      </c>
    </row>
    <row r="3326" customFormat="false" ht="15" hidden="false" customHeight="true" outlineLevel="0" collapsed="false">
      <c r="A3326" s="5" t="s">
        <v>5604</v>
      </c>
      <c r="B3326" s="5" t="s">
        <v>2102</v>
      </c>
      <c r="C3326" s="5" t="s">
        <v>2239</v>
      </c>
      <c r="D3326" s="5" t="s">
        <v>2295</v>
      </c>
      <c r="E3326" s="5" t="s">
        <v>2225</v>
      </c>
      <c r="F3326" s="5" t="s">
        <v>2225</v>
      </c>
      <c r="G3326" s="5" t="str">
        <f aca="false">INDEX(Risk_Matrix!$B$2:$D$4,MATCH(E3326,Risk_Matrix!$A$2:$A$4,0),MATCH(F3326,Risk_Matrix!$B$1:$D$1,0))</f>
        <v>Medium</v>
      </c>
      <c r="H3326" s="12" t="n">
        <v>46161</v>
      </c>
      <c r="I3326" s="5" t="s">
        <v>2250</v>
      </c>
      <c r="J3326" s="5" t="s">
        <v>2251</v>
      </c>
      <c r="K3326" s="5" t="s">
        <v>2252</v>
      </c>
      <c r="L3326" s="5" t="n">
        <f aca="false">IF(G3326="High",3,IF(G3326="Medium",2,1))</f>
        <v>2</v>
      </c>
    </row>
    <row r="3327" customFormat="false" ht="15" hidden="false" customHeight="true" outlineLevel="0" collapsed="false">
      <c r="A3327" s="5" t="s">
        <v>5605</v>
      </c>
      <c r="B3327" s="5" t="s">
        <v>2102</v>
      </c>
      <c r="C3327" s="5" t="s">
        <v>2245</v>
      </c>
      <c r="D3327" s="5" t="s">
        <v>2246</v>
      </c>
      <c r="E3327" s="5" t="s">
        <v>54</v>
      </c>
      <c r="F3327" s="5" t="s">
        <v>54</v>
      </c>
      <c r="G3327" s="5" t="str">
        <f aca="false">INDEX(Risk_Matrix!$B$2:$D$4,MATCH(E3327,Risk_Matrix!$A$2:$A$4,0),MATCH(F3327,Risk_Matrix!$B$1:$D$1,0))</f>
        <v>High</v>
      </c>
      <c r="H3327" s="12" t="n">
        <v>46226</v>
      </c>
      <c r="I3327" s="5" t="s">
        <v>2250</v>
      </c>
      <c r="J3327" s="5" t="s">
        <v>2251</v>
      </c>
      <c r="K3327" s="5" t="s">
        <v>2283</v>
      </c>
      <c r="L3327" s="5" t="n">
        <f aca="false">IF(G3327="High",3,IF(G3327="Medium",2,1))</f>
        <v>3</v>
      </c>
    </row>
    <row r="3328" customFormat="false" ht="15" hidden="false" customHeight="true" outlineLevel="0" collapsed="false">
      <c r="A3328" s="5" t="s">
        <v>5606</v>
      </c>
      <c r="B3328" s="5" t="s">
        <v>2102</v>
      </c>
      <c r="C3328" s="5" t="s">
        <v>2248</v>
      </c>
      <c r="D3328" s="5" t="s">
        <v>2322</v>
      </c>
      <c r="E3328" s="5" t="s">
        <v>59</v>
      </c>
      <c r="F3328" s="5" t="s">
        <v>59</v>
      </c>
      <c r="G3328" s="5" t="str">
        <f aca="false">INDEX(Risk_Matrix!$B$2:$D$4,MATCH(E3328,Risk_Matrix!$A$2:$A$4,0),MATCH(F3328,Risk_Matrix!$B$1:$D$1,0))</f>
        <v>Low</v>
      </c>
      <c r="H3328" s="12" t="n">
        <v>46096</v>
      </c>
      <c r="I3328" s="5" t="s">
        <v>2256</v>
      </c>
      <c r="J3328" s="5" t="s">
        <v>4081</v>
      </c>
      <c r="K3328" s="5" t="s">
        <v>2276</v>
      </c>
      <c r="L3328" s="5" t="n">
        <f aca="false">IF(G3328="High",3,IF(G3328="Medium",2,1))</f>
        <v>1</v>
      </c>
    </row>
    <row r="3329" customFormat="false" ht="15" hidden="false" customHeight="true" outlineLevel="0" collapsed="false">
      <c r="A3329" s="5" t="s">
        <v>5607</v>
      </c>
      <c r="B3329" s="5" t="s">
        <v>2102</v>
      </c>
      <c r="C3329" s="5" t="s">
        <v>2262</v>
      </c>
      <c r="D3329" s="5" t="s">
        <v>2287</v>
      </c>
      <c r="E3329" s="5" t="s">
        <v>54</v>
      </c>
      <c r="F3329" s="5" t="s">
        <v>2225</v>
      </c>
      <c r="G3329" s="5" t="str">
        <f aca="false">INDEX(Risk_Matrix!$B$2:$D$4,MATCH(E3329,Risk_Matrix!$A$2:$A$4,0),MATCH(F3329,Risk_Matrix!$B$1:$D$1,0))</f>
        <v>High</v>
      </c>
      <c r="H3329" s="12" t="n">
        <v>46040</v>
      </c>
      <c r="I3329" s="5" t="s">
        <v>2256</v>
      </c>
      <c r="J3329" s="5" t="s">
        <v>4081</v>
      </c>
      <c r="K3329" s="5" t="s">
        <v>2276</v>
      </c>
      <c r="L3329" s="5" t="n">
        <f aca="false">IF(G3329="High",3,IF(G3329="Medium",2,1))</f>
        <v>3</v>
      </c>
    </row>
    <row r="3330" customFormat="false" ht="15" hidden="false" customHeight="true" outlineLevel="0" collapsed="false">
      <c r="A3330" s="5" t="s">
        <v>5608</v>
      </c>
      <c r="B3330" s="5" t="s">
        <v>2102</v>
      </c>
      <c r="C3330" s="5" t="s">
        <v>2259</v>
      </c>
      <c r="D3330" s="5" t="s">
        <v>2285</v>
      </c>
      <c r="E3330" s="5" t="s">
        <v>2225</v>
      </c>
      <c r="F3330" s="5" t="s">
        <v>2225</v>
      </c>
      <c r="G3330" s="5" t="str">
        <f aca="false">INDEX(Risk_Matrix!$B$2:$D$4,MATCH(E3330,Risk_Matrix!$A$2:$A$4,0),MATCH(F3330,Risk_Matrix!$B$1:$D$1,0))</f>
        <v>Medium</v>
      </c>
      <c r="H3330" s="12" t="n">
        <v>46169</v>
      </c>
      <c r="I3330" s="5" t="s">
        <v>2241</v>
      </c>
      <c r="J3330" s="5" t="s">
        <v>2242</v>
      </c>
      <c r="K3330" s="5" t="s">
        <v>2243</v>
      </c>
      <c r="L3330" s="5" t="n">
        <f aca="false">IF(G3330="High",3,IF(G3330="Medium",2,1))</f>
        <v>2</v>
      </c>
    </row>
    <row r="3331" customFormat="false" ht="15" hidden="false" customHeight="true" outlineLevel="0" collapsed="false">
      <c r="A3331" s="5" t="s">
        <v>5609</v>
      </c>
      <c r="B3331" s="5" t="s">
        <v>2102</v>
      </c>
      <c r="C3331" s="5" t="s">
        <v>2254</v>
      </c>
      <c r="D3331" s="5" t="s">
        <v>2308</v>
      </c>
      <c r="E3331" s="5" t="s">
        <v>59</v>
      </c>
      <c r="F3331" s="5" t="s">
        <v>59</v>
      </c>
      <c r="G3331" s="5" t="str">
        <f aca="false">INDEX(Risk_Matrix!$B$2:$D$4,MATCH(E3331,Risk_Matrix!$A$2:$A$4,0),MATCH(F3331,Risk_Matrix!$B$1:$D$1,0))</f>
        <v>Low</v>
      </c>
      <c r="H3331" s="12" t="n">
        <v>46052</v>
      </c>
      <c r="I3331" s="5" t="s">
        <v>2256</v>
      </c>
      <c r="J3331" s="5" t="s">
        <v>4081</v>
      </c>
      <c r="K3331" s="5" t="s">
        <v>2243</v>
      </c>
      <c r="L3331" s="5" t="n">
        <f aca="false">IF(G3331="High",3,IF(G3331="Medium",2,1))</f>
        <v>1</v>
      </c>
    </row>
    <row r="3332" customFormat="false" ht="15" hidden="false" customHeight="true" outlineLevel="0" collapsed="false">
      <c r="A3332" s="5" t="s">
        <v>5610</v>
      </c>
      <c r="B3332" s="5" t="s">
        <v>2104</v>
      </c>
      <c r="C3332" s="5" t="s">
        <v>2239</v>
      </c>
      <c r="D3332" s="5" t="s">
        <v>2295</v>
      </c>
      <c r="E3332" s="5" t="s">
        <v>2225</v>
      </c>
      <c r="F3332" s="5" t="s">
        <v>54</v>
      </c>
      <c r="G3332" s="5" t="str">
        <f aca="false">INDEX(Risk_Matrix!$B$2:$D$4,MATCH(E3332,Risk_Matrix!$A$2:$A$4,0),MATCH(F3332,Risk_Matrix!$B$1:$D$1,0))</f>
        <v>High</v>
      </c>
      <c r="H3332" s="12" t="n">
        <v>46172</v>
      </c>
      <c r="I3332" s="5" t="s">
        <v>2256</v>
      </c>
      <c r="J3332" s="5" t="s">
        <v>4081</v>
      </c>
      <c r="K3332" s="5" t="s">
        <v>2276</v>
      </c>
      <c r="L3332" s="5" t="n">
        <f aca="false">IF(G3332="High",3,IF(G3332="Medium",2,1))</f>
        <v>3</v>
      </c>
    </row>
    <row r="3333" customFormat="false" ht="15" hidden="false" customHeight="true" outlineLevel="0" collapsed="false">
      <c r="A3333" s="5" t="s">
        <v>5611</v>
      </c>
      <c r="B3333" s="5" t="s">
        <v>2104</v>
      </c>
      <c r="C3333" s="5" t="s">
        <v>2245</v>
      </c>
      <c r="D3333" s="5" t="s">
        <v>2320</v>
      </c>
      <c r="E3333" s="5" t="s">
        <v>2225</v>
      </c>
      <c r="F3333" s="5" t="s">
        <v>59</v>
      </c>
      <c r="G3333" s="5" t="str">
        <f aca="false">INDEX(Risk_Matrix!$B$2:$D$4,MATCH(E3333,Risk_Matrix!$A$2:$A$4,0),MATCH(F3333,Risk_Matrix!$B$1:$D$1,0))</f>
        <v>Low</v>
      </c>
      <c r="H3333" s="12" t="n">
        <v>46186</v>
      </c>
      <c r="I3333" s="5" t="s">
        <v>2264</v>
      </c>
      <c r="J3333" s="5" t="s">
        <v>4087</v>
      </c>
      <c r="K3333" s="5" t="s">
        <v>2243</v>
      </c>
      <c r="L3333" s="5" t="n">
        <f aca="false">IF(G3333="High",3,IF(G3333="Medium",2,1))</f>
        <v>1</v>
      </c>
    </row>
    <row r="3334" customFormat="false" ht="15" hidden="false" customHeight="true" outlineLevel="0" collapsed="false">
      <c r="A3334" s="5" t="s">
        <v>5612</v>
      </c>
      <c r="B3334" s="5" t="s">
        <v>2104</v>
      </c>
      <c r="C3334" s="5" t="s">
        <v>2248</v>
      </c>
      <c r="D3334" s="5" t="s">
        <v>2249</v>
      </c>
      <c r="E3334" s="5" t="s">
        <v>54</v>
      </c>
      <c r="F3334" s="5" t="s">
        <v>59</v>
      </c>
      <c r="G3334" s="5" t="str">
        <f aca="false">INDEX(Risk_Matrix!$B$2:$D$4,MATCH(E3334,Risk_Matrix!$A$2:$A$4,0),MATCH(F3334,Risk_Matrix!$B$1:$D$1,0))</f>
        <v>Medium</v>
      </c>
      <c r="H3334" s="12" t="n">
        <v>46138</v>
      </c>
      <c r="I3334" s="5" t="s">
        <v>2250</v>
      </c>
      <c r="J3334" s="5" t="s">
        <v>2251</v>
      </c>
      <c r="K3334" s="5" t="s">
        <v>2266</v>
      </c>
      <c r="L3334" s="5" t="n">
        <f aca="false">IF(G3334="High",3,IF(G3334="Medium",2,1))</f>
        <v>2</v>
      </c>
    </row>
    <row r="3335" customFormat="false" ht="15" hidden="false" customHeight="true" outlineLevel="0" collapsed="false">
      <c r="A3335" s="5" t="s">
        <v>5613</v>
      </c>
      <c r="B3335" s="5" t="s">
        <v>2104</v>
      </c>
      <c r="C3335" s="5" t="s">
        <v>2262</v>
      </c>
      <c r="D3335" s="5" t="s">
        <v>2287</v>
      </c>
      <c r="E3335" s="5" t="s">
        <v>2225</v>
      </c>
      <c r="F3335" s="5" t="s">
        <v>59</v>
      </c>
      <c r="G3335" s="5" t="str">
        <f aca="false">INDEX(Risk_Matrix!$B$2:$D$4,MATCH(E3335,Risk_Matrix!$A$2:$A$4,0),MATCH(F3335,Risk_Matrix!$B$1:$D$1,0))</f>
        <v>Low</v>
      </c>
      <c r="H3335" s="12" t="n">
        <v>46034</v>
      </c>
      <c r="I3335" s="5" t="s">
        <v>2256</v>
      </c>
      <c r="J3335" s="5" t="s">
        <v>4081</v>
      </c>
      <c r="K3335" s="5" t="s">
        <v>2276</v>
      </c>
      <c r="L3335" s="5" t="n">
        <f aca="false">IF(G3335="High",3,IF(G3335="Medium",2,1))</f>
        <v>1</v>
      </c>
    </row>
    <row r="3336" customFormat="false" ht="15" hidden="false" customHeight="true" outlineLevel="0" collapsed="false">
      <c r="A3336" s="5" t="s">
        <v>5614</v>
      </c>
      <c r="B3336" s="5" t="s">
        <v>2104</v>
      </c>
      <c r="C3336" s="5" t="s">
        <v>2259</v>
      </c>
      <c r="D3336" s="5" t="s">
        <v>2274</v>
      </c>
      <c r="E3336" s="5" t="s">
        <v>2225</v>
      </c>
      <c r="F3336" s="5" t="s">
        <v>59</v>
      </c>
      <c r="G3336" s="5" t="str">
        <f aca="false">INDEX(Risk_Matrix!$B$2:$D$4,MATCH(E3336,Risk_Matrix!$A$2:$A$4,0),MATCH(F3336,Risk_Matrix!$B$1:$D$1,0))</f>
        <v>Low</v>
      </c>
      <c r="H3336" s="12" t="n">
        <v>46151</v>
      </c>
      <c r="I3336" s="5" t="s">
        <v>2250</v>
      </c>
      <c r="J3336" s="5" t="s">
        <v>2251</v>
      </c>
      <c r="K3336" s="5" t="s">
        <v>2243</v>
      </c>
      <c r="L3336" s="5" t="n">
        <f aca="false">IF(G3336="High",3,IF(G3336="Medium",2,1))</f>
        <v>1</v>
      </c>
    </row>
    <row r="3337" customFormat="false" ht="15" hidden="false" customHeight="true" outlineLevel="0" collapsed="false">
      <c r="A3337" s="5" t="s">
        <v>5615</v>
      </c>
      <c r="B3337" s="5" t="s">
        <v>2104</v>
      </c>
      <c r="C3337" s="5" t="s">
        <v>2254</v>
      </c>
      <c r="D3337" s="5" t="s">
        <v>2255</v>
      </c>
      <c r="E3337" s="5" t="s">
        <v>2225</v>
      </c>
      <c r="F3337" s="5" t="s">
        <v>54</v>
      </c>
      <c r="G3337" s="5" t="str">
        <f aca="false">INDEX(Risk_Matrix!$B$2:$D$4,MATCH(E3337,Risk_Matrix!$A$2:$A$4,0),MATCH(F3337,Risk_Matrix!$B$1:$D$1,0))</f>
        <v>High</v>
      </c>
      <c r="H3337" s="12" t="n">
        <v>46137</v>
      </c>
      <c r="I3337" s="5" t="s">
        <v>2264</v>
      </c>
      <c r="J3337" s="5" t="s">
        <v>4087</v>
      </c>
      <c r="K3337" s="5" t="s">
        <v>2276</v>
      </c>
      <c r="L3337" s="5" t="n">
        <f aca="false">IF(G3337="High",3,IF(G3337="Medium",2,1))</f>
        <v>3</v>
      </c>
    </row>
    <row r="3338" customFormat="false" ht="15" hidden="false" customHeight="true" outlineLevel="0" collapsed="false">
      <c r="A3338" s="5" t="s">
        <v>5616</v>
      </c>
      <c r="B3338" s="5" t="s">
        <v>2106</v>
      </c>
      <c r="C3338" s="5" t="s">
        <v>2239</v>
      </c>
      <c r="D3338" s="5" t="s">
        <v>2278</v>
      </c>
      <c r="E3338" s="5" t="s">
        <v>2225</v>
      </c>
      <c r="F3338" s="5" t="s">
        <v>59</v>
      </c>
      <c r="G3338" s="5" t="str">
        <f aca="false">INDEX(Risk_Matrix!$B$2:$D$4,MATCH(E3338,Risk_Matrix!$A$2:$A$4,0),MATCH(F3338,Risk_Matrix!$B$1:$D$1,0))</f>
        <v>Low</v>
      </c>
      <c r="H3338" s="12" t="n">
        <v>46067</v>
      </c>
      <c r="I3338" s="5" t="s">
        <v>2264</v>
      </c>
      <c r="J3338" s="5" t="s">
        <v>4087</v>
      </c>
      <c r="K3338" s="5" t="s">
        <v>2252</v>
      </c>
      <c r="L3338" s="5" t="n">
        <f aca="false">IF(G3338="High",3,IF(G3338="Medium",2,1))</f>
        <v>1</v>
      </c>
    </row>
    <row r="3339" customFormat="false" ht="15" hidden="false" customHeight="true" outlineLevel="0" collapsed="false">
      <c r="A3339" s="5" t="s">
        <v>5617</v>
      </c>
      <c r="B3339" s="5" t="s">
        <v>2106</v>
      </c>
      <c r="C3339" s="5" t="s">
        <v>2245</v>
      </c>
      <c r="D3339" s="5" t="s">
        <v>2320</v>
      </c>
      <c r="E3339" s="5" t="s">
        <v>54</v>
      </c>
      <c r="F3339" s="5" t="s">
        <v>2225</v>
      </c>
      <c r="G3339" s="5" t="str">
        <f aca="false">INDEX(Risk_Matrix!$B$2:$D$4,MATCH(E3339,Risk_Matrix!$A$2:$A$4,0),MATCH(F3339,Risk_Matrix!$B$1:$D$1,0))</f>
        <v>High</v>
      </c>
      <c r="H3339" s="12" t="n">
        <v>46048</v>
      </c>
      <c r="I3339" s="5" t="s">
        <v>2241</v>
      </c>
      <c r="J3339" s="5" t="s">
        <v>2242</v>
      </c>
      <c r="K3339" s="5" t="s">
        <v>2266</v>
      </c>
      <c r="L3339" s="5" t="n">
        <f aca="false">IF(G3339="High",3,IF(G3339="Medium",2,1))</f>
        <v>3</v>
      </c>
    </row>
    <row r="3340" customFormat="false" ht="15" hidden="false" customHeight="true" outlineLevel="0" collapsed="false">
      <c r="A3340" s="5" t="s">
        <v>5618</v>
      </c>
      <c r="B3340" s="5" t="s">
        <v>2106</v>
      </c>
      <c r="C3340" s="5" t="s">
        <v>2248</v>
      </c>
      <c r="D3340" s="5" t="s">
        <v>2271</v>
      </c>
      <c r="E3340" s="5" t="s">
        <v>54</v>
      </c>
      <c r="F3340" s="5" t="s">
        <v>59</v>
      </c>
      <c r="G3340" s="5" t="str">
        <f aca="false">INDEX(Risk_Matrix!$B$2:$D$4,MATCH(E3340,Risk_Matrix!$A$2:$A$4,0),MATCH(F3340,Risk_Matrix!$B$1:$D$1,0))</f>
        <v>Medium</v>
      </c>
      <c r="H3340" s="12" t="n">
        <v>46136</v>
      </c>
      <c r="I3340" s="5" t="s">
        <v>2264</v>
      </c>
      <c r="J3340" s="5" t="s">
        <v>4087</v>
      </c>
      <c r="K3340" s="5" t="s">
        <v>2283</v>
      </c>
      <c r="L3340" s="5" t="n">
        <f aca="false">IF(G3340="High",3,IF(G3340="Medium",2,1))</f>
        <v>2</v>
      </c>
    </row>
    <row r="3341" customFormat="false" ht="15" hidden="false" customHeight="true" outlineLevel="0" collapsed="false">
      <c r="A3341" s="5" t="s">
        <v>5619</v>
      </c>
      <c r="B3341" s="5" t="s">
        <v>2106</v>
      </c>
      <c r="C3341" s="5" t="s">
        <v>2262</v>
      </c>
      <c r="D3341" s="5" t="s">
        <v>2287</v>
      </c>
      <c r="E3341" s="5" t="s">
        <v>59</v>
      </c>
      <c r="F3341" s="5" t="s">
        <v>54</v>
      </c>
      <c r="G3341" s="5" t="str">
        <f aca="false">INDEX(Risk_Matrix!$B$2:$D$4,MATCH(E3341,Risk_Matrix!$A$2:$A$4,0),MATCH(F3341,Risk_Matrix!$B$1:$D$1,0))</f>
        <v>Medium</v>
      </c>
      <c r="H3341" s="12" t="n">
        <v>46027</v>
      </c>
      <c r="I3341" s="5" t="s">
        <v>2264</v>
      </c>
      <c r="J3341" s="5" t="s">
        <v>4087</v>
      </c>
      <c r="K3341" s="5" t="s">
        <v>2266</v>
      </c>
      <c r="L3341" s="5" t="n">
        <f aca="false">IF(G3341="High",3,IF(G3341="Medium",2,1))</f>
        <v>2</v>
      </c>
    </row>
    <row r="3342" customFormat="false" ht="15" hidden="false" customHeight="true" outlineLevel="0" collapsed="false">
      <c r="A3342" s="5" t="s">
        <v>5620</v>
      </c>
      <c r="B3342" s="5" t="s">
        <v>2106</v>
      </c>
      <c r="C3342" s="5" t="s">
        <v>2259</v>
      </c>
      <c r="D3342" s="5" t="s">
        <v>2274</v>
      </c>
      <c r="E3342" s="5" t="s">
        <v>59</v>
      </c>
      <c r="F3342" s="5" t="s">
        <v>59</v>
      </c>
      <c r="G3342" s="5" t="str">
        <f aca="false">INDEX(Risk_Matrix!$B$2:$D$4,MATCH(E3342,Risk_Matrix!$A$2:$A$4,0),MATCH(F3342,Risk_Matrix!$B$1:$D$1,0))</f>
        <v>Low</v>
      </c>
      <c r="H3342" s="12" t="n">
        <v>46120</v>
      </c>
      <c r="I3342" s="5" t="s">
        <v>2264</v>
      </c>
      <c r="J3342" s="5" t="s">
        <v>4087</v>
      </c>
      <c r="K3342" s="5" t="s">
        <v>2252</v>
      </c>
      <c r="L3342" s="5" t="n">
        <f aca="false">IF(G3342="High",3,IF(G3342="Medium",2,1))</f>
        <v>1</v>
      </c>
    </row>
    <row r="3343" customFormat="false" ht="15" hidden="false" customHeight="true" outlineLevel="0" collapsed="false">
      <c r="A3343" s="5" t="s">
        <v>5621</v>
      </c>
      <c r="B3343" s="5" t="s">
        <v>2106</v>
      </c>
      <c r="C3343" s="5" t="s">
        <v>2254</v>
      </c>
      <c r="D3343" s="5" t="s">
        <v>2299</v>
      </c>
      <c r="E3343" s="5" t="s">
        <v>54</v>
      </c>
      <c r="F3343" s="5" t="s">
        <v>54</v>
      </c>
      <c r="G3343" s="5" t="str">
        <f aca="false">INDEX(Risk_Matrix!$B$2:$D$4,MATCH(E3343,Risk_Matrix!$A$2:$A$4,0),MATCH(F3343,Risk_Matrix!$B$1:$D$1,0))</f>
        <v>High</v>
      </c>
      <c r="H3343" s="12" t="n">
        <v>46049</v>
      </c>
      <c r="I3343" s="5" t="s">
        <v>2250</v>
      </c>
      <c r="J3343" s="5" t="s">
        <v>2251</v>
      </c>
      <c r="K3343" s="5" t="s">
        <v>2283</v>
      </c>
      <c r="L3343" s="5" t="n">
        <f aca="false">IF(G3343="High",3,IF(G3343="Medium",2,1))</f>
        <v>3</v>
      </c>
    </row>
    <row r="3344" customFormat="false" ht="15" hidden="false" customHeight="true" outlineLevel="0" collapsed="false">
      <c r="A3344" s="5" t="s">
        <v>5622</v>
      </c>
      <c r="B3344" s="5" t="s">
        <v>2108</v>
      </c>
      <c r="C3344" s="5" t="s">
        <v>2239</v>
      </c>
      <c r="D3344" s="5" t="s">
        <v>2240</v>
      </c>
      <c r="E3344" s="5" t="s">
        <v>59</v>
      </c>
      <c r="F3344" s="5" t="s">
        <v>2225</v>
      </c>
      <c r="G3344" s="5" t="str">
        <f aca="false">INDEX(Risk_Matrix!$B$2:$D$4,MATCH(E3344,Risk_Matrix!$A$2:$A$4,0),MATCH(F3344,Risk_Matrix!$B$1:$D$1,0))</f>
        <v>Low</v>
      </c>
      <c r="H3344" s="12" t="n">
        <v>46036</v>
      </c>
      <c r="I3344" s="5" t="s">
        <v>2250</v>
      </c>
      <c r="J3344" s="5" t="s">
        <v>2251</v>
      </c>
      <c r="K3344" s="5" t="s">
        <v>2266</v>
      </c>
      <c r="L3344" s="5" t="n">
        <f aca="false">IF(G3344="High",3,IF(G3344="Medium",2,1))</f>
        <v>1</v>
      </c>
    </row>
    <row r="3345" customFormat="false" ht="15" hidden="false" customHeight="true" outlineLevel="0" collapsed="false">
      <c r="A3345" s="5" t="s">
        <v>5623</v>
      </c>
      <c r="B3345" s="5" t="s">
        <v>2108</v>
      </c>
      <c r="C3345" s="5" t="s">
        <v>2245</v>
      </c>
      <c r="D3345" s="5" t="s">
        <v>2280</v>
      </c>
      <c r="E3345" s="5" t="s">
        <v>59</v>
      </c>
      <c r="F3345" s="5" t="s">
        <v>54</v>
      </c>
      <c r="G3345" s="5" t="str">
        <f aca="false">INDEX(Risk_Matrix!$B$2:$D$4,MATCH(E3345,Risk_Matrix!$A$2:$A$4,0),MATCH(F3345,Risk_Matrix!$B$1:$D$1,0))</f>
        <v>Medium</v>
      </c>
      <c r="H3345" s="12" t="n">
        <v>46229</v>
      </c>
      <c r="I3345" s="5" t="s">
        <v>2241</v>
      </c>
      <c r="J3345" s="5" t="s">
        <v>2242</v>
      </c>
      <c r="K3345" s="5" t="s">
        <v>2243</v>
      </c>
      <c r="L3345" s="5" t="n">
        <f aca="false">IF(G3345="High",3,IF(G3345="Medium",2,1))</f>
        <v>2</v>
      </c>
    </row>
    <row r="3346" customFormat="false" ht="15" hidden="false" customHeight="true" outlineLevel="0" collapsed="false">
      <c r="A3346" s="5" t="s">
        <v>5624</v>
      </c>
      <c r="B3346" s="5" t="s">
        <v>2108</v>
      </c>
      <c r="C3346" s="5" t="s">
        <v>2248</v>
      </c>
      <c r="D3346" s="5" t="s">
        <v>2322</v>
      </c>
      <c r="E3346" s="5" t="s">
        <v>2225</v>
      </c>
      <c r="F3346" s="5" t="s">
        <v>2225</v>
      </c>
      <c r="G3346" s="5" t="str">
        <f aca="false">INDEX(Risk_Matrix!$B$2:$D$4,MATCH(E3346,Risk_Matrix!$A$2:$A$4,0),MATCH(F3346,Risk_Matrix!$B$1:$D$1,0))</f>
        <v>Medium</v>
      </c>
      <c r="H3346" s="12" t="n">
        <v>46178</v>
      </c>
      <c r="I3346" s="5" t="s">
        <v>2241</v>
      </c>
      <c r="J3346" s="5" t="s">
        <v>2242</v>
      </c>
      <c r="K3346" s="5" t="s">
        <v>2252</v>
      </c>
      <c r="L3346" s="5" t="n">
        <f aca="false">IF(G3346="High",3,IF(G3346="Medium",2,1))</f>
        <v>2</v>
      </c>
    </row>
    <row r="3347" customFormat="false" ht="15" hidden="false" customHeight="true" outlineLevel="0" collapsed="false">
      <c r="A3347" s="5" t="s">
        <v>5625</v>
      </c>
      <c r="B3347" s="5" t="s">
        <v>2108</v>
      </c>
      <c r="C3347" s="5" t="s">
        <v>2262</v>
      </c>
      <c r="D3347" s="5" t="s">
        <v>2287</v>
      </c>
      <c r="E3347" s="5" t="s">
        <v>54</v>
      </c>
      <c r="F3347" s="5" t="s">
        <v>54</v>
      </c>
      <c r="G3347" s="5" t="str">
        <f aca="false">INDEX(Risk_Matrix!$B$2:$D$4,MATCH(E3347,Risk_Matrix!$A$2:$A$4,0),MATCH(F3347,Risk_Matrix!$B$1:$D$1,0))</f>
        <v>High</v>
      </c>
      <c r="H3347" s="12" t="n">
        <v>46099</v>
      </c>
      <c r="I3347" s="5" t="s">
        <v>2241</v>
      </c>
      <c r="J3347" s="5" t="s">
        <v>2242</v>
      </c>
      <c r="K3347" s="5" t="s">
        <v>2283</v>
      </c>
      <c r="L3347" s="5" t="n">
        <f aca="false">IF(G3347="High",3,IF(G3347="Medium",2,1))</f>
        <v>3</v>
      </c>
    </row>
    <row r="3348" customFormat="false" ht="15" hidden="false" customHeight="true" outlineLevel="0" collapsed="false">
      <c r="A3348" s="5" t="s">
        <v>5626</v>
      </c>
      <c r="B3348" s="5" t="s">
        <v>2108</v>
      </c>
      <c r="C3348" s="5" t="s">
        <v>2259</v>
      </c>
      <c r="D3348" s="5" t="s">
        <v>2260</v>
      </c>
      <c r="E3348" s="5" t="s">
        <v>59</v>
      </c>
      <c r="F3348" s="5" t="s">
        <v>2225</v>
      </c>
      <c r="G3348" s="5" t="str">
        <f aca="false">INDEX(Risk_Matrix!$B$2:$D$4,MATCH(E3348,Risk_Matrix!$A$2:$A$4,0),MATCH(F3348,Risk_Matrix!$B$1:$D$1,0))</f>
        <v>Low</v>
      </c>
      <c r="H3348" s="12" t="n">
        <v>46191</v>
      </c>
      <c r="I3348" s="5" t="s">
        <v>2250</v>
      </c>
      <c r="J3348" s="5" t="s">
        <v>2251</v>
      </c>
      <c r="K3348" s="5" t="s">
        <v>2243</v>
      </c>
      <c r="L3348" s="5" t="n">
        <f aca="false">IF(G3348="High",3,IF(G3348="Medium",2,1))</f>
        <v>1</v>
      </c>
    </row>
    <row r="3349" customFormat="false" ht="15" hidden="false" customHeight="true" outlineLevel="0" collapsed="false">
      <c r="A3349" s="5" t="s">
        <v>5627</v>
      </c>
      <c r="B3349" s="5" t="s">
        <v>2108</v>
      </c>
      <c r="C3349" s="5" t="s">
        <v>2254</v>
      </c>
      <c r="D3349" s="5" t="s">
        <v>2299</v>
      </c>
      <c r="E3349" s="5" t="s">
        <v>54</v>
      </c>
      <c r="F3349" s="5" t="s">
        <v>59</v>
      </c>
      <c r="G3349" s="5" t="str">
        <f aca="false">INDEX(Risk_Matrix!$B$2:$D$4,MATCH(E3349,Risk_Matrix!$A$2:$A$4,0),MATCH(F3349,Risk_Matrix!$B$1:$D$1,0))</f>
        <v>Medium</v>
      </c>
      <c r="H3349" s="12" t="n">
        <v>46084</v>
      </c>
      <c r="I3349" s="5" t="s">
        <v>2256</v>
      </c>
      <c r="J3349" s="5" t="s">
        <v>4081</v>
      </c>
      <c r="K3349" s="5" t="s">
        <v>2283</v>
      </c>
      <c r="L3349" s="5" t="n">
        <f aca="false">IF(G3349="High",3,IF(G3349="Medium",2,1))</f>
        <v>2</v>
      </c>
    </row>
    <row r="3350" customFormat="false" ht="15" hidden="false" customHeight="true" outlineLevel="0" collapsed="false">
      <c r="A3350" s="5" t="s">
        <v>5628</v>
      </c>
      <c r="B3350" s="5" t="s">
        <v>2110</v>
      </c>
      <c r="C3350" s="5" t="s">
        <v>2239</v>
      </c>
      <c r="D3350" s="5" t="s">
        <v>2295</v>
      </c>
      <c r="E3350" s="5" t="s">
        <v>59</v>
      </c>
      <c r="F3350" s="5" t="s">
        <v>2225</v>
      </c>
      <c r="G3350" s="5" t="str">
        <f aca="false">INDEX(Risk_Matrix!$B$2:$D$4,MATCH(E3350,Risk_Matrix!$A$2:$A$4,0),MATCH(F3350,Risk_Matrix!$B$1:$D$1,0))</f>
        <v>Low</v>
      </c>
      <c r="H3350" s="12" t="n">
        <v>46204</v>
      </c>
      <c r="I3350" s="5" t="s">
        <v>2250</v>
      </c>
      <c r="J3350" s="5" t="s">
        <v>2251</v>
      </c>
      <c r="K3350" s="5" t="s">
        <v>2243</v>
      </c>
      <c r="L3350" s="5" t="n">
        <f aca="false">IF(G3350="High",3,IF(G3350="Medium",2,1))</f>
        <v>1</v>
      </c>
    </row>
    <row r="3351" customFormat="false" ht="15" hidden="false" customHeight="true" outlineLevel="0" collapsed="false">
      <c r="A3351" s="5" t="s">
        <v>5629</v>
      </c>
      <c r="B3351" s="5" t="s">
        <v>2110</v>
      </c>
      <c r="C3351" s="5" t="s">
        <v>2245</v>
      </c>
      <c r="D3351" s="5" t="s">
        <v>2269</v>
      </c>
      <c r="E3351" s="5" t="s">
        <v>2225</v>
      </c>
      <c r="F3351" s="5" t="s">
        <v>2225</v>
      </c>
      <c r="G3351" s="5" t="str">
        <f aca="false">INDEX(Risk_Matrix!$B$2:$D$4,MATCH(E3351,Risk_Matrix!$A$2:$A$4,0),MATCH(F3351,Risk_Matrix!$B$1:$D$1,0))</f>
        <v>Medium</v>
      </c>
      <c r="H3351" s="12" t="n">
        <v>46194</v>
      </c>
      <c r="I3351" s="5" t="s">
        <v>2250</v>
      </c>
      <c r="J3351" s="5" t="s">
        <v>2251</v>
      </c>
      <c r="K3351" s="5" t="s">
        <v>2252</v>
      </c>
      <c r="L3351" s="5" t="n">
        <f aca="false">IF(G3351="High",3,IF(G3351="Medium",2,1))</f>
        <v>2</v>
      </c>
    </row>
    <row r="3352" customFormat="false" ht="15" hidden="false" customHeight="true" outlineLevel="0" collapsed="false">
      <c r="A3352" s="5" t="s">
        <v>5630</v>
      </c>
      <c r="B3352" s="5" t="s">
        <v>2110</v>
      </c>
      <c r="C3352" s="5" t="s">
        <v>2248</v>
      </c>
      <c r="D3352" s="5" t="s">
        <v>2249</v>
      </c>
      <c r="E3352" s="5" t="s">
        <v>2225</v>
      </c>
      <c r="F3352" s="5" t="s">
        <v>59</v>
      </c>
      <c r="G3352" s="5" t="str">
        <f aca="false">INDEX(Risk_Matrix!$B$2:$D$4,MATCH(E3352,Risk_Matrix!$A$2:$A$4,0),MATCH(F3352,Risk_Matrix!$B$1:$D$1,0))</f>
        <v>Low</v>
      </c>
      <c r="H3352" s="12" t="n">
        <v>46080</v>
      </c>
      <c r="I3352" s="5" t="s">
        <v>2250</v>
      </c>
      <c r="J3352" s="5" t="s">
        <v>2251</v>
      </c>
      <c r="K3352" s="5" t="s">
        <v>2252</v>
      </c>
      <c r="L3352" s="5" t="n">
        <f aca="false">IF(G3352="High",3,IF(G3352="Medium",2,1))</f>
        <v>1</v>
      </c>
    </row>
    <row r="3353" customFormat="false" ht="15" hidden="false" customHeight="true" outlineLevel="0" collapsed="false">
      <c r="A3353" s="5" t="s">
        <v>5631</v>
      </c>
      <c r="B3353" s="5" t="s">
        <v>2110</v>
      </c>
      <c r="C3353" s="5" t="s">
        <v>2262</v>
      </c>
      <c r="D3353" s="5" t="s">
        <v>2311</v>
      </c>
      <c r="E3353" s="5" t="s">
        <v>2225</v>
      </c>
      <c r="F3353" s="5" t="s">
        <v>59</v>
      </c>
      <c r="G3353" s="5" t="str">
        <f aca="false">INDEX(Risk_Matrix!$B$2:$D$4,MATCH(E3353,Risk_Matrix!$A$2:$A$4,0),MATCH(F3353,Risk_Matrix!$B$1:$D$1,0))</f>
        <v>Low</v>
      </c>
      <c r="H3353" s="12" t="n">
        <v>46047</v>
      </c>
      <c r="I3353" s="5" t="s">
        <v>2264</v>
      </c>
      <c r="J3353" s="5" t="s">
        <v>4087</v>
      </c>
      <c r="K3353" s="5" t="s">
        <v>2266</v>
      </c>
      <c r="L3353" s="5" t="n">
        <f aca="false">IF(G3353="High",3,IF(G3353="Medium",2,1))</f>
        <v>1</v>
      </c>
    </row>
    <row r="3354" customFormat="false" ht="15" hidden="false" customHeight="true" outlineLevel="0" collapsed="false">
      <c r="A3354" s="5" t="s">
        <v>5632</v>
      </c>
      <c r="B3354" s="5" t="s">
        <v>2110</v>
      </c>
      <c r="C3354" s="5" t="s">
        <v>2259</v>
      </c>
      <c r="D3354" s="5" t="s">
        <v>2260</v>
      </c>
      <c r="E3354" s="5" t="s">
        <v>54</v>
      </c>
      <c r="F3354" s="5" t="s">
        <v>59</v>
      </c>
      <c r="G3354" s="5" t="str">
        <f aca="false">INDEX(Risk_Matrix!$B$2:$D$4,MATCH(E3354,Risk_Matrix!$A$2:$A$4,0),MATCH(F3354,Risk_Matrix!$B$1:$D$1,0))</f>
        <v>Medium</v>
      </c>
      <c r="H3354" s="12" t="n">
        <v>46141</v>
      </c>
      <c r="I3354" s="5" t="s">
        <v>2264</v>
      </c>
      <c r="J3354" s="5" t="s">
        <v>4087</v>
      </c>
      <c r="K3354" s="5" t="s">
        <v>2266</v>
      </c>
      <c r="L3354" s="5" t="n">
        <f aca="false">IF(G3354="High",3,IF(G3354="Medium",2,1))</f>
        <v>2</v>
      </c>
    </row>
    <row r="3355" customFormat="false" ht="15" hidden="false" customHeight="true" outlineLevel="0" collapsed="false">
      <c r="A3355" s="5" t="s">
        <v>5633</v>
      </c>
      <c r="B3355" s="5" t="s">
        <v>2110</v>
      </c>
      <c r="C3355" s="5" t="s">
        <v>2254</v>
      </c>
      <c r="D3355" s="5" t="s">
        <v>2308</v>
      </c>
      <c r="E3355" s="5" t="s">
        <v>59</v>
      </c>
      <c r="F3355" s="5" t="s">
        <v>54</v>
      </c>
      <c r="G3355" s="5" t="str">
        <f aca="false">INDEX(Risk_Matrix!$B$2:$D$4,MATCH(E3355,Risk_Matrix!$A$2:$A$4,0),MATCH(F3355,Risk_Matrix!$B$1:$D$1,0))</f>
        <v>Medium</v>
      </c>
      <c r="H3355" s="12" t="n">
        <v>46224</v>
      </c>
      <c r="I3355" s="5" t="s">
        <v>2241</v>
      </c>
      <c r="J3355" s="5" t="s">
        <v>2242</v>
      </c>
      <c r="K3355" s="5" t="s">
        <v>2252</v>
      </c>
      <c r="L3355" s="5" t="n">
        <f aca="false">IF(G3355="High",3,IF(G3355="Medium",2,1))</f>
        <v>2</v>
      </c>
    </row>
    <row r="3356" customFormat="false" ht="15" hidden="false" customHeight="true" outlineLevel="0" collapsed="false">
      <c r="A3356" s="5" t="s">
        <v>5634</v>
      </c>
      <c r="B3356" s="5" t="s">
        <v>2112</v>
      </c>
      <c r="C3356" s="5" t="s">
        <v>2239</v>
      </c>
      <c r="D3356" s="5" t="s">
        <v>2295</v>
      </c>
      <c r="E3356" s="5" t="s">
        <v>54</v>
      </c>
      <c r="F3356" s="5" t="s">
        <v>2225</v>
      </c>
      <c r="G3356" s="5" t="str">
        <f aca="false">INDEX(Risk_Matrix!$B$2:$D$4,MATCH(E3356,Risk_Matrix!$A$2:$A$4,0),MATCH(F3356,Risk_Matrix!$B$1:$D$1,0))</f>
        <v>High</v>
      </c>
      <c r="H3356" s="12" t="n">
        <v>46138</v>
      </c>
      <c r="I3356" s="5" t="s">
        <v>2264</v>
      </c>
      <c r="J3356" s="5" t="s">
        <v>4087</v>
      </c>
      <c r="K3356" s="5" t="s">
        <v>2276</v>
      </c>
      <c r="L3356" s="5" t="n">
        <f aca="false">IF(G3356="High",3,IF(G3356="Medium",2,1))</f>
        <v>3</v>
      </c>
    </row>
    <row r="3357" customFormat="false" ht="15" hidden="false" customHeight="true" outlineLevel="0" collapsed="false">
      <c r="A3357" s="5" t="s">
        <v>5635</v>
      </c>
      <c r="B3357" s="5" t="s">
        <v>2112</v>
      </c>
      <c r="C3357" s="5" t="s">
        <v>2245</v>
      </c>
      <c r="D3357" s="5" t="s">
        <v>2269</v>
      </c>
      <c r="E3357" s="5" t="s">
        <v>59</v>
      </c>
      <c r="F3357" s="5" t="s">
        <v>54</v>
      </c>
      <c r="G3357" s="5" t="str">
        <f aca="false">INDEX(Risk_Matrix!$B$2:$D$4,MATCH(E3357,Risk_Matrix!$A$2:$A$4,0),MATCH(F3357,Risk_Matrix!$B$1:$D$1,0))</f>
        <v>Medium</v>
      </c>
      <c r="H3357" s="12" t="n">
        <v>46148</v>
      </c>
      <c r="I3357" s="5" t="s">
        <v>2250</v>
      </c>
      <c r="J3357" s="5" t="s">
        <v>2251</v>
      </c>
      <c r="K3357" s="5" t="s">
        <v>2243</v>
      </c>
      <c r="L3357" s="5" t="n">
        <f aca="false">IF(G3357="High",3,IF(G3357="Medium",2,1))</f>
        <v>2</v>
      </c>
    </row>
    <row r="3358" customFormat="false" ht="15" hidden="false" customHeight="true" outlineLevel="0" collapsed="false">
      <c r="A3358" s="5" t="s">
        <v>5636</v>
      </c>
      <c r="B3358" s="5" t="s">
        <v>2112</v>
      </c>
      <c r="C3358" s="5" t="s">
        <v>2248</v>
      </c>
      <c r="D3358" s="5" t="s">
        <v>2271</v>
      </c>
      <c r="E3358" s="5" t="s">
        <v>2225</v>
      </c>
      <c r="F3358" s="5" t="s">
        <v>59</v>
      </c>
      <c r="G3358" s="5" t="str">
        <f aca="false">INDEX(Risk_Matrix!$B$2:$D$4,MATCH(E3358,Risk_Matrix!$A$2:$A$4,0),MATCH(F3358,Risk_Matrix!$B$1:$D$1,0))</f>
        <v>Low</v>
      </c>
      <c r="H3358" s="12" t="n">
        <v>46115</v>
      </c>
      <c r="I3358" s="5" t="s">
        <v>2256</v>
      </c>
      <c r="J3358" s="5" t="s">
        <v>4081</v>
      </c>
      <c r="K3358" s="5" t="s">
        <v>2243</v>
      </c>
      <c r="L3358" s="5" t="n">
        <f aca="false">IF(G3358="High",3,IF(G3358="Medium",2,1))</f>
        <v>1</v>
      </c>
    </row>
    <row r="3359" customFormat="false" ht="15" hidden="false" customHeight="true" outlineLevel="0" collapsed="false">
      <c r="A3359" s="5" t="s">
        <v>5637</v>
      </c>
      <c r="B3359" s="5" t="s">
        <v>2112</v>
      </c>
      <c r="C3359" s="5" t="s">
        <v>2262</v>
      </c>
      <c r="D3359" s="5" t="s">
        <v>2311</v>
      </c>
      <c r="E3359" s="5" t="s">
        <v>59</v>
      </c>
      <c r="F3359" s="5" t="s">
        <v>59</v>
      </c>
      <c r="G3359" s="5" t="str">
        <f aca="false">INDEX(Risk_Matrix!$B$2:$D$4,MATCH(E3359,Risk_Matrix!$A$2:$A$4,0),MATCH(F3359,Risk_Matrix!$B$1:$D$1,0))</f>
        <v>Low</v>
      </c>
      <c r="H3359" s="12" t="n">
        <v>46074</v>
      </c>
      <c r="I3359" s="5" t="s">
        <v>2250</v>
      </c>
      <c r="J3359" s="5" t="s">
        <v>2251</v>
      </c>
      <c r="K3359" s="5" t="s">
        <v>2276</v>
      </c>
      <c r="L3359" s="5" t="n">
        <f aca="false">IF(G3359="High",3,IF(G3359="Medium",2,1))</f>
        <v>1</v>
      </c>
    </row>
    <row r="3360" customFormat="false" ht="15" hidden="false" customHeight="true" outlineLevel="0" collapsed="false">
      <c r="A3360" s="5" t="s">
        <v>5638</v>
      </c>
      <c r="B3360" s="5" t="s">
        <v>2112</v>
      </c>
      <c r="C3360" s="5" t="s">
        <v>2259</v>
      </c>
      <c r="D3360" s="5" t="s">
        <v>2274</v>
      </c>
      <c r="E3360" s="5" t="s">
        <v>2225</v>
      </c>
      <c r="F3360" s="5" t="s">
        <v>54</v>
      </c>
      <c r="G3360" s="5" t="str">
        <f aca="false">INDEX(Risk_Matrix!$B$2:$D$4,MATCH(E3360,Risk_Matrix!$A$2:$A$4,0),MATCH(F3360,Risk_Matrix!$B$1:$D$1,0))</f>
        <v>High</v>
      </c>
      <c r="H3360" s="12" t="n">
        <v>46142</v>
      </c>
      <c r="I3360" s="5" t="s">
        <v>2256</v>
      </c>
      <c r="J3360" s="5" t="s">
        <v>4081</v>
      </c>
      <c r="K3360" s="5" t="s">
        <v>2252</v>
      </c>
      <c r="L3360" s="5" t="n">
        <f aca="false">IF(G3360="High",3,IF(G3360="Medium",2,1))</f>
        <v>3</v>
      </c>
    </row>
    <row r="3361" customFormat="false" ht="15" hidden="false" customHeight="true" outlineLevel="0" collapsed="false">
      <c r="A3361" s="5" t="s">
        <v>5639</v>
      </c>
      <c r="B3361" s="5" t="s">
        <v>2112</v>
      </c>
      <c r="C3361" s="5" t="s">
        <v>2254</v>
      </c>
      <c r="D3361" s="5" t="s">
        <v>2308</v>
      </c>
      <c r="E3361" s="5" t="s">
        <v>2225</v>
      </c>
      <c r="F3361" s="5" t="s">
        <v>54</v>
      </c>
      <c r="G3361" s="5" t="str">
        <f aca="false">INDEX(Risk_Matrix!$B$2:$D$4,MATCH(E3361,Risk_Matrix!$A$2:$A$4,0),MATCH(F3361,Risk_Matrix!$B$1:$D$1,0))</f>
        <v>High</v>
      </c>
      <c r="H3361" s="12" t="n">
        <v>46219</v>
      </c>
      <c r="I3361" s="5" t="s">
        <v>2256</v>
      </c>
      <c r="J3361" s="5" t="s">
        <v>4081</v>
      </c>
      <c r="K3361" s="5" t="s">
        <v>2252</v>
      </c>
      <c r="L3361" s="5" t="n">
        <f aca="false">IF(G3361="High",3,IF(G3361="Medium",2,1))</f>
        <v>3</v>
      </c>
    </row>
    <row r="3362" customFormat="false" ht="15" hidden="false" customHeight="true" outlineLevel="0" collapsed="false">
      <c r="A3362" s="5" t="s">
        <v>5640</v>
      </c>
      <c r="B3362" s="5" t="s">
        <v>2114</v>
      </c>
      <c r="C3362" s="5" t="s">
        <v>2239</v>
      </c>
      <c r="D3362" s="5" t="s">
        <v>2278</v>
      </c>
      <c r="E3362" s="5" t="s">
        <v>59</v>
      </c>
      <c r="F3362" s="5" t="s">
        <v>59</v>
      </c>
      <c r="G3362" s="5" t="str">
        <f aca="false">INDEX(Risk_Matrix!$B$2:$D$4,MATCH(E3362,Risk_Matrix!$A$2:$A$4,0),MATCH(F3362,Risk_Matrix!$B$1:$D$1,0))</f>
        <v>Low</v>
      </c>
      <c r="H3362" s="12" t="n">
        <v>46050</v>
      </c>
      <c r="I3362" s="5" t="s">
        <v>2250</v>
      </c>
      <c r="J3362" s="5" t="s">
        <v>2251</v>
      </c>
      <c r="K3362" s="5" t="s">
        <v>2276</v>
      </c>
      <c r="L3362" s="5" t="n">
        <f aca="false">IF(G3362="High",3,IF(G3362="Medium",2,1))</f>
        <v>1</v>
      </c>
    </row>
    <row r="3363" customFormat="false" ht="15" hidden="false" customHeight="true" outlineLevel="0" collapsed="false">
      <c r="A3363" s="5" t="s">
        <v>5641</v>
      </c>
      <c r="B3363" s="5" t="s">
        <v>2114</v>
      </c>
      <c r="C3363" s="5" t="s">
        <v>2245</v>
      </c>
      <c r="D3363" s="5" t="s">
        <v>2269</v>
      </c>
      <c r="E3363" s="5" t="s">
        <v>2225</v>
      </c>
      <c r="F3363" s="5" t="s">
        <v>59</v>
      </c>
      <c r="G3363" s="5" t="str">
        <f aca="false">INDEX(Risk_Matrix!$B$2:$D$4,MATCH(E3363,Risk_Matrix!$A$2:$A$4,0),MATCH(F3363,Risk_Matrix!$B$1:$D$1,0))</f>
        <v>Low</v>
      </c>
      <c r="H3363" s="12" t="n">
        <v>46088</v>
      </c>
      <c r="I3363" s="5" t="s">
        <v>2241</v>
      </c>
      <c r="J3363" s="5" t="s">
        <v>2242</v>
      </c>
      <c r="K3363" s="5" t="s">
        <v>2243</v>
      </c>
      <c r="L3363" s="5" t="n">
        <f aca="false">IF(G3363="High",3,IF(G3363="Medium",2,1))</f>
        <v>1</v>
      </c>
    </row>
    <row r="3364" customFormat="false" ht="15" hidden="false" customHeight="true" outlineLevel="0" collapsed="false">
      <c r="A3364" s="5" t="s">
        <v>5642</v>
      </c>
      <c r="B3364" s="5" t="s">
        <v>2114</v>
      </c>
      <c r="C3364" s="5" t="s">
        <v>2248</v>
      </c>
      <c r="D3364" s="5" t="s">
        <v>2249</v>
      </c>
      <c r="E3364" s="5" t="s">
        <v>2225</v>
      </c>
      <c r="F3364" s="5" t="s">
        <v>59</v>
      </c>
      <c r="G3364" s="5" t="str">
        <f aca="false">INDEX(Risk_Matrix!$B$2:$D$4,MATCH(E3364,Risk_Matrix!$A$2:$A$4,0),MATCH(F3364,Risk_Matrix!$B$1:$D$1,0))</f>
        <v>Low</v>
      </c>
      <c r="H3364" s="12" t="n">
        <v>46036</v>
      </c>
      <c r="I3364" s="5" t="s">
        <v>2264</v>
      </c>
      <c r="J3364" s="5" t="s">
        <v>4087</v>
      </c>
      <c r="K3364" s="5" t="s">
        <v>2276</v>
      </c>
      <c r="L3364" s="5" t="n">
        <f aca="false">IF(G3364="High",3,IF(G3364="Medium",2,1))</f>
        <v>1</v>
      </c>
    </row>
    <row r="3365" customFormat="false" ht="15" hidden="false" customHeight="true" outlineLevel="0" collapsed="false">
      <c r="A3365" s="5" t="s">
        <v>5643</v>
      </c>
      <c r="B3365" s="5" t="s">
        <v>2114</v>
      </c>
      <c r="C3365" s="5" t="s">
        <v>2262</v>
      </c>
      <c r="D3365" s="5" t="s">
        <v>2311</v>
      </c>
      <c r="E3365" s="5" t="s">
        <v>54</v>
      </c>
      <c r="F3365" s="5" t="s">
        <v>2225</v>
      </c>
      <c r="G3365" s="5" t="str">
        <f aca="false">INDEX(Risk_Matrix!$B$2:$D$4,MATCH(E3365,Risk_Matrix!$A$2:$A$4,0),MATCH(F3365,Risk_Matrix!$B$1:$D$1,0))</f>
        <v>High</v>
      </c>
      <c r="H3365" s="12" t="n">
        <v>46122</v>
      </c>
      <c r="I3365" s="5" t="s">
        <v>2250</v>
      </c>
      <c r="J3365" s="5" t="s">
        <v>2251</v>
      </c>
      <c r="K3365" s="5" t="s">
        <v>2283</v>
      </c>
      <c r="L3365" s="5" t="n">
        <f aca="false">IF(G3365="High",3,IF(G3365="Medium",2,1))</f>
        <v>3</v>
      </c>
    </row>
    <row r="3366" customFormat="false" ht="15" hidden="false" customHeight="true" outlineLevel="0" collapsed="false">
      <c r="A3366" s="5" t="s">
        <v>5644</v>
      </c>
      <c r="B3366" s="5" t="s">
        <v>2114</v>
      </c>
      <c r="C3366" s="5" t="s">
        <v>2259</v>
      </c>
      <c r="D3366" s="5" t="s">
        <v>2274</v>
      </c>
      <c r="E3366" s="5" t="s">
        <v>59</v>
      </c>
      <c r="F3366" s="5" t="s">
        <v>59</v>
      </c>
      <c r="G3366" s="5" t="str">
        <f aca="false">INDEX(Risk_Matrix!$B$2:$D$4,MATCH(E3366,Risk_Matrix!$A$2:$A$4,0),MATCH(F3366,Risk_Matrix!$B$1:$D$1,0))</f>
        <v>Low</v>
      </c>
      <c r="H3366" s="12" t="n">
        <v>46078</v>
      </c>
      <c r="I3366" s="5" t="s">
        <v>2256</v>
      </c>
      <c r="J3366" s="5" t="s">
        <v>4081</v>
      </c>
      <c r="K3366" s="5" t="s">
        <v>2283</v>
      </c>
      <c r="L3366" s="5" t="n">
        <f aca="false">IF(G3366="High",3,IF(G3366="Medium",2,1))</f>
        <v>1</v>
      </c>
    </row>
    <row r="3367" customFormat="false" ht="15" hidden="false" customHeight="true" outlineLevel="0" collapsed="false">
      <c r="A3367" s="5" t="s">
        <v>5645</v>
      </c>
      <c r="B3367" s="5" t="s">
        <v>2114</v>
      </c>
      <c r="C3367" s="5" t="s">
        <v>2254</v>
      </c>
      <c r="D3367" s="5" t="s">
        <v>2308</v>
      </c>
      <c r="E3367" s="5" t="s">
        <v>59</v>
      </c>
      <c r="F3367" s="5" t="s">
        <v>2225</v>
      </c>
      <c r="G3367" s="5" t="str">
        <f aca="false">INDEX(Risk_Matrix!$B$2:$D$4,MATCH(E3367,Risk_Matrix!$A$2:$A$4,0),MATCH(F3367,Risk_Matrix!$B$1:$D$1,0))</f>
        <v>Low</v>
      </c>
      <c r="H3367" s="12" t="n">
        <v>46127</v>
      </c>
      <c r="I3367" s="5" t="s">
        <v>2250</v>
      </c>
      <c r="J3367" s="5" t="s">
        <v>2251</v>
      </c>
      <c r="K3367" s="5" t="s">
        <v>2283</v>
      </c>
      <c r="L3367" s="5" t="n">
        <f aca="false">IF(G3367="High",3,IF(G3367="Medium",2,1))</f>
        <v>1</v>
      </c>
    </row>
    <row r="3368" customFormat="false" ht="15" hidden="false" customHeight="true" outlineLevel="0" collapsed="false">
      <c r="A3368" s="5" t="s">
        <v>5646</v>
      </c>
      <c r="B3368" s="5" t="s">
        <v>2116</v>
      </c>
      <c r="C3368" s="5" t="s">
        <v>2239</v>
      </c>
      <c r="D3368" s="5" t="s">
        <v>2278</v>
      </c>
      <c r="E3368" s="5" t="s">
        <v>2225</v>
      </c>
      <c r="F3368" s="5" t="s">
        <v>54</v>
      </c>
      <c r="G3368" s="5" t="str">
        <f aca="false">INDEX(Risk_Matrix!$B$2:$D$4,MATCH(E3368,Risk_Matrix!$A$2:$A$4,0),MATCH(F3368,Risk_Matrix!$B$1:$D$1,0))</f>
        <v>High</v>
      </c>
      <c r="H3368" s="12" t="n">
        <v>46211</v>
      </c>
      <c r="I3368" s="5" t="s">
        <v>2241</v>
      </c>
      <c r="J3368" s="5" t="s">
        <v>2242</v>
      </c>
      <c r="K3368" s="5" t="s">
        <v>2276</v>
      </c>
      <c r="L3368" s="5" t="n">
        <f aca="false">IF(G3368="High",3,IF(G3368="Medium",2,1))</f>
        <v>3</v>
      </c>
    </row>
    <row r="3369" customFormat="false" ht="15" hidden="false" customHeight="true" outlineLevel="0" collapsed="false">
      <c r="A3369" s="5" t="s">
        <v>5647</v>
      </c>
      <c r="B3369" s="5" t="s">
        <v>2116</v>
      </c>
      <c r="C3369" s="5" t="s">
        <v>2245</v>
      </c>
      <c r="D3369" s="5" t="s">
        <v>2320</v>
      </c>
      <c r="E3369" s="5" t="s">
        <v>54</v>
      </c>
      <c r="F3369" s="5" t="s">
        <v>2225</v>
      </c>
      <c r="G3369" s="5" t="str">
        <f aca="false">INDEX(Risk_Matrix!$B$2:$D$4,MATCH(E3369,Risk_Matrix!$A$2:$A$4,0),MATCH(F3369,Risk_Matrix!$B$1:$D$1,0))</f>
        <v>High</v>
      </c>
      <c r="H3369" s="12" t="n">
        <v>46112</v>
      </c>
      <c r="I3369" s="5" t="s">
        <v>2241</v>
      </c>
      <c r="J3369" s="5" t="s">
        <v>2242</v>
      </c>
      <c r="K3369" s="5" t="s">
        <v>2252</v>
      </c>
      <c r="L3369" s="5" t="n">
        <f aca="false">IF(G3369="High",3,IF(G3369="Medium",2,1))</f>
        <v>3</v>
      </c>
    </row>
    <row r="3370" customFormat="false" ht="15" hidden="false" customHeight="true" outlineLevel="0" collapsed="false">
      <c r="A3370" s="5" t="s">
        <v>5648</v>
      </c>
      <c r="B3370" s="5" t="s">
        <v>2116</v>
      </c>
      <c r="C3370" s="5" t="s">
        <v>2248</v>
      </c>
      <c r="D3370" s="5" t="s">
        <v>2271</v>
      </c>
      <c r="E3370" s="5" t="s">
        <v>2225</v>
      </c>
      <c r="F3370" s="5" t="s">
        <v>54</v>
      </c>
      <c r="G3370" s="5" t="str">
        <f aca="false">INDEX(Risk_Matrix!$B$2:$D$4,MATCH(E3370,Risk_Matrix!$A$2:$A$4,0),MATCH(F3370,Risk_Matrix!$B$1:$D$1,0))</f>
        <v>High</v>
      </c>
      <c r="H3370" s="12" t="n">
        <v>46133</v>
      </c>
      <c r="I3370" s="5" t="s">
        <v>2241</v>
      </c>
      <c r="J3370" s="5" t="s">
        <v>2242</v>
      </c>
      <c r="K3370" s="5" t="s">
        <v>2276</v>
      </c>
      <c r="L3370" s="5" t="n">
        <f aca="false">IF(G3370="High",3,IF(G3370="Medium",2,1))</f>
        <v>3</v>
      </c>
    </row>
    <row r="3371" customFormat="false" ht="15" hidden="false" customHeight="true" outlineLevel="0" collapsed="false">
      <c r="A3371" s="5" t="s">
        <v>5649</v>
      </c>
      <c r="B3371" s="5" t="s">
        <v>2116</v>
      </c>
      <c r="C3371" s="5" t="s">
        <v>2262</v>
      </c>
      <c r="D3371" s="5" t="s">
        <v>2287</v>
      </c>
      <c r="E3371" s="5" t="s">
        <v>54</v>
      </c>
      <c r="F3371" s="5" t="s">
        <v>54</v>
      </c>
      <c r="G3371" s="5" t="str">
        <f aca="false">INDEX(Risk_Matrix!$B$2:$D$4,MATCH(E3371,Risk_Matrix!$A$2:$A$4,0),MATCH(F3371,Risk_Matrix!$B$1:$D$1,0))</f>
        <v>High</v>
      </c>
      <c r="H3371" s="12" t="n">
        <v>46178</v>
      </c>
      <c r="I3371" s="5" t="s">
        <v>2264</v>
      </c>
      <c r="J3371" s="5" t="s">
        <v>4087</v>
      </c>
      <c r="K3371" s="5" t="s">
        <v>2252</v>
      </c>
      <c r="L3371" s="5" t="n">
        <f aca="false">IF(G3371="High",3,IF(G3371="Medium",2,1))</f>
        <v>3</v>
      </c>
    </row>
    <row r="3372" customFormat="false" ht="15" hidden="false" customHeight="true" outlineLevel="0" collapsed="false">
      <c r="A3372" s="5" t="s">
        <v>5650</v>
      </c>
      <c r="B3372" s="5" t="s">
        <v>2116</v>
      </c>
      <c r="C3372" s="5" t="s">
        <v>2259</v>
      </c>
      <c r="D3372" s="5" t="s">
        <v>2260</v>
      </c>
      <c r="E3372" s="5" t="s">
        <v>2225</v>
      </c>
      <c r="F3372" s="5" t="s">
        <v>2225</v>
      </c>
      <c r="G3372" s="5" t="str">
        <f aca="false">INDEX(Risk_Matrix!$B$2:$D$4,MATCH(E3372,Risk_Matrix!$A$2:$A$4,0),MATCH(F3372,Risk_Matrix!$B$1:$D$1,0))</f>
        <v>Medium</v>
      </c>
      <c r="H3372" s="12" t="n">
        <v>46236</v>
      </c>
      <c r="I3372" s="5" t="s">
        <v>2250</v>
      </c>
      <c r="J3372" s="5" t="s">
        <v>2251</v>
      </c>
      <c r="K3372" s="5" t="s">
        <v>2266</v>
      </c>
      <c r="L3372" s="5" t="n">
        <f aca="false">IF(G3372="High",3,IF(G3372="Medium",2,1))</f>
        <v>2</v>
      </c>
    </row>
    <row r="3373" customFormat="false" ht="15" hidden="false" customHeight="true" outlineLevel="0" collapsed="false">
      <c r="A3373" s="5" t="s">
        <v>5651</v>
      </c>
      <c r="B3373" s="5" t="s">
        <v>2116</v>
      </c>
      <c r="C3373" s="5" t="s">
        <v>2254</v>
      </c>
      <c r="D3373" s="5" t="s">
        <v>2308</v>
      </c>
      <c r="E3373" s="5" t="s">
        <v>54</v>
      </c>
      <c r="F3373" s="5" t="s">
        <v>54</v>
      </c>
      <c r="G3373" s="5" t="str">
        <f aca="false">INDEX(Risk_Matrix!$B$2:$D$4,MATCH(E3373,Risk_Matrix!$A$2:$A$4,0),MATCH(F3373,Risk_Matrix!$B$1:$D$1,0))</f>
        <v>High</v>
      </c>
      <c r="H3373" s="12" t="n">
        <v>46094</v>
      </c>
      <c r="I3373" s="5" t="s">
        <v>2250</v>
      </c>
      <c r="J3373" s="5" t="s">
        <v>2251</v>
      </c>
      <c r="K3373" s="5" t="s">
        <v>2276</v>
      </c>
      <c r="L3373" s="5" t="n">
        <f aca="false">IF(G3373="High",3,IF(G3373="Medium",2,1))</f>
        <v>3</v>
      </c>
    </row>
    <row r="3374" customFormat="false" ht="15" hidden="false" customHeight="true" outlineLevel="0" collapsed="false">
      <c r="A3374" s="5" t="s">
        <v>5652</v>
      </c>
      <c r="B3374" s="5" t="s">
        <v>2118</v>
      </c>
      <c r="C3374" s="5" t="s">
        <v>2239</v>
      </c>
      <c r="D3374" s="5" t="s">
        <v>2240</v>
      </c>
      <c r="E3374" s="5" t="s">
        <v>54</v>
      </c>
      <c r="F3374" s="5" t="s">
        <v>59</v>
      </c>
      <c r="G3374" s="5" t="str">
        <f aca="false">INDEX(Risk_Matrix!$B$2:$D$4,MATCH(E3374,Risk_Matrix!$A$2:$A$4,0),MATCH(F3374,Risk_Matrix!$B$1:$D$1,0))</f>
        <v>Medium</v>
      </c>
      <c r="H3374" s="12" t="n">
        <v>46237</v>
      </c>
      <c r="I3374" s="5" t="s">
        <v>2241</v>
      </c>
      <c r="J3374" s="5" t="s">
        <v>2242</v>
      </c>
      <c r="K3374" s="5" t="s">
        <v>2243</v>
      </c>
      <c r="L3374" s="5" t="n">
        <f aca="false">IF(G3374="High",3,IF(G3374="Medium",2,1))</f>
        <v>2</v>
      </c>
    </row>
    <row r="3375" customFormat="false" ht="15" hidden="false" customHeight="true" outlineLevel="0" collapsed="false">
      <c r="A3375" s="5" t="s">
        <v>5653</v>
      </c>
      <c r="B3375" s="5" t="s">
        <v>2118</v>
      </c>
      <c r="C3375" s="5" t="s">
        <v>2245</v>
      </c>
      <c r="D3375" s="5" t="s">
        <v>2269</v>
      </c>
      <c r="E3375" s="5" t="s">
        <v>59</v>
      </c>
      <c r="F3375" s="5" t="s">
        <v>2225</v>
      </c>
      <c r="G3375" s="5" t="str">
        <f aca="false">INDEX(Risk_Matrix!$B$2:$D$4,MATCH(E3375,Risk_Matrix!$A$2:$A$4,0),MATCH(F3375,Risk_Matrix!$B$1:$D$1,0))</f>
        <v>Low</v>
      </c>
      <c r="H3375" s="12" t="n">
        <v>46039</v>
      </c>
      <c r="I3375" s="5" t="s">
        <v>2241</v>
      </c>
      <c r="J3375" s="5" t="s">
        <v>2242</v>
      </c>
      <c r="K3375" s="5" t="s">
        <v>2276</v>
      </c>
      <c r="L3375" s="5" t="n">
        <f aca="false">IF(G3375="High",3,IF(G3375="Medium",2,1))</f>
        <v>1</v>
      </c>
    </row>
    <row r="3376" customFormat="false" ht="15" hidden="false" customHeight="true" outlineLevel="0" collapsed="false">
      <c r="A3376" s="5" t="s">
        <v>5654</v>
      </c>
      <c r="B3376" s="5" t="s">
        <v>2118</v>
      </c>
      <c r="C3376" s="5" t="s">
        <v>2248</v>
      </c>
      <c r="D3376" s="5" t="s">
        <v>2271</v>
      </c>
      <c r="E3376" s="5" t="s">
        <v>2225</v>
      </c>
      <c r="F3376" s="5" t="s">
        <v>54</v>
      </c>
      <c r="G3376" s="5" t="str">
        <f aca="false">INDEX(Risk_Matrix!$B$2:$D$4,MATCH(E3376,Risk_Matrix!$A$2:$A$4,0),MATCH(F3376,Risk_Matrix!$B$1:$D$1,0))</f>
        <v>High</v>
      </c>
      <c r="H3376" s="12" t="n">
        <v>46155</v>
      </c>
      <c r="I3376" s="5" t="s">
        <v>2256</v>
      </c>
      <c r="J3376" s="5" t="s">
        <v>4081</v>
      </c>
      <c r="K3376" s="5" t="s">
        <v>2266</v>
      </c>
      <c r="L3376" s="5" t="n">
        <f aca="false">IF(G3376="High",3,IF(G3376="Medium",2,1))</f>
        <v>3</v>
      </c>
    </row>
    <row r="3377" customFormat="false" ht="15" hidden="false" customHeight="true" outlineLevel="0" collapsed="false">
      <c r="A3377" s="5" t="s">
        <v>5655</v>
      </c>
      <c r="B3377" s="5" t="s">
        <v>2118</v>
      </c>
      <c r="C3377" s="5" t="s">
        <v>2262</v>
      </c>
      <c r="D3377" s="5" t="s">
        <v>2263</v>
      </c>
      <c r="E3377" s="5" t="s">
        <v>54</v>
      </c>
      <c r="F3377" s="5" t="s">
        <v>2225</v>
      </c>
      <c r="G3377" s="5" t="str">
        <f aca="false">INDEX(Risk_Matrix!$B$2:$D$4,MATCH(E3377,Risk_Matrix!$A$2:$A$4,0),MATCH(F3377,Risk_Matrix!$B$1:$D$1,0))</f>
        <v>High</v>
      </c>
      <c r="H3377" s="12" t="n">
        <v>46175</v>
      </c>
      <c r="I3377" s="5" t="s">
        <v>2241</v>
      </c>
      <c r="J3377" s="5" t="s">
        <v>2242</v>
      </c>
      <c r="K3377" s="5" t="s">
        <v>2276</v>
      </c>
      <c r="L3377" s="5" t="n">
        <f aca="false">IF(G3377="High",3,IF(G3377="Medium",2,1))</f>
        <v>3</v>
      </c>
    </row>
    <row r="3378" customFormat="false" ht="15" hidden="false" customHeight="true" outlineLevel="0" collapsed="false">
      <c r="A3378" s="5" t="s">
        <v>5656</v>
      </c>
      <c r="B3378" s="5" t="s">
        <v>2118</v>
      </c>
      <c r="C3378" s="5" t="s">
        <v>2259</v>
      </c>
      <c r="D3378" s="5" t="s">
        <v>2260</v>
      </c>
      <c r="E3378" s="5" t="s">
        <v>54</v>
      </c>
      <c r="F3378" s="5" t="s">
        <v>54</v>
      </c>
      <c r="G3378" s="5" t="str">
        <f aca="false">INDEX(Risk_Matrix!$B$2:$D$4,MATCH(E3378,Risk_Matrix!$A$2:$A$4,0),MATCH(F3378,Risk_Matrix!$B$1:$D$1,0))</f>
        <v>High</v>
      </c>
      <c r="H3378" s="12" t="n">
        <v>46087</v>
      </c>
      <c r="I3378" s="5" t="s">
        <v>2250</v>
      </c>
      <c r="J3378" s="5" t="s">
        <v>2251</v>
      </c>
      <c r="K3378" s="5" t="s">
        <v>2266</v>
      </c>
      <c r="L3378" s="5" t="n">
        <f aca="false">IF(G3378="High",3,IF(G3378="Medium",2,1))</f>
        <v>3</v>
      </c>
    </row>
    <row r="3379" customFormat="false" ht="15" hidden="false" customHeight="true" outlineLevel="0" collapsed="false">
      <c r="A3379" s="5" t="s">
        <v>5657</v>
      </c>
      <c r="B3379" s="5" t="s">
        <v>2118</v>
      </c>
      <c r="C3379" s="5" t="s">
        <v>2254</v>
      </c>
      <c r="D3379" s="5" t="s">
        <v>2255</v>
      </c>
      <c r="E3379" s="5" t="s">
        <v>54</v>
      </c>
      <c r="F3379" s="5" t="s">
        <v>54</v>
      </c>
      <c r="G3379" s="5" t="str">
        <f aca="false">INDEX(Risk_Matrix!$B$2:$D$4,MATCH(E3379,Risk_Matrix!$A$2:$A$4,0),MATCH(F3379,Risk_Matrix!$B$1:$D$1,0))</f>
        <v>High</v>
      </c>
      <c r="H3379" s="12" t="n">
        <v>46166</v>
      </c>
      <c r="I3379" s="5" t="s">
        <v>2250</v>
      </c>
      <c r="J3379" s="5" t="s">
        <v>2251</v>
      </c>
      <c r="K3379" s="5" t="s">
        <v>2243</v>
      </c>
      <c r="L3379" s="5" t="n">
        <f aca="false">IF(G3379="High",3,IF(G3379="Medium",2,1))</f>
        <v>3</v>
      </c>
    </row>
    <row r="3380" customFormat="false" ht="15" hidden="false" customHeight="true" outlineLevel="0" collapsed="false">
      <c r="A3380" s="5" t="s">
        <v>5658</v>
      </c>
      <c r="B3380" s="5" t="s">
        <v>2120</v>
      </c>
      <c r="C3380" s="5" t="s">
        <v>2239</v>
      </c>
      <c r="D3380" s="5" t="s">
        <v>2278</v>
      </c>
      <c r="E3380" s="5" t="s">
        <v>59</v>
      </c>
      <c r="F3380" s="5" t="s">
        <v>54</v>
      </c>
      <c r="G3380" s="5" t="str">
        <f aca="false">INDEX(Risk_Matrix!$B$2:$D$4,MATCH(E3380,Risk_Matrix!$A$2:$A$4,0),MATCH(F3380,Risk_Matrix!$B$1:$D$1,0))</f>
        <v>Medium</v>
      </c>
      <c r="H3380" s="12" t="n">
        <v>46111</v>
      </c>
      <c r="I3380" s="5" t="s">
        <v>2256</v>
      </c>
      <c r="J3380" s="5" t="s">
        <v>4081</v>
      </c>
      <c r="K3380" s="5" t="s">
        <v>2266</v>
      </c>
      <c r="L3380" s="5" t="n">
        <f aca="false">IF(G3380="High",3,IF(G3380="Medium",2,1))</f>
        <v>2</v>
      </c>
    </row>
    <row r="3381" customFormat="false" ht="15" hidden="false" customHeight="true" outlineLevel="0" collapsed="false">
      <c r="A3381" s="5" t="s">
        <v>5659</v>
      </c>
      <c r="B3381" s="5" t="s">
        <v>2120</v>
      </c>
      <c r="C3381" s="5" t="s">
        <v>2245</v>
      </c>
      <c r="D3381" s="5" t="s">
        <v>2246</v>
      </c>
      <c r="E3381" s="5" t="s">
        <v>2225</v>
      </c>
      <c r="F3381" s="5" t="s">
        <v>59</v>
      </c>
      <c r="G3381" s="5" t="str">
        <f aca="false">INDEX(Risk_Matrix!$B$2:$D$4,MATCH(E3381,Risk_Matrix!$A$2:$A$4,0),MATCH(F3381,Risk_Matrix!$B$1:$D$1,0))</f>
        <v>Low</v>
      </c>
      <c r="H3381" s="12" t="n">
        <v>46218</v>
      </c>
      <c r="I3381" s="5" t="s">
        <v>2241</v>
      </c>
      <c r="J3381" s="5" t="s">
        <v>2242</v>
      </c>
      <c r="K3381" s="5" t="s">
        <v>2243</v>
      </c>
      <c r="L3381" s="5" t="n">
        <f aca="false">IF(G3381="High",3,IF(G3381="Medium",2,1))</f>
        <v>1</v>
      </c>
    </row>
    <row r="3382" customFormat="false" ht="15" hidden="false" customHeight="true" outlineLevel="0" collapsed="false">
      <c r="A3382" s="5" t="s">
        <v>5660</v>
      </c>
      <c r="B3382" s="5" t="s">
        <v>2120</v>
      </c>
      <c r="C3382" s="5" t="s">
        <v>2248</v>
      </c>
      <c r="D3382" s="5" t="s">
        <v>2306</v>
      </c>
      <c r="E3382" s="5" t="s">
        <v>59</v>
      </c>
      <c r="F3382" s="5" t="s">
        <v>54</v>
      </c>
      <c r="G3382" s="5" t="str">
        <f aca="false">INDEX(Risk_Matrix!$B$2:$D$4,MATCH(E3382,Risk_Matrix!$A$2:$A$4,0),MATCH(F3382,Risk_Matrix!$B$1:$D$1,0))</f>
        <v>Medium</v>
      </c>
      <c r="H3382" s="12" t="n">
        <v>46133</v>
      </c>
      <c r="I3382" s="5" t="s">
        <v>2250</v>
      </c>
      <c r="J3382" s="5" t="s">
        <v>2251</v>
      </c>
      <c r="K3382" s="5" t="s">
        <v>2252</v>
      </c>
      <c r="L3382" s="5" t="n">
        <f aca="false">IF(G3382="High",3,IF(G3382="Medium",2,1))</f>
        <v>2</v>
      </c>
    </row>
    <row r="3383" customFormat="false" ht="15" hidden="false" customHeight="true" outlineLevel="0" collapsed="false">
      <c r="A3383" s="5" t="s">
        <v>5661</v>
      </c>
      <c r="B3383" s="5" t="s">
        <v>2120</v>
      </c>
      <c r="C3383" s="5" t="s">
        <v>2262</v>
      </c>
      <c r="D3383" s="5" t="s">
        <v>2311</v>
      </c>
      <c r="E3383" s="5" t="s">
        <v>2225</v>
      </c>
      <c r="F3383" s="5" t="s">
        <v>59</v>
      </c>
      <c r="G3383" s="5" t="str">
        <f aca="false">INDEX(Risk_Matrix!$B$2:$D$4,MATCH(E3383,Risk_Matrix!$A$2:$A$4,0),MATCH(F3383,Risk_Matrix!$B$1:$D$1,0))</f>
        <v>Low</v>
      </c>
      <c r="H3383" s="12" t="n">
        <v>46051</v>
      </c>
      <c r="I3383" s="5" t="s">
        <v>2264</v>
      </c>
      <c r="J3383" s="5" t="s">
        <v>4087</v>
      </c>
      <c r="K3383" s="5" t="s">
        <v>2252</v>
      </c>
      <c r="L3383" s="5" t="n">
        <f aca="false">IF(G3383="High",3,IF(G3383="Medium",2,1))</f>
        <v>1</v>
      </c>
    </row>
    <row r="3384" customFormat="false" ht="15" hidden="false" customHeight="true" outlineLevel="0" collapsed="false">
      <c r="A3384" s="5" t="s">
        <v>5662</v>
      </c>
      <c r="B3384" s="5" t="s">
        <v>2120</v>
      </c>
      <c r="C3384" s="5" t="s">
        <v>2259</v>
      </c>
      <c r="D3384" s="5" t="s">
        <v>2274</v>
      </c>
      <c r="E3384" s="5" t="s">
        <v>2225</v>
      </c>
      <c r="F3384" s="5" t="s">
        <v>54</v>
      </c>
      <c r="G3384" s="5" t="str">
        <f aca="false">INDEX(Risk_Matrix!$B$2:$D$4,MATCH(E3384,Risk_Matrix!$A$2:$A$4,0),MATCH(F3384,Risk_Matrix!$B$1:$D$1,0))</f>
        <v>High</v>
      </c>
      <c r="H3384" s="12" t="n">
        <v>46066</v>
      </c>
      <c r="I3384" s="5" t="s">
        <v>2241</v>
      </c>
      <c r="J3384" s="5" t="s">
        <v>2242</v>
      </c>
      <c r="K3384" s="5" t="s">
        <v>2266</v>
      </c>
      <c r="L3384" s="5" t="n">
        <f aca="false">IF(G3384="High",3,IF(G3384="Medium",2,1))</f>
        <v>3</v>
      </c>
    </row>
    <row r="3385" customFormat="false" ht="15" hidden="false" customHeight="true" outlineLevel="0" collapsed="false">
      <c r="A3385" s="5" t="s">
        <v>5663</v>
      </c>
      <c r="B3385" s="5" t="s">
        <v>2120</v>
      </c>
      <c r="C3385" s="5" t="s">
        <v>2254</v>
      </c>
      <c r="D3385" s="5" t="s">
        <v>2308</v>
      </c>
      <c r="E3385" s="5" t="s">
        <v>59</v>
      </c>
      <c r="F3385" s="5" t="s">
        <v>59</v>
      </c>
      <c r="G3385" s="5" t="str">
        <f aca="false">INDEX(Risk_Matrix!$B$2:$D$4,MATCH(E3385,Risk_Matrix!$A$2:$A$4,0),MATCH(F3385,Risk_Matrix!$B$1:$D$1,0))</f>
        <v>Low</v>
      </c>
      <c r="H3385" s="12" t="n">
        <v>46072</v>
      </c>
      <c r="I3385" s="5" t="s">
        <v>2241</v>
      </c>
      <c r="J3385" s="5" t="s">
        <v>2242</v>
      </c>
      <c r="K3385" s="5" t="s">
        <v>2252</v>
      </c>
      <c r="L3385" s="5" t="n">
        <f aca="false">IF(G3385="High",3,IF(G3385="Medium",2,1))</f>
        <v>1</v>
      </c>
    </row>
    <row r="3386" customFormat="false" ht="15" hidden="false" customHeight="true" outlineLevel="0" collapsed="false">
      <c r="A3386" s="5" t="s">
        <v>5664</v>
      </c>
      <c r="B3386" s="5" t="s">
        <v>2122</v>
      </c>
      <c r="C3386" s="5" t="s">
        <v>2239</v>
      </c>
      <c r="D3386" s="5" t="s">
        <v>2240</v>
      </c>
      <c r="E3386" s="5" t="s">
        <v>2225</v>
      </c>
      <c r="F3386" s="5" t="s">
        <v>2225</v>
      </c>
      <c r="G3386" s="5" t="str">
        <f aca="false">INDEX(Risk_Matrix!$B$2:$D$4,MATCH(E3386,Risk_Matrix!$A$2:$A$4,0),MATCH(F3386,Risk_Matrix!$B$1:$D$1,0))</f>
        <v>Medium</v>
      </c>
      <c r="H3386" s="12" t="n">
        <v>46223</v>
      </c>
      <c r="I3386" s="5" t="s">
        <v>2241</v>
      </c>
      <c r="J3386" s="5" t="s">
        <v>2242</v>
      </c>
      <c r="K3386" s="5" t="s">
        <v>2283</v>
      </c>
      <c r="L3386" s="5" t="n">
        <f aca="false">IF(G3386="High",3,IF(G3386="Medium",2,1))</f>
        <v>2</v>
      </c>
    </row>
    <row r="3387" customFormat="false" ht="15" hidden="false" customHeight="true" outlineLevel="0" collapsed="false">
      <c r="A3387" s="5" t="s">
        <v>5665</v>
      </c>
      <c r="B3387" s="5" t="s">
        <v>2122</v>
      </c>
      <c r="C3387" s="5" t="s">
        <v>2245</v>
      </c>
      <c r="D3387" s="5" t="s">
        <v>2269</v>
      </c>
      <c r="E3387" s="5" t="s">
        <v>54</v>
      </c>
      <c r="F3387" s="5" t="s">
        <v>59</v>
      </c>
      <c r="G3387" s="5" t="str">
        <f aca="false">INDEX(Risk_Matrix!$B$2:$D$4,MATCH(E3387,Risk_Matrix!$A$2:$A$4,0),MATCH(F3387,Risk_Matrix!$B$1:$D$1,0))</f>
        <v>Medium</v>
      </c>
      <c r="H3387" s="12" t="n">
        <v>46098</v>
      </c>
      <c r="I3387" s="5" t="s">
        <v>2256</v>
      </c>
      <c r="J3387" s="5" t="s">
        <v>4081</v>
      </c>
      <c r="K3387" s="5" t="s">
        <v>2283</v>
      </c>
      <c r="L3387" s="5" t="n">
        <f aca="false">IF(G3387="High",3,IF(G3387="Medium",2,1))</f>
        <v>2</v>
      </c>
    </row>
    <row r="3388" customFormat="false" ht="15" hidden="false" customHeight="true" outlineLevel="0" collapsed="false">
      <c r="A3388" s="5" t="s">
        <v>5666</v>
      </c>
      <c r="B3388" s="5" t="s">
        <v>2122</v>
      </c>
      <c r="C3388" s="5" t="s">
        <v>2248</v>
      </c>
      <c r="D3388" s="5" t="s">
        <v>2271</v>
      </c>
      <c r="E3388" s="5" t="s">
        <v>2225</v>
      </c>
      <c r="F3388" s="5" t="s">
        <v>59</v>
      </c>
      <c r="G3388" s="5" t="str">
        <f aca="false">INDEX(Risk_Matrix!$B$2:$D$4,MATCH(E3388,Risk_Matrix!$A$2:$A$4,0),MATCH(F3388,Risk_Matrix!$B$1:$D$1,0))</f>
        <v>Low</v>
      </c>
      <c r="H3388" s="12" t="n">
        <v>46126</v>
      </c>
      <c r="I3388" s="5" t="s">
        <v>2250</v>
      </c>
      <c r="J3388" s="5" t="s">
        <v>2251</v>
      </c>
      <c r="K3388" s="5" t="s">
        <v>2243</v>
      </c>
      <c r="L3388" s="5" t="n">
        <f aca="false">IF(G3388="High",3,IF(G3388="Medium",2,1))</f>
        <v>1</v>
      </c>
    </row>
    <row r="3389" customFormat="false" ht="15" hidden="false" customHeight="true" outlineLevel="0" collapsed="false">
      <c r="A3389" s="5" t="s">
        <v>5667</v>
      </c>
      <c r="B3389" s="5" t="s">
        <v>2122</v>
      </c>
      <c r="C3389" s="5" t="s">
        <v>2262</v>
      </c>
      <c r="D3389" s="5" t="s">
        <v>2311</v>
      </c>
      <c r="E3389" s="5" t="s">
        <v>54</v>
      </c>
      <c r="F3389" s="5" t="s">
        <v>2225</v>
      </c>
      <c r="G3389" s="5" t="str">
        <f aca="false">INDEX(Risk_Matrix!$B$2:$D$4,MATCH(E3389,Risk_Matrix!$A$2:$A$4,0),MATCH(F3389,Risk_Matrix!$B$1:$D$1,0))</f>
        <v>High</v>
      </c>
      <c r="H3389" s="12" t="n">
        <v>46232</v>
      </c>
      <c r="I3389" s="5" t="s">
        <v>2241</v>
      </c>
      <c r="J3389" s="5" t="s">
        <v>2242</v>
      </c>
      <c r="K3389" s="5" t="s">
        <v>2283</v>
      </c>
      <c r="L3389" s="5" t="n">
        <f aca="false">IF(G3389="High",3,IF(G3389="Medium",2,1))</f>
        <v>3</v>
      </c>
    </row>
    <row r="3390" customFormat="false" ht="15" hidden="false" customHeight="true" outlineLevel="0" collapsed="false">
      <c r="A3390" s="5" t="s">
        <v>5668</v>
      </c>
      <c r="B3390" s="5" t="s">
        <v>2122</v>
      </c>
      <c r="C3390" s="5" t="s">
        <v>2259</v>
      </c>
      <c r="D3390" s="5" t="s">
        <v>2260</v>
      </c>
      <c r="E3390" s="5" t="s">
        <v>59</v>
      </c>
      <c r="F3390" s="5" t="s">
        <v>59</v>
      </c>
      <c r="G3390" s="5" t="str">
        <f aca="false">INDEX(Risk_Matrix!$B$2:$D$4,MATCH(E3390,Risk_Matrix!$A$2:$A$4,0),MATCH(F3390,Risk_Matrix!$B$1:$D$1,0))</f>
        <v>Low</v>
      </c>
      <c r="H3390" s="12" t="n">
        <v>46068</v>
      </c>
      <c r="I3390" s="5" t="s">
        <v>2264</v>
      </c>
      <c r="J3390" s="5" t="s">
        <v>4087</v>
      </c>
      <c r="K3390" s="5" t="s">
        <v>2252</v>
      </c>
      <c r="L3390" s="5" t="n">
        <f aca="false">IF(G3390="High",3,IF(G3390="Medium",2,1))</f>
        <v>1</v>
      </c>
    </row>
    <row r="3391" customFormat="false" ht="15" hidden="false" customHeight="true" outlineLevel="0" collapsed="false">
      <c r="A3391" s="5" t="s">
        <v>5669</v>
      </c>
      <c r="B3391" s="5" t="s">
        <v>2122</v>
      </c>
      <c r="C3391" s="5" t="s">
        <v>2254</v>
      </c>
      <c r="D3391" s="5" t="s">
        <v>2299</v>
      </c>
      <c r="E3391" s="5" t="s">
        <v>54</v>
      </c>
      <c r="F3391" s="5" t="s">
        <v>54</v>
      </c>
      <c r="G3391" s="5" t="str">
        <f aca="false">INDEX(Risk_Matrix!$B$2:$D$4,MATCH(E3391,Risk_Matrix!$A$2:$A$4,0),MATCH(F3391,Risk_Matrix!$B$1:$D$1,0))</f>
        <v>High</v>
      </c>
      <c r="H3391" s="12" t="n">
        <v>46220</v>
      </c>
      <c r="I3391" s="5" t="s">
        <v>2264</v>
      </c>
      <c r="J3391" s="5" t="s">
        <v>4087</v>
      </c>
      <c r="K3391" s="5" t="s">
        <v>2276</v>
      </c>
      <c r="L3391" s="5" t="n">
        <f aca="false">IF(G3391="High",3,IF(G3391="Medium",2,1))</f>
        <v>3</v>
      </c>
    </row>
    <row r="3392" customFormat="false" ht="15" hidden="false" customHeight="true" outlineLevel="0" collapsed="false">
      <c r="A3392" s="5" t="s">
        <v>5670</v>
      </c>
      <c r="B3392" s="5" t="s">
        <v>2124</v>
      </c>
      <c r="C3392" s="5" t="s">
        <v>2239</v>
      </c>
      <c r="D3392" s="5" t="s">
        <v>2295</v>
      </c>
      <c r="E3392" s="5" t="s">
        <v>59</v>
      </c>
      <c r="F3392" s="5" t="s">
        <v>2225</v>
      </c>
      <c r="G3392" s="5" t="str">
        <f aca="false">INDEX(Risk_Matrix!$B$2:$D$4,MATCH(E3392,Risk_Matrix!$A$2:$A$4,0),MATCH(F3392,Risk_Matrix!$B$1:$D$1,0))</f>
        <v>Low</v>
      </c>
      <c r="H3392" s="12" t="n">
        <v>46053</v>
      </c>
      <c r="I3392" s="5" t="s">
        <v>2256</v>
      </c>
      <c r="J3392" s="5" t="s">
        <v>4081</v>
      </c>
      <c r="K3392" s="5" t="s">
        <v>2276</v>
      </c>
      <c r="L3392" s="5" t="n">
        <f aca="false">IF(G3392="High",3,IF(G3392="Medium",2,1))</f>
        <v>1</v>
      </c>
    </row>
    <row r="3393" customFormat="false" ht="15" hidden="false" customHeight="true" outlineLevel="0" collapsed="false">
      <c r="A3393" s="5" t="s">
        <v>5671</v>
      </c>
      <c r="B3393" s="5" t="s">
        <v>2124</v>
      </c>
      <c r="C3393" s="5" t="s">
        <v>2245</v>
      </c>
      <c r="D3393" s="5" t="s">
        <v>2269</v>
      </c>
      <c r="E3393" s="5" t="s">
        <v>59</v>
      </c>
      <c r="F3393" s="5" t="s">
        <v>59</v>
      </c>
      <c r="G3393" s="5" t="str">
        <f aca="false">INDEX(Risk_Matrix!$B$2:$D$4,MATCH(E3393,Risk_Matrix!$A$2:$A$4,0),MATCH(F3393,Risk_Matrix!$B$1:$D$1,0))</f>
        <v>Low</v>
      </c>
      <c r="H3393" s="12" t="n">
        <v>46190</v>
      </c>
      <c r="I3393" s="5" t="s">
        <v>2264</v>
      </c>
      <c r="J3393" s="5" t="s">
        <v>4087</v>
      </c>
      <c r="K3393" s="5" t="s">
        <v>2283</v>
      </c>
      <c r="L3393" s="5" t="n">
        <f aca="false">IF(G3393="High",3,IF(G3393="Medium",2,1))</f>
        <v>1</v>
      </c>
    </row>
    <row r="3394" customFormat="false" ht="15" hidden="false" customHeight="true" outlineLevel="0" collapsed="false">
      <c r="A3394" s="5" t="s">
        <v>5672</v>
      </c>
      <c r="B3394" s="5" t="s">
        <v>2124</v>
      </c>
      <c r="C3394" s="5" t="s">
        <v>2248</v>
      </c>
      <c r="D3394" s="5" t="s">
        <v>2249</v>
      </c>
      <c r="E3394" s="5" t="s">
        <v>54</v>
      </c>
      <c r="F3394" s="5" t="s">
        <v>54</v>
      </c>
      <c r="G3394" s="5" t="str">
        <f aca="false">INDEX(Risk_Matrix!$B$2:$D$4,MATCH(E3394,Risk_Matrix!$A$2:$A$4,0),MATCH(F3394,Risk_Matrix!$B$1:$D$1,0))</f>
        <v>High</v>
      </c>
      <c r="H3394" s="12" t="n">
        <v>46195</v>
      </c>
      <c r="I3394" s="5" t="s">
        <v>2241</v>
      </c>
      <c r="J3394" s="5" t="s">
        <v>2242</v>
      </c>
      <c r="K3394" s="5" t="s">
        <v>2243</v>
      </c>
      <c r="L3394" s="5" t="n">
        <f aca="false">IF(G3394="High",3,IF(G3394="Medium",2,1))</f>
        <v>3</v>
      </c>
    </row>
    <row r="3395" customFormat="false" ht="15" hidden="false" customHeight="true" outlineLevel="0" collapsed="false">
      <c r="A3395" s="5" t="s">
        <v>5673</v>
      </c>
      <c r="B3395" s="5" t="s">
        <v>2124</v>
      </c>
      <c r="C3395" s="5" t="s">
        <v>2262</v>
      </c>
      <c r="D3395" s="5" t="s">
        <v>2287</v>
      </c>
      <c r="E3395" s="5" t="s">
        <v>54</v>
      </c>
      <c r="F3395" s="5" t="s">
        <v>2225</v>
      </c>
      <c r="G3395" s="5" t="str">
        <f aca="false">INDEX(Risk_Matrix!$B$2:$D$4,MATCH(E3395,Risk_Matrix!$A$2:$A$4,0),MATCH(F3395,Risk_Matrix!$B$1:$D$1,0))</f>
        <v>High</v>
      </c>
      <c r="H3395" s="12" t="n">
        <v>46191</v>
      </c>
      <c r="I3395" s="5" t="s">
        <v>2256</v>
      </c>
      <c r="J3395" s="5" t="s">
        <v>4081</v>
      </c>
      <c r="K3395" s="5" t="s">
        <v>2252</v>
      </c>
      <c r="L3395" s="5" t="n">
        <f aca="false">IF(G3395="High",3,IF(G3395="Medium",2,1))</f>
        <v>3</v>
      </c>
    </row>
    <row r="3396" customFormat="false" ht="15" hidden="false" customHeight="true" outlineLevel="0" collapsed="false">
      <c r="A3396" s="5" t="s">
        <v>5674</v>
      </c>
      <c r="B3396" s="5" t="s">
        <v>2124</v>
      </c>
      <c r="C3396" s="5" t="s">
        <v>2259</v>
      </c>
      <c r="D3396" s="5" t="s">
        <v>2274</v>
      </c>
      <c r="E3396" s="5" t="s">
        <v>59</v>
      </c>
      <c r="F3396" s="5" t="s">
        <v>59</v>
      </c>
      <c r="G3396" s="5" t="str">
        <f aca="false">INDEX(Risk_Matrix!$B$2:$D$4,MATCH(E3396,Risk_Matrix!$A$2:$A$4,0),MATCH(F3396,Risk_Matrix!$B$1:$D$1,0))</f>
        <v>Low</v>
      </c>
      <c r="H3396" s="12" t="n">
        <v>46075</v>
      </c>
      <c r="I3396" s="5" t="s">
        <v>2241</v>
      </c>
      <c r="J3396" s="5" t="s">
        <v>2242</v>
      </c>
      <c r="K3396" s="5" t="s">
        <v>2276</v>
      </c>
      <c r="L3396" s="5" t="n">
        <f aca="false">IF(G3396="High",3,IF(G3396="Medium",2,1))</f>
        <v>1</v>
      </c>
    </row>
    <row r="3397" customFormat="false" ht="15" hidden="false" customHeight="true" outlineLevel="0" collapsed="false">
      <c r="A3397" s="5" t="s">
        <v>5675</v>
      </c>
      <c r="B3397" s="5" t="s">
        <v>2124</v>
      </c>
      <c r="C3397" s="5" t="s">
        <v>2254</v>
      </c>
      <c r="D3397" s="5" t="s">
        <v>2308</v>
      </c>
      <c r="E3397" s="5" t="s">
        <v>54</v>
      </c>
      <c r="F3397" s="5" t="s">
        <v>2225</v>
      </c>
      <c r="G3397" s="5" t="str">
        <f aca="false">INDEX(Risk_Matrix!$B$2:$D$4,MATCH(E3397,Risk_Matrix!$A$2:$A$4,0),MATCH(F3397,Risk_Matrix!$B$1:$D$1,0))</f>
        <v>High</v>
      </c>
      <c r="H3397" s="12" t="n">
        <v>46193</v>
      </c>
      <c r="I3397" s="5" t="s">
        <v>2241</v>
      </c>
      <c r="J3397" s="5" t="s">
        <v>2242</v>
      </c>
      <c r="K3397" s="5" t="s">
        <v>2252</v>
      </c>
      <c r="L3397" s="5" t="n">
        <f aca="false">IF(G3397="High",3,IF(G3397="Medium",2,1))</f>
        <v>3</v>
      </c>
    </row>
    <row r="3398" customFormat="false" ht="15" hidden="false" customHeight="true" outlineLevel="0" collapsed="false">
      <c r="A3398" s="5" t="s">
        <v>5676</v>
      </c>
      <c r="B3398" s="5" t="s">
        <v>2126</v>
      </c>
      <c r="C3398" s="5" t="s">
        <v>2239</v>
      </c>
      <c r="D3398" s="5" t="s">
        <v>2295</v>
      </c>
      <c r="E3398" s="5" t="s">
        <v>2225</v>
      </c>
      <c r="F3398" s="5" t="s">
        <v>54</v>
      </c>
      <c r="G3398" s="5" t="str">
        <f aca="false">INDEX(Risk_Matrix!$B$2:$D$4,MATCH(E3398,Risk_Matrix!$A$2:$A$4,0),MATCH(F3398,Risk_Matrix!$B$1:$D$1,0))</f>
        <v>High</v>
      </c>
      <c r="H3398" s="12" t="n">
        <v>46145</v>
      </c>
      <c r="I3398" s="5" t="s">
        <v>2241</v>
      </c>
      <c r="J3398" s="5" t="s">
        <v>2242</v>
      </c>
      <c r="K3398" s="5" t="s">
        <v>2252</v>
      </c>
      <c r="L3398" s="5" t="n">
        <f aca="false">IF(G3398="High",3,IF(G3398="Medium",2,1))</f>
        <v>3</v>
      </c>
    </row>
    <row r="3399" customFormat="false" ht="15" hidden="false" customHeight="true" outlineLevel="0" collapsed="false">
      <c r="A3399" s="5" t="s">
        <v>5677</v>
      </c>
      <c r="B3399" s="5" t="s">
        <v>2126</v>
      </c>
      <c r="C3399" s="5" t="s">
        <v>2245</v>
      </c>
      <c r="D3399" s="5" t="s">
        <v>2280</v>
      </c>
      <c r="E3399" s="5" t="s">
        <v>59</v>
      </c>
      <c r="F3399" s="5" t="s">
        <v>59</v>
      </c>
      <c r="G3399" s="5" t="str">
        <f aca="false">INDEX(Risk_Matrix!$B$2:$D$4,MATCH(E3399,Risk_Matrix!$A$2:$A$4,0),MATCH(F3399,Risk_Matrix!$B$1:$D$1,0))</f>
        <v>Low</v>
      </c>
      <c r="H3399" s="12" t="n">
        <v>46061</v>
      </c>
      <c r="I3399" s="5" t="s">
        <v>2241</v>
      </c>
      <c r="J3399" s="5" t="s">
        <v>2242</v>
      </c>
      <c r="K3399" s="5" t="s">
        <v>2283</v>
      </c>
      <c r="L3399" s="5" t="n">
        <f aca="false">IF(G3399="High",3,IF(G3399="Medium",2,1))</f>
        <v>1</v>
      </c>
    </row>
    <row r="3400" customFormat="false" ht="15" hidden="false" customHeight="true" outlineLevel="0" collapsed="false">
      <c r="A3400" s="5" t="s">
        <v>5678</v>
      </c>
      <c r="B3400" s="5" t="s">
        <v>2126</v>
      </c>
      <c r="C3400" s="5" t="s">
        <v>2248</v>
      </c>
      <c r="D3400" s="5" t="s">
        <v>2249</v>
      </c>
      <c r="E3400" s="5" t="s">
        <v>2225</v>
      </c>
      <c r="F3400" s="5" t="s">
        <v>54</v>
      </c>
      <c r="G3400" s="5" t="str">
        <f aca="false">INDEX(Risk_Matrix!$B$2:$D$4,MATCH(E3400,Risk_Matrix!$A$2:$A$4,0),MATCH(F3400,Risk_Matrix!$B$1:$D$1,0))</f>
        <v>High</v>
      </c>
      <c r="H3400" s="12" t="n">
        <v>46186</v>
      </c>
      <c r="I3400" s="5" t="s">
        <v>2250</v>
      </c>
      <c r="J3400" s="5" t="s">
        <v>2251</v>
      </c>
      <c r="K3400" s="5" t="s">
        <v>2266</v>
      </c>
      <c r="L3400" s="5" t="n">
        <f aca="false">IF(G3400="High",3,IF(G3400="Medium",2,1))</f>
        <v>3</v>
      </c>
    </row>
    <row r="3401" customFormat="false" ht="15" hidden="false" customHeight="true" outlineLevel="0" collapsed="false">
      <c r="A3401" s="5" t="s">
        <v>5679</v>
      </c>
      <c r="B3401" s="5" t="s">
        <v>2126</v>
      </c>
      <c r="C3401" s="5" t="s">
        <v>2262</v>
      </c>
      <c r="D3401" s="5" t="s">
        <v>2311</v>
      </c>
      <c r="E3401" s="5" t="s">
        <v>54</v>
      </c>
      <c r="F3401" s="5" t="s">
        <v>2225</v>
      </c>
      <c r="G3401" s="5" t="str">
        <f aca="false">INDEX(Risk_Matrix!$B$2:$D$4,MATCH(E3401,Risk_Matrix!$A$2:$A$4,0),MATCH(F3401,Risk_Matrix!$B$1:$D$1,0))</f>
        <v>High</v>
      </c>
      <c r="H3401" s="12" t="n">
        <v>46164</v>
      </c>
      <c r="I3401" s="5" t="s">
        <v>2264</v>
      </c>
      <c r="J3401" s="5" t="s">
        <v>4087</v>
      </c>
      <c r="K3401" s="5" t="s">
        <v>2252</v>
      </c>
      <c r="L3401" s="5" t="n">
        <f aca="false">IF(G3401="High",3,IF(G3401="Medium",2,1))</f>
        <v>3</v>
      </c>
    </row>
    <row r="3402" customFormat="false" ht="15" hidden="false" customHeight="true" outlineLevel="0" collapsed="false">
      <c r="A3402" s="5" t="s">
        <v>5680</v>
      </c>
      <c r="B3402" s="5" t="s">
        <v>2126</v>
      </c>
      <c r="C3402" s="5" t="s">
        <v>2259</v>
      </c>
      <c r="D3402" s="5" t="s">
        <v>2274</v>
      </c>
      <c r="E3402" s="5" t="s">
        <v>2225</v>
      </c>
      <c r="F3402" s="5" t="s">
        <v>59</v>
      </c>
      <c r="G3402" s="5" t="str">
        <f aca="false">INDEX(Risk_Matrix!$B$2:$D$4,MATCH(E3402,Risk_Matrix!$A$2:$A$4,0),MATCH(F3402,Risk_Matrix!$B$1:$D$1,0))</f>
        <v>Low</v>
      </c>
      <c r="H3402" s="12" t="n">
        <v>46103</v>
      </c>
      <c r="I3402" s="5" t="s">
        <v>2241</v>
      </c>
      <c r="J3402" s="5" t="s">
        <v>2242</v>
      </c>
      <c r="K3402" s="5" t="s">
        <v>2266</v>
      </c>
      <c r="L3402" s="5" t="n">
        <f aca="false">IF(G3402="High",3,IF(G3402="Medium",2,1))</f>
        <v>1</v>
      </c>
    </row>
    <row r="3403" customFormat="false" ht="15" hidden="false" customHeight="true" outlineLevel="0" collapsed="false">
      <c r="A3403" s="5" t="s">
        <v>5681</v>
      </c>
      <c r="B3403" s="5" t="s">
        <v>2126</v>
      </c>
      <c r="C3403" s="5" t="s">
        <v>2254</v>
      </c>
      <c r="D3403" s="5" t="s">
        <v>2299</v>
      </c>
      <c r="E3403" s="5" t="s">
        <v>59</v>
      </c>
      <c r="F3403" s="5" t="s">
        <v>54</v>
      </c>
      <c r="G3403" s="5" t="str">
        <f aca="false">INDEX(Risk_Matrix!$B$2:$D$4,MATCH(E3403,Risk_Matrix!$A$2:$A$4,0),MATCH(F3403,Risk_Matrix!$B$1:$D$1,0))</f>
        <v>Medium</v>
      </c>
      <c r="H3403" s="12" t="n">
        <v>46066</v>
      </c>
      <c r="I3403" s="5" t="s">
        <v>2250</v>
      </c>
      <c r="J3403" s="5" t="s">
        <v>2251</v>
      </c>
      <c r="K3403" s="5" t="s">
        <v>2276</v>
      </c>
      <c r="L3403" s="5" t="n">
        <f aca="false">IF(G3403="High",3,IF(G3403="Medium",2,1))</f>
        <v>2</v>
      </c>
    </row>
    <row r="3404" customFormat="false" ht="15" hidden="false" customHeight="true" outlineLevel="0" collapsed="false">
      <c r="A3404" s="5" t="s">
        <v>5682</v>
      </c>
      <c r="B3404" s="5" t="s">
        <v>2128</v>
      </c>
      <c r="C3404" s="5" t="s">
        <v>2239</v>
      </c>
      <c r="D3404" s="5" t="s">
        <v>2295</v>
      </c>
      <c r="E3404" s="5" t="s">
        <v>2225</v>
      </c>
      <c r="F3404" s="5" t="s">
        <v>2225</v>
      </c>
      <c r="G3404" s="5" t="str">
        <f aca="false">INDEX(Risk_Matrix!$B$2:$D$4,MATCH(E3404,Risk_Matrix!$A$2:$A$4,0),MATCH(F3404,Risk_Matrix!$B$1:$D$1,0))</f>
        <v>Medium</v>
      </c>
      <c r="H3404" s="12" t="n">
        <v>46120</v>
      </c>
      <c r="I3404" s="5" t="s">
        <v>2241</v>
      </c>
      <c r="J3404" s="5" t="s">
        <v>2242</v>
      </c>
      <c r="K3404" s="5" t="s">
        <v>2283</v>
      </c>
      <c r="L3404" s="5" t="n">
        <f aca="false">IF(G3404="High",3,IF(G3404="Medium",2,1))</f>
        <v>2</v>
      </c>
    </row>
    <row r="3405" customFormat="false" ht="15" hidden="false" customHeight="true" outlineLevel="0" collapsed="false">
      <c r="A3405" s="5" t="s">
        <v>5683</v>
      </c>
      <c r="B3405" s="5" t="s">
        <v>2128</v>
      </c>
      <c r="C3405" s="5" t="s">
        <v>2245</v>
      </c>
      <c r="D3405" s="5" t="s">
        <v>2280</v>
      </c>
      <c r="E3405" s="5" t="s">
        <v>2225</v>
      </c>
      <c r="F3405" s="5" t="s">
        <v>2225</v>
      </c>
      <c r="G3405" s="5" t="str">
        <f aca="false">INDEX(Risk_Matrix!$B$2:$D$4,MATCH(E3405,Risk_Matrix!$A$2:$A$4,0),MATCH(F3405,Risk_Matrix!$B$1:$D$1,0))</f>
        <v>Medium</v>
      </c>
      <c r="H3405" s="12" t="n">
        <v>46032</v>
      </c>
      <c r="I3405" s="5" t="s">
        <v>2250</v>
      </c>
      <c r="J3405" s="5" t="s">
        <v>2251</v>
      </c>
      <c r="K3405" s="5" t="s">
        <v>2276</v>
      </c>
      <c r="L3405" s="5" t="n">
        <f aca="false">IF(G3405="High",3,IF(G3405="Medium",2,1))</f>
        <v>2</v>
      </c>
    </row>
    <row r="3406" customFormat="false" ht="15" hidden="false" customHeight="true" outlineLevel="0" collapsed="false">
      <c r="A3406" s="5" t="s">
        <v>5684</v>
      </c>
      <c r="B3406" s="5" t="s">
        <v>2128</v>
      </c>
      <c r="C3406" s="5" t="s">
        <v>2248</v>
      </c>
      <c r="D3406" s="5" t="s">
        <v>2271</v>
      </c>
      <c r="E3406" s="5" t="s">
        <v>2225</v>
      </c>
      <c r="F3406" s="5" t="s">
        <v>2225</v>
      </c>
      <c r="G3406" s="5" t="str">
        <f aca="false">INDEX(Risk_Matrix!$B$2:$D$4,MATCH(E3406,Risk_Matrix!$A$2:$A$4,0),MATCH(F3406,Risk_Matrix!$B$1:$D$1,0))</f>
        <v>Medium</v>
      </c>
      <c r="H3406" s="12" t="n">
        <v>46062</v>
      </c>
      <c r="I3406" s="5" t="s">
        <v>2264</v>
      </c>
      <c r="J3406" s="5" t="s">
        <v>4087</v>
      </c>
      <c r="K3406" s="5" t="s">
        <v>2266</v>
      </c>
      <c r="L3406" s="5" t="n">
        <f aca="false">IF(G3406="High",3,IF(G3406="Medium",2,1))</f>
        <v>2</v>
      </c>
    </row>
    <row r="3407" customFormat="false" ht="15" hidden="false" customHeight="true" outlineLevel="0" collapsed="false">
      <c r="A3407" s="5" t="s">
        <v>5685</v>
      </c>
      <c r="B3407" s="5" t="s">
        <v>2128</v>
      </c>
      <c r="C3407" s="5" t="s">
        <v>2262</v>
      </c>
      <c r="D3407" s="5" t="s">
        <v>2263</v>
      </c>
      <c r="E3407" s="5" t="s">
        <v>54</v>
      </c>
      <c r="F3407" s="5" t="s">
        <v>54</v>
      </c>
      <c r="G3407" s="5" t="str">
        <f aca="false">INDEX(Risk_Matrix!$B$2:$D$4,MATCH(E3407,Risk_Matrix!$A$2:$A$4,0),MATCH(F3407,Risk_Matrix!$B$1:$D$1,0))</f>
        <v>High</v>
      </c>
      <c r="H3407" s="12" t="n">
        <v>46056</v>
      </c>
      <c r="I3407" s="5" t="s">
        <v>2241</v>
      </c>
      <c r="J3407" s="5" t="s">
        <v>2242</v>
      </c>
      <c r="K3407" s="5" t="s">
        <v>2252</v>
      </c>
      <c r="L3407" s="5" t="n">
        <f aca="false">IF(G3407="High",3,IF(G3407="Medium",2,1))</f>
        <v>3</v>
      </c>
    </row>
    <row r="3408" customFormat="false" ht="15" hidden="false" customHeight="true" outlineLevel="0" collapsed="false">
      <c r="A3408" s="5" t="s">
        <v>5686</v>
      </c>
      <c r="B3408" s="5" t="s">
        <v>2128</v>
      </c>
      <c r="C3408" s="5" t="s">
        <v>2259</v>
      </c>
      <c r="D3408" s="5" t="s">
        <v>2260</v>
      </c>
      <c r="E3408" s="5" t="s">
        <v>2225</v>
      </c>
      <c r="F3408" s="5" t="s">
        <v>2225</v>
      </c>
      <c r="G3408" s="5" t="str">
        <f aca="false">INDEX(Risk_Matrix!$B$2:$D$4,MATCH(E3408,Risk_Matrix!$A$2:$A$4,0),MATCH(F3408,Risk_Matrix!$B$1:$D$1,0))</f>
        <v>Medium</v>
      </c>
      <c r="H3408" s="12" t="n">
        <v>46073</v>
      </c>
      <c r="I3408" s="5" t="s">
        <v>2250</v>
      </c>
      <c r="J3408" s="5" t="s">
        <v>2251</v>
      </c>
      <c r="K3408" s="5" t="s">
        <v>2266</v>
      </c>
      <c r="L3408" s="5" t="n">
        <f aca="false">IF(G3408="High",3,IF(G3408="Medium",2,1))</f>
        <v>2</v>
      </c>
    </row>
    <row r="3409" customFormat="false" ht="15" hidden="false" customHeight="true" outlineLevel="0" collapsed="false">
      <c r="A3409" s="5" t="s">
        <v>5687</v>
      </c>
      <c r="B3409" s="5" t="s">
        <v>2128</v>
      </c>
      <c r="C3409" s="5" t="s">
        <v>2254</v>
      </c>
      <c r="D3409" s="5" t="s">
        <v>2299</v>
      </c>
      <c r="E3409" s="5" t="s">
        <v>59</v>
      </c>
      <c r="F3409" s="5" t="s">
        <v>54</v>
      </c>
      <c r="G3409" s="5" t="str">
        <f aca="false">INDEX(Risk_Matrix!$B$2:$D$4,MATCH(E3409,Risk_Matrix!$A$2:$A$4,0),MATCH(F3409,Risk_Matrix!$B$1:$D$1,0))</f>
        <v>Medium</v>
      </c>
      <c r="H3409" s="12" t="n">
        <v>46039</v>
      </c>
      <c r="I3409" s="5" t="s">
        <v>2241</v>
      </c>
      <c r="J3409" s="5" t="s">
        <v>2242</v>
      </c>
      <c r="K3409" s="5" t="s">
        <v>2243</v>
      </c>
      <c r="L3409" s="5" t="n">
        <f aca="false">IF(G3409="High",3,IF(G3409="Medium",2,1))</f>
        <v>2</v>
      </c>
    </row>
    <row r="3410" customFormat="false" ht="15" hidden="false" customHeight="true" outlineLevel="0" collapsed="false">
      <c r="A3410" s="5" t="s">
        <v>5688</v>
      </c>
      <c r="B3410" s="5" t="s">
        <v>2130</v>
      </c>
      <c r="C3410" s="5" t="s">
        <v>2239</v>
      </c>
      <c r="D3410" s="5" t="s">
        <v>2295</v>
      </c>
      <c r="E3410" s="5" t="s">
        <v>2225</v>
      </c>
      <c r="F3410" s="5" t="s">
        <v>54</v>
      </c>
      <c r="G3410" s="5" t="str">
        <f aca="false">INDEX(Risk_Matrix!$B$2:$D$4,MATCH(E3410,Risk_Matrix!$A$2:$A$4,0),MATCH(F3410,Risk_Matrix!$B$1:$D$1,0))</f>
        <v>High</v>
      </c>
      <c r="H3410" s="12" t="n">
        <v>46174</v>
      </c>
      <c r="I3410" s="5" t="s">
        <v>2241</v>
      </c>
      <c r="J3410" s="5" t="s">
        <v>2242</v>
      </c>
      <c r="K3410" s="5" t="s">
        <v>2283</v>
      </c>
      <c r="L3410" s="5" t="n">
        <f aca="false">IF(G3410="High",3,IF(G3410="Medium",2,1))</f>
        <v>3</v>
      </c>
    </row>
    <row r="3411" customFormat="false" ht="15" hidden="false" customHeight="true" outlineLevel="0" collapsed="false">
      <c r="A3411" s="5" t="s">
        <v>5689</v>
      </c>
      <c r="B3411" s="5" t="s">
        <v>2130</v>
      </c>
      <c r="C3411" s="5" t="s">
        <v>2245</v>
      </c>
      <c r="D3411" s="5" t="s">
        <v>2320</v>
      </c>
      <c r="E3411" s="5" t="s">
        <v>54</v>
      </c>
      <c r="F3411" s="5" t="s">
        <v>54</v>
      </c>
      <c r="G3411" s="5" t="str">
        <f aca="false">INDEX(Risk_Matrix!$B$2:$D$4,MATCH(E3411,Risk_Matrix!$A$2:$A$4,0),MATCH(F3411,Risk_Matrix!$B$1:$D$1,0))</f>
        <v>High</v>
      </c>
      <c r="H3411" s="12" t="n">
        <v>46130</v>
      </c>
      <c r="I3411" s="5" t="s">
        <v>2250</v>
      </c>
      <c r="J3411" s="5" t="s">
        <v>2251</v>
      </c>
      <c r="K3411" s="5" t="s">
        <v>2266</v>
      </c>
      <c r="L3411" s="5" t="n">
        <f aca="false">IF(G3411="High",3,IF(G3411="Medium",2,1))</f>
        <v>3</v>
      </c>
    </row>
    <row r="3412" customFormat="false" ht="15" hidden="false" customHeight="true" outlineLevel="0" collapsed="false">
      <c r="A3412" s="5" t="s">
        <v>5690</v>
      </c>
      <c r="B3412" s="5" t="s">
        <v>2130</v>
      </c>
      <c r="C3412" s="5" t="s">
        <v>2248</v>
      </c>
      <c r="D3412" s="5" t="s">
        <v>2271</v>
      </c>
      <c r="E3412" s="5" t="s">
        <v>2225</v>
      </c>
      <c r="F3412" s="5" t="s">
        <v>2225</v>
      </c>
      <c r="G3412" s="5" t="str">
        <f aca="false">INDEX(Risk_Matrix!$B$2:$D$4,MATCH(E3412,Risk_Matrix!$A$2:$A$4,0),MATCH(F3412,Risk_Matrix!$B$1:$D$1,0))</f>
        <v>Medium</v>
      </c>
      <c r="H3412" s="12" t="n">
        <v>46095</v>
      </c>
      <c r="I3412" s="5" t="s">
        <v>2241</v>
      </c>
      <c r="J3412" s="5" t="s">
        <v>2242</v>
      </c>
      <c r="K3412" s="5" t="s">
        <v>2252</v>
      </c>
      <c r="L3412" s="5" t="n">
        <f aca="false">IF(G3412="High",3,IF(G3412="Medium",2,1))</f>
        <v>2</v>
      </c>
    </row>
    <row r="3413" customFormat="false" ht="15" hidden="false" customHeight="true" outlineLevel="0" collapsed="false">
      <c r="A3413" s="5" t="s">
        <v>5691</v>
      </c>
      <c r="B3413" s="5" t="s">
        <v>2130</v>
      </c>
      <c r="C3413" s="5" t="s">
        <v>2262</v>
      </c>
      <c r="D3413" s="5" t="s">
        <v>2263</v>
      </c>
      <c r="E3413" s="5" t="s">
        <v>59</v>
      </c>
      <c r="F3413" s="5" t="s">
        <v>59</v>
      </c>
      <c r="G3413" s="5" t="str">
        <f aca="false">INDEX(Risk_Matrix!$B$2:$D$4,MATCH(E3413,Risk_Matrix!$A$2:$A$4,0),MATCH(F3413,Risk_Matrix!$B$1:$D$1,0))</f>
        <v>Low</v>
      </c>
      <c r="H3413" s="12" t="n">
        <v>46177</v>
      </c>
      <c r="I3413" s="5" t="s">
        <v>2241</v>
      </c>
      <c r="J3413" s="5" t="s">
        <v>2242</v>
      </c>
      <c r="K3413" s="5" t="s">
        <v>2266</v>
      </c>
      <c r="L3413" s="5" t="n">
        <f aca="false">IF(G3413="High",3,IF(G3413="Medium",2,1))</f>
        <v>1</v>
      </c>
    </row>
    <row r="3414" customFormat="false" ht="15" hidden="false" customHeight="true" outlineLevel="0" collapsed="false">
      <c r="A3414" s="5" t="s">
        <v>5692</v>
      </c>
      <c r="B3414" s="5" t="s">
        <v>2130</v>
      </c>
      <c r="C3414" s="5" t="s">
        <v>2259</v>
      </c>
      <c r="D3414" s="5" t="s">
        <v>2260</v>
      </c>
      <c r="E3414" s="5" t="s">
        <v>59</v>
      </c>
      <c r="F3414" s="5" t="s">
        <v>2225</v>
      </c>
      <c r="G3414" s="5" t="str">
        <f aca="false">INDEX(Risk_Matrix!$B$2:$D$4,MATCH(E3414,Risk_Matrix!$A$2:$A$4,0),MATCH(F3414,Risk_Matrix!$B$1:$D$1,0))</f>
        <v>Low</v>
      </c>
      <c r="H3414" s="12" t="n">
        <v>46234</v>
      </c>
      <c r="I3414" s="5" t="s">
        <v>2241</v>
      </c>
      <c r="J3414" s="5" t="s">
        <v>2242</v>
      </c>
      <c r="K3414" s="5" t="s">
        <v>2276</v>
      </c>
      <c r="L3414" s="5" t="n">
        <f aca="false">IF(G3414="High",3,IF(G3414="Medium",2,1))</f>
        <v>1</v>
      </c>
    </row>
    <row r="3415" customFormat="false" ht="15" hidden="false" customHeight="true" outlineLevel="0" collapsed="false">
      <c r="A3415" s="5" t="s">
        <v>5693</v>
      </c>
      <c r="B3415" s="5" t="s">
        <v>2130</v>
      </c>
      <c r="C3415" s="5" t="s">
        <v>2254</v>
      </c>
      <c r="D3415" s="5" t="s">
        <v>2255</v>
      </c>
      <c r="E3415" s="5" t="s">
        <v>2225</v>
      </c>
      <c r="F3415" s="5" t="s">
        <v>54</v>
      </c>
      <c r="G3415" s="5" t="str">
        <f aca="false">INDEX(Risk_Matrix!$B$2:$D$4,MATCH(E3415,Risk_Matrix!$A$2:$A$4,0),MATCH(F3415,Risk_Matrix!$B$1:$D$1,0))</f>
        <v>High</v>
      </c>
      <c r="H3415" s="12" t="n">
        <v>46067</v>
      </c>
      <c r="I3415" s="5" t="s">
        <v>2241</v>
      </c>
      <c r="J3415" s="5" t="s">
        <v>2242</v>
      </c>
      <c r="K3415" s="5" t="s">
        <v>2252</v>
      </c>
      <c r="L3415" s="5" t="n">
        <f aca="false">IF(G3415="High",3,IF(G3415="Medium",2,1))</f>
        <v>3</v>
      </c>
    </row>
    <row r="3416" customFormat="false" ht="15" hidden="false" customHeight="true" outlineLevel="0" collapsed="false">
      <c r="A3416" s="5" t="s">
        <v>5694</v>
      </c>
      <c r="B3416" s="5" t="s">
        <v>2132</v>
      </c>
      <c r="C3416" s="5" t="s">
        <v>2239</v>
      </c>
      <c r="D3416" s="5" t="s">
        <v>2278</v>
      </c>
      <c r="E3416" s="5" t="s">
        <v>59</v>
      </c>
      <c r="F3416" s="5" t="s">
        <v>2225</v>
      </c>
      <c r="G3416" s="5" t="str">
        <f aca="false">INDEX(Risk_Matrix!$B$2:$D$4,MATCH(E3416,Risk_Matrix!$A$2:$A$4,0),MATCH(F3416,Risk_Matrix!$B$1:$D$1,0))</f>
        <v>Low</v>
      </c>
      <c r="H3416" s="12" t="n">
        <v>46193</v>
      </c>
      <c r="I3416" s="5" t="s">
        <v>2264</v>
      </c>
      <c r="J3416" s="5" t="s">
        <v>4087</v>
      </c>
      <c r="K3416" s="5" t="s">
        <v>2243</v>
      </c>
      <c r="L3416" s="5" t="n">
        <f aca="false">IF(G3416="High",3,IF(G3416="Medium",2,1))</f>
        <v>1</v>
      </c>
    </row>
    <row r="3417" customFormat="false" ht="15" hidden="false" customHeight="true" outlineLevel="0" collapsed="false">
      <c r="A3417" s="5" t="s">
        <v>5695</v>
      </c>
      <c r="B3417" s="5" t="s">
        <v>2132</v>
      </c>
      <c r="C3417" s="5" t="s">
        <v>2245</v>
      </c>
      <c r="D3417" s="5" t="s">
        <v>2280</v>
      </c>
      <c r="E3417" s="5" t="s">
        <v>54</v>
      </c>
      <c r="F3417" s="5" t="s">
        <v>59</v>
      </c>
      <c r="G3417" s="5" t="str">
        <f aca="false">INDEX(Risk_Matrix!$B$2:$D$4,MATCH(E3417,Risk_Matrix!$A$2:$A$4,0),MATCH(F3417,Risk_Matrix!$B$1:$D$1,0))</f>
        <v>Medium</v>
      </c>
      <c r="H3417" s="12" t="n">
        <v>46213</v>
      </c>
      <c r="I3417" s="5" t="s">
        <v>2256</v>
      </c>
      <c r="J3417" s="5" t="s">
        <v>4081</v>
      </c>
      <c r="K3417" s="5" t="s">
        <v>2243</v>
      </c>
      <c r="L3417" s="5" t="n">
        <f aca="false">IF(G3417="High",3,IF(G3417="Medium",2,1))</f>
        <v>2</v>
      </c>
    </row>
    <row r="3418" customFormat="false" ht="15" hidden="false" customHeight="true" outlineLevel="0" collapsed="false">
      <c r="A3418" s="5" t="s">
        <v>5696</v>
      </c>
      <c r="B3418" s="5" t="s">
        <v>2132</v>
      </c>
      <c r="C3418" s="5" t="s">
        <v>2248</v>
      </c>
      <c r="D3418" s="5" t="s">
        <v>2322</v>
      </c>
      <c r="E3418" s="5" t="s">
        <v>59</v>
      </c>
      <c r="F3418" s="5" t="s">
        <v>54</v>
      </c>
      <c r="G3418" s="5" t="str">
        <f aca="false">INDEX(Risk_Matrix!$B$2:$D$4,MATCH(E3418,Risk_Matrix!$A$2:$A$4,0),MATCH(F3418,Risk_Matrix!$B$1:$D$1,0))</f>
        <v>Medium</v>
      </c>
      <c r="H3418" s="12" t="n">
        <v>46028</v>
      </c>
      <c r="I3418" s="5" t="s">
        <v>2264</v>
      </c>
      <c r="J3418" s="5" t="s">
        <v>4087</v>
      </c>
      <c r="K3418" s="5" t="s">
        <v>2276</v>
      </c>
      <c r="L3418" s="5" t="n">
        <f aca="false">IF(G3418="High",3,IF(G3418="Medium",2,1))</f>
        <v>2</v>
      </c>
    </row>
    <row r="3419" customFormat="false" ht="15" hidden="false" customHeight="true" outlineLevel="0" collapsed="false">
      <c r="A3419" s="5" t="s">
        <v>5697</v>
      </c>
      <c r="B3419" s="5" t="s">
        <v>2132</v>
      </c>
      <c r="C3419" s="5" t="s">
        <v>2262</v>
      </c>
      <c r="D3419" s="5" t="s">
        <v>2263</v>
      </c>
      <c r="E3419" s="5" t="s">
        <v>54</v>
      </c>
      <c r="F3419" s="5" t="s">
        <v>2225</v>
      </c>
      <c r="G3419" s="5" t="str">
        <f aca="false">INDEX(Risk_Matrix!$B$2:$D$4,MATCH(E3419,Risk_Matrix!$A$2:$A$4,0),MATCH(F3419,Risk_Matrix!$B$1:$D$1,0))</f>
        <v>High</v>
      </c>
      <c r="H3419" s="12" t="n">
        <v>46167</v>
      </c>
      <c r="I3419" s="5" t="s">
        <v>2264</v>
      </c>
      <c r="J3419" s="5" t="s">
        <v>4087</v>
      </c>
      <c r="K3419" s="5" t="s">
        <v>2276</v>
      </c>
      <c r="L3419" s="5" t="n">
        <f aca="false">IF(G3419="High",3,IF(G3419="Medium",2,1))</f>
        <v>3</v>
      </c>
    </row>
    <row r="3420" customFormat="false" ht="15" hidden="false" customHeight="true" outlineLevel="0" collapsed="false">
      <c r="A3420" s="5" t="s">
        <v>5698</v>
      </c>
      <c r="B3420" s="5" t="s">
        <v>2132</v>
      </c>
      <c r="C3420" s="5" t="s">
        <v>2259</v>
      </c>
      <c r="D3420" s="5" t="s">
        <v>2260</v>
      </c>
      <c r="E3420" s="5" t="s">
        <v>59</v>
      </c>
      <c r="F3420" s="5" t="s">
        <v>2225</v>
      </c>
      <c r="G3420" s="5" t="str">
        <f aca="false">INDEX(Risk_Matrix!$B$2:$D$4,MATCH(E3420,Risk_Matrix!$A$2:$A$4,0),MATCH(F3420,Risk_Matrix!$B$1:$D$1,0))</f>
        <v>Low</v>
      </c>
      <c r="H3420" s="12" t="n">
        <v>46197</v>
      </c>
      <c r="I3420" s="5" t="s">
        <v>2264</v>
      </c>
      <c r="J3420" s="5" t="s">
        <v>4087</v>
      </c>
      <c r="K3420" s="5" t="s">
        <v>2283</v>
      </c>
      <c r="L3420" s="5" t="n">
        <f aca="false">IF(G3420="High",3,IF(G3420="Medium",2,1))</f>
        <v>1</v>
      </c>
    </row>
    <row r="3421" customFormat="false" ht="15" hidden="false" customHeight="true" outlineLevel="0" collapsed="false">
      <c r="A3421" s="5" t="s">
        <v>5699</v>
      </c>
      <c r="B3421" s="5" t="s">
        <v>2132</v>
      </c>
      <c r="C3421" s="5" t="s">
        <v>2254</v>
      </c>
      <c r="D3421" s="5" t="s">
        <v>2255</v>
      </c>
      <c r="E3421" s="5" t="s">
        <v>59</v>
      </c>
      <c r="F3421" s="5" t="s">
        <v>54</v>
      </c>
      <c r="G3421" s="5" t="str">
        <f aca="false">INDEX(Risk_Matrix!$B$2:$D$4,MATCH(E3421,Risk_Matrix!$A$2:$A$4,0),MATCH(F3421,Risk_Matrix!$B$1:$D$1,0))</f>
        <v>Medium</v>
      </c>
      <c r="H3421" s="12" t="n">
        <v>46061</v>
      </c>
      <c r="I3421" s="5" t="s">
        <v>2250</v>
      </c>
      <c r="J3421" s="5" t="s">
        <v>2251</v>
      </c>
      <c r="K3421" s="5" t="s">
        <v>2252</v>
      </c>
      <c r="L3421" s="5" t="n">
        <f aca="false">IF(G3421="High",3,IF(G3421="Medium",2,1))</f>
        <v>2</v>
      </c>
    </row>
    <row r="3422" customFormat="false" ht="15" hidden="false" customHeight="true" outlineLevel="0" collapsed="false">
      <c r="A3422" s="5" t="s">
        <v>5700</v>
      </c>
      <c r="B3422" s="5" t="s">
        <v>2134</v>
      </c>
      <c r="C3422" s="5" t="s">
        <v>2239</v>
      </c>
      <c r="D3422" s="5" t="s">
        <v>2303</v>
      </c>
      <c r="E3422" s="5" t="s">
        <v>54</v>
      </c>
      <c r="F3422" s="5" t="s">
        <v>2225</v>
      </c>
      <c r="G3422" s="5" t="str">
        <f aca="false">INDEX(Risk_Matrix!$B$2:$D$4,MATCH(E3422,Risk_Matrix!$A$2:$A$4,0),MATCH(F3422,Risk_Matrix!$B$1:$D$1,0))</f>
        <v>High</v>
      </c>
      <c r="H3422" s="12" t="n">
        <v>46090</v>
      </c>
      <c r="I3422" s="5" t="s">
        <v>2250</v>
      </c>
      <c r="J3422" s="5" t="s">
        <v>2251</v>
      </c>
      <c r="K3422" s="5" t="s">
        <v>2252</v>
      </c>
      <c r="L3422" s="5" t="n">
        <f aca="false">IF(G3422="High",3,IF(G3422="Medium",2,1))</f>
        <v>3</v>
      </c>
    </row>
    <row r="3423" customFormat="false" ht="15" hidden="false" customHeight="true" outlineLevel="0" collapsed="false">
      <c r="A3423" s="5" t="s">
        <v>5701</v>
      </c>
      <c r="B3423" s="5" t="s">
        <v>2134</v>
      </c>
      <c r="C3423" s="5" t="s">
        <v>2245</v>
      </c>
      <c r="D3423" s="5" t="s">
        <v>2280</v>
      </c>
      <c r="E3423" s="5" t="s">
        <v>54</v>
      </c>
      <c r="F3423" s="5" t="s">
        <v>2225</v>
      </c>
      <c r="G3423" s="5" t="str">
        <f aca="false">INDEX(Risk_Matrix!$B$2:$D$4,MATCH(E3423,Risk_Matrix!$A$2:$A$4,0),MATCH(F3423,Risk_Matrix!$B$1:$D$1,0))</f>
        <v>High</v>
      </c>
      <c r="H3423" s="12" t="n">
        <v>46154</v>
      </c>
      <c r="I3423" s="5" t="s">
        <v>2250</v>
      </c>
      <c r="J3423" s="5" t="s">
        <v>2251</v>
      </c>
      <c r="K3423" s="5" t="s">
        <v>2283</v>
      </c>
      <c r="L3423" s="5" t="n">
        <f aca="false">IF(G3423="High",3,IF(G3423="Medium",2,1))</f>
        <v>3</v>
      </c>
    </row>
    <row r="3424" customFormat="false" ht="15" hidden="false" customHeight="true" outlineLevel="0" collapsed="false">
      <c r="A3424" s="5" t="s">
        <v>5702</v>
      </c>
      <c r="B3424" s="5" t="s">
        <v>2134</v>
      </c>
      <c r="C3424" s="5" t="s">
        <v>2248</v>
      </c>
      <c r="D3424" s="5" t="s">
        <v>2271</v>
      </c>
      <c r="E3424" s="5" t="s">
        <v>59</v>
      </c>
      <c r="F3424" s="5" t="s">
        <v>2225</v>
      </c>
      <c r="G3424" s="5" t="str">
        <f aca="false">INDEX(Risk_Matrix!$B$2:$D$4,MATCH(E3424,Risk_Matrix!$A$2:$A$4,0),MATCH(F3424,Risk_Matrix!$B$1:$D$1,0))</f>
        <v>Low</v>
      </c>
      <c r="H3424" s="12" t="n">
        <v>46203</v>
      </c>
      <c r="I3424" s="5" t="s">
        <v>2264</v>
      </c>
      <c r="J3424" s="5" t="s">
        <v>4087</v>
      </c>
      <c r="K3424" s="5" t="s">
        <v>2252</v>
      </c>
      <c r="L3424" s="5" t="n">
        <f aca="false">IF(G3424="High",3,IF(G3424="Medium",2,1))</f>
        <v>1</v>
      </c>
    </row>
    <row r="3425" customFormat="false" ht="15" hidden="false" customHeight="true" outlineLevel="0" collapsed="false">
      <c r="A3425" s="5" t="s">
        <v>5703</v>
      </c>
      <c r="B3425" s="5" t="s">
        <v>2134</v>
      </c>
      <c r="C3425" s="5" t="s">
        <v>2262</v>
      </c>
      <c r="D3425" s="5" t="s">
        <v>2311</v>
      </c>
      <c r="E3425" s="5" t="s">
        <v>54</v>
      </c>
      <c r="F3425" s="5" t="s">
        <v>59</v>
      </c>
      <c r="G3425" s="5" t="str">
        <f aca="false">INDEX(Risk_Matrix!$B$2:$D$4,MATCH(E3425,Risk_Matrix!$A$2:$A$4,0),MATCH(F3425,Risk_Matrix!$B$1:$D$1,0))</f>
        <v>Medium</v>
      </c>
      <c r="H3425" s="12" t="n">
        <v>46060</v>
      </c>
      <c r="I3425" s="5" t="s">
        <v>2241</v>
      </c>
      <c r="J3425" s="5" t="s">
        <v>2242</v>
      </c>
      <c r="K3425" s="5" t="s">
        <v>2243</v>
      </c>
      <c r="L3425" s="5" t="n">
        <f aca="false">IF(G3425="High",3,IF(G3425="Medium",2,1))</f>
        <v>2</v>
      </c>
    </row>
    <row r="3426" customFormat="false" ht="15" hidden="false" customHeight="true" outlineLevel="0" collapsed="false">
      <c r="A3426" s="5" t="s">
        <v>5704</v>
      </c>
      <c r="B3426" s="5" t="s">
        <v>2134</v>
      </c>
      <c r="C3426" s="5" t="s">
        <v>2259</v>
      </c>
      <c r="D3426" s="5" t="s">
        <v>2285</v>
      </c>
      <c r="E3426" s="5" t="s">
        <v>59</v>
      </c>
      <c r="F3426" s="5" t="s">
        <v>59</v>
      </c>
      <c r="G3426" s="5" t="str">
        <f aca="false">INDEX(Risk_Matrix!$B$2:$D$4,MATCH(E3426,Risk_Matrix!$A$2:$A$4,0),MATCH(F3426,Risk_Matrix!$B$1:$D$1,0))</f>
        <v>Low</v>
      </c>
      <c r="H3426" s="12" t="n">
        <v>46214</v>
      </c>
      <c r="I3426" s="5" t="s">
        <v>2264</v>
      </c>
      <c r="J3426" s="5" t="s">
        <v>4087</v>
      </c>
      <c r="K3426" s="5" t="s">
        <v>2266</v>
      </c>
      <c r="L3426" s="5" t="n">
        <f aca="false">IF(G3426="High",3,IF(G3426="Medium",2,1))</f>
        <v>1</v>
      </c>
    </row>
    <row r="3427" customFormat="false" ht="15" hidden="false" customHeight="true" outlineLevel="0" collapsed="false">
      <c r="A3427" s="5" t="s">
        <v>5705</v>
      </c>
      <c r="B3427" s="5" t="s">
        <v>2134</v>
      </c>
      <c r="C3427" s="5" t="s">
        <v>2254</v>
      </c>
      <c r="D3427" s="5" t="s">
        <v>2308</v>
      </c>
      <c r="E3427" s="5" t="s">
        <v>54</v>
      </c>
      <c r="F3427" s="5" t="s">
        <v>2225</v>
      </c>
      <c r="G3427" s="5" t="str">
        <f aca="false">INDEX(Risk_Matrix!$B$2:$D$4,MATCH(E3427,Risk_Matrix!$A$2:$A$4,0),MATCH(F3427,Risk_Matrix!$B$1:$D$1,0))</f>
        <v>High</v>
      </c>
      <c r="H3427" s="12" t="n">
        <v>46097</v>
      </c>
      <c r="I3427" s="5" t="s">
        <v>2264</v>
      </c>
      <c r="J3427" s="5" t="s">
        <v>4087</v>
      </c>
      <c r="K3427" s="5" t="s">
        <v>2243</v>
      </c>
      <c r="L3427" s="5" t="n">
        <f aca="false">IF(G3427="High",3,IF(G3427="Medium",2,1))</f>
        <v>3</v>
      </c>
    </row>
    <row r="3428" customFormat="false" ht="15" hidden="false" customHeight="true" outlineLevel="0" collapsed="false">
      <c r="A3428" s="5" t="s">
        <v>5706</v>
      </c>
      <c r="B3428" s="5" t="s">
        <v>2136</v>
      </c>
      <c r="C3428" s="5" t="s">
        <v>2239</v>
      </c>
      <c r="D3428" s="5" t="s">
        <v>2240</v>
      </c>
      <c r="E3428" s="5" t="s">
        <v>54</v>
      </c>
      <c r="F3428" s="5" t="s">
        <v>59</v>
      </c>
      <c r="G3428" s="5" t="str">
        <f aca="false">INDEX(Risk_Matrix!$B$2:$D$4,MATCH(E3428,Risk_Matrix!$A$2:$A$4,0),MATCH(F3428,Risk_Matrix!$B$1:$D$1,0))</f>
        <v>Medium</v>
      </c>
      <c r="H3428" s="12" t="n">
        <v>46205</v>
      </c>
      <c r="I3428" s="5" t="s">
        <v>2264</v>
      </c>
      <c r="J3428" s="5" t="s">
        <v>4087</v>
      </c>
      <c r="K3428" s="5" t="s">
        <v>2266</v>
      </c>
      <c r="L3428" s="5" t="n">
        <f aca="false">IF(G3428="High",3,IF(G3428="Medium",2,1))</f>
        <v>2</v>
      </c>
    </row>
    <row r="3429" customFormat="false" ht="15" hidden="false" customHeight="true" outlineLevel="0" collapsed="false">
      <c r="A3429" s="5" t="s">
        <v>5707</v>
      </c>
      <c r="B3429" s="5" t="s">
        <v>2136</v>
      </c>
      <c r="C3429" s="5" t="s">
        <v>2245</v>
      </c>
      <c r="D3429" s="5" t="s">
        <v>2280</v>
      </c>
      <c r="E3429" s="5" t="s">
        <v>2225</v>
      </c>
      <c r="F3429" s="5" t="s">
        <v>59</v>
      </c>
      <c r="G3429" s="5" t="str">
        <f aca="false">INDEX(Risk_Matrix!$B$2:$D$4,MATCH(E3429,Risk_Matrix!$A$2:$A$4,0),MATCH(F3429,Risk_Matrix!$B$1:$D$1,0))</f>
        <v>Low</v>
      </c>
      <c r="H3429" s="12" t="n">
        <v>46141</v>
      </c>
      <c r="I3429" s="5" t="s">
        <v>2250</v>
      </c>
      <c r="J3429" s="5" t="s">
        <v>2251</v>
      </c>
      <c r="K3429" s="5" t="s">
        <v>2243</v>
      </c>
      <c r="L3429" s="5" t="n">
        <f aca="false">IF(G3429="High",3,IF(G3429="Medium",2,1))</f>
        <v>1</v>
      </c>
    </row>
    <row r="3430" customFormat="false" ht="15" hidden="false" customHeight="true" outlineLevel="0" collapsed="false">
      <c r="A3430" s="5" t="s">
        <v>5708</v>
      </c>
      <c r="B3430" s="5" t="s">
        <v>2136</v>
      </c>
      <c r="C3430" s="5" t="s">
        <v>2248</v>
      </c>
      <c r="D3430" s="5" t="s">
        <v>2322</v>
      </c>
      <c r="E3430" s="5" t="s">
        <v>59</v>
      </c>
      <c r="F3430" s="5" t="s">
        <v>54</v>
      </c>
      <c r="G3430" s="5" t="str">
        <f aca="false">INDEX(Risk_Matrix!$B$2:$D$4,MATCH(E3430,Risk_Matrix!$A$2:$A$4,0),MATCH(F3430,Risk_Matrix!$B$1:$D$1,0))</f>
        <v>Medium</v>
      </c>
      <c r="H3430" s="12" t="n">
        <v>46110</v>
      </c>
      <c r="I3430" s="5" t="s">
        <v>2241</v>
      </c>
      <c r="J3430" s="5" t="s">
        <v>2242</v>
      </c>
      <c r="K3430" s="5" t="s">
        <v>2252</v>
      </c>
      <c r="L3430" s="5" t="n">
        <f aca="false">IF(G3430="High",3,IF(G3430="Medium",2,1))</f>
        <v>2</v>
      </c>
    </row>
    <row r="3431" customFormat="false" ht="15" hidden="false" customHeight="true" outlineLevel="0" collapsed="false">
      <c r="A3431" s="5" t="s">
        <v>5709</v>
      </c>
      <c r="B3431" s="5" t="s">
        <v>2136</v>
      </c>
      <c r="C3431" s="5" t="s">
        <v>2262</v>
      </c>
      <c r="D3431" s="5" t="s">
        <v>2287</v>
      </c>
      <c r="E3431" s="5" t="s">
        <v>2225</v>
      </c>
      <c r="F3431" s="5" t="s">
        <v>54</v>
      </c>
      <c r="G3431" s="5" t="str">
        <f aca="false">INDEX(Risk_Matrix!$B$2:$D$4,MATCH(E3431,Risk_Matrix!$A$2:$A$4,0),MATCH(F3431,Risk_Matrix!$B$1:$D$1,0))</f>
        <v>High</v>
      </c>
      <c r="H3431" s="12" t="n">
        <v>46196</v>
      </c>
      <c r="I3431" s="5" t="s">
        <v>2250</v>
      </c>
      <c r="J3431" s="5" t="s">
        <v>2251</v>
      </c>
      <c r="K3431" s="5" t="s">
        <v>2276</v>
      </c>
      <c r="L3431" s="5" t="n">
        <f aca="false">IF(G3431="High",3,IF(G3431="Medium",2,1))</f>
        <v>3</v>
      </c>
    </row>
    <row r="3432" customFormat="false" ht="15" hidden="false" customHeight="true" outlineLevel="0" collapsed="false">
      <c r="A3432" s="5" t="s">
        <v>5710</v>
      </c>
      <c r="B3432" s="5" t="s">
        <v>2136</v>
      </c>
      <c r="C3432" s="5" t="s">
        <v>2259</v>
      </c>
      <c r="D3432" s="5" t="s">
        <v>2260</v>
      </c>
      <c r="E3432" s="5" t="s">
        <v>54</v>
      </c>
      <c r="F3432" s="5" t="s">
        <v>59</v>
      </c>
      <c r="G3432" s="5" t="str">
        <f aca="false">INDEX(Risk_Matrix!$B$2:$D$4,MATCH(E3432,Risk_Matrix!$A$2:$A$4,0),MATCH(F3432,Risk_Matrix!$B$1:$D$1,0))</f>
        <v>Medium</v>
      </c>
      <c r="H3432" s="12" t="n">
        <v>46117</v>
      </c>
      <c r="I3432" s="5" t="s">
        <v>2264</v>
      </c>
      <c r="J3432" s="5" t="s">
        <v>4087</v>
      </c>
      <c r="K3432" s="5" t="s">
        <v>2276</v>
      </c>
      <c r="L3432" s="5" t="n">
        <f aca="false">IF(G3432="High",3,IF(G3432="Medium",2,1))</f>
        <v>2</v>
      </c>
    </row>
    <row r="3433" customFormat="false" ht="15" hidden="false" customHeight="true" outlineLevel="0" collapsed="false">
      <c r="A3433" s="5" t="s">
        <v>5711</v>
      </c>
      <c r="B3433" s="5" t="s">
        <v>2136</v>
      </c>
      <c r="C3433" s="5" t="s">
        <v>2254</v>
      </c>
      <c r="D3433" s="5" t="s">
        <v>2308</v>
      </c>
      <c r="E3433" s="5" t="s">
        <v>54</v>
      </c>
      <c r="F3433" s="5" t="s">
        <v>54</v>
      </c>
      <c r="G3433" s="5" t="str">
        <f aca="false">INDEX(Risk_Matrix!$B$2:$D$4,MATCH(E3433,Risk_Matrix!$A$2:$A$4,0),MATCH(F3433,Risk_Matrix!$B$1:$D$1,0))</f>
        <v>High</v>
      </c>
      <c r="H3433" s="12" t="n">
        <v>46152</v>
      </c>
      <c r="I3433" s="5" t="s">
        <v>2264</v>
      </c>
      <c r="J3433" s="5" t="s">
        <v>4087</v>
      </c>
      <c r="K3433" s="5" t="s">
        <v>2276</v>
      </c>
      <c r="L3433" s="5" t="n">
        <f aca="false">IF(G3433="High",3,IF(G3433="Medium",2,1))</f>
        <v>3</v>
      </c>
    </row>
    <row r="3434" customFormat="false" ht="15" hidden="false" customHeight="true" outlineLevel="0" collapsed="false">
      <c r="A3434" s="5" t="s">
        <v>5712</v>
      </c>
      <c r="B3434" s="5" t="s">
        <v>2138</v>
      </c>
      <c r="C3434" s="5" t="s">
        <v>2239</v>
      </c>
      <c r="D3434" s="5" t="s">
        <v>2295</v>
      </c>
      <c r="E3434" s="5" t="s">
        <v>2225</v>
      </c>
      <c r="F3434" s="5" t="s">
        <v>59</v>
      </c>
      <c r="G3434" s="5" t="str">
        <f aca="false">INDEX(Risk_Matrix!$B$2:$D$4,MATCH(E3434,Risk_Matrix!$A$2:$A$4,0),MATCH(F3434,Risk_Matrix!$B$1:$D$1,0))</f>
        <v>Low</v>
      </c>
      <c r="H3434" s="12" t="n">
        <v>46137</v>
      </c>
      <c r="I3434" s="5" t="s">
        <v>2250</v>
      </c>
      <c r="J3434" s="5" t="s">
        <v>2251</v>
      </c>
      <c r="K3434" s="5" t="s">
        <v>2266</v>
      </c>
      <c r="L3434" s="5" t="n">
        <f aca="false">IF(G3434="High",3,IF(G3434="Medium",2,1))</f>
        <v>1</v>
      </c>
    </row>
    <row r="3435" customFormat="false" ht="15" hidden="false" customHeight="true" outlineLevel="0" collapsed="false">
      <c r="A3435" s="5" t="s">
        <v>5713</v>
      </c>
      <c r="B3435" s="5" t="s">
        <v>2138</v>
      </c>
      <c r="C3435" s="5" t="s">
        <v>2245</v>
      </c>
      <c r="D3435" s="5" t="s">
        <v>2269</v>
      </c>
      <c r="E3435" s="5" t="s">
        <v>59</v>
      </c>
      <c r="F3435" s="5" t="s">
        <v>59</v>
      </c>
      <c r="G3435" s="5" t="str">
        <f aca="false">INDEX(Risk_Matrix!$B$2:$D$4,MATCH(E3435,Risk_Matrix!$A$2:$A$4,0),MATCH(F3435,Risk_Matrix!$B$1:$D$1,0))</f>
        <v>Low</v>
      </c>
      <c r="H3435" s="12" t="n">
        <v>46161</v>
      </c>
      <c r="I3435" s="5" t="s">
        <v>2241</v>
      </c>
      <c r="J3435" s="5" t="s">
        <v>2242</v>
      </c>
      <c r="K3435" s="5" t="s">
        <v>2276</v>
      </c>
      <c r="L3435" s="5" t="n">
        <f aca="false">IF(G3435="High",3,IF(G3435="Medium",2,1))</f>
        <v>1</v>
      </c>
    </row>
    <row r="3436" customFormat="false" ht="15" hidden="false" customHeight="true" outlineLevel="0" collapsed="false">
      <c r="A3436" s="5" t="s">
        <v>5714</v>
      </c>
      <c r="B3436" s="5" t="s">
        <v>2138</v>
      </c>
      <c r="C3436" s="5" t="s">
        <v>2248</v>
      </c>
      <c r="D3436" s="5" t="s">
        <v>2306</v>
      </c>
      <c r="E3436" s="5" t="s">
        <v>59</v>
      </c>
      <c r="F3436" s="5" t="s">
        <v>2225</v>
      </c>
      <c r="G3436" s="5" t="str">
        <f aca="false">INDEX(Risk_Matrix!$B$2:$D$4,MATCH(E3436,Risk_Matrix!$A$2:$A$4,0),MATCH(F3436,Risk_Matrix!$B$1:$D$1,0))</f>
        <v>Low</v>
      </c>
      <c r="H3436" s="12" t="n">
        <v>46063</v>
      </c>
      <c r="I3436" s="5" t="s">
        <v>2241</v>
      </c>
      <c r="J3436" s="5" t="s">
        <v>2242</v>
      </c>
      <c r="K3436" s="5" t="s">
        <v>2252</v>
      </c>
      <c r="L3436" s="5" t="n">
        <f aca="false">IF(G3436="High",3,IF(G3436="Medium",2,1))</f>
        <v>1</v>
      </c>
    </row>
    <row r="3437" customFormat="false" ht="15" hidden="false" customHeight="true" outlineLevel="0" collapsed="false">
      <c r="A3437" s="5" t="s">
        <v>5715</v>
      </c>
      <c r="B3437" s="5" t="s">
        <v>2138</v>
      </c>
      <c r="C3437" s="5" t="s">
        <v>2262</v>
      </c>
      <c r="D3437" s="5" t="s">
        <v>2287</v>
      </c>
      <c r="E3437" s="5" t="s">
        <v>2225</v>
      </c>
      <c r="F3437" s="5" t="s">
        <v>59</v>
      </c>
      <c r="G3437" s="5" t="str">
        <f aca="false">INDEX(Risk_Matrix!$B$2:$D$4,MATCH(E3437,Risk_Matrix!$A$2:$A$4,0),MATCH(F3437,Risk_Matrix!$B$1:$D$1,0))</f>
        <v>Low</v>
      </c>
      <c r="H3437" s="12" t="n">
        <v>46148</v>
      </c>
      <c r="I3437" s="5" t="s">
        <v>2256</v>
      </c>
      <c r="J3437" s="5" t="s">
        <v>4081</v>
      </c>
      <c r="K3437" s="5" t="s">
        <v>2266</v>
      </c>
      <c r="L3437" s="5" t="n">
        <f aca="false">IF(G3437="High",3,IF(G3437="Medium",2,1))</f>
        <v>1</v>
      </c>
    </row>
    <row r="3438" customFormat="false" ht="15" hidden="false" customHeight="true" outlineLevel="0" collapsed="false">
      <c r="A3438" s="5" t="s">
        <v>5716</v>
      </c>
      <c r="B3438" s="5" t="s">
        <v>2138</v>
      </c>
      <c r="C3438" s="5" t="s">
        <v>2259</v>
      </c>
      <c r="D3438" s="5" t="s">
        <v>2285</v>
      </c>
      <c r="E3438" s="5" t="s">
        <v>59</v>
      </c>
      <c r="F3438" s="5" t="s">
        <v>54</v>
      </c>
      <c r="G3438" s="5" t="str">
        <f aca="false">INDEX(Risk_Matrix!$B$2:$D$4,MATCH(E3438,Risk_Matrix!$A$2:$A$4,0),MATCH(F3438,Risk_Matrix!$B$1:$D$1,0))</f>
        <v>Medium</v>
      </c>
      <c r="H3438" s="12" t="n">
        <v>46104</v>
      </c>
      <c r="I3438" s="5" t="s">
        <v>2256</v>
      </c>
      <c r="J3438" s="5" t="s">
        <v>4081</v>
      </c>
      <c r="K3438" s="5" t="s">
        <v>2252</v>
      </c>
      <c r="L3438" s="5" t="n">
        <f aca="false">IF(G3438="High",3,IF(G3438="Medium",2,1))</f>
        <v>2</v>
      </c>
    </row>
    <row r="3439" customFormat="false" ht="15" hidden="false" customHeight="true" outlineLevel="0" collapsed="false">
      <c r="A3439" s="5" t="s">
        <v>5717</v>
      </c>
      <c r="B3439" s="5" t="s">
        <v>2138</v>
      </c>
      <c r="C3439" s="5" t="s">
        <v>2254</v>
      </c>
      <c r="D3439" s="5" t="s">
        <v>2299</v>
      </c>
      <c r="E3439" s="5" t="s">
        <v>59</v>
      </c>
      <c r="F3439" s="5" t="s">
        <v>2225</v>
      </c>
      <c r="G3439" s="5" t="str">
        <f aca="false">INDEX(Risk_Matrix!$B$2:$D$4,MATCH(E3439,Risk_Matrix!$A$2:$A$4,0),MATCH(F3439,Risk_Matrix!$B$1:$D$1,0))</f>
        <v>Low</v>
      </c>
      <c r="H3439" s="12" t="n">
        <v>46149</v>
      </c>
      <c r="I3439" s="5" t="s">
        <v>2264</v>
      </c>
      <c r="J3439" s="5" t="s">
        <v>4087</v>
      </c>
      <c r="K3439" s="5" t="s">
        <v>2252</v>
      </c>
      <c r="L3439" s="5" t="n">
        <f aca="false">IF(G3439="High",3,IF(G3439="Medium",2,1))</f>
        <v>1</v>
      </c>
    </row>
    <row r="3440" customFormat="false" ht="15" hidden="false" customHeight="true" outlineLevel="0" collapsed="false">
      <c r="A3440" s="5" t="s">
        <v>5718</v>
      </c>
      <c r="B3440" s="5" t="s">
        <v>2140</v>
      </c>
      <c r="C3440" s="5" t="s">
        <v>2239</v>
      </c>
      <c r="D3440" s="5" t="s">
        <v>2303</v>
      </c>
      <c r="E3440" s="5" t="s">
        <v>2225</v>
      </c>
      <c r="F3440" s="5" t="s">
        <v>59</v>
      </c>
      <c r="G3440" s="5" t="str">
        <f aca="false">INDEX(Risk_Matrix!$B$2:$D$4,MATCH(E3440,Risk_Matrix!$A$2:$A$4,0),MATCH(F3440,Risk_Matrix!$B$1:$D$1,0))</f>
        <v>Low</v>
      </c>
      <c r="H3440" s="12" t="n">
        <v>46139</v>
      </c>
      <c r="I3440" s="5" t="s">
        <v>2256</v>
      </c>
      <c r="J3440" s="5" t="s">
        <v>4081</v>
      </c>
      <c r="K3440" s="5" t="s">
        <v>2243</v>
      </c>
      <c r="L3440" s="5" t="n">
        <f aca="false">IF(G3440="High",3,IF(G3440="Medium",2,1))</f>
        <v>1</v>
      </c>
    </row>
    <row r="3441" customFormat="false" ht="15" hidden="false" customHeight="true" outlineLevel="0" collapsed="false">
      <c r="A3441" s="5" t="s">
        <v>5719</v>
      </c>
      <c r="B3441" s="5" t="s">
        <v>2140</v>
      </c>
      <c r="C3441" s="5" t="s">
        <v>2245</v>
      </c>
      <c r="D3441" s="5" t="s">
        <v>2246</v>
      </c>
      <c r="E3441" s="5" t="s">
        <v>59</v>
      </c>
      <c r="F3441" s="5" t="s">
        <v>59</v>
      </c>
      <c r="G3441" s="5" t="str">
        <f aca="false">INDEX(Risk_Matrix!$B$2:$D$4,MATCH(E3441,Risk_Matrix!$A$2:$A$4,0),MATCH(F3441,Risk_Matrix!$B$1:$D$1,0))</f>
        <v>Low</v>
      </c>
      <c r="H3441" s="12" t="n">
        <v>46083</v>
      </c>
      <c r="I3441" s="5" t="s">
        <v>2256</v>
      </c>
      <c r="J3441" s="5" t="s">
        <v>4081</v>
      </c>
      <c r="K3441" s="5" t="s">
        <v>2276</v>
      </c>
      <c r="L3441" s="5" t="n">
        <f aca="false">IF(G3441="High",3,IF(G3441="Medium",2,1))</f>
        <v>1</v>
      </c>
    </row>
    <row r="3442" customFormat="false" ht="15" hidden="false" customHeight="true" outlineLevel="0" collapsed="false">
      <c r="A3442" s="5" t="s">
        <v>5720</v>
      </c>
      <c r="B3442" s="5" t="s">
        <v>2140</v>
      </c>
      <c r="C3442" s="5" t="s">
        <v>2248</v>
      </c>
      <c r="D3442" s="5" t="s">
        <v>2322</v>
      </c>
      <c r="E3442" s="5" t="s">
        <v>59</v>
      </c>
      <c r="F3442" s="5" t="s">
        <v>2225</v>
      </c>
      <c r="G3442" s="5" t="str">
        <f aca="false">INDEX(Risk_Matrix!$B$2:$D$4,MATCH(E3442,Risk_Matrix!$A$2:$A$4,0),MATCH(F3442,Risk_Matrix!$B$1:$D$1,0))</f>
        <v>Low</v>
      </c>
      <c r="H3442" s="12" t="n">
        <v>46092</v>
      </c>
      <c r="I3442" s="5" t="s">
        <v>2250</v>
      </c>
      <c r="J3442" s="5" t="s">
        <v>2251</v>
      </c>
      <c r="K3442" s="5" t="s">
        <v>2283</v>
      </c>
      <c r="L3442" s="5" t="n">
        <f aca="false">IF(G3442="High",3,IF(G3442="Medium",2,1))</f>
        <v>1</v>
      </c>
    </row>
    <row r="3443" customFormat="false" ht="15" hidden="false" customHeight="true" outlineLevel="0" collapsed="false">
      <c r="A3443" s="5" t="s">
        <v>5721</v>
      </c>
      <c r="B3443" s="5" t="s">
        <v>2140</v>
      </c>
      <c r="C3443" s="5" t="s">
        <v>2262</v>
      </c>
      <c r="D3443" s="5" t="s">
        <v>2263</v>
      </c>
      <c r="E3443" s="5" t="s">
        <v>59</v>
      </c>
      <c r="F3443" s="5" t="s">
        <v>2225</v>
      </c>
      <c r="G3443" s="5" t="str">
        <f aca="false">INDEX(Risk_Matrix!$B$2:$D$4,MATCH(E3443,Risk_Matrix!$A$2:$A$4,0),MATCH(F3443,Risk_Matrix!$B$1:$D$1,0))</f>
        <v>Low</v>
      </c>
      <c r="H3443" s="12" t="n">
        <v>46032</v>
      </c>
      <c r="I3443" s="5" t="s">
        <v>2250</v>
      </c>
      <c r="J3443" s="5" t="s">
        <v>2251</v>
      </c>
      <c r="K3443" s="5" t="s">
        <v>2276</v>
      </c>
      <c r="L3443" s="5" t="n">
        <f aca="false">IF(G3443="High",3,IF(G3443="Medium",2,1))</f>
        <v>1</v>
      </c>
    </row>
    <row r="3444" customFormat="false" ht="15" hidden="false" customHeight="true" outlineLevel="0" collapsed="false">
      <c r="A3444" s="5" t="s">
        <v>5722</v>
      </c>
      <c r="B3444" s="5" t="s">
        <v>2140</v>
      </c>
      <c r="C3444" s="5" t="s">
        <v>2259</v>
      </c>
      <c r="D3444" s="5" t="s">
        <v>2260</v>
      </c>
      <c r="E3444" s="5" t="s">
        <v>54</v>
      </c>
      <c r="F3444" s="5" t="s">
        <v>59</v>
      </c>
      <c r="G3444" s="5" t="str">
        <f aca="false">INDEX(Risk_Matrix!$B$2:$D$4,MATCH(E3444,Risk_Matrix!$A$2:$A$4,0),MATCH(F3444,Risk_Matrix!$B$1:$D$1,0))</f>
        <v>Medium</v>
      </c>
      <c r="H3444" s="12" t="n">
        <v>46091</v>
      </c>
      <c r="I3444" s="5" t="s">
        <v>2264</v>
      </c>
      <c r="J3444" s="5" t="s">
        <v>4087</v>
      </c>
      <c r="K3444" s="5" t="s">
        <v>2252</v>
      </c>
      <c r="L3444" s="5" t="n">
        <f aca="false">IF(G3444="High",3,IF(G3444="Medium",2,1))</f>
        <v>2</v>
      </c>
    </row>
    <row r="3445" customFormat="false" ht="15" hidden="false" customHeight="true" outlineLevel="0" collapsed="false">
      <c r="A3445" s="5" t="s">
        <v>5723</v>
      </c>
      <c r="B3445" s="5" t="s">
        <v>2140</v>
      </c>
      <c r="C3445" s="5" t="s">
        <v>2254</v>
      </c>
      <c r="D3445" s="5" t="s">
        <v>2308</v>
      </c>
      <c r="E3445" s="5" t="s">
        <v>54</v>
      </c>
      <c r="F3445" s="5" t="s">
        <v>54</v>
      </c>
      <c r="G3445" s="5" t="str">
        <f aca="false">INDEX(Risk_Matrix!$B$2:$D$4,MATCH(E3445,Risk_Matrix!$A$2:$A$4,0),MATCH(F3445,Risk_Matrix!$B$1:$D$1,0))</f>
        <v>High</v>
      </c>
      <c r="H3445" s="12" t="n">
        <v>46162</v>
      </c>
      <c r="I3445" s="5" t="s">
        <v>2264</v>
      </c>
      <c r="J3445" s="5" t="s">
        <v>4087</v>
      </c>
      <c r="K3445" s="5" t="s">
        <v>2276</v>
      </c>
      <c r="L3445" s="5" t="n">
        <f aca="false">IF(G3445="High",3,IF(G3445="Medium",2,1))</f>
        <v>3</v>
      </c>
    </row>
    <row r="3446" customFormat="false" ht="15" hidden="false" customHeight="true" outlineLevel="0" collapsed="false">
      <c r="A3446" s="5" t="s">
        <v>5724</v>
      </c>
      <c r="B3446" s="5" t="s">
        <v>2142</v>
      </c>
      <c r="C3446" s="5" t="s">
        <v>2239</v>
      </c>
      <c r="D3446" s="5" t="s">
        <v>2240</v>
      </c>
      <c r="E3446" s="5" t="s">
        <v>59</v>
      </c>
      <c r="F3446" s="5" t="s">
        <v>59</v>
      </c>
      <c r="G3446" s="5" t="str">
        <f aca="false">INDEX(Risk_Matrix!$B$2:$D$4,MATCH(E3446,Risk_Matrix!$A$2:$A$4,0),MATCH(F3446,Risk_Matrix!$B$1:$D$1,0))</f>
        <v>Low</v>
      </c>
      <c r="H3446" s="12" t="n">
        <v>46134</v>
      </c>
      <c r="I3446" s="5" t="s">
        <v>2250</v>
      </c>
      <c r="J3446" s="5" t="s">
        <v>2251</v>
      </c>
      <c r="K3446" s="5" t="s">
        <v>2283</v>
      </c>
      <c r="L3446" s="5" t="n">
        <f aca="false">IF(G3446="High",3,IF(G3446="Medium",2,1))</f>
        <v>1</v>
      </c>
    </row>
    <row r="3447" customFormat="false" ht="15" hidden="false" customHeight="true" outlineLevel="0" collapsed="false">
      <c r="A3447" s="5" t="s">
        <v>5725</v>
      </c>
      <c r="B3447" s="5" t="s">
        <v>2142</v>
      </c>
      <c r="C3447" s="5" t="s">
        <v>2245</v>
      </c>
      <c r="D3447" s="5" t="s">
        <v>2320</v>
      </c>
      <c r="E3447" s="5" t="s">
        <v>59</v>
      </c>
      <c r="F3447" s="5" t="s">
        <v>2225</v>
      </c>
      <c r="G3447" s="5" t="str">
        <f aca="false">INDEX(Risk_Matrix!$B$2:$D$4,MATCH(E3447,Risk_Matrix!$A$2:$A$4,0),MATCH(F3447,Risk_Matrix!$B$1:$D$1,0))</f>
        <v>Low</v>
      </c>
      <c r="H3447" s="12" t="n">
        <v>46054</v>
      </c>
      <c r="I3447" s="5" t="s">
        <v>2264</v>
      </c>
      <c r="J3447" s="5" t="s">
        <v>4087</v>
      </c>
      <c r="K3447" s="5" t="s">
        <v>2243</v>
      </c>
      <c r="L3447" s="5" t="n">
        <f aca="false">IF(G3447="High",3,IF(G3447="Medium",2,1))</f>
        <v>1</v>
      </c>
    </row>
    <row r="3448" customFormat="false" ht="15" hidden="false" customHeight="true" outlineLevel="0" collapsed="false">
      <c r="A3448" s="5" t="s">
        <v>5726</v>
      </c>
      <c r="B3448" s="5" t="s">
        <v>2142</v>
      </c>
      <c r="C3448" s="5" t="s">
        <v>2248</v>
      </c>
      <c r="D3448" s="5" t="s">
        <v>2306</v>
      </c>
      <c r="E3448" s="5" t="s">
        <v>54</v>
      </c>
      <c r="F3448" s="5" t="s">
        <v>2225</v>
      </c>
      <c r="G3448" s="5" t="str">
        <f aca="false">INDEX(Risk_Matrix!$B$2:$D$4,MATCH(E3448,Risk_Matrix!$A$2:$A$4,0),MATCH(F3448,Risk_Matrix!$B$1:$D$1,0))</f>
        <v>High</v>
      </c>
      <c r="H3448" s="12" t="n">
        <v>46177</v>
      </c>
      <c r="I3448" s="5" t="s">
        <v>2250</v>
      </c>
      <c r="J3448" s="5" t="s">
        <v>2251</v>
      </c>
      <c r="K3448" s="5" t="s">
        <v>2252</v>
      </c>
      <c r="L3448" s="5" t="n">
        <f aca="false">IF(G3448="High",3,IF(G3448="Medium",2,1))</f>
        <v>3</v>
      </c>
    </row>
    <row r="3449" customFormat="false" ht="15" hidden="false" customHeight="true" outlineLevel="0" collapsed="false">
      <c r="A3449" s="5" t="s">
        <v>5727</v>
      </c>
      <c r="B3449" s="5" t="s">
        <v>2142</v>
      </c>
      <c r="C3449" s="5" t="s">
        <v>2262</v>
      </c>
      <c r="D3449" s="5" t="s">
        <v>2311</v>
      </c>
      <c r="E3449" s="5" t="s">
        <v>54</v>
      </c>
      <c r="F3449" s="5" t="s">
        <v>2225</v>
      </c>
      <c r="G3449" s="5" t="str">
        <f aca="false">INDEX(Risk_Matrix!$B$2:$D$4,MATCH(E3449,Risk_Matrix!$A$2:$A$4,0),MATCH(F3449,Risk_Matrix!$B$1:$D$1,0))</f>
        <v>High</v>
      </c>
      <c r="H3449" s="12" t="n">
        <v>46124</v>
      </c>
      <c r="I3449" s="5" t="s">
        <v>2250</v>
      </c>
      <c r="J3449" s="5" t="s">
        <v>2251</v>
      </c>
      <c r="K3449" s="5" t="s">
        <v>2266</v>
      </c>
      <c r="L3449" s="5" t="n">
        <f aca="false">IF(G3449="High",3,IF(G3449="Medium",2,1))</f>
        <v>3</v>
      </c>
    </row>
    <row r="3450" customFormat="false" ht="15" hidden="false" customHeight="true" outlineLevel="0" collapsed="false">
      <c r="A3450" s="5" t="s">
        <v>5728</v>
      </c>
      <c r="B3450" s="5" t="s">
        <v>2142</v>
      </c>
      <c r="C3450" s="5" t="s">
        <v>2259</v>
      </c>
      <c r="D3450" s="5" t="s">
        <v>2274</v>
      </c>
      <c r="E3450" s="5" t="s">
        <v>54</v>
      </c>
      <c r="F3450" s="5" t="s">
        <v>59</v>
      </c>
      <c r="G3450" s="5" t="str">
        <f aca="false">INDEX(Risk_Matrix!$B$2:$D$4,MATCH(E3450,Risk_Matrix!$A$2:$A$4,0),MATCH(F3450,Risk_Matrix!$B$1:$D$1,0))</f>
        <v>Medium</v>
      </c>
      <c r="H3450" s="12" t="n">
        <v>46038</v>
      </c>
      <c r="I3450" s="5" t="s">
        <v>2264</v>
      </c>
      <c r="J3450" s="5" t="s">
        <v>4087</v>
      </c>
      <c r="K3450" s="5" t="s">
        <v>2252</v>
      </c>
      <c r="L3450" s="5" t="n">
        <f aca="false">IF(G3450="High",3,IF(G3450="Medium",2,1))</f>
        <v>2</v>
      </c>
    </row>
    <row r="3451" customFormat="false" ht="15" hidden="false" customHeight="true" outlineLevel="0" collapsed="false">
      <c r="A3451" s="5" t="s">
        <v>5729</v>
      </c>
      <c r="B3451" s="5" t="s">
        <v>2142</v>
      </c>
      <c r="C3451" s="5" t="s">
        <v>2254</v>
      </c>
      <c r="D3451" s="5" t="s">
        <v>2255</v>
      </c>
      <c r="E3451" s="5" t="s">
        <v>2225</v>
      </c>
      <c r="F3451" s="5" t="s">
        <v>2225</v>
      </c>
      <c r="G3451" s="5" t="str">
        <f aca="false">INDEX(Risk_Matrix!$B$2:$D$4,MATCH(E3451,Risk_Matrix!$A$2:$A$4,0),MATCH(F3451,Risk_Matrix!$B$1:$D$1,0))</f>
        <v>Medium</v>
      </c>
      <c r="H3451" s="12" t="n">
        <v>46112</v>
      </c>
      <c r="I3451" s="5" t="s">
        <v>2264</v>
      </c>
      <c r="J3451" s="5" t="s">
        <v>4087</v>
      </c>
      <c r="K3451" s="5" t="s">
        <v>2283</v>
      </c>
      <c r="L3451" s="5" t="n">
        <f aca="false">IF(G3451="High",3,IF(G3451="Medium",2,1))</f>
        <v>2</v>
      </c>
    </row>
    <row r="3452" customFormat="false" ht="15" hidden="false" customHeight="true" outlineLevel="0" collapsed="false">
      <c r="A3452" s="5" t="s">
        <v>5730</v>
      </c>
      <c r="B3452" s="5" t="s">
        <v>2144</v>
      </c>
      <c r="C3452" s="5" t="s">
        <v>2239</v>
      </c>
      <c r="D3452" s="5" t="s">
        <v>2303</v>
      </c>
      <c r="E3452" s="5" t="s">
        <v>59</v>
      </c>
      <c r="F3452" s="5" t="s">
        <v>2225</v>
      </c>
      <c r="G3452" s="5" t="str">
        <f aca="false">INDEX(Risk_Matrix!$B$2:$D$4,MATCH(E3452,Risk_Matrix!$A$2:$A$4,0),MATCH(F3452,Risk_Matrix!$B$1:$D$1,0))</f>
        <v>Low</v>
      </c>
      <c r="H3452" s="12" t="n">
        <v>46053</v>
      </c>
      <c r="I3452" s="5" t="s">
        <v>2241</v>
      </c>
      <c r="J3452" s="5" t="s">
        <v>2242</v>
      </c>
      <c r="K3452" s="5" t="s">
        <v>2266</v>
      </c>
      <c r="L3452" s="5" t="n">
        <f aca="false">IF(G3452="High",3,IF(G3452="Medium",2,1))</f>
        <v>1</v>
      </c>
    </row>
    <row r="3453" customFormat="false" ht="15" hidden="false" customHeight="true" outlineLevel="0" collapsed="false">
      <c r="A3453" s="5" t="s">
        <v>5731</v>
      </c>
      <c r="B3453" s="5" t="s">
        <v>2144</v>
      </c>
      <c r="C3453" s="5" t="s">
        <v>2245</v>
      </c>
      <c r="D3453" s="5" t="s">
        <v>2246</v>
      </c>
      <c r="E3453" s="5" t="s">
        <v>59</v>
      </c>
      <c r="F3453" s="5" t="s">
        <v>2225</v>
      </c>
      <c r="G3453" s="5" t="str">
        <f aca="false">INDEX(Risk_Matrix!$B$2:$D$4,MATCH(E3453,Risk_Matrix!$A$2:$A$4,0),MATCH(F3453,Risk_Matrix!$B$1:$D$1,0))</f>
        <v>Low</v>
      </c>
      <c r="H3453" s="12" t="n">
        <v>46146</v>
      </c>
      <c r="I3453" s="5" t="s">
        <v>2241</v>
      </c>
      <c r="J3453" s="5" t="s">
        <v>2242</v>
      </c>
      <c r="K3453" s="5" t="s">
        <v>2243</v>
      </c>
      <c r="L3453" s="5" t="n">
        <f aca="false">IF(G3453="High",3,IF(G3453="Medium",2,1))</f>
        <v>1</v>
      </c>
    </row>
    <row r="3454" customFormat="false" ht="15" hidden="false" customHeight="true" outlineLevel="0" collapsed="false">
      <c r="A3454" s="5" t="s">
        <v>5732</v>
      </c>
      <c r="B3454" s="5" t="s">
        <v>2144</v>
      </c>
      <c r="C3454" s="5" t="s">
        <v>2248</v>
      </c>
      <c r="D3454" s="5" t="s">
        <v>2249</v>
      </c>
      <c r="E3454" s="5" t="s">
        <v>54</v>
      </c>
      <c r="F3454" s="5" t="s">
        <v>54</v>
      </c>
      <c r="G3454" s="5" t="str">
        <f aca="false">INDEX(Risk_Matrix!$B$2:$D$4,MATCH(E3454,Risk_Matrix!$A$2:$A$4,0),MATCH(F3454,Risk_Matrix!$B$1:$D$1,0))</f>
        <v>High</v>
      </c>
      <c r="H3454" s="12" t="n">
        <v>46201</v>
      </c>
      <c r="I3454" s="5" t="s">
        <v>2241</v>
      </c>
      <c r="J3454" s="5" t="s">
        <v>2242</v>
      </c>
      <c r="K3454" s="5" t="s">
        <v>2266</v>
      </c>
      <c r="L3454" s="5" t="n">
        <f aca="false">IF(G3454="High",3,IF(G3454="Medium",2,1))</f>
        <v>3</v>
      </c>
    </row>
    <row r="3455" customFormat="false" ht="15" hidden="false" customHeight="true" outlineLevel="0" collapsed="false">
      <c r="A3455" s="5" t="s">
        <v>5733</v>
      </c>
      <c r="B3455" s="5" t="s">
        <v>2144</v>
      </c>
      <c r="C3455" s="5" t="s">
        <v>2262</v>
      </c>
      <c r="D3455" s="5" t="s">
        <v>2263</v>
      </c>
      <c r="E3455" s="5" t="s">
        <v>2225</v>
      </c>
      <c r="F3455" s="5" t="s">
        <v>54</v>
      </c>
      <c r="G3455" s="5" t="str">
        <f aca="false">INDEX(Risk_Matrix!$B$2:$D$4,MATCH(E3455,Risk_Matrix!$A$2:$A$4,0),MATCH(F3455,Risk_Matrix!$B$1:$D$1,0))</f>
        <v>High</v>
      </c>
      <c r="H3455" s="12" t="n">
        <v>46215</v>
      </c>
      <c r="I3455" s="5" t="s">
        <v>2264</v>
      </c>
      <c r="J3455" s="5" t="s">
        <v>4087</v>
      </c>
      <c r="K3455" s="5" t="s">
        <v>2243</v>
      </c>
      <c r="L3455" s="5" t="n">
        <f aca="false">IF(G3455="High",3,IF(G3455="Medium",2,1))</f>
        <v>3</v>
      </c>
    </row>
    <row r="3456" customFormat="false" ht="15" hidden="false" customHeight="true" outlineLevel="0" collapsed="false">
      <c r="A3456" s="5" t="s">
        <v>5734</v>
      </c>
      <c r="B3456" s="5" t="s">
        <v>2144</v>
      </c>
      <c r="C3456" s="5" t="s">
        <v>2259</v>
      </c>
      <c r="D3456" s="5" t="s">
        <v>2260</v>
      </c>
      <c r="E3456" s="5" t="s">
        <v>59</v>
      </c>
      <c r="F3456" s="5" t="s">
        <v>2225</v>
      </c>
      <c r="G3456" s="5" t="str">
        <f aca="false">INDEX(Risk_Matrix!$B$2:$D$4,MATCH(E3456,Risk_Matrix!$A$2:$A$4,0),MATCH(F3456,Risk_Matrix!$B$1:$D$1,0))</f>
        <v>Low</v>
      </c>
      <c r="H3456" s="12" t="n">
        <v>46092</v>
      </c>
      <c r="I3456" s="5" t="s">
        <v>2241</v>
      </c>
      <c r="J3456" s="5" t="s">
        <v>2242</v>
      </c>
      <c r="K3456" s="5" t="s">
        <v>2266</v>
      </c>
      <c r="L3456" s="5" t="n">
        <f aca="false">IF(G3456="High",3,IF(G3456="Medium",2,1))</f>
        <v>1</v>
      </c>
    </row>
    <row r="3457" customFormat="false" ht="15" hidden="false" customHeight="true" outlineLevel="0" collapsed="false">
      <c r="A3457" s="5" t="s">
        <v>5735</v>
      </c>
      <c r="B3457" s="5" t="s">
        <v>2144</v>
      </c>
      <c r="C3457" s="5" t="s">
        <v>2254</v>
      </c>
      <c r="D3457" s="5" t="s">
        <v>2308</v>
      </c>
      <c r="E3457" s="5" t="s">
        <v>54</v>
      </c>
      <c r="F3457" s="5" t="s">
        <v>2225</v>
      </c>
      <c r="G3457" s="5" t="str">
        <f aca="false">INDEX(Risk_Matrix!$B$2:$D$4,MATCH(E3457,Risk_Matrix!$A$2:$A$4,0),MATCH(F3457,Risk_Matrix!$B$1:$D$1,0))</f>
        <v>High</v>
      </c>
      <c r="H3457" s="12" t="n">
        <v>46191</v>
      </c>
      <c r="I3457" s="5" t="s">
        <v>2241</v>
      </c>
      <c r="J3457" s="5" t="s">
        <v>2242</v>
      </c>
      <c r="K3457" s="5" t="s">
        <v>2252</v>
      </c>
      <c r="L3457" s="5" t="n">
        <f aca="false">IF(G3457="High",3,IF(G3457="Medium",2,1))</f>
        <v>3</v>
      </c>
    </row>
    <row r="3458" customFormat="false" ht="15" hidden="false" customHeight="true" outlineLevel="0" collapsed="false">
      <c r="A3458" s="5" t="s">
        <v>5736</v>
      </c>
      <c r="B3458" s="5" t="s">
        <v>2146</v>
      </c>
      <c r="C3458" s="5" t="s">
        <v>2239</v>
      </c>
      <c r="D3458" s="5" t="s">
        <v>2303</v>
      </c>
      <c r="E3458" s="5" t="s">
        <v>59</v>
      </c>
      <c r="F3458" s="5" t="s">
        <v>59</v>
      </c>
      <c r="G3458" s="5" t="str">
        <f aca="false">INDEX(Risk_Matrix!$B$2:$D$4,MATCH(E3458,Risk_Matrix!$A$2:$A$4,0),MATCH(F3458,Risk_Matrix!$B$1:$D$1,0))</f>
        <v>Low</v>
      </c>
      <c r="H3458" s="12" t="n">
        <v>46183</v>
      </c>
      <c r="I3458" s="5" t="s">
        <v>2250</v>
      </c>
      <c r="J3458" s="5" t="s">
        <v>2251</v>
      </c>
      <c r="K3458" s="5" t="s">
        <v>2243</v>
      </c>
      <c r="L3458" s="5" t="n">
        <f aca="false">IF(G3458="High",3,IF(G3458="Medium",2,1))</f>
        <v>1</v>
      </c>
    </row>
    <row r="3459" customFormat="false" ht="15" hidden="false" customHeight="true" outlineLevel="0" collapsed="false">
      <c r="A3459" s="5" t="s">
        <v>5737</v>
      </c>
      <c r="B3459" s="5" t="s">
        <v>2146</v>
      </c>
      <c r="C3459" s="5" t="s">
        <v>2245</v>
      </c>
      <c r="D3459" s="5" t="s">
        <v>2280</v>
      </c>
      <c r="E3459" s="5" t="s">
        <v>59</v>
      </c>
      <c r="F3459" s="5" t="s">
        <v>2225</v>
      </c>
      <c r="G3459" s="5" t="str">
        <f aca="false">INDEX(Risk_Matrix!$B$2:$D$4,MATCH(E3459,Risk_Matrix!$A$2:$A$4,0),MATCH(F3459,Risk_Matrix!$B$1:$D$1,0))</f>
        <v>Low</v>
      </c>
      <c r="H3459" s="12" t="n">
        <v>46148</v>
      </c>
      <c r="I3459" s="5" t="s">
        <v>2264</v>
      </c>
      <c r="J3459" s="5" t="s">
        <v>4087</v>
      </c>
      <c r="K3459" s="5" t="s">
        <v>2266</v>
      </c>
      <c r="L3459" s="5" t="n">
        <f aca="false">IF(G3459="High",3,IF(G3459="Medium",2,1))</f>
        <v>1</v>
      </c>
    </row>
    <row r="3460" customFormat="false" ht="15" hidden="false" customHeight="true" outlineLevel="0" collapsed="false">
      <c r="A3460" s="5" t="s">
        <v>5738</v>
      </c>
      <c r="B3460" s="5" t="s">
        <v>2146</v>
      </c>
      <c r="C3460" s="5" t="s">
        <v>2248</v>
      </c>
      <c r="D3460" s="5" t="s">
        <v>2306</v>
      </c>
      <c r="E3460" s="5" t="s">
        <v>54</v>
      </c>
      <c r="F3460" s="5" t="s">
        <v>59</v>
      </c>
      <c r="G3460" s="5" t="str">
        <f aca="false">INDEX(Risk_Matrix!$B$2:$D$4,MATCH(E3460,Risk_Matrix!$A$2:$A$4,0),MATCH(F3460,Risk_Matrix!$B$1:$D$1,0))</f>
        <v>Medium</v>
      </c>
      <c r="H3460" s="12" t="n">
        <v>46236</v>
      </c>
      <c r="I3460" s="5" t="s">
        <v>2241</v>
      </c>
      <c r="J3460" s="5" t="s">
        <v>2242</v>
      </c>
      <c r="K3460" s="5" t="s">
        <v>2276</v>
      </c>
      <c r="L3460" s="5" t="n">
        <f aca="false">IF(G3460="High",3,IF(G3460="Medium",2,1))</f>
        <v>2</v>
      </c>
    </row>
    <row r="3461" customFormat="false" ht="15" hidden="false" customHeight="true" outlineLevel="0" collapsed="false">
      <c r="A3461" s="5" t="s">
        <v>5739</v>
      </c>
      <c r="B3461" s="5" t="s">
        <v>2146</v>
      </c>
      <c r="C3461" s="5" t="s">
        <v>2262</v>
      </c>
      <c r="D3461" s="5" t="s">
        <v>2311</v>
      </c>
      <c r="E3461" s="5" t="s">
        <v>2225</v>
      </c>
      <c r="F3461" s="5" t="s">
        <v>2225</v>
      </c>
      <c r="G3461" s="5" t="str">
        <f aca="false">INDEX(Risk_Matrix!$B$2:$D$4,MATCH(E3461,Risk_Matrix!$A$2:$A$4,0),MATCH(F3461,Risk_Matrix!$B$1:$D$1,0))</f>
        <v>Medium</v>
      </c>
      <c r="H3461" s="12" t="n">
        <v>46155</v>
      </c>
      <c r="I3461" s="5" t="s">
        <v>2241</v>
      </c>
      <c r="J3461" s="5" t="s">
        <v>2242</v>
      </c>
      <c r="K3461" s="5" t="s">
        <v>2266</v>
      </c>
      <c r="L3461" s="5" t="n">
        <f aca="false">IF(G3461="High",3,IF(G3461="Medium",2,1))</f>
        <v>2</v>
      </c>
    </row>
    <row r="3462" customFormat="false" ht="15" hidden="false" customHeight="true" outlineLevel="0" collapsed="false">
      <c r="A3462" s="5" t="s">
        <v>5740</v>
      </c>
      <c r="B3462" s="5" t="s">
        <v>2146</v>
      </c>
      <c r="C3462" s="5" t="s">
        <v>2259</v>
      </c>
      <c r="D3462" s="5" t="s">
        <v>2285</v>
      </c>
      <c r="E3462" s="5" t="s">
        <v>59</v>
      </c>
      <c r="F3462" s="5" t="s">
        <v>54</v>
      </c>
      <c r="G3462" s="5" t="str">
        <f aca="false">INDEX(Risk_Matrix!$B$2:$D$4,MATCH(E3462,Risk_Matrix!$A$2:$A$4,0),MATCH(F3462,Risk_Matrix!$B$1:$D$1,0))</f>
        <v>Medium</v>
      </c>
      <c r="H3462" s="12" t="n">
        <v>46136</v>
      </c>
      <c r="I3462" s="5" t="s">
        <v>2250</v>
      </c>
      <c r="J3462" s="5" t="s">
        <v>2251</v>
      </c>
      <c r="K3462" s="5" t="s">
        <v>2266</v>
      </c>
      <c r="L3462" s="5" t="n">
        <f aca="false">IF(G3462="High",3,IF(G3462="Medium",2,1))</f>
        <v>2</v>
      </c>
    </row>
    <row r="3463" customFormat="false" ht="15" hidden="false" customHeight="true" outlineLevel="0" collapsed="false">
      <c r="A3463" s="5" t="s">
        <v>5741</v>
      </c>
      <c r="B3463" s="5" t="s">
        <v>2146</v>
      </c>
      <c r="C3463" s="5" t="s">
        <v>2254</v>
      </c>
      <c r="D3463" s="5" t="s">
        <v>2299</v>
      </c>
      <c r="E3463" s="5" t="s">
        <v>2225</v>
      </c>
      <c r="F3463" s="5" t="s">
        <v>2225</v>
      </c>
      <c r="G3463" s="5" t="str">
        <f aca="false">INDEX(Risk_Matrix!$B$2:$D$4,MATCH(E3463,Risk_Matrix!$A$2:$A$4,0),MATCH(F3463,Risk_Matrix!$B$1:$D$1,0))</f>
        <v>Medium</v>
      </c>
      <c r="H3463" s="12" t="n">
        <v>46205</v>
      </c>
      <c r="I3463" s="5" t="s">
        <v>2256</v>
      </c>
      <c r="J3463" s="5" t="s">
        <v>4081</v>
      </c>
      <c r="K3463" s="5" t="s">
        <v>2283</v>
      </c>
      <c r="L3463" s="5" t="n">
        <f aca="false">IF(G3463="High",3,IF(G3463="Medium",2,1))</f>
        <v>2</v>
      </c>
    </row>
    <row r="3464" customFormat="false" ht="15" hidden="false" customHeight="true" outlineLevel="0" collapsed="false">
      <c r="A3464" s="5" t="s">
        <v>5742</v>
      </c>
      <c r="B3464" s="5" t="s">
        <v>2148</v>
      </c>
      <c r="C3464" s="5" t="s">
        <v>2239</v>
      </c>
      <c r="D3464" s="5" t="s">
        <v>2278</v>
      </c>
      <c r="E3464" s="5" t="s">
        <v>59</v>
      </c>
      <c r="F3464" s="5" t="s">
        <v>54</v>
      </c>
      <c r="G3464" s="5" t="str">
        <f aca="false">INDEX(Risk_Matrix!$B$2:$D$4,MATCH(E3464,Risk_Matrix!$A$2:$A$4,0),MATCH(F3464,Risk_Matrix!$B$1:$D$1,0))</f>
        <v>Medium</v>
      </c>
      <c r="H3464" s="12" t="n">
        <v>46032</v>
      </c>
      <c r="I3464" s="5" t="s">
        <v>2241</v>
      </c>
      <c r="J3464" s="5" t="s">
        <v>2242</v>
      </c>
      <c r="K3464" s="5" t="s">
        <v>2283</v>
      </c>
      <c r="L3464" s="5" t="n">
        <f aca="false">IF(G3464="High",3,IF(G3464="Medium",2,1))</f>
        <v>2</v>
      </c>
    </row>
    <row r="3465" customFormat="false" ht="15" hidden="false" customHeight="true" outlineLevel="0" collapsed="false">
      <c r="A3465" s="5" t="s">
        <v>5743</v>
      </c>
      <c r="B3465" s="5" t="s">
        <v>2148</v>
      </c>
      <c r="C3465" s="5" t="s">
        <v>2245</v>
      </c>
      <c r="D3465" s="5" t="s">
        <v>2320</v>
      </c>
      <c r="E3465" s="5" t="s">
        <v>59</v>
      </c>
      <c r="F3465" s="5" t="s">
        <v>59</v>
      </c>
      <c r="G3465" s="5" t="str">
        <f aca="false">INDEX(Risk_Matrix!$B$2:$D$4,MATCH(E3465,Risk_Matrix!$A$2:$A$4,0),MATCH(F3465,Risk_Matrix!$B$1:$D$1,0))</f>
        <v>Low</v>
      </c>
      <c r="H3465" s="12" t="n">
        <v>46215</v>
      </c>
      <c r="I3465" s="5" t="s">
        <v>2264</v>
      </c>
      <c r="J3465" s="5" t="s">
        <v>4087</v>
      </c>
      <c r="K3465" s="5" t="s">
        <v>2243</v>
      </c>
      <c r="L3465" s="5" t="n">
        <f aca="false">IF(G3465="High",3,IF(G3465="Medium",2,1))</f>
        <v>1</v>
      </c>
    </row>
    <row r="3466" customFormat="false" ht="15" hidden="false" customHeight="true" outlineLevel="0" collapsed="false">
      <c r="A3466" s="5" t="s">
        <v>5744</v>
      </c>
      <c r="B3466" s="5" t="s">
        <v>2148</v>
      </c>
      <c r="C3466" s="5" t="s">
        <v>2248</v>
      </c>
      <c r="D3466" s="5" t="s">
        <v>2271</v>
      </c>
      <c r="E3466" s="5" t="s">
        <v>54</v>
      </c>
      <c r="F3466" s="5" t="s">
        <v>59</v>
      </c>
      <c r="G3466" s="5" t="str">
        <f aca="false">INDEX(Risk_Matrix!$B$2:$D$4,MATCH(E3466,Risk_Matrix!$A$2:$A$4,0),MATCH(F3466,Risk_Matrix!$B$1:$D$1,0))</f>
        <v>Medium</v>
      </c>
      <c r="H3466" s="12" t="n">
        <v>46077</v>
      </c>
      <c r="I3466" s="5" t="s">
        <v>2264</v>
      </c>
      <c r="J3466" s="5" t="s">
        <v>4087</v>
      </c>
      <c r="K3466" s="5" t="s">
        <v>2243</v>
      </c>
      <c r="L3466" s="5" t="n">
        <f aca="false">IF(G3466="High",3,IF(G3466="Medium",2,1))</f>
        <v>2</v>
      </c>
    </row>
    <row r="3467" customFormat="false" ht="15" hidden="false" customHeight="true" outlineLevel="0" collapsed="false">
      <c r="A3467" s="5" t="s">
        <v>5745</v>
      </c>
      <c r="B3467" s="5" t="s">
        <v>2148</v>
      </c>
      <c r="C3467" s="5" t="s">
        <v>2262</v>
      </c>
      <c r="D3467" s="5" t="s">
        <v>2311</v>
      </c>
      <c r="E3467" s="5" t="s">
        <v>2225</v>
      </c>
      <c r="F3467" s="5" t="s">
        <v>2225</v>
      </c>
      <c r="G3467" s="5" t="str">
        <f aca="false">INDEX(Risk_Matrix!$B$2:$D$4,MATCH(E3467,Risk_Matrix!$A$2:$A$4,0),MATCH(F3467,Risk_Matrix!$B$1:$D$1,0))</f>
        <v>Medium</v>
      </c>
      <c r="H3467" s="12" t="n">
        <v>46084</v>
      </c>
      <c r="I3467" s="5" t="s">
        <v>2241</v>
      </c>
      <c r="J3467" s="5" t="s">
        <v>2242</v>
      </c>
      <c r="K3467" s="5" t="s">
        <v>2276</v>
      </c>
      <c r="L3467" s="5" t="n">
        <f aca="false">IF(G3467="High",3,IF(G3467="Medium",2,1))</f>
        <v>2</v>
      </c>
    </row>
    <row r="3468" customFormat="false" ht="15" hidden="false" customHeight="true" outlineLevel="0" collapsed="false">
      <c r="A3468" s="5" t="s">
        <v>5746</v>
      </c>
      <c r="B3468" s="5" t="s">
        <v>2148</v>
      </c>
      <c r="C3468" s="5" t="s">
        <v>2259</v>
      </c>
      <c r="D3468" s="5" t="s">
        <v>2285</v>
      </c>
      <c r="E3468" s="5" t="s">
        <v>59</v>
      </c>
      <c r="F3468" s="5" t="s">
        <v>59</v>
      </c>
      <c r="G3468" s="5" t="str">
        <f aca="false">INDEX(Risk_Matrix!$B$2:$D$4,MATCH(E3468,Risk_Matrix!$A$2:$A$4,0),MATCH(F3468,Risk_Matrix!$B$1:$D$1,0))</f>
        <v>Low</v>
      </c>
      <c r="H3468" s="12" t="n">
        <v>46120</v>
      </c>
      <c r="I3468" s="5" t="s">
        <v>2241</v>
      </c>
      <c r="J3468" s="5" t="s">
        <v>2242</v>
      </c>
      <c r="K3468" s="5" t="s">
        <v>2243</v>
      </c>
      <c r="L3468" s="5" t="n">
        <f aca="false">IF(G3468="High",3,IF(G3468="Medium",2,1))</f>
        <v>1</v>
      </c>
    </row>
    <row r="3469" customFormat="false" ht="15" hidden="false" customHeight="true" outlineLevel="0" collapsed="false">
      <c r="A3469" s="5" t="s">
        <v>5747</v>
      </c>
      <c r="B3469" s="5" t="s">
        <v>2148</v>
      </c>
      <c r="C3469" s="5" t="s">
        <v>2254</v>
      </c>
      <c r="D3469" s="5" t="s">
        <v>2299</v>
      </c>
      <c r="E3469" s="5" t="s">
        <v>2225</v>
      </c>
      <c r="F3469" s="5" t="s">
        <v>54</v>
      </c>
      <c r="G3469" s="5" t="str">
        <f aca="false">INDEX(Risk_Matrix!$B$2:$D$4,MATCH(E3469,Risk_Matrix!$A$2:$A$4,0),MATCH(F3469,Risk_Matrix!$B$1:$D$1,0))</f>
        <v>High</v>
      </c>
      <c r="H3469" s="12" t="n">
        <v>46203</v>
      </c>
      <c r="I3469" s="5" t="s">
        <v>2256</v>
      </c>
      <c r="J3469" s="5" t="s">
        <v>4081</v>
      </c>
      <c r="K3469" s="5" t="s">
        <v>2243</v>
      </c>
      <c r="L3469" s="5" t="n">
        <f aca="false">IF(G3469="High",3,IF(G3469="Medium",2,1))</f>
        <v>3</v>
      </c>
    </row>
    <row r="3470" customFormat="false" ht="15" hidden="false" customHeight="true" outlineLevel="0" collapsed="false">
      <c r="A3470" s="5" t="s">
        <v>5748</v>
      </c>
      <c r="B3470" s="5" t="s">
        <v>2150</v>
      </c>
      <c r="C3470" s="5" t="s">
        <v>2239</v>
      </c>
      <c r="D3470" s="5" t="s">
        <v>2240</v>
      </c>
      <c r="E3470" s="5" t="s">
        <v>59</v>
      </c>
      <c r="F3470" s="5" t="s">
        <v>2225</v>
      </c>
      <c r="G3470" s="5" t="str">
        <f aca="false">INDEX(Risk_Matrix!$B$2:$D$4,MATCH(E3470,Risk_Matrix!$A$2:$A$4,0),MATCH(F3470,Risk_Matrix!$B$1:$D$1,0))</f>
        <v>Low</v>
      </c>
      <c r="H3470" s="12" t="n">
        <v>46070</v>
      </c>
      <c r="I3470" s="5" t="s">
        <v>2256</v>
      </c>
      <c r="J3470" s="5" t="s">
        <v>4081</v>
      </c>
      <c r="K3470" s="5" t="s">
        <v>2266</v>
      </c>
      <c r="L3470" s="5" t="n">
        <f aca="false">IF(G3470="High",3,IF(G3470="Medium",2,1))</f>
        <v>1</v>
      </c>
    </row>
    <row r="3471" customFormat="false" ht="15" hidden="false" customHeight="true" outlineLevel="0" collapsed="false">
      <c r="A3471" s="5" t="s">
        <v>5749</v>
      </c>
      <c r="B3471" s="5" t="s">
        <v>2150</v>
      </c>
      <c r="C3471" s="5" t="s">
        <v>2245</v>
      </c>
      <c r="D3471" s="5" t="s">
        <v>2320</v>
      </c>
      <c r="E3471" s="5" t="s">
        <v>59</v>
      </c>
      <c r="F3471" s="5" t="s">
        <v>54</v>
      </c>
      <c r="G3471" s="5" t="str">
        <f aca="false">INDEX(Risk_Matrix!$B$2:$D$4,MATCH(E3471,Risk_Matrix!$A$2:$A$4,0),MATCH(F3471,Risk_Matrix!$B$1:$D$1,0))</f>
        <v>Medium</v>
      </c>
      <c r="H3471" s="12" t="n">
        <v>46054</v>
      </c>
      <c r="I3471" s="5" t="s">
        <v>2264</v>
      </c>
      <c r="J3471" s="5" t="s">
        <v>4087</v>
      </c>
      <c r="K3471" s="5" t="s">
        <v>2276</v>
      </c>
      <c r="L3471" s="5" t="n">
        <f aca="false">IF(G3471="High",3,IF(G3471="Medium",2,1))</f>
        <v>2</v>
      </c>
    </row>
    <row r="3472" customFormat="false" ht="15" hidden="false" customHeight="true" outlineLevel="0" collapsed="false">
      <c r="A3472" s="5" t="s">
        <v>5750</v>
      </c>
      <c r="B3472" s="5" t="s">
        <v>2150</v>
      </c>
      <c r="C3472" s="5" t="s">
        <v>2248</v>
      </c>
      <c r="D3472" s="5" t="s">
        <v>2271</v>
      </c>
      <c r="E3472" s="5" t="s">
        <v>59</v>
      </c>
      <c r="F3472" s="5" t="s">
        <v>59</v>
      </c>
      <c r="G3472" s="5" t="str">
        <f aca="false">INDEX(Risk_Matrix!$B$2:$D$4,MATCH(E3472,Risk_Matrix!$A$2:$A$4,0),MATCH(F3472,Risk_Matrix!$B$1:$D$1,0))</f>
        <v>Low</v>
      </c>
      <c r="H3472" s="12" t="n">
        <v>46133</v>
      </c>
      <c r="I3472" s="5" t="s">
        <v>2241</v>
      </c>
      <c r="J3472" s="5" t="s">
        <v>2242</v>
      </c>
      <c r="K3472" s="5" t="s">
        <v>2243</v>
      </c>
      <c r="L3472" s="5" t="n">
        <f aca="false">IF(G3472="High",3,IF(G3472="Medium",2,1))</f>
        <v>1</v>
      </c>
    </row>
    <row r="3473" customFormat="false" ht="15" hidden="false" customHeight="true" outlineLevel="0" collapsed="false">
      <c r="A3473" s="5" t="s">
        <v>5751</v>
      </c>
      <c r="B3473" s="5" t="s">
        <v>2150</v>
      </c>
      <c r="C3473" s="5" t="s">
        <v>2262</v>
      </c>
      <c r="D3473" s="5" t="s">
        <v>2311</v>
      </c>
      <c r="E3473" s="5" t="s">
        <v>2225</v>
      </c>
      <c r="F3473" s="5" t="s">
        <v>59</v>
      </c>
      <c r="G3473" s="5" t="str">
        <f aca="false">INDEX(Risk_Matrix!$B$2:$D$4,MATCH(E3473,Risk_Matrix!$A$2:$A$4,0),MATCH(F3473,Risk_Matrix!$B$1:$D$1,0))</f>
        <v>Low</v>
      </c>
      <c r="H3473" s="12" t="n">
        <v>46209</v>
      </c>
      <c r="I3473" s="5" t="s">
        <v>2264</v>
      </c>
      <c r="J3473" s="5" t="s">
        <v>4087</v>
      </c>
      <c r="K3473" s="5" t="s">
        <v>2252</v>
      </c>
      <c r="L3473" s="5" t="n">
        <f aca="false">IF(G3473="High",3,IF(G3473="Medium",2,1))</f>
        <v>1</v>
      </c>
    </row>
    <row r="3474" customFormat="false" ht="15" hidden="false" customHeight="true" outlineLevel="0" collapsed="false">
      <c r="A3474" s="5" t="s">
        <v>5752</v>
      </c>
      <c r="B3474" s="5" t="s">
        <v>2150</v>
      </c>
      <c r="C3474" s="5" t="s">
        <v>2259</v>
      </c>
      <c r="D3474" s="5" t="s">
        <v>2285</v>
      </c>
      <c r="E3474" s="5" t="s">
        <v>54</v>
      </c>
      <c r="F3474" s="5" t="s">
        <v>54</v>
      </c>
      <c r="G3474" s="5" t="str">
        <f aca="false">INDEX(Risk_Matrix!$B$2:$D$4,MATCH(E3474,Risk_Matrix!$A$2:$A$4,0),MATCH(F3474,Risk_Matrix!$B$1:$D$1,0))</f>
        <v>High</v>
      </c>
      <c r="H3474" s="12" t="n">
        <v>46067</v>
      </c>
      <c r="I3474" s="5" t="s">
        <v>2250</v>
      </c>
      <c r="J3474" s="5" t="s">
        <v>2251</v>
      </c>
      <c r="K3474" s="5" t="s">
        <v>2276</v>
      </c>
      <c r="L3474" s="5" t="n">
        <f aca="false">IF(G3474="High",3,IF(G3474="Medium",2,1))</f>
        <v>3</v>
      </c>
    </row>
    <row r="3475" customFormat="false" ht="15" hidden="false" customHeight="true" outlineLevel="0" collapsed="false">
      <c r="A3475" s="5" t="s">
        <v>5753</v>
      </c>
      <c r="B3475" s="5" t="s">
        <v>2150</v>
      </c>
      <c r="C3475" s="5" t="s">
        <v>2254</v>
      </c>
      <c r="D3475" s="5" t="s">
        <v>2299</v>
      </c>
      <c r="E3475" s="5" t="s">
        <v>54</v>
      </c>
      <c r="F3475" s="5" t="s">
        <v>54</v>
      </c>
      <c r="G3475" s="5" t="str">
        <f aca="false">INDEX(Risk_Matrix!$B$2:$D$4,MATCH(E3475,Risk_Matrix!$A$2:$A$4,0),MATCH(F3475,Risk_Matrix!$B$1:$D$1,0))</f>
        <v>High</v>
      </c>
      <c r="H3475" s="12" t="n">
        <v>46135</v>
      </c>
      <c r="I3475" s="5" t="s">
        <v>2264</v>
      </c>
      <c r="J3475" s="5" t="s">
        <v>4087</v>
      </c>
      <c r="K3475" s="5" t="s">
        <v>2276</v>
      </c>
      <c r="L3475" s="5" t="n">
        <f aca="false">IF(G3475="High",3,IF(G3475="Medium",2,1))</f>
        <v>3</v>
      </c>
    </row>
    <row r="3476" customFormat="false" ht="15" hidden="false" customHeight="true" outlineLevel="0" collapsed="false">
      <c r="A3476" s="5" t="s">
        <v>5754</v>
      </c>
      <c r="B3476" s="5" t="s">
        <v>2152</v>
      </c>
      <c r="C3476" s="5" t="s">
        <v>2239</v>
      </c>
      <c r="D3476" s="5" t="s">
        <v>2278</v>
      </c>
      <c r="E3476" s="5" t="s">
        <v>54</v>
      </c>
      <c r="F3476" s="5" t="s">
        <v>2225</v>
      </c>
      <c r="G3476" s="5" t="str">
        <f aca="false">INDEX(Risk_Matrix!$B$2:$D$4,MATCH(E3476,Risk_Matrix!$A$2:$A$4,0),MATCH(F3476,Risk_Matrix!$B$1:$D$1,0))</f>
        <v>High</v>
      </c>
      <c r="H3476" s="12" t="n">
        <v>46093</v>
      </c>
      <c r="I3476" s="5" t="s">
        <v>2250</v>
      </c>
      <c r="J3476" s="5" t="s">
        <v>2251</v>
      </c>
      <c r="K3476" s="5" t="s">
        <v>2252</v>
      </c>
      <c r="L3476" s="5" t="n">
        <f aca="false">IF(G3476="High",3,IF(G3476="Medium",2,1))</f>
        <v>3</v>
      </c>
    </row>
    <row r="3477" customFormat="false" ht="15" hidden="false" customHeight="true" outlineLevel="0" collapsed="false">
      <c r="A3477" s="5" t="s">
        <v>5755</v>
      </c>
      <c r="B3477" s="5" t="s">
        <v>2152</v>
      </c>
      <c r="C3477" s="5" t="s">
        <v>2245</v>
      </c>
      <c r="D3477" s="5" t="s">
        <v>2246</v>
      </c>
      <c r="E3477" s="5" t="s">
        <v>54</v>
      </c>
      <c r="F3477" s="5" t="s">
        <v>59</v>
      </c>
      <c r="G3477" s="5" t="str">
        <f aca="false">INDEX(Risk_Matrix!$B$2:$D$4,MATCH(E3477,Risk_Matrix!$A$2:$A$4,0),MATCH(F3477,Risk_Matrix!$B$1:$D$1,0))</f>
        <v>Medium</v>
      </c>
      <c r="H3477" s="12" t="n">
        <v>46102</v>
      </c>
      <c r="I3477" s="5" t="s">
        <v>2264</v>
      </c>
      <c r="J3477" s="5" t="s">
        <v>4087</v>
      </c>
      <c r="K3477" s="5" t="s">
        <v>2276</v>
      </c>
      <c r="L3477" s="5" t="n">
        <f aca="false">IF(G3477="High",3,IF(G3477="Medium",2,1))</f>
        <v>2</v>
      </c>
    </row>
    <row r="3478" customFormat="false" ht="15" hidden="false" customHeight="true" outlineLevel="0" collapsed="false">
      <c r="A3478" s="5" t="s">
        <v>5756</v>
      </c>
      <c r="B3478" s="5" t="s">
        <v>2152</v>
      </c>
      <c r="C3478" s="5" t="s">
        <v>2248</v>
      </c>
      <c r="D3478" s="5" t="s">
        <v>2249</v>
      </c>
      <c r="E3478" s="5" t="s">
        <v>54</v>
      </c>
      <c r="F3478" s="5" t="s">
        <v>2225</v>
      </c>
      <c r="G3478" s="5" t="str">
        <f aca="false">INDEX(Risk_Matrix!$B$2:$D$4,MATCH(E3478,Risk_Matrix!$A$2:$A$4,0),MATCH(F3478,Risk_Matrix!$B$1:$D$1,0))</f>
        <v>High</v>
      </c>
      <c r="H3478" s="12" t="n">
        <v>46056</v>
      </c>
      <c r="I3478" s="5" t="s">
        <v>2241</v>
      </c>
      <c r="J3478" s="5" t="s">
        <v>2242</v>
      </c>
      <c r="K3478" s="5" t="s">
        <v>2283</v>
      </c>
      <c r="L3478" s="5" t="n">
        <f aca="false">IF(G3478="High",3,IF(G3478="Medium",2,1))</f>
        <v>3</v>
      </c>
    </row>
    <row r="3479" customFormat="false" ht="15" hidden="false" customHeight="true" outlineLevel="0" collapsed="false">
      <c r="A3479" s="5" t="s">
        <v>5757</v>
      </c>
      <c r="B3479" s="5" t="s">
        <v>2152</v>
      </c>
      <c r="C3479" s="5" t="s">
        <v>2262</v>
      </c>
      <c r="D3479" s="5" t="s">
        <v>2263</v>
      </c>
      <c r="E3479" s="5" t="s">
        <v>59</v>
      </c>
      <c r="F3479" s="5" t="s">
        <v>59</v>
      </c>
      <c r="G3479" s="5" t="str">
        <f aca="false">INDEX(Risk_Matrix!$B$2:$D$4,MATCH(E3479,Risk_Matrix!$A$2:$A$4,0),MATCH(F3479,Risk_Matrix!$B$1:$D$1,0))</f>
        <v>Low</v>
      </c>
      <c r="H3479" s="12" t="n">
        <v>46055</v>
      </c>
      <c r="I3479" s="5" t="s">
        <v>2264</v>
      </c>
      <c r="J3479" s="5" t="s">
        <v>4087</v>
      </c>
      <c r="K3479" s="5" t="s">
        <v>2283</v>
      </c>
      <c r="L3479" s="5" t="n">
        <f aca="false">IF(G3479="High",3,IF(G3479="Medium",2,1))</f>
        <v>1</v>
      </c>
    </row>
    <row r="3480" customFormat="false" ht="15" hidden="false" customHeight="true" outlineLevel="0" collapsed="false">
      <c r="A3480" s="5" t="s">
        <v>5758</v>
      </c>
      <c r="B3480" s="5" t="s">
        <v>2152</v>
      </c>
      <c r="C3480" s="5" t="s">
        <v>2259</v>
      </c>
      <c r="D3480" s="5" t="s">
        <v>2285</v>
      </c>
      <c r="E3480" s="5" t="s">
        <v>2225</v>
      </c>
      <c r="F3480" s="5" t="s">
        <v>2225</v>
      </c>
      <c r="G3480" s="5" t="str">
        <f aca="false">INDEX(Risk_Matrix!$B$2:$D$4,MATCH(E3480,Risk_Matrix!$A$2:$A$4,0),MATCH(F3480,Risk_Matrix!$B$1:$D$1,0))</f>
        <v>Medium</v>
      </c>
      <c r="H3480" s="12" t="n">
        <v>46159</v>
      </c>
      <c r="I3480" s="5" t="s">
        <v>2264</v>
      </c>
      <c r="J3480" s="5" t="s">
        <v>4087</v>
      </c>
      <c r="K3480" s="5" t="s">
        <v>2266</v>
      </c>
      <c r="L3480" s="5" t="n">
        <f aca="false">IF(G3480="High",3,IF(G3480="Medium",2,1))</f>
        <v>2</v>
      </c>
    </row>
    <row r="3481" customFormat="false" ht="15" hidden="false" customHeight="true" outlineLevel="0" collapsed="false">
      <c r="A3481" s="5" t="s">
        <v>5759</v>
      </c>
      <c r="B3481" s="5" t="s">
        <v>2152</v>
      </c>
      <c r="C3481" s="5" t="s">
        <v>2254</v>
      </c>
      <c r="D3481" s="5" t="s">
        <v>2308</v>
      </c>
      <c r="E3481" s="5" t="s">
        <v>54</v>
      </c>
      <c r="F3481" s="5" t="s">
        <v>59</v>
      </c>
      <c r="G3481" s="5" t="str">
        <f aca="false">INDEX(Risk_Matrix!$B$2:$D$4,MATCH(E3481,Risk_Matrix!$A$2:$A$4,0),MATCH(F3481,Risk_Matrix!$B$1:$D$1,0))</f>
        <v>Medium</v>
      </c>
      <c r="H3481" s="12" t="n">
        <v>46039</v>
      </c>
      <c r="I3481" s="5" t="s">
        <v>2264</v>
      </c>
      <c r="J3481" s="5" t="s">
        <v>4087</v>
      </c>
      <c r="K3481" s="5" t="s">
        <v>2243</v>
      </c>
      <c r="L3481" s="5" t="n">
        <f aca="false">IF(G3481="High",3,IF(G3481="Medium",2,1))</f>
        <v>2</v>
      </c>
    </row>
    <row r="3482" customFormat="false" ht="15" hidden="false" customHeight="true" outlineLevel="0" collapsed="false">
      <c r="A3482" s="5" t="s">
        <v>5760</v>
      </c>
      <c r="B3482" s="5" t="s">
        <v>2154</v>
      </c>
      <c r="C3482" s="5" t="s">
        <v>2239</v>
      </c>
      <c r="D3482" s="5" t="s">
        <v>2240</v>
      </c>
      <c r="E3482" s="5" t="s">
        <v>59</v>
      </c>
      <c r="F3482" s="5" t="s">
        <v>54</v>
      </c>
      <c r="G3482" s="5" t="str">
        <f aca="false">INDEX(Risk_Matrix!$B$2:$D$4,MATCH(E3482,Risk_Matrix!$A$2:$A$4,0),MATCH(F3482,Risk_Matrix!$B$1:$D$1,0))</f>
        <v>Medium</v>
      </c>
      <c r="H3482" s="12" t="n">
        <v>46161</v>
      </c>
      <c r="I3482" s="5" t="s">
        <v>2241</v>
      </c>
      <c r="J3482" s="5" t="s">
        <v>2242</v>
      </c>
      <c r="K3482" s="5" t="s">
        <v>2252</v>
      </c>
      <c r="L3482" s="5" t="n">
        <f aca="false">IF(G3482="High",3,IF(G3482="Medium",2,1))</f>
        <v>2</v>
      </c>
    </row>
    <row r="3483" customFormat="false" ht="15" hidden="false" customHeight="true" outlineLevel="0" collapsed="false">
      <c r="A3483" s="5" t="s">
        <v>5761</v>
      </c>
      <c r="B3483" s="5" t="s">
        <v>2154</v>
      </c>
      <c r="C3483" s="5" t="s">
        <v>2245</v>
      </c>
      <c r="D3483" s="5" t="s">
        <v>2280</v>
      </c>
      <c r="E3483" s="5" t="s">
        <v>2225</v>
      </c>
      <c r="F3483" s="5" t="s">
        <v>2225</v>
      </c>
      <c r="G3483" s="5" t="str">
        <f aca="false">INDEX(Risk_Matrix!$B$2:$D$4,MATCH(E3483,Risk_Matrix!$A$2:$A$4,0),MATCH(F3483,Risk_Matrix!$B$1:$D$1,0))</f>
        <v>Medium</v>
      </c>
      <c r="H3483" s="12" t="n">
        <v>46061</v>
      </c>
      <c r="I3483" s="5" t="s">
        <v>2250</v>
      </c>
      <c r="J3483" s="5" t="s">
        <v>2251</v>
      </c>
      <c r="K3483" s="5" t="s">
        <v>2283</v>
      </c>
      <c r="L3483" s="5" t="n">
        <f aca="false">IF(G3483="High",3,IF(G3483="Medium",2,1))</f>
        <v>2</v>
      </c>
    </row>
    <row r="3484" customFormat="false" ht="15" hidden="false" customHeight="true" outlineLevel="0" collapsed="false">
      <c r="A3484" s="5" t="s">
        <v>5762</v>
      </c>
      <c r="B3484" s="5" t="s">
        <v>2154</v>
      </c>
      <c r="C3484" s="5" t="s">
        <v>2248</v>
      </c>
      <c r="D3484" s="5" t="s">
        <v>2322</v>
      </c>
      <c r="E3484" s="5" t="s">
        <v>59</v>
      </c>
      <c r="F3484" s="5" t="s">
        <v>2225</v>
      </c>
      <c r="G3484" s="5" t="str">
        <f aca="false">INDEX(Risk_Matrix!$B$2:$D$4,MATCH(E3484,Risk_Matrix!$A$2:$A$4,0),MATCH(F3484,Risk_Matrix!$B$1:$D$1,0))</f>
        <v>Low</v>
      </c>
      <c r="H3484" s="12" t="n">
        <v>46062</v>
      </c>
      <c r="I3484" s="5" t="s">
        <v>2256</v>
      </c>
      <c r="J3484" s="5" t="s">
        <v>4081</v>
      </c>
      <c r="K3484" s="5" t="s">
        <v>2243</v>
      </c>
      <c r="L3484" s="5" t="n">
        <f aca="false">IF(G3484="High",3,IF(G3484="Medium",2,1))</f>
        <v>1</v>
      </c>
    </row>
    <row r="3485" customFormat="false" ht="15" hidden="false" customHeight="true" outlineLevel="0" collapsed="false">
      <c r="A3485" s="5" t="s">
        <v>5763</v>
      </c>
      <c r="B3485" s="5" t="s">
        <v>2154</v>
      </c>
      <c r="C3485" s="5" t="s">
        <v>2262</v>
      </c>
      <c r="D3485" s="5" t="s">
        <v>2311</v>
      </c>
      <c r="E3485" s="5" t="s">
        <v>54</v>
      </c>
      <c r="F3485" s="5" t="s">
        <v>54</v>
      </c>
      <c r="G3485" s="5" t="str">
        <f aca="false">INDEX(Risk_Matrix!$B$2:$D$4,MATCH(E3485,Risk_Matrix!$A$2:$A$4,0),MATCH(F3485,Risk_Matrix!$B$1:$D$1,0))</f>
        <v>High</v>
      </c>
      <c r="H3485" s="12" t="n">
        <v>46064</v>
      </c>
      <c r="I3485" s="5" t="s">
        <v>2241</v>
      </c>
      <c r="J3485" s="5" t="s">
        <v>2242</v>
      </c>
      <c r="K3485" s="5" t="s">
        <v>2283</v>
      </c>
      <c r="L3485" s="5" t="n">
        <f aca="false">IF(G3485="High",3,IF(G3485="Medium",2,1))</f>
        <v>3</v>
      </c>
    </row>
    <row r="3486" customFormat="false" ht="15" hidden="false" customHeight="true" outlineLevel="0" collapsed="false">
      <c r="A3486" s="5" t="s">
        <v>5764</v>
      </c>
      <c r="B3486" s="5" t="s">
        <v>2154</v>
      </c>
      <c r="C3486" s="5" t="s">
        <v>2259</v>
      </c>
      <c r="D3486" s="5" t="s">
        <v>2285</v>
      </c>
      <c r="E3486" s="5" t="s">
        <v>2225</v>
      </c>
      <c r="F3486" s="5" t="s">
        <v>59</v>
      </c>
      <c r="G3486" s="5" t="str">
        <f aca="false">INDEX(Risk_Matrix!$B$2:$D$4,MATCH(E3486,Risk_Matrix!$A$2:$A$4,0),MATCH(F3486,Risk_Matrix!$B$1:$D$1,0))</f>
        <v>Low</v>
      </c>
      <c r="H3486" s="12" t="n">
        <v>46047</v>
      </c>
      <c r="I3486" s="5" t="s">
        <v>2256</v>
      </c>
      <c r="J3486" s="5" t="s">
        <v>4081</v>
      </c>
      <c r="K3486" s="5" t="s">
        <v>2283</v>
      </c>
      <c r="L3486" s="5" t="n">
        <f aca="false">IF(G3486="High",3,IF(G3486="Medium",2,1))</f>
        <v>1</v>
      </c>
    </row>
    <row r="3487" customFormat="false" ht="15" hidden="false" customHeight="true" outlineLevel="0" collapsed="false">
      <c r="A3487" s="5" t="s">
        <v>5765</v>
      </c>
      <c r="B3487" s="5" t="s">
        <v>2154</v>
      </c>
      <c r="C3487" s="5" t="s">
        <v>2254</v>
      </c>
      <c r="D3487" s="5" t="s">
        <v>2299</v>
      </c>
      <c r="E3487" s="5" t="s">
        <v>2225</v>
      </c>
      <c r="F3487" s="5" t="s">
        <v>2225</v>
      </c>
      <c r="G3487" s="5" t="str">
        <f aca="false">INDEX(Risk_Matrix!$B$2:$D$4,MATCH(E3487,Risk_Matrix!$A$2:$A$4,0),MATCH(F3487,Risk_Matrix!$B$1:$D$1,0))</f>
        <v>Medium</v>
      </c>
      <c r="H3487" s="12" t="n">
        <v>46113</v>
      </c>
      <c r="I3487" s="5" t="s">
        <v>2264</v>
      </c>
      <c r="J3487" s="5" t="s">
        <v>4087</v>
      </c>
      <c r="K3487" s="5" t="s">
        <v>2252</v>
      </c>
      <c r="L3487" s="5" t="n">
        <f aca="false">IF(G3487="High",3,IF(G3487="Medium",2,1))</f>
        <v>2</v>
      </c>
    </row>
    <row r="3488" customFormat="false" ht="15" hidden="false" customHeight="true" outlineLevel="0" collapsed="false">
      <c r="A3488" s="5" t="s">
        <v>5766</v>
      </c>
      <c r="B3488" s="5" t="s">
        <v>2156</v>
      </c>
      <c r="C3488" s="5" t="s">
        <v>2239</v>
      </c>
      <c r="D3488" s="5" t="s">
        <v>2240</v>
      </c>
      <c r="E3488" s="5" t="s">
        <v>59</v>
      </c>
      <c r="F3488" s="5" t="s">
        <v>59</v>
      </c>
      <c r="G3488" s="5" t="str">
        <f aca="false">INDEX(Risk_Matrix!$B$2:$D$4,MATCH(E3488,Risk_Matrix!$A$2:$A$4,0),MATCH(F3488,Risk_Matrix!$B$1:$D$1,0))</f>
        <v>Low</v>
      </c>
      <c r="H3488" s="12" t="n">
        <v>46234</v>
      </c>
      <c r="I3488" s="5" t="s">
        <v>2241</v>
      </c>
      <c r="J3488" s="5" t="s">
        <v>2242</v>
      </c>
      <c r="K3488" s="5" t="s">
        <v>2266</v>
      </c>
      <c r="L3488" s="5" t="n">
        <f aca="false">IF(G3488="High",3,IF(G3488="Medium",2,1))</f>
        <v>1</v>
      </c>
    </row>
    <row r="3489" customFormat="false" ht="15" hidden="false" customHeight="true" outlineLevel="0" collapsed="false">
      <c r="A3489" s="5" t="s">
        <v>5767</v>
      </c>
      <c r="B3489" s="5" t="s">
        <v>2156</v>
      </c>
      <c r="C3489" s="5" t="s">
        <v>2245</v>
      </c>
      <c r="D3489" s="5" t="s">
        <v>2280</v>
      </c>
      <c r="E3489" s="5" t="s">
        <v>59</v>
      </c>
      <c r="F3489" s="5" t="s">
        <v>2225</v>
      </c>
      <c r="G3489" s="5" t="str">
        <f aca="false">INDEX(Risk_Matrix!$B$2:$D$4,MATCH(E3489,Risk_Matrix!$A$2:$A$4,0),MATCH(F3489,Risk_Matrix!$B$1:$D$1,0))</f>
        <v>Low</v>
      </c>
      <c r="H3489" s="12" t="n">
        <v>46047</v>
      </c>
      <c r="I3489" s="5" t="s">
        <v>2264</v>
      </c>
      <c r="J3489" s="5" t="s">
        <v>4087</v>
      </c>
      <c r="K3489" s="5" t="s">
        <v>2283</v>
      </c>
      <c r="L3489" s="5" t="n">
        <f aca="false">IF(G3489="High",3,IF(G3489="Medium",2,1))</f>
        <v>1</v>
      </c>
    </row>
    <row r="3490" customFormat="false" ht="15" hidden="false" customHeight="true" outlineLevel="0" collapsed="false">
      <c r="A3490" s="5" t="s">
        <v>5768</v>
      </c>
      <c r="B3490" s="5" t="s">
        <v>2156</v>
      </c>
      <c r="C3490" s="5" t="s">
        <v>2248</v>
      </c>
      <c r="D3490" s="5" t="s">
        <v>2271</v>
      </c>
      <c r="E3490" s="5" t="s">
        <v>54</v>
      </c>
      <c r="F3490" s="5" t="s">
        <v>59</v>
      </c>
      <c r="G3490" s="5" t="str">
        <f aca="false">INDEX(Risk_Matrix!$B$2:$D$4,MATCH(E3490,Risk_Matrix!$A$2:$A$4,0),MATCH(F3490,Risk_Matrix!$B$1:$D$1,0))</f>
        <v>Medium</v>
      </c>
      <c r="H3490" s="12" t="n">
        <v>46139</v>
      </c>
      <c r="I3490" s="5" t="s">
        <v>2256</v>
      </c>
      <c r="J3490" s="5" t="s">
        <v>4081</v>
      </c>
      <c r="K3490" s="5" t="s">
        <v>2266</v>
      </c>
      <c r="L3490" s="5" t="n">
        <f aca="false">IF(G3490="High",3,IF(G3490="Medium",2,1))</f>
        <v>2</v>
      </c>
    </row>
    <row r="3491" customFormat="false" ht="15" hidden="false" customHeight="true" outlineLevel="0" collapsed="false">
      <c r="A3491" s="5" t="s">
        <v>5769</v>
      </c>
      <c r="B3491" s="5" t="s">
        <v>2156</v>
      </c>
      <c r="C3491" s="5" t="s">
        <v>2262</v>
      </c>
      <c r="D3491" s="5" t="s">
        <v>2263</v>
      </c>
      <c r="E3491" s="5" t="s">
        <v>54</v>
      </c>
      <c r="F3491" s="5" t="s">
        <v>2225</v>
      </c>
      <c r="G3491" s="5" t="str">
        <f aca="false">INDEX(Risk_Matrix!$B$2:$D$4,MATCH(E3491,Risk_Matrix!$A$2:$A$4,0),MATCH(F3491,Risk_Matrix!$B$1:$D$1,0))</f>
        <v>High</v>
      </c>
      <c r="H3491" s="12" t="n">
        <v>46033</v>
      </c>
      <c r="I3491" s="5" t="s">
        <v>2241</v>
      </c>
      <c r="J3491" s="5" t="s">
        <v>2242</v>
      </c>
      <c r="K3491" s="5" t="s">
        <v>2283</v>
      </c>
      <c r="L3491" s="5" t="n">
        <f aca="false">IF(G3491="High",3,IF(G3491="Medium",2,1))</f>
        <v>3</v>
      </c>
    </row>
    <row r="3492" customFormat="false" ht="15" hidden="false" customHeight="true" outlineLevel="0" collapsed="false">
      <c r="A3492" s="5" t="s">
        <v>5770</v>
      </c>
      <c r="B3492" s="5" t="s">
        <v>2156</v>
      </c>
      <c r="C3492" s="5" t="s">
        <v>2259</v>
      </c>
      <c r="D3492" s="5" t="s">
        <v>2285</v>
      </c>
      <c r="E3492" s="5" t="s">
        <v>59</v>
      </c>
      <c r="F3492" s="5" t="s">
        <v>2225</v>
      </c>
      <c r="G3492" s="5" t="str">
        <f aca="false">INDEX(Risk_Matrix!$B$2:$D$4,MATCH(E3492,Risk_Matrix!$A$2:$A$4,0),MATCH(F3492,Risk_Matrix!$B$1:$D$1,0))</f>
        <v>Low</v>
      </c>
      <c r="H3492" s="12" t="n">
        <v>46199</v>
      </c>
      <c r="I3492" s="5" t="s">
        <v>2250</v>
      </c>
      <c r="J3492" s="5" t="s">
        <v>2251</v>
      </c>
      <c r="K3492" s="5" t="s">
        <v>2276</v>
      </c>
      <c r="L3492" s="5" t="n">
        <f aca="false">IF(G3492="High",3,IF(G3492="Medium",2,1))</f>
        <v>1</v>
      </c>
    </row>
    <row r="3493" customFormat="false" ht="15" hidden="false" customHeight="true" outlineLevel="0" collapsed="false">
      <c r="A3493" s="5" t="s">
        <v>5771</v>
      </c>
      <c r="B3493" s="5" t="s">
        <v>2156</v>
      </c>
      <c r="C3493" s="5" t="s">
        <v>2254</v>
      </c>
      <c r="D3493" s="5" t="s">
        <v>2308</v>
      </c>
      <c r="E3493" s="5" t="s">
        <v>54</v>
      </c>
      <c r="F3493" s="5" t="s">
        <v>54</v>
      </c>
      <c r="G3493" s="5" t="str">
        <f aca="false">INDEX(Risk_Matrix!$B$2:$D$4,MATCH(E3493,Risk_Matrix!$A$2:$A$4,0),MATCH(F3493,Risk_Matrix!$B$1:$D$1,0))</f>
        <v>High</v>
      </c>
      <c r="H3493" s="12" t="n">
        <v>46093</v>
      </c>
      <c r="I3493" s="5" t="s">
        <v>2250</v>
      </c>
      <c r="J3493" s="5" t="s">
        <v>2251</v>
      </c>
      <c r="K3493" s="5" t="s">
        <v>2252</v>
      </c>
      <c r="L3493" s="5" t="n">
        <f aca="false">IF(G3493="High",3,IF(G3493="Medium",2,1))</f>
        <v>3</v>
      </c>
    </row>
    <row r="3494" customFormat="false" ht="15" hidden="false" customHeight="true" outlineLevel="0" collapsed="false">
      <c r="A3494" s="5" t="s">
        <v>5772</v>
      </c>
      <c r="B3494" s="5" t="s">
        <v>2158</v>
      </c>
      <c r="C3494" s="5" t="s">
        <v>2239</v>
      </c>
      <c r="D3494" s="5" t="s">
        <v>2278</v>
      </c>
      <c r="E3494" s="5" t="s">
        <v>59</v>
      </c>
      <c r="F3494" s="5" t="s">
        <v>54</v>
      </c>
      <c r="G3494" s="5" t="str">
        <f aca="false">INDEX(Risk_Matrix!$B$2:$D$4,MATCH(E3494,Risk_Matrix!$A$2:$A$4,0),MATCH(F3494,Risk_Matrix!$B$1:$D$1,0))</f>
        <v>Medium</v>
      </c>
      <c r="H3494" s="12" t="n">
        <v>46198</v>
      </c>
      <c r="I3494" s="5" t="s">
        <v>2264</v>
      </c>
      <c r="J3494" s="5" t="s">
        <v>4087</v>
      </c>
      <c r="K3494" s="5" t="s">
        <v>2283</v>
      </c>
      <c r="L3494" s="5" t="n">
        <f aca="false">IF(G3494="High",3,IF(G3494="Medium",2,1))</f>
        <v>2</v>
      </c>
    </row>
    <row r="3495" customFormat="false" ht="15" hidden="false" customHeight="true" outlineLevel="0" collapsed="false">
      <c r="A3495" s="5" t="s">
        <v>5773</v>
      </c>
      <c r="B3495" s="5" t="s">
        <v>2158</v>
      </c>
      <c r="C3495" s="5" t="s">
        <v>2245</v>
      </c>
      <c r="D3495" s="5" t="s">
        <v>2269</v>
      </c>
      <c r="E3495" s="5" t="s">
        <v>2225</v>
      </c>
      <c r="F3495" s="5" t="s">
        <v>2225</v>
      </c>
      <c r="G3495" s="5" t="str">
        <f aca="false">INDEX(Risk_Matrix!$B$2:$D$4,MATCH(E3495,Risk_Matrix!$A$2:$A$4,0),MATCH(F3495,Risk_Matrix!$B$1:$D$1,0))</f>
        <v>Medium</v>
      </c>
      <c r="H3495" s="12" t="n">
        <v>46071</v>
      </c>
      <c r="I3495" s="5" t="s">
        <v>2241</v>
      </c>
      <c r="J3495" s="5" t="s">
        <v>2242</v>
      </c>
      <c r="K3495" s="5" t="s">
        <v>2243</v>
      </c>
      <c r="L3495" s="5" t="n">
        <f aca="false">IF(G3495="High",3,IF(G3495="Medium",2,1))</f>
        <v>2</v>
      </c>
    </row>
    <row r="3496" customFormat="false" ht="15" hidden="false" customHeight="true" outlineLevel="0" collapsed="false">
      <c r="A3496" s="5" t="s">
        <v>5774</v>
      </c>
      <c r="B3496" s="5" t="s">
        <v>2158</v>
      </c>
      <c r="C3496" s="5" t="s">
        <v>2248</v>
      </c>
      <c r="D3496" s="5" t="s">
        <v>2306</v>
      </c>
      <c r="E3496" s="5" t="s">
        <v>54</v>
      </c>
      <c r="F3496" s="5" t="s">
        <v>54</v>
      </c>
      <c r="G3496" s="5" t="str">
        <f aca="false">INDEX(Risk_Matrix!$B$2:$D$4,MATCH(E3496,Risk_Matrix!$A$2:$A$4,0),MATCH(F3496,Risk_Matrix!$B$1:$D$1,0))</f>
        <v>High</v>
      </c>
      <c r="H3496" s="12" t="n">
        <v>46124</v>
      </c>
      <c r="I3496" s="5" t="s">
        <v>2241</v>
      </c>
      <c r="J3496" s="5" t="s">
        <v>2242</v>
      </c>
      <c r="K3496" s="5" t="s">
        <v>2252</v>
      </c>
      <c r="L3496" s="5" t="n">
        <f aca="false">IF(G3496="High",3,IF(G3496="Medium",2,1))</f>
        <v>3</v>
      </c>
    </row>
    <row r="3497" customFormat="false" ht="15" hidden="false" customHeight="true" outlineLevel="0" collapsed="false">
      <c r="A3497" s="5" t="s">
        <v>5775</v>
      </c>
      <c r="B3497" s="5" t="s">
        <v>2158</v>
      </c>
      <c r="C3497" s="5" t="s">
        <v>2262</v>
      </c>
      <c r="D3497" s="5" t="s">
        <v>2287</v>
      </c>
      <c r="E3497" s="5" t="s">
        <v>59</v>
      </c>
      <c r="F3497" s="5" t="s">
        <v>54</v>
      </c>
      <c r="G3497" s="5" t="str">
        <f aca="false">INDEX(Risk_Matrix!$B$2:$D$4,MATCH(E3497,Risk_Matrix!$A$2:$A$4,0),MATCH(F3497,Risk_Matrix!$B$1:$D$1,0))</f>
        <v>Medium</v>
      </c>
      <c r="H3497" s="12" t="n">
        <v>46033</v>
      </c>
      <c r="I3497" s="5" t="s">
        <v>2256</v>
      </c>
      <c r="J3497" s="5" t="s">
        <v>4081</v>
      </c>
      <c r="K3497" s="5" t="s">
        <v>2276</v>
      </c>
      <c r="L3497" s="5" t="n">
        <f aca="false">IF(G3497="High",3,IF(G3497="Medium",2,1))</f>
        <v>2</v>
      </c>
    </row>
    <row r="3498" customFormat="false" ht="15" hidden="false" customHeight="true" outlineLevel="0" collapsed="false">
      <c r="A3498" s="5" t="s">
        <v>5776</v>
      </c>
      <c r="B3498" s="5" t="s">
        <v>2158</v>
      </c>
      <c r="C3498" s="5" t="s">
        <v>2259</v>
      </c>
      <c r="D3498" s="5" t="s">
        <v>2260</v>
      </c>
      <c r="E3498" s="5" t="s">
        <v>54</v>
      </c>
      <c r="F3498" s="5" t="s">
        <v>59</v>
      </c>
      <c r="G3498" s="5" t="str">
        <f aca="false">INDEX(Risk_Matrix!$B$2:$D$4,MATCH(E3498,Risk_Matrix!$A$2:$A$4,0),MATCH(F3498,Risk_Matrix!$B$1:$D$1,0))</f>
        <v>Medium</v>
      </c>
      <c r="H3498" s="12" t="n">
        <v>46089</v>
      </c>
      <c r="I3498" s="5" t="s">
        <v>2241</v>
      </c>
      <c r="J3498" s="5" t="s">
        <v>2242</v>
      </c>
      <c r="K3498" s="5" t="s">
        <v>2252</v>
      </c>
      <c r="L3498" s="5" t="n">
        <f aca="false">IF(G3498="High",3,IF(G3498="Medium",2,1))</f>
        <v>2</v>
      </c>
    </row>
    <row r="3499" customFormat="false" ht="15" hidden="false" customHeight="true" outlineLevel="0" collapsed="false">
      <c r="A3499" s="5" t="s">
        <v>5777</v>
      </c>
      <c r="B3499" s="5" t="s">
        <v>2158</v>
      </c>
      <c r="C3499" s="5" t="s">
        <v>2254</v>
      </c>
      <c r="D3499" s="5" t="s">
        <v>2255</v>
      </c>
      <c r="E3499" s="5" t="s">
        <v>2225</v>
      </c>
      <c r="F3499" s="5" t="s">
        <v>54</v>
      </c>
      <c r="G3499" s="5" t="str">
        <f aca="false">INDEX(Risk_Matrix!$B$2:$D$4,MATCH(E3499,Risk_Matrix!$A$2:$A$4,0),MATCH(F3499,Risk_Matrix!$B$1:$D$1,0))</f>
        <v>High</v>
      </c>
      <c r="H3499" s="12" t="n">
        <v>46119</v>
      </c>
      <c r="I3499" s="5" t="s">
        <v>2250</v>
      </c>
      <c r="J3499" s="5" t="s">
        <v>2251</v>
      </c>
      <c r="K3499" s="5" t="s">
        <v>2266</v>
      </c>
      <c r="L3499" s="5" t="n">
        <f aca="false">IF(G3499="High",3,IF(G3499="Medium",2,1))</f>
        <v>3</v>
      </c>
    </row>
    <row r="3500" customFormat="false" ht="15" hidden="false" customHeight="true" outlineLevel="0" collapsed="false">
      <c r="A3500" s="5" t="s">
        <v>5778</v>
      </c>
      <c r="B3500" s="5" t="s">
        <v>2160</v>
      </c>
      <c r="C3500" s="5" t="s">
        <v>2239</v>
      </c>
      <c r="D3500" s="5" t="s">
        <v>2295</v>
      </c>
      <c r="E3500" s="5" t="s">
        <v>54</v>
      </c>
      <c r="F3500" s="5" t="s">
        <v>59</v>
      </c>
      <c r="G3500" s="5" t="str">
        <f aca="false">INDEX(Risk_Matrix!$B$2:$D$4,MATCH(E3500,Risk_Matrix!$A$2:$A$4,0),MATCH(F3500,Risk_Matrix!$B$1:$D$1,0))</f>
        <v>Medium</v>
      </c>
      <c r="H3500" s="12" t="n">
        <v>46171</v>
      </c>
      <c r="I3500" s="5" t="s">
        <v>2256</v>
      </c>
      <c r="J3500" s="5" t="s">
        <v>4081</v>
      </c>
      <c r="K3500" s="5" t="s">
        <v>2276</v>
      </c>
      <c r="L3500" s="5" t="n">
        <f aca="false">IF(G3500="High",3,IF(G3500="Medium",2,1))</f>
        <v>2</v>
      </c>
    </row>
    <row r="3501" customFormat="false" ht="15" hidden="false" customHeight="true" outlineLevel="0" collapsed="false">
      <c r="A3501" s="5" t="s">
        <v>5779</v>
      </c>
      <c r="B3501" s="5" t="s">
        <v>2160</v>
      </c>
      <c r="C3501" s="5" t="s">
        <v>2245</v>
      </c>
      <c r="D3501" s="5" t="s">
        <v>2280</v>
      </c>
      <c r="E3501" s="5" t="s">
        <v>59</v>
      </c>
      <c r="F3501" s="5" t="s">
        <v>2225</v>
      </c>
      <c r="G3501" s="5" t="str">
        <f aca="false">INDEX(Risk_Matrix!$B$2:$D$4,MATCH(E3501,Risk_Matrix!$A$2:$A$4,0),MATCH(F3501,Risk_Matrix!$B$1:$D$1,0))</f>
        <v>Low</v>
      </c>
      <c r="H3501" s="12" t="n">
        <v>46157</v>
      </c>
      <c r="I3501" s="5" t="s">
        <v>2264</v>
      </c>
      <c r="J3501" s="5" t="s">
        <v>4087</v>
      </c>
      <c r="K3501" s="5" t="s">
        <v>2252</v>
      </c>
      <c r="L3501" s="5" t="n">
        <f aca="false">IF(G3501="High",3,IF(G3501="Medium",2,1))</f>
        <v>1</v>
      </c>
    </row>
    <row r="3502" customFormat="false" ht="15" hidden="false" customHeight="true" outlineLevel="0" collapsed="false">
      <c r="A3502" s="5" t="s">
        <v>5780</v>
      </c>
      <c r="B3502" s="5" t="s">
        <v>2160</v>
      </c>
      <c r="C3502" s="5" t="s">
        <v>2248</v>
      </c>
      <c r="D3502" s="5" t="s">
        <v>2322</v>
      </c>
      <c r="E3502" s="5" t="s">
        <v>2225</v>
      </c>
      <c r="F3502" s="5" t="s">
        <v>2225</v>
      </c>
      <c r="G3502" s="5" t="str">
        <f aca="false">INDEX(Risk_Matrix!$B$2:$D$4,MATCH(E3502,Risk_Matrix!$A$2:$A$4,0),MATCH(F3502,Risk_Matrix!$B$1:$D$1,0))</f>
        <v>Medium</v>
      </c>
      <c r="H3502" s="12" t="n">
        <v>46106</v>
      </c>
      <c r="I3502" s="5" t="s">
        <v>2241</v>
      </c>
      <c r="J3502" s="5" t="s">
        <v>2242</v>
      </c>
      <c r="K3502" s="5" t="s">
        <v>2252</v>
      </c>
      <c r="L3502" s="5" t="n">
        <f aca="false">IF(G3502="High",3,IF(G3502="Medium",2,1))</f>
        <v>2</v>
      </c>
    </row>
    <row r="3503" customFormat="false" ht="15" hidden="false" customHeight="true" outlineLevel="0" collapsed="false">
      <c r="A3503" s="5" t="s">
        <v>5781</v>
      </c>
      <c r="B3503" s="5" t="s">
        <v>2160</v>
      </c>
      <c r="C3503" s="5" t="s">
        <v>2262</v>
      </c>
      <c r="D3503" s="5" t="s">
        <v>2311</v>
      </c>
      <c r="E3503" s="5" t="s">
        <v>54</v>
      </c>
      <c r="F3503" s="5" t="s">
        <v>2225</v>
      </c>
      <c r="G3503" s="5" t="str">
        <f aca="false">INDEX(Risk_Matrix!$B$2:$D$4,MATCH(E3503,Risk_Matrix!$A$2:$A$4,0),MATCH(F3503,Risk_Matrix!$B$1:$D$1,0))</f>
        <v>High</v>
      </c>
      <c r="H3503" s="12" t="n">
        <v>46209</v>
      </c>
      <c r="I3503" s="5" t="s">
        <v>2241</v>
      </c>
      <c r="J3503" s="5" t="s">
        <v>2242</v>
      </c>
      <c r="K3503" s="5" t="s">
        <v>2283</v>
      </c>
      <c r="L3503" s="5" t="n">
        <f aca="false">IF(G3503="High",3,IF(G3503="Medium",2,1))</f>
        <v>3</v>
      </c>
    </row>
    <row r="3504" customFormat="false" ht="15" hidden="false" customHeight="true" outlineLevel="0" collapsed="false">
      <c r="A3504" s="5" t="s">
        <v>5782</v>
      </c>
      <c r="B3504" s="5" t="s">
        <v>2160</v>
      </c>
      <c r="C3504" s="5" t="s">
        <v>2259</v>
      </c>
      <c r="D3504" s="5" t="s">
        <v>2260</v>
      </c>
      <c r="E3504" s="5" t="s">
        <v>54</v>
      </c>
      <c r="F3504" s="5" t="s">
        <v>2225</v>
      </c>
      <c r="G3504" s="5" t="str">
        <f aca="false">INDEX(Risk_Matrix!$B$2:$D$4,MATCH(E3504,Risk_Matrix!$A$2:$A$4,0),MATCH(F3504,Risk_Matrix!$B$1:$D$1,0))</f>
        <v>High</v>
      </c>
      <c r="H3504" s="12" t="n">
        <v>46080</v>
      </c>
      <c r="I3504" s="5" t="s">
        <v>2241</v>
      </c>
      <c r="J3504" s="5" t="s">
        <v>2242</v>
      </c>
      <c r="K3504" s="5" t="s">
        <v>2276</v>
      </c>
      <c r="L3504" s="5" t="n">
        <f aca="false">IF(G3504="High",3,IF(G3504="Medium",2,1))</f>
        <v>3</v>
      </c>
    </row>
    <row r="3505" customFormat="false" ht="15" hidden="false" customHeight="true" outlineLevel="0" collapsed="false">
      <c r="A3505" s="5" t="s">
        <v>5783</v>
      </c>
      <c r="B3505" s="5" t="s">
        <v>2160</v>
      </c>
      <c r="C3505" s="5" t="s">
        <v>2254</v>
      </c>
      <c r="D3505" s="5" t="s">
        <v>2308</v>
      </c>
      <c r="E3505" s="5" t="s">
        <v>2225</v>
      </c>
      <c r="F3505" s="5" t="s">
        <v>54</v>
      </c>
      <c r="G3505" s="5" t="str">
        <f aca="false">INDEX(Risk_Matrix!$B$2:$D$4,MATCH(E3505,Risk_Matrix!$A$2:$A$4,0),MATCH(F3505,Risk_Matrix!$B$1:$D$1,0))</f>
        <v>High</v>
      </c>
      <c r="H3505" s="12" t="n">
        <v>46117</v>
      </c>
      <c r="I3505" s="5" t="s">
        <v>2256</v>
      </c>
      <c r="J3505" s="5" t="s">
        <v>4081</v>
      </c>
      <c r="K3505" s="5" t="s">
        <v>2283</v>
      </c>
      <c r="L3505" s="5" t="n">
        <f aca="false">IF(G3505="High",3,IF(G3505="Medium",2,1))</f>
        <v>3</v>
      </c>
    </row>
    <row r="3506" customFormat="false" ht="15" hidden="false" customHeight="true" outlineLevel="0" collapsed="false">
      <c r="A3506" s="5" t="s">
        <v>5784</v>
      </c>
      <c r="B3506" s="5" t="s">
        <v>2162</v>
      </c>
      <c r="C3506" s="5" t="s">
        <v>2239</v>
      </c>
      <c r="D3506" s="5" t="s">
        <v>2240</v>
      </c>
      <c r="E3506" s="5" t="s">
        <v>54</v>
      </c>
      <c r="F3506" s="5" t="s">
        <v>54</v>
      </c>
      <c r="G3506" s="5" t="str">
        <f aca="false">INDEX(Risk_Matrix!$B$2:$D$4,MATCH(E3506,Risk_Matrix!$A$2:$A$4,0),MATCH(F3506,Risk_Matrix!$B$1:$D$1,0))</f>
        <v>High</v>
      </c>
      <c r="H3506" s="12" t="n">
        <v>46043</v>
      </c>
      <c r="I3506" s="5" t="s">
        <v>2264</v>
      </c>
      <c r="J3506" s="5" t="s">
        <v>4087</v>
      </c>
      <c r="K3506" s="5" t="s">
        <v>2243</v>
      </c>
      <c r="L3506" s="5" t="n">
        <f aca="false">IF(G3506="High",3,IF(G3506="Medium",2,1))</f>
        <v>3</v>
      </c>
    </row>
    <row r="3507" customFormat="false" ht="15" hidden="false" customHeight="true" outlineLevel="0" collapsed="false">
      <c r="A3507" s="5" t="s">
        <v>5785</v>
      </c>
      <c r="B3507" s="5" t="s">
        <v>2162</v>
      </c>
      <c r="C3507" s="5" t="s">
        <v>2245</v>
      </c>
      <c r="D3507" s="5" t="s">
        <v>2280</v>
      </c>
      <c r="E3507" s="5" t="s">
        <v>2225</v>
      </c>
      <c r="F3507" s="5" t="s">
        <v>59</v>
      </c>
      <c r="G3507" s="5" t="str">
        <f aca="false">INDEX(Risk_Matrix!$B$2:$D$4,MATCH(E3507,Risk_Matrix!$A$2:$A$4,0),MATCH(F3507,Risk_Matrix!$B$1:$D$1,0))</f>
        <v>Low</v>
      </c>
      <c r="H3507" s="12" t="n">
        <v>46091</v>
      </c>
      <c r="I3507" s="5" t="s">
        <v>2241</v>
      </c>
      <c r="J3507" s="5" t="s">
        <v>2242</v>
      </c>
      <c r="K3507" s="5" t="s">
        <v>2276</v>
      </c>
      <c r="L3507" s="5" t="n">
        <f aca="false">IF(G3507="High",3,IF(G3507="Medium",2,1))</f>
        <v>1</v>
      </c>
    </row>
    <row r="3508" customFormat="false" ht="15" hidden="false" customHeight="true" outlineLevel="0" collapsed="false">
      <c r="A3508" s="5" t="s">
        <v>5786</v>
      </c>
      <c r="B3508" s="5" t="s">
        <v>2162</v>
      </c>
      <c r="C3508" s="5" t="s">
        <v>2248</v>
      </c>
      <c r="D3508" s="5" t="s">
        <v>2271</v>
      </c>
      <c r="E3508" s="5" t="s">
        <v>54</v>
      </c>
      <c r="F3508" s="5" t="s">
        <v>54</v>
      </c>
      <c r="G3508" s="5" t="str">
        <f aca="false">INDEX(Risk_Matrix!$B$2:$D$4,MATCH(E3508,Risk_Matrix!$A$2:$A$4,0),MATCH(F3508,Risk_Matrix!$B$1:$D$1,0))</f>
        <v>High</v>
      </c>
      <c r="H3508" s="12" t="n">
        <v>46187</v>
      </c>
      <c r="I3508" s="5" t="s">
        <v>2241</v>
      </c>
      <c r="J3508" s="5" t="s">
        <v>2242</v>
      </c>
      <c r="K3508" s="5" t="s">
        <v>2252</v>
      </c>
      <c r="L3508" s="5" t="n">
        <f aca="false">IF(G3508="High",3,IF(G3508="Medium",2,1))</f>
        <v>3</v>
      </c>
    </row>
    <row r="3509" customFormat="false" ht="15" hidden="false" customHeight="true" outlineLevel="0" collapsed="false">
      <c r="A3509" s="5" t="s">
        <v>5787</v>
      </c>
      <c r="B3509" s="5" t="s">
        <v>2162</v>
      </c>
      <c r="C3509" s="5" t="s">
        <v>2262</v>
      </c>
      <c r="D3509" s="5" t="s">
        <v>2263</v>
      </c>
      <c r="E3509" s="5" t="s">
        <v>2225</v>
      </c>
      <c r="F3509" s="5" t="s">
        <v>54</v>
      </c>
      <c r="G3509" s="5" t="str">
        <f aca="false">INDEX(Risk_Matrix!$B$2:$D$4,MATCH(E3509,Risk_Matrix!$A$2:$A$4,0),MATCH(F3509,Risk_Matrix!$B$1:$D$1,0))</f>
        <v>High</v>
      </c>
      <c r="H3509" s="12" t="n">
        <v>46148</v>
      </c>
      <c r="I3509" s="5" t="s">
        <v>2264</v>
      </c>
      <c r="J3509" s="5" t="s">
        <v>4087</v>
      </c>
      <c r="K3509" s="5" t="s">
        <v>2283</v>
      </c>
      <c r="L3509" s="5" t="n">
        <f aca="false">IF(G3509="High",3,IF(G3509="Medium",2,1))</f>
        <v>3</v>
      </c>
    </row>
    <row r="3510" customFormat="false" ht="15" hidden="false" customHeight="true" outlineLevel="0" collapsed="false">
      <c r="A3510" s="5" t="s">
        <v>5788</v>
      </c>
      <c r="B3510" s="5" t="s">
        <v>2162</v>
      </c>
      <c r="C3510" s="5" t="s">
        <v>2259</v>
      </c>
      <c r="D3510" s="5" t="s">
        <v>2274</v>
      </c>
      <c r="E3510" s="5" t="s">
        <v>59</v>
      </c>
      <c r="F3510" s="5" t="s">
        <v>54</v>
      </c>
      <c r="G3510" s="5" t="str">
        <f aca="false">INDEX(Risk_Matrix!$B$2:$D$4,MATCH(E3510,Risk_Matrix!$A$2:$A$4,0),MATCH(F3510,Risk_Matrix!$B$1:$D$1,0))</f>
        <v>Medium</v>
      </c>
      <c r="H3510" s="12" t="n">
        <v>46210</v>
      </c>
      <c r="I3510" s="5" t="s">
        <v>2264</v>
      </c>
      <c r="J3510" s="5" t="s">
        <v>4087</v>
      </c>
      <c r="K3510" s="5" t="s">
        <v>2276</v>
      </c>
      <c r="L3510" s="5" t="n">
        <f aca="false">IF(G3510="High",3,IF(G3510="Medium",2,1))</f>
        <v>2</v>
      </c>
    </row>
    <row r="3511" customFormat="false" ht="15" hidden="false" customHeight="true" outlineLevel="0" collapsed="false">
      <c r="A3511" s="5" t="s">
        <v>5789</v>
      </c>
      <c r="B3511" s="5" t="s">
        <v>2162</v>
      </c>
      <c r="C3511" s="5" t="s">
        <v>2254</v>
      </c>
      <c r="D3511" s="5" t="s">
        <v>2308</v>
      </c>
      <c r="E3511" s="5" t="s">
        <v>54</v>
      </c>
      <c r="F3511" s="5" t="s">
        <v>54</v>
      </c>
      <c r="G3511" s="5" t="str">
        <f aca="false">INDEX(Risk_Matrix!$B$2:$D$4,MATCH(E3511,Risk_Matrix!$A$2:$A$4,0),MATCH(F3511,Risk_Matrix!$B$1:$D$1,0))</f>
        <v>High</v>
      </c>
      <c r="H3511" s="12" t="n">
        <v>46095</v>
      </c>
      <c r="I3511" s="5" t="s">
        <v>2241</v>
      </c>
      <c r="J3511" s="5" t="s">
        <v>2242</v>
      </c>
      <c r="K3511" s="5" t="s">
        <v>2276</v>
      </c>
      <c r="L3511" s="5" t="n">
        <f aca="false">IF(G3511="High",3,IF(G3511="Medium",2,1))</f>
        <v>3</v>
      </c>
    </row>
    <row r="3512" customFormat="false" ht="15" hidden="false" customHeight="true" outlineLevel="0" collapsed="false">
      <c r="A3512" s="5" t="s">
        <v>5790</v>
      </c>
      <c r="B3512" s="5" t="s">
        <v>2164</v>
      </c>
      <c r="C3512" s="5" t="s">
        <v>2239</v>
      </c>
      <c r="D3512" s="5" t="s">
        <v>2278</v>
      </c>
      <c r="E3512" s="5" t="s">
        <v>59</v>
      </c>
      <c r="F3512" s="5" t="s">
        <v>54</v>
      </c>
      <c r="G3512" s="5" t="str">
        <f aca="false">INDEX(Risk_Matrix!$B$2:$D$4,MATCH(E3512,Risk_Matrix!$A$2:$A$4,0),MATCH(F3512,Risk_Matrix!$B$1:$D$1,0))</f>
        <v>Medium</v>
      </c>
      <c r="H3512" s="12" t="n">
        <v>46205</v>
      </c>
      <c r="I3512" s="5" t="s">
        <v>2241</v>
      </c>
      <c r="J3512" s="5" t="s">
        <v>2242</v>
      </c>
      <c r="K3512" s="5" t="s">
        <v>2243</v>
      </c>
      <c r="L3512" s="5" t="n">
        <f aca="false">IF(G3512="High",3,IF(G3512="Medium",2,1))</f>
        <v>2</v>
      </c>
    </row>
    <row r="3513" customFormat="false" ht="15" hidden="false" customHeight="true" outlineLevel="0" collapsed="false">
      <c r="A3513" s="5" t="s">
        <v>5791</v>
      </c>
      <c r="B3513" s="5" t="s">
        <v>2164</v>
      </c>
      <c r="C3513" s="5" t="s">
        <v>2245</v>
      </c>
      <c r="D3513" s="5" t="s">
        <v>2269</v>
      </c>
      <c r="E3513" s="5" t="s">
        <v>54</v>
      </c>
      <c r="F3513" s="5" t="s">
        <v>54</v>
      </c>
      <c r="G3513" s="5" t="str">
        <f aca="false">INDEX(Risk_Matrix!$B$2:$D$4,MATCH(E3513,Risk_Matrix!$A$2:$A$4,0),MATCH(F3513,Risk_Matrix!$B$1:$D$1,0))</f>
        <v>High</v>
      </c>
      <c r="H3513" s="12" t="n">
        <v>46160</v>
      </c>
      <c r="I3513" s="5" t="s">
        <v>2250</v>
      </c>
      <c r="J3513" s="5" t="s">
        <v>2251</v>
      </c>
      <c r="K3513" s="5" t="s">
        <v>2243</v>
      </c>
      <c r="L3513" s="5" t="n">
        <f aca="false">IF(G3513="High",3,IF(G3513="Medium",2,1))</f>
        <v>3</v>
      </c>
    </row>
    <row r="3514" customFormat="false" ht="15" hidden="false" customHeight="true" outlineLevel="0" collapsed="false">
      <c r="A3514" s="5" t="s">
        <v>5792</v>
      </c>
      <c r="B3514" s="5" t="s">
        <v>2164</v>
      </c>
      <c r="C3514" s="5" t="s">
        <v>2248</v>
      </c>
      <c r="D3514" s="5" t="s">
        <v>2306</v>
      </c>
      <c r="E3514" s="5" t="s">
        <v>2225</v>
      </c>
      <c r="F3514" s="5" t="s">
        <v>2225</v>
      </c>
      <c r="G3514" s="5" t="str">
        <f aca="false">INDEX(Risk_Matrix!$B$2:$D$4,MATCH(E3514,Risk_Matrix!$A$2:$A$4,0),MATCH(F3514,Risk_Matrix!$B$1:$D$1,0))</f>
        <v>Medium</v>
      </c>
      <c r="H3514" s="12" t="n">
        <v>46089</v>
      </c>
      <c r="I3514" s="5" t="s">
        <v>2264</v>
      </c>
      <c r="J3514" s="5" t="s">
        <v>4087</v>
      </c>
      <c r="K3514" s="5" t="s">
        <v>2266</v>
      </c>
      <c r="L3514" s="5" t="n">
        <f aca="false">IF(G3514="High",3,IF(G3514="Medium",2,1))</f>
        <v>2</v>
      </c>
    </row>
    <row r="3515" customFormat="false" ht="15" hidden="false" customHeight="true" outlineLevel="0" collapsed="false">
      <c r="A3515" s="5" t="s">
        <v>5793</v>
      </c>
      <c r="B3515" s="5" t="s">
        <v>2164</v>
      </c>
      <c r="C3515" s="5" t="s">
        <v>2262</v>
      </c>
      <c r="D3515" s="5" t="s">
        <v>2287</v>
      </c>
      <c r="E3515" s="5" t="s">
        <v>54</v>
      </c>
      <c r="F3515" s="5" t="s">
        <v>59</v>
      </c>
      <c r="G3515" s="5" t="str">
        <f aca="false">INDEX(Risk_Matrix!$B$2:$D$4,MATCH(E3515,Risk_Matrix!$A$2:$A$4,0),MATCH(F3515,Risk_Matrix!$B$1:$D$1,0))</f>
        <v>Medium</v>
      </c>
      <c r="H3515" s="12" t="n">
        <v>46137</v>
      </c>
      <c r="I3515" s="5" t="s">
        <v>2250</v>
      </c>
      <c r="J3515" s="5" t="s">
        <v>2251</v>
      </c>
      <c r="K3515" s="5" t="s">
        <v>2283</v>
      </c>
      <c r="L3515" s="5" t="n">
        <f aca="false">IF(G3515="High",3,IF(G3515="Medium",2,1))</f>
        <v>2</v>
      </c>
    </row>
    <row r="3516" customFormat="false" ht="15" hidden="false" customHeight="true" outlineLevel="0" collapsed="false">
      <c r="A3516" s="5" t="s">
        <v>5794</v>
      </c>
      <c r="B3516" s="5" t="s">
        <v>2164</v>
      </c>
      <c r="C3516" s="5" t="s">
        <v>2259</v>
      </c>
      <c r="D3516" s="5" t="s">
        <v>2260</v>
      </c>
      <c r="E3516" s="5" t="s">
        <v>59</v>
      </c>
      <c r="F3516" s="5" t="s">
        <v>2225</v>
      </c>
      <c r="G3516" s="5" t="str">
        <f aca="false">INDEX(Risk_Matrix!$B$2:$D$4,MATCH(E3516,Risk_Matrix!$A$2:$A$4,0),MATCH(F3516,Risk_Matrix!$B$1:$D$1,0))</f>
        <v>Low</v>
      </c>
      <c r="H3516" s="12" t="n">
        <v>46145</v>
      </c>
      <c r="I3516" s="5" t="s">
        <v>2250</v>
      </c>
      <c r="J3516" s="5" t="s">
        <v>2251</v>
      </c>
      <c r="K3516" s="5" t="s">
        <v>2266</v>
      </c>
      <c r="L3516" s="5" t="n">
        <f aca="false">IF(G3516="High",3,IF(G3516="Medium",2,1))</f>
        <v>1</v>
      </c>
    </row>
    <row r="3517" customFormat="false" ht="15" hidden="false" customHeight="true" outlineLevel="0" collapsed="false">
      <c r="A3517" s="5" t="s">
        <v>5795</v>
      </c>
      <c r="B3517" s="5" t="s">
        <v>2164</v>
      </c>
      <c r="C3517" s="5" t="s">
        <v>2254</v>
      </c>
      <c r="D3517" s="5" t="s">
        <v>2308</v>
      </c>
      <c r="E3517" s="5" t="s">
        <v>2225</v>
      </c>
      <c r="F3517" s="5" t="s">
        <v>2225</v>
      </c>
      <c r="G3517" s="5" t="str">
        <f aca="false">INDEX(Risk_Matrix!$B$2:$D$4,MATCH(E3517,Risk_Matrix!$A$2:$A$4,0),MATCH(F3517,Risk_Matrix!$B$1:$D$1,0))</f>
        <v>Medium</v>
      </c>
      <c r="H3517" s="12" t="n">
        <v>46117</v>
      </c>
      <c r="I3517" s="5" t="s">
        <v>2256</v>
      </c>
      <c r="J3517" s="5" t="s">
        <v>4081</v>
      </c>
      <c r="K3517" s="5" t="s">
        <v>2243</v>
      </c>
      <c r="L3517" s="5" t="n">
        <f aca="false">IF(G3517="High",3,IF(G3517="Medium",2,1))</f>
        <v>2</v>
      </c>
    </row>
    <row r="3518" customFormat="false" ht="15" hidden="false" customHeight="true" outlineLevel="0" collapsed="false">
      <c r="A3518" s="5" t="s">
        <v>5796</v>
      </c>
      <c r="B3518" s="5" t="s">
        <v>2166</v>
      </c>
      <c r="C3518" s="5" t="s">
        <v>2239</v>
      </c>
      <c r="D3518" s="5" t="s">
        <v>2295</v>
      </c>
      <c r="E3518" s="5" t="s">
        <v>2225</v>
      </c>
      <c r="F3518" s="5" t="s">
        <v>59</v>
      </c>
      <c r="G3518" s="5" t="str">
        <f aca="false">INDEX(Risk_Matrix!$B$2:$D$4,MATCH(E3518,Risk_Matrix!$A$2:$A$4,0),MATCH(F3518,Risk_Matrix!$B$1:$D$1,0))</f>
        <v>Low</v>
      </c>
      <c r="H3518" s="12" t="n">
        <v>46228</v>
      </c>
      <c r="I3518" s="5" t="s">
        <v>2264</v>
      </c>
      <c r="J3518" s="5" t="s">
        <v>4087</v>
      </c>
      <c r="K3518" s="5" t="s">
        <v>2276</v>
      </c>
      <c r="L3518" s="5" t="n">
        <f aca="false">IF(G3518="High",3,IF(G3518="Medium",2,1))</f>
        <v>1</v>
      </c>
    </row>
    <row r="3519" customFormat="false" ht="15" hidden="false" customHeight="true" outlineLevel="0" collapsed="false">
      <c r="A3519" s="5" t="s">
        <v>5797</v>
      </c>
      <c r="B3519" s="5" t="s">
        <v>2166</v>
      </c>
      <c r="C3519" s="5" t="s">
        <v>2245</v>
      </c>
      <c r="D3519" s="5" t="s">
        <v>2246</v>
      </c>
      <c r="E3519" s="5" t="s">
        <v>54</v>
      </c>
      <c r="F3519" s="5" t="s">
        <v>54</v>
      </c>
      <c r="G3519" s="5" t="str">
        <f aca="false">INDEX(Risk_Matrix!$B$2:$D$4,MATCH(E3519,Risk_Matrix!$A$2:$A$4,0),MATCH(F3519,Risk_Matrix!$B$1:$D$1,0))</f>
        <v>High</v>
      </c>
      <c r="H3519" s="12" t="n">
        <v>46166</v>
      </c>
      <c r="I3519" s="5" t="s">
        <v>2250</v>
      </c>
      <c r="J3519" s="5" t="s">
        <v>2251</v>
      </c>
      <c r="K3519" s="5" t="s">
        <v>2252</v>
      </c>
      <c r="L3519" s="5" t="n">
        <f aca="false">IF(G3519="High",3,IF(G3519="Medium",2,1))</f>
        <v>3</v>
      </c>
    </row>
    <row r="3520" customFormat="false" ht="15" hidden="false" customHeight="true" outlineLevel="0" collapsed="false">
      <c r="A3520" s="5" t="s">
        <v>5798</v>
      </c>
      <c r="B3520" s="5" t="s">
        <v>2166</v>
      </c>
      <c r="C3520" s="5" t="s">
        <v>2248</v>
      </c>
      <c r="D3520" s="5" t="s">
        <v>2322</v>
      </c>
      <c r="E3520" s="5" t="s">
        <v>2225</v>
      </c>
      <c r="F3520" s="5" t="s">
        <v>59</v>
      </c>
      <c r="G3520" s="5" t="str">
        <f aca="false">INDEX(Risk_Matrix!$B$2:$D$4,MATCH(E3520,Risk_Matrix!$A$2:$A$4,0),MATCH(F3520,Risk_Matrix!$B$1:$D$1,0))</f>
        <v>Low</v>
      </c>
      <c r="H3520" s="12" t="n">
        <v>46147</v>
      </c>
      <c r="I3520" s="5" t="s">
        <v>2241</v>
      </c>
      <c r="J3520" s="5" t="s">
        <v>2242</v>
      </c>
      <c r="K3520" s="5" t="s">
        <v>2266</v>
      </c>
      <c r="L3520" s="5" t="n">
        <f aca="false">IF(G3520="High",3,IF(G3520="Medium",2,1))</f>
        <v>1</v>
      </c>
    </row>
    <row r="3521" customFormat="false" ht="15" hidden="false" customHeight="true" outlineLevel="0" collapsed="false">
      <c r="A3521" s="5" t="s">
        <v>5799</v>
      </c>
      <c r="B3521" s="5" t="s">
        <v>2166</v>
      </c>
      <c r="C3521" s="5" t="s">
        <v>2262</v>
      </c>
      <c r="D3521" s="5" t="s">
        <v>2287</v>
      </c>
      <c r="E3521" s="5" t="s">
        <v>2225</v>
      </c>
      <c r="F3521" s="5" t="s">
        <v>2225</v>
      </c>
      <c r="G3521" s="5" t="str">
        <f aca="false">INDEX(Risk_Matrix!$B$2:$D$4,MATCH(E3521,Risk_Matrix!$A$2:$A$4,0),MATCH(F3521,Risk_Matrix!$B$1:$D$1,0))</f>
        <v>Medium</v>
      </c>
      <c r="H3521" s="12" t="n">
        <v>46158</v>
      </c>
      <c r="I3521" s="5" t="s">
        <v>2250</v>
      </c>
      <c r="J3521" s="5" t="s">
        <v>2251</v>
      </c>
      <c r="K3521" s="5" t="s">
        <v>2252</v>
      </c>
      <c r="L3521" s="5" t="n">
        <f aca="false">IF(G3521="High",3,IF(G3521="Medium",2,1))</f>
        <v>2</v>
      </c>
    </row>
    <row r="3522" customFormat="false" ht="15" hidden="false" customHeight="true" outlineLevel="0" collapsed="false">
      <c r="A3522" s="5" t="s">
        <v>5800</v>
      </c>
      <c r="B3522" s="5" t="s">
        <v>2166</v>
      </c>
      <c r="C3522" s="5" t="s">
        <v>2259</v>
      </c>
      <c r="D3522" s="5" t="s">
        <v>2285</v>
      </c>
      <c r="E3522" s="5" t="s">
        <v>54</v>
      </c>
      <c r="F3522" s="5" t="s">
        <v>54</v>
      </c>
      <c r="G3522" s="5" t="str">
        <f aca="false">INDEX(Risk_Matrix!$B$2:$D$4,MATCH(E3522,Risk_Matrix!$A$2:$A$4,0),MATCH(F3522,Risk_Matrix!$B$1:$D$1,0))</f>
        <v>High</v>
      </c>
      <c r="H3522" s="12" t="n">
        <v>46214</v>
      </c>
      <c r="I3522" s="5" t="s">
        <v>2241</v>
      </c>
      <c r="J3522" s="5" t="s">
        <v>2242</v>
      </c>
      <c r="K3522" s="5" t="s">
        <v>2243</v>
      </c>
      <c r="L3522" s="5" t="n">
        <f aca="false">IF(G3522="High",3,IF(G3522="Medium",2,1))</f>
        <v>3</v>
      </c>
    </row>
    <row r="3523" customFormat="false" ht="15" hidden="false" customHeight="true" outlineLevel="0" collapsed="false">
      <c r="A3523" s="5" t="s">
        <v>5801</v>
      </c>
      <c r="B3523" s="5" t="s">
        <v>2166</v>
      </c>
      <c r="C3523" s="5" t="s">
        <v>2254</v>
      </c>
      <c r="D3523" s="5" t="s">
        <v>2308</v>
      </c>
      <c r="E3523" s="5" t="s">
        <v>2225</v>
      </c>
      <c r="F3523" s="5" t="s">
        <v>59</v>
      </c>
      <c r="G3523" s="5" t="str">
        <f aca="false">INDEX(Risk_Matrix!$B$2:$D$4,MATCH(E3523,Risk_Matrix!$A$2:$A$4,0),MATCH(F3523,Risk_Matrix!$B$1:$D$1,0))</f>
        <v>Low</v>
      </c>
      <c r="H3523" s="12" t="n">
        <v>46111</v>
      </c>
      <c r="I3523" s="5" t="s">
        <v>2264</v>
      </c>
      <c r="J3523" s="5" t="s">
        <v>4087</v>
      </c>
      <c r="K3523" s="5" t="s">
        <v>2252</v>
      </c>
      <c r="L3523" s="5" t="n">
        <f aca="false">IF(G3523="High",3,IF(G3523="Medium",2,1))</f>
        <v>1</v>
      </c>
    </row>
    <row r="3524" customFormat="false" ht="15" hidden="false" customHeight="true" outlineLevel="0" collapsed="false">
      <c r="A3524" s="5" t="s">
        <v>5802</v>
      </c>
      <c r="B3524" s="5" t="s">
        <v>2168</v>
      </c>
      <c r="C3524" s="5" t="s">
        <v>2239</v>
      </c>
      <c r="D3524" s="5" t="s">
        <v>2278</v>
      </c>
      <c r="E3524" s="5" t="s">
        <v>2225</v>
      </c>
      <c r="F3524" s="5" t="s">
        <v>54</v>
      </c>
      <c r="G3524" s="5" t="str">
        <f aca="false">INDEX(Risk_Matrix!$B$2:$D$4,MATCH(E3524,Risk_Matrix!$A$2:$A$4,0),MATCH(F3524,Risk_Matrix!$B$1:$D$1,0))</f>
        <v>High</v>
      </c>
      <c r="H3524" s="12" t="n">
        <v>46036</v>
      </c>
      <c r="I3524" s="5" t="s">
        <v>2241</v>
      </c>
      <c r="J3524" s="5" t="s">
        <v>2242</v>
      </c>
      <c r="K3524" s="5" t="s">
        <v>2252</v>
      </c>
      <c r="L3524" s="5" t="n">
        <f aca="false">IF(G3524="High",3,IF(G3524="Medium",2,1))</f>
        <v>3</v>
      </c>
    </row>
    <row r="3525" customFormat="false" ht="15" hidden="false" customHeight="true" outlineLevel="0" collapsed="false">
      <c r="A3525" s="5" t="s">
        <v>5803</v>
      </c>
      <c r="B3525" s="5" t="s">
        <v>2168</v>
      </c>
      <c r="C3525" s="5" t="s">
        <v>2245</v>
      </c>
      <c r="D3525" s="5" t="s">
        <v>2320</v>
      </c>
      <c r="E3525" s="5" t="s">
        <v>54</v>
      </c>
      <c r="F3525" s="5" t="s">
        <v>54</v>
      </c>
      <c r="G3525" s="5" t="str">
        <f aca="false">INDEX(Risk_Matrix!$B$2:$D$4,MATCH(E3525,Risk_Matrix!$A$2:$A$4,0),MATCH(F3525,Risk_Matrix!$B$1:$D$1,0))</f>
        <v>High</v>
      </c>
      <c r="H3525" s="12" t="n">
        <v>46088</v>
      </c>
      <c r="I3525" s="5" t="s">
        <v>2241</v>
      </c>
      <c r="J3525" s="5" t="s">
        <v>2242</v>
      </c>
      <c r="K3525" s="5" t="s">
        <v>2252</v>
      </c>
      <c r="L3525" s="5" t="n">
        <f aca="false">IF(G3525="High",3,IF(G3525="Medium",2,1))</f>
        <v>3</v>
      </c>
    </row>
    <row r="3526" customFormat="false" ht="15" hidden="false" customHeight="true" outlineLevel="0" collapsed="false">
      <c r="A3526" s="5" t="s">
        <v>5804</v>
      </c>
      <c r="B3526" s="5" t="s">
        <v>2168</v>
      </c>
      <c r="C3526" s="5" t="s">
        <v>2248</v>
      </c>
      <c r="D3526" s="5" t="s">
        <v>2322</v>
      </c>
      <c r="E3526" s="5" t="s">
        <v>59</v>
      </c>
      <c r="F3526" s="5" t="s">
        <v>59</v>
      </c>
      <c r="G3526" s="5" t="str">
        <f aca="false">INDEX(Risk_Matrix!$B$2:$D$4,MATCH(E3526,Risk_Matrix!$A$2:$A$4,0),MATCH(F3526,Risk_Matrix!$B$1:$D$1,0))</f>
        <v>Low</v>
      </c>
      <c r="H3526" s="12" t="n">
        <v>46161</v>
      </c>
      <c r="I3526" s="5" t="s">
        <v>2250</v>
      </c>
      <c r="J3526" s="5" t="s">
        <v>2251</v>
      </c>
      <c r="K3526" s="5" t="s">
        <v>2243</v>
      </c>
      <c r="L3526" s="5" t="n">
        <f aca="false">IF(G3526="High",3,IF(G3526="Medium",2,1))</f>
        <v>1</v>
      </c>
    </row>
    <row r="3527" customFormat="false" ht="15" hidden="false" customHeight="true" outlineLevel="0" collapsed="false">
      <c r="A3527" s="5" t="s">
        <v>5805</v>
      </c>
      <c r="B3527" s="5" t="s">
        <v>2168</v>
      </c>
      <c r="C3527" s="5" t="s">
        <v>2262</v>
      </c>
      <c r="D3527" s="5" t="s">
        <v>2287</v>
      </c>
      <c r="E3527" s="5" t="s">
        <v>54</v>
      </c>
      <c r="F3527" s="5" t="s">
        <v>2225</v>
      </c>
      <c r="G3527" s="5" t="str">
        <f aca="false">INDEX(Risk_Matrix!$B$2:$D$4,MATCH(E3527,Risk_Matrix!$A$2:$A$4,0),MATCH(F3527,Risk_Matrix!$B$1:$D$1,0))</f>
        <v>High</v>
      </c>
      <c r="H3527" s="12" t="n">
        <v>46213</v>
      </c>
      <c r="I3527" s="5" t="s">
        <v>2241</v>
      </c>
      <c r="J3527" s="5" t="s">
        <v>2242</v>
      </c>
      <c r="K3527" s="5" t="s">
        <v>2276</v>
      </c>
      <c r="L3527" s="5" t="n">
        <f aca="false">IF(G3527="High",3,IF(G3527="Medium",2,1))</f>
        <v>3</v>
      </c>
    </row>
    <row r="3528" customFormat="false" ht="15" hidden="false" customHeight="true" outlineLevel="0" collapsed="false">
      <c r="A3528" s="5" t="s">
        <v>5806</v>
      </c>
      <c r="B3528" s="5" t="s">
        <v>2168</v>
      </c>
      <c r="C3528" s="5" t="s">
        <v>2259</v>
      </c>
      <c r="D3528" s="5" t="s">
        <v>2260</v>
      </c>
      <c r="E3528" s="5" t="s">
        <v>59</v>
      </c>
      <c r="F3528" s="5" t="s">
        <v>59</v>
      </c>
      <c r="G3528" s="5" t="str">
        <f aca="false">INDEX(Risk_Matrix!$B$2:$D$4,MATCH(E3528,Risk_Matrix!$A$2:$A$4,0),MATCH(F3528,Risk_Matrix!$B$1:$D$1,0))</f>
        <v>Low</v>
      </c>
      <c r="H3528" s="12" t="n">
        <v>46209</v>
      </c>
      <c r="I3528" s="5" t="s">
        <v>2241</v>
      </c>
      <c r="J3528" s="5" t="s">
        <v>2242</v>
      </c>
      <c r="K3528" s="5" t="s">
        <v>2266</v>
      </c>
      <c r="L3528" s="5" t="n">
        <f aca="false">IF(G3528="High",3,IF(G3528="Medium",2,1))</f>
        <v>1</v>
      </c>
    </row>
    <row r="3529" customFormat="false" ht="15" hidden="false" customHeight="true" outlineLevel="0" collapsed="false">
      <c r="A3529" s="5" t="s">
        <v>5807</v>
      </c>
      <c r="B3529" s="5" t="s">
        <v>2168</v>
      </c>
      <c r="C3529" s="5" t="s">
        <v>2254</v>
      </c>
      <c r="D3529" s="5" t="s">
        <v>2299</v>
      </c>
      <c r="E3529" s="5" t="s">
        <v>2225</v>
      </c>
      <c r="F3529" s="5" t="s">
        <v>54</v>
      </c>
      <c r="G3529" s="5" t="str">
        <f aca="false">INDEX(Risk_Matrix!$B$2:$D$4,MATCH(E3529,Risk_Matrix!$A$2:$A$4,0),MATCH(F3529,Risk_Matrix!$B$1:$D$1,0))</f>
        <v>High</v>
      </c>
      <c r="H3529" s="12" t="n">
        <v>46166</v>
      </c>
      <c r="I3529" s="5" t="s">
        <v>2256</v>
      </c>
      <c r="J3529" s="5" t="s">
        <v>4081</v>
      </c>
      <c r="K3529" s="5" t="s">
        <v>2266</v>
      </c>
      <c r="L3529" s="5" t="n">
        <f aca="false">IF(G3529="High",3,IF(G3529="Medium",2,1))</f>
        <v>3</v>
      </c>
    </row>
    <row r="3530" customFormat="false" ht="15" hidden="false" customHeight="true" outlineLevel="0" collapsed="false">
      <c r="A3530" s="5" t="s">
        <v>5808</v>
      </c>
      <c r="B3530" s="5" t="s">
        <v>2170</v>
      </c>
      <c r="C3530" s="5" t="s">
        <v>2239</v>
      </c>
      <c r="D3530" s="5" t="s">
        <v>2240</v>
      </c>
      <c r="E3530" s="5" t="s">
        <v>54</v>
      </c>
      <c r="F3530" s="5" t="s">
        <v>59</v>
      </c>
      <c r="G3530" s="5" t="str">
        <f aca="false">INDEX(Risk_Matrix!$B$2:$D$4,MATCH(E3530,Risk_Matrix!$A$2:$A$4,0),MATCH(F3530,Risk_Matrix!$B$1:$D$1,0))</f>
        <v>Medium</v>
      </c>
      <c r="H3530" s="12" t="n">
        <v>46050</v>
      </c>
      <c r="I3530" s="5" t="s">
        <v>2264</v>
      </c>
      <c r="J3530" s="5" t="s">
        <v>4087</v>
      </c>
      <c r="K3530" s="5" t="s">
        <v>2283</v>
      </c>
      <c r="L3530" s="5" t="n">
        <f aca="false">IF(G3530="High",3,IF(G3530="Medium",2,1))</f>
        <v>2</v>
      </c>
    </row>
    <row r="3531" customFormat="false" ht="15" hidden="false" customHeight="true" outlineLevel="0" collapsed="false">
      <c r="A3531" s="5" t="s">
        <v>5809</v>
      </c>
      <c r="B3531" s="5" t="s">
        <v>2170</v>
      </c>
      <c r="C3531" s="5" t="s">
        <v>2245</v>
      </c>
      <c r="D3531" s="5" t="s">
        <v>2246</v>
      </c>
      <c r="E3531" s="5" t="s">
        <v>2225</v>
      </c>
      <c r="F3531" s="5" t="s">
        <v>59</v>
      </c>
      <c r="G3531" s="5" t="str">
        <f aca="false">INDEX(Risk_Matrix!$B$2:$D$4,MATCH(E3531,Risk_Matrix!$A$2:$A$4,0),MATCH(F3531,Risk_Matrix!$B$1:$D$1,0))</f>
        <v>Low</v>
      </c>
      <c r="H3531" s="12" t="n">
        <v>46191</v>
      </c>
      <c r="I3531" s="5" t="s">
        <v>2264</v>
      </c>
      <c r="J3531" s="5" t="s">
        <v>4087</v>
      </c>
      <c r="K3531" s="5" t="s">
        <v>2276</v>
      </c>
      <c r="L3531" s="5" t="n">
        <f aca="false">IF(G3531="High",3,IF(G3531="Medium",2,1))</f>
        <v>1</v>
      </c>
    </row>
    <row r="3532" customFormat="false" ht="15" hidden="false" customHeight="true" outlineLevel="0" collapsed="false">
      <c r="A3532" s="5" t="s">
        <v>5810</v>
      </c>
      <c r="B3532" s="5" t="s">
        <v>2170</v>
      </c>
      <c r="C3532" s="5" t="s">
        <v>2248</v>
      </c>
      <c r="D3532" s="5" t="s">
        <v>2306</v>
      </c>
      <c r="E3532" s="5" t="s">
        <v>59</v>
      </c>
      <c r="F3532" s="5" t="s">
        <v>59</v>
      </c>
      <c r="G3532" s="5" t="str">
        <f aca="false">INDEX(Risk_Matrix!$B$2:$D$4,MATCH(E3532,Risk_Matrix!$A$2:$A$4,0),MATCH(F3532,Risk_Matrix!$B$1:$D$1,0))</f>
        <v>Low</v>
      </c>
      <c r="H3532" s="12" t="n">
        <v>46212</v>
      </c>
      <c r="I3532" s="5" t="s">
        <v>2256</v>
      </c>
      <c r="J3532" s="5" t="s">
        <v>4081</v>
      </c>
      <c r="K3532" s="5" t="s">
        <v>2266</v>
      </c>
      <c r="L3532" s="5" t="n">
        <f aca="false">IF(G3532="High",3,IF(G3532="Medium",2,1))</f>
        <v>1</v>
      </c>
    </row>
    <row r="3533" customFormat="false" ht="15" hidden="false" customHeight="true" outlineLevel="0" collapsed="false">
      <c r="A3533" s="5" t="s">
        <v>5811</v>
      </c>
      <c r="B3533" s="5" t="s">
        <v>2170</v>
      </c>
      <c r="C3533" s="5" t="s">
        <v>2262</v>
      </c>
      <c r="D3533" s="5" t="s">
        <v>2311</v>
      </c>
      <c r="E3533" s="5" t="s">
        <v>59</v>
      </c>
      <c r="F3533" s="5" t="s">
        <v>54</v>
      </c>
      <c r="G3533" s="5" t="str">
        <f aca="false">INDEX(Risk_Matrix!$B$2:$D$4,MATCH(E3533,Risk_Matrix!$A$2:$A$4,0),MATCH(F3533,Risk_Matrix!$B$1:$D$1,0))</f>
        <v>Medium</v>
      </c>
      <c r="H3533" s="12" t="n">
        <v>46126</v>
      </c>
      <c r="I3533" s="5" t="s">
        <v>2256</v>
      </c>
      <c r="J3533" s="5" t="s">
        <v>4081</v>
      </c>
      <c r="K3533" s="5" t="s">
        <v>2252</v>
      </c>
      <c r="L3533" s="5" t="n">
        <f aca="false">IF(G3533="High",3,IF(G3533="Medium",2,1))</f>
        <v>2</v>
      </c>
    </row>
    <row r="3534" customFormat="false" ht="15" hidden="false" customHeight="true" outlineLevel="0" collapsed="false">
      <c r="A3534" s="5" t="s">
        <v>5812</v>
      </c>
      <c r="B3534" s="5" t="s">
        <v>2170</v>
      </c>
      <c r="C3534" s="5" t="s">
        <v>2259</v>
      </c>
      <c r="D3534" s="5" t="s">
        <v>2260</v>
      </c>
      <c r="E3534" s="5" t="s">
        <v>2225</v>
      </c>
      <c r="F3534" s="5" t="s">
        <v>54</v>
      </c>
      <c r="G3534" s="5" t="str">
        <f aca="false">INDEX(Risk_Matrix!$B$2:$D$4,MATCH(E3534,Risk_Matrix!$A$2:$A$4,0),MATCH(F3534,Risk_Matrix!$B$1:$D$1,0))</f>
        <v>High</v>
      </c>
      <c r="H3534" s="12" t="n">
        <v>46211</v>
      </c>
      <c r="I3534" s="5" t="s">
        <v>2256</v>
      </c>
      <c r="J3534" s="5" t="s">
        <v>4081</v>
      </c>
      <c r="K3534" s="5" t="s">
        <v>2283</v>
      </c>
      <c r="L3534" s="5" t="n">
        <f aca="false">IF(G3534="High",3,IF(G3534="Medium",2,1))</f>
        <v>3</v>
      </c>
    </row>
    <row r="3535" customFormat="false" ht="15" hidden="false" customHeight="true" outlineLevel="0" collapsed="false">
      <c r="A3535" s="5" t="s">
        <v>5813</v>
      </c>
      <c r="B3535" s="5" t="s">
        <v>2170</v>
      </c>
      <c r="C3535" s="5" t="s">
        <v>2254</v>
      </c>
      <c r="D3535" s="5" t="s">
        <v>2299</v>
      </c>
      <c r="E3535" s="5" t="s">
        <v>59</v>
      </c>
      <c r="F3535" s="5" t="s">
        <v>59</v>
      </c>
      <c r="G3535" s="5" t="str">
        <f aca="false">INDEX(Risk_Matrix!$B$2:$D$4,MATCH(E3535,Risk_Matrix!$A$2:$A$4,0),MATCH(F3535,Risk_Matrix!$B$1:$D$1,0))</f>
        <v>Low</v>
      </c>
      <c r="H3535" s="12" t="n">
        <v>46237</v>
      </c>
      <c r="I3535" s="5" t="s">
        <v>2264</v>
      </c>
      <c r="J3535" s="5" t="s">
        <v>4087</v>
      </c>
      <c r="K3535" s="5" t="s">
        <v>2243</v>
      </c>
      <c r="L3535" s="5" t="n">
        <f aca="false">IF(G3535="High",3,IF(G3535="Medium",2,1))</f>
        <v>1</v>
      </c>
    </row>
    <row r="3536" customFormat="false" ht="15" hidden="false" customHeight="true" outlineLevel="0" collapsed="false">
      <c r="A3536" s="5" t="s">
        <v>5814</v>
      </c>
      <c r="B3536" s="5" t="s">
        <v>2172</v>
      </c>
      <c r="C3536" s="5" t="s">
        <v>2239</v>
      </c>
      <c r="D3536" s="5" t="s">
        <v>2240</v>
      </c>
      <c r="E3536" s="5" t="s">
        <v>59</v>
      </c>
      <c r="F3536" s="5" t="s">
        <v>54</v>
      </c>
      <c r="G3536" s="5" t="str">
        <f aca="false">INDEX(Risk_Matrix!$B$2:$D$4,MATCH(E3536,Risk_Matrix!$A$2:$A$4,0),MATCH(F3536,Risk_Matrix!$B$1:$D$1,0))</f>
        <v>Medium</v>
      </c>
      <c r="H3536" s="12" t="n">
        <v>46226</v>
      </c>
      <c r="I3536" s="5" t="s">
        <v>2241</v>
      </c>
      <c r="J3536" s="5" t="s">
        <v>2242</v>
      </c>
      <c r="K3536" s="5" t="s">
        <v>2252</v>
      </c>
      <c r="L3536" s="5" t="n">
        <f aca="false">IF(G3536="High",3,IF(G3536="Medium",2,1))</f>
        <v>2</v>
      </c>
    </row>
    <row r="3537" customFormat="false" ht="15" hidden="false" customHeight="true" outlineLevel="0" collapsed="false">
      <c r="A3537" s="5" t="s">
        <v>5815</v>
      </c>
      <c r="B3537" s="5" t="s">
        <v>2172</v>
      </c>
      <c r="C3537" s="5" t="s">
        <v>2245</v>
      </c>
      <c r="D3537" s="5" t="s">
        <v>2269</v>
      </c>
      <c r="E3537" s="5" t="s">
        <v>59</v>
      </c>
      <c r="F3537" s="5" t="s">
        <v>54</v>
      </c>
      <c r="G3537" s="5" t="str">
        <f aca="false">INDEX(Risk_Matrix!$B$2:$D$4,MATCH(E3537,Risk_Matrix!$A$2:$A$4,0),MATCH(F3537,Risk_Matrix!$B$1:$D$1,0))</f>
        <v>Medium</v>
      </c>
      <c r="H3537" s="12" t="n">
        <v>46161</v>
      </c>
      <c r="I3537" s="5" t="s">
        <v>2264</v>
      </c>
      <c r="J3537" s="5" t="s">
        <v>4087</v>
      </c>
      <c r="K3537" s="5" t="s">
        <v>2283</v>
      </c>
      <c r="L3537" s="5" t="n">
        <f aca="false">IF(G3537="High",3,IF(G3537="Medium",2,1))</f>
        <v>2</v>
      </c>
    </row>
    <row r="3538" customFormat="false" ht="15" hidden="false" customHeight="true" outlineLevel="0" collapsed="false">
      <c r="A3538" s="5" t="s">
        <v>5816</v>
      </c>
      <c r="B3538" s="5" t="s">
        <v>2172</v>
      </c>
      <c r="C3538" s="5" t="s">
        <v>2248</v>
      </c>
      <c r="D3538" s="5" t="s">
        <v>2271</v>
      </c>
      <c r="E3538" s="5" t="s">
        <v>59</v>
      </c>
      <c r="F3538" s="5" t="s">
        <v>54</v>
      </c>
      <c r="G3538" s="5" t="str">
        <f aca="false">INDEX(Risk_Matrix!$B$2:$D$4,MATCH(E3538,Risk_Matrix!$A$2:$A$4,0),MATCH(F3538,Risk_Matrix!$B$1:$D$1,0))</f>
        <v>Medium</v>
      </c>
      <c r="H3538" s="12" t="n">
        <v>46147</v>
      </c>
      <c r="I3538" s="5" t="s">
        <v>2256</v>
      </c>
      <c r="J3538" s="5" t="s">
        <v>4081</v>
      </c>
      <c r="K3538" s="5" t="s">
        <v>2252</v>
      </c>
      <c r="L3538" s="5" t="n">
        <f aca="false">IF(G3538="High",3,IF(G3538="Medium",2,1))</f>
        <v>2</v>
      </c>
    </row>
    <row r="3539" customFormat="false" ht="15" hidden="false" customHeight="true" outlineLevel="0" collapsed="false">
      <c r="A3539" s="5" t="s">
        <v>5817</v>
      </c>
      <c r="B3539" s="5" t="s">
        <v>2172</v>
      </c>
      <c r="C3539" s="5" t="s">
        <v>2262</v>
      </c>
      <c r="D3539" s="5" t="s">
        <v>2263</v>
      </c>
      <c r="E3539" s="5" t="s">
        <v>54</v>
      </c>
      <c r="F3539" s="5" t="s">
        <v>2225</v>
      </c>
      <c r="G3539" s="5" t="str">
        <f aca="false">INDEX(Risk_Matrix!$B$2:$D$4,MATCH(E3539,Risk_Matrix!$A$2:$A$4,0),MATCH(F3539,Risk_Matrix!$B$1:$D$1,0))</f>
        <v>High</v>
      </c>
      <c r="H3539" s="12" t="n">
        <v>46237</v>
      </c>
      <c r="I3539" s="5" t="s">
        <v>2250</v>
      </c>
      <c r="J3539" s="5" t="s">
        <v>2251</v>
      </c>
      <c r="K3539" s="5" t="s">
        <v>2252</v>
      </c>
      <c r="L3539" s="5" t="n">
        <f aca="false">IF(G3539="High",3,IF(G3539="Medium",2,1))</f>
        <v>3</v>
      </c>
    </row>
    <row r="3540" customFormat="false" ht="15" hidden="false" customHeight="true" outlineLevel="0" collapsed="false">
      <c r="A3540" s="5" t="s">
        <v>5818</v>
      </c>
      <c r="B3540" s="5" t="s">
        <v>2172</v>
      </c>
      <c r="C3540" s="5" t="s">
        <v>2259</v>
      </c>
      <c r="D3540" s="5" t="s">
        <v>2285</v>
      </c>
      <c r="E3540" s="5" t="s">
        <v>59</v>
      </c>
      <c r="F3540" s="5" t="s">
        <v>54</v>
      </c>
      <c r="G3540" s="5" t="str">
        <f aca="false">INDEX(Risk_Matrix!$B$2:$D$4,MATCH(E3540,Risk_Matrix!$A$2:$A$4,0),MATCH(F3540,Risk_Matrix!$B$1:$D$1,0))</f>
        <v>Medium</v>
      </c>
      <c r="H3540" s="12" t="n">
        <v>46185</v>
      </c>
      <c r="I3540" s="5" t="s">
        <v>2256</v>
      </c>
      <c r="J3540" s="5" t="s">
        <v>4081</v>
      </c>
      <c r="K3540" s="5" t="s">
        <v>2266</v>
      </c>
      <c r="L3540" s="5" t="n">
        <f aca="false">IF(G3540="High",3,IF(G3540="Medium",2,1))</f>
        <v>2</v>
      </c>
    </row>
    <row r="3541" customFormat="false" ht="15" hidden="false" customHeight="true" outlineLevel="0" collapsed="false">
      <c r="A3541" s="5" t="s">
        <v>5819</v>
      </c>
      <c r="B3541" s="5" t="s">
        <v>2172</v>
      </c>
      <c r="C3541" s="5" t="s">
        <v>2254</v>
      </c>
      <c r="D3541" s="5" t="s">
        <v>2299</v>
      </c>
      <c r="E3541" s="5" t="s">
        <v>59</v>
      </c>
      <c r="F3541" s="5" t="s">
        <v>2225</v>
      </c>
      <c r="G3541" s="5" t="str">
        <f aca="false">INDEX(Risk_Matrix!$B$2:$D$4,MATCH(E3541,Risk_Matrix!$A$2:$A$4,0),MATCH(F3541,Risk_Matrix!$B$1:$D$1,0))</f>
        <v>Low</v>
      </c>
      <c r="H3541" s="12" t="n">
        <v>46229</v>
      </c>
      <c r="I3541" s="5" t="s">
        <v>2250</v>
      </c>
      <c r="J3541" s="5" t="s">
        <v>2251</v>
      </c>
      <c r="K3541" s="5" t="s">
        <v>2283</v>
      </c>
      <c r="L3541" s="5" t="n">
        <f aca="false">IF(G3541="High",3,IF(G3541="Medium",2,1))</f>
        <v>1</v>
      </c>
    </row>
    <row r="3542" customFormat="false" ht="15" hidden="false" customHeight="true" outlineLevel="0" collapsed="false">
      <c r="A3542" s="5" t="s">
        <v>5820</v>
      </c>
      <c r="B3542" s="5" t="s">
        <v>2174</v>
      </c>
      <c r="C3542" s="5" t="s">
        <v>2239</v>
      </c>
      <c r="D3542" s="5" t="s">
        <v>2295</v>
      </c>
      <c r="E3542" s="5" t="s">
        <v>59</v>
      </c>
      <c r="F3542" s="5" t="s">
        <v>59</v>
      </c>
      <c r="G3542" s="5" t="str">
        <f aca="false">INDEX(Risk_Matrix!$B$2:$D$4,MATCH(E3542,Risk_Matrix!$A$2:$A$4,0),MATCH(F3542,Risk_Matrix!$B$1:$D$1,0))</f>
        <v>Low</v>
      </c>
      <c r="H3542" s="12" t="n">
        <v>46181</v>
      </c>
      <c r="I3542" s="5" t="s">
        <v>2241</v>
      </c>
      <c r="J3542" s="5" t="s">
        <v>2242</v>
      </c>
      <c r="K3542" s="5" t="s">
        <v>2252</v>
      </c>
      <c r="L3542" s="5" t="n">
        <f aca="false">IF(G3542="High",3,IF(G3542="Medium",2,1))</f>
        <v>1</v>
      </c>
    </row>
    <row r="3543" customFormat="false" ht="15" hidden="false" customHeight="true" outlineLevel="0" collapsed="false">
      <c r="A3543" s="5" t="s">
        <v>5821</v>
      </c>
      <c r="B3543" s="5" t="s">
        <v>2174</v>
      </c>
      <c r="C3543" s="5" t="s">
        <v>2245</v>
      </c>
      <c r="D3543" s="5" t="s">
        <v>2280</v>
      </c>
      <c r="E3543" s="5" t="s">
        <v>59</v>
      </c>
      <c r="F3543" s="5" t="s">
        <v>54</v>
      </c>
      <c r="G3543" s="5" t="str">
        <f aca="false">INDEX(Risk_Matrix!$B$2:$D$4,MATCH(E3543,Risk_Matrix!$A$2:$A$4,0),MATCH(F3543,Risk_Matrix!$B$1:$D$1,0))</f>
        <v>Medium</v>
      </c>
      <c r="H3543" s="12" t="n">
        <v>46165</v>
      </c>
      <c r="I3543" s="5" t="s">
        <v>2250</v>
      </c>
      <c r="J3543" s="5" t="s">
        <v>2251</v>
      </c>
      <c r="K3543" s="5" t="s">
        <v>2266</v>
      </c>
      <c r="L3543" s="5" t="n">
        <f aca="false">IF(G3543="High",3,IF(G3543="Medium",2,1))</f>
        <v>2</v>
      </c>
    </row>
    <row r="3544" customFormat="false" ht="15" hidden="false" customHeight="true" outlineLevel="0" collapsed="false">
      <c r="A3544" s="5" t="s">
        <v>5822</v>
      </c>
      <c r="B3544" s="5" t="s">
        <v>2174</v>
      </c>
      <c r="C3544" s="5" t="s">
        <v>2248</v>
      </c>
      <c r="D3544" s="5" t="s">
        <v>2306</v>
      </c>
      <c r="E3544" s="5" t="s">
        <v>59</v>
      </c>
      <c r="F3544" s="5" t="s">
        <v>59</v>
      </c>
      <c r="G3544" s="5" t="str">
        <f aca="false">INDEX(Risk_Matrix!$B$2:$D$4,MATCH(E3544,Risk_Matrix!$A$2:$A$4,0),MATCH(F3544,Risk_Matrix!$B$1:$D$1,0))</f>
        <v>Low</v>
      </c>
      <c r="H3544" s="12" t="n">
        <v>46149</v>
      </c>
      <c r="I3544" s="5" t="s">
        <v>2256</v>
      </c>
      <c r="J3544" s="5" t="s">
        <v>4081</v>
      </c>
      <c r="K3544" s="5" t="s">
        <v>2283</v>
      </c>
      <c r="L3544" s="5" t="n">
        <f aca="false">IF(G3544="High",3,IF(G3544="Medium",2,1))</f>
        <v>1</v>
      </c>
    </row>
    <row r="3545" customFormat="false" ht="15" hidden="false" customHeight="true" outlineLevel="0" collapsed="false">
      <c r="A3545" s="5" t="s">
        <v>5823</v>
      </c>
      <c r="B3545" s="5" t="s">
        <v>2174</v>
      </c>
      <c r="C3545" s="5" t="s">
        <v>2262</v>
      </c>
      <c r="D3545" s="5" t="s">
        <v>2287</v>
      </c>
      <c r="E3545" s="5" t="s">
        <v>59</v>
      </c>
      <c r="F3545" s="5" t="s">
        <v>54</v>
      </c>
      <c r="G3545" s="5" t="str">
        <f aca="false">INDEX(Risk_Matrix!$B$2:$D$4,MATCH(E3545,Risk_Matrix!$A$2:$A$4,0),MATCH(F3545,Risk_Matrix!$B$1:$D$1,0))</f>
        <v>Medium</v>
      </c>
      <c r="H3545" s="12" t="n">
        <v>46076</v>
      </c>
      <c r="I3545" s="5" t="s">
        <v>2264</v>
      </c>
      <c r="J3545" s="5" t="s">
        <v>4087</v>
      </c>
      <c r="K3545" s="5" t="s">
        <v>2276</v>
      </c>
      <c r="L3545" s="5" t="n">
        <f aca="false">IF(G3545="High",3,IF(G3545="Medium",2,1))</f>
        <v>2</v>
      </c>
    </row>
    <row r="3546" customFormat="false" ht="15" hidden="false" customHeight="true" outlineLevel="0" collapsed="false">
      <c r="A3546" s="5" t="s">
        <v>5824</v>
      </c>
      <c r="B3546" s="5" t="s">
        <v>2174</v>
      </c>
      <c r="C3546" s="5" t="s">
        <v>2259</v>
      </c>
      <c r="D3546" s="5" t="s">
        <v>2260</v>
      </c>
      <c r="E3546" s="5" t="s">
        <v>54</v>
      </c>
      <c r="F3546" s="5" t="s">
        <v>59</v>
      </c>
      <c r="G3546" s="5" t="str">
        <f aca="false">INDEX(Risk_Matrix!$B$2:$D$4,MATCH(E3546,Risk_Matrix!$A$2:$A$4,0),MATCH(F3546,Risk_Matrix!$B$1:$D$1,0))</f>
        <v>Medium</v>
      </c>
      <c r="H3546" s="12" t="n">
        <v>46181</v>
      </c>
      <c r="I3546" s="5" t="s">
        <v>2264</v>
      </c>
      <c r="J3546" s="5" t="s">
        <v>4087</v>
      </c>
      <c r="K3546" s="5" t="s">
        <v>2283</v>
      </c>
      <c r="L3546" s="5" t="n">
        <f aca="false">IF(G3546="High",3,IF(G3546="Medium",2,1))</f>
        <v>2</v>
      </c>
    </row>
    <row r="3547" customFormat="false" ht="15" hidden="false" customHeight="true" outlineLevel="0" collapsed="false">
      <c r="A3547" s="5" t="s">
        <v>5825</v>
      </c>
      <c r="B3547" s="5" t="s">
        <v>2174</v>
      </c>
      <c r="C3547" s="5" t="s">
        <v>2254</v>
      </c>
      <c r="D3547" s="5" t="s">
        <v>2299</v>
      </c>
      <c r="E3547" s="5" t="s">
        <v>59</v>
      </c>
      <c r="F3547" s="5" t="s">
        <v>59</v>
      </c>
      <c r="G3547" s="5" t="str">
        <f aca="false">INDEX(Risk_Matrix!$B$2:$D$4,MATCH(E3547,Risk_Matrix!$A$2:$A$4,0),MATCH(F3547,Risk_Matrix!$B$1:$D$1,0))</f>
        <v>Low</v>
      </c>
      <c r="H3547" s="12" t="n">
        <v>46097</v>
      </c>
      <c r="I3547" s="5" t="s">
        <v>2264</v>
      </c>
      <c r="J3547" s="5" t="s">
        <v>4087</v>
      </c>
      <c r="K3547" s="5" t="s">
        <v>2276</v>
      </c>
      <c r="L3547" s="5" t="n">
        <f aca="false">IF(G3547="High",3,IF(G3547="Medium",2,1))</f>
        <v>1</v>
      </c>
    </row>
    <row r="3548" customFormat="false" ht="15" hidden="false" customHeight="true" outlineLevel="0" collapsed="false">
      <c r="A3548" s="5" t="s">
        <v>5826</v>
      </c>
      <c r="B3548" s="5" t="s">
        <v>2176</v>
      </c>
      <c r="C3548" s="5" t="s">
        <v>2239</v>
      </c>
      <c r="D3548" s="5" t="s">
        <v>2295</v>
      </c>
      <c r="E3548" s="5" t="s">
        <v>2225</v>
      </c>
      <c r="F3548" s="5" t="s">
        <v>2225</v>
      </c>
      <c r="G3548" s="5" t="str">
        <f aca="false">INDEX(Risk_Matrix!$B$2:$D$4,MATCH(E3548,Risk_Matrix!$A$2:$A$4,0),MATCH(F3548,Risk_Matrix!$B$1:$D$1,0))</f>
        <v>Medium</v>
      </c>
      <c r="H3548" s="12" t="n">
        <v>46092</v>
      </c>
      <c r="I3548" s="5" t="s">
        <v>2241</v>
      </c>
      <c r="J3548" s="5" t="s">
        <v>2242</v>
      </c>
      <c r="K3548" s="5" t="s">
        <v>2266</v>
      </c>
      <c r="L3548" s="5" t="n">
        <f aca="false">IF(G3548="High",3,IF(G3548="Medium",2,1))</f>
        <v>2</v>
      </c>
    </row>
    <row r="3549" customFormat="false" ht="15" hidden="false" customHeight="true" outlineLevel="0" collapsed="false">
      <c r="A3549" s="5" t="s">
        <v>5827</v>
      </c>
      <c r="B3549" s="5" t="s">
        <v>2176</v>
      </c>
      <c r="C3549" s="5" t="s">
        <v>2245</v>
      </c>
      <c r="D3549" s="5" t="s">
        <v>2280</v>
      </c>
      <c r="E3549" s="5" t="s">
        <v>54</v>
      </c>
      <c r="F3549" s="5" t="s">
        <v>54</v>
      </c>
      <c r="G3549" s="5" t="str">
        <f aca="false">INDEX(Risk_Matrix!$B$2:$D$4,MATCH(E3549,Risk_Matrix!$A$2:$A$4,0),MATCH(F3549,Risk_Matrix!$B$1:$D$1,0))</f>
        <v>High</v>
      </c>
      <c r="H3549" s="12" t="n">
        <v>46160</v>
      </c>
      <c r="I3549" s="5" t="s">
        <v>2250</v>
      </c>
      <c r="J3549" s="5" t="s">
        <v>2251</v>
      </c>
      <c r="K3549" s="5" t="s">
        <v>2243</v>
      </c>
      <c r="L3549" s="5" t="n">
        <f aca="false">IF(G3549="High",3,IF(G3549="Medium",2,1))</f>
        <v>3</v>
      </c>
    </row>
    <row r="3550" customFormat="false" ht="15" hidden="false" customHeight="true" outlineLevel="0" collapsed="false">
      <c r="A3550" s="5" t="s">
        <v>5828</v>
      </c>
      <c r="B3550" s="5" t="s">
        <v>2176</v>
      </c>
      <c r="C3550" s="5" t="s">
        <v>2248</v>
      </c>
      <c r="D3550" s="5" t="s">
        <v>2249</v>
      </c>
      <c r="E3550" s="5" t="s">
        <v>54</v>
      </c>
      <c r="F3550" s="5" t="s">
        <v>59</v>
      </c>
      <c r="G3550" s="5" t="str">
        <f aca="false">INDEX(Risk_Matrix!$B$2:$D$4,MATCH(E3550,Risk_Matrix!$A$2:$A$4,0),MATCH(F3550,Risk_Matrix!$B$1:$D$1,0))</f>
        <v>Medium</v>
      </c>
      <c r="H3550" s="12" t="n">
        <v>46226</v>
      </c>
      <c r="I3550" s="5" t="s">
        <v>2250</v>
      </c>
      <c r="J3550" s="5" t="s">
        <v>2251</v>
      </c>
      <c r="K3550" s="5" t="s">
        <v>2266</v>
      </c>
      <c r="L3550" s="5" t="n">
        <f aca="false">IF(G3550="High",3,IF(G3550="Medium",2,1))</f>
        <v>2</v>
      </c>
    </row>
    <row r="3551" customFormat="false" ht="15" hidden="false" customHeight="true" outlineLevel="0" collapsed="false">
      <c r="A3551" s="5" t="s">
        <v>5829</v>
      </c>
      <c r="B3551" s="5" t="s">
        <v>2176</v>
      </c>
      <c r="C3551" s="5" t="s">
        <v>2262</v>
      </c>
      <c r="D3551" s="5" t="s">
        <v>2287</v>
      </c>
      <c r="E3551" s="5" t="s">
        <v>59</v>
      </c>
      <c r="F3551" s="5" t="s">
        <v>2225</v>
      </c>
      <c r="G3551" s="5" t="str">
        <f aca="false">INDEX(Risk_Matrix!$B$2:$D$4,MATCH(E3551,Risk_Matrix!$A$2:$A$4,0),MATCH(F3551,Risk_Matrix!$B$1:$D$1,0))</f>
        <v>Low</v>
      </c>
      <c r="H3551" s="12" t="n">
        <v>46138</v>
      </c>
      <c r="I3551" s="5" t="s">
        <v>2256</v>
      </c>
      <c r="J3551" s="5" t="s">
        <v>4081</v>
      </c>
      <c r="K3551" s="5" t="s">
        <v>2276</v>
      </c>
      <c r="L3551" s="5" t="n">
        <f aca="false">IF(G3551="High",3,IF(G3551="Medium",2,1))</f>
        <v>1</v>
      </c>
    </row>
    <row r="3552" customFormat="false" ht="15" hidden="false" customHeight="true" outlineLevel="0" collapsed="false">
      <c r="A3552" s="5" t="s">
        <v>5830</v>
      </c>
      <c r="B3552" s="5" t="s">
        <v>2176</v>
      </c>
      <c r="C3552" s="5" t="s">
        <v>2259</v>
      </c>
      <c r="D3552" s="5" t="s">
        <v>2285</v>
      </c>
      <c r="E3552" s="5" t="s">
        <v>59</v>
      </c>
      <c r="F3552" s="5" t="s">
        <v>54</v>
      </c>
      <c r="G3552" s="5" t="str">
        <f aca="false">INDEX(Risk_Matrix!$B$2:$D$4,MATCH(E3552,Risk_Matrix!$A$2:$A$4,0),MATCH(F3552,Risk_Matrix!$B$1:$D$1,0))</f>
        <v>Medium</v>
      </c>
      <c r="H3552" s="12" t="n">
        <v>46218</v>
      </c>
      <c r="I3552" s="5" t="s">
        <v>2241</v>
      </c>
      <c r="J3552" s="5" t="s">
        <v>2242</v>
      </c>
      <c r="K3552" s="5" t="s">
        <v>2266</v>
      </c>
      <c r="L3552" s="5" t="n">
        <f aca="false">IF(G3552="High",3,IF(G3552="Medium",2,1))</f>
        <v>2</v>
      </c>
    </row>
    <row r="3553" customFormat="false" ht="15" hidden="false" customHeight="true" outlineLevel="0" collapsed="false">
      <c r="A3553" s="5" t="s">
        <v>5831</v>
      </c>
      <c r="B3553" s="5" t="s">
        <v>2176</v>
      </c>
      <c r="C3553" s="5" t="s">
        <v>2254</v>
      </c>
      <c r="D3553" s="5" t="s">
        <v>2308</v>
      </c>
      <c r="E3553" s="5" t="s">
        <v>2225</v>
      </c>
      <c r="F3553" s="5" t="s">
        <v>59</v>
      </c>
      <c r="G3553" s="5" t="str">
        <f aca="false">INDEX(Risk_Matrix!$B$2:$D$4,MATCH(E3553,Risk_Matrix!$A$2:$A$4,0),MATCH(F3553,Risk_Matrix!$B$1:$D$1,0))</f>
        <v>Low</v>
      </c>
      <c r="H3553" s="12" t="n">
        <v>46041</v>
      </c>
      <c r="I3553" s="5" t="s">
        <v>2241</v>
      </c>
      <c r="J3553" s="5" t="s">
        <v>2242</v>
      </c>
      <c r="K3553" s="5" t="s">
        <v>2243</v>
      </c>
      <c r="L3553" s="5" t="n">
        <f aca="false">IF(G3553="High",3,IF(G3553="Medium",2,1))</f>
        <v>1</v>
      </c>
    </row>
    <row r="3554" customFormat="false" ht="15" hidden="false" customHeight="true" outlineLevel="0" collapsed="false">
      <c r="A3554" s="5" t="s">
        <v>5832</v>
      </c>
      <c r="B3554" s="5" t="s">
        <v>2178</v>
      </c>
      <c r="C3554" s="5" t="s">
        <v>2239</v>
      </c>
      <c r="D3554" s="5" t="s">
        <v>2278</v>
      </c>
      <c r="E3554" s="5" t="s">
        <v>2225</v>
      </c>
      <c r="F3554" s="5" t="s">
        <v>2225</v>
      </c>
      <c r="G3554" s="5" t="str">
        <f aca="false">INDEX(Risk_Matrix!$B$2:$D$4,MATCH(E3554,Risk_Matrix!$A$2:$A$4,0),MATCH(F3554,Risk_Matrix!$B$1:$D$1,0))</f>
        <v>Medium</v>
      </c>
      <c r="H3554" s="12" t="n">
        <v>46049</v>
      </c>
      <c r="I3554" s="5" t="s">
        <v>2256</v>
      </c>
      <c r="J3554" s="5" t="s">
        <v>4081</v>
      </c>
      <c r="K3554" s="5" t="s">
        <v>2283</v>
      </c>
      <c r="L3554" s="5" t="n">
        <f aca="false">IF(G3554="High",3,IF(G3554="Medium",2,1))</f>
        <v>2</v>
      </c>
    </row>
    <row r="3555" customFormat="false" ht="15" hidden="false" customHeight="true" outlineLevel="0" collapsed="false">
      <c r="A3555" s="5" t="s">
        <v>5833</v>
      </c>
      <c r="B3555" s="5" t="s">
        <v>2178</v>
      </c>
      <c r="C3555" s="5" t="s">
        <v>2245</v>
      </c>
      <c r="D3555" s="5" t="s">
        <v>2280</v>
      </c>
      <c r="E3555" s="5" t="s">
        <v>2225</v>
      </c>
      <c r="F3555" s="5" t="s">
        <v>59</v>
      </c>
      <c r="G3555" s="5" t="str">
        <f aca="false">INDEX(Risk_Matrix!$B$2:$D$4,MATCH(E3555,Risk_Matrix!$A$2:$A$4,0),MATCH(F3555,Risk_Matrix!$B$1:$D$1,0))</f>
        <v>Low</v>
      </c>
      <c r="H3555" s="12" t="n">
        <v>46109</v>
      </c>
      <c r="I3555" s="5" t="s">
        <v>2256</v>
      </c>
      <c r="J3555" s="5" t="s">
        <v>4081</v>
      </c>
      <c r="K3555" s="5" t="s">
        <v>2266</v>
      </c>
      <c r="L3555" s="5" t="n">
        <f aca="false">IF(G3555="High",3,IF(G3555="Medium",2,1))</f>
        <v>1</v>
      </c>
    </row>
    <row r="3556" customFormat="false" ht="15" hidden="false" customHeight="true" outlineLevel="0" collapsed="false">
      <c r="A3556" s="5" t="s">
        <v>5834</v>
      </c>
      <c r="B3556" s="5" t="s">
        <v>2178</v>
      </c>
      <c r="C3556" s="5" t="s">
        <v>2248</v>
      </c>
      <c r="D3556" s="5" t="s">
        <v>2322</v>
      </c>
      <c r="E3556" s="5" t="s">
        <v>59</v>
      </c>
      <c r="F3556" s="5" t="s">
        <v>59</v>
      </c>
      <c r="G3556" s="5" t="str">
        <f aca="false">INDEX(Risk_Matrix!$B$2:$D$4,MATCH(E3556,Risk_Matrix!$A$2:$A$4,0),MATCH(F3556,Risk_Matrix!$B$1:$D$1,0))</f>
        <v>Low</v>
      </c>
      <c r="H3556" s="12" t="n">
        <v>46114</v>
      </c>
      <c r="I3556" s="5" t="s">
        <v>2264</v>
      </c>
      <c r="J3556" s="5" t="s">
        <v>4087</v>
      </c>
      <c r="K3556" s="5" t="s">
        <v>2252</v>
      </c>
      <c r="L3556" s="5" t="n">
        <f aca="false">IF(G3556="High",3,IF(G3556="Medium",2,1))</f>
        <v>1</v>
      </c>
    </row>
    <row r="3557" customFormat="false" ht="15" hidden="false" customHeight="true" outlineLevel="0" collapsed="false">
      <c r="A3557" s="5" t="s">
        <v>5835</v>
      </c>
      <c r="B3557" s="5" t="s">
        <v>2178</v>
      </c>
      <c r="C3557" s="5" t="s">
        <v>2262</v>
      </c>
      <c r="D3557" s="5" t="s">
        <v>2287</v>
      </c>
      <c r="E3557" s="5" t="s">
        <v>59</v>
      </c>
      <c r="F3557" s="5" t="s">
        <v>2225</v>
      </c>
      <c r="G3557" s="5" t="str">
        <f aca="false">INDEX(Risk_Matrix!$B$2:$D$4,MATCH(E3557,Risk_Matrix!$A$2:$A$4,0),MATCH(F3557,Risk_Matrix!$B$1:$D$1,0))</f>
        <v>Low</v>
      </c>
      <c r="H3557" s="12" t="n">
        <v>46173</v>
      </c>
      <c r="I3557" s="5" t="s">
        <v>2264</v>
      </c>
      <c r="J3557" s="5" t="s">
        <v>4087</v>
      </c>
      <c r="K3557" s="5" t="s">
        <v>2276</v>
      </c>
      <c r="L3557" s="5" t="n">
        <f aca="false">IF(G3557="High",3,IF(G3557="Medium",2,1))</f>
        <v>1</v>
      </c>
    </row>
    <row r="3558" customFormat="false" ht="15" hidden="false" customHeight="true" outlineLevel="0" collapsed="false">
      <c r="A3558" s="5" t="s">
        <v>5836</v>
      </c>
      <c r="B3558" s="5" t="s">
        <v>2178</v>
      </c>
      <c r="C3558" s="5" t="s">
        <v>2259</v>
      </c>
      <c r="D3558" s="5" t="s">
        <v>2260</v>
      </c>
      <c r="E3558" s="5" t="s">
        <v>2225</v>
      </c>
      <c r="F3558" s="5" t="s">
        <v>54</v>
      </c>
      <c r="G3558" s="5" t="str">
        <f aca="false">INDEX(Risk_Matrix!$B$2:$D$4,MATCH(E3558,Risk_Matrix!$A$2:$A$4,0),MATCH(F3558,Risk_Matrix!$B$1:$D$1,0))</f>
        <v>High</v>
      </c>
      <c r="H3558" s="12" t="n">
        <v>46222</v>
      </c>
      <c r="I3558" s="5" t="s">
        <v>2256</v>
      </c>
      <c r="J3558" s="5" t="s">
        <v>4081</v>
      </c>
      <c r="K3558" s="5" t="s">
        <v>2276</v>
      </c>
      <c r="L3558" s="5" t="n">
        <f aca="false">IF(G3558="High",3,IF(G3558="Medium",2,1))</f>
        <v>3</v>
      </c>
    </row>
    <row r="3559" customFormat="false" ht="15" hidden="false" customHeight="true" outlineLevel="0" collapsed="false">
      <c r="A3559" s="5" t="s">
        <v>5837</v>
      </c>
      <c r="B3559" s="5" t="s">
        <v>2178</v>
      </c>
      <c r="C3559" s="5" t="s">
        <v>2254</v>
      </c>
      <c r="D3559" s="5" t="s">
        <v>2299</v>
      </c>
      <c r="E3559" s="5" t="s">
        <v>54</v>
      </c>
      <c r="F3559" s="5" t="s">
        <v>59</v>
      </c>
      <c r="G3559" s="5" t="str">
        <f aca="false">INDEX(Risk_Matrix!$B$2:$D$4,MATCH(E3559,Risk_Matrix!$A$2:$A$4,0),MATCH(F3559,Risk_Matrix!$B$1:$D$1,0))</f>
        <v>Medium</v>
      </c>
      <c r="H3559" s="12" t="n">
        <v>46094</v>
      </c>
      <c r="I3559" s="5" t="s">
        <v>2264</v>
      </c>
      <c r="J3559" s="5" t="s">
        <v>4087</v>
      </c>
      <c r="K3559" s="5" t="s">
        <v>2283</v>
      </c>
      <c r="L3559" s="5" t="n">
        <f aca="false">IF(G3559="High",3,IF(G3559="Medium",2,1))</f>
        <v>2</v>
      </c>
    </row>
    <row r="3560" customFormat="false" ht="15" hidden="false" customHeight="true" outlineLevel="0" collapsed="false">
      <c r="A3560" s="5" t="s">
        <v>5838</v>
      </c>
      <c r="B3560" s="5" t="s">
        <v>2180</v>
      </c>
      <c r="C3560" s="5" t="s">
        <v>2239</v>
      </c>
      <c r="D3560" s="5" t="s">
        <v>2295</v>
      </c>
      <c r="E3560" s="5" t="s">
        <v>54</v>
      </c>
      <c r="F3560" s="5" t="s">
        <v>59</v>
      </c>
      <c r="G3560" s="5" t="str">
        <f aca="false">INDEX(Risk_Matrix!$B$2:$D$4,MATCH(E3560,Risk_Matrix!$A$2:$A$4,0),MATCH(F3560,Risk_Matrix!$B$1:$D$1,0))</f>
        <v>Medium</v>
      </c>
      <c r="H3560" s="12" t="n">
        <v>46104</v>
      </c>
      <c r="I3560" s="5" t="s">
        <v>2241</v>
      </c>
      <c r="J3560" s="5" t="s">
        <v>2242</v>
      </c>
      <c r="K3560" s="5" t="s">
        <v>2243</v>
      </c>
      <c r="L3560" s="5" t="n">
        <f aca="false">IF(G3560="High",3,IF(G3560="Medium",2,1))</f>
        <v>2</v>
      </c>
    </row>
    <row r="3561" customFormat="false" ht="15" hidden="false" customHeight="true" outlineLevel="0" collapsed="false">
      <c r="A3561" s="5" t="s">
        <v>5839</v>
      </c>
      <c r="B3561" s="5" t="s">
        <v>2180</v>
      </c>
      <c r="C3561" s="5" t="s">
        <v>2245</v>
      </c>
      <c r="D3561" s="5" t="s">
        <v>2280</v>
      </c>
      <c r="E3561" s="5" t="s">
        <v>54</v>
      </c>
      <c r="F3561" s="5" t="s">
        <v>2225</v>
      </c>
      <c r="G3561" s="5" t="str">
        <f aca="false">INDEX(Risk_Matrix!$B$2:$D$4,MATCH(E3561,Risk_Matrix!$A$2:$A$4,0),MATCH(F3561,Risk_Matrix!$B$1:$D$1,0))</f>
        <v>High</v>
      </c>
      <c r="H3561" s="12" t="n">
        <v>46103</v>
      </c>
      <c r="I3561" s="5" t="s">
        <v>2264</v>
      </c>
      <c r="J3561" s="5" t="s">
        <v>4087</v>
      </c>
      <c r="K3561" s="5" t="s">
        <v>2252</v>
      </c>
      <c r="L3561" s="5" t="n">
        <f aca="false">IF(G3561="High",3,IF(G3561="Medium",2,1))</f>
        <v>3</v>
      </c>
    </row>
    <row r="3562" customFormat="false" ht="15" hidden="false" customHeight="true" outlineLevel="0" collapsed="false">
      <c r="A3562" s="5" t="s">
        <v>5840</v>
      </c>
      <c r="B3562" s="5" t="s">
        <v>2180</v>
      </c>
      <c r="C3562" s="5" t="s">
        <v>2248</v>
      </c>
      <c r="D3562" s="5" t="s">
        <v>2322</v>
      </c>
      <c r="E3562" s="5" t="s">
        <v>2225</v>
      </c>
      <c r="F3562" s="5" t="s">
        <v>54</v>
      </c>
      <c r="G3562" s="5" t="str">
        <f aca="false">INDEX(Risk_Matrix!$B$2:$D$4,MATCH(E3562,Risk_Matrix!$A$2:$A$4,0),MATCH(F3562,Risk_Matrix!$B$1:$D$1,0))</f>
        <v>High</v>
      </c>
      <c r="H3562" s="12" t="n">
        <v>46038</v>
      </c>
      <c r="I3562" s="5" t="s">
        <v>2264</v>
      </c>
      <c r="J3562" s="5" t="s">
        <v>4087</v>
      </c>
      <c r="K3562" s="5" t="s">
        <v>2276</v>
      </c>
      <c r="L3562" s="5" t="n">
        <f aca="false">IF(G3562="High",3,IF(G3562="Medium",2,1))</f>
        <v>3</v>
      </c>
    </row>
    <row r="3563" customFormat="false" ht="15" hidden="false" customHeight="true" outlineLevel="0" collapsed="false">
      <c r="A3563" s="5" t="s">
        <v>5841</v>
      </c>
      <c r="B3563" s="5" t="s">
        <v>2180</v>
      </c>
      <c r="C3563" s="5" t="s">
        <v>2262</v>
      </c>
      <c r="D3563" s="5" t="s">
        <v>2311</v>
      </c>
      <c r="E3563" s="5" t="s">
        <v>59</v>
      </c>
      <c r="F3563" s="5" t="s">
        <v>54</v>
      </c>
      <c r="G3563" s="5" t="str">
        <f aca="false">INDEX(Risk_Matrix!$B$2:$D$4,MATCH(E3563,Risk_Matrix!$A$2:$A$4,0),MATCH(F3563,Risk_Matrix!$B$1:$D$1,0))</f>
        <v>Medium</v>
      </c>
      <c r="H3563" s="12" t="n">
        <v>46212</v>
      </c>
      <c r="I3563" s="5" t="s">
        <v>2250</v>
      </c>
      <c r="J3563" s="5" t="s">
        <v>2251</v>
      </c>
      <c r="K3563" s="5" t="s">
        <v>2283</v>
      </c>
      <c r="L3563" s="5" t="n">
        <f aca="false">IF(G3563="High",3,IF(G3563="Medium",2,1))</f>
        <v>2</v>
      </c>
    </row>
    <row r="3564" customFormat="false" ht="15" hidden="false" customHeight="true" outlineLevel="0" collapsed="false">
      <c r="A3564" s="5" t="s">
        <v>5842</v>
      </c>
      <c r="B3564" s="5" t="s">
        <v>2180</v>
      </c>
      <c r="C3564" s="5" t="s">
        <v>2259</v>
      </c>
      <c r="D3564" s="5" t="s">
        <v>2260</v>
      </c>
      <c r="E3564" s="5" t="s">
        <v>59</v>
      </c>
      <c r="F3564" s="5" t="s">
        <v>59</v>
      </c>
      <c r="G3564" s="5" t="str">
        <f aca="false">INDEX(Risk_Matrix!$B$2:$D$4,MATCH(E3564,Risk_Matrix!$A$2:$A$4,0),MATCH(F3564,Risk_Matrix!$B$1:$D$1,0))</f>
        <v>Low</v>
      </c>
      <c r="H3564" s="12" t="n">
        <v>46203</v>
      </c>
      <c r="I3564" s="5" t="s">
        <v>2250</v>
      </c>
      <c r="J3564" s="5" t="s">
        <v>2251</v>
      </c>
      <c r="K3564" s="5" t="s">
        <v>2276</v>
      </c>
      <c r="L3564" s="5" t="n">
        <f aca="false">IF(G3564="High",3,IF(G3564="Medium",2,1))</f>
        <v>1</v>
      </c>
    </row>
    <row r="3565" customFormat="false" ht="15" hidden="false" customHeight="true" outlineLevel="0" collapsed="false">
      <c r="A3565" s="5" t="s">
        <v>5843</v>
      </c>
      <c r="B3565" s="5" t="s">
        <v>2180</v>
      </c>
      <c r="C3565" s="5" t="s">
        <v>2254</v>
      </c>
      <c r="D3565" s="5" t="s">
        <v>2299</v>
      </c>
      <c r="E3565" s="5" t="s">
        <v>59</v>
      </c>
      <c r="F3565" s="5" t="s">
        <v>54</v>
      </c>
      <c r="G3565" s="5" t="str">
        <f aca="false">INDEX(Risk_Matrix!$B$2:$D$4,MATCH(E3565,Risk_Matrix!$A$2:$A$4,0),MATCH(F3565,Risk_Matrix!$B$1:$D$1,0))</f>
        <v>Medium</v>
      </c>
      <c r="H3565" s="12" t="n">
        <v>46121</v>
      </c>
      <c r="I3565" s="5" t="s">
        <v>2241</v>
      </c>
      <c r="J3565" s="5" t="s">
        <v>2242</v>
      </c>
      <c r="K3565" s="5" t="s">
        <v>2283</v>
      </c>
      <c r="L3565" s="5" t="n">
        <f aca="false">IF(G3565="High",3,IF(G3565="Medium",2,1))</f>
        <v>2</v>
      </c>
    </row>
    <row r="3566" customFormat="false" ht="15" hidden="false" customHeight="true" outlineLevel="0" collapsed="false">
      <c r="A3566" s="5" t="s">
        <v>5844</v>
      </c>
      <c r="B3566" s="5" t="s">
        <v>2182</v>
      </c>
      <c r="C3566" s="5" t="s">
        <v>2239</v>
      </c>
      <c r="D3566" s="5" t="s">
        <v>2240</v>
      </c>
      <c r="E3566" s="5" t="s">
        <v>2225</v>
      </c>
      <c r="F3566" s="5" t="s">
        <v>2225</v>
      </c>
      <c r="G3566" s="5" t="str">
        <f aca="false">INDEX(Risk_Matrix!$B$2:$D$4,MATCH(E3566,Risk_Matrix!$A$2:$A$4,0),MATCH(F3566,Risk_Matrix!$B$1:$D$1,0))</f>
        <v>Medium</v>
      </c>
      <c r="H3566" s="12" t="n">
        <v>46209</v>
      </c>
      <c r="I3566" s="5" t="s">
        <v>2264</v>
      </c>
      <c r="J3566" s="5" t="s">
        <v>4087</v>
      </c>
      <c r="K3566" s="5" t="s">
        <v>2266</v>
      </c>
      <c r="L3566" s="5" t="n">
        <f aca="false">IF(G3566="High",3,IF(G3566="Medium",2,1))</f>
        <v>2</v>
      </c>
    </row>
    <row r="3567" customFormat="false" ht="15" hidden="false" customHeight="true" outlineLevel="0" collapsed="false">
      <c r="A3567" s="5" t="s">
        <v>5845</v>
      </c>
      <c r="B3567" s="5" t="s">
        <v>2182</v>
      </c>
      <c r="C3567" s="5" t="s">
        <v>2245</v>
      </c>
      <c r="D3567" s="5" t="s">
        <v>2269</v>
      </c>
      <c r="E3567" s="5" t="s">
        <v>2225</v>
      </c>
      <c r="F3567" s="5" t="s">
        <v>54</v>
      </c>
      <c r="G3567" s="5" t="str">
        <f aca="false">INDEX(Risk_Matrix!$B$2:$D$4,MATCH(E3567,Risk_Matrix!$A$2:$A$4,0),MATCH(F3567,Risk_Matrix!$B$1:$D$1,0))</f>
        <v>High</v>
      </c>
      <c r="H3567" s="12" t="n">
        <v>46220</v>
      </c>
      <c r="I3567" s="5" t="s">
        <v>2264</v>
      </c>
      <c r="J3567" s="5" t="s">
        <v>4087</v>
      </c>
      <c r="K3567" s="5" t="s">
        <v>2276</v>
      </c>
      <c r="L3567" s="5" t="n">
        <f aca="false">IF(G3567="High",3,IF(G3567="Medium",2,1))</f>
        <v>3</v>
      </c>
    </row>
    <row r="3568" customFormat="false" ht="15" hidden="false" customHeight="true" outlineLevel="0" collapsed="false">
      <c r="A3568" s="5" t="s">
        <v>5846</v>
      </c>
      <c r="B3568" s="5" t="s">
        <v>2182</v>
      </c>
      <c r="C3568" s="5" t="s">
        <v>2248</v>
      </c>
      <c r="D3568" s="5" t="s">
        <v>2249</v>
      </c>
      <c r="E3568" s="5" t="s">
        <v>54</v>
      </c>
      <c r="F3568" s="5" t="s">
        <v>54</v>
      </c>
      <c r="G3568" s="5" t="str">
        <f aca="false">INDEX(Risk_Matrix!$B$2:$D$4,MATCH(E3568,Risk_Matrix!$A$2:$A$4,0),MATCH(F3568,Risk_Matrix!$B$1:$D$1,0))</f>
        <v>High</v>
      </c>
      <c r="H3568" s="12" t="n">
        <v>46168</v>
      </c>
      <c r="I3568" s="5" t="s">
        <v>2256</v>
      </c>
      <c r="J3568" s="5" t="s">
        <v>4081</v>
      </c>
      <c r="K3568" s="5" t="s">
        <v>2252</v>
      </c>
      <c r="L3568" s="5" t="n">
        <f aca="false">IF(G3568="High",3,IF(G3568="Medium",2,1))</f>
        <v>3</v>
      </c>
    </row>
    <row r="3569" customFormat="false" ht="15" hidden="false" customHeight="true" outlineLevel="0" collapsed="false">
      <c r="A3569" s="5" t="s">
        <v>5847</v>
      </c>
      <c r="B3569" s="5" t="s">
        <v>2182</v>
      </c>
      <c r="C3569" s="5" t="s">
        <v>2262</v>
      </c>
      <c r="D3569" s="5" t="s">
        <v>2263</v>
      </c>
      <c r="E3569" s="5" t="s">
        <v>54</v>
      </c>
      <c r="F3569" s="5" t="s">
        <v>54</v>
      </c>
      <c r="G3569" s="5" t="str">
        <f aca="false">INDEX(Risk_Matrix!$B$2:$D$4,MATCH(E3569,Risk_Matrix!$A$2:$A$4,0),MATCH(F3569,Risk_Matrix!$B$1:$D$1,0))</f>
        <v>High</v>
      </c>
      <c r="H3569" s="12" t="n">
        <v>46160</v>
      </c>
      <c r="I3569" s="5" t="s">
        <v>2256</v>
      </c>
      <c r="J3569" s="5" t="s">
        <v>4081</v>
      </c>
      <c r="K3569" s="5" t="s">
        <v>2266</v>
      </c>
      <c r="L3569" s="5" t="n">
        <f aca="false">IF(G3569="High",3,IF(G3569="Medium",2,1))</f>
        <v>3</v>
      </c>
    </row>
    <row r="3570" customFormat="false" ht="15" hidden="false" customHeight="true" outlineLevel="0" collapsed="false">
      <c r="A3570" s="5" t="s">
        <v>5848</v>
      </c>
      <c r="B3570" s="5" t="s">
        <v>2182</v>
      </c>
      <c r="C3570" s="5" t="s">
        <v>2259</v>
      </c>
      <c r="D3570" s="5" t="s">
        <v>2274</v>
      </c>
      <c r="E3570" s="5" t="s">
        <v>59</v>
      </c>
      <c r="F3570" s="5" t="s">
        <v>54</v>
      </c>
      <c r="G3570" s="5" t="str">
        <f aca="false">INDEX(Risk_Matrix!$B$2:$D$4,MATCH(E3570,Risk_Matrix!$A$2:$A$4,0),MATCH(F3570,Risk_Matrix!$B$1:$D$1,0))</f>
        <v>Medium</v>
      </c>
      <c r="H3570" s="12" t="n">
        <v>46125</v>
      </c>
      <c r="I3570" s="5" t="s">
        <v>2250</v>
      </c>
      <c r="J3570" s="5" t="s">
        <v>2251</v>
      </c>
      <c r="K3570" s="5" t="s">
        <v>2283</v>
      </c>
      <c r="L3570" s="5" t="n">
        <f aca="false">IF(G3570="High",3,IF(G3570="Medium",2,1))</f>
        <v>2</v>
      </c>
    </row>
    <row r="3571" customFormat="false" ht="15" hidden="false" customHeight="true" outlineLevel="0" collapsed="false">
      <c r="A3571" s="5" t="s">
        <v>5849</v>
      </c>
      <c r="B3571" s="5" t="s">
        <v>2182</v>
      </c>
      <c r="C3571" s="5" t="s">
        <v>2254</v>
      </c>
      <c r="D3571" s="5" t="s">
        <v>2299</v>
      </c>
      <c r="E3571" s="5" t="s">
        <v>54</v>
      </c>
      <c r="F3571" s="5" t="s">
        <v>59</v>
      </c>
      <c r="G3571" s="5" t="str">
        <f aca="false">INDEX(Risk_Matrix!$B$2:$D$4,MATCH(E3571,Risk_Matrix!$A$2:$A$4,0),MATCH(F3571,Risk_Matrix!$B$1:$D$1,0))</f>
        <v>Medium</v>
      </c>
      <c r="H3571" s="12" t="n">
        <v>46171</v>
      </c>
      <c r="I3571" s="5" t="s">
        <v>2264</v>
      </c>
      <c r="J3571" s="5" t="s">
        <v>4087</v>
      </c>
      <c r="K3571" s="5" t="s">
        <v>2252</v>
      </c>
      <c r="L3571" s="5" t="n">
        <f aca="false">IF(G3571="High",3,IF(G3571="Medium",2,1))</f>
        <v>2</v>
      </c>
    </row>
    <row r="3572" customFormat="false" ht="15" hidden="false" customHeight="true" outlineLevel="0" collapsed="false">
      <c r="A3572" s="5" t="s">
        <v>5850</v>
      </c>
      <c r="B3572" s="5" t="s">
        <v>2184</v>
      </c>
      <c r="C3572" s="5" t="s">
        <v>2239</v>
      </c>
      <c r="D3572" s="5" t="s">
        <v>2240</v>
      </c>
      <c r="E3572" s="5" t="s">
        <v>2225</v>
      </c>
      <c r="F3572" s="5" t="s">
        <v>59</v>
      </c>
      <c r="G3572" s="5" t="str">
        <f aca="false">INDEX(Risk_Matrix!$B$2:$D$4,MATCH(E3572,Risk_Matrix!$A$2:$A$4,0),MATCH(F3572,Risk_Matrix!$B$1:$D$1,0))</f>
        <v>Low</v>
      </c>
      <c r="H3572" s="12" t="n">
        <v>46185</v>
      </c>
      <c r="I3572" s="5" t="s">
        <v>2250</v>
      </c>
      <c r="J3572" s="5" t="s">
        <v>2251</v>
      </c>
      <c r="K3572" s="5" t="s">
        <v>2283</v>
      </c>
      <c r="L3572" s="5" t="n">
        <f aca="false">IF(G3572="High",3,IF(G3572="Medium",2,1))</f>
        <v>1</v>
      </c>
    </row>
    <row r="3573" customFormat="false" ht="15" hidden="false" customHeight="true" outlineLevel="0" collapsed="false">
      <c r="A3573" s="5" t="s">
        <v>5851</v>
      </c>
      <c r="B3573" s="5" t="s">
        <v>2184</v>
      </c>
      <c r="C3573" s="5" t="s">
        <v>2245</v>
      </c>
      <c r="D3573" s="5" t="s">
        <v>2246</v>
      </c>
      <c r="E3573" s="5" t="s">
        <v>59</v>
      </c>
      <c r="F3573" s="5" t="s">
        <v>59</v>
      </c>
      <c r="G3573" s="5" t="str">
        <f aca="false">INDEX(Risk_Matrix!$B$2:$D$4,MATCH(E3573,Risk_Matrix!$A$2:$A$4,0),MATCH(F3573,Risk_Matrix!$B$1:$D$1,0))</f>
        <v>Low</v>
      </c>
      <c r="H3573" s="12" t="n">
        <v>46226</v>
      </c>
      <c r="I3573" s="5" t="s">
        <v>2241</v>
      </c>
      <c r="J3573" s="5" t="s">
        <v>2242</v>
      </c>
      <c r="K3573" s="5" t="s">
        <v>2243</v>
      </c>
      <c r="L3573" s="5" t="n">
        <f aca="false">IF(G3573="High",3,IF(G3573="Medium",2,1))</f>
        <v>1</v>
      </c>
    </row>
    <row r="3574" customFormat="false" ht="15" hidden="false" customHeight="true" outlineLevel="0" collapsed="false">
      <c r="A3574" s="5" t="s">
        <v>5852</v>
      </c>
      <c r="B3574" s="5" t="s">
        <v>2184</v>
      </c>
      <c r="C3574" s="5" t="s">
        <v>2248</v>
      </c>
      <c r="D3574" s="5" t="s">
        <v>2322</v>
      </c>
      <c r="E3574" s="5" t="s">
        <v>2225</v>
      </c>
      <c r="F3574" s="5" t="s">
        <v>59</v>
      </c>
      <c r="G3574" s="5" t="str">
        <f aca="false">INDEX(Risk_Matrix!$B$2:$D$4,MATCH(E3574,Risk_Matrix!$A$2:$A$4,0),MATCH(F3574,Risk_Matrix!$B$1:$D$1,0))</f>
        <v>Low</v>
      </c>
      <c r="H3574" s="12" t="n">
        <v>46171</v>
      </c>
      <c r="I3574" s="5" t="s">
        <v>2256</v>
      </c>
      <c r="J3574" s="5" t="s">
        <v>4081</v>
      </c>
      <c r="K3574" s="5" t="s">
        <v>2276</v>
      </c>
      <c r="L3574" s="5" t="n">
        <f aca="false">IF(G3574="High",3,IF(G3574="Medium",2,1))</f>
        <v>1</v>
      </c>
    </row>
    <row r="3575" customFormat="false" ht="15" hidden="false" customHeight="true" outlineLevel="0" collapsed="false">
      <c r="A3575" s="5" t="s">
        <v>5853</v>
      </c>
      <c r="B3575" s="5" t="s">
        <v>2184</v>
      </c>
      <c r="C3575" s="5" t="s">
        <v>2262</v>
      </c>
      <c r="D3575" s="5" t="s">
        <v>2263</v>
      </c>
      <c r="E3575" s="5" t="s">
        <v>59</v>
      </c>
      <c r="F3575" s="5" t="s">
        <v>2225</v>
      </c>
      <c r="G3575" s="5" t="str">
        <f aca="false">INDEX(Risk_Matrix!$B$2:$D$4,MATCH(E3575,Risk_Matrix!$A$2:$A$4,0),MATCH(F3575,Risk_Matrix!$B$1:$D$1,0))</f>
        <v>Low</v>
      </c>
      <c r="H3575" s="12" t="n">
        <v>46148</v>
      </c>
      <c r="I3575" s="5" t="s">
        <v>2241</v>
      </c>
      <c r="J3575" s="5" t="s">
        <v>2242</v>
      </c>
      <c r="K3575" s="5" t="s">
        <v>2283</v>
      </c>
      <c r="L3575" s="5" t="n">
        <f aca="false">IF(G3575="High",3,IF(G3575="Medium",2,1))</f>
        <v>1</v>
      </c>
    </row>
    <row r="3576" customFormat="false" ht="15" hidden="false" customHeight="true" outlineLevel="0" collapsed="false">
      <c r="A3576" s="5" t="s">
        <v>5854</v>
      </c>
      <c r="B3576" s="5" t="s">
        <v>2184</v>
      </c>
      <c r="C3576" s="5" t="s">
        <v>2259</v>
      </c>
      <c r="D3576" s="5" t="s">
        <v>2260</v>
      </c>
      <c r="E3576" s="5" t="s">
        <v>2225</v>
      </c>
      <c r="F3576" s="5" t="s">
        <v>54</v>
      </c>
      <c r="G3576" s="5" t="str">
        <f aca="false">INDEX(Risk_Matrix!$B$2:$D$4,MATCH(E3576,Risk_Matrix!$A$2:$A$4,0),MATCH(F3576,Risk_Matrix!$B$1:$D$1,0))</f>
        <v>High</v>
      </c>
      <c r="H3576" s="12" t="n">
        <v>46222</v>
      </c>
      <c r="I3576" s="5" t="s">
        <v>2241</v>
      </c>
      <c r="J3576" s="5" t="s">
        <v>2242</v>
      </c>
      <c r="K3576" s="5" t="s">
        <v>2276</v>
      </c>
      <c r="L3576" s="5" t="n">
        <f aca="false">IF(G3576="High",3,IF(G3576="Medium",2,1))</f>
        <v>3</v>
      </c>
    </row>
    <row r="3577" customFormat="false" ht="15" hidden="false" customHeight="true" outlineLevel="0" collapsed="false">
      <c r="A3577" s="5" t="s">
        <v>5855</v>
      </c>
      <c r="B3577" s="5" t="s">
        <v>2184</v>
      </c>
      <c r="C3577" s="5" t="s">
        <v>2254</v>
      </c>
      <c r="D3577" s="5" t="s">
        <v>2255</v>
      </c>
      <c r="E3577" s="5" t="s">
        <v>59</v>
      </c>
      <c r="F3577" s="5" t="s">
        <v>54</v>
      </c>
      <c r="G3577" s="5" t="str">
        <f aca="false">INDEX(Risk_Matrix!$B$2:$D$4,MATCH(E3577,Risk_Matrix!$A$2:$A$4,0),MATCH(F3577,Risk_Matrix!$B$1:$D$1,0))</f>
        <v>Medium</v>
      </c>
      <c r="H3577" s="12" t="n">
        <v>46218</v>
      </c>
      <c r="I3577" s="5" t="s">
        <v>2256</v>
      </c>
      <c r="J3577" s="5" t="s">
        <v>4081</v>
      </c>
      <c r="K3577" s="5" t="s">
        <v>2243</v>
      </c>
      <c r="L3577" s="5" t="n">
        <f aca="false">IF(G3577="High",3,IF(G3577="Medium",2,1))</f>
        <v>2</v>
      </c>
    </row>
    <row r="3578" customFormat="false" ht="15" hidden="false" customHeight="true" outlineLevel="0" collapsed="false">
      <c r="A3578" s="5" t="s">
        <v>5856</v>
      </c>
      <c r="B3578" s="5" t="s">
        <v>2186</v>
      </c>
      <c r="C3578" s="5" t="s">
        <v>2239</v>
      </c>
      <c r="D3578" s="5" t="s">
        <v>2278</v>
      </c>
      <c r="E3578" s="5" t="s">
        <v>2225</v>
      </c>
      <c r="F3578" s="5" t="s">
        <v>54</v>
      </c>
      <c r="G3578" s="5" t="str">
        <f aca="false">INDEX(Risk_Matrix!$B$2:$D$4,MATCH(E3578,Risk_Matrix!$A$2:$A$4,0),MATCH(F3578,Risk_Matrix!$B$1:$D$1,0))</f>
        <v>High</v>
      </c>
      <c r="H3578" s="12" t="n">
        <v>46182</v>
      </c>
      <c r="I3578" s="5" t="s">
        <v>2264</v>
      </c>
      <c r="J3578" s="5" t="s">
        <v>4087</v>
      </c>
      <c r="K3578" s="5" t="s">
        <v>2283</v>
      </c>
      <c r="L3578" s="5" t="n">
        <f aca="false">IF(G3578="High",3,IF(G3578="Medium",2,1))</f>
        <v>3</v>
      </c>
    </row>
    <row r="3579" customFormat="false" ht="15" hidden="false" customHeight="true" outlineLevel="0" collapsed="false">
      <c r="A3579" s="5" t="s">
        <v>5857</v>
      </c>
      <c r="B3579" s="5" t="s">
        <v>2186</v>
      </c>
      <c r="C3579" s="5" t="s">
        <v>2245</v>
      </c>
      <c r="D3579" s="5" t="s">
        <v>2246</v>
      </c>
      <c r="E3579" s="5" t="s">
        <v>2225</v>
      </c>
      <c r="F3579" s="5" t="s">
        <v>54</v>
      </c>
      <c r="G3579" s="5" t="str">
        <f aca="false">INDEX(Risk_Matrix!$B$2:$D$4,MATCH(E3579,Risk_Matrix!$A$2:$A$4,0),MATCH(F3579,Risk_Matrix!$B$1:$D$1,0))</f>
        <v>High</v>
      </c>
      <c r="H3579" s="12" t="n">
        <v>46160</v>
      </c>
      <c r="I3579" s="5" t="s">
        <v>2250</v>
      </c>
      <c r="J3579" s="5" t="s">
        <v>2251</v>
      </c>
      <c r="K3579" s="5" t="s">
        <v>2243</v>
      </c>
      <c r="L3579" s="5" t="n">
        <f aca="false">IF(G3579="High",3,IF(G3579="Medium",2,1))</f>
        <v>3</v>
      </c>
    </row>
    <row r="3580" customFormat="false" ht="15" hidden="false" customHeight="true" outlineLevel="0" collapsed="false">
      <c r="A3580" s="5" t="s">
        <v>5858</v>
      </c>
      <c r="B3580" s="5" t="s">
        <v>2186</v>
      </c>
      <c r="C3580" s="5" t="s">
        <v>2248</v>
      </c>
      <c r="D3580" s="5" t="s">
        <v>2322</v>
      </c>
      <c r="E3580" s="5" t="s">
        <v>54</v>
      </c>
      <c r="F3580" s="5" t="s">
        <v>54</v>
      </c>
      <c r="G3580" s="5" t="str">
        <f aca="false">INDEX(Risk_Matrix!$B$2:$D$4,MATCH(E3580,Risk_Matrix!$A$2:$A$4,0),MATCH(F3580,Risk_Matrix!$B$1:$D$1,0))</f>
        <v>High</v>
      </c>
      <c r="H3580" s="12" t="n">
        <v>46027</v>
      </c>
      <c r="I3580" s="5" t="s">
        <v>2241</v>
      </c>
      <c r="J3580" s="5" t="s">
        <v>2242</v>
      </c>
      <c r="K3580" s="5" t="s">
        <v>2252</v>
      </c>
      <c r="L3580" s="5" t="n">
        <f aca="false">IF(G3580="High",3,IF(G3580="Medium",2,1))</f>
        <v>3</v>
      </c>
    </row>
    <row r="3581" customFormat="false" ht="15" hidden="false" customHeight="true" outlineLevel="0" collapsed="false">
      <c r="A3581" s="5" t="s">
        <v>5859</v>
      </c>
      <c r="B3581" s="5" t="s">
        <v>2186</v>
      </c>
      <c r="C3581" s="5" t="s">
        <v>2262</v>
      </c>
      <c r="D3581" s="5" t="s">
        <v>2287</v>
      </c>
      <c r="E3581" s="5" t="s">
        <v>2225</v>
      </c>
      <c r="F3581" s="5" t="s">
        <v>54</v>
      </c>
      <c r="G3581" s="5" t="str">
        <f aca="false">INDEX(Risk_Matrix!$B$2:$D$4,MATCH(E3581,Risk_Matrix!$A$2:$A$4,0),MATCH(F3581,Risk_Matrix!$B$1:$D$1,0))</f>
        <v>High</v>
      </c>
      <c r="H3581" s="12" t="n">
        <v>46204</v>
      </c>
      <c r="I3581" s="5" t="s">
        <v>2241</v>
      </c>
      <c r="J3581" s="5" t="s">
        <v>2242</v>
      </c>
      <c r="K3581" s="5" t="s">
        <v>2243</v>
      </c>
      <c r="L3581" s="5" t="n">
        <f aca="false">IF(G3581="High",3,IF(G3581="Medium",2,1))</f>
        <v>3</v>
      </c>
    </row>
    <row r="3582" customFormat="false" ht="15" hidden="false" customHeight="true" outlineLevel="0" collapsed="false">
      <c r="A3582" s="5" t="s">
        <v>5860</v>
      </c>
      <c r="B3582" s="5" t="s">
        <v>2186</v>
      </c>
      <c r="C3582" s="5" t="s">
        <v>2259</v>
      </c>
      <c r="D3582" s="5" t="s">
        <v>2285</v>
      </c>
      <c r="E3582" s="5" t="s">
        <v>54</v>
      </c>
      <c r="F3582" s="5" t="s">
        <v>2225</v>
      </c>
      <c r="G3582" s="5" t="str">
        <f aca="false">INDEX(Risk_Matrix!$B$2:$D$4,MATCH(E3582,Risk_Matrix!$A$2:$A$4,0),MATCH(F3582,Risk_Matrix!$B$1:$D$1,0))</f>
        <v>High</v>
      </c>
      <c r="H3582" s="12" t="n">
        <v>46167</v>
      </c>
      <c r="I3582" s="5" t="s">
        <v>2250</v>
      </c>
      <c r="J3582" s="5" t="s">
        <v>2251</v>
      </c>
      <c r="K3582" s="5" t="s">
        <v>2266</v>
      </c>
      <c r="L3582" s="5" t="n">
        <f aca="false">IF(G3582="High",3,IF(G3582="Medium",2,1))</f>
        <v>3</v>
      </c>
    </row>
    <row r="3583" customFormat="false" ht="15" hidden="false" customHeight="true" outlineLevel="0" collapsed="false">
      <c r="A3583" s="5" t="s">
        <v>5861</v>
      </c>
      <c r="B3583" s="5" t="s">
        <v>2186</v>
      </c>
      <c r="C3583" s="5" t="s">
        <v>2254</v>
      </c>
      <c r="D3583" s="5" t="s">
        <v>2308</v>
      </c>
      <c r="E3583" s="5" t="s">
        <v>2225</v>
      </c>
      <c r="F3583" s="5" t="s">
        <v>54</v>
      </c>
      <c r="G3583" s="5" t="str">
        <f aca="false">INDEX(Risk_Matrix!$B$2:$D$4,MATCH(E3583,Risk_Matrix!$A$2:$A$4,0),MATCH(F3583,Risk_Matrix!$B$1:$D$1,0))</f>
        <v>High</v>
      </c>
      <c r="H3583" s="12" t="n">
        <v>46200</v>
      </c>
      <c r="I3583" s="5" t="s">
        <v>2250</v>
      </c>
      <c r="J3583" s="5" t="s">
        <v>2251</v>
      </c>
      <c r="K3583" s="5" t="s">
        <v>2283</v>
      </c>
      <c r="L3583" s="5" t="n">
        <f aca="false">IF(G3583="High",3,IF(G3583="Medium",2,1))</f>
        <v>3</v>
      </c>
    </row>
    <row r="3584" customFormat="false" ht="15" hidden="false" customHeight="true" outlineLevel="0" collapsed="false">
      <c r="A3584" s="5" t="s">
        <v>5862</v>
      </c>
      <c r="B3584" s="5" t="s">
        <v>2188</v>
      </c>
      <c r="C3584" s="5" t="s">
        <v>2239</v>
      </c>
      <c r="D3584" s="5" t="s">
        <v>2278</v>
      </c>
      <c r="E3584" s="5" t="s">
        <v>2225</v>
      </c>
      <c r="F3584" s="5" t="s">
        <v>54</v>
      </c>
      <c r="G3584" s="5" t="str">
        <f aca="false">INDEX(Risk_Matrix!$B$2:$D$4,MATCH(E3584,Risk_Matrix!$A$2:$A$4,0),MATCH(F3584,Risk_Matrix!$B$1:$D$1,0))</f>
        <v>High</v>
      </c>
      <c r="H3584" s="12" t="n">
        <v>46227</v>
      </c>
      <c r="I3584" s="5" t="s">
        <v>2250</v>
      </c>
      <c r="J3584" s="5" t="s">
        <v>2251</v>
      </c>
      <c r="K3584" s="5" t="s">
        <v>2266</v>
      </c>
      <c r="L3584" s="5" t="n">
        <f aca="false">IF(G3584="High",3,IF(G3584="Medium",2,1))</f>
        <v>3</v>
      </c>
    </row>
    <row r="3585" customFormat="false" ht="15" hidden="false" customHeight="true" outlineLevel="0" collapsed="false">
      <c r="A3585" s="5" t="s">
        <v>5863</v>
      </c>
      <c r="B3585" s="5" t="s">
        <v>2188</v>
      </c>
      <c r="C3585" s="5" t="s">
        <v>2245</v>
      </c>
      <c r="D3585" s="5" t="s">
        <v>2269</v>
      </c>
      <c r="E3585" s="5" t="s">
        <v>54</v>
      </c>
      <c r="F3585" s="5" t="s">
        <v>2225</v>
      </c>
      <c r="G3585" s="5" t="str">
        <f aca="false">INDEX(Risk_Matrix!$B$2:$D$4,MATCH(E3585,Risk_Matrix!$A$2:$A$4,0),MATCH(F3585,Risk_Matrix!$B$1:$D$1,0))</f>
        <v>High</v>
      </c>
      <c r="H3585" s="12" t="n">
        <v>46188</v>
      </c>
      <c r="I3585" s="5" t="s">
        <v>2250</v>
      </c>
      <c r="J3585" s="5" t="s">
        <v>2251</v>
      </c>
      <c r="K3585" s="5" t="s">
        <v>2276</v>
      </c>
      <c r="L3585" s="5" t="n">
        <f aca="false">IF(G3585="High",3,IF(G3585="Medium",2,1))</f>
        <v>3</v>
      </c>
    </row>
    <row r="3586" customFormat="false" ht="15" hidden="false" customHeight="true" outlineLevel="0" collapsed="false">
      <c r="A3586" s="5" t="s">
        <v>5864</v>
      </c>
      <c r="B3586" s="5" t="s">
        <v>2188</v>
      </c>
      <c r="C3586" s="5" t="s">
        <v>2248</v>
      </c>
      <c r="D3586" s="5" t="s">
        <v>2271</v>
      </c>
      <c r="E3586" s="5" t="s">
        <v>59</v>
      </c>
      <c r="F3586" s="5" t="s">
        <v>59</v>
      </c>
      <c r="G3586" s="5" t="str">
        <f aca="false">INDEX(Risk_Matrix!$B$2:$D$4,MATCH(E3586,Risk_Matrix!$A$2:$A$4,0),MATCH(F3586,Risk_Matrix!$B$1:$D$1,0))</f>
        <v>Low</v>
      </c>
      <c r="H3586" s="12" t="n">
        <v>46052</v>
      </c>
      <c r="I3586" s="5" t="s">
        <v>2256</v>
      </c>
      <c r="J3586" s="5" t="s">
        <v>4081</v>
      </c>
      <c r="K3586" s="5" t="s">
        <v>2276</v>
      </c>
      <c r="L3586" s="5" t="n">
        <f aca="false">IF(G3586="High",3,IF(G3586="Medium",2,1))</f>
        <v>1</v>
      </c>
    </row>
    <row r="3587" customFormat="false" ht="15" hidden="false" customHeight="true" outlineLevel="0" collapsed="false">
      <c r="A3587" s="5" t="s">
        <v>5865</v>
      </c>
      <c r="B3587" s="5" t="s">
        <v>2188</v>
      </c>
      <c r="C3587" s="5" t="s">
        <v>2262</v>
      </c>
      <c r="D3587" s="5" t="s">
        <v>2263</v>
      </c>
      <c r="E3587" s="5" t="s">
        <v>54</v>
      </c>
      <c r="F3587" s="5" t="s">
        <v>59</v>
      </c>
      <c r="G3587" s="5" t="str">
        <f aca="false">INDEX(Risk_Matrix!$B$2:$D$4,MATCH(E3587,Risk_Matrix!$A$2:$A$4,0),MATCH(F3587,Risk_Matrix!$B$1:$D$1,0))</f>
        <v>Medium</v>
      </c>
      <c r="H3587" s="12" t="n">
        <v>46107</v>
      </c>
      <c r="I3587" s="5" t="s">
        <v>2264</v>
      </c>
      <c r="J3587" s="5" t="s">
        <v>4087</v>
      </c>
      <c r="K3587" s="5" t="s">
        <v>2283</v>
      </c>
      <c r="L3587" s="5" t="n">
        <f aca="false">IF(G3587="High",3,IF(G3587="Medium",2,1))</f>
        <v>2</v>
      </c>
    </row>
    <row r="3588" customFormat="false" ht="15" hidden="false" customHeight="true" outlineLevel="0" collapsed="false">
      <c r="A3588" s="5" t="s">
        <v>5866</v>
      </c>
      <c r="B3588" s="5" t="s">
        <v>2188</v>
      </c>
      <c r="C3588" s="5" t="s">
        <v>2259</v>
      </c>
      <c r="D3588" s="5" t="s">
        <v>2285</v>
      </c>
      <c r="E3588" s="5" t="s">
        <v>2225</v>
      </c>
      <c r="F3588" s="5" t="s">
        <v>59</v>
      </c>
      <c r="G3588" s="5" t="str">
        <f aca="false">INDEX(Risk_Matrix!$B$2:$D$4,MATCH(E3588,Risk_Matrix!$A$2:$A$4,0),MATCH(F3588,Risk_Matrix!$B$1:$D$1,0))</f>
        <v>Low</v>
      </c>
      <c r="H3588" s="12" t="n">
        <v>46225</v>
      </c>
      <c r="I3588" s="5" t="s">
        <v>2250</v>
      </c>
      <c r="J3588" s="5" t="s">
        <v>2251</v>
      </c>
      <c r="K3588" s="5" t="s">
        <v>2243</v>
      </c>
      <c r="L3588" s="5" t="n">
        <f aca="false">IF(G3588="High",3,IF(G3588="Medium",2,1))</f>
        <v>1</v>
      </c>
    </row>
    <row r="3589" customFormat="false" ht="15" hidden="false" customHeight="true" outlineLevel="0" collapsed="false">
      <c r="A3589" s="5" t="s">
        <v>5867</v>
      </c>
      <c r="B3589" s="5" t="s">
        <v>2188</v>
      </c>
      <c r="C3589" s="5" t="s">
        <v>2254</v>
      </c>
      <c r="D3589" s="5" t="s">
        <v>2255</v>
      </c>
      <c r="E3589" s="5" t="s">
        <v>2225</v>
      </c>
      <c r="F3589" s="5" t="s">
        <v>54</v>
      </c>
      <c r="G3589" s="5" t="str">
        <f aca="false">INDEX(Risk_Matrix!$B$2:$D$4,MATCH(E3589,Risk_Matrix!$A$2:$A$4,0),MATCH(F3589,Risk_Matrix!$B$1:$D$1,0))</f>
        <v>High</v>
      </c>
      <c r="H3589" s="12" t="n">
        <v>46177</v>
      </c>
      <c r="I3589" s="5" t="s">
        <v>2264</v>
      </c>
      <c r="J3589" s="5" t="s">
        <v>4087</v>
      </c>
      <c r="K3589" s="5" t="s">
        <v>2243</v>
      </c>
      <c r="L3589" s="5" t="n">
        <f aca="false">IF(G3589="High",3,IF(G3589="Medium",2,1))</f>
        <v>3</v>
      </c>
    </row>
    <row r="3590" customFormat="false" ht="15" hidden="false" customHeight="true" outlineLevel="0" collapsed="false">
      <c r="A3590" s="5" t="s">
        <v>5868</v>
      </c>
      <c r="B3590" s="5" t="s">
        <v>2190</v>
      </c>
      <c r="C3590" s="5" t="s">
        <v>2239</v>
      </c>
      <c r="D3590" s="5" t="s">
        <v>2295</v>
      </c>
      <c r="E3590" s="5" t="s">
        <v>54</v>
      </c>
      <c r="F3590" s="5" t="s">
        <v>2225</v>
      </c>
      <c r="G3590" s="5" t="str">
        <f aca="false">INDEX(Risk_Matrix!$B$2:$D$4,MATCH(E3590,Risk_Matrix!$A$2:$A$4,0),MATCH(F3590,Risk_Matrix!$B$1:$D$1,0))</f>
        <v>High</v>
      </c>
      <c r="H3590" s="12" t="n">
        <v>46069</v>
      </c>
      <c r="I3590" s="5" t="s">
        <v>2241</v>
      </c>
      <c r="J3590" s="5" t="s">
        <v>2242</v>
      </c>
      <c r="K3590" s="5" t="s">
        <v>2266</v>
      </c>
      <c r="L3590" s="5" t="n">
        <f aca="false">IF(G3590="High",3,IF(G3590="Medium",2,1))</f>
        <v>3</v>
      </c>
    </row>
    <row r="3591" customFormat="false" ht="15" hidden="false" customHeight="true" outlineLevel="0" collapsed="false">
      <c r="A3591" s="5" t="s">
        <v>5869</v>
      </c>
      <c r="B3591" s="5" t="s">
        <v>2190</v>
      </c>
      <c r="C3591" s="5" t="s">
        <v>2245</v>
      </c>
      <c r="D3591" s="5" t="s">
        <v>2269</v>
      </c>
      <c r="E3591" s="5" t="s">
        <v>59</v>
      </c>
      <c r="F3591" s="5" t="s">
        <v>59</v>
      </c>
      <c r="G3591" s="5" t="str">
        <f aca="false">INDEX(Risk_Matrix!$B$2:$D$4,MATCH(E3591,Risk_Matrix!$A$2:$A$4,0),MATCH(F3591,Risk_Matrix!$B$1:$D$1,0))</f>
        <v>Low</v>
      </c>
      <c r="H3591" s="12" t="n">
        <v>46138</v>
      </c>
      <c r="I3591" s="5" t="s">
        <v>2241</v>
      </c>
      <c r="J3591" s="5" t="s">
        <v>2242</v>
      </c>
      <c r="K3591" s="5" t="s">
        <v>2283</v>
      </c>
      <c r="L3591" s="5" t="n">
        <f aca="false">IF(G3591="High",3,IF(G3591="Medium",2,1))</f>
        <v>1</v>
      </c>
    </row>
    <row r="3592" customFormat="false" ht="15" hidden="false" customHeight="true" outlineLevel="0" collapsed="false">
      <c r="A3592" s="5" t="s">
        <v>5870</v>
      </c>
      <c r="B3592" s="5" t="s">
        <v>2190</v>
      </c>
      <c r="C3592" s="5" t="s">
        <v>2248</v>
      </c>
      <c r="D3592" s="5" t="s">
        <v>2249</v>
      </c>
      <c r="E3592" s="5" t="s">
        <v>2225</v>
      </c>
      <c r="F3592" s="5" t="s">
        <v>59</v>
      </c>
      <c r="G3592" s="5" t="str">
        <f aca="false">INDEX(Risk_Matrix!$B$2:$D$4,MATCH(E3592,Risk_Matrix!$A$2:$A$4,0),MATCH(F3592,Risk_Matrix!$B$1:$D$1,0))</f>
        <v>Low</v>
      </c>
      <c r="H3592" s="12" t="n">
        <v>46222</v>
      </c>
      <c r="I3592" s="5" t="s">
        <v>2241</v>
      </c>
      <c r="J3592" s="5" t="s">
        <v>2242</v>
      </c>
      <c r="K3592" s="5" t="s">
        <v>2266</v>
      </c>
      <c r="L3592" s="5" t="n">
        <f aca="false">IF(G3592="High",3,IF(G3592="Medium",2,1))</f>
        <v>1</v>
      </c>
    </row>
    <row r="3593" customFormat="false" ht="15" hidden="false" customHeight="true" outlineLevel="0" collapsed="false">
      <c r="A3593" s="5" t="s">
        <v>5871</v>
      </c>
      <c r="B3593" s="5" t="s">
        <v>2190</v>
      </c>
      <c r="C3593" s="5" t="s">
        <v>2262</v>
      </c>
      <c r="D3593" s="5" t="s">
        <v>2287</v>
      </c>
      <c r="E3593" s="5" t="s">
        <v>54</v>
      </c>
      <c r="F3593" s="5" t="s">
        <v>59</v>
      </c>
      <c r="G3593" s="5" t="str">
        <f aca="false">INDEX(Risk_Matrix!$B$2:$D$4,MATCH(E3593,Risk_Matrix!$A$2:$A$4,0),MATCH(F3593,Risk_Matrix!$B$1:$D$1,0))</f>
        <v>Medium</v>
      </c>
      <c r="H3593" s="12" t="n">
        <v>46198</v>
      </c>
      <c r="I3593" s="5" t="s">
        <v>2241</v>
      </c>
      <c r="J3593" s="5" t="s">
        <v>2242</v>
      </c>
      <c r="K3593" s="5" t="s">
        <v>2266</v>
      </c>
      <c r="L3593" s="5" t="n">
        <f aca="false">IF(G3593="High",3,IF(G3593="Medium",2,1))</f>
        <v>2</v>
      </c>
    </row>
    <row r="3594" customFormat="false" ht="15" hidden="false" customHeight="true" outlineLevel="0" collapsed="false">
      <c r="A3594" s="5" t="s">
        <v>5872</v>
      </c>
      <c r="B3594" s="5" t="s">
        <v>2190</v>
      </c>
      <c r="C3594" s="5" t="s">
        <v>2259</v>
      </c>
      <c r="D3594" s="5" t="s">
        <v>2260</v>
      </c>
      <c r="E3594" s="5" t="s">
        <v>54</v>
      </c>
      <c r="F3594" s="5" t="s">
        <v>2225</v>
      </c>
      <c r="G3594" s="5" t="str">
        <f aca="false">INDEX(Risk_Matrix!$B$2:$D$4,MATCH(E3594,Risk_Matrix!$A$2:$A$4,0),MATCH(F3594,Risk_Matrix!$B$1:$D$1,0))</f>
        <v>High</v>
      </c>
      <c r="H3594" s="12" t="n">
        <v>46043</v>
      </c>
      <c r="I3594" s="5" t="s">
        <v>2241</v>
      </c>
      <c r="J3594" s="5" t="s">
        <v>2242</v>
      </c>
      <c r="K3594" s="5" t="s">
        <v>2266</v>
      </c>
      <c r="L3594" s="5" t="n">
        <f aca="false">IF(G3594="High",3,IF(G3594="Medium",2,1))</f>
        <v>3</v>
      </c>
    </row>
    <row r="3595" customFormat="false" ht="15" hidden="false" customHeight="true" outlineLevel="0" collapsed="false">
      <c r="A3595" s="5" t="s">
        <v>5873</v>
      </c>
      <c r="B3595" s="5" t="s">
        <v>2190</v>
      </c>
      <c r="C3595" s="5" t="s">
        <v>2254</v>
      </c>
      <c r="D3595" s="5" t="s">
        <v>2255</v>
      </c>
      <c r="E3595" s="5" t="s">
        <v>54</v>
      </c>
      <c r="F3595" s="5" t="s">
        <v>59</v>
      </c>
      <c r="G3595" s="5" t="str">
        <f aca="false">INDEX(Risk_Matrix!$B$2:$D$4,MATCH(E3595,Risk_Matrix!$A$2:$A$4,0),MATCH(F3595,Risk_Matrix!$B$1:$D$1,0))</f>
        <v>Medium</v>
      </c>
      <c r="H3595" s="12" t="n">
        <v>46102</v>
      </c>
      <c r="I3595" s="5" t="s">
        <v>2250</v>
      </c>
      <c r="J3595" s="5" t="s">
        <v>2251</v>
      </c>
      <c r="K3595" s="5" t="s">
        <v>2266</v>
      </c>
      <c r="L3595" s="5" t="n">
        <f aca="false">IF(G3595="High",3,IF(G3595="Medium",2,1))</f>
        <v>2</v>
      </c>
    </row>
    <row r="3596" customFormat="false" ht="15" hidden="false" customHeight="true" outlineLevel="0" collapsed="false">
      <c r="A3596" s="5" t="s">
        <v>5874</v>
      </c>
      <c r="B3596" s="5" t="s">
        <v>2192</v>
      </c>
      <c r="C3596" s="5" t="s">
        <v>2239</v>
      </c>
      <c r="D3596" s="5" t="s">
        <v>2240</v>
      </c>
      <c r="E3596" s="5" t="s">
        <v>54</v>
      </c>
      <c r="F3596" s="5" t="s">
        <v>2225</v>
      </c>
      <c r="G3596" s="5" t="str">
        <f aca="false">INDEX(Risk_Matrix!$B$2:$D$4,MATCH(E3596,Risk_Matrix!$A$2:$A$4,0),MATCH(F3596,Risk_Matrix!$B$1:$D$1,0))</f>
        <v>High</v>
      </c>
      <c r="H3596" s="12" t="n">
        <v>46131</v>
      </c>
      <c r="I3596" s="5" t="s">
        <v>2241</v>
      </c>
      <c r="J3596" s="5" t="s">
        <v>2242</v>
      </c>
      <c r="K3596" s="5" t="s">
        <v>2276</v>
      </c>
      <c r="L3596" s="5" t="n">
        <f aca="false">IF(G3596="High",3,IF(G3596="Medium",2,1))</f>
        <v>3</v>
      </c>
    </row>
    <row r="3597" customFormat="false" ht="15" hidden="false" customHeight="true" outlineLevel="0" collapsed="false">
      <c r="A3597" s="5" t="s">
        <v>5875</v>
      </c>
      <c r="B3597" s="5" t="s">
        <v>2192</v>
      </c>
      <c r="C3597" s="5" t="s">
        <v>2245</v>
      </c>
      <c r="D3597" s="5" t="s">
        <v>2246</v>
      </c>
      <c r="E3597" s="5" t="s">
        <v>54</v>
      </c>
      <c r="F3597" s="5" t="s">
        <v>54</v>
      </c>
      <c r="G3597" s="5" t="str">
        <f aca="false">INDEX(Risk_Matrix!$B$2:$D$4,MATCH(E3597,Risk_Matrix!$A$2:$A$4,0),MATCH(F3597,Risk_Matrix!$B$1:$D$1,0))</f>
        <v>High</v>
      </c>
      <c r="H3597" s="12" t="n">
        <v>46140</v>
      </c>
      <c r="I3597" s="5" t="s">
        <v>2264</v>
      </c>
      <c r="J3597" s="5" t="s">
        <v>4087</v>
      </c>
      <c r="K3597" s="5" t="s">
        <v>2283</v>
      </c>
      <c r="L3597" s="5" t="n">
        <f aca="false">IF(G3597="High",3,IF(G3597="Medium",2,1))</f>
        <v>3</v>
      </c>
    </row>
    <row r="3598" customFormat="false" ht="15" hidden="false" customHeight="true" outlineLevel="0" collapsed="false">
      <c r="A3598" s="5" t="s">
        <v>5876</v>
      </c>
      <c r="B3598" s="5" t="s">
        <v>2192</v>
      </c>
      <c r="C3598" s="5" t="s">
        <v>2248</v>
      </c>
      <c r="D3598" s="5" t="s">
        <v>2249</v>
      </c>
      <c r="E3598" s="5" t="s">
        <v>54</v>
      </c>
      <c r="F3598" s="5" t="s">
        <v>59</v>
      </c>
      <c r="G3598" s="5" t="str">
        <f aca="false">INDEX(Risk_Matrix!$B$2:$D$4,MATCH(E3598,Risk_Matrix!$A$2:$A$4,0),MATCH(F3598,Risk_Matrix!$B$1:$D$1,0))</f>
        <v>Medium</v>
      </c>
      <c r="H3598" s="12" t="n">
        <v>46083</v>
      </c>
      <c r="I3598" s="5" t="s">
        <v>2241</v>
      </c>
      <c r="J3598" s="5" t="s">
        <v>2242</v>
      </c>
      <c r="K3598" s="5" t="s">
        <v>2252</v>
      </c>
      <c r="L3598" s="5" t="n">
        <f aca="false">IF(G3598="High",3,IF(G3598="Medium",2,1))</f>
        <v>2</v>
      </c>
    </row>
    <row r="3599" customFormat="false" ht="15" hidden="false" customHeight="true" outlineLevel="0" collapsed="false">
      <c r="A3599" s="5" t="s">
        <v>5877</v>
      </c>
      <c r="B3599" s="5" t="s">
        <v>2192</v>
      </c>
      <c r="C3599" s="5" t="s">
        <v>2262</v>
      </c>
      <c r="D3599" s="5" t="s">
        <v>2263</v>
      </c>
      <c r="E3599" s="5" t="s">
        <v>2225</v>
      </c>
      <c r="F3599" s="5" t="s">
        <v>2225</v>
      </c>
      <c r="G3599" s="5" t="str">
        <f aca="false">INDEX(Risk_Matrix!$B$2:$D$4,MATCH(E3599,Risk_Matrix!$A$2:$A$4,0),MATCH(F3599,Risk_Matrix!$B$1:$D$1,0))</f>
        <v>Medium</v>
      </c>
      <c r="H3599" s="12" t="n">
        <v>46139</v>
      </c>
      <c r="I3599" s="5" t="s">
        <v>2241</v>
      </c>
      <c r="J3599" s="5" t="s">
        <v>2242</v>
      </c>
      <c r="K3599" s="5" t="s">
        <v>2276</v>
      </c>
      <c r="L3599" s="5" t="n">
        <f aca="false">IF(G3599="High",3,IF(G3599="Medium",2,1))</f>
        <v>2</v>
      </c>
    </row>
    <row r="3600" customFormat="false" ht="15" hidden="false" customHeight="true" outlineLevel="0" collapsed="false">
      <c r="A3600" s="5" t="s">
        <v>5878</v>
      </c>
      <c r="B3600" s="5" t="s">
        <v>2192</v>
      </c>
      <c r="C3600" s="5" t="s">
        <v>2259</v>
      </c>
      <c r="D3600" s="5" t="s">
        <v>2274</v>
      </c>
      <c r="E3600" s="5" t="s">
        <v>54</v>
      </c>
      <c r="F3600" s="5" t="s">
        <v>2225</v>
      </c>
      <c r="G3600" s="5" t="str">
        <f aca="false">INDEX(Risk_Matrix!$B$2:$D$4,MATCH(E3600,Risk_Matrix!$A$2:$A$4,0),MATCH(F3600,Risk_Matrix!$B$1:$D$1,0))</f>
        <v>High</v>
      </c>
      <c r="H3600" s="12" t="n">
        <v>46041</v>
      </c>
      <c r="I3600" s="5" t="s">
        <v>2256</v>
      </c>
      <c r="J3600" s="5" t="s">
        <v>4081</v>
      </c>
      <c r="K3600" s="5" t="s">
        <v>2243</v>
      </c>
      <c r="L3600" s="5" t="n">
        <f aca="false">IF(G3600="High",3,IF(G3600="Medium",2,1))</f>
        <v>3</v>
      </c>
    </row>
    <row r="3601" customFormat="false" ht="15" hidden="false" customHeight="true" outlineLevel="0" collapsed="false">
      <c r="A3601" s="5" t="s">
        <v>5879</v>
      </c>
      <c r="B3601" s="5" t="s">
        <v>2192</v>
      </c>
      <c r="C3601" s="5" t="s">
        <v>2254</v>
      </c>
      <c r="D3601" s="5" t="s">
        <v>2299</v>
      </c>
      <c r="E3601" s="5" t="s">
        <v>2225</v>
      </c>
      <c r="F3601" s="5" t="s">
        <v>59</v>
      </c>
      <c r="G3601" s="5" t="str">
        <f aca="false">INDEX(Risk_Matrix!$B$2:$D$4,MATCH(E3601,Risk_Matrix!$A$2:$A$4,0),MATCH(F3601,Risk_Matrix!$B$1:$D$1,0))</f>
        <v>Low</v>
      </c>
      <c r="H3601" s="12" t="n">
        <v>46198</v>
      </c>
      <c r="I3601" s="5" t="s">
        <v>2256</v>
      </c>
      <c r="J3601" s="5" t="s">
        <v>4081</v>
      </c>
      <c r="K3601" s="5" t="s">
        <v>2276</v>
      </c>
      <c r="L3601" s="5" t="n">
        <f aca="false">IF(G3601="High",3,IF(G3601="Medium",2,1))</f>
        <v>1</v>
      </c>
    </row>
    <row r="3602" customFormat="false" ht="15" hidden="false" customHeight="true" outlineLevel="0" collapsed="false">
      <c r="A3602" s="5" t="s">
        <v>5880</v>
      </c>
      <c r="B3602" s="5" t="s">
        <v>2194</v>
      </c>
      <c r="C3602" s="5" t="s">
        <v>2239</v>
      </c>
      <c r="D3602" s="5" t="s">
        <v>2278</v>
      </c>
      <c r="E3602" s="5" t="s">
        <v>54</v>
      </c>
      <c r="F3602" s="5" t="s">
        <v>59</v>
      </c>
      <c r="G3602" s="5" t="str">
        <f aca="false">INDEX(Risk_Matrix!$B$2:$D$4,MATCH(E3602,Risk_Matrix!$A$2:$A$4,0),MATCH(F3602,Risk_Matrix!$B$1:$D$1,0))</f>
        <v>Medium</v>
      </c>
      <c r="H3602" s="12" t="n">
        <v>46169</v>
      </c>
      <c r="I3602" s="5" t="s">
        <v>2250</v>
      </c>
      <c r="J3602" s="5" t="s">
        <v>2251</v>
      </c>
      <c r="K3602" s="5" t="s">
        <v>2266</v>
      </c>
      <c r="L3602" s="5" t="n">
        <f aca="false">IF(G3602="High",3,IF(G3602="Medium",2,1))</f>
        <v>2</v>
      </c>
    </row>
    <row r="3603" customFormat="false" ht="15" hidden="false" customHeight="true" outlineLevel="0" collapsed="false">
      <c r="A3603" s="5" t="s">
        <v>5881</v>
      </c>
      <c r="B3603" s="5" t="s">
        <v>2194</v>
      </c>
      <c r="C3603" s="5" t="s">
        <v>2245</v>
      </c>
      <c r="D3603" s="5" t="s">
        <v>2280</v>
      </c>
      <c r="E3603" s="5" t="s">
        <v>54</v>
      </c>
      <c r="F3603" s="5" t="s">
        <v>2225</v>
      </c>
      <c r="G3603" s="5" t="str">
        <f aca="false">INDEX(Risk_Matrix!$B$2:$D$4,MATCH(E3603,Risk_Matrix!$A$2:$A$4,0),MATCH(F3603,Risk_Matrix!$B$1:$D$1,0))</f>
        <v>High</v>
      </c>
      <c r="H3603" s="12" t="n">
        <v>46039</v>
      </c>
      <c r="I3603" s="5" t="s">
        <v>2256</v>
      </c>
      <c r="J3603" s="5" t="s">
        <v>4081</v>
      </c>
      <c r="K3603" s="5" t="s">
        <v>2276</v>
      </c>
      <c r="L3603" s="5" t="n">
        <f aca="false">IF(G3603="High",3,IF(G3603="Medium",2,1))</f>
        <v>3</v>
      </c>
    </row>
    <row r="3604" customFormat="false" ht="15" hidden="false" customHeight="true" outlineLevel="0" collapsed="false">
      <c r="A3604" s="5" t="s">
        <v>5882</v>
      </c>
      <c r="B3604" s="5" t="s">
        <v>2194</v>
      </c>
      <c r="C3604" s="5" t="s">
        <v>2248</v>
      </c>
      <c r="D3604" s="5" t="s">
        <v>2322</v>
      </c>
      <c r="E3604" s="5" t="s">
        <v>54</v>
      </c>
      <c r="F3604" s="5" t="s">
        <v>54</v>
      </c>
      <c r="G3604" s="5" t="str">
        <f aca="false">INDEX(Risk_Matrix!$B$2:$D$4,MATCH(E3604,Risk_Matrix!$A$2:$A$4,0),MATCH(F3604,Risk_Matrix!$B$1:$D$1,0))</f>
        <v>High</v>
      </c>
      <c r="H3604" s="12" t="n">
        <v>46032</v>
      </c>
      <c r="I3604" s="5" t="s">
        <v>2241</v>
      </c>
      <c r="J3604" s="5" t="s">
        <v>2242</v>
      </c>
      <c r="K3604" s="5" t="s">
        <v>2252</v>
      </c>
      <c r="L3604" s="5" t="n">
        <f aca="false">IF(G3604="High",3,IF(G3604="Medium",2,1))</f>
        <v>3</v>
      </c>
    </row>
    <row r="3605" customFormat="false" ht="15" hidden="false" customHeight="true" outlineLevel="0" collapsed="false">
      <c r="A3605" s="5" t="s">
        <v>5883</v>
      </c>
      <c r="B3605" s="5" t="s">
        <v>2194</v>
      </c>
      <c r="C3605" s="5" t="s">
        <v>2262</v>
      </c>
      <c r="D3605" s="5" t="s">
        <v>2287</v>
      </c>
      <c r="E3605" s="5" t="s">
        <v>54</v>
      </c>
      <c r="F3605" s="5" t="s">
        <v>54</v>
      </c>
      <c r="G3605" s="5" t="str">
        <f aca="false">INDEX(Risk_Matrix!$B$2:$D$4,MATCH(E3605,Risk_Matrix!$A$2:$A$4,0),MATCH(F3605,Risk_Matrix!$B$1:$D$1,0))</f>
        <v>High</v>
      </c>
      <c r="H3605" s="12" t="n">
        <v>46076</v>
      </c>
      <c r="I3605" s="5" t="s">
        <v>2250</v>
      </c>
      <c r="J3605" s="5" t="s">
        <v>2251</v>
      </c>
      <c r="K3605" s="5" t="s">
        <v>2266</v>
      </c>
      <c r="L3605" s="5" t="n">
        <f aca="false">IF(G3605="High",3,IF(G3605="Medium",2,1))</f>
        <v>3</v>
      </c>
    </row>
    <row r="3606" customFormat="false" ht="15" hidden="false" customHeight="true" outlineLevel="0" collapsed="false">
      <c r="A3606" s="5" t="s">
        <v>5884</v>
      </c>
      <c r="B3606" s="5" t="s">
        <v>2194</v>
      </c>
      <c r="C3606" s="5" t="s">
        <v>2259</v>
      </c>
      <c r="D3606" s="5" t="s">
        <v>2260</v>
      </c>
      <c r="E3606" s="5" t="s">
        <v>59</v>
      </c>
      <c r="F3606" s="5" t="s">
        <v>2225</v>
      </c>
      <c r="G3606" s="5" t="str">
        <f aca="false">INDEX(Risk_Matrix!$B$2:$D$4,MATCH(E3606,Risk_Matrix!$A$2:$A$4,0),MATCH(F3606,Risk_Matrix!$B$1:$D$1,0))</f>
        <v>Low</v>
      </c>
      <c r="H3606" s="12" t="n">
        <v>46060</v>
      </c>
      <c r="I3606" s="5" t="s">
        <v>2264</v>
      </c>
      <c r="J3606" s="5" t="s">
        <v>4087</v>
      </c>
      <c r="K3606" s="5" t="s">
        <v>2266</v>
      </c>
      <c r="L3606" s="5" t="n">
        <f aca="false">IF(G3606="High",3,IF(G3606="Medium",2,1))</f>
        <v>1</v>
      </c>
    </row>
    <row r="3607" customFormat="false" ht="15" hidden="false" customHeight="true" outlineLevel="0" collapsed="false">
      <c r="A3607" s="5" t="s">
        <v>5885</v>
      </c>
      <c r="B3607" s="5" t="s">
        <v>2194</v>
      </c>
      <c r="C3607" s="5" t="s">
        <v>2254</v>
      </c>
      <c r="D3607" s="5" t="s">
        <v>2255</v>
      </c>
      <c r="E3607" s="5" t="s">
        <v>2225</v>
      </c>
      <c r="F3607" s="5" t="s">
        <v>54</v>
      </c>
      <c r="G3607" s="5" t="str">
        <f aca="false">INDEX(Risk_Matrix!$B$2:$D$4,MATCH(E3607,Risk_Matrix!$A$2:$A$4,0),MATCH(F3607,Risk_Matrix!$B$1:$D$1,0))</f>
        <v>High</v>
      </c>
      <c r="H3607" s="12" t="n">
        <v>46115</v>
      </c>
      <c r="I3607" s="5" t="s">
        <v>2264</v>
      </c>
      <c r="J3607" s="5" t="s">
        <v>4087</v>
      </c>
      <c r="K3607" s="5" t="s">
        <v>2243</v>
      </c>
      <c r="L3607" s="5" t="n">
        <f aca="false">IF(G3607="High",3,IF(G3607="Medium",2,1))</f>
        <v>3</v>
      </c>
    </row>
    <row r="3608" customFormat="false" ht="15" hidden="false" customHeight="true" outlineLevel="0" collapsed="false">
      <c r="A3608" s="5" t="s">
        <v>5886</v>
      </c>
      <c r="B3608" s="5" t="s">
        <v>2196</v>
      </c>
      <c r="C3608" s="5" t="s">
        <v>2239</v>
      </c>
      <c r="D3608" s="5" t="s">
        <v>2303</v>
      </c>
      <c r="E3608" s="5" t="s">
        <v>59</v>
      </c>
      <c r="F3608" s="5" t="s">
        <v>2225</v>
      </c>
      <c r="G3608" s="5" t="str">
        <f aca="false">INDEX(Risk_Matrix!$B$2:$D$4,MATCH(E3608,Risk_Matrix!$A$2:$A$4,0),MATCH(F3608,Risk_Matrix!$B$1:$D$1,0))</f>
        <v>Low</v>
      </c>
      <c r="H3608" s="12" t="n">
        <v>46029</v>
      </c>
      <c r="I3608" s="5" t="s">
        <v>2241</v>
      </c>
      <c r="J3608" s="5" t="s">
        <v>2242</v>
      </c>
      <c r="K3608" s="5" t="s">
        <v>2276</v>
      </c>
      <c r="L3608" s="5" t="n">
        <f aca="false">IF(G3608="High",3,IF(G3608="Medium",2,1))</f>
        <v>1</v>
      </c>
    </row>
    <row r="3609" customFormat="false" ht="15" hidden="false" customHeight="true" outlineLevel="0" collapsed="false">
      <c r="A3609" s="5" t="s">
        <v>5887</v>
      </c>
      <c r="B3609" s="5" t="s">
        <v>2196</v>
      </c>
      <c r="C3609" s="5" t="s">
        <v>2245</v>
      </c>
      <c r="D3609" s="5" t="s">
        <v>2246</v>
      </c>
      <c r="E3609" s="5" t="s">
        <v>59</v>
      </c>
      <c r="F3609" s="5" t="s">
        <v>54</v>
      </c>
      <c r="G3609" s="5" t="str">
        <f aca="false">INDEX(Risk_Matrix!$B$2:$D$4,MATCH(E3609,Risk_Matrix!$A$2:$A$4,0),MATCH(F3609,Risk_Matrix!$B$1:$D$1,0))</f>
        <v>Medium</v>
      </c>
      <c r="H3609" s="12" t="n">
        <v>46181</v>
      </c>
      <c r="I3609" s="5" t="s">
        <v>2241</v>
      </c>
      <c r="J3609" s="5" t="s">
        <v>2242</v>
      </c>
      <c r="K3609" s="5" t="s">
        <v>2266</v>
      </c>
      <c r="L3609" s="5" t="n">
        <f aca="false">IF(G3609="High",3,IF(G3609="Medium",2,1))</f>
        <v>2</v>
      </c>
    </row>
    <row r="3610" customFormat="false" ht="15" hidden="false" customHeight="true" outlineLevel="0" collapsed="false">
      <c r="A3610" s="5" t="s">
        <v>5888</v>
      </c>
      <c r="B3610" s="5" t="s">
        <v>2196</v>
      </c>
      <c r="C3610" s="5" t="s">
        <v>2248</v>
      </c>
      <c r="D3610" s="5" t="s">
        <v>2322</v>
      </c>
      <c r="E3610" s="5" t="s">
        <v>59</v>
      </c>
      <c r="F3610" s="5" t="s">
        <v>2225</v>
      </c>
      <c r="G3610" s="5" t="str">
        <f aca="false">INDEX(Risk_Matrix!$B$2:$D$4,MATCH(E3610,Risk_Matrix!$A$2:$A$4,0),MATCH(F3610,Risk_Matrix!$B$1:$D$1,0))</f>
        <v>Low</v>
      </c>
      <c r="H3610" s="12" t="n">
        <v>46219</v>
      </c>
      <c r="I3610" s="5" t="s">
        <v>2241</v>
      </c>
      <c r="J3610" s="5" t="s">
        <v>2242</v>
      </c>
      <c r="K3610" s="5" t="s">
        <v>2243</v>
      </c>
      <c r="L3610" s="5" t="n">
        <f aca="false">IF(G3610="High",3,IF(G3610="Medium",2,1))</f>
        <v>1</v>
      </c>
    </row>
    <row r="3611" customFormat="false" ht="15" hidden="false" customHeight="true" outlineLevel="0" collapsed="false">
      <c r="A3611" s="5" t="s">
        <v>5889</v>
      </c>
      <c r="B3611" s="5" t="s">
        <v>2196</v>
      </c>
      <c r="C3611" s="5" t="s">
        <v>2262</v>
      </c>
      <c r="D3611" s="5" t="s">
        <v>2287</v>
      </c>
      <c r="E3611" s="5" t="s">
        <v>59</v>
      </c>
      <c r="F3611" s="5" t="s">
        <v>54</v>
      </c>
      <c r="G3611" s="5" t="str">
        <f aca="false">INDEX(Risk_Matrix!$B$2:$D$4,MATCH(E3611,Risk_Matrix!$A$2:$A$4,0),MATCH(F3611,Risk_Matrix!$B$1:$D$1,0))</f>
        <v>Medium</v>
      </c>
      <c r="H3611" s="12" t="n">
        <v>46146</v>
      </c>
      <c r="I3611" s="5" t="s">
        <v>2250</v>
      </c>
      <c r="J3611" s="5" t="s">
        <v>2251</v>
      </c>
      <c r="K3611" s="5" t="s">
        <v>2243</v>
      </c>
      <c r="L3611" s="5" t="n">
        <f aca="false">IF(G3611="High",3,IF(G3611="Medium",2,1))</f>
        <v>2</v>
      </c>
    </row>
    <row r="3612" customFormat="false" ht="15" hidden="false" customHeight="true" outlineLevel="0" collapsed="false">
      <c r="A3612" s="5" t="s">
        <v>5890</v>
      </c>
      <c r="B3612" s="5" t="s">
        <v>2196</v>
      </c>
      <c r="C3612" s="5" t="s">
        <v>2259</v>
      </c>
      <c r="D3612" s="5" t="s">
        <v>2274</v>
      </c>
      <c r="E3612" s="5" t="s">
        <v>54</v>
      </c>
      <c r="F3612" s="5" t="s">
        <v>54</v>
      </c>
      <c r="G3612" s="5" t="str">
        <f aca="false">INDEX(Risk_Matrix!$B$2:$D$4,MATCH(E3612,Risk_Matrix!$A$2:$A$4,0),MATCH(F3612,Risk_Matrix!$B$1:$D$1,0))</f>
        <v>High</v>
      </c>
      <c r="H3612" s="12" t="n">
        <v>46058</v>
      </c>
      <c r="I3612" s="5" t="s">
        <v>2250</v>
      </c>
      <c r="J3612" s="5" t="s">
        <v>2251</v>
      </c>
      <c r="K3612" s="5" t="s">
        <v>2276</v>
      </c>
      <c r="L3612" s="5" t="n">
        <f aca="false">IF(G3612="High",3,IF(G3612="Medium",2,1))</f>
        <v>3</v>
      </c>
    </row>
    <row r="3613" customFormat="false" ht="15" hidden="false" customHeight="true" outlineLevel="0" collapsed="false">
      <c r="A3613" s="5" t="s">
        <v>5891</v>
      </c>
      <c r="B3613" s="5" t="s">
        <v>2196</v>
      </c>
      <c r="C3613" s="5" t="s">
        <v>2254</v>
      </c>
      <c r="D3613" s="5" t="s">
        <v>2308</v>
      </c>
      <c r="E3613" s="5" t="s">
        <v>59</v>
      </c>
      <c r="F3613" s="5" t="s">
        <v>2225</v>
      </c>
      <c r="G3613" s="5" t="str">
        <f aca="false">INDEX(Risk_Matrix!$B$2:$D$4,MATCH(E3613,Risk_Matrix!$A$2:$A$4,0),MATCH(F3613,Risk_Matrix!$B$1:$D$1,0))</f>
        <v>Low</v>
      </c>
      <c r="H3613" s="12" t="n">
        <v>46102</v>
      </c>
      <c r="I3613" s="5" t="s">
        <v>2241</v>
      </c>
      <c r="J3613" s="5" t="s">
        <v>2242</v>
      </c>
      <c r="K3613" s="5" t="s">
        <v>2283</v>
      </c>
      <c r="L3613" s="5" t="n">
        <f aca="false">IF(G3613="High",3,IF(G3613="Medium",2,1))</f>
        <v>1</v>
      </c>
    </row>
    <row r="3614" customFormat="false" ht="15" hidden="false" customHeight="true" outlineLevel="0" collapsed="false">
      <c r="A3614" s="5" t="s">
        <v>5892</v>
      </c>
      <c r="B3614" s="5" t="s">
        <v>2198</v>
      </c>
      <c r="C3614" s="5" t="s">
        <v>2239</v>
      </c>
      <c r="D3614" s="5" t="s">
        <v>2295</v>
      </c>
      <c r="E3614" s="5" t="s">
        <v>2225</v>
      </c>
      <c r="F3614" s="5" t="s">
        <v>54</v>
      </c>
      <c r="G3614" s="5" t="str">
        <f aca="false">INDEX(Risk_Matrix!$B$2:$D$4,MATCH(E3614,Risk_Matrix!$A$2:$A$4,0),MATCH(F3614,Risk_Matrix!$B$1:$D$1,0))</f>
        <v>High</v>
      </c>
      <c r="H3614" s="12" t="n">
        <v>46175</v>
      </c>
      <c r="I3614" s="5" t="s">
        <v>2241</v>
      </c>
      <c r="J3614" s="5" t="s">
        <v>2242</v>
      </c>
      <c r="K3614" s="5" t="s">
        <v>2243</v>
      </c>
      <c r="L3614" s="5" t="n">
        <f aca="false">IF(G3614="High",3,IF(G3614="Medium",2,1))</f>
        <v>3</v>
      </c>
    </row>
    <row r="3615" customFormat="false" ht="15" hidden="false" customHeight="true" outlineLevel="0" collapsed="false">
      <c r="A3615" s="5" t="s">
        <v>5893</v>
      </c>
      <c r="B3615" s="5" t="s">
        <v>2198</v>
      </c>
      <c r="C3615" s="5" t="s">
        <v>2245</v>
      </c>
      <c r="D3615" s="5" t="s">
        <v>2320</v>
      </c>
      <c r="E3615" s="5" t="s">
        <v>59</v>
      </c>
      <c r="F3615" s="5" t="s">
        <v>59</v>
      </c>
      <c r="G3615" s="5" t="str">
        <f aca="false">INDEX(Risk_Matrix!$B$2:$D$4,MATCH(E3615,Risk_Matrix!$A$2:$A$4,0),MATCH(F3615,Risk_Matrix!$B$1:$D$1,0))</f>
        <v>Low</v>
      </c>
      <c r="H3615" s="12" t="n">
        <v>46157</v>
      </c>
      <c r="I3615" s="5" t="s">
        <v>2256</v>
      </c>
      <c r="J3615" s="5" t="s">
        <v>4081</v>
      </c>
      <c r="K3615" s="5" t="s">
        <v>2252</v>
      </c>
      <c r="L3615" s="5" t="n">
        <f aca="false">IF(G3615="High",3,IF(G3615="Medium",2,1))</f>
        <v>1</v>
      </c>
    </row>
    <row r="3616" customFormat="false" ht="15" hidden="false" customHeight="true" outlineLevel="0" collapsed="false">
      <c r="A3616" s="5" t="s">
        <v>5894</v>
      </c>
      <c r="B3616" s="5" t="s">
        <v>2198</v>
      </c>
      <c r="C3616" s="5" t="s">
        <v>2248</v>
      </c>
      <c r="D3616" s="5" t="s">
        <v>2271</v>
      </c>
      <c r="E3616" s="5" t="s">
        <v>59</v>
      </c>
      <c r="F3616" s="5" t="s">
        <v>2225</v>
      </c>
      <c r="G3616" s="5" t="str">
        <f aca="false">INDEX(Risk_Matrix!$B$2:$D$4,MATCH(E3616,Risk_Matrix!$A$2:$A$4,0),MATCH(F3616,Risk_Matrix!$B$1:$D$1,0))</f>
        <v>Low</v>
      </c>
      <c r="H3616" s="12" t="n">
        <v>46040</v>
      </c>
      <c r="I3616" s="5" t="s">
        <v>2250</v>
      </c>
      <c r="J3616" s="5" t="s">
        <v>2251</v>
      </c>
      <c r="K3616" s="5" t="s">
        <v>2252</v>
      </c>
      <c r="L3616" s="5" t="n">
        <f aca="false">IF(G3616="High",3,IF(G3616="Medium",2,1))</f>
        <v>1</v>
      </c>
    </row>
    <row r="3617" customFormat="false" ht="15" hidden="false" customHeight="true" outlineLevel="0" collapsed="false">
      <c r="A3617" s="5" t="s">
        <v>5895</v>
      </c>
      <c r="B3617" s="5" t="s">
        <v>2198</v>
      </c>
      <c r="C3617" s="5" t="s">
        <v>2262</v>
      </c>
      <c r="D3617" s="5" t="s">
        <v>2311</v>
      </c>
      <c r="E3617" s="5" t="s">
        <v>2225</v>
      </c>
      <c r="F3617" s="5" t="s">
        <v>59</v>
      </c>
      <c r="G3617" s="5" t="str">
        <f aca="false">INDEX(Risk_Matrix!$B$2:$D$4,MATCH(E3617,Risk_Matrix!$A$2:$A$4,0),MATCH(F3617,Risk_Matrix!$B$1:$D$1,0))</f>
        <v>Low</v>
      </c>
      <c r="H3617" s="12" t="n">
        <v>46128</v>
      </c>
      <c r="I3617" s="5" t="s">
        <v>2250</v>
      </c>
      <c r="J3617" s="5" t="s">
        <v>2251</v>
      </c>
      <c r="K3617" s="5" t="s">
        <v>2266</v>
      </c>
      <c r="L3617" s="5" t="n">
        <f aca="false">IF(G3617="High",3,IF(G3617="Medium",2,1))</f>
        <v>1</v>
      </c>
    </row>
    <row r="3618" customFormat="false" ht="15" hidden="false" customHeight="true" outlineLevel="0" collapsed="false">
      <c r="A3618" s="5" t="s">
        <v>5896</v>
      </c>
      <c r="B3618" s="5" t="s">
        <v>2198</v>
      </c>
      <c r="C3618" s="5" t="s">
        <v>2259</v>
      </c>
      <c r="D3618" s="5" t="s">
        <v>2274</v>
      </c>
      <c r="E3618" s="5" t="s">
        <v>54</v>
      </c>
      <c r="F3618" s="5" t="s">
        <v>59</v>
      </c>
      <c r="G3618" s="5" t="str">
        <f aca="false">INDEX(Risk_Matrix!$B$2:$D$4,MATCH(E3618,Risk_Matrix!$A$2:$A$4,0),MATCH(F3618,Risk_Matrix!$B$1:$D$1,0))</f>
        <v>Medium</v>
      </c>
      <c r="H3618" s="12" t="n">
        <v>46216</v>
      </c>
      <c r="I3618" s="5" t="s">
        <v>2264</v>
      </c>
      <c r="J3618" s="5" t="s">
        <v>4087</v>
      </c>
      <c r="K3618" s="5" t="s">
        <v>2276</v>
      </c>
      <c r="L3618" s="5" t="n">
        <f aca="false">IF(G3618="High",3,IF(G3618="Medium",2,1))</f>
        <v>2</v>
      </c>
    </row>
    <row r="3619" customFormat="false" ht="15" hidden="false" customHeight="true" outlineLevel="0" collapsed="false">
      <c r="A3619" s="5" t="s">
        <v>5897</v>
      </c>
      <c r="B3619" s="5" t="s">
        <v>2198</v>
      </c>
      <c r="C3619" s="5" t="s">
        <v>2254</v>
      </c>
      <c r="D3619" s="5" t="s">
        <v>2255</v>
      </c>
      <c r="E3619" s="5" t="s">
        <v>54</v>
      </c>
      <c r="F3619" s="5" t="s">
        <v>54</v>
      </c>
      <c r="G3619" s="5" t="str">
        <f aca="false">INDEX(Risk_Matrix!$B$2:$D$4,MATCH(E3619,Risk_Matrix!$A$2:$A$4,0),MATCH(F3619,Risk_Matrix!$B$1:$D$1,0))</f>
        <v>High</v>
      </c>
      <c r="H3619" s="12" t="n">
        <v>46046</v>
      </c>
      <c r="I3619" s="5" t="s">
        <v>2264</v>
      </c>
      <c r="J3619" s="5" t="s">
        <v>4087</v>
      </c>
      <c r="K3619" s="5" t="s">
        <v>2243</v>
      </c>
      <c r="L3619" s="5" t="n">
        <f aca="false">IF(G3619="High",3,IF(G3619="Medium",2,1))</f>
        <v>3</v>
      </c>
    </row>
    <row r="3620" customFormat="false" ht="15" hidden="false" customHeight="true" outlineLevel="0" collapsed="false">
      <c r="A3620" s="5" t="s">
        <v>5898</v>
      </c>
      <c r="B3620" s="5" t="s">
        <v>2200</v>
      </c>
      <c r="C3620" s="5" t="s">
        <v>2239</v>
      </c>
      <c r="D3620" s="5" t="s">
        <v>2240</v>
      </c>
      <c r="E3620" s="5" t="s">
        <v>59</v>
      </c>
      <c r="F3620" s="5" t="s">
        <v>54</v>
      </c>
      <c r="G3620" s="5" t="str">
        <f aca="false">INDEX(Risk_Matrix!$B$2:$D$4,MATCH(E3620,Risk_Matrix!$A$2:$A$4,0),MATCH(F3620,Risk_Matrix!$B$1:$D$1,0))</f>
        <v>Medium</v>
      </c>
      <c r="H3620" s="12" t="n">
        <v>46237</v>
      </c>
      <c r="I3620" s="5" t="s">
        <v>2241</v>
      </c>
      <c r="J3620" s="5" t="s">
        <v>2242</v>
      </c>
      <c r="K3620" s="5" t="s">
        <v>2276</v>
      </c>
      <c r="L3620" s="5" t="n">
        <f aca="false">IF(G3620="High",3,IF(G3620="Medium",2,1))</f>
        <v>2</v>
      </c>
    </row>
    <row r="3621" customFormat="false" ht="15" hidden="false" customHeight="true" outlineLevel="0" collapsed="false">
      <c r="A3621" s="5" t="s">
        <v>5899</v>
      </c>
      <c r="B3621" s="5" t="s">
        <v>2200</v>
      </c>
      <c r="C3621" s="5" t="s">
        <v>2245</v>
      </c>
      <c r="D3621" s="5" t="s">
        <v>2246</v>
      </c>
      <c r="E3621" s="5" t="s">
        <v>59</v>
      </c>
      <c r="F3621" s="5" t="s">
        <v>54</v>
      </c>
      <c r="G3621" s="5" t="str">
        <f aca="false">INDEX(Risk_Matrix!$B$2:$D$4,MATCH(E3621,Risk_Matrix!$A$2:$A$4,0),MATCH(F3621,Risk_Matrix!$B$1:$D$1,0))</f>
        <v>Medium</v>
      </c>
      <c r="H3621" s="12" t="n">
        <v>46159</v>
      </c>
      <c r="I3621" s="5" t="s">
        <v>2264</v>
      </c>
      <c r="J3621" s="5" t="s">
        <v>4087</v>
      </c>
      <c r="K3621" s="5" t="s">
        <v>2252</v>
      </c>
      <c r="L3621" s="5" t="n">
        <f aca="false">IF(G3621="High",3,IF(G3621="Medium",2,1))</f>
        <v>2</v>
      </c>
    </row>
    <row r="3622" customFormat="false" ht="15" hidden="false" customHeight="true" outlineLevel="0" collapsed="false">
      <c r="A3622" s="5" t="s">
        <v>5900</v>
      </c>
      <c r="B3622" s="5" t="s">
        <v>2200</v>
      </c>
      <c r="C3622" s="5" t="s">
        <v>2248</v>
      </c>
      <c r="D3622" s="5" t="s">
        <v>2249</v>
      </c>
      <c r="E3622" s="5" t="s">
        <v>59</v>
      </c>
      <c r="F3622" s="5" t="s">
        <v>54</v>
      </c>
      <c r="G3622" s="5" t="str">
        <f aca="false">INDEX(Risk_Matrix!$B$2:$D$4,MATCH(E3622,Risk_Matrix!$A$2:$A$4,0),MATCH(F3622,Risk_Matrix!$B$1:$D$1,0))</f>
        <v>Medium</v>
      </c>
      <c r="H3622" s="12" t="n">
        <v>46227</v>
      </c>
      <c r="I3622" s="5" t="s">
        <v>2250</v>
      </c>
      <c r="J3622" s="5" t="s">
        <v>2251</v>
      </c>
      <c r="K3622" s="5" t="s">
        <v>2276</v>
      </c>
      <c r="L3622" s="5" t="n">
        <f aca="false">IF(G3622="High",3,IF(G3622="Medium",2,1))</f>
        <v>2</v>
      </c>
    </row>
    <row r="3623" customFormat="false" ht="15" hidden="false" customHeight="true" outlineLevel="0" collapsed="false">
      <c r="A3623" s="5" t="s">
        <v>5901</v>
      </c>
      <c r="B3623" s="5" t="s">
        <v>2200</v>
      </c>
      <c r="C3623" s="5" t="s">
        <v>2262</v>
      </c>
      <c r="D3623" s="5" t="s">
        <v>2263</v>
      </c>
      <c r="E3623" s="5" t="s">
        <v>54</v>
      </c>
      <c r="F3623" s="5" t="s">
        <v>54</v>
      </c>
      <c r="G3623" s="5" t="str">
        <f aca="false">INDEX(Risk_Matrix!$B$2:$D$4,MATCH(E3623,Risk_Matrix!$A$2:$A$4,0),MATCH(F3623,Risk_Matrix!$B$1:$D$1,0))</f>
        <v>High</v>
      </c>
      <c r="H3623" s="12" t="n">
        <v>46221</v>
      </c>
      <c r="I3623" s="5" t="s">
        <v>2256</v>
      </c>
      <c r="J3623" s="5" t="s">
        <v>4081</v>
      </c>
      <c r="K3623" s="5" t="s">
        <v>2243</v>
      </c>
      <c r="L3623" s="5" t="n">
        <f aca="false">IF(G3623="High",3,IF(G3623="Medium",2,1))</f>
        <v>3</v>
      </c>
    </row>
    <row r="3624" customFormat="false" ht="15" hidden="false" customHeight="true" outlineLevel="0" collapsed="false">
      <c r="A3624" s="5" t="s">
        <v>5902</v>
      </c>
      <c r="B3624" s="5" t="s">
        <v>2200</v>
      </c>
      <c r="C3624" s="5" t="s">
        <v>2259</v>
      </c>
      <c r="D3624" s="5" t="s">
        <v>2274</v>
      </c>
      <c r="E3624" s="5" t="s">
        <v>59</v>
      </c>
      <c r="F3624" s="5" t="s">
        <v>54</v>
      </c>
      <c r="G3624" s="5" t="str">
        <f aca="false">INDEX(Risk_Matrix!$B$2:$D$4,MATCH(E3624,Risk_Matrix!$A$2:$A$4,0),MATCH(F3624,Risk_Matrix!$B$1:$D$1,0))</f>
        <v>Medium</v>
      </c>
      <c r="H3624" s="12" t="n">
        <v>46158</v>
      </c>
      <c r="I3624" s="5" t="s">
        <v>2264</v>
      </c>
      <c r="J3624" s="5" t="s">
        <v>4087</v>
      </c>
      <c r="K3624" s="5" t="s">
        <v>2266</v>
      </c>
      <c r="L3624" s="5" t="n">
        <f aca="false">IF(G3624="High",3,IF(G3624="Medium",2,1))</f>
        <v>2</v>
      </c>
    </row>
    <row r="3625" customFormat="false" ht="15" hidden="false" customHeight="true" outlineLevel="0" collapsed="false">
      <c r="A3625" s="5" t="s">
        <v>5903</v>
      </c>
      <c r="B3625" s="5" t="s">
        <v>2200</v>
      </c>
      <c r="C3625" s="5" t="s">
        <v>2254</v>
      </c>
      <c r="D3625" s="5" t="s">
        <v>2308</v>
      </c>
      <c r="E3625" s="5" t="s">
        <v>54</v>
      </c>
      <c r="F3625" s="5" t="s">
        <v>54</v>
      </c>
      <c r="G3625" s="5" t="str">
        <f aca="false">INDEX(Risk_Matrix!$B$2:$D$4,MATCH(E3625,Risk_Matrix!$A$2:$A$4,0),MATCH(F3625,Risk_Matrix!$B$1:$D$1,0))</f>
        <v>High</v>
      </c>
      <c r="H3625" s="12" t="n">
        <v>46034</v>
      </c>
      <c r="I3625" s="5" t="s">
        <v>2250</v>
      </c>
      <c r="J3625" s="5" t="s">
        <v>2251</v>
      </c>
      <c r="K3625" s="5" t="s">
        <v>2276</v>
      </c>
      <c r="L3625" s="5" t="n">
        <f aca="false">IF(G3625="High",3,IF(G3625="Medium",2,1))</f>
        <v>3</v>
      </c>
    </row>
    <row r="3626" customFormat="false" ht="15" hidden="false" customHeight="true" outlineLevel="0" collapsed="false">
      <c r="A3626" s="5" t="s">
        <v>5904</v>
      </c>
      <c r="B3626" s="5" t="s">
        <v>2202</v>
      </c>
      <c r="C3626" s="5" t="s">
        <v>2239</v>
      </c>
      <c r="D3626" s="5" t="s">
        <v>2295</v>
      </c>
      <c r="E3626" s="5" t="s">
        <v>59</v>
      </c>
      <c r="F3626" s="5" t="s">
        <v>54</v>
      </c>
      <c r="G3626" s="5" t="str">
        <f aca="false">INDEX(Risk_Matrix!$B$2:$D$4,MATCH(E3626,Risk_Matrix!$A$2:$A$4,0),MATCH(F3626,Risk_Matrix!$B$1:$D$1,0))</f>
        <v>Medium</v>
      </c>
      <c r="H3626" s="12" t="n">
        <v>46153</v>
      </c>
      <c r="I3626" s="5" t="s">
        <v>2256</v>
      </c>
      <c r="J3626" s="5" t="s">
        <v>4081</v>
      </c>
      <c r="K3626" s="5" t="s">
        <v>2266</v>
      </c>
      <c r="L3626" s="5" t="n">
        <f aca="false">IF(G3626="High",3,IF(G3626="Medium",2,1))</f>
        <v>2</v>
      </c>
    </row>
    <row r="3627" customFormat="false" ht="15" hidden="false" customHeight="true" outlineLevel="0" collapsed="false">
      <c r="A3627" s="5" t="s">
        <v>5905</v>
      </c>
      <c r="B3627" s="5" t="s">
        <v>2202</v>
      </c>
      <c r="C3627" s="5" t="s">
        <v>2245</v>
      </c>
      <c r="D3627" s="5" t="s">
        <v>2269</v>
      </c>
      <c r="E3627" s="5" t="s">
        <v>2225</v>
      </c>
      <c r="F3627" s="5" t="s">
        <v>54</v>
      </c>
      <c r="G3627" s="5" t="str">
        <f aca="false">INDEX(Risk_Matrix!$B$2:$D$4,MATCH(E3627,Risk_Matrix!$A$2:$A$4,0),MATCH(F3627,Risk_Matrix!$B$1:$D$1,0))</f>
        <v>High</v>
      </c>
      <c r="H3627" s="12" t="n">
        <v>46149</v>
      </c>
      <c r="I3627" s="5" t="s">
        <v>2241</v>
      </c>
      <c r="J3627" s="5" t="s">
        <v>2242</v>
      </c>
      <c r="K3627" s="5" t="s">
        <v>2276</v>
      </c>
      <c r="L3627" s="5" t="n">
        <f aca="false">IF(G3627="High",3,IF(G3627="Medium",2,1))</f>
        <v>3</v>
      </c>
    </row>
    <row r="3628" customFormat="false" ht="15" hidden="false" customHeight="true" outlineLevel="0" collapsed="false">
      <c r="A3628" s="5" t="s">
        <v>5906</v>
      </c>
      <c r="B3628" s="5" t="s">
        <v>2202</v>
      </c>
      <c r="C3628" s="5" t="s">
        <v>2248</v>
      </c>
      <c r="D3628" s="5" t="s">
        <v>2271</v>
      </c>
      <c r="E3628" s="5" t="s">
        <v>2225</v>
      </c>
      <c r="F3628" s="5" t="s">
        <v>2225</v>
      </c>
      <c r="G3628" s="5" t="str">
        <f aca="false">INDEX(Risk_Matrix!$B$2:$D$4,MATCH(E3628,Risk_Matrix!$A$2:$A$4,0),MATCH(F3628,Risk_Matrix!$B$1:$D$1,0))</f>
        <v>Medium</v>
      </c>
      <c r="H3628" s="12" t="n">
        <v>46159</v>
      </c>
      <c r="I3628" s="5" t="s">
        <v>2264</v>
      </c>
      <c r="J3628" s="5" t="s">
        <v>4087</v>
      </c>
      <c r="K3628" s="5" t="s">
        <v>2276</v>
      </c>
      <c r="L3628" s="5" t="n">
        <f aca="false">IF(G3628="High",3,IF(G3628="Medium",2,1))</f>
        <v>2</v>
      </c>
    </row>
    <row r="3629" customFormat="false" ht="15" hidden="false" customHeight="true" outlineLevel="0" collapsed="false">
      <c r="A3629" s="5" t="s">
        <v>5907</v>
      </c>
      <c r="B3629" s="5" t="s">
        <v>2202</v>
      </c>
      <c r="C3629" s="5" t="s">
        <v>2262</v>
      </c>
      <c r="D3629" s="5" t="s">
        <v>2311</v>
      </c>
      <c r="E3629" s="5" t="s">
        <v>59</v>
      </c>
      <c r="F3629" s="5" t="s">
        <v>2225</v>
      </c>
      <c r="G3629" s="5" t="str">
        <f aca="false">INDEX(Risk_Matrix!$B$2:$D$4,MATCH(E3629,Risk_Matrix!$A$2:$A$4,0),MATCH(F3629,Risk_Matrix!$B$1:$D$1,0))</f>
        <v>Low</v>
      </c>
      <c r="H3629" s="12" t="n">
        <v>46165</v>
      </c>
      <c r="I3629" s="5" t="s">
        <v>2241</v>
      </c>
      <c r="J3629" s="5" t="s">
        <v>2242</v>
      </c>
      <c r="K3629" s="5" t="s">
        <v>2276</v>
      </c>
      <c r="L3629" s="5" t="n">
        <f aca="false">IF(G3629="High",3,IF(G3629="Medium",2,1))</f>
        <v>1</v>
      </c>
    </row>
    <row r="3630" customFormat="false" ht="15" hidden="false" customHeight="true" outlineLevel="0" collapsed="false">
      <c r="A3630" s="5" t="s">
        <v>5908</v>
      </c>
      <c r="B3630" s="5" t="s">
        <v>2202</v>
      </c>
      <c r="C3630" s="5" t="s">
        <v>2259</v>
      </c>
      <c r="D3630" s="5" t="s">
        <v>2260</v>
      </c>
      <c r="E3630" s="5" t="s">
        <v>59</v>
      </c>
      <c r="F3630" s="5" t="s">
        <v>54</v>
      </c>
      <c r="G3630" s="5" t="str">
        <f aca="false">INDEX(Risk_Matrix!$B$2:$D$4,MATCH(E3630,Risk_Matrix!$A$2:$A$4,0),MATCH(F3630,Risk_Matrix!$B$1:$D$1,0))</f>
        <v>Medium</v>
      </c>
      <c r="H3630" s="12" t="n">
        <v>46084</v>
      </c>
      <c r="I3630" s="5" t="s">
        <v>2264</v>
      </c>
      <c r="J3630" s="5" t="s">
        <v>4087</v>
      </c>
      <c r="K3630" s="5" t="s">
        <v>2243</v>
      </c>
      <c r="L3630" s="5" t="n">
        <f aca="false">IF(G3630="High",3,IF(G3630="Medium",2,1))</f>
        <v>2</v>
      </c>
    </row>
    <row r="3631" customFormat="false" ht="15" hidden="false" customHeight="true" outlineLevel="0" collapsed="false">
      <c r="A3631" s="5" t="s">
        <v>5909</v>
      </c>
      <c r="B3631" s="5" t="s">
        <v>2202</v>
      </c>
      <c r="C3631" s="5" t="s">
        <v>2254</v>
      </c>
      <c r="D3631" s="5" t="s">
        <v>2299</v>
      </c>
      <c r="E3631" s="5" t="s">
        <v>2225</v>
      </c>
      <c r="F3631" s="5" t="s">
        <v>2225</v>
      </c>
      <c r="G3631" s="5" t="str">
        <f aca="false">INDEX(Risk_Matrix!$B$2:$D$4,MATCH(E3631,Risk_Matrix!$A$2:$A$4,0),MATCH(F3631,Risk_Matrix!$B$1:$D$1,0))</f>
        <v>Medium</v>
      </c>
      <c r="H3631" s="12" t="n">
        <v>46127</v>
      </c>
      <c r="I3631" s="5" t="s">
        <v>2264</v>
      </c>
      <c r="J3631" s="5" t="s">
        <v>4087</v>
      </c>
      <c r="K3631" s="5" t="s">
        <v>2266</v>
      </c>
      <c r="L3631" s="5" t="n">
        <f aca="false">IF(G3631="High",3,IF(G3631="Medium",2,1))</f>
        <v>2</v>
      </c>
    </row>
    <row r="3632" customFormat="false" ht="15" hidden="false" customHeight="true" outlineLevel="0" collapsed="false">
      <c r="A3632" s="5" t="s">
        <v>5910</v>
      </c>
      <c r="B3632" s="5" t="s">
        <v>2204</v>
      </c>
      <c r="C3632" s="5" t="s">
        <v>2239</v>
      </c>
      <c r="D3632" s="5" t="s">
        <v>2295</v>
      </c>
      <c r="E3632" s="5" t="s">
        <v>59</v>
      </c>
      <c r="F3632" s="5" t="s">
        <v>2225</v>
      </c>
      <c r="G3632" s="5" t="str">
        <f aca="false">INDEX(Risk_Matrix!$B$2:$D$4,MATCH(E3632,Risk_Matrix!$A$2:$A$4,0),MATCH(F3632,Risk_Matrix!$B$1:$D$1,0))</f>
        <v>Low</v>
      </c>
      <c r="H3632" s="12" t="n">
        <v>46202</v>
      </c>
      <c r="I3632" s="5" t="s">
        <v>2256</v>
      </c>
      <c r="J3632" s="5" t="s">
        <v>4081</v>
      </c>
      <c r="K3632" s="5" t="s">
        <v>2266</v>
      </c>
      <c r="L3632" s="5" t="n">
        <f aca="false">IF(G3632="High",3,IF(G3632="Medium",2,1))</f>
        <v>1</v>
      </c>
    </row>
    <row r="3633" customFormat="false" ht="15" hidden="false" customHeight="true" outlineLevel="0" collapsed="false">
      <c r="A3633" s="5" t="s">
        <v>5911</v>
      </c>
      <c r="B3633" s="5" t="s">
        <v>2204</v>
      </c>
      <c r="C3633" s="5" t="s">
        <v>2245</v>
      </c>
      <c r="D3633" s="5" t="s">
        <v>2320</v>
      </c>
      <c r="E3633" s="5" t="s">
        <v>2225</v>
      </c>
      <c r="F3633" s="5" t="s">
        <v>54</v>
      </c>
      <c r="G3633" s="5" t="str">
        <f aca="false">INDEX(Risk_Matrix!$B$2:$D$4,MATCH(E3633,Risk_Matrix!$A$2:$A$4,0),MATCH(F3633,Risk_Matrix!$B$1:$D$1,0))</f>
        <v>High</v>
      </c>
      <c r="H3633" s="12" t="n">
        <v>46160</v>
      </c>
      <c r="I3633" s="5" t="s">
        <v>2264</v>
      </c>
      <c r="J3633" s="5" t="s">
        <v>4087</v>
      </c>
      <c r="K3633" s="5" t="s">
        <v>2266</v>
      </c>
      <c r="L3633" s="5" t="n">
        <f aca="false">IF(G3633="High",3,IF(G3633="Medium",2,1))</f>
        <v>3</v>
      </c>
    </row>
    <row r="3634" customFormat="false" ht="15" hidden="false" customHeight="true" outlineLevel="0" collapsed="false">
      <c r="A3634" s="5" t="s">
        <v>5912</v>
      </c>
      <c r="B3634" s="5" t="s">
        <v>2204</v>
      </c>
      <c r="C3634" s="5" t="s">
        <v>2248</v>
      </c>
      <c r="D3634" s="5" t="s">
        <v>2322</v>
      </c>
      <c r="E3634" s="5" t="s">
        <v>59</v>
      </c>
      <c r="F3634" s="5" t="s">
        <v>54</v>
      </c>
      <c r="G3634" s="5" t="str">
        <f aca="false">INDEX(Risk_Matrix!$B$2:$D$4,MATCH(E3634,Risk_Matrix!$A$2:$A$4,0),MATCH(F3634,Risk_Matrix!$B$1:$D$1,0))</f>
        <v>Medium</v>
      </c>
      <c r="H3634" s="12" t="n">
        <v>46172</v>
      </c>
      <c r="I3634" s="5" t="s">
        <v>2264</v>
      </c>
      <c r="J3634" s="5" t="s">
        <v>4087</v>
      </c>
      <c r="K3634" s="5" t="s">
        <v>2252</v>
      </c>
      <c r="L3634" s="5" t="n">
        <f aca="false">IF(G3634="High",3,IF(G3634="Medium",2,1))</f>
        <v>2</v>
      </c>
    </row>
    <row r="3635" customFormat="false" ht="15" hidden="false" customHeight="true" outlineLevel="0" collapsed="false">
      <c r="A3635" s="5" t="s">
        <v>5913</v>
      </c>
      <c r="B3635" s="5" t="s">
        <v>2204</v>
      </c>
      <c r="C3635" s="5" t="s">
        <v>2262</v>
      </c>
      <c r="D3635" s="5" t="s">
        <v>2287</v>
      </c>
      <c r="E3635" s="5" t="s">
        <v>2225</v>
      </c>
      <c r="F3635" s="5" t="s">
        <v>54</v>
      </c>
      <c r="G3635" s="5" t="str">
        <f aca="false">INDEX(Risk_Matrix!$B$2:$D$4,MATCH(E3635,Risk_Matrix!$A$2:$A$4,0),MATCH(F3635,Risk_Matrix!$B$1:$D$1,0))</f>
        <v>High</v>
      </c>
      <c r="H3635" s="12" t="n">
        <v>46178</v>
      </c>
      <c r="I3635" s="5" t="s">
        <v>2241</v>
      </c>
      <c r="J3635" s="5" t="s">
        <v>2242</v>
      </c>
      <c r="K3635" s="5" t="s">
        <v>2283</v>
      </c>
      <c r="L3635" s="5" t="n">
        <f aca="false">IF(G3635="High",3,IF(G3635="Medium",2,1))</f>
        <v>3</v>
      </c>
    </row>
    <row r="3636" customFormat="false" ht="15" hidden="false" customHeight="true" outlineLevel="0" collapsed="false">
      <c r="A3636" s="5" t="s">
        <v>5914</v>
      </c>
      <c r="B3636" s="5" t="s">
        <v>2204</v>
      </c>
      <c r="C3636" s="5" t="s">
        <v>2259</v>
      </c>
      <c r="D3636" s="5" t="s">
        <v>2285</v>
      </c>
      <c r="E3636" s="5" t="s">
        <v>54</v>
      </c>
      <c r="F3636" s="5" t="s">
        <v>2225</v>
      </c>
      <c r="G3636" s="5" t="str">
        <f aca="false">INDEX(Risk_Matrix!$B$2:$D$4,MATCH(E3636,Risk_Matrix!$A$2:$A$4,0),MATCH(F3636,Risk_Matrix!$B$1:$D$1,0))</f>
        <v>High</v>
      </c>
      <c r="H3636" s="12" t="n">
        <v>46186</v>
      </c>
      <c r="I3636" s="5" t="s">
        <v>2264</v>
      </c>
      <c r="J3636" s="5" t="s">
        <v>4087</v>
      </c>
      <c r="K3636" s="5" t="s">
        <v>2276</v>
      </c>
      <c r="L3636" s="5" t="n">
        <f aca="false">IF(G3636="High",3,IF(G3636="Medium",2,1))</f>
        <v>3</v>
      </c>
    </row>
    <row r="3637" customFormat="false" ht="15" hidden="false" customHeight="true" outlineLevel="0" collapsed="false">
      <c r="A3637" s="5" t="s">
        <v>5915</v>
      </c>
      <c r="B3637" s="5" t="s">
        <v>2204</v>
      </c>
      <c r="C3637" s="5" t="s">
        <v>2254</v>
      </c>
      <c r="D3637" s="5" t="s">
        <v>2299</v>
      </c>
      <c r="E3637" s="5" t="s">
        <v>54</v>
      </c>
      <c r="F3637" s="5" t="s">
        <v>2225</v>
      </c>
      <c r="G3637" s="5" t="str">
        <f aca="false">INDEX(Risk_Matrix!$B$2:$D$4,MATCH(E3637,Risk_Matrix!$A$2:$A$4,0),MATCH(F3637,Risk_Matrix!$B$1:$D$1,0))</f>
        <v>High</v>
      </c>
      <c r="H3637" s="12" t="n">
        <v>46059</v>
      </c>
      <c r="I3637" s="5" t="s">
        <v>2241</v>
      </c>
      <c r="J3637" s="5" t="s">
        <v>2242</v>
      </c>
      <c r="K3637" s="5" t="s">
        <v>2243</v>
      </c>
      <c r="L3637" s="5" t="n">
        <f aca="false">IF(G3637="High",3,IF(G3637="Medium",2,1))</f>
        <v>3</v>
      </c>
    </row>
    <row r="3638" customFormat="false" ht="15" hidden="false" customHeight="true" outlineLevel="0" collapsed="false">
      <c r="A3638" s="5" t="s">
        <v>5916</v>
      </c>
      <c r="B3638" s="5" t="s">
        <v>2206</v>
      </c>
      <c r="C3638" s="5" t="s">
        <v>2239</v>
      </c>
      <c r="D3638" s="5" t="s">
        <v>2240</v>
      </c>
      <c r="E3638" s="5" t="s">
        <v>2225</v>
      </c>
      <c r="F3638" s="5" t="s">
        <v>59</v>
      </c>
      <c r="G3638" s="5" t="str">
        <f aca="false">INDEX(Risk_Matrix!$B$2:$D$4,MATCH(E3638,Risk_Matrix!$A$2:$A$4,0),MATCH(F3638,Risk_Matrix!$B$1:$D$1,0))</f>
        <v>Low</v>
      </c>
      <c r="H3638" s="12" t="n">
        <v>46137</v>
      </c>
      <c r="I3638" s="5" t="s">
        <v>2264</v>
      </c>
      <c r="J3638" s="5" t="s">
        <v>4087</v>
      </c>
      <c r="K3638" s="5" t="s">
        <v>2283</v>
      </c>
      <c r="L3638" s="5" t="n">
        <f aca="false">IF(G3638="High",3,IF(G3638="Medium",2,1))</f>
        <v>1</v>
      </c>
    </row>
    <row r="3639" customFormat="false" ht="15" hidden="false" customHeight="true" outlineLevel="0" collapsed="false">
      <c r="A3639" s="5" t="s">
        <v>5917</v>
      </c>
      <c r="B3639" s="5" t="s">
        <v>2206</v>
      </c>
      <c r="C3639" s="5" t="s">
        <v>2245</v>
      </c>
      <c r="D3639" s="5" t="s">
        <v>2320</v>
      </c>
      <c r="E3639" s="5" t="s">
        <v>54</v>
      </c>
      <c r="F3639" s="5" t="s">
        <v>2225</v>
      </c>
      <c r="G3639" s="5" t="str">
        <f aca="false">INDEX(Risk_Matrix!$B$2:$D$4,MATCH(E3639,Risk_Matrix!$A$2:$A$4,0),MATCH(F3639,Risk_Matrix!$B$1:$D$1,0))</f>
        <v>High</v>
      </c>
      <c r="H3639" s="12" t="n">
        <v>46182</v>
      </c>
      <c r="I3639" s="5" t="s">
        <v>2264</v>
      </c>
      <c r="J3639" s="5" t="s">
        <v>4087</v>
      </c>
      <c r="K3639" s="5" t="s">
        <v>2252</v>
      </c>
      <c r="L3639" s="5" t="n">
        <f aca="false">IF(G3639="High",3,IF(G3639="Medium",2,1))</f>
        <v>3</v>
      </c>
    </row>
    <row r="3640" customFormat="false" ht="15" hidden="false" customHeight="true" outlineLevel="0" collapsed="false">
      <c r="A3640" s="5" t="s">
        <v>5918</v>
      </c>
      <c r="B3640" s="5" t="s">
        <v>2206</v>
      </c>
      <c r="C3640" s="5" t="s">
        <v>2248</v>
      </c>
      <c r="D3640" s="5" t="s">
        <v>2306</v>
      </c>
      <c r="E3640" s="5" t="s">
        <v>54</v>
      </c>
      <c r="F3640" s="5" t="s">
        <v>54</v>
      </c>
      <c r="G3640" s="5" t="str">
        <f aca="false">INDEX(Risk_Matrix!$B$2:$D$4,MATCH(E3640,Risk_Matrix!$A$2:$A$4,0),MATCH(F3640,Risk_Matrix!$B$1:$D$1,0))</f>
        <v>High</v>
      </c>
      <c r="H3640" s="12" t="n">
        <v>46099</v>
      </c>
      <c r="I3640" s="5" t="s">
        <v>2241</v>
      </c>
      <c r="J3640" s="5" t="s">
        <v>2242</v>
      </c>
      <c r="K3640" s="5" t="s">
        <v>2266</v>
      </c>
      <c r="L3640" s="5" t="n">
        <f aca="false">IF(G3640="High",3,IF(G3640="Medium",2,1))</f>
        <v>3</v>
      </c>
    </row>
    <row r="3641" customFormat="false" ht="15" hidden="false" customHeight="true" outlineLevel="0" collapsed="false">
      <c r="A3641" s="5" t="s">
        <v>5919</v>
      </c>
      <c r="B3641" s="5" t="s">
        <v>2206</v>
      </c>
      <c r="C3641" s="5" t="s">
        <v>2262</v>
      </c>
      <c r="D3641" s="5" t="s">
        <v>2287</v>
      </c>
      <c r="E3641" s="5" t="s">
        <v>2225</v>
      </c>
      <c r="F3641" s="5" t="s">
        <v>54</v>
      </c>
      <c r="G3641" s="5" t="str">
        <f aca="false">INDEX(Risk_Matrix!$B$2:$D$4,MATCH(E3641,Risk_Matrix!$A$2:$A$4,0),MATCH(F3641,Risk_Matrix!$B$1:$D$1,0))</f>
        <v>High</v>
      </c>
      <c r="H3641" s="12" t="n">
        <v>46204</v>
      </c>
      <c r="I3641" s="5" t="s">
        <v>2256</v>
      </c>
      <c r="J3641" s="5" t="s">
        <v>4081</v>
      </c>
      <c r="K3641" s="5" t="s">
        <v>2266</v>
      </c>
      <c r="L3641" s="5" t="n">
        <f aca="false">IF(G3641="High",3,IF(G3641="Medium",2,1))</f>
        <v>3</v>
      </c>
    </row>
    <row r="3642" customFormat="false" ht="15" hidden="false" customHeight="true" outlineLevel="0" collapsed="false">
      <c r="A3642" s="5" t="s">
        <v>5920</v>
      </c>
      <c r="B3642" s="5" t="s">
        <v>2206</v>
      </c>
      <c r="C3642" s="5" t="s">
        <v>2259</v>
      </c>
      <c r="D3642" s="5" t="s">
        <v>2285</v>
      </c>
      <c r="E3642" s="5" t="s">
        <v>2225</v>
      </c>
      <c r="F3642" s="5" t="s">
        <v>59</v>
      </c>
      <c r="G3642" s="5" t="str">
        <f aca="false">INDEX(Risk_Matrix!$B$2:$D$4,MATCH(E3642,Risk_Matrix!$A$2:$A$4,0),MATCH(F3642,Risk_Matrix!$B$1:$D$1,0))</f>
        <v>Low</v>
      </c>
      <c r="H3642" s="12" t="n">
        <v>46087</v>
      </c>
      <c r="I3642" s="5" t="s">
        <v>2250</v>
      </c>
      <c r="J3642" s="5" t="s">
        <v>2251</v>
      </c>
      <c r="K3642" s="5" t="s">
        <v>2243</v>
      </c>
      <c r="L3642" s="5" t="n">
        <f aca="false">IF(G3642="High",3,IF(G3642="Medium",2,1))</f>
        <v>1</v>
      </c>
    </row>
    <row r="3643" customFormat="false" ht="15" hidden="false" customHeight="true" outlineLevel="0" collapsed="false">
      <c r="A3643" s="5" t="s">
        <v>5921</v>
      </c>
      <c r="B3643" s="5" t="s">
        <v>2206</v>
      </c>
      <c r="C3643" s="5" t="s">
        <v>2254</v>
      </c>
      <c r="D3643" s="5" t="s">
        <v>2299</v>
      </c>
      <c r="E3643" s="5" t="s">
        <v>2225</v>
      </c>
      <c r="F3643" s="5" t="s">
        <v>2225</v>
      </c>
      <c r="G3643" s="5" t="str">
        <f aca="false">INDEX(Risk_Matrix!$B$2:$D$4,MATCH(E3643,Risk_Matrix!$A$2:$A$4,0),MATCH(F3643,Risk_Matrix!$B$1:$D$1,0))</f>
        <v>Medium</v>
      </c>
      <c r="H3643" s="12" t="n">
        <v>46077</v>
      </c>
      <c r="I3643" s="5" t="s">
        <v>2256</v>
      </c>
      <c r="J3643" s="5" t="s">
        <v>4081</v>
      </c>
      <c r="K3643" s="5" t="s">
        <v>2276</v>
      </c>
      <c r="L3643" s="5" t="n">
        <f aca="false">IF(G3643="High",3,IF(G3643="Medium",2,1))</f>
        <v>2</v>
      </c>
    </row>
    <row r="3644" customFormat="false" ht="15" hidden="false" customHeight="true" outlineLevel="0" collapsed="false">
      <c r="A3644" s="5" t="s">
        <v>5922</v>
      </c>
      <c r="B3644" s="5" t="s">
        <v>2208</v>
      </c>
      <c r="C3644" s="5" t="s">
        <v>2239</v>
      </c>
      <c r="D3644" s="5" t="s">
        <v>2278</v>
      </c>
      <c r="E3644" s="5" t="s">
        <v>59</v>
      </c>
      <c r="F3644" s="5" t="s">
        <v>54</v>
      </c>
      <c r="G3644" s="5" t="str">
        <f aca="false">INDEX(Risk_Matrix!$B$2:$D$4,MATCH(E3644,Risk_Matrix!$A$2:$A$4,0),MATCH(F3644,Risk_Matrix!$B$1:$D$1,0))</f>
        <v>Medium</v>
      </c>
      <c r="H3644" s="12" t="n">
        <v>46124</v>
      </c>
      <c r="I3644" s="5" t="s">
        <v>2256</v>
      </c>
      <c r="J3644" s="5" t="s">
        <v>4081</v>
      </c>
      <c r="K3644" s="5" t="s">
        <v>2252</v>
      </c>
      <c r="L3644" s="5" t="n">
        <f aca="false">IF(G3644="High",3,IF(G3644="Medium",2,1))</f>
        <v>2</v>
      </c>
    </row>
    <row r="3645" customFormat="false" ht="15" hidden="false" customHeight="true" outlineLevel="0" collapsed="false">
      <c r="A3645" s="5" t="s">
        <v>5923</v>
      </c>
      <c r="B3645" s="5" t="s">
        <v>2208</v>
      </c>
      <c r="C3645" s="5" t="s">
        <v>2245</v>
      </c>
      <c r="D3645" s="5" t="s">
        <v>2280</v>
      </c>
      <c r="E3645" s="5" t="s">
        <v>54</v>
      </c>
      <c r="F3645" s="5" t="s">
        <v>59</v>
      </c>
      <c r="G3645" s="5" t="str">
        <f aca="false">INDEX(Risk_Matrix!$B$2:$D$4,MATCH(E3645,Risk_Matrix!$A$2:$A$4,0),MATCH(F3645,Risk_Matrix!$B$1:$D$1,0))</f>
        <v>Medium</v>
      </c>
      <c r="H3645" s="12" t="n">
        <v>46183</v>
      </c>
      <c r="I3645" s="5" t="s">
        <v>2256</v>
      </c>
      <c r="J3645" s="5" t="s">
        <v>4081</v>
      </c>
      <c r="K3645" s="5" t="s">
        <v>2276</v>
      </c>
      <c r="L3645" s="5" t="n">
        <f aca="false">IF(G3645="High",3,IF(G3645="Medium",2,1))</f>
        <v>2</v>
      </c>
    </row>
    <row r="3646" customFormat="false" ht="15" hidden="false" customHeight="true" outlineLevel="0" collapsed="false">
      <c r="A3646" s="5" t="s">
        <v>5924</v>
      </c>
      <c r="B3646" s="5" t="s">
        <v>2208</v>
      </c>
      <c r="C3646" s="5" t="s">
        <v>2248</v>
      </c>
      <c r="D3646" s="5" t="s">
        <v>2249</v>
      </c>
      <c r="E3646" s="5" t="s">
        <v>2225</v>
      </c>
      <c r="F3646" s="5" t="s">
        <v>54</v>
      </c>
      <c r="G3646" s="5" t="str">
        <f aca="false">INDEX(Risk_Matrix!$B$2:$D$4,MATCH(E3646,Risk_Matrix!$A$2:$A$4,0),MATCH(F3646,Risk_Matrix!$B$1:$D$1,0))</f>
        <v>High</v>
      </c>
      <c r="H3646" s="12" t="n">
        <v>46174</v>
      </c>
      <c r="I3646" s="5" t="s">
        <v>2264</v>
      </c>
      <c r="J3646" s="5" t="s">
        <v>4087</v>
      </c>
      <c r="K3646" s="5" t="s">
        <v>2283</v>
      </c>
      <c r="L3646" s="5" t="n">
        <f aca="false">IF(G3646="High",3,IF(G3646="Medium",2,1))</f>
        <v>3</v>
      </c>
    </row>
    <row r="3647" customFormat="false" ht="15" hidden="false" customHeight="true" outlineLevel="0" collapsed="false">
      <c r="A3647" s="5" t="s">
        <v>5925</v>
      </c>
      <c r="B3647" s="5" t="s">
        <v>2208</v>
      </c>
      <c r="C3647" s="5" t="s">
        <v>2262</v>
      </c>
      <c r="D3647" s="5" t="s">
        <v>2287</v>
      </c>
      <c r="E3647" s="5" t="s">
        <v>54</v>
      </c>
      <c r="F3647" s="5" t="s">
        <v>2225</v>
      </c>
      <c r="G3647" s="5" t="str">
        <f aca="false">INDEX(Risk_Matrix!$B$2:$D$4,MATCH(E3647,Risk_Matrix!$A$2:$A$4,0),MATCH(F3647,Risk_Matrix!$B$1:$D$1,0))</f>
        <v>High</v>
      </c>
      <c r="H3647" s="12" t="n">
        <v>46108</v>
      </c>
      <c r="I3647" s="5" t="s">
        <v>2264</v>
      </c>
      <c r="J3647" s="5" t="s">
        <v>4087</v>
      </c>
      <c r="K3647" s="5" t="s">
        <v>2243</v>
      </c>
      <c r="L3647" s="5" t="n">
        <f aca="false">IF(G3647="High",3,IF(G3647="Medium",2,1))</f>
        <v>3</v>
      </c>
    </row>
    <row r="3648" customFormat="false" ht="15" hidden="false" customHeight="true" outlineLevel="0" collapsed="false">
      <c r="A3648" s="5" t="s">
        <v>5926</v>
      </c>
      <c r="B3648" s="5" t="s">
        <v>2208</v>
      </c>
      <c r="C3648" s="5" t="s">
        <v>2259</v>
      </c>
      <c r="D3648" s="5" t="s">
        <v>2285</v>
      </c>
      <c r="E3648" s="5" t="s">
        <v>54</v>
      </c>
      <c r="F3648" s="5" t="s">
        <v>59</v>
      </c>
      <c r="G3648" s="5" t="str">
        <f aca="false">INDEX(Risk_Matrix!$B$2:$D$4,MATCH(E3648,Risk_Matrix!$A$2:$A$4,0),MATCH(F3648,Risk_Matrix!$B$1:$D$1,0))</f>
        <v>Medium</v>
      </c>
      <c r="H3648" s="12" t="n">
        <v>46229</v>
      </c>
      <c r="I3648" s="5" t="s">
        <v>2256</v>
      </c>
      <c r="J3648" s="5" t="s">
        <v>4081</v>
      </c>
      <c r="K3648" s="5" t="s">
        <v>2266</v>
      </c>
      <c r="L3648" s="5" t="n">
        <f aca="false">IF(G3648="High",3,IF(G3648="Medium",2,1))</f>
        <v>2</v>
      </c>
    </row>
    <row r="3649" customFormat="false" ht="15" hidden="false" customHeight="true" outlineLevel="0" collapsed="false">
      <c r="A3649" s="5" t="s">
        <v>5927</v>
      </c>
      <c r="B3649" s="5" t="s">
        <v>2208</v>
      </c>
      <c r="C3649" s="5" t="s">
        <v>2254</v>
      </c>
      <c r="D3649" s="5" t="s">
        <v>2299</v>
      </c>
      <c r="E3649" s="5" t="s">
        <v>54</v>
      </c>
      <c r="F3649" s="5" t="s">
        <v>2225</v>
      </c>
      <c r="G3649" s="5" t="str">
        <f aca="false">INDEX(Risk_Matrix!$B$2:$D$4,MATCH(E3649,Risk_Matrix!$A$2:$A$4,0),MATCH(F3649,Risk_Matrix!$B$1:$D$1,0))</f>
        <v>High</v>
      </c>
      <c r="H3649" s="12" t="n">
        <v>46191</v>
      </c>
      <c r="I3649" s="5" t="s">
        <v>2241</v>
      </c>
      <c r="J3649" s="5" t="s">
        <v>2242</v>
      </c>
      <c r="K3649" s="5" t="s">
        <v>2276</v>
      </c>
      <c r="L3649" s="5" t="n">
        <f aca="false">IF(G3649="High",3,IF(G3649="Medium",2,1))</f>
        <v>3</v>
      </c>
    </row>
    <row r="3650" customFormat="false" ht="15" hidden="false" customHeight="true" outlineLevel="0" collapsed="false">
      <c r="A3650" s="5" t="s">
        <v>5928</v>
      </c>
      <c r="B3650" s="5" t="s">
        <v>2210</v>
      </c>
      <c r="C3650" s="5" t="s">
        <v>2239</v>
      </c>
      <c r="D3650" s="5" t="s">
        <v>2278</v>
      </c>
      <c r="E3650" s="5" t="s">
        <v>54</v>
      </c>
      <c r="F3650" s="5" t="s">
        <v>54</v>
      </c>
      <c r="G3650" s="5" t="str">
        <f aca="false">INDEX(Risk_Matrix!$B$2:$D$4,MATCH(E3650,Risk_Matrix!$A$2:$A$4,0),MATCH(F3650,Risk_Matrix!$B$1:$D$1,0))</f>
        <v>High</v>
      </c>
      <c r="H3650" s="12" t="n">
        <v>46040</v>
      </c>
      <c r="I3650" s="5" t="s">
        <v>2264</v>
      </c>
      <c r="J3650" s="5" t="s">
        <v>4087</v>
      </c>
      <c r="K3650" s="5" t="s">
        <v>2252</v>
      </c>
      <c r="L3650" s="5" t="n">
        <f aca="false">IF(G3650="High",3,IF(G3650="Medium",2,1))</f>
        <v>3</v>
      </c>
    </row>
    <row r="3651" customFormat="false" ht="15" hidden="false" customHeight="true" outlineLevel="0" collapsed="false">
      <c r="A3651" s="5" t="s">
        <v>5929</v>
      </c>
      <c r="B3651" s="5" t="s">
        <v>2210</v>
      </c>
      <c r="C3651" s="5" t="s">
        <v>2245</v>
      </c>
      <c r="D3651" s="5" t="s">
        <v>2320</v>
      </c>
      <c r="E3651" s="5" t="s">
        <v>59</v>
      </c>
      <c r="F3651" s="5" t="s">
        <v>54</v>
      </c>
      <c r="G3651" s="5" t="str">
        <f aca="false">INDEX(Risk_Matrix!$B$2:$D$4,MATCH(E3651,Risk_Matrix!$A$2:$A$4,0),MATCH(F3651,Risk_Matrix!$B$1:$D$1,0))</f>
        <v>Medium</v>
      </c>
      <c r="H3651" s="12" t="n">
        <v>46124</v>
      </c>
      <c r="I3651" s="5" t="s">
        <v>2250</v>
      </c>
      <c r="J3651" s="5" t="s">
        <v>2251</v>
      </c>
      <c r="K3651" s="5" t="s">
        <v>2276</v>
      </c>
      <c r="L3651" s="5" t="n">
        <f aca="false">IF(G3651="High",3,IF(G3651="Medium",2,1))</f>
        <v>2</v>
      </c>
    </row>
    <row r="3652" customFormat="false" ht="15" hidden="false" customHeight="true" outlineLevel="0" collapsed="false">
      <c r="A3652" s="5" t="s">
        <v>5930</v>
      </c>
      <c r="B3652" s="5" t="s">
        <v>2210</v>
      </c>
      <c r="C3652" s="5" t="s">
        <v>2248</v>
      </c>
      <c r="D3652" s="5" t="s">
        <v>2306</v>
      </c>
      <c r="E3652" s="5" t="s">
        <v>54</v>
      </c>
      <c r="F3652" s="5" t="s">
        <v>2225</v>
      </c>
      <c r="G3652" s="5" t="str">
        <f aca="false">INDEX(Risk_Matrix!$B$2:$D$4,MATCH(E3652,Risk_Matrix!$A$2:$A$4,0),MATCH(F3652,Risk_Matrix!$B$1:$D$1,0))</f>
        <v>High</v>
      </c>
      <c r="H3652" s="12" t="n">
        <v>46199</v>
      </c>
      <c r="I3652" s="5" t="s">
        <v>2241</v>
      </c>
      <c r="J3652" s="5" t="s">
        <v>2242</v>
      </c>
      <c r="K3652" s="5" t="s">
        <v>2266</v>
      </c>
      <c r="L3652" s="5" t="n">
        <f aca="false">IF(G3652="High",3,IF(G3652="Medium",2,1))</f>
        <v>3</v>
      </c>
    </row>
    <row r="3653" customFormat="false" ht="15" hidden="false" customHeight="true" outlineLevel="0" collapsed="false">
      <c r="A3653" s="5" t="s">
        <v>5931</v>
      </c>
      <c r="B3653" s="5" t="s">
        <v>2210</v>
      </c>
      <c r="C3653" s="5" t="s">
        <v>2262</v>
      </c>
      <c r="D3653" s="5" t="s">
        <v>2311</v>
      </c>
      <c r="E3653" s="5" t="s">
        <v>59</v>
      </c>
      <c r="F3653" s="5" t="s">
        <v>2225</v>
      </c>
      <c r="G3653" s="5" t="str">
        <f aca="false">INDEX(Risk_Matrix!$B$2:$D$4,MATCH(E3653,Risk_Matrix!$A$2:$A$4,0),MATCH(F3653,Risk_Matrix!$B$1:$D$1,0))</f>
        <v>Low</v>
      </c>
      <c r="H3653" s="12" t="n">
        <v>46122</v>
      </c>
      <c r="I3653" s="5" t="s">
        <v>2264</v>
      </c>
      <c r="J3653" s="5" t="s">
        <v>4087</v>
      </c>
      <c r="K3653" s="5" t="s">
        <v>2252</v>
      </c>
      <c r="L3653" s="5" t="n">
        <f aca="false">IF(G3653="High",3,IF(G3653="Medium",2,1))</f>
        <v>1</v>
      </c>
    </row>
    <row r="3654" customFormat="false" ht="15" hidden="false" customHeight="true" outlineLevel="0" collapsed="false">
      <c r="A3654" s="5" t="s">
        <v>5932</v>
      </c>
      <c r="B3654" s="5" t="s">
        <v>2210</v>
      </c>
      <c r="C3654" s="5" t="s">
        <v>2259</v>
      </c>
      <c r="D3654" s="5" t="s">
        <v>2274</v>
      </c>
      <c r="E3654" s="5" t="s">
        <v>2225</v>
      </c>
      <c r="F3654" s="5" t="s">
        <v>59</v>
      </c>
      <c r="G3654" s="5" t="str">
        <f aca="false">INDEX(Risk_Matrix!$B$2:$D$4,MATCH(E3654,Risk_Matrix!$A$2:$A$4,0),MATCH(F3654,Risk_Matrix!$B$1:$D$1,0))</f>
        <v>Low</v>
      </c>
      <c r="H3654" s="12" t="n">
        <v>46178</v>
      </c>
      <c r="I3654" s="5" t="s">
        <v>2256</v>
      </c>
      <c r="J3654" s="5" t="s">
        <v>4081</v>
      </c>
      <c r="K3654" s="5" t="s">
        <v>2276</v>
      </c>
      <c r="L3654" s="5" t="n">
        <f aca="false">IF(G3654="High",3,IF(G3654="Medium",2,1))</f>
        <v>1</v>
      </c>
    </row>
    <row r="3655" customFormat="false" ht="15" hidden="false" customHeight="true" outlineLevel="0" collapsed="false">
      <c r="A3655" s="5" t="s">
        <v>5933</v>
      </c>
      <c r="B3655" s="5" t="s">
        <v>2210</v>
      </c>
      <c r="C3655" s="5" t="s">
        <v>2254</v>
      </c>
      <c r="D3655" s="5" t="s">
        <v>2255</v>
      </c>
      <c r="E3655" s="5" t="s">
        <v>59</v>
      </c>
      <c r="F3655" s="5" t="s">
        <v>59</v>
      </c>
      <c r="G3655" s="5" t="str">
        <f aca="false">INDEX(Risk_Matrix!$B$2:$D$4,MATCH(E3655,Risk_Matrix!$A$2:$A$4,0),MATCH(F3655,Risk_Matrix!$B$1:$D$1,0))</f>
        <v>Low</v>
      </c>
      <c r="H3655" s="12" t="n">
        <v>46102</v>
      </c>
      <c r="I3655" s="5" t="s">
        <v>2250</v>
      </c>
      <c r="J3655" s="5" t="s">
        <v>2251</v>
      </c>
      <c r="K3655" s="5" t="s">
        <v>2283</v>
      </c>
      <c r="L3655" s="5" t="n">
        <f aca="false">IF(G3655="High",3,IF(G3655="Medium",2,1))</f>
        <v>1</v>
      </c>
    </row>
    <row r="3656" customFormat="false" ht="15" hidden="false" customHeight="true" outlineLevel="0" collapsed="false">
      <c r="A3656" s="5" t="s">
        <v>5934</v>
      </c>
      <c r="B3656" s="5" t="s">
        <v>2212</v>
      </c>
      <c r="C3656" s="5" t="s">
        <v>2239</v>
      </c>
      <c r="D3656" s="5" t="s">
        <v>2278</v>
      </c>
      <c r="E3656" s="5" t="s">
        <v>54</v>
      </c>
      <c r="F3656" s="5" t="s">
        <v>59</v>
      </c>
      <c r="G3656" s="5" t="str">
        <f aca="false">INDEX(Risk_Matrix!$B$2:$D$4,MATCH(E3656,Risk_Matrix!$A$2:$A$4,0),MATCH(F3656,Risk_Matrix!$B$1:$D$1,0))</f>
        <v>Medium</v>
      </c>
      <c r="H3656" s="12" t="n">
        <v>46216</v>
      </c>
      <c r="I3656" s="5" t="s">
        <v>2264</v>
      </c>
      <c r="J3656" s="5" t="s">
        <v>4087</v>
      </c>
      <c r="K3656" s="5" t="s">
        <v>2283</v>
      </c>
      <c r="L3656" s="5" t="n">
        <f aca="false">IF(G3656="High",3,IF(G3656="Medium",2,1))</f>
        <v>2</v>
      </c>
    </row>
    <row r="3657" customFormat="false" ht="15" hidden="false" customHeight="true" outlineLevel="0" collapsed="false">
      <c r="A3657" s="5" t="s">
        <v>5935</v>
      </c>
      <c r="B3657" s="5" t="s">
        <v>2212</v>
      </c>
      <c r="C3657" s="5" t="s">
        <v>2245</v>
      </c>
      <c r="D3657" s="5" t="s">
        <v>2320</v>
      </c>
      <c r="E3657" s="5" t="s">
        <v>2225</v>
      </c>
      <c r="F3657" s="5" t="s">
        <v>59</v>
      </c>
      <c r="G3657" s="5" t="str">
        <f aca="false">INDEX(Risk_Matrix!$B$2:$D$4,MATCH(E3657,Risk_Matrix!$A$2:$A$4,0),MATCH(F3657,Risk_Matrix!$B$1:$D$1,0))</f>
        <v>Low</v>
      </c>
      <c r="H3657" s="12" t="n">
        <v>46173</v>
      </c>
      <c r="I3657" s="5" t="s">
        <v>2264</v>
      </c>
      <c r="J3657" s="5" t="s">
        <v>4087</v>
      </c>
      <c r="K3657" s="5" t="s">
        <v>2283</v>
      </c>
      <c r="L3657" s="5" t="n">
        <f aca="false">IF(G3657="High",3,IF(G3657="Medium",2,1))</f>
        <v>1</v>
      </c>
    </row>
    <row r="3658" customFormat="false" ht="15" hidden="false" customHeight="true" outlineLevel="0" collapsed="false">
      <c r="A3658" s="5" t="s">
        <v>5936</v>
      </c>
      <c r="B3658" s="5" t="s">
        <v>2212</v>
      </c>
      <c r="C3658" s="5" t="s">
        <v>2248</v>
      </c>
      <c r="D3658" s="5" t="s">
        <v>2271</v>
      </c>
      <c r="E3658" s="5" t="s">
        <v>2225</v>
      </c>
      <c r="F3658" s="5" t="s">
        <v>2225</v>
      </c>
      <c r="G3658" s="5" t="str">
        <f aca="false">INDEX(Risk_Matrix!$B$2:$D$4,MATCH(E3658,Risk_Matrix!$A$2:$A$4,0),MATCH(F3658,Risk_Matrix!$B$1:$D$1,0))</f>
        <v>Medium</v>
      </c>
      <c r="H3658" s="12" t="n">
        <v>46047</v>
      </c>
      <c r="I3658" s="5" t="s">
        <v>2264</v>
      </c>
      <c r="J3658" s="5" t="s">
        <v>4087</v>
      </c>
      <c r="K3658" s="5" t="s">
        <v>2252</v>
      </c>
      <c r="L3658" s="5" t="n">
        <f aca="false">IF(G3658="High",3,IF(G3658="Medium",2,1))</f>
        <v>2</v>
      </c>
    </row>
    <row r="3659" customFormat="false" ht="15" hidden="false" customHeight="true" outlineLevel="0" collapsed="false">
      <c r="A3659" s="5" t="s">
        <v>5937</v>
      </c>
      <c r="B3659" s="5" t="s">
        <v>2212</v>
      </c>
      <c r="C3659" s="5" t="s">
        <v>2262</v>
      </c>
      <c r="D3659" s="5" t="s">
        <v>2263</v>
      </c>
      <c r="E3659" s="5" t="s">
        <v>54</v>
      </c>
      <c r="F3659" s="5" t="s">
        <v>2225</v>
      </c>
      <c r="G3659" s="5" t="str">
        <f aca="false">INDEX(Risk_Matrix!$B$2:$D$4,MATCH(E3659,Risk_Matrix!$A$2:$A$4,0),MATCH(F3659,Risk_Matrix!$B$1:$D$1,0))</f>
        <v>High</v>
      </c>
      <c r="H3659" s="12" t="n">
        <v>46221</v>
      </c>
      <c r="I3659" s="5" t="s">
        <v>2264</v>
      </c>
      <c r="J3659" s="5" t="s">
        <v>4087</v>
      </c>
      <c r="K3659" s="5" t="s">
        <v>2283</v>
      </c>
      <c r="L3659" s="5" t="n">
        <f aca="false">IF(G3659="High",3,IF(G3659="Medium",2,1))</f>
        <v>3</v>
      </c>
    </row>
    <row r="3660" customFormat="false" ht="15" hidden="false" customHeight="true" outlineLevel="0" collapsed="false">
      <c r="A3660" s="5" t="s">
        <v>5938</v>
      </c>
      <c r="B3660" s="5" t="s">
        <v>2212</v>
      </c>
      <c r="C3660" s="5" t="s">
        <v>2259</v>
      </c>
      <c r="D3660" s="5" t="s">
        <v>2274</v>
      </c>
      <c r="E3660" s="5" t="s">
        <v>54</v>
      </c>
      <c r="F3660" s="5" t="s">
        <v>2225</v>
      </c>
      <c r="G3660" s="5" t="str">
        <f aca="false">INDEX(Risk_Matrix!$B$2:$D$4,MATCH(E3660,Risk_Matrix!$A$2:$A$4,0),MATCH(F3660,Risk_Matrix!$B$1:$D$1,0))</f>
        <v>High</v>
      </c>
      <c r="H3660" s="12" t="n">
        <v>46126</v>
      </c>
      <c r="I3660" s="5" t="s">
        <v>2264</v>
      </c>
      <c r="J3660" s="5" t="s">
        <v>4087</v>
      </c>
      <c r="K3660" s="5" t="s">
        <v>2252</v>
      </c>
      <c r="L3660" s="5" t="n">
        <f aca="false">IF(G3660="High",3,IF(G3660="Medium",2,1))</f>
        <v>3</v>
      </c>
    </row>
    <row r="3661" customFormat="false" ht="15" hidden="false" customHeight="true" outlineLevel="0" collapsed="false">
      <c r="A3661" s="5" t="s">
        <v>5939</v>
      </c>
      <c r="B3661" s="5" t="s">
        <v>2212</v>
      </c>
      <c r="C3661" s="5" t="s">
        <v>2254</v>
      </c>
      <c r="D3661" s="5" t="s">
        <v>2308</v>
      </c>
      <c r="E3661" s="5" t="s">
        <v>54</v>
      </c>
      <c r="F3661" s="5" t="s">
        <v>59</v>
      </c>
      <c r="G3661" s="5" t="str">
        <f aca="false">INDEX(Risk_Matrix!$B$2:$D$4,MATCH(E3661,Risk_Matrix!$A$2:$A$4,0),MATCH(F3661,Risk_Matrix!$B$1:$D$1,0))</f>
        <v>Medium</v>
      </c>
      <c r="H3661" s="12" t="n">
        <v>46083</v>
      </c>
      <c r="I3661" s="5" t="s">
        <v>2256</v>
      </c>
      <c r="J3661" s="5" t="s">
        <v>4081</v>
      </c>
      <c r="K3661" s="5" t="s">
        <v>2283</v>
      </c>
      <c r="L3661" s="5" t="n">
        <f aca="false">IF(G3661="High",3,IF(G3661="Medium",2,1))</f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110" activePane="bottomLeft" state="frozen"/>
      <selection pane="topLeft" activeCell="A1" activeCellId="0" sqref="A1"/>
      <selection pane="bottomLeft" activeCell="H3" activeCellId="0" sqref="H3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8"/>
    <col collapsed="false" customWidth="true" hidden="false" outlineLevel="0" max="3" min="3" style="1" width="10"/>
    <col collapsed="false" customWidth="true" hidden="false" outlineLevel="0" max="4" min="4" style="1" width="34"/>
    <col collapsed="false" customWidth="true" hidden="false" outlineLevel="0" max="5" min="5" style="1" width="18"/>
    <col collapsed="false" customWidth="true" hidden="false" outlineLevel="0" max="6" min="6" style="1" width="16"/>
    <col collapsed="false" customWidth="true" hidden="false" outlineLevel="0" max="7" min="7" style="1" width="18"/>
    <col collapsed="false" customWidth="true" hidden="false" outlineLevel="0" max="8" min="8" style="1" width="16"/>
    <col collapsed="false" customWidth="true" hidden="false" outlineLevel="0" max="9" min="9" style="1" width="40"/>
  </cols>
  <sheetData>
    <row r="1" customFormat="false" ht="23.25" hidden="false" customHeight="true" outlineLevel="0" collapsed="false">
      <c r="A1" s="7" t="s">
        <v>5940</v>
      </c>
      <c r="B1" s="7" t="s">
        <v>5941</v>
      </c>
      <c r="C1" s="7" t="s">
        <v>963</v>
      </c>
      <c r="D1" s="7" t="s">
        <v>964</v>
      </c>
      <c r="E1" s="7" t="s">
        <v>912</v>
      </c>
      <c r="F1" s="7" t="s">
        <v>5942</v>
      </c>
      <c r="G1" s="7" t="s">
        <v>5943</v>
      </c>
      <c r="H1" s="7" t="s">
        <v>5944</v>
      </c>
      <c r="I1" s="7" t="s">
        <v>5945</v>
      </c>
    </row>
    <row r="2" customFormat="false" ht="15" hidden="false" customHeight="true" outlineLevel="0" collapsed="false">
      <c r="A2" s="5" t="s">
        <v>45</v>
      </c>
      <c r="B2" s="5" t="n">
        <v>1</v>
      </c>
      <c r="C2" s="5" t="s">
        <v>1046</v>
      </c>
      <c r="D2" s="5" t="s">
        <v>5946</v>
      </c>
      <c r="E2" s="5" t="s">
        <v>962</v>
      </c>
      <c r="F2" s="5" t="n">
        <f aca="false">INDEX(Site_Evaluation!$K:$K,MATCH(C2,Site_Evaluation!$A:$A,0))</f>
        <v>47</v>
      </c>
      <c r="G2" s="5" t="n">
        <f aca="false">COUNTIFS(Risk_Register!B:B,C2,Risk_Register!G:G,"High")</f>
        <v>0</v>
      </c>
      <c r="H2" s="5" t="str">
        <f aca="false">IF(_xlfn.MAXIFS(Risk_Register!$L:$L,Risk_Register!$B:$B,C2)=3,"High",IF(_xlfn.MAXIFS(Risk_Register!$L:$L,Risk_Register!$B:$B,C2)=2,"Medium","Low"))</f>
        <v>Medium</v>
      </c>
      <c r="I2" s="5" t="str">
        <f aca="false">IF(B2&lt;=3,"Preferred site - strong composite profile",IF(B2&lt;=10,"Backup candidate - viable with monitoring","Reserve - evaluate only if primary sites unavailable"))</f>
        <v>Preferred site - strong composite profile</v>
      </c>
    </row>
    <row r="3" customFormat="false" ht="15" hidden="false" customHeight="true" outlineLevel="0" collapsed="false">
      <c r="A3" s="5" t="s">
        <v>45</v>
      </c>
      <c r="B3" s="5" t="n">
        <v>2</v>
      </c>
      <c r="C3" s="5" t="s">
        <v>1228</v>
      </c>
      <c r="D3" s="5" t="s">
        <v>1765</v>
      </c>
      <c r="E3" s="5" t="s">
        <v>925</v>
      </c>
      <c r="F3" s="5" t="n">
        <f aca="false">INDEX(Site_Evaluation!$K:$K,MATCH(C3,Site_Evaluation!$A:$A,0))</f>
        <v>81</v>
      </c>
      <c r="G3" s="5" t="n">
        <f aca="false">COUNTIFS(Risk_Register!B:B,C3,Risk_Register!G:G,"High")</f>
        <v>2</v>
      </c>
      <c r="H3" s="5" t="str">
        <f aca="false">IF(_xlfn.MAXIFS(Risk_Register!$L:$L,Risk_Register!$B:$B,C3)=3,"High",IF(_xlfn.MAXIFS(Risk_Register!$L:$L,Risk_Register!$B:$B,C3)=2,"Medium","Low"))</f>
        <v>High</v>
      </c>
      <c r="I3" s="5" t="str">
        <f aca="false">IF(B3&lt;=3,"Preferred site - strong composite profile",IF(B3&lt;=10,"Backup candidate - viable with monitoring","Reserve - evaluate only if primary sites unavailable"))</f>
        <v>Preferred site - strong composite profile</v>
      </c>
    </row>
    <row r="4" customFormat="false" ht="15" hidden="false" customHeight="true" outlineLevel="0" collapsed="false">
      <c r="A4" s="5" t="s">
        <v>45</v>
      </c>
      <c r="B4" s="5" t="n">
        <v>3</v>
      </c>
      <c r="C4" s="5" t="s">
        <v>1556</v>
      </c>
      <c r="D4" s="5" t="s">
        <v>1557</v>
      </c>
      <c r="E4" s="5" t="s">
        <v>938</v>
      </c>
      <c r="F4" s="5" t="n">
        <f aca="false">INDEX(Site_Evaluation!$K:$K,MATCH(C4,Site_Evaluation!$A:$A,0))</f>
        <v>74</v>
      </c>
      <c r="G4" s="5" t="n">
        <f aca="false">COUNTIFS(Risk_Register!B:B,C4,Risk_Register!G:G,"High")</f>
        <v>0</v>
      </c>
      <c r="H4" s="5" t="str">
        <f aca="false">IF(_xlfn.MAXIFS(Risk_Register!$L:$L,Risk_Register!$B:$B,C4)=3,"High",IF(_xlfn.MAXIFS(Risk_Register!$L:$L,Risk_Register!$B:$B,C4)=2,"Medium","Low"))</f>
        <v>Medium</v>
      </c>
      <c r="I4" s="5" t="str">
        <f aca="false">IF(B4&lt;=3,"Preferred site - strong composite profile",IF(B4&lt;=10,"Backup candidate - viable with monitoring","Reserve - evaluate only if primary sites unavailable"))</f>
        <v>Preferred site - strong composite profile</v>
      </c>
    </row>
    <row r="5" customFormat="false" ht="15" hidden="false" customHeight="true" outlineLevel="0" collapsed="false">
      <c r="A5" s="5" t="s">
        <v>45</v>
      </c>
      <c r="B5" s="5" t="n">
        <v>4</v>
      </c>
      <c r="C5" s="5" t="s">
        <v>1189</v>
      </c>
      <c r="D5" s="5" t="s">
        <v>1073</v>
      </c>
      <c r="E5" s="5" t="s">
        <v>920</v>
      </c>
      <c r="F5" s="5" t="n">
        <f aca="false">INDEX(Site_Evaluation!$K:$K,MATCH(C5,Site_Evaluation!$A:$A,0))</f>
        <v>63</v>
      </c>
      <c r="G5" s="5" t="n">
        <f aca="false">COUNTIFS(Risk_Register!B:B,C5,Risk_Register!G:G,"High")</f>
        <v>0</v>
      </c>
      <c r="H5" s="5" t="str">
        <f aca="false">IF(_xlfn.MAXIFS(Risk_Register!$L:$L,Risk_Register!$B:$B,C5)=3,"High",IF(_xlfn.MAXIFS(Risk_Register!$L:$L,Risk_Register!$B:$B,C5)=2,"Medium","Low"))</f>
        <v>Medium</v>
      </c>
      <c r="I5" s="5" t="str">
        <f aca="false">IF(B5&lt;=3,"Preferred site - strong composite profile",IF(B5&lt;=10,"Backup candidate - viable with monitoring","Reserve - evaluate only if primary sites unavailable"))</f>
        <v>Backup candidate - viable with monitoring</v>
      </c>
    </row>
    <row r="6" customFormat="false" ht="15" hidden="false" customHeight="true" outlineLevel="0" collapsed="false">
      <c r="A6" s="5" t="s">
        <v>45</v>
      </c>
      <c r="B6" s="5" t="n">
        <v>5</v>
      </c>
      <c r="C6" s="5" t="s">
        <v>1064</v>
      </c>
      <c r="D6" s="5" t="s">
        <v>5947</v>
      </c>
      <c r="E6" s="5" t="s">
        <v>931</v>
      </c>
      <c r="F6" s="5" t="n">
        <f aca="false">INDEX(Site_Evaluation!$K:$K,MATCH(C6,Site_Evaluation!$A:$A,0))</f>
        <v>69</v>
      </c>
      <c r="G6" s="5" t="n">
        <f aca="false">COUNTIFS(Risk_Register!B:B,C6,Risk_Register!G:G,"High")</f>
        <v>2</v>
      </c>
      <c r="H6" s="5" t="str">
        <f aca="false">IF(_xlfn.MAXIFS(Risk_Register!$L:$L,Risk_Register!$B:$B,C6)=3,"High",IF(_xlfn.MAXIFS(Risk_Register!$L:$L,Risk_Register!$B:$B,C6)=2,"Medium","Low"))</f>
        <v>High</v>
      </c>
      <c r="I6" s="5" t="str">
        <f aca="false">IF(B6&lt;=3,"Preferred site - strong composite profile",IF(B6&lt;=10,"Backup candidate - viable with monitoring","Reserve - evaluate only if primary sites unavailable"))</f>
        <v>Backup candidate - viable with monitoring</v>
      </c>
    </row>
    <row r="7" customFormat="false" ht="15" hidden="false" customHeight="true" outlineLevel="0" collapsed="false">
      <c r="A7" s="5" t="s">
        <v>45</v>
      </c>
      <c r="B7" s="5" t="n">
        <v>6</v>
      </c>
      <c r="C7" s="5" t="s">
        <v>1442</v>
      </c>
      <c r="D7" s="5" t="s">
        <v>1443</v>
      </c>
      <c r="E7" s="5" t="s">
        <v>948</v>
      </c>
      <c r="F7" s="5" t="n">
        <f aca="false">INDEX(Site_Evaluation!$K:$K,MATCH(C7,Site_Evaluation!$A:$A,0))</f>
        <v>68</v>
      </c>
      <c r="G7" s="5" t="n">
        <f aca="false">COUNTIFS(Risk_Register!B:B,C7,Risk_Register!G:G,"High")</f>
        <v>1</v>
      </c>
      <c r="H7" s="5" t="str">
        <f aca="false">IF(_xlfn.MAXIFS(Risk_Register!$L:$L,Risk_Register!$B:$B,C7)=3,"High",IF(_xlfn.MAXIFS(Risk_Register!$L:$L,Risk_Register!$B:$B,C7)=2,"Medium","Low"))</f>
        <v>High</v>
      </c>
      <c r="I7" s="5" t="str">
        <f aca="false">IF(B7&lt;=3,"Preferred site - strong composite profile",IF(B7&lt;=10,"Backup candidate - viable with monitoring","Reserve - evaluate only if primary sites unavailable"))</f>
        <v>Backup candidate - viable with monitoring</v>
      </c>
    </row>
    <row r="8" customFormat="false" ht="15" hidden="false" customHeight="true" outlineLevel="0" collapsed="false">
      <c r="A8" s="5" t="s">
        <v>45</v>
      </c>
      <c r="B8" s="5" t="n">
        <v>7</v>
      </c>
      <c r="C8" s="5" t="s">
        <v>1530</v>
      </c>
      <c r="D8" s="5" t="s">
        <v>1531</v>
      </c>
      <c r="E8" s="5" t="s">
        <v>950</v>
      </c>
      <c r="F8" s="5" t="n">
        <f aca="false">INDEX(Site_Evaluation!$K:$K,MATCH(C8,Site_Evaluation!$A:$A,0))</f>
        <v>68</v>
      </c>
      <c r="G8" s="5" t="n">
        <f aca="false">COUNTIFS(Risk_Register!B:B,C8,Risk_Register!G:G,"High")</f>
        <v>1</v>
      </c>
      <c r="H8" s="5" t="str">
        <f aca="false">IF(_xlfn.MAXIFS(Risk_Register!$L:$L,Risk_Register!$B:$B,C8)=3,"High",IF(_xlfn.MAXIFS(Risk_Register!$L:$L,Risk_Register!$B:$B,C8)=2,"Medium","Low"))</f>
        <v>High</v>
      </c>
      <c r="I8" s="5" t="str">
        <f aca="false">IF(B8&lt;=3,"Preferred site - strong composite profile",IF(B8&lt;=10,"Backup candidate - viable with monitoring","Reserve - evaluate only if primary sites unavailable"))</f>
        <v>Backup candidate - viable with monitoring</v>
      </c>
    </row>
    <row r="9" customFormat="false" ht="15" hidden="false" customHeight="true" outlineLevel="0" collapsed="false">
      <c r="A9" s="5" t="s">
        <v>45</v>
      </c>
      <c r="B9" s="5" t="n">
        <v>8</v>
      </c>
      <c r="C9" s="5" t="s">
        <v>1152</v>
      </c>
      <c r="D9" s="5" t="s">
        <v>5948</v>
      </c>
      <c r="E9" s="5" t="s">
        <v>958</v>
      </c>
      <c r="F9" s="5" t="n">
        <f aca="false">INDEX(Site_Evaluation!$K:$K,MATCH(C9,Site_Evaluation!$A:$A,0))</f>
        <v>59</v>
      </c>
      <c r="G9" s="5" t="n">
        <f aca="false">COUNTIFS(Risk_Register!B:B,C9,Risk_Register!G:G,"High")</f>
        <v>1</v>
      </c>
      <c r="H9" s="5" t="str">
        <f aca="false">IF(_xlfn.MAXIFS(Risk_Register!$L:$L,Risk_Register!$B:$B,C9)=3,"High",IF(_xlfn.MAXIFS(Risk_Register!$L:$L,Risk_Register!$B:$B,C9)=2,"Medium","Low"))</f>
        <v>High</v>
      </c>
      <c r="I9" s="5" t="str">
        <f aca="false">IF(B9&lt;=3,"Preferred site - strong composite profile",IF(B9&lt;=10,"Backup candidate - viable with monitoring","Reserve - evaluate only if primary sites unavailable"))</f>
        <v>Backup candidate - viable with monitoring</v>
      </c>
    </row>
    <row r="10" customFormat="false" ht="15" hidden="false" customHeight="true" outlineLevel="0" collapsed="false">
      <c r="A10" s="5" t="s">
        <v>45</v>
      </c>
      <c r="B10" s="5" t="n">
        <v>9</v>
      </c>
      <c r="C10" s="5" t="s">
        <v>1485</v>
      </c>
      <c r="D10" s="5" t="s">
        <v>1122</v>
      </c>
      <c r="E10" s="5" t="s">
        <v>925</v>
      </c>
      <c r="F10" s="5" t="n">
        <f aca="false">INDEX(Site_Evaluation!$K:$K,MATCH(C10,Site_Evaluation!$A:$A,0))</f>
        <v>63</v>
      </c>
      <c r="G10" s="5" t="n">
        <f aca="false">COUNTIFS(Risk_Register!B:B,C10,Risk_Register!G:G,"High")</f>
        <v>1</v>
      </c>
      <c r="H10" s="5" t="str">
        <f aca="false">IF(_xlfn.MAXIFS(Risk_Register!$L:$L,Risk_Register!$B:$B,C10)=3,"High",IF(_xlfn.MAXIFS(Risk_Register!$L:$L,Risk_Register!$B:$B,C10)=2,"Medium","Low"))</f>
        <v>High</v>
      </c>
      <c r="I10" s="5" t="str">
        <f aca="false">IF(B10&lt;=3,"Preferred site - strong composite profile",IF(B10&lt;=10,"Backup candidate - viable with monitoring","Reserve - evaluate only if primary sites unavailable"))</f>
        <v>Backup candidate - viable with monitoring</v>
      </c>
    </row>
    <row r="11" customFormat="false" ht="15" hidden="false" customHeight="true" outlineLevel="0" collapsed="false">
      <c r="A11" s="5" t="s">
        <v>45</v>
      </c>
      <c r="B11" s="5" t="n">
        <v>10</v>
      </c>
      <c r="C11" s="5" t="s">
        <v>1473</v>
      </c>
      <c r="D11" s="5" t="s">
        <v>1345</v>
      </c>
      <c r="E11" s="5" t="s">
        <v>931</v>
      </c>
      <c r="F11" s="5" t="n">
        <f aca="false">INDEX(Site_Evaluation!$K:$K,MATCH(C11,Site_Evaluation!$A:$A,0))</f>
        <v>62</v>
      </c>
      <c r="G11" s="5" t="n">
        <f aca="false">COUNTIFS(Risk_Register!B:B,C11,Risk_Register!G:G,"High")</f>
        <v>0</v>
      </c>
      <c r="H11" s="5" t="str">
        <f aca="false">IF(_xlfn.MAXIFS(Risk_Register!$L:$L,Risk_Register!$B:$B,C11)=3,"High",IF(_xlfn.MAXIFS(Risk_Register!$L:$L,Risk_Register!$B:$B,C11)=2,"Medium","Low"))</f>
        <v>Medium</v>
      </c>
      <c r="I11" s="5" t="str">
        <f aca="false">IF(B11&lt;=3,"Preferred site - strong composite profile",IF(B11&lt;=10,"Backup candidate - viable with monitoring","Reserve - evaluate only if primary sites unavailable"))</f>
        <v>Backup candidate - viable with monitoring</v>
      </c>
    </row>
    <row r="12" customFormat="false" ht="15" hidden="false" customHeight="true" outlineLevel="0" collapsed="false">
      <c r="A12" s="5" t="s">
        <v>45</v>
      </c>
      <c r="B12" s="5" t="n">
        <v>11</v>
      </c>
      <c r="C12" s="5" t="s">
        <v>1528</v>
      </c>
      <c r="D12" s="5" t="s">
        <v>1529</v>
      </c>
      <c r="E12" s="5" t="s">
        <v>950</v>
      </c>
      <c r="F12" s="5" t="n">
        <f aca="false">INDEX(Site_Evaluation!$K:$K,MATCH(C12,Site_Evaluation!$A:$A,0))</f>
        <v>61</v>
      </c>
      <c r="G12" s="5" t="n">
        <f aca="false">COUNTIFS(Risk_Register!B:B,C12,Risk_Register!G:G,"High")</f>
        <v>1</v>
      </c>
      <c r="H12" s="5" t="str">
        <f aca="false">IF(_xlfn.MAXIFS(Risk_Register!$L:$L,Risk_Register!$B:$B,C12)=3,"High",IF(_xlfn.MAXIFS(Risk_Register!$L:$L,Risk_Register!$B:$B,C12)=2,"Medium","Low"))</f>
        <v>High</v>
      </c>
      <c r="I12" s="5" t="str">
        <f aca="false">IF(B12&lt;=3,"Preferred site - strong composite profile",IF(B12&lt;=10,"Backup candidate - viable with monitoring","Reserve - evaluate only if primary sites unavailable"))</f>
        <v>Reserve - evaluate only if primary sites unavailable</v>
      </c>
    </row>
    <row r="13" customFormat="false" ht="15" hidden="false" customHeight="true" outlineLevel="0" collapsed="false">
      <c r="A13" s="5" t="s">
        <v>45</v>
      </c>
      <c r="B13" s="5" t="n">
        <v>12</v>
      </c>
      <c r="C13" s="5" t="s">
        <v>1145</v>
      </c>
      <c r="D13" s="5" t="s">
        <v>5949</v>
      </c>
      <c r="E13" s="5" t="s">
        <v>936</v>
      </c>
      <c r="F13" s="5" t="n">
        <f aca="false">INDEX(Site_Evaluation!$K:$K,MATCH(C13,Site_Evaluation!$A:$A,0))</f>
        <v>69</v>
      </c>
      <c r="G13" s="5" t="n">
        <f aca="false">COUNTIFS(Risk_Register!B:B,C13,Risk_Register!G:G,"High")</f>
        <v>2</v>
      </c>
      <c r="H13" s="5" t="str">
        <f aca="false">IF(_xlfn.MAXIFS(Risk_Register!$L:$L,Risk_Register!$B:$B,C13)=3,"High",IF(_xlfn.MAXIFS(Risk_Register!$L:$L,Risk_Register!$B:$B,C13)=2,"Medium","Low"))</f>
        <v>High</v>
      </c>
      <c r="I13" s="5" t="str">
        <f aca="false">IF(B13&lt;=3,"Preferred site - strong composite profile",IF(B13&lt;=10,"Backup candidate - viable with monitoring","Reserve - evaluate only if primary sites unavailable"))</f>
        <v>Reserve - evaluate only if primary sites unavailable</v>
      </c>
    </row>
    <row r="14" customFormat="false" ht="15" hidden="false" customHeight="true" outlineLevel="0" collapsed="false">
      <c r="A14" s="5" t="s">
        <v>45</v>
      </c>
      <c r="B14" s="5" t="n">
        <v>13</v>
      </c>
      <c r="C14" s="5" t="s">
        <v>1448</v>
      </c>
      <c r="D14" s="5" t="s">
        <v>1449</v>
      </c>
      <c r="E14" s="5" t="s">
        <v>940</v>
      </c>
      <c r="F14" s="5" t="n">
        <f aca="false">INDEX(Site_Evaluation!$K:$K,MATCH(C14,Site_Evaluation!$A:$A,0))</f>
        <v>61</v>
      </c>
      <c r="G14" s="5" t="n">
        <f aca="false">COUNTIFS(Risk_Register!B:B,C14,Risk_Register!G:G,"High")</f>
        <v>1</v>
      </c>
      <c r="H14" s="5" t="str">
        <f aca="false">IF(_xlfn.MAXIFS(Risk_Register!$L:$L,Risk_Register!$B:$B,C14)=3,"High",IF(_xlfn.MAXIFS(Risk_Register!$L:$L,Risk_Register!$B:$B,C14)=2,"Medium","Low"))</f>
        <v>High</v>
      </c>
      <c r="I14" s="5" t="str">
        <f aca="false">IF(B14&lt;=3,"Preferred site - strong composite profile",IF(B14&lt;=10,"Backup candidate - viable with monitoring","Reserve - evaluate only if primary sites unavailable"))</f>
        <v>Reserve - evaluate only if primary sites unavailable</v>
      </c>
    </row>
    <row r="15" customFormat="false" ht="15" hidden="false" customHeight="true" outlineLevel="0" collapsed="false">
      <c r="A15" s="5" t="s">
        <v>45</v>
      </c>
      <c r="B15" s="5" t="n">
        <v>14</v>
      </c>
      <c r="C15" s="5" t="s">
        <v>1522</v>
      </c>
      <c r="D15" s="5" t="s">
        <v>1523</v>
      </c>
      <c r="E15" s="5" t="s">
        <v>956</v>
      </c>
      <c r="F15" s="5" t="n">
        <f aca="false">INDEX(Site_Evaluation!$K:$K,MATCH(C15,Site_Evaluation!$A:$A,0))</f>
        <v>61</v>
      </c>
      <c r="G15" s="5" t="n">
        <f aca="false">COUNTIFS(Risk_Register!B:B,C15,Risk_Register!G:G,"High")</f>
        <v>1</v>
      </c>
      <c r="H15" s="5" t="str">
        <f aca="false">IF(_xlfn.MAXIFS(Risk_Register!$L:$L,Risk_Register!$B:$B,C15)=3,"High",IF(_xlfn.MAXIFS(Risk_Register!$L:$L,Risk_Register!$B:$B,C15)=2,"Medium","Low"))</f>
        <v>High</v>
      </c>
      <c r="I15" s="5" t="str">
        <f aca="false">IF(B15&lt;=3,"Preferred site - strong composite profile",IF(B15&lt;=10,"Backup candidate - viable with monitoring","Reserve - evaluate only if primary sites unavailable"))</f>
        <v>Reserve - evaluate only if primary sites unavailable</v>
      </c>
    </row>
    <row r="16" customFormat="false" ht="15" hidden="false" customHeight="true" outlineLevel="0" collapsed="false">
      <c r="A16" s="5" t="s">
        <v>45</v>
      </c>
      <c r="B16" s="5" t="n">
        <v>15</v>
      </c>
      <c r="C16" s="5" t="s">
        <v>1532</v>
      </c>
      <c r="D16" s="5" t="s">
        <v>1533</v>
      </c>
      <c r="E16" s="5" t="s">
        <v>927</v>
      </c>
      <c r="F16" s="5" t="n">
        <f aca="false">INDEX(Site_Evaluation!$K:$K,MATCH(C16,Site_Evaluation!$A:$A,0))</f>
        <v>61</v>
      </c>
      <c r="G16" s="5" t="n">
        <f aca="false">COUNTIFS(Risk_Register!B:B,C16,Risk_Register!G:G,"High")</f>
        <v>1</v>
      </c>
      <c r="H16" s="5" t="str">
        <f aca="false">IF(_xlfn.MAXIFS(Risk_Register!$L:$L,Risk_Register!$B:$B,C16)=3,"High",IF(_xlfn.MAXIFS(Risk_Register!$L:$L,Risk_Register!$B:$B,C16)=2,"Medium","Low"))</f>
        <v>High</v>
      </c>
      <c r="I16" s="5" t="str">
        <f aca="false">IF(B16&lt;=3,"Preferred site - strong composite profile",IF(B16&lt;=10,"Backup candidate - viable with monitoring","Reserve - evaluate only if primary sites unavailable"))</f>
        <v>Reserve - evaluate only if primary sites unavailable</v>
      </c>
    </row>
    <row r="17" customFormat="false" ht="15" hidden="false" customHeight="true" outlineLevel="0" collapsed="false">
      <c r="A17" s="5" t="s">
        <v>45</v>
      </c>
      <c r="B17" s="5" t="n">
        <v>16</v>
      </c>
      <c r="C17" s="5" t="s">
        <v>1316</v>
      </c>
      <c r="D17" s="5" t="s">
        <v>1521</v>
      </c>
      <c r="E17" s="5" t="s">
        <v>921</v>
      </c>
      <c r="F17" s="5" t="n">
        <f aca="false">INDEX(Site_Evaluation!$K:$K,MATCH(C17,Site_Evaluation!$A:$A,0))</f>
        <v>72</v>
      </c>
      <c r="G17" s="5" t="n">
        <f aca="false">COUNTIFS(Risk_Register!B:B,C17,Risk_Register!G:G,"High")</f>
        <v>3</v>
      </c>
      <c r="H17" s="5" t="str">
        <f aca="false">IF(_xlfn.MAXIFS(Risk_Register!$L:$L,Risk_Register!$B:$B,C17)=3,"High",IF(_xlfn.MAXIFS(Risk_Register!$L:$L,Risk_Register!$B:$B,C17)=2,"Medium","Low"))</f>
        <v>High</v>
      </c>
      <c r="I17" s="5" t="str">
        <f aca="false">IF(B17&lt;=3,"Preferred site - strong composite profile",IF(B17&lt;=10,"Backup candidate - viable with monitoring","Reserve - evaluate only if primary sites unavailable"))</f>
        <v>Reserve - evaluate only if primary sites unavailable</v>
      </c>
    </row>
    <row r="18" customFormat="false" ht="15" hidden="false" customHeight="true" outlineLevel="0" collapsed="false">
      <c r="A18" s="5" t="s">
        <v>45</v>
      </c>
      <c r="B18" s="5" t="n">
        <v>17</v>
      </c>
      <c r="C18" s="5" t="s">
        <v>1236</v>
      </c>
      <c r="D18" s="5" t="s">
        <v>5950</v>
      </c>
      <c r="E18" s="5" t="s">
        <v>950</v>
      </c>
      <c r="F18" s="5" t="n">
        <f aca="false">INDEX(Site_Evaluation!$K:$K,MATCH(C18,Site_Evaluation!$A:$A,0))</f>
        <v>58</v>
      </c>
      <c r="G18" s="5" t="n">
        <f aca="false">COUNTIFS(Risk_Register!B:B,C18,Risk_Register!G:G,"High")</f>
        <v>3</v>
      </c>
      <c r="H18" s="5" t="str">
        <f aca="false">IF(_xlfn.MAXIFS(Risk_Register!$L:$L,Risk_Register!$B:$B,C18)=3,"High",IF(_xlfn.MAXIFS(Risk_Register!$L:$L,Risk_Register!$B:$B,C18)=2,"Medium","Low"))</f>
        <v>High</v>
      </c>
      <c r="I18" s="5" t="str">
        <f aca="false">IF(B18&lt;=3,"Preferred site - strong composite profile",IF(B18&lt;=10,"Backup candidate - viable with monitoring","Reserve - evaluate only if primary sites unavailable"))</f>
        <v>Reserve - evaluate only if primary sites unavailable</v>
      </c>
    </row>
    <row r="19" customFormat="false" ht="15" hidden="false" customHeight="true" outlineLevel="0" collapsed="false">
      <c r="A19" s="5" t="s">
        <v>45</v>
      </c>
      <c r="B19" s="5" t="n">
        <v>18</v>
      </c>
      <c r="C19" s="5" t="s">
        <v>1294</v>
      </c>
      <c r="D19" s="5" t="s">
        <v>5951</v>
      </c>
      <c r="E19" s="5" t="s">
        <v>948</v>
      </c>
      <c r="F19" s="5" t="n">
        <f aca="false">INDEX(Site_Evaluation!$K:$K,MATCH(C19,Site_Evaluation!$A:$A,0))</f>
        <v>52</v>
      </c>
      <c r="G19" s="5" t="n">
        <f aca="false">COUNTIFS(Risk_Register!B:B,C19,Risk_Register!G:G,"High")</f>
        <v>1</v>
      </c>
      <c r="H19" s="5" t="str">
        <f aca="false">IF(_xlfn.MAXIFS(Risk_Register!$L:$L,Risk_Register!$B:$B,C19)=3,"High",IF(_xlfn.MAXIFS(Risk_Register!$L:$L,Risk_Register!$B:$B,C19)=2,"Medium","Low"))</f>
        <v>High</v>
      </c>
      <c r="I19" s="5" t="str">
        <f aca="false">IF(B19&lt;=3,"Preferred site - strong composite profile",IF(B19&lt;=10,"Backup candidate - viable with monitoring","Reserve - evaluate only if primary sites unavailable"))</f>
        <v>Reserve - evaluate only if primary sites unavailable</v>
      </c>
    </row>
    <row r="20" customFormat="false" ht="15" hidden="false" customHeight="true" outlineLevel="0" collapsed="false">
      <c r="A20" s="5" t="s">
        <v>45</v>
      </c>
      <c r="B20" s="5" t="n">
        <v>19</v>
      </c>
      <c r="C20" s="5" t="s">
        <v>1141</v>
      </c>
      <c r="D20" s="5" t="s">
        <v>1523</v>
      </c>
      <c r="E20" s="5" t="s">
        <v>956</v>
      </c>
      <c r="F20" s="5" t="n">
        <f aca="false">INDEX(Site_Evaluation!$K:$K,MATCH(C20,Site_Evaluation!$A:$A,0))</f>
        <v>60</v>
      </c>
      <c r="G20" s="5" t="n">
        <f aca="false">COUNTIFS(Risk_Register!B:B,C20,Risk_Register!G:G,"High")</f>
        <v>0</v>
      </c>
      <c r="H20" s="5" t="str">
        <f aca="false">IF(_xlfn.MAXIFS(Risk_Register!$L:$L,Risk_Register!$B:$B,C20)=3,"High",IF(_xlfn.MAXIFS(Risk_Register!$L:$L,Risk_Register!$B:$B,C20)=2,"Medium","Low"))</f>
        <v>Medium</v>
      </c>
      <c r="I20" s="5" t="str">
        <f aca="false">IF(B20&lt;=3,"Preferred site - strong composite profile",IF(B20&lt;=10,"Backup candidate - viable with monitoring","Reserve - evaluate only if primary sites unavailable"))</f>
        <v>Reserve - evaluate only if primary sites unavailable</v>
      </c>
    </row>
    <row r="21" customFormat="false" ht="15" hidden="false" customHeight="true" outlineLevel="0" collapsed="false">
      <c r="A21" s="5" t="s">
        <v>45</v>
      </c>
      <c r="B21" s="5" t="n">
        <v>20</v>
      </c>
      <c r="C21" s="5" t="s">
        <v>1088</v>
      </c>
      <c r="D21" s="5" t="s">
        <v>1436</v>
      </c>
      <c r="E21" s="5" t="s">
        <v>952</v>
      </c>
      <c r="F21" s="5" t="n">
        <f aca="false">INDEX(Site_Evaluation!$K:$K,MATCH(C21,Site_Evaluation!$A:$A,0))</f>
        <v>69</v>
      </c>
      <c r="G21" s="5" t="n">
        <f aca="false">COUNTIFS(Risk_Register!B:B,C21,Risk_Register!G:G,"High")</f>
        <v>0</v>
      </c>
      <c r="H21" s="5" t="str">
        <f aca="false">IF(_xlfn.MAXIFS(Risk_Register!$L:$L,Risk_Register!$B:$B,C21)=3,"High",IF(_xlfn.MAXIFS(Risk_Register!$L:$L,Risk_Register!$B:$B,C21)=2,"Medium","Low"))</f>
        <v>Medium</v>
      </c>
      <c r="I21" s="5" t="str">
        <f aca="false">IF(B21&lt;=3,"Preferred site - strong composite profile",IF(B21&lt;=10,"Backup candidate - viable with monitoring","Reserve - evaluate only if primary sites unavailable"))</f>
        <v>Reserve - evaluate only if primary sites unavailable</v>
      </c>
    </row>
    <row r="22" customFormat="false" ht="15" hidden="false" customHeight="true" outlineLevel="0" collapsed="false">
      <c r="A22" s="5" t="s">
        <v>51</v>
      </c>
      <c r="B22" s="5" t="n">
        <v>1</v>
      </c>
      <c r="C22" s="5" t="s">
        <v>1181</v>
      </c>
      <c r="D22" s="5" t="s">
        <v>5952</v>
      </c>
      <c r="E22" s="5" t="s">
        <v>956</v>
      </c>
      <c r="F22" s="5" t="n">
        <f aca="false">INDEX(Site_Evaluation!$K:$K,MATCH(C22,Site_Evaluation!$A:$A,0))</f>
        <v>61</v>
      </c>
      <c r="G22" s="5" t="n">
        <f aca="false">COUNTIFS(Risk_Register!B:B,C22,Risk_Register!G:G,"High")</f>
        <v>2</v>
      </c>
      <c r="H22" s="5" t="str">
        <f aca="false">IF(_xlfn.MAXIFS(Risk_Register!$L:$L,Risk_Register!$B:$B,C22)=3,"High",IF(_xlfn.MAXIFS(Risk_Register!$L:$L,Risk_Register!$B:$B,C22)=2,"Medium","Low"))</f>
        <v>High</v>
      </c>
      <c r="I22" s="5" t="str">
        <f aca="false">IF(B22&lt;=3,"Preferred site - strong composite profile",IF(B22&lt;=10,"Backup candidate - viable with monitoring","Reserve - evaluate only if primary sites unavailable"))</f>
        <v>Preferred site - strong composite profile</v>
      </c>
    </row>
    <row r="23" customFormat="false" ht="15" hidden="false" customHeight="true" outlineLevel="0" collapsed="false">
      <c r="A23" s="5" t="s">
        <v>51</v>
      </c>
      <c r="B23" s="5" t="n">
        <v>2</v>
      </c>
      <c r="C23" s="5" t="s">
        <v>1250</v>
      </c>
      <c r="D23" s="5" t="s">
        <v>5953</v>
      </c>
      <c r="E23" s="5" t="s">
        <v>962</v>
      </c>
      <c r="F23" s="5" t="n">
        <f aca="false">INDEX(Site_Evaluation!$K:$K,MATCH(C23,Site_Evaluation!$A:$A,0))</f>
        <v>50</v>
      </c>
      <c r="G23" s="5" t="n">
        <f aca="false">COUNTIFS(Risk_Register!B:B,C23,Risk_Register!G:G,"High")</f>
        <v>1</v>
      </c>
      <c r="H23" s="5" t="str">
        <f aca="false">IF(_xlfn.MAXIFS(Risk_Register!$L:$L,Risk_Register!$B:$B,C23)=3,"High",IF(_xlfn.MAXIFS(Risk_Register!$L:$L,Risk_Register!$B:$B,C23)=2,"Medium","Low"))</f>
        <v>High</v>
      </c>
      <c r="I23" s="5" t="str">
        <f aca="false">IF(B23&lt;=3,"Preferred site - strong composite profile",IF(B23&lt;=10,"Backup candidate - viable with monitoring","Reserve - evaluate only if primary sites unavailable"))</f>
        <v>Preferred site - strong composite profile</v>
      </c>
    </row>
    <row r="24" customFormat="false" ht="15" hidden="false" customHeight="true" outlineLevel="0" collapsed="false">
      <c r="A24" s="5" t="s">
        <v>51</v>
      </c>
      <c r="B24" s="5" t="n">
        <v>3</v>
      </c>
      <c r="C24" s="5" t="s">
        <v>1330</v>
      </c>
      <c r="D24" s="5" t="s">
        <v>5954</v>
      </c>
      <c r="E24" s="5" t="s">
        <v>940</v>
      </c>
      <c r="F24" s="5" t="n">
        <f aca="false">INDEX(Site_Evaluation!$K:$K,MATCH(C24,Site_Evaluation!$A:$A,0))</f>
        <v>71</v>
      </c>
      <c r="G24" s="5" t="n">
        <f aca="false">COUNTIFS(Risk_Register!B:B,C24,Risk_Register!G:G,"High")</f>
        <v>0</v>
      </c>
      <c r="H24" s="5" t="str">
        <f aca="false">IF(_xlfn.MAXIFS(Risk_Register!$L:$L,Risk_Register!$B:$B,C24)=3,"High",IF(_xlfn.MAXIFS(Risk_Register!$L:$L,Risk_Register!$B:$B,C24)=2,"Medium","Low"))</f>
        <v>Medium</v>
      </c>
      <c r="I24" s="5" t="str">
        <f aca="false">IF(B24&lt;=3,"Preferred site - strong composite profile",IF(B24&lt;=10,"Backup candidate - viable with monitoring","Reserve - evaluate only if primary sites unavailable"))</f>
        <v>Preferred site - strong composite profile</v>
      </c>
    </row>
    <row r="25" customFormat="false" ht="15" hidden="false" customHeight="true" outlineLevel="0" collapsed="false">
      <c r="A25" s="5" t="s">
        <v>51</v>
      </c>
      <c r="B25" s="5" t="n">
        <v>4</v>
      </c>
      <c r="C25" s="5" t="s">
        <v>1424</v>
      </c>
      <c r="D25" s="5" t="s">
        <v>1425</v>
      </c>
      <c r="E25" s="5" t="s">
        <v>944</v>
      </c>
      <c r="F25" s="5" t="n">
        <f aca="false">INDEX(Site_Evaluation!$K:$K,MATCH(C25,Site_Evaluation!$A:$A,0))</f>
        <v>67</v>
      </c>
      <c r="G25" s="5" t="n">
        <f aca="false">COUNTIFS(Risk_Register!B:B,C25,Risk_Register!G:G,"High")</f>
        <v>2</v>
      </c>
      <c r="H25" s="5" t="str">
        <f aca="false">IF(_xlfn.MAXIFS(Risk_Register!$L:$L,Risk_Register!$B:$B,C25)=3,"High",IF(_xlfn.MAXIFS(Risk_Register!$L:$L,Risk_Register!$B:$B,C25)=2,"Medium","Low"))</f>
        <v>High</v>
      </c>
      <c r="I25" s="5" t="str">
        <f aca="false">IF(B25&lt;=3,"Preferred site - strong composite profile",IF(B25&lt;=10,"Backup candidate - viable with monitoring","Reserve - evaluate only if primary sites unavailable"))</f>
        <v>Backup candidate - viable with monitoring</v>
      </c>
    </row>
    <row r="26" customFormat="false" ht="15" hidden="false" customHeight="true" outlineLevel="0" collapsed="false">
      <c r="A26" s="5" t="s">
        <v>51</v>
      </c>
      <c r="B26" s="5" t="n">
        <v>5</v>
      </c>
      <c r="C26" s="5" t="s">
        <v>1292</v>
      </c>
      <c r="D26" s="5" t="s">
        <v>5955</v>
      </c>
      <c r="E26" s="5" t="s">
        <v>935</v>
      </c>
      <c r="F26" s="5" t="n">
        <f aca="false">INDEX(Site_Evaluation!$K:$K,MATCH(C26,Site_Evaluation!$A:$A,0))</f>
        <v>57</v>
      </c>
      <c r="G26" s="5" t="n">
        <f aca="false">COUNTIFS(Risk_Register!B:B,C26,Risk_Register!G:G,"High")</f>
        <v>1</v>
      </c>
      <c r="H26" s="5" t="str">
        <f aca="false">IF(_xlfn.MAXIFS(Risk_Register!$L:$L,Risk_Register!$B:$B,C26)=3,"High",IF(_xlfn.MAXIFS(Risk_Register!$L:$L,Risk_Register!$B:$B,C26)=2,"Medium","Low"))</f>
        <v>High</v>
      </c>
      <c r="I26" s="5" t="str">
        <f aca="false">IF(B26&lt;=3,"Preferred site - strong composite profile",IF(B26&lt;=10,"Backup candidate - viable with monitoring","Reserve - evaluate only if primary sites unavailable"))</f>
        <v>Backup candidate - viable with monitoring</v>
      </c>
    </row>
    <row r="27" customFormat="false" ht="15" hidden="false" customHeight="true" outlineLevel="0" collapsed="false">
      <c r="A27" s="5" t="s">
        <v>51</v>
      </c>
      <c r="B27" s="5" t="n">
        <v>6</v>
      </c>
      <c r="C27" s="5" t="s">
        <v>1353</v>
      </c>
      <c r="D27" s="5" t="s">
        <v>5956</v>
      </c>
      <c r="E27" s="5" t="s">
        <v>948</v>
      </c>
      <c r="F27" s="5" t="n">
        <f aca="false">INDEX(Site_Evaluation!$K:$K,MATCH(C27,Site_Evaluation!$A:$A,0))</f>
        <v>60</v>
      </c>
      <c r="G27" s="5" t="n">
        <f aca="false">COUNTIFS(Risk_Register!B:B,C27,Risk_Register!G:G,"High")</f>
        <v>0</v>
      </c>
      <c r="H27" s="5" t="str">
        <f aca="false">IF(_xlfn.MAXIFS(Risk_Register!$L:$L,Risk_Register!$B:$B,C27)=3,"High",IF(_xlfn.MAXIFS(Risk_Register!$L:$L,Risk_Register!$B:$B,C27)=2,"Medium","Low"))</f>
        <v>Medium</v>
      </c>
      <c r="I27" s="5" t="str">
        <f aca="false">IF(B27&lt;=3,"Preferred site - strong composite profile",IF(B27&lt;=10,"Backup candidate - viable with monitoring","Reserve - evaluate only if primary sites unavailable"))</f>
        <v>Backup candidate - viable with monitoring</v>
      </c>
    </row>
    <row r="28" customFormat="false" ht="15" hidden="false" customHeight="true" outlineLevel="0" collapsed="false">
      <c r="A28" s="5" t="s">
        <v>51</v>
      </c>
      <c r="B28" s="5" t="n">
        <v>7</v>
      </c>
      <c r="C28" s="5" t="s">
        <v>1344</v>
      </c>
      <c r="D28" s="5" t="s">
        <v>5956</v>
      </c>
      <c r="E28" s="5" t="s">
        <v>948</v>
      </c>
      <c r="F28" s="5" t="n">
        <f aca="false">INDEX(Site_Evaluation!$K:$K,MATCH(C28,Site_Evaluation!$A:$A,0))</f>
        <v>39</v>
      </c>
      <c r="G28" s="5" t="n">
        <f aca="false">COUNTIFS(Risk_Register!B:B,C28,Risk_Register!G:G,"High")</f>
        <v>1</v>
      </c>
      <c r="H28" s="5" t="str">
        <f aca="false">IF(_xlfn.MAXIFS(Risk_Register!$L:$L,Risk_Register!$B:$B,C28)=3,"High",IF(_xlfn.MAXIFS(Risk_Register!$L:$L,Risk_Register!$B:$B,C28)=2,"Medium","Low"))</f>
        <v>High</v>
      </c>
      <c r="I28" s="5" t="str">
        <f aca="false">IF(B28&lt;=3,"Preferred site - strong composite profile",IF(B28&lt;=10,"Backup candidate - viable with monitoring","Reserve - evaluate only if primary sites unavailable"))</f>
        <v>Backup candidate - viable with monitoring</v>
      </c>
    </row>
    <row r="29" customFormat="false" ht="15" hidden="false" customHeight="true" outlineLevel="0" collapsed="false">
      <c r="A29" s="5" t="s">
        <v>51</v>
      </c>
      <c r="B29" s="5" t="n">
        <v>8</v>
      </c>
      <c r="C29" s="5" t="s">
        <v>1049</v>
      </c>
      <c r="D29" s="5" t="s">
        <v>1104</v>
      </c>
      <c r="E29" s="5" t="s">
        <v>927</v>
      </c>
      <c r="F29" s="5" t="n">
        <f aca="false">INDEX(Site_Evaluation!$K:$K,MATCH(C29,Site_Evaluation!$A:$A,0))</f>
        <v>51</v>
      </c>
      <c r="G29" s="5" t="n">
        <f aca="false">COUNTIFS(Risk_Register!B:B,C29,Risk_Register!G:G,"High")</f>
        <v>1</v>
      </c>
      <c r="H29" s="5" t="str">
        <f aca="false">IF(_xlfn.MAXIFS(Risk_Register!$L:$L,Risk_Register!$B:$B,C29)=3,"High",IF(_xlfn.MAXIFS(Risk_Register!$L:$L,Risk_Register!$B:$B,C29)=2,"Medium","Low"))</f>
        <v>High</v>
      </c>
      <c r="I29" s="5" t="str">
        <f aca="false">IF(B29&lt;=3,"Preferred site - strong composite profile",IF(B29&lt;=10,"Backup candidate - viable with monitoring","Reserve - evaluate only if primary sites unavailable"))</f>
        <v>Backup candidate - viable with monitoring</v>
      </c>
    </row>
    <row r="30" customFormat="false" ht="15" hidden="false" customHeight="true" outlineLevel="0" collapsed="false">
      <c r="A30" s="5" t="s">
        <v>51</v>
      </c>
      <c r="B30" s="5" t="n">
        <v>9</v>
      </c>
      <c r="C30" s="5" t="s">
        <v>1565</v>
      </c>
      <c r="D30" s="5" t="s">
        <v>1566</v>
      </c>
      <c r="E30" s="5" t="s">
        <v>954</v>
      </c>
      <c r="F30" s="5" t="n">
        <f aca="false">INDEX(Site_Evaluation!$K:$K,MATCH(C30,Site_Evaluation!$A:$A,0))</f>
        <v>62</v>
      </c>
      <c r="G30" s="5" t="n">
        <f aca="false">COUNTIFS(Risk_Register!B:B,C30,Risk_Register!G:G,"High")</f>
        <v>2</v>
      </c>
      <c r="H30" s="5" t="str">
        <f aca="false">IF(_xlfn.MAXIFS(Risk_Register!$L:$L,Risk_Register!$B:$B,C30)=3,"High",IF(_xlfn.MAXIFS(Risk_Register!$L:$L,Risk_Register!$B:$B,C30)=2,"Medium","Low"))</f>
        <v>High</v>
      </c>
      <c r="I30" s="5" t="str">
        <f aca="false">IF(B30&lt;=3,"Preferred site - strong composite profile",IF(B30&lt;=10,"Backup candidate - viable with monitoring","Reserve - evaluate only if primary sites unavailable"))</f>
        <v>Backup candidate - viable with monitoring</v>
      </c>
    </row>
    <row r="31" customFormat="false" ht="15" hidden="false" customHeight="true" outlineLevel="0" collapsed="false">
      <c r="A31" s="5" t="s">
        <v>51</v>
      </c>
      <c r="B31" s="5" t="n">
        <v>10</v>
      </c>
      <c r="C31" s="5" t="s">
        <v>1322</v>
      </c>
      <c r="D31" s="5" t="s">
        <v>5957</v>
      </c>
      <c r="E31" s="5" t="s">
        <v>944</v>
      </c>
      <c r="F31" s="5" t="n">
        <f aca="false">INDEX(Site_Evaluation!$K:$K,MATCH(C31,Site_Evaluation!$A:$A,0))</f>
        <v>45</v>
      </c>
      <c r="G31" s="5" t="n">
        <f aca="false">COUNTIFS(Risk_Register!B:B,C31,Risk_Register!G:G,"High")</f>
        <v>1</v>
      </c>
      <c r="H31" s="5" t="str">
        <f aca="false">IF(_xlfn.MAXIFS(Risk_Register!$L:$L,Risk_Register!$B:$B,C31)=3,"High",IF(_xlfn.MAXIFS(Risk_Register!$L:$L,Risk_Register!$B:$B,C31)=2,"Medium","Low"))</f>
        <v>High</v>
      </c>
      <c r="I31" s="5" t="str">
        <f aca="false">IF(B31&lt;=3,"Preferred site - strong composite profile",IF(B31&lt;=10,"Backup candidate - viable with monitoring","Reserve - evaluate only if primary sites unavailable"))</f>
        <v>Backup candidate - viable with monitoring</v>
      </c>
    </row>
    <row r="32" customFormat="false" ht="15" hidden="false" customHeight="true" outlineLevel="0" collapsed="false">
      <c r="A32" s="5" t="s">
        <v>51</v>
      </c>
      <c r="B32" s="5" t="n">
        <v>11</v>
      </c>
      <c r="C32" s="5" t="s">
        <v>1429</v>
      </c>
      <c r="D32" s="5" t="s">
        <v>1017</v>
      </c>
      <c r="E32" s="5" t="s">
        <v>931</v>
      </c>
      <c r="F32" s="5" t="n">
        <f aca="false">INDEX(Site_Evaluation!$K:$K,MATCH(C32,Site_Evaluation!$A:$A,0))</f>
        <v>60</v>
      </c>
      <c r="G32" s="5" t="n">
        <f aca="false">COUNTIFS(Risk_Register!B:B,C32,Risk_Register!G:G,"High")</f>
        <v>0</v>
      </c>
      <c r="H32" s="5" t="str">
        <f aca="false">IF(_xlfn.MAXIFS(Risk_Register!$L:$L,Risk_Register!$B:$B,C32)=3,"High",IF(_xlfn.MAXIFS(Risk_Register!$L:$L,Risk_Register!$B:$B,C32)=2,"Medium","Low"))</f>
        <v>Medium</v>
      </c>
      <c r="I32" s="5" t="str">
        <f aca="false">IF(B32&lt;=3,"Preferred site - strong composite profile",IF(B32&lt;=10,"Backup candidate - viable with monitoring","Reserve - evaluate only if primary sites unavailable"))</f>
        <v>Reserve - evaluate only if primary sites unavailable</v>
      </c>
    </row>
    <row r="33" customFormat="false" ht="15" hidden="false" customHeight="true" outlineLevel="0" collapsed="false">
      <c r="A33" s="5" t="s">
        <v>51</v>
      </c>
      <c r="B33" s="5" t="n">
        <v>12</v>
      </c>
      <c r="C33" s="5" t="s">
        <v>1432</v>
      </c>
      <c r="D33" s="5" t="s">
        <v>1433</v>
      </c>
      <c r="E33" s="5" t="s">
        <v>950</v>
      </c>
      <c r="F33" s="5" t="n">
        <f aca="false">INDEX(Site_Evaluation!$K:$K,MATCH(C33,Site_Evaluation!$A:$A,0))</f>
        <v>60</v>
      </c>
      <c r="G33" s="5" t="n">
        <f aca="false">COUNTIFS(Risk_Register!B:B,C33,Risk_Register!G:G,"High")</f>
        <v>2</v>
      </c>
      <c r="H33" s="5" t="str">
        <f aca="false">IF(_xlfn.MAXIFS(Risk_Register!$L:$L,Risk_Register!$B:$B,C33)=3,"High",IF(_xlfn.MAXIFS(Risk_Register!$L:$L,Risk_Register!$B:$B,C33)=2,"Medium","Low"))</f>
        <v>High</v>
      </c>
      <c r="I33" s="5" t="str">
        <f aca="false">IF(B33&lt;=3,"Preferred site - strong composite profile",IF(B33&lt;=10,"Backup candidate - viable with monitoring","Reserve - evaluate only if primary sites unavailable"))</f>
        <v>Reserve - evaluate only if primary sites unavailable</v>
      </c>
    </row>
    <row r="34" customFormat="false" ht="15" hidden="false" customHeight="true" outlineLevel="0" collapsed="false">
      <c r="A34" s="5" t="s">
        <v>51</v>
      </c>
      <c r="B34" s="5" t="n">
        <v>13</v>
      </c>
      <c r="C34" s="5" t="s">
        <v>1438</v>
      </c>
      <c r="D34" s="5" t="s">
        <v>1439</v>
      </c>
      <c r="E34" s="5" t="s">
        <v>950</v>
      </c>
      <c r="F34" s="5" t="n">
        <f aca="false">INDEX(Site_Evaluation!$K:$K,MATCH(C34,Site_Evaluation!$A:$A,0))</f>
        <v>60</v>
      </c>
      <c r="G34" s="5" t="n">
        <f aca="false">COUNTIFS(Risk_Register!B:B,C34,Risk_Register!G:G,"High")</f>
        <v>0</v>
      </c>
      <c r="H34" s="5" t="str">
        <f aca="false">IF(_xlfn.MAXIFS(Risk_Register!$L:$L,Risk_Register!$B:$B,C34)=3,"High",IF(_xlfn.MAXIFS(Risk_Register!$L:$L,Risk_Register!$B:$B,C34)=2,"Medium","Low"))</f>
        <v>Medium</v>
      </c>
      <c r="I34" s="5" t="str">
        <f aca="false">IF(B34&lt;=3,"Preferred site - strong composite profile",IF(B34&lt;=10,"Backup candidate - viable with monitoring","Reserve - evaluate only if primary sites unavailable"))</f>
        <v>Reserve - evaluate only if primary sites unavailable</v>
      </c>
    </row>
    <row r="35" customFormat="false" ht="15" hidden="false" customHeight="true" outlineLevel="0" collapsed="false">
      <c r="A35" s="5" t="s">
        <v>51</v>
      </c>
      <c r="B35" s="5" t="n">
        <v>14</v>
      </c>
      <c r="C35" s="5" t="s">
        <v>1175</v>
      </c>
      <c r="D35" s="5" t="s">
        <v>1170</v>
      </c>
      <c r="E35" s="5" t="s">
        <v>925</v>
      </c>
      <c r="F35" s="5" t="n">
        <f aca="false">INDEX(Site_Evaluation!$K:$K,MATCH(C35,Site_Evaluation!$A:$A,0))</f>
        <v>39</v>
      </c>
      <c r="G35" s="5" t="n">
        <f aca="false">COUNTIFS(Risk_Register!B:B,C35,Risk_Register!G:G,"High")</f>
        <v>0</v>
      </c>
      <c r="H35" s="5" t="str">
        <f aca="false">IF(_xlfn.MAXIFS(Risk_Register!$L:$L,Risk_Register!$B:$B,C35)=3,"High",IF(_xlfn.MAXIFS(Risk_Register!$L:$L,Risk_Register!$B:$B,C35)=2,"Medium","Low"))</f>
        <v>Medium</v>
      </c>
      <c r="I35" s="5" t="str">
        <f aca="false">IF(B35&lt;=3,"Preferred site - strong composite profile",IF(B35&lt;=10,"Backup candidate - viable with monitoring","Reserve - evaluate only if primary sites unavailable"))</f>
        <v>Reserve - evaluate only if primary sites unavailable</v>
      </c>
    </row>
    <row r="36" customFormat="false" ht="15" hidden="false" customHeight="true" outlineLevel="0" collapsed="false">
      <c r="A36" s="5" t="s">
        <v>51</v>
      </c>
      <c r="B36" s="5" t="n">
        <v>15</v>
      </c>
      <c r="C36" s="5" t="s">
        <v>1018</v>
      </c>
      <c r="D36" s="5" t="s">
        <v>2179</v>
      </c>
      <c r="E36" s="5" t="s">
        <v>942</v>
      </c>
      <c r="F36" s="5" t="n">
        <f aca="false">INDEX(Site_Evaluation!$K:$K,MATCH(C36,Site_Evaluation!$A:$A,0))</f>
        <v>41</v>
      </c>
      <c r="G36" s="5" t="n">
        <f aca="false">COUNTIFS(Risk_Register!B:B,C36,Risk_Register!G:G,"High")</f>
        <v>0</v>
      </c>
      <c r="H36" s="5" t="str">
        <f aca="false">IF(_xlfn.MAXIFS(Risk_Register!$L:$L,Risk_Register!$B:$B,C36)=3,"High",IF(_xlfn.MAXIFS(Risk_Register!$L:$L,Risk_Register!$B:$B,C36)=2,"Medium","Low"))</f>
        <v>Medium</v>
      </c>
      <c r="I36" s="5" t="str">
        <f aca="false">IF(B36&lt;=3,"Preferred site - strong composite profile",IF(B36&lt;=10,"Backup candidate - viable with monitoring","Reserve - evaluate only if primary sites unavailable"))</f>
        <v>Reserve - evaluate only if primary sites unavailable</v>
      </c>
    </row>
    <row r="37" customFormat="false" ht="15" hidden="false" customHeight="true" outlineLevel="0" collapsed="false">
      <c r="A37" s="5" t="s">
        <v>51</v>
      </c>
      <c r="B37" s="5" t="n">
        <v>16</v>
      </c>
      <c r="C37" s="5" t="s">
        <v>1464</v>
      </c>
      <c r="D37" s="5" t="s">
        <v>1465</v>
      </c>
      <c r="E37" s="5" t="s">
        <v>940</v>
      </c>
      <c r="F37" s="5" t="n">
        <f aca="false">INDEX(Site_Evaluation!$K:$K,MATCH(C37,Site_Evaluation!$A:$A,0))</f>
        <v>59</v>
      </c>
      <c r="G37" s="5" t="n">
        <f aca="false">COUNTIFS(Risk_Register!B:B,C37,Risk_Register!G:G,"High")</f>
        <v>0</v>
      </c>
      <c r="H37" s="5" t="str">
        <f aca="false">IF(_xlfn.MAXIFS(Risk_Register!$L:$L,Risk_Register!$B:$B,C37)=3,"High",IF(_xlfn.MAXIFS(Risk_Register!$L:$L,Risk_Register!$B:$B,C37)=2,"Medium","Low"))</f>
        <v>Medium</v>
      </c>
      <c r="I37" s="5" t="str">
        <f aca="false">IF(B37&lt;=3,"Preferred site - strong composite profile",IF(B37&lt;=10,"Backup candidate - viable with monitoring","Reserve - evaluate only if primary sites unavailable"))</f>
        <v>Reserve - evaluate only if primary sites unavailable</v>
      </c>
    </row>
    <row r="38" customFormat="false" ht="15" hidden="false" customHeight="true" outlineLevel="0" collapsed="false">
      <c r="A38" s="5" t="s">
        <v>51</v>
      </c>
      <c r="B38" s="5" t="n">
        <v>17</v>
      </c>
      <c r="C38" s="5" t="s">
        <v>1177</v>
      </c>
      <c r="D38" s="5" t="s">
        <v>5958</v>
      </c>
      <c r="E38" s="5" t="s">
        <v>956</v>
      </c>
      <c r="F38" s="5" t="n">
        <f aca="false">INDEX(Site_Evaluation!$K:$K,MATCH(C38,Site_Evaluation!$A:$A,0))</f>
        <v>64</v>
      </c>
      <c r="G38" s="5" t="n">
        <f aca="false">COUNTIFS(Risk_Register!B:B,C38,Risk_Register!G:G,"High")</f>
        <v>1</v>
      </c>
      <c r="H38" s="5" t="str">
        <f aca="false">IF(_xlfn.MAXIFS(Risk_Register!$L:$L,Risk_Register!$B:$B,C38)=3,"High",IF(_xlfn.MAXIFS(Risk_Register!$L:$L,Risk_Register!$B:$B,C38)=2,"Medium","Low"))</f>
        <v>High</v>
      </c>
      <c r="I38" s="5" t="str">
        <f aca="false">IF(B38&lt;=3,"Preferred site - strong composite profile",IF(B38&lt;=10,"Backup candidate - viable with monitoring","Reserve - evaluate only if primary sites unavailable"))</f>
        <v>Reserve - evaluate only if primary sites unavailable</v>
      </c>
    </row>
    <row r="39" customFormat="false" ht="15" hidden="false" customHeight="true" outlineLevel="0" collapsed="false">
      <c r="A39" s="5" t="s">
        <v>51</v>
      </c>
      <c r="B39" s="5" t="n">
        <v>18</v>
      </c>
      <c r="C39" s="5" t="s">
        <v>1243</v>
      </c>
      <c r="D39" s="5" t="s">
        <v>1566</v>
      </c>
      <c r="E39" s="5" t="s">
        <v>954</v>
      </c>
      <c r="F39" s="5" t="n">
        <f aca="false">INDEX(Site_Evaluation!$K:$K,MATCH(C39,Site_Evaluation!$A:$A,0))</f>
        <v>54</v>
      </c>
      <c r="G39" s="5" t="n">
        <f aca="false">COUNTIFS(Risk_Register!B:B,C39,Risk_Register!G:G,"High")</f>
        <v>1</v>
      </c>
      <c r="H39" s="5" t="str">
        <f aca="false">IF(_xlfn.MAXIFS(Risk_Register!$L:$L,Risk_Register!$B:$B,C39)=3,"High",IF(_xlfn.MAXIFS(Risk_Register!$L:$L,Risk_Register!$B:$B,C39)=2,"Medium","Low"))</f>
        <v>High</v>
      </c>
      <c r="I39" s="5" t="str">
        <f aca="false">IF(B39&lt;=3,"Preferred site - strong composite profile",IF(B39&lt;=10,"Backup candidate - viable with monitoring","Reserve - evaluate only if primary sites unavailable"))</f>
        <v>Reserve - evaluate only if primary sites unavailable</v>
      </c>
    </row>
    <row r="40" customFormat="false" ht="15" hidden="false" customHeight="true" outlineLevel="0" collapsed="false">
      <c r="A40" s="5" t="s">
        <v>51</v>
      </c>
      <c r="B40" s="5" t="n">
        <v>19</v>
      </c>
      <c r="C40" s="5" t="s">
        <v>1561</v>
      </c>
      <c r="D40" s="5" t="s">
        <v>1425</v>
      </c>
      <c r="E40" s="5" t="s">
        <v>944</v>
      </c>
      <c r="F40" s="5" t="n">
        <f aca="false">INDEX(Site_Evaluation!$K:$K,MATCH(C40,Site_Evaluation!$A:$A,0))</f>
        <v>59</v>
      </c>
      <c r="G40" s="5" t="n">
        <f aca="false">COUNTIFS(Risk_Register!B:B,C40,Risk_Register!G:G,"High")</f>
        <v>2</v>
      </c>
      <c r="H40" s="5" t="str">
        <f aca="false">IF(_xlfn.MAXIFS(Risk_Register!$L:$L,Risk_Register!$B:$B,C40)=3,"High",IF(_xlfn.MAXIFS(Risk_Register!$L:$L,Risk_Register!$B:$B,C40)=2,"Medium","Low"))</f>
        <v>High</v>
      </c>
      <c r="I40" s="5" t="str">
        <f aca="false">IF(B40&lt;=3,"Preferred site - strong composite profile",IF(B40&lt;=10,"Backup candidate - viable with monitoring","Reserve - evaluate only if primary sites unavailable"))</f>
        <v>Reserve - evaluate only if primary sites unavailable</v>
      </c>
    </row>
    <row r="41" customFormat="false" ht="15" hidden="false" customHeight="true" outlineLevel="0" collapsed="false">
      <c r="A41" s="5" t="s">
        <v>51</v>
      </c>
      <c r="B41" s="5" t="n">
        <v>20</v>
      </c>
      <c r="C41" s="5" t="s">
        <v>1342</v>
      </c>
      <c r="D41" s="5" t="s">
        <v>5959</v>
      </c>
      <c r="E41" s="5" t="s">
        <v>920</v>
      </c>
      <c r="F41" s="5" t="n">
        <f aca="false">INDEX(Site_Evaluation!$K:$K,MATCH(C41,Site_Evaluation!$A:$A,0))</f>
        <v>62</v>
      </c>
      <c r="G41" s="5" t="n">
        <f aca="false">COUNTIFS(Risk_Register!B:B,C41,Risk_Register!G:G,"High")</f>
        <v>2</v>
      </c>
      <c r="H41" s="5" t="str">
        <f aca="false">IF(_xlfn.MAXIFS(Risk_Register!$L:$L,Risk_Register!$B:$B,C41)=3,"High",IF(_xlfn.MAXIFS(Risk_Register!$L:$L,Risk_Register!$B:$B,C41)=2,"Medium","Low"))</f>
        <v>High</v>
      </c>
      <c r="I41" s="5" t="str">
        <f aca="false">IF(B41&lt;=3,"Preferred site - strong composite profile",IF(B41&lt;=10,"Backup candidate - viable with monitoring","Reserve - evaluate only if primary sites unavailable"))</f>
        <v>Reserve - evaluate only if primary sites unavailable</v>
      </c>
    </row>
    <row r="42" customFormat="false" ht="15" hidden="false" customHeight="true" outlineLevel="0" collapsed="false">
      <c r="A42" s="5" t="s">
        <v>57</v>
      </c>
      <c r="B42" s="5" t="n">
        <v>1</v>
      </c>
      <c r="C42" s="5" t="s">
        <v>1199</v>
      </c>
      <c r="D42" s="5" t="s">
        <v>5960</v>
      </c>
      <c r="E42" s="5" t="s">
        <v>958</v>
      </c>
      <c r="F42" s="5" t="n">
        <f aca="false">INDEX(Site_Evaluation!$K:$K,MATCH(C42,Site_Evaluation!$A:$A,0))</f>
        <v>41</v>
      </c>
      <c r="G42" s="5" t="n">
        <f aca="false">COUNTIFS(Risk_Register!B:B,C42,Risk_Register!G:G,"High")</f>
        <v>0</v>
      </c>
      <c r="H42" s="5" t="str">
        <f aca="false">IF(_xlfn.MAXIFS(Risk_Register!$L:$L,Risk_Register!$B:$B,C42)=3,"High",IF(_xlfn.MAXIFS(Risk_Register!$L:$L,Risk_Register!$B:$B,C42)=2,"Medium","Low"))</f>
        <v>Medium</v>
      </c>
      <c r="I42" s="5" t="str">
        <f aca="false">IF(B42&lt;=3,"Preferred site - strong composite profile",IF(B42&lt;=10,"Backup candidate - viable with monitoring","Reserve - evaluate only if primary sites unavailable"))</f>
        <v>Preferred site - strong composite profile</v>
      </c>
    </row>
    <row r="43" customFormat="false" ht="15" hidden="false" customHeight="true" outlineLevel="0" collapsed="false">
      <c r="A43" s="5" t="s">
        <v>57</v>
      </c>
      <c r="B43" s="5" t="n">
        <v>2</v>
      </c>
      <c r="C43" s="5" t="s">
        <v>1119</v>
      </c>
      <c r="D43" s="5" t="s">
        <v>1560</v>
      </c>
      <c r="E43" s="5" t="s">
        <v>936</v>
      </c>
      <c r="F43" s="5" t="n">
        <f aca="false">INDEX(Site_Evaluation!$K:$K,MATCH(C43,Site_Evaluation!$A:$A,0))</f>
        <v>77</v>
      </c>
      <c r="G43" s="5" t="n">
        <f aca="false">COUNTIFS(Risk_Register!B:B,C43,Risk_Register!G:G,"High")</f>
        <v>1</v>
      </c>
      <c r="H43" s="5" t="str">
        <f aca="false">IF(_xlfn.MAXIFS(Risk_Register!$L:$L,Risk_Register!$B:$B,C43)=3,"High",IF(_xlfn.MAXIFS(Risk_Register!$L:$L,Risk_Register!$B:$B,C43)=2,"Medium","Low"))</f>
        <v>High</v>
      </c>
      <c r="I43" s="5" t="str">
        <f aca="false">IF(B43&lt;=3,"Preferred site - strong composite profile",IF(B43&lt;=10,"Backup candidate - viable with monitoring","Reserve - evaluate only if primary sites unavailable"))</f>
        <v>Preferred site - strong composite profile</v>
      </c>
    </row>
    <row r="44" customFormat="false" ht="15" hidden="false" customHeight="true" outlineLevel="0" collapsed="false">
      <c r="A44" s="5" t="s">
        <v>57</v>
      </c>
      <c r="B44" s="5" t="n">
        <v>3</v>
      </c>
      <c r="C44" s="5" t="s">
        <v>1193</v>
      </c>
      <c r="D44" s="5" t="s">
        <v>1767</v>
      </c>
      <c r="E44" s="5" t="s">
        <v>948</v>
      </c>
      <c r="F44" s="5" t="n">
        <f aca="false">INDEX(Site_Evaluation!$K:$K,MATCH(C44,Site_Evaluation!$A:$A,0))</f>
        <v>52</v>
      </c>
      <c r="G44" s="5" t="n">
        <f aca="false">COUNTIFS(Risk_Register!B:B,C44,Risk_Register!G:G,"High")</f>
        <v>1</v>
      </c>
      <c r="H44" s="5" t="str">
        <f aca="false">IF(_xlfn.MAXIFS(Risk_Register!$L:$L,Risk_Register!$B:$B,C44)=3,"High",IF(_xlfn.MAXIFS(Risk_Register!$L:$L,Risk_Register!$B:$B,C44)=2,"Medium","Low"))</f>
        <v>High</v>
      </c>
      <c r="I44" s="5" t="str">
        <f aca="false">IF(B44&lt;=3,"Preferred site - strong composite profile",IF(B44&lt;=10,"Backup candidate - viable with monitoring","Reserve - evaluate only if primary sites unavailable"))</f>
        <v>Preferred site - strong composite profile</v>
      </c>
    </row>
    <row r="45" customFormat="false" ht="15" hidden="false" customHeight="true" outlineLevel="0" collapsed="false">
      <c r="A45" s="5" t="s">
        <v>57</v>
      </c>
      <c r="B45" s="5" t="n">
        <v>4</v>
      </c>
      <c r="C45" s="5" t="s">
        <v>1491</v>
      </c>
      <c r="D45" s="5" t="s">
        <v>1004</v>
      </c>
      <c r="E45" s="5" t="s">
        <v>929</v>
      </c>
      <c r="F45" s="5" t="n">
        <f aca="false">INDEX(Site_Evaluation!$K:$K,MATCH(C45,Site_Evaluation!$A:$A,0))</f>
        <v>76</v>
      </c>
      <c r="G45" s="5" t="n">
        <f aca="false">COUNTIFS(Risk_Register!B:B,C45,Risk_Register!G:G,"High")</f>
        <v>0</v>
      </c>
      <c r="H45" s="5" t="str">
        <f aca="false">IF(_xlfn.MAXIFS(Risk_Register!$L:$L,Risk_Register!$B:$B,C45)=3,"High",IF(_xlfn.MAXIFS(Risk_Register!$L:$L,Risk_Register!$B:$B,C45)=2,"Medium","Low"))</f>
        <v>Medium</v>
      </c>
      <c r="I45" s="5" t="str">
        <f aca="false">IF(B45&lt;=3,"Preferred site - strong composite profile",IF(B45&lt;=10,"Backup candidate - viable with monitoring","Reserve - evaluate only if primary sites unavailable"))</f>
        <v>Backup candidate - viable with monitoring</v>
      </c>
    </row>
    <row r="46" customFormat="false" ht="15" hidden="false" customHeight="true" outlineLevel="0" collapsed="false">
      <c r="A46" s="5" t="s">
        <v>57</v>
      </c>
      <c r="B46" s="5" t="n">
        <v>5</v>
      </c>
      <c r="C46" s="5" t="s">
        <v>1381</v>
      </c>
      <c r="D46" s="5" t="s">
        <v>1382</v>
      </c>
      <c r="E46" s="5" t="s">
        <v>960</v>
      </c>
      <c r="F46" s="5" t="n">
        <f aca="false">INDEX(Site_Evaluation!$K:$K,MATCH(C46,Site_Evaluation!$A:$A,0))</f>
        <v>71</v>
      </c>
      <c r="G46" s="5" t="n">
        <f aca="false">COUNTIFS(Risk_Register!B:B,C46,Risk_Register!G:G,"High")</f>
        <v>1</v>
      </c>
      <c r="H46" s="5" t="str">
        <f aca="false">IF(_xlfn.MAXIFS(Risk_Register!$L:$L,Risk_Register!$B:$B,C46)=3,"High",IF(_xlfn.MAXIFS(Risk_Register!$L:$L,Risk_Register!$B:$B,C46)=2,"Medium","Low"))</f>
        <v>High</v>
      </c>
      <c r="I46" s="5" t="str">
        <f aca="false">IF(B46&lt;=3,"Preferred site - strong composite profile",IF(B46&lt;=10,"Backup candidate - viable with monitoring","Reserve - evaluate only if primary sites unavailable"))</f>
        <v>Backup candidate - viable with monitoring</v>
      </c>
    </row>
    <row r="47" customFormat="false" ht="15" hidden="false" customHeight="true" outlineLevel="0" collapsed="false">
      <c r="A47" s="5" t="s">
        <v>57</v>
      </c>
      <c r="B47" s="5" t="n">
        <v>6</v>
      </c>
      <c r="C47" s="5" t="s">
        <v>1164</v>
      </c>
      <c r="D47" s="5" t="s">
        <v>1546</v>
      </c>
      <c r="E47" s="5" t="s">
        <v>960</v>
      </c>
      <c r="F47" s="5" t="n">
        <f aca="false">INDEX(Site_Evaluation!$K:$K,MATCH(C47,Site_Evaluation!$A:$A,0))</f>
        <v>65</v>
      </c>
      <c r="G47" s="5" t="n">
        <f aca="false">COUNTIFS(Risk_Register!B:B,C47,Risk_Register!G:G,"High")</f>
        <v>1</v>
      </c>
      <c r="H47" s="5" t="str">
        <f aca="false">IF(_xlfn.MAXIFS(Risk_Register!$L:$L,Risk_Register!$B:$B,C47)=3,"High",IF(_xlfn.MAXIFS(Risk_Register!$L:$L,Risk_Register!$B:$B,C47)=2,"Medium","Low"))</f>
        <v>High</v>
      </c>
      <c r="I47" s="5" t="str">
        <f aca="false">IF(B47&lt;=3,"Preferred site - strong composite profile",IF(B47&lt;=10,"Backup candidate - viable with monitoring","Reserve - evaluate only if primary sites unavailable"))</f>
        <v>Backup candidate - viable with monitoring</v>
      </c>
    </row>
    <row r="48" customFormat="false" ht="15" hidden="false" customHeight="true" outlineLevel="0" collapsed="false">
      <c r="A48" s="5" t="s">
        <v>57</v>
      </c>
      <c r="B48" s="5" t="n">
        <v>7</v>
      </c>
      <c r="C48" s="5" t="s">
        <v>1506</v>
      </c>
      <c r="D48" s="5" t="s">
        <v>1507</v>
      </c>
      <c r="E48" s="5" t="s">
        <v>936</v>
      </c>
      <c r="F48" s="5" t="n">
        <f aca="false">INDEX(Site_Evaluation!$K:$K,MATCH(C48,Site_Evaluation!$A:$A,0))</f>
        <v>68</v>
      </c>
      <c r="G48" s="5" t="n">
        <f aca="false">COUNTIFS(Risk_Register!B:B,C48,Risk_Register!G:G,"High")</f>
        <v>1</v>
      </c>
      <c r="H48" s="5" t="str">
        <f aca="false">IF(_xlfn.MAXIFS(Risk_Register!$L:$L,Risk_Register!$B:$B,C48)=3,"High",IF(_xlfn.MAXIFS(Risk_Register!$L:$L,Risk_Register!$B:$B,C48)=2,"Medium","Low"))</f>
        <v>High</v>
      </c>
      <c r="I48" s="5" t="str">
        <f aca="false">IF(B48&lt;=3,"Preferred site - strong composite profile",IF(B48&lt;=10,"Backup candidate - viable with monitoring","Reserve - evaluate only if primary sites unavailable"))</f>
        <v>Backup candidate - viable with monitoring</v>
      </c>
    </row>
    <row r="49" customFormat="false" ht="15" hidden="false" customHeight="true" outlineLevel="0" collapsed="false">
      <c r="A49" s="5" t="s">
        <v>57</v>
      </c>
      <c r="B49" s="5" t="n">
        <v>8</v>
      </c>
      <c r="C49" s="5" t="s">
        <v>1045</v>
      </c>
      <c r="D49" s="5" t="s">
        <v>1809</v>
      </c>
      <c r="E49" s="5" t="s">
        <v>956</v>
      </c>
      <c r="F49" s="5" t="n">
        <f aca="false">INDEX(Site_Evaluation!$K:$K,MATCH(C49,Site_Evaluation!$A:$A,0))</f>
        <v>41</v>
      </c>
      <c r="G49" s="5" t="n">
        <f aca="false">COUNTIFS(Risk_Register!B:B,C49,Risk_Register!G:G,"High")</f>
        <v>0</v>
      </c>
      <c r="H49" s="5" t="str">
        <f aca="false">IF(_xlfn.MAXIFS(Risk_Register!$L:$L,Risk_Register!$B:$B,C49)=3,"High",IF(_xlfn.MAXIFS(Risk_Register!$L:$L,Risk_Register!$B:$B,C49)=2,"Medium","Low"))</f>
        <v>Medium</v>
      </c>
      <c r="I49" s="5" t="str">
        <f aca="false">IF(B49&lt;=3,"Preferred site - strong composite profile",IF(B49&lt;=10,"Backup candidate - viable with monitoring","Reserve - evaluate only if primary sites unavailable"))</f>
        <v>Backup candidate - viable with monitoring</v>
      </c>
    </row>
    <row r="50" customFormat="false" ht="15" hidden="false" customHeight="true" outlineLevel="0" collapsed="false">
      <c r="A50" s="5" t="s">
        <v>57</v>
      </c>
      <c r="B50" s="5" t="n">
        <v>9</v>
      </c>
      <c r="C50" s="5" t="s">
        <v>1125</v>
      </c>
      <c r="D50" s="5" t="s">
        <v>5961</v>
      </c>
      <c r="E50" s="5" t="s">
        <v>923</v>
      </c>
      <c r="F50" s="5" t="n">
        <f aca="false">INDEX(Site_Evaluation!$K:$K,MATCH(C50,Site_Evaluation!$A:$A,0))</f>
        <v>54</v>
      </c>
      <c r="G50" s="5" t="n">
        <f aca="false">COUNTIFS(Risk_Register!B:B,C50,Risk_Register!G:G,"High")</f>
        <v>1</v>
      </c>
      <c r="H50" s="5" t="str">
        <f aca="false">IF(_xlfn.MAXIFS(Risk_Register!$L:$L,Risk_Register!$B:$B,C50)=3,"High",IF(_xlfn.MAXIFS(Risk_Register!$L:$L,Risk_Register!$B:$B,C50)=2,"Medium","Low"))</f>
        <v>High</v>
      </c>
      <c r="I50" s="5" t="str">
        <f aca="false">IF(B50&lt;=3,"Preferred site - strong composite profile",IF(B50&lt;=10,"Backup candidate - viable with monitoring","Reserve - evaluate only if primary sites unavailable"))</f>
        <v>Backup candidate - viable with monitoring</v>
      </c>
    </row>
    <row r="51" customFormat="false" ht="15" hidden="false" customHeight="true" outlineLevel="0" collapsed="false">
      <c r="A51" s="5" t="s">
        <v>57</v>
      </c>
      <c r="B51" s="5" t="n">
        <v>10</v>
      </c>
      <c r="C51" s="5" t="s">
        <v>1321</v>
      </c>
      <c r="D51" s="5" t="s">
        <v>5962</v>
      </c>
      <c r="E51" s="5" t="s">
        <v>938</v>
      </c>
      <c r="F51" s="5" t="n">
        <f aca="false">INDEX(Site_Evaluation!$K:$K,MATCH(C51,Site_Evaluation!$A:$A,0))</f>
        <v>56</v>
      </c>
      <c r="G51" s="5" t="n">
        <f aca="false">COUNTIFS(Risk_Register!B:B,C51,Risk_Register!G:G,"High")</f>
        <v>1</v>
      </c>
      <c r="H51" s="5" t="str">
        <f aca="false">IF(_xlfn.MAXIFS(Risk_Register!$L:$L,Risk_Register!$B:$B,C51)=3,"High",IF(_xlfn.MAXIFS(Risk_Register!$L:$L,Risk_Register!$B:$B,C51)=2,"Medium","Low"))</f>
        <v>High</v>
      </c>
      <c r="I51" s="5" t="str">
        <f aca="false">IF(B51&lt;=3,"Preferred site - strong composite profile",IF(B51&lt;=10,"Backup candidate - viable with monitoring","Reserve - evaluate only if primary sites unavailable"))</f>
        <v>Backup candidate - viable with monitoring</v>
      </c>
    </row>
    <row r="52" customFormat="false" ht="15" hidden="false" customHeight="true" outlineLevel="0" collapsed="false">
      <c r="A52" s="5" t="s">
        <v>57</v>
      </c>
      <c r="B52" s="5" t="n">
        <v>11</v>
      </c>
      <c r="C52" s="5" t="s">
        <v>1418</v>
      </c>
      <c r="D52" s="5" t="s">
        <v>1419</v>
      </c>
      <c r="E52" s="5" t="s">
        <v>931</v>
      </c>
      <c r="F52" s="5" t="n">
        <f aca="false">INDEX(Site_Evaluation!$K:$K,MATCH(C52,Site_Evaluation!$A:$A,0))</f>
        <v>67</v>
      </c>
      <c r="G52" s="5" t="n">
        <f aca="false">COUNTIFS(Risk_Register!B:B,C52,Risk_Register!G:G,"High")</f>
        <v>0</v>
      </c>
      <c r="H52" s="5" t="str">
        <f aca="false">IF(_xlfn.MAXIFS(Risk_Register!$L:$L,Risk_Register!$B:$B,C52)=3,"High",IF(_xlfn.MAXIFS(Risk_Register!$L:$L,Risk_Register!$B:$B,C52)=2,"Medium","Low"))</f>
        <v>Medium</v>
      </c>
      <c r="I52" s="5" t="str">
        <f aca="false">IF(B52&lt;=3,"Preferred site - strong composite profile",IF(B52&lt;=10,"Backup candidate - viable with monitoring","Reserve - evaluate only if primary sites unavailable"))</f>
        <v>Reserve - evaluate only if primary sites unavailable</v>
      </c>
    </row>
    <row r="53" customFormat="false" ht="15" hidden="false" customHeight="true" outlineLevel="0" collapsed="false">
      <c r="A53" s="5" t="s">
        <v>57</v>
      </c>
      <c r="B53" s="5" t="n">
        <v>12</v>
      </c>
      <c r="C53" s="5" t="s">
        <v>1559</v>
      </c>
      <c r="D53" s="5" t="s">
        <v>1560</v>
      </c>
      <c r="E53" s="5" t="s">
        <v>936</v>
      </c>
      <c r="F53" s="5" t="n">
        <f aca="false">INDEX(Site_Evaluation!$K:$K,MATCH(C53,Site_Evaluation!$A:$A,0))</f>
        <v>66</v>
      </c>
      <c r="G53" s="5" t="n">
        <f aca="false">COUNTIFS(Risk_Register!B:B,C53,Risk_Register!G:G,"High")</f>
        <v>0</v>
      </c>
      <c r="H53" s="5" t="str">
        <f aca="false">IF(_xlfn.MAXIFS(Risk_Register!$L:$L,Risk_Register!$B:$B,C53)=3,"High",IF(_xlfn.MAXIFS(Risk_Register!$L:$L,Risk_Register!$B:$B,C53)=2,"Medium","Low"))</f>
        <v>Medium</v>
      </c>
      <c r="I53" s="5" t="str">
        <f aca="false">IF(B53&lt;=3,"Preferred site - strong composite profile",IF(B53&lt;=10,"Backup candidate - viable with monitoring","Reserve - evaluate only if primary sites unavailable"))</f>
        <v>Reserve - evaluate only if primary sites unavailable</v>
      </c>
    </row>
    <row r="54" customFormat="false" ht="15" hidden="false" customHeight="true" outlineLevel="0" collapsed="false">
      <c r="A54" s="5" t="s">
        <v>57</v>
      </c>
      <c r="B54" s="5" t="n">
        <v>13</v>
      </c>
      <c r="C54" s="5" t="s">
        <v>1340</v>
      </c>
      <c r="D54" s="5" t="s">
        <v>1077</v>
      </c>
      <c r="E54" s="5" t="s">
        <v>923</v>
      </c>
      <c r="F54" s="5" t="n">
        <f aca="false">INDEX(Site_Evaluation!$K:$K,MATCH(C54,Site_Evaluation!$A:$A,0))</f>
        <v>54</v>
      </c>
      <c r="G54" s="5" t="n">
        <f aca="false">COUNTIFS(Risk_Register!B:B,C54,Risk_Register!G:G,"High")</f>
        <v>1</v>
      </c>
      <c r="H54" s="5" t="str">
        <f aca="false">IF(_xlfn.MAXIFS(Risk_Register!$L:$L,Risk_Register!$B:$B,C54)=3,"High",IF(_xlfn.MAXIFS(Risk_Register!$L:$L,Risk_Register!$B:$B,C54)=2,"Medium","Low"))</f>
        <v>High</v>
      </c>
      <c r="I54" s="5" t="str">
        <f aca="false">IF(B54&lt;=3,"Preferred site - strong composite profile",IF(B54&lt;=10,"Backup candidate - viable with monitoring","Reserve - evaluate only if primary sites unavailable"))</f>
        <v>Reserve - evaluate only if primary sites unavailable</v>
      </c>
    </row>
    <row r="55" customFormat="false" ht="15" hidden="false" customHeight="true" outlineLevel="0" collapsed="false">
      <c r="A55" s="5" t="s">
        <v>57</v>
      </c>
      <c r="B55" s="5" t="n">
        <v>14</v>
      </c>
      <c r="C55" s="5" t="s">
        <v>1081</v>
      </c>
      <c r="D55" s="5" t="s">
        <v>5963</v>
      </c>
      <c r="E55" s="5" t="s">
        <v>944</v>
      </c>
      <c r="F55" s="5" t="n">
        <f aca="false">INDEX(Site_Evaluation!$K:$K,MATCH(C55,Site_Evaluation!$A:$A,0))</f>
        <v>58</v>
      </c>
      <c r="G55" s="5" t="n">
        <f aca="false">COUNTIFS(Risk_Register!B:B,C55,Risk_Register!G:G,"High")</f>
        <v>0</v>
      </c>
      <c r="H55" s="5" t="str">
        <f aca="false">IF(_xlfn.MAXIFS(Risk_Register!$L:$L,Risk_Register!$B:$B,C55)=3,"High",IF(_xlfn.MAXIFS(Risk_Register!$L:$L,Risk_Register!$B:$B,C55)=2,"Medium","Low"))</f>
        <v>Medium</v>
      </c>
      <c r="I55" s="5" t="str">
        <f aca="false">IF(B55&lt;=3,"Preferred site - strong composite profile",IF(B55&lt;=10,"Backup candidate - viable with monitoring","Reserve - evaluate only if primary sites unavailable"))</f>
        <v>Reserve - evaluate only if primary sites unavailable</v>
      </c>
    </row>
    <row r="56" customFormat="false" ht="15" hidden="false" customHeight="true" outlineLevel="0" collapsed="false">
      <c r="A56" s="5" t="s">
        <v>57</v>
      </c>
      <c r="B56" s="5" t="n">
        <v>15</v>
      </c>
      <c r="C56" s="5" t="s">
        <v>1420</v>
      </c>
      <c r="D56" s="5" t="s">
        <v>1421</v>
      </c>
      <c r="E56" s="5" t="s">
        <v>933</v>
      </c>
      <c r="F56" s="5" t="n">
        <f aca="false">INDEX(Site_Evaluation!$K:$K,MATCH(C56,Site_Evaluation!$A:$A,0))</f>
        <v>65</v>
      </c>
      <c r="G56" s="5" t="n">
        <f aca="false">COUNTIFS(Risk_Register!B:B,C56,Risk_Register!G:G,"High")</f>
        <v>1</v>
      </c>
      <c r="H56" s="5" t="str">
        <f aca="false">IF(_xlfn.MAXIFS(Risk_Register!$L:$L,Risk_Register!$B:$B,C56)=3,"High",IF(_xlfn.MAXIFS(Risk_Register!$L:$L,Risk_Register!$B:$B,C56)=2,"Medium","Low"))</f>
        <v>High</v>
      </c>
      <c r="I56" s="5" t="str">
        <f aca="false">IF(B56&lt;=3,"Preferred site - strong composite profile",IF(B56&lt;=10,"Backup candidate - viable with monitoring","Reserve - evaluate only if primary sites unavailable"))</f>
        <v>Reserve - evaluate only if primary sites unavailable</v>
      </c>
    </row>
    <row r="57" customFormat="false" ht="15" hidden="false" customHeight="true" outlineLevel="0" collapsed="false">
      <c r="A57" s="5" t="s">
        <v>57</v>
      </c>
      <c r="B57" s="5" t="n">
        <v>16</v>
      </c>
      <c r="C57" s="5" t="s">
        <v>1299</v>
      </c>
      <c r="D57" s="5" t="s">
        <v>5964</v>
      </c>
      <c r="E57" s="5" t="s">
        <v>921</v>
      </c>
      <c r="F57" s="5" t="n">
        <f aca="false">INDEX(Site_Evaluation!$K:$K,MATCH(C57,Site_Evaluation!$A:$A,0))</f>
        <v>43</v>
      </c>
      <c r="G57" s="5" t="n">
        <f aca="false">COUNTIFS(Risk_Register!B:B,C57,Risk_Register!G:G,"High")</f>
        <v>0</v>
      </c>
      <c r="H57" s="5" t="str">
        <f aca="false">IF(_xlfn.MAXIFS(Risk_Register!$L:$L,Risk_Register!$B:$B,C57)=3,"High",IF(_xlfn.MAXIFS(Risk_Register!$L:$L,Risk_Register!$B:$B,C57)=2,"Medium","Low"))</f>
        <v>Medium</v>
      </c>
      <c r="I57" s="5" t="str">
        <f aca="false">IF(B57&lt;=3,"Preferred site - strong composite profile",IF(B57&lt;=10,"Backup candidate - viable with monitoring","Reserve - evaluate only if primary sites unavailable"))</f>
        <v>Reserve - evaluate only if primary sites unavailable</v>
      </c>
    </row>
    <row r="58" customFormat="false" ht="15" hidden="false" customHeight="true" outlineLevel="0" collapsed="false">
      <c r="A58" s="5" t="s">
        <v>57</v>
      </c>
      <c r="B58" s="5" t="n">
        <v>17</v>
      </c>
      <c r="C58" s="5" t="s">
        <v>1146</v>
      </c>
      <c r="D58" s="5" t="s">
        <v>5965</v>
      </c>
      <c r="E58" s="5" t="s">
        <v>920</v>
      </c>
      <c r="F58" s="5" t="n">
        <f aca="false">INDEX(Site_Evaluation!$K:$K,MATCH(C58,Site_Evaluation!$A:$A,0))</f>
        <v>50</v>
      </c>
      <c r="G58" s="5" t="n">
        <f aca="false">COUNTIFS(Risk_Register!B:B,C58,Risk_Register!G:G,"High")</f>
        <v>0</v>
      </c>
      <c r="H58" s="5" t="str">
        <f aca="false">IF(_xlfn.MAXIFS(Risk_Register!$L:$L,Risk_Register!$B:$B,C58)=3,"High",IF(_xlfn.MAXIFS(Risk_Register!$L:$L,Risk_Register!$B:$B,C58)=2,"Medium","Low"))</f>
        <v>Medium</v>
      </c>
      <c r="I58" s="5" t="str">
        <f aca="false">IF(B58&lt;=3,"Preferred site - strong composite profile",IF(B58&lt;=10,"Backup candidate - viable with monitoring","Reserve - evaluate only if primary sites unavailable"))</f>
        <v>Reserve - evaluate only if primary sites unavailable</v>
      </c>
    </row>
    <row r="59" customFormat="false" ht="15" hidden="false" customHeight="true" outlineLevel="0" collapsed="false">
      <c r="A59" s="5" t="s">
        <v>57</v>
      </c>
      <c r="B59" s="5" t="n">
        <v>18</v>
      </c>
      <c r="C59" s="5" t="s">
        <v>1148</v>
      </c>
      <c r="D59" s="5" t="s">
        <v>1571</v>
      </c>
      <c r="E59" s="5" t="s">
        <v>944</v>
      </c>
      <c r="F59" s="5" t="n">
        <f aca="false">INDEX(Site_Evaluation!$K:$K,MATCH(C59,Site_Evaluation!$A:$A,0))</f>
        <v>58</v>
      </c>
      <c r="G59" s="5" t="n">
        <f aca="false">COUNTIFS(Risk_Register!B:B,C59,Risk_Register!G:G,"High")</f>
        <v>1</v>
      </c>
      <c r="H59" s="5" t="str">
        <f aca="false">IF(_xlfn.MAXIFS(Risk_Register!$L:$L,Risk_Register!$B:$B,C59)=3,"High",IF(_xlfn.MAXIFS(Risk_Register!$L:$L,Risk_Register!$B:$B,C59)=2,"Medium","Low"))</f>
        <v>High</v>
      </c>
      <c r="I59" s="5" t="str">
        <f aca="false">IF(B59&lt;=3,"Preferred site - strong composite profile",IF(B59&lt;=10,"Backup candidate - viable with monitoring","Reserve - evaluate only if primary sites unavailable"))</f>
        <v>Reserve - evaluate only if primary sites unavailable</v>
      </c>
    </row>
    <row r="60" customFormat="false" ht="15" hidden="false" customHeight="true" outlineLevel="0" collapsed="false">
      <c r="A60" s="5" t="s">
        <v>57</v>
      </c>
      <c r="B60" s="5" t="n">
        <v>19</v>
      </c>
      <c r="C60" s="5" t="s">
        <v>1259</v>
      </c>
      <c r="D60" s="5" t="s">
        <v>5966</v>
      </c>
      <c r="E60" s="5" t="s">
        <v>920</v>
      </c>
      <c r="F60" s="5" t="n">
        <f aca="false">INDEX(Site_Evaluation!$K:$K,MATCH(C60,Site_Evaluation!$A:$A,0))</f>
        <v>69</v>
      </c>
      <c r="G60" s="5" t="n">
        <f aca="false">COUNTIFS(Risk_Register!B:B,C60,Risk_Register!G:G,"High")</f>
        <v>0</v>
      </c>
      <c r="H60" s="5" t="str">
        <f aca="false">IF(_xlfn.MAXIFS(Risk_Register!$L:$L,Risk_Register!$B:$B,C60)=3,"High",IF(_xlfn.MAXIFS(Risk_Register!$L:$L,Risk_Register!$B:$B,C60)=2,"Medium","Low"))</f>
        <v>Medium</v>
      </c>
      <c r="I60" s="5" t="str">
        <f aca="false">IF(B60&lt;=3,"Preferred site - strong composite profile",IF(B60&lt;=10,"Backup candidate - viable with monitoring","Reserve - evaluate only if primary sites unavailable"))</f>
        <v>Reserve - evaluate only if primary sites unavailable</v>
      </c>
    </row>
    <row r="61" customFormat="false" ht="15" hidden="false" customHeight="true" outlineLevel="0" collapsed="false">
      <c r="A61" s="5" t="s">
        <v>57</v>
      </c>
      <c r="B61" s="5" t="n">
        <v>20</v>
      </c>
      <c r="C61" s="5" t="s">
        <v>1494</v>
      </c>
      <c r="D61" s="5" t="s">
        <v>1251</v>
      </c>
      <c r="E61" s="5" t="s">
        <v>929</v>
      </c>
      <c r="F61" s="5" t="n">
        <f aca="false">INDEX(Site_Evaluation!$K:$K,MATCH(C61,Site_Evaluation!$A:$A,0))</f>
        <v>64</v>
      </c>
      <c r="G61" s="5" t="n">
        <f aca="false">COUNTIFS(Risk_Register!B:B,C61,Risk_Register!G:G,"High")</f>
        <v>1</v>
      </c>
      <c r="H61" s="5" t="str">
        <f aca="false">IF(_xlfn.MAXIFS(Risk_Register!$L:$L,Risk_Register!$B:$B,C61)=3,"High",IF(_xlfn.MAXIFS(Risk_Register!$L:$L,Risk_Register!$B:$B,C61)=2,"Medium","Low"))</f>
        <v>High</v>
      </c>
      <c r="I61" s="5" t="str">
        <f aca="false">IF(B61&lt;=3,"Preferred site - strong composite profile",IF(B61&lt;=10,"Backup candidate - viable with monitoring","Reserve - evaluate only if primary sites unavailable"))</f>
        <v>Reserve - evaluate only if primary sites unavailable</v>
      </c>
    </row>
    <row r="62" customFormat="false" ht="15" hidden="false" customHeight="true" outlineLevel="0" collapsed="false">
      <c r="A62" s="5" t="s">
        <v>62</v>
      </c>
      <c r="B62" s="5" t="n">
        <v>1</v>
      </c>
      <c r="C62" s="5" t="s">
        <v>1503</v>
      </c>
      <c r="D62" s="5" t="s">
        <v>1504</v>
      </c>
      <c r="E62" s="5" t="s">
        <v>938</v>
      </c>
      <c r="F62" s="5" t="n">
        <f aca="false">INDEX(Site_Evaluation!$K:$K,MATCH(C62,Site_Evaluation!$A:$A,0))</f>
        <v>81</v>
      </c>
      <c r="G62" s="5" t="n">
        <f aca="false">COUNTIFS(Risk_Register!B:B,C62,Risk_Register!G:G,"High")</f>
        <v>1</v>
      </c>
      <c r="H62" s="5" t="str">
        <f aca="false">IF(_xlfn.MAXIFS(Risk_Register!$L:$L,Risk_Register!$B:$B,C62)=3,"High",IF(_xlfn.MAXIFS(Risk_Register!$L:$L,Risk_Register!$B:$B,C62)=2,"Medium","Low"))</f>
        <v>High</v>
      </c>
      <c r="I62" s="5" t="str">
        <f aca="false">IF(B62&lt;=3,"Preferred site - strong composite profile",IF(B62&lt;=10,"Backup candidate - viable with monitoring","Reserve - evaluate only if primary sites unavailable"))</f>
        <v>Preferred site - strong composite profile</v>
      </c>
    </row>
    <row r="63" customFormat="false" ht="15" hidden="false" customHeight="true" outlineLevel="0" collapsed="false">
      <c r="A63" s="5" t="s">
        <v>62</v>
      </c>
      <c r="B63" s="5" t="n">
        <v>2</v>
      </c>
      <c r="C63" s="5" t="s">
        <v>1430</v>
      </c>
      <c r="D63" s="5" t="s">
        <v>1431</v>
      </c>
      <c r="E63" s="5" t="s">
        <v>954</v>
      </c>
      <c r="F63" s="5" t="n">
        <f aca="false">INDEX(Site_Evaluation!$K:$K,MATCH(C63,Site_Evaluation!$A:$A,0))</f>
        <v>73</v>
      </c>
      <c r="G63" s="5" t="n">
        <f aca="false">COUNTIFS(Risk_Register!B:B,C63,Risk_Register!G:G,"High")</f>
        <v>0</v>
      </c>
      <c r="H63" s="5" t="str">
        <f aca="false">IF(_xlfn.MAXIFS(Risk_Register!$L:$L,Risk_Register!$B:$B,C63)=3,"High",IF(_xlfn.MAXIFS(Risk_Register!$L:$L,Risk_Register!$B:$B,C63)=2,"Medium","Low"))</f>
        <v>Medium</v>
      </c>
      <c r="I63" s="5" t="str">
        <f aca="false">IF(B63&lt;=3,"Preferred site - strong composite profile",IF(B63&lt;=10,"Backup candidate - viable with monitoring","Reserve - evaluate only if primary sites unavailable"))</f>
        <v>Preferred site - strong composite profile</v>
      </c>
    </row>
    <row r="64" customFormat="false" ht="15" hidden="false" customHeight="true" outlineLevel="0" collapsed="false">
      <c r="A64" s="5" t="s">
        <v>62</v>
      </c>
      <c r="B64" s="5" t="n">
        <v>3</v>
      </c>
      <c r="C64" s="5" t="s">
        <v>1133</v>
      </c>
      <c r="D64" s="5" t="s">
        <v>5967</v>
      </c>
      <c r="E64" s="5" t="s">
        <v>952</v>
      </c>
      <c r="F64" s="5" t="n">
        <f aca="false">INDEX(Site_Evaluation!$K:$K,MATCH(C64,Site_Evaluation!$A:$A,0))</f>
        <v>70</v>
      </c>
      <c r="G64" s="5" t="n">
        <f aca="false">COUNTIFS(Risk_Register!B:B,C64,Risk_Register!G:G,"High")</f>
        <v>0</v>
      </c>
      <c r="H64" s="5" t="str">
        <f aca="false">IF(_xlfn.MAXIFS(Risk_Register!$L:$L,Risk_Register!$B:$B,C64)=3,"High",IF(_xlfn.MAXIFS(Risk_Register!$L:$L,Risk_Register!$B:$B,C64)=2,"Medium","Low"))</f>
        <v>Medium</v>
      </c>
      <c r="I64" s="5" t="str">
        <f aca="false">IF(B64&lt;=3,"Preferred site - strong composite profile",IF(B64&lt;=10,"Backup candidate - viable with monitoring","Reserve - evaluate only if primary sites unavailable"))</f>
        <v>Preferred site - strong composite profile</v>
      </c>
    </row>
    <row r="65" customFormat="false" ht="15" hidden="false" customHeight="true" outlineLevel="0" collapsed="false">
      <c r="A65" s="5" t="s">
        <v>62</v>
      </c>
      <c r="B65" s="5" t="n">
        <v>4</v>
      </c>
      <c r="C65" s="5" t="s">
        <v>1024</v>
      </c>
      <c r="D65" s="5" t="s">
        <v>5968</v>
      </c>
      <c r="E65" s="5" t="s">
        <v>956</v>
      </c>
      <c r="F65" s="5" t="n">
        <f aca="false">INDEX(Site_Evaluation!$K:$K,MATCH(C65,Site_Evaluation!$A:$A,0))</f>
        <v>60</v>
      </c>
      <c r="G65" s="5" t="n">
        <f aca="false">COUNTIFS(Risk_Register!B:B,C65,Risk_Register!G:G,"High")</f>
        <v>1</v>
      </c>
      <c r="H65" s="5" t="str">
        <f aca="false">IF(_xlfn.MAXIFS(Risk_Register!$L:$L,Risk_Register!$B:$B,C65)=3,"High",IF(_xlfn.MAXIFS(Risk_Register!$L:$L,Risk_Register!$B:$B,C65)=2,"Medium","Low"))</f>
        <v>High</v>
      </c>
      <c r="I65" s="5" t="str">
        <f aca="false">IF(B65&lt;=3,"Preferred site - strong composite profile",IF(B65&lt;=10,"Backup candidate - viable with monitoring","Reserve - evaluate only if primary sites unavailable"))</f>
        <v>Backup candidate - viable with monitoring</v>
      </c>
    </row>
    <row r="66" customFormat="false" ht="15" hidden="false" customHeight="true" outlineLevel="0" collapsed="false">
      <c r="A66" s="5" t="s">
        <v>62</v>
      </c>
      <c r="B66" s="5" t="n">
        <v>5</v>
      </c>
      <c r="C66" s="5" t="s">
        <v>1541</v>
      </c>
      <c r="D66" s="5" t="s">
        <v>1542</v>
      </c>
      <c r="E66" s="5" t="s">
        <v>921</v>
      </c>
      <c r="F66" s="5" t="n">
        <f aca="false">INDEX(Site_Evaluation!$K:$K,MATCH(C66,Site_Evaluation!$A:$A,0))</f>
        <v>68</v>
      </c>
      <c r="G66" s="5" t="n">
        <f aca="false">COUNTIFS(Risk_Register!B:B,C66,Risk_Register!G:G,"High")</f>
        <v>2</v>
      </c>
      <c r="H66" s="5" t="str">
        <f aca="false">IF(_xlfn.MAXIFS(Risk_Register!$L:$L,Risk_Register!$B:$B,C66)=3,"High",IF(_xlfn.MAXIFS(Risk_Register!$L:$L,Risk_Register!$B:$B,C66)=2,"Medium","Low"))</f>
        <v>High</v>
      </c>
      <c r="I66" s="5" t="str">
        <f aca="false">IF(B66&lt;=3,"Preferred site - strong composite profile",IF(B66&lt;=10,"Backup candidate - viable with monitoring","Reserve - evaluate only if primary sites unavailable"))</f>
        <v>Backup candidate - viable with monitoring</v>
      </c>
    </row>
    <row r="67" customFormat="false" ht="15" hidden="false" customHeight="true" outlineLevel="0" collapsed="false">
      <c r="A67" s="5" t="s">
        <v>62</v>
      </c>
      <c r="B67" s="5" t="n">
        <v>6</v>
      </c>
      <c r="C67" s="5" t="s">
        <v>1183</v>
      </c>
      <c r="D67" s="5" t="s">
        <v>1310</v>
      </c>
      <c r="E67" s="5" t="s">
        <v>921</v>
      </c>
      <c r="F67" s="5" t="n">
        <f aca="false">INDEX(Site_Evaluation!$K:$K,MATCH(C67,Site_Evaluation!$A:$A,0))</f>
        <v>58</v>
      </c>
      <c r="G67" s="5" t="n">
        <f aca="false">COUNTIFS(Risk_Register!B:B,C67,Risk_Register!G:G,"High")</f>
        <v>2</v>
      </c>
      <c r="H67" s="5" t="str">
        <f aca="false">IF(_xlfn.MAXIFS(Risk_Register!$L:$L,Risk_Register!$B:$B,C67)=3,"High",IF(_xlfn.MAXIFS(Risk_Register!$L:$L,Risk_Register!$B:$B,C67)=2,"Medium","Low"))</f>
        <v>High</v>
      </c>
      <c r="I67" s="5" t="str">
        <f aca="false">IF(B67&lt;=3,"Preferred site - strong composite profile",IF(B67&lt;=10,"Backup candidate - viable with monitoring","Reserve - evaluate only if primary sites unavailable"))</f>
        <v>Backup candidate - viable with monitoring</v>
      </c>
    </row>
    <row r="68" customFormat="false" ht="15" hidden="false" customHeight="true" outlineLevel="0" collapsed="false">
      <c r="A68" s="5" t="s">
        <v>62</v>
      </c>
      <c r="B68" s="5" t="n">
        <v>7</v>
      </c>
      <c r="C68" s="5" t="s">
        <v>1105</v>
      </c>
      <c r="D68" s="5" t="s">
        <v>1779</v>
      </c>
      <c r="E68" s="5" t="s">
        <v>946</v>
      </c>
      <c r="F68" s="5" t="n">
        <f aca="false">INDEX(Site_Evaluation!$K:$K,MATCH(C68,Site_Evaluation!$A:$A,0))</f>
        <v>50</v>
      </c>
      <c r="G68" s="5" t="n">
        <f aca="false">COUNTIFS(Risk_Register!B:B,C68,Risk_Register!G:G,"High")</f>
        <v>2</v>
      </c>
      <c r="H68" s="5" t="str">
        <f aca="false">IF(_xlfn.MAXIFS(Risk_Register!$L:$L,Risk_Register!$B:$B,C68)=3,"High",IF(_xlfn.MAXIFS(Risk_Register!$L:$L,Risk_Register!$B:$B,C68)=2,"Medium","Low"))</f>
        <v>High</v>
      </c>
      <c r="I68" s="5" t="str">
        <f aca="false">IF(B68&lt;=3,"Preferred site - strong composite profile",IF(B68&lt;=10,"Backup candidate - viable with monitoring","Reserve - evaluate only if primary sites unavailable"))</f>
        <v>Backup candidate - viable with monitoring</v>
      </c>
    </row>
    <row r="69" customFormat="false" ht="15" hidden="false" customHeight="true" outlineLevel="0" collapsed="false">
      <c r="A69" s="5" t="s">
        <v>62</v>
      </c>
      <c r="B69" s="5" t="n">
        <v>8</v>
      </c>
      <c r="C69" s="5" t="s">
        <v>1013</v>
      </c>
      <c r="D69" s="5" t="s">
        <v>5969</v>
      </c>
      <c r="E69" s="5" t="s">
        <v>962</v>
      </c>
      <c r="F69" s="5" t="n">
        <f aca="false">INDEX(Site_Evaluation!$K:$K,MATCH(C69,Site_Evaluation!$A:$A,0))</f>
        <v>61</v>
      </c>
      <c r="G69" s="5" t="n">
        <f aca="false">COUNTIFS(Risk_Register!B:B,C69,Risk_Register!G:G,"High")</f>
        <v>0</v>
      </c>
      <c r="H69" s="5" t="str">
        <f aca="false">IF(_xlfn.MAXIFS(Risk_Register!$L:$L,Risk_Register!$B:$B,C69)=3,"High",IF(_xlfn.MAXIFS(Risk_Register!$L:$L,Risk_Register!$B:$B,C69)=2,"Medium","Low"))</f>
        <v>Medium</v>
      </c>
      <c r="I69" s="5" t="str">
        <f aca="false">IF(B69&lt;=3,"Preferred site - strong composite profile",IF(B69&lt;=10,"Backup candidate - viable with monitoring","Reserve - evaluate only if primary sites unavailable"))</f>
        <v>Backup candidate - viable with monitoring</v>
      </c>
    </row>
    <row r="70" customFormat="false" ht="15" hidden="false" customHeight="true" outlineLevel="0" collapsed="false">
      <c r="A70" s="5" t="s">
        <v>62</v>
      </c>
      <c r="B70" s="5" t="n">
        <v>9</v>
      </c>
      <c r="C70" s="5" t="s">
        <v>1220</v>
      </c>
      <c r="D70" s="5" t="s">
        <v>1924</v>
      </c>
      <c r="E70" s="5" t="s">
        <v>944</v>
      </c>
      <c r="F70" s="5" t="n">
        <f aca="false">INDEX(Site_Evaluation!$K:$K,MATCH(C70,Site_Evaluation!$A:$A,0))</f>
        <v>73</v>
      </c>
      <c r="G70" s="5" t="n">
        <f aca="false">COUNTIFS(Risk_Register!B:B,C70,Risk_Register!G:G,"High")</f>
        <v>1</v>
      </c>
      <c r="H70" s="5" t="str">
        <f aca="false">IF(_xlfn.MAXIFS(Risk_Register!$L:$L,Risk_Register!$B:$B,C70)=3,"High",IF(_xlfn.MAXIFS(Risk_Register!$L:$L,Risk_Register!$B:$B,C70)=2,"Medium","Low"))</f>
        <v>High</v>
      </c>
      <c r="I70" s="5" t="str">
        <f aca="false">IF(B70&lt;=3,"Preferred site - strong composite profile",IF(B70&lt;=10,"Backup candidate - viable with monitoring","Reserve - evaluate only if primary sites unavailable"))</f>
        <v>Backup candidate - viable with monitoring</v>
      </c>
    </row>
    <row r="71" customFormat="false" ht="15" hidden="false" customHeight="true" outlineLevel="0" collapsed="false">
      <c r="A71" s="5" t="s">
        <v>62</v>
      </c>
      <c r="B71" s="5" t="n">
        <v>10</v>
      </c>
      <c r="C71" s="5" t="s">
        <v>1115</v>
      </c>
      <c r="D71" s="5" t="s">
        <v>1489</v>
      </c>
      <c r="E71" s="5" t="s">
        <v>956</v>
      </c>
      <c r="F71" s="5" t="n">
        <f aca="false">INDEX(Site_Evaluation!$K:$K,MATCH(C71,Site_Evaluation!$A:$A,0))</f>
        <v>50</v>
      </c>
      <c r="G71" s="5" t="n">
        <f aca="false">COUNTIFS(Risk_Register!B:B,C71,Risk_Register!G:G,"High")</f>
        <v>3</v>
      </c>
      <c r="H71" s="5" t="str">
        <f aca="false">IF(_xlfn.MAXIFS(Risk_Register!$L:$L,Risk_Register!$B:$B,C71)=3,"High",IF(_xlfn.MAXIFS(Risk_Register!$L:$L,Risk_Register!$B:$B,C71)=2,"Medium","Low"))</f>
        <v>High</v>
      </c>
      <c r="I71" s="5" t="str">
        <f aca="false">IF(B71&lt;=3,"Preferred site - strong composite profile",IF(B71&lt;=10,"Backup candidate - viable with monitoring","Reserve - evaluate only if primary sites unavailable"))</f>
        <v>Backup candidate - viable with monitoring</v>
      </c>
    </row>
    <row r="72" customFormat="false" ht="15" hidden="false" customHeight="true" outlineLevel="0" collapsed="false">
      <c r="A72" s="5" t="s">
        <v>62</v>
      </c>
      <c r="B72" s="5" t="n">
        <v>11</v>
      </c>
      <c r="C72" s="5" t="s">
        <v>1462</v>
      </c>
      <c r="D72" s="5" t="s">
        <v>1463</v>
      </c>
      <c r="E72" s="5" t="s">
        <v>918</v>
      </c>
      <c r="F72" s="5" t="n">
        <f aca="false">INDEX(Site_Evaluation!$K:$K,MATCH(C72,Site_Evaluation!$A:$A,0))</f>
        <v>64</v>
      </c>
      <c r="G72" s="5" t="n">
        <f aca="false">COUNTIFS(Risk_Register!B:B,C72,Risk_Register!G:G,"High")</f>
        <v>0</v>
      </c>
      <c r="H72" s="5" t="str">
        <f aca="false">IF(_xlfn.MAXIFS(Risk_Register!$L:$L,Risk_Register!$B:$B,C72)=3,"High",IF(_xlfn.MAXIFS(Risk_Register!$L:$L,Risk_Register!$B:$B,C72)=2,"Medium","Low"))</f>
        <v>Medium</v>
      </c>
      <c r="I72" s="5" t="str">
        <f aca="false">IF(B72&lt;=3,"Preferred site - strong composite profile",IF(B72&lt;=10,"Backup candidate - viable with monitoring","Reserve - evaluate only if primary sites unavailable"))</f>
        <v>Reserve - evaluate only if primary sites unavailable</v>
      </c>
    </row>
    <row r="73" customFormat="false" ht="15" hidden="false" customHeight="true" outlineLevel="0" collapsed="false">
      <c r="A73" s="5" t="s">
        <v>62</v>
      </c>
      <c r="B73" s="5" t="n">
        <v>12</v>
      </c>
      <c r="C73" s="5" t="s">
        <v>1350</v>
      </c>
      <c r="D73" s="5" t="s">
        <v>5970</v>
      </c>
      <c r="E73" s="5" t="s">
        <v>952</v>
      </c>
      <c r="F73" s="5" t="n">
        <f aca="false">INDEX(Site_Evaluation!$K:$K,MATCH(C73,Site_Evaluation!$A:$A,0))</f>
        <v>57</v>
      </c>
      <c r="G73" s="5" t="n">
        <f aca="false">COUNTIFS(Risk_Register!B:B,C73,Risk_Register!G:G,"High")</f>
        <v>1</v>
      </c>
      <c r="H73" s="5" t="str">
        <f aca="false">IF(_xlfn.MAXIFS(Risk_Register!$L:$L,Risk_Register!$B:$B,C73)=3,"High",IF(_xlfn.MAXIFS(Risk_Register!$L:$L,Risk_Register!$B:$B,C73)=2,"Medium","Low"))</f>
        <v>High</v>
      </c>
      <c r="I73" s="5" t="str">
        <f aca="false">IF(B73&lt;=3,"Preferred site - strong composite profile",IF(B73&lt;=10,"Backup candidate - viable with monitoring","Reserve - evaluate only if primary sites unavailable"))</f>
        <v>Reserve - evaluate only if primary sites unavailable</v>
      </c>
    </row>
    <row r="74" customFormat="false" ht="15" hidden="false" customHeight="true" outlineLevel="0" collapsed="false">
      <c r="A74" s="5" t="s">
        <v>62</v>
      </c>
      <c r="B74" s="5" t="n">
        <v>13</v>
      </c>
      <c r="C74" s="5" t="s">
        <v>1500</v>
      </c>
      <c r="D74" s="5" t="s">
        <v>1501</v>
      </c>
      <c r="E74" s="5" t="s">
        <v>935</v>
      </c>
      <c r="F74" s="5" t="n">
        <f aca="false">INDEX(Site_Evaluation!$K:$K,MATCH(C74,Site_Evaluation!$A:$A,0))</f>
        <v>63</v>
      </c>
      <c r="G74" s="5" t="n">
        <f aca="false">COUNTIFS(Risk_Register!B:B,C74,Risk_Register!G:G,"High")</f>
        <v>0</v>
      </c>
      <c r="H74" s="5" t="str">
        <f aca="false">IF(_xlfn.MAXIFS(Risk_Register!$L:$L,Risk_Register!$B:$B,C74)=3,"High",IF(_xlfn.MAXIFS(Risk_Register!$L:$L,Risk_Register!$B:$B,C74)=2,"Medium","Low"))</f>
        <v>Medium</v>
      </c>
      <c r="I74" s="5" t="str">
        <f aca="false">IF(B74&lt;=3,"Preferred site - strong composite profile",IF(B74&lt;=10,"Backup candidate - viable with monitoring","Reserve - evaluate only if primary sites unavailable"))</f>
        <v>Reserve - evaluate only if primary sites unavailable</v>
      </c>
    </row>
    <row r="75" customFormat="false" ht="15" hidden="false" customHeight="true" outlineLevel="0" collapsed="false">
      <c r="A75" s="5" t="s">
        <v>62</v>
      </c>
      <c r="B75" s="5" t="n">
        <v>14</v>
      </c>
      <c r="C75" s="5" t="s">
        <v>1102</v>
      </c>
      <c r="D75" s="5" t="s">
        <v>5971</v>
      </c>
      <c r="E75" s="5" t="s">
        <v>938</v>
      </c>
      <c r="F75" s="5" t="n">
        <f aca="false">INDEX(Site_Evaluation!$K:$K,MATCH(C75,Site_Evaluation!$A:$A,0))</f>
        <v>49</v>
      </c>
      <c r="G75" s="5" t="n">
        <f aca="false">COUNTIFS(Risk_Register!B:B,C75,Risk_Register!G:G,"High")</f>
        <v>2</v>
      </c>
      <c r="H75" s="5" t="str">
        <f aca="false">IF(_xlfn.MAXIFS(Risk_Register!$L:$L,Risk_Register!$B:$B,C75)=3,"High",IF(_xlfn.MAXIFS(Risk_Register!$L:$L,Risk_Register!$B:$B,C75)=2,"Medium","Low"))</f>
        <v>High</v>
      </c>
      <c r="I75" s="5" t="str">
        <f aca="false">IF(B75&lt;=3,"Preferred site - strong composite profile",IF(B75&lt;=10,"Backup candidate - viable with monitoring","Reserve - evaluate only if primary sites unavailable"))</f>
        <v>Reserve - evaluate only if primary sites unavailable</v>
      </c>
    </row>
    <row r="76" customFormat="false" ht="15" hidden="false" customHeight="true" outlineLevel="0" collapsed="false">
      <c r="A76" s="5" t="s">
        <v>62</v>
      </c>
      <c r="B76" s="5" t="n">
        <v>15</v>
      </c>
      <c r="C76" s="5" t="s">
        <v>1031</v>
      </c>
      <c r="D76" s="5" t="s">
        <v>5972</v>
      </c>
      <c r="E76" s="5" t="s">
        <v>935</v>
      </c>
      <c r="F76" s="5" t="n">
        <f aca="false">INDEX(Site_Evaluation!$K:$K,MATCH(C76,Site_Evaluation!$A:$A,0))</f>
        <v>67</v>
      </c>
      <c r="G76" s="5" t="n">
        <f aca="false">COUNTIFS(Risk_Register!B:B,C76,Risk_Register!G:G,"High")</f>
        <v>1</v>
      </c>
      <c r="H76" s="5" t="str">
        <f aca="false">IF(_xlfn.MAXIFS(Risk_Register!$L:$L,Risk_Register!$B:$B,C76)=3,"High",IF(_xlfn.MAXIFS(Risk_Register!$L:$L,Risk_Register!$B:$B,C76)=2,"Medium","Low"))</f>
        <v>High</v>
      </c>
      <c r="I76" s="5" t="str">
        <f aca="false">IF(B76&lt;=3,"Preferred site - strong composite profile",IF(B76&lt;=10,"Backup candidate - viable with monitoring","Reserve - evaluate only if primary sites unavailable"))</f>
        <v>Reserve - evaluate only if primary sites unavailable</v>
      </c>
    </row>
    <row r="77" customFormat="false" ht="15" hidden="false" customHeight="true" outlineLevel="0" collapsed="false">
      <c r="A77" s="5" t="s">
        <v>62</v>
      </c>
      <c r="B77" s="5" t="n">
        <v>16</v>
      </c>
      <c r="C77" s="5" t="s">
        <v>1117</v>
      </c>
      <c r="D77" s="5" t="s">
        <v>1924</v>
      </c>
      <c r="E77" s="5" t="s">
        <v>944</v>
      </c>
      <c r="F77" s="5" t="n">
        <f aca="false">INDEX(Site_Evaluation!$K:$K,MATCH(C77,Site_Evaluation!$A:$A,0))</f>
        <v>48</v>
      </c>
      <c r="G77" s="5" t="n">
        <f aca="false">COUNTIFS(Risk_Register!B:B,C77,Risk_Register!G:G,"High")</f>
        <v>0</v>
      </c>
      <c r="H77" s="5" t="str">
        <f aca="false">IF(_xlfn.MAXIFS(Risk_Register!$L:$L,Risk_Register!$B:$B,C77)=3,"High",IF(_xlfn.MAXIFS(Risk_Register!$L:$L,Risk_Register!$B:$B,C77)=2,"Medium","Low"))</f>
        <v>Medium</v>
      </c>
      <c r="I77" s="5" t="str">
        <f aca="false">IF(B77&lt;=3,"Preferred site - strong composite profile",IF(B77&lt;=10,"Backup candidate - viable with monitoring","Reserve - evaluate only if primary sites unavailable"))</f>
        <v>Reserve - evaluate only if primary sites unavailable</v>
      </c>
    </row>
    <row r="78" customFormat="false" ht="15" hidden="false" customHeight="true" outlineLevel="0" collapsed="false">
      <c r="A78" s="5" t="s">
        <v>62</v>
      </c>
      <c r="B78" s="5" t="n">
        <v>17</v>
      </c>
      <c r="C78" s="5" t="s">
        <v>1406</v>
      </c>
      <c r="D78" s="5" t="s">
        <v>1407</v>
      </c>
      <c r="E78" s="5" t="s">
        <v>925</v>
      </c>
      <c r="F78" s="5" t="n">
        <f aca="false">INDEX(Site_Evaluation!$K:$K,MATCH(C78,Site_Evaluation!$A:$A,0))</f>
        <v>63</v>
      </c>
      <c r="G78" s="5" t="n">
        <f aca="false">COUNTIFS(Risk_Register!B:B,C78,Risk_Register!G:G,"High")</f>
        <v>1</v>
      </c>
      <c r="H78" s="5" t="str">
        <f aca="false">IF(_xlfn.MAXIFS(Risk_Register!$L:$L,Risk_Register!$B:$B,C78)=3,"High",IF(_xlfn.MAXIFS(Risk_Register!$L:$L,Risk_Register!$B:$B,C78)=2,"Medium","Low"))</f>
        <v>High</v>
      </c>
      <c r="I78" s="5" t="str">
        <f aca="false">IF(B78&lt;=3,"Preferred site - strong composite profile",IF(B78&lt;=10,"Backup candidate - viable with monitoring","Reserve - evaluate only if primary sites unavailable"))</f>
        <v>Reserve - evaluate only if primary sites unavailable</v>
      </c>
    </row>
    <row r="79" customFormat="false" ht="15" hidden="false" customHeight="true" outlineLevel="0" collapsed="false">
      <c r="A79" s="5" t="s">
        <v>62</v>
      </c>
      <c r="B79" s="5" t="n">
        <v>18</v>
      </c>
      <c r="C79" s="5" t="s">
        <v>1481</v>
      </c>
      <c r="D79" s="5" t="s">
        <v>1482</v>
      </c>
      <c r="E79" s="5" t="s">
        <v>936</v>
      </c>
      <c r="F79" s="5" t="n">
        <f aca="false">INDEX(Site_Evaluation!$K:$K,MATCH(C79,Site_Evaluation!$A:$A,0))</f>
        <v>62</v>
      </c>
      <c r="G79" s="5" t="n">
        <f aca="false">COUNTIFS(Risk_Register!B:B,C79,Risk_Register!G:G,"High")</f>
        <v>0</v>
      </c>
      <c r="H79" s="5" t="str">
        <f aca="false">IF(_xlfn.MAXIFS(Risk_Register!$L:$L,Risk_Register!$B:$B,C79)=3,"High",IF(_xlfn.MAXIFS(Risk_Register!$L:$L,Risk_Register!$B:$B,C79)=2,"Medium","Low"))</f>
        <v>Medium</v>
      </c>
      <c r="I79" s="5" t="str">
        <f aca="false">IF(B79&lt;=3,"Preferred site - strong composite profile",IF(B79&lt;=10,"Backup candidate - viable with monitoring","Reserve - evaluate only if primary sites unavailable"))</f>
        <v>Reserve - evaluate only if primary sites unavailable</v>
      </c>
    </row>
    <row r="80" customFormat="false" ht="15" hidden="false" customHeight="true" outlineLevel="0" collapsed="false">
      <c r="A80" s="5" t="s">
        <v>62</v>
      </c>
      <c r="B80" s="5" t="n">
        <v>19</v>
      </c>
      <c r="C80" s="5" t="s">
        <v>1261</v>
      </c>
      <c r="D80" s="5" t="s">
        <v>1456</v>
      </c>
      <c r="E80" s="5" t="s">
        <v>940</v>
      </c>
      <c r="F80" s="5" t="n">
        <f aca="false">INDEX(Site_Evaluation!$K:$K,MATCH(C80,Site_Evaluation!$A:$A,0))</f>
        <v>64</v>
      </c>
      <c r="G80" s="5" t="n">
        <f aca="false">COUNTIFS(Risk_Register!B:B,C80,Risk_Register!G:G,"High")</f>
        <v>0</v>
      </c>
      <c r="H80" s="5" t="str">
        <f aca="false">IF(_xlfn.MAXIFS(Risk_Register!$L:$L,Risk_Register!$B:$B,C80)=3,"High",IF(_xlfn.MAXIFS(Risk_Register!$L:$L,Risk_Register!$B:$B,C80)=2,"Medium","Low"))</f>
        <v>Medium</v>
      </c>
      <c r="I80" s="5" t="str">
        <f aca="false">IF(B80&lt;=3,"Preferred site - strong composite profile",IF(B80&lt;=10,"Backup candidate - viable with monitoring","Reserve - evaluate only if primary sites unavailable"))</f>
        <v>Reserve - evaluate only if primary sites unavailable</v>
      </c>
    </row>
    <row r="81" customFormat="false" ht="15" hidden="false" customHeight="true" outlineLevel="0" collapsed="false">
      <c r="A81" s="5" t="s">
        <v>62</v>
      </c>
      <c r="B81" s="5" t="n">
        <v>20</v>
      </c>
      <c r="C81" s="5" t="s">
        <v>1515</v>
      </c>
      <c r="D81" s="5" t="s">
        <v>1516</v>
      </c>
      <c r="E81" s="5" t="s">
        <v>946</v>
      </c>
      <c r="F81" s="5" t="n">
        <f aca="false">INDEX(Site_Evaluation!$K:$K,MATCH(C81,Site_Evaluation!$A:$A,0))</f>
        <v>61</v>
      </c>
      <c r="G81" s="5" t="n">
        <f aca="false">COUNTIFS(Risk_Register!B:B,C81,Risk_Register!G:G,"High")</f>
        <v>0</v>
      </c>
      <c r="H81" s="5" t="str">
        <f aca="false">IF(_xlfn.MAXIFS(Risk_Register!$L:$L,Risk_Register!$B:$B,C81)=3,"High",IF(_xlfn.MAXIFS(Risk_Register!$L:$L,Risk_Register!$B:$B,C81)=2,"Medium","Low"))</f>
        <v>Medium</v>
      </c>
      <c r="I81" s="5" t="str">
        <f aca="false">IF(B81&lt;=3,"Preferred site - strong composite profile",IF(B81&lt;=10,"Backup candidate - viable with monitoring","Reserve - evaluate only if primary sites unavailable"))</f>
        <v>Reserve - evaluate only if primary sites unavailable</v>
      </c>
    </row>
    <row r="82" customFormat="false" ht="15" hidden="false" customHeight="true" outlineLevel="0" collapsed="false">
      <c r="A82" s="5" t="s">
        <v>66</v>
      </c>
      <c r="B82" s="5" t="n">
        <v>1</v>
      </c>
      <c r="C82" s="5" t="s">
        <v>1474</v>
      </c>
      <c r="D82" s="5" t="s">
        <v>1475</v>
      </c>
      <c r="E82" s="5" t="s">
        <v>931</v>
      </c>
      <c r="F82" s="5" t="n">
        <f aca="false">INDEX(Site_Evaluation!$K:$K,MATCH(C82,Site_Evaluation!$A:$A,0))</f>
        <v>75</v>
      </c>
      <c r="G82" s="5" t="n">
        <f aca="false">COUNTIFS(Risk_Register!B:B,C82,Risk_Register!G:G,"High")</f>
        <v>0</v>
      </c>
      <c r="H82" s="5" t="str">
        <f aca="false">IF(_xlfn.MAXIFS(Risk_Register!$L:$L,Risk_Register!$B:$B,C82)=3,"High",IF(_xlfn.MAXIFS(Risk_Register!$L:$L,Risk_Register!$B:$B,C82)=2,"Medium","Low"))</f>
        <v>Medium</v>
      </c>
      <c r="I82" s="5" t="str">
        <f aca="false">IF(B82&lt;=3,"Preferred site - strong composite profile",IF(B82&lt;=10,"Backup candidate - viable with monitoring","Reserve - evaluate only if primary sites unavailable"))</f>
        <v>Preferred site - strong composite profile</v>
      </c>
    </row>
    <row r="83" customFormat="false" ht="15" hidden="false" customHeight="true" outlineLevel="0" collapsed="false">
      <c r="A83" s="5" t="s">
        <v>66</v>
      </c>
      <c r="B83" s="5" t="n">
        <v>2</v>
      </c>
      <c r="C83" s="5" t="s">
        <v>1552</v>
      </c>
      <c r="D83" s="5" t="s">
        <v>1553</v>
      </c>
      <c r="E83" s="5" t="s">
        <v>952</v>
      </c>
      <c r="F83" s="5" t="n">
        <f aca="false">INDEX(Site_Evaluation!$K:$K,MATCH(C83,Site_Evaluation!$A:$A,0))</f>
        <v>70</v>
      </c>
      <c r="G83" s="5" t="n">
        <f aca="false">COUNTIFS(Risk_Register!B:B,C83,Risk_Register!G:G,"High")</f>
        <v>0</v>
      </c>
      <c r="H83" s="5" t="str">
        <f aca="false">IF(_xlfn.MAXIFS(Risk_Register!$L:$L,Risk_Register!$B:$B,C83)=3,"High",IF(_xlfn.MAXIFS(Risk_Register!$L:$L,Risk_Register!$B:$B,C83)=2,"Medium","Low"))</f>
        <v>Medium</v>
      </c>
      <c r="I83" s="5" t="str">
        <f aca="false">IF(B83&lt;=3,"Preferred site - strong composite profile",IF(B83&lt;=10,"Backup candidate - viable with monitoring","Reserve - evaluate only if primary sites unavailable"))</f>
        <v>Preferred site - strong composite profile</v>
      </c>
    </row>
    <row r="84" customFormat="false" ht="15" hidden="false" customHeight="true" outlineLevel="0" collapsed="false">
      <c r="A84" s="5" t="s">
        <v>66</v>
      </c>
      <c r="B84" s="5" t="n">
        <v>3</v>
      </c>
      <c r="C84" s="5" t="s">
        <v>1244</v>
      </c>
      <c r="D84" s="5" t="s">
        <v>5973</v>
      </c>
      <c r="E84" s="5" t="s">
        <v>958</v>
      </c>
      <c r="F84" s="5" t="n">
        <f aca="false">INDEX(Site_Evaluation!$K:$K,MATCH(C84,Site_Evaluation!$A:$A,0))</f>
        <v>49</v>
      </c>
      <c r="G84" s="5" t="n">
        <f aca="false">COUNTIFS(Risk_Register!B:B,C84,Risk_Register!G:G,"High")</f>
        <v>0</v>
      </c>
      <c r="H84" s="5" t="str">
        <f aca="false">IF(_xlfn.MAXIFS(Risk_Register!$L:$L,Risk_Register!$B:$B,C84)=3,"High",IF(_xlfn.MAXIFS(Risk_Register!$L:$L,Risk_Register!$B:$B,C84)=2,"Medium","Low"))</f>
        <v>Medium</v>
      </c>
      <c r="I84" s="5" t="str">
        <f aca="false">IF(B84&lt;=3,"Preferred site - strong composite profile",IF(B84&lt;=10,"Backup candidate - viable with monitoring","Reserve - evaluate only if primary sites unavailable"))</f>
        <v>Preferred site - strong composite profile</v>
      </c>
    </row>
    <row r="85" customFormat="false" ht="15" hidden="false" customHeight="true" outlineLevel="0" collapsed="false">
      <c r="A85" s="5" t="s">
        <v>66</v>
      </c>
      <c r="B85" s="5" t="n">
        <v>4</v>
      </c>
      <c r="C85" s="5" t="s">
        <v>1239</v>
      </c>
      <c r="D85" s="5" t="s">
        <v>1172</v>
      </c>
      <c r="E85" s="5" t="s">
        <v>923</v>
      </c>
      <c r="F85" s="5" t="n">
        <f aca="false">INDEX(Site_Evaluation!$K:$K,MATCH(C85,Site_Evaluation!$A:$A,0))</f>
        <v>47</v>
      </c>
      <c r="G85" s="5" t="n">
        <f aca="false">COUNTIFS(Risk_Register!B:B,C85,Risk_Register!G:G,"High")</f>
        <v>1</v>
      </c>
      <c r="H85" s="5" t="str">
        <f aca="false">IF(_xlfn.MAXIFS(Risk_Register!$L:$L,Risk_Register!$B:$B,C85)=3,"High",IF(_xlfn.MAXIFS(Risk_Register!$L:$L,Risk_Register!$B:$B,C85)=2,"Medium","Low"))</f>
        <v>High</v>
      </c>
      <c r="I85" s="5" t="str">
        <f aca="false">IF(B85&lt;=3,"Preferred site - strong composite profile",IF(B85&lt;=10,"Backup candidate - viable with monitoring","Reserve - evaluate only if primary sites unavailable"))</f>
        <v>Backup candidate - viable with monitoring</v>
      </c>
    </row>
    <row r="86" customFormat="false" ht="15" hidden="false" customHeight="true" outlineLevel="0" collapsed="false">
      <c r="A86" s="5" t="s">
        <v>66</v>
      </c>
      <c r="B86" s="5" t="n">
        <v>5</v>
      </c>
      <c r="C86" s="5" t="s">
        <v>1492</v>
      </c>
      <c r="D86" s="5" t="s">
        <v>1493</v>
      </c>
      <c r="E86" s="5" t="s">
        <v>921</v>
      </c>
      <c r="F86" s="5" t="n">
        <f aca="false">INDEX(Site_Evaluation!$K:$K,MATCH(C86,Site_Evaluation!$A:$A,0))</f>
        <v>67</v>
      </c>
      <c r="G86" s="5" t="n">
        <f aca="false">COUNTIFS(Risk_Register!B:B,C86,Risk_Register!G:G,"High")</f>
        <v>0</v>
      </c>
      <c r="H86" s="5" t="str">
        <f aca="false">IF(_xlfn.MAXIFS(Risk_Register!$L:$L,Risk_Register!$B:$B,C86)=3,"High",IF(_xlfn.MAXIFS(Risk_Register!$L:$L,Risk_Register!$B:$B,C86)=2,"Medium","Low"))</f>
        <v>Medium</v>
      </c>
      <c r="I86" s="5" t="str">
        <f aca="false">IF(B86&lt;=3,"Preferred site - strong composite profile",IF(B86&lt;=10,"Backup candidate - viable with monitoring","Reserve - evaluate only if primary sites unavailable"))</f>
        <v>Backup candidate - viable with monitoring</v>
      </c>
    </row>
    <row r="87" customFormat="false" ht="15" hidden="false" customHeight="true" outlineLevel="0" collapsed="false">
      <c r="A87" s="5" t="s">
        <v>66</v>
      </c>
      <c r="B87" s="5" t="n">
        <v>6</v>
      </c>
      <c r="C87" s="5" t="s">
        <v>1060</v>
      </c>
      <c r="D87" s="5" t="s">
        <v>5974</v>
      </c>
      <c r="E87" s="5" t="s">
        <v>918</v>
      </c>
      <c r="F87" s="5" t="n">
        <f aca="false">INDEX(Site_Evaluation!$K:$K,MATCH(C87,Site_Evaluation!$A:$A,0))</f>
        <v>23</v>
      </c>
      <c r="G87" s="5" t="n">
        <f aca="false">COUNTIFS(Risk_Register!B:B,C87,Risk_Register!G:G,"High")</f>
        <v>0</v>
      </c>
      <c r="H87" s="5" t="str">
        <f aca="false">IF(_xlfn.MAXIFS(Risk_Register!$L:$L,Risk_Register!$B:$B,C87)=3,"High",IF(_xlfn.MAXIFS(Risk_Register!$L:$L,Risk_Register!$B:$B,C87)=2,"Medium","Low"))</f>
        <v>Medium</v>
      </c>
      <c r="I87" s="5" t="str">
        <f aca="false">IF(B87&lt;=3,"Preferred site - strong composite profile",IF(B87&lt;=10,"Backup candidate - viable with monitoring","Reserve - evaluate only if primary sites unavailable"))</f>
        <v>Backup candidate - viable with monitoring</v>
      </c>
    </row>
    <row r="88" customFormat="false" ht="15" hidden="false" customHeight="true" outlineLevel="0" collapsed="false">
      <c r="A88" s="5" t="s">
        <v>66</v>
      </c>
      <c r="B88" s="5" t="n">
        <v>7</v>
      </c>
      <c r="C88" s="5" t="s">
        <v>1384</v>
      </c>
      <c r="D88" s="5" t="s">
        <v>1385</v>
      </c>
      <c r="E88" s="5" t="s">
        <v>929</v>
      </c>
      <c r="F88" s="5" t="n">
        <f aca="false">INDEX(Site_Evaluation!$K:$K,MATCH(C88,Site_Evaluation!$A:$A,0))</f>
        <v>66</v>
      </c>
      <c r="G88" s="5" t="n">
        <f aca="false">COUNTIFS(Risk_Register!B:B,C88,Risk_Register!G:G,"High")</f>
        <v>1</v>
      </c>
      <c r="H88" s="5" t="str">
        <f aca="false">IF(_xlfn.MAXIFS(Risk_Register!$L:$L,Risk_Register!$B:$B,C88)=3,"High",IF(_xlfn.MAXIFS(Risk_Register!$L:$L,Risk_Register!$B:$B,C88)=2,"Medium","Low"))</f>
        <v>High</v>
      </c>
      <c r="I88" s="5" t="str">
        <f aca="false">IF(B88&lt;=3,"Preferred site - strong composite profile",IF(B88&lt;=10,"Backup candidate - viable with monitoring","Reserve - evaluate only if primary sites unavailable"))</f>
        <v>Backup candidate - viable with monitoring</v>
      </c>
    </row>
    <row r="89" customFormat="false" ht="15" hidden="false" customHeight="true" outlineLevel="0" collapsed="false">
      <c r="A89" s="5" t="s">
        <v>66</v>
      </c>
      <c r="B89" s="5" t="n">
        <v>8</v>
      </c>
      <c r="C89" s="5" t="s">
        <v>1265</v>
      </c>
      <c r="D89" s="5" t="s">
        <v>5975</v>
      </c>
      <c r="E89" s="5" t="s">
        <v>921</v>
      </c>
      <c r="F89" s="5" t="n">
        <f aca="false">INDEX(Site_Evaluation!$K:$K,MATCH(C89,Site_Evaluation!$A:$A,0))</f>
        <v>65</v>
      </c>
      <c r="G89" s="5" t="n">
        <f aca="false">COUNTIFS(Risk_Register!B:B,C89,Risk_Register!G:G,"High")</f>
        <v>0</v>
      </c>
      <c r="H89" s="5" t="str">
        <f aca="false">IF(_xlfn.MAXIFS(Risk_Register!$L:$L,Risk_Register!$B:$B,C89)=3,"High",IF(_xlfn.MAXIFS(Risk_Register!$L:$L,Risk_Register!$B:$B,C89)=2,"Medium","Low"))</f>
        <v>Medium</v>
      </c>
      <c r="I89" s="5" t="str">
        <f aca="false">IF(B89&lt;=3,"Preferred site - strong composite profile",IF(B89&lt;=10,"Backup candidate - viable with monitoring","Reserve - evaluate only if primary sites unavailable"))</f>
        <v>Backup candidate - viable with monitoring</v>
      </c>
    </row>
    <row r="90" customFormat="false" ht="15" hidden="false" customHeight="true" outlineLevel="0" collapsed="false">
      <c r="A90" s="5" t="s">
        <v>66</v>
      </c>
      <c r="B90" s="5" t="n">
        <v>9</v>
      </c>
      <c r="C90" s="5" t="s">
        <v>1476</v>
      </c>
      <c r="D90" s="5" t="s">
        <v>1477</v>
      </c>
      <c r="E90" s="5" t="s">
        <v>925</v>
      </c>
      <c r="F90" s="5" t="n">
        <f aca="false">INDEX(Site_Evaluation!$K:$K,MATCH(C90,Site_Evaluation!$A:$A,0))</f>
        <v>66</v>
      </c>
      <c r="G90" s="5" t="n">
        <f aca="false">COUNTIFS(Risk_Register!B:B,C90,Risk_Register!G:G,"High")</f>
        <v>0</v>
      </c>
      <c r="H90" s="5" t="str">
        <f aca="false">IF(_xlfn.MAXIFS(Risk_Register!$L:$L,Risk_Register!$B:$B,C90)=3,"High",IF(_xlfn.MAXIFS(Risk_Register!$L:$L,Risk_Register!$B:$B,C90)=2,"Medium","Low"))</f>
        <v>Medium</v>
      </c>
      <c r="I90" s="5" t="str">
        <f aca="false">IF(B90&lt;=3,"Preferred site - strong composite profile",IF(B90&lt;=10,"Backup candidate - viable with monitoring","Reserve - evaluate only if primary sites unavailable"))</f>
        <v>Backup candidate - viable with monitoring</v>
      </c>
    </row>
    <row r="91" customFormat="false" ht="15" hidden="false" customHeight="true" outlineLevel="0" collapsed="false">
      <c r="A91" s="5" t="s">
        <v>66</v>
      </c>
      <c r="B91" s="5" t="n">
        <v>10</v>
      </c>
      <c r="C91" s="5" t="s">
        <v>1445</v>
      </c>
      <c r="D91" s="5" t="s">
        <v>1446</v>
      </c>
      <c r="E91" s="5" t="s">
        <v>944</v>
      </c>
      <c r="F91" s="5" t="n">
        <f aca="false">INDEX(Site_Evaluation!$K:$K,MATCH(C91,Site_Evaluation!$A:$A,0))</f>
        <v>65</v>
      </c>
      <c r="G91" s="5" t="n">
        <f aca="false">COUNTIFS(Risk_Register!B:B,C91,Risk_Register!G:G,"High")</f>
        <v>0</v>
      </c>
      <c r="H91" s="5" t="str">
        <f aca="false">IF(_xlfn.MAXIFS(Risk_Register!$L:$L,Risk_Register!$B:$B,C91)=3,"High",IF(_xlfn.MAXIFS(Risk_Register!$L:$L,Risk_Register!$B:$B,C91)=2,"Medium","Low"))</f>
        <v>Medium</v>
      </c>
      <c r="I91" s="5" t="str">
        <f aca="false">IF(B91&lt;=3,"Preferred site - strong composite profile",IF(B91&lt;=10,"Backup candidate - viable with monitoring","Reserve - evaluate only if primary sites unavailable"))</f>
        <v>Backup candidate - viable with monitoring</v>
      </c>
    </row>
    <row r="92" customFormat="false" ht="15" hidden="false" customHeight="true" outlineLevel="0" collapsed="false">
      <c r="A92" s="5" t="s">
        <v>66</v>
      </c>
      <c r="B92" s="5" t="n">
        <v>11</v>
      </c>
      <c r="C92" s="5" t="s">
        <v>1459</v>
      </c>
      <c r="D92" s="5" t="s">
        <v>1460</v>
      </c>
      <c r="E92" s="5" t="s">
        <v>950</v>
      </c>
      <c r="F92" s="5" t="n">
        <f aca="false">INDEX(Site_Evaluation!$K:$K,MATCH(C92,Site_Evaluation!$A:$A,0))</f>
        <v>65</v>
      </c>
      <c r="G92" s="5" t="n">
        <f aca="false">COUNTIFS(Risk_Register!B:B,C92,Risk_Register!G:G,"High")</f>
        <v>0</v>
      </c>
      <c r="H92" s="5" t="str">
        <f aca="false">IF(_xlfn.MAXIFS(Risk_Register!$L:$L,Risk_Register!$B:$B,C92)=3,"High",IF(_xlfn.MAXIFS(Risk_Register!$L:$L,Risk_Register!$B:$B,C92)=2,"Medium","Low"))</f>
        <v>Low</v>
      </c>
      <c r="I92" s="5" t="str">
        <f aca="false">IF(B92&lt;=3,"Preferred site - strong composite profile",IF(B92&lt;=10,"Backup candidate - viable with monitoring","Reserve - evaluate only if primary sites unavailable"))</f>
        <v>Reserve - evaluate only if primary sites unavailable</v>
      </c>
    </row>
    <row r="93" customFormat="false" ht="15" hidden="false" customHeight="true" outlineLevel="0" collapsed="false">
      <c r="A93" s="5" t="s">
        <v>66</v>
      </c>
      <c r="B93" s="5" t="n">
        <v>12</v>
      </c>
      <c r="C93" s="5" t="s">
        <v>1223</v>
      </c>
      <c r="D93" s="5" t="s">
        <v>1347</v>
      </c>
      <c r="E93" s="5" t="s">
        <v>927</v>
      </c>
      <c r="F93" s="5" t="n">
        <f aca="false">INDEX(Site_Evaluation!$K:$K,MATCH(C93,Site_Evaluation!$A:$A,0))</f>
        <v>42</v>
      </c>
      <c r="G93" s="5" t="n">
        <f aca="false">COUNTIFS(Risk_Register!B:B,C93,Risk_Register!G:G,"High")</f>
        <v>0</v>
      </c>
      <c r="H93" s="5" t="str">
        <f aca="false">IF(_xlfn.MAXIFS(Risk_Register!$L:$L,Risk_Register!$B:$B,C93)=3,"High",IF(_xlfn.MAXIFS(Risk_Register!$L:$L,Risk_Register!$B:$B,C93)=2,"Medium","Low"))</f>
        <v>Medium</v>
      </c>
      <c r="I93" s="5" t="str">
        <f aca="false">IF(B93&lt;=3,"Preferred site - strong composite profile",IF(B93&lt;=10,"Backup candidate - viable with monitoring","Reserve - evaluate only if primary sites unavailable"))</f>
        <v>Reserve - evaluate only if primary sites unavailable</v>
      </c>
    </row>
    <row r="94" customFormat="false" ht="15" hidden="false" customHeight="true" outlineLevel="0" collapsed="false">
      <c r="A94" s="5" t="s">
        <v>66</v>
      </c>
      <c r="B94" s="5" t="n">
        <v>13</v>
      </c>
      <c r="C94" s="5" t="s">
        <v>1062</v>
      </c>
      <c r="D94" s="5" t="s">
        <v>5976</v>
      </c>
      <c r="E94" s="5" t="s">
        <v>962</v>
      </c>
      <c r="F94" s="5" t="n">
        <f aca="false">INDEX(Site_Evaluation!$K:$K,MATCH(C94,Site_Evaluation!$A:$A,0))</f>
        <v>57</v>
      </c>
      <c r="G94" s="5" t="n">
        <f aca="false">COUNTIFS(Risk_Register!B:B,C94,Risk_Register!G:G,"High")</f>
        <v>1</v>
      </c>
      <c r="H94" s="5" t="str">
        <f aca="false">IF(_xlfn.MAXIFS(Risk_Register!$L:$L,Risk_Register!$B:$B,C94)=3,"High",IF(_xlfn.MAXIFS(Risk_Register!$L:$L,Risk_Register!$B:$B,C94)=2,"Medium","Low"))</f>
        <v>High</v>
      </c>
      <c r="I94" s="5" t="str">
        <f aca="false">IF(B94&lt;=3,"Preferred site - strong composite profile",IF(B94&lt;=10,"Backup candidate - viable with monitoring","Reserve - evaluate only if primary sites unavailable"))</f>
        <v>Reserve - evaluate only if primary sites unavailable</v>
      </c>
    </row>
    <row r="95" customFormat="false" ht="15" hidden="false" customHeight="true" outlineLevel="0" collapsed="false">
      <c r="A95" s="5" t="s">
        <v>66</v>
      </c>
      <c r="B95" s="5" t="n">
        <v>14</v>
      </c>
      <c r="C95" s="5" t="s">
        <v>1166</v>
      </c>
      <c r="D95" s="5" t="s">
        <v>5977</v>
      </c>
      <c r="E95" s="5" t="s">
        <v>936</v>
      </c>
      <c r="F95" s="5" t="n">
        <f aca="false">INDEX(Site_Evaluation!$K:$K,MATCH(C95,Site_Evaluation!$A:$A,0))</f>
        <v>54</v>
      </c>
      <c r="G95" s="5" t="n">
        <f aca="false">COUNTIFS(Risk_Register!B:B,C95,Risk_Register!G:G,"High")</f>
        <v>0</v>
      </c>
      <c r="H95" s="5" t="str">
        <f aca="false">IF(_xlfn.MAXIFS(Risk_Register!$L:$L,Risk_Register!$B:$B,C95)=3,"High",IF(_xlfn.MAXIFS(Risk_Register!$L:$L,Risk_Register!$B:$B,C95)=2,"Medium","Low"))</f>
        <v>Medium</v>
      </c>
      <c r="I95" s="5" t="str">
        <f aca="false">IF(B95&lt;=3,"Preferred site - strong composite profile",IF(B95&lt;=10,"Backup candidate - viable with monitoring","Reserve - evaluate only if primary sites unavailable"))</f>
        <v>Reserve - evaluate only if primary sites unavailable</v>
      </c>
    </row>
    <row r="96" customFormat="false" ht="15" hidden="false" customHeight="true" outlineLevel="0" collapsed="false">
      <c r="A96" s="5" t="s">
        <v>66</v>
      </c>
      <c r="B96" s="5" t="n">
        <v>15</v>
      </c>
      <c r="C96" s="5" t="s">
        <v>1341</v>
      </c>
      <c r="D96" s="5" t="s">
        <v>1387</v>
      </c>
      <c r="E96" s="5" t="s">
        <v>925</v>
      </c>
      <c r="F96" s="5" t="n">
        <f aca="false">INDEX(Site_Evaluation!$K:$K,MATCH(C96,Site_Evaluation!$A:$A,0))</f>
        <v>65</v>
      </c>
      <c r="G96" s="5" t="n">
        <f aca="false">COUNTIFS(Risk_Register!B:B,C96,Risk_Register!G:G,"High")</f>
        <v>1</v>
      </c>
      <c r="H96" s="5" t="str">
        <f aca="false">IF(_xlfn.MAXIFS(Risk_Register!$L:$L,Risk_Register!$B:$B,C96)=3,"High",IF(_xlfn.MAXIFS(Risk_Register!$L:$L,Risk_Register!$B:$B,C96)=2,"Medium","Low"))</f>
        <v>High</v>
      </c>
      <c r="I96" s="5" t="str">
        <f aca="false">IF(B96&lt;=3,"Preferred site - strong composite profile",IF(B96&lt;=10,"Backup candidate - viable with monitoring","Reserve - evaluate only if primary sites unavailable"))</f>
        <v>Reserve - evaluate only if primary sites unavailable</v>
      </c>
    </row>
    <row r="97" customFormat="false" ht="15" hidden="false" customHeight="true" outlineLevel="0" collapsed="false">
      <c r="A97" s="5" t="s">
        <v>66</v>
      </c>
      <c r="B97" s="5" t="n">
        <v>16</v>
      </c>
      <c r="C97" s="5" t="s">
        <v>991</v>
      </c>
      <c r="D97" s="5" t="s">
        <v>5978</v>
      </c>
      <c r="E97" s="5" t="s">
        <v>920</v>
      </c>
      <c r="F97" s="5" t="n">
        <f aca="false">INDEX(Site_Evaluation!$K:$K,MATCH(C97,Site_Evaluation!$A:$A,0))</f>
        <v>75</v>
      </c>
      <c r="G97" s="5" t="n">
        <f aca="false">COUNTIFS(Risk_Register!B:B,C97,Risk_Register!G:G,"High")</f>
        <v>0</v>
      </c>
      <c r="H97" s="5" t="str">
        <f aca="false">IF(_xlfn.MAXIFS(Risk_Register!$L:$L,Risk_Register!$B:$B,C97)=3,"High",IF(_xlfn.MAXIFS(Risk_Register!$L:$L,Risk_Register!$B:$B,C97)=2,"Medium","Low"))</f>
        <v>Medium</v>
      </c>
      <c r="I97" s="5" t="str">
        <f aca="false">IF(B97&lt;=3,"Preferred site - strong composite profile",IF(B97&lt;=10,"Backup candidate - viable with monitoring","Reserve - evaluate only if primary sites unavailable"))</f>
        <v>Reserve - evaluate only if primary sites unavailable</v>
      </c>
    </row>
    <row r="98" customFormat="false" ht="15" hidden="false" customHeight="true" outlineLevel="0" collapsed="false">
      <c r="A98" s="5" t="s">
        <v>66</v>
      </c>
      <c r="B98" s="5" t="n">
        <v>17</v>
      </c>
      <c r="C98" s="5" t="s">
        <v>1270</v>
      </c>
      <c r="D98" s="5" t="s">
        <v>1091</v>
      </c>
      <c r="E98" s="5" t="s">
        <v>920</v>
      </c>
      <c r="F98" s="5" t="n">
        <f aca="false">INDEX(Site_Evaluation!$K:$K,MATCH(C98,Site_Evaluation!$A:$A,0))</f>
        <v>54</v>
      </c>
      <c r="G98" s="5" t="n">
        <f aca="false">COUNTIFS(Risk_Register!B:B,C98,Risk_Register!G:G,"High")</f>
        <v>1</v>
      </c>
      <c r="H98" s="5" t="str">
        <f aca="false">IF(_xlfn.MAXIFS(Risk_Register!$L:$L,Risk_Register!$B:$B,C98)=3,"High",IF(_xlfn.MAXIFS(Risk_Register!$L:$L,Risk_Register!$B:$B,C98)=2,"Medium","Low"))</f>
        <v>High</v>
      </c>
      <c r="I98" s="5" t="str">
        <f aca="false">IF(B98&lt;=3,"Preferred site - strong composite profile",IF(B98&lt;=10,"Backup candidate - viable with monitoring","Reserve - evaluate only if primary sites unavailable"))</f>
        <v>Reserve - evaluate only if primary sites unavailable</v>
      </c>
    </row>
    <row r="99" customFormat="false" ht="15" hidden="false" customHeight="true" outlineLevel="0" collapsed="false">
      <c r="A99" s="5" t="s">
        <v>66</v>
      </c>
      <c r="B99" s="5" t="n">
        <v>18</v>
      </c>
      <c r="C99" s="5" t="s">
        <v>1348</v>
      </c>
      <c r="D99" s="5" t="s">
        <v>5979</v>
      </c>
      <c r="E99" s="5" t="s">
        <v>935</v>
      </c>
      <c r="F99" s="5" t="n">
        <f aca="false">INDEX(Site_Evaluation!$K:$K,MATCH(C99,Site_Evaluation!$A:$A,0))</f>
        <v>72</v>
      </c>
      <c r="G99" s="5" t="n">
        <f aca="false">COUNTIFS(Risk_Register!B:B,C99,Risk_Register!G:G,"High")</f>
        <v>1</v>
      </c>
      <c r="H99" s="5" t="str">
        <f aca="false">IF(_xlfn.MAXIFS(Risk_Register!$L:$L,Risk_Register!$B:$B,C99)=3,"High",IF(_xlfn.MAXIFS(Risk_Register!$L:$L,Risk_Register!$B:$B,C99)=2,"Medium","Low"))</f>
        <v>High</v>
      </c>
      <c r="I99" s="5" t="str">
        <f aca="false">IF(B99&lt;=3,"Preferred site - strong composite profile",IF(B99&lt;=10,"Backup candidate - viable with monitoring","Reserve - evaluate only if primary sites unavailable"))</f>
        <v>Reserve - evaluate only if primary sites unavailable</v>
      </c>
    </row>
    <row r="100" customFormat="false" ht="15" hidden="false" customHeight="true" outlineLevel="0" collapsed="false">
      <c r="A100" s="5" t="s">
        <v>66</v>
      </c>
      <c r="B100" s="5" t="n">
        <v>19</v>
      </c>
      <c r="C100" s="5" t="s">
        <v>1263</v>
      </c>
      <c r="D100" s="5" t="s">
        <v>5980</v>
      </c>
      <c r="E100" s="5" t="s">
        <v>946</v>
      </c>
      <c r="F100" s="5" t="n">
        <f aca="false">INDEX(Site_Evaluation!$K:$K,MATCH(C100,Site_Evaluation!$A:$A,0))</f>
        <v>59</v>
      </c>
      <c r="G100" s="5" t="n">
        <f aca="false">COUNTIFS(Risk_Register!B:B,C100,Risk_Register!G:G,"High")</f>
        <v>0</v>
      </c>
      <c r="H100" s="5" t="str">
        <f aca="false">IF(_xlfn.MAXIFS(Risk_Register!$L:$L,Risk_Register!$B:$B,C100)=3,"High",IF(_xlfn.MAXIFS(Risk_Register!$L:$L,Risk_Register!$B:$B,C100)=2,"Medium","Low"))</f>
        <v>Medium</v>
      </c>
      <c r="I100" s="5" t="str">
        <f aca="false">IF(B100&lt;=3,"Preferred site - strong composite profile",IF(B100&lt;=10,"Backup candidate - viable with monitoring","Reserve - evaluate only if primary sites unavailable"))</f>
        <v>Reserve - evaluate only if primary sites unavailable</v>
      </c>
    </row>
    <row r="101" customFormat="false" ht="15" hidden="false" customHeight="true" outlineLevel="0" collapsed="false">
      <c r="A101" s="5" t="s">
        <v>66</v>
      </c>
      <c r="B101" s="5" t="n">
        <v>20</v>
      </c>
      <c r="C101" s="5" t="s">
        <v>1038</v>
      </c>
      <c r="D101" s="5" t="s">
        <v>5981</v>
      </c>
      <c r="E101" s="5" t="s">
        <v>962</v>
      </c>
      <c r="F101" s="5" t="n">
        <f aca="false">INDEX(Site_Evaluation!$K:$K,MATCH(C101,Site_Evaluation!$A:$A,0))</f>
        <v>65</v>
      </c>
      <c r="G101" s="5" t="n">
        <f aca="false">COUNTIFS(Risk_Register!B:B,C101,Risk_Register!G:G,"High")</f>
        <v>0</v>
      </c>
      <c r="H101" s="5" t="str">
        <f aca="false">IF(_xlfn.MAXIFS(Risk_Register!$L:$L,Risk_Register!$B:$B,C101)=3,"High",IF(_xlfn.MAXIFS(Risk_Register!$L:$L,Risk_Register!$B:$B,C101)=2,"Medium","Low"))</f>
        <v>Medium</v>
      </c>
      <c r="I101" s="5" t="str">
        <f aca="false">IF(B101&lt;=3,"Preferred site - strong composite profile",IF(B101&lt;=10,"Backup candidate - viable with monitoring","Reserve - evaluate only if primary sites unavailable"))</f>
        <v>Reserve - evaluate only if primary sites unavailable</v>
      </c>
    </row>
    <row r="102" customFormat="false" ht="15" hidden="false" customHeight="true" outlineLevel="0" collapsed="false">
      <c r="A102" s="5" t="s">
        <v>70</v>
      </c>
      <c r="B102" s="5" t="n">
        <v>1</v>
      </c>
      <c r="C102" s="5" t="s">
        <v>1309</v>
      </c>
      <c r="D102" s="5" t="s">
        <v>1192</v>
      </c>
      <c r="E102" s="5" t="s">
        <v>925</v>
      </c>
      <c r="F102" s="5" t="n">
        <f aca="false">INDEX(Site_Evaluation!$K:$K,MATCH(C102,Site_Evaluation!$A:$A,0))</f>
        <v>53</v>
      </c>
      <c r="G102" s="5" t="n">
        <f aca="false">COUNTIFS(Risk_Register!B:B,C102,Risk_Register!G:G,"High")</f>
        <v>0</v>
      </c>
      <c r="H102" s="5" t="str">
        <f aca="false">IF(_xlfn.MAXIFS(Risk_Register!$L:$L,Risk_Register!$B:$B,C102)=3,"High",IF(_xlfn.MAXIFS(Risk_Register!$L:$L,Risk_Register!$B:$B,C102)=2,"Medium","Low"))</f>
        <v>Medium</v>
      </c>
      <c r="I102" s="5" t="str">
        <f aca="false">IF(B102&lt;=3,"Preferred site - strong composite profile",IF(B102&lt;=10,"Backup candidate - viable with monitoring","Reserve - evaluate only if primary sites unavailable"))</f>
        <v>Preferred site - strong composite profile</v>
      </c>
    </row>
    <row r="103" customFormat="false" ht="15" hidden="false" customHeight="true" outlineLevel="0" collapsed="false">
      <c r="A103" s="5" t="s">
        <v>70</v>
      </c>
      <c r="B103" s="5" t="n">
        <v>2</v>
      </c>
      <c r="C103" s="5" t="s">
        <v>1352</v>
      </c>
      <c r="D103" s="5" t="s">
        <v>5982</v>
      </c>
      <c r="E103" s="5" t="s">
        <v>933</v>
      </c>
      <c r="F103" s="5" t="n">
        <f aca="false">INDEX(Site_Evaluation!$K:$K,MATCH(C103,Site_Evaluation!$A:$A,0))</f>
        <v>62</v>
      </c>
      <c r="G103" s="5" t="n">
        <f aca="false">COUNTIFS(Risk_Register!B:B,C103,Risk_Register!G:G,"High")</f>
        <v>0</v>
      </c>
      <c r="H103" s="5" t="str">
        <f aca="false">IF(_xlfn.MAXIFS(Risk_Register!$L:$L,Risk_Register!$B:$B,C103)=3,"High",IF(_xlfn.MAXIFS(Risk_Register!$L:$L,Risk_Register!$B:$B,C103)=2,"Medium","Low"))</f>
        <v>Medium</v>
      </c>
      <c r="I103" s="5" t="str">
        <f aca="false">IF(B103&lt;=3,"Preferred site - strong composite profile",IF(B103&lt;=10,"Backup candidate - viable with monitoring","Reserve - evaluate only if primary sites unavailable"))</f>
        <v>Preferred site - strong composite profile</v>
      </c>
    </row>
    <row r="104" customFormat="false" ht="15" hidden="false" customHeight="true" outlineLevel="0" collapsed="false">
      <c r="A104" s="5" t="s">
        <v>70</v>
      </c>
      <c r="B104" s="5" t="n">
        <v>3</v>
      </c>
      <c r="C104" s="5" t="s">
        <v>1249</v>
      </c>
      <c r="D104" s="5" t="s">
        <v>5983</v>
      </c>
      <c r="E104" s="5" t="s">
        <v>938</v>
      </c>
      <c r="F104" s="5" t="n">
        <f aca="false">INDEX(Site_Evaluation!$K:$K,MATCH(C104,Site_Evaluation!$A:$A,0))</f>
        <v>60</v>
      </c>
      <c r="G104" s="5" t="n">
        <f aca="false">COUNTIFS(Risk_Register!B:B,C104,Risk_Register!G:G,"High")</f>
        <v>1</v>
      </c>
      <c r="H104" s="5" t="str">
        <f aca="false">IF(_xlfn.MAXIFS(Risk_Register!$L:$L,Risk_Register!$B:$B,C104)=3,"High",IF(_xlfn.MAXIFS(Risk_Register!$L:$L,Risk_Register!$B:$B,C104)=2,"Medium","Low"))</f>
        <v>High</v>
      </c>
      <c r="I104" s="5" t="str">
        <f aca="false">IF(B104&lt;=3,"Preferred site - strong composite profile",IF(B104&lt;=10,"Backup candidate - viable with monitoring","Reserve - evaluate only if primary sites unavailable"))</f>
        <v>Preferred site - strong composite profile</v>
      </c>
    </row>
    <row r="105" customFormat="false" ht="15" hidden="false" customHeight="true" outlineLevel="0" collapsed="false">
      <c r="A105" s="5" t="s">
        <v>70</v>
      </c>
      <c r="B105" s="5" t="n">
        <v>4</v>
      </c>
      <c r="C105" s="5" t="s">
        <v>1357</v>
      </c>
      <c r="D105" s="5" t="s">
        <v>1358</v>
      </c>
      <c r="E105" s="5" t="s">
        <v>954</v>
      </c>
      <c r="F105" s="5" t="n">
        <f aca="false">INDEX(Site_Evaluation!$K:$K,MATCH(C105,Site_Evaluation!$A:$A,0))</f>
        <v>73</v>
      </c>
      <c r="G105" s="5" t="n">
        <f aca="false">COUNTIFS(Risk_Register!B:B,C105,Risk_Register!G:G,"High")</f>
        <v>0</v>
      </c>
      <c r="H105" s="5" t="str">
        <f aca="false">IF(_xlfn.MAXIFS(Risk_Register!$L:$L,Risk_Register!$B:$B,C105)=3,"High",IF(_xlfn.MAXIFS(Risk_Register!$L:$L,Risk_Register!$B:$B,C105)=2,"Medium","Low"))</f>
        <v>Medium</v>
      </c>
      <c r="I105" s="5" t="str">
        <f aca="false">IF(B105&lt;=3,"Preferred site - strong composite profile",IF(B105&lt;=10,"Backup candidate - viable with monitoring","Reserve - evaluate only if primary sites unavailable"))</f>
        <v>Backup candidate - viable with monitoring</v>
      </c>
    </row>
    <row r="106" customFormat="false" ht="15" hidden="false" customHeight="true" outlineLevel="0" collapsed="false">
      <c r="A106" s="5" t="s">
        <v>70</v>
      </c>
      <c r="B106" s="5" t="n">
        <v>5</v>
      </c>
      <c r="C106" s="5" t="s">
        <v>1320</v>
      </c>
      <c r="D106" s="5" t="s">
        <v>5984</v>
      </c>
      <c r="E106" s="5" t="s">
        <v>960</v>
      </c>
      <c r="F106" s="5" t="n">
        <f aca="false">INDEX(Site_Evaluation!$K:$K,MATCH(C106,Site_Evaluation!$A:$A,0))</f>
        <v>46</v>
      </c>
      <c r="G106" s="5" t="n">
        <f aca="false">COUNTIFS(Risk_Register!B:B,C106,Risk_Register!G:G,"High")</f>
        <v>2</v>
      </c>
      <c r="H106" s="5" t="str">
        <f aca="false">IF(_xlfn.MAXIFS(Risk_Register!$L:$L,Risk_Register!$B:$B,C106)=3,"High",IF(_xlfn.MAXIFS(Risk_Register!$L:$L,Risk_Register!$B:$B,C106)=2,"Medium","Low"))</f>
        <v>High</v>
      </c>
      <c r="I106" s="5" t="str">
        <f aca="false">IF(B106&lt;=3,"Preferred site - strong composite profile",IF(B106&lt;=10,"Backup candidate - viable with monitoring","Reserve - evaluate only if primary sites unavailable"))</f>
        <v>Backup candidate - viable with monitoring</v>
      </c>
    </row>
    <row r="107" customFormat="false" ht="15" hidden="false" customHeight="true" outlineLevel="0" collapsed="false">
      <c r="A107" s="5" t="s">
        <v>70</v>
      </c>
      <c r="B107" s="5" t="n">
        <v>6</v>
      </c>
      <c r="C107" s="5" t="s">
        <v>1197</v>
      </c>
      <c r="D107" s="5" t="s">
        <v>5985</v>
      </c>
      <c r="E107" s="5" t="s">
        <v>923</v>
      </c>
      <c r="F107" s="5" t="n">
        <f aca="false">INDEX(Site_Evaluation!$K:$K,MATCH(C107,Site_Evaluation!$A:$A,0))</f>
        <v>57</v>
      </c>
      <c r="G107" s="5" t="n">
        <f aca="false">COUNTIFS(Risk_Register!B:B,C107,Risk_Register!G:G,"High")</f>
        <v>1</v>
      </c>
      <c r="H107" s="5" t="str">
        <f aca="false">IF(_xlfn.MAXIFS(Risk_Register!$L:$L,Risk_Register!$B:$B,C107)=3,"High",IF(_xlfn.MAXIFS(Risk_Register!$L:$L,Risk_Register!$B:$B,C107)=2,"Medium","Low"))</f>
        <v>High</v>
      </c>
      <c r="I107" s="5" t="str">
        <f aca="false">IF(B107&lt;=3,"Preferred site - strong composite profile",IF(B107&lt;=10,"Backup candidate - viable with monitoring","Reserve - evaluate only if primary sites unavailable"))</f>
        <v>Backup candidate - viable with monitoring</v>
      </c>
    </row>
    <row r="108" customFormat="false" ht="15" hidden="false" customHeight="true" outlineLevel="0" collapsed="false">
      <c r="A108" s="5" t="s">
        <v>70</v>
      </c>
      <c r="B108" s="5" t="n">
        <v>7</v>
      </c>
      <c r="C108" s="5" t="s">
        <v>1290</v>
      </c>
      <c r="D108" s="5" t="s">
        <v>5986</v>
      </c>
      <c r="E108" s="5" t="s">
        <v>958</v>
      </c>
      <c r="F108" s="5" t="n">
        <f aca="false">INDEX(Site_Evaluation!$K:$K,MATCH(C108,Site_Evaluation!$A:$A,0))</f>
        <v>72</v>
      </c>
      <c r="G108" s="5" t="n">
        <f aca="false">COUNTIFS(Risk_Register!B:B,C108,Risk_Register!G:G,"High")</f>
        <v>0</v>
      </c>
      <c r="H108" s="5" t="str">
        <f aca="false">IF(_xlfn.MAXIFS(Risk_Register!$L:$L,Risk_Register!$B:$B,C108)=3,"High",IF(_xlfn.MAXIFS(Risk_Register!$L:$L,Risk_Register!$B:$B,C108)=2,"Medium","Low"))</f>
        <v>Medium</v>
      </c>
      <c r="I108" s="5" t="str">
        <f aca="false">IF(B108&lt;=3,"Preferred site - strong composite profile",IF(B108&lt;=10,"Backup candidate - viable with monitoring","Reserve - evaluate only if primary sites unavailable"))</f>
        <v>Backup candidate - viable with monitoring</v>
      </c>
    </row>
    <row r="109" customFormat="false" ht="15" hidden="false" customHeight="true" outlineLevel="0" collapsed="false">
      <c r="A109" s="5" t="s">
        <v>70</v>
      </c>
      <c r="B109" s="5" t="n">
        <v>8</v>
      </c>
      <c r="C109" s="5" t="s">
        <v>1355</v>
      </c>
      <c r="D109" s="5" t="s">
        <v>1616</v>
      </c>
      <c r="E109" s="5" t="s">
        <v>925</v>
      </c>
      <c r="F109" s="5" t="n">
        <f aca="false">INDEX(Site_Evaluation!$K:$K,MATCH(C109,Site_Evaluation!$A:$A,0))</f>
        <v>40</v>
      </c>
      <c r="G109" s="5" t="n">
        <f aca="false">COUNTIFS(Risk_Register!B:B,C109,Risk_Register!G:G,"High")</f>
        <v>0</v>
      </c>
      <c r="H109" s="5" t="str">
        <f aca="false">IF(_xlfn.MAXIFS(Risk_Register!$L:$L,Risk_Register!$B:$B,C109)=3,"High",IF(_xlfn.MAXIFS(Risk_Register!$L:$L,Risk_Register!$B:$B,C109)=2,"Medium","Low"))</f>
        <v>Medium</v>
      </c>
      <c r="I109" s="5" t="str">
        <f aca="false">IF(B109&lt;=3,"Preferred site - strong composite profile",IF(B109&lt;=10,"Backup candidate - viable with monitoring","Reserve - evaluate only if primary sites unavailable"))</f>
        <v>Backup candidate - viable with monitoring</v>
      </c>
    </row>
    <row r="110" customFormat="false" ht="15" hidden="false" customHeight="true" outlineLevel="0" collapsed="false">
      <c r="A110" s="5" t="s">
        <v>70</v>
      </c>
      <c r="B110" s="5" t="n">
        <v>9</v>
      </c>
      <c r="C110" s="5" t="s">
        <v>1538</v>
      </c>
      <c r="D110" s="5" t="s">
        <v>1539</v>
      </c>
      <c r="E110" s="5" t="s">
        <v>921</v>
      </c>
      <c r="F110" s="5" t="n">
        <f aca="false">INDEX(Site_Evaluation!$K:$K,MATCH(C110,Site_Evaluation!$A:$A,0))</f>
        <v>66</v>
      </c>
      <c r="G110" s="5" t="n">
        <f aca="false">COUNTIFS(Risk_Register!B:B,C110,Risk_Register!G:G,"High")</f>
        <v>0</v>
      </c>
      <c r="H110" s="5" t="str">
        <f aca="false">IF(_xlfn.MAXIFS(Risk_Register!$L:$L,Risk_Register!$B:$B,C110)=3,"High",IF(_xlfn.MAXIFS(Risk_Register!$L:$L,Risk_Register!$B:$B,C110)=2,"Medium","Low"))</f>
        <v>Medium</v>
      </c>
      <c r="I110" s="5" t="str">
        <f aca="false">IF(B110&lt;=3,"Preferred site - strong composite profile",IF(B110&lt;=10,"Backup candidate - viable with monitoring","Reserve - evaluate only if primary sites unavailable"))</f>
        <v>Backup candidate - viable with monitoring</v>
      </c>
    </row>
    <row r="111" customFormat="false" ht="15" hidden="false" customHeight="true" outlineLevel="0" collapsed="false">
      <c r="A111" s="5" t="s">
        <v>70</v>
      </c>
      <c r="B111" s="5" t="n">
        <v>10</v>
      </c>
      <c r="C111" s="5" t="s">
        <v>1554</v>
      </c>
      <c r="D111" s="5" t="s">
        <v>1555</v>
      </c>
      <c r="E111" s="5" t="s">
        <v>962</v>
      </c>
      <c r="F111" s="5" t="n">
        <f aca="false">INDEX(Site_Evaluation!$K:$K,MATCH(C111,Site_Evaluation!$A:$A,0))</f>
        <v>66</v>
      </c>
      <c r="G111" s="5" t="n">
        <f aca="false">COUNTIFS(Risk_Register!B:B,C111,Risk_Register!G:G,"High")</f>
        <v>2</v>
      </c>
      <c r="H111" s="5" t="str">
        <f aca="false">IF(_xlfn.MAXIFS(Risk_Register!$L:$L,Risk_Register!$B:$B,C111)=3,"High",IF(_xlfn.MAXIFS(Risk_Register!$L:$L,Risk_Register!$B:$B,C111)=2,"Medium","Low"))</f>
        <v>High</v>
      </c>
      <c r="I111" s="5" t="str">
        <f aca="false">IF(B111&lt;=3,"Preferred site - strong composite profile",IF(B111&lt;=10,"Backup candidate - viable with monitoring","Reserve - evaluate only if primary sites unavailable"))</f>
        <v>Backup candidate - viable with monitoring</v>
      </c>
    </row>
    <row r="112" customFormat="false" ht="15" hidden="false" customHeight="true" outlineLevel="0" collapsed="false">
      <c r="A112" s="5" t="s">
        <v>70</v>
      </c>
      <c r="B112" s="5" t="n">
        <v>11</v>
      </c>
      <c r="C112" s="5" t="s">
        <v>1231</v>
      </c>
      <c r="D112" s="5" t="s">
        <v>5985</v>
      </c>
      <c r="E112" s="5" t="s">
        <v>923</v>
      </c>
      <c r="F112" s="5" t="n">
        <f aca="false">INDEX(Site_Evaluation!$K:$K,MATCH(C112,Site_Evaluation!$A:$A,0))</f>
        <v>43</v>
      </c>
      <c r="G112" s="5" t="n">
        <f aca="false">COUNTIFS(Risk_Register!B:B,C112,Risk_Register!G:G,"High")</f>
        <v>2</v>
      </c>
      <c r="H112" s="5" t="str">
        <f aca="false">IF(_xlfn.MAXIFS(Risk_Register!$L:$L,Risk_Register!$B:$B,C112)=3,"High",IF(_xlfn.MAXIFS(Risk_Register!$L:$L,Risk_Register!$B:$B,C112)=2,"Medium","Low"))</f>
        <v>High</v>
      </c>
      <c r="I112" s="5" t="str">
        <f aca="false">IF(B112&lt;=3,"Preferred site - strong composite profile",IF(B112&lt;=10,"Backup candidate - viable with monitoring","Reserve - evaluate only if primary sites unavailable"))</f>
        <v>Reserve - evaluate only if primary sites unavailable</v>
      </c>
    </row>
    <row r="113" customFormat="false" ht="15" hidden="false" customHeight="true" outlineLevel="0" collapsed="false">
      <c r="A113" s="5" t="s">
        <v>70</v>
      </c>
      <c r="B113" s="5" t="n">
        <v>12</v>
      </c>
      <c r="C113" s="5" t="s">
        <v>1210</v>
      </c>
      <c r="D113" s="5" t="s">
        <v>2087</v>
      </c>
      <c r="E113" s="5" t="s">
        <v>950</v>
      </c>
      <c r="F113" s="5" t="n">
        <f aca="false">INDEX(Site_Evaluation!$K:$K,MATCH(C113,Site_Evaluation!$A:$A,0))</f>
        <v>70</v>
      </c>
      <c r="G113" s="5" t="n">
        <f aca="false">COUNTIFS(Risk_Register!B:B,C113,Risk_Register!G:G,"High")</f>
        <v>3</v>
      </c>
      <c r="H113" s="5" t="str">
        <f aca="false">IF(_xlfn.MAXIFS(Risk_Register!$L:$L,Risk_Register!$B:$B,C113)=3,"High",IF(_xlfn.MAXIFS(Risk_Register!$L:$L,Risk_Register!$B:$B,C113)=2,"Medium","Low"))</f>
        <v>High</v>
      </c>
      <c r="I113" s="5" t="str">
        <f aca="false">IF(B113&lt;=3,"Preferred site - strong composite profile",IF(B113&lt;=10,"Backup candidate - viable with monitoring","Reserve - evaluate only if primary sites unavailable"))</f>
        <v>Reserve - evaluate only if primary sites unavailable</v>
      </c>
    </row>
    <row r="114" customFormat="false" ht="15" hidden="false" customHeight="true" outlineLevel="0" collapsed="false">
      <c r="A114" s="5" t="s">
        <v>70</v>
      </c>
      <c r="B114" s="5" t="n">
        <v>13</v>
      </c>
      <c r="C114" s="5" t="s">
        <v>1495</v>
      </c>
      <c r="D114" s="5" t="s">
        <v>1496</v>
      </c>
      <c r="E114" s="5" t="s">
        <v>962</v>
      </c>
      <c r="F114" s="5" t="n">
        <f aca="false">INDEX(Site_Evaluation!$K:$K,MATCH(C114,Site_Evaluation!$A:$A,0))</f>
        <v>65</v>
      </c>
      <c r="G114" s="5" t="n">
        <f aca="false">COUNTIFS(Risk_Register!B:B,C114,Risk_Register!G:G,"High")</f>
        <v>0</v>
      </c>
      <c r="H114" s="5" t="str">
        <f aca="false">IF(_xlfn.MAXIFS(Risk_Register!$L:$L,Risk_Register!$B:$B,C114)=3,"High",IF(_xlfn.MAXIFS(Risk_Register!$L:$L,Risk_Register!$B:$B,C114)=2,"Medium","Low"))</f>
        <v>Low</v>
      </c>
      <c r="I114" s="5" t="str">
        <f aca="false">IF(B114&lt;=3,"Preferred site - strong composite profile",IF(B114&lt;=10,"Backup candidate - viable with monitoring","Reserve - evaluate only if primary sites unavailable"))</f>
        <v>Reserve - evaluate only if primary sites unavailable</v>
      </c>
    </row>
    <row r="115" customFormat="false" ht="15" hidden="false" customHeight="true" outlineLevel="0" collapsed="false">
      <c r="A115" s="5" t="s">
        <v>70</v>
      </c>
      <c r="B115" s="5" t="n">
        <v>14</v>
      </c>
      <c r="C115" s="5" t="s">
        <v>1526</v>
      </c>
      <c r="D115" s="5" t="s">
        <v>1527</v>
      </c>
      <c r="E115" s="5" t="s">
        <v>954</v>
      </c>
      <c r="F115" s="5" t="n">
        <f aca="false">INDEX(Site_Evaluation!$K:$K,MATCH(C115,Site_Evaluation!$A:$A,0))</f>
        <v>64</v>
      </c>
      <c r="G115" s="5" t="n">
        <f aca="false">COUNTIFS(Risk_Register!B:B,C115,Risk_Register!G:G,"High")</f>
        <v>1</v>
      </c>
      <c r="H115" s="5" t="str">
        <f aca="false">IF(_xlfn.MAXIFS(Risk_Register!$L:$L,Risk_Register!$B:$B,C115)=3,"High",IF(_xlfn.MAXIFS(Risk_Register!$L:$L,Risk_Register!$B:$B,C115)=2,"Medium","Low"))</f>
        <v>High</v>
      </c>
      <c r="I115" s="5" t="str">
        <f aca="false">IF(B115&lt;=3,"Preferred site - strong composite profile",IF(B115&lt;=10,"Backup candidate - viable with monitoring","Reserve - evaluate only if primary sites unavailable"))</f>
        <v>Reserve - evaluate only if primary sites unavailable</v>
      </c>
    </row>
    <row r="116" customFormat="false" ht="15" hidden="false" customHeight="true" outlineLevel="0" collapsed="false">
      <c r="A116" s="5" t="s">
        <v>70</v>
      </c>
      <c r="B116" s="5" t="n">
        <v>15</v>
      </c>
      <c r="C116" s="5" t="s">
        <v>1067</v>
      </c>
      <c r="D116" s="5" t="s">
        <v>5987</v>
      </c>
      <c r="E116" s="5" t="s">
        <v>954</v>
      </c>
      <c r="F116" s="5" t="n">
        <f aca="false">INDEX(Site_Evaluation!$K:$K,MATCH(C116,Site_Evaluation!$A:$A,0))</f>
        <v>60</v>
      </c>
      <c r="G116" s="5" t="n">
        <f aca="false">COUNTIFS(Risk_Register!B:B,C116,Risk_Register!G:G,"High")</f>
        <v>0</v>
      </c>
      <c r="H116" s="5" t="str">
        <f aca="false">IF(_xlfn.MAXIFS(Risk_Register!$L:$L,Risk_Register!$B:$B,C116)=3,"High",IF(_xlfn.MAXIFS(Risk_Register!$L:$L,Risk_Register!$B:$B,C116)=2,"Medium","Low"))</f>
        <v>Medium</v>
      </c>
      <c r="I116" s="5" t="str">
        <f aca="false">IF(B116&lt;=3,"Preferred site - strong composite profile",IF(B116&lt;=10,"Backup candidate - viable with monitoring","Reserve - evaluate only if primary sites unavailable"))</f>
        <v>Reserve - evaluate only if primary sites unavailable</v>
      </c>
    </row>
    <row r="117" customFormat="false" ht="15" hidden="false" customHeight="true" outlineLevel="0" collapsed="false">
      <c r="A117" s="5" t="s">
        <v>70</v>
      </c>
      <c r="B117" s="5" t="n">
        <v>16</v>
      </c>
      <c r="C117" s="5" t="s">
        <v>1252</v>
      </c>
      <c r="D117" s="5" t="s">
        <v>1624</v>
      </c>
      <c r="E117" s="5" t="s">
        <v>956</v>
      </c>
      <c r="F117" s="5" t="n">
        <f aca="false">INDEX(Site_Evaluation!$K:$K,MATCH(C117,Site_Evaluation!$A:$A,0))</f>
        <v>51</v>
      </c>
      <c r="G117" s="5" t="n">
        <f aca="false">COUNTIFS(Risk_Register!B:B,C117,Risk_Register!G:G,"High")</f>
        <v>1</v>
      </c>
      <c r="H117" s="5" t="str">
        <f aca="false">IF(_xlfn.MAXIFS(Risk_Register!$L:$L,Risk_Register!$B:$B,C117)=3,"High",IF(_xlfn.MAXIFS(Risk_Register!$L:$L,Risk_Register!$B:$B,C117)=2,"Medium","Low"))</f>
        <v>High</v>
      </c>
      <c r="I117" s="5" t="str">
        <f aca="false">IF(B117&lt;=3,"Preferred site - strong composite profile",IF(B117&lt;=10,"Backup candidate - viable with monitoring","Reserve - evaluate only if primary sites unavailable"))</f>
        <v>Reserve - evaluate only if primary sites unavailable</v>
      </c>
    </row>
    <row r="118" customFormat="false" ht="15" hidden="false" customHeight="true" outlineLevel="0" collapsed="false">
      <c r="A118" s="5" t="s">
        <v>70</v>
      </c>
      <c r="B118" s="5" t="n">
        <v>17</v>
      </c>
      <c r="C118" s="5" t="s">
        <v>1195</v>
      </c>
      <c r="D118" s="5" t="s">
        <v>5988</v>
      </c>
      <c r="E118" s="5" t="s">
        <v>936</v>
      </c>
      <c r="F118" s="5" t="n">
        <f aca="false">INDEX(Site_Evaluation!$K:$K,MATCH(C118,Site_Evaluation!$A:$A,0))</f>
        <v>40</v>
      </c>
      <c r="G118" s="5" t="n">
        <f aca="false">COUNTIFS(Risk_Register!B:B,C118,Risk_Register!G:G,"High")</f>
        <v>0</v>
      </c>
      <c r="H118" s="5" t="str">
        <f aca="false">IF(_xlfn.MAXIFS(Risk_Register!$L:$L,Risk_Register!$B:$B,C118)=3,"High",IF(_xlfn.MAXIFS(Risk_Register!$L:$L,Risk_Register!$B:$B,C118)=2,"Medium","Low"))</f>
        <v>Medium</v>
      </c>
      <c r="I118" s="5" t="str">
        <f aca="false">IF(B118&lt;=3,"Preferred site - strong composite profile",IF(B118&lt;=10,"Backup candidate - viable with monitoring","Reserve - evaluate only if primary sites unavailable"))</f>
        <v>Reserve - evaluate only if primary sites unavailable</v>
      </c>
    </row>
    <row r="119" customFormat="false" ht="15" hidden="false" customHeight="true" outlineLevel="0" collapsed="false">
      <c r="A119" s="5" t="s">
        <v>70</v>
      </c>
      <c r="B119" s="5" t="n">
        <v>18</v>
      </c>
      <c r="C119" s="5" t="s">
        <v>1440</v>
      </c>
      <c r="D119" s="5" t="s">
        <v>1441</v>
      </c>
      <c r="E119" s="5" t="s">
        <v>958</v>
      </c>
      <c r="F119" s="5" t="n">
        <f aca="false">INDEX(Site_Evaluation!$K:$K,MATCH(C119,Site_Evaluation!$A:$A,0))</f>
        <v>61</v>
      </c>
      <c r="G119" s="5" t="n">
        <f aca="false">COUNTIFS(Risk_Register!B:B,C119,Risk_Register!G:G,"High")</f>
        <v>0</v>
      </c>
      <c r="H119" s="5" t="str">
        <f aca="false">IF(_xlfn.MAXIFS(Risk_Register!$L:$L,Risk_Register!$B:$B,C119)=3,"High",IF(_xlfn.MAXIFS(Risk_Register!$L:$L,Risk_Register!$B:$B,C119)=2,"Medium","Low"))</f>
        <v>Medium</v>
      </c>
      <c r="I119" s="5" t="str">
        <f aca="false">IF(B119&lt;=3,"Preferred site - strong composite profile",IF(B119&lt;=10,"Backup candidate - viable with monitoring","Reserve - evaluate only if primary sites unavailable"))</f>
        <v>Reserve - evaluate only if primary sites unavailable</v>
      </c>
    </row>
    <row r="120" customFormat="false" ht="15" hidden="false" customHeight="true" outlineLevel="0" collapsed="false">
      <c r="A120" s="5" t="s">
        <v>70</v>
      </c>
      <c r="B120" s="5" t="n">
        <v>19</v>
      </c>
      <c r="C120" s="5" t="s">
        <v>1388</v>
      </c>
      <c r="D120" s="5" t="s">
        <v>1207</v>
      </c>
      <c r="E120" s="5" t="s">
        <v>920</v>
      </c>
      <c r="F120" s="5" t="n">
        <f aca="false">INDEX(Site_Evaluation!$K:$K,MATCH(C120,Site_Evaluation!$A:$A,0))</f>
        <v>61</v>
      </c>
      <c r="G120" s="5" t="n">
        <f aca="false">COUNTIFS(Risk_Register!B:B,C120,Risk_Register!G:G,"High")</f>
        <v>0</v>
      </c>
      <c r="H120" s="5" t="str">
        <f aca="false">IF(_xlfn.MAXIFS(Risk_Register!$L:$L,Risk_Register!$B:$B,C120)=3,"High",IF(_xlfn.MAXIFS(Risk_Register!$L:$L,Risk_Register!$B:$B,C120)=2,"Medium","Low"))</f>
        <v>Medium</v>
      </c>
      <c r="I120" s="5" t="str">
        <f aca="false">IF(B120&lt;=3,"Preferred site - strong composite profile",IF(B120&lt;=10,"Backup candidate - viable with monitoring","Reserve - evaluate only if primary sites unavailable"))</f>
        <v>Reserve - evaluate only if primary sites unavailable</v>
      </c>
    </row>
    <row r="121" customFormat="false" ht="15" hidden="false" customHeight="true" outlineLevel="0" collapsed="false">
      <c r="A121" s="5" t="s">
        <v>70</v>
      </c>
      <c r="B121" s="5" t="n">
        <v>20</v>
      </c>
      <c r="C121" s="5" t="s">
        <v>1479</v>
      </c>
      <c r="D121" s="5" t="s">
        <v>1480</v>
      </c>
      <c r="E121" s="5" t="s">
        <v>920</v>
      </c>
      <c r="F121" s="5" t="n">
        <f aca="false">INDEX(Site_Evaluation!$K:$K,MATCH(C121,Site_Evaluation!$A:$A,0))</f>
        <v>61</v>
      </c>
      <c r="G121" s="5" t="n">
        <f aca="false">COUNTIFS(Risk_Register!B:B,C121,Risk_Register!G:G,"High")</f>
        <v>1</v>
      </c>
      <c r="H121" s="5" t="str">
        <f aca="false">IF(_xlfn.MAXIFS(Risk_Register!$L:$L,Risk_Register!$B:$B,C121)=3,"High",IF(_xlfn.MAXIFS(Risk_Register!$L:$L,Risk_Register!$B:$B,C121)=2,"Medium","Low"))</f>
        <v>High</v>
      </c>
      <c r="I121" s="5" t="str">
        <f aca="false">IF(B121&lt;=3,"Preferred site - strong composite profile",IF(B121&lt;=10,"Backup candidate - viable with monitoring","Reserve - evaluate only if primary sites unavailable"))</f>
        <v>Reserve - evaluate only if primary sites unavailable</v>
      </c>
    </row>
    <row r="122" customFormat="false" ht="15" hidden="false" customHeight="true" outlineLevel="0" collapsed="false">
      <c r="A122" s="5"/>
      <c r="B122" s="5"/>
      <c r="C122" s="5"/>
      <c r="D122" s="5"/>
      <c r="E122" s="5"/>
      <c r="F122" s="5"/>
      <c r="G122" s="5"/>
      <c r="H122" s="5"/>
      <c r="I122" s="5"/>
    </row>
    <row r="123" customFormat="false" ht="15" hidden="false" customHeight="true" outlineLevel="0" collapsed="false">
      <c r="A123" s="5"/>
      <c r="B123" s="5"/>
      <c r="C123" s="5"/>
      <c r="D123" s="5"/>
      <c r="E123" s="5"/>
      <c r="F123" s="5"/>
      <c r="G123" s="5"/>
      <c r="H123" s="5"/>
      <c r="I123" s="5"/>
    </row>
    <row r="124" customFormat="false" ht="15" hidden="false" customHeight="true" outlineLevel="0" collapsed="false">
      <c r="A124" s="5"/>
      <c r="B124" s="5"/>
      <c r="C124" s="5"/>
      <c r="D124" s="5"/>
      <c r="E124" s="5"/>
      <c r="F124" s="5"/>
      <c r="G124" s="5"/>
      <c r="H124" s="5"/>
      <c r="I124" s="5"/>
    </row>
    <row r="125" customFormat="false" ht="15" hidden="false" customHeight="true" outlineLevel="0" collapsed="false">
      <c r="A125" s="5"/>
      <c r="B125" s="5"/>
      <c r="C125" s="5"/>
      <c r="D125" s="5"/>
      <c r="E125" s="5"/>
      <c r="F125" s="5"/>
      <c r="G125" s="5"/>
      <c r="H125" s="5"/>
      <c r="I125" s="5"/>
    </row>
    <row r="126" customFormat="false" ht="15" hidden="false" customHeight="true" outlineLevel="0" collapsed="false">
      <c r="A126" s="5"/>
      <c r="B126" s="5"/>
      <c r="C126" s="5"/>
      <c r="D126" s="5"/>
      <c r="E126" s="5"/>
      <c r="F126" s="5"/>
      <c r="G126" s="5"/>
      <c r="H126" s="5"/>
      <c r="I126" s="5"/>
    </row>
    <row r="127" customFormat="false" ht="15" hidden="false" customHeight="true" outlineLevel="0" collapsed="false">
      <c r="A127" s="5"/>
      <c r="B127" s="5"/>
      <c r="C127" s="5"/>
      <c r="D127" s="5"/>
      <c r="E127" s="5"/>
      <c r="F127" s="5"/>
      <c r="G127" s="5"/>
      <c r="H127" s="5"/>
      <c r="I127" s="5"/>
    </row>
    <row r="128" customFormat="false" ht="15" hidden="false" customHeight="true" outlineLevel="0" collapsed="false">
      <c r="A128" s="5"/>
      <c r="B128" s="5"/>
      <c r="C128" s="5"/>
      <c r="D128" s="5"/>
      <c r="E128" s="5"/>
      <c r="F128" s="5"/>
      <c r="G128" s="5"/>
      <c r="H128" s="5"/>
      <c r="I128" s="5"/>
    </row>
    <row r="129" customFormat="false" ht="15" hidden="false" customHeight="true" outlineLevel="0" collapsed="false">
      <c r="A129" s="5"/>
      <c r="B129" s="5"/>
      <c r="C129" s="5"/>
      <c r="D129" s="5"/>
      <c r="E129" s="5"/>
      <c r="F129" s="5"/>
      <c r="G129" s="5"/>
      <c r="H129" s="5"/>
      <c r="I129" s="5"/>
    </row>
    <row r="130" customFormat="false" ht="15" hidden="false" customHeight="true" outlineLevel="0" collapsed="false">
      <c r="A130" s="5"/>
      <c r="B130" s="5"/>
      <c r="C130" s="5"/>
      <c r="D130" s="5"/>
      <c r="E130" s="5"/>
      <c r="F130" s="5"/>
      <c r="G130" s="5"/>
      <c r="H130" s="5"/>
      <c r="I130" s="5"/>
    </row>
    <row r="131" customFormat="false" ht="15" hidden="false" customHeight="true" outlineLevel="0" collapsed="false">
      <c r="A131" s="5"/>
      <c r="B131" s="5"/>
      <c r="C131" s="5"/>
      <c r="D131" s="5"/>
      <c r="E131" s="5"/>
      <c r="F131" s="5"/>
      <c r="G131" s="5"/>
      <c r="H131" s="5"/>
      <c r="I131" s="5"/>
    </row>
    <row r="132" customFormat="false" ht="15" hidden="false" customHeight="true" outlineLevel="0" collapsed="false">
      <c r="A132" s="5"/>
      <c r="B132" s="5"/>
      <c r="C132" s="5"/>
      <c r="D132" s="5"/>
      <c r="E132" s="5"/>
      <c r="F132" s="5"/>
      <c r="G132" s="5"/>
      <c r="H132" s="5"/>
      <c r="I132" s="5"/>
    </row>
    <row r="133" customFormat="false" ht="15" hidden="false" customHeight="true" outlineLevel="0" collapsed="false">
      <c r="A133" s="5"/>
      <c r="B133" s="5"/>
      <c r="C133" s="5"/>
      <c r="D133" s="5"/>
      <c r="E133" s="5"/>
      <c r="F133" s="5"/>
      <c r="G133" s="5"/>
      <c r="H133" s="5"/>
      <c r="I133" s="5"/>
    </row>
    <row r="134" customFormat="false" ht="15" hidden="false" customHeight="true" outlineLevel="0" collapsed="false">
      <c r="A134" s="5"/>
      <c r="B134" s="5"/>
      <c r="C134" s="5"/>
      <c r="D134" s="5"/>
      <c r="E134" s="5"/>
      <c r="F134" s="5"/>
      <c r="G134" s="5"/>
      <c r="H134" s="5"/>
      <c r="I134" s="5"/>
    </row>
    <row r="135" customFormat="false" ht="15" hidden="false" customHeight="true" outlineLevel="0" collapsed="false">
      <c r="A135" s="5"/>
      <c r="B135" s="5"/>
      <c r="C135" s="5"/>
      <c r="D135" s="5"/>
      <c r="E135" s="5"/>
      <c r="F135" s="5"/>
      <c r="G135" s="5"/>
      <c r="H135" s="5"/>
      <c r="I135" s="5"/>
    </row>
    <row r="136" customFormat="false" ht="15" hidden="false" customHeight="true" outlineLevel="0" collapsed="false">
      <c r="A136" s="5"/>
      <c r="B136" s="5"/>
      <c r="C136" s="5"/>
      <c r="D136" s="5"/>
      <c r="E136" s="5"/>
      <c r="F136" s="5"/>
      <c r="G136" s="5"/>
      <c r="H136" s="5"/>
      <c r="I136" s="5"/>
    </row>
    <row r="137" customFormat="false" ht="15" hidden="false" customHeight="true" outlineLevel="0" collapsed="false">
      <c r="A137" s="5"/>
      <c r="B137" s="5"/>
      <c r="C137" s="5"/>
      <c r="D137" s="5"/>
      <c r="E137" s="5"/>
      <c r="F137" s="5"/>
      <c r="G137" s="5"/>
      <c r="H137" s="5"/>
      <c r="I137" s="5"/>
    </row>
    <row r="138" customFormat="false" ht="15" hidden="false" customHeight="true" outlineLevel="0" collapsed="false">
      <c r="A138" s="5"/>
      <c r="B138" s="5"/>
      <c r="C138" s="5"/>
      <c r="D138" s="5"/>
      <c r="E138" s="5"/>
      <c r="F138" s="5"/>
      <c r="G138" s="5"/>
      <c r="H138" s="5"/>
      <c r="I138" s="5"/>
    </row>
    <row r="139" customFormat="false" ht="15" hidden="false" customHeight="true" outlineLevel="0" collapsed="false">
      <c r="A139" s="5"/>
      <c r="B139" s="5"/>
      <c r="C139" s="5"/>
      <c r="D139" s="5"/>
      <c r="E139" s="5"/>
      <c r="F139" s="5"/>
      <c r="G139" s="5"/>
      <c r="H139" s="5"/>
      <c r="I139" s="5"/>
    </row>
    <row r="140" customFormat="false" ht="15" hidden="false" customHeight="true" outlineLevel="0" collapsed="false">
      <c r="A140" s="5"/>
      <c r="B140" s="5"/>
      <c r="C140" s="5"/>
      <c r="D140" s="5"/>
      <c r="E140" s="5"/>
      <c r="F140" s="5"/>
      <c r="G140" s="5"/>
      <c r="H140" s="5"/>
      <c r="I140" s="5"/>
    </row>
    <row r="141" customFormat="false" ht="15" hidden="false" customHeight="true" outlineLevel="0" collapsed="false">
      <c r="A141" s="5"/>
      <c r="B141" s="5"/>
      <c r="C141" s="5"/>
      <c r="D141" s="5"/>
      <c r="E141" s="5"/>
      <c r="F141" s="5"/>
      <c r="G141" s="5"/>
      <c r="H141" s="5"/>
      <c r="I141" s="5"/>
    </row>
    <row r="142" customFormat="false" ht="15" hidden="false" customHeight="true" outlineLevel="0" collapsed="false">
      <c r="A142" s="5"/>
      <c r="B142" s="5"/>
      <c r="C142" s="5"/>
      <c r="D142" s="5"/>
      <c r="E142" s="5"/>
      <c r="F142" s="5"/>
      <c r="G142" s="5"/>
      <c r="H142" s="5"/>
      <c r="I142" s="5"/>
    </row>
    <row r="143" customFormat="false" ht="15" hidden="false" customHeight="true" outlineLevel="0" collapsed="false">
      <c r="A143" s="5"/>
      <c r="B143" s="5"/>
      <c r="C143" s="5"/>
      <c r="D143" s="5"/>
      <c r="E143" s="5"/>
      <c r="F143" s="5"/>
      <c r="G143" s="5"/>
      <c r="H143" s="5"/>
      <c r="I143" s="5"/>
    </row>
    <row r="144" customFormat="false" ht="15" hidden="false" customHeight="true" outlineLevel="0" collapsed="false">
      <c r="A144" s="5"/>
      <c r="B144" s="5"/>
      <c r="C144" s="5"/>
      <c r="D144" s="5"/>
      <c r="E144" s="5"/>
      <c r="F144" s="5"/>
      <c r="G144" s="5"/>
      <c r="H144" s="5"/>
      <c r="I144" s="5"/>
    </row>
    <row r="145" customFormat="false" ht="15" hidden="false" customHeight="true" outlineLevel="0" collapsed="false">
      <c r="A145" s="5"/>
      <c r="B145" s="5"/>
      <c r="C145" s="5"/>
      <c r="D145" s="5"/>
      <c r="E145" s="5"/>
      <c r="F145" s="5"/>
      <c r="G145" s="5"/>
      <c r="H145" s="5"/>
      <c r="I145" s="5"/>
    </row>
    <row r="146" customFormat="false" ht="15" hidden="false" customHeight="true" outlineLevel="0" collapsed="false">
      <c r="A146" s="5"/>
      <c r="B146" s="5"/>
      <c r="C146" s="5"/>
      <c r="D146" s="5"/>
      <c r="E146" s="5"/>
      <c r="F146" s="5"/>
      <c r="G146" s="5"/>
      <c r="H146" s="5"/>
      <c r="I146" s="5"/>
    </row>
    <row r="147" customFormat="false" ht="15" hidden="false" customHeight="true" outlineLevel="0" collapsed="false">
      <c r="A147" s="5"/>
      <c r="B147" s="5"/>
      <c r="C147" s="5"/>
      <c r="D147" s="5"/>
      <c r="E147" s="5"/>
      <c r="F147" s="5"/>
      <c r="G147" s="5"/>
      <c r="H147" s="5"/>
      <c r="I147" s="5"/>
    </row>
    <row r="148" customFormat="false" ht="15" hidden="false" customHeight="true" outlineLevel="0" collapsed="false">
      <c r="A148" s="5"/>
      <c r="B148" s="5"/>
      <c r="C148" s="5"/>
      <c r="D148" s="5"/>
      <c r="E148" s="5"/>
      <c r="F148" s="5"/>
      <c r="G148" s="5"/>
      <c r="H148" s="5"/>
      <c r="I148" s="5"/>
    </row>
    <row r="149" customFormat="false" ht="15" hidden="false" customHeight="true" outlineLevel="0" collapsed="false">
      <c r="A149" s="5"/>
      <c r="B149" s="5"/>
      <c r="C149" s="5"/>
      <c r="D149" s="5"/>
      <c r="E149" s="5"/>
      <c r="F149" s="5"/>
      <c r="G149" s="5"/>
      <c r="H149" s="5"/>
      <c r="I149" s="5"/>
    </row>
    <row r="150" customFormat="false" ht="15" hidden="false" customHeight="true" outlineLevel="0" collapsed="false">
      <c r="A150" s="5"/>
      <c r="B150" s="5"/>
      <c r="C150" s="5"/>
      <c r="D150" s="5"/>
      <c r="E150" s="5"/>
      <c r="F150" s="5"/>
      <c r="G150" s="5"/>
      <c r="H150" s="5"/>
      <c r="I150" s="5"/>
    </row>
    <row r="151" customFormat="false" ht="15" hidden="false" customHeight="true" outlineLevel="0" collapsed="false">
      <c r="A151" s="5"/>
      <c r="B151" s="5"/>
      <c r="C151" s="5"/>
      <c r="D151" s="5"/>
      <c r="E151" s="5"/>
      <c r="F151" s="5"/>
      <c r="G151" s="5"/>
      <c r="H151" s="5"/>
      <c r="I151" s="5"/>
    </row>
    <row r="152" customFormat="false" ht="15" hidden="false" customHeight="true" outlineLevel="0" collapsed="false">
      <c r="A152" s="5"/>
      <c r="B152" s="5"/>
      <c r="C152" s="5"/>
      <c r="D152" s="5"/>
      <c r="E152" s="5"/>
      <c r="F152" s="5"/>
      <c r="G152" s="5"/>
      <c r="H152" s="5"/>
      <c r="I152" s="5"/>
    </row>
    <row r="153" customFormat="false" ht="15" hidden="false" customHeight="true" outlineLevel="0" collapsed="false">
      <c r="A153" s="5"/>
      <c r="B153" s="5"/>
      <c r="C153" s="5"/>
      <c r="D153" s="5"/>
      <c r="E153" s="5"/>
      <c r="F153" s="5"/>
      <c r="G153" s="5"/>
      <c r="H153" s="5"/>
      <c r="I153" s="5"/>
    </row>
    <row r="154" customFormat="false" ht="15" hidden="false" customHeight="true" outlineLevel="0" collapsed="false">
      <c r="A154" s="5"/>
      <c r="B154" s="5"/>
      <c r="C154" s="5"/>
      <c r="D154" s="5"/>
      <c r="E154" s="5"/>
      <c r="F154" s="5"/>
      <c r="G154" s="5"/>
      <c r="H154" s="5"/>
      <c r="I154" s="5"/>
    </row>
    <row r="155" customFormat="false" ht="15" hidden="false" customHeight="true" outlineLevel="0" collapsed="false">
      <c r="A155" s="5"/>
      <c r="B155" s="5"/>
      <c r="C155" s="5"/>
      <c r="D155" s="5"/>
      <c r="E155" s="5"/>
      <c r="F155" s="5"/>
      <c r="G155" s="5"/>
      <c r="H155" s="5"/>
      <c r="I155" s="5"/>
    </row>
    <row r="156" customFormat="false" ht="15" hidden="false" customHeight="true" outlineLevel="0" collapsed="false">
      <c r="A156" s="5"/>
      <c r="B156" s="5"/>
      <c r="C156" s="5"/>
      <c r="D156" s="5"/>
      <c r="E156" s="5"/>
      <c r="F156" s="5"/>
      <c r="G156" s="5"/>
      <c r="H156" s="5"/>
      <c r="I156" s="5"/>
    </row>
    <row r="157" customFormat="false" ht="15" hidden="false" customHeight="true" outlineLevel="0" collapsed="false">
      <c r="A157" s="5"/>
      <c r="B157" s="5"/>
      <c r="C157" s="5"/>
      <c r="D157" s="5"/>
      <c r="E157" s="5"/>
      <c r="F157" s="5"/>
      <c r="G157" s="5"/>
      <c r="H157" s="5"/>
      <c r="I157" s="5"/>
    </row>
    <row r="158" customFormat="false" ht="15" hidden="false" customHeight="true" outlineLevel="0" collapsed="false">
      <c r="A158" s="5"/>
      <c r="B158" s="5"/>
      <c r="C158" s="5"/>
      <c r="D158" s="5"/>
      <c r="E158" s="5"/>
      <c r="F158" s="5"/>
      <c r="G158" s="5"/>
      <c r="H158" s="5"/>
      <c r="I158" s="5"/>
    </row>
    <row r="159" customFormat="false" ht="15" hidden="false" customHeight="true" outlineLevel="0" collapsed="false">
      <c r="A159" s="5"/>
      <c r="B159" s="5"/>
      <c r="C159" s="5"/>
      <c r="D159" s="5"/>
      <c r="E159" s="5"/>
      <c r="F159" s="5"/>
      <c r="G159" s="5"/>
      <c r="H159" s="5"/>
      <c r="I159" s="5"/>
    </row>
    <row r="160" customFormat="false" ht="15" hidden="false" customHeight="true" outlineLevel="0" collapsed="false">
      <c r="A160" s="5"/>
      <c r="B160" s="5"/>
      <c r="C160" s="5"/>
      <c r="D160" s="5"/>
      <c r="E160" s="5"/>
      <c r="F160" s="5"/>
      <c r="G160" s="5"/>
      <c r="H160" s="5"/>
      <c r="I160" s="5"/>
    </row>
    <row r="161" customFormat="false" ht="15" hidden="false" customHeight="true" outlineLevel="0" collapsed="false">
      <c r="A161" s="5"/>
      <c r="B161" s="5"/>
      <c r="C161" s="5"/>
      <c r="D161" s="5"/>
      <c r="E161" s="5"/>
      <c r="F161" s="5"/>
      <c r="G161" s="5"/>
      <c r="H161" s="5"/>
      <c r="I161" s="5"/>
    </row>
    <row r="162" customFormat="false" ht="15" hidden="false" customHeight="true" outlineLevel="0" collapsed="false">
      <c r="A162" s="5"/>
      <c r="B162" s="5"/>
      <c r="C162" s="5"/>
      <c r="D162" s="5"/>
      <c r="E162" s="5"/>
      <c r="F162" s="5"/>
      <c r="G162" s="5"/>
      <c r="H162" s="5"/>
      <c r="I162" s="5"/>
    </row>
    <row r="163" customFormat="false" ht="15" hidden="false" customHeight="true" outlineLevel="0" collapsed="false">
      <c r="A163" s="5"/>
      <c r="B163" s="5"/>
      <c r="C163" s="5"/>
      <c r="D163" s="5"/>
      <c r="E163" s="5"/>
      <c r="F163" s="5"/>
      <c r="G163" s="5"/>
      <c r="H163" s="5"/>
      <c r="I163" s="5"/>
    </row>
    <row r="164" customFormat="false" ht="15" hidden="false" customHeight="true" outlineLevel="0" collapsed="false">
      <c r="A164" s="5"/>
      <c r="B164" s="5"/>
      <c r="C164" s="5"/>
      <c r="D164" s="5"/>
      <c r="E164" s="5"/>
      <c r="F164" s="5"/>
      <c r="G164" s="5"/>
      <c r="H164" s="5"/>
      <c r="I164" s="5"/>
    </row>
    <row r="165" customFormat="false" ht="15" hidden="false" customHeight="true" outlineLevel="0" collapsed="false">
      <c r="A165" s="5"/>
      <c r="B165" s="5"/>
      <c r="C165" s="5"/>
      <c r="D165" s="5"/>
      <c r="E165" s="5"/>
      <c r="F165" s="5"/>
      <c r="G165" s="5"/>
      <c r="H165" s="5"/>
      <c r="I165" s="5"/>
    </row>
    <row r="166" customFormat="false" ht="15" hidden="false" customHeight="true" outlineLevel="0" collapsed="false">
      <c r="A166" s="5"/>
      <c r="B166" s="5"/>
      <c r="C166" s="5"/>
      <c r="D166" s="5"/>
      <c r="E166" s="5"/>
      <c r="F166" s="5"/>
      <c r="G166" s="5"/>
      <c r="H166" s="5"/>
      <c r="I166" s="5"/>
    </row>
    <row r="167" customFormat="false" ht="15" hidden="false" customHeight="true" outlineLevel="0" collapsed="false">
      <c r="A167" s="5"/>
      <c r="B167" s="5"/>
      <c r="C167" s="5"/>
      <c r="D167" s="5"/>
      <c r="E167" s="5"/>
      <c r="F167" s="5"/>
      <c r="G167" s="5"/>
      <c r="H167" s="5"/>
      <c r="I167" s="5"/>
    </row>
    <row r="168" customFormat="false" ht="15" hidden="false" customHeight="true" outlineLevel="0" collapsed="false">
      <c r="A168" s="5"/>
      <c r="B168" s="5"/>
      <c r="C168" s="5"/>
      <c r="D168" s="5"/>
      <c r="E168" s="5"/>
      <c r="F168" s="5"/>
      <c r="G168" s="5"/>
      <c r="H168" s="5"/>
      <c r="I168" s="5"/>
    </row>
    <row r="169" customFormat="false" ht="15" hidden="false" customHeight="true" outlineLevel="0" collapsed="false">
      <c r="A169" s="5"/>
      <c r="B169" s="5"/>
      <c r="C169" s="5"/>
      <c r="D169" s="5"/>
      <c r="E169" s="5"/>
      <c r="F169" s="5"/>
      <c r="G169" s="5"/>
      <c r="H169" s="5"/>
      <c r="I169" s="5"/>
    </row>
    <row r="170" customFormat="false" ht="15" hidden="false" customHeight="true" outlineLevel="0" collapsed="false">
      <c r="A170" s="5"/>
      <c r="B170" s="5"/>
      <c r="C170" s="5"/>
      <c r="D170" s="5"/>
      <c r="E170" s="5"/>
      <c r="F170" s="5"/>
      <c r="G170" s="5"/>
      <c r="H170" s="5"/>
      <c r="I170" s="5"/>
    </row>
    <row r="171" customFormat="false" ht="15" hidden="false" customHeight="true" outlineLevel="0" collapsed="false">
      <c r="A171" s="5"/>
      <c r="B171" s="5"/>
      <c r="C171" s="5"/>
      <c r="D171" s="5"/>
      <c r="E171" s="5"/>
      <c r="F171" s="5"/>
      <c r="G171" s="5"/>
      <c r="H171" s="5"/>
      <c r="I171" s="5"/>
    </row>
    <row r="172" customFormat="false" ht="15" hidden="false" customHeight="true" outlineLevel="0" collapsed="false">
      <c r="A172" s="5"/>
      <c r="B172" s="5"/>
      <c r="C172" s="5"/>
      <c r="D172" s="5"/>
      <c r="E172" s="5"/>
      <c r="F172" s="5"/>
      <c r="G172" s="5"/>
      <c r="H172" s="5"/>
      <c r="I172" s="5"/>
    </row>
    <row r="173" customFormat="false" ht="15" hidden="false" customHeight="true" outlineLevel="0" collapsed="false">
      <c r="A173" s="5"/>
      <c r="B173" s="5"/>
      <c r="C173" s="5"/>
      <c r="D173" s="5"/>
      <c r="E173" s="5"/>
      <c r="F173" s="5"/>
      <c r="G173" s="5"/>
      <c r="H173" s="5"/>
      <c r="I173" s="5"/>
    </row>
    <row r="174" customFormat="false" ht="15" hidden="false" customHeight="true" outlineLevel="0" collapsed="false">
      <c r="A174" s="5"/>
      <c r="B174" s="5"/>
      <c r="C174" s="5"/>
      <c r="D174" s="5"/>
      <c r="E174" s="5"/>
      <c r="F174" s="5"/>
      <c r="G174" s="5"/>
      <c r="H174" s="5"/>
      <c r="I174" s="5"/>
    </row>
    <row r="175" customFormat="false" ht="15" hidden="false" customHeight="true" outlineLevel="0" collapsed="false">
      <c r="A175" s="5"/>
      <c r="B175" s="5"/>
      <c r="C175" s="5"/>
      <c r="D175" s="5"/>
      <c r="E175" s="5"/>
      <c r="F175" s="5"/>
      <c r="G175" s="5"/>
      <c r="H175" s="5"/>
      <c r="I175" s="5"/>
    </row>
    <row r="176" customFormat="false" ht="15" hidden="false" customHeight="true" outlineLevel="0" collapsed="false">
      <c r="A176" s="5"/>
      <c r="B176" s="5"/>
      <c r="C176" s="5"/>
      <c r="D176" s="5"/>
      <c r="E176" s="5"/>
      <c r="F176" s="5"/>
      <c r="G176" s="5"/>
      <c r="H176" s="5"/>
      <c r="I176" s="5"/>
    </row>
    <row r="177" customFormat="false" ht="15" hidden="false" customHeight="true" outlineLevel="0" collapsed="false">
      <c r="A177" s="5"/>
      <c r="B177" s="5"/>
      <c r="C177" s="5"/>
      <c r="D177" s="5"/>
      <c r="E177" s="5"/>
      <c r="F177" s="5"/>
      <c r="G177" s="5"/>
      <c r="H177" s="5"/>
      <c r="I177" s="5"/>
    </row>
    <row r="178" customFormat="false" ht="15" hidden="false" customHeight="true" outlineLevel="0" collapsed="false">
      <c r="A178" s="5"/>
      <c r="B178" s="5"/>
      <c r="C178" s="5"/>
      <c r="D178" s="5"/>
      <c r="E178" s="5"/>
      <c r="F178" s="5"/>
      <c r="G178" s="5"/>
      <c r="H178" s="5"/>
      <c r="I178" s="5"/>
    </row>
    <row r="179" customFormat="false" ht="15" hidden="false" customHeight="true" outlineLevel="0" collapsed="false">
      <c r="A179" s="5"/>
      <c r="B179" s="5"/>
      <c r="C179" s="5"/>
      <c r="D179" s="5"/>
      <c r="E179" s="5"/>
      <c r="F179" s="5"/>
      <c r="G179" s="5"/>
      <c r="H179" s="5"/>
      <c r="I179" s="5"/>
    </row>
    <row r="180" customFormat="false" ht="15" hidden="false" customHeight="true" outlineLevel="0" collapsed="false">
      <c r="A180" s="5"/>
      <c r="B180" s="5"/>
      <c r="C180" s="5"/>
      <c r="D180" s="5"/>
      <c r="E180" s="5"/>
      <c r="F180" s="5"/>
      <c r="G180" s="5"/>
      <c r="H180" s="5"/>
      <c r="I180" s="5"/>
    </row>
    <row r="181" customFormat="false" ht="15" hidden="false" customHeight="true" outlineLevel="0" collapsed="false">
      <c r="A181" s="5"/>
      <c r="B181" s="5"/>
      <c r="C181" s="5"/>
      <c r="D181" s="5"/>
      <c r="E181" s="5"/>
      <c r="F181" s="5"/>
      <c r="G181" s="5"/>
      <c r="H181" s="5"/>
      <c r="I181" s="5"/>
    </row>
    <row r="182" customFormat="false" ht="15" hidden="false" customHeight="true" outlineLevel="0" collapsed="false">
      <c r="A182" s="5"/>
      <c r="B182" s="5"/>
      <c r="C182" s="5"/>
      <c r="D182" s="5"/>
      <c r="E182" s="5"/>
      <c r="F182" s="5"/>
      <c r="G182" s="5"/>
      <c r="H182" s="5"/>
      <c r="I182" s="5"/>
    </row>
    <row r="183" customFormat="false" ht="15" hidden="false" customHeight="true" outlineLevel="0" collapsed="false">
      <c r="A183" s="5"/>
      <c r="B183" s="5"/>
      <c r="C183" s="5"/>
      <c r="D183" s="5"/>
      <c r="E183" s="5"/>
      <c r="F183" s="5"/>
      <c r="G183" s="5"/>
      <c r="H183" s="5"/>
      <c r="I183" s="5"/>
    </row>
    <row r="184" customFormat="false" ht="15" hidden="false" customHeight="true" outlineLevel="0" collapsed="false">
      <c r="A184" s="5"/>
      <c r="B184" s="5"/>
      <c r="C184" s="5"/>
      <c r="D184" s="5"/>
      <c r="E184" s="5"/>
      <c r="F184" s="5"/>
      <c r="G184" s="5"/>
      <c r="H184" s="5"/>
      <c r="I184" s="5"/>
    </row>
    <row r="185" customFormat="false" ht="15" hidden="false" customHeight="true" outlineLevel="0" collapsed="false">
      <c r="A185" s="5"/>
      <c r="B185" s="5"/>
      <c r="C185" s="5"/>
      <c r="D185" s="5"/>
      <c r="E185" s="5"/>
      <c r="F185" s="5"/>
      <c r="G185" s="5"/>
      <c r="H185" s="5"/>
      <c r="I185" s="5"/>
    </row>
    <row r="186" customFormat="false" ht="15" hidden="false" customHeight="true" outlineLevel="0" collapsed="false">
      <c r="A186" s="5"/>
      <c r="B186" s="5"/>
      <c r="C186" s="5"/>
      <c r="D186" s="5"/>
      <c r="E186" s="5"/>
      <c r="F186" s="5"/>
      <c r="G186" s="5"/>
      <c r="H186" s="5"/>
      <c r="I186" s="5"/>
    </row>
    <row r="187" customFormat="false" ht="15" hidden="false" customHeight="true" outlineLevel="0" collapsed="false">
      <c r="A187" s="5"/>
      <c r="B187" s="5"/>
      <c r="C187" s="5"/>
      <c r="D187" s="5"/>
      <c r="E187" s="5"/>
      <c r="F187" s="5"/>
      <c r="G187" s="5"/>
      <c r="H187" s="5"/>
      <c r="I187" s="5"/>
    </row>
    <row r="188" customFormat="false" ht="15" hidden="false" customHeight="true" outlineLevel="0" collapsed="false">
      <c r="A188" s="5"/>
      <c r="B188" s="5"/>
      <c r="C188" s="5"/>
      <c r="D188" s="5"/>
      <c r="E188" s="5"/>
      <c r="F188" s="5"/>
      <c r="G188" s="5"/>
      <c r="H188" s="5"/>
      <c r="I188" s="5"/>
    </row>
    <row r="189" customFormat="false" ht="15" hidden="false" customHeight="true" outlineLevel="0" collapsed="false">
      <c r="A189" s="5"/>
      <c r="B189" s="5"/>
      <c r="C189" s="5"/>
      <c r="D189" s="5"/>
      <c r="E189" s="5"/>
      <c r="F189" s="5"/>
      <c r="G189" s="5"/>
      <c r="H189" s="5"/>
      <c r="I189" s="5"/>
    </row>
    <row r="190" customFormat="false" ht="15" hidden="false" customHeight="true" outlineLevel="0" collapsed="false">
      <c r="A190" s="5"/>
      <c r="B190" s="5"/>
      <c r="C190" s="5"/>
      <c r="D190" s="5"/>
      <c r="E190" s="5"/>
      <c r="F190" s="5"/>
      <c r="G190" s="5"/>
      <c r="H190" s="5"/>
      <c r="I190" s="5"/>
    </row>
    <row r="191" customFormat="false" ht="15" hidden="false" customHeight="true" outlineLevel="0" collapsed="false">
      <c r="A191" s="5"/>
      <c r="B191" s="5"/>
      <c r="C191" s="5"/>
      <c r="D191" s="5"/>
      <c r="E191" s="5"/>
      <c r="F191" s="5"/>
      <c r="G191" s="5"/>
      <c r="H191" s="5"/>
      <c r="I191" s="5"/>
    </row>
    <row r="192" customFormat="false" ht="15" hidden="false" customHeight="true" outlineLevel="0" collapsed="false">
      <c r="A192" s="5"/>
      <c r="B192" s="5"/>
      <c r="C192" s="5"/>
      <c r="D192" s="5"/>
      <c r="E192" s="5"/>
      <c r="F192" s="5"/>
      <c r="G192" s="5"/>
      <c r="H192" s="5"/>
      <c r="I192" s="5"/>
    </row>
    <row r="193" customFormat="false" ht="15" hidden="false" customHeight="true" outlineLevel="0" collapsed="false">
      <c r="A193" s="5"/>
      <c r="B193" s="5"/>
      <c r="C193" s="5"/>
      <c r="D193" s="5"/>
      <c r="E193" s="5"/>
      <c r="F193" s="5"/>
      <c r="G193" s="5"/>
      <c r="H193" s="5"/>
      <c r="I193" s="5"/>
    </row>
    <row r="194" customFormat="false" ht="15" hidden="false" customHeight="true" outlineLevel="0" collapsed="false">
      <c r="A194" s="5"/>
      <c r="B194" s="5"/>
      <c r="C194" s="5"/>
      <c r="D194" s="5"/>
      <c r="E194" s="5"/>
      <c r="F194" s="5"/>
      <c r="G194" s="5"/>
      <c r="H194" s="5"/>
      <c r="I194" s="5"/>
    </row>
    <row r="195" customFormat="false" ht="15" hidden="false" customHeight="true" outlineLevel="0" collapsed="false">
      <c r="A195" s="5"/>
      <c r="B195" s="5"/>
      <c r="C195" s="5"/>
      <c r="D195" s="5"/>
      <c r="E195" s="5"/>
      <c r="F195" s="5"/>
      <c r="G195" s="5"/>
      <c r="H195" s="5"/>
      <c r="I195" s="5"/>
    </row>
    <row r="196" customFormat="false" ht="15" hidden="false" customHeight="true" outlineLevel="0" collapsed="false">
      <c r="A196" s="5"/>
      <c r="B196" s="5"/>
      <c r="C196" s="5"/>
      <c r="D196" s="5"/>
      <c r="E196" s="5"/>
      <c r="F196" s="5"/>
      <c r="G196" s="5"/>
      <c r="H196" s="5"/>
      <c r="I196" s="5"/>
    </row>
    <row r="197" customFormat="false" ht="15" hidden="false" customHeight="true" outlineLevel="0" collapsed="false">
      <c r="A197" s="5"/>
      <c r="B197" s="5"/>
      <c r="C197" s="5"/>
      <c r="D197" s="5"/>
      <c r="E197" s="5"/>
      <c r="F197" s="5"/>
      <c r="G197" s="5"/>
      <c r="H197" s="5"/>
      <c r="I197" s="5"/>
    </row>
    <row r="198" customFormat="false" ht="15" hidden="false" customHeight="true" outlineLevel="0" collapsed="false">
      <c r="A198" s="5"/>
      <c r="B198" s="5"/>
      <c r="C198" s="5"/>
      <c r="D198" s="5"/>
      <c r="E198" s="5"/>
      <c r="F198" s="5"/>
      <c r="G198" s="5"/>
      <c r="H198" s="5"/>
      <c r="I198" s="5"/>
    </row>
    <row r="199" customFormat="false" ht="15" hidden="false" customHeight="true" outlineLevel="0" collapsed="false">
      <c r="A199" s="5"/>
      <c r="B199" s="5"/>
      <c r="C199" s="5"/>
      <c r="D199" s="5"/>
      <c r="E199" s="5"/>
      <c r="F199" s="5"/>
      <c r="G199" s="5"/>
      <c r="H199" s="5"/>
      <c r="I199" s="5"/>
    </row>
    <row r="200" customFormat="false" ht="15" hidden="false" customHeight="true" outlineLevel="0" collapsed="false">
      <c r="A200" s="5"/>
      <c r="B200" s="5"/>
      <c r="C200" s="5"/>
      <c r="D200" s="5"/>
      <c r="E200" s="5"/>
      <c r="F200" s="5"/>
      <c r="G200" s="5"/>
      <c r="H200" s="5"/>
      <c r="I200" s="5"/>
    </row>
    <row r="201" customFormat="false" ht="15" hidden="false" customHeight="true" outlineLevel="0" collapsed="false">
      <c r="A201" s="5"/>
      <c r="B201" s="5"/>
      <c r="C201" s="5"/>
      <c r="D201" s="5"/>
      <c r="E201" s="5"/>
      <c r="F201" s="5"/>
      <c r="G201" s="5"/>
      <c r="H201" s="5"/>
      <c r="I201" s="5"/>
    </row>
    <row r="202" customFormat="false" ht="15" hidden="false" customHeight="true" outlineLevel="0" collapsed="false">
      <c r="A202" s="5"/>
      <c r="B202" s="5"/>
      <c r="C202" s="5"/>
      <c r="D202" s="5"/>
      <c r="E202" s="5"/>
      <c r="F202" s="5"/>
      <c r="G202" s="5"/>
      <c r="H202" s="5"/>
      <c r="I202" s="5"/>
    </row>
    <row r="203" customFormat="false" ht="15" hidden="false" customHeight="true" outlineLevel="0" collapsed="false">
      <c r="A203" s="5"/>
      <c r="B203" s="5"/>
      <c r="C203" s="5"/>
      <c r="D203" s="5"/>
      <c r="E203" s="5"/>
      <c r="F203" s="5"/>
      <c r="G203" s="5"/>
      <c r="H203" s="5"/>
      <c r="I203" s="5"/>
    </row>
    <row r="204" customFormat="false" ht="15" hidden="false" customHeight="true" outlineLevel="0" collapsed="false">
      <c r="A204" s="5"/>
      <c r="B204" s="5"/>
      <c r="C204" s="5"/>
      <c r="D204" s="5"/>
      <c r="E204" s="5"/>
      <c r="F204" s="5"/>
      <c r="G204" s="5"/>
      <c r="H204" s="5"/>
      <c r="I204" s="5"/>
    </row>
    <row r="205" customFormat="false" ht="15" hidden="false" customHeight="true" outlineLevel="0" collapsed="false">
      <c r="A205" s="5"/>
      <c r="B205" s="5"/>
      <c r="C205" s="5"/>
      <c r="D205" s="5"/>
      <c r="E205" s="5"/>
      <c r="F205" s="5"/>
      <c r="G205" s="5"/>
      <c r="H205" s="5"/>
      <c r="I205" s="5"/>
    </row>
    <row r="206" customFormat="false" ht="15" hidden="false" customHeight="true" outlineLevel="0" collapsed="false">
      <c r="A206" s="5"/>
      <c r="B206" s="5"/>
      <c r="C206" s="5"/>
      <c r="D206" s="5"/>
      <c r="E206" s="5"/>
      <c r="F206" s="5"/>
      <c r="G206" s="5"/>
      <c r="H206" s="5"/>
      <c r="I206" s="5"/>
    </row>
    <row r="207" customFormat="false" ht="15" hidden="false" customHeight="true" outlineLevel="0" collapsed="false">
      <c r="A207" s="5"/>
      <c r="B207" s="5"/>
      <c r="C207" s="5"/>
      <c r="D207" s="5"/>
      <c r="E207" s="5"/>
      <c r="F207" s="5"/>
      <c r="G207" s="5"/>
      <c r="H207" s="5"/>
      <c r="I207" s="5"/>
    </row>
    <row r="208" customFormat="false" ht="15" hidden="false" customHeight="true" outlineLevel="0" collapsed="false">
      <c r="A208" s="5"/>
      <c r="B208" s="5"/>
      <c r="C208" s="5"/>
      <c r="D208" s="5"/>
      <c r="E208" s="5"/>
      <c r="F208" s="5"/>
      <c r="G208" s="5"/>
      <c r="H208" s="5"/>
      <c r="I208" s="5"/>
    </row>
    <row r="209" customFormat="false" ht="15" hidden="false" customHeight="true" outlineLevel="0" collapsed="false">
      <c r="A209" s="5"/>
      <c r="B209" s="5"/>
      <c r="C209" s="5"/>
      <c r="D209" s="5"/>
      <c r="E209" s="5"/>
      <c r="F209" s="5"/>
      <c r="G209" s="5"/>
      <c r="H209" s="5"/>
      <c r="I209" s="5"/>
    </row>
    <row r="210" customFormat="false" ht="15" hidden="false" customHeight="true" outlineLevel="0" collapsed="false">
      <c r="A210" s="5"/>
      <c r="B210" s="5"/>
      <c r="C210" s="5"/>
      <c r="D210" s="5"/>
      <c r="E210" s="5"/>
      <c r="F210" s="5"/>
      <c r="G210" s="5"/>
      <c r="H210" s="5"/>
      <c r="I210" s="5"/>
    </row>
    <row r="211" customFormat="false" ht="15" hidden="false" customHeight="true" outlineLevel="0" collapsed="false">
      <c r="A211" s="5"/>
      <c r="B211" s="5"/>
      <c r="C211" s="5"/>
      <c r="D211" s="5"/>
      <c r="E211" s="5"/>
      <c r="F211" s="5"/>
      <c r="G211" s="5"/>
      <c r="H211" s="5"/>
      <c r="I211" s="5"/>
    </row>
    <row r="212" customFormat="false" ht="15" hidden="false" customHeight="true" outlineLevel="0" collapsed="false">
      <c r="A212" s="5" t="s">
        <v>5989</v>
      </c>
      <c r="B212" s="5" t="n">
        <v>1</v>
      </c>
      <c r="C212" s="5" t="s">
        <v>2004</v>
      </c>
      <c r="D212" s="5" t="s">
        <v>2005</v>
      </c>
      <c r="E212" s="5" t="s">
        <v>950</v>
      </c>
      <c r="F212" s="5" t="n">
        <f aca="false">INDEX(Site_Evaluation!$K:$K,MATCH(C212,Site_Evaluation!$A:$A,0))</f>
        <v>76</v>
      </c>
      <c r="G212" s="5" t="n">
        <f aca="false">COUNTIFS(Risk_Register!B:B,C212,Risk_Register!G:G,"High")</f>
        <v>2</v>
      </c>
      <c r="H212" s="5" t="str">
        <f aca="false">IF(_xlfn.MAXIFS(Risk_Register!$L:$L,Risk_Register!$B:$B,C212)=3,"High",IF(_xlfn.MAXIFS(Risk_Register!$L:$L,Risk_Register!$B:$B,C212)=2,"Medium","Low"))</f>
        <v>High</v>
      </c>
      <c r="I212" s="5" t="str">
        <f aca="false">IF(B212&lt;=3,"Preferred site - strong composite profile",IF(B212&lt;=10,"Backup candidate - viable with monitoring","Reserve - evaluate only if primary sites unavailable"))</f>
        <v>Preferred site - strong composite profile</v>
      </c>
    </row>
    <row r="213" customFormat="false" ht="15" hidden="false" customHeight="true" outlineLevel="0" collapsed="false">
      <c r="A213" s="5" t="s">
        <v>5989</v>
      </c>
      <c r="B213" s="5" t="n">
        <v>2</v>
      </c>
      <c r="C213" s="5" t="s">
        <v>1711</v>
      </c>
      <c r="D213" s="5" t="s">
        <v>1712</v>
      </c>
      <c r="E213" s="5" t="s">
        <v>927</v>
      </c>
      <c r="F213" s="5" t="n">
        <f aca="false">INDEX(Site_Evaluation!$K:$K,MATCH(C213,Site_Evaluation!$A:$A,0))</f>
        <v>75</v>
      </c>
      <c r="G213" s="5" t="n">
        <f aca="false">COUNTIFS(Risk_Register!B:B,C213,Risk_Register!G:G,"High")</f>
        <v>3</v>
      </c>
      <c r="H213" s="5" t="str">
        <f aca="false">IF(_xlfn.MAXIFS(Risk_Register!$L:$L,Risk_Register!$B:$B,C213)=3,"High",IF(_xlfn.MAXIFS(Risk_Register!$L:$L,Risk_Register!$B:$B,C213)=2,"Medium","Low"))</f>
        <v>High</v>
      </c>
      <c r="I213" s="5" t="str">
        <f aca="false">IF(B213&lt;=3,"Preferred site - strong composite profile",IF(B213&lt;=10,"Backup candidate - viable with monitoring","Reserve - evaluate only if primary sites unavailable"))</f>
        <v>Preferred site - strong composite profile</v>
      </c>
    </row>
    <row r="214" customFormat="false" ht="15" hidden="false" customHeight="true" outlineLevel="0" collapsed="false">
      <c r="A214" s="5" t="s">
        <v>5989</v>
      </c>
      <c r="B214" s="5" t="n">
        <v>3</v>
      </c>
      <c r="C214" s="5" t="s">
        <v>1768</v>
      </c>
      <c r="D214" s="5" t="s">
        <v>1769</v>
      </c>
      <c r="E214" s="5" t="s">
        <v>946</v>
      </c>
      <c r="F214" s="5" t="n">
        <f aca="false">INDEX(Site_Evaluation!$K:$K,MATCH(C214,Site_Evaluation!$A:$A,0))</f>
        <v>75</v>
      </c>
      <c r="G214" s="5" t="n">
        <f aca="false">COUNTIFS(Risk_Register!B:B,C214,Risk_Register!G:G,"High")</f>
        <v>2</v>
      </c>
      <c r="H214" s="5" t="str">
        <f aca="false">IF(_xlfn.MAXIFS(Risk_Register!$L:$L,Risk_Register!$B:$B,C214)=3,"High",IF(_xlfn.MAXIFS(Risk_Register!$L:$L,Risk_Register!$B:$B,C214)=2,"Medium","Low"))</f>
        <v>High</v>
      </c>
      <c r="I214" s="5" t="str">
        <f aca="false">IF(B214&lt;=3,"Preferred site - strong composite profile",IF(B214&lt;=10,"Backup candidate - viable with monitoring","Reserve - evaluate only if primary sites unavailable"))</f>
        <v>Preferred site - strong composite profile</v>
      </c>
    </row>
    <row r="215" customFormat="false" ht="15" hidden="false" customHeight="true" outlineLevel="0" collapsed="false">
      <c r="A215" s="5" t="s">
        <v>5989</v>
      </c>
      <c r="B215" s="5" t="n">
        <v>4</v>
      </c>
      <c r="C215" s="5" t="s">
        <v>2202</v>
      </c>
      <c r="D215" s="5" t="s">
        <v>2203</v>
      </c>
      <c r="E215" s="5" t="s">
        <v>958</v>
      </c>
      <c r="F215" s="5" t="n">
        <f aca="false">INDEX(Site_Evaluation!$K:$K,MATCH(C215,Site_Evaluation!$A:$A,0))</f>
        <v>74</v>
      </c>
      <c r="G215" s="5" t="n">
        <f aca="false">COUNTIFS(Risk_Register!B:B,C215,Risk_Register!G:G,"High")</f>
        <v>1</v>
      </c>
      <c r="H215" s="5" t="str">
        <f aca="false">IF(_xlfn.MAXIFS(Risk_Register!$L:$L,Risk_Register!$B:$B,C215)=3,"High",IF(_xlfn.MAXIFS(Risk_Register!$L:$L,Risk_Register!$B:$B,C215)=2,"Medium","Low"))</f>
        <v>High</v>
      </c>
      <c r="I215" s="5" t="str">
        <f aca="false">IF(B215&lt;=3,"Preferred site - strong composite profile",IF(B215&lt;=10,"Backup candidate - viable with monitoring","Reserve - evaluate only if primary sites unavailable"))</f>
        <v>Backup candidate - viable with monitoring</v>
      </c>
    </row>
    <row r="216" customFormat="false" ht="15" hidden="false" customHeight="true" outlineLevel="0" collapsed="false">
      <c r="A216" s="5" t="s">
        <v>5989</v>
      </c>
      <c r="B216" s="5" t="n">
        <v>5</v>
      </c>
      <c r="C216" s="5" t="s">
        <v>1854</v>
      </c>
      <c r="D216" s="5" t="s">
        <v>1855</v>
      </c>
      <c r="E216" s="5" t="s">
        <v>948</v>
      </c>
      <c r="F216" s="5" t="n">
        <f aca="false">INDEX(Site_Evaluation!$K:$K,MATCH(C216,Site_Evaluation!$A:$A,0))</f>
        <v>64</v>
      </c>
      <c r="G216" s="5" t="n">
        <f aca="false">COUNTIFS(Risk_Register!B:B,C216,Risk_Register!G:G,"High")</f>
        <v>3</v>
      </c>
      <c r="H216" s="5" t="str">
        <f aca="false">IF(_xlfn.MAXIFS(Risk_Register!$L:$L,Risk_Register!$B:$B,C216)=3,"High",IF(_xlfn.MAXIFS(Risk_Register!$L:$L,Risk_Register!$B:$B,C216)=2,"Medium","Low"))</f>
        <v>High</v>
      </c>
      <c r="I216" s="5" t="str">
        <f aca="false">IF(B216&lt;=3,"Preferred site - strong composite profile",IF(B216&lt;=10,"Backup candidate - viable with monitoring","Reserve - evaluate only if primary sites unavailable"))</f>
        <v>Backup candidate - viable with monitoring</v>
      </c>
    </row>
    <row r="217" customFormat="false" ht="15" hidden="false" customHeight="true" outlineLevel="0" collapsed="false">
      <c r="A217" s="5" t="s">
        <v>5989</v>
      </c>
      <c r="B217" s="5" t="n">
        <v>6</v>
      </c>
      <c r="C217" s="5" t="s">
        <v>1640</v>
      </c>
      <c r="D217" s="5" t="s">
        <v>1641</v>
      </c>
      <c r="E217" s="5" t="s">
        <v>958</v>
      </c>
      <c r="F217" s="5" t="n">
        <f aca="false">INDEX(Site_Evaluation!$K:$K,MATCH(C217,Site_Evaluation!$A:$A,0))</f>
        <v>61</v>
      </c>
      <c r="G217" s="5" t="n">
        <f aca="false">COUNTIFS(Risk_Register!B:B,C217,Risk_Register!G:G,"High")</f>
        <v>1</v>
      </c>
      <c r="H217" s="5" t="str">
        <f aca="false">IF(_xlfn.MAXIFS(Risk_Register!$L:$L,Risk_Register!$B:$B,C217)=3,"High",IF(_xlfn.MAXIFS(Risk_Register!$L:$L,Risk_Register!$B:$B,C217)=2,"Medium","Low"))</f>
        <v>High</v>
      </c>
      <c r="I217" s="5" t="str">
        <f aca="false">IF(B217&lt;=3,"Preferred site - strong composite profile",IF(B217&lt;=10,"Backup candidate - viable with monitoring","Reserve - evaluate only if primary sites unavailable"))</f>
        <v>Backup candidate - viable with monitoring</v>
      </c>
    </row>
    <row r="218" customFormat="false" ht="15" hidden="false" customHeight="true" outlineLevel="0" collapsed="false">
      <c r="A218" s="5" t="s">
        <v>5989</v>
      </c>
      <c r="B218" s="5" t="n">
        <v>7</v>
      </c>
      <c r="C218" s="5" t="s">
        <v>1680</v>
      </c>
      <c r="D218" s="5" t="s">
        <v>1681</v>
      </c>
      <c r="E218" s="5" t="s">
        <v>931</v>
      </c>
      <c r="F218" s="5" t="n">
        <f aca="false">INDEX(Site_Evaluation!$K:$K,MATCH(C218,Site_Evaluation!$A:$A,0))</f>
        <v>60</v>
      </c>
      <c r="G218" s="5" t="n">
        <f aca="false">COUNTIFS(Risk_Register!B:B,C218,Risk_Register!G:G,"High")</f>
        <v>1</v>
      </c>
      <c r="H218" s="5" t="str">
        <f aca="false">IF(_xlfn.MAXIFS(Risk_Register!$L:$L,Risk_Register!$B:$B,C218)=3,"High",IF(_xlfn.MAXIFS(Risk_Register!$L:$L,Risk_Register!$B:$B,C218)=2,"Medium","Low"))</f>
        <v>High</v>
      </c>
      <c r="I218" s="5" t="str">
        <f aca="false">IF(B218&lt;=3,"Preferred site - strong composite profile",IF(B218&lt;=10,"Backup candidate - viable with monitoring","Reserve - evaluate only if primary sites unavailable"))</f>
        <v>Backup candidate - viable with monitoring</v>
      </c>
    </row>
    <row r="219" customFormat="false" ht="15" hidden="false" customHeight="true" outlineLevel="0" collapsed="false">
      <c r="A219" s="5" t="s">
        <v>5989</v>
      </c>
      <c r="B219" s="5" t="n">
        <v>8</v>
      </c>
      <c r="C219" s="5" t="s">
        <v>1751</v>
      </c>
      <c r="D219" s="5" t="s">
        <v>1752</v>
      </c>
      <c r="E219" s="5" t="s">
        <v>958</v>
      </c>
      <c r="F219" s="5" t="n">
        <f aca="false">INDEX(Site_Evaluation!$K:$K,MATCH(C219,Site_Evaluation!$A:$A,0))</f>
        <v>60</v>
      </c>
      <c r="G219" s="5" t="n">
        <f aca="false">COUNTIFS(Risk_Register!B:B,C219,Risk_Register!G:G,"High")</f>
        <v>2</v>
      </c>
      <c r="H219" s="5" t="str">
        <f aca="false">IF(_xlfn.MAXIFS(Risk_Register!$L:$L,Risk_Register!$B:$B,C219)=3,"High",IF(_xlfn.MAXIFS(Risk_Register!$L:$L,Risk_Register!$B:$B,C219)=2,"Medium","Low"))</f>
        <v>High</v>
      </c>
      <c r="I219" s="5" t="str">
        <f aca="false">IF(B219&lt;=3,"Preferred site - strong composite profile",IF(B219&lt;=10,"Backup candidate - viable with monitoring","Reserve - evaluate only if primary sites unavailable"))</f>
        <v>Backup candidate - viable with monitoring</v>
      </c>
    </row>
    <row r="220" customFormat="false" ht="15" hidden="false" customHeight="true" outlineLevel="0" collapsed="false">
      <c r="A220" s="5" t="s">
        <v>5989</v>
      </c>
      <c r="B220" s="5" t="n">
        <v>9</v>
      </c>
      <c r="C220" s="5" t="s">
        <v>1866</v>
      </c>
      <c r="D220" s="5" t="s">
        <v>1867</v>
      </c>
      <c r="E220" s="5" t="s">
        <v>954</v>
      </c>
      <c r="F220" s="5" t="n">
        <f aca="false">INDEX(Site_Evaluation!$K:$K,MATCH(C220,Site_Evaluation!$A:$A,0))</f>
        <v>59</v>
      </c>
      <c r="G220" s="5" t="n">
        <f aca="false">COUNTIFS(Risk_Register!B:B,C220,Risk_Register!G:G,"High")</f>
        <v>2</v>
      </c>
      <c r="H220" s="5" t="str">
        <f aca="false">IF(_xlfn.MAXIFS(Risk_Register!$L:$L,Risk_Register!$B:$B,C220)=3,"High",IF(_xlfn.MAXIFS(Risk_Register!$L:$L,Risk_Register!$B:$B,C220)=2,"Medium","Low"))</f>
        <v>High</v>
      </c>
      <c r="I220" s="5" t="str">
        <f aca="false">IF(B220&lt;=3,"Preferred site - strong composite profile",IF(B220&lt;=10,"Backup candidate - viable with monitoring","Reserve - evaluate only if primary sites unavailable"))</f>
        <v>Backup candidate - viable with monitoring</v>
      </c>
    </row>
    <row r="221" customFormat="false" ht="15" hidden="false" customHeight="true" outlineLevel="0" collapsed="false">
      <c r="A221" s="5" t="s">
        <v>5989</v>
      </c>
      <c r="B221" s="5" t="n">
        <v>10</v>
      </c>
      <c r="C221" s="5" t="s">
        <v>1960</v>
      </c>
      <c r="D221" s="5" t="s">
        <v>1961</v>
      </c>
      <c r="E221" s="5" t="s">
        <v>944</v>
      </c>
      <c r="F221" s="5" t="n">
        <f aca="false">INDEX(Site_Evaluation!$K:$K,MATCH(C221,Site_Evaluation!$A:$A,0))</f>
        <v>57</v>
      </c>
      <c r="G221" s="5" t="n">
        <f aca="false">COUNTIFS(Risk_Register!B:B,C221,Risk_Register!G:G,"High")</f>
        <v>3</v>
      </c>
      <c r="H221" s="5" t="str">
        <f aca="false">IF(_xlfn.MAXIFS(Risk_Register!$L:$L,Risk_Register!$B:$B,C221)=3,"High",IF(_xlfn.MAXIFS(Risk_Register!$L:$L,Risk_Register!$B:$B,C221)=2,"Medium","Low"))</f>
        <v>High</v>
      </c>
      <c r="I221" s="5" t="str">
        <f aca="false">IF(B221&lt;=3,"Preferred site - strong composite profile",IF(B221&lt;=10,"Backup candidate - viable with monitoring","Reserve - evaluate only if primary sites unavailable"))</f>
        <v>Backup candidate - viable with monitoring</v>
      </c>
    </row>
    <row r="222" customFormat="false" ht="15" hidden="false" customHeight="true" outlineLevel="0" collapsed="false">
      <c r="A222" s="5" t="s">
        <v>5989</v>
      </c>
      <c r="B222" s="5" t="n">
        <v>11</v>
      </c>
      <c r="C222" s="5" t="s">
        <v>2104</v>
      </c>
      <c r="D222" s="5" t="s">
        <v>2105</v>
      </c>
      <c r="E222" s="5" t="s">
        <v>918</v>
      </c>
      <c r="F222" s="5" t="n">
        <f aca="false">INDEX(Site_Evaluation!$K:$K,MATCH(C222,Site_Evaluation!$A:$A,0))</f>
        <v>57</v>
      </c>
      <c r="G222" s="5" t="n">
        <f aca="false">COUNTIFS(Risk_Register!B:B,C222,Risk_Register!G:G,"High")</f>
        <v>2</v>
      </c>
      <c r="H222" s="5" t="str">
        <f aca="false">IF(_xlfn.MAXIFS(Risk_Register!$L:$L,Risk_Register!$B:$B,C222)=3,"High",IF(_xlfn.MAXIFS(Risk_Register!$L:$L,Risk_Register!$B:$B,C222)=2,"Medium","Low"))</f>
        <v>High</v>
      </c>
      <c r="I222" s="5" t="str">
        <f aca="false">IF(B222&lt;=3,"Preferred site - strong composite profile",IF(B222&lt;=10,"Backup candidate - viable with monitoring","Reserve - evaluate only if primary sites unavailable"))</f>
        <v>Reserve - evaluate only if primary sites unavailable</v>
      </c>
    </row>
    <row r="223" customFormat="false" ht="15" hidden="false" customHeight="true" outlineLevel="0" collapsed="false">
      <c r="A223" s="5" t="s">
        <v>5989</v>
      </c>
      <c r="B223" s="5" t="n">
        <v>12</v>
      </c>
      <c r="C223" s="5" t="s">
        <v>1996</v>
      </c>
      <c r="D223" s="5" t="s">
        <v>1997</v>
      </c>
      <c r="E223" s="5" t="s">
        <v>962</v>
      </c>
      <c r="F223" s="5" t="n">
        <f aca="false">INDEX(Site_Evaluation!$K:$K,MATCH(C223,Site_Evaluation!$A:$A,0))</f>
        <v>56</v>
      </c>
      <c r="G223" s="5" t="n">
        <f aca="false">COUNTIFS(Risk_Register!B:B,C223,Risk_Register!G:G,"High")</f>
        <v>1</v>
      </c>
      <c r="H223" s="5" t="str">
        <f aca="false">IF(_xlfn.MAXIFS(Risk_Register!$L:$L,Risk_Register!$B:$B,C223)=3,"High",IF(_xlfn.MAXIFS(Risk_Register!$L:$L,Risk_Register!$B:$B,C223)=2,"Medium","Low"))</f>
        <v>High</v>
      </c>
      <c r="I223" s="5" t="str">
        <f aca="false">IF(B223&lt;=3,"Preferred site - strong composite profile",IF(B223&lt;=10,"Backup candidate - viable with monitoring","Reserve - evaluate only if primary sites unavailable"))</f>
        <v>Reserve - evaluate only if primary sites unavailable</v>
      </c>
    </row>
    <row r="224" customFormat="false" ht="15" hidden="false" customHeight="true" outlineLevel="0" collapsed="false">
      <c r="A224" s="5" t="s">
        <v>5989</v>
      </c>
      <c r="B224" s="5" t="n">
        <v>13</v>
      </c>
      <c r="C224" s="5" t="s">
        <v>2146</v>
      </c>
      <c r="D224" s="5" t="s">
        <v>2147</v>
      </c>
      <c r="E224" s="5" t="s">
        <v>958</v>
      </c>
      <c r="F224" s="5" t="n">
        <f aca="false">INDEX(Site_Evaluation!$K:$K,MATCH(C224,Site_Evaluation!$A:$A,0))</f>
        <v>52</v>
      </c>
      <c r="G224" s="5" t="n">
        <f aca="false">COUNTIFS(Risk_Register!B:B,C224,Risk_Register!G:G,"High")</f>
        <v>0</v>
      </c>
      <c r="H224" s="5" t="str">
        <f aca="false">IF(_xlfn.MAXIFS(Risk_Register!$L:$L,Risk_Register!$B:$B,C224)=3,"High",IF(_xlfn.MAXIFS(Risk_Register!$L:$L,Risk_Register!$B:$B,C224)=2,"Medium","Low"))</f>
        <v>Medium</v>
      </c>
      <c r="I224" s="5" t="str">
        <f aca="false">IF(B224&lt;=3,"Preferred site - strong composite profile",IF(B224&lt;=10,"Backup candidate - viable with monitoring","Reserve - evaluate only if primary sites unavailable"))</f>
        <v>Reserve - evaluate only if primary sites unavailable</v>
      </c>
    </row>
    <row r="225" customFormat="false" ht="15" hidden="false" customHeight="true" outlineLevel="0" collapsed="false">
      <c r="A225" s="5" t="s">
        <v>5989</v>
      </c>
      <c r="B225" s="5" t="n">
        <v>14</v>
      </c>
      <c r="C225" s="5" t="s">
        <v>1899</v>
      </c>
      <c r="D225" s="5" t="s">
        <v>1900</v>
      </c>
      <c r="E225" s="5" t="s">
        <v>948</v>
      </c>
      <c r="F225" s="5" t="n">
        <f aca="false">INDEX(Site_Evaluation!$K:$K,MATCH(C225,Site_Evaluation!$A:$A,0))</f>
        <v>51</v>
      </c>
      <c r="G225" s="5" t="n">
        <f aca="false">COUNTIFS(Risk_Register!B:B,C225,Risk_Register!G:G,"High")</f>
        <v>3</v>
      </c>
      <c r="H225" s="5" t="str">
        <f aca="false">IF(_xlfn.MAXIFS(Risk_Register!$L:$L,Risk_Register!$B:$B,C225)=3,"High",IF(_xlfn.MAXIFS(Risk_Register!$L:$L,Risk_Register!$B:$B,C225)=2,"Medium","Low"))</f>
        <v>High</v>
      </c>
      <c r="I225" s="5" t="str">
        <f aca="false">IF(B225&lt;=3,"Preferred site - strong composite profile",IF(B225&lt;=10,"Backup candidate - viable with monitoring","Reserve - evaluate only if primary sites unavailable"))</f>
        <v>Reserve - evaluate only if primary sites unavailable</v>
      </c>
    </row>
    <row r="226" customFormat="false" ht="15" hidden="false" customHeight="true" outlineLevel="0" collapsed="false">
      <c r="A226" s="5" t="s">
        <v>5989</v>
      </c>
      <c r="B226" s="5" t="n">
        <v>15</v>
      </c>
      <c r="C226" s="5" t="s">
        <v>1734</v>
      </c>
      <c r="D226" s="5" t="s">
        <v>1735</v>
      </c>
      <c r="E226" s="5" t="s">
        <v>933</v>
      </c>
      <c r="F226" s="5" t="n">
        <f aca="false">INDEX(Site_Evaluation!$K:$K,MATCH(C226,Site_Evaluation!$A:$A,0))</f>
        <v>50</v>
      </c>
      <c r="G226" s="5" t="n">
        <f aca="false">COUNTIFS(Risk_Register!B:B,C226,Risk_Register!G:G,"High")</f>
        <v>2</v>
      </c>
      <c r="H226" s="5" t="str">
        <f aca="false">IF(_xlfn.MAXIFS(Risk_Register!$L:$L,Risk_Register!$B:$B,C226)=3,"High",IF(_xlfn.MAXIFS(Risk_Register!$L:$L,Risk_Register!$B:$B,C226)=2,"Medium","Low"))</f>
        <v>High</v>
      </c>
      <c r="I226" s="5" t="str">
        <f aca="false">IF(B226&lt;=3,"Preferred site - strong composite profile",IF(B226&lt;=10,"Backup candidate - viable with monitoring","Reserve - evaluate only if primary sites unavailable"))</f>
        <v>Reserve - evaluate only if primary sites unavailable</v>
      </c>
    </row>
    <row r="227" customFormat="false" ht="15" hidden="false" customHeight="true" outlineLevel="0" collapsed="false">
      <c r="A227" s="5" t="s">
        <v>5989</v>
      </c>
      <c r="B227" s="5" t="n">
        <v>16</v>
      </c>
      <c r="C227" s="5" t="s">
        <v>1978</v>
      </c>
      <c r="D227" s="5" t="s">
        <v>1979</v>
      </c>
      <c r="E227" s="5" t="s">
        <v>918</v>
      </c>
      <c r="F227" s="5" t="n">
        <f aca="false">INDEX(Site_Evaluation!$K:$K,MATCH(C227,Site_Evaluation!$A:$A,0))</f>
        <v>50</v>
      </c>
      <c r="G227" s="5" t="n">
        <f aca="false">COUNTIFS(Risk_Register!B:B,C227,Risk_Register!G:G,"High")</f>
        <v>3</v>
      </c>
      <c r="H227" s="5" t="str">
        <f aca="false">IF(_xlfn.MAXIFS(Risk_Register!$L:$L,Risk_Register!$B:$B,C227)=3,"High",IF(_xlfn.MAXIFS(Risk_Register!$L:$L,Risk_Register!$B:$B,C227)=2,"Medium","Low"))</f>
        <v>High</v>
      </c>
      <c r="I227" s="5" t="str">
        <f aca="false">IF(B227&lt;=3,"Preferred site - strong composite profile",IF(B227&lt;=10,"Backup candidate - viable with monitoring","Reserve - evaluate only if primary sites unavailable"))</f>
        <v>Reserve - evaluate only if primary sites unavailable</v>
      </c>
    </row>
    <row r="228" customFormat="false" ht="15" hidden="false" customHeight="true" outlineLevel="0" collapsed="false">
      <c r="A228" s="5" t="s">
        <v>5989</v>
      </c>
      <c r="B228" s="5" t="n">
        <v>17</v>
      </c>
      <c r="C228" s="5" t="s">
        <v>1968</v>
      </c>
      <c r="D228" s="5" t="s">
        <v>1969</v>
      </c>
      <c r="E228" s="5" t="s">
        <v>948</v>
      </c>
      <c r="F228" s="5" t="n">
        <f aca="false">INDEX(Site_Evaluation!$K:$K,MATCH(C228,Site_Evaluation!$A:$A,0))</f>
        <v>49</v>
      </c>
      <c r="G228" s="5" t="n">
        <f aca="false">COUNTIFS(Risk_Register!B:B,C228,Risk_Register!G:G,"High")</f>
        <v>2</v>
      </c>
      <c r="H228" s="5" t="str">
        <f aca="false">IF(_xlfn.MAXIFS(Risk_Register!$L:$L,Risk_Register!$B:$B,C228)=3,"High",IF(_xlfn.MAXIFS(Risk_Register!$L:$L,Risk_Register!$B:$B,C228)=2,"Medium","Low"))</f>
        <v>High</v>
      </c>
      <c r="I228" s="5" t="str">
        <f aca="false">IF(B228&lt;=3,"Preferred site - strong composite profile",IF(B228&lt;=10,"Backup candidate - viable with monitoring","Reserve - evaluate only if primary sites unavailable"))</f>
        <v>Reserve - evaluate only if primary sites unavailable</v>
      </c>
    </row>
    <row r="229" customFormat="false" ht="15" hidden="false" customHeight="true" outlineLevel="0" collapsed="false">
      <c r="A229" s="5" t="s">
        <v>5989</v>
      </c>
      <c r="B229" s="5" t="n">
        <v>18</v>
      </c>
      <c r="C229" s="5" t="s">
        <v>1872</v>
      </c>
      <c r="D229" s="5" t="s">
        <v>1873</v>
      </c>
      <c r="E229" s="5" t="s">
        <v>954</v>
      </c>
      <c r="F229" s="5" t="n">
        <f aca="false">INDEX(Site_Evaluation!$K:$K,MATCH(C229,Site_Evaluation!$A:$A,0))</f>
        <v>48</v>
      </c>
      <c r="G229" s="5" t="n">
        <f aca="false">COUNTIFS(Risk_Register!B:B,C229,Risk_Register!G:G,"High")</f>
        <v>2</v>
      </c>
      <c r="H229" s="5" t="str">
        <f aca="false">IF(_xlfn.MAXIFS(Risk_Register!$L:$L,Risk_Register!$B:$B,C229)=3,"High",IF(_xlfn.MAXIFS(Risk_Register!$L:$L,Risk_Register!$B:$B,C229)=2,"Medium","Low"))</f>
        <v>High</v>
      </c>
      <c r="I229" s="5" t="str">
        <f aca="false">IF(B229&lt;=3,"Preferred site - strong composite profile",IF(B229&lt;=10,"Backup candidate - viable with monitoring","Reserve - evaluate only if primary sites unavailable"))</f>
        <v>Reserve - evaluate only if primary sites unavailable</v>
      </c>
    </row>
    <row r="230" customFormat="false" ht="15" hidden="false" customHeight="true" outlineLevel="0" collapsed="false">
      <c r="A230" s="5" t="s">
        <v>5989</v>
      </c>
      <c r="B230" s="5" t="n">
        <v>19</v>
      </c>
      <c r="C230" s="5" t="s">
        <v>1814</v>
      </c>
      <c r="D230" s="5" t="s">
        <v>1815</v>
      </c>
      <c r="E230" s="5" t="s">
        <v>958</v>
      </c>
      <c r="F230" s="5" t="n">
        <f aca="false">INDEX(Site_Evaluation!$K:$K,MATCH(C230,Site_Evaluation!$A:$A,0))</f>
        <v>47</v>
      </c>
      <c r="G230" s="5" t="n">
        <f aca="false">COUNTIFS(Risk_Register!B:B,C230,Risk_Register!G:G,"High")</f>
        <v>3</v>
      </c>
      <c r="H230" s="5" t="str">
        <f aca="false">IF(_xlfn.MAXIFS(Risk_Register!$L:$L,Risk_Register!$B:$B,C230)=3,"High",IF(_xlfn.MAXIFS(Risk_Register!$L:$L,Risk_Register!$B:$B,C230)=2,"Medium","Low"))</f>
        <v>High</v>
      </c>
      <c r="I230" s="5" t="str">
        <f aca="false">IF(B230&lt;=3,"Preferred site - strong composite profile",IF(B230&lt;=10,"Backup candidate - viable with monitoring","Reserve - evaluate only if primary sites unavailable"))</f>
        <v>Reserve - evaluate only if primary sites unavailable</v>
      </c>
    </row>
    <row r="231" customFormat="false" ht="15" hidden="false" customHeight="true" outlineLevel="0" collapsed="false">
      <c r="A231" s="5" t="s">
        <v>5989</v>
      </c>
      <c r="B231" s="5" t="n">
        <v>20</v>
      </c>
      <c r="C231" s="5" t="s">
        <v>1726</v>
      </c>
      <c r="D231" s="5" t="s">
        <v>1727</v>
      </c>
      <c r="E231" s="5" t="s">
        <v>946</v>
      </c>
      <c r="F231" s="5" t="n">
        <f aca="false">INDEX(Site_Evaluation!$K:$K,MATCH(C231,Site_Evaluation!$A:$A,0))</f>
        <v>46</v>
      </c>
      <c r="G231" s="5" t="n">
        <f aca="false">COUNTIFS(Risk_Register!B:B,C231,Risk_Register!G:G,"High")</f>
        <v>1</v>
      </c>
      <c r="H231" s="5" t="str">
        <f aca="false">IF(_xlfn.MAXIFS(Risk_Register!$L:$L,Risk_Register!$B:$B,C231)=3,"High",IF(_xlfn.MAXIFS(Risk_Register!$L:$L,Risk_Register!$B:$B,C231)=2,"Medium","Low"))</f>
        <v>High</v>
      </c>
      <c r="I231" s="5" t="str">
        <f aca="false">IF(B231&lt;=3,"Preferred site - strong composite profile",IF(B231&lt;=10,"Backup candidate - viable with monitoring","Reserve - evaluate only if primary sites unavailable"))</f>
        <v>Reserve - evaluate only if primary sites unavailable</v>
      </c>
    </row>
    <row r="232" customFormat="false" ht="15" hidden="false" customHeight="true" outlineLevel="0" collapsed="false">
      <c r="A232" s="5" t="s">
        <v>5990</v>
      </c>
      <c r="B232" s="5" t="n">
        <v>1</v>
      </c>
      <c r="C232" s="5" t="s">
        <v>1938</v>
      </c>
      <c r="D232" s="5" t="s">
        <v>1939</v>
      </c>
      <c r="E232" s="5" t="s">
        <v>962</v>
      </c>
      <c r="F232" s="5" t="n">
        <f aca="false">INDEX(Site_Evaluation!$K:$K,MATCH(C232,Site_Evaluation!$A:$A,0))</f>
        <v>75</v>
      </c>
      <c r="G232" s="5" t="n">
        <f aca="false">COUNTIFS(Risk_Register!B:B,C232,Risk_Register!G:G,"High")</f>
        <v>1</v>
      </c>
      <c r="H232" s="5" t="str">
        <f aca="false">IF(_xlfn.MAXIFS(Risk_Register!$L:$L,Risk_Register!$B:$B,C232)=3,"High",IF(_xlfn.MAXIFS(Risk_Register!$L:$L,Risk_Register!$B:$B,C232)=2,"Medium","Low"))</f>
        <v>High</v>
      </c>
      <c r="I232" s="5" t="str">
        <f aca="false">IF(B232&lt;=3,"Preferred site - strong composite profile",IF(B232&lt;=10,"Backup candidate - viable with monitoring","Reserve - evaluate only if primary sites unavailable"))</f>
        <v>Preferred site - strong composite profile</v>
      </c>
    </row>
    <row r="233" customFormat="false" ht="15" hidden="false" customHeight="true" outlineLevel="0" collapsed="false">
      <c r="A233" s="5" t="s">
        <v>5990</v>
      </c>
      <c r="B233" s="5" t="n">
        <v>2</v>
      </c>
      <c r="C233" s="5" t="s">
        <v>1704</v>
      </c>
      <c r="D233" s="5" t="s">
        <v>1705</v>
      </c>
      <c r="E233" s="5" t="s">
        <v>958</v>
      </c>
      <c r="F233" s="5" t="n">
        <f aca="false">INDEX(Site_Evaluation!$K:$K,MATCH(C233,Site_Evaluation!$A:$A,0))</f>
        <v>73</v>
      </c>
      <c r="G233" s="5" t="n">
        <f aca="false">COUNTIFS(Risk_Register!B:B,C233,Risk_Register!G:G,"High")</f>
        <v>2</v>
      </c>
      <c r="H233" s="5" t="str">
        <f aca="false">IF(_xlfn.MAXIFS(Risk_Register!$L:$L,Risk_Register!$B:$B,C233)=3,"High",IF(_xlfn.MAXIFS(Risk_Register!$L:$L,Risk_Register!$B:$B,C233)=2,"Medium","Low"))</f>
        <v>High</v>
      </c>
      <c r="I233" s="5" t="str">
        <f aca="false">IF(B233&lt;=3,"Preferred site - strong composite profile",IF(B233&lt;=10,"Backup candidate - viable with monitoring","Reserve - evaluate only if primary sites unavailable"))</f>
        <v>Preferred site - strong composite profile</v>
      </c>
    </row>
    <row r="234" customFormat="false" ht="15" hidden="false" customHeight="true" outlineLevel="0" collapsed="false">
      <c r="A234" s="5" t="s">
        <v>5990</v>
      </c>
      <c r="B234" s="5" t="n">
        <v>3</v>
      </c>
      <c r="C234" s="5" t="s">
        <v>1896</v>
      </c>
      <c r="D234" s="5" t="s">
        <v>1897</v>
      </c>
      <c r="E234" s="5" t="s">
        <v>938</v>
      </c>
      <c r="F234" s="5" t="n">
        <f aca="false">INDEX(Site_Evaluation!$K:$K,MATCH(C234,Site_Evaluation!$A:$A,0))</f>
        <v>71</v>
      </c>
      <c r="G234" s="5" t="n">
        <f aca="false">COUNTIFS(Risk_Register!B:B,C234,Risk_Register!G:G,"High")</f>
        <v>5</v>
      </c>
      <c r="H234" s="5" t="str">
        <f aca="false">IF(_xlfn.MAXIFS(Risk_Register!$L:$L,Risk_Register!$B:$B,C234)=3,"High",IF(_xlfn.MAXIFS(Risk_Register!$L:$L,Risk_Register!$B:$B,C234)=2,"Medium","Low"))</f>
        <v>High</v>
      </c>
      <c r="I234" s="5" t="str">
        <f aca="false">IF(B234&lt;=3,"Preferred site - strong composite profile",IF(B234&lt;=10,"Backup candidate - viable with monitoring","Reserve - evaluate only if primary sites unavailable"))</f>
        <v>Preferred site - strong composite profile</v>
      </c>
    </row>
    <row r="235" customFormat="false" ht="15" hidden="false" customHeight="true" outlineLevel="0" collapsed="false">
      <c r="A235" s="5" t="s">
        <v>5990</v>
      </c>
      <c r="B235" s="5" t="n">
        <v>4</v>
      </c>
      <c r="C235" s="5" t="s">
        <v>1780</v>
      </c>
      <c r="D235" s="5" t="s">
        <v>1781</v>
      </c>
      <c r="E235" s="5" t="s">
        <v>954</v>
      </c>
      <c r="F235" s="5" t="n">
        <f aca="false">INDEX(Site_Evaluation!$K:$K,MATCH(C235,Site_Evaluation!$A:$A,0))</f>
        <v>62</v>
      </c>
      <c r="G235" s="5" t="n">
        <f aca="false">COUNTIFS(Risk_Register!B:B,C235,Risk_Register!G:G,"High")</f>
        <v>3</v>
      </c>
      <c r="H235" s="5" t="str">
        <f aca="false">IF(_xlfn.MAXIFS(Risk_Register!$L:$L,Risk_Register!$B:$B,C235)=3,"High",IF(_xlfn.MAXIFS(Risk_Register!$L:$L,Risk_Register!$B:$B,C235)=2,"Medium","Low"))</f>
        <v>High</v>
      </c>
      <c r="I235" s="5" t="str">
        <f aca="false">IF(B235&lt;=3,"Preferred site - strong composite profile",IF(B235&lt;=10,"Backup candidate - viable with monitoring","Reserve - evaluate only if primary sites unavailable"))</f>
        <v>Backup candidate - viable with monitoring</v>
      </c>
    </row>
    <row r="236" customFormat="false" ht="15" hidden="false" customHeight="true" outlineLevel="0" collapsed="false">
      <c r="A236" s="5" t="s">
        <v>5990</v>
      </c>
      <c r="B236" s="5" t="n">
        <v>5</v>
      </c>
      <c r="C236" s="5" t="s">
        <v>2044</v>
      </c>
      <c r="D236" s="5" t="s">
        <v>2045</v>
      </c>
      <c r="E236" s="5" t="s">
        <v>920</v>
      </c>
      <c r="F236" s="5" t="n">
        <f aca="false">INDEX(Site_Evaluation!$K:$K,MATCH(C236,Site_Evaluation!$A:$A,0))</f>
        <v>62</v>
      </c>
      <c r="G236" s="5" t="n">
        <f aca="false">COUNTIFS(Risk_Register!B:B,C236,Risk_Register!G:G,"High")</f>
        <v>2</v>
      </c>
      <c r="H236" s="5" t="str">
        <f aca="false">IF(_xlfn.MAXIFS(Risk_Register!$L:$L,Risk_Register!$B:$B,C236)=3,"High",IF(_xlfn.MAXIFS(Risk_Register!$L:$L,Risk_Register!$B:$B,C236)=2,"Medium","Low"))</f>
        <v>High</v>
      </c>
      <c r="I236" s="5" t="str">
        <f aca="false">IF(B236&lt;=3,"Preferred site - strong composite profile",IF(B236&lt;=10,"Backup candidate - viable with monitoring","Reserve - evaluate only if primary sites unavailable"))</f>
        <v>Backup candidate - viable with monitoring</v>
      </c>
    </row>
    <row r="237" customFormat="false" ht="15" hidden="false" customHeight="true" outlineLevel="0" collapsed="false">
      <c r="A237" s="5" t="s">
        <v>5990</v>
      </c>
      <c r="B237" s="5" t="n">
        <v>6</v>
      </c>
      <c r="C237" s="5" t="s">
        <v>1627</v>
      </c>
      <c r="D237" s="5" t="s">
        <v>1628</v>
      </c>
      <c r="E237" s="5" t="s">
        <v>935</v>
      </c>
      <c r="F237" s="5" t="n">
        <f aca="false">INDEX(Site_Evaluation!$K:$K,MATCH(C237,Site_Evaluation!$A:$A,0))</f>
        <v>61</v>
      </c>
      <c r="G237" s="5" t="n">
        <f aca="false">COUNTIFS(Risk_Register!B:B,C237,Risk_Register!G:G,"High")</f>
        <v>1</v>
      </c>
      <c r="H237" s="5" t="str">
        <f aca="false">IF(_xlfn.MAXIFS(Risk_Register!$L:$L,Risk_Register!$B:$B,C237)=3,"High",IF(_xlfn.MAXIFS(Risk_Register!$L:$L,Risk_Register!$B:$B,C237)=2,"Medium","Low"))</f>
        <v>High</v>
      </c>
      <c r="I237" s="5" t="str">
        <f aca="false">IF(B237&lt;=3,"Preferred site - strong composite profile",IF(B237&lt;=10,"Backup candidate - viable with monitoring","Reserve - evaluate only if primary sites unavailable"))</f>
        <v>Backup candidate - viable with monitoring</v>
      </c>
    </row>
    <row r="238" customFormat="false" ht="15" hidden="false" customHeight="true" outlineLevel="0" collapsed="false">
      <c r="A238" s="5" t="s">
        <v>5990</v>
      </c>
      <c r="B238" s="5" t="n">
        <v>7</v>
      </c>
      <c r="C238" s="5" t="s">
        <v>1646</v>
      </c>
      <c r="D238" s="5" t="s">
        <v>1647</v>
      </c>
      <c r="E238" s="5" t="s">
        <v>960</v>
      </c>
      <c r="F238" s="5" t="n">
        <f aca="false">INDEX(Site_Evaluation!$K:$K,MATCH(C238,Site_Evaluation!$A:$A,0))</f>
        <v>59</v>
      </c>
      <c r="G238" s="5" t="n">
        <f aca="false">COUNTIFS(Risk_Register!B:B,C238,Risk_Register!G:G,"High")</f>
        <v>1</v>
      </c>
      <c r="H238" s="5" t="str">
        <f aca="false">IF(_xlfn.MAXIFS(Risk_Register!$L:$L,Risk_Register!$B:$B,C238)=3,"High",IF(_xlfn.MAXIFS(Risk_Register!$L:$L,Risk_Register!$B:$B,C238)=2,"Medium","Low"))</f>
        <v>High</v>
      </c>
      <c r="I238" s="5" t="str">
        <f aca="false">IF(B238&lt;=3,"Preferred site - strong composite profile",IF(B238&lt;=10,"Backup candidate - viable with monitoring","Reserve - evaluate only if primary sites unavailable"))</f>
        <v>Backup candidate - viable with monitoring</v>
      </c>
    </row>
    <row r="239" customFormat="false" ht="15" hidden="false" customHeight="true" outlineLevel="0" collapsed="false">
      <c r="A239" s="5" t="s">
        <v>5990</v>
      </c>
      <c r="B239" s="5" t="n">
        <v>8</v>
      </c>
      <c r="C239" s="5" t="s">
        <v>1658</v>
      </c>
      <c r="D239" s="5" t="s">
        <v>1659</v>
      </c>
      <c r="E239" s="5" t="s">
        <v>933</v>
      </c>
      <c r="F239" s="5" t="n">
        <f aca="false">INDEX(Site_Evaluation!$K:$K,MATCH(C239,Site_Evaluation!$A:$A,0))</f>
        <v>58</v>
      </c>
      <c r="G239" s="5" t="n">
        <f aca="false">COUNTIFS(Risk_Register!B:B,C239,Risk_Register!G:G,"High")</f>
        <v>6</v>
      </c>
      <c r="H239" s="5" t="str">
        <f aca="false">IF(_xlfn.MAXIFS(Risk_Register!$L:$L,Risk_Register!$B:$B,C239)=3,"High",IF(_xlfn.MAXIFS(Risk_Register!$L:$L,Risk_Register!$B:$B,C239)=2,"Medium","Low"))</f>
        <v>High</v>
      </c>
      <c r="I239" s="5" t="str">
        <f aca="false">IF(B239&lt;=3,"Preferred site - strong composite profile",IF(B239&lt;=10,"Backup candidate - viable with monitoring","Reserve - evaluate only if primary sites unavailable"))</f>
        <v>Backup candidate - viable with monitoring</v>
      </c>
    </row>
    <row r="240" customFormat="false" ht="15" hidden="false" customHeight="true" outlineLevel="0" collapsed="false">
      <c r="A240" s="5" t="s">
        <v>5990</v>
      </c>
      <c r="B240" s="5" t="n">
        <v>9</v>
      </c>
      <c r="C240" s="5" t="s">
        <v>1580</v>
      </c>
      <c r="D240" s="5" t="s">
        <v>1581</v>
      </c>
      <c r="E240" s="5" t="s">
        <v>940</v>
      </c>
      <c r="F240" s="5" t="n">
        <f aca="false">INDEX(Site_Evaluation!$K:$K,MATCH(C240,Site_Evaluation!$A:$A,0))</f>
        <v>57</v>
      </c>
      <c r="G240" s="5" t="n">
        <f aca="false">COUNTIFS(Risk_Register!B:B,C240,Risk_Register!G:G,"High")</f>
        <v>2</v>
      </c>
      <c r="H240" s="5" t="str">
        <f aca="false">IF(_xlfn.MAXIFS(Risk_Register!$L:$L,Risk_Register!$B:$B,C240)=3,"High",IF(_xlfn.MAXIFS(Risk_Register!$L:$L,Risk_Register!$B:$B,C240)=2,"Medium","Low"))</f>
        <v>High</v>
      </c>
      <c r="I240" s="5" t="str">
        <f aca="false">IF(B240&lt;=3,"Preferred site - strong composite profile",IF(B240&lt;=10,"Backup candidate - viable with monitoring","Reserve - evaluate only if primary sites unavailable"))</f>
        <v>Backup candidate - viable with monitoring</v>
      </c>
    </row>
    <row r="241" customFormat="false" ht="15" hidden="false" customHeight="true" outlineLevel="0" collapsed="false">
      <c r="A241" s="5" t="s">
        <v>5990</v>
      </c>
      <c r="B241" s="5" t="n">
        <v>10</v>
      </c>
      <c r="C241" s="5" t="s">
        <v>1930</v>
      </c>
      <c r="D241" s="5" t="s">
        <v>1931</v>
      </c>
      <c r="E241" s="5" t="s">
        <v>921</v>
      </c>
      <c r="F241" s="5" t="n">
        <f aca="false">INDEX(Site_Evaluation!$K:$K,MATCH(C241,Site_Evaluation!$A:$A,0))</f>
        <v>57</v>
      </c>
      <c r="G241" s="5" t="n">
        <f aca="false">COUNTIFS(Risk_Register!B:B,C241,Risk_Register!G:G,"High")</f>
        <v>0</v>
      </c>
      <c r="H241" s="5" t="str">
        <f aca="false">IF(_xlfn.MAXIFS(Risk_Register!$L:$L,Risk_Register!$B:$B,C241)=3,"High",IF(_xlfn.MAXIFS(Risk_Register!$L:$L,Risk_Register!$B:$B,C241)=2,"Medium","Low"))</f>
        <v>Medium</v>
      </c>
      <c r="I241" s="5" t="str">
        <f aca="false">IF(B241&lt;=3,"Preferred site - strong composite profile",IF(B241&lt;=10,"Backup candidate - viable with monitoring","Reserve - evaluate only if primary sites unavailable"))</f>
        <v>Backup candidate - viable with monitoring</v>
      </c>
    </row>
    <row r="242" customFormat="false" ht="15" hidden="false" customHeight="true" outlineLevel="0" collapsed="false">
      <c r="A242" s="5" t="s">
        <v>5990</v>
      </c>
      <c r="B242" s="5" t="n">
        <v>11</v>
      </c>
      <c r="C242" s="5" t="s">
        <v>1827</v>
      </c>
      <c r="D242" s="5" t="s">
        <v>1828</v>
      </c>
      <c r="E242" s="5" t="s">
        <v>942</v>
      </c>
      <c r="F242" s="5" t="n">
        <f aca="false">INDEX(Site_Evaluation!$K:$K,MATCH(C242,Site_Evaluation!$A:$A,0))</f>
        <v>56</v>
      </c>
      <c r="G242" s="5" t="n">
        <f aca="false">COUNTIFS(Risk_Register!B:B,C242,Risk_Register!G:G,"High")</f>
        <v>4</v>
      </c>
      <c r="H242" s="5" t="str">
        <f aca="false">IF(_xlfn.MAXIFS(Risk_Register!$L:$L,Risk_Register!$B:$B,C242)=3,"High",IF(_xlfn.MAXIFS(Risk_Register!$L:$L,Risk_Register!$B:$B,C242)=2,"Medium","Low"))</f>
        <v>High</v>
      </c>
      <c r="I242" s="5" t="str">
        <f aca="false">IF(B242&lt;=3,"Preferred site - strong composite profile",IF(B242&lt;=10,"Backup candidate - viable with monitoring","Reserve - evaluate only if primary sites unavailable"))</f>
        <v>Reserve - evaluate only if primary sites unavailable</v>
      </c>
    </row>
    <row r="243" customFormat="false" ht="15" hidden="false" customHeight="true" outlineLevel="0" collapsed="false">
      <c r="A243" s="5" t="s">
        <v>5990</v>
      </c>
      <c r="B243" s="5" t="n">
        <v>12</v>
      </c>
      <c r="C243" s="5" t="s">
        <v>1917</v>
      </c>
      <c r="D243" s="5" t="s">
        <v>1918</v>
      </c>
      <c r="E243" s="5" t="s">
        <v>948</v>
      </c>
      <c r="F243" s="5" t="n">
        <f aca="false">INDEX(Site_Evaluation!$K:$K,MATCH(C243,Site_Evaluation!$A:$A,0))</f>
        <v>55</v>
      </c>
      <c r="G243" s="5" t="n">
        <f aca="false">COUNTIFS(Risk_Register!B:B,C243,Risk_Register!G:G,"High")</f>
        <v>1</v>
      </c>
      <c r="H243" s="5" t="str">
        <f aca="false">IF(_xlfn.MAXIFS(Risk_Register!$L:$L,Risk_Register!$B:$B,C243)=3,"High",IF(_xlfn.MAXIFS(Risk_Register!$L:$L,Risk_Register!$B:$B,C243)=2,"Medium","Low"))</f>
        <v>High</v>
      </c>
      <c r="I243" s="5" t="str">
        <f aca="false">IF(B243&lt;=3,"Preferred site - strong composite profile",IF(B243&lt;=10,"Backup candidate - viable with monitoring","Reserve - evaluate only if primary sites unavailable"))</f>
        <v>Reserve - evaluate only if primary sites unavailable</v>
      </c>
    </row>
    <row r="244" customFormat="false" ht="15" hidden="false" customHeight="true" outlineLevel="0" collapsed="false">
      <c r="A244" s="5" t="s">
        <v>5990</v>
      </c>
      <c r="B244" s="5" t="n">
        <v>13</v>
      </c>
      <c r="C244" s="5" t="s">
        <v>2036</v>
      </c>
      <c r="D244" s="5" t="s">
        <v>2037</v>
      </c>
      <c r="E244" s="5" t="s">
        <v>931</v>
      </c>
      <c r="F244" s="5" t="n">
        <f aca="false">INDEX(Site_Evaluation!$K:$K,MATCH(C244,Site_Evaluation!$A:$A,0))</f>
        <v>55</v>
      </c>
      <c r="G244" s="5" t="n">
        <f aca="false">COUNTIFS(Risk_Register!B:B,C244,Risk_Register!G:G,"High")</f>
        <v>2</v>
      </c>
      <c r="H244" s="5" t="str">
        <f aca="false">IF(_xlfn.MAXIFS(Risk_Register!$L:$L,Risk_Register!$B:$B,C244)=3,"High",IF(_xlfn.MAXIFS(Risk_Register!$L:$L,Risk_Register!$B:$B,C244)=2,"Medium","Low"))</f>
        <v>High</v>
      </c>
      <c r="I244" s="5" t="str">
        <f aca="false">IF(B244&lt;=3,"Preferred site - strong composite profile",IF(B244&lt;=10,"Backup candidate - viable with monitoring","Reserve - evaluate only if primary sites unavailable"))</f>
        <v>Reserve - evaluate only if primary sites unavailable</v>
      </c>
    </row>
    <row r="245" customFormat="false" ht="15" hidden="false" customHeight="true" outlineLevel="0" collapsed="false">
      <c r="A245" s="5" t="s">
        <v>5990</v>
      </c>
      <c r="B245" s="5" t="n">
        <v>14</v>
      </c>
      <c r="C245" s="5" t="s">
        <v>1956</v>
      </c>
      <c r="D245" s="5" t="s">
        <v>1957</v>
      </c>
      <c r="E245" s="5" t="s">
        <v>931</v>
      </c>
      <c r="F245" s="5" t="n">
        <f aca="false">INDEX(Site_Evaluation!$K:$K,MATCH(C245,Site_Evaluation!$A:$A,0))</f>
        <v>52</v>
      </c>
      <c r="G245" s="5" t="n">
        <f aca="false">COUNTIFS(Risk_Register!B:B,C245,Risk_Register!G:G,"High")</f>
        <v>1</v>
      </c>
      <c r="H245" s="5" t="str">
        <f aca="false">IF(_xlfn.MAXIFS(Risk_Register!$L:$L,Risk_Register!$B:$B,C245)=3,"High",IF(_xlfn.MAXIFS(Risk_Register!$L:$L,Risk_Register!$B:$B,C245)=2,"Medium","Low"))</f>
        <v>High</v>
      </c>
      <c r="I245" s="5" t="str">
        <f aca="false">IF(B245&lt;=3,"Preferred site - strong composite profile",IF(B245&lt;=10,"Backup candidate - viable with monitoring","Reserve - evaluate only if primary sites unavailable"))</f>
        <v>Reserve - evaluate only if primary sites unavailable</v>
      </c>
    </row>
    <row r="246" customFormat="false" ht="15" hidden="false" customHeight="true" outlineLevel="0" collapsed="false">
      <c r="A246" s="5" t="s">
        <v>5990</v>
      </c>
      <c r="B246" s="5" t="n">
        <v>15</v>
      </c>
      <c r="C246" s="5" t="s">
        <v>1692</v>
      </c>
      <c r="D246" s="5" t="s">
        <v>1693</v>
      </c>
      <c r="E246" s="5" t="s">
        <v>929</v>
      </c>
      <c r="F246" s="5" t="n">
        <f aca="false">INDEX(Site_Evaluation!$K:$K,MATCH(C246,Site_Evaluation!$A:$A,0))</f>
        <v>51</v>
      </c>
      <c r="G246" s="5" t="n">
        <f aca="false">COUNTIFS(Risk_Register!B:B,C246,Risk_Register!G:G,"High")</f>
        <v>3</v>
      </c>
      <c r="H246" s="5" t="str">
        <f aca="false">IF(_xlfn.MAXIFS(Risk_Register!$L:$L,Risk_Register!$B:$B,C246)=3,"High",IF(_xlfn.MAXIFS(Risk_Register!$L:$L,Risk_Register!$B:$B,C246)=2,"Medium","Low"))</f>
        <v>High</v>
      </c>
      <c r="I246" s="5" t="str">
        <f aca="false">IF(B246&lt;=3,"Preferred site - strong composite profile",IF(B246&lt;=10,"Backup candidate - viable with monitoring","Reserve - evaluate only if primary sites unavailable"))</f>
        <v>Reserve - evaluate only if primary sites unavailable</v>
      </c>
    </row>
    <row r="247" customFormat="false" ht="15" hidden="false" customHeight="true" outlineLevel="0" collapsed="false">
      <c r="A247" s="5" t="s">
        <v>5990</v>
      </c>
      <c r="B247" s="5" t="n">
        <v>16</v>
      </c>
      <c r="C247" s="5" t="s">
        <v>2078</v>
      </c>
      <c r="D247" s="5" t="s">
        <v>2079</v>
      </c>
      <c r="E247" s="5" t="s">
        <v>936</v>
      </c>
      <c r="F247" s="5" t="n">
        <f aca="false">INDEX(Site_Evaluation!$K:$K,MATCH(C247,Site_Evaluation!$A:$A,0))</f>
        <v>50</v>
      </c>
      <c r="G247" s="5" t="n">
        <f aca="false">COUNTIFS(Risk_Register!B:B,C247,Risk_Register!G:G,"High")</f>
        <v>2</v>
      </c>
      <c r="H247" s="5" t="str">
        <f aca="false">IF(_xlfn.MAXIFS(Risk_Register!$L:$L,Risk_Register!$B:$B,C247)=3,"High",IF(_xlfn.MAXIFS(Risk_Register!$L:$L,Risk_Register!$B:$B,C247)=2,"Medium","Low"))</f>
        <v>High</v>
      </c>
      <c r="I247" s="5" t="str">
        <f aca="false">IF(B247&lt;=3,"Preferred site - strong composite profile",IF(B247&lt;=10,"Backup candidate - viable with monitoring","Reserve - evaluate only if primary sites unavailable"))</f>
        <v>Reserve - evaluate only if primary sites unavailable</v>
      </c>
    </row>
    <row r="248" customFormat="false" ht="15" hidden="false" customHeight="true" outlineLevel="0" collapsed="false">
      <c r="A248" s="5" t="s">
        <v>5990</v>
      </c>
      <c r="B248" s="5" t="n">
        <v>17</v>
      </c>
      <c r="C248" s="5" t="s">
        <v>2186</v>
      </c>
      <c r="D248" s="5" t="s">
        <v>2187</v>
      </c>
      <c r="E248" s="5" t="s">
        <v>942</v>
      </c>
      <c r="F248" s="5" t="n">
        <f aca="false">INDEX(Site_Evaluation!$K:$K,MATCH(C248,Site_Evaluation!$A:$A,0))</f>
        <v>47</v>
      </c>
      <c r="G248" s="5" t="n">
        <f aca="false">COUNTIFS(Risk_Register!B:B,C248,Risk_Register!G:G,"High")</f>
        <v>6</v>
      </c>
      <c r="H248" s="5" t="str">
        <f aca="false">IF(_xlfn.MAXIFS(Risk_Register!$L:$L,Risk_Register!$B:$B,C248)=3,"High",IF(_xlfn.MAXIFS(Risk_Register!$L:$L,Risk_Register!$B:$B,C248)=2,"Medium","Low"))</f>
        <v>High</v>
      </c>
      <c r="I248" s="5" t="str">
        <f aca="false">IF(B248&lt;=3,"Preferred site - strong composite profile",IF(B248&lt;=10,"Backup candidate - viable with monitoring","Reserve - evaluate only if primary sites unavailable"))</f>
        <v>Reserve - evaluate only if primary sites unavailable</v>
      </c>
    </row>
    <row r="249" customFormat="false" ht="15" hidden="false" customHeight="true" outlineLevel="0" collapsed="false">
      <c r="A249" s="5" t="s">
        <v>5990</v>
      </c>
      <c r="B249" s="5" t="n">
        <v>18</v>
      </c>
      <c r="C249" s="5" t="s">
        <v>1804</v>
      </c>
      <c r="D249" s="5" t="s">
        <v>1805</v>
      </c>
      <c r="E249" s="5" t="s">
        <v>938</v>
      </c>
      <c r="F249" s="5" t="n">
        <f aca="false">INDEX(Site_Evaluation!$K:$K,MATCH(C249,Site_Evaluation!$A:$A,0))</f>
        <v>46</v>
      </c>
      <c r="G249" s="5" t="n">
        <f aca="false">COUNTIFS(Risk_Register!B:B,C249,Risk_Register!G:G,"High")</f>
        <v>1</v>
      </c>
      <c r="H249" s="5" t="str">
        <f aca="false">IF(_xlfn.MAXIFS(Risk_Register!$L:$L,Risk_Register!$B:$B,C249)=3,"High",IF(_xlfn.MAXIFS(Risk_Register!$L:$L,Risk_Register!$B:$B,C249)=2,"Medium","Low"))</f>
        <v>High</v>
      </c>
      <c r="I249" s="5" t="str">
        <f aca="false">IF(B249&lt;=3,"Preferred site - strong composite profile",IF(B249&lt;=10,"Backup candidate - viable with monitoring","Reserve - evaluate only if primary sites unavailable"))</f>
        <v>Reserve - evaluate only if primary sites unavailable</v>
      </c>
    </row>
    <row r="250" customFormat="false" ht="15" hidden="false" customHeight="true" outlineLevel="0" collapsed="false">
      <c r="A250" s="5" t="s">
        <v>5990</v>
      </c>
      <c r="B250" s="5" t="n">
        <v>19</v>
      </c>
      <c r="C250" s="5" t="s">
        <v>1876</v>
      </c>
      <c r="D250" s="5" t="s">
        <v>1877</v>
      </c>
      <c r="E250" s="5" t="s">
        <v>938</v>
      </c>
      <c r="F250" s="5" t="n">
        <f aca="false">INDEX(Site_Evaluation!$K:$K,MATCH(C250,Site_Evaluation!$A:$A,0))</f>
        <v>46</v>
      </c>
      <c r="G250" s="5" t="n">
        <f aca="false">COUNTIFS(Risk_Register!B:B,C250,Risk_Register!G:G,"High")</f>
        <v>4</v>
      </c>
      <c r="H250" s="5" t="str">
        <f aca="false">IF(_xlfn.MAXIFS(Risk_Register!$L:$L,Risk_Register!$B:$B,C250)=3,"High",IF(_xlfn.MAXIFS(Risk_Register!$L:$L,Risk_Register!$B:$B,C250)=2,"Medium","Low"))</f>
        <v>High</v>
      </c>
      <c r="I250" s="5" t="str">
        <f aca="false">IF(B250&lt;=3,"Preferred site - strong composite profile",IF(B250&lt;=10,"Backup candidate - viable with monitoring","Reserve - evaluate only if primary sites unavailable"))</f>
        <v>Reserve - evaluate only if primary sites unavailable</v>
      </c>
    </row>
    <row r="251" customFormat="false" ht="15" hidden="false" customHeight="true" outlineLevel="0" collapsed="false">
      <c r="A251" s="5" t="s">
        <v>5990</v>
      </c>
      <c r="B251" s="5" t="n">
        <v>20</v>
      </c>
      <c r="C251" s="5" t="s">
        <v>2026</v>
      </c>
      <c r="D251" s="5" t="s">
        <v>2027</v>
      </c>
      <c r="E251" s="5" t="s">
        <v>946</v>
      </c>
      <c r="F251" s="5" t="n">
        <f aca="false">INDEX(Site_Evaluation!$K:$K,MATCH(C251,Site_Evaluation!$A:$A,0))</f>
        <v>46</v>
      </c>
      <c r="G251" s="5" t="n">
        <f aca="false">COUNTIFS(Risk_Register!B:B,C251,Risk_Register!G:G,"High")</f>
        <v>1</v>
      </c>
      <c r="H251" s="5" t="str">
        <f aca="false">IF(_xlfn.MAXIFS(Risk_Register!$L:$L,Risk_Register!$B:$B,C251)=3,"High",IF(_xlfn.MAXIFS(Risk_Register!$L:$L,Risk_Register!$B:$B,C251)=2,"Medium","Low"))</f>
        <v>High</v>
      </c>
      <c r="I251" s="5" t="str">
        <f aca="false">IF(B251&lt;=3,"Preferred site - strong composite profile",IF(B251&lt;=10,"Backup candidate - viable with monitoring","Reserve - evaluate only if primary sites unavailable"))</f>
        <v>Reserve - evaluate only if primary sites unavailable</v>
      </c>
    </row>
    <row r="252" customFormat="false" ht="15" hidden="false" customHeight="true" outlineLevel="0" collapsed="false">
      <c r="A252" s="5" t="s">
        <v>5991</v>
      </c>
      <c r="B252" s="5" t="n">
        <v>1</v>
      </c>
      <c r="C252" s="5" t="s">
        <v>1980</v>
      </c>
      <c r="D252" s="5" t="s">
        <v>1981</v>
      </c>
      <c r="E252" s="5" t="s">
        <v>921</v>
      </c>
      <c r="F252" s="5" t="n">
        <f aca="false">INDEX(Site_Evaluation!$K:$K,MATCH(C252,Site_Evaluation!$A:$A,0))</f>
        <v>77</v>
      </c>
      <c r="G252" s="5" t="n">
        <f aca="false">COUNTIFS(Risk_Register!B:B,C252,Risk_Register!G:G,"High")</f>
        <v>3</v>
      </c>
      <c r="H252" s="5" t="str">
        <f aca="false">IF(_xlfn.MAXIFS(Risk_Register!$L:$L,Risk_Register!$B:$B,C252)=3,"High",IF(_xlfn.MAXIFS(Risk_Register!$L:$L,Risk_Register!$B:$B,C252)=2,"Medium","Low"))</f>
        <v>High</v>
      </c>
      <c r="I252" s="5" t="str">
        <f aca="false">IF(B252&lt;=3,"Preferred site - strong composite profile",IF(B252&lt;=10,"Backup candidate - viable with monitoring","Reserve - evaluate only if primary sites unavailable"))</f>
        <v>Preferred site - strong composite profile</v>
      </c>
    </row>
    <row r="253" customFormat="false" ht="15" hidden="false" customHeight="true" outlineLevel="0" collapsed="false">
      <c r="A253" s="5" t="s">
        <v>5991</v>
      </c>
      <c r="B253" s="5" t="n">
        <v>2</v>
      </c>
      <c r="C253" s="5" t="s">
        <v>1782</v>
      </c>
      <c r="D253" s="5" t="s">
        <v>1783</v>
      </c>
      <c r="E253" s="5" t="s">
        <v>956</v>
      </c>
      <c r="F253" s="5" t="n">
        <f aca="false">INDEX(Site_Evaluation!$K:$K,MATCH(C253,Site_Evaluation!$A:$A,0))</f>
        <v>66</v>
      </c>
      <c r="G253" s="5" t="n">
        <f aca="false">COUNTIFS(Risk_Register!B:B,C253,Risk_Register!G:G,"High")</f>
        <v>1</v>
      </c>
      <c r="H253" s="5" t="str">
        <f aca="false">IF(_xlfn.MAXIFS(Risk_Register!$L:$L,Risk_Register!$B:$B,C253)=3,"High",IF(_xlfn.MAXIFS(Risk_Register!$L:$L,Risk_Register!$B:$B,C253)=2,"Medium","Low"))</f>
        <v>High</v>
      </c>
      <c r="I253" s="5" t="str">
        <f aca="false">IF(B253&lt;=3,"Preferred site - strong composite profile",IF(B253&lt;=10,"Backup candidate - viable with monitoring","Reserve - evaluate only if primary sites unavailable"))</f>
        <v>Preferred site - strong composite profile</v>
      </c>
    </row>
    <row r="254" customFormat="false" ht="15" hidden="false" customHeight="true" outlineLevel="0" collapsed="false">
      <c r="A254" s="5" t="s">
        <v>5991</v>
      </c>
      <c r="B254" s="5" t="n">
        <v>3</v>
      </c>
      <c r="C254" s="5" t="s">
        <v>1952</v>
      </c>
      <c r="D254" s="5" t="s">
        <v>1953</v>
      </c>
      <c r="E254" s="5" t="s">
        <v>946</v>
      </c>
      <c r="F254" s="5" t="n">
        <f aca="false">INDEX(Site_Evaluation!$K:$K,MATCH(C254,Site_Evaluation!$A:$A,0))</f>
        <v>66</v>
      </c>
      <c r="G254" s="5" t="n">
        <f aca="false">COUNTIFS(Risk_Register!B:B,C254,Risk_Register!G:G,"High")</f>
        <v>2</v>
      </c>
      <c r="H254" s="5" t="str">
        <f aca="false">IF(_xlfn.MAXIFS(Risk_Register!$L:$L,Risk_Register!$B:$B,C254)=3,"High",IF(_xlfn.MAXIFS(Risk_Register!$L:$L,Risk_Register!$B:$B,C254)=2,"Medium","Low"))</f>
        <v>High</v>
      </c>
      <c r="I254" s="5" t="str">
        <f aca="false">IF(B254&lt;=3,"Preferred site - strong composite profile",IF(B254&lt;=10,"Backup candidate - viable with monitoring","Reserve - evaluate only if primary sites unavailable"))</f>
        <v>Preferred site - strong composite profile</v>
      </c>
    </row>
    <row r="255" customFormat="false" ht="15" hidden="false" customHeight="true" outlineLevel="0" collapsed="false">
      <c r="A255" s="5" t="s">
        <v>5991</v>
      </c>
      <c r="B255" s="5" t="n">
        <v>4</v>
      </c>
      <c r="C255" s="5" t="s">
        <v>2024</v>
      </c>
      <c r="D255" s="5" t="s">
        <v>2025</v>
      </c>
      <c r="E255" s="5" t="s">
        <v>933</v>
      </c>
      <c r="F255" s="5" t="n">
        <f aca="false">INDEX(Site_Evaluation!$K:$K,MATCH(C255,Site_Evaluation!$A:$A,0))</f>
        <v>65</v>
      </c>
      <c r="G255" s="5" t="n">
        <f aca="false">COUNTIFS(Risk_Register!B:B,C255,Risk_Register!G:G,"High")</f>
        <v>1</v>
      </c>
      <c r="H255" s="5" t="str">
        <f aca="false">IF(_xlfn.MAXIFS(Risk_Register!$L:$L,Risk_Register!$B:$B,C255)=3,"High",IF(_xlfn.MAXIFS(Risk_Register!$L:$L,Risk_Register!$B:$B,C255)=2,"Medium","Low"))</f>
        <v>High</v>
      </c>
      <c r="I255" s="5" t="str">
        <f aca="false">IF(B255&lt;=3,"Preferred site - strong composite profile",IF(B255&lt;=10,"Backup candidate - viable with monitoring","Reserve - evaluate only if primary sites unavailable"))</f>
        <v>Backup candidate - viable with monitoring</v>
      </c>
    </row>
    <row r="256" customFormat="false" ht="15" hidden="false" customHeight="true" outlineLevel="0" collapsed="false">
      <c r="A256" s="5" t="s">
        <v>5991</v>
      </c>
      <c r="B256" s="5" t="n">
        <v>5</v>
      </c>
      <c r="C256" s="5" t="s">
        <v>2126</v>
      </c>
      <c r="D256" s="5" t="s">
        <v>2127</v>
      </c>
      <c r="E256" s="5" t="s">
        <v>918</v>
      </c>
      <c r="F256" s="5" t="n">
        <f aca="false">INDEX(Site_Evaluation!$K:$K,MATCH(C256,Site_Evaluation!$A:$A,0))</f>
        <v>64</v>
      </c>
      <c r="G256" s="5" t="n">
        <f aca="false">COUNTIFS(Risk_Register!B:B,C256,Risk_Register!G:G,"High")</f>
        <v>3</v>
      </c>
      <c r="H256" s="5" t="str">
        <f aca="false">IF(_xlfn.MAXIFS(Risk_Register!$L:$L,Risk_Register!$B:$B,C256)=3,"High",IF(_xlfn.MAXIFS(Risk_Register!$L:$L,Risk_Register!$B:$B,C256)=2,"Medium","Low"))</f>
        <v>High</v>
      </c>
      <c r="I256" s="5" t="str">
        <f aca="false">IF(B256&lt;=3,"Preferred site - strong composite profile",IF(B256&lt;=10,"Backup candidate - viable with monitoring","Reserve - evaluate only if primary sites unavailable"))</f>
        <v>Backup candidate - viable with monitoring</v>
      </c>
    </row>
    <row r="257" customFormat="false" ht="15" hidden="false" customHeight="true" outlineLevel="0" collapsed="false">
      <c r="A257" s="5" t="s">
        <v>5991</v>
      </c>
      <c r="B257" s="5" t="n">
        <v>6</v>
      </c>
      <c r="C257" s="5" t="s">
        <v>2160</v>
      </c>
      <c r="D257" s="5" t="s">
        <v>2161</v>
      </c>
      <c r="E257" s="5" t="s">
        <v>929</v>
      </c>
      <c r="F257" s="5" t="n">
        <f aca="false">INDEX(Site_Evaluation!$K:$K,MATCH(C257,Site_Evaluation!$A:$A,0))</f>
        <v>62</v>
      </c>
      <c r="G257" s="5" t="n">
        <f aca="false">COUNTIFS(Risk_Register!B:B,C257,Risk_Register!G:G,"High")</f>
        <v>3</v>
      </c>
      <c r="H257" s="5" t="str">
        <f aca="false">IF(_xlfn.MAXIFS(Risk_Register!$L:$L,Risk_Register!$B:$B,C257)=3,"High",IF(_xlfn.MAXIFS(Risk_Register!$L:$L,Risk_Register!$B:$B,C257)=2,"Medium","Low"))</f>
        <v>High</v>
      </c>
      <c r="I257" s="5" t="str">
        <f aca="false">IF(B257&lt;=3,"Preferred site - strong composite profile",IF(B257&lt;=10,"Backup candidate - viable with monitoring","Reserve - evaluate only if primary sites unavailable"))</f>
        <v>Backup candidate - viable with monitoring</v>
      </c>
    </row>
    <row r="258" customFormat="false" ht="15" hidden="false" customHeight="true" outlineLevel="0" collapsed="false">
      <c r="A258" s="5" t="s">
        <v>5991</v>
      </c>
      <c r="B258" s="5" t="n">
        <v>7</v>
      </c>
      <c r="C258" s="5" t="s">
        <v>1923</v>
      </c>
      <c r="D258" s="5" t="s">
        <v>1924</v>
      </c>
      <c r="E258" s="5" t="s">
        <v>944</v>
      </c>
      <c r="F258" s="5" t="n">
        <f aca="false">INDEX(Site_Evaluation!$K:$K,MATCH(C258,Site_Evaluation!$A:$A,0))</f>
        <v>57</v>
      </c>
      <c r="G258" s="5" t="n">
        <f aca="false">COUNTIFS(Risk_Register!B:B,C258,Risk_Register!G:G,"High")</f>
        <v>3</v>
      </c>
      <c r="H258" s="5" t="str">
        <f aca="false">IF(_xlfn.MAXIFS(Risk_Register!$L:$L,Risk_Register!$B:$B,C258)=3,"High",IF(_xlfn.MAXIFS(Risk_Register!$L:$L,Risk_Register!$B:$B,C258)=2,"Medium","Low"))</f>
        <v>High</v>
      </c>
      <c r="I258" s="5" t="str">
        <f aca="false">IF(B258&lt;=3,"Preferred site - strong composite profile",IF(B258&lt;=10,"Backup candidate - viable with monitoring","Reserve - evaluate only if primary sites unavailable"))</f>
        <v>Backup candidate - viable with monitoring</v>
      </c>
    </row>
    <row r="259" customFormat="false" ht="15" hidden="false" customHeight="true" outlineLevel="0" collapsed="false">
      <c r="A259" s="5" t="s">
        <v>5991</v>
      </c>
      <c r="B259" s="5" t="n">
        <v>8</v>
      </c>
      <c r="C259" s="5" t="s">
        <v>1719</v>
      </c>
      <c r="D259" s="5" t="s">
        <v>1720</v>
      </c>
      <c r="E259" s="5" t="s">
        <v>920</v>
      </c>
      <c r="F259" s="5" t="n">
        <f aca="false">INDEX(Site_Evaluation!$K:$K,MATCH(C259,Site_Evaluation!$A:$A,0))</f>
        <v>55</v>
      </c>
      <c r="G259" s="5" t="n">
        <f aca="false">COUNTIFS(Risk_Register!B:B,C259,Risk_Register!G:G,"High")</f>
        <v>1</v>
      </c>
      <c r="H259" s="5" t="str">
        <f aca="false">IF(_xlfn.MAXIFS(Risk_Register!$L:$L,Risk_Register!$B:$B,C259)=3,"High",IF(_xlfn.MAXIFS(Risk_Register!$L:$L,Risk_Register!$B:$B,C259)=2,"Medium","Low"))</f>
        <v>High</v>
      </c>
      <c r="I259" s="5" t="str">
        <f aca="false">IF(B259&lt;=3,"Preferred site - strong composite profile",IF(B259&lt;=10,"Backup candidate - viable with monitoring","Reserve - evaluate only if primary sites unavailable"))</f>
        <v>Backup candidate - viable with monitoring</v>
      </c>
    </row>
    <row r="260" customFormat="false" ht="15" hidden="false" customHeight="true" outlineLevel="0" collapsed="false">
      <c r="A260" s="5" t="s">
        <v>5991</v>
      </c>
      <c r="B260" s="5" t="n">
        <v>9</v>
      </c>
      <c r="C260" s="5" t="s">
        <v>1760</v>
      </c>
      <c r="D260" s="5" t="s">
        <v>1761</v>
      </c>
      <c r="E260" s="5" t="s">
        <v>948</v>
      </c>
      <c r="F260" s="5" t="n">
        <f aca="false">INDEX(Site_Evaluation!$K:$K,MATCH(C260,Site_Evaluation!$A:$A,0))</f>
        <v>54</v>
      </c>
      <c r="G260" s="5" t="n">
        <f aca="false">COUNTIFS(Risk_Register!B:B,C260,Risk_Register!G:G,"High")</f>
        <v>1</v>
      </c>
      <c r="H260" s="5" t="str">
        <f aca="false">IF(_xlfn.MAXIFS(Risk_Register!$L:$L,Risk_Register!$B:$B,C260)=3,"High",IF(_xlfn.MAXIFS(Risk_Register!$L:$L,Risk_Register!$B:$B,C260)=2,"Medium","Low"))</f>
        <v>High</v>
      </c>
      <c r="I260" s="5" t="str">
        <f aca="false">IF(B260&lt;=3,"Preferred site - strong composite profile",IF(B260&lt;=10,"Backup candidate - viable with monitoring","Reserve - evaluate only if primary sites unavailable"))</f>
        <v>Backup candidate - viable with monitoring</v>
      </c>
    </row>
    <row r="261" customFormat="false" ht="15" hidden="false" customHeight="true" outlineLevel="0" collapsed="false">
      <c r="A261" s="5" t="s">
        <v>5991</v>
      </c>
      <c r="B261" s="5" t="n">
        <v>10</v>
      </c>
      <c r="C261" s="5" t="s">
        <v>1839</v>
      </c>
      <c r="D261" s="5" t="s">
        <v>1840</v>
      </c>
      <c r="E261" s="5" t="s">
        <v>956</v>
      </c>
      <c r="F261" s="5" t="n">
        <f aca="false">INDEX(Site_Evaluation!$K:$K,MATCH(C261,Site_Evaluation!$A:$A,0))</f>
        <v>54</v>
      </c>
      <c r="G261" s="5" t="n">
        <f aca="false">COUNTIFS(Risk_Register!B:B,C261,Risk_Register!G:G,"High")</f>
        <v>2</v>
      </c>
      <c r="H261" s="5" t="str">
        <f aca="false">IF(_xlfn.MAXIFS(Risk_Register!$L:$L,Risk_Register!$B:$B,C261)=3,"High",IF(_xlfn.MAXIFS(Risk_Register!$L:$L,Risk_Register!$B:$B,C261)=2,"Medium","Low"))</f>
        <v>High</v>
      </c>
      <c r="I261" s="5" t="str">
        <f aca="false">IF(B261&lt;=3,"Preferred site - strong composite profile",IF(B261&lt;=10,"Backup candidate - viable with monitoring","Reserve - evaluate only if primary sites unavailable"))</f>
        <v>Backup candidate - viable with monitoring</v>
      </c>
    </row>
    <row r="262" customFormat="false" ht="15" hidden="false" customHeight="true" outlineLevel="0" collapsed="false">
      <c r="A262" s="5" t="s">
        <v>5991</v>
      </c>
      <c r="B262" s="5" t="n">
        <v>11</v>
      </c>
      <c r="C262" s="5" t="s">
        <v>1870</v>
      </c>
      <c r="D262" s="5" t="s">
        <v>1871</v>
      </c>
      <c r="E262" s="5" t="s">
        <v>954</v>
      </c>
      <c r="F262" s="5" t="n">
        <f aca="false">INDEX(Site_Evaluation!$K:$K,MATCH(C262,Site_Evaluation!$A:$A,0))</f>
        <v>53</v>
      </c>
      <c r="G262" s="5" t="n">
        <f aca="false">COUNTIFS(Risk_Register!B:B,C262,Risk_Register!G:G,"High")</f>
        <v>2</v>
      </c>
      <c r="H262" s="5" t="str">
        <f aca="false">IF(_xlfn.MAXIFS(Risk_Register!$L:$L,Risk_Register!$B:$B,C262)=3,"High",IF(_xlfn.MAXIFS(Risk_Register!$L:$L,Risk_Register!$B:$B,C262)=2,"Medium","Low"))</f>
        <v>High</v>
      </c>
      <c r="I262" s="5" t="str">
        <f aca="false">IF(B262&lt;=3,"Preferred site - strong composite profile",IF(B262&lt;=10,"Backup candidate - viable with monitoring","Reserve - evaluate only if primary sites unavailable"))</f>
        <v>Reserve - evaluate only if primary sites unavailable</v>
      </c>
    </row>
    <row r="263" customFormat="false" ht="15" hidden="false" customHeight="true" outlineLevel="0" collapsed="false">
      <c r="A263" s="5" t="s">
        <v>5991</v>
      </c>
      <c r="B263" s="5" t="n">
        <v>12</v>
      </c>
      <c r="C263" s="5" t="s">
        <v>1845</v>
      </c>
      <c r="D263" s="5" t="s">
        <v>1846</v>
      </c>
      <c r="E263" s="5" t="s">
        <v>925</v>
      </c>
      <c r="F263" s="5" t="n">
        <f aca="false">INDEX(Site_Evaluation!$K:$K,MATCH(C263,Site_Evaluation!$A:$A,0))</f>
        <v>51</v>
      </c>
      <c r="G263" s="5" t="n">
        <f aca="false">COUNTIFS(Risk_Register!B:B,C263,Risk_Register!G:G,"High")</f>
        <v>1</v>
      </c>
      <c r="H263" s="5" t="str">
        <f aca="false">IF(_xlfn.MAXIFS(Risk_Register!$L:$L,Risk_Register!$B:$B,C263)=3,"High",IF(_xlfn.MAXIFS(Risk_Register!$L:$L,Risk_Register!$B:$B,C263)=2,"Medium","Low"))</f>
        <v>High</v>
      </c>
      <c r="I263" s="5" t="str">
        <f aca="false">IF(B263&lt;=3,"Preferred site - strong composite profile",IF(B263&lt;=10,"Backup candidate - viable with monitoring","Reserve - evaluate only if primary sites unavailable"))</f>
        <v>Reserve - evaluate only if primary sites unavailable</v>
      </c>
    </row>
    <row r="264" customFormat="false" ht="15" hidden="false" customHeight="true" outlineLevel="0" collapsed="false">
      <c r="A264" s="5" t="s">
        <v>5991</v>
      </c>
      <c r="B264" s="5" t="n">
        <v>13</v>
      </c>
      <c r="C264" s="5" t="s">
        <v>1700</v>
      </c>
      <c r="D264" s="5" t="s">
        <v>1701</v>
      </c>
      <c r="E264" s="5" t="s">
        <v>925</v>
      </c>
      <c r="F264" s="5" t="n">
        <f aca="false">INDEX(Site_Evaluation!$K:$K,MATCH(C264,Site_Evaluation!$A:$A,0))</f>
        <v>48</v>
      </c>
      <c r="G264" s="5" t="n">
        <f aca="false">COUNTIFS(Risk_Register!B:B,C264,Risk_Register!G:G,"High")</f>
        <v>1</v>
      </c>
      <c r="H264" s="5" t="str">
        <f aca="false">IF(_xlfn.MAXIFS(Risk_Register!$L:$L,Risk_Register!$B:$B,C264)=3,"High",IF(_xlfn.MAXIFS(Risk_Register!$L:$L,Risk_Register!$B:$B,C264)=2,"Medium","Low"))</f>
        <v>High</v>
      </c>
      <c r="I264" s="5" t="str">
        <f aca="false">IF(B264&lt;=3,"Preferred site - strong composite profile",IF(B264&lt;=10,"Backup candidate - viable with monitoring","Reserve - evaluate only if primary sites unavailable"))</f>
        <v>Reserve - evaluate only if primary sites unavailable</v>
      </c>
    </row>
    <row r="265" customFormat="false" ht="15" hidden="false" customHeight="true" outlineLevel="0" collapsed="false">
      <c r="A265" s="5" t="s">
        <v>5991</v>
      </c>
      <c r="B265" s="5" t="n">
        <v>14</v>
      </c>
      <c r="C265" s="5" t="s">
        <v>1829</v>
      </c>
      <c r="D265" s="5" t="s">
        <v>1830</v>
      </c>
      <c r="E265" s="5" t="s">
        <v>952</v>
      </c>
      <c r="F265" s="5" t="n">
        <f aca="false">INDEX(Site_Evaluation!$K:$K,MATCH(C265,Site_Evaluation!$A:$A,0))</f>
        <v>48</v>
      </c>
      <c r="G265" s="5" t="n">
        <f aca="false">COUNTIFS(Risk_Register!B:B,C265,Risk_Register!G:G,"High")</f>
        <v>3</v>
      </c>
      <c r="H265" s="5" t="str">
        <f aca="false">IF(_xlfn.MAXIFS(Risk_Register!$L:$L,Risk_Register!$B:$B,C265)=3,"High",IF(_xlfn.MAXIFS(Risk_Register!$L:$L,Risk_Register!$B:$B,C265)=2,"Medium","Low"))</f>
        <v>High</v>
      </c>
      <c r="I265" s="5" t="str">
        <f aca="false">IF(B265&lt;=3,"Preferred site - strong composite profile",IF(B265&lt;=10,"Backup candidate - viable with monitoring","Reserve - evaluate only if primary sites unavailable"))</f>
        <v>Reserve - evaluate only if primary sites unavailable</v>
      </c>
    </row>
    <row r="266" customFormat="false" ht="15" hidden="false" customHeight="true" outlineLevel="0" collapsed="false">
      <c r="A266" s="5" t="s">
        <v>5991</v>
      </c>
      <c r="B266" s="5" t="n">
        <v>15</v>
      </c>
      <c r="C266" s="5" t="s">
        <v>1990</v>
      </c>
      <c r="D266" s="5" t="s">
        <v>1991</v>
      </c>
      <c r="E266" s="5" t="s">
        <v>940</v>
      </c>
      <c r="F266" s="5" t="n">
        <f aca="false">INDEX(Site_Evaluation!$K:$K,MATCH(C266,Site_Evaluation!$A:$A,0))</f>
        <v>48</v>
      </c>
      <c r="G266" s="5" t="n">
        <f aca="false">COUNTIFS(Risk_Register!B:B,C266,Risk_Register!G:G,"High")</f>
        <v>3</v>
      </c>
      <c r="H266" s="5" t="str">
        <f aca="false">IF(_xlfn.MAXIFS(Risk_Register!$L:$L,Risk_Register!$B:$B,C266)=3,"High",IF(_xlfn.MAXIFS(Risk_Register!$L:$L,Risk_Register!$B:$B,C266)=2,"Medium","Low"))</f>
        <v>High</v>
      </c>
      <c r="I266" s="5" t="str">
        <f aca="false">IF(B266&lt;=3,"Preferred site - strong composite profile",IF(B266&lt;=10,"Backup candidate - viable with monitoring","Reserve - evaluate only if primary sites unavailable"))</f>
        <v>Reserve - evaluate only if primary sites unavailable</v>
      </c>
    </row>
    <row r="267" customFormat="false" ht="15" hidden="false" customHeight="true" outlineLevel="0" collapsed="false">
      <c r="A267" s="5" t="s">
        <v>5991</v>
      </c>
      <c r="B267" s="5" t="n">
        <v>16</v>
      </c>
      <c r="C267" s="5" t="s">
        <v>1663</v>
      </c>
      <c r="D267" s="5" t="s">
        <v>1664</v>
      </c>
      <c r="E267" s="5" t="s">
        <v>954</v>
      </c>
      <c r="F267" s="5" t="n">
        <f aca="false">INDEX(Site_Evaluation!$K:$K,MATCH(C267,Site_Evaluation!$A:$A,0))</f>
        <v>46</v>
      </c>
      <c r="G267" s="5" t="n">
        <f aca="false">COUNTIFS(Risk_Register!B:B,C267,Risk_Register!G:G,"High")</f>
        <v>1</v>
      </c>
      <c r="H267" s="5" t="str">
        <f aca="false">IF(_xlfn.MAXIFS(Risk_Register!$L:$L,Risk_Register!$B:$B,C267)=3,"High",IF(_xlfn.MAXIFS(Risk_Register!$L:$L,Risk_Register!$B:$B,C267)=2,"Medium","Low"))</f>
        <v>High</v>
      </c>
      <c r="I267" s="5" t="str">
        <f aca="false">IF(B267&lt;=3,"Preferred site - strong composite profile",IF(B267&lt;=10,"Backup candidate - viable with monitoring","Reserve - evaluate only if primary sites unavailable"))</f>
        <v>Reserve - evaluate only if primary sites unavailable</v>
      </c>
    </row>
    <row r="268" customFormat="false" ht="15" hidden="false" customHeight="true" outlineLevel="0" collapsed="false">
      <c r="A268" s="5" t="s">
        <v>5991</v>
      </c>
      <c r="B268" s="5" t="n">
        <v>17</v>
      </c>
      <c r="C268" s="5" t="s">
        <v>1778</v>
      </c>
      <c r="D268" s="5" t="s">
        <v>1779</v>
      </c>
      <c r="E268" s="5" t="s">
        <v>946</v>
      </c>
      <c r="F268" s="5" t="n">
        <f aca="false">INDEX(Site_Evaluation!$K:$K,MATCH(C268,Site_Evaluation!$A:$A,0))</f>
        <v>44</v>
      </c>
      <c r="G268" s="5" t="n">
        <f aca="false">COUNTIFS(Risk_Register!B:B,C268,Risk_Register!G:G,"High")</f>
        <v>1</v>
      </c>
      <c r="H268" s="5" t="str">
        <f aca="false">IF(_xlfn.MAXIFS(Risk_Register!$L:$L,Risk_Register!$B:$B,C268)=3,"High",IF(_xlfn.MAXIFS(Risk_Register!$L:$L,Risk_Register!$B:$B,C268)=2,"Medium","Low"))</f>
        <v>High</v>
      </c>
      <c r="I268" s="5" t="str">
        <f aca="false">IF(B268&lt;=3,"Preferred site - strong composite profile",IF(B268&lt;=10,"Backup candidate - viable with monitoring","Reserve - evaluate only if primary sites unavailable"))</f>
        <v>Reserve - evaluate only if primary sites unavailable</v>
      </c>
    </row>
    <row r="269" customFormat="false" ht="15" hidden="false" customHeight="true" outlineLevel="0" collapsed="false">
      <c r="A269" s="5" t="s">
        <v>5991</v>
      </c>
      <c r="B269" s="5" t="n">
        <v>18</v>
      </c>
      <c r="C269" s="5" t="s">
        <v>1755</v>
      </c>
      <c r="D269" s="5" t="s">
        <v>1756</v>
      </c>
      <c r="E269" s="5" t="s">
        <v>925</v>
      </c>
      <c r="F269" s="5" t="n">
        <f aca="false">INDEX(Site_Evaluation!$K:$K,MATCH(C269,Site_Evaluation!$A:$A,0))</f>
        <v>43</v>
      </c>
      <c r="G269" s="5" t="n">
        <f aca="false">COUNTIFS(Risk_Register!B:B,C269,Risk_Register!G:G,"High")</f>
        <v>3</v>
      </c>
      <c r="H269" s="5" t="str">
        <f aca="false">IF(_xlfn.MAXIFS(Risk_Register!$L:$L,Risk_Register!$B:$B,C269)=3,"High",IF(_xlfn.MAXIFS(Risk_Register!$L:$L,Risk_Register!$B:$B,C269)=2,"Medium","Low"))</f>
        <v>High</v>
      </c>
      <c r="I269" s="5" t="str">
        <f aca="false">IF(B269&lt;=3,"Preferred site - strong composite profile",IF(B269&lt;=10,"Backup candidate - viable with monitoring","Reserve - evaluate only if primary sites unavailable"))</f>
        <v>Reserve - evaluate only if primary sites unavailable</v>
      </c>
    </row>
    <row r="270" customFormat="false" ht="15" hidden="false" customHeight="true" outlineLevel="0" collapsed="false">
      <c r="A270" s="5" t="s">
        <v>5991</v>
      </c>
      <c r="B270" s="5" t="n">
        <v>19</v>
      </c>
      <c r="C270" s="5" t="s">
        <v>1925</v>
      </c>
      <c r="D270" s="5" t="s">
        <v>1926</v>
      </c>
      <c r="E270" s="5" t="s">
        <v>960</v>
      </c>
      <c r="F270" s="5" t="n">
        <f aca="false">INDEX(Site_Evaluation!$K:$K,MATCH(C270,Site_Evaluation!$A:$A,0))</f>
        <v>42</v>
      </c>
      <c r="G270" s="5" t="n">
        <f aca="false">COUNTIFS(Risk_Register!B:B,C270,Risk_Register!G:G,"High")</f>
        <v>1</v>
      </c>
      <c r="H270" s="5" t="str">
        <f aca="false">IF(_xlfn.MAXIFS(Risk_Register!$L:$L,Risk_Register!$B:$B,C270)=3,"High",IF(_xlfn.MAXIFS(Risk_Register!$L:$L,Risk_Register!$B:$B,C270)=2,"Medium","Low"))</f>
        <v>High</v>
      </c>
      <c r="I270" s="5" t="str">
        <f aca="false">IF(B270&lt;=3,"Preferred site - strong composite profile",IF(B270&lt;=10,"Backup candidate - viable with monitoring","Reserve - evaluate only if primary sites unavailable"))</f>
        <v>Reserve - evaluate only if primary sites unavailable</v>
      </c>
    </row>
    <row r="271" customFormat="false" ht="15" hidden="false" customHeight="true" outlineLevel="0" collapsed="false">
      <c r="A271" s="5" t="s">
        <v>5991</v>
      </c>
      <c r="B271" s="5" t="n">
        <v>20</v>
      </c>
      <c r="C271" s="5" t="s">
        <v>2062</v>
      </c>
      <c r="D271" s="5" t="s">
        <v>2063</v>
      </c>
      <c r="E271" s="5" t="s">
        <v>940</v>
      </c>
      <c r="F271" s="5" t="n">
        <f aca="false">INDEX(Site_Evaluation!$K:$K,MATCH(C271,Site_Evaluation!$A:$A,0))</f>
        <v>42</v>
      </c>
      <c r="G271" s="5" t="n">
        <f aca="false">COUNTIFS(Risk_Register!B:B,C271,Risk_Register!G:G,"High")</f>
        <v>1</v>
      </c>
      <c r="H271" s="5" t="str">
        <f aca="false">IF(_xlfn.MAXIFS(Risk_Register!$L:$L,Risk_Register!$B:$B,C271)=3,"High",IF(_xlfn.MAXIFS(Risk_Register!$L:$L,Risk_Register!$B:$B,C271)=2,"Medium","Low"))</f>
        <v>High</v>
      </c>
      <c r="I271" s="5" t="str">
        <f aca="false">IF(B271&lt;=3,"Preferred site - strong composite profile",IF(B271&lt;=10,"Backup candidate - viable with monitoring","Reserve - evaluate only if primary sites unavailable"))</f>
        <v>Reserve - evaluate only if primary sites unavailable</v>
      </c>
    </row>
    <row r="272" customFormat="false" ht="15" hidden="false" customHeight="true" outlineLevel="0" collapsed="false">
      <c r="A272" s="5" t="s">
        <v>5992</v>
      </c>
      <c r="B272" s="5" t="n">
        <v>1</v>
      </c>
      <c r="C272" s="5" t="s">
        <v>1790</v>
      </c>
      <c r="D272" s="5" t="s">
        <v>1791</v>
      </c>
      <c r="E272" s="5" t="s">
        <v>950</v>
      </c>
      <c r="F272" s="5" t="n">
        <f aca="false">INDEX(Site_Evaluation!$K:$K,MATCH(C272,Site_Evaluation!$A:$A,0))</f>
        <v>66</v>
      </c>
      <c r="G272" s="5" t="n">
        <f aca="false">COUNTIFS(Risk_Register!B:B,C272,Risk_Register!G:G,"High")</f>
        <v>3</v>
      </c>
      <c r="H272" s="5" t="str">
        <f aca="false">IF(_xlfn.MAXIFS(Risk_Register!$L:$L,Risk_Register!$B:$B,C272)=3,"High",IF(_xlfn.MAXIFS(Risk_Register!$L:$L,Risk_Register!$B:$B,C272)=2,"Medium","Low"))</f>
        <v>High</v>
      </c>
      <c r="I272" s="5" t="str">
        <f aca="false">IF(B272&lt;=3,"Preferred site - strong composite profile",IF(B272&lt;=10,"Backup candidate - viable with monitoring","Reserve - evaluate only if primary sites unavailable"))</f>
        <v>Preferred site - strong composite profile</v>
      </c>
    </row>
    <row r="273" customFormat="false" ht="15" hidden="false" customHeight="true" outlineLevel="0" collapsed="false">
      <c r="A273" s="5" t="s">
        <v>5992</v>
      </c>
      <c r="B273" s="5" t="n">
        <v>2</v>
      </c>
      <c r="C273" s="5" t="s">
        <v>2182</v>
      </c>
      <c r="D273" s="5" t="s">
        <v>2183</v>
      </c>
      <c r="E273" s="5" t="s">
        <v>958</v>
      </c>
      <c r="F273" s="5" t="n">
        <f aca="false">INDEX(Site_Evaluation!$K:$K,MATCH(C273,Site_Evaluation!$A:$A,0))</f>
        <v>65</v>
      </c>
      <c r="G273" s="5" t="n">
        <f aca="false">COUNTIFS(Risk_Register!B:B,C273,Risk_Register!G:G,"High")</f>
        <v>3</v>
      </c>
      <c r="H273" s="5" t="str">
        <f aca="false">IF(_xlfn.MAXIFS(Risk_Register!$L:$L,Risk_Register!$B:$B,C273)=3,"High",IF(_xlfn.MAXIFS(Risk_Register!$L:$L,Risk_Register!$B:$B,C273)=2,"Medium","Low"))</f>
        <v>High</v>
      </c>
      <c r="I273" s="5" t="str">
        <f aca="false">IF(B273&lt;=3,"Preferred site - strong composite profile",IF(B273&lt;=10,"Backup candidate - viable with monitoring","Reserve - evaluate only if primary sites unavailable"))</f>
        <v>Preferred site - strong composite profile</v>
      </c>
    </row>
    <row r="274" customFormat="false" ht="15" hidden="false" customHeight="true" outlineLevel="0" collapsed="false">
      <c r="A274" s="5" t="s">
        <v>5992</v>
      </c>
      <c r="B274" s="5" t="n">
        <v>3</v>
      </c>
      <c r="C274" s="5" t="s">
        <v>2056</v>
      </c>
      <c r="D274" s="5" t="s">
        <v>2057</v>
      </c>
      <c r="E274" s="5" t="s">
        <v>948</v>
      </c>
      <c r="F274" s="5" t="n">
        <f aca="false">INDEX(Site_Evaluation!$K:$K,MATCH(C274,Site_Evaluation!$A:$A,0))</f>
        <v>62</v>
      </c>
      <c r="G274" s="5" t="n">
        <f aca="false">COUNTIFS(Risk_Register!B:B,C274,Risk_Register!G:G,"High")</f>
        <v>1</v>
      </c>
      <c r="H274" s="5" t="str">
        <f aca="false">IF(_xlfn.MAXIFS(Risk_Register!$L:$L,Risk_Register!$B:$B,C274)=3,"High",IF(_xlfn.MAXIFS(Risk_Register!$L:$L,Risk_Register!$B:$B,C274)=2,"Medium","Low"))</f>
        <v>High</v>
      </c>
      <c r="I274" s="5" t="str">
        <f aca="false">IF(B274&lt;=3,"Preferred site - strong composite profile",IF(B274&lt;=10,"Backup candidate - viable with monitoring","Reserve - evaluate only if primary sites unavailable"))</f>
        <v>Preferred site - strong composite profile</v>
      </c>
    </row>
    <row r="275" customFormat="false" ht="15" hidden="false" customHeight="true" outlineLevel="0" collapsed="false">
      <c r="A275" s="5" t="s">
        <v>5992</v>
      </c>
      <c r="B275" s="5" t="n">
        <v>4</v>
      </c>
      <c r="C275" s="5" t="s">
        <v>1610</v>
      </c>
      <c r="D275" s="5" t="s">
        <v>1611</v>
      </c>
      <c r="E275" s="5" t="s">
        <v>925</v>
      </c>
      <c r="F275" s="5" t="n">
        <f aca="false">INDEX(Site_Evaluation!$K:$K,MATCH(C275,Site_Evaluation!$A:$A,0))</f>
        <v>57</v>
      </c>
      <c r="G275" s="5" t="n">
        <f aca="false">COUNTIFS(Risk_Register!B:B,C275,Risk_Register!G:G,"High")</f>
        <v>0</v>
      </c>
      <c r="H275" s="5" t="str">
        <f aca="false">IF(_xlfn.MAXIFS(Risk_Register!$L:$L,Risk_Register!$B:$B,C275)=3,"High",IF(_xlfn.MAXIFS(Risk_Register!$L:$L,Risk_Register!$B:$B,C275)=2,"Medium","Low"))</f>
        <v>Medium</v>
      </c>
      <c r="I275" s="5" t="str">
        <f aca="false">IF(B275&lt;=3,"Preferred site - strong composite profile",IF(B275&lt;=10,"Backup candidate - viable with monitoring","Reserve - evaluate only if primary sites unavailable"))</f>
        <v>Backup candidate - viable with monitoring</v>
      </c>
    </row>
    <row r="276" customFormat="false" ht="15" hidden="false" customHeight="true" outlineLevel="0" collapsed="false">
      <c r="A276" s="5" t="s">
        <v>5992</v>
      </c>
      <c r="B276" s="5" t="n">
        <v>5</v>
      </c>
      <c r="C276" s="5" t="s">
        <v>1728</v>
      </c>
      <c r="D276" s="5" t="s">
        <v>1729</v>
      </c>
      <c r="E276" s="5" t="s">
        <v>935</v>
      </c>
      <c r="F276" s="5" t="n">
        <f aca="false">INDEX(Site_Evaluation!$K:$K,MATCH(C276,Site_Evaluation!$A:$A,0))</f>
        <v>57</v>
      </c>
      <c r="G276" s="5" t="n">
        <f aca="false">COUNTIFS(Risk_Register!B:B,C276,Risk_Register!G:G,"High")</f>
        <v>1</v>
      </c>
      <c r="H276" s="5" t="str">
        <f aca="false">IF(_xlfn.MAXIFS(Risk_Register!$L:$L,Risk_Register!$B:$B,C276)=3,"High",IF(_xlfn.MAXIFS(Risk_Register!$L:$L,Risk_Register!$B:$B,C276)=2,"Medium","Low"))</f>
        <v>High</v>
      </c>
      <c r="I276" s="5" t="str">
        <f aca="false">IF(B276&lt;=3,"Preferred site - strong composite profile",IF(B276&lt;=10,"Backup candidate - viable with monitoring","Reserve - evaluate only if primary sites unavailable"))</f>
        <v>Backup candidate - viable with monitoring</v>
      </c>
    </row>
    <row r="277" customFormat="false" ht="15" hidden="false" customHeight="true" outlineLevel="0" collapsed="false">
      <c r="A277" s="5" t="s">
        <v>5992</v>
      </c>
      <c r="B277" s="5" t="n">
        <v>6</v>
      </c>
      <c r="C277" s="5" t="s">
        <v>1882</v>
      </c>
      <c r="D277" s="5" t="s">
        <v>1883</v>
      </c>
      <c r="E277" s="5" t="s">
        <v>950</v>
      </c>
      <c r="F277" s="5" t="n">
        <f aca="false">INDEX(Site_Evaluation!$K:$K,MATCH(C277,Site_Evaluation!$A:$A,0))</f>
        <v>53</v>
      </c>
      <c r="G277" s="5" t="n">
        <f aca="false">COUNTIFS(Risk_Register!B:B,C277,Risk_Register!G:G,"High")</f>
        <v>0</v>
      </c>
      <c r="H277" s="5" t="str">
        <f aca="false">IF(_xlfn.MAXIFS(Risk_Register!$L:$L,Risk_Register!$B:$B,C277)=3,"High",IF(_xlfn.MAXIFS(Risk_Register!$L:$L,Risk_Register!$B:$B,C277)=2,"Medium","Low"))</f>
        <v>Medium</v>
      </c>
      <c r="I277" s="5" t="str">
        <f aca="false">IF(B277&lt;=3,"Preferred site - strong composite profile",IF(B277&lt;=10,"Backup candidate - viable with monitoring","Reserve - evaluate only if primary sites unavailable"))</f>
        <v>Backup candidate - viable with monitoring</v>
      </c>
    </row>
    <row r="278" customFormat="false" ht="15" hidden="false" customHeight="true" outlineLevel="0" collapsed="false">
      <c r="A278" s="5" t="s">
        <v>5992</v>
      </c>
      <c r="B278" s="5" t="n">
        <v>7</v>
      </c>
      <c r="C278" s="5" t="s">
        <v>2180</v>
      </c>
      <c r="D278" s="5" t="s">
        <v>2181</v>
      </c>
      <c r="E278" s="5" t="s">
        <v>956</v>
      </c>
      <c r="F278" s="5" t="n">
        <f aca="false">INDEX(Site_Evaluation!$K:$K,MATCH(C278,Site_Evaluation!$A:$A,0))</f>
        <v>53</v>
      </c>
      <c r="G278" s="5" t="n">
        <f aca="false">COUNTIFS(Risk_Register!B:B,C278,Risk_Register!G:G,"High")</f>
        <v>2</v>
      </c>
      <c r="H278" s="5" t="str">
        <f aca="false">IF(_xlfn.MAXIFS(Risk_Register!$L:$L,Risk_Register!$B:$B,C278)=3,"High",IF(_xlfn.MAXIFS(Risk_Register!$L:$L,Risk_Register!$B:$B,C278)=2,"Medium","Low"))</f>
        <v>High</v>
      </c>
      <c r="I278" s="5" t="str">
        <f aca="false">IF(B278&lt;=3,"Preferred site - strong composite profile",IF(B278&lt;=10,"Backup candidate - viable with monitoring","Reserve - evaluate only if primary sites unavailable"))</f>
        <v>Backup candidate - viable with monitoring</v>
      </c>
    </row>
    <row r="279" customFormat="false" ht="15" hidden="false" customHeight="true" outlineLevel="0" collapsed="false">
      <c r="A279" s="5" t="s">
        <v>5992</v>
      </c>
      <c r="B279" s="5" t="n">
        <v>8</v>
      </c>
      <c r="C279" s="5" t="s">
        <v>2064</v>
      </c>
      <c r="D279" s="5" t="s">
        <v>2065</v>
      </c>
      <c r="E279" s="5" t="s">
        <v>962</v>
      </c>
      <c r="F279" s="5" t="n">
        <f aca="false">INDEX(Site_Evaluation!$K:$K,MATCH(C279,Site_Evaluation!$A:$A,0))</f>
        <v>52</v>
      </c>
      <c r="G279" s="5" t="n">
        <f aca="false">COUNTIFS(Risk_Register!B:B,C279,Risk_Register!G:G,"High")</f>
        <v>4</v>
      </c>
      <c r="H279" s="5" t="str">
        <f aca="false">IF(_xlfn.MAXIFS(Risk_Register!$L:$L,Risk_Register!$B:$B,C279)=3,"High",IF(_xlfn.MAXIFS(Risk_Register!$L:$L,Risk_Register!$B:$B,C279)=2,"Medium","Low"))</f>
        <v>High</v>
      </c>
      <c r="I279" s="5" t="str">
        <f aca="false">IF(B279&lt;=3,"Preferred site - strong composite profile",IF(B279&lt;=10,"Backup candidate - viable with monitoring","Reserve - evaluate only if primary sites unavailable"))</f>
        <v>Backup candidate - viable with monitoring</v>
      </c>
    </row>
    <row r="280" customFormat="false" ht="15" hidden="false" customHeight="true" outlineLevel="0" collapsed="false">
      <c r="A280" s="5" t="s">
        <v>5992</v>
      </c>
      <c r="B280" s="5" t="n">
        <v>9</v>
      </c>
      <c r="C280" s="5" t="s">
        <v>1984</v>
      </c>
      <c r="D280" s="5" t="s">
        <v>1985</v>
      </c>
      <c r="E280" s="5" t="s">
        <v>931</v>
      </c>
      <c r="F280" s="5" t="n">
        <f aca="false">INDEX(Site_Evaluation!$K:$K,MATCH(C280,Site_Evaluation!$A:$A,0))</f>
        <v>50</v>
      </c>
      <c r="G280" s="5" t="n">
        <f aca="false">COUNTIFS(Risk_Register!B:B,C280,Risk_Register!G:G,"High")</f>
        <v>5</v>
      </c>
      <c r="H280" s="5" t="str">
        <f aca="false">IF(_xlfn.MAXIFS(Risk_Register!$L:$L,Risk_Register!$B:$B,C280)=3,"High",IF(_xlfn.MAXIFS(Risk_Register!$L:$L,Risk_Register!$B:$B,C280)=2,"Medium","Low"))</f>
        <v>High</v>
      </c>
      <c r="I280" s="5" t="str">
        <f aca="false">IF(B280&lt;=3,"Preferred site - strong composite profile",IF(B280&lt;=10,"Backup candidate - viable with monitoring","Reserve - evaluate only if primary sites unavailable"))</f>
        <v>Backup candidate - viable with monitoring</v>
      </c>
    </row>
    <row r="281" customFormat="false" ht="15" hidden="false" customHeight="true" outlineLevel="0" collapsed="false">
      <c r="A281" s="5" t="s">
        <v>5992</v>
      </c>
      <c r="B281" s="5" t="n">
        <v>10</v>
      </c>
      <c r="C281" s="5" t="s">
        <v>2052</v>
      </c>
      <c r="D281" s="5" t="s">
        <v>2053</v>
      </c>
      <c r="E281" s="5" t="s">
        <v>931</v>
      </c>
      <c r="F281" s="5" t="n">
        <f aca="false">INDEX(Site_Evaluation!$K:$K,MATCH(C281,Site_Evaluation!$A:$A,0))</f>
        <v>49</v>
      </c>
      <c r="G281" s="5" t="n">
        <f aca="false">COUNTIFS(Risk_Register!B:B,C281,Risk_Register!G:G,"High")</f>
        <v>3</v>
      </c>
      <c r="H281" s="5" t="str">
        <f aca="false">IF(_xlfn.MAXIFS(Risk_Register!$L:$L,Risk_Register!$B:$B,C281)=3,"High",IF(_xlfn.MAXIFS(Risk_Register!$L:$L,Risk_Register!$B:$B,C281)=2,"Medium","Low"))</f>
        <v>High</v>
      </c>
      <c r="I281" s="5" t="str">
        <f aca="false">IF(B281&lt;=3,"Preferred site - strong composite profile",IF(B281&lt;=10,"Backup candidate - viable with monitoring","Reserve - evaluate only if primary sites unavailable"))</f>
        <v>Backup candidate - viable with monitoring</v>
      </c>
    </row>
    <row r="282" customFormat="false" ht="15" hidden="false" customHeight="true" outlineLevel="0" collapsed="false">
      <c r="A282" s="5" t="s">
        <v>5992</v>
      </c>
      <c r="B282" s="5" t="n">
        <v>11</v>
      </c>
      <c r="C282" s="5" t="s">
        <v>1958</v>
      </c>
      <c r="D282" s="5" t="s">
        <v>1959</v>
      </c>
      <c r="E282" s="5" t="s">
        <v>962</v>
      </c>
      <c r="F282" s="5" t="n">
        <f aca="false">INDEX(Site_Evaluation!$K:$K,MATCH(C282,Site_Evaluation!$A:$A,0))</f>
        <v>45</v>
      </c>
      <c r="G282" s="5" t="n">
        <f aca="false">COUNTIFS(Risk_Register!B:B,C282,Risk_Register!G:G,"High")</f>
        <v>1</v>
      </c>
      <c r="H282" s="5" t="str">
        <f aca="false">IF(_xlfn.MAXIFS(Risk_Register!$L:$L,Risk_Register!$B:$B,C282)=3,"High",IF(_xlfn.MAXIFS(Risk_Register!$L:$L,Risk_Register!$B:$B,C282)=2,"Medium","Low"))</f>
        <v>High</v>
      </c>
      <c r="I282" s="5" t="str">
        <f aca="false">IF(B282&lt;=3,"Preferred site - strong composite profile",IF(B282&lt;=10,"Backup candidate - viable with monitoring","Reserve - evaluate only if primary sites unavailable"))</f>
        <v>Reserve - evaluate only if primary sites unavailable</v>
      </c>
    </row>
    <row r="283" customFormat="false" ht="15" hidden="false" customHeight="true" outlineLevel="0" collapsed="false">
      <c r="A283" s="5" t="s">
        <v>5992</v>
      </c>
      <c r="B283" s="5" t="n">
        <v>12</v>
      </c>
      <c r="C283" s="5" t="s">
        <v>1946</v>
      </c>
      <c r="D283" s="5" t="s">
        <v>1947</v>
      </c>
      <c r="E283" s="5" t="s">
        <v>962</v>
      </c>
      <c r="F283" s="5" t="n">
        <f aca="false">INDEX(Site_Evaluation!$K:$K,MATCH(C283,Site_Evaluation!$A:$A,0))</f>
        <v>44</v>
      </c>
      <c r="G283" s="5" t="n">
        <f aca="false">COUNTIFS(Risk_Register!B:B,C283,Risk_Register!G:G,"High")</f>
        <v>2</v>
      </c>
      <c r="H283" s="5" t="str">
        <f aca="false">IF(_xlfn.MAXIFS(Risk_Register!$L:$L,Risk_Register!$B:$B,C283)=3,"High",IF(_xlfn.MAXIFS(Risk_Register!$L:$L,Risk_Register!$B:$B,C283)=2,"Medium","Low"))</f>
        <v>High</v>
      </c>
      <c r="I283" s="5" t="str">
        <f aca="false">IF(B283&lt;=3,"Preferred site - strong composite profile",IF(B283&lt;=10,"Backup candidate - viable with monitoring","Reserve - evaluate only if primary sites unavailable"))</f>
        <v>Reserve - evaluate only if primary sites unavailable</v>
      </c>
    </row>
    <row r="284" customFormat="false" ht="15" hidden="false" customHeight="true" outlineLevel="0" collapsed="false">
      <c r="A284" s="5" t="s">
        <v>5992</v>
      </c>
      <c r="B284" s="5" t="n">
        <v>13</v>
      </c>
      <c r="C284" s="5" t="s">
        <v>2046</v>
      </c>
      <c r="D284" s="5" t="s">
        <v>2047</v>
      </c>
      <c r="E284" s="5" t="s">
        <v>940</v>
      </c>
      <c r="F284" s="5" t="n">
        <f aca="false">INDEX(Site_Evaluation!$K:$K,MATCH(C284,Site_Evaluation!$A:$A,0))</f>
        <v>44</v>
      </c>
      <c r="G284" s="5" t="n">
        <f aca="false">COUNTIFS(Risk_Register!B:B,C284,Risk_Register!G:G,"High")</f>
        <v>0</v>
      </c>
      <c r="H284" s="5" t="str">
        <f aca="false">IF(_xlfn.MAXIFS(Risk_Register!$L:$L,Risk_Register!$B:$B,C284)=3,"High",IF(_xlfn.MAXIFS(Risk_Register!$L:$L,Risk_Register!$B:$B,C284)=2,"Medium","Low"))</f>
        <v>Medium</v>
      </c>
      <c r="I284" s="5" t="str">
        <f aca="false">IF(B284&lt;=3,"Preferred site - strong composite profile",IF(B284&lt;=10,"Backup candidate - viable with monitoring","Reserve - evaluate only if primary sites unavailable"))</f>
        <v>Reserve - evaluate only if primary sites unavailable</v>
      </c>
    </row>
    <row r="285" customFormat="false" ht="15" hidden="false" customHeight="true" outlineLevel="0" collapsed="false">
      <c r="A285" s="5" t="s">
        <v>5992</v>
      </c>
      <c r="B285" s="5" t="n">
        <v>14</v>
      </c>
      <c r="C285" s="5" t="s">
        <v>2048</v>
      </c>
      <c r="D285" s="5" t="s">
        <v>2049</v>
      </c>
      <c r="E285" s="5" t="s">
        <v>940</v>
      </c>
      <c r="F285" s="5" t="n">
        <f aca="false">INDEX(Site_Evaluation!$K:$K,MATCH(C285,Site_Evaluation!$A:$A,0))</f>
        <v>44</v>
      </c>
      <c r="G285" s="5" t="n">
        <f aca="false">COUNTIFS(Risk_Register!B:B,C285,Risk_Register!G:G,"High")</f>
        <v>0</v>
      </c>
      <c r="H285" s="5" t="str">
        <f aca="false">IF(_xlfn.MAXIFS(Risk_Register!$L:$L,Risk_Register!$B:$B,C285)=3,"High",IF(_xlfn.MAXIFS(Risk_Register!$L:$L,Risk_Register!$B:$B,C285)=2,"Medium","Low"))</f>
        <v>Low</v>
      </c>
      <c r="I285" s="5" t="str">
        <f aca="false">IF(B285&lt;=3,"Preferred site - strong composite profile",IF(B285&lt;=10,"Backup candidate - viable with monitoring","Reserve - evaluate only if primary sites unavailable"))</f>
        <v>Reserve - evaluate only if primary sites unavailable</v>
      </c>
    </row>
    <row r="286" customFormat="false" ht="15" hidden="false" customHeight="true" outlineLevel="0" collapsed="false">
      <c r="A286" s="5" t="s">
        <v>5992</v>
      </c>
      <c r="B286" s="5" t="n">
        <v>15</v>
      </c>
      <c r="C286" s="5" t="s">
        <v>1757</v>
      </c>
      <c r="D286" s="5" t="s">
        <v>1758</v>
      </c>
      <c r="E286" s="5" t="s">
        <v>944</v>
      </c>
      <c r="F286" s="5" t="n">
        <f aca="false">INDEX(Site_Evaluation!$K:$K,MATCH(C286,Site_Evaluation!$A:$A,0))</f>
        <v>43</v>
      </c>
      <c r="G286" s="5" t="n">
        <f aca="false">COUNTIFS(Risk_Register!B:B,C286,Risk_Register!G:G,"High")</f>
        <v>2</v>
      </c>
      <c r="H286" s="5" t="str">
        <f aca="false">IF(_xlfn.MAXIFS(Risk_Register!$L:$L,Risk_Register!$B:$B,C286)=3,"High",IF(_xlfn.MAXIFS(Risk_Register!$L:$L,Risk_Register!$B:$B,C286)=2,"Medium","Low"))</f>
        <v>High</v>
      </c>
      <c r="I286" s="5" t="str">
        <f aca="false">IF(B286&lt;=3,"Preferred site - strong composite profile",IF(B286&lt;=10,"Backup candidate - viable with monitoring","Reserve - evaluate only if primary sites unavailable"))</f>
        <v>Reserve - evaluate only if primary sites unavailable</v>
      </c>
    </row>
    <row r="287" customFormat="false" ht="15" hidden="false" customHeight="true" outlineLevel="0" collapsed="false">
      <c r="A287" s="5" t="s">
        <v>5992</v>
      </c>
      <c r="B287" s="5" t="n">
        <v>16</v>
      </c>
      <c r="C287" s="5" t="s">
        <v>1950</v>
      </c>
      <c r="D287" s="5" t="s">
        <v>1951</v>
      </c>
      <c r="E287" s="5" t="s">
        <v>938</v>
      </c>
      <c r="F287" s="5" t="n">
        <f aca="false">INDEX(Site_Evaluation!$K:$K,MATCH(C287,Site_Evaluation!$A:$A,0))</f>
        <v>42</v>
      </c>
      <c r="G287" s="5" t="n">
        <f aca="false">COUNTIFS(Risk_Register!B:B,C287,Risk_Register!G:G,"High")</f>
        <v>1</v>
      </c>
      <c r="H287" s="5" t="str">
        <f aca="false">IF(_xlfn.MAXIFS(Risk_Register!$L:$L,Risk_Register!$B:$B,C287)=3,"High",IF(_xlfn.MAXIFS(Risk_Register!$L:$L,Risk_Register!$B:$B,C287)=2,"Medium","Low"))</f>
        <v>High</v>
      </c>
      <c r="I287" s="5" t="str">
        <f aca="false">IF(B287&lt;=3,"Preferred site - strong composite profile",IF(B287&lt;=10,"Backup candidate - viable with monitoring","Reserve - evaluate only if primary sites unavailable"))</f>
        <v>Reserve - evaluate only if primary sites unavailable</v>
      </c>
    </row>
    <row r="288" customFormat="false" ht="15" hidden="false" customHeight="true" outlineLevel="0" collapsed="false">
      <c r="A288" s="5" t="s">
        <v>5992</v>
      </c>
      <c r="B288" s="5" t="n">
        <v>17</v>
      </c>
      <c r="C288" s="5" t="s">
        <v>2068</v>
      </c>
      <c r="D288" s="5" t="s">
        <v>2069</v>
      </c>
      <c r="E288" s="5" t="s">
        <v>962</v>
      </c>
      <c r="F288" s="5" t="n">
        <f aca="false">INDEX(Site_Evaluation!$K:$K,MATCH(C288,Site_Evaluation!$A:$A,0))</f>
        <v>40</v>
      </c>
      <c r="G288" s="5" t="n">
        <f aca="false">COUNTIFS(Risk_Register!B:B,C288,Risk_Register!G:G,"High")</f>
        <v>2</v>
      </c>
      <c r="H288" s="5" t="str">
        <f aca="false">IF(_xlfn.MAXIFS(Risk_Register!$L:$L,Risk_Register!$B:$B,C288)=3,"High",IF(_xlfn.MAXIFS(Risk_Register!$L:$L,Risk_Register!$B:$B,C288)=2,"Medium","Low"))</f>
        <v>High</v>
      </c>
      <c r="I288" s="5" t="str">
        <f aca="false">IF(B288&lt;=3,"Preferred site - strong composite profile",IF(B288&lt;=10,"Backup candidate - viable with monitoring","Reserve - evaluate only if primary sites unavailable"))</f>
        <v>Reserve - evaluate only if primary sites unavailable</v>
      </c>
    </row>
    <row r="289" customFormat="false" ht="15" hidden="false" customHeight="true" outlineLevel="0" collapsed="false">
      <c r="A289" s="5" t="s">
        <v>5992</v>
      </c>
      <c r="B289" s="5" t="n">
        <v>18</v>
      </c>
      <c r="C289" s="5" t="s">
        <v>2094</v>
      </c>
      <c r="D289" s="5" t="s">
        <v>2095</v>
      </c>
      <c r="E289" s="5" t="s">
        <v>960</v>
      </c>
      <c r="F289" s="5" t="n">
        <f aca="false">INDEX(Site_Evaluation!$K:$K,MATCH(C289,Site_Evaluation!$A:$A,0))</f>
        <v>38</v>
      </c>
      <c r="G289" s="5" t="n">
        <f aca="false">COUNTIFS(Risk_Register!B:B,C289,Risk_Register!G:G,"High")</f>
        <v>1</v>
      </c>
      <c r="H289" s="5" t="str">
        <f aca="false">IF(_xlfn.MAXIFS(Risk_Register!$L:$L,Risk_Register!$B:$B,C289)=3,"High",IF(_xlfn.MAXIFS(Risk_Register!$L:$L,Risk_Register!$B:$B,C289)=2,"Medium","Low"))</f>
        <v>High</v>
      </c>
      <c r="I289" s="5" t="str">
        <f aca="false">IF(B289&lt;=3,"Preferred site - strong composite profile",IF(B289&lt;=10,"Backup candidate - viable with monitoring","Reserve - evaluate only if primary sites unavailable"))</f>
        <v>Reserve - evaluate only if primary sites unavailable</v>
      </c>
    </row>
    <row r="290" customFormat="false" ht="15" hidden="false" customHeight="true" outlineLevel="0" collapsed="false">
      <c r="A290" s="5" t="s">
        <v>5992</v>
      </c>
      <c r="B290" s="5" t="n">
        <v>19</v>
      </c>
      <c r="C290" s="5" t="s">
        <v>2152</v>
      </c>
      <c r="D290" s="5" t="s">
        <v>2153</v>
      </c>
      <c r="E290" s="5" t="s">
        <v>933</v>
      </c>
      <c r="F290" s="5" t="n">
        <f aca="false">INDEX(Site_Evaluation!$K:$K,MATCH(C290,Site_Evaluation!$A:$A,0))</f>
        <v>26</v>
      </c>
      <c r="G290" s="5" t="n">
        <f aca="false">COUNTIFS(Risk_Register!B:B,C290,Risk_Register!G:G,"High")</f>
        <v>2</v>
      </c>
      <c r="H290" s="5" t="str">
        <f aca="false">IF(_xlfn.MAXIFS(Risk_Register!$L:$L,Risk_Register!$B:$B,C290)=3,"High",IF(_xlfn.MAXIFS(Risk_Register!$L:$L,Risk_Register!$B:$B,C290)=2,"Medium","Low"))</f>
        <v>High</v>
      </c>
      <c r="I290" s="5" t="str">
        <f aca="false">IF(B290&lt;=3,"Preferred site - strong composite profile",IF(B290&lt;=10,"Backup candidate - viable with monitoring","Reserve - evaluate only if primary sites unavailable"))</f>
        <v>Reserve - evaluate only if primary sites unavailable</v>
      </c>
    </row>
    <row r="291" customFormat="false" ht="15" hidden="false" customHeight="true" outlineLevel="0" collapsed="false">
      <c r="A291" s="5" t="s">
        <v>5993</v>
      </c>
      <c r="B291" s="5" t="n">
        <v>1</v>
      </c>
      <c r="C291" s="5" t="s">
        <v>1631</v>
      </c>
      <c r="D291" s="5" t="s">
        <v>1632</v>
      </c>
      <c r="E291" s="5" t="s">
        <v>956</v>
      </c>
      <c r="F291" s="5" t="n">
        <f aca="false">INDEX(Site_Evaluation!$K:$K,MATCH(C291,Site_Evaluation!$A:$A,0))</f>
        <v>75</v>
      </c>
      <c r="G291" s="5" t="n">
        <f aca="false">COUNTIFS(Risk_Register!B:B,C291,Risk_Register!G:G,"High")</f>
        <v>3</v>
      </c>
      <c r="H291" s="5" t="str">
        <f aca="false">IF(_xlfn.MAXIFS(Risk_Register!$L:$L,Risk_Register!$B:$B,C291)=3,"High",IF(_xlfn.MAXIFS(Risk_Register!$L:$L,Risk_Register!$B:$B,C291)=2,"Medium","Low"))</f>
        <v>High</v>
      </c>
      <c r="I291" s="5" t="str">
        <f aca="false">IF(B291&lt;=3,"Preferred site - strong composite profile",IF(B291&lt;=10,"Backup candidate - viable with monitoring","Reserve - evaluate only if primary sites unavailable"))</f>
        <v>Preferred site - strong composite profile</v>
      </c>
    </row>
    <row r="292" customFormat="false" ht="15" hidden="false" customHeight="true" outlineLevel="0" collapsed="false">
      <c r="A292" s="5" t="s">
        <v>5993</v>
      </c>
      <c r="B292" s="5" t="n">
        <v>2</v>
      </c>
      <c r="C292" s="5" t="s">
        <v>2206</v>
      </c>
      <c r="D292" s="5" t="s">
        <v>2207</v>
      </c>
      <c r="E292" s="5" t="s">
        <v>950</v>
      </c>
      <c r="F292" s="5" t="n">
        <f aca="false">INDEX(Site_Evaluation!$K:$K,MATCH(C292,Site_Evaluation!$A:$A,0))</f>
        <v>72</v>
      </c>
      <c r="G292" s="5" t="n">
        <f aca="false">COUNTIFS(Risk_Register!B:B,C292,Risk_Register!G:G,"High")</f>
        <v>3</v>
      </c>
      <c r="H292" s="5" t="str">
        <f aca="false">IF(_xlfn.MAXIFS(Risk_Register!$L:$L,Risk_Register!$B:$B,C292)=3,"High",IF(_xlfn.MAXIFS(Risk_Register!$L:$L,Risk_Register!$B:$B,C292)=2,"Medium","Low"))</f>
        <v>High</v>
      </c>
      <c r="I292" s="5" t="str">
        <f aca="false">IF(B292&lt;=3,"Preferred site - strong composite profile",IF(B292&lt;=10,"Backup candidate - viable with monitoring","Reserve - evaluate only if primary sites unavailable"))</f>
        <v>Preferred site - strong composite profile</v>
      </c>
    </row>
    <row r="293" customFormat="false" ht="15" hidden="false" customHeight="true" outlineLevel="0" collapsed="false">
      <c r="A293" s="5" t="s">
        <v>5993</v>
      </c>
      <c r="B293" s="5" t="n">
        <v>3</v>
      </c>
      <c r="C293" s="5" t="s">
        <v>1623</v>
      </c>
      <c r="D293" s="5" t="s">
        <v>1624</v>
      </c>
      <c r="E293" s="5" t="s">
        <v>956</v>
      </c>
      <c r="F293" s="5" t="n">
        <f aca="false">INDEX(Site_Evaluation!$K:$K,MATCH(C293,Site_Evaluation!$A:$A,0))</f>
        <v>68</v>
      </c>
      <c r="G293" s="5" t="n">
        <f aca="false">COUNTIFS(Risk_Register!B:B,C293,Risk_Register!G:G,"High")</f>
        <v>3</v>
      </c>
      <c r="H293" s="5" t="str">
        <f aca="false">IF(_xlfn.MAXIFS(Risk_Register!$L:$L,Risk_Register!$B:$B,C293)=3,"High",IF(_xlfn.MAXIFS(Risk_Register!$L:$L,Risk_Register!$B:$B,C293)=2,"Medium","Low"))</f>
        <v>High</v>
      </c>
      <c r="I293" s="5" t="str">
        <f aca="false">IF(B293&lt;=3,"Preferred site - strong composite profile",IF(B293&lt;=10,"Backup candidate - viable with monitoring","Reserve - evaluate only if primary sites unavailable"))</f>
        <v>Preferred site - strong composite profile</v>
      </c>
    </row>
    <row r="294" customFormat="false" ht="15" hidden="false" customHeight="true" outlineLevel="0" collapsed="false">
      <c r="A294" s="5" t="s">
        <v>5993</v>
      </c>
      <c r="B294" s="5" t="n">
        <v>4</v>
      </c>
      <c r="C294" s="5" t="s">
        <v>2028</v>
      </c>
      <c r="D294" s="5" t="s">
        <v>2029</v>
      </c>
      <c r="E294" s="5" t="s">
        <v>921</v>
      </c>
      <c r="F294" s="5" t="n">
        <f aca="false">INDEX(Site_Evaluation!$K:$K,MATCH(C294,Site_Evaluation!$A:$A,0))</f>
        <v>66</v>
      </c>
      <c r="G294" s="5" t="n">
        <f aca="false">COUNTIFS(Risk_Register!B:B,C294,Risk_Register!G:G,"High")</f>
        <v>4</v>
      </c>
      <c r="H294" s="5" t="str">
        <f aca="false">IF(_xlfn.MAXIFS(Risk_Register!$L:$L,Risk_Register!$B:$B,C294)=3,"High",IF(_xlfn.MAXIFS(Risk_Register!$L:$L,Risk_Register!$B:$B,C294)=2,"Medium","Low"))</f>
        <v>High</v>
      </c>
      <c r="I294" s="5" t="str">
        <f aca="false">IF(B294&lt;=3,"Preferred site - strong composite profile",IF(B294&lt;=10,"Backup candidate - viable with monitoring","Reserve - evaluate only if primary sites unavailable"))</f>
        <v>Backup candidate - viable with monitoring</v>
      </c>
    </row>
    <row r="295" customFormat="false" ht="15" hidden="false" customHeight="true" outlineLevel="0" collapsed="false">
      <c r="A295" s="5" t="s">
        <v>5993</v>
      </c>
      <c r="B295" s="5" t="n">
        <v>5</v>
      </c>
      <c r="C295" s="5" t="s">
        <v>2112</v>
      </c>
      <c r="D295" s="5" t="s">
        <v>2113</v>
      </c>
      <c r="E295" s="5" t="s">
        <v>929</v>
      </c>
      <c r="F295" s="5" t="n">
        <f aca="false">INDEX(Site_Evaluation!$K:$K,MATCH(C295,Site_Evaluation!$A:$A,0))</f>
        <v>59</v>
      </c>
      <c r="G295" s="5" t="n">
        <f aca="false">COUNTIFS(Risk_Register!B:B,C295,Risk_Register!G:G,"High")</f>
        <v>3</v>
      </c>
      <c r="H295" s="5" t="str">
        <f aca="false">IF(_xlfn.MAXIFS(Risk_Register!$L:$L,Risk_Register!$B:$B,C295)=3,"High",IF(_xlfn.MAXIFS(Risk_Register!$L:$L,Risk_Register!$B:$B,C295)=2,"Medium","Low"))</f>
        <v>High</v>
      </c>
      <c r="I295" s="5" t="str">
        <f aca="false">IF(B295&lt;=3,"Preferred site - strong composite profile",IF(B295&lt;=10,"Backup candidate - viable with monitoring","Reserve - evaluate only if primary sites unavailable"))</f>
        <v>Backup candidate - viable with monitoring</v>
      </c>
    </row>
    <row r="296" customFormat="false" ht="15" hidden="false" customHeight="true" outlineLevel="0" collapsed="false">
      <c r="A296" s="5" t="s">
        <v>5993</v>
      </c>
      <c r="B296" s="5" t="n">
        <v>6</v>
      </c>
      <c r="C296" s="5" t="s">
        <v>1862</v>
      </c>
      <c r="D296" s="5" t="s">
        <v>1863</v>
      </c>
      <c r="E296" s="5" t="s">
        <v>956</v>
      </c>
      <c r="F296" s="5" t="n">
        <f aca="false">INDEX(Site_Evaluation!$K:$K,MATCH(C296,Site_Evaluation!$A:$A,0))</f>
        <v>57</v>
      </c>
      <c r="G296" s="5" t="n">
        <f aca="false">COUNTIFS(Risk_Register!B:B,C296,Risk_Register!G:G,"High")</f>
        <v>1</v>
      </c>
      <c r="H296" s="5" t="str">
        <f aca="false">IF(_xlfn.MAXIFS(Risk_Register!$L:$L,Risk_Register!$B:$B,C296)=3,"High",IF(_xlfn.MAXIFS(Risk_Register!$L:$L,Risk_Register!$B:$B,C296)=2,"Medium","Low"))</f>
        <v>High</v>
      </c>
      <c r="I296" s="5" t="str">
        <f aca="false">IF(B296&lt;=3,"Preferred site - strong composite profile",IF(B296&lt;=10,"Backup candidate - viable with monitoring","Reserve - evaluate only if primary sites unavailable"))</f>
        <v>Backup candidate - viable with monitoring</v>
      </c>
    </row>
    <row r="297" customFormat="false" ht="15" hidden="false" customHeight="true" outlineLevel="0" collapsed="false">
      <c r="A297" s="5" t="s">
        <v>5993</v>
      </c>
      <c r="B297" s="5" t="n">
        <v>7</v>
      </c>
      <c r="C297" s="5" t="s">
        <v>1948</v>
      </c>
      <c r="D297" s="5" t="s">
        <v>1949</v>
      </c>
      <c r="E297" s="5" t="s">
        <v>921</v>
      </c>
      <c r="F297" s="5" t="n">
        <f aca="false">INDEX(Site_Evaluation!$K:$K,MATCH(C297,Site_Evaluation!$A:$A,0))</f>
        <v>57</v>
      </c>
      <c r="G297" s="5" t="n">
        <f aca="false">COUNTIFS(Risk_Register!B:B,C297,Risk_Register!G:G,"High")</f>
        <v>3</v>
      </c>
      <c r="H297" s="5" t="str">
        <f aca="false">IF(_xlfn.MAXIFS(Risk_Register!$L:$L,Risk_Register!$B:$B,C297)=3,"High",IF(_xlfn.MAXIFS(Risk_Register!$L:$L,Risk_Register!$B:$B,C297)=2,"Medium","Low"))</f>
        <v>High</v>
      </c>
      <c r="I297" s="5" t="str">
        <f aca="false">IF(B297&lt;=3,"Preferred site - strong composite profile",IF(B297&lt;=10,"Backup candidate - viable with monitoring","Reserve - evaluate only if primary sites unavailable"))</f>
        <v>Backup candidate - viable with monitoring</v>
      </c>
    </row>
    <row r="298" customFormat="false" ht="15" hidden="false" customHeight="true" outlineLevel="0" collapsed="false">
      <c r="A298" s="5" t="s">
        <v>5993</v>
      </c>
      <c r="B298" s="5" t="n">
        <v>8</v>
      </c>
      <c r="C298" s="5" t="s">
        <v>2018</v>
      </c>
      <c r="D298" s="5" t="s">
        <v>2019</v>
      </c>
      <c r="E298" s="5" t="s">
        <v>946</v>
      </c>
      <c r="F298" s="5" t="n">
        <f aca="false">INDEX(Site_Evaluation!$K:$K,MATCH(C298,Site_Evaluation!$A:$A,0))</f>
        <v>55</v>
      </c>
      <c r="G298" s="5" t="n">
        <f aca="false">COUNTIFS(Risk_Register!B:B,C298,Risk_Register!G:G,"High")</f>
        <v>1</v>
      </c>
      <c r="H298" s="5" t="str">
        <f aca="false">IF(_xlfn.MAXIFS(Risk_Register!$L:$L,Risk_Register!$B:$B,C298)=3,"High",IF(_xlfn.MAXIFS(Risk_Register!$L:$L,Risk_Register!$B:$B,C298)=2,"Medium","Low"))</f>
        <v>High</v>
      </c>
      <c r="I298" s="5" t="str">
        <f aca="false">IF(B298&lt;=3,"Preferred site - strong composite profile",IF(B298&lt;=10,"Backup candidate - viable with monitoring","Reserve - evaluate only if primary sites unavailable"))</f>
        <v>Backup candidate - viable with monitoring</v>
      </c>
    </row>
    <row r="299" customFormat="false" ht="15" hidden="false" customHeight="true" outlineLevel="0" collapsed="false">
      <c r="A299" s="5" t="s">
        <v>5993</v>
      </c>
      <c r="B299" s="5" t="n">
        <v>9</v>
      </c>
      <c r="C299" s="5" t="s">
        <v>1615</v>
      </c>
      <c r="D299" s="5" t="s">
        <v>1616</v>
      </c>
      <c r="E299" s="5" t="s">
        <v>925</v>
      </c>
      <c r="F299" s="5" t="n">
        <f aca="false">INDEX(Site_Evaluation!$K:$K,MATCH(C299,Site_Evaluation!$A:$A,0))</f>
        <v>51</v>
      </c>
      <c r="G299" s="5" t="n">
        <f aca="false">COUNTIFS(Risk_Register!B:B,C299,Risk_Register!G:G,"High")</f>
        <v>3</v>
      </c>
      <c r="H299" s="5" t="str">
        <f aca="false">IF(_xlfn.MAXIFS(Risk_Register!$L:$L,Risk_Register!$B:$B,C299)=3,"High",IF(_xlfn.MAXIFS(Risk_Register!$L:$L,Risk_Register!$B:$B,C299)=2,"Medium","Low"))</f>
        <v>High</v>
      </c>
      <c r="I299" s="5" t="str">
        <f aca="false">IF(B299&lt;=3,"Preferred site - strong composite profile",IF(B299&lt;=10,"Backup candidate - viable with monitoring","Reserve - evaluate only if primary sites unavailable"))</f>
        <v>Backup candidate - viable with monitoring</v>
      </c>
    </row>
    <row r="300" customFormat="false" ht="15" hidden="false" customHeight="true" outlineLevel="0" collapsed="false">
      <c r="A300" s="5" t="s">
        <v>5993</v>
      </c>
      <c r="B300" s="5" t="n">
        <v>10</v>
      </c>
      <c r="C300" s="5" t="s">
        <v>2086</v>
      </c>
      <c r="D300" s="5" t="s">
        <v>2087</v>
      </c>
      <c r="E300" s="5" t="s">
        <v>950</v>
      </c>
      <c r="F300" s="5" t="n">
        <f aca="false">INDEX(Site_Evaluation!$K:$K,MATCH(C300,Site_Evaluation!$A:$A,0))</f>
        <v>51</v>
      </c>
      <c r="G300" s="5" t="n">
        <f aca="false">COUNTIFS(Risk_Register!B:B,C300,Risk_Register!G:G,"High")</f>
        <v>2</v>
      </c>
      <c r="H300" s="5" t="str">
        <f aca="false">IF(_xlfn.MAXIFS(Risk_Register!$L:$L,Risk_Register!$B:$B,C300)=3,"High",IF(_xlfn.MAXIFS(Risk_Register!$L:$L,Risk_Register!$B:$B,C300)=2,"Medium","Low"))</f>
        <v>High</v>
      </c>
      <c r="I300" s="5" t="str">
        <f aca="false">IF(B300&lt;=3,"Preferred site - strong composite profile",IF(B300&lt;=10,"Backup candidate - viable with monitoring","Reserve - evaluate only if primary sites unavailable"))</f>
        <v>Backup candidate - viable with monitoring</v>
      </c>
    </row>
    <row r="301" customFormat="false" ht="15" hidden="false" customHeight="true" outlineLevel="0" collapsed="false">
      <c r="A301" s="5" t="s">
        <v>5993</v>
      </c>
      <c r="B301" s="5" t="n">
        <v>11</v>
      </c>
      <c r="C301" s="5" t="s">
        <v>1831</v>
      </c>
      <c r="D301" s="5" t="s">
        <v>1832</v>
      </c>
      <c r="E301" s="5" t="s">
        <v>921</v>
      </c>
      <c r="F301" s="5" t="n">
        <f aca="false">INDEX(Site_Evaluation!$K:$K,MATCH(C301,Site_Evaluation!$A:$A,0))</f>
        <v>50</v>
      </c>
      <c r="G301" s="5" t="n">
        <f aca="false">COUNTIFS(Risk_Register!B:B,C301,Risk_Register!G:G,"High")</f>
        <v>2</v>
      </c>
      <c r="H301" s="5" t="str">
        <f aca="false">IF(_xlfn.MAXIFS(Risk_Register!$L:$L,Risk_Register!$B:$B,C301)=3,"High",IF(_xlfn.MAXIFS(Risk_Register!$L:$L,Risk_Register!$B:$B,C301)=2,"Medium","Low"))</f>
        <v>High</v>
      </c>
      <c r="I301" s="5" t="str">
        <f aca="false">IF(B301&lt;=3,"Preferred site - strong composite profile",IF(B301&lt;=10,"Backup candidate - viable with monitoring","Reserve - evaluate only if primary sites unavailable"))</f>
        <v>Reserve - evaluate only if primary sites unavailable</v>
      </c>
    </row>
    <row r="302" customFormat="false" ht="15" hidden="false" customHeight="true" outlineLevel="0" collapsed="false">
      <c r="A302" s="5" t="s">
        <v>5993</v>
      </c>
      <c r="B302" s="5" t="n">
        <v>12</v>
      </c>
      <c r="C302" s="5" t="s">
        <v>1835</v>
      </c>
      <c r="D302" s="5" t="s">
        <v>1836</v>
      </c>
      <c r="E302" s="5" t="s">
        <v>960</v>
      </c>
      <c r="F302" s="5" t="n">
        <f aca="false">INDEX(Site_Evaluation!$K:$K,MATCH(C302,Site_Evaluation!$A:$A,0))</f>
        <v>49</v>
      </c>
      <c r="G302" s="5" t="n">
        <f aca="false">COUNTIFS(Risk_Register!B:B,C302,Risk_Register!G:G,"High")</f>
        <v>1</v>
      </c>
      <c r="H302" s="5" t="str">
        <f aca="false">IF(_xlfn.MAXIFS(Risk_Register!$L:$L,Risk_Register!$B:$B,C302)=3,"High",IF(_xlfn.MAXIFS(Risk_Register!$L:$L,Risk_Register!$B:$B,C302)=2,"Medium","Low"))</f>
        <v>High</v>
      </c>
      <c r="I302" s="5" t="str">
        <f aca="false">IF(B302&lt;=3,"Preferred site - strong composite profile",IF(B302&lt;=10,"Backup candidate - viable with monitoring","Reserve - evaluate only if primary sites unavailable"))</f>
        <v>Reserve - evaluate only if primary sites unavailable</v>
      </c>
    </row>
    <row r="303" customFormat="false" ht="15" hidden="false" customHeight="true" outlineLevel="0" collapsed="false">
      <c r="A303" s="5" t="s">
        <v>5993</v>
      </c>
      <c r="B303" s="5" t="n">
        <v>13</v>
      </c>
      <c r="C303" s="5" t="s">
        <v>2154</v>
      </c>
      <c r="D303" s="5" t="s">
        <v>2155</v>
      </c>
      <c r="E303" s="5" t="s">
        <v>921</v>
      </c>
      <c r="F303" s="5" t="n">
        <f aca="false">INDEX(Site_Evaluation!$K:$K,MATCH(C303,Site_Evaluation!$A:$A,0))</f>
        <v>49</v>
      </c>
      <c r="G303" s="5" t="n">
        <f aca="false">COUNTIFS(Risk_Register!B:B,C303,Risk_Register!G:G,"High")</f>
        <v>1</v>
      </c>
      <c r="H303" s="5" t="str">
        <f aca="false">IF(_xlfn.MAXIFS(Risk_Register!$L:$L,Risk_Register!$B:$B,C303)=3,"High",IF(_xlfn.MAXIFS(Risk_Register!$L:$L,Risk_Register!$B:$B,C303)=2,"Medium","Low"))</f>
        <v>High</v>
      </c>
      <c r="I303" s="5" t="str">
        <f aca="false">IF(B303&lt;=3,"Preferred site - strong composite profile",IF(B303&lt;=10,"Backup candidate - viable with monitoring","Reserve - evaluate only if primary sites unavailable"))</f>
        <v>Reserve - evaluate only if primary sites unavailable</v>
      </c>
    </row>
    <row r="304" customFormat="false" ht="15" hidden="false" customHeight="true" outlineLevel="0" collapsed="false">
      <c r="A304" s="5" t="s">
        <v>5993</v>
      </c>
      <c r="B304" s="5" t="n">
        <v>14</v>
      </c>
      <c r="C304" s="5" t="s">
        <v>2210</v>
      </c>
      <c r="D304" s="5" t="s">
        <v>2211</v>
      </c>
      <c r="E304" s="5" t="s">
        <v>948</v>
      </c>
      <c r="F304" s="5" t="n">
        <f aca="false">INDEX(Site_Evaluation!$K:$K,MATCH(C304,Site_Evaluation!$A:$A,0))</f>
        <v>46</v>
      </c>
      <c r="G304" s="5" t="n">
        <f aca="false">COUNTIFS(Risk_Register!B:B,C304,Risk_Register!G:G,"High")</f>
        <v>2</v>
      </c>
      <c r="H304" s="5" t="str">
        <f aca="false">IF(_xlfn.MAXIFS(Risk_Register!$L:$L,Risk_Register!$B:$B,C304)=3,"High",IF(_xlfn.MAXIFS(Risk_Register!$L:$L,Risk_Register!$B:$B,C304)=2,"Medium","Low"))</f>
        <v>High</v>
      </c>
      <c r="I304" s="5" t="str">
        <f aca="false">IF(B304&lt;=3,"Preferred site - strong composite profile",IF(B304&lt;=10,"Backup candidate - viable with monitoring","Reserve - evaluate only if primary sites unavailable"))</f>
        <v>Reserve - evaluate only if primary sites unavailable</v>
      </c>
    </row>
    <row r="305" customFormat="false" ht="15" hidden="false" customHeight="true" outlineLevel="0" collapsed="false">
      <c r="A305" s="5" t="s">
        <v>5993</v>
      </c>
      <c r="B305" s="5" t="n">
        <v>15</v>
      </c>
      <c r="C305" s="5" t="s">
        <v>1762</v>
      </c>
      <c r="D305" s="5" t="s">
        <v>1763</v>
      </c>
      <c r="E305" s="5" t="s">
        <v>940</v>
      </c>
      <c r="F305" s="5" t="n">
        <f aca="false">INDEX(Site_Evaluation!$K:$K,MATCH(C305,Site_Evaluation!$A:$A,0))</f>
        <v>44</v>
      </c>
      <c r="G305" s="5" t="n">
        <f aca="false">COUNTIFS(Risk_Register!B:B,C305,Risk_Register!G:G,"High")</f>
        <v>3</v>
      </c>
      <c r="H305" s="5" t="str">
        <f aca="false">IF(_xlfn.MAXIFS(Risk_Register!$L:$L,Risk_Register!$B:$B,C305)=3,"High",IF(_xlfn.MAXIFS(Risk_Register!$L:$L,Risk_Register!$B:$B,C305)=2,"Medium","Low"))</f>
        <v>High</v>
      </c>
      <c r="I305" s="5" t="str">
        <f aca="false">IF(B305&lt;=3,"Preferred site - strong composite profile",IF(B305&lt;=10,"Backup candidate - viable with monitoring","Reserve - evaluate only if primary sites unavailable"))</f>
        <v>Reserve - evaluate only if primary sites unavailable</v>
      </c>
    </row>
    <row r="306" customFormat="false" ht="15" hidden="false" customHeight="true" outlineLevel="0" collapsed="false">
      <c r="A306" s="5" t="s">
        <v>5993</v>
      </c>
      <c r="B306" s="5" t="n">
        <v>16</v>
      </c>
      <c r="C306" s="5" t="s">
        <v>1633</v>
      </c>
      <c r="D306" s="5" t="s">
        <v>1634</v>
      </c>
      <c r="E306" s="5" t="s">
        <v>950</v>
      </c>
      <c r="F306" s="5" t="n">
        <f aca="false">INDEX(Site_Evaluation!$K:$K,MATCH(C306,Site_Evaluation!$A:$A,0))</f>
        <v>43</v>
      </c>
      <c r="G306" s="5" t="n">
        <f aca="false">COUNTIFS(Risk_Register!B:B,C306,Risk_Register!G:G,"High")</f>
        <v>1</v>
      </c>
      <c r="H306" s="5" t="str">
        <f aca="false">IF(_xlfn.MAXIFS(Risk_Register!$L:$L,Risk_Register!$B:$B,C306)=3,"High",IF(_xlfn.MAXIFS(Risk_Register!$L:$L,Risk_Register!$B:$B,C306)=2,"Medium","Low"))</f>
        <v>High</v>
      </c>
      <c r="I306" s="5" t="str">
        <f aca="false">IF(B306&lt;=3,"Preferred site - strong composite profile",IF(B306&lt;=10,"Backup candidate - viable with monitoring","Reserve - evaluate only if primary sites unavailable"))</f>
        <v>Reserve - evaluate only if primary sites unavailable</v>
      </c>
    </row>
    <row r="307" customFormat="false" ht="15" hidden="false" customHeight="true" outlineLevel="0" collapsed="false">
      <c r="A307" s="5" t="s">
        <v>5993</v>
      </c>
      <c r="B307" s="5" t="n">
        <v>17</v>
      </c>
      <c r="C307" s="5" t="s">
        <v>2192</v>
      </c>
      <c r="D307" s="5" t="s">
        <v>2193</v>
      </c>
      <c r="E307" s="5" t="s">
        <v>929</v>
      </c>
      <c r="F307" s="5" t="n">
        <f aca="false">INDEX(Site_Evaluation!$K:$K,MATCH(C307,Site_Evaluation!$A:$A,0))</f>
        <v>41</v>
      </c>
      <c r="G307" s="5" t="n">
        <f aca="false">COUNTIFS(Risk_Register!B:B,C307,Risk_Register!G:G,"High")</f>
        <v>3</v>
      </c>
      <c r="H307" s="5" t="str">
        <f aca="false">IF(_xlfn.MAXIFS(Risk_Register!$L:$L,Risk_Register!$B:$B,C307)=3,"High",IF(_xlfn.MAXIFS(Risk_Register!$L:$L,Risk_Register!$B:$B,C307)=2,"Medium","Low"))</f>
        <v>High</v>
      </c>
      <c r="I307" s="5" t="str">
        <f aca="false">IF(B307&lt;=3,"Preferred site - strong composite profile",IF(B307&lt;=10,"Backup candidate - viable with monitoring","Reserve - evaluate only if primary sites unavailable"))</f>
        <v>Reserve - evaluate only if primary sites unavailable</v>
      </c>
    </row>
    <row r="308" customFormat="false" ht="15" hidden="false" customHeight="true" outlineLevel="0" collapsed="false">
      <c r="A308" s="5" t="s">
        <v>5993</v>
      </c>
      <c r="B308" s="5" t="n">
        <v>18</v>
      </c>
      <c r="C308" s="5" t="s">
        <v>1818</v>
      </c>
      <c r="D308" s="5" t="s">
        <v>1819</v>
      </c>
      <c r="E308" s="5" t="s">
        <v>921</v>
      </c>
      <c r="F308" s="5" t="n">
        <f aca="false">INDEX(Site_Evaluation!$K:$K,MATCH(C308,Site_Evaluation!$A:$A,0))</f>
        <v>40</v>
      </c>
      <c r="G308" s="5" t="n">
        <f aca="false">COUNTIFS(Risk_Register!B:B,C308,Risk_Register!G:G,"High")</f>
        <v>3</v>
      </c>
      <c r="H308" s="5" t="str">
        <f aca="false">IF(_xlfn.MAXIFS(Risk_Register!$L:$L,Risk_Register!$B:$B,C308)=3,"High",IF(_xlfn.MAXIFS(Risk_Register!$L:$L,Risk_Register!$B:$B,C308)=2,"Medium","Low"))</f>
        <v>High</v>
      </c>
      <c r="I308" s="5" t="str">
        <f aca="false">IF(B308&lt;=3,"Preferred site - strong composite profile",IF(B308&lt;=10,"Backup candidate - viable with monitoring","Reserve - evaluate only if primary sites unavailable"))</f>
        <v>Reserve - evaluate only if primary sites unavailable</v>
      </c>
    </row>
    <row r="309" customFormat="false" ht="15" hidden="false" customHeight="true" outlineLevel="0" collapsed="false">
      <c r="A309" s="5" t="s">
        <v>5993</v>
      </c>
      <c r="B309" s="5" t="n">
        <v>19</v>
      </c>
      <c r="C309" s="5" t="s">
        <v>1613</v>
      </c>
      <c r="D309" s="5" t="s">
        <v>1614</v>
      </c>
      <c r="E309" s="5" t="s">
        <v>918</v>
      </c>
      <c r="F309" s="5" t="n">
        <f aca="false">INDEX(Site_Evaluation!$K:$K,MATCH(C309,Site_Evaluation!$A:$A,0))</f>
        <v>37</v>
      </c>
      <c r="G309" s="5" t="n">
        <f aca="false">COUNTIFS(Risk_Register!B:B,C309,Risk_Register!G:G,"High")</f>
        <v>1</v>
      </c>
      <c r="H309" s="5" t="str">
        <f aca="false">IF(_xlfn.MAXIFS(Risk_Register!$L:$L,Risk_Register!$B:$B,C309)=3,"High",IF(_xlfn.MAXIFS(Risk_Register!$L:$L,Risk_Register!$B:$B,C309)=2,"Medium","Low"))</f>
        <v>High</v>
      </c>
      <c r="I309" s="5" t="str">
        <f aca="false">IF(B309&lt;=3,"Preferred site - strong composite profile",IF(B309&lt;=10,"Backup candidate - viable with monitoring","Reserve - evaluate only if primary sites unavailable"))</f>
        <v>Reserve - evaluate only if primary sites unavailable</v>
      </c>
    </row>
    <row r="310" customFormat="false" ht="15" hidden="false" customHeight="true" outlineLevel="0" collapsed="false">
      <c r="A310" s="5" t="s">
        <v>5993</v>
      </c>
      <c r="B310" s="5" t="n">
        <v>20</v>
      </c>
      <c r="C310" s="5" t="s">
        <v>2034</v>
      </c>
      <c r="D310" s="5" t="s">
        <v>2035</v>
      </c>
      <c r="E310" s="5" t="s">
        <v>944</v>
      </c>
      <c r="F310" s="5" t="n">
        <f aca="false">INDEX(Site_Evaluation!$K:$K,MATCH(C310,Site_Evaluation!$A:$A,0))</f>
        <v>34</v>
      </c>
      <c r="G310" s="5" t="n">
        <f aca="false">COUNTIFS(Risk_Register!B:B,C310,Risk_Register!G:G,"High")</f>
        <v>4</v>
      </c>
      <c r="H310" s="5" t="str">
        <f aca="false">IF(_xlfn.MAXIFS(Risk_Register!$L:$L,Risk_Register!$B:$B,C310)=3,"High",IF(_xlfn.MAXIFS(Risk_Register!$L:$L,Risk_Register!$B:$B,C310)=2,"Medium","Low"))</f>
        <v>High</v>
      </c>
      <c r="I310" s="5" t="str">
        <f aca="false">IF(B310&lt;=3,"Preferred site - strong composite profile",IF(B310&lt;=10,"Backup candidate - viable with monitoring","Reserve - evaluate only if primary sites unavailable"))</f>
        <v>Reserve - evaluate only if primary sites unavailable</v>
      </c>
    </row>
    <row r="311" customFormat="false" ht="15" hidden="false" customHeight="true" outlineLevel="0" collapsed="false">
      <c r="A311" s="5" t="s">
        <v>5994</v>
      </c>
      <c r="B311" s="5" t="n">
        <v>1</v>
      </c>
      <c r="C311" s="5" t="s">
        <v>2208</v>
      </c>
      <c r="D311" s="5" t="s">
        <v>2209</v>
      </c>
      <c r="E311" s="5" t="s">
        <v>938</v>
      </c>
      <c r="F311" s="5" t="n">
        <f aca="false">INDEX(Site_Evaluation!$K:$K,MATCH(C311,Site_Evaluation!$A:$A,0))</f>
        <v>82</v>
      </c>
      <c r="G311" s="5" t="n">
        <f aca="false">COUNTIFS(Risk_Register!B:B,C311,Risk_Register!G:G,"High")</f>
        <v>3</v>
      </c>
      <c r="H311" s="5" t="str">
        <f aca="false">IF(_xlfn.MAXIFS(Risk_Register!$L:$L,Risk_Register!$B:$B,C311)=3,"High",IF(_xlfn.MAXIFS(Risk_Register!$L:$L,Risk_Register!$B:$B,C311)=2,"Medium","Low"))</f>
        <v>High</v>
      </c>
      <c r="I311" s="5" t="str">
        <f aca="false">IF(B311&lt;=3,"Preferred site - strong composite profile",IF(B311&lt;=10,"Backup candidate - viable with monitoring","Reserve - evaluate only if primary sites unavailable"))</f>
        <v>Preferred site - strong composite profile</v>
      </c>
    </row>
    <row r="312" customFormat="false" ht="15" hidden="false" customHeight="true" outlineLevel="0" collapsed="false">
      <c r="A312" s="5" t="s">
        <v>5994</v>
      </c>
      <c r="B312" s="5" t="n">
        <v>2</v>
      </c>
      <c r="C312" s="5" t="s">
        <v>2102</v>
      </c>
      <c r="D312" s="5" t="s">
        <v>2103</v>
      </c>
      <c r="E312" s="5" t="s">
        <v>962</v>
      </c>
      <c r="F312" s="5" t="n">
        <f aca="false">INDEX(Site_Evaluation!$K:$K,MATCH(C312,Site_Evaluation!$A:$A,0))</f>
        <v>75</v>
      </c>
      <c r="G312" s="5" t="n">
        <f aca="false">COUNTIFS(Risk_Register!B:B,C312,Risk_Register!G:G,"High")</f>
        <v>2</v>
      </c>
      <c r="H312" s="5" t="str">
        <f aca="false">IF(_xlfn.MAXIFS(Risk_Register!$L:$L,Risk_Register!$B:$B,C312)=3,"High",IF(_xlfn.MAXIFS(Risk_Register!$L:$L,Risk_Register!$B:$B,C312)=2,"Medium","Low"))</f>
        <v>High</v>
      </c>
      <c r="I312" s="5" t="str">
        <f aca="false">IF(B312&lt;=3,"Preferred site - strong composite profile",IF(B312&lt;=10,"Backup candidate - viable with monitoring","Reserve - evaluate only if primary sites unavailable"))</f>
        <v>Preferred site - strong composite profile</v>
      </c>
    </row>
    <row r="313" customFormat="false" ht="15" hidden="false" customHeight="true" outlineLevel="0" collapsed="false">
      <c r="A313" s="5" t="s">
        <v>5994</v>
      </c>
      <c r="B313" s="5" t="n">
        <v>3</v>
      </c>
      <c r="C313" s="5" t="s">
        <v>1944</v>
      </c>
      <c r="D313" s="5" t="s">
        <v>1945</v>
      </c>
      <c r="E313" s="5" t="s">
        <v>935</v>
      </c>
      <c r="F313" s="5" t="n">
        <f aca="false">INDEX(Site_Evaluation!$K:$K,MATCH(C313,Site_Evaluation!$A:$A,0))</f>
        <v>70</v>
      </c>
      <c r="G313" s="5" t="n">
        <f aca="false">COUNTIFS(Risk_Register!B:B,C313,Risk_Register!G:G,"High")</f>
        <v>1</v>
      </c>
      <c r="H313" s="5" t="str">
        <f aca="false">IF(_xlfn.MAXIFS(Risk_Register!$L:$L,Risk_Register!$B:$B,C313)=3,"High",IF(_xlfn.MAXIFS(Risk_Register!$L:$L,Risk_Register!$B:$B,C313)=2,"Medium","Low"))</f>
        <v>High</v>
      </c>
      <c r="I313" s="5" t="str">
        <f aca="false">IF(B313&lt;=3,"Preferred site - strong composite profile",IF(B313&lt;=10,"Backup candidate - viable with monitoring","Reserve - evaluate only if primary sites unavailable"))</f>
        <v>Preferred site - strong composite profile</v>
      </c>
    </row>
    <row r="314" customFormat="false" ht="15" hidden="false" customHeight="true" outlineLevel="0" collapsed="false">
      <c r="A314" s="5" t="s">
        <v>5994</v>
      </c>
      <c r="B314" s="5" t="n">
        <v>4</v>
      </c>
      <c r="C314" s="5" t="s">
        <v>2140</v>
      </c>
      <c r="D314" s="5" t="s">
        <v>2141</v>
      </c>
      <c r="E314" s="5" t="s">
        <v>935</v>
      </c>
      <c r="F314" s="5" t="n">
        <f aca="false">INDEX(Site_Evaluation!$K:$K,MATCH(C314,Site_Evaluation!$A:$A,0))</f>
        <v>69</v>
      </c>
      <c r="G314" s="5" t="n">
        <f aca="false">COUNTIFS(Risk_Register!B:B,C314,Risk_Register!G:G,"High")</f>
        <v>1</v>
      </c>
      <c r="H314" s="5" t="str">
        <f aca="false">IF(_xlfn.MAXIFS(Risk_Register!$L:$L,Risk_Register!$B:$B,C314)=3,"High",IF(_xlfn.MAXIFS(Risk_Register!$L:$L,Risk_Register!$B:$B,C314)=2,"Medium","Low"))</f>
        <v>High</v>
      </c>
      <c r="I314" s="5" t="str">
        <f aca="false">IF(B314&lt;=3,"Preferred site - strong composite profile",IF(B314&lt;=10,"Backup candidate - viable with monitoring","Reserve - evaluate only if primary sites unavailable"))</f>
        <v>Backup candidate - viable with monitoring</v>
      </c>
    </row>
    <row r="315" customFormat="false" ht="15" hidden="false" customHeight="true" outlineLevel="0" collapsed="false">
      <c r="A315" s="5" t="s">
        <v>5994</v>
      </c>
      <c r="B315" s="5" t="n">
        <v>5</v>
      </c>
      <c r="C315" s="5" t="s">
        <v>1654</v>
      </c>
      <c r="D315" s="5" t="s">
        <v>1655</v>
      </c>
      <c r="E315" s="5" t="s">
        <v>929</v>
      </c>
      <c r="F315" s="5" t="n">
        <f aca="false">INDEX(Site_Evaluation!$K:$K,MATCH(C315,Site_Evaluation!$A:$A,0))</f>
        <v>68</v>
      </c>
      <c r="G315" s="5" t="n">
        <f aca="false">COUNTIFS(Risk_Register!B:B,C315,Risk_Register!G:G,"High")</f>
        <v>1</v>
      </c>
      <c r="H315" s="5" t="str">
        <f aca="false">IF(_xlfn.MAXIFS(Risk_Register!$L:$L,Risk_Register!$B:$B,C315)=3,"High",IF(_xlfn.MAXIFS(Risk_Register!$L:$L,Risk_Register!$B:$B,C315)=2,"Medium","Low"))</f>
        <v>High</v>
      </c>
      <c r="I315" s="5" t="str">
        <f aca="false">IF(B315&lt;=3,"Preferred site - strong composite profile",IF(B315&lt;=10,"Backup candidate - viable with monitoring","Reserve - evaluate only if primary sites unavailable"))</f>
        <v>Backup candidate - viable with monitoring</v>
      </c>
    </row>
    <row r="316" customFormat="false" ht="15" hidden="false" customHeight="true" outlineLevel="0" collapsed="false">
      <c r="A316" s="5" t="s">
        <v>5994</v>
      </c>
      <c r="B316" s="5" t="n">
        <v>6</v>
      </c>
      <c r="C316" s="5" t="s">
        <v>2054</v>
      </c>
      <c r="D316" s="5" t="s">
        <v>2055</v>
      </c>
      <c r="E316" s="5" t="s">
        <v>956</v>
      </c>
      <c r="F316" s="5" t="n">
        <f aca="false">INDEX(Site_Evaluation!$K:$K,MATCH(C316,Site_Evaluation!$A:$A,0))</f>
        <v>68</v>
      </c>
      <c r="G316" s="5" t="n">
        <f aca="false">COUNTIFS(Risk_Register!B:B,C316,Risk_Register!G:G,"High")</f>
        <v>3</v>
      </c>
      <c r="H316" s="5" t="str">
        <f aca="false">IF(_xlfn.MAXIFS(Risk_Register!$L:$L,Risk_Register!$B:$B,C316)=3,"High",IF(_xlfn.MAXIFS(Risk_Register!$L:$L,Risk_Register!$B:$B,C316)=2,"Medium","Low"))</f>
        <v>High</v>
      </c>
      <c r="I316" s="5" t="str">
        <f aca="false">IF(B316&lt;=3,"Preferred site - strong composite profile",IF(B316&lt;=10,"Backup candidate - viable with monitoring","Reserve - evaluate only if primary sites unavailable"))</f>
        <v>Backup candidate - viable with monitoring</v>
      </c>
    </row>
    <row r="317" customFormat="false" ht="15" hidden="false" customHeight="true" outlineLevel="0" collapsed="false">
      <c r="A317" s="5" t="s">
        <v>5994</v>
      </c>
      <c r="B317" s="5" t="n">
        <v>7</v>
      </c>
      <c r="C317" s="5" t="s">
        <v>1599</v>
      </c>
      <c r="D317" s="5" t="s">
        <v>1600</v>
      </c>
      <c r="E317" s="5" t="s">
        <v>952</v>
      </c>
      <c r="F317" s="5" t="n">
        <f aca="false">INDEX(Site_Evaluation!$K:$K,MATCH(C317,Site_Evaluation!$A:$A,0))</f>
        <v>64</v>
      </c>
      <c r="G317" s="5" t="n">
        <f aca="false">COUNTIFS(Risk_Register!B:B,C317,Risk_Register!G:G,"High")</f>
        <v>1</v>
      </c>
      <c r="H317" s="5" t="str">
        <f aca="false">IF(_xlfn.MAXIFS(Risk_Register!$L:$L,Risk_Register!$B:$B,C317)=3,"High",IF(_xlfn.MAXIFS(Risk_Register!$L:$L,Risk_Register!$B:$B,C317)=2,"Medium","Low"))</f>
        <v>High</v>
      </c>
      <c r="I317" s="5" t="str">
        <f aca="false">IF(B317&lt;=3,"Preferred site - strong composite profile",IF(B317&lt;=10,"Backup candidate - viable with monitoring","Reserve - evaluate only if primary sites unavailable"))</f>
        <v>Backup candidate - viable with monitoring</v>
      </c>
    </row>
    <row r="318" customFormat="false" ht="15" hidden="false" customHeight="true" outlineLevel="0" collapsed="false">
      <c r="A318" s="5" t="s">
        <v>5994</v>
      </c>
      <c r="B318" s="5" t="n">
        <v>8</v>
      </c>
      <c r="C318" s="5" t="s">
        <v>2110</v>
      </c>
      <c r="D318" s="5" t="s">
        <v>2111</v>
      </c>
      <c r="E318" s="5" t="s">
        <v>927</v>
      </c>
      <c r="F318" s="5" t="n">
        <f aca="false">INDEX(Site_Evaluation!$K:$K,MATCH(C318,Site_Evaluation!$A:$A,0))</f>
        <v>64</v>
      </c>
      <c r="G318" s="5" t="n">
        <f aca="false">COUNTIFS(Risk_Register!B:B,C318,Risk_Register!G:G,"High")</f>
        <v>0</v>
      </c>
      <c r="H318" s="5" t="str">
        <f aca="false">IF(_xlfn.MAXIFS(Risk_Register!$L:$L,Risk_Register!$B:$B,C318)=3,"High",IF(_xlfn.MAXIFS(Risk_Register!$L:$L,Risk_Register!$B:$B,C318)=2,"Medium","Low"))</f>
        <v>Medium</v>
      </c>
      <c r="I318" s="5" t="str">
        <f aca="false">IF(B318&lt;=3,"Preferred site - strong composite profile",IF(B318&lt;=10,"Backup candidate - viable with monitoring","Reserve - evaluate only if primary sites unavailable"))</f>
        <v>Backup candidate - viable with monitoring</v>
      </c>
    </row>
    <row r="319" customFormat="false" ht="15" hidden="false" customHeight="true" outlineLevel="0" collapsed="false">
      <c r="A319" s="5" t="s">
        <v>5994</v>
      </c>
      <c r="B319" s="5" t="n">
        <v>9</v>
      </c>
      <c r="C319" s="5" t="s">
        <v>2156</v>
      </c>
      <c r="D319" s="5" t="s">
        <v>2157</v>
      </c>
      <c r="E319" s="5" t="s">
        <v>938</v>
      </c>
      <c r="F319" s="5" t="n">
        <f aca="false">INDEX(Site_Evaluation!$K:$K,MATCH(C319,Site_Evaluation!$A:$A,0))</f>
        <v>64</v>
      </c>
      <c r="G319" s="5" t="n">
        <f aca="false">COUNTIFS(Risk_Register!B:B,C319,Risk_Register!G:G,"High")</f>
        <v>2</v>
      </c>
      <c r="H319" s="5" t="str">
        <f aca="false">IF(_xlfn.MAXIFS(Risk_Register!$L:$L,Risk_Register!$B:$B,C319)=3,"High",IF(_xlfn.MAXIFS(Risk_Register!$L:$L,Risk_Register!$B:$B,C319)=2,"Medium","Low"))</f>
        <v>High</v>
      </c>
      <c r="I319" s="5" t="str">
        <f aca="false">IF(B319&lt;=3,"Preferred site - strong composite profile",IF(B319&lt;=10,"Backup candidate - viable with monitoring","Reserve - evaluate only if primary sites unavailable"))</f>
        <v>Backup candidate - viable with monitoring</v>
      </c>
    </row>
    <row r="320" customFormat="false" ht="15" hidden="false" customHeight="true" outlineLevel="0" collapsed="false">
      <c r="A320" s="5" t="s">
        <v>5994</v>
      </c>
      <c r="B320" s="5" t="n">
        <v>10</v>
      </c>
      <c r="C320" s="5" t="s">
        <v>1682</v>
      </c>
      <c r="D320" s="5" t="s">
        <v>1683</v>
      </c>
      <c r="E320" s="5" t="s">
        <v>921</v>
      </c>
      <c r="F320" s="5" t="n">
        <f aca="false">INDEX(Site_Evaluation!$K:$K,MATCH(C320,Site_Evaluation!$A:$A,0))</f>
        <v>62</v>
      </c>
      <c r="G320" s="5" t="n">
        <f aca="false">COUNTIFS(Risk_Register!B:B,C320,Risk_Register!G:G,"High")</f>
        <v>4</v>
      </c>
      <c r="H320" s="5" t="str">
        <f aca="false">IF(_xlfn.MAXIFS(Risk_Register!$L:$L,Risk_Register!$B:$B,C320)=3,"High",IF(_xlfn.MAXIFS(Risk_Register!$L:$L,Risk_Register!$B:$B,C320)=2,"Medium","Low"))</f>
        <v>High</v>
      </c>
      <c r="I320" s="5" t="str">
        <f aca="false">IF(B320&lt;=3,"Preferred site - strong composite profile",IF(B320&lt;=10,"Backup candidate - viable with monitoring","Reserve - evaluate only if primary sites unavailable"))</f>
        <v>Backup candidate - viable with monitoring</v>
      </c>
    </row>
    <row r="321" customFormat="false" ht="15" hidden="false" customHeight="true" outlineLevel="0" collapsed="false">
      <c r="A321" s="5" t="s">
        <v>5994</v>
      </c>
      <c r="B321" s="5" t="n">
        <v>11</v>
      </c>
      <c r="C321" s="5" t="s">
        <v>1606</v>
      </c>
      <c r="D321" s="5" t="s">
        <v>1607</v>
      </c>
      <c r="E321" s="5" t="s">
        <v>935</v>
      </c>
      <c r="F321" s="5" t="n">
        <f aca="false">INDEX(Site_Evaluation!$K:$K,MATCH(C321,Site_Evaluation!$A:$A,0))</f>
        <v>60</v>
      </c>
      <c r="G321" s="5" t="n">
        <f aca="false">COUNTIFS(Risk_Register!B:B,C321,Risk_Register!G:G,"High")</f>
        <v>2</v>
      </c>
      <c r="H321" s="5" t="str">
        <f aca="false">IF(_xlfn.MAXIFS(Risk_Register!$L:$L,Risk_Register!$B:$B,C321)=3,"High",IF(_xlfn.MAXIFS(Risk_Register!$L:$L,Risk_Register!$B:$B,C321)=2,"Medium","Low"))</f>
        <v>High</v>
      </c>
      <c r="I321" s="5" t="str">
        <f aca="false">IF(B321&lt;=3,"Preferred site - strong composite profile",IF(B321&lt;=10,"Backup candidate - viable with monitoring","Reserve - evaluate only if primary sites unavailable"))</f>
        <v>Reserve - evaluate only if primary sites unavailable</v>
      </c>
    </row>
    <row r="322" customFormat="false" ht="15" hidden="false" customHeight="true" outlineLevel="0" collapsed="false">
      <c r="A322" s="5" t="s">
        <v>5994</v>
      </c>
      <c r="B322" s="5" t="n">
        <v>12</v>
      </c>
      <c r="C322" s="5" t="s">
        <v>2200</v>
      </c>
      <c r="D322" s="5" t="s">
        <v>2201</v>
      </c>
      <c r="E322" s="5" t="s">
        <v>920</v>
      </c>
      <c r="F322" s="5" t="n">
        <f aca="false">INDEX(Site_Evaluation!$K:$K,MATCH(C322,Site_Evaluation!$A:$A,0))</f>
        <v>61</v>
      </c>
      <c r="G322" s="5" t="n">
        <f aca="false">COUNTIFS(Risk_Register!B:B,C322,Risk_Register!G:G,"High")</f>
        <v>2</v>
      </c>
      <c r="H322" s="5" t="str">
        <f aca="false">IF(_xlfn.MAXIFS(Risk_Register!$L:$L,Risk_Register!$B:$B,C322)=3,"High",IF(_xlfn.MAXIFS(Risk_Register!$L:$L,Risk_Register!$B:$B,C322)=2,"Medium","Low"))</f>
        <v>High</v>
      </c>
      <c r="I322" s="5" t="str">
        <f aca="false">IF(B322&lt;=3,"Preferred site - strong composite profile",IF(B322&lt;=10,"Backup candidate - viable with monitoring","Reserve - evaluate only if primary sites unavailable"))</f>
        <v>Reserve - evaluate only if primary sites unavailable</v>
      </c>
    </row>
    <row r="323" customFormat="false" ht="15" hidden="false" customHeight="true" outlineLevel="0" collapsed="false">
      <c r="A323" s="5" t="s">
        <v>5994</v>
      </c>
      <c r="B323" s="5" t="n">
        <v>13</v>
      </c>
      <c r="C323" s="5" t="s">
        <v>1588</v>
      </c>
      <c r="D323" s="5" t="s">
        <v>1589</v>
      </c>
      <c r="E323" s="5" t="s">
        <v>942</v>
      </c>
      <c r="F323" s="5" t="n">
        <f aca="false">INDEX(Site_Evaluation!$K:$K,MATCH(C323,Site_Evaluation!$A:$A,0))</f>
        <v>59</v>
      </c>
      <c r="G323" s="5" t="n">
        <f aca="false">COUNTIFS(Risk_Register!B:B,C323,Risk_Register!G:G,"High")</f>
        <v>3</v>
      </c>
      <c r="H323" s="5" t="str">
        <f aca="false">IF(_xlfn.MAXIFS(Risk_Register!$L:$L,Risk_Register!$B:$B,C323)=3,"High",IF(_xlfn.MAXIFS(Risk_Register!$L:$L,Risk_Register!$B:$B,C323)=2,"Medium","Low"))</f>
        <v>High</v>
      </c>
      <c r="I323" s="5" t="str">
        <f aca="false">IF(B323&lt;=3,"Preferred site - strong composite profile",IF(B323&lt;=10,"Backup candidate - viable with monitoring","Reserve - evaluate only if primary sites unavailable"))</f>
        <v>Reserve - evaluate only if primary sites unavailable</v>
      </c>
    </row>
    <row r="324" customFormat="false" ht="15" hidden="false" customHeight="true" outlineLevel="0" collapsed="false">
      <c r="A324" s="5" t="s">
        <v>5994</v>
      </c>
      <c r="B324" s="5" t="n">
        <v>14</v>
      </c>
      <c r="C324" s="5" t="s">
        <v>1688</v>
      </c>
      <c r="D324" s="5" t="s">
        <v>1689</v>
      </c>
      <c r="E324" s="5" t="s">
        <v>942</v>
      </c>
      <c r="F324" s="5" t="n">
        <f aca="false">INDEX(Site_Evaluation!$K:$K,MATCH(C324,Site_Evaluation!$A:$A,0))</f>
        <v>59</v>
      </c>
      <c r="G324" s="5" t="n">
        <f aca="false">COUNTIFS(Risk_Register!B:B,C324,Risk_Register!G:G,"High")</f>
        <v>2</v>
      </c>
      <c r="H324" s="5" t="str">
        <f aca="false">IF(_xlfn.MAXIFS(Risk_Register!$L:$L,Risk_Register!$B:$B,C324)=3,"High",IF(_xlfn.MAXIFS(Risk_Register!$L:$L,Risk_Register!$B:$B,C324)=2,"Medium","Low"))</f>
        <v>High</v>
      </c>
      <c r="I324" s="5" t="str">
        <f aca="false">IF(B324&lt;=3,"Preferred site - strong composite profile",IF(B324&lt;=10,"Backup candidate - viable with monitoring","Reserve - evaluate only if primary sites unavailable"))</f>
        <v>Reserve - evaluate only if primary sites unavailable</v>
      </c>
    </row>
    <row r="325" customFormat="false" ht="15" hidden="false" customHeight="true" outlineLevel="0" collapsed="false">
      <c r="A325" s="5" t="s">
        <v>5994</v>
      </c>
      <c r="B325" s="5" t="n">
        <v>15</v>
      </c>
      <c r="C325" s="5" t="s">
        <v>2198</v>
      </c>
      <c r="D325" s="5" t="s">
        <v>2199</v>
      </c>
      <c r="E325" s="5" t="s">
        <v>962</v>
      </c>
      <c r="F325" s="5" t="n">
        <f aca="false">INDEX(Site_Evaluation!$K:$K,MATCH(C325,Site_Evaluation!$A:$A,0))</f>
        <v>59</v>
      </c>
      <c r="G325" s="5" t="n">
        <f aca="false">COUNTIFS(Risk_Register!B:B,C325,Risk_Register!G:G,"High")</f>
        <v>2</v>
      </c>
      <c r="H325" s="5" t="str">
        <f aca="false">IF(_xlfn.MAXIFS(Risk_Register!$L:$L,Risk_Register!$B:$B,C325)=3,"High",IF(_xlfn.MAXIFS(Risk_Register!$L:$L,Risk_Register!$B:$B,C325)=2,"Medium","Low"))</f>
        <v>High</v>
      </c>
      <c r="I325" s="5" t="str">
        <f aca="false">IF(B325&lt;=3,"Preferred site - strong composite profile",IF(B325&lt;=10,"Backup candidate - viable with monitoring","Reserve - evaluate only if primary sites unavailable"))</f>
        <v>Reserve - evaluate only if primary sites unavailable</v>
      </c>
    </row>
    <row r="326" customFormat="false" ht="15" hidden="false" customHeight="true" outlineLevel="0" collapsed="false">
      <c r="A326" s="5" t="s">
        <v>5994</v>
      </c>
      <c r="B326" s="5" t="n">
        <v>16</v>
      </c>
      <c r="C326" s="5" t="s">
        <v>1732</v>
      </c>
      <c r="D326" s="5" t="s">
        <v>1733</v>
      </c>
      <c r="E326" s="5" t="s">
        <v>952</v>
      </c>
      <c r="F326" s="5" t="n">
        <f aca="false">INDEX(Site_Evaluation!$K:$K,MATCH(C326,Site_Evaluation!$A:$A,0))</f>
        <v>58</v>
      </c>
      <c r="G326" s="5" t="n">
        <f aca="false">COUNTIFS(Risk_Register!B:B,C326,Risk_Register!G:G,"High")</f>
        <v>3</v>
      </c>
      <c r="H326" s="5" t="str">
        <f aca="false">IF(_xlfn.MAXIFS(Risk_Register!$L:$L,Risk_Register!$B:$B,C326)=3,"High",IF(_xlfn.MAXIFS(Risk_Register!$L:$L,Risk_Register!$B:$B,C326)=2,"Medium","Low"))</f>
        <v>High</v>
      </c>
      <c r="I326" s="5" t="str">
        <f aca="false">IF(B326&lt;=3,"Preferred site - strong composite profile",IF(B326&lt;=10,"Backup candidate - viable with monitoring","Reserve - evaluate only if primary sites unavailable"))</f>
        <v>Reserve - evaluate only if primary sites unavailable</v>
      </c>
    </row>
    <row r="327" customFormat="false" ht="15" hidden="false" customHeight="true" outlineLevel="0" collapsed="false">
      <c r="A327" s="5" t="s">
        <v>5994</v>
      </c>
      <c r="B327" s="5" t="n">
        <v>17</v>
      </c>
      <c r="C327" s="5" t="s">
        <v>1730</v>
      </c>
      <c r="D327" s="5" t="s">
        <v>1731</v>
      </c>
      <c r="E327" s="5" t="s">
        <v>923</v>
      </c>
      <c r="F327" s="5" t="n">
        <f aca="false">INDEX(Site_Evaluation!$K:$K,MATCH(C327,Site_Evaluation!$A:$A,0))</f>
        <v>56</v>
      </c>
      <c r="G327" s="5" t="n">
        <f aca="false">COUNTIFS(Risk_Register!B:B,C327,Risk_Register!G:G,"High")</f>
        <v>2</v>
      </c>
      <c r="H327" s="5" t="str">
        <f aca="false">IF(_xlfn.MAXIFS(Risk_Register!$L:$L,Risk_Register!$B:$B,C327)=3,"High",IF(_xlfn.MAXIFS(Risk_Register!$L:$L,Risk_Register!$B:$B,C327)=2,"Medium","Low"))</f>
        <v>High</v>
      </c>
      <c r="I327" s="5" t="str">
        <f aca="false">IF(B327&lt;=3,"Preferred site - strong composite profile",IF(B327&lt;=10,"Backup candidate - viable with monitoring","Reserve - evaluate only if primary sites unavailable"))</f>
        <v>Reserve - evaluate only if primary sites unavailable</v>
      </c>
    </row>
    <row r="328" customFormat="false" ht="15" hidden="false" customHeight="true" outlineLevel="0" collapsed="false">
      <c r="A328" s="5" t="s">
        <v>5994</v>
      </c>
      <c r="B328" s="5" t="n">
        <v>18</v>
      </c>
      <c r="C328" s="5" t="s">
        <v>1574</v>
      </c>
      <c r="D328" s="5" t="s">
        <v>1575</v>
      </c>
      <c r="E328" s="5" t="s">
        <v>950</v>
      </c>
      <c r="F328" s="5" t="n">
        <f aca="false">INDEX(Site_Evaluation!$K:$K,MATCH(C328,Site_Evaluation!$A:$A,0))</f>
        <v>55</v>
      </c>
      <c r="G328" s="5" t="n">
        <f aca="false">COUNTIFS(Risk_Register!B:B,C328,Risk_Register!G:G,"High")</f>
        <v>2</v>
      </c>
      <c r="H328" s="5" t="str">
        <f aca="false">IF(_xlfn.MAXIFS(Risk_Register!$L:$L,Risk_Register!$B:$B,C328)=3,"High",IF(_xlfn.MAXIFS(Risk_Register!$L:$L,Risk_Register!$B:$B,C328)=2,"Medium","Low"))</f>
        <v>High</v>
      </c>
      <c r="I328" s="5" t="str">
        <f aca="false">IF(B328&lt;=3,"Preferred site - strong composite profile",IF(B328&lt;=10,"Backup candidate - viable with monitoring","Reserve - evaluate only if primary sites unavailable"))</f>
        <v>Reserve - evaluate only if primary sites unavailable</v>
      </c>
    </row>
    <row r="329" customFormat="false" ht="15" hidden="false" customHeight="true" outlineLevel="0" collapsed="false">
      <c r="A329" s="5" t="s">
        <v>5994</v>
      </c>
      <c r="B329" s="5" t="n">
        <v>19</v>
      </c>
      <c r="C329" s="5" t="s">
        <v>1715</v>
      </c>
      <c r="D329" s="5" t="s">
        <v>1716</v>
      </c>
      <c r="E329" s="5" t="s">
        <v>923</v>
      </c>
      <c r="F329" s="5" t="n">
        <f aca="false">INDEX(Site_Evaluation!$K:$K,MATCH(C329,Site_Evaluation!$A:$A,0))</f>
        <v>54</v>
      </c>
      <c r="G329" s="5" t="n">
        <f aca="false">COUNTIFS(Risk_Register!B:B,C329,Risk_Register!G:G,"High")</f>
        <v>3</v>
      </c>
      <c r="H329" s="5" t="str">
        <f aca="false">IF(_xlfn.MAXIFS(Risk_Register!$L:$L,Risk_Register!$B:$B,C329)=3,"High",IF(_xlfn.MAXIFS(Risk_Register!$L:$L,Risk_Register!$B:$B,C329)=2,"Medium","Low"))</f>
        <v>High</v>
      </c>
      <c r="I329" s="5" t="str">
        <f aca="false">IF(B329&lt;=3,"Preferred site - strong composite profile",IF(B329&lt;=10,"Backup candidate - viable with monitoring","Reserve - evaluate only if primary sites unavailable"))</f>
        <v>Reserve - evaluate only if primary sites unavailable</v>
      </c>
    </row>
    <row r="330" customFormat="false" ht="15" hidden="false" customHeight="true" outlineLevel="0" collapsed="false">
      <c r="A330" s="5" t="s">
        <v>5994</v>
      </c>
      <c r="B330" s="5" t="n">
        <v>20</v>
      </c>
      <c r="C330" s="5" t="s">
        <v>1577</v>
      </c>
      <c r="D330" s="5" t="s">
        <v>1578</v>
      </c>
      <c r="E330" s="5" t="s">
        <v>948</v>
      </c>
      <c r="F330" s="5" t="n">
        <f aca="false">INDEX(Site_Evaluation!$K:$K,MATCH(C330,Site_Evaluation!$A:$A,0))</f>
        <v>52</v>
      </c>
      <c r="G330" s="5" t="n">
        <f aca="false">COUNTIFS(Risk_Register!B:B,C330,Risk_Register!G:G,"High")</f>
        <v>3</v>
      </c>
      <c r="H330" s="5" t="str">
        <f aca="false">IF(_xlfn.MAXIFS(Risk_Register!$L:$L,Risk_Register!$B:$B,C330)=3,"High",IF(_xlfn.MAXIFS(Risk_Register!$L:$L,Risk_Register!$B:$B,C330)=2,"Medium","Low"))</f>
        <v>High</v>
      </c>
      <c r="I330" s="5" t="str">
        <f aca="false">IF(B330&lt;=3,"Preferred site - strong composite profile",IF(B330&lt;=10,"Backup candidate - viable with monitoring","Reserve - evaluate only if primary sites unavailable"))</f>
        <v>Reserve - evaluate only if primary sites unavailable</v>
      </c>
    </row>
    <row r="331" customFormat="false" ht="15" hidden="false" customHeight="true" outlineLevel="0" collapsed="false">
      <c r="A331" s="5" t="s">
        <v>5995</v>
      </c>
      <c r="B331" s="5" t="n">
        <v>1</v>
      </c>
      <c r="C331" s="5" t="s">
        <v>1980</v>
      </c>
      <c r="D331" s="5" t="s">
        <v>1981</v>
      </c>
      <c r="E331" s="5" t="s">
        <v>921</v>
      </c>
      <c r="F331" s="5" t="n">
        <f aca="false">INDEX(Site_Evaluation!$K:$K,MATCH(C331,Site_Evaluation!$A:$A,0))</f>
        <v>77</v>
      </c>
      <c r="G331" s="5" t="n">
        <f aca="false">COUNTIFS(Risk_Register!B:B,C331,Risk_Register!G:G,"High")</f>
        <v>3</v>
      </c>
      <c r="H331" s="5" t="str">
        <f aca="false">IF(_xlfn.MAXIFS(Risk_Register!$L:$L,Risk_Register!$B:$B,C331)=3,"High",IF(_xlfn.MAXIFS(Risk_Register!$L:$L,Risk_Register!$B:$B,C331)=2,"Medium","Low"))</f>
        <v>High</v>
      </c>
      <c r="I331" s="5" t="str">
        <f aca="false">IF(B331&lt;=3,"Preferred site - strong composite profile",IF(B331&lt;=10,"Backup candidate - viable with monitoring","Reserve - evaluate only if primary sites unavailable"))</f>
        <v>Preferred site - strong composite profile</v>
      </c>
    </row>
    <row r="332" customFormat="false" ht="15" hidden="false" customHeight="true" outlineLevel="0" collapsed="false">
      <c r="A332" s="5" t="s">
        <v>5995</v>
      </c>
      <c r="B332" s="5" t="n">
        <v>2</v>
      </c>
      <c r="C332" s="5" t="s">
        <v>1782</v>
      </c>
      <c r="D332" s="5" t="s">
        <v>1783</v>
      </c>
      <c r="E332" s="5" t="s">
        <v>956</v>
      </c>
      <c r="F332" s="5" t="n">
        <f aca="false">INDEX(Site_Evaluation!$K:$K,MATCH(C332,Site_Evaluation!$A:$A,0))</f>
        <v>66</v>
      </c>
      <c r="G332" s="5" t="n">
        <f aca="false">COUNTIFS(Risk_Register!B:B,C332,Risk_Register!G:G,"High")</f>
        <v>1</v>
      </c>
      <c r="H332" s="5" t="str">
        <f aca="false">IF(_xlfn.MAXIFS(Risk_Register!$L:$L,Risk_Register!$B:$B,C332)=3,"High",IF(_xlfn.MAXIFS(Risk_Register!$L:$L,Risk_Register!$B:$B,C332)=2,"Medium","Low"))</f>
        <v>High</v>
      </c>
      <c r="I332" s="5" t="str">
        <f aca="false">IF(B332&lt;=3,"Preferred site - strong composite profile",IF(B332&lt;=10,"Backup candidate - viable with monitoring","Reserve - evaluate only if primary sites unavailable"))</f>
        <v>Preferred site - strong composite profile</v>
      </c>
    </row>
    <row r="333" customFormat="false" ht="15" hidden="false" customHeight="true" outlineLevel="0" collapsed="false">
      <c r="A333" s="5" t="s">
        <v>5995</v>
      </c>
      <c r="B333" s="5" t="n">
        <v>3</v>
      </c>
      <c r="C333" s="5" t="s">
        <v>1952</v>
      </c>
      <c r="D333" s="5" t="s">
        <v>1953</v>
      </c>
      <c r="E333" s="5" t="s">
        <v>946</v>
      </c>
      <c r="F333" s="5" t="n">
        <f aca="false">INDEX(Site_Evaluation!$K:$K,MATCH(C333,Site_Evaluation!$A:$A,0))</f>
        <v>66</v>
      </c>
      <c r="G333" s="5" t="n">
        <f aca="false">COUNTIFS(Risk_Register!B:B,C333,Risk_Register!G:G,"High")</f>
        <v>2</v>
      </c>
      <c r="H333" s="5" t="str">
        <f aca="false">IF(_xlfn.MAXIFS(Risk_Register!$L:$L,Risk_Register!$B:$B,C333)=3,"High",IF(_xlfn.MAXIFS(Risk_Register!$L:$L,Risk_Register!$B:$B,C333)=2,"Medium","Low"))</f>
        <v>High</v>
      </c>
      <c r="I333" s="5" t="str">
        <f aca="false">IF(B333&lt;=3,"Preferred site - strong composite profile",IF(B333&lt;=10,"Backup candidate - viable with monitoring","Reserve - evaluate only if primary sites unavailable"))</f>
        <v>Preferred site - strong composite profile</v>
      </c>
    </row>
    <row r="334" customFormat="false" ht="15" hidden="false" customHeight="true" outlineLevel="0" collapsed="false">
      <c r="A334" s="5" t="s">
        <v>5995</v>
      </c>
      <c r="B334" s="5" t="n">
        <v>4</v>
      </c>
      <c r="C334" s="5" t="s">
        <v>2024</v>
      </c>
      <c r="D334" s="5" t="s">
        <v>2025</v>
      </c>
      <c r="E334" s="5" t="s">
        <v>933</v>
      </c>
      <c r="F334" s="5" t="n">
        <f aca="false">INDEX(Site_Evaluation!$K:$K,MATCH(C334,Site_Evaluation!$A:$A,0))</f>
        <v>65</v>
      </c>
      <c r="G334" s="5" t="n">
        <f aca="false">COUNTIFS(Risk_Register!B:B,C334,Risk_Register!G:G,"High")</f>
        <v>1</v>
      </c>
      <c r="H334" s="5" t="str">
        <f aca="false">IF(_xlfn.MAXIFS(Risk_Register!$L:$L,Risk_Register!$B:$B,C334)=3,"High",IF(_xlfn.MAXIFS(Risk_Register!$L:$L,Risk_Register!$B:$B,C334)=2,"Medium","Low"))</f>
        <v>High</v>
      </c>
      <c r="I334" s="5" t="str">
        <f aca="false">IF(B334&lt;=3,"Preferred site - strong composite profile",IF(B334&lt;=10,"Backup candidate - viable with monitoring","Reserve - evaluate only if primary sites unavailable"))</f>
        <v>Backup candidate - viable with monitoring</v>
      </c>
    </row>
    <row r="335" customFormat="false" ht="15" hidden="false" customHeight="true" outlineLevel="0" collapsed="false">
      <c r="A335" s="5" t="s">
        <v>5995</v>
      </c>
      <c r="B335" s="5" t="n">
        <v>5</v>
      </c>
      <c r="C335" s="5" t="s">
        <v>2126</v>
      </c>
      <c r="D335" s="5" t="s">
        <v>2127</v>
      </c>
      <c r="E335" s="5" t="s">
        <v>918</v>
      </c>
      <c r="F335" s="5" t="n">
        <f aca="false">INDEX(Site_Evaluation!$K:$K,MATCH(C335,Site_Evaluation!$A:$A,0))</f>
        <v>64</v>
      </c>
      <c r="G335" s="5" t="n">
        <f aca="false">COUNTIFS(Risk_Register!B:B,C335,Risk_Register!G:G,"High")</f>
        <v>3</v>
      </c>
      <c r="H335" s="5" t="str">
        <f aca="false">IF(_xlfn.MAXIFS(Risk_Register!$L:$L,Risk_Register!$B:$B,C335)=3,"High",IF(_xlfn.MAXIFS(Risk_Register!$L:$L,Risk_Register!$B:$B,C335)=2,"Medium","Low"))</f>
        <v>High</v>
      </c>
      <c r="I335" s="5" t="str">
        <f aca="false">IF(B335&lt;=3,"Preferred site - strong composite profile",IF(B335&lt;=10,"Backup candidate - viable with monitoring","Reserve - evaluate only if primary sites unavailable"))</f>
        <v>Backup candidate - viable with monitoring</v>
      </c>
    </row>
    <row r="336" customFormat="false" ht="15" hidden="false" customHeight="true" outlineLevel="0" collapsed="false">
      <c r="A336" s="5" t="s">
        <v>5995</v>
      </c>
      <c r="B336" s="5" t="n">
        <v>6</v>
      </c>
      <c r="C336" s="5" t="s">
        <v>2160</v>
      </c>
      <c r="D336" s="5" t="s">
        <v>2161</v>
      </c>
      <c r="E336" s="5" t="s">
        <v>929</v>
      </c>
      <c r="F336" s="5" t="n">
        <f aca="false">INDEX(Site_Evaluation!$K:$K,MATCH(C336,Site_Evaluation!$A:$A,0))</f>
        <v>62</v>
      </c>
      <c r="G336" s="5" t="n">
        <f aca="false">COUNTIFS(Risk_Register!B:B,C336,Risk_Register!G:G,"High")</f>
        <v>3</v>
      </c>
      <c r="H336" s="5" t="str">
        <f aca="false">IF(_xlfn.MAXIFS(Risk_Register!$L:$L,Risk_Register!$B:$B,C336)=3,"High",IF(_xlfn.MAXIFS(Risk_Register!$L:$L,Risk_Register!$B:$B,C336)=2,"Medium","Low"))</f>
        <v>High</v>
      </c>
      <c r="I336" s="5" t="str">
        <f aca="false">IF(B336&lt;=3,"Preferred site - strong composite profile",IF(B336&lt;=10,"Backup candidate - viable with monitoring","Reserve - evaluate only if primary sites unavailable"))</f>
        <v>Backup candidate - viable with monitoring</v>
      </c>
    </row>
    <row r="337" customFormat="false" ht="15" hidden="false" customHeight="true" outlineLevel="0" collapsed="false">
      <c r="A337" s="5" t="s">
        <v>5995</v>
      </c>
      <c r="B337" s="5" t="n">
        <v>7</v>
      </c>
      <c r="C337" s="5" t="s">
        <v>1923</v>
      </c>
      <c r="D337" s="5" t="s">
        <v>1924</v>
      </c>
      <c r="E337" s="5" t="s">
        <v>944</v>
      </c>
      <c r="F337" s="5" t="n">
        <f aca="false">INDEX(Site_Evaluation!$K:$K,MATCH(C337,Site_Evaluation!$A:$A,0))</f>
        <v>57</v>
      </c>
      <c r="G337" s="5" t="n">
        <f aca="false">COUNTIFS(Risk_Register!B:B,C337,Risk_Register!G:G,"High")</f>
        <v>3</v>
      </c>
      <c r="H337" s="5" t="str">
        <f aca="false">IF(_xlfn.MAXIFS(Risk_Register!$L:$L,Risk_Register!$B:$B,C337)=3,"High",IF(_xlfn.MAXIFS(Risk_Register!$L:$L,Risk_Register!$B:$B,C337)=2,"Medium","Low"))</f>
        <v>High</v>
      </c>
      <c r="I337" s="5" t="str">
        <f aca="false">IF(B337&lt;=3,"Preferred site - strong composite profile",IF(B337&lt;=10,"Backup candidate - viable with monitoring","Reserve - evaluate only if primary sites unavailable"))</f>
        <v>Backup candidate - viable with monitoring</v>
      </c>
    </row>
    <row r="338" customFormat="false" ht="15" hidden="false" customHeight="true" outlineLevel="0" collapsed="false">
      <c r="A338" s="5" t="s">
        <v>5995</v>
      </c>
      <c r="B338" s="5" t="n">
        <v>8</v>
      </c>
      <c r="C338" s="5" t="s">
        <v>1719</v>
      </c>
      <c r="D338" s="5" t="s">
        <v>1720</v>
      </c>
      <c r="E338" s="5" t="s">
        <v>920</v>
      </c>
      <c r="F338" s="5" t="n">
        <f aca="false">INDEX(Site_Evaluation!$K:$K,MATCH(C338,Site_Evaluation!$A:$A,0))</f>
        <v>55</v>
      </c>
      <c r="G338" s="5" t="n">
        <f aca="false">COUNTIFS(Risk_Register!B:B,C338,Risk_Register!G:G,"High")</f>
        <v>1</v>
      </c>
      <c r="H338" s="5" t="str">
        <f aca="false">IF(_xlfn.MAXIFS(Risk_Register!$L:$L,Risk_Register!$B:$B,C338)=3,"High",IF(_xlfn.MAXIFS(Risk_Register!$L:$L,Risk_Register!$B:$B,C338)=2,"Medium","Low"))</f>
        <v>High</v>
      </c>
      <c r="I338" s="5" t="str">
        <f aca="false">IF(B338&lt;=3,"Preferred site - strong composite profile",IF(B338&lt;=10,"Backup candidate - viable with monitoring","Reserve - evaluate only if primary sites unavailable"))</f>
        <v>Backup candidate - viable with monitoring</v>
      </c>
    </row>
    <row r="339" customFormat="false" ht="15" hidden="false" customHeight="true" outlineLevel="0" collapsed="false">
      <c r="A339" s="5" t="s">
        <v>5995</v>
      </c>
      <c r="B339" s="5" t="n">
        <v>9</v>
      </c>
      <c r="C339" s="5" t="s">
        <v>1760</v>
      </c>
      <c r="D339" s="5" t="s">
        <v>1761</v>
      </c>
      <c r="E339" s="5" t="s">
        <v>948</v>
      </c>
      <c r="F339" s="5" t="n">
        <f aca="false">INDEX(Site_Evaluation!$K:$K,MATCH(C339,Site_Evaluation!$A:$A,0))</f>
        <v>54</v>
      </c>
      <c r="G339" s="5" t="n">
        <f aca="false">COUNTIFS(Risk_Register!B:B,C339,Risk_Register!G:G,"High")</f>
        <v>1</v>
      </c>
      <c r="H339" s="5" t="str">
        <f aca="false">IF(_xlfn.MAXIFS(Risk_Register!$L:$L,Risk_Register!$B:$B,C339)=3,"High",IF(_xlfn.MAXIFS(Risk_Register!$L:$L,Risk_Register!$B:$B,C339)=2,"Medium","Low"))</f>
        <v>High</v>
      </c>
      <c r="I339" s="5" t="str">
        <f aca="false">IF(B339&lt;=3,"Preferred site - strong composite profile",IF(B339&lt;=10,"Backup candidate - viable with monitoring","Reserve - evaluate only if primary sites unavailable"))</f>
        <v>Backup candidate - viable with monitoring</v>
      </c>
    </row>
    <row r="340" customFormat="false" ht="15" hidden="false" customHeight="true" outlineLevel="0" collapsed="false">
      <c r="A340" s="5" t="s">
        <v>5995</v>
      </c>
      <c r="B340" s="5" t="n">
        <v>10</v>
      </c>
      <c r="C340" s="5" t="s">
        <v>1839</v>
      </c>
      <c r="D340" s="5" t="s">
        <v>1840</v>
      </c>
      <c r="E340" s="5" t="s">
        <v>956</v>
      </c>
      <c r="F340" s="5" t="n">
        <f aca="false">INDEX(Site_Evaluation!$K:$K,MATCH(C340,Site_Evaluation!$A:$A,0))</f>
        <v>54</v>
      </c>
      <c r="G340" s="5" t="n">
        <f aca="false">COUNTIFS(Risk_Register!B:B,C340,Risk_Register!G:G,"High")</f>
        <v>2</v>
      </c>
      <c r="H340" s="5" t="str">
        <f aca="false">IF(_xlfn.MAXIFS(Risk_Register!$L:$L,Risk_Register!$B:$B,C340)=3,"High",IF(_xlfn.MAXIFS(Risk_Register!$L:$L,Risk_Register!$B:$B,C340)=2,"Medium","Low"))</f>
        <v>High</v>
      </c>
      <c r="I340" s="5" t="str">
        <f aca="false">IF(B340&lt;=3,"Preferred site - strong composite profile",IF(B340&lt;=10,"Backup candidate - viable with monitoring","Reserve - evaluate only if primary sites unavailable"))</f>
        <v>Backup candidate - viable with monitoring</v>
      </c>
    </row>
    <row r="341" customFormat="false" ht="15" hidden="false" customHeight="true" outlineLevel="0" collapsed="false">
      <c r="A341" s="5" t="s">
        <v>5995</v>
      </c>
      <c r="B341" s="5" t="n">
        <v>11</v>
      </c>
      <c r="C341" s="5" t="s">
        <v>1870</v>
      </c>
      <c r="D341" s="5" t="s">
        <v>1871</v>
      </c>
      <c r="E341" s="5" t="s">
        <v>954</v>
      </c>
      <c r="F341" s="5" t="n">
        <f aca="false">INDEX(Site_Evaluation!$K:$K,MATCH(C341,Site_Evaluation!$A:$A,0))</f>
        <v>53</v>
      </c>
      <c r="G341" s="5" t="n">
        <f aca="false">COUNTIFS(Risk_Register!B:B,C341,Risk_Register!G:G,"High")</f>
        <v>2</v>
      </c>
      <c r="H341" s="5" t="str">
        <f aca="false">IF(_xlfn.MAXIFS(Risk_Register!$L:$L,Risk_Register!$B:$B,C341)=3,"High",IF(_xlfn.MAXIFS(Risk_Register!$L:$L,Risk_Register!$B:$B,C341)=2,"Medium","Low"))</f>
        <v>High</v>
      </c>
      <c r="I341" s="5" t="str">
        <f aca="false">IF(B341&lt;=3,"Preferred site - strong composite profile",IF(B341&lt;=10,"Backup candidate - viable with monitoring","Reserve - evaluate only if primary sites unavailable"))</f>
        <v>Reserve - evaluate only if primary sites unavailable</v>
      </c>
    </row>
    <row r="342" customFormat="false" ht="15" hidden="false" customHeight="true" outlineLevel="0" collapsed="false">
      <c r="A342" s="5" t="s">
        <v>5995</v>
      </c>
      <c r="B342" s="5" t="n">
        <v>12</v>
      </c>
      <c r="C342" s="5" t="s">
        <v>1845</v>
      </c>
      <c r="D342" s="5" t="s">
        <v>1846</v>
      </c>
      <c r="E342" s="5" t="s">
        <v>925</v>
      </c>
      <c r="F342" s="5" t="n">
        <f aca="false">INDEX(Site_Evaluation!$K:$K,MATCH(C342,Site_Evaluation!$A:$A,0))</f>
        <v>51</v>
      </c>
      <c r="G342" s="5" t="n">
        <f aca="false">COUNTIFS(Risk_Register!B:B,C342,Risk_Register!G:G,"High")</f>
        <v>1</v>
      </c>
      <c r="H342" s="5" t="str">
        <f aca="false">IF(_xlfn.MAXIFS(Risk_Register!$L:$L,Risk_Register!$B:$B,C342)=3,"High",IF(_xlfn.MAXIFS(Risk_Register!$L:$L,Risk_Register!$B:$B,C342)=2,"Medium","Low"))</f>
        <v>High</v>
      </c>
      <c r="I342" s="5" t="str">
        <f aca="false">IF(B342&lt;=3,"Preferred site - strong composite profile",IF(B342&lt;=10,"Backup candidate - viable with monitoring","Reserve - evaluate only if primary sites unavailable"))</f>
        <v>Reserve - evaluate only if primary sites unavailable</v>
      </c>
    </row>
    <row r="343" customFormat="false" ht="15" hidden="false" customHeight="true" outlineLevel="0" collapsed="false">
      <c r="A343" s="5" t="s">
        <v>5995</v>
      </c>
      <c r="B343" s="5" t="n">
        <v>13</v>
      </c>
      <c r="C343" s="5" t="s">
        <v>1700</v>
      </c>
      <c r="D343" s="5" t="s">
        <v>1701</v>
      </c>
      <c r="E343" s="5" t="s">
        <v>925</v>
      </c>
      <c r="F343" s="5" t="n">
        <f aca="false">INDEX(Site_Evaluation!$K:$K,MATCH(C343,Site_Evaluation!$A:$A,0))</f>
        <v>48</v>
      </c>
      <c r="G343" s="5" t="n">
        <f aca="false">COUNTIFS(Risk_Register!B:B,C343,Risk_Register!G:G,"High")</f>
        <v>1</v>
      </c>
      <c r="H343" s="5" t="str">
        <f aca="false">IF(_xlfn.MAXIFS(Risk_Register!$L:$L,Risk_Register!$B:$B,C343)=3,"High",IF(_xlfn.MAXIFS(Risk_Register!$L:$L,Risk_Register!$B:$B,C343)=2,"Medium","Low"))</f>
        <v>High</v>
      </c>
      <c r="I343" s="5" t="str">
        <f aca="false">IF(B343&lt;=3,"Preferred site - strong composite profile",IF(B343&lt;=10,"Backup candidate - viable with monitoring","Reserve - evaluate only if primary sites unavailable"))</f>
        <v>Reserve - evaluate only if primary sites unavailable</v>
      </c>
    </row>
    <row r="344" customFormat="false" ht="15" hidden="false" customHeight="true" outlineLevel="0" collapsed="false">
      <c r="A344" s="5" t="s">
        <v>5995</v>
      </c>
      <c r="B344" s="5" t="n">
        <v>14</v>
      </c>
      <c r="C344" s="5" t="s">
        <v>1829</v>
      </c>
      <c r="D344" s="5" t="s">
        <v>1830</v>
      </c>
      <c r="E344" s="5" t="s">
        <v>952</v>
      </c>
      <c r="F344" s="5" t="n">
        <f aca="false">INDEX(Site_Evaluation!$K:$K,MATCH(C344,Site_Evaluation!$A:$A,0))</f>
        <v>48</v>
      </c>
      <c r="G344" s="5" t="n">
        <f aca="false">COUNTIFS(Risk_Register!B:B,C344,Risk_Register!G:G,"High")</f>
        <v>3</v>
      </c>
      <c r="H344" s="5" t="str">
        <f aca="false">IF(_xlfn.MAXIFS(Risk_Register!$L:$L,Risk_Register!$B:$B,C344)=3,"High",IF(_xlfn.MAXIFS(Risk_Register!$L:$L,Risk_Register!$B:$B,C344)=2,"Medium","Low"))</f>
        <v>High</v>
      </c>
      <c r="I344" s="5" t="str">
        <f aca="false">IF(B344&lt;=3,"Preferred site - strong composite profile",IF(B344&lt;=10,"Backup candidate - viable with monitoring","Reserve - evaluate only if primary sites unavailable"))</f>
        <v>Reserve - evaluate only if primary sites unavailable</v>
      </c>
    </row>
    <row r="345" customFormat="false" ht="15" hidden="false" customHeight="true" outlineLevel="0" collapsed="false">
      <c r="A345" s="5" t="s">
        <v>5995</v>
      </c>
      <c r="B345" s="5" t="n">
        <v>15</v>
      </c>
      <c r="C345" s="5" t="s">
        <v>1990</v>
      </c>
      <c r="D345" s="5" t="s">
        <v>1991</v>
      </c>
      <c r="E345" s="5" t="s">
        <v>940</v>
      </c>
      <c r="F345" s="5" t="n">
        <f aca="false">INDEX(Site_Evaluation!$K:$K,MATCH(C345,Site_Evaluation!$A:$A,0))</f>
        <v>48</v>
      </c>
      <c r="G345" s="5" t="n">
        <f aca="false">COUNTIFS(Risk_Register!B:B,C345,Risk_Register!G:G,"High")</f>
        <v>3</v>
      </c>
      <c r="H345" s="5" t="str">
        <f aca="false">IF(_xlfn.MAXIFS(Risk_Register!$L:$L,Risk_Register!$B:$B,C345)=3,"High",IF(_xlfn.MAXIFS(Risk_Register!$L:$L,Risk_Register!$B:$B,C345)=2,"Medium","Low"))</f>
        <v>High</v>
      </c>
      <c r="I345" s="5" t="str">
        <f aca="false">IF(B345&lt;=3,"Preferred site - strong composite profile",IF(B345&lt;=10,"Backup candidate - viable with monitoring","Reserve - evaluate only if primary sites unavailable"))</f>
        <v>Reserve - evaluate only if primary sites unavailable</v>
      </c>
    </row>
    <row r="346" customFormat="false" ht="15" hidden="false" customHeight="true" outlineLevel="0" collapsed="false">
      <c r="A346" s="5" t="s">
        <v>5995</v>
      </c>
      <c r="B346" s="5" t="n">
        <v>16</v>
      </c>
      <c r="C346" s="5" t="s">
        <v>1663</v>
      </c>
      <c r="D346" s="5" t="s">
        <v>1664</v>
      </c>
      <c r="E346" s="5" t="s">
        <v>954</v>
      </c>
      <c r="F346" s="5" t="n">
        <f aca="false">INDEX(Site_Evaluation!$K:$K,MATCH(C346,Site_Evaluation!$A:$A,0))</f>
        <v>46</v>
      </c>
      <c r="G346" s="5" t="n">
        <f aca="false">COUNTIFS(Risk_Register!B:B,C346,Risk_Register!G:G,"High")</f>
        <v>1</v>
      </c>
      <c r="H346" s="5" t="str">
        <f aca="false">IF(_xlfn.MAXIFS(Risk_Register!$L:$L,Risk_Register!$B:$B,C346)=3,"High",IF(_xlfn.MAXIFS(Risk_Register!$L:$L,Risk_Register!$B:$B,C346)=2,"Medium","Low"))</f>
        <v>High</v>
      </c>
      <c r="I346" s="5" t="str">
        <f aca="false">IF(B346&lt;=3,"Preferred site - strong composite profile",IF(B346&lt;=10,"Backup candidate - viable with monitoring","Reserve - evaluate only if primary sites unavailable"))</f>
        <v>Reserve - evaluate only if primary sites unavailable</v>
      </c>
    </row>
    <row r="347" customFormat="false" ht="15" hidden="false" customHeight="true" outlineLevel="0" collapsed="false">
      <c r="A347" s="5" t="s">
        <v>5995</v>
      </c>
      <c r="B347" s="5" t="n">
        <v>17</v>
      </c>
      <c r="C347" s="5" t="s">
        <v>1778</v>
      </c>
      <c r="D347" s="5" t="s">
        <v>1779</v>
      </c>
      <c r="E347" s="5" t="s">
        <v>946</v>
      </c>
      <c r="F347" s="5" t="n">
        <f aca="false">INDEX(Site_Evaluation!$K:$K,MATCH(C347,Site_Evaluation!$A:$A,0))</f>
        <v>44</v>
      </c>
      <c r="G347" s="5" t="n">
        <f aca="false">COUNTIFS(Risk_Register!B:B,C347,Risk_Register!G:G,"High")</f>
        <v>1</v>
      </c>
      <c r="H347" s="5" t="str">
        <f aca="false">IF(_xlfn.MAXIFS(Risk_Register!$L:$L,Risk_Register!$B:$B,C347)=3,"High",IF(_xlfn.MAXIFS(Risk_Register!$L:$L,Risk_Register!$B:$B,C347)=2,"Medium","Low"))</f>
        <v>High</v>
      </c>
      <c r="I347" s="5" t="str">
        <f aca="false">IF(B347&lt;=3,"Preferred site - strong composite profile",IF(B347&lt;=10,"Backup candidate - viable with monitoring","Reserve - evaluate only if primary sites unavailable"))</f>
        <v>Reserve - evaluate only if primary sites unavailable</v>
      </c>
    </row>
    <row r="348" customFormat="false" ht="15" hidden="false" customHeight="true" outlineLevel="0" collapsed="false">
      <c r="A348" s="5" t="s">
        <v>5995</v>
      </c>
      <c r="B348" s="5" t="n">
        <v>18</v>
      </c>
      <c r="C348" s="5" t="s">
        <v>1755</v>
      </c>
      <c r="D348" s="5" t="s">
        <v>1756</v>
      </c>
      <c r="E348" s="5" t="s">
        <v>925</v>
      </c>
      <c r="F348" s="5" t="n">
        <f aca="false">INDEX(Site_Evaluation!$K:$K,MATCH(C348,Site_Evaluation!$A:$A,0))</f>
        <v>43</v>
      </c>
      <c r="G348" s="5" t="n">
        <f aca="false">COUNTIFS(Risk_Register!B:B,C348,Risk_Register!G:G,"High")</f>
        <v>3</v>
      </c>
      <c r="H348" s="5" t="str">
        <f aca="false">IF(_xlfn.MAXIFS(Risk_Register!$L:$L,Risk_Register!$B:$B,C348)=3,"High",IF(_xlfn.MAXIFS(Risk_Register!$L:$L,Risk_Register!$B:$B,C348)=2,"Medium","Low"))</f>
        <v>High</v>
      </c>
      <c r="I348" s="5" t="str">
        <f aca="false">IF(B348&lt;=3,"Preferred site - strong composite profile",IF(B348&lt;=10,"Backup candidate - viable with monitoring","Reserve - evaluate only if primary sites unavailable"))</f>
        <v>Reserve - evaluate only if primary sites unavailable</v>
      </c>
    </row>
    <row r="349" customFormat="false" ht="15" hidden="false" customHeight="true" outlineLevel="0" collapsed="false">
      <c r="A349" s="5" t="s">
        <v>5995</v>
      </c>
      <c r="B349" s="5" t="n">
        <v>19</v>
      </c>
      <c r="C349" s="5" t="s">
        <v>1925</v>
      </c>
      <c r="D349" s="5" t="s">
        <v>1926</v>
      </c>
      <c r="E349" s="5" t="s">
        <v>960</v>
      </c>
      <c r="F349" s="5" t="n">
        <f aca="false">INDEX(Site_Evaluation!$K:$K,MATCH(C349,Site_Evaluation!$A:$A,0))</f>
        <v>42</v>
      </c>
      <c r="G349" s="5" t="n">
        <f aca="false">COUNTIFS(Risk_Register!B:B,C349,Risk_Register!G:G,"High")</f>
        <v>1</v>
      </c>
      <c r="H349" s="5" t="str">
        <f aca="false">IF(_xlfn.MAXIFS(Risk_Register!$L:$L,Risk_Register!$B:$B,C349)=3,"High",IF(_xlfn.MAXIFS(Risk_Register!$L:$L,Risk_Register!$B:$B,C349)=2,"Medium","Low"))</f>
        <v>High</v>
      </c>
      <c r="I349" s="5" t="str">
        <f aca="false">IF(B349&lt;=3,"Preferred site - strong composite profile",IF(B349&lt;=10,"Backup candidate - viable with monitoring","Reserve - evaluate only if primary sites unavailable"))</f>
        <v>Reserve - evaluate only if primary sites unavailable</v>
      </c>
    </row>
    <row r="350" customFormat="false" ht="15" hidden="false" customHeight="true" outlineLevel="0" collapsed="false">
      <c r="A350" s="5" t="s">
        <v>5995</v>
      </c>
      <c r="B350" s="5" t="n">
        <v>20</v>
      </c>
      <c r="C350" s="5" t="s">
        <v>2062</v>
      </c>
      <c r="D350" s="5" t="s">
        <v>2063</v>
      </c>
      <c r="E350" s="5" t="s">
        <v>940</v>
      </c>
      <c r="F350" s="5" t="n">
        <f aca="false">INDEX(Site_Evaluation!$K:$K,MATCH(C350,Site_Evaluation!$A:$A,0))</f>
        <v>42</v>
      </c>
      <c r="G350" s="5" t="n">
        <f aca="false">COUNTIFS(Risk_Register!B:B,C350,Risk_Register!G:G,"High")</f>
        <v>1</v>
      </c>
      <c r="H350" s="5" t="str">
        <f aca="false">IF(_xlfn.MAXIFS(Risk_Register!$L:$L,Risk_Register!$B:$B,C350)=3,"High",IF(_xlfn.MAXIFS(Risk_Register!$L:$L,Risk_Register!$B:$B,C350)=2,"Medium","Low"))</f>
        <v>High</v>
      </c>
      <c r="I350" s="5" t="str">
        <f aca="false">IF(B350&lt;=3,"Preferred site - strong composite profile",IF(B350&lt;=10,"Backup candidate - viable with monitoring","Reserve - evaluate only if primary sites unavailable"))</f>
        <v>Reserve - evaluate only if primary sites unavailable</v>
      </c>
    </row>
    <row r="351" customFormat="false" ht="15" hidden="false" customHeight="true" outlineLevel="0" collapsed="false">
      <c r="A351" s="5" t="s">
        <v>5996</v>
      </c>
      <c r="B351" s="5" t="n">
        <v>1</v>
      </c>
      <c r="C351" s="5" t="s">
        <v>2004</v>
      </c>
      <c r="D351" s="5" t="s">
        <v>2005</v>
      </c>
      <c r="E351" s="5" t="s">
        <v>950</v>
      </c>
      <c r="F351" s="5" t="n">
        <f aca="false">INDEX(Site_Evaluation!$K:$K,MATCH(C351,Site_Evaluation!$A:$A,0))</f>
        <v>76</v>
      </c>
      <c r="G351" s="5" t="n">
        <f aca="false">COUNTIFS(Risk_Register!B:B,C351,Risk_Register!G:G,"High")</f>
        <v>2</v>
      </c>
      <c r="H351" s="5" t="str">
        <f aca="false">IF(_xlfn.MAXIFS(Risk_Register!$L:$L,Risk_Register!$B:$B,C351)=3,"High",IF(_xlfn.MAXIFS(Risk_Register!$L:$L,Risk_Register!$B:$B,C351)=2,"Medium","Low"))</f>
        <v>High</v>
      </c>
      <c r="I351" s="5" t="str">
        <f aca="false">IF(B351&lt;=3,"Preferred site - strong composite profile",IF(B351&lt;=10,"Backup candidate - viable with monitoring","Reserve - evaluate only if primary sites unavailable"))</f>
        <v>Preferred site - strong composite profile</v>
      </c>
    </row>
    <row r="352" customFormat="false" ht="15" hidden="false" customHeight="true" outlineLevel="0" collapsed="false">
      <c r="A352" s="5" t="s">
        <v>5996</v>
      </c>
      <c r="B352" s="5" t="n">
        <v>2</v>
      </c>
      <c r="C352" s="5" t="s">
        <v>1711</v>
      </c>
      <c r="D352" s="5" t="s">
        <v>1712</v>
      </c>
      <c r="E352" s="5" t="s">
        <v>927</v>
      </c>
      <c r="F352" s="5" t="n">
        <f aca="false">INDEX(Site_Evaluation!$K:$K,MATCH(C352,Site_Evaluation!$A:$A,0))</f>
        <v>75</v>
      </c>
      <c r="G352" s="5" t="n">
        <f aca="false">COUNTIFS(Risk_Register!B:B,C352,Risk_Register!G:G,"High")</f>
        <v>3</v>
      </c>
      <c r="H352" s="5" t="str">
        <f aca="false">IF(_xlfn.MAXIFS(Risk_Register!$L:$L,Risk_Register!$B:$B,C352)=3,"High",IF(_xlfn.MAXIFS(Risk_Register!$L:$L,Risk_Register!$B:$B,C352)=2,"Medium","Low"))</f>
        <v>High</v>
      </c>
      <c r="I352" s="5" t="str">
        <f aca="false">IF(B352&lt;=3,"Preferred site - strong composite profile",IF(B352&lt;=10,"Backup candidate - viable with monitoring","Reserve - evaluate only if primary sites unavailable"))</f>
        <v>Preferred site - strong composite profile</v>
      </c>
    </row>
    <row r="353" customFormat="false" ht="15" hidden="false" customHeight="true" outlineLevel="0" collapsed="false">
      <c r="A353" s="5" t="s">
        <v>5996</v>
      </c>
      <c r="B353" s="5" t="n">
        <v>3</v>
      </c>
      <c r="C353" s="5" t="s">
        <v>1768</v>
      </c>
      <c r="D353" s="5" t="s">
        <v>1769</v>
      </c>
      <c r="E353" s="5" t="s">
        <v>946</v>
      </c>
      <c r="F353" s="5" t="n">
        <f aca="false">INDEX(Site_Evaluation!$K:$K,MATCH(C353,Site_Evaluation!$A:$A,0))</f>
        <v>75</v>
      </c>
      <c r="G353" s="5" t="n">
        <f aca="false">COUNTIFS(Risk_Register!B:B,C353,Risk_Register!G:G,"High")</f>
        <v>2</v>
      </c>
      <c r="H353" s="5" t="str">
        <f aca="false">IF(_xlfn.MAXIFS(Risk_Register!$L:$L,Risk_Register!$B:$B,C353)=3,"High",IF(_xlfn.MAXIFS(Risk_Register!$L:$L,Risk_Register!$B:$B,C353)=2,"Medium","Low"))</f>
        <v>High</v>
      </c>
      <c r="I353" s="5" t="str">
        <f aca="false">IF(B353&lt;=3,"Preferred site - strong composite profile",IF(B353&lt;=10,"Backup candidate - viable with monitoring","Reserve - evaluate only if primary sites unavailable"))</f>
        <v>Preferred site - strong composite profile</v>
      </c>
    </row>
    <row r="354" customFormat="false" ht="15" hidden="false" customHeight="true" outlineLevel="0" collapsed="false">
      <c r="A354" s="5" t="s">
        <v>5996</v>
      </c>
      <c r="B354" s="5" t="n">
        <v>4</v>
      </c>
      <c r="C354" s="5" t="s">
        <v>2202</v>
      </c>
      <c r="D354" s="5" t="s">
        <v>2203</v>
      </c>
      <c r="E354" s="5" t="s">
        <v>958</v>
      </c>
      <c r="F354" s="5" t="n">
        <f aca="false">INDEX(Site_Evaluation!$K:$K,MATCH(C354,Site_Evaluation!$A:$A,0))</f>
        <v>74</v>
      </c>
      <c r="G354" s="5" t="n">
        <f aca="false">COUNTIFS(Risk_Register!B:B,C354,Risk_Register!G:G,"High")</f>
        <v>1</v>
      </c>
      <c r="H354" s="5" t="str">
        <f aca="false">IF(_xlfn.MAXIFS(Risk_Register!$L:$L,Risk_Register!$B:$B,C354)=3,"High",IF(_xlfn.MAXIFS(Risk_Register!$L:$L,Risk_Register!$B:$B,C354)=2,"Medium","Low"))</f>
        <v>High</v>
      </c>
      <c r="I354" s="5" t="str">
        <f aca="false">IF(B354&lt;=3,"Preferred site - strong composite profile",IF(B354&lt;=10,"Backup candidate - viable with monitoring","Reserve - evaluate only if primary sites unavailable"))</f>
        <v>Backup candidate - viable with monitoring</v>
      </c>
    </row>
    <row r="355" customFormat="false" ht="15" hidden="false" customHeight="true" outlineLevel="0" collapsed="false">
      <c r="A355" s="5" t="s">
        <v>5996</v>
      </c>
      <c r="B355" s="5" t="n">
        <v>5</v>
      </c>
      <c r="C355" s="5" t="s">
        <v>1854</v>
      </c>
      <c r="D355" s="5" t="s">
        <v>1855</v>
      </c>
      <c r="E355" s="5" t="s">
        <v>948</v>
      </c>
      <c r="F355" s="5" t="n">
        <f aca="false">INDEX(Site_Evaluation!$K:$K,MATCH(C355,Site_Evaluation!$A:$A,0))</f>
        <v>64</v>
      </c>
      <c r="G355" s="5" t="n">
        <f aca="false">COUNTIFS(Risk_Register!B:B,C355,Risk_Register!G:G,"High")</f>
        <v>3</v>
      </c>
      <c r="H355" s="5" t="str">
        <f aca="false">IF(_xlfn.MAXIFS(Risk_Register!$L:$L,Risk_Register!$B:$B,C355)=3,"High",IF(_xlfn.MAXIFS(Risk_Register!$L:$L,Risk_Register!$B:$B,C355)=2,"Medium","Low"))</f>
        <v>High</v>
      </c>
      <c r="I355" s="5" t="str">
        <f aca="false">IF(B355&lt;=3,"Preferred site - strong composite profile",IF(B355&lt;=10,"Backup candidate - viable with monitoring","Reserve - evaluate only if primary sites unavailable"))</f>
        <v>Backup candidate - viable with monitoring</v>
      </c>
    </row>
    <row r="356" customFormat="false" ht="15" hidden="false" customHeight="true" outlineLevel="0" collapsed="false">
      <c r="A356" s="5" t="s">
        <v>5996</v>
      </c>
      <c r="B356" s="5" t="n">
        <v>6</v>
      </c>
      <c r="C356" s="5" t="s">
        <v>1640</v>
      </c>
      <c r="D356" s="5" t="s">
        <v>1641</v>
      </c>
      <c r="E356" s="5" t="s">
        <v>958</v>
      </c>
      <c r="F356" s="5" t="n">
        <f aca="false">INDEX(Site_Evaluation!$K:$K,MATCH(C356,Site_Evaluation!$A:$A,0))</f>
        <v>61</v>
      </c>
      <c r="G356" s="5" t="n">
        <f aca="false">COUNTIFS(Risk_Register!B:B,C356,Risk_Register!G:G,"High")</f>
        <v>1</v>
      </c>
      <c r="H356" s="5" t="str">
        <f aca="false">IF(_xlfn.MAXIFS(Risk_Register!$L:$L,Risk_Register!$B:$B,C356)=3,"High",IF(_xlfn.MAXIFS(Risk_Register!$L:$L,Risk_Register!$B:$B,C356)=2,"Medium","Low"))</f>
        <v>High</v>
      </c>
      <c r="I356" s="5" t="str">
        <f aca="false">IF(B356&lt;=3,"Preferred site - strong composite profile",IF(B356&lt;=10,"Backup candidate - viable with monitoring","Reserve - evaluate only if primary sites unavailable"))</f>
        <v>Backup candidate - viable with monitoring</v>
      </c>
    </row>
    <row r="357" customFormat="false" ht="15" hidden="false" customHeight="true" outlineLevel="0" collapsed="false">
      <c r="A357" s="5" t="s">
        <v>5996</v>
      </c>
      <c r="B357" s="5" t="n">
        <v>7</v>
      </c>
      <c r="C357" s="5" t="s">
        <v>1680</v>
      </c>
      <c r="D357" s="5" t="s">
        <v>1681</v>
      </c>
      <c r="E357" s="5" t="s">
        <v>931</v>
      </c>
      <c r="F357" s="5" t="n">
        <f aca="false">INDEX(Site_Evaluation!$K:$K,MATCH(C357,Site_Evaluation!$A:$A,0))</f>
        <v>60</v>
      </c>
      <c r="G357" s="5" t="n">
        <f aca="false">COUNTIFS(Risk_Register!B:B,C357,Risk_Register!G:G,"High")</f>
        <v>1</v>
      </c>
      <c r="H357" s="5" t="str">
        <f aca="false">IF(_xlfn.MAXIFS(Risk_Register!$L:$L,Risk_Register!$B:$B,C357)=3,"High",IF(_xlfn.MAXIFS(Risk_Register!$L:$L,Risk_Register!$B:$B,C357)=2,"Medium","Low"))</f>
        <v>High</v>
      </c>
      <c r="I357" s="5" t="str">
        <f aca="false">IF(B357&lt;=3,"Preferred site - strong composite profile",IF(B357&lt;=10,"Backup candidate - viable with monitoring","Reserve - evaluate only if primary sites unavailable"))</f>
        <v>Backup candidate - viable with monitoring</v>
      </c>
    </row>
    <row r="358" customFormat="false" ht="15" hidden="false" customHeight="true" outlineLevel="0" collapsed="false">
      <c r="A358" s="5" t="s">
        <v>5996</v>
      </c>
      <c r="B358" s="5" t="n">
        <v>8</v>
      </c>
      <c r="C358" s="5" t="s">
        <v>1751</v>
      </c>
      <c r="D358" s="5" t="s">
        <v>1752</v>
      </c>
      <c r="E358" s="5" t="s">
        <v>958</v>
      </c>
      <c r="F358" s="5" t="n">
        <f aca="false">INDEX(Site_Evaluation!$K:$K,MATCH(C358,Site_Evaluation!$A:$A,0))</f>
        <v>60</v>
      </c>
      <c r="G358" s="5" t="n">
        <f aca="false">COUNTIFS(Risk_Register!B:B,C358,Risk_Register!G:G,"High")</f>
        <v>2</v>
      </c>
      <c r="H358" s="5" t="str">
        <f aca="false">IF(_xlfn.MAXIFS(Risk_Register!$L:$L,Risk_Register!$B:$B,C358)=3,"High",IF(_xlfn.MAXIFS(Risk_Register!$L:$L,Risk_Register!$B:$B,C358)=2,"Medium","Low"))</f>
        <v>High</v>
      </c>
      <c r="I358" s="5" t="str">
        <f aca="false">IF(B358&lt;=3,"Preferred site - strong composite profile",IF(B358&lt;=10,"Backup candidate - viable with monitoring","Reserve - evaluate only if primary sites unavailable"))</f>
        <v>Backup candidate - viable with monitoring</v>
      </c>
    </row>
    <row r="359" customFormat="false" ht="15" hidden="false" customHeight="true" outlineLevel="0" collapsed="false">
      <c r="A359" s="5" t="s">
        <v>5996</v>
      </c>
      <c r="B359" s="5" t="n">
        <v>9</v>
      </c>
      <c r="C359" s="5" t="s">
        <v>1866</v>
      </c>
      <c r="D359" s="5" t="s">
        <v>1867</v>
      </c>
      <c r="E359" s="5" t="s">
        <v>954</v>
      </c>
      <c r="F359" s="5" t="n">
        <f aca="false">INDEX(Site_Evaluation!$K:$K,MATCH(C359,Site_Evaluation!$A:$A,0))</f>
        <v>59</v>
      </c>
      <c r="G359" s="5" t="n">
        <f aca="false">COUNTIFS(Risk_Register!B:B,C359,Risk_Register!G:G,"High")</f>
        <v>2</v>
      </c>
      <c r="H359" s="5" t="str">
        <f aca="false">IF(_xlfn.MAXIFS(Risk_Register!$L:$L,Risk_Register!$B:$B,C359)=3,"High",IF(_xlfn.MAXIFS(Risk_Register!$L:$L,Risk_Register!$B:$B,C359)=2,"Medium","Low"))</f>
        <v>High</v>
      </c>
      <c r="I359" s="5" t="str">
        <f aca="false">IF(B359&lt;=3,"Preferred site - strong composite profile",IF(B359&lt;=10,"Backup candidate - viable with monitoring","Reserve - evaluate only if primary sites unavailable"))</f>
        <v>Backup candidate - viable with monitoring</v>
      </c>
    </row>
    <row r="360" customFormat="false" ht="15" hidden="false" customHeight="true" outlineLevel="0" collapsed="false">
      <c r="A360" s="5" t="s">
        <v>5996</v>
      </c>
      <c r="B360" s="5" t="n">
        <v>10</v>
      </c>
      <c r="C360" s="5" t="s">
        <v>1960</v>
      </c>
      <c r="D360" s="5" t="s">
        <v>1961</v>
      </c>
      <c r="E360" s="5" t="s">
        <v>944</v>
      </c>
      <c r="F360" s="5" t="n">
        <f aca="false">INDEX(Site_Evaluation!$K:$K,MATCH(C360,Site_Evaluation!$A:$A,0))</f>
        <v>57</v>
      </c>
      <c r="G360" s="5" t="n">
        <f aca="false">COUNTIFS(Risk_Register!B:B,C360,Risk_Register!G:G,"High")</f>
        <v>3</v>
      </c>
      <c r="H360" s="5" t="str">
        <f aca="false">IF(_xlfn.MAXIFS(Risk_Register!$L:$L,Risk_Register!$B:$B,C360)=3,"High",IF(_xlfn.MAXIFS(Risk_Register!$L:$L,Risk_Register!$B:$B,C360)=2,"Medium","Low"))</f>
        <v>High</v>
      </c>
      <c r="I360" s="5" t="str">
        <f aca="false">IF(B360&lt;=3,"Preferred site - strong composite profile",IF(B360&lt;=10,"Backup candidate - viable with monitoring","Reserve - evaluate only if primary sites unavailable"))</f>
        <v>Backup candidate - viable with monitoring</v>
      </c>
    </row>
    <row r="361" customFormat="false" ht="15" hidden="false" customHeight="true" outlineLevel="0" collapsed="false">
      <c r="A361" s="5" t="s">
        <v>5996</v>
      </c>
      <c r="B361" s="5" t="n">
        <v>11</v>
      </c>
      <c r="C361" s="5" t="s">
        <v>2104</v>
      </c>
      <c r="D361" s="5" t="s">
        <v>2105</v>
      </c>
      <c r="E361" s="5" t="s">
        <v>918</v>
      </c>
      <c r="F361" s="5" t="n">
        <f aca="false">INDEX(Site_Evaluation!$K:$K,MATCH(C361,Site_Evaluation!$A:$A,0))</f>
        <v>57</v>
      </c>
      <c r="G361" s="5" t="n">
        <f aca="false">COUNTIFS(Risk_Register!B:B,C361,Risk_Register!G:G,"High")</f>
        <v>2</v>
      </c>
      <c r="H361" s="5" t="str">
        <f aca="false">IF(_xlfn.MAXIFS(Risk_Register!$L:$L,Risk_Register!$B:$B,C361)=3,"High",IF(_xlfn.MAXIFS(Risk_Register!$L:$L,Risk_Register!$B:$B,C361)=2,"Medium","Low"))</f>
        <v>High</v>
      </c>
      <c r="I361" s="5" t="str">
        <f aca="false">IF(B361&lt;=3,"Preferred site - strong composite profile",IF(B361&lt;=10,"Backup candidate - viable with monitoring","Reserve - evaluate only if primary sites unavailable"))</f>
        <v>Reserve - evaluate only if primary sites unavailable</v>
      </c>
    </row>
    <row r="362" customFormat="false" ht="15" hidden="false" customHeight="true" outlineLevel="0" collapsed="false">
      <c r="A362" s="5" t="s">
        <v>5996</v>
      </c>
      <c r="B362" s="5" t="n">
        <v>12</v>
      </c>
      <c r="C362" s="5" t="s">
        <v>1996</v>
      </c>
      <c r="D362" s="5" t="s">
        <v>1997</v>
      </c>
      <c r="E362" s="5" t="s">
        <v>962</v>
      </c>
      <c r="F362" s="5" t="n">
        <f aca="false">INDEX(Site_Evaluation!$K:$K,MATCH(C362,Site_Evaluation!$A:$A,0))</f>
        <v>56</v>
      </c>
      <c r="G362" s="5" t="n">
        <f aca="false">COUNTIFS(Risk_Register!B:B,C362,Risk_Register!G:G,"High")</f>
        <v>1</v>
      </c>
      <c r="H362" s="5" t="str">
        <f aca="false">IF(_xlfn.MAXIFS(Risk_Register!$L:$L,Risk_Register!$B:$B,C362)=3,"High",IF(_xlfn.MAXIFS(Risk_Register!$L:$L,Risk_Register!$B:$B,C362)=2,"Medium","Low"))</f>
        <v>High</v>
      </c>
      <c r="I362" s="5" t="str">
        <f aca="false">IF(B362&lt;=3,"Preferred site - strong composite profile",IF(B362&lt;=10,"Backup candidate - viable with monitoring","Reserve - evaluate only if primary sites unavailable"))</f>
        <v>Reserve - evaluate only if primary sites unavailable</v>
      </c>
    </row>
    <row r="363" customFormat="false" ht="15" hidden="false" customHeight="true" outlineLevel="0" collapsed="false">
      <c r="A363" s="5" t="s">
        <v>5996</v>
      </c>
      <c r="B363" s="5" t="n">
        <v>13</v>
      </c>
      <c r="C363" s="5" t="s">
        <v>2146</v>
      </c>
      <c r="D363" s="5" t="s">
        <v>2147</v>
      </c>
      <c r="E363" s="5" t="s">
        <v>958</v>
      </c>
      <c r="F363" s="5" t="n">
        <f aca="false">INDEX(Site_Evaluation!$K:$K,MATCH(C363,Site_Evaluation!$A:$A,0))</f>
        <v>52</v>
      </c>
      <c r="G363" s="5" t="n">
        <f aca="false">COUNTIFS(Risk_Register!B:B,C363,Risk_Register!G:G,"High")</f>
        <v>0</v>
      </c>
      <c r="H363" s="5" t="str">
        <f aca="false">IF(_xlfn.MAXIFS(Risk_Register!$L:$L,Risk_Register!$B:$B,C363)=3,"High",IF(_xlfn.MAXIFS(Risk_Register!$L:$L,Risk_Register!$B:$B,C363)=2,"Medium","Low"))</f>
        <v>Medium</v>
      </c>
      <c r="I363" s="5" t="str">
        <f aca="false">IF(B363&lt;=3,"Preferred site - strong composite profile",IF(B363&lt;=10,"Backup candidate - viable with monitoring","Reserve - evaluate only if primary sites unavailable"))</f>
        <v>Reserve - evaluate only if primary sites unavailable</v>
      </c>
    </row>
    <row r="364" customFormat="false" ht="15" hidden="false" customHeight="true" outlineLevel="0" collapsed="false">
      <c r="A364" s="5" t="s">
        <v>5996</v>
      </c>
      <c r="B364" s="5" t="n">
        <v>14</v>
      </c>
      <c r="C364" s="5" t="s">
        <v>1899</v>
      </c>
      <c r="D364" s="5" t="s">
        <v>1900</v>
      </c>
      <c r="E364" s="5" t="s">
        <v>948</v>
      </c>
      <c r="F364" s="5" t="n">
        <f aca="false">INDEX(Site_Evaluation!$K:$K,MATCH(C364,Site_Evaluation!$A:$A,0))</f>
        <v>51</v>
      </c>
      <c r="G364" s="5" t="n">
        <f aca="false">COUNTIFS(Risk_Register!B:B,C364,Risk_Register!G:G,"High")</f>
        <v>3</v>
      </c>
      <c r="H364" s="5" t="str">
        <f aca="false">IF(_xlfn.MAXIFS(Risk_Register!$L:$L,Risk_Register!$B:$B,C364)=3,"High",IF(_xlfn.MAXIFS(Risk_Register!$L:$L,Risk_Register!$B:$B,C364)=2,"Medium","Low"))</f>
        <v>High</v>
      </c>
      <c r="I364" s="5" t="str">
        <f aca="false">IF(B364&lt;=3,"Preferred site - strong composite profile",IF(B364&lt;=10,"Backup candidate - viable with monitoring","Reserve - evaluate only if primary sites unavailable"))</f>
        <v>Reserve - evaluate only if primary sites unavailable</v>
      </c>
    </row>
    <row r="365" customFormat="false" ht="15" hidden="false" customHeight="true" outlineLevel="0" collapsed="false">
      <c r="A365" s="5" t="s">
        <v>5996</v>
      </c>
      <c r="B365" s="5" t="n">
        <v>15</v>
      </c>
      <c r="C365" s="5" t="s">
        <v>1734</v>
      </c>
      <c r="D365" s="5" t="s">
        <v>1735</v>
      </c>
      <c r="E365" s="5" t="s">
        <v>933</v>
      </c>
      <c r="F365" s="5" t="n">
        <f aca="false">INDEX(Site_Evaluation!$K:$K,MATCH(C365,Site_Evaluation!$A:$A,0))</f>
        <v>50</v>
      </c>
      <c r="G365" s="5" t="n">
        <f aca="false">COUNTIFS(Risk_Register!B:B,C365,Risk_Register!G:G,"High")</f>
        <v>2</v>
      </c>
      <c r="H365" s="5" t="str">
        <f aca="false">IF(_xlfn.MAXIFS(Risk_Register!$L:$L,Risk_Register!$B:$B,C365)=3,"High",IF(_xlfn.MAXIFS(Risk_Register!$L:$L,Risk_Register!$B:$B,C365)=2,"Medium","Low"))</f>
        <v>High</v>
      </c>
      <c r="I365" s="5" t="str">
        <f aca="false">IF(B365&lt;=3,"Preferred site - strong composite profile",IF(B365&lt;=10,"Backup candidate - viable with monitoring","Reserve - evaluate only if primary sites unavailable"))</f>
        <v>Reserve - evaluate only if primary sites unavailable</v>
      </c>
    </row>
    <row r="366" customFormat="false" ht="15" hidden="false" customHeight="true" outlineLevel="0" collapsed="false">
      <c r="A366" s="5" t="s">
        <v>5996</v>
      </c>
      <c r="B366" s="5" t="n">
        <v>16</v>
      </c>
      <c r="C366" s="5" t="s">
        <v>1978</v>
      </c>
      <c r="D366" s="5" t="s">
        <v>1979</v>
      </c>
      <c r="E366" s="5" t="s">
        <v>918</v>
      </c>
      <c r="F366" s="5" t="n">
        <f aca="false">INDEX(Site_Evaluation!$K:$K,MATCH(C366,Site_Evaluation!$A:$A,0))</f>
        <v>50</v>
      </c>
      <c r="G366" s="5" t="n">
        <f aca="false">COUNTIFS(Risk_Register!B:B,C366,Risk_Register!G:G,"High")</f>
        <v>3</v>
      </c>
      <c r="H366" s="5" t="str">
        <f aca="false">IF(_xlfn.MAXIFS(Risk_Register!$L:$L,Risk_Register!$B:$B,C366)=3,"High",IF(_xlfn.MAXIFS(Risk_Register!$L:$L,Risk_Register!$B:$B,C366)=2,"Medium","Low"))</f>
        <v>High</v>
      </c>
      <c r="I366" s="5" t="str">
        <f aca="false">IF(B366&lt;=3,"Preferred site - strong composite profile",IF(B366&lt;=10,"Backup candidate - viable with monitoring","Reserve - evaluate only if primary sites unavailable"))</f>
        <v>Reserve - evaluate only if primary sites unavailable</v>
      </c>
    </row>
    <row r="367" customFormat="false" ht="15" hidden="false" customHeight="true" outlineLevel="0" collapsed="false">
      <c r="A367" s="5" t="s">
        <v>5996</v>
      </c>
      <c r="B367" s="5" t="n">
        <v>17</v>
      </c>
      <c r="C367" s="5" t="s">
        <v>1968</v>
      </c>
      <c r="D367" s="5" t="s">
        <v>1969</v>
      </c>
      <c r="E367" s="5" t="s">
        <v>948</v>
      </c>
      <c r="F367" s="5" t="n">
        <f aca="false">INDEX(Site_Evaluation!$K:$K,MATCH(C367,Site_Evaluation!$A:$A,0))</f>
        <v>49</v>
      </c>
      <c r="G367" s="5" t="n">
        <f aca="false">COUNTIFS(Risk_Register!B:B,C367,Risk_Register!G:G,"High")</f>
        <v>2</v>
      </c>
      <c r="H367" s="5" t="str">
        <f aca="false">IF(_xlfn.MAXIFS(Risk_Register!$L:$L,Risk_Register!$B:$B,C367)=3,"High",IF(_xlfn.MAXIFS(Risk_Register!$L:$L,Risk_Register!$B:$B,C367)=2,"Medium","Low"))</f>
        <v>High</v>
      </c>
      <c r="I367" s="5" t="str">
        <f aca="false">IF(B367&lt;=3,"Preferred site - strong composite profile",IF(B367&lt;=10,"Backup candidate - viable with monitoring","Reserve - evaluate only if primary sites unavailable"))</f>
        <v>Reserve - evaluate only if primary sites unavailable</v>
      </c>
    </row>
    <row r="368" customFormat="false" ht="15" hidden="false" customHeight="true" outlineLevel="0" collapsed="false">
      <c r="A368" s="5" t="s">
        <v>5996</v>
      </c>
      <c r="B368" s="5" t="n">
        <v>18</v>
      </c>
      <c r="C368" s="5" t="s">
        <v>1872</v>
      </c>
      <c r="D368" s="5" t="s">
        <v>1873</v>
      </c>
      <c r="E368" s="5" t="s">
        <v>954</v>
      </c>
      <c r="F368" s="5" t="n">
        <f aca="false">INDEX(Site_Evaluation!$K:$K,MATCH(C368,Site_Evaluation!$A:$A,0))</f>
        <v>48</v>
      </c>
      <c r="G368" s="5" t="n">
        <f aca="false">COUNTIFS(Risk_Register!B:B,C368,Risk_Register!G:G,"High")</f>
        <v>2</v>
      </c>
      <c r="H368" s="5" t="str">
        <f aca="false">IF(_xlfn.MAXIFS(Risk_Register!$L:$L,Risk_Register!$B:$B,C368)=3,"High",IF(_xlfn.MAXIFS(Risk_Register!$L:$L,Risk_Register!$B:$B,C368)=2,"Medium","Low"))</f>
        <v>High</v>
      </c>
      <c r="I368" s="5" t="str">
        <f aca="false">IF(B368&lt;=3,"Preferred site - strong composite profile",IF(B368&lt;=10,"Backup candidate - viable with monitoring","Reserve - evaluate only if primary sites unavailable"))</f>
        <v>Reserve - evaluate only if primary sites unavailable</v>
      </c>
    </row>
    <row r="369" customFormat="false" ht="15" hidden="false" customHeight="true" outlineLevel="0" collapsed="false">
      <c r="A369" s="5" t="s">
        <v>5996</v>
      </c>
      <c r="B369" s="5" t="n">
        <v>19</v>
      </c>
      <c r="C369" s="5" t="s">
        <v>1814</v>
      </c>
      <c r="D369" s="5" t="s">
        <v>1815</v>
      </c>
      <c r="E369" s="5" t="s">
        <v>958</v>
      </c>
      <c r="F369" s="5" t="n">
        <f aca="false">INDEX(Site_Evaluation!$K:$K,MATCH(C369,Site_Evaluation!$A:$A,0))</f>
        <v>47</v>
      </c>
      <c r="G369" s="5" t="n">
        <f aca="false">COUNTIFS(Risk_Register!B:B,C369,Risk_Register!G:G,"High")</f>
        <v>3</v>
      </c>
      <c r="H369" s="5" t="str">
        <f aca="false">IF(_xlfn.MAXIFS(Risk_Register!$L:$L,Risk_Register!$B:$B,C369)=3,"High",IF(_xlfn.MAXIFS(Risk_Register!$L:$L,Risk_Register!$B:$B,C369)=2,"Medium","Low"))</f>
        <v>High</v>
      </c>
      <c r="I369" s="5" t="str">
        <f aca="false">IF(B369&lt;=3,"Preferred site - strong composite profile",IF(B369&lt;=10,"Backup candidate - viable with monitoring","Reserve - evaluate only if primary sites unavailable"))</f>
        <v>Reserve - evaluate only if primary sites unavailable</v>
      </c>
    </row>
    <row r="370" customFormat="false" ht="15" hidden="false" customHeight="true" outlineLevel="0" collapsed="false">
      <c r="A370" s="5" t="s">
        <v>5996</v>
      </c>
      <c r="B370" s="5" t="n">
        <v>20</v>
      </c>
      <c r="C370" s="5" t="s">
        <v>1726</v>
      </c>
      <c r="D370" s="5" t="s">
        <v>1727</v>
      </c>
      <c r="E370" s="5" t="s">
        <v>946</v>
      </c>
      <c r="F370" s="5" t="n">
        <f aca="false">INDEX(Site_Evaluation!$K:$K,MATCH(C370,Site_Evaluation!$A:$A,0))</f>
        <v>46</v>
      </c>
      <c r="G370" s="5" t="n">
        <f aca="false">COUNTIFS(Risk_Register!B:B,C370,Risk_Register!G:G,"High")</f>
        <v>1</v>
      </c>
      <c r="H370" s="5" t="str">
        <f aca="false">IF(_xlfn.MAXIFS(Risk_Register!$L:$L,Risk_Register!$B:$B,C370)=3,"High",IF(_xlfn.MAXIFS(Risk_Register!$L:$L,Risk_Register!$B:$B,C370)=2,"Medium","Low"))</f>
        <v>High</v>
      </c>
      <c r="I370" s="5" t="str">
        <f aca="false">IF(B370&lt;=3,"Preferred site - strong composite profile",IF(B370&lt;=10,"Backup candidate - viable with monitoring","Reserve - evaluate only if primary sites unavailable"))</f>
        <v>Reserve - evaluate only if primary sites unavailable</v>
      </c>
    </row>
    <row r="371" customFormat="false" ht="15" hidden="false" customHeight="true" outlineLevel="0" collapsed="false">
      <c r="A371" s="5" t="s">
        <v>5997</v>
      </c>
      <c r="B371" s="5" t="n">
        <v>1</v>
      </c>
      <c r="C371" s="5" t="s">
        <v>1980</v>
      </c>
      <c r="D371" s="5" t="s">
        <v>1981</v>
      </c>
      <c r="E371" s="5" t="s">
        <v>921</v>
      </c>
      <c r="F371" s="5" t="n">
        <f aca="false">INDEX(Site_Evaluation!$K:$K,MATCH(C371,Site_Evaluation!$A:$A,0))</f>
        <v>77</v>
      </c>
      <c r="G371" s="5" t="n">
        <f aca="false">COUNTIFS(Risk_Register!B:B,C371,Risk_Register!G:G,"High")</f>
        <v>3</v>
      </c>
      <c r="H371" s="5" t="str">
        <f aca="false">IF(_xlfn.MAXIFS(Risk_Register!$L:$L,Risk_Register!$B:$B,C371)=3,"High",IF(_xlfn.MAXIFS(Risk_Register!$L:$L,Risk_Register!$B:$B,C371)=2,"Medium","Low"))</f>
        <v>High</v>
      </c>
      <c r="I371" s="5" t="str">
        <f aca="false">IF(B371&lt;=3,"Preferred site - strong composite profile",IF(B371&lt;=10,"Backup candidate - viable with monitoring","Reserve - evaluate only if primary sites unavailable"))</f>
        <v>Preferred site - strong composite profile</v>
      </c>
    </row>
    <row r="372" customFormat="false" ht="15" hidden="false" customHeight="true" outlineLevel="0" collapsed="false">
      <c r="A372" s="5" t="s">
        <v>5997</v>
      </c>
      <c r="B372" s="5" t="n">
        <v>2</v>
      </c>
      <c r="C372" s="5" t="s">
        <v>1782</v>
      </c>
      <c r="D372" s="5" t="s">
        <v>1783</v>
      </c>
      <c r="E372" s="5" t="s">
        <v>956</v>
      </c>
      <c r="F372" s="5" t="n">
        <f aca="false">INDEX(Site_Evaluation!$K:$K,MATCH(C372,Site_Evaluation!$A:$A,0))</f>
        <v>66</v>
      </c>
      <c r="G372" s="5" t="n">
        <f aca="false">COUNTIFS(Risk_Register!B:B,C372,Risk_Register!G:G,"High")</f>
        <v>1</v>
      </c>
      <c r="H372" s="5" t="str">
        <f aca="false">IF(_xlfn.MAXIFS(Risk_Register!$L:$L,Risk_Register!$B:$B,C372)=3,"High",IF(_xlfn.MAXIFS(Risk_Register!$L:$L,Risk_Register!$B:$B,C372)=2,"Medium","Low"))</f>
        <v>High</v>
      </c>
      <c r="I372" s="5" t="str">
        <f aca="false">IF(B372&lt;=3,"Preferred site - strong composite profile",IF(B372&lt;=10,"Backup candidate - viable with monitoring","Reserve - evaluate only if primary sites unavailable"))</f>
        <v>Preferred site - strong composite profile</v>
      </c>
    </row>
    <row r="373" customFormat="false" ht="15" hidden="false" customHeight="true" outlineLevel="0" collapsed="false">
      <c r="A373" s="5" t="s">
        <v>5997</v>
      </c>
      <c r="B373" s="5" t="n">
        <v>3</v>
      </c>
      <c r="C373" s="5" t="s">
        <v>1952</v>
      </c>
      <c r="D373" s="5" t="s">
        <v>1953</v>
      </c>
      <c r="E373" s="5" t="s">
        <v>946</v>
      </c>
      <c r="F373" s="5" t="n">
        <f aca="false">INDEX(Site_Evaluation!$K:$K,MATCH(C373,Site_Evaluation!$A:$A,0))</f>
        <v>66</v>
      </c>
      <c r="G373" s="5" t="n">
        <f aca="false">COUNTIFS(Risk_Register!B:B,C373,Risk_Register!G:G,"High")</f>
        <v>2</v>
      </c>
      <c r="H373" s="5" t="str">
        <f aca="false">IF(_xlfn.MAXIFS(Risk_Register!$L:$L,Risk_Register!$B:$B,C373)=3,"High",IF(_xlfn.MAXIFS(Risk_Register!$L:$L,Risk_Register!$B:$B,C373)=2,"Medium","Low"))</f>
        <v>High</v>
      </c>
      <c r="I373" s="5" t="str">
        <f aca="false">IF(B373&lt;=3,"Preferred site - strong composite profile",IF(B373&lt;=10,"Backup candidate - viable with monitoring","Reserve - evaluate only if primary sites unavailable"))</f>
        <v>Preferred site - strong composite profile</v>
      </c>
    </row>
    <row r="374" customFormat="false" ht="15" hidden="false" customHeight="true" outlineLevel="0" collapsed="false">
      <c r="A374" s="5" t="s">
        <v>5997</v>
      </c>
      <c r="B374" s="5" t="n">
        <v>4</v>
      </c>
      <c r="C374" s="5" t="s">
        <v>2024</v>
      </c>
      <c r="D374" s="5" t="s">
        <v>2025</v>
      </c>
      <c r="E374" s="5" t="s">
        <v>933</v>
      </c>
      <c r="F374" s="5" t="n">
        <f aca="false">INDEX(Site_Evaluation!$K:$K,MATCH(C374,Site_Evaluation!$A:$A,0))</f>
        <v>65</v>
      </c>
      <c r="G374" s="5" t="n">
        <f aca="false">COUNTIFS(Risk_Register!B:B,C374,Risk_Register!G:G,"High")</f>
        <v>1</v>
      </c>
      <c r="H374" s="5" t="str">
        <f aca="false">IF(_xlfn.MAXIFS(Risk_Register!$L:$L,Risk_Register!$B:$B,C374)=3,"High",IF(_xlfn.MAXIFS(Risk_Register!$L:$L,Risk_Register!$B:$B,C374)=2,"Medium","Low"))</f>
        <v>High</v>
      </c>
      <c r="I374" s="5" t="str">
        <f aca="false">IF(B374&lt;=3,"Preferred site - strong composite profile",IF(B374&lt;=10,"Backup candidate - viable with monitoring","Reserve - evaluate only if primary sites unavailable"))</f>
        <v>Backup candidate - viable with monitoring</v>
      </c>
    </row>
    <row r="375" customFormat="false" ht="15" hidden="false" customHeight="true" outlineLevel="0" collapsed="false">
      <c r="A375" s="5" t="s">
        <v>5997</v>
      </c>
      <c r="B375" s="5" t="n">
        <v>5</v>
      </c>
      <c r="C375" s="5" t="s">
        <v>2126</v>
      </c>
      <c r="D375" s="5" t="s">
        <v>2127</v>
      </c>
      <c r="E375" s="5" t="s">
        <v>918</v>
      </c>
      <c r="F375" s="5" t="n">
        <f aca="false">INDEX(Site_Evaluation!$K:$K,MATCH(C375,Site_Evaluation!$A:$A,0))</f>
        <v>64</v>
      </c>
      <c r="G375" s="5" t="n">
        <f aca="false">COUNTIFS(Risk_Register!B:B,C375,Risk_Register!G:G,"High")</f>
        <v>3</v>
      </c>
      <c r="H375" s="5" t="str">
        <f aca="false">IF(_xlfn.MAXIFS(Risk_Register!$L:$L,Risk_Register!$B:$B,C375)=3,"High",IF(_xlfn.MAXIFS(Risk_Register!$L:$L,Risk_Register!$B:$B,C375)=2,"Medium","Low"))</f>
        <v>High</v>
      </c>
      <c r="I375" s="5" t="str">
        <f aca="false">IF(B375&lt;=3,"Preferred site - strong composite profile",IF(B375&lt;=10,"Backup candidate - viable with monitoring","Reserve - evaluate only if primary sites unavailable"))</f>
        <v>Backup candidate - viable with monitoring</v>
      </c>
    </row>
    <row r="376" customFormat="false" ht="15" hidden="false" customHeight="true" outlineLevel="0" collapsed="false">
      <c r="A376" s="5" t="s">
        <v>5997</v>
      </c>
      <c r="B376" s="5" t="n">
        <v>6</v>
      </c>
      <c r="C376" s="5" t="s">
        <v>2160</v>
      </c>
      <c r="D376" s="5" t="s">
        <v>2161</v>
      </c>
      <c r="E376" s="5" t="s">
        <v>929</v>
      </c>
      <c r="F376" s="5" t="n">
        <f aca="false">INDEX(Site_Evaluation!$K:$K,MATCH(C376,Site_Evaluation!$A:$A,0))</f>
        <v>62</v>
      </c>
      <c r="G376" s="5" t="n">
        <f aca="false">COUNTIFS(Risk_Register!B:B,C376,Risk_Register!G:G,"High")</f>
        <v>3</v>
      </c>
      <c r="H376" s="5" t="str">
        <f aca="false">IF(_xlfn.MAXIFS(Risk_Register!$L:$L,Risk_Register!$B:$B,C376)=3,"High",IF(_xlfn.MAXIFS(Risk_Register!$L:$L,Risk_Register!$B:$B,C376)=2,"Medium","Low"))</f>
        <v>High</v>
      </c>
      <c r="I376" s="5" t="str">
        <f aca="false">IF(B376&lt;=3,"Preferred site - strong composite profile",IF(B376&lt;=10,"Backup candidate - viable with monitoring","Reserve - evaluate only if primary sites unavailable"))</f>
        <v>Backup candidate - viable with monitoring</v>
      </c>
    </row>
    <row r="377" customFormat="false" ht="15" hidden="false" customHeight="true" outlineLevel="0" collapsed="false">
      <c r="A377" s="5" t="s">
        <v>5997</v>
      </c>
      <c r="B377" s="5" t="n">
        <v>7</v>
      </c>
      <c r="C377" s="5" t="s">
        <v>1923</v>
      </c>
      <c r="D377" s="5" t="s">
        <v>1924</v>
      </c>
      <c r="E377" s="5" t="s">
        <v>944</v>
      </c>
      <c r="F377" s="5" t="n">
        <f aca="false">INDEX(Site_Evaluation!$K:$K,MATCH(C377,Site_Evaluation!$A:$A,0))</f>
        <v>57</v>
      </c>
      <c r="G377" s="5" t="n">
        <f aca="false">COUNTIFS(Risk_Register!B:B,C377,Risk_Register!G:G,"High")</f>
        <v>3</v>
      </c>
      <c r="H377" s="5" t="str">
        <f aca="false">IF(_xlfn.MAXIFS(Risk_Register!$L:$L,Risk_Register!$B:$B,C377)=3,"High",IF(_xlfn.MAXIFS(Risk_Register!$L:$L,Risk_Register!$B:$B,C377)=2,"Medium","Low"))</f>
        <v>High</v>
      </c>
      <c r="I377" s="5" t="str">
        <f aca="false">IF(B377&lt;=3,"Preferred site - strong composite profile",IF(B377&lt;=10,"Backup candidate - viable with monitoring","Reserve - evaluate only if primary sites unavailable"))</f>
        <v>Backup candidate - viable with monitoring</v>
      </c>
    </row>
    <row r="378" customFormat="false" ht="15" hidden="false" customHeight="true" outlineLevel="0" collapsed="false">
      <c r="A378" s="5" t="s">
        <v>5997</v>
      </c>
      <c r="B378" s="5" t="n">
        <v>8</v>
      </c>
      <c r="C378" s="5" t="s">
        <v>1719</v>
      </c>
      <c r="D378" s="5" t="s">
        <v>1720</v>
      </c>
      <c r="E378" s="5" t="s">
        <v>920</v>
      </c>
      <c r="F378" s="5" t="n">
        <f aca="false">INDEX(Site_Evaluation!$K:$K,MATCH(C378,Site_Evaluation!$A:$A,0))</f>
        <v>55</v>
      </c>
      <c r="G378" s="5" t="n">
        <f aca="false">COUNTIFS(Risk_Register!B:B,C378,Risk_Register!G:G,"High")</f>
        <v>1</v>
      </c>
      <c r="H378" s="5" t="str">
        <f aca="false">IF(_xlfn.MAXIFS(Risk_Register!$L:$L,Risk_Register!$B:$B,C378)=3,"High",IF(_xlfn.MAXIFS(Risk_Register!$L:$L,Risk_Register!$B:$B,C378)=2,"Medium","Low"))</f>
        <v>High</v>
      </c>
      <c r="I378" s="5" t="str">
        <f aca="false">IF(B378&lt;=3,"Preferred site - strong composite profile",IF(B378&lt;=10,"Backup candidate - viable with monitoring","Reserve - evaluate only if primary sites unavailable"))</f>
        <v>Backup candidate - viable with monitoring</v>
      </c>
    </row>
    <row r="379" customFormat="false" ht="15" hidden="false" customHeight="true" outlineLevel="0" collapsed="false">
      <c r="A379" s="5" t="s">
        <v>5997</v>
      </c>
      <c r="B379" s="5" t="n">
        <v>9</v>
      </c>
      <c r="C379" s="5" t="s">
        <v>1760</v>
      </c>
      <c r="D379" s="5" t="s">
        <v>1761</v>
      </c>
      <c r="E379" s="5" t="s">
        <v>948</v>
      </c>
      <c r="F379" s="5" t="n">
        <f aca="false">INDEX(Site_Evaluation!$K:$K,MATCH(C379,Site_Evaluation!$A:$A,0))</f>
        <v>54</v>
      </c>
      <c r="G379" s="5" t="n">
        <f aca="false">COUNTIFS(Risk_Register!B:B,C379,Risk_Register!G:G,"High")</f>
        <v>1</v>
      </c>
      <c r="H379" s="5" t="str">
        <f aca="false">IF(_xlfn.MAXIFS(Risk_Register!$L:$L,Risk_Register!$B:$B,C379)=3,"High",IF(_xlfn.MAXIFS(Risk_Register!$L:$L,Risk_Register!$B:$B,C379)=2,"Medium","Low"))</f>
        <v>High</v>
      </c>
      <c r="I379" s="5" t="str">
        <f aca="false">IF(B379&lt;=3,"Preferred site - strong composite profile",IF(B379&lt;=10,"Backup candidate - viable with monitoring","Reserve - evaluate only if primary sites unavailable"))</f>
        <v>Backup candidate - viable with monitoring</v>
      </c>
    </row>
    <row r="380" customFormat="false" ht="15" hidden="false" customHeight="true" outlineLevel="0" collapsed="false">
      <c r="A380" s="5" t="s">
        <v>5997</v>
      </c>
      <c r="B380" s="5" t="n">
        <v>10</v>
      </c>
      <c r="C380" s="5" t="s">
        <v>1839</v>
      </c>
      <c r="D380" s="5" t="s">
        <v>1840</v>
      </c>
      <c r="E380" s="5" t="s">
        <v>956</v>
      </c>
      <c r="F380" s="5" t="n">
        <f aca="false">INDEX(Site_Evaluation!$K:$K,MATCH(C380,Site_Evaluation!$A:$A,0))</f>
        <v>54</v>
      </c>
      <c r="G380" s="5" t="n">
        <f aca="false">COUNTIFS(Risk_Register!B:B,C380,Risk_Register!G:G,"High")</f>
        <v>2</v>
      </c>
      <c r="H380" s="5" t="str">
        <f aca="false">IF(_xlfn.MAXIFS(Risk_Register!$L:$L,Risk_Register!$B:$B,C380)=3,"High",IF(_xlfn.MAXIFS(Risk_Register!$L:$L,Risk_Register!$B:$B,C380)=2,"Medium","Low"))</f>
        <v>High</v>
      </c>
      <c r="I380" s="5" t="str">
        <f aca="false">IF(B380&lt;=3,"Preferred site - strong composite profile",IF(B380&lt;=10,"Backup candidate - viable with monitoring","Reserve - evaluate only if primary sites unavailable"))</f>
        <v>Backup candidate - viable with monitoring</v>
      </c>
    </row>
    <row r="381" customFormat="false" ht="15" hidden="false" customHeight="true" outlineLevel="0" collapsed="false">
      <c r="A381" s="5" t="s">
        <v>5997</v>
      </c>
      <c r="B381" s="5" t="n">
        <v>11</v>
      </c>
      <c r="C381" s="5" t="s">
        <v>1870</v>
      </c>
      <c r="D381" s="5" t="s">
        <v>1871</v>
      </c>
      <c r="E381" s="5" t="s">
        <v>954</v>
      </c>
      <c r="F381" s="5" t="n">
        <f aca="false">INDEX(Site_Evaluation!$K:$K,MATCH(C381,Site_Evaluation!$A:$A,0))</f>
        <v>53</v>
      </c>
      <c r="G381" s="5" t="n">
        <f aca="false">COUNTIFS(Risk_Register!B:B,C381,Risk_Register!G:G,"High")</f>
        <v>2</v>
      </c>
      <c r="H381" s="5" t="str">
        <f aca="false">IF(_xlfn.MAXIFS(Risk_Register!$L:$L,Risk_Register!$B:$B,C381)=3,"High",IF(_xlfn.MAXIFS(Risk_Register!$L:$L,Risk_Register!$B:$B,C381)=2,"Medium","Low"))</f>
        <v>High</v>
      </c>
      <c r="I381" s="5" t="str">
        <f aca="false">IF(B381&lt;=3,"Preferred site - strong composite profile",IF(B381&lt;=10,"Backup candidate - viable with monitoring","Reserve - evaluate only if primary sites unavailable"))</f>
        <v>Reserve - evaluate only if primary sites unavailable</v>
      </c>
    </row>
    <row r="382" customFormat="false" ht="15" hidden="false" customHeight="true" outlineLevel="0" collapsed="false">
      <c r="A382" s="5" t="s">
        <v>5997</v>
      </c>
      <c r="B382" s="5" t="n">
        <v>12</v>
      </c>
      <c r="C382" s="5" t="s">
        <v>1845</v>
      </c>
      <c r="D382" s="5" t="s">
        <v>1846</v>
      </c>
      <c r="E382" s="5" t="s">
        <v>925</v>
      </c>
      <c r="F382" s="5" t="n">
        <f aca="false">INDEX(Site_Evaluation!$K:$K,MATCH(C382,Site_Evaluation!$A:$A,0))</f>
        <v>51</v>
      </c>
      <c r="G382" s="5" t="n">
        <f aca="false">COUNTIFS(Risk_Register!B:B,C382,Risk_Register!G:G,"High")</f>
        <v>1</v>
      </c>
      <c r="H382" s="5" t="str">
        <f aca="false">IF(_xlfn.MAXIFS(Risk_Register!$L:$L,Risk_Register!$B:$B,C382)=3,"High",IF(_xlfn.MAXIFS(Risk_Register!$L:$L,Risk_Register!$B:$B,C382)=2,"Medium","Low"))</f>
        <v>High</v>
      </c>
      <c r="I382" s="5" t="str">
        <f aca="false">IF(B382&lt;=3,"Preferred site - strong composite profile",IF(B382&lt;=10,"Backup candidate - viable with monitoring","Reserve - evaluate only if primary sites unavailable"))</f>
        <v>Reserve - evaluate only if primary sites unavailable</v>
      </c>
    </row>
    <row r="383" customFormat="false" ht="15" hidden="false" customHeight="true" outlineLevel="0" collapsed="false">
      <c r="A383" s="5" t="s">
        <v>5997</v>
      </c>
      <c r="B383" s="5" t="n">
        <v>13</v>
      </c>
      <c r="C383" s="5" t="s">
        <v>1700</v>
      </c>
      <c r="D383" s="5" t="s">
        <v>1701</v>
      </c>
      <c r="E383" s="5" t="s">
        <v>925</v>
      </c>
      <c r="F383" s="5" t="n">
        <f aca="false">INDEX(Site_Evaluation!$K:$K,MATCH(C383,Site_Evaluation!$A:$A,0))</f>
        <v>48</v>
      </c>
      <c r="G383" s="5" t="n">
        <f aca="false">COUNTIFS(Risk_Register!B:B,C383,Risk_Register!G:G,"High")</f>
        <v>1</v>
      </c>
      <c r="H383" s="5" t="str">
        <f aca="false">IF(_xlfn.MAXIFS(Risk_Register!$L:$L,Risk_Register!$B:$B,C383)=3,"High",IF(_xlfn.MAXIFS(Risk_Register!$L:$L,Risk_Register!$B:$B,C383)=2,"Medium","Low"))</f>
        <v>High</v>
      </c>
      <c r="I383" s="5" t="str">
        <f aca="false">IF(B383&lt;=3,"Preferred site - strong composite profile",IF(B383&lt;=10,"Backup candidate - viable with monitoring","Reserve - evaluate only if primary sites unavailable"))</f>
        <v>Reserve - evaluate only if primary sites unavailable</v>
      </c>
    </row>
    <row r="384" customFormat="false" ht="15" hidden="false" customHeight="true" outlineLevel="0" collapsed="false">
      <c r="A384" s="5" t="s">
        <v>5997</v>
      </c>
      <c r="B384" s="5" t="n">
        <v>14</v>
      </c>
      <c r="C384" s="5" t="s">
        <v>1829</v>
      </c>
      <c r="D384" s="5" t="s">
        <v>1830</v>
      </c>
      <c r="E384" s="5" t="s">
        <v>952</v>
      </c>
      <c r="F384" s="5" t="n">
        <f aca="false">INDEX(Site_Evaluation!$K:$K,MATCH(C384,Site_Evaluation!$A:$A,0))</f>
        <v>48</v>
      </c>
      <c r="G384" s="5" t="n">
        <f aca="false">COUNTIFS(Risk_Register!B:B,C384,Risk_Register!G:G,"High")</f>
        <v>3</v>
      </c>
      <c r="H384" s="5" t="str">
        <f aca="false">IF(_xlfn.MAXIFS(Risk_Register!$L:$L,Risk_Register!$B:$B,C384)=3,"High",IF(_xlfn.MAXIFS(Risk_Register!$L:$L,Risk_Register!$B:$B,C384)=2,"Medium","Low"))</f>
        <v>High</v>
      </c>
      <c r="I384" s="5" t="str">
        <f aca="false">IF(B384&lt;=3,"Preferred site - strong composite profile",IF(B384&lt;=10,"Backup candidate - viable with monitoring","Reserve - evaluate only if primary sites unavailable"))</f>
        <v>Reserve - evaluate only if primary sites unavailable</v>
      </c>
    </row>
    <row r="385" customFormat="false" ht="15" hidden="false" customHeight="true" outlineLevel="0" collapsed="false">
      <c r="A385" s="5" t="s">
        <v>5997</v>
      </c>
      <c r="B385" s="5" t="n">
        <v>15</v>
      </c>
      <c r="C385" s="5" t="s">
        <v>1990</v>
      </c>
      <c r="D385" s="5" t="s">
        <v>1991</v>
      </c>
      <c r="E385" s="5" t="s">
        <v>940</v>
      </c>
      <c r="F385" s="5" t="n">
        <f aca="false">INDEX(Site_Evaluation!$K:$K,MATCH(C385,Site_Evaluation!$A:$A,0))</f>
        <v>48</v>
      </c>
      <c r="G385" s="5" t="n">
        <f aca="false">COUNTIFS(Risk_Register!B:B,C385,Risk_Register!G:G,"High")</f>
        <v>3</v>
      </c>
      <c r="H385" s="5" t="str">
        <f aca="false">IF(_xlfn.MAXIFS(Risk_Register!$L:$L,Risk_Register!$B:$B,C385)=3,"High",IF(_xlfn.MAXIFS(Risk_Register!$L:$L,Risk_Register!$B:$B,C385)=2,"Medium","Low"))</f>
        <v>High</v>
      </c>
      <c r="I385" s="5" t="str">
        <f aca="false">IF(B385&lt;=3,"Preferred site - strong composite profile",IF(B385&lt;=10,"Backup candidate - viable with monitoring","Reserve - evaluate only if primary sites unavailable"))</f>
        <v>Reserve - evaluate only if primary sites unavailable</v>
      </c>
    </row>
    <row r="386" customFormat="false" ht="15" hidden="false" customHeight="true" outlineLevel="0" collapsed="false">
      <c r="A386" s="5" t="s">
        <v>5997</v>
      </c>
      <c r="B386" s="5" t="n">
        <v>16</v>
      </c>
      <c r="C386" s="5" t="s">
        <v>1663</v>
      </c>
      <c r="D386" s="5" t="s">
        <v>1664</v>
      </c>
      <c r="E386" s="5" t="s">
        <v>954</v>
      </c>
      <c r="F386" s="5" t="n">
        <f aca="false">INDEX(Site_Evaluation!$K:$K,MATCH(C386,Site_Evaluation!$A:$A,0))</f>
        <v>46</v>
      </c>
      <c r="G386" s="5" t="n">
        <f aca="false">COUNTIFS(Risk_Register!B:B,C386,Risk_Register!G:G,"High")</f>
        <v>1</v>
      </c>
      <c r="H386" s="5" t="str">
        <f aca="false">IF(_xlfn.MAXIFS(Risk_Register!$L:$L,Risk_Register!$B:$B,C386)=3,"High",IF(_xlfn.MAXIFS(Risk_Register!$L:$L,Risk_Register!$B:$B,C386)=2,"Medium","Low"))</f>
        <v>High</v>
      </c>
      <c r="I386" s="5" t="str">
        <f aca="false">IF(B386&lt;=3,"Preferred site - strong composite profile",IF(B386&lt;=10,"Backup candidate - viable with monitoring","Reserve - evaluate only if primary sites unavailable"))</f>
        <v>Reserve - evaluate only if primary sites unavailable</v>
      </c>
    </row>
    <row r="387" customFormat="false" ht="15" hidden="false" customHeight="true" outlineLevel="0" collapsed="false">
      <c r="A387" s="5" t="s">
        <v>5997</v>
      </c>
      <c r="B387" s="5" t="n">
        <v>17</v>
      </c>
      <c r="C387" s="5" t="s">
        <v>1778</v>
      </c>
      <c r="D387" s="5" t="s">
        <v>1779</v>
      </c>
      <c r="E387" s="5" t="s">
        <v>946</v>
      </c>
      <c r="F387" s="5" t="n">
        <f aca="false">INDEX(Site_Evaluation!$K:$K,MATCH(C387,Site_Evaluation!$A:$A,0))</f>
        <v>44</v>
      </c>
      <c r="G387" s="5" t="n">
        <f aca="false">COUNTIFS(Risk_Register!B:B,C387,Risk_Register!G:G,"High")</f>
        <v>1</v>
      </c>
      <c r="H387" s="5" t="str">
        <f aca="false">IF(_xlfn.MAXIFS(Risk_Register!$L:$L,Risk_Register!$B:$B,C387)=3,"High",IF(_xlfn.MAXIFS(Risk_Register!$L:$L,Risk_Register!$B:$B,C387)=2,"Medium","Low"))</f>
        <v>High</v>
      </c>
      <c r="I387" s="5" t="str">
        <f aca="false">IF(B387&lt;=3,"Preferred site - strong composite profile",IF(B387&lt;=10,"Backup candidate - viable with monitoring","Reserve - evaluate only if primary sites unavailable"))</f>
        <v>Reserve - evaluate only if primary sites unavailable</v>
      </c>
    </row>
    <row r="388" customFormat="false" ht="15" hidden="false" customHeight="true" outlineLevel="0" collapsed="false">
      <c r="A388" s="5" t="s">
        <v>5997</v>
      </c>
      <c r="B388" s="5" t="n">
        <v>18</v>
      </c>
      <c r="C388" s="5" t="s">
        <v>1755</v>
      </c>
      <c r="D388" s="5" t="s">
        <v>1756</v>
      </c>
      <c r="E388" s="5" t="s">
        <v>925</v>
      </c>
      <c r="F388" s="5" t="n">
        <f aca="false">INDEX(Site_Evaluation!$K:$K,MATCH(C388,Site_Evaluation!$A:$A,0))</f>
        <v>43</v>
      </c>
      <c r="G388" s="5" t="n">
        <f aca="false">COUNTIFS(Risk_Register!B:B,C388,Risk_Register!G:G,"High")</f>
        <v>3</v>
      </c>
      <c r="H388" s="5" t="str">
        <f aca="false">IF(_xlfn.MAXIFS(Risk_Register!$L:$L,Risk_Register!$B:$B,C388)=3,"High",IF(_xlfn.MAXIFS(Risk_Register!$L:$L,Risk_Register!$B:$B,C388)=2,"Medium","Low"))</f>
        <v>High</v>
      </c>
      <c r="I388" s="5" t="str">
        <f aca="false">IF(B388&lt;=3,"Preferred site - strong composite profile",IF(B388&lt;=10,"Backup candidate - viable with monitoring","Reserve - evaluate only if primary sites unavailable"))</f>
        <v>Reserve - evaluate only if primary sites unavailable</v>
      </c>
    </row>
    <row r="389" customFormat="false" ht="15" hidden="false" customHeight="true" outlineLevel="0" collapsed="false">
      <c r="A389" s="5" t="s">
        <v>5997</v>
      </c>
      <c r="B389" s="5" t="n">
        <v>19</v>
      </c>
      <c r="C389" s="5" t="s">
        <v>1925</v>
      </c>
      <c r="D389" s="5" t="s">
        <v>1926</v>
      </c>
      <c r="E389" s="5" t="s">
        <v>960</v>
      </c>
      <c r="F389" s="5" t="n">
        <f aca="false">INDEX(Site_Evaluation!$K:$K,MATCH(C389,Site_Evaluation!$A:$A,0))</f>
        <v>42</v>
      </c>
      <c r="G389" s="5" t="n">
        <f aca="false">COUNTIFS(Risk_Register!B:B,C389,Risk_Register!G:G,"High")</f>
        <v>1</v>
      </c>
      <c r="H389" s="5" t="str">
        <f aca="false">IF(_xlfn.MAXIFS(Risk_Register!$L:$L,Risk_Register!$B:$B,C389)=3,"High",IF(_xlfn.MAXIFS(Risk_Register!$L:$L,Risk_Register!$B:$B,C389)=2,"Medium","Low"))</f>
        <v>High</v>
      </c>
      <c r="I389" s="5" t="str">
        <f aca="false">IF(B389&lt;=3,"Preferred site - strong composite profile",IF(B389&lt;=10,"Backup candidate - viable with monitoring","Reserve - evaluate only if primary sites unavailable"))</f>
        <v>Reserve - evaluate only if primary sites unavailable</v>
      </c>
    </row>
    <row r="390" customFormat="false" ht="15" hidden="false" customHeight="true" outlineLevel="0" collapsed="false">
      <c r="A390" s="5" t="s">
        <v>5997</v>
      </c>
      <c r="B390" s="5" t="n">
        <v>20</v>
      </c>
      <c r="C390" s="5" t="s">
        <v>2062</v>
      </c>
      <c r="D390" s="5" t="s">
        <v>2063</v>
      </c>
      <c r="E390" s="5" t="s">
        <v>940</v>
      </c>
      <c r="F390" s="5" t="n">
        <f aca="false">INDEX(Site_Evaluation!$K:$K,MATCH(C390,Site_Evaluation!$A:$A,0))</f>
        <v>42</v>
      </c>
      <c r="G390" s="5" t="n">
        <f aca="false">COUNTIFS(Risk_Register!B:B,C390,Risk_Register!G:G,"High")</f>
        <v>1</v>
      </c>
      <c r="H390" s="5" t="str">
        <f aca="false">IF(_xlfn.MAXIFS(Risk_Register!$L:$L,Risk_Register!$B:$B,C390)=3,"High",IF(_xlfn.MAXIFS(Risk_Register!$L:$L,Risk_Register!$B:$B,C390)=2,"Medium","Low"))</f>
        <v>High</v>
      </c>
      <c r="I390" s="5" t="str">
        <f aca="false">IF(B390&lt;=3,"Preferred site - strong composite profile",IF(B390&lt;=10,"Backup candidate - viable with monitoring","Reserve - evaluate only if primary sites unavailable"))</f>
        <v>Reserve - evaluate only if primary sites unavailable</v>
      </c>
    </row>
    <row r="391" customFormat="false" ht="15" hidden="false" customHeight="true" outlineLevel="0" collapsed="false">
      <c r="A391" s="5" t="s">
        <v>5998</v>
      </c>
      <c r="B391" s="5" t="n">
        <v>1</v>
      </c>
      <c r="C391" s="5" t="s">
        <v>1874</v>
      </c>
      <c r="D391" s="5" t="s">
        <v>1875</v>
      </c>
      <c r="E391" s="5" t="s">
        <v>938</v>
      </c>
      <c r="F391" s="5" t="n">
        <f aca="false">INDEX(Site_Evaluation!$K:$K,MATCH(C391,Site_Evaluation!$A:$A,0))</f>
        <v>78</v>
      </c>
      <c r="G391" s="5" t="n">
        <f aca="false">COUNTIFS(Risk_Register!B:B,C391,Risk_Register!G:G,"High")</f>
        <v>2</v>
      </c>
      <c r="H391" s="5" t="str">
        <f aca="false">IF(_xlfn.MAXIFS(Risk_Register!$L:$L,Risk_Register!$B:$B,C391)=3,"High",IF(_xlfn.MAXIFS(Risk_Register!$L:$L,Risk_Register!$B:$B,C391)=2,"Medium","Low"))</f>
        <v>High</v>
      </c>
      <c r="I391" s="5" t="str">
        <f aca="false">IF(B391&lt;=3,"Preferred site - strong composite profile",IF(B391&lt;=10,"Backup candidate - viable with monitoring","Reserve - evaluate only if primary sites unavailable"))</f>
        <v>Preferred site - strong composite profile</v>
      </c>
    </row>
    <row r="392" customFormat="false" ht="15" hidden="false" customHeight="true" outlineLevel="0" collapsed="false">
      <c r="A392" s="5" t="s">
        <v>5998</v>
      </c>
      <c r="B392" s="5" t="n">
        <v>2</v>
      </c>
      <c r="C392" s="5" t="s">
        <v>2150</v>
      </c>
      <c r="D392" s="5" t="s">
        <v>2151</v>
      </c>
      <c r="E392" s="5" t="s">
        <v>956</v>
      </c>
      <c r="F392" s="5" t="n">
        <f aca="false">INDEX(Site_Evaluation!$K:$K,MATCH(C392,Site_Evaluation!$A:$A,0))</f>
        <v>74</v>
      </c>
      <c r="G392" s="5" t="n">
        <f aca="false">COUNTIFS(Risk_Register!B:B,C392,Risk_Register!G:G,"High")</f>
        <v>2</v>
      </c>
      <c r="H392" s="5" t="str">
        <f aca="false">IF(_xlfn.MAXIFS(Risk_Register!$L:$L,Risk_Register!$B:$B,C392)=3,"High",IF(_xlfn.MAXIFS(Risk_Register!$L:$L,Risk_Register!$B:$B,C392)=2,"Medium","Low"))</f>
        <v>High</v>
      </c>
      <c r="I392" s="5" t="str">
        <f aca="false">IF(B392&lt;=3,"Preferred site - strong composite profile",IF(B392&lt;=10,"Backup candidate - viable with monitoring","Reserve - evaluate only if primary sites unavailable"))</f>
        <v>Preferred site - strong composite profile</v>
      </c>
    </row>
    <row r="393" customFormat="false" ht="15" hidden="false" customHeight="true" outlineLevel="0" collapsed="false">
      <c r="A393" s="5" t="s">
        <v>5998</v>
      </c>
      <c r="B393" s="5" t="n">
        <v>3</v>
      </c>
      <c r="C393" s="5" t="s">
        <v>1915</v>
      </c>
      <c r="D393" s="5" t="s">
        <v>1916</v>
      </c>
      <c r="E393" s="5" t="s">
        <v>948</v>
      </c>
      <c r="F393" s="5" t="n">
        <f aca="false">INDEX(Site_Evaluation!$K:$K,MATCH(C393,Site_Evaluation!$A:$A,0))</f>
        <v>72</v>
      </c>
      <c r="G393" s="5" t="n">
        <f aca="false">COUNTIFS(Risk_Register!B:B,C393,Risk_Register!G:G,"High")</f>
        <v>2</v>
      </c>
      <c r="H393" s="5" t="str">
        <f aca="false">IF(_xlfn.MAXIFS(Risk_Register!$L:$L,Risk_Register!$B:$B,C393)=3,"High",IF(_xlfn.MAXIFS(Risk_Register!$L:$L,Risk_Register!$B:$B,C393)=2,"Medium","Low"))</f>
        <v>High</v>
      </c>
      <c r="I393" s="5" t="str">
        <f aca="false">IF(B393&lt;=3,"Preferred site - strong composite profile",IF(B393&lt;=10,"Backup candidate - viable with monitoring","Reserve - evaluate only if primary sites unavailable"))</f>
        <v>Preferred site - strong composite profile</v>
      </c>
    </row>
    <row r="394" customFormat="false" ht="15" hidden="false" customHeight="true" outlineLevel="0" collapsed="false">
      <c r="A394" s="5" t="s">
        <v>5998</v>
      </c>
      <c r="B394" s="5" t="n">
        <v>4</v>
      </c>
      <c r="C394" s="5" t="s">
        <v>1625</v>
      </c>
      <c r="D394" s="5" t="s">
        <v>1626</v>
      </c>
      <c r="E394" s="5" t="s">
        <v>929</v>
      </c>
      <c r="F394" s="5" t="n">
        <f aca="false">INDEX(Site_Evaluation!$K:$K,MATCH(C394,Site_Evaluation!$A:$A,0))</f>
        <v>65</v>
      </c>
      <c r="G394" s="5" t="n">
        <f aca="false">COUNTIFS(Risk_Register!B:B,C394,Risk_Register!G:G,"High")</f>
        <v>4</v>
      </c>
      <c r="H394" s="5" t="str">
        <f aca="false">IF(_xlfn.MAXIFS(Risk_Register!$L:$L,Risk_Register!$B:$B,C394)=3,"High",IF(_xlfn.MAXIFS(Risk_Register!$L:$L,Risk_Register!$B:$B,C394)=2,"Medium","Low"))</f>
        <v>High</v>
      </c>
      <c r="I394" s="5" t="str">
        <f aca="false">IF(B394&lt;=3,"Preferred site - strong composite profile",IF(B394&lt;=10,"Backup candidate - viable with monitoring","Reserve - evaluate only if primary sites unavailable"))</f>
        <v>Backup candidate - viable with monitoring</v>
      </c>
    </row>
    <row r="395" customFormat="false" ht="15" hidden="false" customHeight="true" outlineLevel="0" collapsed="false">
      <c r="A395" s="5" t="s">
        <v>5998</v>
      </c>
      <c r="B395" s="5" t="n">
        <v>5</v>
      </c>
      <c r="C395" s="5" t="s">
        <v>1886</v>
      </c>
      <c r="D395" s="5" t="s">
        <v>1887</v>
      </c>
      <c r="E395" s="5" t="s">
        <v>958</v>
      </c>
      <c r="F395" s="5" t="n">
        <f aca="false">INDEX(Site_Evaluation!$K:$K,MATCH(C395,Site_Evaluation!$A:$A,0))</f>
        <v>65</v>
      </c>
      <c r="G395" s="5" t="n">
        <f aca="false">COUNTIFS(Risk_Register!B:B,C395,Risk_Register!G:G,"High")</f>
        <v>3</v>
      </c>
      <c r="H395" s="5" t="str">
        <f aca="false">IF(_xlfn.MAXIFS(Risk_Register!$L:$L,Risk_Register!$B:$B,C395)=3,"High",IF(_xlfn.MAXIFS(Risk_Register!$L:$L,Risk_Register!$B:$B,C395)=2,"Medium","Low"))</f>
        <v>High</v>
      </c>
      <c r="I395" s="5" t="str">
        <f aca="false">IF(B395&lt;=3,"Preferred site - strong composite profile",IF(B395&lt;=10,"Backup candidate - viable with monitoring","Reserve - evaluate only if primary sites unavailable"))</f>
        <v>Backup candidate - viable with monitoring</v>
      </c>
    </row>
    <row r="396" customFormat="false" ht="15" hidden="false" customHeight="true" outlineLevel="0" collapsed="false">
      <c r="A396" s="5" t="s">
        <v>5998</v>
      </c>
      <c r="B396" s="5" t="n">
        <v>6</v>
      </c>
      <c r="C396" s="5" t="s">
        <v>1992</v>
      </c>
      <c r="D396" s="5" t="s">
        <v>1993</v>
      </c>
      <c r="E396" s="5" t="s">
        <v>962</v>
      </c>
      <c r="F396" s="5" t="n">
        <f aca="false">INDEX(Site_Evaluation!$K:$K,MATCH(C396,Site_Evaluation!$A:$A,0))</f>
        <v>62</v>
      </c>
      <c r="G396" s="5" t="n">
        <f aca="false">COUNTIFS(Risk_Register!B:B,C396,Risk_Register!G:G,"High")</f>
        <v>2</v>
      </c>
      <c r="H396" s="5" t="str">
        <f aca="false">IF(_xlfn.MAXIFS(Risk_Register!$L:$L,Risk_Register!$B:$B,C396)=3,"High",IF(_xlfn.MAXIFS(Risk_Register!$L:$L,Risk_Register!$B:$B,C396)=2,"Medium","Low"))</f>
        <v>High</v>
      </c>
      <c r="I396" s="5" t="str">
        <f aca="false">IF(B396&lt;=3,"Preferred site - strong composite profile",IF(B396&lt;=10,"Backup candidate - viable with monitoring","Reserve - evaluate only if primary sites unavailable"))</f>
        <v>Backup candidate - viable with monitoring</v>
      </c>
    </row>
    <row r="397" customFormat="false" ht="15" hidden="false" customHeight="true" outlineLevel="0" collapsed="false">
      <c r="A397" s="5" t="s">
        <v>5998</v>
      </c>
      <c r="B397" s="5" t="n">
        <v>7</v>
      </c>
      <c r="C397" s="5" t="s">
        <v>1678</v>
      </c>
      <c r="D397" s="5" t="s">
        <v>1679</v>
      </c>
      <c r="E397" s="5" t="s">
        <v>931</v>
      </c>
      <c r="F397" s="5" t="n">
        <f aca="false">INDEX(Site_Evaluation!$K:$K,MATCH(C397,Site_Evaluation!$A:$A,0))</f>
        <v>61</v>
      </c>
      <c r="G397" s="5" t="n">
        <f aca="false">COUNTIFS(Risk_Register!B:B,C397,Risk_Register!G:G,"High")</f>
        <v>2</v>
      </c>
      <c r="H397" s="5" t="str">
        <f aca="false">IF(_xlfn.MAXIFS(Risk_Register!$L:$L,Risk_Register!$B:$B,C397)=3,"High",IF(_xlfn.MAXIFS(Risk_Register!$L:$L,Risk_Register!$B:$B,C397)=2,"Medium","Low"))</f>
        <v>High</v>
      </c>
      <c r="I397" s="5" t="str">
        <f aca="false">IF(B397&lt;=3,"Preferred site - strong composite profile",IF(B397&lt;=10,"Backup candidate - viable with monitoring","Reserve - evaluate only if primary sites unavailable"))</f>
        <v>Backup candidate - viable with monitoring</v>
      </c>
    </row>
    <row r="398" customFormat="false" ht="15" hidden="false" customHeight="true" outlineLevel="0" collapsed="false">
      <c r="A398" s="5" t="s">
        <v>5998</v>
      </c>
      <c r="B398" s="5" t="n">
        <v>8</v>
      </c>
      <c r="C398" s="5" t="s">
        <v>1794</v>
      </c>
      <c r="D398" s="5" t="s">
        <v>1795</v>
      </c>
      <c r="E398" s="5" t="s">
        <v>950</v>
      </c>
      <c r="F398" s="5" t="n">
        <f aca="false">INDEX(Site_Evaluation!$K:$K,MATCH(C398,Site_Evaluation!$A:$A,0))</f>
        <v>61</v>
      </c>
      <c r="G398" s="5" t="n">
        <f aca="false">COUNTIFS(Risk_Register!B:B,C398,Risk_Register!G:G,"High")</f>
        <v>4</v>
      </c>
      <c r="H398" s="5" t="str">
        <f aca="false">IF(_xlfn.MAXIFS(Risk_Register!$L:$L,Risk_Register!$B:$B,C398)=3,"High",IF(_xlfn.MAXIFS(Risk_Register!$L:$L,Risk_Register!$B:$B,C398)=2,"Medium","Low"))</f>
        <v>High</v>
      </c>
      <c r="I398" s="5" t="str">
        <f aca="false">IF(B398&lt;=3,"Preferred site - strong composite profile",IF(B398&lt;=10,"Backup candidate - viable with monitoring","Reserve - evaluate only if primary sites unavailable"))</f>
        <v>Backup candidate - viable with monitoring</v>
      </c>
    </row>
    <row r="399" customFormat="false" ht="15" hidden="false" customHeight="true" outlineLevel="0" collapsed="false">
      <c r="A399" s="5" t="s">
        <v>5998</v>
      </c>
      <c r="B399" s="5" t="n">
        <v>9</v>
      </c>
      <c r="C399" s="5" t="s">
        <v>1665</v>
      </c>
      <c r="D399" s="5" t="s">
        <v>1666</v>
      </c>
      <c r="E399" s="5" t="s">
        <v>940</v>
      </c>
      <c r="F399" s="5" t="n">
        <f aca="false">INDEX(Site_Evaluation!$K:$K,MATCH(C399,Site_Evaluation!$A:$A,0))</f>
        <v>60</v>
      </c>
      <c r="G399" s="5" t="n">
        <f aca="false">COUNTIFS(Risk_Register!B:B,C399,Risk_Register!G:G,"High")</f>
        <v>2</v>
      </c>
      <c r="H399" s="5" t="str">
        <f aca="false">IF(_xlfn.MAXIFS(Risk_Register!$L:$L,Risk_Register!$B:$B,C399)=3,"High",IF(_xlfn.MAXIFS(Risk_Register!$L:$L,Risk_Register!$B:$B,C399)=2,"Medium","Low"))</f>
        <v>High</v>
      </c>
      <c r="I399" s="5" t="str">
        <f aca="false">IF(B399&lt;=3,"Preferred site - strong composite profile",IF(B399&lt;=10,"Backup candidate - viable with monitoring","Reserve - evaluate only if primary sites unavailable"))</f>
        <v>Backup candidate - viable with monitoring</v>
      </c>
    </row>
    <row r="400" customFormat="false" ht="15" hidden="false" customHeight="true" outlineLevel="0" collapsed="false">
      <c r="A400" s="5" t="s">
        <v>5998</v>
      </c>
      <c r="B400" s="5" t="n">
        <v>10</v>
      </c>
      <c r="C400" s="5" t="s">
        <v>1964</v>
      </c>
      <c r="D400" s="5" t="s">
        <v>1965</v>
      </c>
      <c r="E400" s="5" t="s">
        <v>929</v>
      </c>
      <c r="F400" s="5" t="n">
        <f aca="false">INDEX(Site_Evaluation!$K:$K,MATCH(C400,Site_Evaluation!$A:$A,0))</f>
        <v>57</v>
      </c>
      <c r="G400" s="5" t="n">
        <f aca="false">COUNTIFS(Risk_Register!B:B,C400,Risk_Register!G:G,"High")</f>
        <v>3</v>
      </c>
      <c r="H400" s="5" t="str">
        <f aca="false">IF(_xlfn.MAXIFS(Risk_Register!$L:$L,Risk_Register!$B:$B,C400)=3,"High",IF(_xlfn.MAXIFS(Risk_Register!$L:$L,Risk_Register!$B:$B,C400)=2,"Medium","Low"))</f>
        <v>High</v>
      </c>
      <c r="I400" s="5" t="str">
        <f aca="false">IF(B400&lt;=3,"Preferred site - strong composite profile",IF(B400&lt;=10,"Backup candidate - viable with monitoring","Reserve - evaluate only if primary sites unavailable"))</f>
        <v>Backup candidate - viable with monitoring</v>
      </c>
    </row>
    <row r="401" customFormat="false" ht="15" hidden="false" customHeight="true" outlineLevel="0" collapsed="false">
      <c r="A401" s="5" t="s">
        <v>5998</v>
      </c>
      <c r="B401" s="5" t="n">
        <v>11</v>
      </c>
      <c r="C401" s="5" t="s">
        <v>1806</v>
      </c>
      <c r="D401" s="5" t="s">
        <v>1807</v>
      </c>
      <c r="E401" s="5" t="s">
        <v>935</v>
      </c>
      <c r="F401" s="5" t="n">
        <f aca="false">INDEX(Site_Evaluation!$K:$K,MATCH(C401,Site_Evaluation!$A:$A,0))</f>
        <v>56</v>
      </c>
      <c r="G401" s="5" t="n">
        <f aca="false">COUNTIFS(Risk_Register!B:B,C401,Risk_Register!G:G,"High")</f>
        <v>3</v>
      </c>
      <c r="H401" s="5" t="str">
        <f aca="false">IF(_xlfn.MAXIFS(Risk_Register!$L:$L,Risk_Register!$B:$B,C401)=3,"High",IF(_xlfn.MAXIFS(Risk_Register!$L:$L,Risk_Register!$B:$B,C401)=2,"Medium","Low"))</f>
        <v>High</v>
      </c>
      <c r="I401" s="5" t="str">
        <f aca="false">IF(B401&lt;=3,"Preferred site - strong composite profile",IF(B401&lt;=10,"Backup candidate - viable with monitoring","Reserve - evaluate only if primary sites unavailable"))</f>
        <v>Reserve - evaluate only if primary sites unavailable</v>
      </c>
    </row>
    <row r="402" customFormat="false" ht="15" hidden="false" customHeight="true" outlineLevel="0" collapsed="false">
      <c r="A402" s="5" t="s">
        <v>5998</v>
      </c>
      <c r="B402" s="5" t="n">
        <v>12</v>
      </c>
      <c r="C402" s="5" t="s">
        <v>1847</v>
      </c>
      <c r="D402" s="5" t="s">
        <v>1848</v>
      </c>
      <c r="E402" s="5" t="s">
        <v>952</v>
      </c>
      <c r="F402" s="5" t="n">
        <f aca="false">INDEX(Site_Evaluation!$K:$K,MATCH(C402,Site_Evaluation!$A:$A,0))</f>
        <v>56</v>
      </c>
      <c r="G402" s="5" t="n">
        <f aca="false">COUNTIFS(Risk_Register!B:B,C402,Risk_Register!G:G,"High")</f>
        <v>2</v>
      </c>
      <c r="H402" s="5" t="str">
        <f aca="false">IF(_xlfn.MAXIFS(Risk_Register!$L:$L,Risk_Register!$B:$B,C402)=3,"High",IF(_xlfn.MAXIFS(Risk_Register!$L:$L,Risk_Register!$B:$B,C402)=2,"Medium","Low"))</f>
        <v>High</v>
      </c>
      <c r="I402" s="5" t="str">
        <f aca="false">IF(B402&lt;=3,"Preferred site - strong composite profile",IF(B402&lt;=10,"Backup candidate - viable with monitoring","Reserve - evaluate only if primary sites unavailable"))</f>
        <v>Reserve - evaluate only if primary sites unavailable</v>
      </c>
    </row>
    <row r="403" customFormat="false" ht="15" hidden="false" customHeight="true" outlineLevel="0" collapsed="false">
      <c r="A403" s="5" t="s">
        <v>5998</v>
      </c>
      <c r="B403" s="5" t="n">
        <v>13</v>
      </c>
      <c r="C403" s="5" t="s">
        <v>1694</v>
      </c>
      <c r="D403" s="5" t="s">
        <v>1695</v>
      </c>
      <c r="E403" s="5" t="s">
        <v>940</v>
      </c>
      <c r="F403" s="5" t="n">
        <f aca="false">INDEX(Site_Evaluation!$K:$K,MATCH(C403,Site_Evaluation!$A:$A,0))</f>
        <v>55</v>
      </c>
      <c r="G403" s="5" t="n">
        <f aca="false">COUNTIFS(Risk_Register!B:B,C403,Risk_Register!G:G,"High")</f>
        <v>1</v>
      </c>
      <c r="H403" s="5" t="str">
        <f aca="false">IF(_xlfn.MAXIFS(Risk_Register!$L:$L,Risk_Register!$B:$B,C403)=3,"High",IF(_xlfn.MAXIFS(Risk_Register!$L:$L,Risk_Register!$B:$B,C403)=2,"Medium","Low"))</f>
        <v>High</v>
      </c>
      <c r="I403" s="5" t="str">
        <f aca="false">IF(B403&lt;=3,"Preferred site - strong composite profile",IF(B403&lt;=10,"Backup candidate - viable with monitoring","Reserve - evaluate only if primary sites unavailable"))</f>
        <v>Reserve - evaluate only if primary sites unavailable</v>
      </c>
    </row>
    <row r="404" customFormat="false" ht="15" hidden="false" customHeight="true" outlineLevel="0" collapsed="false">
      <c r="A404" s="5" t="s">
        <v>5998</v>
      </c>
      <c r="B404" s="5" t="n">
        <v>14</v>
      </c>
      <c r="C404" s="5" t="s">
        <v>2008</v>
      </c>
      <c r="D404" s="5" t="s">
        <v>2009</v>
      </c>
      <c r="E404" s="5" t="s">
        <v>921</v>
      </c>
      <c r="F404" s="5" t="n">
        <f aca="false">INDEX(Site_Evaluation!$K:$K,MATCH(C404,Site_Evaluation!$A:$A,0))</f>
        <v>55</v>
      </c>
      <c r="G404" s="5" t="n">
        <f aca="false">COUNTIFS(Risk_Register!B:B,C404,Risk_Register!G:G,"High")</f>
        <v>2</v>
      </c>
      <c r="H404" s="5" t="str">
        <f aca="false">IF(_xlfn.MAXIFS(Risk_Register!$L:$L,Risk_Register!$B:$B,C404)=3,"High",IF(_xlfn.MAXIFS(Risk_Register!$L:$L,Risk_Register!$B:$B,C404)=2,"Medium","Low"))</f>
        <v>High</v>
      </c>
      <c r="I404" s="5" t="str">
        <f aca="false">IF(B404&lt;=3,"Preferred site - strong composite profile",IF(B404&lt;=10,"Backup candidate - viable with monitoring","Reserve - evaluate only if primary sites unavailable"))</f>
        <v>Reserve - evaluate only if primary sites unavailable</v>
      </c>
    </row>
    <row r="405" customFormat="false" ht="15" hidden="false" customHeight="true" outlineLevel="0" collapsed="false">
      <c r="A405" s="5" t="s">
        <v>5998</v>
      </c>
      <c r="B405" s="5" t="n">
        <v>15</v>
      </c>
      <c r="C405" s="5" t="s">
        <v>1928</v>
      </c>
      <c r="D405" s="5" t="s">
        <v>1929</v>
      </c>
      <c r="E405" s="5" t="s">
        <v>958</v>
      </c>
      <c r="F405" s="5" t="n">
        <f aca="false">INDEX(Site_Evaluation!$K:$K,MATCH(C405,Site_Evaluation!$A:$A,0))</f>
        <v>54</v>
      </c>
      <c r="G405" s="5" t="n">
        <f aca="false">COUNTIFS(Risk_Register!B:B,C405,Risk_Register!G:G,"High")</f>
        <v>2</v>
      </c>
      <c r="H405" s="5" t="str">
        <f aca="false">IF(_xlfn.MAXIFS(Risk_Register!$L:$L,Risk_Register!$B:$B,C405)=3,"High",IF(_xlfn.MAXIFS(Risk_Register!$L:$L,Risk_Register!$B:$B,C405)=2,"Medium","Low"))</f>
        <v>High</v>
      </c>
      <c r="I405" s="5" t="str">
        <f aca="false">IF(B405&lt;=3,"Preferred site - strong composite profile",IF(B405&lt;=10,"Backup candidate - viable with monitoring","Reserve - evaluate only if primary sites unavailable"))</f>
        <v>Reserve - evaluate only if primary sites unavailable</v>
      </c>
    </row>
    <row r="406" customFormat="false" ht="15" hidden="false" customHeight="true" outlineLevel="0" collapsed="false">
      <c r="A406" s="5" t="s">
        <v>5998</v>
      </c>
      <c r="B406" s="5" t="n">
        <v>16</v>
      </c>
      <c r="C406" s="5" t="s">
        <v>2080</v>
      </c>
      <c r="D406" s="5" t="s">
        <v>2081</v>
      </c>
      <c r="E406" s="5" t="s">
        <v>920</v>
      </c>
      <c r="F406" s="5" t="n">
        <f aca="false">INDEX(Site_Evaluation!$K:$K,MATCH(C406,Site_Evaluation!$A:$A,0))</f>
        <v>53</v>
      </c>
      <c r="G406" s="5" t="n">
        <f aca="false">COUNTIFS(Risk_Register!B:B,C406,Risk_Register!G:G,"High")</f>
        <v>1</v>
      </c>
      <c r="H406" s="5" t="str">
        <f aca="false">IF(_xlfn.MAXIFS(Risk_Register!$L:$L,Risk_Register!$B:$B,C406)=3,"High",IF(_xlfn.MAXIFS(Risk_Register!$L:$L,Risk_Register!$B:$B,C406)=2,"Medium","Low"))</f>
        <v>High</v>
      </c>
      <c r="I406" s="5" t="str">
        <f aca="false">IF(B406&lt;=3,"Preferred site - strong composite profile",IF(B406&lt;=10,"Backup candidate - viable with monitoring","Reserve - evaluate only if primary sites unavailable"))</f>
        <v>Reserve - evaluate only if primary sites unavailable</v>
      </c>
    </row>
    <row r="407" customFormat="false" ht="15" hidden="false" customHeight="true" outlineLevel="0" collapsed="false">
      <c r="A407" s="5" t="s">
        <v>5998</v>
      </c>
      <c r="B407" s="5" t="n">
        <v>17</v>
      </c>
      <c r="C407" s="5" t="s">
        <v>2190</v>
      </c>
      <c r="D407" s="5" t="s">
        <v>2191</v>
      </c>
      <c r="E407" s="5" t="s">
        <v>952</v>
      </c>
      <c r="F407" s="5" t="n">
        <f aca="false">INDEX(Site_Evaluation!$K:$K,MATCH(C407,Site_Evaluation!$A:$A,0))</f>
        <v>52</v>
      </c>
      <c r="G407" s="5" t="n">
        <f aca="false">COUNTIFS(Risk_Register!B:B,C407,Risk_Register!G:G,"High")</f>
        <v>2</v>
      </c>
      <c r="H407" s="5" t="str">
        <f aca="false">IF(_xlfn.MAXIFS(Risk_Register!$L:$L,Risk_Register!$B:$B,C407)=3,"High",IF(_xlfn.MAXIFS(Risk_Register!$L:$L,Risk_Register!$B:$B,C407)=2,"Medium","Low"))</f>
        <v>High</v>
      </c>
      <c r="I407" s="5" t="str">
        <f aca="false">IF(B407&lt;=3,"Preferred site - strong composite profile",IF(B407&lt;=10,"Backup candidate - viable with monitoring","Reserve - evaluate only if primary sites unavailable"))</f>
        <v>Reserve - evaluate only if primary sites unavailable</v>
      </c>
    </row>
    <row r="408" customFormat="false" ht="15" hidden="false" customHeight="true" outlineLevel="0" collapsed="false">
      <c r="A408" s="5" t="s">
        <v>5998</v>
      </c>
      <c r="B408" s="5" t="n">
        <v>18</v>
      </c>
      <c r="C408" s="5" t="s">
        <v>1621</v>
      </c>
      <c r="D408" s="5" t="s">
        <v>1622</v>
      </c>
      <c r="E408" s="5" t="s">
        <v>931</v>
      </c>
      <c r="F408" s="5" t="n">
        <f aca="false">INDEX(Site_Evaluation!$K:$K,MATCH(C408,Site_Evaluation!$A:$A,0))</f>
        <v>51</v>
      </c>
      <c r="G408" s="5" t="n">
        <f aca="false">COUNTIFS(Risk_Register!B:B,C408,Risk_Register!G:G,"High")</f>
        <v>3</v>
      </c>
      <c r="H408" s="5" t="str">
        <f aca="false">IF(_xlfn.MAXIFS(Risk_Register!$L:$L,Risk_Register!$B:$B,C408)=3,"High",IF(_xlfn.MAXIFS(Risk_Register!$L:$L,Risk_Register!$B:$B,C408)=2,"Medium","Low"))</f>
        <v>High</v>
      </c>
      <c r="I408" s="5" t="str">
        <f aca="false">IF(B408&lt;=3,"Preferred site - strong composite profile",IF(B408&lt;=10,"Backup candidate - viable with monitoring","Reserve - evaluate only if primary sites unavailable"))</f>
        <v>Reserve - evaluate only if primary sites unavailable</v>
      </c>
    </row>
    <row r="409" customFormat="false" ht="15" hidden="false" customHeight="true" outlineLevel="0" collapsed="false">
      <c r="A409" s="5" t="s">
        <v>5998</v>
      </c>
      <c r="B409" s="5" t="n">
        <v>19</v>
      </c>
      <c r="C409" s="5" t="s">
        <v>2070</v>
      </c>
      <c r="D409" s="5" t="s">
        <v>2071</v>
      </c>
      <c r="E409" s="5" t="s">
        <v>918</v>
      </c>
      <c r="F409" s="5" t="n">
        <f aca="false">INDEX(Site_Evaluation!$K:$K,MATCH(C409,Site_Evaluation!$A:$A,0))</f>
        <v>50</v>
      </c>
      <c r="G409" s="5" t="n">
        <f aca="false">COUNTIFS(Risk_Register!B:B,C409,Risk_Register!G:G,"High")</f>
        <v>1</v>
      </c>
      <c r="H409" s="5" t="str">
        <f aca="false">IF(_xlfn.MAXIFS(Risk_Register!$L:$L,Risk_Register!$B:$B,C409)=3,"High",IF(_xlfn.MAXIFS(Risk_Register!$L:$L,Risk_Register!$B:$B,C409)=2,"Medium","Low"))</f>
        <v>High</v>
      </c>
      <c r="I409" s="5" t="str">
        <f aca="false">IF(B409&lt;=3,"Preferred site - strong composite profile",IF(B409&lt;=10,"Backup candidate - viable with monitoring","Reserve - evaluate only if primary sites unavailable"))</f>
        <v>Reserve - evaluate only if primary sites unavailable</v>
      </c>
    </row>
    <row r="410" customFormat="false" ht="15" hidden="false" customHeight="true" outlineLevel="0" collapsed="false">
      <c r="A410" s="5" t="s">
        <v>5998</v>
      </c>
      <c r="B410" s="5" t="n">
        <v>20</v>
      </c>
      <c r="C410" s="5" t="s">
        <v>2050</v>
      </c>
      <c r="D410" s="5" t="s">
        <v>2051</v>
      </c>
      <c r="E410" s="5" t="s">
        <v>940</v>
      </c>
      <c r="F410" s="5" t="n">
        <f aca="false">INDEX(Site_Evaluation!$K:$K,MATCH(C410,Site_Evaluation!$A:$A,0))</f>
        <v>48</v>
      </c>
      <c r="G410" s="5" t="n">
        <f aca="false">COUNTIFS(Risk_Register!B:B,C410,Risk_Register!G:G,"High")</f>
        <v>2</v>
      </c>
      <c r="H410" s="5" t="str">
        <f aca="false">IF(_xlfn.MAXIFS(Risk_Register!$L:$L,Risk_Register!$B:$B,C410)=3,"High",IF(_xlfn.MAXIFS(Risk_Register!$L:$L,Risk_Register!$B:$B,C410)=2,"Medium","Low"))</f>
        <v>High</v>
      </c>
      <c r="I410" s="5" t="str">
        <f aca="false">IF(B410&lt;=3,"Preferred site - strong composite profile",IF(B410&lt;=10,"Backup candidate - viable with monitoring","Reserve - evaluate only if primary sites unavailable"))</f>
        <v>Reserve - evaluate only if primary sites unavailable</v>
      </c>
    </row>
    <row r="411" customFormat="false" ht="15" hidden="false" customHeight="true" outlineLevel="0" collapsed="false">
      <c r="A411" s="5" t="s">
        <v>5999</v>
      </c>
      <c r="B411" s="5" t="n">
        <v>1</v>
      </c>
      <c r="C411" s="5" t="s">
        <v>1740</v>
      </c>
      <c r="D411" s="5" t="s">
        <v>1741</v>
      </c>
      <c r="E411" s="5" t="s">
        <v>931</v>
      </c>
      <c r="F411" s="5" t="n">
        <f aca="false">INDEX(Site_Evaluation!$K:$K,MATCH(C411,Site_Evaluation!$A:$A,0))</f>
        <v>80</v>
      </c>
      <c r="G411" s="5" t="n">
        <f aca="false">COUNTIFS(Risk_Register!B:B,C411,Risk_Register!G:G,"High")</f>
        <v>1</v>
      </c>
      <c r="H411" s="5" t="str">
        <f aca="false">IF(_xlfn.MAXIFS(Risk_Register!$L:$L,Risk_Register!$B:$B,C411)=3,"High",IF(_xlfn.MAXIFS(Risk_Register!$L:$L,Risk_Register!$B:$B,C411)=2,"Medium","Low"))</f>
        <v>High</v>
      </c>
      <c r="I411" s="5" t="str">
        <f aca="false">IF(B411&lt;=3,"Preferred site - strong composite profile",IF(B411&lt;=10,"Backup candidate - viable with monitoring","Reserve - evaluate only if primary sites unavailable"))</f>
        <v>Preferred site - strong composite profile</v>
      </c>
    </row>
    <row r="412" customFormat="false" ht="15" hidden="false" customHeight="true" outlineLevel="0" collapsed="false">
      <c r="A412" s="5" t="s">
        <v>5999</v>
      </c>
      <c r="B412" s="5" t="n">
        <v>2</v>
      </c>
      <c r="C412" s="5" t="s">
        <v>1820</v>
      </c>
      <c r="D412" s="5" t="s">
        <v>1821</v>
      </c>
      <c r="E412" s="5" t="s">
        <v>962</v>
      </c>
      <c r="F412" s="5" t="n">
        <f aca="false">INDEX(Site_Evaluation!$K:$K,MATCH(C412,Site_Evaluation!$A:$A,0))</f>
        <v>76</v>
      </c>
      <c r="G412" s="5" t="n">
        <f aca="false">COUNTIFS(Risk_Register!B:B,C412,Risk_Register!G:G,"High")</f>
        <v>1</v>
      </c>
      <c r="H412" s="5" t="str">
        <f aca="false">IF(_xlfn.MAXIFS(Risk_Register!$L:$L,Risk_Register!$B:$B,C412)=3,"High",IF(_xlfn.MAXIFS(Risk_Register!$L:$L,Risk_Register!$B:$B,C412)=2,"Medium","Low"))</f>
        <v>High</v>
      </c>
      <c r="I412" s="5" t="str">
        <f aca="false">IF(B412&lt;=3,"Preferred site - strong composite profile",IF(B412&lt;=10,"Backup candidate - viable with monitoring","Reserve - evaluate only if primary sites unavailable"))</f>
        <v>Preferred site - strong composite profile</v>
      </c>
    </row>
    <row r="413" customFormat="false" ht="15" hidden="false" customHeight="true" outlineLevel="0" collapsed="false">
      <c r="A413" s="5" t="s">
        <v>5999</v>
      </c>
      <c r="B413" s="5" t="n">
        <v>3</v>
      </c>
      <c r="C413" s="5" t="s">
        <v>1919</v>
      </c>
      <c r="D413" s="5" t="s">
        <v>1920</v>
      </c>
      <c r="E413" s="5" t="s">
        <v>929</v>
      </c>
      <c r="F413" s="5" t="n">
        <f aca="false">INDEX(Site_Evaluation!$K:$K,MATCH(C413,Site_Evaluation!$A:$A,0))</f>
        <v>67</v>
      </c>
      <c r="G413" s="5" t="n">
        <f aca="false">COUNTIFS(Risk_Register!B:B,C413,Risk_Register!G:G,"High")</f>
        <v>4</v>
      </c>
      <c r="H413" s="5" t="str">
        <f aca="false">IF(_xlfn.MAXIFS(Risk_Register!$L:$L,Risk_Register!$B:$B,C413)=3,"High",IF(_xlfn.MAXIFS(Risk_Register!$L:$L,Risk_Register!$B:$B,C413)=2,"Medium","Low"))</f>
        <v>High</v>
      </c>
      <c r="I413" s="5" t="str">
        <f aca="false">IF(B413&lt;=3,"Preferred site - strong composite profile",IF(B413&lt;=10,"Backup candidate - viable with monitoring","Reserve - evaluate only if primary sites unavailable"))</f>
        <v>Preferred site - strong composite profile</v>
      </c>
    </row>
    <row r="414" customFormat="false" ht="15" hidden="false" customHeight="true" outlineLevel="0" collapsed="false">
      <c r="A414" s="5" t="s">
        <v>5999</v>
      </c>
      <c r="B414" s="5" t="n">
        <v>4</v>
      </c>
      <c r="C414" s="5" t="s">
        <v>1586</v>
      </c>
      <c r="D414" s="5" t="s">
        <v>1587</v>
      </c>
      <c r="E414" s="5" t="s">
        <v>920</v>
      </c>
      <c r="F414" s="5" t="n">
        <f aca="false">INDEX(Site_Evaluation!$K:$K,MATCH(C414,Site_Evaluation!$A:$A,0))</f>
        <v>64</v>
      </c>
      <c r="G414" s="5" t="n">
        <f aca="false">COUNTIFS(Risk_Register!B:B,C414,Risk_Register!G:G,"High")</f>
        <v>0</v>
      </c>
      <c r="H414" s="5" t="str">
        <f aca="false">IF(_xlfn.MAXIFS(Risk_Register!$L:$L,Risk_Register!$B:$B,C414)=3,"High",IF(_xlfn.MAXIFS(Risk_Register!$L:$L,Risk_Register!$B:$B,C414)=2,"Medium","Low"))</f>
        <v>Medium</v>
      </c>
      <c r="I414" s="5" t="str">
        <f aca="false">IF(B414&lt;=3,"Preferred site - strong composite profile",IF(B414&lt;=10,"Backup candidate - viable with monitoring","Reserve - evaluate only if primary sites unavailable"))</f>
        <v>Backup candidate - viable with monitoring</v>
      </c>
    </row>
    <row r="415" customFormat="false" ht="15" hidden="false" customHeight="true" outlineLevel="0" collapsed="false">
      <c r="A415" s="5" t="s">
        <v>5999</v>
      </c>
      <c r="B415" s="5" t="n">
        <v>5</v>
      </c>
      <c r="C415" s="5" t="s">
        <v>2092</v>
      </c>
      <c r="D415" s="5" t="s">
        <v>2093</v>
      </c>
      <c r="E415" s="5" t="s">
        <v>954</v>
      </c>
      <c r="F415" s="5" t="n">
        <f aca="false">INDEX(Site_Evaluation!$K:$K,MATCH(C415,Site_Evaluation!$A:$A,0))</f>
        <v>63</v>
      </c>
      <c r="G415" s="5" t="n">
        <f aca="false">COUNTIFS(Risk_Register!B:B,C415,Risk_Register!G:G,"High")</f>
        <v>5</v>
      </c>
      <c r="H415" s="5" t="str">
        <f aca="false">IF(_xlfn.MAXIFS(Risk_Register!$L:$L,Risk_Register!$B:$B,C415)=3,"High",IF(_xlfn.MAXIFS(Risk_Register!$L:$L,Risk_Register!$B:$B,C415)=2,"Medium","Low"))</f>
        <v>High</v>
      </c>
      <c r="I415" s="5" t="str">
        <f aca="false">IF(B415&lt;=3,"Preferred site - strong composite profile",IF(B415&lt;=10,"Backup candidate - viable with monitoring","Reserve - evaluate only if primary sites unavailable"))</f>
        <v>Backup candidate - viable with monitoring</v>
      </c>
    </row>
    <row r="416" customFormat="false" ht="15" hidden="false" customHeight="true" outlineLevel="0" collapsed="false">
      <c r="A416" s="5" t="s">
        <v>5999</v>
      </c>
      <c r="B416" s="5" t="n">
        <v>6</v>
      </c>
      <c r="C416" s="5" t="s">
        <v>1670</v>
      </c>
      <c r="D416" s="5" t="s">
        <v>1671</v>
      </c>
      <c r="E416" s="5" t="s">
        <v>920</v>
      </c>
      <c r="F416" s="5" t="n">
        <f aca="false">INDEX(Site_Evaluation!$K:$K,MATCH(C416,Site_Evaluation!$A:$A,0))</f>
        <v>61</v>
      </c>
      <c r="G416" s="5" t="n">
        <f aca="false">COUNTIFS(Risk_Register!B:B,C416,Risk_Register!G:G,"High")</f>
        <v>3</v>
      </c>
      <c r="H416" s="5" t="str">
        <f aca="false">IF(_xlfn.MAXIFS(Risk_Register!$L:$L,Risk_Register!$B:$B,C416)=3,"High",IF(_xlfn.MAXIFS(Risk_Register!$L:$L,Risk_Register!$B:$B,C416)=2,"Medium","Low"))</f>
        <v>High</v>
      </c>
      <c r="I416" s="5" t="str">
        <f aca="false">IF(B416&lt;=3,"Preferred site - strong composite profile",IF(B416&lt;=10,"Backup candidate - viable with monitoring","Reserve - evaluate only if primary sites unavailable"))</f>
        <v>Backup candidate - viable with monitoring</v>
      </c>
    </row>
    <row r="417" customFormat="false" ht="15" hidden="false" customHeight="true" outlineLevel="0" collapsed="false">
      <c r="A417" s="5" t="s">
        <v>5999</v>
      </c>
      <c r="B417" s="5" t="n">
        <v>7</v>
      </c>
      <c r="C417" s="5" t="s">
        <v>1954</v>
      </c>
      <c r="D417" s="5" t="s">
        <v>1955</v>
      </c>
      <c r="E417" s="5" t="s">
        <v>920</v>
      </c>
      <c r="F417" s="5" t="n">
        <f aca="false">INDEX(Site_Evaluation!$K:$K,MATCH(C417,Site_Evaluation!$A:$A,0))</f>
        <v>60</v>
      </c>
      <c r="G417" s="5" t="n">
        <f aca="false">COUNTIFS(Risk_Register!B:B,C417,Risk_Register!G:G,"High")</f>
        <v>1</v>
      </c>
      <c r="H417" s="5" t="str">
        <f aca="false">IF(_xlfn.MAXIFS(Risk_Register!$L:$L,Risk_Register!$B:$B,C417)=3,"High",IF(_xlfn.MAXIFS(Risk_Register!$L:$L,Risk_Register!$B:$B,C417)=2,"Medium","Low"))</f>
        <v>High</v>
      </c>
      <c r="I417" s="5" t="str">
        <f aca="false">IF(B417&lt;=3,"Preferred site - strong composite profile",IF(B417&lt;=10,"Backup candidate - viable with monitoring","Reserve - evaluate only if primary sites unavailable"))</f>
        <v>Backup candidate - viable with monitoring</v>
      </c>
    </row>
    <row r="418" customFormat="false" ht="15" hidden="false" customHeight="true" outlineLevel="0" collapsed="false">
      <c r="A418" s="5" t="s">
        <v>5999</v>
      </c>
      <c r="B418" s="5" t="n">
        <v>8</v>
      </c>
      <c r="C418" s="5" t="s">
        <v>2114</v>
      </c>
      <c r="D418" s="5" t="s">
        <v>2115</v>
      </c>
      <c r="E418" s="5" t="s">
        <v>931</v>
      </c>
      <c r="F418" s="5" t="n">
        <f aca="false">INDEX(Site_Evaluation!$K:$K,MATCH(C418,Site_Evaluation!$A:$A,0))</f>
        <v>60</v>
      </c>
      <c r="G418" s="5" t="n">
        <f aca="false">COUNTIFS(Risk_Register!B:B,C418,Risk_Register!G:G,"High")</f>
        <v>1</v>
      </c>
      <c r="H418" s="5" t="str">
        <f aca="false">IF(_xlfn.MAXIFS(Risk_Register!$L:$L,Risk_Register!$B:$B,C418)=3,"High",IF(_xlfn.MAXIFS(Risk_Register!$L:$L,Risk_Register!$B:$B,C418)=2,"Medium","Low"))</f>
        <v>High</v>
      </c>
      <c r="I418" s="5" t="str">
        <f aca="false">IF(B418&lt;=3,"Preferred site - strong composite profile",IF(B418&lt;=10,"Backup candidate - viable with monitoring","Reserve - evaluate only if primary sites unavailable"))</f>
        <v>Backup candidate - viable with monitoring</v>
      </c>
    </row>
    <row r="419" customFormat="false" ht="15" hidden="false" customHeight="true" outlineLevel="0" collapsed="false">
      <c r="A419" s="5" t="s">
        <v>5999</v>
      </c>
      <c r="B419" s="5" t="n">
        <v>9</v>
      </c>
      <c r="C419" s="5" t="s">
        <v>1635</v>
      </c>
      <c r="D419" s="5" t="s">
        <v>1636</v>
      </c>
      <c r="E419" s="5" t="s">
        <v>962</v>
      </c>
      <c r="F419" s="5" t="n">
        <f aca="false">INDEX(Site_Evaluation!$K:$K,MATCH(C419,Site_Evaluation!$A:$A,0))</f>
        <v>58</v>
      </c>
      <c r="G419" s="5" t="n">
        <f aca="false">COUNTIFS(Risk_Register!B:B,C419,Risk_Register!G:G,"High")</f>
        <v>1</v>
      </c>
      <c r="H419" s="5" t="str">
        <f aca="false">IF(_xlfn.MAXIFS(Risk_Register!$L:$L,Risk_Register!$B:$B,C419)=3,"High",IF(_xlfn.MAXIFS(Risk_Register!$L:$L,Risk_Register!$B:$B,C419)=2,"Medium","Low"))</f>
        <v>High</v>
      </c>
      <c r="I419" s="5" t="str">
        <f aca="false">IF(B419&lt;=3,"Preferred site - strong composite profile",IF(B419&lt;=10,"Backup candidate - viable with monitoring","Reserve - evaluate only if primary sites unavailable"))</f>
        <v>Backup candidate - viable with monitoring</v>
      </c>
    </row>
    <row r="420" customFormat="false" ht="15" hidden="false" customHeight="true" outlineLevel="0" collapsed="false">
      <c r="A420" s="5" t="s">
        <v>5999</v>
      </c>
      <c r="B420" s="5" t="n">
        <v>10</v>
      </c>
      <c r="C420" s="5" t="s">
        <v>2108</v>
      </c>
      <c r="D420" s="5" t="s">
        <v>2109</v>
      </c>
      <c r="E420" s="5" t="s">
        <v>931</v>
      </c>
      <c r="F420" s="5" t="n">
        <f aca="false">INDEX(Site_Evaluation!$K:$K,MATCH(C420,Site_Evaluation!$A:$A,0))</f>
        <v>56</v>
      </c>
      <c r="G420" s="5" t="n">
        <f aca="false">COUNTIFS(Risk_Register!B:B,C420,Risk_Register!G:G,"High")</f>
        <v>1</v>
      </c>
      <c r="H420" s="5" t="str">
        <f aca="false">IF(_xlfn.MAXIFS(Risk_Register!$L:$L,Risk_Register!$B:$B,C420)=3,"High",IF(_xlfn.MAXIFS(Risk_Register!$L:$L,Risk_Register!$B:$B,C420)=2,"Medium","Low"))</f>
        <v>High</v>
      </c>
      <c r="I420" s="5" t="str">
        <f aca="false">IF(B420&lt;=3,"Preferred site - strong composite profile",IF(B420&lt;=10,"Backup candidate - viable with monitoring","Reserve - evaluate only if primary sites unavailable"))</f>
        <v>Backup candidate - viable with monitoring</v>
      </c>
    </row>
    <row r="421" customFormat="false" ht="15" hidden="false" customHeight="true" outlineLevel="0" collapsed="false">
      <c r="A421" s="5" t="s">
        <v>5999</v>
      </c>
      <c r="B421" s="5" t="n">
        <v>11</v>
      </c>
      <c r="C421" s="5" t="s">
        <v>1903</v>
      </c>
      <c r="D421" s="5" t="s">
        <v>1904</v>
      </c>
      <c r="E421" s="5" t="s">
        <v>960</v>
      </c>
      <c r="F421" s="5" t="n">
        <f aca="false">INDEX(Site_Evaluation!$K:$K,MATCH(C421,Site_Evaluation!$A:$A,0))</f>
        <v>54</v>
      </c>
      <c r="G421" s="5" t="n">
        <f aca="false">COUNTIFS(Risk_Register!B:B,C421,Risk_Register!G:G,"High")</f>
        <v>2</v>
      </c>
      <c r="H421" s="5" t="str">
        <f aca="false">IF(_xlfn.MAXIFS(Risk_Register!$L:$L,Risk_Register!$B:$B,C421)=3,"High",IF(_xlfn.MAXIFS(Risk_Register!$L:$L,Risk_Register!$B:$B,C421)=2,"Medium","Low"))</f>
        <v>High</v>
      </c>
      <c r="I421" s="5" t="str">
        <f aca="false">IF(B421&lt;=3,"Preferred site - strong composite profile",IF(B421&lt;=10,"Backup candidate - viable with monitoring","Reserve - evaluate only if primary sites unavailable"))</f>
        <v>Reserve - evaluate only if primary sites unavailable</v>
      </c>
    </row>
    <row r="422" customFormat="false" ht="15" hidden="false" customHeight="true" outlineLevel="0" collapsed="false">
      <c r="A422" s="5" t="s">
        <v>5999</v>
      </c>
      <c r="B422" s="5" t="n">
        <v>12</v>
      </c>
      <c r="C422" s="5" t="s">
        <v>1686</v>
      </c>
      <c r="D422" s="5" t="s">
        <v>1687</v>
      </c>
      <c r="E422" s="5" t="s">
        <v>944</v>
      </c>
      <c r="F422" s="5" t="n">
        <f aca="false">INDEX(Site_Evaluation!$K:$K,MATCH(C422,Site_Evaluation!$A:$A,0))</f>
        <v>53</v>
      </c>
      <c r="G422" s="5" t="n">
        <f aca="false">COUNTIFS(Risk_Register!B:B,C422,Risk_Register!G:G,"High")</f>
        <v>3</v>
      </c>
      <c r="H422" s="5" t="str">
        <f aca="false">IF(_xlfn.MAXIFS(Risk_Register!$L:$L,Risk_Register!$B:$B,C422)=3,"High",IF(_xlfn.MAXIFS(Risk_Register!$L:$L,Risk_Register!$B:$B,C422)=2,"Medium","Low"))</f>
        <v>High</v>
      </c>
      <c r="I422" s="5" t="str">
        <f aca="false">IF(B422&lt;=3,"Preferred site - strong composite profile",IF(B422&lt;=10,"Backup candidate - viable with monitoring","Reserve - evaluate only if primary sites unavailable"))</f>
        <v>Reserve - evaluate only if primary sites unavailable</v>
      </c>
    </row>
    <row r="423" customFormat="false" ht="15" hidden="false" customHeight="true" outlineLevel="0" collapsed="false">
      <c r="A423" s="5" t="s">
        <v>5999</v>
      </c>
      <c r="B423" s="5" t="n">
        <v>13</v>
      </c>
      <c r="C423" s="5" t="s">
        <v>1661</v>
      </c>
      <c r="D423" s="5" t="s">
        <v>1662</v>
      </c>
      <c r="E423" s="5" t="s">
        <v>931</v>
      </c>
      <c r="F423" s="5" t="n">
        <f aca="false">INDEX(Site_Evaluation!$K:$K,MATCH(C423,Site_Evaluation!$A:$A,0))</f>
        <v>52</v>
      </c>
      <c r="G423" s="5" t="n">
        <f aca="false">COUNTIFS(Risk_Register!B:B,C423,Risk_Register!G:G,"High")</f>
        <v>4</v>
      </c>
      <c r="H423" s="5" t="str">
        <f aca="false">IF(_xlfn.MAXIFS(Risk_Register!$L:$L,Risk_Register!$B:$B,C423)=3,"High",IF(_xlfn.MAXIFS(Risk_Register!$L:$L,Risk_Register!$B:$B,C423)=2,"Medium","Low"))</f>
        <v>High</v>
      </c>
      <c r="I423" s="5" t="str">
        <f aca="false">IF(B423&lt;=3,"Preferred site - strong composite profile",IF(B423&lt;=10,"Backup candidate - viable with monitoring","Reserve - evaluate only if primary sites unavailable"))</f>
        <v>Reserve - evaluate only if primary sites unavailable</v>
      </c>
    </row>
    <row r="424" customFormat="false" ht="15" hidden="false" customHeight="true" outlineLevel="0" collapsed="false">
      <c r="A424" s="5" t="s">
        <v>5999</v>
      </c>
      <c r="B424" s="5" t="n">
        <v>14</v>
      </c>
      <c r="C424" s="5" t="s">
        <v>1788</v>
      </c>
      <c r="D424" s="5" t="s">
        <v>1789</v>
      </c>
      <c r="E424" s="5" t="s">
        <v>933</v>
      </c>
      <c r="F424" s="5" t="n">
        <f aca="false">INDEX(Site_Evaluation!$K:$K,MATCH(C424,Site_Evaluation!$A:$A,0))</f>
        <v>48</v>
      </c>
      <c r="G424" s="5" t="n">
        <f aca="false">COUNTIFS(Risk_Register!B:B,C424,Risk_Register!G:G,"High")</f>
        <v>3</v>
      </c>
      <c r="H424" s="5" t="str">
        <f aca="false">IF(_xlfn.MAXIFS(Risk_Register!$L:$L,Risk_Register!$B:$B,C424)=3,"High",IF(_xlfn.MAXIFS(Risk_Register!$L:$L,Risk_Register!$B:$B,C424)=2,"Medium","Low"))</f>
        <v>High</v>
      </c>
      <c r="I424" s="5" t="str">
        <f aca="false">IF(B424&lt;=3,"Preferred site - strong composite profile",IF(B424&lt;=10,"Backup candidate - viable with monitoring","Reserve - evaluate only if primary sites unavailable"))</f>
        <v>Reserve - evaluate only if primary sites unavailable</v>
      </c>
    </row>
    <row r="425" customFormat="false" ht="15" hidden="false" customHeight="true" outlineLevel="0" collapsed="false">
      <c r="A425" s="5" t="s">
        <v>5999</v>
      </c>
      <c r="B425" s="5" t="n">
        <v>15</v>
      </c>
      <c r="C425" s="5" t="s">
        <v>1913</v>
      </c>
      <c r="D425" s="5" t="s">
        <v>1914</v>
      </c>
      <c r="E425" s="5" t="s">
        <v>946</v>
      </c>
      <c r="F425" s="5" t="n">
        <f aca="false">INDEX(Site_Evaluation!$K:$K,MATCH(C425,Site_Evaluation!$A:$A,0))</f>
        <v>46</v>
      </c>
      <c r="G425" s="5" t="n">
        <f aca="false">COUNTIFS(Risk_Register!B:B,C425,Risk_Register!G:G,"High")</f>
        <v>3</v>
      </c>
      <c r="H425" s="5" t="str">
        <f aca="false">IF(_xlfn.MAXIFS(Risk_Register!$L:$L,Risk_Register!$B:$B,C425)=3,"High",IF(_xlfn.MAXIFS(Risk_Register!$L:$L,Risk_Register!$B:$B,C425)=2,"Medium","Low"))</f>
        <v>High</v>
      </c>
      <c r="I425" s="5" t="str">
        <f aca="false">IF(B425&lt;=3,"Preferred site - strong composite profile",IF(B425&lt;=10,"Backup candidate - viable with monitoring","Reserve - evaluate only if primary sites unavailable"))</f>
        <v>Reserve - evaluate only if primary sites unavailable</v>
      </c>
    </row>
    <row r="426" customFormat="false" ht="15" hidden="false" customHeight="true" outlineLevel="0" collapsed="false">
      <c r="A426" s="5" t="s">
        <v>5999</v>
      </c>
      <c r="B426" s="5" t="n">
        <v>16</v>
      </c>
      <c r="C426" s="5" t="s">
        <v>2088</v>
      </c>
      <c r="D426" s="5" t="s">
        <v>2089</v>
      </c>
      <c r="E426" s="5" t="s">
        <v>920</v>
      </c>
      <c r="F426" s="5" t="n">
        <f aca="false">INDEX(Site_Evaluation!$K:$K,MATCH(C426,Site_Evaluation!$A:$A,0))</f>
        <v>46</v>
      </c>
      <c r="G426" s="5" t="n">
        <f aca="false">COUNTIFS(Risk_Register!B:B,C426,Risk_Register!G:G,"High")</f>
        <v>0</v>
      </c>
      <c r="H426" s="5" t="str">
        <f aca="false">IF(_xlfn.MAXIFS(Risk_Register!$L:$L,Risk_Register!$B:$B,C426)=3,"High",IF(_xlfn.MAXIFS(Risk_Register!$L:$L,Risk_Register!$B:$B,C426)=2,"Medium","Low"))</f>
        <v>Low</v>
      </c>
      <c r="I426" s="5" t="str">
        <f aca="false">IF(B426&lt;=3,"Preferred site - strong composite profile",IF(B426&lt;=10,"Backup candidate - viable with monitoring","Reserve - evaluate only if primary sites unavailable"))</f>
        <v>Reserve - evaluate only if primary sites unavailable</v>
      </c>
    </row>
    <row r="427" customFormat="false" ht="15" hidden="false" customHeight="true" outlineLevel="0" collapsed="false">
      <c r="A427" s="5" t="s">
        <v>5999</v>
      </c>
      <c r="B427" s="5" t="n">
        <v>17</v>
      </c>
      <c r="C427" s="5" t="s">
        <v>1936</v>
      </c>
      <c r="D427" s="5" t="s">
        <v>1937</v>
      </c>
      <c r="E427" s="5" t="s">
        <v>962</v>
      </c>
      <c r="F427" s="5" t="n">
        <f aca="false">INDEX(Site_Evaluation!$K:$K,MATCH(C427,Site_Evaluation!$A:$A,0))</f>
        <v>45</v>
      </c>
      <c r="G427" s="5" t="n">
        <f aca="false">COUNTIFS(Risk_Register!B:B,C427,Risk_Register!G:G,"High")</f>
        <v>2</v>
      </c>
      <c r="H427" s="5" t="str">
        <f aca="false">IF(_xlfn.MAXIFS(Risk_Register!$L:$L,Risk_Register!$B:$B,C427)=3,"High",IF(_xlfn.MAXIFS(Risk_Register!$L:$L,Risk_Register!$B:$B,C427)=2,"Medium","Low"))</f>
        <v>High</v>
      </c>
      <c r="I427" s="5" t="str">
        <f aca="false">IF(B427&lt;=3,"Preferred site - strong composite profile",IF(B427&lt;=10,"Backup candidate - viable with monitoring","Reserve - evaluate only if primary sites unavailable"))</f>
        <v>Reserve - evaluate only if primary sites unavailable</v>
      </c>
    </row>
    <row r="428" customFormat="false" ht="15" hidden="false" customHeight="true" outlineLevel="0" collapsed="false">
      <c r="A428" s="5" t="s">
        <v>5999</v>
      </c>
      <c r="B428" s="5" t="n">
        <v>18</v>
      </c>
      <c r="C428" s="5" t="s">
        <v>2076</v>
      </c>
      <c r="D428" s="5" t="s">
        <v>2077</v>
      </c>
      <c r="E428" s="5" t="s">
        <v>933</v>
      </c>
      <c r="F428" s="5" t="n">
        <f aca="false">INDEX(Site_Evaluation!$K:$K,MATCH(C428,Site_Evaluation!$A:$A,0))</f>
        <v>45</v>
      </c>
      <c r="G428" s="5" t="n">
        <f aca="false">COUNTIFS(Risk_Register!B:B,C428,Risk_Register!G:G,"High")</f>
        <v>2</v>
      </c>
      <c r="H428" s="5" t="str">
        <f aca="false">IF(_xlfn.MAXIFS(Risk_Register!$L:$L,Risk_Register!$B:$B,C428)=3,"High",IF(_xlfn.MAXIFS(Risk_Register!$L:$L,Risk_Register!$B:$B,C428)=2,"Medium","Low"))</f>
        <v>High</v>
      </c>
      <c r="I428" s="5" t="str">
        <f aca="false">IF(B428&lt;=3,"Preferred site - strong composite profile",IF(B428&lt;=10,"Backup candidate - viable with monitoring","Reserve - evaluate only if primary sites unavailable"))</f>
        <v>Reserve - evaluate only if primary sites unavailable</v>
      </c>
    </row>
    <row r="429" customFormat="false" ht="15" hidden="false" customHeight="true" outlineLevel="0" collapsed="false">
      <c r="A429" s="5" t="s">
        <v>5999</v>
      </c>
      <c r="B429" s="5" t="n">
        <v>19</v>
      </c>
      <c r="C429" s="5" t="s">
        <v>2178</v>
      </c>
      <c r="D429" s="5" t="s">
        <v>2179</v>
      </c>
      <c r="E429" s="5" t="s">
        <v>942</v>
      </c>
      <c r="F429" s="5" t="n">
        <f aca="false">INDEX(Site_Evaluation!$K:$K,MATCH(C429,Site_Evaluation!$A:$A,0))</f>
        <v>42</v>
      </c>
      <c r="G429" s="5" t="n">
        <f aca="false">COUNTIFS(Risk_Register!B:B,C429,Risk_Register!G:G,"High")</f>
        <v>1</v>
      </c>
      <c r="H429" s="5" t="str">
        <f aca="false">IF(_xlfn.MAXIFS(Risk_Register!$L:$L,Risk_Register!$B:$B,C429)=3,"High",IF(_xlfn.MAXIFS(Risk_Register!$L:$L,Risk_Register!$B:$B,C429)=2,"Medium","Low"))</f>
        <v>High</v>
      </c>
      <c r="I429" s="5" t="str">
        <f aca="false">IF(B429&lt;=3,"Preferred site - strong composite profile",IF(B429&lt;=10,"Backup candidate - viable with monitoring","Reserve - evaluate only if primary sites unavailable"))</f>
        <v>Reserve - evaluate only if primary sites unavailable</v>
      </c>
    </row>
    <row r="430" customFormat="false" ht="15" hidden="false" customHeight="true" outlineLevel="0" collapsed="false">
      <c r="A430" s="5" t="s">
        <v>5999</v>
      </c>
      <c r="B430" s="5" t="n">
        <v>20</v>
      </c>
      <c r="C430" s="5" t="s">
        <v>1629</v>
      </c>
      <c r="D430" s="5" t="s">
        <v>1630</v>
      </c>
      <c r="E430" s="5" t="s">
        <v>944</v>
      </c>
      <c r="F430" s="5" t="n">
        <f aca="false">INDEX(Site_Evaluation!$K:$K,MATCH(C430,Site_Evaluation!$A:$A,0))</f>
        <v>39</v>
      </c>
      <c r="G430" s="5" t="n">
        <f aca="false">COUNTIFS(Risk_Register!B:B,C430,Risk_Register!G:G,"High")</f>
        <v>1</v>
      </c>
      <c r="H430" s="5" t="str">
        <f aca="false">IF(_xlfn.MAXIFS(Risk_Register!$L:$L,Risk_Register!$B:$B,C430)=3,"High",IF(_xlfn.MAXIFS(Risk_Register!$L:$L,Risk_Register!$B:$B,C430)=2,"Medium","Low"))</f>
        <v>High</v>
      </c>
      <c r="I430" s="5" t="str">
        <f aca="false">IF(B430&lt;=3,"Preferred site - strong composite profile",IF(B430&lt;=10,"Backup candidate - viable with monitoring","Reserve - evaluate only if primary sites unavailable"))</f>
        <v>Reserve - evaluate only if primary sites unavailable</v>
      </c>
    </row>
    <row r="431" customFormat="false" ht="15" hidden="false" customHeight="true" outlineLevel="0" collapsed="false">
      <c r="A431" s="5" t="s">
        <v>6000</v>
      </c>
      <c r="B431" s="5" t="n">
        <v>1</v>
      </c>
      <c r="C431" s="5" t="s">
        <v>1740</v>
      </c>
      <c r="D431" s="5" t="s">
        <v>1741</v>
      </c>
      <c r="E431" s="5" t="s">
        <v>931</v>
      </c>
      <c r="F431" s="5" t="n">
        <f aca="false">INDEX(Site_Evaluation!$K:$K,MATCH(C431,Site_Evaluation!$A:$A,0))</f>
        <v>80</v>
      </c>
      <c r="G431" s="5" t="n">
        <f aca="false">COUNTIFS(Risk_Register!B:B,C431,Risk_Register!G:G,"High")</f>
        <v>1</v>
      </c>
      <c r="H431" s="5" t="str">
        <f aca="false">IF(_xlfn.MAXIFS(Risk_Register!$L:$L,Risk_Register!$B:$B,C431)=3,"High",IF(_xlfn.MAXIFS(Risk_Register!$L:$L,Risk_Register!$B:$B,C431)=2,"Medium","Low"))</f>
        <v>High</v>
      </c>
      <c r="I431" s="5" t="str">
        <f aca="false">IF(B431&lt;=3,"Preferred site - strong composite profile",IF(B431&lt;=10,"Backup candidate - viable with monitoring","Reserve - evaluate only if primary sites unavailable"))</f>
        <v>Preferred site - strong composite profile</v>
      </c>
    </row>
    <row r="432" customFormat="false" ht="15" hidden="false" customHeight="true" outlineLevel="0" collapsed="false">
      <c r="A432" s="5" t="s">
        <v>6000</v>
      </c>
      <c r="B432" s="5" t="n">
        <v>2</v>
      </c>
      <c r="C432" s="5" t="s">
        <v>1820</v>
      </c>
      <c r="D432" s="5" t="s">
        <v>1821</v>
      </c>
      <c r="E432" s="5" t="s">
        <v>962</v>
      </c>
      <c r="F432" s="5" t="n">
        <f aca="false">INDEX(Site_Evaluation!$K:$K,MATCH(C432,Site_Evaluation!$A:$A,0))</f>
        <v>76</v>
      </c>
      <c r="G432" s="5" t="n">
        <f aca="false">COUNTIFS(Risk_Register!B:B,C432,Risk_Register!G:G,"High")</f>
        <v>1</v>
      </c>
      <c r="H432" s="5" t="str">
        <f aca="false">IF(_xlfn.MAXIFS(Risk_Register!$L:$L,Risk_Register!$B:$B,C432)=3,"High",IF(_xlfn.MAXIFS(Risk_Register!$L:$L,Risk_Register!$B:$B,C432)=2,"Medium","Low"))</f>
        <v>High</v>
      </c>
      <c r="I432" s="5" t="str">
        <f aca="false">IF(B432&lt;=3,"Preferred site - strong composite profile",IF(B432&lt;=10,"Backup candidate - viable with monitoring","Reserve - evaluate only if primary sites unavailable"))</f>
        <v>Preferred site - strong composite profile</v>
      </c>
    </row>
    <row r="433" customFormat="false" ht="15" hidden="false" customHeight="true" outlineLevel="0" collapsed="false">
      <c r="A433" s="5" t="s">
        <v>6000</v>
      </c>
      <c r="B433" s="5" t="n">
        <v>3</v>
      </c>
      <c r="C433" s="5" t="s">
        <v>1919</v>
      </c>
      <c r="D433" s="5" t="s">
        <v>1920</v>
      </c>
      <c r="E433" s="5" t="s">
        <v>929</v>
      </c>
      <c r="F433" s="5" t="n">
        <f aca="false">INDEX(Site_Evaluation!$K:$K,MATCH(C433,Site_Evaluation!$A:$A,0))</f>
        <v>67</v>
      </c>
      <c r="G433" s="5" t="n">
        <f aca="false">COUNTIFS(Risk_Register!B:B,C433,Risk_Register!G:G,"High")</f>
        <v>4</v>
      </c>
      <c r="H433" s="5" t="str">
        <f aca="false">IF(_xlfn.MAXIFS(Risk_Register!$L:$L,Risk_Register!$B:$B,C433)=3,"High",IF(_xlfn.MAXIFS(Risk_Register!$L:$L,Risk_Register!$B:$B,C433)=2,"Medium","Low"))</f>
        <v>High</v>
      </c>
      <c r="I433" s="5" t="str">
        <f aca="false">IF(B433&lt;=3,"Preferred site - strong composite profile",IF(B433&lt;=10,"Backup candidate - viable with monitoring","Reserve - evaluate only if primary sites unavailable"))</f>
        <v>Preferred site - strong composite profile</v>
      </c>
    </row>
    <row r="434" customFormat="false" ht="15" hidden="false" customHeight="true" outlineLevel="0" collapsed="false">
      <c r="A434" s="5" t="s">
        <v>6000</v>
      </c>
      <c r="B434" s="5" t="n">
        <v>4</v>
      </c>
      <c r="C434" s="5" t="s">
        <v>1586</v>
      </c>
      <c r="D434" s="5" t="s">
        <v>1587</v>
      </c>
      <c r="E434" s="5" t="s">
        <v>920</v>
      </c>
      <c r="F434" s="5" t="n">
        <f aca="false">INDEX(Site_Evaluation!$K:$K,MATCH(C434,Site_Evaluation!$A:$A,0))</f>
        <v>64</v>
      </c>
      <c r="G434" s="5" t="n">
        <f aca="false">COUNTIFS(Risk_Register!B:B,C434,Risk_Register!G:G,"High")</f>
        <v>0</v>
      </c>
      <c r="H434" s="5" t="str">
        <f aca="false">IF(_xlfn.MAXIFS(Risk_Register!$L:$L,Risk_Register!$B:$B,C434)=3,"High",IF(_xlfn.MAXIFS(Risk_Register!$L:$L,Risk_Register!$B:$B,C434)=2,"Medium","Low"))</f>
        <v>Medium</v>
      </c>
      <c r="I434" s="5" t="str">
        <f aca="false">IF(B434&lt;=3,"Preferred site - strong composite profile",IF(B434&lt;=10,"Backup candidate - viable with monitoring","Reserve - evaluate only if primary sites unavailable"))</f>
        <v>Backup candidate - viable with monitoring</v>
      </c>
    </row>
    <row r="435" customFormat="false" ht="15" hidden="false" customHeight="true" outlineLevel="0" collapsed="false">
      <c r="A435" s="5" t="s">
        <v>6000</v>
      </c>
      <c r="B435" s="5" t="n">
        <v>5</v>
      </c>
      <c r="C435" s="5" t="s">
        <v>2092</v>
      </c>
      <c r="D435" s="5" t="s">
        <v>2093</v>
      </c>
      <c r="E435" s="5" t="s">
        <v>954</v>
      </c>
      <c r="F435" s="5" t="n">
        <f aca="false">INDEX(Site_Evaluation!$K:$K,MATCH(C435,Site_Evaluation!$A:$A,0))</f>
        <v>63</v>
      </c>
      <c r="G435" s="5" t="n">
        <f aca="false">COUNTIFS(Risk_Register!B:B,C435,Risk_Register!G:G,"High")</f>
        <v>5</v>
      </c>
      <c r="H435" s="5" t="str">
        <f aca="false">IF(_xlfn.MAXIFS(Risk_Register!$L:$L,Risk_Register!$B:$B,C435)=3,"High",IF(_xlfn.MAXIFS(Risk_Register!$L:$L,Risk_Register!$B:$B,C435)=2,"Medium","Low"))</f>
        <v>High</v>
      </c>
      <c r="I435" s="5" t="str">
        <f aca="false">IF(B435&lt;=3,"Preferred site - strong composite profile",IF(B435&lt;=10,"Backup candidate - viable with monitoring","Reserve - evaluate only if primary sites unavailable"))</f>
        <v>Backup candidate - viable with monitoring</v>
      </c>
    </row>
    <row r="436" customFormat="false" ht="15" hidden="false" customHeight="true" outlineLevel="0" collapsed="false">
      <c r="A436" s="5" t="s">
        <v>6000</v>
      </c>
      <c r="B436" s="5" t="n">
        <v>6</v>
      </c>
      <c r="C436" s="5" t="s">
        <v>1670</v>
      </c>
      <c r="D436" s="5" t="s">
        <v>1671</v>
      </c>
      <c r="E436" s="5" t="s">
        <v>920</v>
      </c>
      <c r="F436" s="5" t="n">
        <f aca="false">INDEX(Site_Evaluation!$K:$K,MATCH(C436,Site_Evaluation!$A:$A,0))</f>
        <v>61</v>
      </c>
      <c r="G436" s="5" t="n">
        <f aca="false">COUNTIFS(Risk_Register!B:B,C436,Risk_Register!G:G,"High")</f>
        <v>3</v>
      </c>
      <c r="H436" s="5" t="str">
        <f aca="false">IF(_xlfn.MAXIFS(Risk_Register!$L:$L,Risk_Register!$B:$B,C436)=3,"High",IF(_xlfn.MAXIFS(Risk_Register!$L:$L,Risk_Register!$B:$B,C436)=2,"Medium","Low"))</f>
        <v>High</v>
      </c>
      <c r="I436" s="5" t="str">
        <f aca="false">IF(B436&lt;=3,"Preferred site - strong composite profile",IF(B436&lt;=10,"Backup candidate - viable with monitoring","Reserve - evaluate only if primary sites unavailable"))</f>
        <v>Backup candidate - viable with monitoring</v>
      </c>
    </row>
    <row r="437" customFormat="false" ht="15" hidden="false" customHeight="true" outlineLevel="0" collapsed="false">
      <c r="A437" s="5" t="s">
        <v>6000</v>
      </c>
      <c r="B437" s="5" t="n">
        <v>7</v>
      </c>
      <c r="C437" s="5" t="s">
        <v>1954</v>
      </c>
      <c r="D437" s="5" t="s">
        <v>1955</v>
      </c>
      <c r="E437" s="5" t="s">
        <v>920</v>
      </c>
      <c r="F437" s="5" t="n">
        <f aca="false">INDEX(Site_Evaluation!$K:$K,MATCH(C437,Site_Evaluation!$A:$A,0))</f>
        <v>60</v>
      </c>
      <c r="G437" s="5" t="n">
        <f aca="false">COUNTIFS(Risk_Register!B:B,C437,Risk_Register!G:G,"High")</f>
        <v>1</v>
      </c>
      <c r="H437" s="5" t="str">
        <f aca="false">IF(_xlfn.MAXIFS(Risk_Register!$L:$L,Risk_Register!$B:$B,C437)=3,"High",IF(_xlfn.MAXIFS(Risk_Register!$L:$L,Risk_Register!$B:$B,C437)=2,"Medium","Low"))</f>
        <v>High</v>
      </c>
      <c r="I437" s="5" t="str">
        <f aca="false">IF(B437&lt;=3,"Preferred site - strong composite profile",IF(B437&lt;=10,"Backup candidate - viable with monitoring","Reserve - evaluate only if primary sites unavailable"))</f>
        <v>Backup candidate - viable with monitoring</v>
      </c>
    </row>
    <row r="438" customFormat="false" ht="15" hidden="false" customHeight="true" outlineLevel="0" collapsed="false">
      <c r="A438" s="5" t="s">
        <v>6000</v>
      </c>
      <c r="B438" s="5" t="n">
        <v>8</v>
      </c>
      <c r="C438" s="5" t="s">
        <v>2114</v>
      </c>
      <c r="D438" s="5" t="s">
        <v>2115</v>
      </c>
      <c r="E438" s="5" t="s">
        <v>931</v>
      </c>
      <c r="F438" s="5" t="n">
        <f aca="false">INDEX(Site_Evaluation!$K:$K,MATCH(C438,Site_Evaluation!$A:$A,0))</f>
        <v>60</v>
      </c>
      <c r="G438" s="5" t="n">
        <f aca="false">COUNTIFS(Risk_Register!B:B,C438,Risk_Register!G:G,"High")</f>
        <v>1</v>
      </c>
      <c r="H438" s="5" t="str">
        <f aca="false">IF(_xlfn.MAXIFS(Risk_Register!$L:$L,Risk_Register!$B:$B,C438)=3,"High",IF(_xlfn.MAXIFS(Risk_Register!$L:$L,Risk_Register!$B:$B,C438)=2,"Medium","Low"))</f>
        <v>High</v>
      </c>
      <c r="I438" s="5" t="str">
        <f aca="false">IF(B438&lt;=3,"Preferred site - strong composite profile",IF(B438&lt;=10,"Backup candidate - viable with monitoring","Reserve - evaluate only if primary sites unavailable"))</f>
        <v>Backup candidate - viable with monitoring</v>
      </c>
    </row>
    <row r="439" customFormat="false" ht="15" hidden="false" customHeight="true" outlineLevel="0" collapsed="false">
      <c r="A439" s="5" t="s">
        <v>6000</v>
      </c>
      <c r="B439" s="5" t="n">
        <v>9</v>
      </c>
      <c r="C439" s="5" t="s">
        <v>1635</v>
      </c>
      <c r="D439" s="5" t="s">
        <v>1636</v>
      </c>
      <c r="E439" s="5" t="s">
        <v>962</v>
      </c>
      <c r="F439" s="5" t="n">
        <f aca="false">INDEX(Site_Evaluation!$K:$K,MATCH(C439,Site_Evaluation!$A:$A,0))</f>
        <v>58</v>
      </c>
      <c r="G439" s="5" t="n">
        <f aca="false">COUNTIFS(Risk_Register!B:B,C439,Risk_Register!G:G,"High")</f>
        <v>1</v>
      </c>
      <c r="H439" s="5" t="str">
        <f aca="false">IF(_xlfn.MAXIFS(Risk_Register!$L:$L,Risk_Register!$B:$B,C439)=3,"High",IF(_xlfn.MAXIFS(Risk_Register!$L:$L,Risk_Register!$B:$B,C439)=2,"Medium","Low"))</f>
        <v>High</v>
      </c>
      <c r="I439" s="5" t="str">
        <f aca="false">IF(B439&lt;=3,"Preferred site - strong composite profile",IF(B439&lt;=10,"Backup candidate - viable with monitoring","Reserve - evaluate only if primary sites unavailable"))</f>
        <v>Backup candidate - viable with monitoring</v>
      </c>
    </row>
    <row r="440" customFormat="false" ht="15" hidden="false" customHeight="true" outlineLevel="0" collapsed="false">
      <c r="A440" s="5" t="s">
        <v>6000</v>
      </c>
      <c r="B440" s="5" t="n">
        <v>10</v>
      </c>
      <c r="C440" s="5" t="s">
        <v>2108</v>
      </c>
      <c r="D440" s="5" t="s">
        <v>2109</v>
      </c>
      <c r="E440" s="5" t="s">
        <v>931</v>
      </c>
      <c r="F440" s="5" t="n">
        <f aca="false">INDEX(Site_Evaluation!$K:$K,MATCH(C440,Site_Evaluation!$A:$A,0))</f>
        <v>56</v>
      </c>
      <c r="G440" s="5" t="n">
        <f aca="false">COUNTIFS(Risk_Register!B:B,C440,Risk_Register!G:G,"High")</f>
        <v>1</v>
      </c>
      <c r="H440" s="5" t="str">
        <f aca="false">IF(_xlfn.MAXIFS(Risk_Register!$L:$L,Risk_Register!$B:$B,C440)=3,"High",IF(_xlfn.MAXIFS(Risk_Register!$L:$L,Risk_Register!$B:$B,C440)=2,"Medium","Low"))</f>
        <v>High</v>
      </c>
      <c r="I440" s="5" t="str">
        <f aca="false">IF(B440&lt;=3,"Preferred site - strong composite profile",IF(B440&lt;=10,"Backup candidate - viable with monitoring","Reserve - evaluate only if primary sites unavailable"))</f>
        <v>Backup candidate - viable with monitoring</v>
      </c>
    </row>
    <row r="441" customFormat="false" ht="15" hidden="false" customHeight="true" outlineLevel="0" collapsed="false">
      <c r="A441" s="5" t="s">
        <v>6000</v>
      </c>
      <c r="B441" s="5" t="n">
        <v>11</v>
      </c>
      <c r="C441" s="5" t="s">
        <v>1903</v>
      </c>
      <c r="D441" s="5" t="s">
        <v>1904</v>
      </c>
      <c r="E441" s="5" t="s">
        <v>960</v>
      </c>
      <c r="F441" s="5" t="n">
        <f aca="false">INDEX(Site_Evaluation!$K:$K,MATCH(C441,Site_Evaluation!$A:$A,0))</f>
        <v>54</v>
      </c>
      <c r="G441" s="5" t="n">
        <f aca="false">COUNTIFS(Risk_Register!B:B,C441,Risk_Register!G:G,"High")</f>
        <v>2</v>
      </c>
      <c r="H441" s="5" t="str">
        <f aca="false">IF(_xlfn.MAXIFS(Risk_Register!$L:$L,Risk_Register!$B:$B,C441)=3,"High",IF(_xlfn.MAXIFS(Risk_Register!$L:$L,Risk_Register!$B:$B,C441)=2,"Medium","Low"))</f>
        <v>High</v>
      </c>
      <c r="I441" s="5" t="str">
        <f aca="false">IF(B441&lt;=3,"Preferred site - strong composite profile",IF(B441&lt;=10,"Backup candidate - viable with monitoring","Reserve - evaluate only if primary sites unavailable"))</f>
        <v>Reserve - evaluate only if primary sites unavailable</v>
      </c>
    </row>
    <row r="442" customFormat="false" ht="15" hidden="false" customHeight="true" outlineLevel="0" collapsed="false">
      <c r="A442" s="5" t="s">
        <v>6000</v>
      </c>
      <c r="B442" s="5" t="n">
        <v>12</v>
      </c>
      <c r="C442" s="5" t="s">
        <v>1686</v>
      </c>
      <c r="D442" s="5" t="s">
        <v>1687</v>
      </c>
      <c r="E442" s="5" t="s">
        <v>944</v>
      </c>
      <c r="F442" s="5" t="n">
        <f aca="false">INDEX(Site_Evaluation!$K:$K,MATCH(C442,Site_Evaluation!$A:$A,0))</f>
        <v>53</v>
      </c>
      <c r="G442" s="5" t="n">
        <f aca="false">COUNTIFS(Risk_Register!B:B,C442,Risk_Register!G:G,"High")</f>
        <v>3</v>
      </c>
      <c r="H442" s="5" t="str">
        <f aca="false">IF(_xlfn.MAXIFS(Risk_Register!$L:$L,Risk_Register!$B:$B,C442)=3,"High",IF(_xlfn.MAXIFS(Risk_Register!$L:$L,Risk_Register!$B:$B,C442)=2,"Medium","Low"))</f>
        <v>High</v>
      </c>
      <c r="I442" s="5" t="str">
        <f aca="false">IF(B442&lt;=3,"Preferred site - strong composite profile",IF(B442&lt;=10,"Backup candidate - viable with monitoring","Reserve - evaluate only if primary sites unavailable"))</f>
        <v>Reserve - evaluate only if primary sites unavailable</v>
      </c>
    </row>
    <row r="443" customFormat="false" ht="15" hidden="false" customHeight="true" outlineLevel="0" collapsed="false">
      <c r="A443" s="5" t="s">
        <v>6000</v>
      </c>
      <c r="B443" s="5" t="n">
        <v>13</v>
      </c>
      <c r="C443" s="5" t="s">
        <v>1661</v>
      </c>
      <c r="D443" s="5" t="s">
        <v>1662</v>
      </c>
      <c r="E443" s="5" t="s">
        <v>931</v>
      </c>
      <c r="F443" s="5" t="n">
        <f aca="false">INDEX(Site_Evaluation!$K:$K,MATCH(C443,Site_Evaluation!$A:$A,0))</f>
        <v>52</v>
      </c>
      <c r="G443" s="5" t="n">
        <f aca="false">COUNTIFS(Risk_Register!B:B,C443,Risk_Register!G:G,"High")</f>
        <v>4</v>
      </c>
      <c r="H443" s="5" t="str">
        <f aca="false">IF(_xlfn.MAXIFS(Risk_Register!$L:$L,Risk_Register!$B:$B,C443)=3,"High",IF(_xlfn.MAXIFS(Risk_Register!$L:$L,Risk_Register!$B:$B,C443)=2,"Medium","Low"))</f>
        <v>High</v>
      </c>
      <c r="I443" s="5" t="str">
        <f aca="false">IF(B443&lt;=3,"Preferred site - strong composite profile",IF(B443&lt;=10,"Backup candidate - viable with monitoring","Reserve - evaluate only if primary sites unavailable"))</f>
        <v>Reserve - evaluate only if primary sites unavailable</v>
      </c>
    </row>
    <row r="444" customFormat="false" ht="15" hidden="false" customHeight="true" outlineLevel="0" collapsed="false">
      <c r="A444" s="5" t="s">
        <v>6000</v>
      </c>
      <c r="B444" s="5" t="n">
        <v>14</v>
      </c>
      <c r="C444" s="5" t="s">
        <v>1788</v>
      </c>
      <c r="D444" s="5" t="s">
        <v>1789</v>
      </c>
      <c r="E444" s="5" t="s">
        <v>933</v>
      </c>
      <c r="F444" s="5" t="n">
        <f aca="false">INDEX(Site_Evaluation!$K:$K,MATCH(C444,Site_Evaluation!$A:$A,0))</f>
        <v>48</v>
      </c>
      <c r="G444" s="5" t="n">
        <f aca="false">COUNTIFS(Risk_Register!B:B,C444,Risk_Register!G:G,"High")</f>
        <v>3</v>
      </c>
      <c r="H444" s="5" t="str">
        <f aca="false">IF(_xlfn.MAXIFS(Risk_Register!$L:$L,Risk_Register!$B:$B,C444)=3,"High",IF(_xlfn.MAXIFS(Risk_Register!$L:$L,Risk_Register!$B:$B,C444)=2,"Medium","Low"))</f>
        <v>High</v>
      </c>
      <c r="I444" s="5" t="str">
        <f aca="false">IF(B444&lt;=3,"Preferred site - strong composite profile",IF(B444&lt;=10,"Backup candidate - viable with monitoring","Reserve - evaluate only if primary sites unavailable"))</f>
        <v>Reserve - evaluate only if primary sites unavailable</v>
      </c>
    </row>
    <row r="445" customFormat="false" ht="15" hidden="false" customHeight="true" outlineLevel="0" collapsed="false">
      <c r="A445" s="5" t="s">
        <v>6000</v>
      </c>
      <c r="B445" s="5" t="n">
        <v>15</v>
      </c>
      <c r="C445" s="5" t="s">
        <v>1913</v>
      </c>
      <c r="D445" s="5" t="s">
        <v>1914</v>
      </c>
      <c r="E445" s="5" t="s">
        <v>946</v>
      </c>
      <c r="F445" s="5" t="n">
        <f aca="false">INDEX(Site_Evaluation!$K:$K,MATCH(C445,Site_Evaluation!$A:$A,0))</f>
        <v>46</v>
      </c>
      <c r="G445" s="5" t="n">
        <f aca="false">COUNTIFS(Risk_Register!B:B,C445,Risk_Register!G:G,"High")</f>
        <v>3</v>
      </c>
      <c r="H445" s="5" t="str">
        <f aca="false">IF(_xlfn.MAXIFS(Risk_Register!$L:$L,Risk_Register!$B:$B,C445)=3,"High",IF(_xlfn.MAXIFS(Risk_Register!$L:$L,Risk_Register!$B:$B,C445)=2,"Medium","Low"))</f>
        <v>High</v>
      </c>
      <c r="I445" s="5" t="str">
        <f aca="false">IF(B445&lt;=3,"Preferred site - strong composite profile",IF(B445&lt;=10,"Backup candidate - viable with monitoring","Reserve - evaluate only if primary sites unavailable"))</f>
        <v>Reserve - evaluate only if primary sites unavailable</v>
      </c>
    </row>
    <row r="446" customFormat="false" ht="15" hidden="false" customHeight="true" outlineLevel="0" collapsed="false">
      <c r="A446" s="5" t="s">
        <v>6000</v>
      </c>
      <c r="B446" s="5" t="n">
        <v>16</v>
      </c>
      <c r="C446" s="5" t="s">
        <v>2088</v>
      </c>
      <c r="D446" s="5" t="s">
        <v>2089</v>
      </c>
      <c r="E446" s="5" t="s">
        <v>920</v>
      </c>
      <c r="F446" s="5" t="n">
        <f aca="false">INDEX(Site_Evaluation!$K:$K,MATCH(C446,Site_Evaluation!$A:$A,0))</f>
        <v>46</v>
      </c>
      <c r="G446" s="5" t="n">
        <f aca="false">COUNTIFS(Risk_Register!B:B,C446,Risk_Register!G:G,"High")</f>
        <v>0</v>
      </c>
      <c r="H446" s="5" t="str">
        <f aca="false">IF(_xlfn.MAXIFS(Risk_Register!$L:$L,Risk_Register!$B:$B,C446)=3,"High",IF(_xlfn.MAXIFS(Risk_Register!$L:$L,Risk_Register!$B:$B,C446)=2,"Medium","Low"))</f>
        <v>Low</v>
      </c>
      <c r="I446" s="5" t="str">
        <f aca="false">IF(B446&lt;=3,"Preferred site - strong composite profile",IF(B446&lt;=10,"Backup candidate - viable with monitoring","Reserve - evaluate only if primary sites unavailable"))</f>
        <v>Reserve - evaluate only if primary sites unavailable</v>
      </c>
    </row>
    <row r="447" customFormat="false" ht="15" hidden="false" customHeight="true" outlineLevel="0" collapsed="false">
      <c r="A447" s="5" t="s">
        <v>6000</v>
      </c>
      <c r="B447" s="5" t="n">
        <v>17</v>
      </c>
      <c r="C447" s="5" t="s">
        <v>1936</v>
      </c>
      <c r="D447" s="5" t="s">
        <v>1937</v>
      </c>
      <c r="E447" s="5" t="s">
        <v>962</v>
      </c>
      <c r="F447" s="5" t="n">
        <f aca="false">INDEX(Site_Evaluation!$K:$K,MATCH(C447,Site_Evaluation!$A:$A,0))</f>
        <v>45</v>
      </c>
      <c r="G447" s="5" t="n">
        <f aca="false">COUNTIFS(Risk_Register!B:B,C447,Risk_Register!G:G,"High")</f>
        <v>2</v>
      </c>
      <c r="H447" s="5" t="str">
        <f aca="false">IF(_xlfn.MAXIFS(Risk_Register!$L:$L,Risk_Register!$B:$B,C447)=3,"High",IF(_xlfn.MAXIFS(Risk_Register!$L:$L,Risk_Register!$B:$B,C447)=2,"Medium","Low"))</f>
        <v>High</v>
      </c>
      <c r="I447" s="5" t="str">
        <f aca="false">IF(B447&lt;=3,"Preferred site - strong composite profile",IF(B447&lt;=10,"Backup candidate - viable with monitoring","Reserve - evaluate only if primary sites unavailable"))</f>
        <v>Reserve - evaluate only if primary sites unavailable</v>
      </c>
    </row>
    <row r="448" customFormat="false" ht="15" hidden="false" customHeight="true" outlineLevel="0" collapsed="false">
      <c r="A448" s="5" t="s">
        <v>6000</v>
      </c>
      <c r="B448" s="5" t="n">
        <v>18</v>
      </c>
      <c r="C448" s="5" t="s">
        <v>2076</v>
      </c>
      <c r="D448" s="5" t="s">
        <v>2077</v>
      </c>
      <c r="E448" s="5" t="s">
        <v>933</v>
      </c>
      <c r="F448" s="5" t="n">
        <f aca="false">INDEX(Site_Evaluation!$K:$K,MATCH(C448,Site_Evaluation!$A:$A,0))</f>
        <v>45</v>
      </c>
      <c r="G448" s="5" t="n">
        <f aca="false">COUNTIFS(Risk_Register!B:B,C448,Risk_Register!G:G,"High")</f>
        <v>2</v>
      </c>
      <c r="H448" s="5" t="str">
        <f aca="false">IF(_xlfn.MAXIFS(Risk_Register!$L:$L,Risk_Register!$B:$B,C448)=3,"High",IF(_xlfn.MAXIFS(Risk_Register!$L:$L,Risk_Register!$B:$B,C448)=2,"Medium","Low"))</f>
        <v>High</v>
      </c>
      <c r="I448" s="5" t="str">
        <f aca="false">IF(B448&lt;=3,"Preferred site - strong composite profile",IF(B448&lt;=10,"Backup candidate - viable with monitoring","Reserve - evaluate only if primary sites unavailable"))</f>
        <v>Reserve - evaluate only if primary sites unavailable</v>
      </c>
    </row>
    <row r="449" customFormat="false" ht="15" hidden="false" customHeight="true" outlineLevel="0" collapsed="false">
      <c r="A449" s="5" t="s">
        <v>6000</v>
      </c>
      <c r="B449" s="5" t="n">
        <v>19</v>
      </c>
      <c r="C449" s="5" t="s">
        <v>2178</v>
      </c>
      <c r="D449" s="5" t="s">
        <v>2179</v>
      </c>
      <c r="E449" s="5" t="s">
        <v>942</v>
      </c>
      <c r="F449" s="5" t="n">
        <f aca="false">INDEX(Site_Evaluation!$K:$K,MATCH(C449,Site_Evaluation!$A:$A,0))</f>
        <v>42</v>
      </c>
      <c r="G449" s="5" t="n">
        <f aca="false">COUNTIFS(Risk_Register!B:B,C449,Risk_Register!G:G,"High")</f>
        <v>1</v>
      </c>
      <c r="H449" s="5" t="str">
        <f aca="false">IF(_xlfn.MAXIFS(Risk_Register!$L:$L,Risk_Register!$B:$B,C449)=3,"High",IF(_xlfn.MAXIFS(Risk_Register!$L:$L,Risk_Register!$B:$B,C449)=2,"Medium","Low"))</f>
        <v>High</v>
      </c>
      <c r="I449" s="5" t="str">
        <f aca="false">IF(B449&lt;=3,"Preferred site - strong composite profile",IF(B449&lt;=10,"Backup candidate - viable with monitoring","Reserve - evaluate only if primary sites unavailable"))</f>
        <v>Reserve - evaluate only if primary sites unavailable</v>
      </c>
    </row>
    <row r="450" customFormat="false" ht="15" hidden="false" customHeight="true" outlineLevel="0" collapsed="false">
      <c r="A450" s="5" t="s">
        <v>6000</v>
      </c>
      <c r="B450" s="5" t="n">
        <v>20</v>
      </c>
      <c r="C450" s="5" t="s">
        <v>1629</v>
      </c>
      <c r="D450" s="5" t="s">
        <v>1630</v>
      </c>
      <c r="E450" s="5" t="s">
        <v>944</v>
      </c>
      <c r="F450" s="5" t="n">
        <f aca="false">INDEX(Site_Evaluation!$K:$K,MATCH(C450,Site_Evaluation!$A:$A,0))</f>
        <v>39</v>
      </c>
      <c r="G450" s="5" t="n">
        <f aca="false">COUNTIFS(Risk_Register!B:B,C450,Risk_Register!G:G,"High")</f>
        <v>1</v>
      </c>
      <c r="H450" s="5" t="str">
        <f aca="false">IF(_xlfn.MAXIFS(Risk_Register!$L:$L,Risk_Register!$B:$B,C450)=3,"High",IF(_xlfn.MAXIFS(Risk_Register!$L:$L,Risk_Register!$B:$B,C450)=2,"Medium","Low"))</f>
        <v>High</v>
      </c>
      <c r="I450" s="5" t="str">
        <f aca="false">IF(B450&lt;=3,"Preferred site - strong composite profile",IF(B450&lt;=10,"Backup candidate - viable with monitoring","Reserve - evaluate only if primary sites unavailable"))</f>
        <v>Reserve - evaluate only if primary sites unavailable</v>
      </c>
    </row>
    <row r="451" customFormat="false" ht="15" hidden="false" customHeight="true" outlineLevel="0" collapsed="false">
      <c r="A451" s="5" t="s">
        <v>6001</v>
      </c>
      <c r="B451" s="5" t="n">
        <v>1</v>
      </c>
      <c r="C451" s="5" t="s">
        <v>2142</v>
      </c>
      <c r="D451" s="5" t="s">
        <v>2143</v>
      </c>
      <c r="E451" s="5" t="s">
        <v>938</v>
      </c>
      <c r="F451" s="5" t="n">
        <f aca="false">INDEX(Site_Evaluation!$K:$K,MATCH(C451,Site_Evaluation!$A:$A,0))</f>
        <v>86</v>
      </c>
      <c r="G451" s="5" t="n">
        <f aca="false">COUNTIFS(Risk_Register!B:B,C451,Risk_Register!G:G,"High")</f>
        <v>2</v>
      </c>
      <c r="H451" s="5" t="str">
        <f aca="false">IF(_xlfn.MAXIFS(Risk_Register!$L:$L,Risk_Register!$B:$B,C451)=3,"High",IF(_xlfn.MAXIFS(Risk_Register!$L:$L,Risk_Register!$B:$B,C451)=2,"Medium","Low"))</f>
        <v>High</v>
      </c>
      <c r="I451" s="5" t="str">
        <f aca="false">IF(B451&lt;=3,"Preferred site - strong composite profile",IF(B451&lt;=10,"Backup candidate - viable with monitoring","Reserve - evaluate only if primary sites unavailable"))</f>
        <v>Preferred site - strong composite profile</v>
      </c>
    </row>
    <row r="452" customFormat="false" ht="15" hidden="false" customHeight="true" outlineLevel="0" collapsed="false">
      <c r="A452" s="5" t="s">
        <v>6001</v>
      </c>
      <c r="B452" s="5" t="n">
        <v>2</v>
      </c>
      <c r="C452" s="5" t="s">
        <v>2000</v>
      </c>
      <c r="D452" s="5" t="s">
        <v>2001</v>
      </c>
      <c r="E452" s="5" t="s">
        <v>918</v>
      </c>
      <c r="F452" s="5" t="n">
        <f aca="false">INDEX(Site_Evaluation!$K:$K,MATCH(C452,Site_Evaluation!$A:$A,0))</f>
        <v>76</v>
      </c>
      <c r="G452" s="5" t="n">
        <f aca="false">COUNTIFS(Risk_Register!B:B,C452,Risk_Register!G:G,"High")</f>
        <v>0</v>
      </c>
      <c r="H452" s="5" t="str">
        <f aca="false">IF(_xlfn.MAXIFS(Risk_Register!$L:$L,Risk_Register!$B:$B,C452)=3,"High",IF(_xlfn.MAXIFS(Risk_Register!$L:$L,Risk_Register!$B:$B,C452)=2,"Medium","Low"))</f>
        <v>Medium</v>
      </c>
      <c r="I452" s="5" t="str">
        <f aca="false">IF(B452&lt;=3,"Preferred site - strong composite profile",IF(B452&lt;=10,"Backup candidate - viable with monitoring","Reserve - evaluate only if primary sites unavailable"))</f>
        <v>Preferred site - strong composite profile</v>
      </c>
    </row>
    <row r="453" customFormat="false" ht="15" hidden="false" customHeight="true" outlineLevel="0" collapsed="false">
      <c r="A453" s="5" t="s">
        <v>6001</v>
      </c>
      <c r="B453" s="5" t="n">
        <v>3</v>
      </c>
      <c r="C453" s="5" t="s">
        <v>2136</v>
      </c>
      <c r="D453" s="5" t="s">
        <v>2137</v>
      </c>
      <c r="E453" s="5" t="s">
        <v>950</v>
      </c>
      <c r="F453" s="5" t="n">
        <f aca="false">INDEX(Site_Evaluation!$K:$K,MATCH(C453,Site_Evaluation!$A:$A,0))</f>
        <v>76</v>
      </c>
      <c r="G453" s="5" t="n">
        <f aca="false">COUNTIFS(Risk_Register!B:B,C453,Risk_Register!G:G,"High")</f>
        <v>2</v>
      </c>
      <c r="H453" s="5" t="str">
        <f aca="false">IF(_xlfn.MAXIFS(Risk_Register!$L:$L,Risk_Register!$B:$B,C453)=3,"High",IF(_xlfn.MAXIFS(Risk_Register!$L:$L,Risk_Register!$B:$B,C453)=2,"Medium","Low"))</f>
        <v>High</v>
      </c>
      <c r="I453" s="5" t="str">
        <f aca="false">IF(B453&lt;=3,"Preferred site - strong composite profile",IF(B453&lt;=10,"Backup candidate - viable with monitoring","Reserve - evaluate only if primary sites unavailable"))</f>
        <v>Preferred site - strong composite profile</v>
      </c>
    </row>
    <row r="454" customFormat="false" ht="15" hidden="false" customHeight="true" outlineLevel="0" collapsed="false">
      <c r="A454" s="5" t="s">
        <v>6001</v>
      </c>
      <c r="B454" s="5" t="n">
        <v>4</v>
      </c>
      <c r="C454" s="5" t="s">
        <v>1721</v>
      </c>
      <c r="D454" s="5" t="s">
        <v>1722</v>
      </c>
      <c r="E454" s="5" t="s">
        <v>935</v>
      </c>
      <c r="F454" s="5" t="n">
        <f aca="false">INDEX(Site_Evaluation!$K:$K,MATCH(C454,Site_Evaluation!$A:$A,0))</f>
        <v>72</v>
      </c>
      <c r="G454" s="5" t="n">
        <f aca="false">COUNTIFS(Risk_Register!B:B,C454,Risk_Register!G:G,"High")</f>
        <v>2</v>
      </c>
      <c r="H454" s="5" t="str">
        <f aca="false">IF(_xlfn.MAXIFS(Risk_Register!$L:$L,Risk_Register!$B:$B,C454)=3,"High",IF(_xlfn.MAXIFS(Risk_Register!$L:$L,Risk_Register!$B:$B,C454)=2,"Medium","Low"))</f>
        <v>High</v>
      </c>
      <c r="I454" s="5" t="str">
        <f aca="false">IF(B454&lt;=3,"Preferred site - strong composite profile",IF(B454&lt;=10,"Backup candidate - viable with monitoring","Reserve - evaluate only if primary sites unavailable"))</f>
        <v>Backup candidate - viable with monitoring</v>
      </c>
    </row>
    <row r="455" customFormat="false" ht="15" hidden="false" customHeight="true" outlineLevel="0" collapsed="false">
      <c r="A455" s="5" t="s">
        <v>6001</v>
      </c>
      <c r="B455" s="5" t="n">
        <v>5</v>
      </c>
      <c r="C455" s="5" t="s">
        <v>2030</v>
      </c>
      <c r="D455" s="5" t="s">
        <v>2031</v>
      </c>
      <c r="E455" s="5" t="s">
        <v>940</v>
      </c>
      <c r="F455" s="5" t="n">
        <f aca="false">INDEX(Site_Evaluation!$K:$K,MATCH(C455,Site_Evaluation!$A:$A,0))</f>
        <v>69</v>
      </c>
      <c r="G455" s="5" t="n">
        <f aca="false">COUNTIFS(Risk_Register!B:B,C455,Risk_Register!G:G,"High")</f>
        <v>3</v>
      </c>
      <c r="H455" s="5" t="str">
        <f aca="false">IF(_xlfn.MAXIFS(Risk_Register!$L:$L,Risk_Register!$B:$B,C455)=3,"High",IF(_xlfn.MAXIFS(Risk_Register!$L:$L,Risk_Register!$B:$B,C455)=2,"Medium","Low"))</f>
        <v>High</v>
      </c>
      <c r="I455" s="5" t="str">
        <f aca="false">IF(B455&lt;=3,"Preferred site - strong composite profile",IF(B455&lt;=10,"Backup candidate - viable with monitoring","Reserve - evaluate only if primary sites unavailable"))</f>
        <v>Backup candidate - viable with monitoring</v>
      </c>
    </row>
    <row r="456" customFormat="false" ht="15" hidden="false" customHeight="true" outlineLevel="0" collapsed="false">
      <c r="A456" s="5" t="s">
        <v>6001</v>
      </c>
      <c r="B456" s="5" t="n">
        <v>6</v>
      </c>
      <c r="C456" s="5" t="s">
        <v>1800</v>
      </c>
      <c r="D456" s="5" t="s">
        <v>1801</v>
      </c>
      <c r="E456" s="5" t="s">
        <v>942</v>
      </c>
      <c r="F456" s="5" t="n">
        <f aca="false">INDEX(Site_Evaluation!$K:$K,MATCH(C456,Site_Evaluation!$A:$A,0))</f>
        <v>67</v>
      </c>
      <c r="G456" s="5" t="n">
        <f aca="false">COUNTIFS(Risk_Register!B:B,C456,Risk_Register!G:G,"High")</f>
        <v>1</v>
      </c>
      <c r="H456" s="5" t="str">
        <f aca="false">IF(_xlfn.MAXIFS(Risk_Register!$L:$L,Risk_Register!$B:$B,C456)=3,"High",IF(_xlfn.MAXIFS(Risk_Register!$L:$L,Risk_Register!$B:$B,C456)=2,"Medium","Low"))</f>
        <v>High</v>
      </c>
      <c r="I456" s="5" t="str">
        <f aca="false">IF(B456&lt;=3,"Preferred site - strong composite profile",IF(B456&lt;=10,"Backup candidate - viable with monitoring","Reserve - evaluate only if primary sites unavailable"))</f>
        <v>Backup candidate - viable with monitoring</v>
      </c>
    </row>
    <row r="457" customFormat="false" ht="15" hidden="false" customHeight="true" outlineLevel="0" collapsed="false">
      <c r="A457" s="5" t="s">
        <v>6001</v>
      </c>
      <c r="B457" s="5" t="n">
        <v>7</v>
      </c>
      <c r="C457" s="5" t="s">
        <v>2042</v>
      </c>
      <c r="D457" s="5" t="s">
        <v>2043</v>
      </c>
      <c r="E457" s="5" t="s">
        <v>948</v>
      </c>
      <c r="F457" s="5" t="n">
        <f aca="false">INDEX(Site_Evaluation!$K:$K,MATCH(C457,Site_Evaluation!$A:$A,0))</f>
        <v>64</v>
      </c>
      <c r="G457" s="5" t="n">
        <f aca="false">COUNTIFS(Risk_Register!B:B,C457,Risk_Register!G:G,"High")</f>
        <v>2</v>
      </c>
      <c r="H457" s="5" t="str">
        <f aca="false">IF(_xlfn.MAXIFS(Risk_Register!$L:$L,Risk_Register!$B:$B,C457)=3,"High",IF(_xlfn.MAXIFS(Risk_Register!$L:$L,Risk_Register!$B:$B,C457)=2,"Medium","Low"))</f>
        <v>High</v>
      </c>
      <c r="I457" s="5" t="str">
        <f aca="false">IF(B457&lt;=3,"Preferred site - strong composite profile",IF(B457&lt;=10,"Backup candidate - viable with monitoring","Reserve - evaluate only if primary sites unavailable"))</f>
        <v>Backup candidate - viable with monitoring</v>
      </c>
    </row>
    <row r="458" customFormat="false" ht="15" hidden="false" customHeight="true" outlineLevel="0" collapsed="false">
      <c r="A458" s="5" t="s">
        <v>6001</v>
      </c>
      <c r="B458" s="5" t="n">
        <v>8</v>
      </c>
      <c r="C458" s="5" t="s">
        <v>1742</v>
      </c>
      <c r="D458" s="5" t="s">
        <v>1743</v>
      </c>
      <c r="E458" s="5" t="s">
        <v>954</v>
      </c>
      <c r="F458" s="5" t="n">
        <f aca="false">INDEX(Site_Evaluation!$K:$K,MATCH(C458,Site_Evaluation!$A:$A,0))</f>
        <v>63</v>
      </c>
      <c r="G458" s="5" t="n">
        <f aca="false">COUNTIFS(Risk_Register!B:B,C458,Risk_Register!G:G,"High")</f>
        <v>2</v>
      </c>
      <c r="H458" s="5" t="str">
        <f aca="false">IF(_xlfn.MAXIFS(Risk_Register!$L:$L,Risk_Register!$B:$B,C458)=3,"High",IF(_xlfn.MAXIFS(Risk_Register!$L:$L,Risk_Register!$B:$B,C458)=2,"Medium","Low"))</f>
        <v>High</v>
      </c>
      <c r="I458" s="5" t="str">
        <f aca="false">IF(B458&lt;=3,"Preferred site - strong composite profile",IF(B458&lt;=10,"Backup candidate - viable with monitoring","Reserve - evaluate only if primary sites unavailable"))</f>
        <v>Backup candidate - viable with monitoring</v>
      </c>
    </row>
    <row r="459" customFormat="false" ht="15" hidden="false" customHeight="true" outlineLevel="0" collapsed="false">
      <c r="A459" s="5" t="s">
        <v>6001</v>
      </c>
      <c r="B459" s="5" t="n">
        <v>9</v>
      </c>
      <c r="C459" s="5" t="s">
        <v>1776</v>
      </c>
      <c r="D459" s="5" t="s">
        <v>1777</v>
      </c>
      <c r="E459" s="5" t="s">
        <v>920</v>
      </c>
      <c r="F459" s="5" t="n">
        <f aca="false">INDEX(Site_Evaluation!$K:$K,MATCH(C459,Site_Evaluation!$A:$A,0))</f>
        <v>60</v>
      </c>
      <c r="G459" s="5" t="n">
        <f aca="false">COUNTIFS(Risk_Register!B:B,C459,Risk_Register!G:G,"High")</f>
        <v>2</v>
      </c>
      <c r="H459" s="5" t="str">
        <f aca="false">IF(_xlfn.MAXIFS(Risk_Register!$L:$L,Risk_Register!$B:$B,C459)=3,"High",IF(_xlfn.MAXIFS(Risk_Register!$L:$L,Risk_Register!$B:$B,C459)=2,"Medium","Low"))</f>
        <v>High</v>
      </c>
      <c r="I459" s="5" t="str">
        <f aca="false">IF(B459&lt;=3,"Preferred site - strong composite profile",IF(B459&lt;=10,"Backup candidate - viable with monitoring","Reserve - evaluate only if primary sites unavailable"))</f>
        <v>Backup candidate - viable with monitoring</v>
      </c>
    </row>
    <row r="460" customFormat="false" ht="15" hidden="false" customHeight="true" outlineLevel="0" collapsed="false">
      <c r="A460" s="5" t="s">
        <v>6001</v>
      </c>
      <c r="B460" s="5" t="n">
        <v>10</v>
      </c>
      <c r="C460" s="5" t="s">
        <v>1706</v>
      </c>
      <c r="D460" s="5" t="s">
        <v>1707</v>
      </c>
      <c r="E460" s="5" t="s">
        <v>954</v>
      </c>
      <c r="F460" s="5" t="n">
        <f aca="false">INDEX(Site_Evaluation!$K:$K,MATCH(C460,Site_Evaluation!$A:$A,0))</f>
        <v>56</v>
      </c>
      <c r="G460" s="5" t="n">
        <f aca="false">COUNTIFS(Risk_Register!B:B,C460,Risk_Register!G:G,"High")</f>
        <v>2</v>
      </c>
      <c r="H460" s="5" t="str">
        <f aca="false">IF(_xlfn.MAXIFS(Risk_Register!$L:$L,Risk_Register!$B:$B,C460)=3,"High",IF(_xlfn.MAXIFS(Risk_Register!$L:$L,Risk_Register!$B:$B,C460)=2,"Medium","Low"))</f>
        <v>High</v>
      </c>
      <c r="I460" s="5" t="str">
        <f aca="false">IF(B460&lt;=3,"Preferred site - strong composite profile",IF(B460&lt;=10,"Backup candidate - viable with monitoring","Reserve - evaluate only if primary sites unavailable"))</f>
        <v>Backup candidate - viable with monitoring</v>
      </c>
    </row>
    <row r="461" customFormat="false" ht="15" hidden="false" customHeight="true" outlineLevel="0" collapsed="false">
      <c r="A461" s="5" t="s">
        <v>6001</v>
      </c>
      <c r="B461" s="5" t="n">
        <v>11</v>
      </c>
      <c r="C461" s="5" t="s">
        <v>2158</v>
      </c>
      <c r="D461" s="5" t="s">
        <v>2159</v>
      </c>
      <c r="E461" s="5" t="s">
        <v>962</v>
      </c>
      <c r="F461" s="5" t="n">
        <f aca="false">INDEX(Site_Evaluation!$K:$K,MATCH(C461,Site_Evaluation!$A:$A,0))</f>
        <v>55</v>
      </c>
      <c r="G461" s="5" t="n">
        <f aca="false">COUNTIFS(Risk_Register!B:B,C461,Risk_Register!G:G,"High")</f>
        <v>2</v>
      </c>
      <c r="H461" s="5" t="str">
        <f aca="false">IF(_xlfn.MAXIFS(Risk_Register!$L:$L,Risk_Register!$B:$B,C461)=3,"High",IF(_xlfn.MAXIFS(Risk_Register!$L:$L,Risk_Register!$B:$B,C461)=2,"Medium","Low"))</f>
        <v>High</v>
      </c>
      <c r="I461" s="5" t="str">
        <f aca="false">IF(B461&lt;=3,"Preferred site - strong composite profile",IF(B461&lt;=10,"Backup candidate - viable with monitoring","Reserve - evaluate only if primary sites unavailable"))</f>
        <v>Reserve - evaluate only if primary sites unavailable</v>
      </c>
    </row>
    <row r="462" customFormat="false" ht="15" hidden="false" customHeight="true" outlineLevel="0" collapsed="false">
      <c r="A462" s="5" t="s">
        <v>6001</v>
      </c>
      <c r="B462" s="5" t="n">
        <v>12</v>
      </c>
      <c r="C462" s="5" t="s">
        <v>1590</v>
      </c>
      <c r="D462" s="5" t="s">
        <v>1591</v>
      </c>
      <c r="E462" s="5" t="s">
        <v>925</v>
      </c>
      <c r="F462" s="5" t="n">
        <f aca="false">INDEX(Site_Evaluation!$K:$K,MATCH(C462,Site_Evaluation!$A:$A,0))</f>
        <v>54</v>
      </c>
      <c r="G462" s="5" t="n">
        <f aca="false">COUNTIFS(Risk_Register!B:B,C462,Risk_Register!G:G,"High")</f>
        <v>5</v>
      </c>
      <c r="H462" s="5" t="str">
        <f aca="false">IF(_xlfn.MAXIFS(Risk_Register!$L:$L,Risk_Register!$B:$B,C462)=3,"High",IF(_xlfn.MAXIFS(Risk_Register!$L:$L,Risk_Register!$B:$B,C462)=2,"Medium","Low"))</f>
        <v>High</v>
      </c>
      <c r="I462" s="5" t="str">
        <f aca="false">IF(B462&lt;=3,"Preferred site - strong composite profile",IF(B462&lt;=10,"Backup candidate - viable with monitoring","Reserve - evaluate only if primary sites unavailable"))</f>
        <v>Reserve - evaluate only if primary sites unavailable</v>
      </c>
    </row>
    <row r="463" customFormat="false" ht="15" hidden="false" customHeight="true" outlineLevel="0" collapsed="false">
      <c r="A463" s="5" t="s">
        <v>6001</v>
      </c>
      <c r="B463" s="5" t="n">
        <v>13</v>
      </c>
      <c r="C463" s="5" t="s">
        <v>1583</v>
      </c>
      <c r="D463" s="5" t="s">
        <v>1584</v>
      </c>
      <c r="E463" s="5" t="s">
        <v>920</v>
      </c>
      <c r="F463" s="5" t="n">
        <f aca="false">INDEX(Site_Evaluation!$K:$K,MATCH(C463,Site_Evaluation!$A:$A,0))</f>
        <v>53</v>
      </c>
      <c r="G463" s="5" t="n">
        <f aca="false">COUNTIFS(Risk_Register!B:B,C463,Risk_Register!G:G,"High")</f>
        <v>4</v>
      </c>
      <c r="H463" s="5" t="str">
        <f aca="false">IF(_xlfn.MAXIFS(Risk_Register!$L:$L,Risk_Register!$B:$B,C463)=3,"High",IF(_xlfn.MAXIFS(Risk_Register!$L:$L,Risk_Register!$B:$B,C463)=2,"Medium","Low"))</f>
        <v>High</v>
      </c>
      <c r="I463" s="5" t="str">
        <f aca="false">IF(B463&lt;=3,"Preferred site - strong composite profile",IF(B463&lt;=10,"Backup candidate - viable with monitoring","Reserve - evaluate only if primary sites unavailable"))</f>
        <v>Reserve - evaluate only if primary sites unavailable</v>
      </c>
    </row>
    <row r="464" customFormat="false" ht="15" hidden="false" customHeight="true" outlineLevel="0" collapsed="false">
      <c r="A464" s="5" t="s">
        <v>6001</v>
      </c>
      <c r="B464" s="5" t="n">
        <v>14</v>
      </c>
      <c r="C464" s="5" t="s">
        <v>2106</v>
      </c>
      <c r="D464" s="5" t="s">
        <v>2107</v>
      </c>
      <c r="E464" s="5" t="s">
        <v>946</v>
      </c>
      <c r="F464" s="5" t="n">
        <f aca="false">INDEX(Site_Evaluation!$K:$K,MATCH(C464,Site_Evaluation!$A:$A,0))</f>
        <v>53</v>
      </c>
      <c r="G464" s="5" t="n">
        <f aca="false">COUNTIFS(Risk_Register!B:B,C464,Risk_Register!G:G,"High")</f>
        <v>2</v>
      </c>
      <c r="H464" s="5" t="str">
        <f aca="false">IF(_xlfn.MAXIFS(Risk_Register!$L:$L,Risk_Register!$B:$B,C464)=3,"High",IF(_xlfn.MAXIFS(Risk_Register!$L:$L,Risk_Register!$B:$B,C464)=2,"Medium","Low"))</f>
        <v>High</v>
      </c>
      <c r="I464" s="5" t="str">
        <f aca="false">IF(B464&lt;=3,"Preferred site - strong composite profile",IF(B464&lt;=10,"Backup candidate - viable with monitoring","Reserve - evaluate only if primary sites unavailable"))</f>
        <v>Reserve - evaluate only if primary sites unavailable</v>
      </c>
    </row>
    <row r="465" customFormat="false" ht="15" hidden="false" customHeight="true" outlineLevel="0" collapsed="false">
      <c r="A465" s="5" t="s">
        <v>6001</v>
      </c>
      <c r="B465" s="5" t="n">
        <v>15</v>
      </c>
      <c r="C465" s="5" t="s">
        <v>1619</v>
      </c>
      <c r="D465" s="5" t="s">
        <v>1620</v>
      </c>
      <c r="E465" s="5" t="s">
        <v>927</v>
      </c>
      <c r="F465" s="5" t="n">
        <f aca="false">INDEX(Site_Evaluation!$K:$K,MATCH(C465,Site_Evaluation!$A:$A,0))</f>
        <v>52</v>
      </c>
      <c r="G465" s="5" t="n">
        <f aca="false">COUNTIFS(Risk_Register!B:B,C465,Risk_Register!G:G,"High")</f>
        <v>1</v>
      </c>
      <c r="H465" s="5" t="str">
        <f aca="false">IF(_xlfn.MAXIFS(Risk_Register!$L:$L,Risk_Register!$B:$B,C465)=3,"High",IF(_xlfn.MAXIFS(Risk_Register!$L:$L,Risk_Register!$B:$B,C465)=2,"Medium","Low"))</f>
        <v>High</v>
      </c>
      <c r="I465" s="5" t="str">
        <f aca="false">IF(B465&lt;=3,"Preferred site - strong composite profile",IF(B465&lt;=10,"Backup candidate - viable with monitoring","Reserve - evaluate only if primary sites unavailable"))</f>
        <v>Reserve - evaluate only if primary sites unavailable</v>
      </c>
    </row>
    <row r="466" customFormat="false" ht="15" hidden="false" customHeight="true" outlineLevel="0" collapsed="false">
      <c r="A466" s="5" t="s">
        <v>6001</v>
      </c>
      <c r="B466" s="5" t="n">
        <v>16</v>
      </c>
      <c r="C466" s="5" t="s">
        <v>1674</v>
      </c>
      <c r="D466" s="5" t="s">
        <v>1675</v>
      </c>
      <c r="E466" s="5" t="s">
        <v>931</v>
      </c>
      <c r="F466" s="5" t="n">
        <f aca="false">INDEX(Site_Evaluation!$K:$K,MATCH(C466,Site_Evaluation!$A:$A,0))</f>
        <v>52</v>
      </c>
      <c r="G466" s="5" t="n">
        <f aca="false">COUNTIFS(Risk_Register!B:B,C466,Risk_Register!G:G,"High")</f>
        <v>3</v>
      </c>
      <c r="H466" s="5" t="str">
        <f aca="false">IF(_xlfn.MAXIFS(Risk_Register!$L:$L,Risk_Register!$B:$B,C466)=3,"High",IF(_xlfn.MAXIFS(Risk_Register!$L:$L,Risk_Register!$B:$B,C466)=2,"Medium","Low"))</f>
        <v>High</v>
      </c>
      <c r="I466" s="5" t="str">
        <f aca="false">IF(B466&lt;=3,"Preferred site - strong composite profile",IF(B466&lt;=10,"Backup candidate - viable with monitoring","Reserve - evaluate only if primary sites unavailable"))</f>
        <v>Reserve - evaluate only if primary sites unavailable</v>
      </c>
    </row>
    <row r="467" customFormat="false" ht="15" hidden="false" customHeight="true" outlineLevel="0" collapsed="false">
      <c r="A467" s="5" t="s">
        <v>6001</v>
      </c>
      <c r="B467" s="5" t="n">
        <v>17</v>
      </c>
      <c r="C467" s="5" t="s">
        <v>1709</v>
      </c>
      <c r="D467" s="5" t="s">
        <v>1710</v>
      </c>
      <c r="E467" s="5" t="s">
        <v>950</v>
      </c>
      <c r="F467" s="5" t="n">
        <f aca="false">INDEX(Site_Evaluation!$K:$K,MATCH(C467,Site_Evaluation!$A:$A,0))</f>
        <v>51</v>
      </c>
      <c r="G467" s="5" t="n">
        <f aca="false">COUNTIFS(Risk_Register!B:B,C467,Risk_Register!G:G,"High")</f>
        <v>1</v>
      </c>
      <c r="H467" s="5" t="str">
        <f aca="false">IF(_xlfn.MAXIFS(Risk_Register!$L:$L,Risk_Register!$B:$B,C467)=3,"High",IF(_xlfn.MAXIFS(Risk_Register!$L:$L,Risk_Register!$B:$B,C467)=2,"Medium","Low"))</f>
        <v>High</v>
      </c>
      <c r="I467" s="5" t="str">
        <f aca="false">IF(B467&lt;=3,"Preferred site - strong composite profile",IF(B467&lt;=10,"Backup candidate - viable with monitoring","Reserve - evaluate only if primary sites unavailable"))</f>
        <v>Reserve - evaluate only if primary sites unavailable</v>
      </c>
    </row>
    <row r="468" customFormat="false" ht="15" hidden="false" customHeight="true" outlineLevel="0" collapsed="false">
      <c r="A468" s="5" t="s">
        <v>6001</v>
      </c>
      <c r="B468" s="5" t="n">
        <v>18</v>
      </c>
      <c r="C468" s="5" t="s">
        <v>2100</v>
      </c>
      <c r="D468" s="5" t="s">
        <v>2101</v>
      </c>
      <c r="E468" s="5" t="s">
        <v>931</v>
      </c>
      <c r="F468" s="5" t="n">
        <f aca="false">INDEX(Site_Evaluation!$K:$K,MATCH(C468,Site_Evaluation!$A:$A,0))</f>
        <v>51</v>
      </c>
      <c r="G468" s="5" t="n">
        <f aca="false">COUNTIFS(Risk_Register!B:B,C468,Risk_Register!G:G,"High")</f>
        <v>3</v>
      </c>
      <c r="H468" s="5" t="str">
        <f aca="false">IF(_xlfn.MAXIFS(Risk_Register!$L:$L,Risk_Register!$B:$B,C468)=3,"High",IF(_xlfn.MAXIFS(Risk_Register!$L:$L,Risk_Register!$B:$B,C468)=2,"Medium","Low"))</f>
        <v>High</v>
      </c>
      <c r="I468" s="5" t="str">
        <f aca="false">IF(B468&lt;=3,"Preferred site - strong composite profile",IF(B468&lt;=10,"Backup candidate - viable with monitoring","Reserve - evaluate only if primary sites unavailable"))</f>
        <v>Reserve - evaluate only if primary sites unavailable</v>
      </c>
    </row>
    <row r="469" customFormat="false" ht="15" hidden="false" customHeight="true" outlineLevel="0" collapsed="false">
      <c r="A469" s="5" t="s">
        <v>6001</v>
      </c>
      <c r="B469" s="5" t="n">
        <v>19</v>
      </c>
      <c r="C469" s="5" t="s">
        <v>1864</v>
      </c>
      <c r="D469" s="5" t="s">
        <v>1865</v>
      </c>
      <c r="E469" s="5" t="s">
        <v>944</v>
      </c>
      <c r="F469" s="5" t="n">
        <f aca="false">INDEX(Site_Evaluation!$K:$K,MATCH(C469,Site_Evaluation!$A:$A,0))</f>
        <v>50</v>
      </c>
      <c r="G469" s="5" t="n">
        <f aca="false">COUNTIFS(Risk_Register!B:B,C469,Risk_Register!G:G,"High")</f>
        <v>2</v>
      </c>
      <c r="H469" s="5" t="str">
        <f aca="false">IF(_xlfn.MAXIFS(Risk_Register!$L:$L,Risk_Register!$B:$B,C469)=3,"High",IF(_xlfn.MAXIFS(Risk_Register!$L:$L,Risk_Register!$B:$B,C469)=2,"Medium","Low"))</f>
        <v>High</v>
      </c>
      <c r="I469" s="5" t="str">
        <f aca="false">IF(B469&lt;=3,"Preferred site - strong composite profile",IF(B469&lt;=10,"Backup candidate - viable with monitoring","Reserve - evaluate only if primary sites unavailable"))</f>
        <v>Reserve - evaluate only if primary sites unavailable</v>
      </c>
    </row>
    <row r="470" customFormat="false" ht="15" hidden="false" customHeight="true" outlineLevel="0" collapsed="false">
      <c r="A470" s="5" t="s">
        <v>6001</v>
      </c>
      <c r="B470" s="5" t="n">
        <v>20</v>
      </c>
      <c r="C470" s="5" t="s">
        <v>1824</v>
      </c>
      <c r="D470" s="5" t="s">
        <v>1825</v>
      </c>
      <c r="E470" s="5" t="s">
        <v>936</v>
      </c>
      <c r="F470" s="5" t="n">
        <f aca="false">INDEX(Site_Evaluation!$K:$K,MATCH(C470,Site_Evaluation!$A:$A,0))</f>
        <v>46</v>
      </c>
      <c r="G470" s="5" t="n">
        <f aca="false">COUNTIFS(Risk_Register!B:B,C470,Risk_Register!G:G,"High")</f>
        <v>2</v>
      </c>
      <c r="H470" s="5" t="str">
        <f aca="false">IF(_xlfn.MAXIFS(Risk_Register!$L:$L,Risk_Register!$B:$B,C470)=3,"High",IF(_xlfn.MAXIFS(Risk_Register!$L:$L,Risk_Register!$B:$B,C470)=2,"Medium","Low"))</f>
        <v>High</v>
      </c>
      <c r="I470" s="5" t="str">
        <f aca="false">IF(B470&lt;=3,"Preferred site - strong composite profile",IF(B470&lt;=10,"Backup candidate - viable with monitoring","Reserve - evaluate only if primary sites unavailable"))</f>
        <v>Reserve - evaluate only if primary sites unavailable</v>
      </c>
    </row>
    <row r="471" customFormat="false" ht="15" hidden="false" customHeight="true" outlineLevel="0" collapsed="false">
      <c r="A471" s="5" t="s">
        <v>6002</v>
      </c>
      <c r="B471" s="5" t="n">
        <v>1</v>
      </c>
      <c r="C471" s="5" t="s">
        <v>1980</v>
      </c>
      <c r="D471" s="5" t="s">
        <v>1981</v>
      </c>
      <c r="E471" s="5" t="s">
        <v>921</v>
      </c>
      <c r="F471" s="5" t="n">
        <f aca="false">INDEX(Site_Evaluation!$K:$K,MATCH(C471,Site_Evaluation!$A:$A,0))</f>
        <v>77</v>
      </c>
      <c r="G471" s="5" t="n">
        <f aca="false">COUNTIFS(Risk_Register!B:B,C471,Risk_Register!G:G,"High")</f>
        <v>3</v>
      </c>
      <c r="H471" s="5" t="str">
        <f aca="false">IF(_xlfn.MAXIFS(Risk_Register!$L:$L,Risk_Register!$B:$B,C471)=3,"High",IF(_xlfn.MAXIFS(Risk_Register!$L:$L,Risk_Register!$B:$B,C471)=2,"Medium","Low"))</f>
        <v>High</v>
      </c>
      <c r="I471" s="5" t="str">
        <f aca="false">IF(B471&lt;=3,"Preferred site - strong composite profile",IF(B471&lt;=10,"Backup candidate - viable with monitoring","Reserve - evaluate only if primary sites unavailable"))</f>
        <v>Preferred site - strong composite profile</v>
      </c>
    </row>
    <row r="472" customFormat="false" ht="15" hidden="false" customHeight="true" outlineLevel="0" collapsed="false">
      <c r="A472" s="5" t="s">
        <v>6002</v>
      </c>
      <c r="B472" s="5" t="n">
        <v>2</v>
      </c>
      <c r="C472" s="5" t="s">
        <v>1782</v>
      </c>
      <c r="D472" s="5" t="s">
        <v>1783</v>
      </c>
      <c r="E472" s="5" t="s">
        <v>956</v>
      </c>
      <c r="F472" s="5" t="n">
        <f aca="false">INDEX(Site_Evaluation!$K:$K,MATCH(C472,Site_Evaluation!$A:$A,0))</f>
        <v>66</v>
      </c>
      <c r="G472" s="5" t="n">
        <f aca="false">COUNTIFS(Risk_Register!B:B,C472,Risk_Register!G:G,"High")</f>
        <v>1</v>
      </c>
      <c r="H472" s="5" t="str">
        <f aca="false">IF(_xlfn.MAXIFS(Risk_Register!$L:$L,Risk_Register!$B:$B,C472)=3,"High",IF(_xlfn.MAXIFS(Risk_Register!$L:$L,Risk_Register!$B:$B,C472)=2,"Medium","Low"))</f>
        <v>High</v>
      </c>
      <c r="I472" s="5" t="str">
        <f aca="false">IF(B472&lt;=3,"Preferred site - strong composite profile",IF(B472&lt;=10,"Backup candidate - viable with monitoring","Reserve - evaluate only if primary sites unavailable"))</f>
        <v>Preferred site - strong composite profile</v>
      </c>
    </row>
    <row r="473" customFormat="false" ht="15" hidden="false" customHeight="true" outlineLevel="0" collapsed="false">
      <c r="A473" s="5" t="s">
        <v>6002</v>
      </c>
      <c r="B473" s="5" t="n">
        <v>3</v>
      </c>
      <c r="C473" s="5" t="s">
        <v>1952</v>
      </c>
      <c r="D473" s="5" t="s">
        <v>1953</v>
      </c>
      <c r="E473" s="5" t="s">
        <v>946</v>
      </c>
      <c r="F473" s="5" t="n">
        <f aca="false">INDEX(Site_Evaluation!$K:$K,MATCH(C473,Site_Evaluation!$A:$A,0))</f>
        <v>66</v>
      </c>
      <c r="G473" s="5" t="n">
        <f aca="false">COUNTIFS(Risk_Register!B:B,C473,Risk_Register!G:G,"High")</f>
        <v>2</v>
      </c>
      <c r="H473" s="5" t="str">
        <f aca="false">IF(_xlfn.MAXIFS(Risk_Register!$L:$L,Risk_Register!$B:$B,C473)=3,"High",IF(_xlfn.MAXIFS(Risk_Register!$L:$L,Risk_Register!$B:$B,C473)=2,"Medium","Low"))</f>
        <v>High</v>
      </c>
      <c r="I473" s="5" t="str">
        <f aca="false">IF(B473&lt;=3,"Preferred site - strong composite profile",IF(B473&lt;=10,"Backup candidate - viable with monitoring","Reserve - evaluate only if primary sites unavailable"))</f>
        <v>Preferred site - strong composite profile</v>
      </c>
    </row>
    <row r="474" customFormat="false" ht="15" hidden="false" customHeight="true" outlineLevel="0" collapsed="false">
      <c r="A474" s="5" t="s">
        <v>6002</v>
      </c>
      <c r="B474" s="5" t="n">
        <v>4</v>
      </c>
      <c r="C474" s="5" t="s">
        <v>2024</v>
      </c>
      <c r="D474" s="5" t="s">
        <v>2025</v>
      </c>
      <c r="E474" s="5" t="s">
        <v>933</v>
      </c>
      <c r="F474" s="5" t="n">
        <f aca="false">INDEX(Site_Evaluation!$K:$K,MATCH(C474,Site_Evaluation!$A:$A,0))</f>
        <v>65</v>
      </c>
      <c r="G474" s="5" t="n">
        <f aca="false">COUNTIFS(Risk_Register!B:B,C474,Risk_Register!G:G,"High")</f>
        <v>1</v>
      </c>
      <c r="H474" s="5" t="str">
        <f aca="false">IF(_xlfn.MAXIFS(Risk_Register!$L:$L,Risk_Register!$B:$B,C474)=3,"High",IF(_xlfn.MAXIFS(Risk_Register!$L:$L,Risk_Register!$B:$B,C474)=2,"Medium","Low"))</f>
        <v>High</v>
      </c>
      <c r="I474" s="5" t="str">
        <f aca="false">IF(B474&lt;=3,"Preferred site - strong composite profile",IF(B474&lt;=10,"Backup candidate - viable with monitoring","Reserve - evaluate only if primary sites unavailable"))</f>
        <v>Backup candidate - viable with monitoring</v>
      </c>
    </row>
    <row r="475" customFormat="false" ht="15" hidden="false" customHeight="true" outlineLevel="0" collapsed="false">
      <c r="A475" s="5" t="s">
        <v>6002</v>
      </c>
      <c r="B475" s="5" t="n">
        <v>5</v>
      </c>
      <c r="C475" s="5" t="s">
        <v>2126</v>
      </c>
      <c r="D475" s="5" t="s">
        <v>2127</v>
      </c>
      <c r="E475" s="5" t="s">
        <v>918</v>
      </c>
      <c r="F475" s="5" t="n">
        <f aca="false">INDEX(Site_Evaluation!$K:$K,MATCH(C475,Site_Evaluation!$A:$A,0))</f>
        <v>64</v>
      </c>
      <c r="G475" s="5" t="n">
        <f aca="false">COUNTIFS(Risk_Register!B:B,C475,Risk_Register!G:G,"High")</f>
        <v>3</v>
      </c>
      <c r="H475" s="5" t="str">
        <f aca="false">IF(_xlfn.MAXIFS(Risk_Register!$L:$L,Risk_Register!$B:$B,C475)=3,"High",IF(_xlfn.MAXIFS(Risk_Register!$L:$L,Risk_Register!$B:$B,C475)=2,"Medium","Low"))</f>
        <v>High</v>
      </c>
      <c r="I475" s="5" t="str">
        <f aca="false">IF(B475&lt;=3,"Preferred site - strong composite profile",IF(B475&lt;=10,"Backup candidate - viable with monitoring","Reserve - evaluate only if primary sites unavailable"))</f>
        <v>Backup candidate - viable with monitoring</v>
      </c>
    </row>
    <row r="476" customFormat="false" ht="15" hidden="false" customHeight="true" outlineLevel="0" collapsed="false">
      <c r="A476" s="5" t="s">
        <v>6002</v>
      </c>
      <c r="B476" s="5" t="n">
        <v>6</v>
      </c>
      <c r="C476" s="5" t="s">
        <v>2160</v>
      </c>
      <c r="D476" s="5" t="s">
        <v>2161</v>
      </c>
      <c r="E476" s="5" t="s">
        <v>929</v>
      </c>
      <c r="F476" s="5" t="n">
        <f aca="false">INDEX(Site_Evaluation!$K:$K,MATCH(C476,Site_Evaluation!$A:$A,0))</f>
        <v>62</v>
      </c>
      <c r="G476" s="5" t="n">
        <f aca="false">COUNTIFS(Risk_Register!B:B,C476,Risk_Register!G:G,"High")</f>
        <v>3</v>
      </c>
      <c r="H476" s="5" t="str">
        <f aca="false">IF(_xlfn.MAXIFS(Risk_Register!$L:$L,Risk_Register!$B:$B,C476)=3,"High",IF(_xlfn.MAXIFS(Risk_Register!$L:$L,Risk_Register!$B:$B,C476)=2,"Medium","Low"))</f>
        <v>High</v>
      </c>
      <c r="I476" s="5" t="str">
        <f aca="false">IF(B476&lt;=3,"Preferred site - strong composite profile",IF(B476&lt;=10,"Backup candidate - viable with monitoring","Reserve - evaluate only if primary sites unavailable"))</f>
        <v>Backup candidate - viable with monitoring</v>
      </c>
    </row>
    <row r="477" customFormat="false" ht="15" hidden="false" customHeight="true" outlineLevel="0" collapsed="false">
      <c r="A477" s="5" t="s">
        <v>6002</v>
      </c>
      <c r="B477" s="5" t="n">
        <v>7</v>
      </c>
      <c r="C477" s="5" t="s">
        <v>1923</v>
      </c>
      <c r="D477" s="5" t="s">
        <v>1924</v>
      </c>
      <c r="E477" s="5" t="s">
        <v>944</v>
      </c>
      <c r="F477" s="5" t="n">
        <f aca="false">INDEX(Site_Evaluation!$K:$K,MATCH(C477,Site_Evaluation!$A:$A,0))</f>
        <v>57</v>
      </c>
      <c r="G477" s="5" t="n">
        <f aca="false">COUNTIFS(Risk_Register!B:B,C477,Risk_Register!G:G,"High")</f>
        <v>3</v>
      </c>
      <c r="H477" s="5" t="str">
        <f aca="false">IF(_xlfn.MAXIFS(Risk_Register!$L:$L,Risk_Register!$B:$B,C477)=3,"High",IF(_xlfn.MAXIFS(Risk_Register!$L:$L,Risk_Register!$B:$B,C477)=2,"Medium","Low"))</f>
        <v>High</v>
      </c>
      <c r="I477" s="5" t="str">
        <f aca="false">IF(B477&lt;=3,"Preferred site - strong composite profile",IF(B477&lt;=10,"Backup candidate - viable with monitoring","Reserve - evaluate only if primary sites unavailable"))</f>
        <v>Backup candidate - viable with monitoring</v>
      </c>
    </row>
    <row r="478" customFormat="false" ht="15" hidden="false" customHeight="true" outlineLevel="0" collapsed="false">
      <c r="A478" s="5" t="s">
        <v>6002</v>
      </c>
      <c r="B478" s="5" t="n">
        <v>8</v>
      </c>
      <c r="C478" s="5" t="s">
        <v>1719</v>
      </c>
      <c r="D478" s="5" t="s">
        <v>1720</v>
      </c>
      <c r="E478" s="5" t="s">
        <v>920</v>
      </c>
      <c r="F478" s="5" t="n">
        <f aca="false">INDEX(Site_Evaluation!$K:$K,MATCH(C478,Site_Evaluation!$A:$A,0))</f>
        <v>55</v>
      </c>
      <c r="G478" s="5" t="n">
        <f aca="false">COUNTIFS(Risk_Register!B:B,C478,Risk_Register!G:G,"High")</f>
        <v>1</v>
      </c>
      <c r="H478" s="5" t="str">
        <f aca="false">IF(_xlfn.MAXIFS(Risk_Register!$L:$L,Risk_Register!$B:$B,C478)=3,"High",IF(_xlfn.MAXIFS(Risk_Register!$L:$L,Risk_Register!$B:$B,C478)=2,"Medium","Low"))</f>
        <v>High</v>
      </c>
      <c r="I478" s="5" t="str">
        <f aca="false">IF(B478&lt;=3,"Preferred site - strong composite profile",IF(B478&lt;=10,"Backup candidate - viable with monitoring","Reserve - evaluate only if primary sites unavailable"))</f>
        <v>Backup candidate - viable with monitoring</v>
      </c>
    </row>
    <row r="479" customFormat="false" ht="15" hidden="false" customHeight="true" outlineLevel="0" collapsed="false">
      <c r="A479" s="5" t="s">
        <v>6002</v>
      </c>
      <c r="B479" s="5" t="n">
        <v>9</v>
      </c>
      <c r="C479" s="5" t="s">
        <v>1760</v>
      </c>
      <c r="D479" s="5" t="s">
        <v>1761</v>
      </c>
      <c r="E479" s="5" t="s">
        <v>948</v>
      </c>
      <c r="F479" s="5" t="n">
        <f aca="false">INDEX(Site_Evaluation!$K:$K,MATCH(C479,Site_Evaluation!$A:$A,0))</f>
        <v>54</v>
      </c>
      <c r="G479" s="5" t="n">
        <f aca="false">COUNTIFS(Risk_Register!B:B,C479,Risk_Register!G:G,"High")</f>
        <v>1</v>
      </c>
      <c r="H479" s="5" t="str">
        <f aca="false">IF(_xlfn.MAXIFS(Risk_Register!$L:$L,Risk_Register!$B:$B,C479)=3,"High",IF(_xlfn.MAXIFS(Risk_Register!$L:$L,Risk_Register!$B:$B,C479)=2,"Medium","Low"))</f>
        <v>High</v>
      </c>
      <c r="I479" s="5" t="str">
        <f aca="false">IF(B479&lt;=3,"Preferred site - strong composite profile",IF(B479&lt;=10,"Backup candidate - viable with monitoring","Reserve - evaluate only if primary sites unavailable"))</f>
        <v>Backup candidate - viable with monitoring</v>
      </c>
    </row>
    <row r="480" customFormat="false" ht="15" hidden="false" customHeight="true" outlineLevel="0" collapsed="false">
      <c r="A480" s="5" t="s">
        <v>6002</v>
      </c>
      <c r="B480" s="5" t="n">
        <v>10</v>
      </c>
      <c r="C480" s="5" t="s">
        <v>1839</v>
      </c>
      <c r="D480" s="5" t="s">
        <v>1840</v>
      </c>
      <c r="E480" s="5" t="s">
        <v>956</v>
      </c>
      <c r="F480" s="5" t="n">
        <f aca="false">INDEX(Site_Evaluation!$K:$K,MATCH(C480,Site_Evaluation!$A:$A,0))</f>
        <v>54</v>
      </c>
      <c r="G480" s="5" t="n">
        <f aca="false">COUNTIFS(Risk_Register!B:B,C480,Risk_Register!G:G,"High")</f>
        <v>2</v>
      </c>
      <c r="H480" s="5" t="str">
        <f aca="false">IF(_xlfn.MAXIFS(Risk_Register!$L:$L,Risk_Register!$B:$B,C480)=3,"High",IF(_xlfn.MAXIFS(Risk_Register!$L:$L,Risk_Register!$B:$B,C480)=2,"Medium","Low"))</f>
        <v>High</v>
      </c>
      <c r="I480" s="5" t="str">
        <f aca="false">IF(B480&lt;=3,"Preferred site - strong composite profile",IF(B480&lt;=10,"Backup candidate - viable with monitoring","Reserve - evaluate only if primary sites unavailable"))</f>
        <v>Backup candidate - viable with monitoring</v>
      </c>
    </row>
    <row r="481" customFormat="false" ht="15" hidden="false" customHeight="true" outlineLevel="0" collapsed="false">
      <c r="A481" s="5" t="s">
        <v>6002</v>
      </c>
      <c r="B481" s="5" t="n">
        <v>11</v>
      </c>
      <c r="C481" s="5" t="s">
        <v>1870</v>
      </c>
      <c r="D481" s="5" t="s">
        <v>1871</v>
      </c>
      <c r="E481" s="5" t="s">
        <v>954</v>
      </c>
      <c r="F481" s="5" t="n">
        <f aca="false">INDEX(Site_Evaluation!$K:$K,MATCH(C481,Site_Evaluation!$A:$A,0))</f>
        <v>53</v>
      </c>
      <c r="G481" s="5" t="n">
        <f aca="false">COUNTIFS(Risk_Register!B:B,C481,Risk_Register!G:G,"High")</f>
        <v>2</v>
      </c>
      <c r="H481" s="5" t="str">
        <f aca="false">IF(_xlfn.MAXIFS(Risk_Register!$L:$L,Risk_Register!$B:$B,C481)=3,"High",IF(_xlfn.MAXIFS(Risk_Register!$L:$L,Risk_Register!$B:$B,C481)=2,"Medium","Low"))</f>
        <v>High</v>
      </c>
      <c r="I481" s="5" t="str">
        <f aca="false">IF(B481&lt;=3,"Preferred site - strong composite profile",IF(B481&lt;=10,"Backup candidate - viable with monitoring","Reserve - evaluate only if primary sites unavailable"))</f>
        <v>Reserve - evaluate only if primary sites unavailable</v>
      </c>
    </row>
    <row r="482" customFormat="false" ht="15" hidden="false" customHeight="true" outlineLevel="0" collapsed="false">
      <c r="A482" s="5" t="s">
        <v>6002</v>
      </c>
      <c r="B482" s="5" t="n">
        <v>12</v>
      </c>
      <c r="C482" s="5" t="s">
        <v>1845</v>
      </c>
      <c r="D482" s="5" t="s">
        <v>1846</v>
      </c>
      <c r="E482" s="5" t="s">
        <v>925</v>
      </c>
      <c r="F482" s="5" t="n">
        <f aca="false">INDEX(Site_Evaluation!$K:$K,MATCH(C482,Site_Evaluation!$A:$A,0))</f>
        <v>51</v>
      </c>
      <c r="G482" s="5" t="n">
        <f aca="false">COUNTIFS(Risk_Register!B:B,C482,Risk_Register!G:G,"High")</f>
        <v>1</v>
      </c>
      <c r="H482" s="5" t="str">
        <f aca="false">IF(_xlfn.MAXIFS(Risk_Register!$L:$L,Risk_Register!$B:$B,C482)=3,"High",IF(_xlfn.MAXIFS(Risk_Register!$L:$L,Risk_Register!$B:$B,C482)=2,"Medium","Low"))</f>
        <v>High</v>
      </c>
      <c r="I482" s="5" t="str">
        <f aca="false">IF(B482&lt;=3,"Preferred site - strong composite profile",IF(B482&lt;=10,"Backup candidate - viable with monitoring","Reserve - evaluate only if primary sites unavailable"))</f>
        <v>Reserve - evaluate only if primary sites unavailable</v>
      </c>
    </row>
    <row r="483" customFormat="false" ht="15" hidden="false" customHeight="true" outlineLevel="0" collapsed="false">
      <c r="A483" s="5" t="s">
        <v>6002</v>
      </c>
      <c r="B483" s="5" t="n">
        <v>13</v>
      </c>
      <c r="C483" s="5" t="s">
        <v>1700</v>
      </c>
      <c r="D483" s="5" t="s">
        <v>1701</v>
      </c>
      <c r="E483" s="5" t="s">
        <v>925</v>
      </c>
      <c r="F483" s="5" t="n">
        <f aca="false">INDEX(Site_Evaluation!$K:$K,MATCH(C483,Site_Evaluation!$A:$A,0))</f>
        <v>48</v>
      </c>
      <c r="G483" s="5" t="n">
        <f aca="false">COUNTIFS(Risk_Register!B:B,C483,Risk_Register!G:G,"High")</f>
        <v>1</v>
      </c>
      <c r="H483" s="5" t="str">
        <f aca="false">IF(_xlfn.MAXIFS(Risk_Register!$L:$L,Risk_Register!$B:$B,C483)=3,"High",IF(_xlfn.MAXIFS(Risk_Register!$L:$L,Risk_Register!$B:$B,C483)=2,"Medium","Low"))</f>
        <v>High</v>
      </c>
      <c r="I483" s="5" t="str">
        <f aca="false">IF(B483&lt;=3,"Preferred site - strong composite profile",IF(B483&lt;=10,"Backup candidate - viable with monitoring","Reserve - evaluate only if primary sites unavailable"))</f>
        <v>Reserve - evaluate only if primary sites unavailable</v>
      </c>
    </row>
    <row r="484" customFormat="false" ht="15" hidden="false" customHeight="true" outlineLevel="0" collapsed="false">
      <c r="A484" s="5" t="s">
        <v>6002</v>
      </c>
      <c r="B484" s="5" t="n">
        <v>14</v>
      </c>
      <c r="C484" s="5" t="s">
        <v>1829</v>
      </c>
      <c r="D484" s="5" t="s">
        <v>1830</v>
      </c>
      <c r="E484" s="5" t="s">
        <v>952</v>
      </c>
      <c r="F484" s="5" t="n">
        <f aca="false">INDEX(Site_Evaluation!$K:$K,MATCH(C484,Site_Evaluation!$A:$A,0))</f>
        <v>48</v>
      </c>
      <c r="G484" s="5" t="n">
        <f aca="false">COUNTIFS(Risk_Register!B:B,C484,Risk_Register!G:G,"High")</f>
        <v>3</v>
      </c>
      <c r="H484" s="5" t="str">
        <f aca="false">IF(_xlfn.MAXIFS(Risk_Register!$L:$L,Risk_Register!$B:$B,C484)=3,"High",IF(_xlfn.MAXIFS(Risk_Register!$L:$L,Risk_Register!$B:$B,C484)=2,"Medium","Low"))</f>
        <v>High</v>
      </c>
      <c r="I484" s="5" t="str">
        <f aca="false">IF(B484&lt;=3,"Preferred site - strong composite profile",IF(B484&lt;=10,"Backup candidate - viable with monitoring","Reserve - evaluate only if primary sites unavailable"))</f>
        <v>Reserve - evaluate only if primary sites unavailable</v>
      </c>
    </row>
    <row r="485" customFormat="false" ht="15" hidden="false" customHeight="true" outlineLevel="0" collapsed="false">
      <c r="A485" s="5" t="s">
        <v>6002</v>
      </c>
      <c r="B485" s="5" t="n">
        <v>15</v>
      </c>
      <c r="C485" s="5" t="s">
        <v>1990</v>
      </c>
      <c r="D485" s="5" t="s">
        <v>1991</v>
      </c>
      <c r="E485" s="5" t="s">
        <v>940</v>
      </c>
      <c r="F485" s="5" t="n">
        <f aca="false">INDEX(Site_Evaluation!$K:$K,MATCH(C485,Site_Evaluation!$A:$A,0))</f>
        <v>48</v>
      </c>
      <c r="G485" s="5" t="n">
        <f aca="false">COUNTIFS(Risk_Register!B:B,C485,Risk_Register!G:G,"High")</f>
        <v>3</v>
      </c>
      <c r="H485" s="5" t="str">
        <f aca="false">IF(_xlfn.MAXIFS(Risk_Register!$L:$L,Risk_Register!$B:$B,C485)=3,"High",IF(_xlfn.MAXIFS(Risk_Register!$L:$L,Risk_Register!$B:$B,C485)=2,"Medium","Low"))</f>
        <v>High</v>
      </c>
      <c r="I485" s="5" t="str">
        <f aca="false">IF(B485&lt;=3,"Preferred site - strong composite profile",IF(B485&lt;=10,"Backup candidate - viable with monitoring","Reserve - evaluate only if primary sites unavailable"))</f>
        <v>Reserve - evaluate only if primary sites unavailable</v>
      </c>
    </row>
    <row r="486" customFormat="false" ht="15" hidden="false" customHeight="true" outlineLevel="0" collapsed="false">
      <c r="A486" s="5" t="s">
        <v>6002</v>
      </c>
      <c r="B486" s="5" t="n">
        <v>16</v>
      </c>
      <c r="C486" s="5" t="s">
        <v>1663</v>
      </c>
      <c r="D486" s="5" t="s">
        <v>1664</v>
      </c>
      <c r="E486" s="5" t="s">
        <v>954</v>
      </c>
      <c r="F486" s="5" t="n">
        <f aca="false">INDEX(Site_Evaluation!$K:$K,MATCH(C486,Site_Evaluation!$A:$A,0))</f>
        <v>46</v>
      </c>
      <c r="G486" s="5" t="n">
        <f aca="false">COUNTIFS(Risk_Register!B:B,C486,Risk_Register!G:G,"High")</f>
        <v>1</v>
      </c>
      <c r="H486" s="5" t="str">
        <f aca="false">IF(_xlfn.MAXIFS(Risk_Register!$L:$L,Risk_Register!$B:$B,C486)=3,"High",IF(_xlfn.MAXIFS(Risk_Register!$L:$L,Risk_Register!$B:$B,C486)=2,"Medium","Low"))</f>
        <v>High</v>
      </c>
      <c r="I486" s="5" t="str">
        <f aca="false">IF(B486&lt;=3,"Preferred site - strong composite profile",IF(B486&lt;=10,"Backup candidate - viable with monitoring","Reserve - evaluate only if primary sites unavailable"))</f>
        <v>Reserve - evaluate only if primary sites unavailable</v>
      </c>
    </row>
    <row r="487" customFormat="false" ht="15" hidden="false" customHeight="true" outlineLevel="0" collapsed="false">
      <c r="A487" s="5" t="s">
        <v>6002</v>
      </c>
      <c r="B487" s="5" t="n">
        <v>17</v>
      </c>
      <c r="C487" s="5" t="s">
        <v>1778</v>
      </c>
      <c r="D487" s="5" t="s">
        <v>1779</v>
      </c>
      <c r="E487" s="5" t="s">
        <v>946</v>
      </c>
      <c r="F487" s="5" t="n">
        <f aca="false">INDEX(Site_Evaluation!$K:$K,MATCH(C487,Site_Evaluation!$A:$A,0))</f>
        <v>44</v>
      </c>
      <c r="G487" s="5" t="n">
        <f aca="false">COUNTIFS(Risk_Register!B:B,C487,Risk_Register!G:G,"High")</f>
        <v>1</v>
      </c>
      <c r="H487" s="5" t="str">
        <f aca="false">IF(_xlfn.MAXIFS(Risk_Register!$L:$L,Risk_Register!$B:$B,C487)=3,"High",IF(_xlfn.MAXIFS(Risk_Register!$L:$L,Risk_Register!$B:$B,C487)=2,"Medium","Low"))</f>
        <v>High</v>
      </c>
      <c r="I487" s="5" t="str">
        <f aca="false">IF(B487&lt;=3,"Preferred site - strong composite profile",IF(B487&lt;=10,"Backup candidate - viable with monitoring","Reserve - evaluate only if primary sites unavailable"))</f>
        <v>Reserve - evaluate only if primary sites unavailable</v>
      </c>
    </row>
    <row r="488" customFormat="false" ht="15" hidden="false" customHeight="true" outlineLevel="0" collapsed="false">
      <c r="A488" s="5" t="s">
        <v>6002</v>
      </c>
      <c r="B488" s="5" t="n">
        <v>18</v>
      </c>
      <c r="C488" s="5" t="s">
        <v>1755</v>
      </c>
      <c r="D488" s="5" t="s">
        <v>1756</v>
      </c>
      <c r="E488" s="5" t="s">
        <v>925</v>
      </c>
      <c r="F488" s="5" t="n">
        <f aca="false">INDEX(Site_Evaluation!$K:$K,MATCH(C488,Site_Evaluation!$A:$A,0))</f>
        <v>43</v>
      </c>
      <c r="G488" s="5" t="n">
        <f aca="false">COUNTIFS(Risk_Register!B:B,C488,Risk_Register!G:G,"High")</f>
        <v>3</v>
      </c>
      <c r="H488" s="5" t="str">
        <f aca="false">IF(_xlfn.MAXIFS(Risk_Register!$L:$L,Risk_Register!$B:$B,C488)=3,"High",IF(_xlfn.MAXIFS(Risk_Register!$L:$L,Risk_Register!$B:$B,C488)=2,"Medium","Low"))</f>
        <v>High</v>
      </c>
      <c r="I488" s="5" t="str">
        <f aca="false">IF(B488&lt;=3,"Preferred site - strong composite profile",IF(B488&lt;=10,"Backup candidate - viable with monitoring","Reserve - evaluate only if primary sites unavailable"))</f>
        <v>Reserve - evaluate only if primary sites unavailable</v>
      </c>
    </row>
    <row r="489" customFormat="false" ht="15" hidden="false" customHeight="true" outlineLevel="0" collapsed="false">
      <c r="A489" s="5" t="s">
        <v>6002</v>
      </c>
      <c r="B489" s="5" t="n">
        <v>19</v>
      </c>
      <c r="C489" s="5" t="s">
        <v>1925</v>
      </c>
      <c r="D489" s="5" t="s">
        <v>1926</v>
      </c>
      <c r="E489" s="5" t="s">
        <v>960</v>
      </c>
      <c r="F489" s="5" t="n">
        <f aca="false">INDEX(Site_Evaluation!$K:$K,MATCH(C489,Site_Evaluation!$A:$A,0))</f>
        <v>42</v>
      </c>
      <c r="G489" s="5" t="n">
        <f aca="false">COUNTIFS(Risk_Register!B:B,C489,Risk_Register!G:G,"High")</f>
        <v>1</v>
      </c>
      <c r="H489" s="5" t="str">
        <f aca="false">IF(_xlfn.MAXIFS(Risk_Register!$L:$L,Risk_Register!$B:$B,C489)=3,"High",IF(_xlfn.MAXIFS(Risk_Register!$L:$L,Risk_Register!$B:$B,C489)=2,"Medium","Low"))</f>
        <v>High</v>
      </c>
      <c r="I489" s="5" t="str">
        <f aca="false">IF(B489&lt;=3,"Preferred site - strong composite profile",IF(B489&lt;=10,"Backup candidate - viable with monitoring","Reserve - evaluate only if primary sites unavailable"))</f>
        <v>Reserve - evaluate only if primary sites unavailable</v>
      </c>
    </row>
    <row r="490" customFormat="false" ht="15" hidden="false" customHeight="true" outlineLevel="0" collapsed="false">
      <c r="A490" s="5" t="s">
        <v>6002</v>
      </c>
      <c r="B490" s="5" t="n">
        <v>20</v>
      </c>
      <c r="C490" s="5" t="s">
        <v>2062</v>
      </c>
      <c r="D490" s="5" t="s">
        <v>2063</v>
      </c>
      <c r="E490" s="5" t="s">
        <v>940</v>
      </c>
      <c r="F490" s="5" t="n">
        <f aca="false">INDEX(Site_Evaluation!$K:$K,MATCH(C490,Site_Evaluation!$A:$A,0))</f>
        <v>42</v>
      </c>
      <c r="G490" s="5" t="n">
        <f aca="false">COUNTIFS(Risk_Register!B:B,C490,Risk_Register!G:G,"High")</f>
        <v>1</v>
      </c>
      <c r="H490" s="5" t="str">
        <f aca="false">IF(_xlfn.MAXIFS(Risk_Register!$L:$L,Risk_Register!$B:$B,C490)=3,"High",IF(_xlfn.MAXIFS(Risk_Register!$L:$L,Risk_Register!$B:$B,C490)=2,"Medium","Low"))</f>
        <v>High</v>
      </c>
      <c r="I490" s="5" t="str">
        <f aca="false">IF(B490&lt;=3,"Preferred site - strong composite profile",IF(B490&lt;=10,"Backup candidate - viable with monitoring","Reserve - evaluate only if primary sites unavailable"))</f>
        <v>Reserve - evaluate only if primary sites unavailable</v>
      </c>
    </row>
    <row r="491" customFormat="false" ht="15" hidden="false" customHeight="true" outlineLevel="0" collapsed="false">
      <c r="A491" s="5" t="s">
        <v>6003</v>
      </c>
      <c r="B491" s="5" t="n">
        <v>1</v>
      </c>
      <c r="C491" s="5" t="s">
        <v>2004</v>
      </c>
      <c r="D491" s="5" t="s">
        <v>2005</v>
      </c>
      <c r="E491" s="5" t="s">
        <v>950</v>
      </c>
      <c r="F491" s="5" t="n">
        <f aca="false">INDEX(Site_Evaluation!$K:$K,MATCH(C491,Site_Evaluation!$A:$A,0))</f>
        <v>76</v>
      </c>
      <c r="G491" s="5" t="n">
        <f aca="false">COUNTIFS(Risk_Register!B:B,C491,Risk_Register!G:G,"High")</f>
        <v>2</v>
      </c>
      <c r="H491" s="5" t="str">
        <f aca="false">IF(_xlfn.MAXIFS(Risk_Register!$L:$L,Risk_Register!$B:$B,C491)=3,"High",IF(_xlfn.MAXIFS(Risk_Register!$L:$L,Risk_Register!$B:$B,C491)=2,"Medium","Low"))</f>
        <v>High</v>
      </c>
      <c r="I491" s="5" t="str">
        <f aca="false">IF(B491&lt;=3,"Preferred site - strong composite profile",IF(B491&lt;=10,"Backup candidate - viable with monitoring","Reserve - evaluate only if primary sites unavailable"))</f>
        <v>Preferred site - strong composite profile</v>
      </c>
    </row>
    <row r="492" customFormat="false" ht="15" hidden="false" customHeight="true" outlineLevel="0" collapsed="false">
      <c r="A492" s="5" t="s">
        <v>6003</v>
      </c>
      <c r="B492" s="5" t="n">
        <v>2</v>
      </c>
      <c r="C492" s="5" t="s">
        <v>1711</v>
      </c>
      <c r="D492" s="5" t="s">
        <v>1712</v>
      </c>
      <c r="E492" s="5" t="s">
        <v>927</v>
      </c>
      <c r="F492" s="5" t="n">
        <f aca="false">INDEX(Site_Evaluation!$K:$K,MATCH(C492,Site_Evaluation!$A:$A,0))</f>
        <v>75</v>
      </c>
      <c r="G492" s="5" t="n">
        <f aca="false">COUNTIFS(Risk_Register!B:B,C492,Risk_Register!G:G,"High")</f>
        <v>3</v>
      </c>
      <c r="H492" s="5" t="str">
        <f aca="false">IF(_xlfn.MAXIFS(Risk_Register!$L:$L,Risk_Register!$B:$B,C492)=3,"High",IF(_xlfn.MAXIFS(Risk_Register!$L:$L,Risk_Register!$B:$B,C492)=2,"Medium","Low"))</f>
        <v>High</v>
      </c>
      <c r="I492" s="5" t="str">
        <f aca="false">IF(B492&lt;=3,"Preferred site - strong composite profile",IF(B492&lt;=10,"Backup candidate - viable with monitoring","Reserve - evaluate only if primary sites unavailable"))</f>
        <v>Preferred site - strong composite profile</v>
      </c>
    </row>
    <row r="493" customFormat="false" ht="15" hidden="false" customHeight="true" outlineLevel="0" collapsed="false">
      <c r="A493" s="5" t="s">
        <v>6003</v>
      </c>
      <c r="B493" s="5" t="n">
        <v>3</v>
      </c>
      <c r="C493" s="5" t="s">
        <v>1768</v>
      </c>
      <c r="D493" s="5" t="s">
        <v>1769</v>
      </c>
      <c r="E493" s="5" t="s">
        <v>946</v>
      </c>
      <c r="F493" s="5" t="n">
        <f aca="false">INDEX(Site_Evaluation!$K:$K,MATCH(C493,Site_Evaluation!$A:$A,0))</f>
        <v>75</v>
      </c>
      <c r="G493" s="5" t="n">
        <f aca="false">COUNTIFS(Risk_Register!B:B,C493,Risk_Register!G:G,"High")</f>
        <v>2</v>
      </c>
      <c r="H493" s="5" t="str">
        <f aca="false">IF(_xlfn.MAXIFS(Risk_Register!$L:$L,Risk_Register!$B:$B,C493)=3,"High",IF(_xlfn.MAXIFS(Risk_Register!$L:$L,Risk_Register!$B:$B,C493)=2,"Medium","Low"))</f>
        <v>High</v>
      </c>
      <c r="I493" s="5" t="str">
        <f aca="false">IF(B493&lt;=3,"Preferred site - strong composite profile",IF(B493&lt;=10,"Backup candidate - viable with monitoring","Reserve - evaluate only if primary sites unavailable"))</f>
        <v>Preferred site - strong composite profile</v>
      </c>
    </row>
    <row r="494" customFormat="false" ht="15" hidden="false" customHeight="true" outlineLevel="0" collapsed="false">
      <c r="A494" s="5" t="s">
        <v>6003</v>
      </c>
      <c r="B494" s="5" t="n">
        <v>4</v>
      </c>
      <c r="C494" s="5" t="s">
        <v>2202</v>
      </c>
      <c r="D494" s="5" t="s">
        <v>2203</v>
      </c>
      <c r="E494" s="5" t="s">
        <v>958</v>
      </c>
      <c r="F494" s="5" t="n">
        <f aca="false">INDEX(Site_Evaluation!$K:$K,MATCH(C494,Site_Evaluation!$A:$A,0))</f>
        <v>74</v>
      </c>
      <c r="G494" s="5" t="n">
        <f aca="false">COUNTIFS(Risk_Register!B:B,C494,Risk_Register!G:G,"High")</f>
        <v>1</v>
      </c>
      <c r="H494" s="5" t="str">
        <f aca="false">IF(_xlfn.MAXIFS(Risk_Register!$L:$L,Risk_Register!$B:$B,C494)=3,"High",IF(_xlfn.MAXIFS(Risk_Register!$L:$L,Risk_Register!$B:$B,C494)=2,"Medium","Low"))</f>
        <v>High</v>
      </c>
      <c r="I494" s="5" t="str">
        <f aca="false">IF(B494&lt;=3,"Preferred site - strong composite profile",IF(B494&lt;=10,"Backup candidate - viable with monitoring","Reserve - evaluate only if primary sites unavailable"))</f>
        <v>Backup candidate - viable with monitoring</v>
      </c>
    </row>
    <row r="495" customFormat="false" ht="15" hidden="false" customHeight="true" outlineLevel="0" collapsed="false">
      <c r="A495" s="5" t="s">
        <v>6003</v>
      </c>
      <c r="B495" s="5" t="n">
        <v>5</v>
      </c>
      <c r="C495" s="5" t="s">
        <v>1854</v>
      </c>
      <c r="D495" s="5" t="s">
        <v>1855</v>
      </c>
      <c r="E495" s="5" t="s">
        <v>948</v>
      </c>
      <c r="F495" s="5" t="n">
        <f aca="false">INDEX(Site_Evaluation!$K:$K,MATCH(C495,Site_Evaluation!$A:$A,0))</f>
        <v>64</v>
      </c>
      <c r="G495" s="5" t="n">
        <f aca="false">COUNTIFS(Risk_Register!B:B,C495,Risk_Register!G:G,"High")</f>
        <v>3</v>
      </c>
      <c r="H495" s="5" t="str">
        <f aca="false">IF(_xlfn.MAXIFS(Risk_Register!$L:$L,Risk_Register!$B:$B,C495)=3,"High",IF(_xlfn.MAXIFS(Risk_Register!$L:$L,Risk_Register!$B:$B,C495)=2,"Medium","Low"))</f>
        <v>High</v>
      </c>
      <c r="I495" s="5" t="str">
        <f aca="false">IF(B495&lt;=3,"Preferred site - strong composite profile",IF(B495&lt;=10,"Backup candidate - viable with monitoring","Reserve - evaluate only if primary sites unavailable"))</f>
        <v>Backup candidate - viable with monitoring</v>
      </c>
    </row>
    <row r="496" customFormat="false" ht="15" hidden="false" customHeight="true" outlineLevel="0" collapsed="false">
      <c r="A496" s="5" t="s">
        <v>6003</v>
      </c>
      <c r="B496" s="5" t="n">
        <v>6</v>
      </c>
      <c r="C496" s="5" t="s">
        <v>1640</v>
      </c>
      <c r="D496" s="5" t="s">
        <v>1641</v>
      </c>
      <c r="E496" s="5" t="s">
        <v>958</v>
      </c>
      <c r="F496" s="5" t="n">
        <f aca="false">INDEX(Site_Evaluation!$K:$K,MATCH(C496,Site_Evaluation!$A:$A,0))</f>
        <v>61</v>
      </c>
      <c r="G496" s="5" t="n">
        <f aca="false">COUNTIFS(Risk_Register!B:B,C496,Risk_Register!G:G,"High")</f>
        <v>1</v>
      </c>
      <c r="H496" s="5" t="str">
        <f aca="false">IF(_xlfn.MAXIFS(Risk_Register!$L:$L,Risk_Register!$B:$B,C496)=3,"High",IF(_xlfn.MAXIFS(Risk_Register!$L:$L,Risk_Register!$B:$B,C496)=2,"Medium","Low"))</f>
        <v>High</v>
      </c>
      <c r="I496" s="5" t="str">
        <f aca="false">IF(B496&lt;=3,"Preferred site - strong composite profile",IF(B496&lt;=10,"Backup candidate - viable with monitoring","Reserve - evaluate only if primary sites unavailable"))</f>
        <v>Backup candidate - viable with monitoring</v>
      </c>
    </row>
    <row r="497" customFormat="false" ht="15" hidden="false" customHeight="true" outlineLevel="0" collapsed="false">
      <c r="A497" s="5" t="s">
        <v>6003</v>
      </c>
      <c r="B497" s="5" t="n">
        <v>7</v>
      </c>
      <c r="C497" s="5" t="s">
        <v>1680</v>
      </c>
      <c r="D497" s="5" t="s">
        <v>1681</v>
      </c>
      <c r="E497" s="5" t="s">
        <v>931</v>
      </c>
      <c r="F497" s="5" t="n">
        <f aca="false">INDEX(Site_Evaluation!$K:$K,MATCH(C497,Site_Evaluation!$A:$A,0))</f>
        <v>60</v>
      </c>
      <c r="G497" s="5" t="n">
        <f aca="false">COUNTIFS(Risk_Register!B:B,C497,Risk_Register!G:G,"High")</f>
        <v>1</v>
      </c>
      <c r="H497" s="5" t="str">
        <f aca="false">IF(_xlfn.MAXIFS(Risk_Register!$L:$L,Risk_Register!$B:$B,C497)=3,"High",IF(_xlfn.MAXIFS(Risk_Register!$L:$L,Risk_Register!$B:$B,C497)=2,"Medium","Low"))</f>
        <v>High</v>
      </c>
      <c r="I497" s="5" t="str">
        <f aca="false">IF(B497&lt;=3,"Preferred site - strong composite profile",IF(B497&lt;=10,"Backup candidate - viable with monitoring","Reserve - evaluate only if primary sites unavailable"))</f>
        <v>Backup candidate - viable with monitoring</v>
      </c>
    </row>
    <row r="498" customFormat="false" ht="15" hidden="false" customHeight="true" outlineLevel="0" collapsed="false">
      <c r="A498" s="5" t="s">
        <v>6003</v>
      </c>
      <c r="B498" s="5" t="n">
        <v>8</v>
      </c>
      <c r="C498" s="5" t="s">
        <v>1751</v>
      </c>
      <c r="D498" s="5" t="s">
        <v>1752</v>
      </c>
      <c r="E498" s="5" t="s">
        <v>958</v>
      </c>
      <c r="F498" s="5" t="n">
        <f aca="false">INDEX(Site_Evaluation!$K:$K,MATCH(C498,Site_Evaluation!$A:$A,0))</f>
        <v>60</v>
      </c>
      <c r="G498" s="5" t="n">
        <f aca="false">COUNTIFS(Risk_Register!B:B,C498,Risk_Register!G:G,"High")</f>
        <v>2</v>
      </c>
      <c r="H498" s="5" t="str">
        <f aca="false">IF(_xlfn.MAXIFS(Risk_Register!$L:$L,Risk_Register!$B:$B,C498)=3,"High",IF(_xlfn.MAXIFS(Risk_Register!$L:$L,Risk_Register!$B:$B,C498)=2,"Medium","Low"))</f>
        <v>High</v>
      </c>
      <c r="I498" s="5" t="str">
        <f aca="false">IF(B498&lt;=3,"Preferred site - strong composite profile",IF(B498&lt;=10,"Backup candidate - viable with monitoring","Reserve - evaluate only if primary sites unavailable"))</f>
        <v>Backup candidate - viable with monitoring</v>
      </c>
    </row>
    <row r="499" customFormat="false" ht="15" hidden="false" customHeight="true" outlineLevel="0" collapsed="false">
      <c r="A499" s="5" t="s">
        <v>6003</v>
      </c>
      <c r="B499" s="5" t="n">
        <v>9</v>
      </c>
      <c r="C499" s="5" t="s">
        <v>1866</v>
      </c>
      <c r="D499" s="5" t="s">
        <v>1867</v>
      </c>
      <c r="E499" s="5" t="s">
        <v>954</v>
      </c>
      <c r="F499" s="5" t="n">
        <f aca="false">INDEX(Site_Evaluation!$K:$K,MATCH(C499,Site_Evaluation!$A:$A,0))</f>
        <v>59</v>
      </c>
      <c r="G499" s="5" t="n">
        <f aca="false">COUNTIFS(Risk_Register!B:B,C499,Risk_Register!G:G,"High")</f>
        <v>2</v>
      </c>
      <c r="H499" s="5" t="str">
        <f aca="false">IF(_xlfn.MAXIFS(Risk_Register!$L:$L,Risk_Register!$B:$B,C499)=3,"High",IF(_xlfn.MAXIFS(Risk_Register!$L:$L,Risk_Register!$B:$B,C499)=2,"Medium","Low"))</f>
        <v>High</v>
      </c>
      <c r="I499" s="5" t="str">
        <f aca="false">IF(B499&lt;=3,"Preferred site - strong composite profile",IF(B499&lt;=10,"Backup candidate - viable with monitoring","Reserve - evaluate only if primary sites unavailable"))</f>
        <v>Backup candidate - viable with monitoring</v>
      </c>
    </row>
    <row r="500" customFormat="false" ht="15" hidden="false" customHeight="true" outlineLevel="0" collapsed="false">
      <c r="A500" s="5" t="s">
        <v>6003</v>
      </c>
      <c r="B500" s="5" t="n">
        <v>10</v>
      </c>
      <c r="C500" s="5" t="s">
        <v>1960</v>
      </c>
      <c r="D500" s="5" t="s">
        <v>1961</v>
      </c>
      <c r="E500" s="5" t="s">
        <v>944</v>
      </c>
      <c r="F500" s="5" t="n">
        <f aca="false">INDEX(Site_Evaluation!$K:$K,MATCH(C500,Site_Evaluation!$A:$A,0))</f>
        <v>57</v>
      </c>
      <c r="G500" s="5" t="n">
        <f aca="false">COUNTIFS(Risk_Register!B:B,C500,Risk_Register!G:G,"High")</f>
        <v>3</v>
      </c>
      <c r="H500" s="5" t="str">
        <f aca="false">IF(_xlfn.MAXIFS(Risk_Register!$L:$L,Risk_Register!$B:$B,C500)=3,"High",IF(_xlfn.MAXIFS(Risk_Register!$L:$L,Risk_Register!$B:$B,C500)=2,"Medium","Low"))</f>
        <v>High</v>
      </c>
      <c r="I500" s="5" t="str">
        <f aca="false">IF(B500&lt;=3,"Preferred site - strong composite profile",IF(B500&lt;=10,"Backup candidate - viable with monitoring","Reserve - evaluate only if primary sites unavailable"))</f>
        <v>Backup candidate - viable with monitoring</v>
      </c>
    </row>
    <row r="501" customFormat="false" ht="15" hidden="false" customHeight="true" outlineLevel="0" collapsed="false">
      <c r="A501" s="5" t="s">
        <v>6003</v>
      </c>
      <c r="B501" s="5" t="n">
        <v>11</v>
      </c>
      <c r="C501" s="5" t="s">
        <v>2104</v>
      </c>
      <c r="D501" s="5" t="s">
        <v>2105</v>
      </c>
      <c r="E501" s="5" t="s">
        <v>918</v>
      </c>
      <c r="F501" s="5" t="n">
        <f aca="false">INDEX(Site_Evaluation!$K:$K,MATCH(C501,Site_Evaluation!$A:$A,0))</f>
        <v>57</v>
      </c>
      <c r="G501" s="5" t="n">
        <f aca="false">COUNTIFS(Risk_Register!B:B,C501,Risk_Register!G:G,"High")</f>
        <v>2</v>
      </c>
      <c r="H501" s="5" t="str">
        <f aca="false">IF(_xlfn.MAXIFS(Risk_Register!$L:$L,Risk_Register!$B:$B,C501)=3,"High",IF(_xlfn.MAXIFS(Risk_Register!$L:$L,Risk_Register!$B:$B,C501)=2,"Medium","Low"))</f>
        <v>High</v>
      </c>
      <c r="I501" s="5" t="str">
        <f aca="false">IF(B501&lt;=3,"Preferred site - strong composite profile",IF(B501&lt;=10,"Backup candidate - viable with monitoring","Reserve - evaluate only if primary sites unavailable"))</f>
        <v>Reserve - evaluate only if primary sites unavailable</v>
      </c>
    </row>
    <row r="502" customFormat="false" ht="15" hidden="false" customHeight="true" outlineLevel="0" collapsed="false">
      <c r="A502" s="5" t="s">
        <v>6003</v>
      </c>
      <c r="B502" s="5" t="n">
        <v>12</v>
      </c>
      <c r="C502" s="5" t="s">
        <v>1996</v>
      </c>
      <c r="D502" s="5" t="s">
        <v>1997</v>
      </c>
      <c r="E502" s="5" t="s">
        <v>962</v>
      </c>
      <c r="F502" s="5" t="n">
        <f aca="false">INDEX(Site_Evaluation!$K:$K,MATCH(C502,Site_Evaluation!$A:$A,0))</f>
        <v>56</v>
      </c>
      <c r="G502" s="5" t="n">
        <f aca="false">COUNTIFS(Risk_Register!B:B,C502,Risk_Register!G:G,"High")</f>
        <v>1</v>
      </c>
      <c r="H502" s="5" t="str">
        <f aca="false">IF(_xlfn.MAXIFS(Risk_Register!$L:$L,Risk_Register!$B:$B,C502)=3,"High",IF(_xlfn.MAXIFS(Risk_Register!$L:$L,Risk_Register!$B:$B,C502)=2,"Medium","Low"))</f>
        <v>High</v>
      </c>
      <c r="I502" s="5" t="str">
        <f aca="false">IF(B502&lt;=3,"Preferred site - strong composite profile",IF(B502&lt;=10,"Backup candidate - viable with monitoring","Reserve - evaluate only if primary sites unavailable"))</f>
        <v>Reserve - evaluate only if primary sites unavailable</v>
      </c>
    </row>
    <row r="503" customFormat="false" ht="15" hidden="false" customHeight="true" outlineLevel="0" collapsed="false">
      <c r="A503" s="5" t="s">
        <v>6003</v>
      </c>
      <c r="B503" s="5" t="n">
        <v>13</v>
      </c>
      <c r="C503" s="5" t="s">
        <v>2146</v>
      </c>
      <c r="D503" s="5" t="s">
        <v>2147</v>
      </c>
      <c r="E503" s="5" t="s">
        <v>958</v>
      </c>
      <c r="F503" s="5" t="n">
        <f aca="false">INDEX(Site_Evaluation!$K:$K,MATCH(C503,Site_Evaluation!$A:$A,0))</f>
        <v>52</v>
      </c>
      <c r="G503" s="5" t="n">
        <f aca="false">COUNTIFS(Risk_Register!B:B,C503,Risk_Register!G:G,"High")</f>
        <v>0</v>
      </c>
      <c r="H503" s="5" t="str">
        <f aca="false">IF(_xlfn.MAXIFS(Risk_Register!$L:$L,Risk_Register!$B:$B,C503)=3,"High",IF(_xlfn.MAXIFS(Risk_Register!$L:$L,Risk_Register!$B:$B,C503)=2,"Medium","Low"))</f>
        <v>Medium</v>
      </c>
      <c r="I503" s="5" t="str">
        <f aca="false">IF(B503&lt;=3,"Preferred site - strong composite profile",IF(B503&lt;=10,"Backup candidate - viable with monitoring","Reserve - evaluate only if primary sites unavailable"))</f>
        <v>Reserve - evaluate only if primary sites unavailable</v>
      </c>
    </row>
    <row r="504" customFormat="false" ht="15" hidden="false" customHeight="true" outlineLevel="0" collapsed="false">
      <c r="A504" s="5" t="s">
        <v>6003</v>
      </c>
      <c r="B504" s="5" t="n">
        <v>14</v>
      </c>
      <c r="C504" s="5" t="s">
        <v>1899</v>
      </c>
      <c r="D504" s="5" t="s">
        <v>1900</v>
      </c>
      <c r="E504" s="5" t="s">
        <v>948</v>
      </c>
      <c r="F504" s="5" t="n">
        <f aca="false">INDEX(Site_Evaluation!$K:$K,MATCH(C504,Site_Evaluation!$A:$A,0))</f>
        <v>51</v>
      </c>
      <c r="G504" s="5" t="n">
        <f aca="false">COUNTIFS(Risk_Register!B:B,C504,Risk_Register!G:G,"High")</f>
        <v>3</v>
      </c>
      <c r="H504" s="5" t="str">
        <f aca="false">IF(_xlfn.MAXIFS(Risk_Register!$L:$L,Risk_Register!$B:$B,C504)=3,"High",IF(_xlfn.MAXIFS(Risk_Register!$L:$L,Risk_Register!$B:$B,C504)=2,"Medium","Low"))</f>
        <v>High</v>
      </c>
      <c r="I504" s="5" t="str">
        <f aca="false">IF(B504&lt;=3,"Preferred site - strong composite profile",IF(B504&lt;=10,"Backup candidate - viable with monitoring","Reserve - evaluate only if primary sites unavailable"))</f>
        <v>Reserve - evaluate only if primary sites unavailable</v>
      </c>
    </row>
    <row r="505" customFormat="false" ht="15" hidden="false" customHeight="true" outlineLevel="0" collapsed="false">
      <c r="A505" s="5" t="s">
        <v>6003</v>
      </c>
      <c r="B505" s="5" t="n">
        <v>15</v>
      </c>
      <c r="C505" s="5" t="s">
        <v>1734</v>
      </c>
      <c r="D505" s="5" t="s">
        <v>1735</v>
      </c>
      <c r="E505" s="5" t="s">
        <v>933</v>
      </c>
      <c r="F505" s="5" t="n">
        <f aca="false">INDEX(Site_Evaluation!$K:$K,MATCH(C505,Site_Evaluation!$A:$A,0))</f>
        <v>50</v>
      </c>
      <c r="G505" s="5" t="n">
        <f aca="false">COUNTIFS(Risk_Register!B:B,C505,Risk_Register!G:G,"High")</f>
        <v>2</v>
      </c>
      <c r="H505" s="5" t="str">
        <f aca="false">IF(_xlfn.MAXIFS(Risk_Register!$L:$L,Risk_Register!$B:$B,C505)=3,"High",IF(_xlfn.MAXIFS(Risk_Register!$L:$L,Risk_Register!$B:$B,C505)=2,"Medium","Low"))</f>
        <v>High</v>
      </c>
      <c r="I505" s="5" t="str">
        <f aca="false">IF(B505&lt;=3,"Preferred site - strong composite profile",IF(B505&lt;=10,"Backup candidate - viable with monitoring","Reserve - evaluate only if primary sites unavailable"))</f>
        <v>Reserve - evaluate only if primary sites unavailable</v>
      </c>
    </row>
    <row r="506" customFormat="false" ht="15" hidden="false" customHeight="true" outlineLevel="0" collapsed="false">
      <c r="A506" s="5" t="s">
        <v>6003</v>
      </c>
      <c r="B506" s="5" t="n">
        <v>16</v>
      </c>
      <c r="C506" s="5" t="s">
        <v>1978</v>
      </c>
      <c r="D506" s="5" t="s">
        <v>1979</v>
      </c>
      <c r="E506" s="5" t="s">
        <v>918</v>
      </c>
      <c r="F506" s="5" t="n">
        <f aca="false">INDEX(Site_Evaluation!$K:$K,MATCH(C506,Site_Evaluation!$A:$A,0))</f>
        <v>50</v>
      </c>
      <c r="G506" s="5" t="n">
        <f aca="false">COUNTIFS(Risk_Register!B:B,C506,Risk_Register!G:G,"High")</f>
        <v>3</v>
      </c>
      <c r="H506" s="5" t="str">
        <f aca="false">IF(_xlfn.MAXIFS(Risk_Register!$L:$L,Risk_Register!$B:$B,C506)=3,"High",IF(_xlfn.MAXIFS(Risk_Register!$L:$L,Risk_Register!$B:$B,C506)=2,"Medium","Low"))</f>
        <v>High</v>
      </c>
      <c r="I506" s="5" t="str">
        <f aca="false">IF(B506&lt;=3,"Preferred site - strong composite profile",IF(B506&lt;=10,"Backup candidate - viable with monitoring","Reserve - evaluate only if primary sites unavailable"))</f>
        <v>Reserve - evaluate only if primary sites unavailable</v>
      </c>
    </row>
    <row r="507" customFormat="false" ht="15" hidden="false" customHeight="true" outlineLevel="0" collapsed="false">
      <c r="A507" s="5" t="s">
        <v>6003</v>
      </c>
      <c r="B507" s="5" t="n">
        <v>17</v>
      </c>
      <c r="C507" s="5" t="s">
        <v>1968</v>
      </c>
      <c r="D507" s="5" t="s">
        <v>1969</v>
      </c>
      <c r="E507" s="5" t="s">
        <v>948</v>
      </c>
      <c r="F507" s="5" t="n">
        <f aca="false">INDEX(Site_Evaluation!$K:$K,MATCH(C507,Site_Evaluation!$A:$A,0))</f>
        <v>49</v>
      </c>
      <c r="G507" s="5" t="n">
        <f aca="false">COUNTIFS(Risk_Register!B:B,C507,Risk_Register!G:G,"High")</f>
        <v>2</v>
      </c>
      <c r="H507" s="5" t="str">
        <f aca="false">IF(_xlfn.MAXIFS(Risk_Register!$L:$L,Risk_Register!$B:$B,C507)=3,"High",IF(_xlfn.MAXIFS(Risk_Register!$L:$L,Risk_Register!$B:$B,C507)=2,"Medium","Low"))</f>
        <v>High</v>
      </c>
      <c r="I507" s="5" t="str">
        <f aca="false">IF(B507&lt;=3,"Preferred site - strong composite profile",IF(B507&lt;=10,"Backup candidate - viable with monitoring","Reserve - evaluate only if primary sites unavailable"))</f>
        <v>Reserve - evaluate only if primary sites unavailable</v>
      </c>
    </row>
    <row r="508" customFormat="false" ht="15" hidden="false" customHeight="true" outlineLevel="0" collapsed="false">
      <c r="A508" s="5" t="s">
        <v>6003</v>
      </c>
      <c r="B508" s="5" t="n">
        <v>18</v>
      </c>
      <c r="C508" s="5" t="s">
        <v>1872</v>
      </c>
      <c r="D508" s="5" t="s">
        <v>1873</v>
      </c>
      <c r="E508" s="5" t="s">
        <v>954</v>
      </c>
      <c r="F508" s="5" t="n">
        <f aca="false">INDEX(Site_Evaluation!$K:$K,MATCH(C508,Site_Evaluation!$A:$A,0))</f>
        <v>48</v>
      </c>
      <c r="G508" s="5" t="n">
        <f aca="false">COUNTIFS(Risk_Register!B:B,C508,Risk_Register!G:G,"High")</f>
        <v>2</v>
      </c>
      <c r="H508" s="5" t="str">
        <f aca="false">IF(_xlfn.MAXIFS(Risk_Register!$L:$L,Risk_Register!$B:$B,C508)=3,"High",IF(_xlfn.MAXIFS(Risk_Register!$L:$L,Risk_Register!$B:$B,C508)=2,"Medium","Low"))</f>
        <v>High</v>
      </c>
      <c r="I508" s="5" t="str">
        <f aca="false">IF(B508&lt;=3,"Preferred site - strong composite profile",IF(B508&lt;=10,"Backup candidate - viable with monitoring","Reserve - evaluate only if primary sites unavailable"))</f>
        <v>Reserve - evaluate only if primary sites unavailable</v>
      </c>
    </row>
    <row r="509" customFormat="false" ht="15" hidden="false" customHeight="true" outlineLevel="0" collapsed="false">
      <c r="A509" s="5" t="s">
        <v>6003</v>
      </c>
      <c r="B509" s="5" t="n">
        <v>19</v>
      </c>
      <c r="C509" s="5" t="s">
        <v>1814</v>
      </c>
      <c r="D509" s="5" t="s">
        <v>1815</v>
      </c>
      <c r="E509" s="5" t="s">
        <v>958</v>
      </c>
      <c r="F509" s="5" t="n">
        <f aca="false">INDEX(Site_Evaluation!$K:$K,MATCH(C509,Site_Evaluation!$A:$A,0))</f>
        <v>47</v>
      </c>
      <c r="G509" s="5" t="n">
        <f aca="false">COUNTIFS(Risk_Register!B:B,C509,Risk_Register!G:G,"High")</f>
        <v>3</v>
      </c>
      <c r="H509" s="5" t="str">
        <f aca="false">IF(_xlfn.MAXIFS(Risk_Register!$L:$L,Risk_Register!$B:$B,C509)=3,"High",IF(_xlfn.MAXIFS(Risk_Register!$L:$L,Risk_Register!$B:$B,C509)=2,"Medium","Low"))</f>
        <v>High</v>
      </c>
      <c r="I509" s="5" t="str">
        <f aca="false">IF(B509&lt;=3,"Preferred site - strong composite profile",IF(B509&lt;=10,"Backup candidate - viable with monitoring","Reserve - evaluate only if primary sites unavailable"))</f>
        <v>Reserve - evaluate only if primary sites unavailable</v>
      </c>
    </row>
    <row r="510" customFormat="false" ht="15" hidden="false" customHeight="true" outlineLevel="0" collapsed="false">
      <c r="A510" s="5" t="s">
        <v>6003</v>
      </c>
      <c r="B510" s="5" t="n">
        <v>20</v>
      </c>
      <c r="C510" s="5" t="s">
        <v>1726</v>
      </c>
      <c r="D510" s="5" t="s">
        <v>1727</v>
      </c>
      <c r="E510" s="5" t="s">
        <v>946</v>
      </c>
      <c r="F510" s="5" t="n">
        <f aca="false">INDEX(Site_Evaluation!$K:$K,MATCH(C510,Site_Evaluation!$A:$A,0))</f>
        <v>46</v>
      </c>
      <c r="G510" s="5" t="n">
        <f aca="false">COUNTIFS(Risk_Register!B:B,C510,Risk_Register!G:G,"High")</f>
        <v>1</v>
      </c>
      <c r="H510" s="5" t="str">
        <f aca="false">IF(_xlfn.MAXIFS(Risk_Register!$L:$L,Risk_Register!$B:$B,C510)=3,"High",IF(_xlfn.MAXIFS(Risk_Register!$L:$L,Risk_Register!$B:$B,C510)=2,"Medium","Low"))</f>
        <v>High</v>
      </c>
      <c r="I510" s="5" t="str">
        <f aca="false">IF(B510&lt;=3,"Preferred site - strong composite profile",IF(B510&lt;=10,"Backup candidate - viable with monitoring","Reserve - evaluate only if primary sites unavailable"))</f>
        <v>Reserve - evaluate only if primary sites unavailable</v>
      </c>
    </row>
    <row r="511" customFormat="false" ht="15" hidden="false" customHeight="true" outlineLevel="0" collapsed="false">
      <c r="A511" s="5" t="s">
        <v>6004</v>
      </c>
      <c r="B511" s="5" t="n">
        <v>1</v>
      </c>
      <c r="C511" s="5" t="s">
        <v>1874</v>
      </c>
      <c r="D511" s="5" t="s">
        <v>1875</v>
      </c>
      <c r="E511" s="5" t="s">
        <v>938</v>
      </c>
      <c r="F511" s="5" t="n">
        <f aca="false">INDEX(Site_Evaluation!$K:$K,MATCH(C511,Site_Evaluation!$A:$A,0))</f>
        <v>78</v>
      </c>
      <c r="G511" s="5" t="n">
        <f aca="false">COUNTIFS(Risk_Register!B:B,C511,Risk_Register!G:G,"High")</f>
        <v>2</v>
      </c>
      <c r="H511" s="5" t="str">
        <f aca="false">IF(_xlfn.MAXIFS(Risk_Register!$L:$L,Risk_Register!$B:$B,C511)=3,"High",IF(_xlfn.MAXIFS(Risk_Register!$L:$L,Risk_Register!$B:$B,C511)=2,"Medium","Low"))</f>
        <v>High</v>
      </c>
      <c r="I511" s="5" t="str">
        <f aca="false">IF(B511&lt;=3,"Preferred site - strong composite profile",IF(B511&lt;=10,"Backup candidate - viable with monitoring","Reserve - evaluate only if primary sites unavailable"))</f>
        <v>Preferred site - strong composite profile</v>
      </c>
    </row>
    <row r="512" customFormat="false" ht="15" hidden="false" customHeight="true" outlineLevel="0" collapsed="false">
      <c r="A512" s="5" t="s">
        <v>6004</v>
      </c>
      <c r="B512" s="5" t="n">
        <v>2</v>
      </c>
      <c r="C512" s="5" t="s">
        <v>2150</v>
      </c>
      <c r="D512" s="5" t="s">
        <v>2151</v>
      </c>
      <c r="E512" s="5" t="s">
        <v>956</v>
      </c>
      <c r="F512" s="5" t="n">
        <f aca="false">INDEX(Site_Evaluation!$K:$K,MATCH(C512,Site_Evaluation!$A:$A,0))</f>
        <v>74</v>
      </c>
      <c r="G512" s="5" t="n">
        <f aca="false">COUNTIFS(Risk_Register!B:B,C512,Risk_Register!G:G,"High")</f>
        <v>2</v>
      </c>
      <c r="H512" s="5" t="str">
        <f aca="false">IF(_xlfn.MAXIFS(Risk_Register!$L:$L,Risk_Register!$B:$B,C512)=3,"High",IF(_xlfn.MAXIFS(Risk_Register!$L:$L,Risk_Register!$B:$B,C512)=2,"Medium","Low"))</f>
        <v>High</v>
      </c>
      <c r="I512" s="5" t="str">
        <f aca="false">IF(B512&lt;=3,"Preferred site - strong composite profile",IF(B512&lt;=10,"Backup candidate - viable with monitoring","Reserve - evaluate only if primary sites unavailable"))</f>
        <v>Preferred site - strong composite profile</v>
      </c>
    </row>
    <row r="513" customFormat="false" ht="15" hidden="false" customHeight="true" outlineLevel="0" collapsed="false">
      <c r="A513" s="5" t="s">
        <v>6004</v>
      </c>
      <c r="B513" s="5" t="n">
        <v>3</v>
      </c>
      <c r="C513" s="5" t="s">
        <v>1915</v>
      </c>
      <c r="D513" s="5" t="s">
        <v>1916</v>
      </c>
      <c r="E513" s="5" t="s">
        <v>948</v>
      </c>
      <c r="F513" s="5" t="n">
        <f aca="false">INDEX(Site_Evaluation!$K:$K,MATCH(C513,Site_Evaluation!$A:$A,0))</f>
        <v>72</v>
      </c>
      <c r="G513" s="5" t="n">
        <f aca="false">COUNTIFS(Risk_Register!B:B,C513,Risk_Register!G:G,"High")</f>
        <v>2</v>
      </c>
      <c r="H513" s="5" t="str">
        <f aca="false">IF(_xlfn.MAXIFS(Risk_Register!$L:$L,Risk_Register!$B:$B,C513)=3,"High",IF(_xlfn.MAXIFS(Risk_Register!$L:$L,Risk_Register!$B:$B,C513)=2,"Medium","Low"))</f>
        <v>High</v>
      </c>
      <c r="I513" s="5" t="str">
        <f aca="false">IF(B513&lt;=3,"Preferred site - strong composite profile",IF(B513&lt;=10,"Backup candidate - viable with monitoring","Reserve - evaluate only if primary sites unavailable"))</f>
        <v>Preferred site - strong composite profile</v>
      </c>
    </row>
    <row r="514" customFormat="false" ht="15" hidden="false" customHeight="true" outlineLevel="0" collapsed="false">
      <c r="A514" s="5" t="s">
        <v>6004</v>
      </c>
      <c r="B514" s="5" t="n">
        <v>4</v>
      </c>
      <c r="C514" s="5" t="s">
        <v>1625</v>
      </c>
      <c r="D514" s="5" t="s">
        <v>1626</v>
      </c>
      <c r="E514" s="5" t="s">
        <v>929</v>
      </c>
      <c r="F514" s="5" t="n">
        <f aca="false">INDEX(Site_Evaluation!$K:$K,MATCH(C514,Site_Evaluation!$A:$A,0))</f>
        <v>65</v>
      </c>
      <c r="G514" s="5" t="n">
        <f aca="false">COUNTIFS(Risk_Register!B:B,C514,Risk_Register!G:G,"High")</f>
        <v>4</v>
      </c>
      <c r="H514" s="5" t="str">
        <f aca="false">IF(_xlfn.MAXIFS(Risk_Register!$L:$L,Risk_Register!$B:$B,C514)=3,"High",IF(_xlfn.MAXIFS(Risk_Register!$L:$L,Risk_Register!$B:$B,C514)=2,"Medium","Low"))</f>
        <v>High</v>
      </c>
      <c r="I514" s="5" t="str">
        <f aca="false">IF(B514&lt;=3,"Preferred site - strong composite profile",IF(B514&lt;=10,"Backup candidate - viable with monitoring","Reserve - evaluate only if primary sites unavailable"))</f>
        <v>Backup candidate - viable with monitoring</v>
      </c>
    </row>
    <row r="515" customFormat="false" ht="15" hidden="false" customHeight="true" outlineLevel="0" collapsed="false">
      <c r="A515" s="5" t="s">
        <v>6004</v>
      </c>
      <c r="B515" s="5" t="n">
        <v>5</v>
      </c>
      <c r="C515" s="5" t="s">
        <v>1886</v>
      </c>
      <c r="D515" s="5" t="s">
        <v>1887</v>
      </c>
      <c r="E515" s="5" t="s">
        <v>958</v>
      </c>
      <c r="F515" s="5" t="n">
        <f aca="false">INDEX(Site_Evaluation!$K:$K,MATCH(C515,Site_Evaluation!$A:$A,0))</f>
        <v>65</v>
      </c>
      <c r="G515" s="5" t="n">
        <f aca="false">COUNTIFS(Risk_Register!B:B,C515,Risk_Register!G:G,"High")</f>
        <v>3</v>
      </c>
      <c r="H515" s="5" t="str">
        <f aca="false">IF(_xlfn.MAXIFS(Risk_Register!$L:$L,Risk_Register!$B:$B,C515)=3,"High",IF(_xlfn.MAXIFS(Risk_Register!$L:$L,Risk_Register!$B:$B,C515)=2,"Medium","Low"))</f>
        <v>High</v>
      </c>
      <c r="I515" s="5" t="str">
        <f aca="false">IF(B515&lt;=3,"Preferred site - strong composite profile",IF(B515&lt;=10,"Backup candidate - viable with monitoring","Reserve - evaluate only if primary sites unavailable"))</f>
        <v>Backup candidate - viable with monitoring</v>
      </c>
    </row>
    <row r="516" customFormat="false" ht="15" hidden="false" customHeight="true" outlineLevel="0" collapsed="false">
      <c r="A516" s="5" t="s">
        <v>6004</v>
      </c>
      <c r="B516" s="5" t="n">
        <v>6</v>
      </c>
      <c r="C516" s="5" t="s">
        <v>1992</v>
      </c>
      <c r="D516" s="5" t="s">
        <v>1993</v>
      </c>
      <c r="E516" s="5" t="s">
        <v>962</v>
      </c>
      <c r="F516" s="5" t="n">
        <f aca="false">INDEX(Site_Evaluation!$K:$K,MATCH(C516,Site_Evaluation!$A:$A,0))</f>
        <v>62</v>
      </c>
      <c r="G516" s="5" t="n">
        <f aca="false">COUNTIFS(Risk_Register!B:B,C516,Risk_Register!G:G,"High")</f>
        <v>2</v>
      </c>
      <c r="H516" s="5" t="str">
        <f aca="false">IF(_xlfn.MAXIFS(Risk_Register!$L:$L,Risk_Register!$B:$B,C516)=3,"High",IF(_xlfn.MAXIFS(Risk_Register!$L:$L,Risk_Register!$B:$B,C516)=2,"Medium","Low"))</f>
        <v>High</v>
      </c>
      <c r="I516" s="5" t="str">
        <f aca="false">IF(B516&lt;=3,"Preferred site - strong composite profile",IF(B516&lt;=10,"Backup candidate - viable with monitoring","Reserve - evaluate only if primary sites unavailable"))</f>
        <v>Backup candidate - viable with monitoring</v>
      </c>
    </row>
    <row r="517" customFormat="false" ht="15" hidden="false" customHeight="true" outlineLevel="0" collapsed="false">
      <c r="A517" s="5" t="s">
        <v>6004</v>
      </c>
      <c r="B517" s="5" t="n">
        <v>7</v>
      </c>
      <c r="C517" s="5" t="s">
        <v>1678</v>
      </c>
      <c r="D517" s="5" t="s">
        <v>1679</v>
      </c>
      <c r="E517" s="5" t="s">
        <v>931</v>
      </c>
      <c r="F517" s="5" t="n">
        <f aca="false">INDEX(Site_Evaluation!$K:$K,MATCH(C517,Site_Evaluation!$A:$A,0))</f>
        <v>61</v>
      </c>
      <c r="G517" s="5" t="n">
        <f aca="false">COUNTIFS(Risk_Register!B:B,C517,Risk_Register!G:G,"High")</f>
        <v>2</v>
      </c>
      <c r="H517" s="5" t="str">
        <f aca="false">IF(_xlfn.MAXIFS(Risk_Register!$L:$L,Risk_Register!$B:$B,C517)=3,"High",IF(_xlfn.MAXIFS(Risk_Register!$L:$L,Risk_Register!$B:$B,C517)=2,"Medium","Low"))</f>
        <v>High</v>
      </c>
      <c r="I517" s="5" t="str">
        <f aca="false">IF(B517&lt;=3,"Preferred site - strong composite profile",IF(B517&lt;=10,"Backup candidate - viable with monitoring","Reserve - evaluate only if primary sites unavailable"))</f>
        <v>Backup candidate - viable with monitoring</v>
      </c>
    </row>
    <row r="518" customFormat="false" ht="15" hidden="false" customHeight="true" outlineLevel="0" collapsed="false">
      <c r="A518" s="5" t="s">
        <v>6004</v>
      </c>
      <c r="B518" s="5" t="n">
        <v>8</v>
      </c>
      <c r="C518" s="5" t="s">
        <v>1794</v>
      </c>
      <c r="D518" s="5" t="s">
        <v>1795</v>
      </c>
      <c r="E518" s="5" t="s">
        <v>950</v>
      </c>
      <c r="F518" s="5" t="n">
        <f aca="false">INDEX(Site_Evaluation!$K:$K,MATCH(C518,Site_Evaluation!$A:$A,0))</f>
        <v>61</v>
      </c>
      <c r="G518" s="5" t="n">
        <f aca="false">COUNTIFS(Risk_Register!B:B,C518,Risk_Register!G:G,"High")</f>
        <v>4</v>
      </c>
      <c r="H518" s="5" t="str">
        <f aca="false">IF(_xlfn.MAXIFS(Risk_Register!$L:$L,Risk_Register!$B:$B,C518)=3,"High",IF(_xlfn.MAXIFS(Risk_Register!$L:$L,Risk_Register!$B:$B,C518)=2,"Medium","Low"))</f>
        <v>High</v>
      </c>
      <c r="I518" s="5" t="str">
        <f aca="false">IF(B518&lt;=3,"Preferred site - strong composite profile",IF(B518&lt;=10,"Backup candidate - viable with monitoring","Reserve - evaluate only if primary sites unavailable"))</f>
        <v>Backup candidate - viable with monitoring</v>
      </c>
    </row>
    <row r="519" customFormat="false" ht="15" hidden="false" customHeight="true" outlineLevel="0" collapsed="false">
      <c r="A519" s="5" t="s">
        <v>6004</v>
      </c>
      <c r="B519" s="5" t="n">
        <v>9</v>
      </c>
      <c r="C519" s="5" t="s">
        <v>1665</v>
      </c>
      <c r="D519" s="5" t="s">
        <v>1666</v>
      </c>
      <c r="E519" s="5" t="s">
        <v>940</v>
      </c>
      <c r="F519" s="5" t="n">
        <f aca="false">INDEX(Site_Evaluation!$K:$K,MATCH(C519,Site_Evaluation!$A:$A,0))</f>
        <v>60</v>
      </c>
      <c r="G519" s="5" t="n">
        <f aca="false">COUNTIFS(Risk_Register!B:B,C519,Risk_Register!G:G,"High")</f>
        <v>2</v>
      </c>
      <c r="H519" s="5" t="str">
        <f aca="false">IF(_xlfn.MAXIFS(Risk_Register!$L:$L,Risk_Register!$B:$B,C519)=3,"High",IF(_xlfn.MAXIFS(Risk_Register!$L:$L,Risk_Register!$B:$B,C519)=2,"Medium","Low"))</f>
        <v>High</v>
      </c>
      <c r="I519" s="5" t="str">
        <f aca="false">IF(B519&lt;=3,"Preferred site - strong composite profile",IF(B519&lt;=10,"Backup candidate - viable with monitoring","Reserve - evaluate only if primary sites unavailable"))</f>
        <v>Backup candidate - viable with monitoring</v>
      </c>
    </row>
    <row r="520" customFormat="false" ht="15" hidden="false" customHeight="true" outlineLevel="0" collapsed="false">
      <c r="A520" s="5" t="s">
        <v>6004</v>
      </c>
      <c r="B520" s="5" t="n">
        <v>10</v>
      </c>
      <c r="C520" s="5" t="s">
        <v>1964</v>
      </c>
      <c r="D520" s="5" t="s">
        <v>1965</v>
      </c>
      <c r="E520" s="5" t="s">
        <v>929</v>
      </c>
      <c r="F520" s="5" t="n">
        <f aca="false">INDEX(Site_Evaluation!$K:$K,MATCH(C520,Site_Evaluation!$A:$A,0))</f>
        <v>57</v>
      </c>
      <c r="G520" s="5" t="n">
        <f aca="false">COUNTIFS(Risk_Register!B:B,C520,Risk_Register!G:G,"High")</f>
        <v>3</v>
      </c>
      <c r="H520" s="5" t="str">
        <f aca="false">IF(_xlfn.MAXIFS(Risk_Register!$L:$L,Risk_Register!$B:$B,C520)=3,"High",IF(_xlfn.MAXIFS(Risk_Register!$L:$L,Risk_Register!$B:$B,C520)=2,"Medium","Low"))</f>
        <v>High</v>
      </c>
      <c r="I520" s="5" t="str">
        <f aca="false">IF(B520&lt;=3,"Preferred site - strong composite profile",IF(B520&lt;=10,"Backup candidate - viable with monitoring","Reserve - evaluate only if primary sites unavailable"))</f>
        <v>Backup candidate - viable with monitoring</v>
      </c>
    </row>
    <row r="521" customFormat="false" ht="15" hidden="false" customHeight="true" outlineLevel="0" collapsed="false">
      <c r="A521" s="5" t="s">
        <v>6004</v>
      </c>
      <c r="B521" s="5" t="n">
        <v>11</v>
      </c>
      <c r="C521" s="5" t="s">
        <v>1806</v>
      </c>
      <c r="D521" s="5" t="s">
        <v>1807</v>
      </c>
      <c r="E521" s="5" t="s">
        <v>935</v>
      </c>
      <c r="F521" s="5" t="n">
        <f aca="false">INDEX(Site_Evaluation!$K:$K,MATCH(C521,Site_Evaluation!$A:$A,0))</f>
        <v>56</v>
      </c>
      <c r="G521" s="5" t="n">
        <f aca="false">COUNTIFS(Risk_Register!B:B,C521,Risk_Register!G:G,"High")</f>
        <v>3</v>
      </c>
      <c r="H521" s="5" t="str">
        <f aca="false">IF(_xlfn.MAXIFS(Risk_Register!$L:$L,Risk_Register!$B:$B,C521)=3,"High",IF(_xlfn.MAXIFS(Risk_Register!$L:$L,Risk_Register!$B:$B,C521)=2,"Medium","Low"))</f>
        <v>High</v>
      </c>
      <c r="I521" s="5" t="str">
        <f aca="false">IF(B521&lt;=3,"Preferred site - strong composite profile",IF(B521&lt;=10,"Backup candidate - viable with monitoring","Reserve - evaluate only if primary sites unavailable"))</f>
        <v>Reserve - evaluate only if primary sites unavailable</v>
      </c>
    </row>
    <row r="522" customFormat="false" ht="15" hidden="false" customHeight="true" outlineLevel="0" collapsed="false">
      <c r="A522" s="5" t="s">
        <v>6004</v>
      </c>
      <c r="B522" s="5" t="n">
        <v>12</v>
      </c>
      <c r="C522" s="5" t="s">
        <v>1847</v>
      </c>
      <c r="D522" s="5" t="s">
        <v>1848</v>
      </c>
      <c r="E522" s="5" t="s">
        <v>952</v>
      </c>
      <c r="F522" s="5" t="n">
        <f aca="false">INDEX(Site_Evaluation!$K:$K,MATCH(C522,Site_Evaluation!$A:$A,0))</f>
        <v>56</v>
      </c>
      <c r="G522" s="5" t="n">
        <f aca="false">COUNTIFS(Risk_Register!B:B,C522,Risk_Register!G:G,"High")</f>
        <v>2</v>
      </c>
      <c r="H522" s="5" t="str">
        <f aca="false">IF(_xlfn.MAXIFS(Risk_Register!$L:$L,Risk_Register!$B:$B,C522)=3,"High",IF(_xlfn.MAXIFS(Risk_Register!$L:$L,Risk_Register!$B:$B,C522)=2,"Medium","Low"))</f>
        <v>High</v>
      </c>
      <c r="I522" s="5" t="str">
        <f aca="false">IF(B522&lt;=3,"Preferred site - strong composite profile",IF(B522&lt;=10,"Backup candidate - viable with monitoring","Reserve - evaluate only if primary sites unavailable"))</f>
        <v>Reserve - evaluate only if primary sites unavailable</v>
      </c>
    </row>
    <row r="523" customFormat="false" ht="15" hidden="false" customHeight="true" outlineLevel="0" collapsed="false">
      <c r="A523" s="5" t="s">
        <v>6004</v>
      </c>
      <c r="B523" s="5" t="n">
        <v>13</v>
      </c>
      <c r="C523" s="5" t="s">
        <v>1694</v>
      </c>
      <c r="D523" s="5" t="s">
        <v>1695</v>
      </c>
      <c r="E523" s="5" t="s">
        <v>940</v>
      </c>
      <c r="F523" s="5" t="n">
        <f aca="false">INDEX(Site_Evaluation!$K:$K,MATCH(C523,Site_Evaluation!$A:$A,0))</f>
        <v>55</v>
      </c>
      <c r="G523" s="5" t="n">
        <f aca="false">COUNTIFS(Risk_Register!B:B,C523,Risk_Register!G:G,"High")</f>
        <v>1</v>
      </c>
      <c r="H523" s="5" t="str">
        <f aca="false">IF(_xlfn.MAXIFS(Risk_Register!$L:$L,Risk_Register!$B:$B,C523)=3,"High",IF(_xlfn.MAXIFS(Risk_Register!$L:$L,Risk_Register!$B:$B,C523)=2,"Medium","Low"))</f>
        <v>High</v>
      </c>
      <c r="I523" s="5" t="str">
        <f aca="false">IF(B523&lt;=3,"Preferred site - strong composite profile",IF(B523&lt;=10,"Backup candidate - viable with monitoring","Reserve - evaluate only if primary sites unavailable"))</f>
        <v>Reserve - evaluate only if primary sites unavailable</v>
      </c>
    </row>
    <row r="524" customFormat="false" ht="15" hidden="false" customHeight="true" outlineLevel="0" collapsed="false">
      <c r="A524" s="5" t="s">
        <v>6004</v>
      </c>
      <c r="B524" s="5" t="n">
        <v>14</v>
      </c>
      <c r="C524" s="5" t="s">
        <v>2008</v>
      </c>
      <c r="D524" s="5" t="s">
        <v>2009</v>
      </c>
      <c r="E524" s="5" t="s">
        <v>921</v>
      </c>
      <c r="F524" s="5" t="n">
        <f aca="false">INDEX(Site_Evaluation!$K:$K,MATCH(C524,Site_Evaluation!$A:$A,0))</f>
        <v>55</v>
      </c>
      <c r="G524" s="5" t="n">
        <f aca="false">COUNTIFS(Risk_Register!B:B,C524,Risk_Register!G:G,"High")</f>
        <v>2</v>
      </c>
      <c r="H524" s="5" t="str">
        <f aca="false">IF(_xlfn.MAXIFS(Risk_Register!$L:$L,Risk_Register!$B:$B,C524)=3,"High",IF(_xlfn.MAXIFS(Risk_Register!$L:$L,Risk_Register!$B:$B,C524)=2,"Medium","Low"))</f>
        <v>High</v>
      </c>
      <c r="I524" s="5" t="str">
        <f aca="false">IF(B524&lt;=3,"Preferred site - strong composite profile",IF(B524&lt;=10,"Backup candidate - viable with monitoring","Reserve - evaluate only if primary sites unavailable"))</f>
        <v>Reserve - evaluate only if primary sites unavailable</v>
      </c>
    </row>
    <row r="525" customFormat="false" ht="15" hidden="false" customHeight="true" outlineLevel="0" collapsed="false">
      <c r="A525" s="5" t="s">
        <v>6004</v>
      </c>
      <c r="B525" s="5" t="n">
        <v>15</v>
      </c>
      <c r="C525" s="5" t="s">
        <v>1928</v>
      </c>
      <c r="D525" s="5" t="s">
        <v>1929</v>
      </c>
      <c r="E525" s="5" t="s">
        <v>958</v>
      </c>
      <c r="F525" s="5" t="n">
        <f aca="false">INDEX(Site_Evaluation!$K:$K,MATCH(C525,Site_Evaluation!$A:$A,0))</f>
        <v>54</v>
      </c>
      <c r="G525" s="5" t="n">
        <f aca="false">COUNTIFS(Risk_Register!B:B,C525,Risk_Register!G:G,"High")</f>
        <v>2</v>
      </c>
      <c r="H525" s="5" t="str">
        <f aca="false">IF(_xlfn.MAXIFS(Risk_Register!$L:$L,Risk_Register!$B:$B,C525)=3,"High",IF(_xlfn.MAXIFS(Risk_Register!$L:$L,Risk_Register!$B:$B,C525)=2,"Medium","Low"))</f>
        <v>High</v>
      </c>
      <c r="I525" s="5" t="str">
        <f aca="false">IF(B525&lt;=3,"Preferred site - strong composite profile",IF(B525&lt;=10,"Backup candidate - viable with monitoring","Reserve - evaluate only if primary sites unavailable"))</f>
        <v>Reserve - evaluate only if primary sites unavailable</v>
      </c>
    </row>
    <row r="526" customFormat="false" ht="15" hidden="false" customHeight="true" outlineLevel="0" collapsed="false">
      <c r="A526" s="5" t="s">
        <v>6004</v>
      </c>
      <c r="B526" s="5" t="n">
        <v>16</v>
      </c>
      <c r="C526" s="5" t="s">
        <v>2080</v>
      </c>
      <c r="D526" s="5" t="s">
        <v>2081</v>
      </c>
      <c r="E526" s="5" t="s">
        <v>920</v>
      </c>
      <c r="F526" s="5" t="n">
        <f aca="false">INDEX(Site_Evaluation!$K:$K,MATCH(C526,Site_Evaluation!$A:$A,0))</f>
        <v>53</v>
      </c>
      <c r="G526" s="5" t="n">
        <f aca="false">COUNTIFS(Risk_Register!B:B,C526,Risk_Register!G:G,"High")</f>
        <v>1</v>
      </c>
      <c r="H526" s="5" t="str">
        <f aca="false">IF(_xlfn.MAXIFS(Risk_Register!$L:$L,Risk_Register!$B:$B,C526)=3,"High",IF(_xlfn.MAXIFS(Risk_Register!$L:$L,Risk_Register!$B:$B,C526)=2,"Medium","Low"))</f>
        <v>High</v>
      </c>
      <c r="I526" s="5" t="str">
        <f aca="false">IF(B526&lt;=3,"Preferred site - strong composite profile",IF(B526&lt;=10,"Backup candidate - viable with monitoring","Reserve - evaluate only if primary sites unavailable"))</f>
        <v>Reserve - evaluate only if primary sites unavailable</v>
      </c>
    </row>
    <row r="527" customFormat="false" ht="15" hidden="false" customHeight="true" outlineLevel="0" collapsed="false">
      <c r="A527" s="5" t="s">
        <v>6004</v>
      </c>
      <c r="B527" s="5" t="n">
        <v>17</v>
      </c>
      <c r="C527" s="5" t="s">
        <v>2190</v>
      </c>
      <c r="D527" s="5" t="s">
        <v>2191</v>
      </c>
      <c r="E527" s="5" t="s">
        <v>952</v>
      </c>
      <c r="F527" s="5" t="n">
        <f aca="false">INDEX(Site_Evaluation!$K:$K,MATCH(C527,Site_Evaluation!$A:$A,0))</f>
        <v>52</v>
      </c>
      <c r="G527" s="5" t="n">
        <f aca="false">COUNTIFS(Risk_Register!B:B,C527,Risk_Register!G:G,"High")</f>
        <v>2</v>
      </c>
      <c r="H527" s="5" t="str">
        <f aca="false">IF(_xlfn.MAXIFS(Risk_Register!$L:$L,Risk_Register!$B:$B,C527)=3,"High",IF(_xlfn.MAXIFS(Risk_Register!$L:$L,Risk_Register!$B:$B,C527)=2,"Medium","Low"))</f>
        <v>High</v>
      </c>
      <c r="I527" s="5" t="str">
        <f aca="false">IF(B527&lt;=3,"Preferred site - strong composite profile",IF(B527&lt;=10,"Backup candidate - viable with monitoring","Reserve - evaluate only if primary sites unavailable"))</f>
        <v>Reserve - evaluate only if primary sites unavailable</v>
      </c>
    </row>
    <row r="528" customFormat="false" ht="15" hidden="false" customHeight="true" outlineLevel="0" collapsed="false">
      <c r="A528" s="5" t="s">
        <v>6004</v>
      </c>
      <c r="B528" s="5" t="n">
        <v>18</v>
      </c>
      <c r="C528" s="5" t="s">
        <v>1621</v>
      </c>
      <c r="D528" s="5" t="s">
        <v>1622</v>
      </c>
      <c r="E528" s="5" t="s">
        <v>931</v>
      </c>
      <c r="F528" s="5" t="n">
        <f aca="false">INDEX(Site_Evaluation!$K:$K,MATCH(C528,Site_Evaluation!$A:$A,0))</f>
        <v>51</v>
      </c>
      <c r="G528" s="5" t="n">
        <f aca="false">COUNTIFS(Risk_Register!B:B,C528,Risk_Register!G:G,"High")</f>
        <v>3</v>
      </c>
      <c r="H528" s="5" t="str">
        <f aca="false">IF(_xlfn.MAXIFS(Risk_Register!$L:$L,Risk_Register!$B:$B,C528)=3,"High",IF(_xlfn.MAXIFS(Risk_Register!$L:$L,Risk_Register!$B:$B,C528)=2,"Medium","Low"))</f>
        <v>High</v>
      </c>
      <c r="I528" s="5" t="str">
        <f aca="false">IF(B528&lt;=3,"Preferred site - strong composite profile",IF(B528&lt;=10,"Backup candidate - viable with monitoring","Reserve - evaluate only if primary sites unavailable"))</f>
        <v>Reserve - evaluate only if primary sites unavailable</v>
      </c>
    </row>
    <row r="529" customFormat="false" ht="15" hidden="false" customHeight="true" outlineLevel="0" collapsed="false">
      <c r="A529" s="5" t="s">
        <v>6004</v>
      </c>
      <c r="B529" s="5" t="n">
        <v>19</v>
      </c>
      <c r="C529" s="5" t="s">
        <v>2070</v>
      </c>
      <c r="D529" s="5" t="s">
        <v>2071</v>
      </c>
      <c r="E529" s="5" t="s">
        <v>918</v>
      </c>
      <c r="F529" s="5" t="n">
        <f aca="false">INDEX(Site_Evaluation!$K:$K,MATCH(C529,Site_Evaluation!$A:$A,0))</f>
        <v>50</v>
      </c>
      <c r="G529" s="5" t="n">
        <f aca="false">COUNTIFS(Risk_Register!B:B,C529,Risk_Register!G:G,"High")</f>
        <v>1</v>
      </c>
      <c r="H529" s="5" t="str">
        <f aca="false">IF(_xlfn.MAXIFS(Risk_Register!$L:$L,Risk_Register!$B:$B,C529)=3,"High",IF(_xlfn.MAXIFS(Risk_Register!$L:$L,Risk_Register!$B:$B,C529)=2,"Medium","Low"))</f>
        <v>High</v>
      </c>
      <c r="I529" s="5" t="str">
        <f aca="false">IF(B529&lt;=3,"Preferred site - strong composite profile",IF(B529&lt;=10,"Backup candidate - viable with monitoring","Reserve - evaluate only if primary sites unavailable"))</f>
        <v>Reserve - evaluate only if primary sites unavailable</v>
      </c>
    </row>
    <row r="530" customFormat="false" ht="15" hidden="false" customHeight="true" outlineLevel="0" collapsed="false">
      <c r="A530" s="5" t="s">
        <v>6004</v>
      </c>
      <c r="B530" s="5" t="n">
        <v>20</v>
      </c>
      <c r="C530" s="5" t="s">
        <v>2050</v>
      </c>
      <c r="D530" s="5" t="s">
        <v>2051</v>
      </c>
      <c r="E530" s="5" t="s">
        <v>940</v>
      </c>
      <c r="F530" s="5" t="n">
        <f aca="false">INDEX(Site_Evaluation!$K:$K,MATCH(C530,Site_Evaluation!$A:$A,0))</f>
        <v>48</v>
      </c>
      <c r="G530" s="5" t="n">
        <f aca="false">COUNTIFS(Risk_Register!B:B,C530,Risk_Register!G:G,"High")</f>
        <v>2</v>
      </c>
      <c r="H530" s="5" t="str">
        <f aca="false">IF(_xlfn.MAXIFS(Risk_Register!$L:$L,Risk_Register!$B:$B,C530)=3,"High",IF(_xlfn.MAXIFS(Risk_Register!$L:$L,Risk_Register!$B:$B,C530)=2,"Medium","Low"))</f>
        <v>High</v>
      </c>
      <c r="I530" s="5" t="str">
        <f aca="false">IF(B530&lt;=3,"Preferred site - strong composite profile",IF(B530&lt;=10,"Backup candidate - viable with monitoring","Reserve - evaluate only if primary sites unavailable"))</f>
        <v>Reserve - evaluate only if primary sites unavailable</v>
      </c>
    </row>
    <row r="531" customFormat="false" ht="15" hidden="false" customHeight="true" outlineLevel="0" collapsed="false">
      <c r="A531" s="5" t="s">
        <v>6005</v>
      </c>
      <c r="B531" s="5" t="n">
        <v>1</v>
      </c>
      <c r="C531" s="5" t="s">
        <v>1790</v>
      </c>
      <c r="D531" s="5" t="s">
        <v>1791</v>
      </c>
      <c r="E531" s="5" t="s">
        <v>950</v>
      </c>
      <c r="F531" s="5" t="n">
        <f aca="false">INDEX(Site_Evaluation!$K:$K,MATCH(C531,Site_Evaluation!$A:$A,0))</f>
        <v>66</v>
      </c>
      <c r="G531" s="5" t="n">
        <f aca="false">COUNTIFS(Risk_Register!B:B,C531,Risk_Register!G:G,"High")</f>
        <v>3</v>
      </c>
      <c r="H531" s="5" t="str">
        <f aca="false">IF(_xlfn.MAXIFS(Risk_Register!$L:$L,Risk_Register!$B:$B,C531)=3,"High",IF(_xlfn.MAXIFS(Risk_Register!$L:$L,Risk_Register!$B:$B,C531)=2,"Medium","Low"))</f>
        <v>High</v>
      </c>
      <c r="I531" s="5" t="str">
        <f aca="false">IF(B531&lt;=3,"Preferred site - strong composite profile",IF(B531&lt;=10,"Backup candidate - viable with monitoring","Reserve - evaluate only if primary sites unavailable"))</f>
        <v>Preferred site - strong composite profile</v>
      </c>
    </row>
    <row r="532" customFormat="false" ht="15" hidden="false" customHeight="true" outlineLevel="0" collapsed="false">
      <c r="A532" s="5" t="s">
        <v>6005</v>
      </c>
      <c r="B532" s="5" t="n">
        <v>2</v>
      </c>
      <c r="C532" s="5" t="s">
        <v>2182</v>
      </c>
      <c r="D532" s="5" t="s">
        <v>2183</v>
      </c>
      <c r="E532" s="5" t="s">
        <v>958</v>
      </c>
      <c r="F532" s="5" t="n">
        <f aca="false">INDEX(Site_Evaluation!$K:$K,MATCH(C532,Site_Evaluation!$A:$A,0))</f>
        <v>65</v>
      </c>
      <c r="G532" s="5" t="n">
        <f aca="false">COUNTIFS(Risk_Register!B:B,C532,Risk_Register!G:G,"High")</f>
        <v>3</v>
      </c>
      <c r="H532" s="5" t="str">
        <f aca="false">IF(_xlfn.MAXIFS(Risk_Register!$L:$L,Risk_Register!$B:$B,C532)=3,"High",IF(_xlfn.MAXIFS(Risk_Register!$L:$L,Risk_Register!$B:$B,C532)=2,"Medium","Low"))</f>
        <v>High</v>
      </c>
      <c r="I532" s="5" t="str">
        <f aca="false">IF(B532&lt;=3,"Preferred site - strong composite profile",IF(B532&lt;=10,"Backup candidate - viable with monitoring","Reserve - evaluate only if primary sites unavailable"))</f>
        <v>Preferred site - strong composite profile</v>
      </c>
    </row>
    <row r="533" customFormat="false" ht="15" hidden="false" customHeight="true" outlineLevel="0" collapsed="false">
      <c r="A533" s="5" t="s">
        <v>6005</v>
      </c>
      <c r="B533" s="5" t="n">
        <v>3</v>
      </c>
      <c r="C533" s="5" t="s">
        <v>2056</v>
      </c>
      <c r="D533" s="5" t="s">
        <v>2057</v>
      </c>
      <c r="E533" s="5" t="s">
        <v>948</v>
      </c>
      <c r="F533" s="5" t="n">
        <f aca="false">INDEX(Site_Evaluation!$K:$K,MATCH(C533,Site_Evaluation!$A:$A,0))</f>
        <v>62</v>
      </c>
      <c r="G533" s="5" t="n">
        <f aca="false">COUNTIFS(Risk_Register!B:B,C533,Risk_Register!G:G,"High")</f>
        <v>1</v>
      </c>
      <c r="H533" s="5" t="str">
        <f aca="false">IF(_xlfn.MAXIFS(Risk_Register!$L:$L,Risk_Register!$B:$B,C533)=3,"High",IF(_xlfn.MAXIFS(Risk_Register!$L:$L,Risk_Register!$B:$B,C533)=2,"Medium","Low"))</f>
        <v>High</v>
      </c>
      <c r="I533" s="5" t="str">
        <f aca="false">IF(B533&lt;=3,"Preferred site - strong composite profile",IF(B533&lt;=10,"Backup candidate - viable with monitoring","Reserve - evaluate only if primary sites unavailable"))</f>
        <v>Preferred site - strong composite profile</v>
      </c>
    </row>
    <row r="534" customFormat="false" ht="15" hidden="false" customHeight="true" outlineLevel="0" collapsed="false">
      <c r="A534" s="5" t="s">
        <v>6005</v>
      </c>
      <c r="B534" s="5" t="n">
        <v>4</v>
      </c>
      <c r="C534" s="5" t="s">
        <v>1610</v>
      </c>
      <c r="D534" s="5" t="s">
        <v>1611</v>
      </c>
      <c r="E534" s="5" t="s">
        <v>925</v>
      </c>
      <c r="F534" s="5" t="n">
        <f aca="false">INDEX(Site_Evaluation!$K:$K,MATCH(C534,Site_Evaluation!$A:$A,0))</f>
        <v>57</v>
      </c>
      <c r="G534" s="5" t="n">
        <f aca="false">COUNTIFS(Risk_Register!B:B,C534,Risk_Register!G:G,"High")</f>
        <v>0</v>
      </c>
      <c r="H534" s="5" t="str">
        <f aca="false">IF(_xlfn.MAXIFS(Risk_Register!$L:$L,Risk_Register!$B:$B,C534)=3,"High",IF(_xlfn.MAXIFS(Risk_Register!$L:$L,Risk_Register!$B:$B,C534)=2,"Medium","Low"))</f>
        <v>Medium</v>
      </c>
      <c r="I534" s="5" t="str">
        <f aca="false">IF(B534&lt;=3,"Preferred site - strong composite profile",IF(B534&lt;=10,"Backup candidate - viable with monitoring","Reserve - evaluate only if primary sites unavailable"))</f>
        <v>Backup candidate - viable with monitoring</v>
      </c>
    </row>
    <row r="535" customFormat="false" ht="15" hidden="false" customHeight="true" outlineLevel="0" collapsed="false">
      <c r="A535" s="5" t="s">
        <v>6005</v>
      </c>
      <c r="B535" s="5" t="n">
        <v>5</v>
      </c>
      <c r="C535" s="5" t="s">
        <v>1728</v>
      </c>
      <c r="D535" s="5" t="s">
        <v>1729</v>
      </c>
      <c r="E535" s="5" t="s">
        <v>935</v>
      </c>
      <c r="F535" s="5" t="n">
        <f aca="false">INDEX(Site_Evaluation!$K:$K,MATCH(C535,Site_Evaluation!$A:$A,0))</f>
        <v>57</v>
      </c>
      <c r="G535" s="5" t="n">
        <f aca="false">COUNTIFS(Risk_Register!B:B,C535,Risk_Register!G:G,"High")</f>
        <v>1</v>
      </c>
      <c r="H535" s="5" t="str">
        <f aca="false">IF(_xlfn.MAXIFS(Risk_Register!$L:$L,Risk_Register!$B:$B,C535)=3,"High",IF(_xlfn.MAXIFS(Risk_Register!$L:$L,Risk_Register!$B:$B,C535)=2,"Medium","Low"))</f>
        <v>High</v>
      </c>
      <c r="I535" s="5" t="str">
        <f aca="false">IF(B535&lt;=3,"Preferred site - strong composite profile",IF(B535&lt;=10,"Backup candidate - viable with monitoring","Reserve - evaluate only if primary sites unavailable"))</f>
        <v>Backup candidate - viable with monitoring</v>
      </c>
    </row>
    <row r="536" customFormat="false" ht="15" hidden="false" customHeight="true" outlineLevel="0" collapsed="false">
      <c r="A536" s="5" t="s">
        <v>6005</v>
      </c>
      <c r="B536" s="5" t="n">
        <v>6</v>
      </c>
      <c r="C536" s="5" t="s">
        <v>1882</v>
      </c>
      <c r="D536" s="5" t="s">
        <v>1883</v>
      </c>
      <c r="E536" s="5" t="s">
        <v>950</v>
      </c>
      <c r="F536" s="5" t="n">
        <f aca="false">INDEX(Site_Evaluation!$K:$K,MATCH(C536,Site_Evaluation!$A:$A,0))</f>
        <v>53</v>
      </c>
      <c r="G536" s="5" t="n">
        <f aca="false">COUNTIFS(Risk_Register!B:B,C536,Risk_Register!G:G,"High")</f>
        <v>0</v>
      </c>
      <c r="H536" s="5" t="str">
        <f aca="false">IF(_xlfn.MAXIFS(Risk_Register!$L:$L,Risk_Register!$B:$B,C536)=3,"High",IF(_xlfn.MAXIFS(Risk_Register!$L:$L,Risk_Register!$B:$B,C536)=2,"Medium","Low"))</f>
        <v>Medium</v>
      </c>
      <c r="I536" s="5" t="str">
        <f aca="false">IF(B536&lt;=3,"Preferred site - strong composite profile",IF(B536&lt;=10,"Backup candidate - viable with monitoring","Reserve - evaluate only if primary sites unavailable"))</f>
        <v>Backup candidate - viable with monitoring</v>
      </c>
    </row>
    <row r="537" customFormat="false" ht="15" hidden="false" customHeight="true" outlineLevel="0" collapsed="false">
      <c r="A537" s="5" t="s">
        <v>6005</v>
      </c>
      <c r="B537" s="5" t="n">
        <v>7</v>
      </c>
      <c r="C537" s="5" t="s">
        <v>2180</v>
      </c>
      <c r="D537" s="5" t="s">
        <v>2181</v>
      </c>
      <c r="E537" s="5" t="s">
        <v>956</v>
      </c>
      <c r="F537" s="5" t="n">
        <f aca="false">INDEX(Site_Evaluation!$K:$K,MATCH(C537,Site_Evaluation!$A:$A,0))</f>
        <v>53</v>
      </c>
      <c r="G537" s="5" t="n">
        <f aca="false">COUNTIFS(Risk_Register!B:B,C537,Risk_Register!G:G,"High")</f>
        <v>2</v>
      </c>
      <c r="H537" s="5" t="str">
        <f aca="false">IF(_xlfn.MAXIFS(Risk_Register!$L:$L,Risk_Register!$B:$B,C537)=3,"High",IF(_xlfn.MAXIFS(Risk_Register!$L:$L,Risk_Register!$B:$B,C537)=2,"Medium","Low"))</f>
        <v>High</v>
      </c>
      <c r="I537" s="5" t="str">
        <f aca="false">IF(B537&lt;=3,"Preferred site - strong composite profile",IF(B537&lt;=10,"Backup candidate - viable with monitoring","Reserve - evaluate only if primary sites unavailable"))</f>
        <v>Backup candidate - viable with monitoring</v>
      </c>
    </row>
    <row r="538" customFormat="false" ht="15" hidden="false" customHeight="true" outlineLevel="0" collapsed="false">
      <c r="A538" s="5" t="s">
        <v>6005</v>
      </c>
      <c r="B538" s="5" t="n">
        <v>8</v>
      </c>
      <c r="C538" s="5" t="s">
        <v>2064</v>
      </c>
      <c r="D538" s="5" t="s">
        <v>2065</v>
      </c>
      <c r="E538" s="5" t="s">
        <v>962</v>
      </c>
      <c r="F538" s="5" t="n">
        <f aca="false">INDEX(Site_Evaluation!$K:$K,MATCH(C538,Site_Evaluation!$A:$A,0))</f>
        <v>52</v>
      </c>
      <c r="G538" s="5" t="n">
        <f aca="false">COUNTIFS(Risk_Register!B:B,C538,Risk_Register!G:G,"High")</f>
        <v>4</v>
      </c>
      <c r="H538" s="5" t="str">
        <f aca="false">IF(_xlfn.MAXIFS(Risk_Register!$L:$L,Risk_Register!$B:$B,C538)=3,"High",IF(_xlfn.MAXIFS(Risk_Register!$L:$L,Risk_Register!$B:$B,C538)=2,"Medium","Low"))</f>
        <v>High</v>
      </c>
      <c r="I538" s="5" t="str">
        <f aca="false">IF(B538&lt;=3,"Preferred site - strong composite profile",IF(B538&lt;=10,"Backup candidate - viable with monitoring","Reserve - evaluate only if primary sites unavailable"))</f>
        <v>Backup candidate - viable with monitoring</v>
      </c>
    </row>
    <row r="539" customFormat="false" ht="15" hidden="false" customHeight="true" outlineLevel="0" collapsed="false">
      <c r="A539" s="5" t="s">
        <v>6005</v>
      </c>
      <c r="B539" s="5" t="n">
        <v>9</v>
      </c>
      <c r="C539" s="5" t="s">
        <v>1984</v>
      </c>
      <c r="D539" s="5" t="s">
        <v>1985</v>
      </c>
      <c r="E539" s="5" t="s">
        <v>931</v>
      </c>
      <c r="F539" s="5" t="n">
        <f aca="false">INDEX(Site_Evaluation!$K:$K,MATCH(C539,Site_Evaluation!$A:$A,0))</f>
        <v>50</v>
      </c>
      <c r="G539" s="5" t="n">
        <f aca="false">COUNTIFS(Risk_Register!B:B,C539,Risk_Register!G:G,"High")</f>
        <v>5</v>
      </c>
      <c r="H539" s="5" t="str">
        <f aca="false">IF(_xlfn.MAXIFS(Risk_Register!$L:$L,Risk_Register!$B:$B,C539)=3,"High",IF(_xlfn.MAXIFS(Risk_Register!$L:$L,Risk_Register!$B:$B,C539)=2,"Medium","Low"))</f>
        <v>High</v>
      </c>
      <c r="I539" s="5" t="str">
        <f aca="false">IF(B539&lt;=3,"Preferred site - strong composite profile",IF(B539&lt;=10,"Backup candidate - viable with monitoring","Reserve - evaluate only if primary sites unavailable"))</f>
        <v>Backup candidate - viable with monitoring</v>
      </c>
    </row>
    <row r="540" customFormat="false" ht="15" hidden="false" customHeight="true" outlineLevel="0" collapsed="false">
      <c r="A540" s="5" t="s">
        <v>6005</v>
      </c>
      <c r="B540" s="5" t="n">
        <v>10</v>
      </c>
      <c r="C540" s="5" t="s">
        <v>2052</v>
      </c>
      <c r="D540" s="5" t="s">
        <v>2053</v>
      </c>
      <c r="E540" s="5" t="s">
        <v>931</v>
      </c>
      <c r="F540" s="5" t="n">
        <f aca="false">INDEX(Site_Evaluation!$K:$K,MATCH(C540,Site_Evaluation!$A:$A,0))</f>
        <v>49</v>
      </c>
      <c r="G540" s="5" t="n">
        <f aca="false">COUNTIFS(Risk_Register!B:B,C540,Risk_Register!G:G,"High")</f>
        <v>3</v>
      </c>
      <c r="H540" s="5" t="str">
        <f aca="false">IF(_xlfn.MAXIFS(Risk_Register!$L:$L,Risk_Register!$B:$B,C540)=3,"High",IF(_xlfn.MAXIFS(Risk_Register!$L:$L,Risk_Register!$B:$B,C540)=2,"Medium","Low"))</f>
        <v>High</v>
      </c>
      <c r="I540" s="5" t="str">
        <f aca="false">IF(B540&lt;=3,"Preferred site - strong composite profile",IF(B540&lt;=10,"Backup candidate - viable with monitoring","Reserve - evaluate only if primary sites unavailable"))</f>
        <v>Backup candidate - viable with monitoring</v>
      </c>
    </row>
    <row r="541" customFormat="false" ht="15" hidden="false" customHeight="true" outlineLevel="0" collapsed="false">
      <c r="A541" s="5" t="s">
        <v>6005</v>
      </c>
      <c r="B541" s="5" t="n">
        <v>11</v>
      </c>
      <c r="C541" s="5" t="s">
        <v>1958</v>
      </c>
      <c r="D541" s="5" t="s">
        <v>1959</v>
      </c>
      <c r="E541" s="5" t="s">
        <v>962</v>
      </c>
      <c r="F541" s="5" t="n">
        <f aca="false">INDEX(Site_Evaluation!$K:$K,MATCH(C541,Site_Evaluation!$A:$A,0))</f>
        <v>45</v>
      </c>
      <c r="G541" s="5" t="n">
        <f aca="false">COUNTIFS(Risk_Register!B:B,C541,Risk_Register!G:G,"High")</f>
        <v>1</v>
      </c>
      <c r="H541" s="5" t="str">
        <f aca="false">IF(_xlfn.MAXIFS(Risk_Register!$L:$L,Risk_Register!$B:$B,C541)=3,"High",IF(_xlfn.MAXIFS(Risk_Register!$L:$L,Risk_Register!$B:$B,C541)=2,"Medium","Low"))</f>
        <v>High</v>
      </c>
      <c r="I541" s="5" t="str">
        <f aca="false">IF(B541&lt;=3,"Preferred site - strong composite profile",IF(B541&lt;=10,"Backup candidate - viable with monitoring","Reserve - evaluate only if primary sites unavailable"))</f>
        <v>Reserve - evaluate only if primary sites unavailable</v>
      </c>
    </row>
    <row r="542" customFormat="false" ht="15" hidden="false" customHeight="true" outlineLevel="0" collapsed="false">
      <c r="A542" s="5" t="s">
        <v>6005</v>
      </c>
      <c r="B542" s="5" t="n">
        <v>12</v>
      </c>
      <c r="C542" s="5" t="s">
        <v>1946</v>
      </c>
      <c r="D542" s="5" t="s">
        <v>1947</v>
      </c>
      <c r="E542" s="5" t="s">
        <v>962</v>
      </c>
      <c r="F542" s="5" t="n">
        <f aca="false">INDEX(Site_Evaluation!$K:$K,MATCH(C542,Site_Evaluation!$A:$A,0))</f>
        <v>44</v>
      </c>
      <c r="G542" s="5" t="n">
        <f aca="false">COUNTIFS(Risk_Register!B:B,C542,Risk_Register!G:G,"High")</f>
        <v>2</v>
      </c>
      <c r="H542" s="5" t="str">
        <f aca="false">IF(_xlfn.MAXIFS(Risk_Register!$L:$L,Risk_Register!$B:$B,C542)=3,"High",IF(_xlfn.MAXIFS(Risk_Register!$L:$L,Risk_Register!$B:$B,C542)=2,"Medium","Low"))</f>
        <v>High</v>
      </c>
      <c r="I542" s="5" t="str">
        <f aca="false">IF(B542&lt;=3,"Preferred site - strong composite profile",IF(B542&lt;=10,"Backup candidate - viable with monitoring","Reserve - evaluate only if primary sites unavailable"))</f>
        <v>Reserve - evaluate only if primary sites unavailable</v>
      </c>
    </row>
    <row r="543" customFormat="false" ht="15" hidden="false" customHeight="true" outlineLevel="0" collapsed="false">
      <c r="A543" s="5" t="s">
        <v>6005</v>
      </c>
      <c r="B543" s="5" t="n">
        <v>13</v>
      </c>
      <c r="C543" s="5" t="s">
        <v>2046</v>
      </c>
      <c r="D543" s="5" t="s">
        <v>2047</v>
      </c>
      <c r="E543" s="5" t="s">
        <v>940</v>
      </c>
      <c r="F543" s="5" t="n">
        <f aca="false">INDEX(Site_Evaluation!$K:$K,MATCH(C543,Site_Evaluation!$A:$A,0))</f>
        <v>44</v>
      </c>
      <c r="G543" s="5" t="n">
        <f aca="false">COUNTIFS(Risk_Register!B:B,C543,Risk_Register!G:G,"High")</f>
        <v>0</v>
      </c>
      <c r="H543" s="5" t="str">
        <f aca="false">IF(_xlfn.MAXIFS(Risk_Register!$L:$L,Risk_Register!$B:$B,C543)=3,"High",IF(_xlfn.MAXIFS(Risk_Register!$L:$L,Risk_Register!$B:$B,C543)=2,"Medium","Low"))</f>
        <v>Medium</v>
      </c>
      <c r="I543" s="5" t="str">
        <f aca="false">IF(B543&lt;=3,"Preferred site - strong composite profile",IF(B543&lt;=10,"Backup candidate - viable with monitoring","Reserve - evaluate only if primary sites unavailable"))</f>
        <v>Reserve - evaluate only if primary sites unavailable</v>
      </c>
    </row>
    <row r="544" customFormat="false" ht="15" hidden="false" customHeight="true" outlineLevel="0" collapsed="false">
      <c r="A544" s="5" t="s">
        <v>6005</v>
      </c>
      <c r="B544" s="5" t="n">
        <v>14</v>
      </c>
      <c r="C544" s="5" t="s">
        <v>2048</v>
      </c>
      <c r="D544" s="5" t="s">
        <v>2049</v>
      </c>
      <c r="E544" s="5" t="s">
        <v>940</v>
      </c>
      <c r="F544" s="5" t="n">
        <f aca="false">INDEX(Site_Evaluation!$K:$K,MATCH(C544,Site_Evaluation!$A:$A,0))</f>
        <v>44</v>
      </c>
      <c r="G544" s="5" t="n">
        <f aca="false">COUNTIFS(Risk_Register!B:B,C544,Risk_Register!G:G,"High")</f>
        <v>0</v>
      </c>
      <c r="H544" s="5" t="str">
        <f aca="false">IF(_xlfn.MAXIFS(Risk_Register!$L:$L,Risk_Register!$B:$B,C544)=3,"High",IF(_xlfn.MAXIFS(Risk_Register!$L:$L,Risk_Register!$B:$B,C544)=2,"Medium","Low"))</f>
        <v>Low</v>
      </c>
      <c r="I544" s="5" t="str">
        <f aca="false">IF(B544&lt;=3,"Preferred site - strong composite profile",IF(B544&lt;=10,"Backup candidate - viable with monitoring","Reserve - evaluate only if primary sites unavailable"))</f>
        <v>Reserve - evaluate only if primary sites unavailable</v>
      </c>
    </row>
    <row r="545" customFormat="false" ht="15" hidden="false" customHeight="true" outlineLevel="0" collapsed="false">
      <c r="A545" s="5" t="s">
        <v>6005</v>
      </c>
      <c r="B545" s="5" t="n">
        <v>15</v>
      </c>
      <c r="C545" s="5" t="s">
        <v>1757</v>
      </c>
      <c r="D545" s="5" t="s">
        <v>1758</v>
      </c>
      <c r="E545" s="5" t="s">
        <v>944</v>
      </c>
      <c r="F545" s="5" t="n">
        <f aca="false">INDEX(Site_Evaluation!$K:$K,MATCH(C545,Site_Evaluation!$A:$A,0))</f>
        <v>43</v>
      </c>
      <c r="G545" s="5" t="n">
        <f aca="false">COUNTIFS(Risk_Register!B:B,C545,Risk_Register!G:G,"High")</f>
        <v>2</v>
      </c>
      <c r="H545" s="5" t="str">
        <f aca="false">IF(_xlfn.MAXIFS(Risk_Register!$L:$L,Risk_Register!$B:$B,C545)=3,"High",IF(_xlfn.MAXIFS(Risk_Register!$L:$L,Risk_Register!$B:$B,C545)=2,"Medium","Low"))</f>
        <v>High</v>
      </c>
      <c r="I545" s="5" t="str">
        <f aca="false">IF(B545&lt;=3,"Preferred site - strong composite profile",IF(B545&lt;=10,"Backup candidate - viable with monitoring","Reserve - evaluate only if primary sites unavailable"))</f>
        <v>Reserve - evaluate only if primary sites unavailable</v>
      </c>
    </row>
    <row r="546" customFormat="false" ht="15" hidden="false" customHeight="true" outlineLevel="0" collapsed="false">
      <c r="A546" s="5" t="s">
        <v>6005</v>
      </c>
      <c r="B546" s="5" t="n">
        <v>16</v>
      </c>
      <c r="C546" s="5" t="s">
        <v>1950</v>
      </c>
      <c r="D546" s="5" t="s">
        <v>1951</v>
      </c>
      <c r="E546" s="5" t="s">
        <v>938</v>
      </c>
      <c r="F546" s="5" t="n">
        <f aca="false">INDEX(Site_Evaluation!$K:$K,MATCH(C546,Site_Evaluation!$A:$A,0))</f>
        <v>42</v>
      </c>
      <c r="G546" s="5" t="n">
        <f aca="false">COUNTIFS(Risk_Register!B:B,C546,Risk_Register!G:G,"High")</f>
        <v>1</v>
      </c>
      <c r="H546" s="5" t="str">
        <f aca="false">IF(_xlfn.MAXIFS(Risk_Register!$L:$L,Risk_Register!$B:$B,C546)=3,"High",IF(_xlfn.MAXIFS(Risk_Register!$L:$L,Risk_Register!$B:$B,C546)=2,"Medium","Low"))</f>
        <v>High</v>
      </c>
      <c r="I546" s="5" t="str">
        <f aca="false">IF(B546&lt;=3,"Preferred site - strong composite profile",IF(B546&lt;=10,"Backup candidate - viable with monitoring","Reserve - evaluate only if primary sites unavailable"))</f>
        <v>Reserve - evaluate only if primary sites unavailable</v>
      </c>
    </row>
    <row r="547" customFormat="false" ht="15" hidden="false" customHeight="true" outlineLevel="0" collapsed="false">
      <c r="A547" s="5" t="s">
        <v>6005</v>
      </c>
      <c r="B547" s="5" t="n">
        <v>17</v>
      </c>
      <c r="C547" s="5" t="s">
        <v>2068</v>
      </c>
      <c r="D547" s="5" t="s">
        <v>2069</v>
      </c>
      <c r="E547" s="5" t="s">
        <v>962</v>
      </c>
      <c r="F547" s="5" t="n">
        <f aca="false">INDEX(Site_Evaluation!$K:$K,MATCH(C547,Site_Evaluation!$A:$A,0))</f>
        <v>40</v>
      </c>
      <c r="G547" s="5" t="n">
        <f aca="false">COUNTIFS(Risk_Register!B:B,C547,Risk_Register!G:G,"High")</f>
        <v>2</v>
      </c>
      <c r="H547" s="5" t="str">
        <f aca="false">IF(_xlfn.MAXIFS(Risk_Register!$L:$L,Risk_Register!$B:$B,C547)=3,"High",IF(_xlfn.MAXIFS(Risk_Register!$L:$L,Risk_Register!$B:$B,C547)=2,"Medium","Low"))</f>
        <v>High</v>
      </c>
      <c r="I547" s="5" t="str">
        <f aca="false">IF(B547&lt;=3,"Preferred site - strong composite profile",IF(B547&lt;=10,"Backup candidate - viable with monitoring","Reserve - evaluate only if primary sites unavailable"))</f>
        <v>Reserve - evaluate only if primary sites unavailable</v>
      </c>
    </row>
    <row r="548" customFormat="false" ht="15" hidden="false" customHeight="true" outlineLevel="0" collapsed="false">
      <c r="A548" s="5" t="s">
        <v>6005</v>
      </c>
      <c r="B548" s="5" t="n">
        <v>18</v>
      </c>
      <c r="C548" s="5" t="s">
        <v>2094</v>
      </c>
      <c r="D548" s="5" t="s">
        <v>2095</v>
      </c>
      <c r="E548" s="5" t="s">
        <v>960</v>
      </c>
      <c r="F548" s="5" t="n">
        <f aca="false">INDEX(Site_Evaluation!$K:$K,MATCH(C548,Site_Evaluation!$A:$A,0))</f>
        <v>38</v>
      </c>
      <c r="G548" s="5" t="n">
        <f aca="false">COUNTIFS(Risk_Register!B:B,C548,Risk_Register!G:G,"High")</f>
        <v>1</v>
      </c>
      <c r="H548" s="5" t="str">
        <f aca="false">IF(_xlfn.MAXIFS(Risk_Register!$L:$L,Risk_Register!$B:$B,C548)=3,"High",IF(_xlfn.MAXIFS(Risk_Register!$L:$L,Risk_Register!$B:$B,C548)=2,"Medium","Low"))</f>
        <v>High</v>
      </c>
      <c r="I548" s="5" t="str">
        <f aca="false">IF(B548&lt;=3,"Preferred site - strong composite profile",IF(B548&lt;=10,"Backup candidate - viable with monitoring","Reserve - evaluate only if primary sites unavailable"))</f>
        <v>Reserve - evaluate only if primary sites unavailable</v>
      </c>
    </row>
    <row r="549" customFormat="false" ht="15" hidden="false" customHeight="true" outlineLevel="0" collapsed="false">
      <c r="A549" s="5" t="s">
        <v>6005</v>
      </c>
      <c r="B549" s="5" t="n">
        <v>19</v>
      </c>
      <c r="C549" s="5" t="s">
        <v>2152</v>
      </c>
      <c r="D549" s="5" t="s">
        <v>2153</v>
      </c>
      <c r="E549" s="5" t="s">
        <v>933</v>
      </c>
      <c r="F549" s="5" t="n">
        <f aca="false">INDEX(Site_Evaluation!$K:$K,MATCH(C549,Site_Evaluation!$A:$A,0))</f>
        <v>26</v>
      </c>
      <c r="G549" s="5" t="n">
        <f aca="false">COUNTIFS(Risk_Register!B:B,C549,Risk_Register!G:G,"High")</f>
        <v>2</v>
      </c>
      <c r="H549" s="5" t="str">
        <f aca="false">IF(_xlfn.MAXIFS(Risk_Register!$L:$L,Risk_Register!$B:$B,C549)=3,"High",IF(_xlfn.MAXIFS(Risk_Register!$L:$L,Risk_Register!$B:$B,C549)=2,"Medium","Low"))</f>
        <v>High</v>
      </c>
      <c r="I549" s="5" t="str">
        <f aca="false">IF(B549&lt;=3,"Preferred site - strong composite profile",IF(B549&lt;=10,"Backup candidate - viable with monitoring","Reserve - evaluate only if primary sites unavailable"))</f>
        <v>Reserve - evaluate only if primary sites unavailable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2026-08-05T10:04:41Z</dcterms:created>
  <dc:creator>openpyxl</dc:creator>
  <dc:description/>
  <dc:language>en-US</dc:language>
  <cp:lastModifiedBy/>
  <dcterms:modified xsi:type="dcterms:W3CDTF">2026-08-06T07:19:33Z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